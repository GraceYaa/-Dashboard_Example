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080" yWindow="1380" windowWidth="20730" windowHeight="11325" activeTab="4"/>
  </bookViews>
  <sheets>
    <sheet name="mapping" sheetId="2" r:id="rId1"/>
    <sheet name="WTO Data" sheetId="4" r:id="rId2"/>
    <sheet name="Cleaned Data" sheetId="5" r:id="rId3"/>
    <sheet name="Charts data" sheetId="7" r:id="rId4"/>
    <sheet name="Dashboard" sheetId="8" r:id="rId5"/>
    <sheet name="Notes" sheetId="9" r:id="rId6"/>
  </sheets>
  <functionGroups builtInGroupCount="17"/>
  <definedNames>
    <definedName name="_xlnm._FilterDatabase" localSheetId="2" hidden="1">'Cleaned Data'!$A$1:$L$1867</definedName>
    <definedName name="ValSelOption">Dashboard!#REF!</definedName>
  </definedNames>
  <calcPr calcId="145621"/>
</workbook>
</file>

<file path=xl/calcChain.xml><?xml version="1.0" encoding="utf-8"?>
<calcChain xmlns="http://schemas.openxmlformats.org/spreadsheetml/2006/main">
  <c r="A20" i="7" l="1"/>
  <c r="AD20" i="8"/>
  <c r="C63" i="2"/>
  <c r="N39" i="2"/>
  <c r="J1865" i="5" s="1"/>
  <c r="O39" i="2"/>
  <c r="K1866" i="5" s="1"/>
  <c r="Q39" i="2"/>
  <c r="M39" i="2" s="1"/>
  <c r="I1866" i="5" s="1"/>
  <c r="J1866" i="5" l="1"/>
  <c r="I1865" i="5"/>
  <c r="K1865" i="5"/>
  <c r="G55" i="7"/>
  <c r="H55" i="7"/>
  <c r="AN30" i="8"/>
  <c r="AL30" i="8"/>
  <c r="AJ30" i="8"/>
  <c r="AH30" i="8"/>
  <c r="AF30" i="8"/>
  <c r="AA30" i="8"/>
  <c r="Y30" i="8"/>
  <c r="W30" i="8"/>
  <c r="U30" i="8"/>
  <c r="S30" i="8"/>
  <c r="Q30" i="8"/>
  <c r="O30" i="8"/>
  <c r="M30" i="8"/>
  <c r="K30" i="8"/>
  <c r="I30" i="8"/>
  <c r="AM15" i="8"/>
  <c r="AJ15" i="8"/>
  <c r="AG15" i="8"/>
  <c r="AD15" i="8"/>
  <c r="AA15" i="8"/>
  <c r="X15" i="8"/>
  <c r="U15" i="8"/>
  <c r="R15" i="8"/>
  <c r="O15" i="8"/>
  <c r="L15" i="8"/>
  <c r="I15" i="8"/>
  <c r="L19" i="8"/>
  <c r="I19" i="8"/>
  <c r="AM19" i="8"/>
  <c r="AJ19" i="8"/>
  <c r="AA19" i="8"/>
  <c r="AG19" i="8"/>
  <c r="U19" i="8"/>
  <c r="R19" i="8"/>
  <c r="AD19" i="8"/>
  <c r="X19" i="8"/>
  <c r="O19" i="8"/>
  <c r="B34" i="7" l="1"/>
  <c r="E4" i="7"/>
  <c r="E3" i="7"/>
  <c r="M89"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Q4" i="2"/>
  <c r="M4" i="2" s="1"/>
  <c r="Q5" i="2"/>
  <c r="M5" i="2" s="1"/>
  <c r="Q6" i="2"/>
  <c r="M6" i="2" s="1"/>
  <c r="Q7" i="2"/>
  <c r="M7" i="2" s="1"/>
  <c r="Q8" i="2"/>
  <c r="M8" i="2" s="1"/>
  <c r="Q9" i="2"/>
  <c r="M9" i="2" s="1"/>
  <c r="Q10" i="2"/>
  <c r="M10" i="2" s="1"/>
  <c r="Q11" i="2"/>
  <c r="M11" i="2" s="1"/>
  <c r="Q12" i="2"/>
  <c r="M12" i="2" s="1"/>
  <c r="Q13" i="2"/>
  <c r="M13" i="2" s="1"/>
  <c r="Q14" i="2"/>
  <c r="M14" i="2" s="1"/>
  <c r="Q15" i="2"/>
  <c r="M15" i="2" s="1"/>
  <c r="Q16" i="2"/>
  <c r="M16" i="2" s="1"/>
  <c r="Q17" i="2"/>
  <c r="M17" i="2" s="1"/>
  <c r="Q18" i="2"/>
  <c r="M18" i="2" s="1"/>
  <c r="Q19" i="2"/>
  <c r="M19" i="2" s="1"/>
  <c r="Q20" i="2"/>
  <c r="M20" i="2" s="1"/>
  <c r="Q21" i="2"/>
  <c r="M21" i="2" s="1"/>
  <c r="Q22" i="2"/>
  <c r="M22" i="2" s="1"/>
  <c r="Q23" i="2"/>
  <c r="M23" i="2" s="1"/>
  <c r="Q24" i="2"/>
  <c r="M24" i="2" s="1"/>
  <c r="Q25" i="2"/>
  <c r="M25" i="2" s="1"/>
  <c r="Q26" i="2"/>
  <c r="M26" i="2" s="1"/>
  <c r="Q27" i="2"/>
  <c r="M27" i="2" s="1"/>
  <c r="Q28" i="2"/>
  <c r="M28" i="2" s="1"/>
  <c r="Q29" i="2"/>
  <c r="M29" i="2" s="1"/>
  <c r="Q30" i="2"/>
  <c r="M30" i="2" s="1"/>
  <c r="Q31" i="2"/>
  <c r="M31" i="2" s="1"/>
  <c r="Q32" i="2"/>
  <c r="M32" i="2" s="1"/>
  <c r="Q33" i="2"/>
  <c r="M33" i="2" s="1"/>
  <c r="Q34" i="2"/>
  <c r="M34" i="2" s="1"/>
  <c r="Q35" i="2"/>
  <c r="M35" i="2" s="1"/>
  <c r="Q36" i="2"/>
  <c r="M36" i="2" s="1"/>
  <c r="Q37" i="2"/>
  <c r="M37" i="2" s="1"/>
  <c r="Q38" i="2"/>
  <c r="M38" i="2" s="1"/>
  <c r="Q40" i="2"/>
  <c r="M40" i="2" s="1"/>
  <c r="Q41" i="2"/>
  <c r="M41" i="2" s="1"/>
  <c r="Q42" i="2"/>
  <c r="M42" i="2" s="1"/>
  <c r="Q43" i="2"/>
  <c r="M43" i="2" s="1"/>
  <c r="Q44" i="2"/>
  <c r="M44" i="2" s="1"/>
  <c r="Q45" i="2"/>
  <c r="M45" i="2" s="1"/>
  <c r="Q46" i="2"/>
  <c r="M46" i="2" s="1"/>
  <c r="Q47" i="2"/>
  <c r="M47" i="2" s="1"/>
  <c r="Q48" i="2"/>
  <c r="M48" i="2" s="1"/>
  <c r="Q49" i="2"/>
  <c r="M49" i="2" s="1"/>
  <c r="Q50" i="2"/>
  <c r="M50" i="2" s="1"/>
  <c r="Q51" i="2"/>
  <c r="M51" i="2" s="1"/>
  <c r="Q52" i="2"/>
  <c r="M52" i="2" s="1"/>
  <c r="Q53" i="2"/>
  <c r="M53" i="2" s="1"/>
  <c r="Q54" i="2"/>
  <c r="M54" i="2" s="1"/>
  <c r="Q55" i="2"/>
  <c r="M55" i="2" s="1"/>
  <c r="Q56" i="2"/>
  <c r="M56" i="2" s="1"/>
  <c r="Q57" i="2"/>
  <c r="M57" i="2" s="1"/>
  <c r="Q58" i="2"/>
  <c r="M58" i="2" s="1"/>
  <c r="Q59" i="2"/>
  <c r="M59" i="2" s="1"/>
  <c r="Q60" i="2"/>
  <c r="M60" i="2" s="1"/>
  <c r="Q61" i="2"/>
  <c r="M61" i="2" s="1"/>
  <c r="Q62" i="2"/>
  <c r="M62" i="2" s="1"/>
  <c r="Q63" i="2"/>
  <c r="M63" i="2" s="1"/>
  <c r="Q64" i="2"/>
  <c r="M64" i="2" s="1"/>
  <c r="Q65" i="2"/>
  <c r="M65" i="2" s="1"/>
  <c r="Q66" i="2"/>
  <c r="M66" i="2" s="1"/>
  <c r="Q67" i="2"/>
  <c r="M67" i="2" s="1"/>
  <c r="Q68" i="2"/>
  <c r="M68" i="2" s="1"/>
  <c r="Q69" i="2"/>
  <c r="M69" i="2" s="1"/>
  <c r="Q70" i="2"/>
  <c r="M70" i="2" s="1"/>
  <c r="Q71" i="2"/>
  <c r="M71" i="2" s="1"/>
  <c r="Q72" i="2"/>
  <c r="M72" i="2" s="1"/>
  <c r="Q73" i="2"/>
  <c r="M73" i="2" s="1"/>
  <c r="Q74" i="2"/>
  <c r="M74" i="2" s="1"/>
  <c r="Q75" i="2"/>
  <c r="M75" i="2" s="1"/>
  <c r="Q76" i="2"/>
  <c r="M76" i="2" s="1"/>
  <c r="Q77" i="2"/>
  <c r="M77" i="2" s="1"/>
  <c r="Q78" i="2"/>
  <c r="M78" i="2" s="1"/>
  <c r="Q79" i="2"/>
  <c r="M79" i="2" s="1"/>
  <c r="Q80" i="2"/>
  <c r="M80" i="2" s="1"/>
  <c r="Q81" i="2"/>
  <c r="M81" i="2" s="1"/>
  <c r="Q82" i="2"/>
  <c r="M82" i="2" s="1"/>
  <c r="Q83" i="2"/>
  <c r="M83" i="2" s="1"/>
  <c r="Q84" i="2"/>
  <c r="M84" i="2" s="1"/>
  <c r="Q85" i="2"/>
  <c r="M85" i="2" s="1"/>
  <c r="Q86" i="2"/>
  <c r="M86" i="2" s="1"/>
  <c r="Q87" i="2"/>
  <c r="M87" i="2" s="1"/>
  <c r="Q88" i="2"/>
  <c r="M88" i="2" s="1"/>
  <c r="Q90" i="2"/>
  <c r="M90" i="2" s="1"/>
  <c r="Q91" i="2"/>
  <c r="M91" i="2" s="1"/>
  <c r="Q92" i="2"/>
  <c r="M92" i="2" s="1"/>
  <c r="Q3" i="2"/>
  <c r="M3" i="2" s="1"/>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4" i="2"/>
  <c r="C5" i="2"/>
  <c r="N3" i="2"/>
  <c r="O3" i="2"/>
  <c r="L1866" i="5" l="1"/>
  <c r="L1865" i="5"/>
  <c r="H20" i="8"/>
  <c r="D1842" i="5"/>
  <c r="D1059" i="5"/>
  <c r="D1843" i="5"/>
  <c r="D1060" i="5"/>
  <c r="D1061" i="5"/>
  <c r="D1844" i="5"/>
  <c r="D1845" i="5"/>
  <c r="D1846" i="5"/>
  <c r="D1847" i="5"/>
  <c r="D1189" i="5"/>
  <c r="D1110" i="5"/>
  <c r="D1062" i="5"/>
  <c r="D1848" i="5"/>
  <c r="D1849" i="5"/>
  <c r="D1850" i="5"/>
  <c r="I846" i="5" l="1"/>
  <c r="J846" i="5"/>
  <c r="K846" i="5"/>
  <c r="I847" i="5"/>
  <c r="J847" i="5"/>
  <c r="K847" i="5"/>
  <c r="I145" i="5"/>
  <c r="J145" i="5"/>
  <c r="K145" i="5"/>
  <c r="I855" i="5"/>
  <c r="J855" i="5"/>
  <c r="K855" i="5"/>
  <c r="I857" i="5"/>
  <c r="J857" i="5"/>
  <c r="K857" i="5"/>
  <c r="I858" i="5"/>
  <c r="J858" i="5"/>
  <c r="K858" i="5"/>
  <c r="I876" i="5"/>
  <c r="J876" i="5"/>
  <c r="K876" i="5"/>
  <c r="I877" i="5"/>
  <c r="J877" i="5"/>
  <c r="K877" i="5"/>
  <c r="I137" i="5"/>
  <c r="J137" i="5"/>
  <c r="K137" i="5"/>
  <c r="I893" i="5"/>
  <c r="J893" i="5"/>
  <c r="K893" i="5"/>
  <c r="I143" i="5"/>
  <c r="J143" i="5"/>
  <c r="K143" i="5"/>
  <c r="I897" i="5"/>
  <c r="J897" i="5"/>
  <c r="K897" i="5"/>
  <c r="I144" i="5"/>
  <c r="J144" i="5"/>
  <c r="K144" i="5"/>
  <c r="I903" i="5"/>
  <c r="J903" i="5"/>
  <c r="K903" i="5"/>
  <c r="I904" i="5"/>
  <c r="J904" i="5"/>
  <c r="K904" i="5"/>
  <c r="I905" i="5"/>
  <c r="J905" i="5"/>
  <c r="K905" i="5"/>
  <c r="I909" i="5"/>
  <c r="J909" i="5"/>
  <c r="K909" i="5"/>
  <c r="I797" i="5"/>
  <c r="J797" i="5"/>
  <c r="K797" i="5"/>
  <c r="I1081" i="5"/>
  <c r="J1081" i="5"/>
  <c r="K1081" i="5"/>
  <c r="I1082" i="5"/>
  <c r="J1082" i="5"/>
  <c r="K1082" i="5"/>
  <c r="I1083" i="5"/>
  <c r="J1083" i="5"/>
  <c r="K1083" i="5"/>
  <c r="I801" i="5"/>
  <c r="J801" i="5"/>
  <c r="K801" i="5"/>
  <c r="I800" i="5"/>
  <c r="J800" i="5"/>
  <c r="K800" i="5"/>
  <c r="I1097" i="5"/>
  <c r="J1097" i="5"/>
  <c r="K1097" i="5"/>
  <c r="I799" i="5"/>
  <c r="J799" i="5"/>
  <c r="K799" i="5"/>
  <c r="I1098" i="5"/>
  <c r="J1098" i="5"/>
  <c r="K1098" i="5"/>
  <c r="I1110" i="5"/>
  <c r="J1110" i="5"/>
  <c r="K1110" i="5"/>
  <c r="I1129" i="5"/>
  <c r="J1129" i="5"/>
  <c r="K1129" i="5"/>
  <c r="I1130" i="5"/>
  <c r="J1130" i="5"/>
  <c r="K1130" i="5"/>
  <c r="I1144" i="5"/>
  <c r="J1144" i="5"/>
  <c r="K1144" i="5"/>
  <c r="I1180" i="5"/>
  <c r="J1180" i="5"/>
  <c r="K1180" i="5"/>
  <c r="I223" i="5"/>
  <c r="J223" i="5"/>
  <c r="K223" i="5"/>
  <c r="I1201" i="5"/>
  <c r="J1201" i="5"/>
  <c r="K1201" i="5"/>
  <c r="I1222" i="5"/>
  <c r="J1222" i="5"/>
  <c r="K1222" i="5"/>
  <c r="I1233" i="5"/>
  <c r="J1233" i="5"/>
  <c r="K1233" i="5"/>
  <c r="I1855" i="5"/>
  <c r="J1855" i="5"/>
  <c r="K1855" i="5"/>
  <c r="K845" i="5"/>
  <c r="J845" i="5"/>
  <c r="I845" i="5"/>
  <c r="D1841" i="5"/>
  <c r="D1058" i="5"/>
  <c r="D1057" i="5"/>
  <c r="D1840" i="5"/>
  <c r="D1839" i="5"/>
  <c r="D1838" i="5"/>
  <c r="D1056" i="5"/>
  <c r="D1221" i="5"/>
  <c r="D1053" i="5"/>
  <c r="D1835" i="5"/>
  <c r="D1188" i="5"/>
  <c r="D1831" i="5"/>
  <c r="D890" i="5"/>
  <c r="D1052" i="5"/>
  <c r="D1828" i="5"/>
  <c r="D1827" i="5"/>
  <c r="D875" i="5"/>
  <c r="D1826" i="5"/>
  <c r="D1825" i="5"/>
  <c r="D1051" i="5"/>
  <c r="D1824" i="5"/>
  <c r="D1158" i="5"/>
  <c r="D1823" i="5"/>
  <c r="D1820" i="5"/>
  <c r="D1819" i="5"/>
  <c r="D1818" i="5"/>
  <c r="D1049" i="5"/>
  <c r="D905" i="5"/>
  <c r="D1817" i="5"/>
  <c r="D1816" i="5"/>
  <c r="D1815" i="5"/>
  <c r="D1814" i="5"/>
  <c r="D1813" i="5"/>
  <c r="D1812" i="5"/>
  <c r="D883" i="5"/>
  <c r="D1810" i="5"/>
  <c r="D1809" i="5"/>
  <c r="D1808" i="5"/>
  <c r="D1807" i="5"/>
  <c r="D1806" i="5"/>
  <c r="D1804" i="5"/>
  <c r="D1802" i="5"/>
  <c r="D1045" i="5"/>
  <c r="D856" i="5"/>
  <c r="D1044" i="5"/>
  <c r="D1800" i="5"/>
  <c r="D1087" i="5"/>
  <c r="D1043" i="5"/>
  <c r="D1799" i="5"/>
  <c r="D874" i="5"/>
  <c r="D1798" i="5"/>
  <c r="D1219" i="5"/>
  <c r="D1792" i="5"/>
  <c r="D1790" i="5"/>
  <c r="D1789" i="5"/>
  <c r="D1788" i="5"/>
  <c r="D1787" i="5"/>
  <c r="D873" i="5"/>
  <c r="D1786" i="5"/>
  <c r="D1784" i="5"/>
  <c r="D1783" i="5"/>
  <c r="D1780" i="5"/>
  <c r="D1040" i="5"/>
  <c r="D847" i="5"/>
  <c r="D1039" i="5"/>
  <c r="D1157" i="5"/>
  <c r="D1069" i="5"/>
  <c r="D1774" i="5"/>
  <c r="D1771" i="5"/>
  <c r="D1096" i="5"/>
  <c r="D1766" i="5"/>
  <c r="D1765" i="5"/>
  <c r="D1764" i="5"/>
  <c r="D1763" i="5"/>
  <c r="D1762" i="5"/>
  <c r="D872" i="5"/>
  <c r="D1760" i="5"/>
  <c r="D1036" i="5"/>
  <c r="D1753" i="5"/>
  <c r="D1752" i="5"/>
  <c r="D1035" i="5"/>
  <c r="D1034" i="5"/>
  <c r="D1135" i="5"/>
  <c r="D1750" i="5"/>
  <c r="D1032" i="5"/>
  <c r="D895" i="5"/>
  <c r="D855" i="5"/>
  <c r="L855" i="5" s="1"/>
  <c r="D1068" i="5"/>
  <c r="D1749" i="5"/>
  <c r="D1031" i="5"/>
  <c r="D871" i="5"/>
  <c r="D1746" i="5"/>
  <c r="D1742" i="5"/>
  <c r="D1739" i="5"/>
  <c r="D1028" i="5"/>
  <c r="D1738" i="5"/>
  <c r="D1027" i="5"/>
  <c r="D1737" i="5"/>
  <c r="D1026" i="5"/>
  <c r="D1025" i="5"/>
  <c r="D902" i="5"/>
  <c r="D1735" i="5"/>
  <c r="D1733" i="5"/>
  <c r="D1095" i="5"/>
  <c r="D1094" i="5"/>
  <c r="D1024" i="5"/>
  <c r="D1725" i="5"/>
  <c r="D876" i="5"/>
  <c r="D1723" i="5"/>
  <c r="D1082" i="5"/>
  <c r="D1023" i="5"/>
  <c r="D1125" i="5"/>
  <c r="D1022" i="5"/>
  <c r="D1852" i="5"/>
  <c r="D1721" i="5"/>
  <c r="D1720" i="5"/>
  <c r="D1715" i="5"/>
  <c r="D1712" i="5"/>
  <c r="D1711" i="5"/>
  <c r="D1710" i="5"/>
  <c r="D1707" i="5"/>
  <c r="D870" i="5"/>
  <c r="D1021" i="5"/>
  <c r="D1706" i="5"/>
  <c r="D1705" i="5"/>
  <c r="D1704" i="5"/>
  <c r="D1703" i="5"/>
  <c r="D1149" i="5"/>
  <c r="D1702" i="5"/>
  <c r="D1701" i="5"/>
  <c r="D1019" i="5"/>
  <c r="D1699" i="5"/>
  <c r="D1698" i="5"/>
  <c r="D1203" i="5"/>
  <c r="D1018" i="5"/>
  <c r="D1017" i="5"/>
  <c r="D1100" i="5"/>
  <c r="D1693" i="5"/>
  <c r="D1692" i="5"/>
  <c r="D1689" i="5"/>
  <c r="D1687" i="5"/>
  <c r="D1686" i="5"/>
  <c r="D1684" i="5"/>
  <c r="D1683" i="5"/>
  <c r="D1682" i="5"/>
  <c r="D1679" i="5"/>
  <c r="D1678" i="5"/>
  <c r="D1676" i="5"/>
  <c r="D1675" i="5"/>
  <c r="D1674" i="5"/>
  <c r="D1673" i="5"/>
  <c r="D1672" i="5"/>
  <c r="D1671" i="5"/>
  <c r="D1670" i="5"/>
  <c r="D1669" i="5"/>
  <c r="D1668" i="5"/>
  <c r="D1667" i="5"/>
  <c r="D1665" i="5"/>
  <c r="D1664" i="5"/>
  <c r="D1663" i="5"/>
  <c r="D1662" i="5"/>
  <c r="D1661" i="5"/>
  <c r="D1660" i="5"/>
  <c r="D1659" i="5"/>
  <c r="D1657" i="5"/>
  <c r="D1012" i="5"/>
  <c r="D1656" i="5"/>
  <c r="D1654" i="5"/>
  <c r="D1653" i="5"/>
  <c r="D1652" i="5"/>
  <c r="D1651" i="5"/>
  <c r="D1650" i="5"/>
  <c r="D1187" i="5"/>
  <c r="D1649" i="5"/>
  <c r="D1648" i="5"/>
  <c r="D1647" i="5"/>
  <c r="D1646" i="5"/>
  <c r="D882" i="5"/>
  <c r="D1195" i="5"/>
  <c r="D1645" i="5"/>
  <c r="D1644" i="5"/>
  <c r="D1643" i="5"/>
  <c r="D1642" i="5"/>
  <c r="D1640" i="5"/>
  <c r="D1638" i="5"/>
  <c r="D1637" i="5"/>
  <c r="D1636" i="5"/>
  <c r="D1635" i="5"/>
  <c r="D1634" i="5"/>
  <c r="D1633" i="5"/>
  <c r="D1632" i="5"/>
  <c r="D1628" i="5"/>
  <c r="D1627" i="5"/>
  <c r="D1073" i="5"/>
  <c r="D1222" i="5"/>
  <c r="D1122" i="5"/>
  <c r="D1099" i="5"/>
  <c r="D1004" i="5"/>
  <c r="D1193" i="5"/>
  <c r="D1622" i="5"/>
  <c r="D1003" i="5"/>
  <c r="D1621" i="5"/>
  <c r="D1620" i="5"/>
  <c r="D854" i="5"/>
  <c r="D1617" i="5"/>
  <c r="D1176" i="5"/>
  <c r="D1615" i="5"/>
  <c r="D1614" i="5"/>
  <c r="D1613" i="5"/>
  <c r="D1612" i="5"/>
  <c r="D1610" i="5"/>
  <c r="D1606" i="5"/>
  <c r="D1604" i="5"/>
  <c r="D1166" i="5"/>
  <c r="D1602" i="5"/>
  <c r="D1228" i="5"/>
  <c r="D1600" i="5"/>
  <c r="D999" i="5"/>
  <c r="D1597" i="5"/>
  <c r="D846" i="5"/>
  <c r="D1596" i="5"/>
  <c r="D1139" i="5"/>
  <c r="D1120" i="5"/>
  <c r="D1595" i="5"/>
  <c r="D1093" i="5"/>
  <c r="D1592" i="5"/>
  <c r="D1854" i="5"/>
  <c r="D1591" i="5"/>
  <c r="D995" i="5"/>
  <c r="D1226" i="5"/>
  <c r="D1173" i="5"/>
  <c r="D1117" i="5"/>
  <c r="D981" i="5"/>
  <c r="D979" i="5"/>
  <c r="D978" i="5"/>
  <c r="D977" i="5"/>
  <c r="D1584" i="5"/>
  <c r="D1217" i="5"/>
  <c r="D1853" i="5"/>
  <c r="D1582" i="5"/>
  <c r="D976" i="5"/>
  <c r="D1132" i="5"/>
  <c r="D1165" i="5"/>
  <c r="D975" i="5"/>
  <c r="D1171" i="5"/>
  <c r="D1077" i="5"/>
  <c r="D1163" i="5"/>
  <c r="D1141" i="5"/>
  <c r="D1577" i="5"/>
  <c r="D1574" i="5"/>
  <c r="D1107" i="5"/>
  <c r="D1573" i="5"/>
  <c r="D1572" i="5"/>
  <c r="D1066" i="5"/>
  <c r="D1571" i="5"/>
  <c r="D1570" i="5"/>
  <c r="D1190" i="5"/>
  <c r="D1233" i="5"/>
  <c r="D1569" i="5"/>
  <c r="D1115" i="5"/>
  <c r="D1567" i="5"/>
  <c r="D1566" i="5"/>
  <c r="D1565" i="5"/>
  <c r="D972" i="5"/>
  <c r="D1564" i="5"/>
  <c r="D1232" i="5"/>
  <c r="D969" i="5"/>
  <c r="D1558" i="5"/>
  <c r="D967" i="5"/>
  <c r="D966" i="5"/>
  <c r="D1554" i="5"/>
  <c r="D962" i="5"/>
  <c r="D961" i="5"/>
  <c r="D1192" i="5"/>
  <c r="D959" i="5"/>
  <c r="D956" i="5"/>
  <c r="D1114" i="5"/>
  <c r="D954" i="5"/>
  <c r="D849" i="5"/>
  <c r="D1211" i="5"/>
  <c r="D1550" i="5"/>
  <c r="D1549" i="5"/>
  <c r="D1209" i="5"/>
  <c r="D946" i="5"/>
  <c r="D943" i="5"/>
  <c r="D1200" i="5"/>
  <c r="D940" i="5"/>
  <c r="D1547" i="5"/>
  <c r="D1544" i="5"/>
  <c r="D1063" i="5"/>
  <c r="D938" i="5"/>
  <c r="D937" i="5"/>
  <c r="D936" i="5"/>
  <c r="D1541" i="5"/>
  <c r="D1539" i="5"/>
  <c r="D1538" i="5"/>
  <c r="D1537" i="5"/>
  <c r="D935" i="5"/>
  <c r="D1534" i="5"/>
  <c r="D1533" i="5"/>
  <c r="D934" i="5"/>
  <c r="D1531" i="5"/>
  <c r="D1155" i="5"/>
  <c r="D1529" i="5"/>
  <c r="D1528" i="5"/>
  <c r="D1525" i="5"/>
  <c r="D1524" i="5"/>
  <c r="D1523" i="5"/>
  <c r="D1521" i="5"/>
  <c r="D904" i="5"/>
  <c r="D933" i="5"/>
  <c r="D1519" i="5"/>
  <c r="D1516" i="5"/>
  <c r="D1513" i="5"/>
  <c r="D868" i="5"/>
  <c r="D1511" i="5"/>
  <c r="D1510" i="5"/>
  <c r="D1509" i="5"/>
  <c r="D1508" i="5"/>
  <c r="D1507" i="5"/>
  <c r="D1504" i="5"/>
  <c r="D867" i="5"/>
  <c r="D1503" i="5"/>
  <c r="D1502" i="5"/>
  <c r="D1500" i="5"/>
  <c r="D1498" i="5"/>
  <c r="D1495" i="5"/>
  <c r="D932" i="5"/>
  <c r="D1494" i="5"/>
  <c r="D1493" i="5"/>
  <c r="D1492" i="5"/>
  <c r="D1491" i="5"/>
  <c r="D1490" i="5"/>
  <c r="D1489" i="5"/>
  <c r="D866" i="5"/>
  <c r="D1488" i="5"/>
  <c r="D908" i="5"/>
  <c r="D1486" i="5"/>
  <c r="D930" i="5"/>
  <c r="D929" i="5"/>
  <c r="D1483" i="5"/>
  <c r="D1482" i="5"/>
  <c r="D1105" i="5"/>
  <c r="D1481" i="5"/>
  <c r="D1098" i="5"/>
  <c r="L1098" i="5" s="1"/>
  <c r="D1478" i="5"/>
  <c r="D897" i="5"/>
  <c r="L897" i="5" s="1"/>
  <c r="D928" i="5"/>
  <c r="D1476" i="5"/>
  <c r="D1475" i="5"/>
  <c r="D1144" i="5"/>
  <c r="D1473" i="5"/>
  <c r="D1471" i="5"/>
  <c r="D1470" i="5"/>
  <c r="D1468" i="5"/>
  <c r="D927" i="5"/>
  <c r="D1465" i="5"/>
  <c r="D1461" i="5"/>
  <c r="D887" i="5"/>
  <c r="D1460" i="5"/>
  <c r="D896" i="5"/>
  <c r="D1459" i="5"/>
  <c r="D1458" i="5"/>
  <c r="D1147" i="5"/>
  <c r="D1456" i="5"/>
  <c r="D1455" i="5"/>
  <c r="D1454" i="5"/>
  <c r="D1453" i="5"/>
  <c r="D1153" i="5"/>
  <c r="D1450" i="5"/>
  <c r="D1449" i="5"/>
  <c r="D1448" i="5"/>
  <c r="D1145" i="5"/>
  <c r="D1207" i="5"/>
  <c r="D926" i="5"/>
  <c r="D1443" i="5"/>
  <c r="D1442" i="5"/>
  <c r="D1441" i="5"/>
  <c r="D1439" i="5"/>
  <c r="D1152" i="5"/>
  <c r="D1438" i="5"/>
  <c r="D1437" i="5"/>
  <c r="D1436" i="5"/>
  <c r="D1435" i="5"/>
  <c r="D1433" i="5"/>
  <c r="D1432" i="5"/>
  <c r="D1430" i="5"/>
  <c r="D925" i="5"/>
  <c r="D1428" i="5"/>
  <c r="D864" i="5"/>
  <c r="D1427" i="5"/>
  <c r="D1426" i="5"/>
  <c r="D924" i="5"/>
  <c r="D1424" i="5"/>
  <c r="D1423" i="5"/>
  <c r="D1225" i="5"/>
  <c r="D1422" i="5"/>
  <c r="D1420" i="5"/>
  <c r="D863" i="5"/>
  <c r="D1224" i="5"/>
  <c r="D1417" i="5"/>
  <c r="D1416" i="5"/>
  <c r="D922" i="5"/>
  <c r="D1415" i="5"/>
  <c r="D1414" i="5"/>
  <c r="D1070" i="5"/>
  <c r="D1412" i="5"/>
  <c r="D1410" i="5"/>
  <c r="D1091" i="5"/>
  <c r="D1408" i="5"/>
  <c r="D1407" i="5"/>
  <c r="D862" i="5"/>
  <c r="D907" i="5"/>
  <c r="D1404" i="5"/>
  <c r="D1402" i="5"/>
  <c r="D1401" i="5"/>
  <c r="D1399" i="5"/>
  <c r="D1398" i="5"/>
  <c r="D1397" i="5"/>
  <c r="D1396" i="5"/>
  <c r="D1395" i="5"/>
  <c r="D1394" i="5"/>
  <c r="D1392" i="5"/>
  <c r="D1391" i="5"/>
  <c r="D1390" i="5"/>
  <c r="D1389" i="5"/>
  <c r="D1160" i="5"/>
  <c r="D1386" i="5"/>
  <c r="D920" i="5"/>
  <c r="D1383" i="5"/>
  <c r="D861" i="5"/>
  <c r="D1382" i="5"/>
  <c r="D1381" i="5"/>
  <c r="D919" i="5"/>
  <c r="D1380" i="5"/>
  <c r="D1379" i="5"/>
  <c r="D1378" i="5"/>
  <c r="D1376" i="5"/>
  <c r="D1375" i="5"/>
  <c r="D1230" i="5"/>
  <c r="D1374" i="5"/>
  <c r="D1373" i="5"/>
  <c r="D1372" i="5"/>
  <c r="D1371" i="5"/>
  <c r="D1370" i="5"/>
  <c r="D1369" i="5"/>
  <c r="D1367" i="5"/>
  <c r="D1366" i="5"/>
  <c r="D1364" i="5"/>
  <c r="D918" i="5"/>
  <c r="D1363" i="5"/>
  <c r="D917" i="5"/>
  <c r="D1137" i="5"/>
  <c r="D1362" i="5"/>
  <c r="D1361" i="5"/>
  <c r="D1360" i="5"/>
  <c r="D1358" i="5"/>
  <c r="D1357" i="5"/>
  <c r="D1356" i="5"/>
  <c r="D1353" i="5"/>
  <c r="D1351" i="5"/>
  <c r="D1350" i="5"/>
  <c r="D1199" i="5"/>
  <c r="D1345" i="5"/>
  <c r="D1344" i="5"/>
  <c r="D1343" i="5"/>
  <c r="D1342" i="5"/>
  <c r="D1341" i="5"/>
  <c r="D1168" i="5"/>
  <c r="D1340" i="5"/>
  <c r="D1339" i="5"/>
  <c r="D1338" i="5"/>
  <c r="D1337" i="5"/>
  <c r="D1335" i="5"/>
  <c r="D1333" i="5"/>
  <c r="D1331" i="5"/>
  <c r="D1330" i="5"/>
  <c r="D1329" i="5"/>
  <c r="D1328" i="5"/>
  <c r="D916" i="5"/>
  <c r="D1325" i="5"/>
  <c r="D1324" i="5"/>
  <c r="D1323" i="5"/>
  <c r="D880" i="5"/>
  <c r="D1322" i="5"/>
  <c r="D1321" i="5"/>
  <c r="D1319" i="5"/>
  <c r="D1317" i="5"/>
  <c r="D1315" i="5"/>
  <c r="D1197" i="5"/>
  <c r="D1313" i="5"/>
  <c r="D879" i="5"/>
  <c r="D1312" i="5"/>
  <c r="D1310" i="5"/>
  <c r="D1309" i="5"/>
  <c r="D1090" i="5"/>
  <c r="D1308" i="5"/>
  <c r="D1307" i="5"/>
  <c r="D1306" i="5"/>
  <c r="D1305" i="5"/>
  <c r="D1089" i="5"/>
  <c r="D1304" i="5"/>
  <c r="D1303" i="5"/>
  <c r="D1302" i="5"/>
  <c r="D1301" i="5"/>
  <c r="D1300" i="5"/>
  <c r="D1299" i="5"/>
  <c r="D1298" i="5"/>
  <c r="D1297" i="5"/>
  <c r="D1293" i="5"/>
  <c r="D1202" i="5"/>
  <c r="D1292" i="5"/>
  <c r="D1291" i="5"/>
  <c r="D1290" i="5"/>
  <c r="D1289" i="5"/>
  <c r="D1287" i="5"/>
  <c r="D886" i="5"/>
  <c r="D1285" i="5"/>
  <c r="D1206" i="5"/>
  <c r="D1284" i="5"/>
  <c r="D1205" i="5"/>
  <c r="D1283" i="5"/>
  <c r="D1282" i="5"/>
  <c r="D1281" i="5"/>
  <c r="D1280" i="5"/>
  <c r="D1278" i="5"/>
  <c r="D1277" i="5"/>
  <c r="D1088" i="5"/>
  <c r="D1276" i="5"/>
  <c r="D1275" i="5"/>
  <c r="D1274" i="5"/>
  <c r="D1273" i="5"/>
  <c r="D1272" i="5"/>
  <c r="D1271" i="5"/>
  <c r="D1270" i="5"/>
  <c r="D1269" i="5"/>
  <c r="D1268" i="5"/>
  <c r="D1267" i="5"/>
  <c r="D1266" i="5"/>
  <c r="D1265" i="5"/>
  <c r="D1264" i="5"/>
  <c r="D1223" i="5"/>
  <c r="D1263" i="5"/>
  <c r="D860" i="5"/>
  <c r="D1262" i="5"/>
  <c r="D1261" i="5"/>
  <c r="D1128" i="5"/>
  <c r="D1260" i="5"/>
  <c r="D1159" i="5"/>
  <c r="D878" i="5"/>
  <c r="D1259" i="5"/>
  <c r="D1204" i="5"/>
  <c r="D1258" i="5"/>
  <c r="D1257" i="5"/>
  <c r="D1182" i="5"/>
  <c r="D1256" i="5"/>
  <c r="D1255" i="5"/>
  <c r="D1254" i="5"/>
  <c r="D859" i="5"/>
  <c r="D1253" i="5"/>
  <c r="D1252" i="5"/>
  <c r="D1251" i="5"/>
  <c r="D915" i="5"/>
  <c r="D1250" i="5"/>
  <c r="D914" i="5"/>
  <c r="D1249" i="5"/>
  <c r="D900" i="5"/>
  <c r="D1248" i="5"/>
  <c r="D1247" i="5"/>
  <c r="D1246" i="5"/>
  <c r="D913" i="5"/>
  <c r="D1245" i="5"/>
  <c r="D1244" i="5"/>
  <c r="D1243" i="5"/>
  <c r="D1136" i="5"/>
  <c r="D1150" i="5"/>
  <c r="D1242" i="5"/>
  <c r="D1241" i="5"/>
  <c r="D1240" i="5"/>
  <c r="D1239" i="5"/>
  <c r="D912" i="5"/>
  <c r="D911" i="5"/>
  <c r="D1181" i="5"/>
  <c r="D1196" i="5"/>
  <c r="D1238" i="5"/>
  <c r="D1237" i="5"/>
  <c r="D1236" i="5"/>
  <c r="D906" i="5"/>
  <c r="D1140" i="5"/>
  <c r="D1229" i="5"/>
  <c r="D909" i="5"/>
  <c r="D1235" i="5"/>
  <c r="D1111" i="5"/>
  <c r="D1234" i="5"/>
  <c r="D891" i="5"/>
  <c r="D910" i="5"/>
  <c r="L905" i="5" l="1"/>
  <c r="L846" i="5"/>
  <c r="L909" i="5"/>
  <c r="L1110" i="5"/>
  <c r="L1082" i="5"/>
  <c r="L847" i="5"/>
  <c r="L1144" i="5"/>
  <c r="L1222" i="5"/>
  <c r="L904" i="5"/>
  <c r="L1233" i="5"/>
  <c r="L876" i="5"/>
  <c r="K1851" i="5"/>
  <c r="K1852" i="5"/>
  <c r="J1321" i="5"/>
  <c r="J1325" i="5"/>
  <c r="J1329" i="5"/>
  <c r="J1333" i="5"/>
  <c r="J1337" i="5"/>
  <c r="J1341" i="5"/>
  <c r="J1345" i="5"/>
  <c r="J1349" i="5"/>
  <c r="J1353" i="5"/>
  <c r="J1357" i="5"/>
  <c r="J1361" i="5"/>
  <c r="J1365" i="5"/>
  <c r="J1369" i="5"/>
  <c r="J1373" i="5"/>
  <c r="J1377" i="5"/>
  <c r="J1381" i="5"/>
  <c r="J1385" i="5"/>
  <c r="J1389" i="5"/>
  <c r="J1393" i="5"/>
  <c r="J1397" i="5"/>
  <c r="J1401" i="5"/>
  <c r="J1405" i="5"/>
  <c r="J1409" i="5"/>
  <c r="J1413" i="5"/>
  <c r="J1417" i="5"/>
  <c r="J1421" i="5"/>
  <c r="J1425" i="5"/>
  <c r="J1429" i="5"/>
  <c r="J1433" i="5"/>
  <c r="J1437" i="5"/>
  <c r="J1441" i="5"/>
  <c r="J1445" i="5"/>
  <c r="J1449" i="5"/>
  <c r="J1453" i="5"/>
  <c r="J1457" i="5"/>
  <c r="J1461" i="5"/>
  <c r="J1465" i="5"/>
  <c r="J1469" i="5"/>
  <c r="J1473" i="5"/>
  <c r="J1477" i="5"/>
  <c r="J1481" i="5"/>
  <c r="J1485" i="5"/>
  <c r="J1489" i="5"/>
  <c r="J1493" i="5"/>
  <c r="J1497" i="5"/>
  <c r="J1501" i="5"/>
  <c r="J1505" i="5"/>
  <c r="J1509" i="5"/>
  <c r="J1513" i="5"/>
  <c r="J1235" i="5"/>
  <c r="J1237" i="5"/>
  <c r="J1239" i="5"/>
  <c r="J1241" i="5"/>
  <c r="J1243" i="5"/>
  <c r="J1245" i="5"/>
  <c r="J1247" i="5"/>
  <c r="J1249" i="5"/>
  <c r="J1251" i="5"/>
  <c r="J1253" i="5"/>
  <c r="J1255" i="5"/>
  <c r="J1257" i="5"/>
  <c r="J1259" i="5"/>
  <c r="J1261" i="5"/>
  <c r="J1263" i="5"/>
  <c r="J1265" i="5"/>
  <c r="J1267" i="5"/>
  <c r="J1269" i="5"/>
  <c r="J1271" i="5"/>
  <c r="J1273" i="5"/>
  <c r="J1275" i="5"/>
  <c r="J1277" i="5"/>
  <c r="J1279" i="5"/>
  <c r="J1281" i="5"/>
  <c r="J1283" i="5"/>
  <c r="J1285" i="5"/>
  <c r="J1287" i="5"/>
  <c r="J1289" i="5"/>
  <c r="J1291" i="5"/>
  <c r="J1293" i="5"/>
  <c r="J1295" i="5"/>
  <c r="J1297" i="5"/>
  <c r="J1299" i="5"/>
  <c r="J1301" i="5"/>
  <c r="J1303" i="5"/>
  <c r="J1305" i="5"/>
  <c r="J1307" i="5"/>
  <c r="J1309" i="5"/>
  <c r="J1311" i="5"/>
  <c r="J1313" i="5"/>
  <c r="J1315" i="5"/>
  <c r="J1317" i="5"/>
  <c r="J1320" i="5"/>
  <c r="J1324" i="5"/>
  <c r="J1328" i="5"/>
  <c r="J1332" i="5"/>
  <c r="J1336" i="5"/>
  <c r="J1340" i="5"/>
  <c r="J1344" i="5"/>
  <c r="J1348" i="5"/>
  <c r="J1352" i="5"/>
  <c r="J1356" i="5"/>
  <c r="J1360" i="5"/>
  <c r="J1364" i="5"/>
  <c r="J1368" i="5"/>
  <c r="J1372" i="5"/>
  <c r="J1376" i="5"/>
  <c r="J1380" i="5"/>
  <c r="J1384" i="5"/>
  <c r="J1388" i="5"/>
  <c r="J1392" i="5"/>
  <c r="J1396" i="5"/>
  <c r="J1400" i="5"/>
  <c r="J1404" i="5"/>
  <c r="J1408" i="5"/>
  <c r="J1412" i="5"/>
  <c r="J1416" i="5"/>
  <c r="J1420" i="5"/>
  <c r="J1424" i="5"/>
  <c r="J1428" i="5"/>
  <c r="J1432" i="5"/>
  <c r="J1436" i="5"/>
  <c r="J1440" i="5"/>
  <c r="J1444" i="5"/>
  <c r="J1448" i="5"/>
  <c r="J1452" i="5"/>
  <c r="J1456" i="5"/>
  <c r="J1460" i="5"/>
  <c r="J1464" i="5"/>
  <c r="J1468" i="5"/>
  <c r="J1472" i="5"/>
  <c r="J1476" i="5"/>
  <c r="J1480" i="5"/>
  <c r="J1484" i="5"/>
  <c r="J1488" i="5"/>
  <c r="J1492" i="5"/>
  <c r="J1496" i="5"/>
  <c r="J1500" i="5"/>
  <c r="J1504" i="5"/>
  <c r="J1508" i="5"/>
  <c r="J1512" i="5"/>
  <c r="J1319" i="5"/>
  <c r="J1323" i="5"/>
  <c r="J1327" i="5"/>
  <c r="J1331" i="5"/>
  <c r="J1335" i="5"/>
  <c r="J1339" i="5"/>
  <c r="J1343" i="5"/>
  <c r="J1347" i="5"/>
  <c r="J1351" i="5"/>
  <c r="J1355" i="5"/>
  <c r="J1359" i="5"/>
  <c r="J1363" i="5"/>
  <c r="J1367" i="5"/>
  <c r="J1371" i="5"/>
  <c r="J1375" i="5"/>
  <c r="J1379" i="5"/>
  <c r="J1383" i="5"/>
  <c r="J1387" i="5"/>
  <c r="J1391" i="5"/>
  <c r="J1395" i="5"/>
  <c r="J1399" i="5"/>
  <c r="J1403" i="5"/>
  <c r="J1407" i="5"/>
  <c r="J1411" i="5"/>
  <c r="J1415" i="5"/>
  <c r="J1419" i="5"/>
  <c r="J1423" i="5"/>
  <c r="J1427" i="5"/>
  <c r="J1431" i="5"/>
  <c r="J1435" i="5"/>
  <c r="J1439" i="5"/>
  <c r="J1443" i="5"/>
  <c r="J1447" i="5"/>
  <c r="J1451" i="5"/>
  <c r="J1455" i="5"/>
  <c r="J1459" i="5"/>
  <c r="J1463" i="5"/>
  <c r="J1467" i="5"/>
  <c r="J1471" i="5"/>
  <c r="J1475" i="5"/>
  <c r="J1479" i="5"/>
  <c r="J1483" i="5"/>
  <c r="J1487" i="5"/>
  <c r="J1491" i="5"/>
  <c r="J1495" i="5"/>
  <c r="J1499" i="5"/>
  <c r="J1503" i="5"/>
  <c r="J1507" i="5"/>
  <c r="J1511" i="5"/>
  <c r="J1236" i="5"/>
  <c r="J1244" i="5"/>
  <c r="J1252" i="5"/>
  <c r="J1260" i="5"/>
  <c r="J1268" i="5"/>
  <c r="J1276" i="5"/>
  <c r="J1284" i="5"/>
  <c r="J1292" i="5"/>
  <c r="J1300" i="5"/>
  <c r="J1308" i="5"/>
  <c r="J1316" i="5"/>
  <c r="J1322" i="5"/>
  <c r="J1338" i="5"/>
  <c r="J1354" i="5"/>
  <c r="J1370" i="5"/>
  <c r="J1386" i="5"/>
  <c r="J1402" i="5"/>
  <c r="J1418" i="5"/>
  <c r="J1434" i="5"/>
  <c r="J1450" i="5"/>
  <c r="J1466" i="5"/>
  <c r="J1482" i="5"/>
  <c r="J1498" i="5"/>
  <c r="J1514" i="5"/>
  <c r="J1518" i="5"/>
  <c r="J1522" i="5"/>
  <c r="J1526" i="5"/>
  <c r="J1530" i="5"/>
  <c r="J1534" i="5"/>
  <c r="J1538" i="5"/>
  <c r="J1542" i="5"/>
  <c r="J1546" i="5"/>
  <c r="J1550" i="5"/>
  <c r="J1554" i="5"/>
  <c r="J1558" i="5"/>
  <c r="J1562" i="5"/>
  <c r="J1566" i="5"/>
  <c r="J1570" i="5"/>
  <c r="J1574" i="5"/>
  <c r="J1578" i="5"/>
  <c r="J1582" i="5"/>
  <c r="J1586" i="5"/>
  <c r="J1590" i="5"/>
  <c r="J1594" i="5"/>
  <c r="J1598" i="5"/>
  <c r="J1602" i="5"/>
  <c r="J1606" i="5"/>
  <c r="J1610" i="5"/>
  <c r="J1614" i="5"/>
  <c r="J1618" i="5"/>
  <c r="J1622" i="5"/>
  <c r="J1626" i="5"/>
  <c r="J1630" i="5"/>
  <c r="J1634" i="5"/>
  <c r="J1638" i="5"/>
  <c r="J1642" i="5"/>
  <c r="J1646" i="5"/>
  <c r="J1650" i="5"/>
  <c r="J1654" i="5"/>
  <c r="J1658" i="5"/>
  <c r="J1662" i="5"/>
  <c r="J1666" i="5"/>
  <c r="J1670" i="5"/>
  <c r="J1674" i="5"/>
  <c r="J1678" i="5"/>
  <c r="J1682" i="5"/>
  <c r="J1686" i="5"/>
  <c r="J1690" i="5"/>
  <c r="J1694" i="5"/>
  <c r="J1698" i="5"/>
  <c r="J1702" i="5"/>
  <c r="J1706" i="5"/>
  <c r="J1710" i="5"/>
  <c r="J1714" i="5"/>
  <c r="J1718" i="5"/>
  <c r="J1722" i="5"/>
  <c r="J1726" i="5"/>
  <c r="J1730" i="5"/>
  <c r="J1734" i="5"/>
  <c r="J1738" i="5"/>
  <c r="J1742" i="5"/>
  <c r="J1746" i="5"/>
  <c r="J1750" i="5"/>
  <c r="J1754" i="5"/>
  <c r="J1758" i="5"/>
  <c r="J1762" i="5"/>
  <c r="J1766" i="5"/>
  <c r="J1770" i="5"/>
  <c r="J1774" i="5"/>
  <c r="J1778" i="5"/>
  <c r="J1782" i="5"/>
  <c r="J1786" i="5"/>
  <c r="J1790" i="5"/>
  <c r="J1794" i="5"/>
  <c r="J1798" i="5"/>
  <c r="J1802" i="5"/>
  <c r="J1806" i="5"/>
  <c r="J1810" i="5"/>
  <c r="J1814" i="5"/>
  <c r="J1818" i="5"/>
  <c r="J1822" i="5"/>
  <c r="J1826" i="5"/>
  <c r="J1830" i="5"/>
  <c r="J1834" i="5"/>
  <c r="J1838" i="5"/>
  <c r="J1842" i="5"/>
  <c r="J1846" i="5"/>
  <c r="J1850" i="5"/>
  <c r="J1800" i="5"/>
  <c r="J1812" i="5"/>
  <c r="J1820" i="5"/>
  <c r="J1828" i="5"/>
  <c r="J1836" i="5"/>
  <c r="J1844" i="5"/>
  <c r="J1242" i="5"/>
  <c r="J1258" i="5"/>
  <c r="J1274" i="5"/>
  <c r="J1290" i="5"/>
  <c r="J1306" i="5"/>
  <c r="J1342" i="5"/>
  <c r="J1374" i="5"/>
  <c r="J1406" i="5"/>
  <c r="J1438" i="5"/>
  <c r="J1470" i="5"/>
  <c r="J1502" i="5"/>
  <c r="J1521" i="5"/>
  <c r="J1529" i="5"/>
  <c r="J1537" i="5"/>
  <c r="J1545" i="5"/>
  <c r="J1553" i="5"/>
  <c r="J1561" i="5"/>
  <c r="J1569" i="5"/>
  <c r="J1577" i="5"/>
  <c r="J1585" i="5"/>
  <c r="J1593" i="5"/>
  <c r="J1601" i="5"/>
  <c r="J1609" i="5"/>
  <c r="J1617" i="5"/>
  <c r="J1625" i="5"/>
  <c r="J1633" i="5"/>
  <c r="J1641" i="5"/>
  <c r="J1649" i="5"/>
  <c r="J1657" i="5"/>
  <c r="J1665" i="5"/>
  <c r="J1673" i="5"/>
  <c r="J1681" i="5"/>
  <c r="J1689" i="5"/>
  <c r="J1697" i="5"/>
  <c r="J1705" i="5"/>
  <c r="J1713" i="5"/>
  <c r="J1721" i="5"/>
  <c r="J1729" i="5"/>
  <c r="J1737" i="5"/>
  <c r="J1745" i="5"/>
  <c r="J1753" i="5"/>
  <c r="J1761" i="5"/>
  <c r="J1769" i="5"/>
  <c r="J1777" i="5"/>
  <c r="J1785" i="5"/>
  <c r="J1793" i="5"/>
  <c r="J1801" i="5"/>
  <c r="J1809" i="5"/>
  <c r="J1817" i="5"/>
  <c r="J1825" i="5"/>
  <c r="J1833" i="5"/>
  <c r="J1841" i="5"/>
  <c r="J1849" i="5"/>
  <c r="J1238" i="5"/>
  <c r="J1246" i="5"/>
  <c r="J1254" i="5"/>
  <c r="J1262" i="5"/>
  <c r="J1270" i="5"/>
  <c r="J1278" i="5"/>
  <c r="J1286" i="5"/>
  <c r="J1294" i="5"/>
  <c r="J1302" i="5"/>
  <c r="J1310" i="5"/>
  <c r="J1318" i="5"/>
  <c r="J1334" i="5"/>
  <c r="J1350" i="5"/>
  <c r="J1366" i="5"/>
  <c r="J1382" i="5"/>
  <c r="J1398" i="5"/>
  <c r="J1414" i="5"/>
  <c r="J1430" i="5"/>
  <c r="J1446" i="5"/>
  <c r="J1462" i="5"/>
  <c r="J1478" i="5"/>
  <c r="J1494" i="5"/>
  <c r="J1510" i="5"/>
  <c r="J1515" i="5"/>
  <c r="J1519" i="5"/>
  <c r="J1523" i="5"/>
  <c r="J1527" i="5"/>
  <c r="J1531" i="5"/>
  <c r="J1535" i="5"/>
  <c r="J1539" i="5"/>
  <c r="J1543" i="5"/>
  <c r="J1547" i="5"/>
  <c r="J1551" i="5"/>
  <c r="J1555" i="5"/>
  <c r="J1559" i="5"/>
  <c r="J1563" i="5"/>
  <c r="J1567" i="5"/>
  <c r="J1571" i="5"/>
  <c r="J1575" i="5"/>
  <c r="J1579" i="5"/>
  <c r="J1583" i="5"/>
  <c r="J1587" i="5"/>
  <c r="J1591" i="5"/>
  <c r="J1595" i="5"/>
  <c r="J1599" i="5"/>
  <c r="J1603" i="5"/>
  <c r="J1607" i="5"/>
  <c r="J1611" i="5"/>
  <c r="J1615" i="5"/>
  <c r="J1619" i="5"/>
  <c r="J1623" i="5"/>
  <c r="J1627" i="5"/>
  <c r="J1631" i="5"/>
  <c r="J1635" i="5"/>
  <c r="J1639" i="5"/>
  <c r="J1643" i="5"/>
  <c r="J1647" i="5"/>
  <c r="J1651" i="5"/>
  <c r="J1655" i="5"/>
  <c r="J1659" i="5"/>
  <c r="J1663" i="5"/>
  <c r="J1667" i="5"/>
  <c r="J1671" i="5"/>
  <c r="J1675" i="5"/>
  <c r="J1679" i="5"/>
  <c r="J1683" i="5"/>
  <c r="J1687" i="5"/>
  <c r="J1691" i="5"/>
  <c r="J1695" i="5"/>
  <c r="J1699" i="5"/>
  <c r="J1703" i="5"/>
  <c r="J1707" i="5"/>
  <c r="J1711" i="5"/>
  <c r="J1715" i="5"/>
  <c r="J1719" i="5"/>
  <c r="J1723" i="5"/>
  <c r="J1727" i="5"/>
  <c r="J1731" i="5"/>
  <c r="J1735" i="5"/>
  <c r="J1739" i="5"/>
  <c r="J1743" i="5"/>
  <c r="J1747" i="5"/>
  <c r="J1751" i="5"/>
  <c r="J1755" i="5"/>
  <c r="J1759" i="5"/>
  <c r="J1763" i="5"/>
  <c r="J1767" i="5"/>
  <c r="J1771" i="5"/>
  <c r="J1775" i="5"/>
  <c r="J1779" i="5"/>
  <c r="J1783" i="5"/>
  <c r="J1787" i="5"/>
  <c r="J1791" i="5"/>
  <c r="J1795" i="5"/>
  <c r="J1799" i="5"/>
  <c r="J1803" i="5"/>
  <c r="J1807" i="5"/>
  <c r="J1811" i="5"/>
  <c r="J1815" i="5"/>
  <c r="J1819" i="5"/>
  <c r="J1823" i="5"/>
  <c r="J1827" i="5"/>
  <c r="J1831" i="5"/>
  <c r="J1835" i="5"/>
  <c r="J1839" i="5"/>
  <c r="J1843" i="5"/>
  <c r="J1847" i="5"/>
  <c r="J1240" i="5"/>
  <c r="J1248" i="5"/>
  <c r="J1256" i="5"/>
  <c r="J1264" i="5"/>
  <c r="J1272" i="5"/>
  <c r="J1280" i="5"/>
  <c r="J1288" i="5"/>
  <c r="J1296" i="5"/>
  <c r="J1304" i="5"/>
  <c r="J1312" i="5"/>
  <c r="J1330" i="5"/>
  <c r="J1346" i="5"/>
  <c r="J1362" i="5"/>
  <c r="J1378" i="5"/>
  <c r="J1394" i="5"/>
  <c r="J1410" i="5"/>
  <c r="J1426" i="5"/>
  <c r="J1442" i="5"/>
  <c r="J1458" i="5"/>
  <c r="J1474" i="5"/>
  <c r="J1490" i="5"/>
  <c r="J1506" i="5"/>
  <c r="J1516" i="5"/>
  <c r="J1520" i="5"/>
  <c r="J1524" i="5"/>
  <c r="J1528" i="5"/>
  <c r="J1532" i="5"/>
  <c r="J1536" i="5"/>
  <c r="J1540" i="5"/>
  <c r="J1544" i="5"/>
  <c r="J1548" i="5"/>
  <c r="J1552" i="5"/>
  <c r="J1556" i="5"/>
  <c r="J1560" i="5"/>
  <c r="J1564" i="5"/>
  <c r="J1568" i="5"/>
  <c r="J1572" i="5"/>
  <c r="J1576" i="5"/>
  <c r="J1580" i="5"/>
  <c r="J1584" i="5"/>
  <c r="J1588" i="5"/>
  <c r="J1592" i="5"/>
  <c r="J1596" i="5"/>
  <c r="J1600" i="5"/>
  <c r="J1604" i="5"/>
  <c r="J1608" i="5"/>
  <c r="J1612" i="5"/>
  <c r="J1616" i="5"/>
  <c r="J1620" i="5"/>
  <c r="J1624" i="5"/>
  <c r="J1628" i="5"/>
  <c r="J1632" i="5"/>
  <c r="J1636" i="5"/>
  <c r="J1640" i="5"/>
  <c r="J1644" i="5"/>
  <c r="J1648" i="5"/>
  <c r="J1652" i="5"/>
  <c r="J1656" i="5"/>
  <c r="J1660" i="5"/>
  <c r="J1664" i="5"/>
  <c r="J1668" i="5"/>
  <c r="J1672" i="5"/>
  <c r="J1676" i="5"/>
  <c r="J1680" i="5"/>
  <c r="J1684" i="5"/>
  <c r="J1688" i="5"/>
  <c r="J1692" i="5"/>
  <c r="J1696" i="5"/>
  <c r="J1700" i="5"/>
  <c r="J1704" i="5"/>
  <c r="J1708" i="5"/>
  <c r="J1712" i="5"/>
  <c r="J1716" i="5"/>
  <c r="J1720" i="5"/>
  <c r="J1724" i="5"/>
  <c r="J1728" i="5"/>
  <c r="J1732" i="5"/>
  <c r="J1736" i="5"/>
  <c r="J1740" i="5"/>
  <c r="J1744" i="5"/>
  <c r="J1748" i="5"/>
  <c r="J1752" i="5"/>
  <c r="J1756" i="5"/>
  <c r="J1760" i="5"/>
  <c r="J1764" i="5"/>
  <c r="J1768" i="5"/>
  <c r="J1772" i="5"/>
  <c r="J1776" i="5"/>
  <c r="J1780" i="5"/>
  <c r="J1784" i="5"/>
  <c r="J1788" i="5"/>
  <c r="J1792" i="5"/>
  <c r="J1796" i="5"/>
  <c r="J1804" i="5"/>
  <c r="J1808" i="5"/>
  <c r="J1816" i="5"/>
  <c r="J1824" i="5"/>
  <c r="J1832" i="5"/>
  <c r="J1840" i="5"/>
  <c r="J1848" i="5"/>
  <c r="J1234" i="5"/>
  <c r="J1250" i="5"/>
  <c r="J1266" i="5"/>
  <c r="J1282" i="5"/>
  <c r="J1298" i="5"/>
  <c r="J1314" i="5"/>
  <c r="J1326" i="5"/>
  <c r="J1358" i="5"/>
  <c r="J1390" i="5"/>
  <c r="J1422" i="5"/>
  <c r="J1454" i="5"/>
  <c r="J1486" i="5"/>
  <c r="J1517" i="5"/>
  <c r="J1525" i="5"/>
  <c r="J1533" i="5"/>
  <c r="J1541" i="5"/>
  <c r="J1549" i="5"/>
  <c r="J1557" i="5"/>
  <c r="J1565" i="5"/>
  <c r="J1573" i="5"/>
  <c r="J1581" i="5"/>
  <c r="J1589" i="5"/>
  <c r="J1597" i="5"/>
  <c r="J1605" i="5"/>
  <c r="J1613" i="5"/>
  <c r="J1621" i="5"/>
  <c r="J1629" i="5"/>
  <c r="J1637" i="5"/>
  <c r="J1645" i="5"/>
  <c r="J1653" i="5"/>
  <c r="J1661" i="5"/>
  <c r="J1669" i="5"/>
  <c r="J1677" i="5"/>
  <c r="J1685" i="5"/>
  <c r="J1693" i="5"/>
  <c r="J1701" i="5"/>
  <c r="J1709" i="5"/>
  <c r="J1717" i="5"/>
  <c r="J1725" i="5"/>
  <c r="J1733" i="5"/>
  <c r="J1741" i="5"/>
  <c r="J1749" i="5"/>
  <c r="J1757" i="5"/>
  <c r="J1765" i="5"/>
  <c r="J1773" i="5"/>
  <c r="J1781" i="5"/>
  <c r="J1789" i="5"/>
  <c r="J1797" i="5"/>
  <c r="J1805" i="5"/>
  <c r="J1813" i="5"/>
  <c r="J1821" i="5"/>
  <c r="J1829" i="5"/>
  <c r="J1837" i="5"/>
  <c r="J1845" i="5"/>
  <c r="I135" i="5"/>
  <c r="I1198" i="5"/>
  <c r="I1197" i="5"/>
  <c r="I1196" i="5"/>
  <c r="J224" i="5"/>
  <c r="J225" i="5"/>
  <c r="J226" i="5"/>
  <c r="J227" i="5"/>
  <c r="J228" i="5"/>
  <c r="J229" i="5"/>
  <c r="J230" i="5"/>
  <c r="J231" i="5"/>
  <c r="J232" i="5"/>
  <c r="J1190" i="5"/>
  <c r="I1182" i="5"/>
  <c r="I1186" i="5"/>
  <c r="I1181" i="5"/>
  <c r="I1185" i="5"/>
  <c r="I1189" i="5"/>
  <c r="I1184" i="5"/>
  <c r="I1856" i="5"/>
  <c r="I1858" i="5"/>
  <c r="I1860" i="5"/>
  <c r="I1862" i="5"/>
  <c r="I1864" i="5"/>
  <c r="I1187" i="5"/>
  <c r="I1188" i="5"/>
  <c r="I1857" i="5"/>
  <c r="I1859" i="5"/>
  <c r="I1861" i="5"/>
  <c r="I1863" i="5"/>
  <c r="I1867" i="5"/>
  <c r="I1183" i="5"/>
  <c r="J844" i="5"/>
  <c r="J1168" i="5"/>
  <c r="J1169" i="5"/>
  <c r="J1170" i="5"/>
  <c r="J1171" i="5"/>
  <c r="J1172" i="5"/>
  <c r="J1173" i="5"/>
  <c r="J1174" i="5"/>
  <c r="J1175" i="5"/>
  <c r="J1176" i="5"/>
  <c r="J1177" i="5"/>
  <c r="J1178" i="5"/>
  <c r="J1179" i="5"/>
  <c r="K840" i="5"/>
  <c r="K1147" i="5"/>
  <c r="K1146" i="5"/>
  <c r="K1149" i="5"/>
  <c r="K1145" i="5"/>
  <c r="K1148" i="5"/>
  <c r="I1142" i="5"/>
  <c r="I1141" i="5"/>
  <c r="I1143" i="5"/>
  <c r="J822" i="5"/>
  <c r="J823" i="5"/>
  <c r="J824" i="5"/>
  <c r="J825" i="5"/>
  <c r="J826" i="5"/>
  <c r="J827" i="5"/>
  <c r="J1131" i="5"/>
  <c r="J1132" i="5"/>
  <c r="J1133" i="5"/>
  <c r="J1134" i="5"/>
  <c r="J1135" i="5"/>
  <c r="K212" i="5"/>
  <c r="K1128" i="5"/>
  <c r="J795" i="5"/>
  <c r="J828" i="5"/>
  <c r="J829" i="5"/>
  <c r="J830" i="5"/>
  <c r="J831" i="5"/>
  <c r="J832" i="5"/>
  <c r="J833" i="5"/>
  <c r="J834" i="5"/>
  <c r="J835" i="5"/>
  <c r="J836" i="5"/>
  <c r="J837" i="5"/>
  <c r="J838" i="5"/>
  <c r="J1111" i="5"/>
  <c r="J1112" i="5"/>
  <c r="J1113" i="5"/>
  <c r="J1114" i="5"/>
  <c r="J1115" i="5"/>
  <c r="J1116" i="5"/>
  <c r="J1117" i="5"/>
  <c r="J1118" i="5"/>
  <c r="J1119" i="5"/>
  <c r="J1120" i="5"/>
  <c r="J1121" i="5"/>
  <c r="J1122" i="5"/>
  <c r="J1123" i="5"/>
  <c r="J1124" i="5"/>
  <c r="J1125" i="5"/>
  <c r="J1126" i="5"/>
  <c r="J1127" i="5"/>
  <c r="K807" i="5"/>
  <c r="K808" i="5"/>
  <c r="K1104" i="5"/>
  <c r="K802" i="5"/>
  <c r="K1091" i="5"/>
  <c r="K1095" i="5"/>
  <c r="K1090" i="5"/>
  <c r="K1094" i="5"/>
  <c r="K1093" i="5"/>
  <c r="K1088" i="5"/>
  <c r="K1096" i="5"/>
  <c r="K1089" i="5"/>
  <c r="K1092" i="5"/>
  <c r="I1086" i="5"/>
  <c r="I803" i="5"/>
  <c r="I805" i="5"/>
  <c r="I1085" i="5"/>
  <c r="I806" i="5"/>
  <c r="I804" i="5"/>
  <c r="I1084" i="5"/>
  <c r="I1087" i="5"/>
  <c r="K796" i="5"/>
  <c r="K1075" i="5"/>
  <c r="K1076" i="5"/>
  <c r="I1071" i="5"/>
  <c r="I1073" i="5"/>
  <c r="I1072" i="5"/>
  <c r="I1074" i="5"/>
  <c r="I1070" i="5"/>
  <c r="K158" i="5"/>
  <c r="K159" i="5"/>
  <c r="K160" i="5"/>
  <c r="K161" i="5"/>
  <c r="K162" i="5"/>
  <c r="K163" i="5"/>
  <c r="K164" i="5"/>
  <c r="K165" i="5"/>
  <c r="K166" i="5"/>
  <c r="K167" i="5"/>
  <c r="K168" i="5"/>
  <c r="K169" i="5"/>
  <c r="K170" i="5"/>
  <c r="K171" i="5"/>
  <c r="K900" i="5"/>
  <c r="K901" i="5"/>
  <c r="K902" i="5"/>
  <c r="I152" i="5"/>
  <c r="I151" i="5"/>
  <c r="I898" i="5"/>
  <c r="I142" i="5"/>
  <c r="I896" i="5"/>
  <c r="J150" i="5"/>
  <c r="J891" i="5"/>
  <c r="J892" i="5"/>
  <c r="K136" i="5"/>
  <c r="K885" i="5"/>
  <c r="K81" i="5"/>
  <c r="K856" i="5"/>
  <c r="K1853" i="5"/>
  <c r="K1854" i="5"/>
  <c r="I1235" i="5"/>
  <c r="I1237" i="5"/>
  <c r="I1239" i="5"/>
  <c r="I1241" i="5"/>
  <c r="I1243" i="5"/>
  <c r="I1245" i="5"/>
  <c r="I1247" i="5"/>
  <c r="I1249" i="5"/>
  <c r="L1249" i="5" s="1"/>
  <c r="I1251" i="5"/>
  <c r="I1253" i="5"/>
  <c r="I1255" i="5"/>
  <c r="I1257" i="5"/>
  <c r="I1259" i="5"/>
  <c r="I1261" i="5"/>
  <c r="I1263" i="5"/>
  <c r="I1265" i="5"/>
  <c r="L1265" i="5" s="1"/>
  <c r="I1267" i="5"/>
  <c r="I1269" i="5"/>
  <c r="I1271" i="5"/>
  <c r="I1273" i="5"/>
  <c r="I1275" i="5"/>
  <c r="I1277" i="5"/>
  <c r="I1279" i="5"/>
  <c r="I1281" i="5"/>
  <c r="I1283" i="5"/>
  <c r="L1283" i="5" s="1"/>
  <c r="I1285" i="5"/>
  <c r="I1287" i="5"/>
  <c r="L1287" i="5" s="1"/>
  <c r="I1289" i="5"/>
  <c r="I1291" i="5"/>
  <c r="I1293" i="5"/>
  <c r="I1295" i="5"/>
  <c r="I1297" i="5"/>
  <c r="I1299" i="5"/>
  <c r="I1301" i="5"/>
  <c r="I1303" i="5"/>
  <c r="I1305" i="5"/>
  <c r="I1307" i="5"/>
  <c r="I1309" i="5"/>
  <c r="I1311" i="5"/>
  <c r="I1313" i="5"/>
  <c r="I1315" i="5"/>
  <c r="I1317" i="5"/>
  <c r="I1320" i="5"/>
  <c r="I1324" i="5"/>
  <c r="I1328" i="5"/>
  <c r="I1332" i="5"/>
  <c r="I1336" i="5"/>
  <c r="I1340" i="5"/>
  <c r="I1344" i="5"/>
  <c r="I1348" i="5"/>
  <c r="I1352" i="5"/>
  <c r="I1356" i="5"/>
  <c r="I1360" i="5"/>
  <c r="I1364" i="5"/>
  <c r="I1368" i="5"/>
  <c r="I1372" i="5"/>
  <c r="I1376" i="5"/>
  <c r="L1376" i="5" s="1"/>
  <c r="I1380" i="5"/>
  <c r="I1384" i="5"/>
  <c r="I1388" i="5"/>
  <c r="I1392" i="5"/>
  <c r="I1396" i="5"/>
  <c r="I1400" i="5"/>
  <c r="I1404" i="5"/>
  <c r="L1404" i="5" s="1"/>
  <c r="I1408" i="5"/>
  <c r="I1412" i="5"/>
  <c r="I1416" i="5"/>
  <c r="I1420" i="5"/>
  <c r="I1424" i="5"/>
  <c r="L1424" i="5" s="1"/>
  <c r="I1428" i="5"/>
  <c r="I1432" i="5"/>
  <c r="I1436" i="5"/>
  <c r="I1440" i="5"/>
  <c r="I1444" i="5"/>
  <c r="I1448" i="5"/>
  <c r="I1452" i="5"/>
  <c r="I1456" i="5"/>
  <c r="I1460" i="5"/>
  <c r="I1464" i="5"/>
  <c r="I1468" i="5"/>
  <c r="I1472" i="5"/>
  <c r="I1476" i="5"/>
  <c r="I1480" i="5"/>
  <c r="I1484" i="5"/>
  <c r="I1488" i="5"/>
  <c r="I1492" i="5"/>
  <c r="I1496" i="5"/>
  <c r="I1500" i="5"/>
  <c r="L1500" i="5" s="1"/>
  <c r="I1504" i="5"/>
  <c r="I1508" i="5"/>
  <c r="I1512" i="5"/>
  <c r="I1528" i="5"/>
  <c r="I1531" i="5"/>
  <c r="I1533" i="5"/>
  <c r="I1535" i="5"/>
  <c r="I1537" i="5"/>
  <c r="I1539" i="5"/>
  <c r="I1541" i="5"/>
  <c r="I1543" i="5"/>
  <c r="I1546" i="5"/>
  <c r="I1548" i="5"/>
  <c r="I1550" i="5"/>
  <c r="I1551" i="5"/>
  <c r="I1553" i="5"/>
  <c r="I1555" i="5"/>
  <c r="I1557" i="5"/>
  <c r="I1560" i="5"/>
  <c r="I1562" i="5"/>
  <c r="I1564" i="5"/>
  <c r="I1566" i="5"/>
  <c r="I1568" i="5"/>
  <c r="I1570" i="5"/>
  <c r="I1572" i="5"/>
  <c r="I1574" i="5"/>
  <c r="L1574" i="5" s="1"/>
  <c r="I1576" i="5"/>
  <c r="I1578" i="5"/>
  <c r="I1580" i="5"/>
  <c r="I1582" i="5"/>
  <c r="I1584" i="5"/>
  <c r="I1586" i="5"/>
  <c r="I1588" i="5"/>
  <c r="I1590" i="5"/>
  <c r="I1592" i="5"/>
  <c r="I1594" i="5"/>
  <c r="I1596" i="5"/>
  <c r="I1598" i="5"/>
  <c r="I1600" i="5"/>
  <c r="I1602" i="5"/>
  <c r="I1604" i="5"/>
  <c r="I1606" i="5"/>
  <c r="I1608" i="5"/>
  <c r="I1610" i="5"/>
  <c r="I1612" i="5"/>
  <c r="I1614" i="5"/>
  <c r="I1616" i="5"/>
  <c r="I1618" i="5"/>
  <c r="I1620" i="5"/>
  <c r="I1622" i="5"/>
  <c r="I1624" i="5"/>
  <c r="I1626" i="5"/>
  <c r="I1628" i="5"/>
  <c r="I1630" i="5"/>
  <c r="I1632" i="5"/>
  <c r="I1634" i="5"/>
  <c r="I1636" i="5"/>
  <c r="I1638" i="5"/>
  <c r="I1640" i="5"/>
  <c r="I1642" i="5"/>
  <c r="I1644" i="5"/>
  <c r="I1646" i="5"/>
  <c r="I1648" i="5"/>
  <c r="I1650" i="5"/>
  <c r="I1652" i="5"/>
  <c r="I1654" i="5"/>
  <c r="I1656" i="5"/>
  <c r="I1658" i="5"/>
  <c r="I1660" i="5"/>
  <c r="I1662" i="5"/>
  <c r="I1664" i="5"/>
  <c r="I1666" i="5"/>
  <c r="I1668" i="5"/>
  <c r="I1670" i="5"/>
  <c r="I1672" i="5"/>
  <c r="L1672" i="5" s="1"/>
  <c r="I1674" i="5"/>
  <c r="I1676" i="5"/>
  <c r="I1678" i="5"/>
  <c r="I1680" i="5"/>
  <c r="I1682" i="5"/>
  <c r="I1684" i="5"/>
  <c r="I1686" i="5"/>
  <c r="L1686" i="5" s="1"/>
  <c r="I1688" i="5"/>
  <c r="I1690" i="5"/>
  <c r="I1692" i="5"/>
  <c r="I1694" i="5"/>
  <c r="I1696" i="5"/>
  <c r="I1698" i="5"/>
  <c r="I1700" i="5"/>
  <c r="I1702" i="5"/>
  <c r="I1704" i="5"/>
  <c r="I1706" i="5"/>
  <c r="I1708" i="5"/>
  <c r="I1710" i="5"/>
  <c r="I1712" i="5"/>
  <c r="I1714" i="5"/>
  <c r="I1716" i="5"/>
  <c r="I1718" i="5"/>
  <c r="I1720" i="5"/>
  <c r="I1722" i="5"/>
  <c r="I1724" i="5"/>
  <c r="I1726" i="5"/>
  <c r="I1728" i="5"/>
  <c r="I1730" i="5"/>
  <c r="I1732" i="5"/>
  <c r="I1734" i="5"/>
  <c r="I1736" i="5"/>
  <c r="I1738" i="5"/>
  <c r="I1740" i="5"/>
  <c r="I1742" i="5"/>
  <c r="I1744" i="5"/>
  <c r="I1746" i="5"/>
  <c r="I1748" i="5"/>
  <c r="I1750" i="5"/>
  <c r="I1752" i="5"/>
  <c r="I1754" i="5"/>
  <c r="I1756" i="5"/>
  <c r="I1758" i="5"/>
  <c r="I1760" i="5"/>
  <c r="I1762" i="5"/>
  <c r="I1764" i="5"/>
  <c r="I1766" i="5"/>
  <c r="I1768" i="5"/>
  <c r="I1770" i="5"/>
  <c r="I1772" i="5"/>
  <c r="I1774" i="5"/>
  <c r="I1776" i="5"/>
  <c r="I1778" i="5"/>
  <c r="I1780" i="5"/>
  <c r="I1782" i="5"/>
  <c r="I1784" i="5"/>
  <c r="L1784" i="5" s="1"/>
  <c r="I1786" i="5"/>
  <c r="I1788" i="5"/>
  <c r="I1790" i="5"/>
  <c r="L1790" i="5" s="1"/>
  <c r="I1792" i="5"/>
  <c r="I1794" i="5"/>
  <c r="I1796" i="5"/>
  <c r="I1798" i="5"/>
  <c r="I1800" i="5"/>
  <c r="I1802" i="5"/>
  <c r="I1804" i="5"/>
  <c r="I1806" i="5"/>
  <c r="L1806" i="5" s="1"/>
  <c r="I1808" i="5"/>
  <c r="I1810" i="5"/>
  <c r="I1812" i="5"/>
  <c r="I1814" i="5"/>
  <c r="I1816" i="5"/>
  <c r="I1818" i="5"/>
  <c r="I1820" i="5"/>
  <c r="I1822" i="5"/>
  <c r="I1824" i="5"/>
  <c r="I1826" i="5"/>
  <c r="I1828" i="5"/>
  <c r="I1830" i="5"/>
  <c r="I1832" i="5"/>
  <c r="I1835" i="5"/>
  <c r="L1835" i="5" s="1"/>
  <c r="I1837" i="5"/>
  <c r="I1839" i="5"/>
  <c r="L1839" i="5" s="1"/>
  <c r="I1841" i="5"/>
  <c r="I1843" i="5"/>
  <c r="I1845" i="5"/>
  <c r="I1847" i="5"/>
  <c r="I1849" i="5"/>
  <c r="I1319" i="5"/>
  <c r="I1323" i="5"/>
  <c r="I1327" i="5"/>
  <c r="I1331" i="5"/>
  <c r="I1335" i="5"/>
  <c r="I1339" i="5"/>
  <c r="L1339" i="5" s="1"/>
  <c r="I1343" i="5"/>
  <c r="I1347" i="5"/>
  <c r="I1351" i="5"/>
  <c r="I1355" i="5"/>
  <c r="I1359" i="5"/>
  <c r="I1363" i="5"/>
  <c r="I1367" i="5"/>
  <c r="I1371" i="5"/>
  <c r="I1375" i="5"/>
  <c r="I1379" i="5"/>
  <c r="I1383" i="5"/>
  <c r="I1387" i="5"/>
  <c r="I1391" i="5"/>
  <c r="I1395" i="5"/>
  <c r="I1399" i="5"/>
  <c r="I1403" i="5"/>
  <c r="I1407" i="5"/>
  <c r="I1411" i="5"/>
  <c r="I1415" i="5"/>
  <c r="I1419" i="5"/>
  <c r="I1423" i="5"/>
  <c r="I1427" i="5"/>
  <c r="I1431" i="5"/>
  <c r="I1435" i="5"/>
  <c r="I1439" i="5"/>
  <c r="I1443" i="5"/>
  <c r="I1447" i="5"/>
  <c r="I1451" i="5"/>
  <c r="I1455" i="5"/>
  <c r="I1459" i="5"/>
  <c r="I1463" i="5"/>
  <c r="I1467" i="5"/>
  <c r="I1471" i="5"/>
  <c r="I1475" i="5"/>
  <c r="L1475" i="5" s="1"/>
  <c r="I1479" i="5"/>
  <c r="I1483" i="5"/>
  <c r="I1487" i="5"/>
  <c r="I1491" i="5"/>
  <c r="I1495" i="5"/>
  <c r="I1499" i="5"/>
  <c r="I1503" i="5"/>
  <c r="I1507" i="5"/>
  <c r="I1511" i="5"/>
  <c r="I1234" i="5"/>
  <c r="I1236" i="5"/>
  <c r="I1238" i="5"/>
  <c r="L1238" i="5" s="1"/>
  <c r="I1240" i="5"/>
  <c r="I1242" i="5"/>
  <c r="I1244" i="5"/>
  <c r="I1246" i="5"/>
  <c r="I1248" i="5"/>
  <c r="I1250" i="5"/>
  <c r="I1252" i="5"/>
  <c r="I1254" i="5"/>
  <c r="I1256" i="5"/>
  <c r="I1258" i="5"/>
  <c r="I1260" i="5"/>
  <c r="I1262" i="5"/>
  <c r="I1264" i="5"/>
  <c r="I1266" i="5"/>
  <c r="I1268" i="5"/>
  <c r="I1270" i="5"/>
  <c r="I1272" i="5"/>
  <c r="I1274" i="5"/>
  <c r="I1276" i="5"/>
  <c r="I1278" i="5"/>
  <c r="I1280" i="5"/>
  <c r="I1282" i="5"/>
  <c r="I1284" i="5"/>
  <c r="I1286" i="5"/>
  <c r="I1288" i="5"/>
  <c r="I1290" i="5"/>
  <c r="I1292" i="5"/>
  <c r="I1294" i="5"/>
  <c r="I1296" i="5"/>
  <c r="I1298" i="5"/>
  <c r="I1300" i="5"/>
  <c r="I1302" i="5"/>
  <c r="I1304" i="5"/>
  <c r="L1304" i="5" s="1"/>
  <c r="I1306" i="5"/>
  <c r="I1308" i="5"/>
  <c r="I1310" i="5"/>
  <c r="I1312" i="5"/>
  <c r="I1314" i="5"/>
  <c r="I1316" i="5"/>
  <c r="I1318" i="5"/>
  <c r="I1322" i="5"/>
  <c r="I1326" i="5"/>
  <c r="I1330" i="5"/>
  <c r="I1334" i="5"/>
  <c r="I1338" i="5"/>
  <c r="I1342" i="5"/>
  <c r="L1342" i="5" s="1"/>
  <c r="I1346" i="5"/>
  <c r="I1350" i="5"/>
  <c r="I1354" i="5"/>
  <c r="I1358" i="5"/>
  <c r="I1362" i="5"/>
  <c r="I1366" i="5"/>
  <c r="I1370" i="5"/>
  <c r="I1374" i="5"/>
  <c r="I1378" i="5"/>
  <c r="I1382" i="5"/>
  <c r="I1386" i="5"/>
  <c r="I1390" i="5"/>
  <c r="I1394" i="5"/>
  <c r="I1398" i="5"/>
  <c r="I1402" i="5"/>
  <c r="I1406" i="5"/>
  <c r="I1410" i="5"/>
  <c r="I1414" i="5"/>
  <c r="I1418" i="5"/>
  <c r="I1422" i="5"/>
  <c r="I1426" i="5"/>
  <c r="I1430" i="5"/>
  <c r="I1434" i="5"/>
  <c r="I1438" i="5"/>
  <c r="I1442" i="5"/>
  <c r="I1446" i="5"/>
  <c r="I1450" i="5"/>
  <c r="I1454" i="5"/>
  <c r="I1458" i="5"/>
  <c r="I1462" i="5"/>
  <c r="I1466" i="5"/>
  <c r="I1470" i="5"/>
  <c r="I1474" i="5"/>
  <c r="I1478" i="5"/>
  <c r="I1482" i="5"/>
  <c r="I1486" i="5"/>
  <c r="I1490" i="5"/>
  <c r="I1494" i="5"/>
  <c r="I1498" i="5"/>
  <c r="I1502" i="5"/>
  <c r="I1506" i="5"/>
  <c r="I1510" i="5"/>
  <c r="I1514" i="5"/>
  <c r="I1515" i="5"/>
  <c r="I1516" i="5"/>
  <c r="I1517" i="5"/>
  <c r="I1518" i="5"/>
  <c r="I1519" i="5"/>
  <c r="I1520" i="5"/>
  <c r="I1521" i="5"/>
  <c r="I1522" i="5"/>
  <c r="I1523" i="5"/>
  <c r="I1524" i="5"/>
  <c r="I1525" i="5"/>
  <c r="I1526" i="5"/>
  <c r="I1527" i="5"/>
  <c r="I1529" i="5"/>
  <c r="I1530" i="5"/>
  <c r="I1532" i="5"/>
  <c r="I1534" i="5"/>
  <c r="I1536" i="5"/>
  <c r="I1538" i="5"/>
  <c r="I1540" i="5"/>
  <c r="I1542" i="5"/>
  <c r="I1544" i="5"/>
  <c r="I1545" i="5"/>
  <c r="I1547" i="5"/>
  <c r="I1549" i="5"/>
  <c r="I1552" i="5"/>
  <c r="I1554" i="5"/>
  <c r="I1556" i="5"/>
  <c r="I1558" i="5"/>
  <c r="I1559" i="5"/>
  <c r="I1561" i="5"/>
  <c r="I1563" i="5"/>
  <c r="I1565" i="5"/>
  <c r="I1567" i="5"/>
  <c r="L1567" i="5" s="1"/>
  <c r="I1569" i="5"/>
  <c r="L1569" i="5" s="1"/>
  <c r="I1571" i="5"/>
  <c r="I1573" i="5"/>
  <c r="I1575" i="5"/>
  <c r="I1577" i="5"/>
  <c r="I1579" i="5"/>
  <c r="I1581" i="5"/>
  <c r="I1583" i="5"/>
  <c r="I1585" i="5"/>
  <c r="I1587" i="5"/>
  <c r="I1589" i="5"/>
  <c r="I1591" i="5"/>
  <c r="I1593" i="5"/>
  <c r="I1595" i="5"/>
  <c r="I1597" i="5"/>
  <c r="I1599" i="5"/>
  <c r="I1601" i="5"/>
  <c r="I1603" i="5"/>
  <c r="I1605" i="5"/>
  <c r="I1607" i="5"/>
  <c r="I1609" i="5"/>
  <c r="I1611" i="5"/>
  <c r="I1613" i="5"/>
  <c r="I1615" i="5"/>
  <c r="I1617" i="5"/>
  <c r="I1619" i="5"/>
  <c r="I1621" i="5"/>
  <c r="I1623" i="5"/>
  <c r="I1625" i="5"/>
  <c r="I1627" i="5"/>
  <c r="I1629" i="5"/>
  <c r="I1631" i="5"/>
  <c r="I1633" i="5"/>
  <c r="I1635" i="5"/>
  <c r="I1637" i="5"/>
  <c r="I1639" i="5"/>
  <c r="I1641" i="5"/>
  <c r="I1643" i="5"/>
  <c r="I1645" i="5"/>
  <c r="I1647" i="5"/>
  <c r="I1649" i="5"/>
  <c r="I1651" i="5"/>
  <c r="L1651" i="5" s="1"/>
  <c r="I1653" i="5"/>
  <c r="I1655" i="5"/>
  <c r="I1657" i="5"/>
  <c r="I1659" i="5"/>
  <c r="I1661" i="5"/>
  <c r="I1663" i="5"/>
  <c r="I1665" i="5"/>
  <c r="I1667" i="5"/>
  <c r="I1669" i="5"/>
  <c r="I1671" i="5"/>
  <c r="I1673" i="5"/>
  <c r="L1673" i="5" s="1"/>
  <c r="I1675" i="5"/>
  <c r="I1677" i="5"/>
  <c r="I1679" i="5"/>
  <c r="I1681" i="5"/>
  <c r="I1683" i="5"/>
  <c r="I1685" i="5"/>
  <c r="I1687" i="5"/>
  <c r="I1689" i="5"/>
  <c r="I1691" i="5"/>
  <c r="I1693" i="5"/>
  <c r="I1695" i="5"/>
  <c r="I1697" i="5"/>
  <c r="I1699" i="5"/>
  <c r="I1701" i="5"/>
  <c r="I1703" i="5"/>
  <c r="I1705" i="5"/>
  <c r="I1707" i="5"/>
  <c r="I1709" i="5"/>
  <c r="I1711" i="5"/>
  <c r="I1713" i="5"/>
  <c r="I1715" i="5"/>
  <c r="I1717" i="5"/>
  <c r="I1719" i="5"/>
  <c r="I1721" i="5"/>
  <c r="I1723" i="5"/>
  <c r="I1725" i="5"/>
  <c r="L1725" i="5" s="1"/>
  <c r="I1727" i="5"/>
  <c r="I1729" i="5"/>
  <c r="I1731" i="5"/>
  <c r="I1733" i="5"/>
  <c r="I1735" i="5"/>
  <c r="I1737" i="5"/>
  <c r="L1737" i="5" s="1"/>
  <c r="I1739" i="5"/>
  <c r="I1741" i="5"/>
  <c r="I1743" i="5"/>
  <c r="I1745" i="5"/>
  <c r="I1747" i="5"/>
  <c r="I1749" i="5"/>
  <c r="I1751" i="5"/>
  <c r="I1753" i="5"/>
  <c r="I1755" i="5"/>
  <c r="I1757" i="5"/>
  <c r="I1759" i="5"/>
  <c r="I1761" i="5"/>
  <c r="I1763" i="5"/>
  <c r="L1763" i="5" s="1"/>
  <c r="I1765" i="5"/>
  <c r="I1767" i="5"/>
  <c r="I1769" i="5"/>
  <c r="I1771" i="5"/>
  <c r="L1771" i="5" s="1"/>
  <c r="I1773" i="5"/>
  <c r="I1775" i="5"/>
  <c r="I1777" i="5"/>
  <c r="I1779" i="5"/>
  <c r="I1781" i="5"/>
  <c r="I1783" i="5"/>
  <c r="I1785" i="5"/>
  <c r="I1787" i="5"/>
  <c r="I1789" i="5"/>
  <c r="I1791" i="5"/>
  <c r="I1793" i="5"/>
  <c r="I1795" i="5"/>
  <c r="I1797" i="5"/>
  <c r="I1799" i="5"/>
  <c r="I1801" i="5"/>
  <c r="I1803" i="5"/>
  <c r="I1805" i="5"/>
  <c r="I1807" i="5"/>
  <c r="L1807" i="5" s="1"/>
  <c r="I1809" i="5"/>
  <c r="I1811" i="5"/>
  <c r="I1813" i="5"/>
  <c r="I1815" i="5"/>
  <c r="I1817" i="5"/>
  <c r="I1819" i="5"/>
  <c r="I1821" i="5"/>
  <c r="I1823" i="5"/>
  <c r="I1825" i="5"/>
  <c r="L1825" i="5" s="1"/>
  <c r="I1827" i="5"/>
  <c r="L1827" i="5" s="1"/>
  <c r="I1829" i="5"/>
  <c r="I1831" i="5"/>
  <c r="I1833" i="5"/>
  <c r="I1834" i="5"/>
  <c r="I1836" i="5"/>
  <c r="I1838" i="5"/>
  <c r="I1840" i="5"/>
  <c r="I1842" i="5"/>
  <c r="I1844" i="5"/>
  <c r="I1846" i="5"/>
  <c r="I1848" i="5"/>
  <c r="I1850" i="5"/>
  <c r="I1333" i="5"/>
  <c r="I1349" i="5"/>
  <c r="I1365" i="5"/>
  <c r="I1381" i="5"/>
  <c r="I1397" i="5"/>
  <c r="I1413" i="5"/>
  <c r="I1429" i="5"/>
  <c r="I1445" i="5"/>
  <c r="I1461" i="5"/>
  <c r="I1477" i="5"/>
  <c r="I1493" i="5"/>
  <c r="L1493" i="5" s="1"/>
  <c r="I1509" i="5"/>
  <c r="I1321" i="5"/>
  <c r="I1353" i="5"/>
  <c r="I1385" i="5"/>
  <c r="I1417" i="5"/>
  <c r="I1449" i="5"/>
  <c r="I1481" i="5"/>
  <c r="I1513" i="5"/>
  <c r="I1329" i="5"/>
  <c r="I1345" i="5"/>
  <c r="I1361" i="5"/>
  <c r="I1377" i="5"/>
  <c r="I1393" i="5"/>
  <c r="I1409" i="5"/>
  <c r="I1425" i="5"/>
  <c r="I1441" i="5"/>
  <c r="I1457" i="5"/>
  <c r="I1473" i="5"/>
  <c r="I1489" i="5"/>
  <c r="I1505" i="5"/>
  <c r="I1325" i="5"/>
  <c r="I1341" i="5"/>
  <c r="I1357" i="5"/>
  <c r="L1357" i="5" s="1"/>
  <c r="I1373" i="5"/>
  <c r="I1389" i="5"/>
  <c r="I1405" i="5"/>
  <c r="I1421" i="5"/>
  <c r="I1437" i="5"/>
  <c r="I1453" i="5"/>
  <c r="I1469" i="5"/>
  <c r="I1485" i="5"/>
  <c r="I1501" i="5"/>
  <c r="I1337" i="5"/>
  <c r="I1369" i="5"/>
  <c r="I1401" i="5"/>
  <c r="I1433" i="5"/>
  <c r="I1465" i="5"/>
  <c r="I1497" i="5"/>
  <c r="K1203" i="5"/>
  <c r="K1202" i="5"/>
  <c r="K843" i="5"/>
  <c r="K1195" i="5"/>
  <c r="J798" i="5"/>
  <c r="J1191" i="5"/>
  <c r="J1192" i="5"/>
  <c r="J1193" i="5"/>
  <c r="J1194" i="5"/>
  <c r="I1170" i="5"/>
  <c r="I1174" i="5"/>
  <c r="I1178" i="5"/>
  <c r="I1169" i="5"/>
  <c r="I1173" i="5"/>
  <c r="I1177" i="5"/>
  <c r="I1168" i="5"/>
  <c r="I1176" i="5"/>
  <c r="L1176" i="5" s="1"/>
  <c r="I844" i="5"/>
  <c r="I1171" i="5"/>
  <c r="I1179" i="5"/>
  <c r="I1172" i="5"/>
  <c r="I1175" i="5"/>
  <c r="J840" i="5"/>
  <c r="J1145" i="5"/>
  <c r="J1146" i="5"/>
  <c r="J1147" i="5"/>
  <c r="J1148" i="5"/>
  <c r="J1149" i="5"/>
  <c r="J213" i="5"/>
  <c r="J839" i="5"/>
  <c r="J1136" i="5"/>
  <c r="J1137" i="5"/>
  <c r="J1138" i="5"/>
  <c r="J1139" i="5"/>
  <c r="I1114" i="5"/>
  <c r="I1118" i="5"/>
  <c r="I1122" i="5"/>
  <c r="L1122" i="5" s="1"/>
  <c r="I1126" i="5"/>
  <c r="I795" i="5"/>
  <c r="I829" i="5"/>
  <c r="I831" i="5"/>
  <c r="I833" i="5"/>
  <c r="I835" i="5"/>
  <c r="I837" i="5"/>
  <c r="I1113" i="5"/>
  <c r="I1117" i="5"/>
  <c r="I1121" i="5"/>
  <c r="I1125" i="5"/>
  <c r="I1112" i="5"/>
  <c r="I1120" i="5"/>
  <c r="I830" i="5"/>
  <c r="I828" i="5"/>
  <c r="I832" i="5"/>
  <c r="I836" i="5"/>
  <c r="I1115" i="5"/>
  <c r="I1123" i="5"/>
  <c r="I1116" i="5"/>
  <c r="I1124" i="5"/>
  <c r="I834" i="5"/>
  <c r="I1119" i="5"/>
  <c r="I838" i="5"/>
  <c r="I1111" i="5"/>
  <c r="I1127" i="5"/>
  <c r="J807" i="5"/>
  <c r="J808" i="5"/>
  <c r="J1104" i="5"/>
  <c r="I182" i="5"/>
  <c r="I184" i="5"/>
  <c r="I186" i="5"/>
  <c r="I185" i="5"/>
  <c r="I187" i="5"/>
  <c r="I183" i="5"/>
  <c r="J382" i="5"/>
  <c r="J1063" i="5"/>
  <c r="J1064" i="5"/>
  <c r="J1065" i="5"/>
  <c r="J1066" i="5"/>
  <c r="J1067" i="5"/>
  <c r="J1068" i="5"/>
  <c r="J1069" i="5"/>
  <c r="K175" i="5"/>
  <c r="K176" i="5"/>
  <c r="K906" i="5"/>
  <c r="K907" i="5"/>
  <c r="K908" i="5"/>
  <c r="J158" i="5"/>
  <c r="J159" i="5"/>
  <c r="J160" i="5"/>
  <c r="J161" i="5"/>
  <c r="J162" i="5"/>
  <c r="J163" i="5"/>
  <c r="J164" i="5"/>
  <c r="J165" i="5"/>
  <c r="J166" i="5"/>
  <c r="J167" i="5"/>
  <c r="J168" i="5"/>
  <c r="J169" i="5"/>
  <c r="J170" i="5"/>
  <c r="J171" i="5"/>
  <c r="J900" i="5"/>
  <c r="J901" i="5"/>
  <c r="J902" i="5"/>
  <c r="I154" i="5"/>
  <c r="I156" i="5"/>
  <c r="I153" i="5"/>
  <c r="I157" i="5"/>
  <c r="I155" i="5"/>
  <c r="I899" i="5"/>
  <c r="K138" i="5"/>
  <c r="K139" i="5"/>
  <c r="K140" i="5"/>
  <c r="K141" i="5"/>
  <c r="K894" i="5"/>
  <c r="K895" i="5"/>
  <c r="I150" i="5"/>
  <c r="I891" i="5"/>
  <c r="I892" i="5"/>
  <c r="J136" i="5"/>
  <c r="J885" i="5"/>
  <c r="I85" i="5"/>
  <c r="I86" i="5"/>
  <c r="I87" i="5"/>
  <c r="I88" i="5"/>
  <c r="I89" i="5"/>
  <c r="I90" i="5"/>
  <c r="I91" i="5"/>
  <c r="I92" i="5"/>
  <c r="I93" i="5"/>
  <c r="I94" i="5"/>
  <c r="I95" i="5"/>
  <c r="I96" i="5"/>
  <c r="I97" i="5"/>
  <c r="I98" i="5"/>
  <c r="I99" i="5"/>
  <c r="I100" i="5"/>
  <c r="I101" i="5"/>
  <c r="I102" i="5"/>
  <c r="I103" i="5"/>
  <c r="I104" i="5"/>
  <c r="I105" i="5"/>
  <c r="I106" i="5"/>
  <c r="I110" i="5"/>
  <c r="I114" i="5"/>
  <c r="I118" i="5"/>
  <c r="I122" i="5"/>
  <c r="I126" i="5"/>
  <c r="I109" i="5"/>
  <c r="I113" i="5"/>
  <c r="I117" i="5"/>
  <c r="I121" i="5"/>
  <c r="I125" i="5"/>
  <c r="I112" i="5"/>
  <c r="I120" i="5"/>
  <c r="I107" i="5"/>
  <c r="I115" i="5"/>
  <c r="I123" i="5"/>
  <c r="I128" i="5"/>
  <c r="I130" i="5"/>
  <c r="I132" i="5"/>
  <c r="I134" i="5"/>
  <c r="I108" i="5"/>
  <c r="I124" i="5"/>
  <c r="I119" i="5"/>
  <c r="I129" i="5"/>
  <c r="I133" i="5"/>
  <c r="I233" i="5"/>
  <c r="I111" i="5"/>
  <c r="I131" i="5"/>
  <c r="I116" i="5"/>
  <c r="I127" i="5"/>
  <c r="I879" i="5"/>
  <c r="I881" i="5"/>
  <c r="I883" i="5"/>
  <c r="I880" i="5"/>
  <c r="I884" i="5"/>
  <c r="I882" i="5"/>
  <c r="I878" i="5"/>
  <c r="J84" i="5"/>
  <c r="J83" i="5"/>
  <c r="J82" i="5"/>
  <c r="J859" i="5"/>
  <c r="J860" i="5"/>
  <c r="J861" i="5"/>
  <c r="J862" i="5"/>
  <c r="J863" i="5"/>
  <c r="J864" i="5"/>
  <c r="J865" i="5"/>
  <c r="J866" i="5"/>
  <c r="J867" i="5"/>
  <c r="J868" i="5"/>
  <c r="J869" i="5"/>
  <c r="J870" i="5"/>
  <c r="J871" i="5"/>
  <c r="J872" i="5"/>
  <c r="J873" i="5"/>
  <c r="J874" i="5"/>
  <c r="J875" i="5"/>
  <c r="K146" i="5"/>
  <c r="K147" i="5"/>
  <c r="K148" i="5"/>
  <c r="K149" i="5"/>
  <c r="J1854" i="5"/>
  <c r="J1853" i="5"/>
  <c r="I1851" i="5"/>
  <c r="I1852" i="5"/>
  <c r="J1229" i="5"/>
  <c r="J1231" i="5"/>
  <c r="J1230" i="5"/>
  <c r="J1232" i="5"/>
  <c r="I247" i="5"/>
  <c r="I234" i="5"/>
  <c r="I236" i="5"/>
  <c r="I238" i="5"/>
  <c r="I240" i="5"/>
  <c r="I242" i="5"/>
  <c r="I244" i="5"/>
  <c r="I246" i="5"/>
  <c r="I250" i="5"/>
  <c r="I252" i="5"/>
  <c r="I254" i="5"/>
  <c r="I256" i="5"/>
  <c r="I258" i="5"/>
  <c r="I260" i="5"/>
  <c r="I262" i="5"/>
  <c r="I264" i="5"/>
  <c r="I266" i="5"/>
  <c r="I268" i="5"/>
  <c r="I270" i="5"/>
  <c r="I272" i="5"/>
  <c r="I274" i="5"/>
  <c r="I276" i="5"/>
  <c r="I278" i="5"/>
  <c r="I280" i="5"/>
  <c r="I282" i="5"/>
  <c r="I284" i="5"/>
  <c r="I286" i="5"/>
  <c r="I288" i="5"/>
  <c r="I291" i="5"/>
  <c r="I295" i="5"/>
  <c r="I299" i="5"/>
  <c r="I303" i="5"/>
  <c r="I307" i="5"/>
  <c r="I311" i="5"/>
  <c r="I315" i="5"/>
  <c r="I319" i="5"/>
  <c r="I323" i="5"/>
  <c r="I327" i="5"/>
  <c r="I331" i="5"/>
  <c r="I335" i="5"/>
  <c r="I339" i="5"/>
  <c r="I343" i="5"/>
  <c r="I347" i="5"/>
  <c r="I351" i="5"/>
  <c r="I355" i="5"/>
  <c r="I359" i="5"/>
  <c r="I363" i="5"/>
  <c r="I367" i="5"/>
  <c r="I371" i="5"/>
  <c r="I375" i="5"/>
  <c r="I379" i="5"/>
  <c r="I237" i="5"/>
  <c r="I241" i="5"/>
  <c r="I245" i="5"/>
  <c r="I248" i="5"/>
  <c r="I290" i="5"/>
  <c r="I294" i="5"/>
  <c r="I298" i="5"/>
  <c r="I302" i="5"/>
  <c r="I306" i="5"/>
  <c r="I310" i="5"/>
  <c r="I314" i="5"/>
  <c r="I318" i="5"/>
  <c r="I322" i="5"/>
  <c r="I326" i="5"/>
  <c r="I330" i="5"/>
  <c r="I334" i="5"/>
  <c r="I338" i="5"/>
  <c r="I342" i="5"/>
  <c r="I346" i="5"/>
  <c r="I350" i="5"/>
  <c r="I354" i="5"/>
  <c r="I358" i="5"/>
  <c r="I362" i="5"/>
  <c r="I366" i="5"/>
  <c r="I370" i="5"/>
  <c r="I374" i="5"/>
  <c r="I378" i="5"/>
  <c r="I249" i="5"/>
  <c r="I253" i="5"/>
  <c r="I257" i="5"/>
  <c r="I261" i="5"/>
  <c r="I265" i="5"/>
  <c r="I269" i="5"/>
  <c r="I273" i="5"/>
  <c r="I277" i="5"/>
  <c r="I281" i="5"/>
  <c r="I285" i="5"/>
  <c r="I289" i="5"/>
  <c r="I297" i="5"/>
  <c r="I305" i="5"/>
  <c r="I313" i="5"/>
  <c r="I321" i="5"/>
  <c r="I329" i="5"/>
  <c r="I337" i="5"/>
  <c r="I345" i="5"/>
  <c r="I353" i="5"/>
  <c r="I361" i="5"/>
  <c r="I369" i="5"/>
  <c r="I377" i="5"/>
  <c r="I235" i="5"/>
  <c r="I243" i="5"/>
  <c r="I292" i="5"/>
  <c r="I300" i="5"/>
  <c r="I308" i="5"/>
  <c r="I316" i="5"/>
  <c r="I324" i="5"/>
  <c r="I332" i="5"/>
  <c r="I340" i="5"/>
  <c r="I348" i="5"/>
  <c r="I356" i="5"/>
  <c r="I364" i="5"/>
  <c r="I372" i="5"/>
  <c r="I380" i="5"/>
  <c r="I255" i="5"/>
  <c r="I263" i="5"/>
  <c r="I271" i="5"/>
  <c r="I279" i="5"/>
  <c r="I287" i="5"/>
  <c r="I293" i="5"/>
  <c r="I309" i="5"/>
  <c r="I325" i="5"/>
  <c r="I341" i="5"/>
  <c r="I357" i="5"/>
  <c r="I373" i="5"/>
  <c r="I304" i="5"/>
  <c r="I320" i="5"/>
  <c r="I336" i="5"/>
  <c r="I352" i="5"/>
  <c r="I368" i="5"/>
  <c r="I251" i="5"/>
  <c r="I267" i="5"/>
  <c r="I283" i="5"/>
  <c r="I317" i="5"/>
  <c r="I349" i="5"/>
  <c r="I381" i="5"/>
  <c r="I296" i="5"/>
  <c r="I328" i="5"/>
  <c r="I360" i="5"/>
  <c r="I275" i="5"/>
  <c r="I301" i="5"/>
  <c r="I365" i="5"/>
  <c r="I1223" i="5"/>
  <c r="L1223" i="5" s="1"/>
  <c r="I1225" i="5"/>
  <c r="I1227" i="5"/>
  <c r="I376" i="5"/>
  <c r="I239" i="5"/>
  <c r="I344" i="5"/>
  <c r="I259" i="5"/>
  <c r="I333" i="5"/>
  <c r="I1224" i="5"/>
  <c r="I1226" i="5"/>
  <c r="L1226" i="5" s="1"/>
  <c r="I1228" i="5"/>
  <c r="I312" i="5"/>
  <c r="K3" i="5"/>
  <c r="K5" i="5"/>
  <c r="K4" i="5"/>
  <c r="K6" i="5"/>
  <c r="K1204" i="5"/>
  <c r="K1205" i="5"/>
  <c r="K1206" i="5"/>
  <c r="K1207" i="5"/>
  <c r="K1208" i="5"/>
  <c r="K1209" i="5"/>
  <c r="K1210" i="5"/>
  <c r="K1211" i="5"/>
  <c r="K1212" i="5"/>
  <c r="K1213" i="5"/>
  <c r="K1214" i="5"/>
  <c r="K1215" i="5"/>
  <c r="K1216" i="5"/>
  <c r="K1217" i="5"/>
  <c r="K1218" i="5"/>
  <c r="K1219" i="5"/>
  <c r="K1220" i="5"/>
  <c r="K1221" i="5"/>
  <c r="K2" i="5"/>
  <c r="J1202" i="5"/>
  <c r="J1203" i="5"/>
  <c r="K135" i="5"/>
  <c r="K1198" i="5"/>
  <c r="K1197" i="5"/>
  <c r="K1196" i="5"/>
  <c r="J843" i="5"/>
  <c r="J1195" i="5"/>
  <c r="I1194" i="5"/>
  <c r="I1193" i="5"/>
  <c r="I1192" i="5"/>
  <c r="I798" i="5"/>
  <c r="I1191" i="5"/>
  <c r="K1183" i="5"/>
  <c r="K1187" i="5"/>
  <c r="K1182" i="5"/>
  <c r="K1186" i="5"/>
  <c r="K1181" i="5"/>
  <c r="K1189" i="5"/>
  <c r="K1856" i="5"/>
  <c r="K1857" i="5"/>
  <c r="K1858" i="5"/>
  <c r="K1859" i="5"/>
  <c r="K1860" i="5"/>
  <c r="K1861" i="5"/>
  <c r="K1862" i="5"/>
  <c r="K1863" i="5"/>
  <c r="K1864" i="5"/>
  <c r="K1867" i="5"/>
  <c r="K1184" i="5"/>
  <c r="K1185" i="5"/>
  <c r="K1188" i="5"/>
  <c r="K841" i="5"/>
  <c r="K842" i="5"/>
  <c r="K1159" i="5"/>
  <c r="K1163" i="5"/>
  <c r="K1167" i="5"/>
  <c r="K1162" i="5"/>
  <c r="K1166" i="5"/>
  <c r="K1165" i="5"/>
  <c r="K1160" i="5"/>
  <c r="K1161" i="5"/>
  <c r="K1164" i="5"/>
  <c r="J1150" i="5"/>
  <c r="J1151" i="5"/>
  <c r="J1152" i="5"/>
  <c r="J1153" i="5"/>
  <c r="J1154" i="5"/>
  <c r="J1155" i="5"/>
  <c r="J1156" i="5"/>
  <c r="J1157" i="5"/>
  <c r="J1158" i="5"/>
  <c r="I1146" i="5"/>
  <c r="I1145" i="5"/>
  <c r="I1149" i="5"/>
  <c r="I840" i="5"/>
  <c r="I1147" i="5"/>
  <c r="I1148" i="5"/>
  <c r="K1143" i="5"/>
  <c r="K1142" i="5"/>
  <c r="K1141" i="5"/>
  <c r="J214" i="5"/>
  <c r="J215" i="5"/>
  <c r="J216" i="5"/>
  <c r="J217" i="5"/>
  <c r="J218" i="5"/>
  <c r="J219" i="5"/>
  <c r="J220" i="5"/>
  <c r="J221" i="5"/>
  <c r="J222" i="5"/>
  <c r="J1140" i="5"/>
  <c r="I213" i="5"/>
  <c r="I1138" i="5"/>
  <c r="I839" i="5"/>
  <c r="I1137" i="5"/>
  <c r="I1136" i="5"/>
  <c r="I1139" i="5"/>
  <c r="I212" i="5"/>
  <c r="I1128" i="5"/>
  <c r="J211" i="5"/>
  <c r="J809" i="5"/>
  <c r="J1105" i="5"/>
  <c r="J1106" i="5"/>
  <c r="J1107" i="5"/>
  <c r="J1108" i="5"/>
  <c r="J1109" i="5"/>
  <c r="I807" i="5"/>
  <c r="I1104" i="5"/>
  <c r="I808" i="5"/>
  <c r="K188" i="5"/>
  <c r="K189" i="5"/>
  <c r="K190" i="5"/>
  <c r="K191" i="5"/>
  <c r="K192" i="5"/>
  <c r="K193" i="5"/>
  <c r="K194" i="5"/>
  <c r="K195" i="5"/>
  <c r="K196" i="5"/>
  <c r="K197" i="5"/>
  <c r="K198" i="5"/>
  <c r="K199" i="5"/>
  <c r="K200" i="5"/>
  <c r="K201" i="5"/>
  <c r="K202" i="5"/>
  <c r="K203" i="5"/>
  <c r="K204" i="5"/>
  <c r="K205" i="5"/>
  <c r="K206" i="5"/>
  <c r="K207" i="5"/>
  <c r="K208" i="5"/>
  <c r="K209" i="5"/>
  <c r="K210" i="5"/>
  <c r="J1099" i="5"/>
  <c r="J1100" i="5"/>
  <c r="I1090" i="5"/>
  <c r="I1094" i="5"/>
  <c r="I1089" i="5"/>
  <c r="I1093" i="5"/>
  <c r="I1088" i="5"/>
  <c r="I1096" i="5"/>
  <c r="I802" i="5"/>
  <c r="I1091" i="5"/>
  <c r="I1092" i="5"/>
  <c r="I1095" i="5"/>
  <c r="K803" i="5"/>
  <c r="K804" i="5"/>
  <c r="K805" i="5"/>
  <c r="K806" i="5"/>
  <c r="K1087" i="5"/>
  <c r="K1086" i="5"/>
  <c r="K1085" i="5"/>
  <c r="K1084" i="5"/>
  <c r="K1077" i="5"/>
  <c r="K1078" i="5"/>
  <c r="K1079" i="5"/>
  <c r="K1080" i="5"/>
  <c r="I1075" i="5"/>
  <c r="I796" i="5"/>
  <c r="I1076" i="5"/>
  <c r="K1070" i="5"/>
  <c r="K1071" i="5"/>
  <c r="K1072" i="5"/>
  <c r="K1073" i="5"/>
  <c r="K1074" i="5"/>
  <c r="J177" i="5"/>
  <c r="J178" i="5"/>
  <c r="J179" i="5"/>
  <c r="J180" i="5"/>
  <c r="J181" i="5"/>
  <c r="I382" i="5"/>
  <c r="I1063" i="5"/>
  <c r="I1065" i="5"/>
  <c r="I1067" i="5"/>
  <c r="I1069" i="5"/>
  <c r="I1064" i="5"/>
  <c r="I1068" i="5"/>
  <c r="L1068" i="5" s="1"/>
  <c r="I1066" i="5"/>
  <c r="J175" i="5"/>
  <c r="J176" i="5"/>
  <c r="J906" i="5"/>
  <c r="J907" i="5"/>
  <c r="J908" i="5"/>
  <c r="K172" i="5"/>
  <c r="K173" i="5"/>
  <c r="K174" i="5"/>
  <c r="I158" i="5"/>
  <c r="I160" i="5"/>
  <c r="I162" i="5"/>
  <c r="I164" i="5"/>
  <c r="I166" i="5"/>
  <c r="I168" i="5"/>
  <c r="I170" i="5"/>
  <c r="I161" i="5"/>
  <c r="I165" i="5"/>
  <c r="I169" i="5"/>
  <c r="I163" i="5"/>
  <c r="I171" i="5"/>
  <c r="I167" i="5"/>
  <c r="I159" i="5"/>
  <c r="I901" i="5"/>
  <c r="I900" i="5"/>
  <c r="I902" i="5"/>
  <c r="K151" i="5"/>
  <c r="K152" i="5"/>
  <c r="K898" i="5"/>
  <c r="K142" i="5"/>
  <c r="K896" i="5"/>
  <c r="J138" i="5"/>
  <c r="J139" i="5"/>
  <c r="J140" i="5"/>
  <c r="J141" i="5"/>
  <c r="J894" i="5"/>
  <c r="J895" i="5"/>
  <c r="J886" i="5"/>
  <c r="J887" i="5"/>
  <c r="J888" i="5"/>
  <c r="J889" i="5"/>
  <c r="J890" i="5"/>
  <c r="I136" i="5"/>
  <c r="I885" i="5"/>
  <c r="I82" i="5"/>
  <c r="I83" i="5"/>
  <c r="I84" i="5"/>
  <c r="I859" i="5"/>
  <c r="I861" i="5"/>
  <c r="I863" i="5"/>
  <c r="I865" i="5"/>
  <c r="I867" i="5"/>
  <c r="I869" i="5"/>
  <c r="I871" i="5"/>
  <c r="I873" i="5"/>
  <c r="I875" i="5"/>
  <c r="I860" i="5"/>
  <c r="I864" i="5"/>
  <c r="I868" i="5"/>
  <c r="I872" i="5"/>
  <c r="I866" i="5"/>
  <c r="I870" i="5"/>
  <c r="I874" i="5"/>
  <c r="I862" i="5"/>
  <c r="J146" i="5"/>
  <c r="J147" i="5"/>
  <c r="J148" i="5"/>
  <c r="J149" i="5"/>
  <c r="I81" i="5"/>
  <c r="I85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6" i="5"/>
  <c r="J80" i="5"/>
  <c r="J75" i="5"/>
  <c r="J79" i="5"/>
  <c r="J78" i="5"/>
  <c r="J77" i="5"/>
  <c r="J74" i="5"/>
  <c r="J848" i="5"/>
  <c r="J849" i="5"/>
  <c r="J850" i="5"/>
  <c r="J851" i="5"/>
  <c r="J852" i="5"/>
  <c r="J853" i="5"/>
  <c r="J854"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3" i="5"/>
  <c r="K297" i="5"/>
  <c r="K301" i="5"/>
  <c r="K305" i="5"/>
  <c r="K309" i="5"/>
  <c r="K313" i="5"/>
  <c r="K317" i="5"/>
  <c r="K321" i="5"/>
  <c r="K325" i="5"/>
  <c r="K329" i="5"/>
  <c r="K333" i="5"/>
  <c r="K337" i="5"/>
  <c r="K341" i="5"/>
  <c r="K345" i="5"/>
  <c r="K349" i="5"/>
  <c r="K353" i="5"/>
  <c r="K357" i="5"/>
  <c r="K361" i="5"/>
  <c r="K365" i="5"/>
  <c r="K369" i="5"/>
  <c r="K373" i="5"/>
  <c r="K377" i="5"/>
  <c r="K381" i="5"/>
  <c r="K292" i="5"/>
  <c r="K296" i="5"/>
  <c r="K300" i="5"/>
  <c r="K304" i="5"/>
  <c r="K308" i="5"/>
  <c r="K312" i="5"/>
  <c r="K316" i="5"/>
  <c r="K320" i="5"/>
  <c r="K324" i="5"/>
  <c r="K328" i="5"/>
  <c r="K332" i="5"/>
  <c r="K336" i="5"/>
  <c r="K340" i="5"/>
  <c r="K344" i="5"/>
  <c r="K348" i="5"/>
  <c r="K352" i="5"/>
  <c r="K356" i="5"/>
  <c r="K360" i="5"/>
  <c r="K364" i="5"/>
  <c r="K368" i="5"/>
  <c r="K372" i="5"/>
  <c r="K376" i="5"/>
  <c r="K380" i="5"/>
  <c r="K291" i="5"/>
  <c r="K299" i="5"/>
  <c r="K307" i="5"/>
  <c r="K315" i="5"/>
  <c r="K323" i="5"/>
  <c r="K331" i="5"/>
  <c r="K339" i="5"/>
  <c r="K347" i="5"/>
  <c r="K355" i="5"/>
  <c r="K363" i="5"/>
  <c r="K371" i="5"/>
  <c r="K379" i="5"/>
  <c r="K294" i="5"/>
  <c r="K302" i="5"/>
  <c r="K310" i="5"/>
  <c r="K318" i="5"/>
  <c r="K326" i="5"/>
  <c r="K334" i="5"/>
  <c r="K342" i="5"/>
  <c r="K350" i="5"/>
  <c r="K358" i="5"/>
  <c r="K366" i="5"/>
  <c r="K374" i="5"/>
  <c r="K303" i="5"/>
  <c r="K319" i="5"/>
  <c r="K335" i="5"/>
  <c r="K351" i="5"/>
  <c r="K367" i="5"/>
  <c r="K298" i="5"/>
  <c r="K314" i="5"/>
  <c r="K330" i="5"/>
  <c r="K346" i="5"/>
  <c r="K362" i="5"/>
  <c r="K378" i="5"/>
  <c r="K295" i="5"/>
  <c r="K327" i="5"/>
  <c r="K359" i="5"/>
  <c r="K1223" i="5"/>
  <c r="K1224" i="5"/>
  <c r="K1225" i="5"/>
  <c r="K1226" i="5"/>
  <c r="K1227" i="5"/>
  <c r="K1228" i="5"/>
  <c r="K306" i="5"/>
  <c r="K338" i="5"/>
  <c r="K370" i="5"/>
  <c r="K343" i="5"/>
  <c r="K322" i="5"/>
  <c r="K311" i="5"/>
  <c r="K375" i="5"/>
  <c r="K290" i="5"/>
  <c r="K354" i="5"/>
  <c r="I3" i="5"/>
  <c r="I4" i="5"/>
  <c r="I5" i="5"/>
  <c r="I6" i="5"/>
  <c r="I1205" i="5"/>
  <c r="L1205" i="5" s="1"/>
  <c r="I1207" i="5"/>
  <c r="L1207" i="5" s="1"/>
  <c r="I1209" i="5"/>
  <c r="I1211" i="5"/>
  <c r="I1213" i="5"/>
  <c r="I1215" i="5"/>
  <c r="I1217" i="5"/>
  <c r="I1219" i="5"/>
  <c r="I1221" i="5"/>
  <c r="I2" i="5"/>
  <c r="I1204" i="5"/>
  <c r="I1206" i="5"/>
  <c r="L1206" i="5" s="1"/>
  <c r="I1208" i="5"/>
  <c r="I1210" i="5"/>
  <c r="I1212" i="5"/>
  <c r="I1214" i="5"/>
  <c r="I1216" i="5"/>
  <c r="I1218" i="5"/>
  <c r="I1220" i="5"/>
  <c r="J1199" i="5"/>
  <c r="J1200" i="5"/>
  <c r="K798" i="5"/>
  <c r="K1191" i="5"/>
  <c r="K1194" i="5"/>
  <c r="K1192" i="5"/>
  <c r="K1193" i="5"/>
  <c r="I1162" i="5"/>
  <c r="I1166" i="5"/>
  <c r="I841" i="5"/>
  <c r="I1161" i="5"/>
  <c r="I1165" i="5"/>
  <c r="I1160" i="5"/>
  <c r="I1163" i="5"/>
  <c r="I1164" i="5"/>
  <c r="I1159" i="5"/>
  <c r="I842" i="5"/>
  <c r="I1167" i="5"/>
  <c r="K213" i="5"/>
  <c r="K839" i="5"/>
  <c r="K1139" i="5"/>
  <c r="K1138" i="5"/>
  <c r="K1136" i="5"/>
  <c r="K1137" i="5"/>
  <c r="J810" i="5"/>
  <c r="J811" i="5"/>
  <c r="J812" i="5"/>
  <c r="J813" i="5"/>
  <c r="J814" i="5"/>
  <c r="J815" i="5"/>
  <c r="J816" i="5"/>
  <c r="J817" i="5"/>
  <c r="J818" i="5"/>
  <c r="J819" i="5"/>
  <c r="J820" i="5"/>
  <c r="J821" i="5"/>
  <c r="J1101" i="5"/>
  <c r="J1102" i="5"/>
  <c r="J1103" i="5"/>
  <c r="I188" i="5"/>
  <c r="I190" i="5"/>
  <c r="I192" i="5"/>
  <c r="I194" i="5"/>
  <c r="I196" i="5"/>
  <c r="I198" i="5"/>
  <c r="I200" i="5"/>
  <c r="I202" i="5"/>
  <c r="I204" i="5"/>
  <c r="I206" i="5"/>
  <c r="I208" i="5"/>
  <c r="I210" i="5"/>
  <c r="I189" i="5"/>
  <c r="I193" i="5"/>
  <c r="I197" i="5"/>
  <c r="I201" i="5"/>
  <c r="I205" i="5"/>
  <c r="I209" i="5"/>
  <c r="I195" i="5"/>
  <c r="I203" i="5"/>
  <c r="I199" i="5"/>
  <c r="I191" i="5"/>
  <c r="I207" i="5"/>
  <c r="I1077" i="5"/>
  <c r="I1079" i="5"/>
  <c r="I1080" i="5"/>
  <c r="I1078" i="5"/>
  <c r="J182" i="5"/>
  <c r="J183" i="5"/>
  <c r="J184" i="5"/>
  <c r="J185" i="5"/>
  <c r="J186" i="5"/>
  <c r="J187" i="5"/>
  <c r="K382" i="5"/>
  <c r="K1063" i="5"/>
  <c r="K1064" i="5"/>
  <c r="K1065" i="5"/>
  <c r="K1066" i="5"/>
  <c r="K1067" i="5"/>
  <c r="K1068" i="5"/>
  <c r="K1069" i="5"/>
  <c r="J384" i="5"/>
  <c r="J388" i="5"/>
  <c r="J392" i="5"/>
  <c r="J396" i="5"/>
  <c r="J400" i="5"/>
  <c r="J404" i="5"/>
  <c r="J408" i="5"/>
  <c r="J412" i="5"/>
  <c r="J416" i="5"/>
  <c r="J420" i="5"/>
  <c r="J424" i="5"/>
  <c r="J428" i="5"/>
  <c r="J383" i="5"/>
  <c r="J386" i="5"/>
  <c r="J393" i="5"/>
  <c r="J395" i="5"/>
  <c r="J402" i="5"/>
  <c r="J409" i="5"/>
  <c r="J411" i="5"/>
  <c r="J418" i="5"/>
  <c r="J425" i="5"/>
  <c r="J427" i="5"/>
  <c r="J432" i="5"/>
  <c r="J436" i="5"/>
  <c r="J440" i="5"/>
  <c r="J444" i="5"/>
  <c r="J448" i="5"/>
  <c r="J452" i="5"/>
  <c r="J456" i="5"/>
  <c r="J460" i="5"/>
  <c r="J464" i="5"/>
  <c r="J468" i="5"/>
  <c r="J472" i="5"/>
  <c r="J476" i="5"/>
  <c r="J480" i="5"/>
  <c r="J484" i="5"/>
  <c r="J488" i="5"/>
  <c r="J492" i="5"/>
  <c r="J496" i="5"/>
  <c r="J500" i="5"/>
  <c r="J504" i="5"/>
  <c r="J505" i="5"/>
  <c r="J506" i="5"/>
  <c r="J507" i="5"/>
  <c r="J508" i="5"/>
  <c r="J509" i="5"/>
  <c r="J510" i="5"/>
  <c r="J511" i="5"/>
  <c r="J512" i="5"/>
  <c r="J513" i="5"/>
  <c r="J514" i="5"/>
  <c r="J515" i="5"/>
  <c r="J516" i="5"/>
  <c r="J517" i="5"/>
  <c r="J518" i="5"/>
  <c r="J519" i="5"/>
  <c r="J520" i="5"/>
  <c r="J521" i="5"/>
  <c r="J522" i="5"/>
  <c r="J523" i="5"/>
  <c r="J524" i="5"/>
  <c r="J525" i="5"/>
  <c r="J526" i="5"/>
  <c r="J527" i="5"/>
  <c r="J528" i="5"/>
  <c r="J529" i="5"/>
  <c r="J530" i="5"/>
  <c r="J531" i="5"/>
  <c r="J532" i="5"/>
  <c r="J533" i="5"/>
  <c r="J534" i="5"/>
  <c r="J535" i="5"/>
  <c r="J536" i="5"/>
  <c r="J537" i="5"/>
  <c r="J538" i="5"/>
  <c r="J539" i="5"/>
  <c r="J540" i="5"/>
  <c r="J541" i="5"/>
  <c r="J542" i="5"/>
  <c r="J543" i="5"/>
  <c r="J544" i="5"/>
  <c r="J545" i="5"/>
  <c r="J546" i="5"/>
  <c r="J547" i="5"/>
  <c r="J548" i="5"/>
  <c r="J549" i="5"/>
  <c r="J550" i="5"/>
  <c r="J551" i="5"/>
  <c r="J552" i="5"/>
  <c r="J553" i="5"/>
  <c r="J554" i="5"/>
  <c r="J555" i="5"/>
  <c r="J556" i="5"/>
  <c r="J557" i="5"/>
  <c r="J558" i="5"/>
  <c r="J559" i="5"/>
  <c r="J560" i="5"/>
  <c r="J561" i="5"/>
  <c r="J562" i="5"/>
  <c r="J563" i="5"/>
  <c r="J564" i="5"/>
  <c r="J565" i="5"/>
  <c r="J566" i="5"/>
  <c r="J567" i="5"/>
  <c r="J568" i="5"/>
  <c r="J569" i="5"/>
  <c r="J570"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J693" i="5"/>
  <c r="J694" i="5"/>
  <c r="J695" i="5"/>
  <c r="J696" i="5"/>
  <c r="J390" i="5"/>
  <c r="J397" i="5"/>
  <c r="J399" i="5"/>
  <c r="J406" i="5"/>
  <c r="J413" i="5"/>
  <c r="J415" i="5"/>
  <c r="J422" i="5"/>
  <c r="J429" i="5"/>
  <c r="J431" i="5"/>
  <c r="J435" i="5"/>
  <c r="J439" i="5"/>
  <c r="J443" i="5"/>
  <c r="J447" i="5"/>
  <c r="J451" i="5"/>
  <c r="J455" i="5"/>
  <c r="J459" i="5"/>
  <c r="J463" i="5"/>
  <c r="J467" i="5"/>
  <c r="J471" i="5"/>
  <c r="J475" i="5"/>
  <c r="J479" i="5"/>
  <c r="J483" i="5"/>
  <c r="J487" i="5"/>
  <c r="J491" i="5"/>
  <c r="J495" i="5"/>
  <c r="J499" i="5"/>
  <c r="J503" i="5"/>
  <c r="J387" i="5"/>
  <c r="J394" i="5"/>
  <c r="J401" i="5"/>
  <c r="J419" i="5"/>
  <c r="J426" i="5"/>
  <c r="J438" i="5"/>
  <c r="J446" i="5"/>
  <c r="J454" i="5"/>
  <c r="J462" i="5"/>
  <c r="J470" i="5"/>
  <c r="J478" i="5"/>
  <c r="J486" i="5"/>
  <c r="J494" i="5"/>
  <c r="J502"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910" i="5"/>
  <c r="J911" i="5"/>
  <c r="J912"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7" i="5"/>
  <c r="J968" i="5"/>
  <c r="J969" i="5"/>
  <c r="J970" i="5"/>
  <c r="J971" i="5"/>
  <c r="J972" i="5"/>
  <c r="J973" i="5"/>
  <c r="J974" i="5"/>
  <c r="J975" i="5"/>
  <c r="J976" i="5"/>
  <c r="J977" i="5"/>
  <c r="J978" i="5"/>
  <c r="J979" i="5"/>
  <c r="J980" i="5"/>
  <c r="J981" i="5"/>
  <c r="J982" i="5"/>
  <c r="J983" i="5"/>
  <c r="J984" i="5"/>
  <c r="J985" i="5"/>
  <c r="J986" i="5"/>
  <c r="J987" i="5"/>
  <c r="J988"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5" i="5"/>
  <c r="J1016" i="5"/>
  <c r="J1017" i="5"/>
  <c r="J1018" i="5"/>
  <c r="J1019" i="5"/>
  <c r="J1020" i="5"/>
  <c r="J1021" i="5"/>
  <c r="J1022" i="5"/>
  <c r="J1023" i="5"/>
  <c r="J1024" i="5"/>
  <c r="J1025" i="5"/>
  <c r="J1026" i="5"/>
  <c r="J1027" i="5"/>
  <c r="J1028" i="5"/>
  <c r="J1029" i="5"/>
  <c r="J1030" i="5"/>
  <c r="J1031" i="5"/>
  <c r="J1032" i="5"/>
  <c r="J1033" i="5"/>
  <c r="J1034" i="5"/>
  <c r="J1035" i="5"/>
  <c r="J1036" i="5"/>
  <c r="J1037" i="5"/>
  <c r="J1038" i="5"/>
  <c r="J1039" i="5"/>
  <c r="J1040" i="5"/>
  <c r="J1041" i="5"/>
  <c r="J1042" i="5"/>
  <c r="J1043" i="5"/>
  <c r="J1044" i="5"/>
  <c r="J1045" i="5"/>
  <c r="J1046" i="5"/>
  <c r="J1047" i="5"/>
  <c r="J1048" i="5"/>
  <c r="J1049" i="5"/>
  <c r="J1050" i="5"/>
  <c r="J1051" i="5"/>
  <c r="J1052" i="5"/>
  <c r="J1053" i="5"/>
  <c r="J1054" i="5"/>
  <c r="J1055" i="5"/>
  <c r="J1056" i="5"/>
  <c r="J1057" i="5"/>
  <c r="J1058" i="5"/>
  <c r="J1059" i="5"/>
  <c r="J1060" i="5"/>
  <c r="J1061" i="5"/>
  <c r="J1062" i="5"/>
  <c r="J391" i="5"/>
  <c r="J398" i="5"/>
  <c r="J405" i="5"/>
  <c r="J423" i="5"/>
  <c r="J430" i="5"/>
  <c r="J433" i="5"/>
  <c r="J441" i="5"/>
  <c r="J449" i="5"/>
  <c r="J457" i="5"/>
  <c r="J465" i="5"/>
  <c r="J473" i="5"/>
  <c r="J481" i="5"/>
  <c r="J489" i="5"/>
  <c r="J497" i="5"/>
  <c r="J403" i="5"/>
  <c r="J410" i="5"/>
  <c r="J417" i="5"/>
  <c r="J442" i="5"/>
  <c r="J458" i="5"/>
  <c r="J474" i="5"/>
  <c r="J490" i="5"/>
  <c r="J389" i="5"/>
  <c r="J437" i="5"/>
  <c r="J453" i="5"/>
  <c r="J469" i="5"/>
  <c r="J485" i="5"/>
  <c r="J501" i="5"/>
  <c r="J385" i="5"/>
  <c r="J450" i="5"/>
  <c r="J482" i="5"/>
  <c r="J414" i="5"/>
  <c r="J461" i="5"/>
  <c r="J493" i="5"/>
  <c r="J434" i="5"/>
  <c r="J466" i="5"/>
  <c r="J498" i="5"/>
  <c r="J407" i="5"/>
  <c r="J421" i="5"/>
  <c r="J445" i="5"/>
  <c r="J477" i="5"/>
  <c r="I172" i="5"/>
  <c r="I174" i="5"/>
  <c r="I173" i="5"/>
  <c r="J153" i="5"/>
  <c r="J154" i="5"/>
  <c r="J155" i="5"/>
  <c r="J156" i="5"/>
  <c r="J157" i="5"/>
  <c r="J899"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86" i="5"/>
  <c r="J127" i="5"/>
  <c r="J128" i="5"/>
  <c r="J129" i="5"/>
  <c r="J130" i="5"/>
  <c r="J131" i="5"/>
  <c r="J132" i="5"/>
  <c r="J133" i="5"/>
  <c r="J134" i="5"/>
  <c r="J233" i="5"/>
  <c r="J85" i="5"/>
  <c r="J878" i="5"/>
  <c r="J879" i="5"/>
  <c r="J880" i="5"/>
  <c r="L880" i="5" s="1"/>
  <c r="J881" i="5"/>
  <c r="J882" i="5"/>
  <c r="L882" i="5" s="1"/>
  <c r="J883" i="5"/>
  <c r="L883" i="5" s="1"/>
  <c r="J884" i="5"/>
  <c r="K84" i="5"/>
  <c r="K83" i="5"/>
  <c r="K82" i="5"/>
  <c r="K859" i="5"/>
  <c r="K860" i="5"/>
  <c r="K861" i="5"/>
  <c r="K862" i="5"/>
  <c r="K863" i="5"/>
  <c r="K864" i="5"/>
  <c r="K865" i="5"/>
  <c r="K866" i="5"/>
  <c r="K867" i="5"/>
  <c r="K868" i="5"/>
  <c r="K869" i="5"/>
  <c r="K870" i="5"/>
  <c r="K871" i="5"/>
  <c r="K872" i="5"/>
  <c r="K873" i="5"/>
  <c r="K874" i="5"/>
  <c r="K875" i="5"/>
  <c r="J1852" i="5"/>
  <c r="J1851" i="5"/>
  <c r="K1229" i="5"/>
  <c r="K1230" i="5"/>
  <c r="K1231" i="5"/>
  <c r="K1232" i="5"/>
  <c r="J234" i="5"/>
  <c r="J235" i="5"/>
  <c r="J236" i="5"/>
  <c r="J237" i="5"/>
  <c r="J238" i="5"/>
  <c r="J239" i="5"/>
  <c r="J240" i="5"/>
  <c r="J241" i="5"/>
  <c r="J242" i="5"/>
  <c r="J243" i="5"/>
  <c r="J244" i="5"/>
  <c r="J245" i="5"/>
  <c r="J248" i="5"/>
  <c r="J247" i="5"/>
  <c r="J292" i="5"/>
  <c r="J296" i="5"/>
  <c r="J300" i="5"/>
  <c r="J304" i="5"/>
  <c r="J308" i="5"/>
  <c r="J312" i="5"/>
  <c r="J316" i="5"/>
  <c r="J320" i="5"/>
  <c r="J324" i="5"/>
  <c r="J328" i="5"/>
  <c r="J332" i="5"/>
  <c r="J336" i="5"/>
  <c r="J340" i="5"/>
  <c r="J344" i="5"/>
  <c r="J348" i="5"/>
  <c r="J352" i="5"/>
  <c r="J356" i="5"/>
  <c r="J360" i="5"/>
  <c r="J364" i="5"/>
  <c r="J368" i="5"/>
  <c r="J372" i="5"/>
  <c r="J376" i="5"/>
  <c r="J380" i="5"/>
  <c r="J250" i="5"/>
  <c r="J252" i="5"/>
  <c r="J254" i="5"/>
  <c r="J256" i="5"/>
  <c r="J258" i="5"/>
  <c r="J260" i="5"/>
  <c r="J262" i="5"/>
  <c r="J264" i="5"/>
  <c r="J266" i="5"/>
  <c r="J268" i="5"/>
  <c r="J270" i="5"/>
  <c r="J272" i="5"/>
  <c r="J274" i="5"/>
  <c r="J276" i="5"/>
  <c r="J278" i="5"/>
  <c r="J280" i="5"/>
  <c r="J282" i="5"/>
  <c r="J284" i="5"/>
  <c r="J286" i="5"/>
  <c r="J288" i="5"/>
  <c r="J291" i="5"/>
  <c r="J295" i="5"/>
  <c r="J299" i="5"/>
  <c r="J303" i="5"/>
  <c r="J307" i="5"/>
  <c r="J311" i="5"/>
  <c r="J315" i="5"/>
  <c r="J319" i="5"/>
  <c r="J323" i="5"/>
  <c r="J327" i="5"/>
  <c r="J331" i="5"/>
  <c r="J335" i="5"/>
  <c r="J339" i="5"/>
  <c r="J343" i="5"/>
  <c r="J347" i="5"/>
  <c r="J351" i="5"/>
  <c r="J355" i="5"/>
  <c r="J359" i="5"/>
  <c r="J363" i="5"/>
  <c r="J367" i="5"/>
  <c r="J371" i="5"/>
  <c r="J375" i="5"/>
  <c r="J379" i="5"/>
  <c r="J294" i="5"/>
  <c r="J302" i="5"/>
  <c r="J310" i="5"/>
  <c r="J318" i="5"/>
  <c r="J326" i="5"/>
  <c r="J334" i="5"/>
  <c r="J342" i="5"/>
  <c r="J350" i="5"/>
  <c r="J358" i="5"/>
  <c r="J366" i="5"/>
  <c r="J374" i="5"/>
  <c r="J249" i="5"/>
  <c r="J253" i="5"/>
  <c r="J257" i="5"/>
  <c r="J261" i="5"/>
  <c r="J265" i="5"/>
  <c r="J269" i="5"/>
  <c r="J273" i="5"/>
  <c r="J277" i="5"/>
  <c r="J281" i="5"/>
  <c r="J285" i="5"/>
  <c r="J289" i="5"/>
  <c r="J297" i="5"/>
  <c r="J305" i="5"/>
  <c r="J313" i="5"/>
  <c r="J321" i="5"/>
  <c r="J329" i="5"/>
  <c r="J337" i="5"/>
  <c r="J345" i="5"/>
  <c r="J353" i="5"/>
  <c r="J361" i="5"/>
  <c r="J369" i="5"/>
  <c r="J377" i="5"/>
  <c r="J246" i="5"/>
  <c r="J298" i="5"/>
  <c r="J314" i="5"/>
  <c r="J330" i="5"/>
  <c r="J346" i="5"/>
  <c r="J362" i="5"/>
  <c r="J378" i="5"/>
  <c r="J255" i="5"/>
  <c r="J263" i="5"/>
  <c r="J271" i="5"/>
  <c r="J279" i="5"/>
  <c r="J287" i="5"/>
  <c r="J293" i="5"/>
  <c r="J309" i="5"/>
  <c r="J325" i="5"/>
  <c r="J341" i="5"/>
  <c r="J357" i="5"/>
  <c r="J373" i="5"/>
  <c r="J306" i="5"/>
  <c r="J338" i="5"/>
  <c r="J370" i="5"/>
  <c r="J251" i="5"/>
  <c r="J267" i="5"/>
  <c r="J283" i="5"/>
  <c r="J317" i="5"/>
  <c r="J349" i="5"/>
  <c r="J381" i="5"/>
  <c r="J322" i="5"/>
  <c r="J275" i="5"/>
  <c r="J301" i="5"/>
  <c r="J365" i="5"/>
  <c r="J1223" i="5"/>
  <c r="J1225" i="5"/>
  <c r="J1227" i="5"/>
  <c r="J290" i="5"/>
  <c r="J354" i="5"/>
  <c r="J259" i="5"/>
  <c r="J333" i="5"/>
  <c r="J1228" i="5"/>
  <c r="J1226" i="5"/>
  <c r="J1224" i="5"/>
  <c r="I1200" i="5"/>
  <c r="I1199" i="5"/>
  <c r="I224" i="5"/>
  <c r="I226" i="5"/>
  <c r="I228" i="5"/>
  <c r="I230" i="5"/>
  <c r="I232" i="5"/>
  <c r="I225" i="5"/>
  <c r="I229" i="5"/>
  <c r="I227" i="5"/>
  <c r="I231" i="5"/>
  <c r="I1190" i="5"/>
  <c r="K1151" i="5"/>
  <c r="K1155" i="5"/>
  <c r="K1150" i="5"/>
  <c r="K1154" i="5"/>
  <c r="K1158" i="5"/>
  <c r="K1157" i="5"/>
  <c r="K1152" i="5"/>
  <c r="K1153" i="5"/>
  <c r="K1156" i="5"/>
  <c r="K214" i="5"/>
  <c r="K215" i="5"/>
  <c r="K216" i="5"/>
  <c r="K217" i="5"/>
  <c r="K218" i="5"/>
  <c r="K219" i="5"/>
  <c r="K220" i="5"/>
  <c r="K221" i="5"/>
  <c r="K222" i="5"/>
  <c r="K1140" i="5"/>
  <c r="I1134" i="5"/>
  <c r="I823" i="5"/>
  <c r="I825" i="5"/>
  <c r="I827" i="5"/>
  <c r="I1133" i="5"/>
  <c r="I822" i="5"/>
  <c r="I824" i="5"/>
  <c r="I1131" i="5"/>
  <c r="I1132" i="5"/>
  <c r="I826" i="5"/>
  <c r="I1135" i="5"/>
  <c r="J212" i="5"/>
  <c r="J1128" i="5"/>
  <c r="K211" i="5"/>
  <c r="K809" i="5"/>
  <c r="K1107" i="5"/>
  <c r="K1106" i="5"/>
  <c r="K1109" i="5"/>
  <c r="K1105" i="5"/>
  <c r="K1108" i="5"/>
  <c r="I1102" i="5"/>
  <c r="I811" i="5"/>
  <c r="I813" i="5"/>
  <c r="I815" i="5"/>
  <c r="I817" i="5"/>
  <c r="I819" i="5"/>
  <c r="I821" i="5"/>
  <c r="I1101" i="5"/>
  <c r="I814" i="5"/>
  <c r="I812" i="5"/>
  <c r="I816" i="5"/>
  <c r="I820" i="5"/>
  <c r="I810" i="5"/>
  <c r="I818" i="5"/>
  <c r="I1103" i="5"/>
  <c r="K1099" i="5"/>
  <c r="K1100" i="5"/>
  <c r="J802" i="5"/>
  <c r="J1088" i="5"/>
  <c r="J1089" i="5"/>
  <c r="J1090" i="5"/>
  <c r="J1091" i="5"/>
  <c r="J1092" i="5"/>
  <c r="J1093" i="5"/>
  <c r="J1094" i="5"/>
  <c r="L1094" i="5" s="1"/>
  <c r="J1095" i="5"/>
  <c r="J1096" i="5"/>
  <c r="J796" i="5"/>
  <c r="J1075" i="5"/>
  <c r="J1076" i="5"/>
  <c r="K177" i="5"/>
  <c r="K178" i="5"/>
  <c r="K179" i="5"/>
  <c r="K180" i="5"/>
  <c r="K181" i="5"/>
  <c r="I383" i="5"/>
  <c r="I387" i="5"/>
  <c r="I391" i="5"/>
  <c r="I395" i="5"/>
  <c r="I399" i="5"/>
  <c r="I403" i="5"/>
  <c r="I407" i="5"/>
  <c r="I411" i="5"/>
  <c r="I415" i="5"/>
  <c r="I419" i="5"/>
  <c r="I423" i="5"/>
  <c r="I427" i="5"/>
  <c r="I431" i="5"/>
  <c r="I388" i="5"/>
  <c r="I390" i="5"/>
  <c r="I397" i="5"/>
  <c r="I404" i="5"/>
  <c r="I406" i="5"/>
  <c r="I413" i="5"/>
  <c r="I420" i="5"/>
  <c r="I422" i="5"/>
  <c r="I429" i="5"/>
  <c r="I435" i="5"/>
  <c r="I439" i="5"/>
  <c r="I443" i="5"/>
  <c r="I447" i="5"/>
  <c r="I451" i="5"/>
  <c r="I455" i="5"/>
  <c r="I459" i="5"/>
  <c r="I463" i="5"/>
  <c r="I467" i="5"/>
  <c r="I471" i="5"/>
  <c r="I475" i="5"/>
  <c r="I479" i="5"/>
  <c r="I483" i="5"/>
  <c r="I487" i="5"/>
  <c r="I491" i="5"/>
  <c r="I495" i="5"/>
  <c r="I499" i="5"/>
  <c r="I503" i="5"/>
  <c r="I385" i="5"/>
  <c r="I392" i="5"/>
  <c r="I394" i="5"/>
  <c r="I401" i="5"/>
  <c r="I408" i="5"/>
  <c r="I410" i="5"/>
  <c r="I417" i="5"/>
  <c r="I424" i="5"/>
  <c r="I426" i="5"/>
  <c r="I434" i="5"/>
  <c r="I438" i="5"/>
  <c r="I442" i="5"/>
  <c r="I446" i="5"/>
  <c r="I450" i="5"/>
  <c r="I454" i="5"/>
  <c r="I458" i="5"/>
  <c r="I462" i="5"/>
  <c r="I466" i="5"/>
  <c r="I470" i="5"/>
  <c r="I474" i="5"/>
  <c r="I478" i="5"/>
  <c r="I482" i="5"/>
  <c r="I486" i="5"/>
  <c r="I490" i="5"/>
  <c r="I494" i="5"/>
  <c r="I498" i="5"/>
  <c r="I502" i="5"/>
  <c r="I398" i="5"/>
  <c r="I405" i="5"/>
  <c r="I412" i="5"/>
  <c r="I430" i="5"/>
  <c r="I433" i="5"/>
  <c r="I441" i="5"/>
  <c r="I449" i="5"/>
  <c r="I457" i="5"/>
  <c r="I465" i="5"/>
  <c r="I473" i="5"/>
  <c r="I481" i="5"/>
  <c r="I489" i="5"/>
  <c r="I497" i="5"/>
  <c r="I680" i="5"/>
  <c r="I684" i="5"/>
  <c r="I688" i="5"/>
  <c r="I692" i="5"/>
  <c r="I696" i="5"/>
  <c r="I384" i="5"/>
  <c r="I402" i="5"/>
  <c r="I409" i="5"/>
  <c r="I416" i="5"/>
  <c r="I436" i="5"/>
  <c r="I444" i="5"/>
  <c r="I452" i="5"/>
  <c r="I460" i="5"/>
  <c r="I468" i="5"/>
  <c r="I476" i="5"/>
  <c r="I484" i="5"/>
  <c r="I492" i="5"/>
  <c r="I500" i="5"/>
  <c r="I505" i="5"/>
  <c r="I507" i="5"/>
  <c r="I509" i="5"/>
  <c r="I511" i="5"/>
  <c r="I513" i="5"/>
  <c r="I515" i="5"/>
  <c r="I517" i="5"/>
  <c r="I519" i="5"/>
  <c r="I521" i="5"/>
  <c r="I523" i="5"/>
  <c r="I525" i="5"/>
  <c r="I527" i="5"/>
  <c r="I529" i="5"/>
  <c r="I531" i="5"/>
  <c r="I533" i="5"/>
  <c r="I535" i="5"/>
  <c r="I537" i="5"/>
  <c r="I539" i="5"/>
  <c r="I541" i="5"/>
  <c r="I543" i="5"/>
  <c r="I545" i="5"/>
  <c r="I547" i="5"/>
  <c r="I549" i="5"/>
  <c r="I551" i="5"/>
  <c r="I553" i="5"/>
  <c r="I555" i="5"/>
  <c r="I557" i="5"/>
  <c r="I559" i="5"/>
  <c r="I561" i="5"/>
  <c r="I563" i="5"/>
  <c r="I565" i="5"/>
  <c r="I567" i="5"/>
  <c r="I569" i="5"/>
  <c r="I571" i="5"/>
  <c r="I573" i="5"/>
  <c r="I575" i="5"/>
  <c r="I577" i="5"/>
  <c r="I579" i="5"/>
  <c r="I581" i="5"/>
  <c r="I583" i="5"/>
  <c r="I585" i="5"/>
  <c r="I587" i="5"/>
  <c r="I589" i="5"/>
  <c r="I591" i="5"/>
  <c r="I593" i="5"/>
  <c r="I595" i="5"/>
  <c r="I597" i="5"/>
  <c r="I599" i="5"/>
  <c r="I601" i="5"/>
  <c r="I603" i="5"/>
  <c r="I605" i="5"/>
  <c r="I607" i="5"/>
  <c r="I609" i="5"/>
  <c r="I611" i="5"/>
  <c r="I613" i="5"/>
  <c r="I615" i="5"/>
  <c r="I617" i="5"/>
  <c r="I619" i="5"/>
  <c r="I621" i="5"/>
  <c r="I623" i="5"/>
  <c r="I625" i="5"/>
  <c r="I627" i="5"/>
  <c r="I629" i="5"/>
  <c r="I631" i="5"/>
  <c r="I633" i="5"/>
  <c r="I635" i="5"/>
  <c r="I637" i="5"/>
  <c r="I639" i="5"/>
  <c r="I641" i="5"/>
  <c r="I643" i="5"/>
  <c r="I645" i="5"/>
  <c r="I647" i="5"/>
  <c r="I649" i="5"/>
  <c r="I651" i="5"/>
  <c r="I653" i="5"/>
  <c r="I655" i="5"/>
  <c r="I657" i="5"/>
  <c r="I659" i="5"/>
  <c r="I661" i="5"/>
  <c r="I663" i="5"/>
  <c r="I665" i="5"/>
  <c r="I667" i="5"/>
  <c r="I669" i="5"/>
  <c r="I671" i="5"/>
  <c r="I673" i="5"/>
  <c r="I675" i="5"/>
  <c r="I677" i="5"/>
  <c r="I679" i="5"/>
  <c r="I683" i="5"/>
  <c r="I687" i="5"/>
  <c r="I691" i="5"/>
  <c r="I695" i="5"/>
  <c r="I389" i="5"/>
  <c r="I396" i="5"/>
  <c r="I437" i="5"/>
  <c r="I453" i="5"/>
  <c r="I469" i="5"/>
  <c r="I485" i="5"/>
  <c r="I501" i="5"/>
  <c r="I686" i="5"/>
  <c r="I694" i="5"/>
  <c r="I418" i="5"/>
  <c r="I425" i="5"/>
  <c r="I432" i="5"/>
  <c r="I448" i="5"/>
  <c r="I464" i="5"/>
  <c r="I480" i="5"/>
  <c r="I496" i="5"/>
  <c r="I506" i="5"/>
  <c r="I510" i="5"/>
  <c r="I514" i="5"/>
  <c r="I518" i="5"/>
  <c r="I522" i="5"/>
  <c r="I526" i="5"/>
  <c r="I530" i="5"/>
  <c r="I534" i="5"/>
  <c r="I538" i="5"/>
  <c r="I542" i="5"/>
  <c r="I546" i="5"/>
  <c r="I550" i="5"/>
  <c r="I554" i="5"/>
  <c r="I558" i="5"/>
  <c r="I562" i="5"/>
  <c r="I566" i="5"/>
  <c r="I570" i="5"/>
  <c r="I574" i="5"/>
  <c r="I578" i="5"/>
  <c r="I582" i="5"/>
  <c r="I586" i="5"/>
  <c r="I590" i="5"/>
  <c r="I594" i="5"/>
  <c r="I598" i="5"/>
  <c r="I602" i="5"/>
  <c r="I606" i="5"/>
  <c r="I610" i="5"/>
  <c r="I614" i="5"/>
  <c r="I618" i="5"/>
  <c r="I622" i="5"/>
  <c r="I626" i="5"/>
  <c r="I630" i="5"/>
  <c r="I634" i="5"/>
  <c r="I638" i="5"/>
  <c r="I642" i="5"/>
  <c r="I646" i="5"/>
  <c r="I650" i="5"/>
  <c r="I654" i="5"/>
  <c r="I658" i="5"/>
  <c r="I662" i="5"/>
  <c r="I666" i="5"/>
  <c r="I670" i="5"/>
  <c r="I674" i="5"/>
  <c r="I678" i="5"/>
  <c r="I681" i="5"/>
  <c r="I689" i="5"/>
  <c r="I697" i="5"/>
  <c r="I699" i="5"/>
  <c r="I701" i="5"/>
  <c r="I703" i="5"/>
  <c r="I705" i="5"/>
  <c r="I707" i="5"/>
  <c r="I709" i="5"/>
  <c r="I711" i="5"/>
  <c r="I713" i="5"/>
  <c r="I715" i="5"/>
  <c r="I717" i="5"/>
  <c r="I719" i="5"/>
  <c r="I721" i="5"/>
  <c r="I723" i="5"/>
  <c r="I725" i="5"/>
  <c r="I727" i="5"/>
  <c r="I729" i="5"/>
  <c r="I731" i="5"/>
  <c r="I733" i="5"/>
  <c r="I735" i="5"/>
  <c r="I737" i="5"/>
  <c r="I739" i="5"/>
  <c r="I741" i="5"/>
  <c r="I743" i="5"/>
  <c r="I745" i="5"/>
  <c r="I747" i="5"/>
  <c r="I749" i="5"/>
  <c r="I751" i="5"/>
  <c r="I753" i="5"/>
  <c r="I755" i="5"/>
  <c r="I757" i="5"/>
  <c r="I759" i="5"/>
  <c r="I761" i="5"/>
  <c r="I763" i="5"/>
  <c r="I765" i="5"/>
  <c r="I767" i="5"/>
  <c r="I769" i="5"/>
  <c r="I771" i="5"/>
  <c r="I773" i="5"/>
  <c r="I775" i="5"/>
  <c r="I777" i="5"/>
  <c r="I779" i="5"/>
  <c r="I781" i="5"/>
  <c r="I783" i="5"/>
  <c r="I785" i="5"/>
  <c r="I787" i="5"/>
  <c r="I789" i="5"/>
  <c r="I791" i="5"/>
  <c r="I793" i="5"/>
  <c r="I911" i="5"/>
  <c r="I913" i="5"/>
  <c r="I915" i="5"/>
  <c r="I917" i="5"/>
  <c r="I919" i="5"/>
  <c r="I921" i="5"/>
  <c r="I923" i="5"/>
  <c r="I925" i="5"/>
  <c r="I927" i="5"/>
  <c r="I929" i="5"/>
  <c r="I931" i="5"/>
  <c r="I933" i="5"/>
  <c r="I935" i="5"/>
  <c r="I937" i="5"/>
  <c r="I939" i="5"/>
  <c r="I941" i="5"/>
  <c r="I943" i="5"/>
  <c r="I945" i="5"/>
  <c r="I947" i="5"/>
  <c r="I949" i="5"/>
  <c r="I951" i="5"/>
  <c r="I953" i="5"/>
  <c r="I955" i="5"/>
  <c r="I957" i="5"/>
  <c r="I959" i="5"/>
  <c r="I961" i="5"/>
  <c r="I963" i="5"/>
  <c r="I965" i="5"/>
  <c r="I967" i="5"/>
  <c r="I969" i="5"/>
  <c r="I971" i="5"/>
  <c r="I973" i="5"/>
  <c r="I975" i="5"/>
  <c r="I977" i="5"/>
  <c r="I979" i="5"/>
  <c r="I981" i="5"/>
  <c r="I983" i="5"/>
  <c r="I985" i="5"/>
  <c r="I987" i="5"/>
  <c r="I989" i="5"/>
  <c r="I991" i="5"/>
  <c r="I993" i="5"/>
  <c r="I995" i="5"/>
  <c r="I997" i="5"/>
  <c r="I999" i="5"/>
  <c r="I1001" i="5"/>
  <c r="I1003" i="5"/>
  <c r="I1005" i="5"/>
  <c r="I1007" i="5"/>
  <c r="I1009" i="5"/>
  <c r="I1011" i="5"/>
  <c r="I1013" i="5"/>
  <c r="I1015" i="5"/>
  <c r="I1017" i="5"/>
  <c r="I1019" i="5"/>
  <c r="I1021" i="5"/>
  <c r="I1023" i="5"/>
  <c r="I1025" i="5"/>
  <c r="I1027" i="5"/>
  <c r="I1029" i="5"/>
  <c r="I1031" i="5"/>
  <c r="I1033" i="5"/>
  <c r="I1035" i="5"/>
  <c r="I1037" i="5"/>
  <c r="I1039" i="5"/>
  <c r="I1041" i="5"/>
  <c r="I1043" i="5"/>
  <c r="I1045" i="5"/>
  <c r="I1047" i="5"/>
  <c r="I1049" i="5"/>
  <c r="I1051" i="5"/>
  <c r="I1053" i="5"/>
  <c r="I1055" i="5"/>
  <c r="I1057" i="5"/>
  <c r="I1059" i="5"/>
  <c r="I1061" i="5"/>
  <c r="I414" i="5"/>
  <c r="I428" i="5"/>
  <c r="I461" i="5"/>
  <c r="I493" i="5"/>
  <c r="I690" i="5"/>
  <c r="I524" i="5"/>
  <c r="I540" i="5"/>
  <c r="I556" i="5"/>
  <c r="I572" i="5"/>
  <c r="I588" i="5"/>
  <c r="I604" i="5"/>
  <c r="I620" i="5"/>
  <c r="I636" i="5"/>
  <c r="I652" i="5"/>
  <c r="I668" i="5"/>
  <c r="I698" i="5"/>
  <c r="I706" i="5"/>
  <c r="I714" i="5"/>
  <c r="I722" i="5"/>
  <c r="I730" i="5"/>
  <c r="I738" i="5"/>
  <c r="I746" i="5"/>
  <c r="I750" i="5"/>
  <c r="I758" i="5"/>
  <c r="I766" i="5"/>
  <c r="I774" i="5"/>
  <c r="I786" i="5"/>
  <c r="I794" i="5"/>
  <c r="I386" i="5"/>
  <c r="I400" i="5"/>
  <c r="I440" i="5"/>
  <c r="I472" i="5"/>
  <c r="I504" i="5"/>
  <c r="I512" i="5"/>
  <c r="I520" i="5"/>
  <c r="I528" i="5"/>
  <c r="I536" i="5"/>
  <c r="I544" i="5"/>
  <c r="I552" i="5"/>
  <c r="I560" i="5"/>
  <c r="I568" i="5"/>
  <c r="I576" i="5"/>
  <c r="I584" i="5"/>
  <c r="I592" i="5"/>
  <c r="I600" i="5"/>
  <c r="I608" i="5"/>
  <c r="I616" i="5"/>
  <c r="I624" i="5"/>
  <c r="I632" i="5"/>
  <c r="I640" i="5"/>
  <c r="I648" i="5"/>
  <c r="I656" i="5"/>
  <c r="I664" i="5"/>
  <c r="I672" i="5"/>
  <c r="I685" i="5"/>
  <c r="I700" i="5"/>
  <c r="I704" i="5"/>
  <c r="I708" i="5"/>
  <c r="I712" i="5"/>
  <c r="I716" i="5"/>
  <c r="I720" i="5"/>
  <c r="I724" i="5"/>
  <c r="I728" i="5"/>
  <c r="I732" i="5"/>
  <c r="I736" i="5"/>
  <c r="I740" i="5"/>
  <c r="I744" i="5"/>
  <c r="I748" i="5"/>
  <c r="I752" i="5"/>
  <c r="I756" i="5"/>
  <c r="I760" i="5"/>
  <c r="I764" i="5"/>
  <c r="I768" i="5"/>
  <c r="I772" i="5"/>
  <c r="I776" i="5"/>
  <c r="I780" i="5"/>
  <c r="I784" i="5"/>
  <c r="I788" i="5"/>
  <c r="I792" i="5"/>
  <c r="I912" i="5"/>
  <c r="I916" i="5"/>
  <c r="I920" i="5"/>
  <c r="I924" i="5"/>
  <c r="L924" i="5" s="1"/>
  <c r="I928" i="5"/>
  <c r="I932" i="5"/>
  <c r="I936" i="5"/>
  <c r="I940" i="5"/>
  <c r="I944" i="5"/>
  <c r="I948" i="5"/>
  <c r="I952" i="5"/>
  <c r="I956" i="5"/>
  <c r="I960" i="5"/>
  <c r="I964" i="5"/>
  <c r="I968" i="5"/>
  <c r="I972" i="5"/>
  <c r="I976" i="5"/>
  <c r="I980" i="5"/>
  <c r="I984" i="5"/>
  <c r="I988" i="5"/>
  <c r="I992" i="5"/>
  <c r="I996" i="5"/>
  <c r="I1000" i="5"/>
  <c r="I1004" i="5"/>
  <c r="I1008" i="5"/>
  <c r="I1012" i="5"/>
  <c r="L1012" i="5" s="1"/>
  <c r="I1016" i="5"/>
  <c r="I1020" i="5"/>
  <c r="I1024" i="5"/>
  <c r="I1028" i="5"/>
  <c r="I1032" i="5"/>
  <c r="I1036" i="5"/>
  <c r="I1040" i="5"/>
  <c r="L1040" i="5" s="1"/>
  <c r="I1044" i="5"/>
  <c r="I1048" i="5"/>
  <c r="I1052" i="5"/>
  <c r="I1056" i="5"/>
  <c r="I1060" i="5"/>
  <c r="I421" i="5"/>
  <c r="I445" i="5"/>
  <c r="I477" i="5"/>
  <c r="I682" i="5"/>
  <c r="I393" i="5"/>
  <c r="I456" i="5"/>
  <c r="I488" i="5"/>
  <c r="I508" i="5"/>
  <c r="I516" i="5"/>
  <c r="I532" i="5"/>
  <c r="I548" i="5"/>
  <c r="I564" i="5"/>
  <c r="I580" i="5"/>
  <c r="I596" i="5"/>
  <c r="I612" i="5"/>
  <c r="I628" i="5"/>
  <c r="I644" i="5"/>
  <c r="I660" i="5"/>
  <c r="I676" i="5"/>
  <c r="I693" i="5"/>
  <c r="I702" i="5"/>
  <c r="I710" i="5"/>
  <c r="I718" i="5"/>
  <c r="I726" i="5"/>
  <c r="I734" i="5"/>
  <c r="I742" i="5"/>
  <c r="I754" i="5"/>
  <c r="I762" i="5"/>
  <c r="I770" i="5"/>
  <c r="I778" i="5"/>
  <c r="I782" i="5"/>
  <c r="I790" i="5"/>
  <c r="I914" i="5"/>
  <c r="I930" i="5"/>
  <c r="I946" i="5"/>
  <c r="I962" i="5"/>
  <c r="I978" i="5"/>
  <c r="I994" i="5"/>
  <c r="I1010" i="5"/>
  <c r="I1026" i="5"/>
  <c r="I1042" i="5"/>
  <c r="I1058" i="5"/>
  <c r="I926" i="5"/>
  <c r="I958" i="5"/>
  <c r="I990" i="5"/>
  <c r="I1022" i="5"/>
  <c r="I1054" i="5"/>
  <c r="I918" i="5"/>
  <c r="I934" i="5"/>
  <c r="I950" i="5"/>
  <c r="I966" i="5"/>
  <c r="I982" i="5"/>
  <c r="I998" i="5"/>
  <c r="I1014" i="5"/>
  <c r="I1030" i="5"/>
  <c r="I1046" i="5"/>
  <c r="I1062" i="5"/>
  <c r="I922" i="5"/>
  <c r="I938" i="5"/>
  <c r="I954" i="5"/>
  <c r="I970" i="5"/>
  <c r="I986" i="5"/>
  <c r="I1002" i="5"/>
  <c r="I1018" i="5"/>
  <c r="I1034" i="5"/>
  <c r="I1050" i="5"/>
  <c r="I910" i="5"/>
  <c r="I942" i="5"/>
  <c r="I974" i="5"/>
  <c r="I1006" i="5"/>
  <c r="I1038" i="5"/>
  <c r="K886" i="5"/>
  <c r="K887" i="5"/>
  <c r="K888" i="5"/>
  <c r="K889" i="5"/>
  <c r="K890" i="5"/>
  <c r="J81" i="5"/>
  <c r="J856" i="5"/>
  <c r="L856" i="5" s="1"/>
  <c r="K7" i="5"/>
  <c r="K9" i="5"/>
  <c r="K11" i="5"/>
  <c r="K13" i="5"/>
  <c r="K15" i="5"/>
  <c r="K17" i="5"/>
  <c r="K19" i="5"/>
  <c r="K21" i="5"/>
  <c r="K23" i="5"/>
  <c r="K25" i="5"/>
  <c r="K27" i="5"/>
  <c r="K29" i="5"/>
  <c r="K31" i="5"/>
  <c r="K33" i="5"/>
  <c r="K35" i="5"/>
  <c r="K37" i="5"/>
  <c r="K39" i="5"/>
  <c r="K41" i="5"/>
  <c r="K43" i="5"/>
  <c r="K45" i="5"/>
  <c r="K47" i="5"/>
  <c r="K49" i="5"/>
  <c r="K51" i="5"/>
  <c r="K53" i="5"/>
  <c r="K55" i="5"/>
  <c r="K57" i="5"/>
  <c r="K59" i="5"/>
  <c r="K61" i="5"/>
  <c r="K63" i="5"/>
  <c r="K65" i="5"/>
  <c r="K67" i="5"/>
  <c r="K69" i="5"/>
  <c r="K71" i="5"/>
  <c r="K73" i="5"/>
  <c r="K77" i="5"/>
  <c r="K76" i="5"/>
  <c r="K80" i="5"/>
  <c r="K8" i="5"/>
  <c r="K12" i="5"/>
  <c r="K16" i="5"/>
  <c r="K20" i="5"/>
  <c r="K24" i="5"/>
  <c r="K28" i="5"/>
  <c r="K32" i="5"/>
  <c r="K36" i="5"/>
  <c r="K40" i="5"/>
  <c r="K44" i="5"/>
  <c r="K48" i="5"/>
  <c r="K52" i="5"/>
  <c r="K56" i="5"/>
  <c r="K60" i="5"/>
  <c r="K64" i="5"/>
  <c r="K68" i="5"/>
  <c r="K72" i="5"/>
  <c r="K75" i="5"/>
  <c r="K78" i="5"/>
  <c r="K14" i="5"/>
  <c r="K22" i="5"/>
  <c r="K30" i="5"/>
  <c r="K38" i="5"/>
  <c r="K46" i="5"/>
  <c r="K54" i="5"/>
  <c r="K62" i="5"/>
  <c r="K70" i="5"/>
  <c r="K10" i="5"/>
  <c r="K26" i="5"/>
  <c r="K42" i="5"/>
  <c r="K58" i="5"/>
  <c r="K74" i="5"/>
  <c r="K18" i="5"/>
  <c r="K50" i="5"/>
  <c r="K79" i="5"/>
  <c r="K34" i="5"/>
  <c r="K848" i="5"/>
  <c r="K849" i="5"/>
  <c r="K850" i="5"/>
  <c r="K851" i="5"/>
  <c r="K852" i="5"/>
  <c r="K853" i="5"/>
  <c r="K854" i="5"/>
  <c r="K66" i="5"/>
  <c r="I1853" i="5"/>
  <c r="I1854" i="5"/>
  <c r="K1234" i="5"/>
  <c r="K1235" i="5"/>
  <c r="K1236" i="5"/>
  <c r="K1237" i="5"/>
  <c r="K1238" i="5"/>
  <c r="K1239" i="5"/>
  <c r="K1240" i="5"/>
  <c r="K1241" i="5"/>
  <c r="K1242" i="5"/>
  <c r="K1243" i="5"/>
  <c r="K1244" i="5"/>
  <c r="K1245" i="5"/>
  <c r="K1246" i="5"/>
  <c r="K1247" i="5"/>
  <c r="K1248" i="5"/>
  <c r="K1249" i="5"/>
  <c r="K1250" i="5"/>
  <c r="K1251" i="5"/>
  <c r="K1252" i="5"/>
  <c r="K1253" i="5"/>
  <c r="K1254" i="5"/>
  <c r="K1255" i="5"/>
  <c r="K1256" i="5"/>
  <c r="K1257" i="5"/>
  <c r="K1258" i="5"/>
  <c r="K1259" i="5"/>
  <c r="K1260" i="5"/>
  <c r="K1261" i="5"/>
  <c r="K1262" i="5"/>
  <c r="K1263" i="5"/>
  <c r="K1264" i="5"/>
  <c r="K1265" i="5"/>
  <c r="K1266" i="5"/>
  <c r="K1267" i="5"/>
  <c r="K1268" i="5"/>
  <c r="K1269" i="5"/>
  <c r="K1270" i="5"/>
  <c r="K1271" i="5"/>
  <c r="K1272" i="5"/>
  <c r="K1273" i="5"/>
  <c r="K1274" i="5"/>
  <c r="K1275" i="5"/>
  <c r="K1276" i="5"/>
  <c r="K1277" i="5"/>
  <c r="K1278" i="5"/>
  <c r="K1279" i="5"/>
  <c r="K1280" i="5"/>
  <c r="K1281" i="5"/>
  <c r="K1282" i="5"/>
  <c r="K1283" i="5"/>
  <c r="K1284" i="5"/>
  <c r="K1285" i="5"/>
  <c r="K1286" i="5"/>
  <c r="K1287" i="5"/>
  <c r="K1288" i="5"/>
  <c r="K1289" i="5"/>
  <c r="K1290" i="5"/>
  <c r="K1291" i="5"/>
  <c r="K1292" i="5"/>
  <c r="K1293" i="5"/>
  <c r="K1294" i="5"/>
  <c r="K1295" i="5"/>
  <c r="K1296" i="5"/>
  <c r="K1297" i="5"/>
  <c r="K1298" i="5"/>
  <c r="K1299" i="5"/>
  <c r="K1300" i="5"/>
  <c r="K1301" i="5"/>
  <c r="K1302" i="5"/>
  <c r="K1303" i="5"/>
  <c r="K1304" i="5"/>
  <c r="K1305" i="5"/>
  <c r="K1306" i="5"/>
  <c r="K1307" i="5"/>
  <c r="K1308" i="5"/>
  <c r="K1309" i="5"/>
  <c r="K1310" i="5"/>
  <c r="K1311" i="5"/>
  <c r="K1312" i="5"/>
  <c r="K1313" i="5"/>
  <c r="K1314" i="5"/>
  <c r="K1315" i="5"/>
  <c r="K1316" i="5"/>
  <c r="K1317" i="5"/>
  <c r="K1318" i="5"/>
  <c r="K1322" i="5"/>
  <c r="K1326" i="5"/>
  <c r="K1330" i="5"/>
  <c r="K1334" i="5"/>
  <c r="K1338" i="5"/>
  <c r="K1342" i="5"/>
  <c r="K1346" i="5"/>
  <c r="K1350" i="5"/>
  <c r="K1354" i="5"/>
  <c r="K1358" i="5"/>
  <c r="K1362" i="5"/>
  <c r="K1366" i="5"/>
  <c r="K1370" i="5"/>
  <c r="K1374" i="5"/>
  <c r="K1378" i="5"/>
  <c r="K1382" i="5"/>
  <c r="K1386" i="5"/>
  <c r="K1390" i="5"/>
  <c r="K1394" i="5"/>
  <c r="K1398" i="5"/>
  <c r="K1402" i="5"/>
  <c r="K1406" i="5"/>
  <c r="K1410" i="5"/>
  <c r="K1414" i="5"/>
  <c r="K1418" i="5"/>
  <c r="K1422" i="5"/>
  <c r="K1426" i="5"/>
  <c r="K1430" i="5"/>
  <c r="K1434" i="5"/>
  <c r="K1438" i="5"/>
  <c r="K1442" i="5"/>
  <c r="K1446" i="5"/>
  <c r="K1450" i="5"/>
  <c r="K1454" i="5"/>
  <c r="K1458" i="5"/>
  <c r="K1462" i="5"/>
  <c r="K1466" i="5"/>
  <c r="K1470" i="5"/>
  <c r="K1474" i="5"/>
  <c r="K1478" i="5"/>
  <c r="K1482" i="5"/>
  <c r="K1486" i="5"/>
  <c r="K1490" i="5"/>
  <c r="K1494" i="5"/>
  <c r="K1498" i="5"/>
  <c r="K1502" i="5"/>
  <c r="K1506" i="5"/>
  <c r="K1510" i="5"/>
  <c r="K1514" i="5"/>
  <c r="K1515" i="5"/>
  <c r="K1516" i="5"/>
  <c r="K1517" i="5"/>
  <c r="K1518" i="5"/>
  <c r="K1519" i="5"/>
  <c r="K1520" i="5"/>
  <c r="K1521" i="5"/>
  <c r="K1522" i="5"/>
  <c r="K1523" i="5"/>
  <c r="K1524" i="5"/>
  <c r="K1525" i="5"/>
  <c r="K1526" i="5"/>
  <c r="K1527" i="5"/>
  <c r="K1528" i="5"/>
  <c r="K1529" i="5"/>
  <c r="K1530" i="5"/>
  <c r="K1531" i="5"/>
  <c r="K1532" i="5"/>
  <c r="K1533" i="5"/>
  <c r="K1534" i="5"/>
  <c r="K1535" i="5"/>
  <c r="K1536" i="5"/>
  <c r="K1537" i="5"/>
  <c r="K1538" i="5"/>
  <c r="K1539" i="5"/>
  <c r="K1540" i="5"/>
  <c r="K1541" i="5"/>
  <c r="K1542" i="5"/>
  <c r="K1543" i="5"/>
  <c r="K1544" i="5"/>
  <c r="K1545" i="5"/>
  <c r="K1546" i="5"/>
  <c r="K1547" i="5"/>
  <c r="K1548" i="5"/>
  <c r="K1549" i="5"/>
  <c r="K1550" i="5"/>
  <c r="K1551" i="5"/>
  <c r="K1552" i="5"/>
  <c r="K1553" i="5"/>
  <c r="K1554" i="5"/>
  <c r="K1555" i="5"/>
  <c r="K1556" i="5"/>
  <c r="K1557" i="5"/>
  <c r="K1558" i="5"/>
  <c r="K1559" i="5"/>
  <c r="K1560" i="5"/>
  <c r="K1561" i="5"/>
  <c r="K1562" i="5"/>
  <c r="K1563" i="5"/>
  <c r="K1564" i="5"/>
  <c r="K1565" i="5"/>
  <c r="K1566" i="5"/>
  <c r="K1567" i="5"/>
  <c r="K1568" i="5"/>
  <c r="K1569" i="5"/>
  <c r="K1570" i="5"/>
  <c r="K1571" i="5"/>
  <c r="K1572" i="5"/>
  <c r="K1573" i="5"/>
  <c r="K1574" i="5"/>
  <c r="K1575" i="5"/>
  <c r="K1576" i="5"/>
  <c r="K1577" i="5"/>
  <c r="K1578" i="5"/>
  <c r="K1579" i="5"/>
  <c r="K1580" i="5"/>
  <c r="K1581" i="5"/>
  <c r="K1582" i="5"/>
  <c r="K1583" i="5"/>
  <c r="K1584" i="5"/>
  <c r="K1585" i="5"/>
  <c r="K1586" i="5"/>
  <c r="K1587" i="5"/>
  <c r="K1588" i="5"/>
  <c r="K1589" i="5"/>
  <c r="K1590" i="5"/>
  <c r="K1591" i="5"/>
  <c r="K1592" i="5"/>
  <c r="K1593" i="5"/>
  <c r="K1594" i="5"/>
  <c r="K1595" i="5"/>
  <c r="K1596" i="5"/>
  <c r="K1597" i="5"/>
  <c r="K1598" i="5"/>
  <c r="K1599" i="5"/>
  <c r="K1600" i="5"/>
  <c r="K1601" i="5"/>
  <c r="K1602" i="5"/>
  <c r="K1603" i="5"/>
  <c r="K1604" i="5"/>
  <c r="K1605" i="5"/>
  <c r="K1606" i="5"/>
  <c r="K1607" i="5"/>
  <c r="K1608" i="5"/>
  <c r="K1609" i="5"/>
  <c r="K1610" i="5"/>
  <c r="K1611" i="5"/>
  <c r="K1612" i="5"/>
  <c r="K1613" i="5"/>
  <c r="K1614" i="5"/>
  <c r="K1615" i="5"/>
  <c r="K1616" i="5"/>
  <c r="K1617" i="5"/>
  <c r="K1618" i="5"/>
  <c r="K1619" i="5"/>
  <c r="K1620" i="5"/>
  <c r="K1621" i="5"/>
  <c r="K1622" i="5"/>
  <c r="K1623" i="5"/>
  <c r="K1624" i="5"/>
  <c r="K1625" i="5"/>
  <c r="K1626" i="5"/>
  <c r="K1627" i="5"/>
  <c r="K1628" i="5"/>
  <c r="K1629" i="5"/>
  <c r="K1630" i="5"/>
  <c r="K1631" i="5"/>
  <c r="K1632" i="5"/>
  <c r="K1633" i="5"/>
  <c r="K1634" i="5"/>
  <c r="K1635" i="5"/>
  <c r="K1636" i="5"/>
  <c r="K1637" i="5"/>
  <c r="K1638" i="5"/>
  <c r="K1639" i="5"/>
  <c r="K1640" i="5"/>
  <c r="K1641" i="5"/>
  <c r="K1642" i="5"/>
  <c r="K1643" i="5"/>
  <c r="K1644" i="5"/>
  <c r="K1645" i="5"/>
  <c r="K1646" i="5"/>
  <c r="K1647" i="5"/>
  <c r="K1648" i="5"/>
  <c r="K1649" i="5"/>
  <c r="K1650" i="5"/>
  <c r="K1651" i="5"/>
  <c r="K1652" i="5"/>
  <c r="K1653" i="5"/>
  <c r="K1654" i="5"/>
  <c r="K1655" i="5"/>
  <c r="K1656" i="5"/>
  <c r="K1657" i="5"/>
  <c r="K1658" i="5"/>
  <c r="K1659" i="5"/>
  <c r="K1660" i="5"/>
  <c r="K1661" i="5"/>
  <c r="K1662" i="5"/>
  <c r="K1663" i="5"/>
  <c r="K1664" i="5"/>
  <c r="K1665" i="5"/>
  <c r="K1666" i="5"/>
  <c r="K1667" i="5"/>
  <c r="K1668" i="5"/>
  <c r="K1669" i="5"/>
  <c r="K1670" i="5"/>
  <c r="K1671" i="5"/>
  <c r="K1672" i="5"/>
  <c r="K1673" i="5"/>
  <c r="K1674" i="5"/>
  <c r="K1675" i="5"/>
  <c r="K1676" i="5"/>
  <c r="K1677" i="5"/>
  <c r="K1678" i="5"/>
  <c r="K1679" i="5"/>
  <c r="K1680" i="5"/>
  <c r="K1681" i="5"/>
  <c r="K1682" i="5"/>
  <c r="K1683" i="5"/>
  <c r="K1684" i="5"/>
  <c r="K1685" i="5"/>
  <c r="K1686" i="5"/>
  <c r="K1687" i="5"/>
  <c r="K1688" i="5"/>
  <c r="K1689" i="5"/>
  <c r="K1690" i="5"/>
  <c r="K1691" i="5"/>
  <c r="K1692" i="5"/>
  <c r="K1693" i="5"/>
  <c r="K1694" i="5"/>
  <c r="K1695" i="5"/>
  <c r="K1696" i="5"/>
  <c r="K1697" i="5"/>
  <c r="K1698" i="5"/>
  <c r="K1699" i="5"/>
  <c r="K1700" i="5"/>
  <c r="K1701" i="5"/>
  <c r="K1702" i="5"/>
  <c r="K1703" i="5"/>
  <c r="K1704" i="5"/>
  <c r="K1705" i="5"/>
  <c r="K1706" i="5"/>
  <c r="K1707" i="5"/>
  <c r="K1708" i="5"/>
  <c r="K1709" i="5"/>
  <c r="K1710" i="5"/>
  <c r="K1711" i="5"/>
  <c r="K1712" i="5"/>
  <c r="K1713" i="5"/>
  <c r="K1714" i="5"/>
  <c r="K1715" i="5"/>
  <c r="K1716" i="5"/>
  <c r="K1717" i="5"/>
  <c r="K1718" i="5"/>
  <c r="K1719" i="5"/>
  <c r="K1720" i="5"/>
  <c r="K1721" i="5"/>
  <c r="K1722" i="5"/>
  <c r="K1723" i="5"/>
  <c r="K1724" i="5"/>
  <c r="K1725" i="5"/>
  <c r="K1726" i="5"/>
  <c r="K1727" i="5"/>
  <c r="K1728" i="5"/>
  <c r="K1729" i="5"/>
  <c r="K1730" i="5"/>
  <c r="K1731" i="5"/>
  <c r="K1732" i="5"/>
  <c r="K1733" i="5"/>
  <c r="K1734" i="5"/>
  <c r="K1735" i="5"/>
  <c r="K1736" i="5"/>
  <c r="K1737" i="5"/>
  <c r="K1738" i="5"/>
  <c r="K1739" i="5"/>
  <c r="K1740" i="5"/>
  <c r="K1741" i="5"/>
  <c r="K1742" i="5"/>
  <c r="K1743" i="5"/>
  <c r="K1744" i="5"/>
  <c r="K1745" i="5"/>
  <c r="K1746" i="5"/>
  <c r="K1747" i="5"/>
  <c r="K1748" i="5"/>
  <c r="K1749" i="5"/>
  <c r="K1750" i="5"/>
  <c r="K1751" i="5"/>
  <c r="K1752" i="5"/>
  <c r="K1753" i="5"/>
  <c r="K1754" i="5"/>
  <c r="K1755" i="5"/>
  <c r="K1756" i="5"/>
  <c r="K1757" i="5"/>
  <c r="K1758" i="5"/>
  <c r="K1759" i="5"/>
  <c r="K1760" i="5"/>
  <c r="K1761" i="5"/>
  <c r="K1762" i="5"/>
  <c r="K1763" i="5"/>
  <c r="K1764" i="5"/>
  <c r="K1765" i="5"/>
  <c r="K1766" i="5"/>
  <c r="K1767" i="5"/>
  <c r="K1768" i="5"/>
  <c r="K1769" i="5"/>
  <c r="K1770" i="5"/>
  <c r="K1771" i="5"/>
  <c r="K1772" i="5"/>
  <c r="K1773" i="5"/>
  <c r="K1774" i="5"/>
  <c r="K1775" i="5"/>
  <c r="K1776" i="5"/>
  <c r="K1777" i="5"/>
  <c r="K1778" i="5"/>
  <c r="K1779" i="5"/>
  <c r="K1780" i="5"/>
  <c r="K1781" i="5"/>
  <c r="K1782" i="5"/>
  <c r="K1783" i="5"/>
  <c r="K1784" i="5"/>
  <c r="K1785" i="5"/>
  <c r="K1786" i="5"/>
  <c r="K1787" i="5"/>
  <c r="K1788" i="5"/>
  <c r="K1789" i="5"/>
  <c r="K1790" i="5"/>
  <c r="K1791" i="5"/>
  <c r="K1792" i="5"/>
  <c r="K1793" i="5"/>
  <c r="K1794" i="5"/>
  <c r="K1795" i="5"/>
  <c r="K1796" i="5"/>
  <c r="K1797" i="5"/>
  <c r="K1798" i="5"/>
  <c r="K1799" i="5"/>
  <c r="K1800" i="5"/>
  <c r="K1801" i="5"/>
  <c r="K1802" i="5"/>
  <c r="K1803" i="5"/>
  <c r="K1804" i="5"/>
  <c r="K1805" i="5"/>
  <c r="K1806" i="5"/>
  <c r="K1807" i="5"/>
  <c r="K1808" i="5"/>
  <c r="K1809" i="5"/>
  <c r="K1810" i="5"/>
  <c r="K1811" i="5"/>
  <c r="K1812" i="5"/>
  <c r="K1813" i="5"/>
  <c r="K1814" i="5"/>
  <c r="K1815" i="5"/>
  <c r="K1816" i="5"/>
  <c r="K1817" i="5"/>
  <c r="K1818" i="5"/>
  <c r="K1819" i="5"/>
  <c r="K1820" i="5"/>
  <c r="K1821" i="5"/>
  <c r="K1822" i="5"/>
  <c r="K1823" i="5"/>
  <c r="K1824" i="5"/>
  <c r="K1825" i="5"/>
  <c r="K1826" i="5"/>
  <c r="K1827" i="5"/>
  <c r="K1828" i="5"/>
  <c r="K1829" i="5"/>
  <c r="K1830" i="5"/>
  <c r="K1831" i="5"/>
  <c r="K1832" i="5"/>
  <c r="K1833" i="5"/>
  <c r="K1834" i="5"/>
  <c r="K1835" i="5"/>
  <c r="K1836" i="5"/>
  <c r="K1837" i="5"/>
  <c r="K1838" i="5"/>
  <c r="K1839" i="5"/>
  <c r="K1840" i="5"/>
  <c r="K1841" i="5"/>
  <c r="K1842" i="5"/>
  <c r="K1843" i="5"/>
  <c r="K1844" i="5"/>
  <c r="K1845" i="5"/>
  <c r="K1846" i="5"/>
  <c r="K1847" i="5"/>
  <c r="K1848" i="5"/>
  <c r="K1849" i="5"/>
  <c r="K1850" i="5"/>
  <c r="K1321" i="5"/>
  <c r="K1325" i="5"/>
  <c r="K1329" i="5"/>
  <c r="K1333" i="5"/>
  <c r="K1337" i="5"/>
  <c r="K1341" i="5"/>
  <c r="K1345" i="5"/>
  <c r="K1349" i="5"/>
  <c r="K1353" i="5"/>
  <c r="K1357" i="5"/>
  <c r="K1361" i="5"/>
  <c r="K1365" i="5"/>
  <c r="K1369" i="5"/>
  <c r="K1373" i="5"/>
  <c r="K1377" i="5"/>
  <c r="K1381" i="5"/>
  <c r="K1385" i="5"/>
  <c r="K1389" i="5"/>
  <c r="K1393" i="5"/>
  <c r="K1397" i="5"/>
  <c r="K1401" i="5"/>
  <c r="K1405" i="5"/>
  <c r="K1409" i="5"/>
  <c r="K1413" i="5"/>
  <c r="K1417" i="5"/>
  <c r="K1421" i="5"/>
  <c r="K1425" i="5"/>
  <c r="K1429" i="5"/>
  <c r="K1433" i="5"/>
  <c r="K1437" i="5"/>
  <c r="K1441" i="5"/>
  <c r="K1445" i="5"/>
  <c r="K1449" i="5"/>
  <c r="K1453" i="5"/>
  <c r="K1457" i="5"/>
  <c r="K1461" i="5"/>
  <c r="K1465" i="5"/>
  <c r="K1469" i="5"/>
  <c r="K1473" i="5"/>
  <c r="K1477" i="5"/>
  <c r="K1481" i="5"/>
  <c r="K1485" i="5"/>
  <c r="K1489" i="5"/>
  <c r="K1493" i="5"/>
  <c r="K1497" i="5"/>
  <c r="K1501" i="5"/>
  <c r="K1505" i="5"/>
  <c r="K1509" i="5"/>
  <c r="K1513" i="5"/>
  <c r="K1320" i="5"/>
  <c r="K1324" i="5"/>
  <c r="K1328" i="5"/>
  <c r="K1332" i="5"/>
  <c r="K1336" i="5"/>
  <c r="K1340" i="5"/>
  <c r="K1344" i="5"/>
  <c r="K1348" i="5"/>
  <c r="K1352" i="5"/>
  <c r="K1356" i="5"/>
  <c r="K1360" i="5"/>
  <c r="K1364" i="5"/>
  <c r="K1368" i="5"/>
  <c r="K1372" i="5"/>
  <c r="K1376" i="5"/>
  <c r="K1380" i="5"/>
  <c r="K1384" i="5"/>
  <c r="K1388" i="5"/>
  <c r="K1392" i="5"/>
  <c r="K1396" i="5"/>
  <c r="K1400" i="5"/>
  <c r="K1404" i="5"/>
  <c r="K1408" i="5"/>
  <c r="K1412" i="5"/>
  <c r="K1416" i="5"/>
  <c r="K1420" i="5"/>
  <c r="K1424" i="5"/>
  <c r="K1428" i="5"/>
  <c r="K1432" i="5"/>
  <c r="K1436" i="5"/>
  <c r="K1440" i="5"/>
  <c r="K1444" i="5"/>
  <c r="K1448" i="5"/>
  <c r="K1452" i="5"/>
  <c r="K1456" i="5"/>
  <c r="K1460" i="5"/>
  <c r="K1464" i="5"/>
  <c r="K1468" i="5"/>
  <c r="K1472" i="5"/>
  <c r="K1476" i="5"/>
  <c r="K1480" i="5"/>
  <c r="K1484" i="5"/>
  <c r="K1488" i="5"/>
  <c r="K1492" i="5"/>
  <c r="K1496" i="5"/>
  <c r="K1500" i="5"/>
  <c r="K1504" i="5"/>
  <c r="K1508" i="5"/>
  <c r="K1512" i="5"/>
  <c r="K1327" i="5"/>
  <c r="K1343" i="5"/>
  <c r="K1359" i="5"/>
  <c r="K1375" i="5"/>
  <c r="K1391" i="5"/>
  <c r="K1407" i="5"/>
  <c r="K1423" i="5"/>
  <c r="K1439" i="5"/>
  <c r="K1455" i="5"/>
  <c r="K1471" i="5"/>
  <c r="K1487" i="5"/>
  <c r="K1503" i="5"/>
  <c r="K1331" i="5"/>
  <c r="K1363" i="5"/>
  <c r="K1395" i="5"/>
  <c r="K1427" i="5"/>
  <c r="K1459" i="5"/>
  <c r="K1491" i="5"/>
  <c r="K1323" i="5"/>
  <c r="K1339" i="5"/>
  <c r="K1355" i="5"/>
  <c r="K1371" i="5"/>
  <c r="K1387" i="5"/>
  <c r="K1403" i="5"/>
  <c r="K1419" i="5"/>
  <c r="K1435" i="5"/>
  <c r="K1451" i="5"/>
  <c r="K1467" i="5"/>
  <c r="K1483" i="5"/>
  <c r="K1499" i="5"/>
  <c r="K1319" i="5"/>
  <c r="K1335" i="5"/>
  <c r="K1351" i="5"/>
  <c r="K1367" i="5"/>
  <c r="K1383" i="5"/>
  <c r="K1399" i="5"/>
  <c r="K1415" i="5"/>
  <c r="K1431" i="5"/>
  <c r="K1447" i="5"/>
  <c r="K1463" i="5"/>
  <c r="K1479" i="5"/>
  <c r="K1495" i="5"/>
  <c r="K1511" i="5"/>
  <c r="K1347" i="5"/>
  <c r="K1379" i="5"/>
  <c r="K1411" i="5"/>
  <c r="K1443" i="5"/>
  <c r="K1475" i="5"/>
  <c r="K1507" i="5"/>
  <c r="I1229" i="5"/>
  <c r="I1231" i="5"/>
  <c r="I1230" i="5"/>
  <c r="I1232" i="5"/>
  <c r="L1232" i="5" s="1"/>
  <c r="J3" i="5"/>
  <c r="J4" i="5"/>
  <c r="J5" i="5"/>
  <c r="J6" i="5"/>
  <c r="J1205" i="5"/>
  <c r="J1207" i="5"/>
  <c r="J1209" i="5"/>
  <c r="J1211" i="5"/>
  <c r="J1213" i="5"/>
  <c r="J1215" i="5"/>
  <c r="J1217" i="5"/>
  <c r="J1219" i="5"/>
  <c r="J1221" i="5"/>
  <c r="J2" i="5"/>
  <c r="J1204" i="5"/>
  <c r="J1212" i="5"/>
  <c r="J1220" i="5"/>
  <c r="J1210" i="5"/>
  <c r="J1206" i="5"/>
  <c r="J1214" i="5"/>
  <c r="J1208" i="5"/>
  <c r="J1216" i="5"/>
  <c r="J1218" i="5"/>
  <c r="I1202" i="5"/>
  <c r="I1203" i="5"/>
  <c r="K1199" i="5"/>
  <c r="K1200" i="5"/>
  <c r="J135" i="5"/>
  <c r="J1196" i="5"/>
  <c r="J1197" i="5"/>
  <c r="J1198" i="5"/>
  <c r="I843" i="5"/>
  <c r="I1195" i="5"/>
  <c r="K224" i="5"/>
  <c r="K225" i="5"/>
  <c r="K226" i="5"/>
  <c r="K227" i="5"/>
  <c r="K228" i="5"/>
  <c r="K229" i="5"/>
  <c r="K230" i="5"/>
  <c r="K231" i="5"/>
  <c r="K232" i="5"/>
  <c r="K1190" i="5"/>
  <c r="J1181" i="5"/>
  <c r="J1182" i="5"/>
  <c r="L1182" i="5" s="1"/>
  <c r="J1183" i="5"/>
  <c r="J1184" i="5"/>
  <c r="J1185" i="5"/>
  <c r="J1186" i="5"/>
  <c r="J1187" i="5"/>
  <c r="J1188" i="5"/>
  <c r="J1189" i="5"/>
  <c r="J1858" i="5"/>
  <c r="J1862" i="5"/>
  <c r="J1860" i="5"/>
  <c r="J1857" i="5"/>
  <c r="J1867" i="5"/>
  <c r="J1859" i="5"/>
  <c r="J1863" i="5"/>
  <c r="J1856" i="5"/>
  <c r="J1864" i="5"/>
  <c r="J1861" i="5"/>
  <c r="K844" i="5"/>
  <c r="K1171" i="5"/>
  <c r="K1175" i="5"/>
  <c r="K1179" i="5"/>
  <c r="K1170" i="5"/>
  <c r="K1174" i="5"/>
  <c r="K1178" i="5"/>
  <c r="K1173" i="5"/>
  <c r="K1168" i="5"/>
  <c r="K1176" i="5"/>
  <c r="K1169" i="5"/>
  <c r="K1177" i="5"/>
  <c r="K1172" i="5"/>
  <c r="J841" i="5"/>
  <c r="J842" i="5"/>
  <c r="J1159" i="5"/>
  <c r="L1159" i="5" s="1"/>
  <c r="J1160" i="5"/>
  <c r="L1160" i="5" s="1"/>
  <c r="J1161" i="5"/>
  <c r="J1162" i="5"/>
  <c r="J1163" i="5"/>
  <c r="J1164" i="5"/>
  <c r="J1165" i="5"/>
  <c r="J1166" i="5"/>
  <c r="J1167" i="5"/>
  <c r="I1150" i="5"/>
  <c r="I1154" i="5"/>
  <c r="I1158" i="5"/>
  <c r="I1153" i="5"/>
  <c r="I1157" i="5"/>
  <c r="I1152" i="5"/>
  <c r="I1155" i="5"/>
  <c r="I1156" i="5"/>
  <c r="I1151" i="5"/>
  <c r="J1141" i="5"/>
  <c r="L1141" i="5" s="1"/>
  <c r="J1142" i="5"/>
  <c r="J1143" i="5"/>
  <c r="I214" i="5"/>
  <c r="I216" i="5"/>
  <c r="I218" i="5"/>
  <c r="I220" i="5"/>
  <c r="I222" i="5"/>
  <c r="I217" i="5"/>
  <c r="I221" i="5"/>
  <c r="I219" i="5"/>
  <c r="I215" i="5"/>
  <c r="I1140" i="5"/>
  <c r="K822" i="5"/>
  <c r="K823" i="5"/>
  <c r="K824" i="5"/>
  <c r="K825" i="5"/>
  <c r="K826" i="5"/>
  <c r="K827" i="5"/>
  <c r="K1131" i="5"/>
  <c r="K1135" i="5"/>
  <c r="K1134" i="5"/>
  <c r="K1133" i="5"/>
  <c r="K1132" i="5"/>
  <c r="K795" i="5"/>
  <c r="K828" i="5"/>
  <c r="K829" i="5"/>
  <c r="K830" i="5"/>
  <c r="K831" i="5"/>
  <c r="K832" i="5"/>
  <c r="K833" i="5"/>
  <c r="K834" i="5"/>
  <c r="K835" i="5"/>
  <c r="K836" i="5"/>
  <c r="K837" i="5"/>
  <c r="K838" i="5"/>
  <c r="K1111" i="5"/>
  <c r="K1115" i="5"/>
  <c r="K1119" i="5"/>
  <c r="K1123" i="5"/>
  <c r="K1127" i="5"/>
  <c r="K1114" i="5"/>
  <c r="K1118" i="5"/>
  <c r="K1122" i="5"/>
  <c r="K1126" i="5"/>
  <c r="K1117" i="5"/>
  <c r="K1125" i="5"/>
  <c r="K1112" i="5"/>
  <c r="K1120" i="5"/>
  <c r="K1113" i="5"/>
  <c r="K1121" i="5"/>
  <c r="K1116" i="5"/>
  <c r="K1124" i="5"/>
  <c r="I211" i="5"/>
  <c r="I1106" i="5"/>
  <c r="I809" i="5"/>
  <c r="I1105" i="5"/>
  <c r="I1109" i="5"/>
  <c r="I1107" i="5"/>
  <c r="I1108" i="5"/>
  <c r="K810" i="5"/>
  <c r="K811" i="5"/>
  <c r="K812" i="5"/>
  <c r="K813" i="5"/>
  <c r="K814" i="5"/>
  <c r="K815" i="5"/>
  <c r="K816" i="5"/>
  <c r="K817" i="5"/>
  <c r="K818" i="5"/>
  <c r="K819" i="5"/>
  <c r="K820" i="5"/>
  <c r="K821" i="5"/>
  <c r="K1103" i="5"/>
  <c r="K1102" i="5"/>
  <c r="K1101" i="5"/>
  <c r="J188" i="5"/>
  <c r="J189" i="5"/>
  <c r="J190" i="5"/>
  <c r="J191" i="5"/>
  <c r="J192" i="5"/>
  <c r="J193" i="5"/>
  <c r="J194" i="5"/>
  <c r="J195" i="5"/>
  <c r="J196" i="5"/>
  <c r="J197" i="5"/>
  <c r="J198" i="5"/>
  <c r="J199" i="5"/>
  <c r="J200" i="5"/>
  <c r="J201" i="5"/>
  <c r="J202" i="5"/>
  <c r="J203" i="5"/>
  <c r="J204" i="5"/>
  <c r="J205" i="5"/>
  <c r="J206" i="5"/>
  <c r="J207" i="5"/>
  <c r="J208" i="5"/>
  <c r="J209" i="5"/>
  <c r="J210" i="5"/>
  <c r="I1099" i="5"/>
  <c r="L1099" i="5" s="1"/>
  <c r="I1100" i="5"/>
  <c r="J803" i="5"/>
  <c r="J804" i="5"/>
  <c r="J805" i="5"/>
  <c r="J806" i="5"/>
  <c r="J1084" i="5"/>
  <c r="J1085" i="5"/>
  <c r="J1086" i="5"/>
  <c r="J1087" i="5"/>
  <c r="J1077" i="5"/>
  <c r="J1078" i="5"/>
  <c r="J1079" i="5"/>
  <c r="J1080" i="5"/>
  <c r="K182" i="5"/>
  <c r="K183" i="5"/>
  <c r="K184" i="5"/>
  <c r="K185" i="5"/>
  <c r="K186" i="5"/>
  <c r="K187" i="5"/>
  <c r="J1070" i="5"/>
  <c r="J1071" i="5"/>
  <c r="J1072" i="5"/>
  <c r="J1073" i="5"/>
  <c r="L1073" i="5" s="1"/>
  <c r="J1074" i="5"/>
  <c r="I178" i="5"/>
  <c r="I180" i="5"/>
  <c r="I177" i="5"/>
  <c r="I181" i="5"/>
  <c r="I179" i="5"/>
  <c r="K385" i="5"/>
  <c r="K389" i="5"/>
  <c r="K393" i="5"/>
  <c r="K397" i="5"/>
  <c r="K401" i="5"/>
  <c r="K405" i="5"/>
  <c r="K409" i="5"/>
  <c r="K413" i="5"/>
  <c r="K417" i="5"/>
  <c r="K421" i="5"/>
  <c r="K425" i="5"/>
  <c r="K429" i="5"/>
  <c r="K384" i="5"/>
  <c r="K391" i="5"/>
  <c r="K398" i="5"/>
  <c r="K400" i="5"/>
  <c r="K407" i="5"/>
  <c r="K414" i="5"/>
  <c r="K416" i="5"/>
  <c r="K423" i="5"/>
  <c r="K430" i="5"/>
  <c r="K433" i="5"/>
  <c r="K437" i="5"/>
  <c r="K441" i="5"/>
  <c r="K445" i="5"/>
  <c r="K449" i="5"/>
  <c r="K453" i="5"/>
  <c r="K457" i="5"/>
  <c r="K461" i="5"/>
  <c r="K465" i="5"/>
  <c r="K469" i="5"/>
  <c r="K473" i="5"/>
  <c r="K477" i="5"/>
  <c r="K481" i="5"/>
  <c r="K485" i="5"/>
  <c r="K489" i="5"/>
  <c r="K493" i="5"/>
  <c r="K497" i="5"/>
  <c r="K501" i="5"/>
  <c r="K386" i="5"/>
  <c r="K388" i="5"/>
  <c r="K395" i="5"/>
  <c r="K402" i="5"/>
  <c r="K404" i="5"/>
  <c r="K411" i="5"/>
  <c r="K418" i="5"/>
  <c r="K420" i="5"/>
  <c r="K427" i="5"/>
  <c r="K432" i="5"/>
  <c r="K436" i="5"/>
  <c r="K440" i="5"/>
  <c r="K444" i="5"/>
  <c r="K448" i="5"/>
  <c r="K452" i="5"/>
  <c r="K456" i="5"/>
  <c r="K460" i="5"/>
  <c r="K464" i="5"/>
  <c r="K468" i="5"/>
  <c r="K472" i="5"/>
  <c r="K476" i="5"/>
  <c r="K480" i="5"/>
  <c r="K484" i="5"/>
  <c r="K488" i="5"/>
  <c r="K492" i="5"/>
  <c r="K496" i="5"/>
  <c r="K500"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383" i="5"/>
  <c r="K390" i="5"/>
  <c r="K408" i="5"/>
  <c r="K415" i="5"/>
  <c r="K422" i="5"/>
  <c r="K435" i="5"/>
  <c r="K443" i="5"/>
  <c r="K451" i="5"/>
  <c r="K459" i="5"/>
  <c r="K467" i="5"/>
  <c r="K475" i="5"/>
  <c r="K483" i="5"/>
  <c r="K491" i="5"/>
  <c r="K499" i="5"/>
  <c r="K681" i="5"/>
  <c r="K685" i="5"/>
  <c r="K689" i="5"/>
  <c r="K693" i="5"/>
  <c r="K387" i="5"/>
  <c r="K394" i="5"/>
  <c r="K412" i="5"/>
  <c r="K419" i="5"/>
  <c r="K426" i="5"/>
  <c r="K438" i="5"/>
  <c r="K446" i="5"/>
  <c r="K454" i="5"/>
  <c r="K462" i="5"/>
  <c r="K470" i="5"/>
  <c r="K478" i="5"/>
  <c r="K486" i="5"/>
  <c r="K494" i="5"/>
  <c r="K502" i="5"/>
  <c r="K680" i="5"/>
  <c r="K684" i="5"/>
  <c r="K688" i="5"/>
  <c r="K692"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910" i="5"/>
  <c r="K911" i="5"/>
  <c r="K912" i="5"/>
  <c r="K913" i="5"/>
  <c r="K914" i="5"/>
  <c r="K915" i="5"/>
  <c r="K916" i="5"/>
  <c r="K917" i="5"/>
  <c r="K918" i="5"/>
  <c r="K919" i="5"/>
  <c r="K920" i="5"/>
  <c r="K921" i="5"/>
  <c r="K922" i="5"/>
  <c r="K923" i="5"/>
  <c r="K924" i="5"/>
  <c r="K925" i="5"/>
  <c r="K926" i="5"/>
  <c r="K927" i="5"/>
  <c r="K928" i="5"/>
  <c r="K929" i="5"/>
  <c r="K930" i="5"/>
  <c r="K931" i="5"/>
  <c r="K932" i="5"/>
  <c r="K933" i="5"/>
  <c r="K934" i="5"/>
  <c r="K935" i="5"/>
  <c r="K936" i="5"/>
  <c r="K937" i="5"/>
  <c r="K938" i="5"/>
  <c r="K939" i="5"/>
  <c r="K940" i="5"/>
  <c r="K941" i="5"/>
  <c r="K942" i="5"/>
  <c r="K943" i="5"/>
  <c r="K944" i="5"/>
  <c r="K945" i="5"/>
  <c r="K946" i="5"/>
  <c r="K947" i="5"/>
  <c r="K948" i="5"/>
  <c r="K949" i="5"/>
  <c r="K950" i="5"/>
  <c r="K951" i="5"/>
  <c r="K952" i="5"/>
  <c r="K953" i="5"/>
  <c r="K954" i="5"/>
  <c r="K955" i="5"/>
  <c r="K956" i="5"/>
  <c r="K957" i="5"/>
  <c r="K958" i="5"/>
  <c r="K959" i="5"/>
  <c r="K960" i="5"/>
  <c r="K961" i="5"/>
  <c r="K962" i="5"/>
  <c r="K963" i="5"/>
  <c r="K964" i="5"/>
  <c r="K965" i="5"/>
  <c r="K966" i="5"/>
  <c r="K967" i="5"/>
  <c r="K968" i="5"/>
  <c r="K969" i="5"/>
  <c r="K970" i="5"/>
  <c r="K971" i="5"/>
  <c r="K972" i="5"/>
  <c r="K973" i="5"/>
  <c r="K974" i="5"/>
  <c r="K975" i="5"/>
  <c r="K976" i="5"/>
  <c r="K977" i="5"/>
  <c r="K978" i="5"/>
  <c r="K979" i="5"/>
  <c r="K980" i="5"/>
  <c r="K981" i="5"/>
  <c r="K982" i="5"/>
  <c r="K983" i="5"/>
  <c r="K984" i="5"/>
  <c r="K985" i="5"/>
  <c r="K986" i="5"/>
  <c r="K987" i="5"/>
  <c r="K988" i="5"/>
  <c r="K989" i="5"/>
  <c r="K990" i="5"/>
  <c r="K991" i="5"/>
  <c r="K992" i="5"/>
  <c r="K993" i="5"/>
  <c r="K994" i="5"/>
  <c r="K995" i="5"/>
  <c r="K996" i="5"/>
  <c r="K997" i="5"/>
  <c r="K998" i="5"/>
  <c r="K999" i="5"/>
  <c r="K1000" i="5"/>
  <c r="K1001" i="5"/>
  <c r="K1002" i="5"/>
  <c r="K1003" i="5"/>
  <c r="K1004" i="5"/>
  <c r="K1005" i="5"/>
  <c r="K1006" i="5"/>
  <c r="K1007" i="5"/>
  <c r="K1008" i="5"/>
  <c r="K1009" i="5"/>
  <c r="K1010" i="5"/>
  <c r="K1011" i="5"/>
  <c r="K1012" i="5"/>
  <c r="K1013" i="5"/>
  <c r="K1014" i="5"/>
  <c r="K1015" i="5"/>
  <c r="K1016" i="5"/>
  <c r="K1017" i="5"/>
  <c r="K1018" i="5"/>
  <c r="K1019" i="5"/>
  <c r="K1020" i="5"/>
  <c r="K1021" i="5"/>
  <c r="K1022" i="5"/>
  <c r="K1023" i="5"/>
  <c r="K1024" i="5"/>
  <c r="K1025" i="5"/>
  <c r="K1026" i="5"/>
  <c r="K1027" i="5"/>
  <c r="K1028" i="5"/>
  <c r="K1029" i="5"/>
  <c r="K1030" i="5"/>
  <c r="K1031" i="5"/>
  <c r="K1032" i="5"/>
  <c r="K1033" i="5"/>
  <c r="K1034" i="5"/>
  <c r="K1035" i="5"/>
  <c r="K1036" i="5"/>
  <c r="K1037" i="5"/>
  <c r="K1038" i="5"/>
  <c r="K1039" i="5"/>
  <c r="K1040" i="5"/>
  <c r="K1041" i="5"/>
  <c r="K1042" i="5"/>
  <c r="K1043" i="5"/>
  <c r="K1044" i="5"/>
  <c r="K1045" i="5"/>
  <c r="K1046" i="5"/>
  <c r="K1047" i="5"/>
  <c r="K1048" i="5"/>
  <c r="K1049" i="5"/>
  <c r="K1050" i="5"/>
  <c r="K1051" i="5"/>
  <c r="K1052" i="5"/>
  <c r="K1053" i="5"/>
  <c r="K1054" i="5"/>
  <c r="K1055" i="5"/>
  <c r="K1056" i="5"/>
  <c r="K1057" i="5"/>
  <c r="K1058" i="5"/>
  <c r="K1059" i="5"/>
  <c r="K1060" i="5"/>
  <c r="K1061" i="5"/>
  <c r="K1062" i="5"/>
  <c r="K424" i="5"/>
  <c r="K431" i="5"/>
  <c r="K447" i="5"/>
  <c r="K463" i="5"/>
  <c r="K479" i="5"/>
  <c r="K495" i="5"/>
  <c r="K683" i="5"/>
  <c r="K691" i="5"/>
  <c r="K396" i="5"/>
  <c r="K403" i="5"/>
  <c r="K410" i="5"/>
  <c r="K442" i="5"/>
  <c r="K458" i="5"/>
  <c r="K474" i="5"/>
  <c r="K490" i="5"/>
  <c r="K686" i="5"/>
  <c r="K694" i="5"/>
  <c r="K399" i="5"/>
  <c r="K439" i="5"/>
  <c r="K471" i="5"/>
  <c r="K503" i="5"/>
  <c r="K679" i="5"/>
  <c r="K695" i="5"/>
  <c r="K682" i="5"/>
  <c r="K428" i="5"/>
  <c r="K450" i="5"/>
  <c r="K482" i="5"/>
  <c r="K690" i="5"/>
  <c r="K392" i="5"/>
  <c r="K406" i="5"/>
  <c r="K455" i="5"/>
  <c r="K487" i="5"/>
  <c r="K687" i="5"/>
  <c r="K434" i="5"/>
  <c r="K466" i="5"/>
  <c r="K498" i="5"/>
  <c r="I176" i="5"/>
  <c r="I907" i="5"/>
  <c r="I175" i="5"/>
  <c r="I908" i="5"/>
  <c r="I906" i="5"/>
  <c r="J172" i="5"/>
  <c r="J173" i="5"/>
  <c r="J174" i="5"/>
  <c r="K153" i="5"/>
  <c r="K154" i="5"/>
  <c r="K155" i="5"/>
  <c r="K156" i="5"/>
  <c r="K157" i="5"/>
  <c r="K899" i="5"/>
  <c r="J151" i="5"/>
  <c r="J152" i="5"/>
  <c r="J898" i="5"/>
  <c r="J142" i="5"/>
  <c r="J896" i="5"/>
  <c r="I138" i="5"/>
  <c r="I140" i="5"/>
  <c r="I141" i="5"/>
  <c r="I139" i="5"/>
  <c r="I895" i="5"/>
  <c r="I894" i="5"/>
  <c r="K150" i="5"/>
  <c r="K891" i="5"/>
  <c r="K892" i="5"/>
  <c r="I887" i="5"/>
  <c r="I889" i="5"/>
  <c r="I888" i="5"/>
  <c r="I886" i="5"/>
  <c r="I890" i="5"/>
  <c r="K85" i="5"/>
  <c r="K88" i="5"/>
  <c r="K90" i="5"/>
  <c r="K92" i="5"/>
  <c r="K94" i="5"/>
  <c r="K96" i="5"/>
  <c r="K98" i="5"/>
  <c r="K100" i="5"/>
  <c r="K102" i="5"/>
  <c r="K104" i="5"/>
  <c r="K107" i="5"/>
  <c r="K111" i="5"/>
  <c r="K115" i="5"/>
  <c r="K119" i="5"/>
  <c r="K123" i="5"/>
  <c r="K86" i="5"/>
  <c r="K106" i="5"/>
  <c r="K110" i="5"/>
  <c r="K114" i="5"/>
  <c r="K118" i="5"/>
  <c r="K122" i="5"/>
  <c r="K126" i="5"/>
  <c r="K127" i="5"/>
  <c r="K128" i="5"/>
  <c r="K129" i="5"/>
  <c r="K130" i="5"/>
  <c r="K131" i="5"/>
  <c r="K132" i="5"/>
  <c r="K133" i="5"/>
  <c r="K134" i="5"/>
  <c r="K233" i="5"/>
  <c r="K87" i="5"/>
  <c r="K91" i="5"/>
  <c r="K95" i="5"/>
  <c r="K99" i="5"/>
  <c r="K103" i="5"/>
  <c r="K109" i="5"/>
  <c r="K117" i="5"/>
  <c r="K125" i="5"/>
  <c r="K112" i="5"/>
  <c r="K120" i="5"/>
  <c r="K93" i="5"/>
  <c r="K101" i="5"/>
  <c r="K113" i="5"/>
  <c r="K108" i="5"/>
  <c r="K124" i="5"/>
  <c r="K97" i="5"/>
  <c r="K121" i="5"/>
  <c r="K89" i="5"/>
  <c r="K116" i="5"/>
  <c r="K878" i="5"/>
  <c r="K879" i="5"/>
  <c r="K880" i="5"/>
  <c r="K881" i="5"/>
  <c r="K882" i="5"/>
  <c r="K883" i="5"/>
  <c r="K884" i="5"/>
  <c r="K105" i="5"/>
  <c r="I146" i="5"/>
  <c r="I148" i="5"/>
  <c r="I149" i="5"/>
  <c r="I147"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49" i="5"/>
  <c r="I851" i="5"/>
  <c r="I853" i="5"/>
  <c r="I848" i="5"/>
  <c r="I852" i="5"/>
  <c r="I850" i="5"/>
  <c r="I854" i="5"/>
  <c r="L1181" i="5" l="1"/>
  <c r="L1219" i="5"/>
  <c r="L1211" i="5"/>
  <c r="L1188" i="5"/>
  <c r="L1852" i="5"/>
  <c r="L1077" i="5"/>
  <c r="L1189" i="5"/>
  <c r="L1197" i="5"/>
  <c r="L1090" i="5"/>
  <c r="L1128" i="5"/>
  <c r="L1225" i="5"/>
  <c r="L1196" i="5"/>
  <c r="L896" i="5"/>
  <c r="L1087" i="5"/>
  <c r="L1091" i="5"/>
  <c r="L1166" i="5"/>
  <c r="L1221" i="5"/>
  <c r="L1093" i="5"/>
  <c r="L1089" i="5"/>
  <c r="L879" i="5"/>
  <c r="L1052" i="5"/>
  <c r="L1036" i="5"/>
  <c r="L1004" i="5"/>
  <c r="L972" i="5"/>
  <c r="L956" i="5"/>
  <c r="L940" i="5"/>
  <c r="L871" i="5"/>
  <c r="L863" i="5"/>
  <c r="L1066" i="5"/>
  <c r="L1125" i="5"/>
  <c r="L1168" i="5"/>
  <c r="L1645" i="5"/>
  <c r="L1613" i="5"/>
  <c r="L1549" i="5"/>
  <c r="L1390" i="5"/>
  <c r="L1298" i="5"/>
  <c r="L1234" i="5"/>
  <c r="L1824" i="5"/>
  <c r="L1780" i="5"/>
  <c r="L1764" i="5"/>
  <c r="L1684" i="5"/>
  <c r="L1668" i="5"/>
  <c r="L1652" i="5"/>
  <c r="L1636" i="5"/>
  <c r="L1620" i="5"/>
  <c r="L1604" i="5"/>
  <c r="L1572" i="5"/>
  <c r="L1272" i="5"/>
  <c r="L1240" i="5"/>
  <c r="L1819" i="5"/>
  <c r="L1787" i="5"/>
  <c r="L1739" i="5"/>
  <c r="L1723" i="5"/>
  <c r="L1707" i="5"/>
  <c r="L1675" i="5"/>
  <c r="L1659" i="5"/>
  <c r="L1643" i="5"/>
  <c r="L1627" i="5"/>
  <c r="L1595" i="5"/>
  <c r="L1547" i="5"/>
  <c r="L1531" i="5"/>
  <c r="L1262" i="5"/>
  <c r="L1849" i="5"/>
  <c r="L1438" i="5"/>
  <c r="L1306" i="5"/>
  <c r="L1242" i="5"/>
  <c r="L1820" i="5"/>
  <c r="L1058" i="5"/>
  <c r="L1022" i="5"/>
  <c r="L1199" i="5"/>
  <c r="L1070" i="5"/>
  <c r="L1163" i="5"/>
  <c r="L1187" i="5"/>
  <c r="L1224" i="5"/>
  <c r="L1061" i="5"/>
  <c r="L1057" i="5"/>
  <c r="L1053" i="5"/>
  <c r="L1049" i="5"/>
  <c r="L1045" i="5"/>
  <c r="L1025" i="5"/>
  <c r="L1021" i="5"/>
  <c r="L1017" i="5"/>
  <c r="L981" i="5"/>
  <c r="L977" i="5"/>
  <c r="L969" i="5"/>
  <c r="L961" i="5"/>
  <c r="L937" i="5"/>
  <c r="L933" i="5"/>
  <c r="L929" i="5"/>
  <c r="L925" i="5"/>
  <c r="L917" i="5"/>
  <c r="L913" i="5"/>
  <c r="L906" i="5"/>
  <c r="L1158" i="5"/>
  <c r="L1150" i="5"/>
  <c r="L1195" i="5"/>
  <c r="L1229" i="5"/>
  <c r="L1854" i="5"/>
  <c r="L868" i="5"/>
  <c r="L864" i="5"/>
  <c r="L860" i="5"/>
  <c r="L902" i="5"/>
  <c r="L1063" i="5"/>
  <c r="L1139" i="5"/>
  <c r="L1147" i="5"/>
  <c r="L1845" i="5"/>
  <c r="L1813" i="5"/>
  <c r="L1749" i="5"/>
  <c r="L1653" i="5"/>
  <c r="L1621" i="5"/>
  <c r="L1422" i="5"/>
  <c r="L1250" i="5"/>
  <c r="L1804" i="5"/>
  <c r="L1528" i="5"/>
  <c r="L1537" i="5"/>
  <c r="L1107" i="5"/>
  <c r="L1060" i="5"/>
  <c r="L1056" i="5"/>
  <c r="L1044" i="5"/>
  <c r="L1032" i="5"/>
  <c r="L1028" i="5"/>
  <c r="L1024" i="5"/>
  <c r="L976" i="5"/>
  <c r="L936" i="5"/>
  <c r="L932" i="5"/>
  <c r="L928" i="5"/>
  <c r="L920" i="5"/>
  <c r="L916" i="5"/>
  <c r="L912" i="5"/>
  <c r="L854" i="5"/>
  <c r="L887" i="5"/>
  <c r="L1140" i="5"/>
  <c r="L1157" i="5"/>
  <c r="L1153" i="5"/>
  <c r="L875" i="5"/>
  <c r="L867" i="5"/>
  <c r="L859" i="5"/>
  <c r="L1117" i="5"/>
  <c r="L1132" i="5"/>
  <c r="L1524" i="5"/>
  <c r="L1490" i="5"/>
  <c r="L1426" i="5"/>
  <c r="L1362" i="5"/>
  <c r="L1398" i="5"/>
  <c r="L1817" i="5"/>
  <c r="L1753" i="5"/>
  <c r="L1721" i="5"/>
  <c r="L1689" i="5"/>
  <c r="L1657" i="5"/>
  <c r="L1529" i="5"/>
  <c r="L1846" i="5"/>
  <c r="L872" i="5"/>
  <c r="L1165" i="5"/>
  <c r="L1096" i="5"/>
  <c r="L1088" i="5"/>
  <c r="L1228" i="5"/>
  <c r="L878" i="5"/>
  <c r="L1059" i="5"/>
  <c r="L1051" i="5"/>
  <c r="L1043" i="5"/>
  <c r="L1039" i="5"/>
  <c r="L1035" i="5"/>
  <c r="L1031" i="5"/>
  <c r="L1027" i="5"/>
  <c r="L1023" i="5"/>
  <c r="L1019" i="5"/>
  <c r="L1204" i="5"/>
  <c r="L1217" i="5"/>
  <c r="L1209" i="5"/>
  <c r="L1095" i="5"/>
  <c r="L1062" i="5"/>
  <c r="L1034" i="5"/>
  <c r="L1026" i="5"/>
  <c r="L1018" i="5"/>
  <c r="L978" i="5"/>
  <c r="L966" i="5"/>
  <c r="L962" i="5"/>
  <c r="L954" i="5"/>
  <c r="L946" i="5"/>
  <c r="L938" i="5"/>
  <c r="L934" i="5"/>
  <c r="L930" i="5"/>
  <c r="L926" i="5"/>
  <c r="L922" i="5"/>
  <c r="L918" i="5"/>
  <c r="L914" i="5"/>
  <c r="L910" i="5"/>
  <c r="L895" i="5"/>
  <c r="L907" i="5"/>
  <c r="L1155" i="5"/>
  <c r="L1003" i="5"/>
  <c r="L999" i="5"/>
  <c r="L995" i="5"/>
  <c r="L979" i="5"/>
  <c r="L975" i="5"/>
  <c r="L967" i="5"/>
  <c r="L959" i="5"/>
  <c r="L943" i="5"/>
  <c r="L935" i="5"/>
  <c r="L927" i="5"/>
  <c r="L919" i="5"/>
  <c r="L915" i="5"/>
  <c r="L911" i="5"/>
  <c r="L1200" i="5"/>
  <c r="L849" i="5"/>
  <c r="L890" i="5"/>
  <c r="L886" i="5"/>
  <c r="L908" i="5"/>
  <c r="L1100" i="5"/>
  <c r="L1105" i="5"/>
  <c r="L1152" i="5"/>
  <c r="L1203" i="5"/>
  <c r="L1230" i="5"/>
  <c r="L874" i="5"/>
  <c r="L870" i="5"/>
  <c r="L866" i="5"/>
  <c r="L862" i="5"/>
  <c r="L900" i="5"/>
  <c r="L1069" i="5"/>
  <c r="L1137" i="5"/>
  <c r="L1149" i="5"/>
  <c r="L1145" i="5"/>
  <c r="L1193" i="5"/>
  <c r="L891" i="5"/>
  <c r="L1120" i="5"/>
  <c r="L1135" i="5"/>
  <c r="L1171" i="5"/>
  <c r="L1190" i="5"/>
  <c r="L1765" i="5"/>
  <c r="L1733" i="5"/>
  <c r="L1701" i="5"/>
  <c r="L1669" i="5"/>
  <c r="L1637" i="5"/>
  <c r="L1573" i="5"/>
  <c r="L1541" i="5"/>
  <c r="L1486" i="5"/>
  <c r="L1358" i="5"/>
  <c r="L1282" i="5"/>
  <c r="L1848" i="5"/>
  <c r="L1816" i="5"/>
  <c r="L1792" i="5"/>
  <c r="L1760" i="5"/>
  <c r="L1712" i="5"/>
  <c r="L1664" i="5"/>
  <c r="L1648" i="5"/>
  <c r="L1632" i="5"/>
  <c r="L1600" i="5"/>
  <c r="L1584" i="5"/>
  <c r="L1410" i="5"/>
  <c r="L1264" i="5"/>
  <c r="L1847" i="5"/>
  <c r="L1831" i="5"/>
  <c r="L1815" i="5"/>
  <c r="L1799" i="5"/>
  <c r="L1783" i="5"/>
  <c r="L1735" i="5"/>
  <c r="L1703" i="5"/>
  <c r="L1687" i="5"/>
  <c r="L1671" i="5"/>
  <c r="L1591" i="5"/>
  <c r="L1510" i="5"/>
  <c r="L1382" i="5"/>
  <c r="L1254" i="5"/>
  <c r="L1841" i="5"/>
  <c r="L1809" i="5"/>
  <c r="L1649" i="5"/>
  <c r="L1617" i="5"/>
  <c r="L1521" i="5"/>
  <c r="L1290" i="5"/>
  <c r="L1844" i="5"/>
  <c r="L1812" i="5"/>
  <c r="L1842" i="5"/>
  <c r="L1826" i="5"/>
  <c r="L1810" i="5"/>
  <c r="L1202" i="5"/>
  <c r="L1853" i="5"/>
  <c r="L873" i="5"/>
  <c r="L861" i="5"/>
  <c r="L1136" i="5"/>
  <c r="L1192" i="5"/>
  <c r="L1115" i="5"/>
  <c r="L1111" i="5"/>
  <c r="L1789" i="5"/>
  <c r="L1693" i="5"/>
  <c r="L1661" i="5"/>
  <c r="L1597" i="5"/>
  <c r="L1565" i="5"/>
  <c r="L1533" i="5"/>
  <c r="L1454" i="5"/>
  <c r="L1266" i="5"/>
  <c r="L1840" i="5"/>
  <c r="L1808" i="5"/>
  <c r="L1788" i="5"/>
  <c r="L1692" i="5"/>
  <c r="L1676" i="5"/>
  <c r="L1660" i="5"/>
  <c r="L1644" i="5"/>
  <c r="L1628" i="5"/>
  <c r="L1612" i="5"/>
  <c r="L1596" i="5"/>
  <c r="L1114" i="5"/>
  <c r="L1173" i="5"/>
  <c r="L1525" i="5"/>
  <c r="L1752" i="5"/>
  <c r="L1720" i="5"/>
  <c r="L1704" i="5"/>
  <c r="L1656" i="5"/>
  <c r="L1640" i="5"/>
  <c r="L1592" i="5"/>
  <c r="L1544" i="5"/>
  <c r="L1442" i="5"/>
  <c r="L1378" i="5"/>
  <c r="L1312" i="5"/>
  <c r="L1280" i="5"/>
  <c r="L1248" i="5"/>
  <c r="L1823" i="5"/>
  <c r="L1711" i="5"/>
  <c r="L1679" i="5"/>
  <c r="L1663" i="5"/>
  <c r="L1647" i="5"/>
  <c r="L1615" i="5"/>
  <c r="L1519" i="5"/>
  <c r="L1478" i="5"/>
  <c r="L1414" i="5"/>
  <c r="L1350" i="5"/>
  <c r="L1302" i="5"/>
  <c r="L1270" i="5"/>
  <c r="L1665" i="5"/>
  <c r="L1633" i="5"/>
  <c r="L1470" i="5"/>
  <c r="L1258" i="5"/>
  <c r="L1828" i="5"/>
  <c r="L1850" i="5"/>
  <c r="L1818" i="5"/>
  <c r="L1802" i="5"/>
  <c r="L1786" i="5"/>
  <c r="L1738" i="5"/>
  <c r="L1706" i="5"/>
  <c r="L1674" i="5"/>
  <c r="L1642" i="5"/>
  <c r="L1610" i="5"/>
  <c r="L1450" i="5"/>
  <c r="L1386" i="5"/>
  <c r="L1322" i="5"/>
  <c r="L1292" i="5"/>
  <c r="L1260" i="5"/>
  <c r="L1511" i="5"/>
  <c r="L1495" i="5"/>
  <c r="L1415" i="5"/>
  <c r="L1399" i="5"/>
  <c r="L1383" i="5"/>
  <c r="L1367" i="5"/>
  <c r="L1351" i="5"/>
  <c r="L1335" i="5"/>
  <c r="L1319" i="5"/>
  <c r="L1468" i="5"/>
  <c r="L1436" i="5"/>
  <c r="L1420" i="5"/>
  <c r="L1372" i="5"/>
  <c r="L1356" i="5"/>
  <c r="L1340" i="5"/>
  <c r="L1324" i="5"/>
  <c r="L1313" i="5"/>
  <c r="L1305" i="5"/>
  <c r="L1297" i="5"/>
  <c r="L1289" i="5"/>
  <c r="L1281" i="5"/>
  <c r="L1273" i="5"/>
  <c r="L1257" i="5"/>
  <c r="L1241" i="5"/>
  <c r="L1513" i="5"/>
  <c r="L1481" i="5"/>
  <c r="L1465" i="5"/>
  <c r="L1449" i="5"/>
  <c r="L1433" i="5"/>
  <c r="L1417" i="5"/>
  <c r="L1401" i="5"/>
  <c r="L1369" i="5"/>
  <c r="L1353" i="5"/>
  <c r="L1337" i="5"/>
  <c r="L1321" i="5"/>
  <c r="L1814" i="5"/>
  <c r="L1798" i="5"/>
  <c r="L1766" i="5"/>
  <c r="L1750" i="5"/>
  <c r="L1702" i="5"/>
  <c r="L1670" i="5"/>
  <c r="L1654" i="5"/>
  <c r="L1638" i="5"/>
  <c r="L1622" i="5"/>
  <c r="L1606" i="5"/>
  <c r="L1558" i="5"/>
  <c r="L1498" i="5"/>
  <c r="L1370" i="5"/>
  <c r="L1284" i="5"/>
  <c r="L1252" i="5"/>
  <c r="L1507" i="5"/>
  <c r="L1491" i="5"/>
  <c r="L1459" i="5"/>
  <c r="L1443" i="5"/>
  <c r="L1427" i="5"/>
  <c r="L1395" i="5"/>
  <c r="L1379" i="5"/>
  <c r="L1363" i="5"/>
  <c r="L1331" i="5"/>
  <c r="L1448" i="5"/>
  <c r="L1432" i="5"/>
  <c r="L1416" i="5"/>
  <c r="L1303" i="5"/>
  <c r="L1271" i="5"/>
  <c r="L1263" i="5"/>
  <c r="L1255" i="5"/>
  <c r="L1247" i="5"/>
  <c r="L1239" i="5"/>
  <c r="L1509" i="5"/>
  <c r="L1461" i="5"/>
  <c r="L1397" i="5"/>
  <c r="L1381" i="5"/>
  <c r="L1333" i="5"/>
  <c r="L1762" i="5"/>
  <c r="L1746" i="5"/>
  <c r="L1698" i="5"/>
  <c r="L1682" i="5"/>
  <c r="L1650" i="5"/>
  <c r="L1634" i="5"/>
  <c r="L1602" i="5"/>
  <c r="L1570" i="5"/>
  <c r="L1554" i="5"/>
  <c r="L1538" i="5"/>
  <c r="L1482" i="5"/>
  <c r="L1308" i="5"/>
  <c r="L1276" i="5"/>
  <c r="L1244" i="5"/>
  <c r="L1503" i="5"/>
  <c r="L1471" i="5"/>
  <c r="L1455" i="5"/>
  <c r="L1439" i="5"/>
  <c r="L1423" i="5"/>
  <c r="L1407" i="5"/>
  <c r="L1391" i="5"/>
  <c r="L1375" i="5"/>
  <c r="L1343" i="5"/>
  <c r="L1508" i="5"/>
  <c r="L1492" i="5"/>
  <c r="L1476" i="5"/>
  <c r="L1460" i="5"/>
  <c r="L1428" i="5"/>
  <c r="L1412" i="5"/>
  <c r="L1396" i="5"/>
  <c r="L1380" i="5"/>
  <c r="L1364" i="5"/>
  <c r="L1317" i="5"/>
  <c r="L1309" i="5"/>
  <c r="L1301" i="5"/>
  <c r="L1293" i="5"/>
  <c r="L1285" i="5"/>
  <c r="L1277" i="5"/>
  <c r="L1269" i="5"/>
  <c r="L1261" i="5"/>
  <c r="L1253" i="5"/>
  <c r="L1245" i="5"/>
  <c r="L1237" i="5"/>
  <c r="L1489" i="5"/>
  <c r="L1473" i="5"/>
  <c r="L1441" i="5"/>
  <c r="L1361" i="5"/>
  <c r="L1345" i="5"/>
  <c r="L1329" i="5"/>
  <c r="L1564" i="5"/>
  <c r="L1516" i="5"/>
  <c r="L1458" i="5"/>
  <c r="L1394" i="5"/>
  <c r="L1330" i="5"/>
  <c r="L1256" i="5"/>
  <c r="L1843" i="5"/>
  <c r="L1715" i="5"/>
  <c r="L1699" i="5"/>
  <c r="L1683" i="5"/>
  <c r="L1667" i="5"/>
  <c r="L1635" i="5"/>
  <c r="L1571" i="5"/>
  <c r="L1539" i="5"/>
  <c r="L1523" i="5"/>
  <c r="L1494" i="5"/>
  <c r="L1430" i="5"/>
  <c r="L1366" i="5"/>
  <c r="L1310" i="5"/>
  <c r="L1278" i="5"/>
  <c r="L1246" i="5"/>
  <c r="L1705" i="5"/>
  <c r="L1577" i="5"/>
  <c r="L1502" i="5"/>
  <c r="L1374" i="5"/>
  <c r="L1274" i="5"/>
  <c r="L1800" i="5"/>
  <c r="L1838" i="5"/>
  <c r="L1774" i="5"/>
  <c r="L1742" i="5"/>
  <c r="L1710" i="5"/>
  <c r="L1678" i="5"/>
  <c r="L1662" i="5"/>
  <c r="L1646" i="5"/>
  <c r="L1614" i="5"/>
  <c r="L1582" i="5"/>
  <c r="L1566" i="5"/>
  <c r="L1550" i="5"/>
  <c r="L1534" i="5"/>
  <c r="L1402" i="5"/>
  <c r="L1338" i="5"/>
  <c r="L1300" i="5"/>
  <c r="L1268" i="5"/>
  <c r="L1236" i="5"/>
  <c r="L1483" i="5"/>
  <c r="L1435" i="5"/>
  <c r="L1371" i="5"/>
  <c r="L1323" i="5"/>
  <c r="L1504" i="5"/>
  <c r="L1488" i="5"/>
  <c r="L1456" i="5"/>
  <c r="L1408" i="5"/>
  <c r="L1392" i="5"/>
  <c r="L1360" i="5"/>
  <c r="L1344" i="5"/>
  <c r="L1328" i="5"/>
  <c r="L1315" i="5"/>
  <c r="L1307" i="5"/>
  <c r="L1299" i="5"/>
  <c r="L1291" i="5"/>
  <c r="L1275" i="5"/>
  <c r="L1267" i="5"/>
  <c r="L1259" i="5"/>
  <c r="L1251" i="5"/>
  <c r="L1243" i="5"/>
  <c r="L1235" i="5"/>
  <c r="L1453" i="5"/>
  <c r="L1437" i="5"/>
  <c r="L1389" i="5"/>
  <c r="L1373" i="5"/>
  <c r="L1341" i="5"/>
  <c r="L1325" i="5"/>
  <c r="D802" i="5"/>
  <c r="L802" i="5" s="1"/>
  <c r="D1425" i="5"/>
  <c r="L1425" i="5" s="1"/>
  <c r="D81" i="5"/>
  <c r="L81" i="5" s="1"/>
  <c r="D137" i="5"/>
  <c r="L137" i="5" s="1"/>
  <c r="D136" i="5"/>
  <c r="L136" i="5" s="1"/>
  <c r="D807" i="5"/>
  <c r="L807" i="5" s="1"/>
  <c r="D796" i="5"/>
  <c r="L796" i="5" s="1"/>
  <c r="D809" i="5"/>
  <c r="L809" i="5" s="1"/>
  <c r="D135" i="5"/>
  <c r="L135" i="5" s="1"/>
  <c r="D1863" i="5" l="1"/>
  <c r="L1863" i="5" s="1"/>
  <c r="D1861" i="5"/>
  <c r="L1861" i="5" s="1"/>
  <c r="D1858" i="5"/>
  <c r="L1858" i="5" s="1"/>
  <c r="D1857" i="5"/>
  <c r="L1857" i="5" s="1"/>
  <c r="D71" i="5"/>
  <c r="L71" i="5" s="1"/>
  <c r="D61" i="5"/>
  <c r="L61" i="5" s="1"/>
  <c r="D40" i="5"/>
  <c r="L40" i="5" s="1"/>
  <c r="D20" i="5"/>
  <c r="L20" i="5" s="1"/>
  <c r="D15" i="5"/>
  <c r="L15" i="5" s="1"/>
  <c r="D13" i="5"/>
  <c r="L13" i="5" s="1"/>
  <c r="D12" i="5"/>
  <c r="L12" i="5" s="1"/>
  <c r="D72" i="5"/>
  <c r="L72" i="5" s="1"/>
  <c r="D52" i="5"/>
  <c r="L52" i="5" s="1"/>
  <c r="D27" i="5"/>
  <c r="L27" i="5" s="1"/>
  <c r="D19" i="5"/>
  <c r="L19" i="5" s="1"/>
  <c r="D14" i="5"/>
  <c r="L14" i="5" s="1"/>
  <c r="D11" i="5"/>
  <c r="L11" i="5" s="1"/>
  <c r="D78" i="5"/>
  <c r="L78" i="5" s="1"/>
  <c r="D57" i="5"/>
  <c r="L57" i="5" s="1"/>
  <c r="D34" i="5"/>
  <c r="L34" i="5" s="1"/>
  <c r="D80" i="5"/>
  <c r="L80" i="5" s="1"/>
  <c r="D79" i="5"/>
  <c r="L79" i="5" s="1"/>
  <c r="D75" i="5"/>
  <c r="L75" i="5" s="1"/>
  <c r="D70" i="5"/>
  <c r="L70" i="5" s="1"/>
  <c r="D65" i="5"/>
  <c r="L65" i="5" s="1"/>
  <c r="D62" i="5"/>
  <c r="L62" i="5" s="1"/>
  <c r="D56" i="5"/>
  <c r="L56" i="5" s="1"/>
  <c r="D53" i="5"/>
  <c r="L53" i="5" s="1"/>
  <c r="D39" i="5"/>
  <c r="L39" i="5" s="1"/>
  <c r="D26" i="5"/>
  <c r="L26" i="5" s="1"/>
  <c r="D16" i="5"/>
  <c r="L16" i="5" s="1"/>
  <c r="D10" i="5"/>
  <c r="L10" i="5" s="1"/>
  <c r="D37" i="5"/>
  <c r="L37" i="5" s="1"/>
  <c r="D74" i="5"/>
  <c r="L74" i="5" s="1"/>
  <c r="D54" i="5"/>
  <c r="L54" i="5" s="1"/>
  <c r="D17" i="5"/>
  <c r="L17" i="5" s="1"/>
  <c r="D141" i="5"/>
  <c r="L141" i="5" s="1"/>
  <c r="D140" i="5"/>
  <c r="L140" i="5" s="1"/>
  <c r="D6" i="5"/>
  <c r="L6" i="5" s="1"/>
  <c r="D2" i="5"/>
  <c r="L2" i="5" s="1"/>
  <c r="B56" i="7" s="1"/>
  <c r="D3" i="5"/>
  <c r="L3" i="5" s="1"/>
  <c r="D84" i="5"/>
  <c r="L84" i="5" s="1"/>
  <c r="D83" i="5"/>
  <c r="L83" i="5" s="1"/>
  <c r="D823" i="5"/>
  <c r="L823" i="5" s="1"/>
  <c r="D822" i="5"/>
  <c r="L822" i="5" s="1"/>
  <c r="D827" i="5"/>
  <c r="L827" i="5" s="1"/>
  <c r="D824" i="5"/>
  <c r="L824" i="5" s="1"/>
  <c r="D792" i="5"/>
  <c r="L792" i="5" s="1"/>
  <c r="D794" i="5"/>
  <c r="L794" i="5" s="1"/>
  <c r="D793" i="5"/>
  <c r="L793" i="5" s="1"/>
  <c r="D790" i="5"/>
  <c r="L790" i="5" s="1"/>
  <c r="D785" i="5"/>
  <c r="L785" i="5" s="1"/>
  <c r="D778" i="5"/>
  <c r="L778" i="5" s="1"/>
  <c r="D771" i="5"/>
  <c r="L771" i="5" s="1"/>
  <c r="D769" i="5"/>
  <c r="L769" i="5" s="1"/>
  <c r="D767" i="5"/>
  <c r="L767" i="5" s="1"/>
  <c r="D750" i="5"/>
  <c r="L750" i="5" s="1"/>
  <c r="D745" i="5"/>
  <c r="L745" i="5" s="1"/>
  <c r="D716" i="5"/>
  <c r="L716" i="5" s="1"/>
  <c r="D715" i="5"/>
  <c r="L715" i="5" s="1"/>
  <c r="D714" i="5"/>
  <c r="L714" i="5" s="1"/>
  <c r="D712" i="5"/>
  <c r="L712" i="5" s="1"/>
  <c r="D708" i="5"/>
  <c r="L708" i="5" s="1"/>
  <c r="D695" i="5"/>
  <c r="L695" i="5" s="1"/>
  <c r="D687" i="5"/>
  <c r="L687" i="5" s="1"/>
  <c r="D684" i="5"/>
  <c r="L684" i="5" s="1"/>
  <c r="D661" i="5"/>
  <c r="L661" i="5" s="1"/>
  <c r="D645" i="5"/>
  <c r="L645" i="5" s="1"/>
  <c r="D629" i="5"/>
  <c r="L629" i="5" s="1"/>
  <c r="D619" i="5"/>
  <c r="L619" i="5" s="1"/>
  <c r="D615" i="5"/>
  <c r="L615" i="5" s="1"/>
  <c r="D603" i="5"/>
  <c r="L603" i="5" s="1"/>
  <c r="D582" i="5"/>
  <c r="L582" i="5" s="1"/>
  <c r="D576" i="5"/>
  <c r="L576" i="5" s="1"/>
  <c r="D571" i="5"/>
  <c r="L571" i="5" s="1"/>
  <c r="D541" i="5"/>
  <c r="L541" i="5" s="1"/>
  <c r="D538" i="5"/>
  <c r="L538" i="5" s="1"/>
  <c r="D523" i="5"/>
  <c r="L523" i="5" s="1"/>
  <c r="D520" i="5"/>
  <c r="L520" i="5" s="1"/>
  <c r="D512" i="5"/>
  <c r="L512" i="5" s="1"/>
  <c r="D496" i="5"/>
  <c r="L496" i="5" s="1"/>
  <c r="D481" i="5"/>
  <c r="L481" i="5" s="1"/>
  <c r="D470" i="5"/>
  <c r="L470" i="5" s="1"/>
  <c r="D465" i="5"/>
  <c r="L465" i="5" s="1"/>
  <c r="D460" i="5"/>
  <c r="L460" i="5" s="1"/>
  <c r="D454" i="5"/>
  <c r="L454" i="5" s="1"/>
  <c r="D451" i="5"/>
  <c r="L451" i="5" s="1"/>
  <c r="D448" i="5"/>
  <c r="L448" i="5" s="1"/>
  <c r="D439" i="5"/>
  <c r="L439" i="5" s="1"/>
  <c r="D433" i="5"/>
  <c r="L433" i="5" s="1"/>
  <c r="D427" i="5"/>
  <c r="L427" i="5" s="1"/>
  <c r="D420" i="5"/>
  <c r="L420" i="5" s="1"/>
  <c r="D413" i="5"/>
  <c r="L413" i="5" s="1"/>
  <c r="D791" i="5"/>
  <c r="L791" i="5" s="1"/>
  <c r="D774" i="5"/>
  <c r="L774" i="5" s="1"/>
  <c r="D763" i="5"/>
  <c r="L763" i="5" s="1"/>
  <c r="D760" i="5"/>
  <c r="L760" i="5" s="1"/>
  <c r="D746" i="5"/>
  <c r="L746" i="5" s="1"/>
  <c r="D728" i="5"/>
  <c r="L728" i="5" s="1"/>
  <c r="D724" i="5"/>
  <c r="L724" i="5" s="1"/>
  <c r="D719" i="5"/>
  <c r="L719" i="5" s="1"/>
  <c r="D717" i="5"/>
  <c r="L717" i="5" s="1"/>
  <c r="D704" i="5"/>
  <c r="L704" i="5" s="1"/>
  <c r="D697" i="5"/>
  <c r="L697" i="5" s="1"/>
  <c r="D691" i="5"/>
  <c r="L691" i="5" s="1"/>
  <c r="D681" i="5"/>
  <c r="L681" i="5" s="1"/>
  <c r="D660" i="5"/>
  <c r="L660" i="5" s="1"/>
  <c r="D658" i="5"/>
  <c r="L658" i="5" s="1"/>
  <c r="D642" i="5"/>
  <c r="L642" i="5" s="1"/>
  <c r="D623" i="5"/>
  <c r="L623" i="5" s="1"/>
  <c r="D605" i="5"/>
  <c r="L605" i="5" s="1"/>
  <c r="D597" i="5"/>
  <c r="L597" i="5" s="1"/>
  <c r="D574" i="5"/>
  <c r="L574" i="5" s="1"/>
  <c r="D558" i="5"/>
  <c r="L558" i="5" s="1"/>
  <c r="D552" i="5"/>
  <c r="L552" i="5" s="1"/>
  <c r="D545" i="5"/>
  <c r="L545" i="5" s="1"/>
  <c r="D539" i="5"/>
  <c r="L539" i="5" s="1"/>
  <c r="D522" i="5"/>
  <c r="L522" i="5" s="1"/>
  <c r="D502" i="5"/>
  <c r="L502" i="5" s="1"/>
  <c r="D432" i="5"/>
  <c r="L432" i="5" s="1"/>
  <c r="D407" i="5"/>
  <c r="L407" i="5" s="1"/>
  <c r="D789" i="5"/>
  <c r="L789" i="5" s="1"/>
  <c r="D776" i="5"/>
  <c r="L776" i="5" s="1"/>
  <c r="D743" i="5"/>
  <c r="L743" i="5" s="1"/>
  <c r="D739" i="5"/>
  <c r="L739" i="5" s="1"/>
  <c r="D732" i="5"/>
  <c r="L732" i="5" s="1"/>
  <c r="D718" i="5"/>
  <c r="L718" i="5" s="1"/>
  <c r="D686" i="5"/>
  <c r="L686" i="5" s="1"/>
  <c r="D659" i="5"/>
  <c r="L659" i="5" s="1"/>
  <c r="D633" i="5"/>
  <c r="L633" i="5" s="1"/>
  <c r="D617" i="5"/>
  <c r="L617" i="5" s="1"/>
  <c r="D584" i="5"/>
  <c r="L584" i="5" s="1"/>
  <c r="D572" i="5"/>
  <c r="L572" i="5" s="1"/>
  <c r="D565" i="5"/>
  <c r="L565" i="5" s="1"/>
  <c r="D547" i="5"/>
  <c r="L547" i="5" s="1"/>
  <c r="D543" i="5"/>
  <c r="L543" i="5" s="1"/>
  <c r="D497" i="5"/>
  <c r="L497" i="5" s="1"/>
  <c r="D474" i="5"/>
  <c r="L474" i="5" s="1"/>
  <c r="D431" i="5"/>
  <c r="L431" i="5" s="1"/>
  <c r="D419" i="5"/>
  <c r="L419" i="5" s="1"/>
  <c r="D417" i="5"/>
  <c r="L417" i="5" s="1"/>
  <c r="D415" i="5"/>
  <c r="L415" i="5" s="1"/>
  <c r="D409" i="5"/>
  <c r="L409" i="5" s="1"/>
  <c r="D784" i="5"/>
  <c r="L784" i="5" s="1"/>
  <c r="D775" i="5"/>
  <c r="L775" i="5" s="1"/>
  <c r="D764" i="5"/>
  <c r="L764" i="5" s="1"/>
  <c r="D756" i="5"/>
  <c r="L756" i="5" s="1"/>
  <c r="D744" i="5"/>
  <c r="L744" i="5" s="1"/>
  <c r="D735" i="5"/>
  <c r="L735" i="5" s="1"/>
  <c r="D730" i="5"/>
  <c r="L730" i="5" s="1"/>
  <c r="D725" i="5"/>
  <c r="L725" i="5" s="1"/>
  <c r="D711" i="5"/>
  <c r="L711" i="5" s="1"/>
  <c r="D707" i="5"/>
  <c r="L707" i="5" s="1"/>
  <c r="D672" i="5"/>
  <c r="L672" i="5" s="1"/>
  <c r="D663" i="5"/>
  <c r="L663" i="5" s="1"/>
  <c r="D626" i="5"/>
  <c r="L626" i="5" s="1"/>
  <c r="D611" i="5"/>
  <c r="L611" i="5" s="1"/>
  <c r="D598" i="5"/>
  <c r="L598" i="5" s="1"/>
  <c r="D586" i="5"/>
  <c r="L586" i="5" s="1"/>
  <c r="D569" i="5"/>
  <c r="L569" i="5" s="1"/>
  <c r="D563" i="5"/>
  <c r="L563" i="5" s="1"/>
  <c r="D559" i="5"/>
  <c r="L559" i="5" s="1"/>
  <c r="D550" i="5"/>
  <c r="L550" i="5" s="1"/>
  <c r="D546" i="5"/>
  <c r="L546" i="5" s="1"/>
  <c r="D531" i="5"/>
  <c r="L531" i="5" s="1"/>
  <c r="D525" i="5"/>
  <c r="L525" i="5" s="1"/>
  <c r="D516" i="5"/>
  <c r="L516" i="5" s="1"/>
  <c r="D505" i="5"/>
  <c r="L505" i="5" s="1"/>
  <c r="D491" i="5"/>
  <c r="L491" i="5" s="1"/>
  <c r="D479" i="5"/>
  <c r="L479" i="5" s="1"/>
  <c r="D473" i="5"/>
  <c r="L473" i="5" s="1"/>
  <c r="D447" i="5"/>
  <c r="L447" i="5" s="1"/>
  <c r="D446" i="5"/>
  <c r="L446" i="5" s="1"/>
  <c r="D438" i="5"/>
  <c r="L438" i="5" s="1"/>
  <c r="D429" i="5"/>
  <c r="L429" i="5" s="1"/>
  <c r="D422" i="5"/>
  <c r="L422" i="5" s="1"/>
  <c r="D421" i="5"/>
  <c r="L421" i="5" s="1"/>
  <c r="D416" i="5"/>
  <c r="L416" i="5" s="1"/>
  <c r="D410" i="5"/>
  <c r="L410" i="5" s="1"/>
  <c r="D408" i="5"/>
  <c r="L408" i="5" s="1"/>
  <c r="D403" i="5"/>
  <c r="L403" i="5" s="1"/>
  <c r="D401" i="5"/>
  <c r="L401" i="5" s="1"/>
  <c r="D394" i="5"/>
  <c r="L394" i="5" s="1"/>
  <c r="D788" i="5"/>
  <c r="L788" i="5" s="1"/>
  <c r="D777" i="5"/>
  <c r="L777" i="5" s="1"/>
  <c r="D766" i="5"/>
  <c r="L766" i="5" s="1"/>
  <c r="D755" i="5"/>
  <c r="L755" i="5" s="1"/>
  <c r="D733" i="5"/>
  <c r="L733" i="5" s="1"/>
  <c r="D710" i="5"/>
  <c r="L710" i="5" s="1"/>
  <c r="D696" i="5"/>
  <c r="L696" i="5" s="1"/>
  <c r="D693" i="5"/>
  <c r="L693" i="5" s="1"/>
  <c r="D676" i="5"/>
  <c r="L676" i="5" s="1"/>
  <c r="D669" i="5"/>
  <c r="L669" i="5" s="1"/>
  <c r="D649" i="5"/>
  <c r="L649" i="5" s="1"/>
  <c r="D610" i="5"/>
  <c r="L610" i="5" s="1"/>
  <c r="D601" i="5"/>
  <c r="L601" i="5" s="1"/>
  <c r="D585" i="5"/>
  <c r="L585" i="5" s="1"/>
  <c r="D581" i="5"/>
  <c r="L581" i="5" s="1"/>
  <c r="D561" i="5"/>
  <c r="L561" i="5" s="1"/>
  <c r="D524" i="5"/>
  <c r="L524" i="5" s="1"/>
  <c r="D509" i="5"/>
  <c r="L509" i="5" s="1"/>
  <c r="D488" i="5"/>
  <c r="L488" i="5" s="1"/>
  <c r="D795" i="5"/>
  <c r="L795" i="5" s="1"/>
  <c r="D472" i="5"/>
  <c r="L472" i="5" s="1"/>
  <c r="D468" i="5"/>
  <c r="L468" i="5" s="1"/>
  <c r="D445" i="5"/>
  <c r="L445" i="5" s="1"/>
  <c r="D443" i="5"/>
  <c r="L443" i="5" s="1"/>
  <c r="D437" i="5"/>
  <c r="L437" i="5" s="1"/>
  <c r="D436" i="5"/>
  <c r="L436" i="5" s="1"/>
  <c r="D428" i="5"/>
  <c r="L428" i="5" s="1"/>
  <c r="D426" i="5"/>
  <c r="L426" i="5" s="1"/>
  <c r="D423" i="5"/>
  <c r="L423" i="5" s="1"/>
  <c r="D397" i="5"/>
  <c r="L397" i="5" s="1"/>
  <c r="D761" i="5"/>
  <c r="L761" i="5" s="1"/>
  <c r="D759" i="5"/>
  <c r="L759" i="5" s="1"/>
  <c r="D729" i="5"/>
  <c r="L729" i="5" s="1"/>
  <c r="D727" i="5"/>
  <c r="L727" i="5" s="1"/>
  <c r="D720" i="5"/>
  <c r="L720" i="5" s="1"/>
  <c r="D709" i="5"/>
  <c r="L709" i="5" s="1"/>
  <c r="D694" i="5"/>
  <c r="L694" i="5" s="1"/>
  <c r="D689" i="5"/>
  <c r="L689" i="5" s="1"/>
  <c r="D680" i="5"/>
  <c r="L680" i="5" s="1"/>
  <c r="D670" i="5"/>
  <c r="L670" i="5" s="1"/>
  <c r="D662" i="5"/>
  <c r="L662" i="5" s="1"/>
  <c r="D621" i="5"/>
  <c r="L621" i="5" s="1"/>
  <c r="D609" i="5"/>
  <c r="L609" i="5" s="1"/>
  <c r="D600" i="5"/>
  <c r="L600" i="5" s="1"/>
  <c r="D551" i="5"/>
  <c r="L551" i="5" s="1"/>
  <c r="D518" i="5"/>
  <c r="L518" i="5" s="1"/>
  <c r="D515" i="5"/>
  <c r="L515" i="5" s="1"/>
  <c r="D471" i="5"/>
  <c r="L471" i="5" s="1"/>
  <c r="D466" i="5"/>
  <c r="L466" i="5" s="1"/>
  <c r="D452" i="5"/>
  <c r="L452" i="5" s="1"/>
  <c r="D442" i="5"/>
  <c r="L442" i="5" s="1"/>
  <c r="D414" i="5"/>
  <c r="L414" i="5" s="1"/>
  <c r="D405" i="5"/>
  <c r="L405" i="5" s="1"/>
  <c r="D400" i="5"/>
  <c r="L400" i="5" s="1"/>
  <c r="D396" i="5"/>
  <c r="L396" i="5" s="1"/>
  <c r="D805" i="5"/>
  <c r="L805" i="5" s="1"/>
  <c r="D804" i="5"/>
  <c r="L804" i="5" s="1"/>
  <c r="D841" i="5"/>
  <c r="L841" i="5" s="1"/>
  <c r="D842" i="5"/>
  <c r="L842" i="5" s="1"/>
  <c r="D375" i="5"/>
  <c r="L375" i="5" s="1"/>
  <c r="D368" i="5"/>
  <c r="L368" i="5" s="1"/>
  <c r="D362" i="5"/>
  <c r="L362" i="5" s="1"/>
  <c r="D353" i="5"/>
  <c r="L353" i="5" s="1"/>
  <c r="D344" i="5"/>
  <c r="L344" i="5" s="1"/>
  <c r="D338" i="5"/>
  <c r="L338" i="5" s="1"/>
  <c r="D336" i="5"/>
  <c r="L336" i="5" s="1"/>
  <c r="D331" i="5"/>
  <c r="L331" i="5" s="1"/>
  <c r="D326" i="5"/>
  <c r="L326" i="5" s="1"/>
  <c r="D323" i="5"/>
  <c r="L323" i="5" s="1"/>
  <c r="D233" i="5"/>
  <c r="L233" i="5" s="1"/>
  <c r="D318" i="5"/>
  <c r="L318" i="5" s="1"/>
  <c r="D315" i="5"/>
  <c r="L315" i="5" s="1"/>
  <c r="D313" i="5"/>
  <c r="L313" i="5" s="1"/>
  <c r="D308" i="5"/>
  <c r="L308" i="5" s="1"/>
  <c r="D286" i="5"/>
  <c r="L286" i="5" s="1"/>
  <c r="D272" i="5"/>
  <c r="L272" i="5" s="1"/>
  <c r="D270" i="5"/>
  <c r="L270" i="5" s="1"/>
  <c r="D257" i="5"/>
  <c r="L257" i="5" s="1"/>
  <c r="D252" i="5"/>
  <c r="L252" i="5" s="1"/>
  <c r="D371" i="5"/>
  <c r="L371" i="5" s="1"/>
  <c r="D366" i="5"/>
  <c r="L366" i="5" s="1"/>
  <c r="D364" i="5"/>
  <c r="L364" i="5" s="1"/>
  <c r="D359" i="5"/>
  <c r="L359" i="5" s="1"/>
  <c r="D340" i="5"/>
  <c r="L340" i="5" s="1"/>
  <c r="D312" i="5"/>
  <c r="L312" i="5" s="1"/>
  <c r="D276" i="5"/>
  <c r="L276" i="5" s="1"/>
  <c r="D271" i="5"/>
  <c r="L271" i="5" s="1"/>
  <c r="D263" i="5"/>
  <c r="L263" i="5" s="1"/>
  <c r="D377" i="5"/>
  <c r="L377" i="5" s="1"/>
  <c r="D373" i="5"/>
  <c r="L373" i="5" s="1"/>
  <c r="D370" i="5"/>
  <c r="L370" i="5" s="1"/>
  <c r="D358" i="5"/>
  <c r="L358" i="5" s="1"/>
  <c r="D357" i="5"/>
  <c r="L357" i="5" s="1"/>
  <c r="D355" i="5"/>
  <c r="L355" i="5" s="1"/>
  <c r="D343" i="5"/>
  <c r="L343" i="5" s="1"/>
  <c r="D334" i="5"/>
  <c r="L334" i="5" s="1"/>
  <c r="D319" i="5"/>
  <c r="L319" i="5" s="1"/>
  <c r="D268" i="5"/>
  <c r="L268" i="5" s="1"/>
  <c r="D255" i="5"/>
  <c r="L255" i="5" s="1"/>
  <c r="D253" i="5"/>
  <c r="L253" i="5" s="1"/>
  <c r="D243" i="5"/>
  <c r="L243" i="5" s="1"/>
  <c r="D361" i="5"/>
  <c r="L361" i="5" s="1"/>
  <c r="D360" i="5"/>
  <c r="L360" i="5" s="1"/>
  <c r="D356" i="5"/>
  <c r="L356" i="5" s="1"/>
  <c r="D352" i="5"/>
  <c r="L352" i="5" s="1"/>
  <c r="D347" i="5"/>
  <c r="L347" i="5" s="1"/>
  <c r="D342" i="5"/>
  <c r="L342" i="5" s="1"/>
  <c r="D328" i="5"/>
  <c r="L328" i="5" s="1"/>
  <c r="D305" i="5"/>
  <c r="L305" i="5" s="1"/>
  <c r="D280" i="5"/>
  <c r="L280" i="5" s="1"/>
  <c r="D277" i="5"/>
  <c r="L277" i="5" s="1"/>
  <c r="D274" i="5"/>
  <c r="L274" i="5" s="1"/>
  <c r="D273" i="5"/>
  <c r="L273" i="5" s="1"/>
  <c r="D265" i="5"/>
  <c r="L265" i="5" s="1"/>
  <c r="D258" i="5"/>
  <c r="L258" i="5" s="1"/>
  <c r="D246" i="5"/>
  <c r="L246" i="5" s="1"/>
  <c r="D241" i="5"/>
  <c r="L241" i="5" s="1"/>
  <c r="D381" i="5"/>
  <c r="L381" i="5" s="1"/>
  <c r="D374" i="5"/>
  <c r="L374" i="5" s="1"/>
  <c r="D351" i="5"/>
  <c r="L351" i="5" s="1"/>
  <c r="D337" i="5"/>
  <c r="L337" i="5" s="1"/>
  <c r="D269" i="5"/>
  <c r="L269" i="5" s="1"/>
  <c r="D262" i="5"/>
  <c r="L262" i="5" s="1"/>
  <c r="D260" i="5"/>
  <c r="L260" i="5" s="1"/>
  <c r="D245" i="5"/>
  <c r="L245" i="5" s="1"/>
  <c r="D379" i="5"/>
  <c r="L379" i="5" s="1"/>
  <c r="D316" i="5"/>
  <c r="L316" i="5" s="1"/>
  <c r="D314" i="5"/>
  <c r="L314" i="5" s="1"/>
  <c r="D256" i="5"/>
  <c r="L256" i="5" s="1"/>
  <c r="D250" i="5"/>
  <c r="L250" i="5" s="1"/>
  <c r="D249" i="5"/>
  <c r="L249" i="5" s="1"/>
  <c r="D240" i="5"/>
  <c r="L240" i="5" s="1"/>
  <c r="D221" i="5"/>
  <c r="L221" i="5" s="1"/>
  <c r="D231" i="5"/>
  <c r="L231" i="5" s="1"/>
  <c r="D176" i="5"/>
  <c r="L176" i="5" s="1"/>
  <c r="D207" i="5"/>
  <c r="L207" i="5" s="1"/>
  <c r="D205" i="5"/>
  <c r="L205" i="5" s="1"/>
  <c r="D201" i="5"/>
  <c r="L201" i="5" s="1"/>
  <c r="D183" i="5"/>
  <c r="L183" i="5" s="1"/>
  <c r="D216" i="5"/>
  <c r="L216" i="5" s="1"/>
  <c r="D182" i="5"/>
  <c r="L182" i="5" s="1"/>
  <c r="D162" i="5"/>
  <c r="L162" i="5" s="1"/>
  <c r="D215" i="5"/>
  <c r="L215" i="5" s="1"/>
  <c r="D173" i="5"/>
  <c r="L173" i="5" s="1"/>
  <c r="D155" i="5"/>
  <c r="L155" i="5" s="1"/>
  <c r="D161" i="5"/>
  <c r="L161" i="5" s="1"/>
  <c r="D186" i="5"/>
  <c r="L186" i="5" s="1"/>
  <c r="D168" i="5"/>
  <c r="L168" i="5" s="1"/>
  <c r="D166" i="5"/>
  <c r="L166" i="5" s="1"/>
  <c r="D145" i="5"/>
  <c r="L145" i="5" s="1"/>
  <c r="D164" i="5"/>
  <c r="L164" i="5" s="1"/>
  <c r="D199" i="5"/>
  <c r="L199" i="5" s="1"/>
  <c r="D163" i="5"/>
  <c r="L163" i="5" s="1"/>
  <c r="D217" i="5"/>
  <c r="L217" i="5" s="1"/>
  <c r="D224" i="5"/>
  <c r="L224" i="5" s="1"/>
  <c r="D151" i="5"/>
  <c r="L151" i="5" s="1"/>
  <c r="D150" i="5"/>
  <c r="L150" i="5" s="1"/>
  <c r="D209" i="5"/>
  <c r="L209" i="5" s="1"/>
  <c r="D220" i="5"/>
  <c r="L220" i="5" s="1"/>
  <c r="D181" i="5"/>
  <c r="L181" i="5" s="1"/>
  <c r="D230" i="5"/>
  <c r="L230" i="5" s="1"/>
  <c r="D202" i="5"/>
  <c r="L202" i="5" s="1"/>
  <c r="D180" i="5"/>
  <c r="L180" i="5" s="1"/>
  <c r="D174" i="5"/>
  <c r="L174" i="5" s="1"/>
  <c r="D228" i="5"/>
  <c r="L228" i="5" s="1"/>
  <c r="D192" i="5"/>
  <c r="L192" i="5" s="1"/>
  <c r="D212" i="5"/>
  <c r="L212" i="5" s="1"/>
  <c r="D160" i="5"/>
  <c r="L160" i="5" s="1"/>
  <c r="D178" i="5"/>
  <c r="L178" i="5" s="1"/>
  <c r="D172" i="5"/>
  <c r="L172" i="5" s="1"/>
  <c r="D187" i="5"/>
  <c r="L187" i="5" s="1"/>
  <c r="D157" i="5"/>
  <c r="L157" i="5" s="1"/>
  <c r="D169" i="5"/>
  <c r="L169" i="5" s="1"/>
  <c r="D208" i="5"/>
  <c r="L208" i="5" s="1"/>
  <c r="D167" i="5"/>
  <c r="L167" i="5" s="1"/>
  <c r="D204" i="5"/>
  <c r="L204" i="5" s="1"/>
  <c r="D203" i="5"/>
  <c r="L203" i="5" s="1"/>
  <c r="D218" i="5"/>
  <c r="L218" i="5" s="1"/>
  <c r="D225" i="5"/>
  <c r="L225" i="5" s="1"/>
  <c r="D232" i="5"/>
  <c r="L232" i="5" s="1"/>
  <c r="D206" i="5"/>
  <c r="L206" i="5" s="1"/>
  <c r="D214" i="5"/>
  <c r="L214" i="5" s="1"/>
  <c r="D1744" i="5"/>
  <c r="L1744" i="5" s="1"/>
  <c r="D801" i="5"/>
  <c r="L801" i="5" s="1"/>
  <c r="D813" i="5"/>
  <c r="L813" i="5" s="1"/>
  <c r="D811" i="5"/>
  <c r="L811" i="5" s="1"/>
  <c r="D820" i="5"/>
  <c r="L820" i="5" s="1"/>
  <c r="D818" i="5"/>
  <c r="L818" i="5" s="1"/>
  <c r="D814" i="5"/>
  <c r="L814" i="5" s="1"/>
  <c r="D812" i="5"/>
  <c r="L812" i="5" s="1"/>
  <c r="D810" i="5"/>
  <c r="L810" i="5" s="1"/>
  <c r="D132" i="5"/>
  <c r="L132" i="5" s="1"/>
  <c r="D130" i="5"/>
  <c r="L130" i="5" s="1"/>
  <c r="D126" i="5"/>
  <c r="L126" i="5" s="1"/>
  <c r="D120" i="5"/>
  <c r="L120" i="5" s="1"/>
  <c r="D104" i="5"/>
  <c r="L104" i="5" s="1"/>
  <c r="D101" i="5"/>
  <c r="L101" i="5" s="1"/>
  <c r="D98" i="5"/>
  <c r="L98" i="5" s="1"/>
  <c r="D95" i="5"/>
  <c r="L95" i="5" s="1"/>
  <c r="D91" i="5"/>
  <c r="L91" i="5" s="1"/>
  <c r="D114" i="5"/>
  <c r="L114" i="5" s="1"/>
  <c r="D107" i="5"/>
  <c r="L107" i="5" s="1"/>
  <c r="D103" i="5"/>
  <c r="L103" i="5" s="1"/>
  <c r="D102" i="5"/>
  <c r="L102" i="5" s="1"/>
  <c r="D117" i="5"/>
  <c r="L117" i="5" s="1"/>
  <c r="D112" i="5"/>
  <c r="L112" i="5" s="1"/>
  <c r="D110" i="5"/>
  <c r="L110" i="5" s="1"/>
  <c r="D131" i="5"/>
  <c r="L131" i="5" s="1"/>
  <c r="D111" i="5"/>
  <c r="L111" i="5" s="1"/>
  <c r="D108" i="5"/>
  <c r="L108" i="5" s="1"/>
  <c r="D105" i="5"/>
  <c r="L105" i="5" s="1"/>
  <c r="D124" i="5"/>
  <c r="L124" i="5" s="1"/>
  <c r="D123" i="5"/>
  <c r="L123" i="5" s="1"/>
  <c r="D99" i="5"/>
  <c r="L99" i="5" s="1"/>
  <c r="D96" i="5"/>
  <c r="L96" i="5" s="1"/>
  <c r="D93" i="5"/>
  <c r="L93" i="5" s="1"/>
  <c r="D89" i="5"/>
  <c r="L89" i="5" s="1"/>
  <c r="D835" i="5"/>
  <c r="L835" i="5" s="1"/>
  <c r="D832" i="5"/>
  <c r="L832" i="5" s="1"/>
  <c r="D838" i="5"/>
  <c r="L838" i="5" s="1"/>
  <c r="D833" i="5"/>
  <c r="L833" i="5" s="1"/>
  <c r="D1054" i="5"/>
  <c r="L1054" i="5" s="1"/>
  <c r="D1727" i="5"/>
  <c r="L1727" i="5" s="1"/>
  <c r="D324" i="5"/>
  <c r="L324" i="5" s="1"/>
  <c r="D836" i="5"/>
  <c r="L836" i="5" s="1"/>
  <c r="D1616" i="5"/>
  <c r="L1616" i="5" s="1"/>
  <c r="D1103" i="5"/>
  <c r="L1103" i="5" s="1"/>
  <c r="D885" i="5"/>
  <c r="L885" i="5" s="1"/>
  <c r="D1685" i="5"/>
  <c r="L1685" i="5" s="1"/>
  <c r="D590" i="5"/>
  <c r="L590" i="5" s="1"/>
  <c r="D960" i="5"/>
  <c r="L960" i="5" s="1"/>
  <c r="D705" i="5"/>
  <c r="L705" i="5" s="1"/>
  <c r="D806" i="5"/>
  <c r="L806" i="5" s="1"/>
  <c r="D616" i="5"/>
  <c r="L616" i="5" s="1"/>
  <c r="D48" i="5"/>
  <c r="L48" i="5" s="1"/>
  <c r="D25" i="5"/>
  <c r="L25" i="5" s="1"/>
  <c r="D1479" i="5"/>
  <c r="L1479" i="5" s="1"/>
  <c r="D1119" i="5"/>
  <c r="L1119" i="5" s="1"/>
  <c r="D1118" i="5"/>
  <c r="L1118" i="5" s="1"/>
  <c r="D1568" i="5"/>
  <c r="L1568" i="5" s="1"/>
  <c r="D1400" i="5"/>
  <c r="L1400" i="5" s="1"/>
  <c r="D77" i="5"/>
  <c r="L77" i="5" s="1"/>
  <c r="D1801" i="5"/>
  <c r="L1801" i="5" s="1"/>
  <c r="D754" i="5"/>
  <c r="L754" i="5" s="1"/>
  <c r="D726" i="5"/>
  <c r="L726" i="5" s="1"/>
  <c r="D787" i="5"/>
  <c r="L787" i="5" s="1"/>
  <c r="D1836" i="5"/>
  <c r="L1836" i="5" s="1"/>
  <c r="D1731" i="5"/>
  <c r="L1731" i="5" s="1"/>
  <c r="D1832" i="5"/>
  <c r="L1832" i="5" s="1"/>
  <c r="D133" i="5"/>
  <c r="L133" i="5" s="1"/>
  <c r="D128" i="5"/>
  <c r="L128" i="5" s="1"/>
  <c r="D63" i="5"/>
  <c r="L63" i="5" s="1"/>
  <c r="D690" i="5"/>
  <c r="L690" i="5" s="1"/>
  <c r="D800" i="5"/>
  <c r="L800" i="5" s="1"/>
  <c r="D869" i="5"/>
  <c r="L869" i="5" s="1"/>
  <c r="D330" i="5"/>
  <c r="L330" i="5" s="1"/>
  <c r="D1767" i="5"/>
  <c r="L1767" i="5" s="1"/>
  <c r="D593" i="5"/>
  <c r="L593" i="5" s="1"/>
  <c r="D852" i="5"/>
  <c r="L852" i="5" s="1"/>
  <c r="D32" i="5"/>
  <c r="L32" i="5" s="1"/>
  <c r="D1198" i="5"/>
  <c r="L1198" i="5" s="1"/>
  <c r="D580" i="5"/>
  <c r="L580" i="5" s="1"/>
  <c r="D1729" i="5"/>
  <c r="L1729" i="5" s="1"/>
  <c r="D1697" i="5"/>
  <c r="L1697" i="5" s="1"/>
  <c r="D1864" i="5"/>
  <c r="L1864" i="5" s="1"/>
  <c r="D1006" i="5"/>
  <c r="L1006" i="5" s="1"/>
  <c r="D327" i="5"/>
  <c r="L327" i="5" s="1"/>
  <c r="D665" i="5"/>
  <c r="L665" i="5" s="1"/>
  <c r="D1681" i="5"/>
  <c r="L1681" i="5" s="1"/>
  <c r="D903" i="5"/>
  <c r="L903" i="5" s="1"/>
  <c r="D1005" i="5"/>
  <c r="L1005" i="5" s="1"/>
  <c r="D329" i="5"/>
  <c r="L329" i="5" s="1"/>
  <c r="D594" i="5"/>
  <c r="L594" i="5" s="1"/>
  <c r="D42" i="5"/>
  <c r="L42" i="5" s="1"/>
  <c r="D36" i="5"/>
  <c r="L36" i="5" s="1"/>
  <c r="D30" i="5"/>
  <c r="L30" i="5" s="1"/>
  <c r="D939" i="5"/>
  <c r="L939" i="5" s="1"/>
  <c r="D453" i="5"/>
  <c r="L453" i="5" s="1"/>
  <c r="D1520" i="5"/>
  <c r="L1520" i="5" s="1"/>
  <c r="D275" i="5"/>
  <c r="L275" i="5" s="1"/>
  <c r="D1506" i="5"/>
  <c r="L1506" i="5" s="1"/>
  <c r="D1714" i="5"/>
  <c r="L1714" i="5" s="1"/>
  <c r="D41" i="5"/>
  <c r="L41" i="5" s="1"/>
  <c r="D1586" i="5"/>
  <c r="L1586" i="5" s="1"/>
  <c r="D35" i="5"/>
  <c r="L35" i="5" s="1"/>
  <c r="D851" i="5"/>
  <c r="L851" i="5" s="1"/>
  <c r="D808" i="5"/>
  <c r="L808" i="5" s="1"/>
  <c r="D1867" i="5"/>
  <c r="L1867" i="5" s="1"/>
  <c r="D613" i="5"/>
  <c r="L613" i="5" s="1"/>
  <c r="D853" i="5"/>
  <c r="L853" i="5" s="1"/>
  <c r="D38" i="5"/>
  <c r="L38" i="5" s="1"/>
  <c r="D1585" i="5"/>
  <c r="L1585" i="5" s="1"/>
  <c r="D29" i="5"/>
  <c r="L29" i="5" s="1"/>
  <c r="D1102" i="5"/>
  <c r="L1102" i="5" s="1"/>
  <c r="D196" i="5"/>
  <c r="L196" i="5" s="1"/>
  <c r="D534" i="5"/>
  <c r="L534" i="5" s="1"/>
  <c r="D1543" i="5"/>
  <c r="L1543" i="5" s="1"/>
  <c r="D1680" i="5"/>
  <c r="L1680" i="5" s="1"/>
  <c r="D195" i="5"/>
  <c r="L195" i="5" s="1"/>
  <c r="D116" i="5"/>
  <c r="L116" i="5" s="1"/>
  <c r="D31" i="5"/>
  <c r="L31" i="5" s="1"/>
  <c r="D1522" i="5"/>
  <c r="L1522" i="5" s="1"/>
  <c r="D1518" i="5"/>
  <c r="L1518" i="5" s="1"/>
  <c r="D1514" i="5"/>
  <c r="L1514" i="5" s="1"/>
  <c r="D1499" i="5"/>
  <c r="L1499" i="5" s="1"/>
  <c r="D9" i="5"/>
  <c r="L9" i="5" s="1"/>
  <c r="D7" i="5"/>
  <c r="L7" i="5" s="1"/>
  <c r="D899" i="5"/>
  <c r="L899" i="5" s="1"/>
  <c r="D894" i="5"/>
  <c r="L894" i="5" s="1"/>
  <c r="D1535" i="5"/>
  <c r="L1535" i="5" s="1"/>
  <c r="D592" i="5"/>
  <c r="L592" i="5" s="1"/>
  <c r="D33" i="5"/>
  <c r="L33" i="5" s="1"/>
  <c r="D948" i="5"/>
  <c r="L948" i="5" s="1"/>
  <c r="D8" i="5"/>
  <c r="L8" i="5" s="1"/>
  <c r="D1785" i="5"/>
  <c r="L1785" i="5" s="1"/>
  <c r="D1658" i="5"/>
  <c r="L1658" i="5" s="1"/>
  <c r="D1718" i="5"/>
  <c r="L1718" i="5" s="1"/>
  <c r="D1834" i="5"/>
  <c r="L1834" i="5" s="1"/>
  <c r="D1108" i="5"/>
  <c r="L1108" i="5" s="1"/>
  <c r="D656" i="5"/>
  <c r="L656" i="5" s="1"/>
  <c r="D1029" i="5"/>
  <c r="L1029" i="5" s="1"/>
  <c r="D1065" i="5"/>
  <c r="L1065" i="5" s="1"/>
  <c r="D1156" i="5"/>
  <c r="L1156" i="5" s="1"/>
  <c r="D1447" i="5"/>
  <c r="L1447" i="5" s="1"/>
  <c r="D652" i="5"/>
  <c r="L652" i="5" s="1"/>
  <c r="D1170" i="5"/>
  <c r="L1170" i="5" s="1"/>
  <c r="D1384" i="5"/>
  <c r="L1384" i="5" s="1"/>
  <c r="D579" i="5"/>
  <c r="L579" i="5" s="1"/>
  <c r="D307" i="5"/>
  <c r="L307" i="5" s="1"/>
  <c r="D781" i="5"/>
  <c r="L781" i="5" s="1"/>
  <c r="D1048" i="5"/>
  <c r="L1048" i="5" s="1"/>
  <c r="D1178" i="5"/>
  <c r="L1178" i="5" s="1"/>
  <c r="D1797" i="5"/>
  <c r="L1797" i="5" s="1"/>
  <c r="D1773" i="5"/>
  <c r="L1773" i="5" s="1"/>
  <c r="D1761" i="5"/>
  <c r="L1761" i="5" s="1"/>
  <c r="D69" i="5"/>
  <c r="L69" i="5" s="1"/>
  <c r="D723" i="5"/>
  <c r="L723" i="5" s="1"/>
  <c r="D1722" i="5"/>
  <c r="L1722" i="5" s="1"/>
  <c r="D1055" i="5"/>
  <c r="L1055" i="5" s="1"/>
  <c r="D376" i="5"/>
  <c r="L376" i="5" s="1"/>
  <c r="D210" i="5"/>
  <c r="L210" i="5" s="1"/>
  <c r="D1177" i="5"/>
  <c r="L1177" i="5" s="1"/>
  <c r="D765" i="5"/>
  <c r="L765" i="5" s="1"/>
  <c r="D758" i="5"/>
  <c r="L758" i="5" s="1"/>
  <c r="D1037" i="5"/>
  <c r="L1037" i="5" s="1"/>
  <c r="D751" i="5"/>
  <c r="L751" i="5" s="1"/>
  <c r="D1776" i="5"/>
  <c r="L1776" i="5" s="1"/>
  <c r="D1772" i="5"/>
  <c r="L1772" i="5" s="1"/>
  <c r="D1758" i="5"/>
  <c r="L1758" i="5" s="1"/>
  <c r="D1074" i="5"/>
  <c r="L1074" i="5" s="1"/>
  <c r="D741" i="5"/>
  <c r="L741" i="5" s="1"/>
  <c r="D734" i="5"/>
  <c r="L734" i="5" s="1"/>
  <c r="D350" i="5"/>
  <c r="L350" i="5" s="1"/>
  <c r="D1126" i="5"/>
  <c r="L1126" i="5" s="1"/>
  <c r="D1050" i="5"/>
  <c r="L1050" i="5" s="1"/>
  <c r="D1795" i="5"/>
  <c r="L1795" i="5" s="1"/>
  <c r="D1726" i="5"/>
  <c r="L1726" i="5" s="1"/>
  <c r="D721" i="5"/>
  <c r="L721" i="5" s="1"/>
  <c r="D1719" i="5"/>
  <c r="L1719" i="5" s="1"/>
  <c r="D713" i="5"/>
  <c r="L713" i="5" s="1"/>
  <c r="D1076" i="5"/>
  <c r="L1076" i="5" s="1"/>
  <c r="D335" i="5"/>
  <c r="L335" i="5" s="1"/>
  <c r="D325" i="5"/>
  <c r="L325" i="5" s="1"/>
  <c r="D1143" i="5"/>
  <c r="L1143" i="5" s="1"/>
  <c r="D1607" i="5"/>
  <c r="L1607" i="5" s="1"/>
  <c r="D740" i="5"/>
  <c r="L740" i="5" s="1"/>
  <c r="D341" i="5"/>
  <c r="L341" i="5" s="1"/>
  <c r="D817" i="5"/>
  <c r="L817" i="5" s="1"/>
  <c r="D64" i="5"/>
  <c r="L64" i="5" s="1"/>
  <c r="D1167" i="5"/>
  <c r="L1167" i="5" s="1"/>
  <c r="D1009" i="5"/>
  <c r="L1009" i="5" s="1"/>
  <c r="D200" i="5"/>
  <c r="L200" i="5" s="1"/>
  <c r="D1121" i="5"/>
  <c r="L1121" i="5" s="1"/>
  <c r="D1599" i="5"/>
  <c r="L1599" i="5" s="1"/>
  <c r="D998" i="5"/>
  <c r="L998" i="5" s="1"/>
  <c r="D1593" i="5"/>
  <c r="L1593" i="5" s="1"/>
  <c r="D643" i="5"/>
  <c r="L643" i="5" s="1"/>
  <c r="D639" i="5"/>
  <c r="L639" i="5" s="1"/>
  <c r="D304" i="5"/>
  <c r="L304" i="5" s="1"/>
  <c r="D993" i="5"/>
  <c r="L993" i="5" s="1"/>
  <c r="D628" i="5"/>
  <c r="L628" i="5" s="1"/>
  <c r="D620" i="5"/>
  <c r="L620" i="5" s="1"/>
  <c r="D985" i="5"/>
  <c r="L985" i="5" s="1"/>
  <c r="D1716" i="5"/>
  <c r="L1716" i="5" s="1"/>
  <c r="D816" i="5"/>
  <c r="L816" i="5" s="1"/>
  <c r="D683" i="5"/>
  <c r="L683" i="5" s="1"/>
  <c r="D667" i="5"/>
  <c r="L667" i="5" s="1"/>
  <c r="D317" i="5"/>
  <c r="L317" i="5" s="1"/>
  <c r="D1042" i="5"/>
  <c r="L1042" i="5" s="1"/>
  <c r="D819" i="5"/>
  <c r="L819" i="5" s="1"/>
  <c r="D1745" i="5"/>
  <c r="L1745" i="5" s="1"/>
  <c r="D1639" i="5"/>
  <c r="L1639" i="5" s="1"/>
  <c r="D1631" i="5"/>
  <c r="L1631" i="5" s="1"/>
  <c r="D1001" i="5"/>
  <c r="L1001" i="5" s="1"/>
  <c r="D881" i="5"/>
  <c r="L881" i="5" s="1"/>
  <c r="D996" i="5"/>
  <c r="L996" i="5" s="1"/>
  <c r="D1227" i="5"/>
  <c r="L1227" i="5" s="1"/>
  <c r="D635" i="5"/>
  <c r="L635" i="5" s="1"/>
  <c r="D303" i="5"/>
  <c r="L303" i="5" s="1"/>
  <c r="D297" i="5"/>
  <c r="L297" i="5" s="1"/>
  <c r="D992" i="5"/>
  <c r="L992" i="5" s="1"/>
  <c r="D292" i="5"/>
  <c r="L292" i="5" s="1"/>
  <c r="D289" i="5"/>
  <c r="L289" i="5" s="1"/>
  <c r="D622" i="5"/>
  <c r="L622" i="5" s="1"/>
  <c r="D825" i="5"/>
  <c r="L825" i="5" s="1"/>
  <c r="D535" i="5"/>
  <c r="L535" i="5" s="1"/>
  <c r="D857" i="5"/>
  <c r="L857" i="5" s="1"/>
  <c r="D1154" i="5"/>
  <c r="L1154" i="5" s="1"/>
  <c r="D1497" i="5"/>
  <c r="L1497" i="5" s="1"/>
  <c r="D931" i="5"/>
  <c r="L931" i="5" s="1"/>
  <c r="D113" i="5"/>
  <c r="L113" i="5" s="1"/>
  <c r="D1148" i="5"/>
  <c r="L1148" i="5" s="1"/>
  <c r="D1466" i="5"/>
  <c r="L1466" i="5" s="1"/>
  <c r="D430" i="5"/>
  <c r="L430" i="5" s="1"/>
  <c r="D190" i="5"/>
  <c r="L190" i="5" s="1"/>
  <c r="D1385" i="5"/>
  <c r="L1385" i="5" s="1"/>
  <c r="D1352" i="5"/>
  <c r="L1352" i="5" s="1"/>
  <c r="D783" i="5"/>
  <c r="L783" i="5" s="1"/>
  <c r="D1794" i="5"/>
  <c r="L1794" i="5" s="1"/>
  <c r="D382" i="5"/>
  <c r="L382" i="5" s="1"/>
  <c r="D1590" i="5"/>
  <c r="L1590" i="5" s="1"/>
  <c r="D296" i="5"/>
  <c r="L296" i="5" s="1"/>
  <c r="D295" i="5"/>
  <c r="L295" i="5" s="1"/>
  <c r="D990" i="5"/>
  <c r="L990" i="5" s="1"/>
  <c r="D288" i="5"/>
  <c r="L288" i="5" s="1"/>
  <c r="D283" i="5"/>
  <c r="L283" i="5" s="1"/>
  <c r="D542" i="5"/>
  <c r="L542" i="5" s="1"/>
  <c r="D958" i="5"/>
  <c r="L958" i="5" s="1"/>
  <c r="D517" i="5"/>
  <c r="L517" i="5" s="1"/>
  <c r="D655" i="5"/>
  <c r="L655" i="5" s="1"/>
  <c r="D647" i="5"/>
  <c r="L647" i="5" s="1"/>
  <c r="D229" i="5"/>
  <c r="L229" i="5" s="1"/>
  <c r="D636" i="5"/>
  <c r="L636" i="5" s="1"/>
  <c r="D211" i="5"/>
  <c r="L211" i="5" s="1"/>
  <c r="D197" i="5"/>
  <c r="L197" i="5" s="1"/>
  <c r="D632" i="5"/>
  <c r="L632" i="5" s="1"/>
  <c r="D290" i="5"/>
  <c r="L290" i="5" s="1"/>
  <c r="D553" i="5"/>
  <c r="L553" i="5" s="1"/>
  <c r="D143" i="5"/>
  <c r="L143" i="5" s="1"/>
  <c r="D583" i="5"/>
  <c r="L583" i="5" s="1"/>
  <c r="D848" i="5"/>
  <c r="L848" i="5" s="1"/>
  <c r="D444" i="5"/>
  <c r="L444" i="5" s="1"/>
  <c r="D1457" i="5"/>
  <c r="L1457" i="5" s="1"/>
  <c r="D1451" i="5"/>
  <c r="L1451" i="5" s="1"/>
  <c r="D1405" i="5"/>
  <c r="L1405" i="5" s="1"/>
  <c r="D1349" i="5"/>
  <c r="L1349" i="5" s="1"/>
  <c r="D239" i="5"/>
  <c r="L239" i="5" s="1"/>
  <c r="D238" i="5"/>
  <c r="L238" i="5" s="1"/>
  <c r="D234" i="5"/>
  <c r="L234" i="5" s="1"/>
  <c r="D227" i="5"/>
  <c r="L227" i="5" s="1"/>
  <c r="D1517" i="5"/>
  <c r="L1517" i="5" s="1"/>
  <c r="D1485" i="5"/>
  <c r="L1485" i="5" s="1"/>
  <c r="D1484" i="5"/>
  <c r="L1484" i="5" s="1"/>
  <c r="D440" i="5"/>
  <c r="L440" i="5" s="1"/>
  <c r="D106" i="5"/>
  <c r="L106" i="5" s="1"/>
  <c r="D248" i="5"/>
  <c r="L248" i="5" s="1"/>
  <c r="D406" i="5"/>
  <c r="L406" i="5" s="1"/>
  <c r="D402" i="5"/>
  <c r="L402" i="5" s="1"/>
  <c r="D1311" i="5"/>
  <c r="L1311" i="5" s="1"/>
  <c r="D1112" i="5"/>
  <c r="L1112" i="5" s="1"/>
  <c r="D237" i="5"/>
  <c r="L237" i="5" s="1"/>
  <c r="D1038" i="5"/>
  <c r="L1038" i="5" s="1"/>
  <c r="D577" i="5"/>
  <c r="L577" i="5" s="1"/>
  <c r="D1505" i="5"/>
  <c r="L1505" i="5" s="1"/>
  <c r="D266" i="5"/>
  <c r="L266" i="5" s="1"/>
  <c r="D109" i="5"/>
  <c r="L109" i="5" s="1"/>
  <c r="D1231" i="5"/>
  <c r="L1231" i="5" s="1"/>
  <c r="D843" i="5"/>
  <c r="L843" i="5" s="1"/>
  <c r="D1294" i="5"/>
  <c r="L1294" i="5" s="1"/>
  <c r="D236" i="5"/>
  <c r="L236" i="5" s="1"/>
  <c r="D625" i="5"/>
  <c r="L625" i="5" s="1"/>
  <c r="D191" i="5"/>
  <c r="L191" i="5" s="1"/>
  <c r="D1480" i="5"/>
  <c r="L1480" i="5" s="1"/>
  <c r="D412" i="5"/>
  <c r="L412" i="5" s="1"/>
  <c r="D1365" i="5"/>
  <c r="L1365" i="5" s="1"/>
  <c r="D235" i="5"/>
  <c r="L235" i="5" s="1"/>
  <c r="D1629" i="5"/>
  <c r="L1629" i="5" s="1"/>
  <c r="D1174" i="5"/>
  <c r="L1174" i="5" s="1"/>
  <c r="D50" i="5"/>
  <c r="L50" i="5" s="1"/>
  <c r="D1580" i="5"/>
  <c r="L1580" i="5" s="1"/>
  <c r="D997" i="5"/>
  <c r="L997" i="5" s="1"/>
  <c r="D1560" i="5"/>
  <c r="L1560" i="5" s="1"/>
  <c r="D1526" i="5"/>
  <c r="L1526" i="5" s="1"/>
  <c r="D1440" i="5"/>
  <c r="L1440" i="5" s="1"/>
  <c r="D348" i="5"/>
  <c r="L348" i="5" s="1"/>
  <c r="D1210" i="5"/>
  <c r="L1210" i="5" s="1"/>
  <c r="D1377" i="5"/>
  <c r="L1377" i="5" s="1"/>
  <c r="D1406" i="5"/>
  <c r="L1406" i="5" s="1"/>
  <c r="D152" i="5"/>
  <c r="L152" i="5" s="1"/>
  <c r="D568" i="5"/>
  <c r="L568" i="5" s="1"/>
  <c r="D144" i="5"/>
  <c r="L144" i="5" s="1"/>
  <c r="D782" i="5"/>
  <c r="L782" i="5" s="1"/>
  <c r="D1822" i="5"/>
  <c r="L1822" i="5" s="1"/>
  <c r="D222" i="5"/>
  <c r="L222" i="5" s="1"/>
  <c r="D752" i="5"/>
  <c r="L752" i="5" s="1"/>
  <c r="D149" i="5"/>
  <c r="L149" i="5" s="1"/>
  <c r="D170" i="5"/>
  <c r="L170" i="5" s="1"/>
  <c r="D1201" i="5"/>
  <c r="L1201" i="5" s="1"/>
  <c r="D129" i="5"/>
  <c r="L129" i="5" s="1"/>
  <c r="D1127" i="5"/>
  <c r="L1127" i="5" s="1"/>
  <c r="D354" i="5"/>
  <c r="L354" i="5" s="1"/>
  <c r="D1748" i="5"/>
  <c r="L1748" i="5" s="1"/>
  <c r="D1741" i="5"/>
  <c r="L1741" i="5" s="1"/>
  <c r="D1081" i="5"/>
  <c r="L1081" i="5" s="1"/>
  <c r="D799" i="5"/>
  <c r="L799" i="5" s="1"/>
  <c r="D380" i="5"/>
  <c r="L380" i="5" s="1"/>
  <c r="D1837" i="5"/>
  <c r="L1837" i="5" s="1"/>
  <c r="D378" i="5"/>
  <c r="L378" i="5" s="1"/>
  <c r="D1179" i="5"/>
  <c r="L1179" i="5" s="1"/>
  <c r="D1821" i="5"/>
  <c r="L1821" i="5" s="1"/>
  <c r="D772" i="5"/>
  <c r="L772" i="5" s="1"/>
  <c r="D770" i="5"/>
  <c r="L770" i="5" s="1"/>
  <c r="D768" i="5"/>
  <c r="L768" i="5" s="1"/>
  <c r="D1796" i="5"/>
  <c r="L1796" i="5" s="1"/>
  <c r="D367" i="5"/>
  <c r="L367" i="5" s="1"/>
  <c r="D762" i="5"/>
  <c r="L762" i="5" s="1"/>
  <c r="D1779" i="5"/>
  <c r="L1779" i="5" s="1"/>
  <c r="D365" i="5"/>
  <c r="L365" i="5" s="1"/>
  <c r="D363" i="5"/>
  <c r="L363" i="5" s="1"/>
  <c r="D1769" i="5"/>
  <c r="L1769" i="5" s="1"/>
  <c r="D748" i="5"/>
  <c r="L748" i="5" s="1"/>
  <c r="D1756" i="5"/>
  <c r="L1756" i="5" s="1"/>
  <c r="D1134" i="5"/>
  <c r="L1134" i="5" s="1"/>
  <c r="D1747" i="5"/>
  <c r="L1747" i="5" s="1"/>
  <c r="D1743" i="5"/>
  <c r="L1743" i="5" s="1"/>
  <c r="D1732" i="5"/>
  <c r="L1732" i="5" s="1"/>
  <c r="D1724" i="5"/>
  <c r="L1724" i="5" s="1"/>
  <c r="D346" i="5"/>
  <c r="L346" i="5" s="1"/>
  <c r="D780" i="5"/>
  <c r="L780" i="5" s="1"/>
  <c r="D1829" i="5"/>
  <c r="L1829" i="5" s="1"/>
  <c r="D1811" i="5"/>
  <c r="L1811" i="5" s="1"/>
  <c r="D76" i="5"/>
  <c r="L76" i="5" s="1"/>
  <c r="D1782" i="5"/>
  <c r="L1782" i="5" s="1"/>
  <c r="D1778" i="5"/>
  <c r="L1778" i="5" s="1"/>
  <c r="D757" i="5"/>
  <c r="L757" i="5" s="1"/>
  <c r="D753" i="5"/>
  <c r="L753" i="5" s="1"/>
  <c r="D1775" i="5"/>
  <c r="L1775" i="5" s="1"/>
  <c r="D1770" i="5"/>
  <c r="L1770" i="5" s="1"/>
  <c r="D1033" i="5"/>
  <c r="L1033" i="5" s="1"/>
  <c r="D738" i="5"/>
  <c r="L738" i="5" s="1"/>
  <c r="D737" i="5"/>
  <c r="L737" i="5" s="1"/>
  <c r="D1740" i="5"/>
  <c r="L1740" i="5" s="1"/>
  <c r="D127" i="5"/>
  <c r="L127" i="5" s="1"/>
  <c r="D1730" i="5"/>
  <c r="L1730" i="5" s="1"/>
  <c r="D858" i="5"/>
  <c r="L858" i="5" s="1"/>
  <c r="D67" i="5"/>
  <c r="L67" i="5" s="1"/>
  <c r="D889" i="5"/>
  <c r="L889" i="5" s="1"/>
  <c r="D703" i="5"/>
  <c r="L703" i="5" s="1"/>
  <c r="D700" i="5"/>
  <c r="L700" i="5" s="1"/>
  <c r="D1014" i="5"/>
  <c r="L1014" i="5" s="1"/>
  <c r="D1013" i="5"/>
  <c r="L1013" i="5" s="1"/>
  <c r="D1666" i="5"/>
  <c r="L1666" i="5" s="1"/>
  <c r="D1641" i="5"/>
  <c r="L1641" i="5" s="1"/>
  <c r="D175" i="5"/>
  <c r="L175" i="5" s="1"/>
  <c r="D685" i="5"/>
  <c r="L685" i="5" s="1"/>
  <c r="D1186" i="5"/>
  <c r="L1186" i="5" s="1"/>
  <c r="D1007" i="5"/>
  <c r="L1007" i="5" s="1"/>
  <c r="D1133" i="5"/>
  <c r="L1133" i="5" s="1"/>
  <c r="D673" i="5"/>
  <c r="L673" i="5" s="1"/>
  <c r="D1623" i="5"/>
  <c r="L1623" i="5" s="1"/>
  <c r="D668" i="5"/>
  <c r="L668" i="5" s="1"/>
  <c r="D55" i="5"/>
  <c r="L55" i="5" s="1"/>
  <c r="D1000" i="5"/>
  <c r="L1000" i="5" s="1"/>
  <c r="D797" i="5"/>
  <c r="L797" i="5" s="1"/>
  <c r="D839" i="5"/>
  <c r="L839" i="5" s="1"/>
  <c r="D654" i="5"/>
  <c r="L654" i="5" s="1"/>
  <c r="D821" i="5"/>
  <c r="L821" i="5" s="1"/>
  <c r="D1805" i="5"/>
  <c r="L1805" i="5" s="1"/>
  <c r="D1046" i="5"/>
  <c r="L1046" i="5" s="1"/>
  <c r="D1781" i="5"/>
  <c r="L1781" i="5" s="1"/>
  <c r="D1130" i="5"/>
  <c r="L1130" i="5" s="1"/>
  <c r="D125" i="5"/>
  <c r="L125" i="5" s="1"/>
  <c r="D1713" i="5"/>
  <c r="L1713" i="5" s="1"/>
  <c r="D1709" i="5"/>
  <c r="L1709" i="5" s="1"/>
  <c r="D1020" i="5"/>
  <c r="L1020" i="5" s="1"/>
  <c r="D66" i="5"/>
  <c r="L66" i="5" s="1"/>
  <c r="D1700" i="5"/>
  <c r="L1700" i="5" s="1"/>
  <c r="D701" i="5"/>
  <c r="L701" i="5" s="1"/>
  <c r="D1690" i="5"/>
  <c r="L1690" i="5" s="1"/>
  <c r="D332" i="5"/>
  <c r="L332" i="5" s="1"/>
  <c r="D156" i="5"/>
  <c r="L156" i="5" s="1"/>
  <c r="D679" i="5"/>
  <c r="L679" i="5" s="1"/>
  <c r="D58" i="5"/>
  <c r="L58" i="5" s="1"/>
  <c r="D1123" i="5"/>
  <c r="L1123" i="5" s="1"/>
  <c r="D1625" i="5"/>
  <c r="L1625" i="5" s="1"/>
  <c r="D1603" i="5"/>
  <c r="L1603" i="5" s="1"/>
  <c r="D657" i="5"/>
  <c r="L657" i="5" s="1"/>
  <c r="D1601" i="5"/>
  <c r="L1601" i="5" s="1"/>
  <c r="D1594" i="5"/>
  <c r="L1594" i="5" s="1"/>
  <c r="D306" i="5"/>
  <c r="L306" i="5" s="1"/>
  <c r="D301" i="5"/>
  <c r="L301" i="5" s="1"/>
  <c r="D989" i="5"/>
  <c r="L989" i="5" s="1"/>
  <c r="D618" i="5"/>
  <c r="L618" i="5" s="1"/>
  <c r="D226" i="5"/>
  <c r="L226" i="5" s="1"/>
  <c r="D1078" i="5"/>
  <c r="L1078" i="5" s="1"/>
  <c r="D982" i="5"/>
  <c r="L982" i="5" s="1"/>
  <c r="D595" i="5"/>
  <c r="L595" i="5" s="1"/>
  <c r="D121" i="5"/>
  <c r="L121" i="5" s="1"/>
  <c r="D884" i="5"/>
  <c r="L884" i="5" s="1"/>
  <c r="D1830" i="5"/>
  <c r="L1830" i="5" s="1"/>
  <c r="D773" i="5"/>
  <c r="L773" i="5" s="1"/>
  <c r="D1751" i="5"/>
  <c r="L1751" i="5" s="1"/>
  <c r="D349" i="5"/>
  <c r="L349" i="5" s="1"/>
  <c r="D1109" i="5"/>
  <c r="L1109" i="5" s="1"/>
  <c r="D1086" i="5"/>
  <c r="L1086" i="5" s="1"/>
  <c r="D1016" i="5"/>
  <c r="L1016" i="5" s="1"/>
  <c r="D1694" i="5"/>
  <c r="L1694" i="5" s="1"/>
  <c r="D1124" i="5"/>
  <c r="L1124" i="5" s="1"/>
  <c r="D1008" i="5"/>
  <c r="L1008" i="5" s="1"/>
  <c r="D675" i="5"/>
  <c r="L675" i="5" s="1"/>
  <c r="D322" i="5"/>
  <c r="L322" i="5" s="1"/>
  <c r="D122" i="5"/>
  <c r="L122" i="5" s="1"/>
  <c r="D779" i="5"/>
  <c r="L779" i="5" s="1"/>
  <c r="D1220" i="5"/>
  <c r="L1220" i="5" s="1"/>
  <c r="D1791" i="5"/>
  <c r="L1791" i="5" s="1"/>
  <c r="D1695" i="5"/>
  <c r="L1695" i="5" s="1"/>
  <c r="D1218" i="5"/>
  <c r="L1218" i="5" s="1"/>
  <c r="D699" i="5"/>
  <c r="L699" i="5" s="1"/>
  <c r="D1691" i="5"/>
  <c r="L1691" i="5" s="1"/>
  <c r="D698" i="5"/>
  <c r="L698" i="5" s="1"/>
  <c r="D148" i="5"/>
  <c r="L148" i="5" s="1"/>
  <c r="D1624" i="5"/>
  <c r="L1624" i="5" s="1"/>
  <c r="D1085" i="5"/>
  <c r="L1085" i="5" s="1"/>
  <c r="D1002" i="5"/>
  <c r="L1002" i="5" s="1"/>
  <c r="D1618" i="5"/>
  <c r="L1618" i="5" s="1"/>
  <c r="D1605" i="5"/>
  <c r="L1605" i="5" s="1"/>
  <c r="D321" i="5"/>
  <c r="L321" i="5" s="1"/>
  <c r="D1598" i="5"/>
  <c r="L1598" i="5" s="1"/>
  <c r="D650" i="5"/>
  <c r="L650" i="5" s="1"/>
  <c r="D1010" i="5"/>
  <c r="L1010" i="5" s="1"/>
  <c r="D59" i="5"/>
  <c r="L59" i="5" s="1"/>
  <c r="D648" i="5"/>
  <c r="L648" i="5" s="1"/>
  <c r="D641" i="5"/>
  <c r="L641" i="5" s="1"/>
  <c r="D309" i="5"/>
  <c r="L309" i="5" s="1"/>
  <c r="D638" i="5"/>
  <c r="L638" i="5" s="1"/>
  <c r="D634" i="5"/>
  <c r="L634" i="5" s="1"/>
  <c r="D986" i="5"/>
  <c r="L986" i="5" s="1"/>
  <c r="D984" i="5"/>
  <c r="L984" i="5" s="1"/>
  <c r="D1129" i="5"/>
  <c r="L1129" i="5" s="1"/>
  <c r="D798" i="5"/>
  <c r="L798" i="5" s="1"/>
  <c r="D49" i="5"/>
  <c r="L49" i="5" s="1"/>
  <c r="D591" i="5"/>
  <c r="L591" i="5" s="1"/>
  <c r="D1579" i="5"/>
  <c r="L1579" i="5" s="1"/>
  <c r="D1092" i="5"/>
  <c r="L1092" i="5" s="1"/>
  <c r="D566" i="5"/>
  <c r="L566" i="5" s="1"/>
  <c r="D1215" i="5"/>
  <c r="L1215" i="5" s="1"/>
  <c r="D557" i="5"/>
  <c r="L557" i="5" s="1"/>
  <c r="D282" i="5"/>
  <c r="L282" i="5" s="1"/>
  <c r="D554" i="5"/>
  <c r="L554" i="5" s="1"/>
  <c r="D1563" i="5"/>
  <c r="L1563" i="5" s="1"/>
  <c r="D968" i="5"/>
  <c r="L968" i="5" s="1"/>
  <c r="D118" i="5"/>
  <c r="L118" i="5" s="1"/>
  <c r="D965" i="5"/>
  <c r="L965" i="5" s="1"/>
  <c r="D530" i="5"/>
  <c r="L530" i="5" s="1"/>
  <c r="D519" i="5"/>
  <c r="L519" i="5" s="1"/>
  <c r="D511" i="5"/>
  <c r="L511" i="5" s="1"/>
  <c r="D508" i="5"/>
  <c r="L508" i="5" s="1"/>
  <c r="D953" i="5"/>
  <c r="L953" i="5" s="1"/>
  <c r="D504" i="5"/>
  <c r="L504" i="5" s="1"/>
  <c r="D1083" i="5"/>
  <c r="L1083" i="5" s="1"/>
  <c r="D498" i="5"/>
  <c r="L498" i="5" s="1"/>
  <c r="D495" i="5"/>
  <c r="L495" i="5" s="1"/>
  <c r="D492" i="5"/>
  <c r="L492" i="5" s="1"/>
  <c r="D485" i="5"/>
  <c r="L485" i="5" s="1"/>
  <c r="D950" i="5"/>
  <c r="L950" i="5" s="1"/>
  <c r="D949" i="5"/>
  <c r="L949" i="5" s="1"/>
  <c r="D478" i="5"/>
  <c r="L478" i="5" s="1"/>
  <c r="D476" i="5"/>
  <c r="L476" i="5" s="1"/>
  <c r="D1161" i="5"/>
  <c r="L1161" i="5" s="1"/>
  <c r="D1113" i="5"/>
  <c r="L1113" i="5" s="1"/>
  <c r="D944" i="5"/>
  <c r="L944" i="5" s="1"/>
  <c r="D941" i="5"/>
  <c r="L941" i="5" s="1"/>
  <c r="D464" i="5"/>
  <c r="L464" i="5" s="1"/>
  <c r="D462" i="5"/>
  <c r="L462" i="5" s="1"/>
  <c r="D21" i="5"/>
  <c r="L21" i="5" s="1"/>
  <c r="D449" i="5"/>
  <c r="L449" i="5" s="1"/>
  <c r="D829" i="5"/>
  <c r="L829" i="5" s="1"/>
  <c r="D1501" i="5"/>
  <c r="L1501" i="5" s="1"/>
  <c r="D264" i="5"/>
  <c r="L264" i="5" s="1"/>
  <c r="D1463" i="5"/>
  <c r="L1463" i="5" s="1"/>
  <c r="D1183" i="5"/>
  <c r="L1183" i="5" s="1"/>
  <c r="D1431" i="5"/>
  <c r="L1431" i="5" s="1"/>
  <c r="D1418" i="5"/>
  <c r="L1418" i="5" s="1"/>
  <c r="D1169" i="5"/>
  <c r="L1169" i="5" s="1"/>
  <c r="D1336" i="5"/>
  <c r="L1336" i="5" s="1"/>
  <c r="D706" i="5"/>
  <c r="L706" i="5" s="1"/>
  <c r="D1688" i="5"/>
  <c r="L1688" i="5" s="1"/>
  <c r="D138" i="5"/>
  <c r="L138" i="5" s="1"/>
  <c r="D651" i="5"/>
  <c r="L651" i="5" s="1"/>
  <c r="D179" i="5"/>
  <c r="L179" i="5" s="1"/>
  <c r="D219" i="5"/>
  <c r="L219" i="5" s="1"/>
  <c r="D637" i="5"/>
  <c r="L637" i="5" s="1"/>
  <c r="D302" i="5"/>
  <c r="L302" i="5" s="1"/>
  <c r="D627" i="5"/>
  <c r="L627" i="5" s="1"/>
  <c r="D624" i="5"/>
  <c r="L624" i="5" s="1"/>
  <c r="D987" i="5"/>
  <c r="L987" i="5" s="1"/>
  <c r="D983" i="5"/>
  <c r="L983" i="5" s="1"/>
  <c r="D607" i="5"/>
  <c r="L607" i="5" s="1"/>
  <c r="D602" i="5"/>
  <c r="L602" i="5" s="1"/>
  <c r="D599" i="5"/>
  <c r="L599" i="5" s="1"/>
  <c r="D1587" i="5"/>
  <c r="L1587" i="5" s="1"/>
  <c r="D1116" i="5"/>
  <c r="L1116" i="5" s="1"/>
  <c r="D285" i="5"/>
  <c r="L285" i="5" s="1"/>
  <c r="D973" i="5"/>
  <c r="L973" i="5" s="1"/>
  <c r="D570" i="5"/>
  <c r="L570" i="5" s="1"/>
  <c r="D1164" i="5"/>
  <c r="L1164" i="5" s="1"/>
  <c r="D1578" i="5"/>
  <c r="L1578" i="5" s="1"/>
  <c r="D564" i="5"/>
  <c r="L564" i="5" s="1"/>
  <c r="D1067" i="5"/>
  <c r="L1067" i="5" s="1"/>
  <c r="D970" i="5"/>
  <c r="L970" i="5" s="1"/>
  <c r="D193" i="5"/>
  <c r="L193" i="5" s="1"/>
  <c r="D548" i="5"/>
  <c r="L548" i="5" s="1"/>
  <c r="D82" i="5"/>
  <c r="L82" i="5" s="1"/>
  <c r="D1556" i="5"/>
  <c r="L1556" i="5" s="1"/>
  <c r="D119" i="5"/>
  <c r="L119" i="5" s="1"/>
  <c r="D529" i="5"/>
  <c r="L529" i="5" s="1"/>
  <c r="D526" i="5"/>
  <c r="L526" i="5" s="1"/>
  <c r="D24" i="5"/>
  <c r="L24" i="5" s="1"/>
  <c r="D1162" i="5"/>
  <c r="L1162" i="5" s="1"/>
  <c r="D957" i="5"/>
  <c r="L957" i="5" s="1"/>
  <c r="D513" i="5"/>
  <c r="L513" i="5" s="1"/>
  <c r="D510" i="5"/>
  <c r="L510" i="5" s="1"/>
  <c r="D501" i="5"/>
  <c r="L501" i="5" s="1"/>
  <c r="D494" i="5"/>
  <c r="L494" i="5" s="1"/>
  <c r="D487" i="5"/>
  <c r="L487" i="5" s="1"/>
  <c r="D951" i="5"/>
  <c r="L951" i="5" s="1"/>
  <c r="D480" i="5"/>
  <c r="L480" i="5" s="1"/>
  <c r="D23" i="5"/>
  <c r="L23" i="5" s="1"/>
  <c r="D1064" i="5"/>
  <c r="L1064" i="5" s="1"/>
  <c r="D461" i="5"/>
  <c r="L461" i="5" s="1"/>
  <c r="D459" i="5"/>
  <c r="L459" i="5" s="1"/>
  <c r="D1545" i="5"/>
  <c r="L1545" i="5" s="1"/>
  <c r="D171" i="5"/>
  <c r="L171" i="5" s="1"/>
  <c r="D1011" i="5"/>
  <c r="L1011" i="5" s="1"/>
  <c r="D1619" i="5"/>
  <c r="L1619" i="5" s="1"/>
  <c r="D310" i="5"/>
  <c r="L310" i="5" s="1"/>
  <c r="D300" i="5"/>
  <c r="L300" i="5" s="1"/>
  <c r="D293" i="5"/>
  <c r="L293" i="5" s="1"/>
  <c r="D991" i="5"/>
  <c r="L991" i="5" s="1"/>
  <c r="D988" i="5"/>
  <c r="L988" i="5" s="1"/>
  <c r="D51" i="5"/>
  <c r="L51" i="5" s="1"/>
  <c r="D1072" i="5"/>
  <c r="L1072" i="5" s="1"/>
  <c r="D604" i="5"/>
  <c r="L604" i="5" s="1"/>
  <c r="D844" i="5"/>
  <c r="L844" i="5" s="1"/>
  <c r="D1859" i="5"/>
  <c r="L1859" i="5" s="1"/>
  <c r="D1588" i="5"/>
  <c r="L1588" i="5" s="1"/>
  <c r="D803" i="5"/>
  <c r="L803" i="5" s="1"/>
  <c r="D47" i="5"/>
  <c r="L47" i="5" s="1"/>
  <c r="D44" i="5"/>
  <c r="L44" i="5" s="1"/>
  <c r="D845" i="5"/>
  <c r="L845" i="5" s="1"/>
  <c r="D1581" i="5"/>
  <c r="L1581" i="5" s="1"/>
  <c r="D1855" i="5"/>
  <c r="L1855" i="5" s="1"/>
  <c r="D578" i="5"/>
  <c r="L578" i="5" s="1"/>
  <c r="D974" i="5"/>
  <c r="L974" i="5" s="1"/>
  <c r="D575" i="5"/>
  <c r="L575" i="5" s="1"/>
  <c r="D573" i="5"/>
  <c r="L573" i="5" s="1"/>
  <c r="D567" i="5"/>
  <c r="L567" i="5" s="1"/>
  <c r="D1185" i="5"/>
  <c r="L1185" i="5" s="1"/>
  <c r="D560" i="5"/>
  <c r="L560" i="5" s="1"/>
  <c r="D888" i="5"/>
  <c r="L888" i="5" s="1"/>
  <c r="D840" i="5"/>
  <c r="L840" i="5" s="1"/>
  <c r="D1562" i="5"/>
  <c r="L1562" i="5" s="1"/>
  <c r="D544" i="5"/>
  <c r="L544" i="5" s="1"/>
  <c r="D892" i="5"/>
  <c r="L892" i="5" s="1"/>
  <c r="D1559" i="5"/>
  <c r="L1559" i="5" s="1"/>
  <c r="D536" i="5"/>
  <c r="L536" i="5" s="1"/>
  <c r="D533" i="5"/>
  <c r="L533" i="5" s="1"/>
  <c r="D963" i="5"/>
  <c r="L963" i="5" s="1"/>
  <c r="D1552" i="5"/>
  <c r="L1552" i="5" s="1"/>
  <c r="D521" i="5"/>
  <c r="L521" i="5" s="1"/>
  <c r="D1213" i="5"/>
  <c r="L1213" i="5" s="1"/>
  <c r="D278" i="5"/>
  <c r="L278" i="5" s="1"/>
  <c r="D507" i="5"/>
  <c r="L507" i="5" s="1"/>
  <c r="D506" i="5"/>
  <c r="L506" i="5" s="1"/>
  <c r="D500" i="5"/>
  <c r="L500" i="5" s="1"/>
  <c r="D1551" i="5"/>
  <c r="L1551" i="5" s="1"/>
  <c r="D490" i="5"/>
  <c r="L490" i="5" s="1"/>
  <c r="D486" i="5"/>
  <c r="L486" i="5" s="1"/>
  <c r="D484" i="5"/>
  <c r="L484" i="5" s="1"/>
  <c r="D482" i="5"/>
  <c r="L482" i="5" s="1"/>
  <c r="D475" i="5"/>
  <c r="L475" i="5" s="1"/>
  <c r="D947" i="5"/>
  <c r="L947" i="5" s="1"/>
  <c r="D469" i="5"/>
  <c r="L469" i="5" s="1"/>
  <c r="D1548" i="5"/>
  <c r="L1548" i="5" s="1"/>
  <c r="D458" i="5"/>
  <c r="L458" i="5" s="1"/>
  <c r="D22" i="5"/>
  <c r="L22" i="5" s="1"/>
  <c r="D1677" i="5"/>
  <c r="L1677" i="5" s="1"/>
  <c r="D1608" i="5"/>
  <c r="L1608" i="5" s="1"/>
  <c r="D826" i="5"/>
  <c r="L826" i="5" s="1"/>
  <c r="D608" i="5"/>
  <c r="L608" i="5" s="1"/>
  <c r="D1575" i="5"/>
  <c r="L1575" i="5" s="1"/>
  <c r="D555" i="5"/>
  <c r="L555" i="5" s="1"/>
  <c r="D1214" i="5"/>
  <c r="L1214" i="5" s="1"/>
  <c r="D527" i="5"/>
  <c r="L527" i="5" s="1"/>
  <c r="D1553" i="5"/>
  <c r="L1553" i="5" s="1"/>
  <c r="D489" i="5"/>
  <c r="L489" i="5" s="1"/>
  <c r="D942" i="5"/>
  <c r="L942" i="5" s="1"/>
  <c r="D457" i="5"/>
  <c r="L457" i="5" s="1"/>
  <c r="D455" i="5"/>
  <c r="L455" i="5" s="1"/>
  <c r="D1542" i="5"/>
  <c r="L1542" i="5" s="1"/>
  <c r="D1191" i="5"/>
  <c r="L1191" i="5" s="1"/>
  <c r="D450" i="5"/>
  <c r="L450" i="5" s="1"/>
  <c r="D1536" i="5"/>
  <c r="L1536" i="5" s="1"/>
  <c r="D1530" i="5"/>
  <c r="L1530" i="5" s="1"/>
  <c r="D115" i="5"/>
  <c r="L115" i="5" s="1"/>
  <c r="D1106" i="5"/>
  <c r="L1106" i="5" s="1"/>
  <c r="D1467" i="5"/>
  <c r="L1467" i="5" s="1"/>
  <c r="D1462" i="5"/>
  <c r="L1462" i="5" s="1"/>
  <c r="D1445" i="5"/>
  <c r="L1445" i="5" s="1"/>
  <c r="D865" i="5"/>
  <c r="L865" i="5" s="1"/>
  <c r="D1429" i="5"/>
  <c r="L1429" i="5" s="1"/>
  <c r="D1403" i="5"/>
  <c r="L1403" i="5" s="1"/>
  <c r="D1387" i="5"/>
  <c r="L1387" i="5" s="1"/>
  <c r="D1354" i="5"/>
  <c r="L1354" i="5" s="1"/>
  <c r="D1347" i="5"/>
  <c r="L1347" i="5" s="1"/>
  <c r="D1346" i="5"/>
  <c r="L1346" i="5" s="1"/>
  <c r="D404" i="5"/>
  <c r="L404" i="5" s="1"/>
  <c r="D1332" i="5"/>
  <c r="L1332" i="5" s="1"/>
  <c r="D94" i="5"/>
  <c r="L94" i="5" s="1"/>
  <c r="D242" i="5"/>
  <c r="L242" i="5" s="1"/>
  <c r="D1295" i="5"/>
  <c r="L1295" i="5" s="1"/>
  <c r="D1288" i="5"/>
  <c r="L1288" i="5" s="1"/>
  <c r="D391" i="5"/>
  <c r="L391" i="5" s="1"/>
  <c r="D386" i="5"/>
  <c r="L386" i="5" s="1"/>
  <c r="D1194" i="5"/>
  <c r="L1194" i="5" s="1"/>
  <c r="D291" i="5"/>
  <c r="L291" i="5" s="1"/>
  <c r="D1860" i="5"/>
  <c r="L1860" i="5" s="1"/>
  <c r="D834" i="5"/>
  <c r="L834" i="5" s="1"/>
  <c r="D46" i="5"/>
  <c r="L46" i="5" s="1"/>
  <c r="D223" i="5"/>
  <c r="L223" i="5" s="1"/>
  <c r="D284" i="5"/>
  <c r="L284" i="5" s="1"/>
  <c r="D537" i="5"/>
  <c r="L537" i="5" s="1"/>
  <c r="D279" i="5"/>
  <c r="L279" i="5" s="1"/>
  <c r="D831" i="5"/>
  <c r="L831" i="5" s="1"/>
  <c r="D952" i="5"/>
  <c r="L952" i="5" s="1"/>
  <c r="D477" i="5"/>
  <c r="L477" i="5" s="1"/>
  <c r="D830" i="5"/>
  <c r="L830" i="5" s="1"/>
  <c r="D463" i="5"/>
  <c r="L463" i="5" s="1"/>
  <c r="D18" i="5"/>
  <c r="L18" i="5" s="1"/>
  <c r="D1487" i="5"/>
  <c r="L1487" i="5" s="1"/>
  <c r="D1474" i="5"/>
  <c r="L1474" i="5" s="1"/>
  <c r="D434" i="5"/>
  <c r="L434" i="5" s="1"/>
  <c r="D1413" i="5"/>
  <c r="L1413" i="5" s="1"/>
  <c r="D1411" i="5"/>
  <c r="L1411" i="5" s="1"/>
  <c r="D1388" i="5"/>
  <c r="L1388" i="5" s="1"/>
  <c r="D247" i="5"/>
  <c r="L247" i="5" s="1"/>
  <c r="D1334" i="5"/>
  <c r="L1334" i="5" s="1"/>
  <c r="D1318" i="5"/>
  <c r="L1318" i="5" s="1"/>
  <c r="D393" i="5"/>
  <c r="L393" i="5" s="1"/>
  <c r="D392" i="5"/>
  <c r="L392" i="5" s="1"/>
  <c r="D388" i="5"/>
  <c r="L388" i="5" s="1"/>
  <c r="D385" i="5"/>
  <c r="L385" i="5" s="1"/>
  <c r="D384" i="5"/>
  <c r="L384" i="5" s="1"/>
  <c r="D702" i="5"/>
  <c r="L702" i="5" s="1"/>
  <c r="D1138" i="5"/>
  <c r="L1138" i="5" s="1"/>
  <c r="D815" i="5"/>
  <c r="L815" i="5" s="1"/>
  <c r="D43" i="5"/>
  <c r="L43" i="5" s="1"/>
  <c r="D1216" i="5"/>
  <c r="L1216" i="5" s="1"/>
  <c r="D540" i="5"/>
  <c r="L540" i="5" s="1"/>
  <c r="D1557" i="5"/>
  <c r="L1557" i="5" s="1"/>
  <c r="D528" i="5"/>
  <c r="L528" i="5" s="1"/>
  <c r="D499" i="5"/>
  <c r="L499" i="5" s="1"/>
  <c r="D493" i="5"/>
  <c r="L493" i="5" s="1"/>
  <c r="D877" i="5"/>
  <c r="L877" i="5" s="1"/>
  <c r="D1546" i="5"/>
  <c r="L1546" i="5" s="1"/>
  <c r="D1151" i="5"/>
  <c r="L1151" i="5" s="1"/>
  <c r="D1368" i="5"/>
  <c r="L1368" i="5" s="1"/>
  <c r="D1320" i="5"/>
  <c r="L1320" i="5" s="1"/>
  <c r="D1316" i="5"/>
  <c r="L1316" i="5" s="1"/>
  <c r="D390" i="5"/>
  <c r="L390" i="5" s="1"/>
  <c r="D389" i="5"/>
  <c r="L389" i="5" s="1"/>
  <c r="D644" i="5"/>
  <c r="L644" i="5" s="1"/>
  <c r="D994" i="5"/>
  <c r="L994" i="5" s="1"/>
  <c r="D630" i="5"/>
  <c r="L630" i="5" s="1"/>
  <c r="D287" i="5"/>
  <c r="L287" i="5" s="1"/>
  <c r="D612" i="5"/>
  <c r="L612" i="5" s="1"/>
  <c r="D587" i="5"/>
  <c r="L587" i="5" s="1"/>
  <c r="D4" i="5"/>
  <c r="L4" i="5" s="1"/>
  <c r="D1851" i="5"/>
  <c r="L1851" i="5" s="1"/>
  <c r="D194" i="5"/>
  <c r="L194" i="5" s="1"/>
  <c r="D281" i="5"/>
  <c r="L281" i="5" s="1"/>
  <c r="D514" i="5"/>
  <c r="L514" i="5" s="1"/>
  <c r="D1184" i="5"/>
  <c r="L1184" i="5" s="1"/>
  <c r="D483" i="5"/>
  <c r="L483" i="5" s="1"/>
  <c r="D945" i="5"/>
  <c r="L945" i="5" s="1"/>
  <c r="D1532" i="5"/>
  <c r="L1532" i="5" s="1"/>
  <c r="D1208" i="5"/>
  <c r="L1208" i="5" s="1"/>
  <c r="D259" i="5"/>
  <c r="L259" i="5" s="1"/>
  <c r="D1464" i="5"/>
  <c r="L1464" i="5" s="1"/>
  <c r="D1452" i="5"/>
  <c r="L1452" i="5" s="1"/>
  <c r="D1446" i="5"/>
  <c r="L1446" i="5" s="1"/>
  <c r="D1434" i="5"/>
  <c r="L1434" i="5" s="1"/>
  <c r="D254" i="5"/>
  <c r="L254" i="5" s="1"/>
  <c r="D251" i="5"/>
  <c r="L251" i="5" s="1"/>
  <c r="D97" i="5"/>
  <c r="L97" i="5" s="1"/>
  <c r="D1314" i="5"/>
  <c r="L1314" i="5" s="1"/>
  <c r="D92" i="5"/>
  <c r="L92" i="5" s="1"/>
  <c r="D387" i="5"/>
  <c r="L387" i="5" s="1"/>
  <c r="D383" i="5"/>
  <c r="L383" i="5" s="1"/>
  <c r="D1793" i="5"/>
  <c r="L1793" i="5" s="1"/>
  <c r="D1041" i="5"/>
  <c r="L1041" i="5" s="1"/>
  <c r="D749" i="5"/>
  <c r="L749" i="5" s="1"/>
  <c r="D747" i="5"/>
  <c r="L747" i="5" s="1"/>
  <c r="D1759" i="5"/>
  <c r="L1759" i="5" s="1"/>
  <c r="D731" i="5"/>
  <c r="L731" i="5" s="1"/>
  <c r="D1833" i="5"/>
  <c r="L1833" i="5" s="1"/>
  <c r="D134" i="5"/>
  <c r="L134" i="5" s="1"/>
  <c r="D1734" i="5"/>
  <c r="L1734" i="5" s="1"/>
  <c r="D68" i="5"/>
  <c r="L68" i="5" s="1"/>
  <c r="D1047" i="5"/>
  <c r="L1047" i="5" s="1"/>
  <c r="D1757" i="5"/>
  <c r="L1757" i="5" s="1"/>
  <c r="D1754" i="5"/>
  <c r="L1754" i="5" s="1"/>
  <c r="D339" i="5"/>
  <c r="L339" i="5" s="1"/>
  <c r="D1655" i="5"/>
  <c r="L1655" i="5" s="1"/>
  <c r="D1630" i="5"/>
  <c r="L1630" i="5" s="1"/>
  <c r="D692" i="5"/>
  <c r="L692" i="5" s="1"/>
  <c r="D165" i="5"/>
  <c r="L165" i="5" s="1"/>
  <c r="D677" i="5"/>
  <c r="L677" i="5" s="1"/>
  <c r="D674" i="5"/>
  <c r="L674" i="5" s="1"/>
  <c r="D664" i="5"/>
  <c r="L664" i="5" s="1"/>
  <c r="D901" i="5"/>
  <c r="L901" i="5" s="1"/>
  <c r="D1717" i="5"/>
  <c r="L1717" i="5" s="1"/>
  <c r="D1696" i="5"/>
  <c r="L1696" i="5" s="1"/>
  <c r="D333" i="5"/>
  <c r="L333" i="5" s="1"/>
  <c r="D1175" i="5"/>
  <c r="L1175" i="5" s="1"/>
  <c r="D646" i="5"/>
  <c r="L646" i="5" s="1"/>
  <c r="D5" i="5"/>
  <c r="L5" i="5" s="1"/>
  <c r="D1104" i="5"/>
  <c r="L1104" i="5" s="1"/>
  <c r="D299" i="5"/>
  <c r="L299" i="5" s="1"/>
  <c r="D631" i="5"/>
  <c r="L631" i="5" s="1"/>
  <c r="D294" i="5"/>
  <c r="L294" i="5" s="1"/>
  <c r="D1079" i="5"/>
  <c r="L1079" i="5" s="1"/>
  <c r="D666" i="5"/>
  <c r="L666" i="5" s="1"/>
  <c r="D60" i="5"/>
  <c r="L60" i="5" s="1"/>
  <c r="D688" i="5"/>
  <c r="L688" i="5" s="1"/>
  <c r="D682" i="5"/>
  <c r="L682" i="5" s="1"/>
  <c r="D678" i="5"/>
  <c r="L678" i="5" s="1"/>
  <c r="D198" i="5"/>
  <c r="L198" i="5" s="1"/>
  <c r="D185" i="5"/>
  <c r="L185" i="5" s="1"/>
  <c r="D671" i="5"/>
  <c r="L671" i="5" s="1"/>
  <c r="D837" i="5"/>
  <c r="L837" i="5" s="1"/>
  <c r="D1142" i="5"/>
  <c r="L1142" i="5" s="1"/>
  <c r="D898" i="5"/>
  <c r="L898" i="5" s="1"/>
  <c r="D893" i="5"/>
  <c r="L893" i="5" s="1"/>
  <c r="D1146" i="5"/>
  <c r="L1146" i="5" s="1"/>
  <c r="D786" i="5"/>
  <c r="L786" i="5" s="1"/>
  <c r="D722" i="5"/>
  <c r="L722" i="5" s="1"/>
  <c r="D1609" i="5"/>
  <c r="L1609" i="5" s="1"/>
  <c r="D640" i="5"/>
  <c r="L640" i="5" s="1"/>
  <c r="D298" i="5"/>
  <c r="L298" i="5" s="1"/>
  <c r="D614" i="5"/>
  <c r="L614" i="5" s="1"/>
  <c r="D1172" i="5"/>
  <c r="L1172" i="5" s="1"/>
  <c r="D971" i="5"/>
  <c r="L971" i="5" s="1"/>
  <c r="D955" i="5"/>
  <c r="L955" i="5" s="1"/>
  <c r="D1080" i="5"/>
  <c r="L1080" i="5" s="1"/>
  <c r="D311" i="5"/>
  <c r="L311" i="5" s="1"/>
  <c r="D589" i="5"/>
  <c r="L589" i="5" s="1"/>
  <c r="D213" i="5"/>
  <c r="L213" i="5" s="1"/>
  <c r="D1576" i="5"/>
  <c r="L1576" i="5" s="1"/>
  <c r="D1131" i="5"/>
  <c r="L1131" i="5" s="1"/>
  <c r="D1626" i="5"/>
  <c r="L1626" i="5" s="1"/>
  <c r="D1561" i="5"/>
  <c r="L1561" i="5" s="1"/>
  <c r="D1555" i="5"/>
  <c r="L1555" i="5" s="1"/>
  <c r="D1512" i="5"/>
  <c r="L1512" i="5" s="1"/>
  <c r="D244" i="5"/>
  <c r="L244" i="5" s="1"/>
  <c r="D189" i="5"/>
  <c r="L189" i="5" s="1"/>
  <c r="D153" i="5"/>
  <c r="L153" i="5" s="1"/>
  <c r="D1736" i="5"/>
  <c r="L1736" i="5" s="1"/>
  <c r="D1862" i="5"/>
  <c r="L1862" i="5" s="1"/>
  <c r="D588" i="5"/>
  <c r="L588" i="5" s="1"/>
  <c r="D159" i="5"/>
  <c r="L159" i="5" s="1"/>
  <c r="D188" i="5"/>
  <c r="L188" i="5" s="1"/>
  <c r="D146" i="5"/>
  <c r="L146" i="5" s="1"/>
  <c r="D177" i="5"/>
  <c r="L177" i="5" s="1"/>
  <c r="D158" i="5"/>
  <c r="L158" i="5" s="1"/>
  <c r="D549" i="5"/>
  <c r="L549" i="5" s="1"/>
  <c r="D1496" i="5"/>
  <c r="L1496" i="5" s="1"/>
  <c r="D267" i="5"/>
  <c r="L267" i="5" s="1"/>
  <c r="D425" i="5"/>
  <c r="L425" i="5" s="1"/>
  <c r="D921" i="5"/>
  <c r="L921" i="5" s="1"/>
  <c r="D100" i="5"/>
  <c r="L100" i="5" s="1"/>
  <c r="D1279" i="5"/>
  <c r="L1279" i="5" s="1"/>
  <c r="D154" i="5"/>
  <c r="L154" i="5" s="1"/>
  <c r="D1527" i="5"/>
  <c r="L1527" i="5" s="1"/>
  <c r="D1075" i="5"/>
  <c r="L1075" i="5" s="1"/>
  <c r="D411" i="5"/>
  <c r="L411" i="5" s="1"/>
  <c r="D1611" i="5"/>
  <c r="L1611" i="5" s="1"/>
  <c r="D320" i="5"/>
  <c r="L320" i="5" s="1"/>
  <c r="D596" i="5"/>
  <c r="L596" i="5" s="1"/>
  <c r="D1755" i="5"/>
  <c r="L1755" i="5" s="1"/>
  <c r="D1030" i="5"/>
  <c r="L1030" i="5" s="1"/>
  <c r="D1180" i="5"/>
  <c r="L1180" i="5" s="1"/>
  <c r="D1015" i="5"/>
  <c r="L1015" i="5" s="1"/>
  <c r="D45" i="5"/>
  <c r="L45" i="5" s="1"/>
  <c r="D1583" i="5"/>
  <c r="L1583" i="5" s="1"/>
  <c r="D184" i="5"/>
  <c r="L184" i="5" s="1"/>
  <c r="D606" i="5"/>
  <c r="L606" i="5" s="1"/>
  <c r="D1515" i="5"/>
  <c r="L1515" i="5" s="1"/>
  <c r="D1212" i="5"/>
  <c r="L1212" i="5" s="1"/>
  <c r="D28" i="5"/>
  <c r="L28" i="5" s="1"/>
  <c r="D1777" i="5"/>
  <c r="L1777" i="5" s="1"/>
  <c r="D372" i="5"/>
  <c r="L372" i="5" s="1"/>
  <c r="D736" i="5"/>
  <c r="L736" i="5" s="1"/>
  <c r="D1728" i="5"/>
  <c r="L1728" i="5" s="1"/>
  <c r="D369" i="5"/>
  <c r="L369" i="5" s="1"/>
  <c r="D1768" i="5"/>
  <c r="L1768" i="5" s="1"/>
  <c r="D1708" i="5"/>
  <c r="L1708" i="5" s="1"/>
  <c r="D1097" i="5"/>
  <c r="L1097" i="5" s="1"/>
  <c r="D1084" i="5"/>
  <c r="L1084" i="5" s="1"/>
  <c r="D139" i="5"/>
  <c r="L139" i="5" s="1"/>
  <c r="D73" i="5"/>
  <c r="L73" i="5" s="1"/>
  <c r="D742" i="5"/>
  <c r="L742" i="5" s="1"/>
  <c r="D142" i="5"/>
  <c r="L142" i="5" s="1"/>
  <c r="D441" i="5"/>
  <c r="L441" i="5" s="1"/>
  <c r="D1856" i="5"/>
  <c r="L1856" i="5" s="1"/>
  <c r="D435" i="5"/>
  <c r="L435" i="5" s="1"/>
  <c r="D418" i="5"/>
  <c r="L418" i="5" s="1"/>
  <c r="D1393" i="5"/>
  <c r="L1393" i="5" s="1"/>
  <c r="D1355" i="5"/>
  <c r="L1355" i="5" s="1"/>
  <c r="D345" i="5"/>
  <c r="L345" i="5" s="1"/>
  <c r="D456" i="5"/>
  <c r="L456" i="5" s="1"/>
  <c r="D556" i="5"/>
  <c r="L556" i="5" s="1"/>
  <c r="D850" i="5"/>
  <c r="L850" i="5" s="1"/>
  <c r="D1071" i="5"/>
  <c r="L1071" i="5" s="1"/>
  <c r="D1472" i="5"/>
  <c r="L1472" i="5" s="1"/>
  <c r="D1409" i="5"/>
  <c r="L1409" i="5" s="1"/>
  <c r="D1296" i="5"/>
  <c r="L1296" i="5" s="1"/>
  <c r="D88" i="5"/>
  <c r="L88" i="5" s="1"/>
  <c r="D86" i="5"/>
  <c r="L86" i="5" s="1"/>
  <c r="D1540" i="5"/>
  <c r="L1540" i="5" s="1"/>
  <c r="D923" i="5"/>
  <c r="L923" i="5" s="1"/>
  <c r="D1359" i="5"/>
  <c r="L1359" i="5" s="1"/>
  <c r="D1348" i="5"/>
  <c r="L1348" i="5" s="1"/>
  <c r="D1326" i="5"/>
  <c r="L1326" i="5" s="1"/>
  <c r="D399" i="5"/>
  <c r="L399" i="5" s="1"/>
  <c r="D532" i="5"/>
  <c r="L532" i="5" s="1"/>
  <c r="D1477" i="5"/>
  <c r="L1477" i="5" s="1"/>
  <c r="D261" i="5"/>
  <c r="L261" i="5" s="1"/>
  <c r="D1469" i="5"/>
  <c r="L1469" i="5" s="1"/>
  <c r="D1421" i="5"/>
  <c r="L1421" i="5" s="1"/>
  <c r="D1419" i="5"/>
  <c r="L1419" i="5" s="1"/>
  <c r="D1327" i="5"/>
  <c r="L1327" i="5" s="1"/>
  <c r="D398" i="5"/>
  <c r="L398" i="5" s="1"/>
  <c r="D90" i="5"/>
  <c r="L90" i="5" s="1"/>
  <c r="D1444" i="5"/>
  <c r="L1444" i="5" s="1"/>
  <c r="D424" i="5"/>
  <c r="L424" i="5" s="1"/>
  <c r="D395" i="5"/>
  <c r="L395" i="5" s="1"/>
  <c r="D1286" i="5"/>
  <c r="L1286" i="5" s="1"/>
  <c r="D87" i="5"/>
  <c r="L87" i="5" s="1"/>
  <c r="D85" i="5"/>
  <c r="L85" i="5" s="1"/>
  <c r="D147" i="5"/>
  <c r="L147" i="5" s="1"/>
  <c r="D1589" i="5"/>
  <c r="L1589" i="5" s="1"/>
  <c r="D980" i="5"/>
  <c r="L980" i="5" s="1"/>
  <c r="D653" i="5"/>
  <c r="L653" i="5" s="1"/>
  <c r="D1803" i="5"/>
  <c r="L1803" i="5" s="1"/>
  <c r="D964" i="5"/>
  <c r="L964" i="5" s="1"/>
  <c r="D503" i="5"/>
  <c r="L503" i="5" s="1"/>
  <c r="D467" i="5"/>
  <c r="L467" i="5" s="1"/>
  <c r="D562" i="5"/>
  <c r="L562" i="5" s="1"/>
  <c r="D1101" i="5"/>
  <c r="L1101" i="5" s="1"/>
  <c r="D828" i="5"/>
  <c r="L828" i="5" s="1"/>
  <c r="B45" i="7" l="1"/>
  <c r="B57" i="7"/>
  <c r="B58" i="7" s="1"/>
  <c r="B59" i="7" s="1"/>
  <c r="B60" i="7" s="1"/>
  <c r="B61" i="7" s="1"/>
  <c r="F41" i="7"/>
  <c r="F45" i="7"/>
  <c r="B40" i="7"/>
  <c r="B44" i="7"/>
  <c r="B48" i="7"/>
  <c r="J45" i="7" l="1"/>
  <c r="AA31" i="8" s="1"/>
  <c r="B62" i="7"/>
  <c r="F48" i="7"/>
  <c r="J48" i="7" s="1"/>
  <c r="AF31" i="8" s="1"/>
  <c r="B39" i="7"/>
  <c r="B43" i="7"/>
  <c r="F40" i="7"/>
  <c r="J40" i="7" s="1"/>
  <c r="Q31" i="8" s="1"/>
  <c r="B41" i="7"/>
  <c r="J41" i="7" s="1"/>
  <c r="S31" i="8" s="1"/>
  <c r="F43" i="7"/>
  <c r="F39" i="7"/>
  <c r="B24" i="7"/>
  <c r="O16" i="8" s="1"/>
  <c r="F44" i="7"/>
  <c r="J44" i="7" s="1"/>
  <c r="Y31" i="8" s="1"/>
  <c r="B29" i="7"/>
  <c r="AD16" i="8" s="1"/>
  <c r="B28" i="7"/>
  <c r="AA16" i="8" s="1"/>
  <c r="B27" i="7"/>
  <c r="X16" i="8" s="1"/>
  <c r="B32" i="7"/>
  <c r="AM16" i="8" s="1"/>
  <c r="B25" i="7"/>
  <c r="R16" i="8" s="1"/>
  <c r="B23" i="7"/>
  <c r="L16" i="8" s="1"/>
  <c r="B30" i="7"/>
  <c r="AG16" i="8" s="1"/>
  <c r="B26" i="7"/>
  <c r="U16" i="8" s="1"/>
  <c r="B63" i="7" l="1"/>
  <c r="J43" i="7"/>
  <c r="W31" i="8" s="1"/>
  <c r="J39" i="7"/>
  <c r="O31" i="8" s="1"/>
  <c r="G42" i="7" a="1"/>
  <c r="G42" i="7" s="1"/>
  <c r="G22" i="7" a="1"/>
  <c r="G22" i="7" s="1"/>
  <c r="G37" i="7" a="1"/>
  <c r="G37" i="7" s="1"/>
  <c r="G38" i="7" a="1"/>
  <c r="G38" i="7" s="1"/>
  <c r="F22" i="7" a="1"/>
  <c r="F22" i="7" s="1"/>
  <c r="C22" i="7" a="1"/>
  <c r="C22" i="7" s="1"/>
  <c r="H23" i="7" a="1"/>
  <c r="H23" i="7" s="1"/>
  <c r="N23" i="7" s="1"/>
  <c r="L18" i="8" s="1"/>
  <c r="G31" i="7" a="1"/>
  <c r="G31" i="7" s="1"/>
  <c r="G51" i="7" a="1"/>
  <c r="G51" i="7" s="1"/>
  <c r="G52" i="7" a="1"/>
  <c r="G52" i="7" s="1"/>
  <c r="F31" i="7" a="1"/>
  <c r="F31" i="7" s="1"/>
  <c r="C52" i="7" a="1"/>
  <c r="C52" i="7" s="1"/>
  <c r="C31" i="7" a="1"/>
  <c r="C31" i="7" s="1"/>
  <c r="C45" i="7" a="1"/>
  <c r="C45" i="7" s="1"/>
  <c r="D45" i="7" s="1"/>
  <c r="G49" i="7" a="1"/>
  <c r="G49" i="7" s="1"/>
  <c r="C51" i="7" a="1"/>
  <c r="C51" i="7" s="1"/>
  <c r="G36" i="7" a="1"/>
  <c r="G36" i="7" s="1"/>
  <c r="C36" i="7" a="1"/>
  <c r="C36" i="7" s="1"/>
  <c r="C49" i="7" a="1"/>
  <c r="C49" i="7" s="1"/>
  <c r="C48" i="7" a="1"/>
  <c r="C48" i="7" s="1"/>
  <c r="D48" i="7" s="1"/>
  <c r="C38" i="7" a="1"/>
  <c r="C38" i="7" s="1"/>
  <c r="C37" i="7" a="1"/>
  <c r="C37" i="7" s="1"/>
  <c r="C50" i="7" a="1"/>
  <c r="C50" i="7" s="1"/>
  <c r="C42" i="7" a="1"/>
  <c r="C42" i="7" s="1"/>
  <c r="D31" i="7" a="1"/>
  <c r="D31" i="7" s="1"/>
  <c r="G50" i="7" a="1"/>
  <c r="G50" i="7" s="1"/>
  <c r="F26" i="7" a="1"/>
  <c r="F26" i="7" s="1"/>
  <c r="G40" i="7" a="1"/>
  <c r="G40" i="7" s="1"/>
  <c r="H40" i="7" s="1"/>
  <c r="G23" i="7" a="1"/>
  <c r="G23" i="7" s="1"/>
  <c r="C32" i="7" a="1"/>
  <c r="C32" i="7" s="1"/>
  <c r="I32" i="7" s="1"/>
  <c r="H29" i="7" a="1"/>
  <c r="H29" i="7" s="1"/>
  <c r="N29" i="7" s="1"/>
  <c r="AD18" i="8" s="1"/>
  <c r="C26" i="7" a="1"/>
  <c r="C26" i="7" s="1"/>
  <c r="I26" i="7" s="1"/>
  <c r="D23" i="7" a="1"/>
  <c r="D23" i="7" s="1"/>
  <c r="C29" i="7" a="1"/>
  <c r="C29" i="7" s="1"/>
  <c r="I29" i="7" s="1"/>
  <c r="D28" i="7" a="1"/>
  <c r="D28" i="7" s="1"/>
  <c r="G27" i="7" a="1"/>
  <c r="G27" i="7" s="1"/>
  <c r="D32" i="7" a="1"/>
  <c r="D32" i="7" s="1"/>
  <c r="C27" i="7" a="1"/>
  <c r="C27" i="7" s="1"/>
  <c r="I27" i="7" s="1"/>
  <c r="G25" i="7" a="1"/>
  <c r="G25" i="7" s="1"/>
  <c r="D22" i="7"/>
  <c r="D27" i="7" a="1"/>
  <c r="D27" i="7" s="1"/>
  <c r="G30" i="7" a="1"/>
  <c r="G30" i="7" s="1"/>
  <c r="H25" i="7" a="1"/>
  <c r="H25" i="7" s="1"/>
  <c r="N25" i="7" s="1"/>
  <c r="R18" i="8" s="1"/>
  <c r="D26" i="7" a="1"/>
  <c r="D26" i="7" s="1"/>
  <c r="C23" i="7" a="1"/>
  <c r="C23" i="7" s="1"/>
  <c r="I23" i="7" s="1"/>
  <c r="F42" i="7"/>
  <c r="F51" i="7"/>
  <c r="H30" i="7" a="1"/>
  <c r="H30" i="7" s="1"/>
  <c r="N30" i="7" s="1"/>
  <c r="AG18" i="8" s="1"/>
  <c r="G29" i="7" a="1"/>
  <c r="G29" i="7" s="1"/>
  <c r="G41" i="7" a="1"/>
  <c r="G41" i="7" s="1"/>
  <c r="H41" i="7" s="1"/>
  <c r="F24" i="7" a="1"/>
  <c r="F24" i="7" s="1"/>
  <c r="F36" i="7"/>
  <c r="C24" i="7" a="1"/>
  <c r="C24" i="7" s="1"/>
  <c r="I24" i="7" s="1"/>
  <c r="C25" i="7" a="1"/>
  <c r="C25" i="7" s="1"/>
  <c r="I25" i="7" s="1"/>
  <c r="B50" i="7"/>
  <c r="G32" i="7" a="1"/>
  <c r="G32" i="7" s="1"/>
  <c r="C40" i="7" a="1"/>
  <c r="C40" i="7" s="1"/>
  <c r="D40" i="7" s="1"/>
  <c r="E25" i="7" a="1"/>
  <c r="E25" i="7" s="1"/>
  <c r="M25" i="7" s="1"/>
  <c r="R17" i="8" s="1"/>
  <c r="F50" i="7"/>
  <c r="H32" i="7" a="1"/>
  <c r="H32" i="7" s="1"/>
  <c r="N32" i="7" s="1"/>
  <c r="AM18" i="8" s="1"/>
  <c r="G24" i="7" a="1"/>
  <c r="G24" i="7" s="1"/>
  <c r="F52" i="7"/>
  <c r="G26" i="7" a="1"/>
  <c r="G26" i="7" s="1"/>
  <c r="K26" i="7" s="1"/>
  <c r="E30" i="7" a="1"/>
  <c r="E30" i="7" s="1"/>
  <c r="M30" i="7" s="1"/>
  <c r="AG17" i="8" s="1"/>
  <c r="F37" i="7"/>
  <c r="F27" i="7" a="1"/>
  <c r="F27" i="7" s="1"/>
  <c r="J27" i="7" s="1"/>
  <c r="B51" i="7"/>
  <c r="F23" i="7" a="1"/>
  <c r="F23" i="7" s="1"/>
  <c r="B52" i="7"/>
  <c r="H31" i="7" a="1"/>
  <c r="H31" i="7" s="1"/>
  <c r="N31" i="7" s="1"/>
  <c r="AJ18" i="8" s="1"/>
  <c r="B36" i="7"/>
  <c r="B38" i="7"/>
  <c r="E32" i="7" a="1"/>
  <c r="E32" i="7" s="1"/>
  <c r="M32" i="7" s="1"/>
  <c r="AM17" i="8" s="1"/>
  <c r="F38" i="7"/>
  <c r="C39" i="7" a="1"/>
  <c r="C39" i="7" s="1"/>
  <c r="D39" i="7" s="1"/>
  <c r="F29" i="7" a="1"/>
  <c r="F29" i="7" s="1"/>
  <c r="E28" i="7" a="1"/>
  <c r="E28" i="7" s="1"/>
  <c r="M28" i="7" s="1"/>
  <c r="AA17" i="8" s="1"/>
  <c r="F30" i="7" a="1"/>
  <c r="F30" i="7" s="1"/>
  <c r="C30" i="7" a="1"/>
  <c r="C30" i="7" s="1"/>
  <c r="I30" i="7" s="1"/>
  <c r="C41" i="7" a="1"/>
  <c r="C41" i="7" s="1"/>
  <c r="D41" i="7" s="1"/>
  <c r="B31" i="7"/>
  <c r="AJ16" i="8" s="1"/>
  <c r="C44" i="7" a="1"/>
  <c r="C44" i="7" s="1"/>
  <c r="D44" i="7" s="1"/>
  <c r="E23" i="7" a="1"/>
  <c r="E23" i="7" s="1"/>
  <c r="M23" i="7" s="1"/>
  <c r="L17" i="8" s="1"/>
  <c r="H22" i="7"/>
  <c r="N22" i="7" s="1"/>
  <c r="I18" i="8" s="1"/>
  <c r="E27" i="7" a="1"/>
  <c r="E27" i="7" s="1"/>
  <c r="M27" i="7" s="1"/>
  <c r="X17" i="8" s="1"/>
  <c r="E26" i="7" a="1"/>
  <c r="E26" i="7" s="1"/>
  <c r="M26" i="7" s="1"/>
  <c r="U17" i="8" s="1"/>
  <c r="F49" i="7"/>
  <c r="G44" i="7" a="1"/>
  <c r="G44" i="7" s="1"/>
  <c r="H44" i="7" s="1"/>
  <c r="G39" i="7" a="1"/>
  <c r="G39" i="7" s="1"/>
  <c r="H39" i="7" s="1"/>
  <c r="C43" i="7" a="1"/>
  <c r="C43" i="7" s="1"/>
  <c r="D43" i="7" s="1"/>
  <c r="H24" i="7" a="1"/>
  <c r="H24" i="7" s="1"/>
  <c r="N24" i="7" s="1"/>
  <c r="O18" i="8" s="1"/>
  <c r="D29" i="7" a="1"/>
  <c r="D29" i="7" s="1"/>
  <c r="G43" i="7" a="1"/>
  <c r="G43" i="7" s="1"/>
  <c r="H43" i="7" s="1"/>
  <c r="D30" i="7" a="1"/>
  <c r="D30" i="7" s="1"/>
  <c r="L30" i="7" s="1"/>
  <c r="G28" i="7" a="1"/>
  <c r="G28" i="7" s="1"/>
  <c r="B22" i="7"/>
  <c r="I16" i="8" s="1"/>
  <c r="C28" i="7" a="1"/>
  <c r="C28" i="7" s="1"/>
  <c r="I28" i="7" s="1"/>
  <c r="H27" i="7" a="1"/>
  <c r="H27" i="7" s="1"/>
  <c r="N27" i="7" s="1"/>
  <c r="X18" i="8" s="1"/>
  <c r="G48" i="7" a="1"/>
  <c r="G48" i="7" s="1"/>
  <c r="H48" i="7" s="1"/>
  <c r="B37" i="7"/>
  <c r="B49" i="7"/>
  <c r="F28" i="7" a="1"/>
  <c r="F28" i="7" s="1"/>
  <c r="E29" i="7" a="1"/>
  <c r="E29" i="7" s="1"/>
  <c r="M29" i="7" s="1"/>
  <c r="AD17" i="8" s="1"/>
  <c r="E31" i="7" a="1"/>
  <c r="E31" i="7" s="1"/>
  <c r="M31" i="7" s="1"/>
  <c r="AJ17" i="8" s="1"/>
  <c r="E24" i="7" a="1"/>
  <c r="E24" i="7" s="1"/>
  <c r="M24" i="7" s="1"/>
  <c r="O17" i="8" s="1"/>
  <c r="B42" i="7"/>
  <c r="D25" i="7" a="1"/>
  <c r="D25" i="7" s="1"/>
  <c r="G45" i="7" a="1"/>
  <c r="G45" i="7" s="1"/>
  <c r="H45" i="7" s="1"/>
  <c r="F32" i="7" a="1"/>
  <c r="F32" i="7" s="1"/>
  <c r="H26" i="7" a="1"/>
  <c r="H26" i="7" s="1"/>
  <c r="N26" i="7" s="1"/>
  <c r="U18" i="8" s="1"/>
  <c r="D24" i="7" a="1"/>
  <c r="D24" i="7" s="1"/>
  <c r="F25" i="7" a="1"/>
  <c r="F25" i="7" s="1"/>
  <c r="E22" i="7" a="1"/>
  <c r="E22" i="7" s="1"/>
  <c r="M22" i="7" s="1"/>
  <c r="I17" i="8" s="1"/>
  <c r="H28" i="7" a="1"/>
  <c r="H28" i="7" s="1"/>
  <c r="N28" i="7" s="1"/>
  <c r="AA18" i="8" s="1"/>
  <c r="L25" i="7" l="1"/>
  <c r="L23" i="7"/>
  <c r="L29" i="7"/>
  <c r="J23" i="7"/>
  <c r="L24" i="7"/>
  <c r="J52" i="7"/>
  <c r="AN31" i="8" s="1"/>
  <c r="K28" i="7"/>
  <c r="J36" i="7"/>
  <c r="I31" i="8" s="1"/>
  <c r="K40" i="7"/>
  <c r="L27" i="7"/>
  <c r="J26" i="7"/>
  <c r="K25" i="7"/>
  <c r="J28" i="7"/>
  <c r="K27" i="7"/>
  <c r="L28" i="7"/>
  <c r="J30" i="7"/>
  <c r="K30" i="7"/>
  <c r="J32" i="7"/>
  <c r="K24" i="7"/>
  <c r="K29" i="7"/>
  <c r="L32" i="7"/>
  <c r="K23" i="7"/>
  <c r="J25" i="7"/>
  <c r="J29" i="7"/>
  <c r="K32" i="7"/>
  <c r="L26" i="7"/>
  <c r="J24" i="7"/>
  <c r="I22" i="7"/>
  <c r="J22" i="7"/>
  <c r="K22" i="7"/>
  <c r="L22" i="7"/>
  <c r="L31" i="7"/>
  <c r="I31" i="7"/>
  <c r="J31" i="7"/>
  <c r="K31" i="7"/>
  <c r="B64" i="7"/>
  <c r="K48" i="7"/>
  <c r="J49" i="7"/>
  <c r="AH31" i="8" s="1"/>
  <c r="K39" i="7"/>
  <c r="K44" i="7"/>
  <c r="J50" i="7"/>
  <c r="AJ31" i="8" s="1"/>
  <c r="K45" i="7"/>
  <c r="K43" i="7"/>
  <c r="K41" i="7"/>
  <c r="J51" i="7"/>
  <c r="AL31" i="8" s="1"/>
  <c r="H42" i="7"/>
  <c r="D38" i="7"/>
  <c r="D42" i="7"/>
  <c r="H38" i="7"/>
  <c r="H52" i="7"/>
  <c r="D50" i="7"/>
  <c r="H37" i="7"/>
  <c r="J42" i="7"/>
  <c r="U31" i="8" s="1"/>
  <c r="H50" i="7"/>
  <c r="D36" i="7"/>
  <c r="H51" i="7"/>
  <c r="H36" i="7"/>
  <c r="D49" i="7"/>
  <c r="J37" i="7"/>
  <c r="K31" i="8" s="1"/>
  <c r="D37" i="7"/>
  <c r="H49" i="7"/>
  <c r="D51" i="7"/>
  <c r="J38" i="7"/>
  <c r="M31" i="8" s="1"/>
  <c r="D52" i="7"/>
  <c r="B65" i="7" l="1"/>
  <c r="B66" i="7" s="1"/>
  <c r="B67" i="7" s="1"/>
  <c r="B68" i="7" s="1"/>
  <c r="B69" i="7" s="1"/>
  <c r="B70" i="7" s="1"/>
  <c r="B71" i="7" s="1"/>
  <c r="B72" i="7" s="1"/>
  <c r="B73" i="7" s="1"/>
  <c r="B74" i="7" s="1"/>
  <c r="B75" i="7" s="1"/>
  <c r="B76" i="7" s="1"/>
  <c r="B77" i="7" s="1"/>
  <c r="B78" i="7" s="1"/>
  <c r="B79" i="7" s="1"/>
  <c r="B80" i="7" s="1"/>
  <c r="B81" i="7" s="1"/>
  <c r="B82" i="7" s="1"/>
  <c r="B83" i="7" s="1"/>
  <c r="B84" i="7" s="1"/>
  <c r="B85" i="7" s="1"/>
  <c r="B86" i="7" s="1"/>
  <c r="B87" i="7" s="1"/>
  <c r="B88" i="7" s="1"/>
  <c r="B89" i="7" s="1"/>
  <c r="B90" i="7" s="1"/>
  <c r="B91" i="7" s="1"/>
  <c r="B92" i="7" s="1"/>
  <c r="B93" i="7" s="1"/>
  <c r="B94" i="7" s="1"/>
  <c r="B95" i="7" s="1"/>
  <c r="B96" i="7" s="1"/>
  <c r="B97" i="7" s="1"/>
  <c r="B98" i="7" s="1"/>
  <c r="B99" i="7" s="1"/>
  <c r="B100" i="7" s="1"/>
  <c r="B101" i="7" s="1"/>
  <c r="B102" i="7" s="1"/>
  <c r="B103" i="7" s="1"/>
  <c r="B104" i="7" s="1"/>
  <c r="B105" i="7" s="1"/>
  <c r="B106" i="7" s="1"/>
  <c r="B107" i="7" s="1"/>
  <c r="B108" i="7" s="1"/>
  <c r="B109" i="7" s="1"/>
  <c r="B110" i="7" s="1"/>
  <c r="B111" i="7" s="1"/>
  <c r="B112" i="7" s="1"/>
  <c r="B113" i="7" s="1"/>
  <c r="B114" i="7" s="1"/>
  <c r="B115" i="7" s="1"/>
  <c r="B116" i="7" s="1"/>
  <c r="B117" i="7" s="1"/>
  <c r="B118" i="7" s="1"/>
  <c r="B119" i="7" s="1"/>
  <c r="B120" i="7" s="1"/>
  <c r="B121" i="7" s="1"/>
  <c r="B122" i="7" s="1"/>
  <c r="B123" i="7" s="1"/>
  <c r="B124" i="7" s="1"/>
  <c r="B125" i="7" s="1"/>
  <c r="B126" i="7" s="1"/>
  <c r="B127" i="7" s="1"/>
  <c r="B128" i="7" s="1"/>
  <c r="B129" i="7" s="1"/>
  <c r="B130" i="7" s="1"/>
  <c r="B131" i="7" s="1"/>
  <c r="B132" i="7" s="1"/>
  <c r="B133" i="7" s="1"/>
  <c r="B134" i="7" s="1"/>
  <c r="B135" i="7" s="1"/>
  <c r="B136" i="7" s="1"/>
  <c r="B137" i="7" s="1"/>
  <c r="B138" i="7" s="1"/>
  <c r="B139" i="7" s="1"/>
  <c r="B140" i="7" s="1"/>
  <c r="B141" i="7" s="1"/>
  <c r="B142" i="7" s="1"/>
  <c r="B143" i="7" s="1"/>
  <c r="B144" i="7" s="1"/>
  <c r="B145" i="7" s="1"/>
  <c r="B146" i="7" s="1"/>
  <c r="B147" i="7" s="1"/>
  <c r="B148" i="7" s="1"/>
  <c r="B149" i="7" s="1"/>
  <c r="B150" i="7" s="1"/>
  <c r="B151" i="7" s="1"/>
  <c r="B152" i="7" s="1"/>
  <c r="B153" i="7" s="1"/>
  <c r="B154" i="7" s="1"/>
  <c r="B155" i="7" s="1"/>
  <c r="B156" i="7" s="1"/>
  <c r="B157" i="7" s="1"/>
  <c r="B158" i="7" s="1"/>
  <c r="B159" i="7" s="1"/>
  <c r="B160" i="7" s="1"/>
  <c r="B161" i="7" s="1"/>
  <c r="B162" i="7" s="1"/>
  <c r="B163" i="7" s="1"/>
  <c r="B164" i="7" s="1"/>
  <c r="B165" i="7" s="1"/>
  <c r="B166" i="7" s="1"/>
  <c r="B167" i="7" s="1"/>
  <c r="B168" i="7" s="1"/>
  <c r="B169" i="7" s="1"/>
  <c r="B170" i="7" s="1"/>
  <c r="B171" i="7" s="1"/>
  <c r="B172" i="7" s="1"/>
  <c r="B173" i="7" s="1"/>
  <c r="B174" i="7" s="1"/>
  <c r="B175" i="7" s="1"/>
  <c r="B176" i="7" s="1"/>
  <c r="B177" i="7" s="1"/>
  <c r="B178" i="7" s="1"/>
  <c r="B179" i="7" s="1"/>
  <c r="B180" i="7" s="1"/>
  <c r="B181" i="7" s="1"/>
  <c r="B182" i="7" s="1"/>
  <c r="B183" i="7" s="1"/>
  <c r="B184" i="7" s="1"/>
  <c r="B185" i="7" s="1"/>
  <c r="B186" i="7" s="1"/>
  <c r="B187" i="7" s="1"/>
  <c r="B188" i="7" s="1"/>
  <c r="B189" i="7" s="1"/>
  <c r="B190" i="7" s="1"/>
  <c r="B191" i="7" s="1"/>
  <c r="B192" i="7" s="1"/>
  <c r="B193" i="7" s="1"/>
  <c r="B194" i="7" s="1"/>
  <c r="B195" i="7" s="1"/>
  <c r="B196" i="7" s="1"/>
  <c r="B197" i="7" s="1"/>
  <c r="B198" i="7" s="1"/>
  <c r="B199" i="7" s="1"/>
  <c r="B200" i="7" s="1"/>
  <c r="B201" i="7" s="1"/>
  <c r="B202" i="7" s="1"/>
  <c r="B203" i="7" s="1"/>
  <c r="B204" i="7" s="1"/>
  <c r="B205" i="7" s="1"/>
  <c r="B206" i="7" s="1"/>
  <c r="B207" i="7" s="1"/>
  <c r="B208" i="7" s="1"/>
  <c r="B209" i="7" s="1"/>
  <c r="B210" i="7" s="1"/>
  <c r="B211" i="7" s="1"/>
  <c r="B212" i="7" s="1"/>
  <c r="B213" i="7" s="1"/>
  <c r="B214" i="7" s="1"/>
  <c r="B215" i="7" s="1"/>
  <c r="B216" i="7" s="1"/>
  <c r="B217" i="7" s="1"/>
  <c r="B218" i="7" s="1"/>
  <c r="B219" i="7" s="1"/>
  <c r="B220" i="7" s="1"/>
  <c r="B221" i="7" s="1"/>
  <c r="B222" i="7" s="1"/>
  <c r="B223" i="7" s="1"/>
  <c r="B224" i="7" s="1"/>
  <c r="B225" i="7" s="1"/>
  <c r="B226" i="7" s="1"/>
  <c r="B227" i="7" s="1"/>
  <c r="B228" i="7" s="1"/>
  <c r="B229" i="7" s="1"/>
  <c r="B230" i="7" s="1"/>
  <c r="B231" i="7" s="1"/>
  <c r="B232" i="7" s="1"/>
  <c r="B233" i="7" s="1"/>
  <c r="B234" i="7" s="1"/>
  <c r="B235" i="7" s="1"/>
  <c r="B236" i="7" s="1"/>
  <c r="B237" i="7" s="1"/>
  <c r="B238" i="7" s="1"/>
  <c r="B239" i="7" s="1"/>
  <c r="B240" i="7" s="1"/>
  <c r="B241" i="7" s="1"/>
  <c r="B242" i="7" s="1"/>
  <c r="B243" i="7" s="1"/>
  <c r="B244" i="7" s="1"/>
  <c r="B245" i="7" s="1"/>
  <c r="B246" i="7" s="1"/>
  <c r="B247" i="7" s="1"/>
  <c r="B248" i="7" s="1"/>
  <c r="B249" i="7" s="1"/>
  <c r="B250" i="7" s="1"/>
  <c r="B251" i="7" s="1"/>
  <c r="B252" i="7" s="1"/>
  <c r="B253" i="7" s="1"/>
  <c r="B254" i="7" s="1"/>
  <c r="B255" i="7" s="1"/>
  <c r="B256" i="7" s="1"/>
  <c r="B257" i="7" s="1"/>
  <c r="B258" i="7" s="1"/>
  <c r="B259" i="7" s="1"/>
  <c r="B260" i="7" s="1"/>
  <c r="B261" i="7" s="1"/>
  <c r="B262" i="7" s="1"/>
  <c r="B263" i="7" s="1"/>
  <c r="B264" i="7" s="1"/>
  <c r="B265" i="7" s="1"/>
  <c r="B266" i="7" s="1"/>
  <c r="B267" i="7" s="1"/>
  <c r="B268" i="7" s="1"/>
  <c r="B269" i="7" s="1"/>
  <c r="B270" i="7" s="1"/>
  <c r="B271" i="7" s="1"/>
  <c r="B272" i="7" s="1"/>
  <c r="B273" i="7" s="1"/>
  <c r="B274" i="7" s="1"/>
  <c r="B275" i="7" s="1"/>
  <c r="B276" i="7" s="1"/>
  <c r="B277" i="7" s="1"/>
  <c r="B278" i="7" s="1"/>
  <c r="B279" i="7" s="1"/>
  <c r="B280" i="7" s="1"/>
  <c r="B281" i="7" s="1"/>
  <c r="B282" i="7" s="1"/>
  <c r="B283" i="7" s="1"/>
  <c r="B284" i="7" s="1"/>
  <c r="B285" i="7" s="1"/>
  <c r="B286" i="7" s="1"/>
  <c r="B287" i="7" s="1"/>
  <c r="B288" i="7" s="1"/>
  <c r="B289" i="7" s="1"/>
  <c r="B290" i="7" s="1"/>
  <c r="B291" i="7" s="1"/>
  <c r="B292" i="7" s="1"/>
  <c r="B293" i="7" s="1"/>
  <c r="B294" i="7" s="1"/>
  <c r="B295" i="7" s="1"/>
  <c r="B296" i="7" s="1"/>
  <c r="B297" i="7" s="1"/>
  <c r="B298" i="7" s="1"/>
  <c r="B299" i="7" s="1"/>
  <c r="B300" i="7" s="1"/>
  <c r="B301" i="7" s="1"/>
  <c r="B302" i="7" s="1"/>
  <c r="B303" i="7" s="1"/>
  <c r="B304" i="7" s="1"/>
  <c r="B305" i="7" s="1"/>
  <c r="B306" i="7" s="1"/>
  <c r="B307" i="7" s="1"/>
  <c r="B308" i="7" s="1"/>
  <c r="B309" i="7" s="1"/>
  <c r="B310" i="7" s="1"/>
  <c r="B311" i="7" s="1"/>
  <c r="B312" i="7" s="1"/>
  <c r="B313" i="7" s="1"/>
  <c r="B314" i="7" s="1"/>
  <c r="B315" i="7" s="1"/>
  <c r="B316" i="7" s="1"/>
  <c r="B317" i="7" s="1"/>
  <c r="B318" i="7" s="1"/>
  <c r="B319" i="7" s="1"/>
  <c r="B320" i="7" s="1"/>
  <c r="B321" i="7" s="1"/>
  <c r="B322" i="7" s="1"/>
  <c r="B323" i="7" s="1"/>
  <c r="B324" i="7" s="1"/>
  <c r="B325" i="7" s="1"/>
  <c r="B326" i="7" s="1"/>
  <c r="B327" i="7" s="1"/>
  <c r="B328" i="7" s="1"/>
  <c r="B329" i="7" s="1"/>
  <c r="B330" i="7" s="1"/>
  <c r="B331" i="7" s="1"/>
  <c r="B332" i="7" s="1"/>
  <c r="B333" i="7" s="1"/>
  <c r="B334" i="7" s="1"/>
  <c r="B335" i="7" s="1"/>
  <c r="B336" i="7" s="1"/>
  <c r="B337" i="7" s="1"/>
  <c r="B338" i="7" s="1"/>
  <c r="B339" i="7" s="1"/>
  <c r="B340" i="7" s="1"/>
  <c r="B341" i="7" s="1"/>
  <c r="B342" i="7" s="1"/>
  <c r="B343" i="7" s="1"/>
  <c r="B344" i="7" s="1"/>
  <c r="B345" i="7" s="1"/>
  <c r="B346" i="7" s="1"/>
  <c r="B347" i="7" s="1"/>
  <c r="B348" i="7" s="1"/>
  <c r="B349" i="7" s="1"/>
  <c r="B350" i="7" s="1"/>
  <c r="B351" i="7" s="1"/>
  <c r="B352" i="7" s="1"/>
  <c r="B353" i="7" s="1"/>
  <c r="B354" i="7" s="1"/>
  <c r="B355" i="7" s="1"/>
  <c r="B356" i="7" s="1"/>
  <c r="B357" i="7" s="1"/>
  <c r="B358" i="7" s="1"/>
  <c r="B359" i="7" s="1"/>
  <c r="B360" i="7" s="1"/>
  <c r="B361" i="7" s="1"/>
  <c r="B362" i="7" s="1"/>
  <c r="B363" i="7" s="1"/>
  <c r="B364" i="7" s="1"/>
  <c r="B365" i="7" s="1"/>
  <c r="B366" i="7" s="1"/>
  <c r="B367" i="7" s="1"/>
  <c r="B368" i="7" s="1"/>
  <c r="B369" i="7" s="1"/>
  <c r="B370" i="7" s="1"/>
  <c r="B371" i="7" s="1"/>
  <c r="B372" i="7" s="1"/>
  <c r="B373" i="7" s="1"/>
  <c r="B374" i="7" s="1"/>
  <c r="B375" i="7" s="1"/>
  <c r="B376" i="7" s="1"/>
  <c r="B377" i="7" s="1"/>
  <c r="B378" i="7" s="1"/>
  <c r="B379" i="7" s="1"/>
  <c r="B380" i="7" s="1"/>
  <c r="B381" i="7" s="1"/>
  <c r="B382" i="7" s="1"/>
  <c r="B383" i="7" s="1"/>
  <c r="B384" i="7" s="1"/>
  <c r="B385" i="7" s="1"/>
  <c r="B386" i="7" s="1"/>
  <c r="B387" i="7" s="1"/>
  <c r="B388" i="7" s="1"/>
  <c r="B389" i="7" s="1"/>
  <c r="B390" i="7" s="1"/>
  <c r="B391" i="7" s="1"/>
  <c r="B392" i="7" s="1"/>
  <c r="B393" i="7" s="1"/>
  <c r="B394" i="7" s="1"/>
  <c r="B395" i="7" s="1"/>
  <c r="B396" i="7" s="1"/>
  <c r="B397" i="7" s="1"/>
  <c r="B398" i="7" s="1"/>
  <c r="B399" i="7" s="1"/>
  <c r="B400" i="7" s="1"/>
  <c r="B401" i="7" s="1"/>
  <c r="B402" i="7" s="1"/>
  <c r="B403" i="7" s="1"/>
  <c r="B404" i="7" s="1"/>
  <c r="B405" i="7" s="1"/>
  <c r="B406" i="7" s="1"/>
  <c r="B407" i="7" s="1"/>
  <c r="B408" i="7" s="1"/>
  <c r="B409" i="7" s="1"/>
  <c r="B410" i="7" s="1"/>
  <c r="B411" i="7" s="1"/>
  <c r="B412" i="7" s="1"/>
  <c r="B413" i="7" s="1"/>
  <c r="B414" i="7" s="1"/>
  <c r="B415" i="7" s="1"/>
  <c r="B416" i="7" s="1"/>
  <c r="B417" i="7" s="1"/>
  <c r="B418" i="7" s="1"/>
  <c r="B419" i="7" s="1"/>
  <c r="B420" i="7" s="1"/>
  <c r="B421" i="7" s="1"/>
  <c r="B422" i="7" s="1"/>
  <c r="B423" i="7" s="1"/>
  <c r="B424" i="7" s="1"/>
  <c r="B425" i="7" s="1"/>
  <c r="B426" i="7" s="1"/>
  <c r="B427" i="7" s="1"/>
  <c r="B428" i="7" s="1"/>
  <c r="B429" i="7" s="1"/>
  <c r="B430" i="7" s="1"/>
  <c r="B431" i="7" s="1"/>
  <c r="B432" i="7" s="1"/>
  <c r="B433" i="7" s="1"/>
  <c r="B434" i="7" s="1"/>
  <c r="B435" i="7" s="1"/>
  <c r="B436" i="7" s="1"/>
  <c r="B437" i="7" s="1"/>
  <c r="B438" i="7" s="1"/>
  <c r="B439" i="7" s="1"/>
  <c r="B440" i="7" s="1"/>
  <c r="B441" i="7" s="1"/>
  <c r="B442" i="7" s="1"/>
  <c r="B443" i="7" s="1"/>
  <c r="B444" i="7" s="1"/>
  <c r="B445" i="7" s="1"/>
  <c r="B446" i="7" s="1"/>
  <c r="B447" i="7" s="1"/>
  <c r="B448" i="7" s="1"/>
  <c r="B449" i="7" s="1"/>
  <c r="B450" i="7" s="1"/>
  <c r="B451" i="7" s="1"/>
  <c r="B452" i="7" s="1"/>
  <c r="B453" i="7" s="1"/>
  <c r="B454" i="7" s="1"/>
  <c r="B455" i="7" s="1"/>
  <c r="B456" i="7" s="1"/>
  <c r="B457" i="7" s="1"/>
  <c r="B458" i="7" s="1"/>
  <c r="B459" i="7" s="1"/>
  <c r="B460" i="7" s="1"/>
  <c r="B461" i="7" s="1"/>
  <c r="B462" i="7" s="1"/>
  <c r="B463" i="7" s="1"/>
  <c r="B464" i="7" s="1"/>
  <c r="B465" i="7" s="1"/>
  <c r="B466" i="7" s="1"/>
  <c r="B467" i="7" s="1"/>
  <c r="B468" i="7" s="1"/>
  <c r="B469" i="7" s="1"/>
  <c r="B470" i="7" s="1"/>
  <c r="B471" i="7" s="1"/>
  <c r="B472" i="7" s="1"/>
  <c r="B473" i="7" s="1"/>
  <c r="B474" i="7" s="1"/>
  <c r="B475" i="7" s="1"/>
  <c r="B476" i="7" s="1"/>
  <c r="B477" i="7" s="1"/>
  <c r="B478" i="7" s="1"/>
  <c r="B479" i="7" s="1"/>
  <c r="B480" i="7" s="1"/>
  <c r="B481" i="7" s="1"/>
  <c r="B482" i="7" s="1"/>
  <c r="B483" i="7" s="1"/>
  <c r="B484" i="7" s="1"/>
  <c r="B485" i="7" s="1"/>
  <c r="B486" i="7" s="1"/>
  <c r="B487" i="7" s="1"/>
  <c r="B488" i="7" s="1"/>
  <c r="B489" i="7" s="1"/>
  <c r="B490" i="7" s="1"/>
  <c r="B491" i="7" s="1"/>
  <c r="B492" i="7" s="1"/>
  <c r="B493" i="7" s="1"/>
  <c r="B494" i="7" s="1"/>
  <c r="B495" i="7" s="1"/>
  <c r="B496" i="7" s="1"/>
  <c r="B497" i="7" s="1"/>
  <c r="B498" i="7" s="1"/>
  <c r="B499" i="7" s="1"/>
  <c r="B500" i="7" s="1"/>
  <c r="B501" i="7" s="1"/>
  <c r="B502" i="7" s="1"/>
  <c r="B503" i="7" s="1"/>
  <c r="B504" i="7" s="1"/>
  <c r="B505" i="7" s="1"/>
  <c r="B506" i="7" s="1"/>
  <c r="B507" i="7" s="1"/>
  <c r="B508" i="7" s="1"/>
  <c r="B509" i="7" s="1"/>
  <c r="B510" i="7" s="1"/>
  <c r="B511" i="7" s="1"/>
  <c r="B512" i="7" s="1"/>
  <c r="B513" i="7" s="1"/>
  <c r="B514" i="7" s="1"/>
  <c r="B515" i="7" s="1"/>
  <c r="B516" i="7" s="1"/>
  <c r="B517" i="7" s="1"/>
  <c r="B518" i="7" s="1"/>
  <c r="B519" i="7" s="1"/>
  <c r="B520" i="7" s="1"/>
  <c r="B521" i="7" s="1"/>
  <c r="B522" i="7" s="1"/>
  <c r="B523" i="7" s="1"/>
  <c r="B524" i="7" s="1"/>
  <c r="B525" i="7" s="1"/>
  <c r="B526" i="7" s="1"/>
  <c r="B527" i="7" s="1"/>
  <c r="B528" i="7" s="1"/>
  <c r="B529" i="7" s="1"/>
  <c r="B530" i="7" s="1"/>
  <c r="B531" i="7" s="1"/>
  <c r="B532" i="7" s="1"/>
  <c r="B533" i="7" s="1"/>
  <c r="B534" i="7" s="1"/>
  <c r="B535" i="7" s="1"/>
  <c r="B536" i="7" s="1"/>
  <c r="B537" i="7" s="1"/>
  <c r="B538" i="7" s="1"/>
  <c r="B539" i="7" s="1"/>
  <c r="B540" i="7" s="1"/>
  <c r="B541" i="7" s="1"/>
  <c r="B542" i="7" s="1"/>
  <c r="B543" i="7" s="1"/>
  <c r="B544" i="7" s="1"/>
  <c r="B545" i="7" s="1"/>
  <c r="B546" i="7" s="1"/>
  <c r="B547" i="7" s="1"/>
  <c r="B548" i="7" s="1"/>
  <c r="B549" i="7" s="1"/>
  <c r="B550" i="7" s="1"/>
  <c r="B551" i="7" s="1"/>
  <c r="B552" i="7" s="1"/>
  <c r="B553" i="7" s="1"/>
  <c r="B554" i="7" s="1"/>
  <c r="B555" i="7" s="1"/>
  <c r="B556" i="7" s="1"/>
  <c r="B557" i="7" s="1"/>
  <c r="B558" i="7" s="1"/>
  <c r="B559" i="7" s="1"/>
  <c r="B560" i="7" s="1"/>
  <c r="B561" i="7" s="1"/>
  <c r="B562" i="7" s="1"/>
  <c r="B563" i="7" s="1"/>
  <c r="B564" i="7" s="1"/>
  <c r="B565" i="7" s="1"/>
  <c r="B566" i="7" s="1"/>
  <c r="B567" i="7" s="1"/>
  <c r="B568" i="7" s="1"/>
  <c r="B569" i="7" s="1"/>
  <c r="B570" i="7" s="1"/>
  <c r="B571" i="7" s="1"/>
  <c r="B572" i="7" s="1"/>
  <c r="B573" i="7" s="1"/>
  <c r="B574" i="7" s="1"/>
  <c r="B575" i="7" s="1"/>
  <c r="B576" i="7" s="1"/>
  <c r="B577" i="7" s="1"/>
  <c r="B578" i="7" s="1"/>
  <c r="B579" i="7" s="1"/>
  <c r="B580" i="7" s="1"/>
  <c r="B581" i="7" s="1"/>
  <c r="B582" i="7" s="1"/>
  <c r="B583" i="7" s="1"/>
  <c r="B584" i="7" s="1"/>
  <c r="B585" i="7" s="1"/>
  <c r="B586" i="7" s="1"/>
  <c r="B587" i="7" s="1"/>
  <c r="B588" i="7" s="1"/>
  <c r="B589" i="7" s="1"/>
  <c r="B590" i="7" s="1"/>
  <c r="B591" i="7" s="1"/>
  <c r="B592" i="7" s="1"/>
  <c r="B593" i="7" s="1"/>
  <c r="B594" i="7" s="1"/>
  <c r="B595" i="7" s="1"/>
  <c r="B596" i="7" s="1"/>
  <c r="B597" i="7" s="1"/>
  <c r="B598" i="7" s="1"/>
  <c r="B599" i="7" s="1"/>
  <c r="B600" i="7" s="1"/>
  <c r="B601" i="7" s="1"/>
  <c r="B602" i="7" s="1"/>
  <c r="B603" i="7" s="1"/>
  <c r="B604" i="7" s="1"/>
  <c r="B605" i="7" s="1"/>
  <c r="B606" i="7" s="1"/>
  <c r="B607" i="7" s="1"/>
  <c r="B608" i="7" s="1"/>
  <c r="B609" i="7" s="1"/>
  <c r="B610" i="7" s="1"/>
  <c r="B611" i="7" s="1"/>
  <c r="B612" i="7" s="1"/>
  <c r="B613" i="7" s="1"/>
  <c r="B614" i="7" s="1"/>
  <c r="B615" i="7" s="1"/>
  <c r="B616" i="7" s="1"/>
  <c r="B617" i="7" s="1"/>
  <c r="B618" i="7" s="1"/>
  <c r="B619" i="7" s="1"/>
  <c r="B620" i="7" s="1"/>
  <c r="B621" i="7" s="1"/>
  <c r="B622" i="7" s="1"/>
  <c r="B623" i="7" s="1"/>
  <c r="B624" i="7" s="1"/>
  <c r="B625" i="7" s="1"/>
  <c r="B626" i="7" s="1"/>
  <c r="B627" i="7" s="1"/>
  <c r="B628" i="7" s="1"/>
  <c r="B629" i="7" s="1"/>
  <c r="B630" i="7" s="1"/>
  <c r="B631" i="7" s="1"/>
  <c r="B632" i="7" s="1"/>
  <c r="B633" i="7" s="1"/>
  <c r="B634" i="7" s="1"/>
  <c r="B635" i="7" s="1"/>
  <c r="B636" i="7" s="1"/>
  <c r="B637" i="7" s="1"/>
  <c r="B638" i="7" s="1"/>
  <c r="B639" i="7" s="1"/>
  <c r="B640" i="7" s="1"/>
  <c r="B641" i="7" s="1"/>
  <c r="B642" i="7" s="1"/>
  <c r="B643" i="7" s="1"/>
  <c r="B644" i="7" s="1"/>
  <c r="B645" i="7" s="1"/>
  <c r="B646" i="7" s="1"/>
  <c r="B647" i="7" s="1"/>
  <c r="B648" i="7" s="1"/>
  <c r="B649" i="7" s="1"/>
  <c r="B650" i="7" s="1"/>
  <c r="B651" i="7" s="1"/>
  <c r="B652" i="7" s="1"/>
  <c r="B653" i="7" s="1"/>
  <c r="B654" i="7" s="1"/>
  <c r="B655" i="7" s="1"/>
  <c r="B656" i="7" s="1"/>
  <c r="B657" i="7" s="1"/>
  <c r="B658" i="7" s="1"/>
  <c r="B659" i="7" s="1"/>
  <c r="B660" i="7" s="1"/>
  <c r="B661" i="7" s="1"/>
  <c r="B662" i="7" s="1"/>
  <c r="B663" i="7" s="1"/>
  <c r="B664" i="7" s="1"/>
  <c r="B665" i="7" s="1"/>
  <c r="B666" i="7" s="1"/>
  <c r="B667" i="7" s="1"/>
  <c r="B668" i="7" s="1"/>
  <c r="B669" i="7" s="1"/>
  <c r="B670" i="7" s="1"/>
  <c r="B671" i="7" s="1"/>
  <c r="B672" i="7" s="1"/>
  <c r="B673" i="7" s="1"/>
  <c r="B674" i="7" s="1"/>
  <c r="B675" i="7" s="1"/>
  <c r="B676" i="7" s="1"/>
  <c r="B677" i="7" s="1"/>
  <c r="B678" i="7" s="1"/>
  <c r="B679" i="7" s="1"/>
  <c r="B680" i="7" s="1"/>
  <c r="B681" i="7" s="1"/>
  <c r="B682" i="7" s="1"/>
  <c r="B683" i="7" s="1"/>
  <c r="B684" i="7" s="1"/>
  <c r="B685" i="7" s="1"/>
  <c r="B686" i="7" s="1"/>
  <c r="B687" i="7" s="1"/>
  <c r="B688" i="7" s="1"/>
  <c r="B689" i="7" s="1"/>
  <c r="B690" i="7" s="1"/>
  <c r="B691" i="7" s="1"/>
  <c r="B692" i="7" s="1"/>
  <c r="B693" i="7" s="1"/>
  <c r="B694" i="7" s="1"/>
  <c r="B695" i="7" s="1"/>
  <c r="B696" i="7" s="1"/>
  <c r="B697" i="7" s="1"/>
  <c r="B698" i="7" s="1"/>
  <c r="B699" i="7" s="1"/>
  <c r="B700" i="7" s="1"/>
  <c r="B701" i="7" s="1"/>
  <c r="B702" i="7" s="1"/>
  <c r="B703" i="7" s="1"/>
  <c r="B704" i="7" s="1"/>
  <c r="B705" i="7" s="1"/>
  <c r="B706" i="7" s="1"/>
  <c r="B707" i="7" s="1"/>
  <c r="B708" i="7" s="1"/>
  <c r="B709" i="7" s="1"/>
  <c r="B710" i="7" s="1"/>
  <c r="B711" i="7" s="1"/>
  <c r="B712" i="7" s="1"/>
  <c r="B713" i="7" s="1"/>
  <c r="B714" i="7" s="1"/>
  <c r="B715" i="7" s="1"/>
  <c r="B716" i="7" s="1"/>
  <c r="B717" i="7" s="1"/>
  <c r="B718" i="7" s="1"/>
  <c r="B719" i="7" s="1"/>
  <c r="B720" i="7" s="1"/>
  <c r="B721" i="7" s="1"/>
  <c r="B722" i="7" s="1"/>
  <c r="B723" i="7" s="1"/>
  <c r="B724" i="7" s="1"/>
  <c r="B725" i="7" s="1"/>
  <c r="B726" i="7" s="1"/>
  <c r="B727" i="7" s="1"/>
  <c r="B728" i="7" s="1"/>
  <c r="B729" i="7" s="1"/>
  <c r="B730" i="7" s="1"/>
  <c r="B731" i="7" s="1"/>
  <c r="B732" i="7" s="1"/>
  <c r="B733" i="7" s="1"/>
  <c r="B734" i="7" s="1"/>
  <c r="B735" i="7" s="1"/>
  <c r="B736" i="7" s="1"/>
  <c r="B737" i="7" s="1"/>
  <c r="B738" i="7" s="1"/>
  <c r="B739" i="7" s="1"/>
  <c r="B740" i="7" s="1"/>
  <c r="B741" i="7" s="1"/>
  <c r="B742" i="7" s="1"/>
  <c r="B743" i="7" s="1"/>
  <c r="B744" i="7" s="1"/>
  <c r="B745" i="7" s="1"/>
  <c r="B746" i="7" s="1"/>
  <c r="B747" i="7" s="1"/>
  <c r="B748" i="7" s="1"/>
  <c r="B749" i="7" s="1"/>
  <c r="B750" i="7" s="1"/>
  <c r="B751" i="7" s="1"/>
  <c r="B752" i="7" s="1"/>
  <c r="B753" i="7" s="1"/>
  <c r="B754" i="7" s="1"/>
  <c r="B755" i="7" s="1"/>
  <c r="B756" i="7" s="1"/>
  <c r="B757" i="7" s="1"/>
  <c r="B758" i="7" s="1"/>
  <c r="B759" i="7" s="1"/>
  <c r="B760" i="7" s="1"/>
  <c r="B761" i="7" s="1"/>
  <c r="B762" i="7" s="1"/>
  <c r="B763" i="7" s="1"/>
  <c r="B764" i="7" s="1"/>
  <c r="B765" i="7" s="1"/>
  <c r="B766" i="7" s="1"/>
  <c r="B767" i="7" s="1"/>
  <c r="B768" i="7" s="1"/>
  <c r="B769" i="7" s="1"/>
  <c r="B770" i="7" s="1"/>
  <c r="B771" i="7" s="1"/>
  <c r="B772" i="7" s="1"/>
  <c r="B773" i="7" s="1"/>
  <c r="B774" i="7" s="1"/>
  <c r="B775" i="7" s="1"/>
  <c r="B776" i="7" s="1"/>
  <c r="B777" i="7" s="1"/>
  <c r="B778" i="7" s="1"/>
  <c r="B779" i="7" s="1"/>
  <c r="B780" i="7" s="1"/>
  <c r="B781" i="7" s="1"/>
  <c r="B782" i="7" s="1"/>
  <c r="B783" i="7" s="1"/>
  <c r="B784" i="7" s="1"/>
  <c r="B785" i="7" s="1"/>
  <c r="B786" i="7" s="1"/>
  <c r="B787" i="7" s="1"/>
  <c r="B788" i="7" s="1"/>
  <c r="B789" i="7" s="1"/>
  <c r="B790" i="7" s="1"/>
  <c r="B791" i="7" s="1"/>
  <c r="B792" i="7" s="1"/>
  <c r="B793" i="7" s="1"/>
  <c r="B794" i="7" s="1"/>
  <c r="B795" i="7" s="1"/>
  <c r="B796" i="7" s="1"/>
  <c r="B797" i="7" s="1"/>
  <c r="B798" i="7" s="1"/>
  <c r="B799" i="7" s="1"/>
  <c r="B800" i="7" s="1"/>
  <c r="B801" i="7" s="1"/>
  <c r="B802" i="7" s="1"/>
  <c r="B803" i="7" s="1"/>
  <c r="B804" i="7" s="1"/>
  <c r="B805" i="7" s="1"/>
  <c r="B806" i="7" s="1"/>
  <c r="B807" i="7" s="1"/>
  <c r="B808" i="7" s="1"/>
  <c r="B809" i="7" s="1"/>
  <c r="B810" i="7" s="1"/>
  <c r="B811" i="7" s="1"/>
  <c r="B812" i="7" s="1"/>
  <c r="B813" i="7" s="1"/>
  <c r="B814" i="7" s="1"/>
  <c r="B815" i="7" s="1"/>
  <c r="B816" i="7" s="1"/>
  <c r="B817" i="7" s="1"/>
  <c r="B818" i="7" s="1"/>
  <c r="B819" i="7" s="1"/>
  <c r="B820" i="7" s="1"/>
  <c r="B821" i="7" s="1"/>
  <c r="B822" i="7" s="1"/>
  <c r="B823" i="7" s="1"/>
  <c r="B824" i="7" s="1"/>
  <c r="B825" i="7" s="1"/>
  <c r="B826" i="7" s="1"/>
  <c r="B827" i="7" s="1"/>
  <c r="B828" i="7" s="1"/>
  <c r="B829" i="7" s="1"/>
  <c r="B830" i="7" s="1"/>
  <c r="B831" i="7" s="1"/>
  <c r="B832" i="7" s="1"/>
  <c r="B833" i="7" s="1"/>
  <c r="B834" i="7" s="1"/>
  <c r="B835" i="7" s="1"/>
  <c r="B836" i="7" s="1"/>
  <c r="B837" i="7" s="1"/>
  <c r="B838" i="7" s="1"/>
  <c r="B839" i="7" s="1"/>
  <c r="B840" i="7" s="1"/>
  <c r="B841" i="7" s="1"/>
  <c r="B842" i="7" s="1"/>
  <c r="B843" i="7" s="1"/>
  <c r="B844" i="7" s="1"/>
  <c r="B845" i="7" s="1"/>
  <c r="B846" i="7" s="1"/>
  <c r="B847" i="7" s="1"/>
  <c r="B848" i="7" s="1"/>
  <c r="B849" i="7" s="1"/>
  <c r="B850" i="7" s="1"/>
  <c r="B851" i="7" s="1"/>
  <c r="B852" i="7" s="1"/>
  <c r="B853" i="7" s="1"/>
  <c r="B854" i="7" s="1"/>
  <c r="B855" i="7" s="1"/>
  <c r="B856" i="7" s="1"/>
  <c r="B857" i="7" s="1"/>
  <c r="B858" i="7" s="1"/>
  <c r="B859" i="7" s="1"/>
  <c r="B860" i="7" s="1"/>
  <c r="B861" i="7" s="1"/>
  <c r="B862" i="7" s="1"/>
  <c r="B863" i="7" s="1"/>
  <c r="B864" i="7" s="1"/>
  <c r="B865" i="7" s="1"/>
  <c r="B866" i="7" s="1"/>
  <c r="B867" i="7" s="1"/>
  <c r="B868" i="7" s="1"/>
  <c r="B869" i="7" s="1"/>
  <c r="B870" i="7" s="1"/>
  <c r="B871" i="7" s="1"/>
  <c r="B872" i="7" s="1"/>
  <c r="B873" i="7" s="1"/>
  <c r="B874" i="7" s="1"/>
  <c r="B875" i="7" s="1"/>
  <c r="B876" i="7" s="1"/>
  <c r="B877" i="7" s="1"/>
  <c r="B878" i="7" s="1"/>
  <c r="B879" i="7" s="1"/>
  <c r="B880" i="7" s="1"/>
  <c r="B881" i="7" s="1"/>
  <c r="B882" i="7" s="1"/>
  <c r="B883" i="7" s="1"/>
  <c r="B884" i="7" s="1"/>
  <c r="B885" i="7" s="1"/>
  <c r="B886" i="7" s="1"/>
  <c r="B887" i="7" s="1"/>
  <c r="B888" i="7" s="1"/>
  <c r="B889" i="7" s="1"/>
  <c r="B890" i="7" s="1"/>
  <c r="B891" i="7" s="1"/>
  <c r="B892" i="7" s="1"/>
  <c r="B893" i="7" s="1"/>
  <c r="B894" i="7" s="1"/>
  <c r="B895" i="7" s="1"/>
  <c r="B896" i="7" s="1"/>
  <c r="B897" i="7" s="1"/>
  <c r="B898" i="7" s="1"/>
  <c r="B899" i="7" s="1"/>
  <c r="B900" i="7" s="1"/>
  <c r="B901" i="7" s="1"/>
  <c r="B902" i="7" s="1"/>
  <c r="B903" i="7" s="1"/>
  <c r="B904" i="7" s="1"/>
  <c r="B905" i="7" s="1"/>
  <c r="B906" i="7" s="1"/>
  <c r="B907" i="7" s="1"/>
  <c r="B908" i="7" s="1"/>
  <c r="B909" i="7" s="1"/>
  <c r="B910" i="7" s="1"/>
  <c r="B911" i="7" s="1"/>
  <c r="B912" i="7" s="1"/>
  <c r="B913" i="7" s="1"/>
  <c r="B914" i="7" s="1"/>
  <c r="B915" i="7" s="1"/>
  <c r="B916" i="7" s="1"/>
  <c r="B917" i="7" s="1"/>
  <c r="B918" i="7" s="1"/>
  <c r="B919" i="7" s="1"/>
  <c r="B920" i="7" s="1"/>
  <c r="B921" i="7" s="1"/>
  <c r="B922" i="7" s="1"/>
  <c r="B923" i="7" s="1"/>
  <c r="B924" i="7" s="1"/>
  <c r="B925" i="7" s="1"/>
  <c r="B926" i="7" s="1"/>
  <c r="B927" i="7" s="1"/>
  <c r="B928" i="7" s="1"/>
  <c r="B929" i="7" s="1"/>
  <c r="B930" i="7" s="1"/>
  <c r="B931" i="7" s="1"/>
  <c r="B932" i="7" s="1"/>
  <c r="B933" i="7" s="1"/>
  <c r="B934" i="7" s="1"/>
  <c r="B935" i="7" s="1"/>
  <c r="B936" i="7" s="1"/>
  <c r="B937" i="7" s="1"/>
  <c r="B938" i="7" s="1"/>
  <c r="B939" i="7" s="1"/>
  <c r="B940" i="7" s="1"/>
  <c r="B941" i="7" s="1"/>
  <c r="B942" i="7" s="1"/>
  <c r="B943" i="7" s="1"/>
  <c r="B944" i="7" s="1"/>
  <c r="B945" i="7" s="1"/>
  <c r="B946" i="7" s="1"/>
  <c r="B947" i="7" s="1"/>
  <c r="B948" i="7" s="1"/>
  <c r="B949" i="7" s="1"/>
  <c r="B950" i="7" s="1"/>
  <c r="B951" i="7" s="1"/>
  <c r="B952" i="7" s="1"/>
  <c r="B953" i="7" s="1"/>
  <c r="B954" i="7" s="1"/>
  <c r="B955" i="7" s="1"/>
  <c r="B956" i="7" s="1"/>
  <c r="B957" i="7" s="1"/>
  <c r="B958" i="7" s="1"/>
  <c r="B959" i="7" s="1"/>
  <c r="B960" i="7" s="1"/>
  <c r="B961" i="7" s="1"/>
  <c r="B962" i="7" s="1"/>
  <c r="B963" i="7" s="1"/>
  <c r="B964" i="7" s="1"/>
  <c r="B965" i="7" s="1"/>
  <c r="B966" i="7" s="1"/>
  <c r="B967" i="7" s="1"/>
  <c r="B968" i="7" s="1"/>
  <c r="B969" i="7" s="1"/>
  <c r="B970" i="7" s="1"/>
  <c r="B971" i="7" s="1"/>
  <c r="B972" i="7" s="1"/>
  <c r="B973" i="7" s="1"/>
  <c r="B974" i="7" s="1"/>
  <c r="B975" i="7" s="1"/>
  <c r="B976" i="7" s="1"/>
  <c r="B977" i="7" s="1"/>
  <c r="B978" i="7" s="1"/>
  <c r="B979" i="7" s="1"/>
  <c r="B980" i="7" s="1"/>
  <c r="B981" i="7" s="1"/>
  <c r="B982" i="7" s="1"/>
  <c r="B983" i="7" s="1"/>
  <c r="B984" i="7" s="1"/>
  <c r="B985" i="7" s="1"/>
  <c r="B986" i="7" s="1"/>
  <c r="B987" i="7" s="1"/>
  <c r="B988" i="7" s="1"/>
  <c r="B989" i="7" s="1"/>
  <c r="B990" i="7" s="1"/>
  <c r="B991" i="7" s="1"/>
  <c r="B992" i="7" s="1"/>
  <c r="B993" i="7" s="1"/>
  <c r="B994" i="7" s="1"/>
  <c r="B995" i="7" s="1"/>
  <c r="B996" i="7" s="1"/>
  <c r="B997" i="7" s="1"/>
  <c r="B998" i="7" s="1"/>
  <c r="B999" i="7" s="1"/>
  <c r="B1000" i="7" s="1"/>
  <c r="B1001" i="7" s="1"/>
  <c r="B1002" i="7" s="1"/>
  <c r="B1003" i="7" s="1"/>
  <c r="B1004" i="7" s="1"/>
  <c r="B1005" i="7" s="1"/>
  <c r="B1006" i="7" s="1"/>
  <c r="B1007" i="7" s="1"/>
  <c r="B1008" i="7" s="1"/>
  <c r="B1009" i="7" s="1"/>
  <c r="B1010" i="7" s="1"/>
  <c r="B1011" i="7" s="1"/>
  <c r="B1012" i="7" s="1"/>
  <c r="B1013" i="7" s="1"/>
  <c r="B1014" i="7" s="1"/>
  <c r="B1015" i="7" s="1"/>
  <c r="B1016" i="7" s="1"/>
  <c r="B1017" i="7" s="1"/>
  <c r="B1018" i="7" s="1"/>
  <c r="B1019" i="7" s="1"/>
  <c r="B1020" i="7" s="1"/>
  <c r="B1021" i="7" s="1"/>
  <c r="B1022" i="7" s="1"/>
  <c r="B1023" i="7" s="1"/>
  <c r="B1024" i="7" s="1"/>
  <c r="B1025" i="7" s="1"/>
  <c r="B1026" i="7" s="1"/>
  <c r="B1027" i="7" s="1"/>
  <c r="B1028" i="7" s="1"/>
  <c r="B1029" i="7" s="1"/>
  <c r="B1030" i="7" s="1"/>
  <c r="B1031" i="7" s="1"/>
  <c r="B1032" i="7" s="1"/>
  <c r="B1033" i="7" s="1"/>
  <c r="B1034" i="7" s="1"/>
  <c r="B1035" i="7" s="1"/>
  <c r="B1036" i="7" s="1"/>
  <c r="B1037" i="7" s="1"/>
  <c r="B1038" i="7" s="1"/>
  <c r="B1039" i="7" s="1"/>
  <c r="B1040" i="7" s="1"/>
  <c r="B1041" i="7" s="1"/>
  <c r="B1042" i="7" s="1"/>
  <c r="B1043" i="7" s="1"/>
  <c r="B1044" i="7" s="1"/>
  <c r="B1045" i="7" s="1"/>
  <c r="B1046" i="7" s="1"/>
  <c r="B1047" i="7" s="1"/>
  <c r="B1048" i="7" s="1"/>
  <c r="B1049" i="7" s="1"/>
  <c r="B1050" i="7" s="1"/>
  <c r="B1051" i="7" s="1"/>
  <c r="B1052" i="7" s="1"/>
  <c r="B1053" i="7" s="1"/>
  <c r="B1054" i="7" s="1"/>
  <c r="B1055" i="7" s="1"/>
  <c r="B1056" i="7" s="1"/>
  <c r="B1057" i="7" s="1"/>
  <c r="B1058" i="7" s="1"/>
  <c r="B1059" i="7" s="1"/>
  <c r="B1060" i="7" s="1"/>
  <c r="B1061" i="7" s="1"/>
  <c r="B1062" i="7" s="1"/>
  <c r="B1063" i="7" s="1"/>
  <c r="B1064" i="7" s="1"/>
  <c r="B1065" i="7" s="1"/>
  <c r="B1066" i="7" s="1"/>
  <c r="B1067" i="7" s="1"/>
  <c r="B1068" i="7" s="1"/>
  <c r="B1069" i="7" s="1"/>
  <c r="B1070" i="7" s="1"/>
  <c r="B1071" i="7" s="1"/>
  <c r="B1072" i="7" s="1"/>
  <c r="B1073" i="7" s="1"/>
  <c r="B1074" i="7" s="1"/>
  <c r="B1075" i="7" s="1"/>
  <c r="B1076" i="7" s="1"/>
  <c r="B1077" i="7" s="1"/>
  <c r="B1078" i="7" s="1"/>
  <c r="B1079" i="7" s="1"/>
  <c r="B1080" i="7" s="1"/>
  <c r="B1081" i="7" s="1"/>
  <c r="B1082" i="7" s="1"/>
  <c r="B1083" i="7" s="1"/>
  <c r="B1084" i="7" s="1"/>
  <c r="B1085" i="7" s="1"/>
  <c r="B1086" i="7" s="1"/>
  <c r="B1087" i="7" s="1"/>
  <c r="B1088" i="7" s="1"/>
  <c r="B1089" i="7" s="1"/>
  <c r="B1090" i="7" s="1"/>
  <c r="B1091" i="7" s="1"/>
  <c r="B1092" i="7" s="1"/>
  <c r="B1093" i="7" s="1"/>
  <c r="B1094" i="7" s="1"/>
  <c r="B1095" i="7" s="1"/>
  <c r="B1096" i="7" s="1"/>
  <c r="B1097" i="7" s="1"/>
  <c r="B1098" i="7" s="1"/>
  <c r="B1099" i="7" s="1"/>
  <c r="B1100" i="7" s="1"/>
  <c r="B1101" i="7" s="1"/>
  <c r="B1102" i="7" s="1"/>
  <c r="B1103" i="7" s="1"/>
  <c r="B1104" i="7" s="1"/>
  <c r="B1105" i="7" s="1"/>
  <c r="B1106" i="7" s="1"/>
  <c r="B1107" i="7" s="1"/>
  <c r="B1108" i="7" s="1"/>
  <c r="B1109" i="7" s="1"/>
  <c r="B1110" i="7" s="1"/>
  <c r="B1111" i="7" s="1"/>
  <c r="B1112" i="7" s="1"/>
  <c r="B1113" i="7" s="1"/>
  <c r="B1114" i="7" s="1"/>
  <c r="B1115" i="7" s="1"/>
  <c r="B1116" i="7" s="1"/>
  <c r="B1117" i="7" s="1"/>
  <c r="B1118" i="7" s="1"/>
  <c r="B1119" i="7" s="1"/>
  <c r="B1120" i="7" s="1"/>
  <c r="B1121" i="7" s="1"/>
  <c r="B1122" i="7" s="1"/>
  <c r="B1123" i="7" s="1"/>
  <c r="B1124" i="7" s="1"/>
  <c r="B1125" i="7" s="1"/>
  <c r="B1126" i="7" s="1"/>
  <c r="B1127" i="7" s="1"/>
  <c r="B1128" i="7" s="1"/>
  <c r="B1129" i="7" s="1"/>
  <c r="B1130" i="7" s="1"/>
  <c r="B1131" i="7" s="1"/>
  <c r="B1132" i="7" s="1"/>
  <c r="B1133" i="7" s="1"/>
  <c r="B1134" i="7" s="1"/>
  <c r="B1135" i="7" s="1"/>
  <c r="B1136" i="7" s="1"/>
  <c r="B1137" i="7" s="1"/>
  <c r="B1138" i="7" s="1"/>
  <c r="B1139" i="7" s="1"/>
  <c r="B1140" i="7" s="1"/>
  <c r="B1141" i="7" s="1"/>
  <c r="B1142" i="7" s="1"/>
  <c r="B1143" i="7" s="1"/>
  <c r="B1144" i="7" s="1"/>
  <c r="B1145" i="7" s="1"/>
  <c r="B1146" i="7" s="1"/>
  <c r="B1147" i="7" s="1"/>
  <c r="B1148" i="7" s="1"/>
  <c r="B1149" i="7" s="1"/>
  <c r="B1150" i="7" s="1"/>
  <c r="B1151" i="7" s="1"/>
  <c r="B1152" i="7" s="1"/>
  <c r="B1153" i="7" s="1"/>
  <c r="B1154" i="7" s="1"/>
  <c r="B1155" i="7" s="1"/>
  <c r="B1156" i="7" s="1"/>
  <c r="B1157" i="7" s="1"/>
  <c r="B1158" i="7" s="1"/>
  <c r="B1159" i="7" s="1"/>
  <c r="B1160" i="7" s="1"/>
  <c r="B1161" i="7" s="1"/>
  <c r="B1162" i="7" s="1"/>
  <c r="B1163" i="7" s="1"/>
  <c r="B1164" i="7" s="1"/>
  <c r="B1165" i="7" s="1"/>
  <c r="B1166" i="7" s="1"/>
  <c r="B1167" i="7" s="1"/>
  <c r="B1168" i="7" s="1"/>
  <c r="B1169" i="7" s="1"/>
  <c r="B1170" i="7" s="1"/>
  <c r="B1171" i="7" s="1"/>
  <c r="B1172" i="7" s="1"/>
  <c r="B1173" i="7" s="1"/>
  <c r="B1174" i="7" s="1"/>
  <c r="B1175" i="7" s="1"/>
  <c r="B1176" i="7" s="1"/>
  <c r="B1177" i="7" s="1"/>
  <c r="B1178" i="7" s="1"/>
  <c r="B1179" i="7" s="1"/>
  <c r="B1180" i="7" s="1"/>
  <c r="B1181" i="7" s="1"/>
  <c r="B1182" i="7" s="1"/>
  <c r="B1183" i="7" s="1"/>
  <c r="B1184" i="7" s="1"/>
  <c r="B1185" i="7" s="1"/>
  <c r="B1186" i="7" s="1"/>
  <c r="B1187" i="7" s="1"/>
  <c r="B1188" i="7" s="1"/>
  <c r="B1189" i="7" s="1"/>
  <c r="B1190" i="7" s="1"/>
  <c r="B1191" i="7" s="1"/>
  <c r="B1192" i="7" s="1"/>
  <c r="B1193" i="7" s="1"/>
  <c r="B1194" i="7" s="1"/>
  <c r="B1195" i="7" s="1"/>
  <c r="B1196" i="7" s="1"/>
  <c r="B1197" i="7" s="1"/>
  <c r="B1198" i="7" s="1"/>
  <c r="B1199" i="7" s="1"/>
  <c r="B1200" i="7" s="1"/>
  <c r="B1201" i="7" s="1"/>
  <c r="B1202" i="7" s="1"/>
  <c r="B1203" i="7" s="1"/>
  <c r="B1204" i="7" s="1"/>
  <c r="B1205" i="7" s="1"/>
  <c r="B1206" i="7" s="1"/>
  <c r="B1207" i="7" s="1"/>
  <c r="B1208" i="7" s="1"/>
  <c r="B1209" i="7" s="1"/>
  <c r="B1210" i="7" s="1"/>
  <c r="B1211" i="7" s="1"/>
  <c r="B1212" i="7" s="1"/>
  <c r="B1213" i="7" s="1"/>
  <c r="B1214" i="7" s="1"/>
  <c r="B1215" i="7" s="1"/>
  <c r="B1216" i="7" s="1"/>
  <c r="B1217" i="7" s="1"/>
  <c r="B1218" i="7" s="1"/>
  <c r="B1219" i="7" s="1"/>
  <c r="B1220" i="7" s="1"/>
  <c r="B1221" i="7" s="1"/>
  <c r="B1222" i="7" s="1"/>
  <c r="B1223" i="7" s="1"/>
  <c r="B1224" i="7" s="1"/>
  <c r="B1225" i="7" s="1"/>
  <c r="B1226" i="7" s="1"/>
  <c r="B1227" i="7" s="1"/>
  <c r="B1228" i="7" s="1"/>
  <c r="B1229" i="7" s="1"/>
  <c r="B1230" i="7" s="1"/>
  <c r="B1231" i="7" s="1"/>
  <c r="B1232" i="7" s="1"/>
  <c r="B1233" i="7" s="1"/>
  <c r="B1234" i="7" s="1"/>
  <c r="B1235" i="7" s="1"/>
  <c r="B1236" i="7" s="1"/>
  <c r="B1237" i="7" s="1"/>
  <c r="B1238" i="7" s="1"/>
  <c r="B1239" i="7" s="1"/>
  <c r="B1240" i="7" s="1"/>
  <c r="B1241" i="7" s="1"/>
  <c r="B1242" i="7" s="1"/>
  <c r="B1243" i="7" s="1"/>
  <c r="B1244" i="7" s="1"/>
  <c r="B1245" i="7" s="1"/>
  <c r="B1246" i="7" s="1"/>
  <c r="B1247" i="7" s="1"/>
  <c r="B1248" i="7" s="1"/>
  <c r="B1249" i="7" s="1"/>
  <c r="B1250" i="7" s="1"/>
  <c r="B1251" i="7" s="1"/>
  <c r="B1252" i="7" s="1"/>
  <c r="B1253" i="7" s="1"/>
  <c r="B1254" i="7" s="1"/>
  <c r="B1255" i="7" s="1"/>
  <c r="B1256" i="7" s="1"/>
  <c r="B1257" i="7" s="1"/>
  <c r="B1258" i="7" s="1"/>
  <c r="B1259" i="7" s="1"/>
  <c r="B1260" i="7" s="1"/>
  <c r="B1261" i="7" s="1"/>
  <c r="B1262" i="7" s="1"/>
  <c r="B1263" i="7" s="1"/>
  <c r="B1264" i="7" s="1"/>
  <c r="B1265" i="7" s="1"/>
  <c r="B1266" i="7" s="1"/>
  <c r="B1267" i="7" s="1"/>
  <c r="B1268" i="7" s="1"/>
  <c r="B1269" i="7" s="1"/>
  <c r="B1270" i="7" s="1"/>
  <c r="B1271" i="7" s="1"/>
  <c r="B1272" i="7" s="1"/>
  <c r="B1273" i="7" s="1"/>
  <c r="B1274" i="7" s="1"/>
  <c r="B1275" i="7" s="1"/>
  <c r="B1276" i="7" s="1"/>
  <c r="B1277" i="7" s="1"/>
  <c r="B1278" i="7" s="1"/>
  <c r="B1279" i="7" s="1"/>
  <c r="B1280" i="7" s="1"/>
  <c r="B1281" i="7" s="1"/>
  <c r="B1282" i="7" s="1"/>
  <c r="B1283" i="7" s="1"/>
  <c r="B1284" i="7" s="1"/>
  <c r="B1285" i="7" s="1"/>
  <c r="B1286" i="7" s="1"/>
  <c r="B1287" i="7" s="1"/>
  <c r="B1288" i="7" s="1"/>
  <c r="B1289" i="7" s="1"/>
  <c r="B1290" i="7" s="1"/>
  <c r="B1291" i="7" s="1"/>
  <c r="B1292" i="7" s="1"/>
  <c r="B1293" i="7" s="1"/>
  <c r="B1294" i="7" s="1"/>
  <c r="B1295" i="7" s="1"/>
  <c r="B1296" i="7" s="1"/>
  <c r="B1297" i="7" s="1"/>
  <c r="B1298" i="7" s="1"/>
  <c r="B1299" i="7" s="1"/>
  <c r="B1300" i="7" s="1"/>
  <c r="B1301" i="7" s="1"/>
  <c r="B1302" i="7" s="1"/>
  <c r="B1303" i="7" s="1"/>
  <c r="B1304" i="7" s="1"/>
  <c r="B1305" i="7" s="1"/>
  <c r="B1306" i="7" s="1"/>
  <c r="B1307" i="7" s="1"/>
  <c r="B1308" i="7" s="1"/>
  <c r="B1309" i="7" s="1"/>
  <c r="B1310" i="7" s="1"/>
  <c r="B1311" i="7" s="1"/>
  <c r="B1312" i="7" s="1"/>
  <c r="B1313" i="7" s="1"/>
  <c r="B1314" i="7" s="1"/>
  <c r="B1315" i="7" s="1"/>
  <c r="B1316" i="7" s="1"/>
  <c r="B1317" i="7" s="1"/>
  <c r="B1318" i="7" s="1"/>
  <c r="B1319" i="7" s="1"/>
  <c r="B1320" i="7" s="1"/>
  <c r="B1321" i="7" s="1"/>
  <c r="B1322" i="7" s="1"/>
  <c r="B1323" i="7" s="1"/>
  <c r="B1324" i="7" s="1"/>
  <c r="B1325" i="7" s="1"/>
  <c r="B1326" i="7" s="1"/>
  <c r="B1327" i="7" s="1"/>
  <c r="B1328" i="7" s="1"/>
  <c r="B1329" i="7" s="1"/>
  <c r="B1330" i="7" s="1"/>
  <c r="B1331" i="7" s="1"/>
  <c r="B1332" i="7" s="1"/>
  <c r="B1333" i="7" s="1"/>
  <c r="B1334" i="7" s="1"/>
  <c r="B1335" i="7" s="1"/>
  <c r="B1336" i="7" s="1"/>
  <c r="B1337" i="7" s="1"/>
  <c r="B1338" i="7" s="1"/>
  <c r="B1339" i="7" s="1"/>
  <c r="B1340" i="7" s="1"/>
  <c r="B1341" i="7" s="1"/>
  <c r="B1342" i="7" s="1"/>
  <c r="B1343" i="7" s="1"/>
  <c r="B1344" i="7" s="1"/>
  <c r="B1345" i="7" s="1"/>
  <c r="B1346" i="7" s="1"/>
  <c r="B1347" i="7" s="1"/>
  <c r="B1348" i="7" s="1"/>
  <c r="B1349" i="7" s="1"/>
  <c r="B1350" i="7" s="1"/>
  <c r="B1351" i="7" s="1"/>
  <c r="B1352" i="7" s="1"/>
  <c r="B1353" i="7" s="1"/>
  <c r="B1354" i="7" s="1"/>
  <c r="B1355" i="7" s="1"/>
  <c r="B1356" i="7" s="1"/>
  <c r="B1357" i="7" s="1"/>
  <c r="B1358" i="7" s="1"/>
  <c r="B1359" i="7" s="1"/>
  <c r="B1360" i="7" s="1"/>
  <c r="B1361" i="7" s="1"/>
  <c r="B1362" i="7" s="1"/>
  <c r="B1363" i="7" s="1"/>
  <c r="B1364" i="7" s="1"/>
  <c r="B1365" i="7" s="1"/>
  <c r="B1366" i="7" s="1"/>
  <c r="B1367" i="7" s="1"/>
  <c r="B1368" i="7" s="1"/>
  <c r="B1369" i="7" s="1"/>
  <c r="B1370" i="7" s="1"/>
  <c r="B1371" i="7" s="1"/>
  <c r="B1372" i="7" s="1"/>
  <c r="B1373" i="7" s="1"/>
  <c r="B1374" i="7" s="1"/>
  <c r="B1375" i="7" s="1"/>
  <c r="B1376" i="7" s="1"/>
  <c r="B1377" i="7" s="1"/>
  <c r="B1378" i="7" s="1"/>
  <c r="B1379" i="7" s="1"/>
  <c r="B1380" i="7" s="1"/>
  <c r="B1381" i="7" s="1"/>
  <c r="B1382" i="7" s="1"/>
  <c r="B1383" i="7" s="1"/>
  <c r="B1384" i="7" s="1"/>
  <c r="B1385" i="7" s="1"/>
  <c r="B1386" i="7" s="1"/>
  <c r="B1387" i="7" s="1"/>
  <c r="B1388" i="7" s="1"/>
  <c r="B1389" i="7" s="1"/>
  <c r="B1390" i="7" s="1"/>
  <c r="B1391" i="7" s="1"/>
  <c r="B1392" i="7" s="1"/>
  <c r="B1393" i="7" s="1"/>
  <c r="B1394" i="7" s="1"/>
  <c r="B1395" i="7" s="1"/>
  <c r="B1396" i="7" s="1"/>
  <c r="B1397" i="7" s="1"/>
  <c r="B1398" i="7" s="1"/>
  <c r="B1399" i="7" s="1"/>
  <c r="B1400" i="7" s="1"/>
  <c r="B1401" i="7" s="1"/>
  <c r="B1402" i="7" s="1"/>
  <c r="B1403" i="7" s="1"/>
  <c r="B1404" i="7" s="1"/>
  <c r="B1405" i="7" s="1"/>
  <c r="B1406" i="7" s="1"/>
  <c r="B1407" i="7" s="1"/>
  <c r="B1408" i="7" s="1"/>
  <c r="B1409" i="7" s="1"/>
  <c r="B1410" i="7" s="1"/>
  <c r="B1411" i="7" s="1"/>
  <c r="B1412" i="7" s="1"/>
  <c r="B1413" i="7" s="1"/>
  <c r="B1414" i="7" s="1"/>
  <c r="B1415" i="7" s="1"/>
  <c r="B1416" i="7" s="1"/>
  <c r="B1417" i="7" s="1"/>
  <c r="B1418" i="7" s="1"/>
  <c r="B1419" i="7" s="1"/>
  <c r="B1420" i="7" s="1"/>
  <c r="B1421" i="7" s="1"/>
  <c r="B1422" i="7" s="1"/>
  <c r="B1423" i="7" s="1"/>
  <c r="B1424" i="7" s="1"/>
  <c r="B1425" i="7" s="1"/>
  <c r="B1426" i="7" s="1"/>
  <c r="B1427" i="7" s="1"/>
  <c r="B1428" i="7" s="1"/>
  <c r="B1429" i="7" s="1"/>
  <c r="B1430" i="7" s="1"/>
  <c r="B1431" i="7" s="1"/>
  <c r="B1432" i="7" s="1"/>
  <c r="B1433" i="7" s="1"/>
  <c r="B1434" i="7" s="1"/>
  <c r="B1435" i="7" s="1"/>
  <c r="B1436" i="7" s="1"/>
  <c r="B1437" i="7" s="1"/>
  <c r="B1438" i="7" s="1"/>
  <c r="B1439" i="7" s="1"/>
  <c r="B1440" i="7" s="1"/>
  <c r="B1441" i="7" s="1"/>
  <c r="B1442" i="7" s="1"/>
  <c r="B1443" i="7" s="1"/>
  <c r="B1444" i="7" s="1"/>
  <c r="B1445" i="7" s="1"/>
  <c r="B1446" i="7" s="1"/>
  <c r="B1447" i="7" s="1"/>
  <c r="B1448" i="7" s="1"/>
  <c r="B1449" i="7" s="1"/>
  <c r="B1450" i="7" s="1"/>
  <c r="B1451" i="7" s="1"/>
  <c r="B1452" i="7" s="1"/>
  <c r="B1453" i="7" s="1"/>
  <c r="B1454" i="7" s="1"/>
  <c r="B1455" i="7" s="1"/>
  <c r="B1456" i="7" s="1"/>
  <c r="B1457" i="7" s="1"/>
  <c r="B1458" i="7" s="1"/>
  <c r="B1459" i="7" s="1"/>
  <c r="B1460" i="7" s="1"/>
  <c r="B1461" i="7" s="1"/>
  <c r="B1462" i="7" s="1"/>
  <c r="B1463" i="7" s="1"/>
  <c r="B1464" i="7" s="1"/>
  <c r="B1465" i="7" s="1"/>
  <c r="B1466" i="7" s="1"/>
  <c r="B1467" i="7" s="1"/>
  <c r="B1468" i="7" s="1"/>
  <c r="B1469" i="7" s="1"/>
  <c r="B1470" i="7" s="1"/>
  <c r="B1471" i="7" s="1"/>
  <c r="B1472" i="7" s="1"/>
  <c r="B1473" i="7" s="1"/>
  <c r="B1474" i="7" s="1"/>
  <c r="B1475" i="7" s="1"/>
  <c r="B1476" i="7" s="1"/>
  <c r="B1477" i="7" s="1"/>
  <c r="B1478" i="7" s="1"/>
  <c r="B1479" i="7" s="1"/>
  <c r="B1480" i="7" s="1"/>
  <c r="B1481" i="7" s="1"/>
  <c r="B1482" i="7" s="1"/>
  <c r="B1483" i="7" s="1"/>
  <c r="B1484" i="7" s="1"/>
  <c r="B1485" i="7" s="1"/>
  <c r="B1486" i="7" s="1"/>
  <c r="B1487" i="7" s="1"/>
  <c r="B1488" i="7" s="1"/>
  <c r="B1489" i="7" s="1"/>
  <c r="B1490" i="7" s="1"/>
  <c r="B1491" i="7" s="1"/>
  <c r="B1492" i="7" s="1"/>
  <c r="B1493" i="7" s="1"/>
  <c r="B1494" i="7" s="1"/>
  <c r="B1495" i="7" s="1"/>
  <c r="B1496" i="7" s="1"/>
  <c r="B1497" i="7" s="1"/>
  <c r="B1498" i="7" s="1"/>
  <c r="B1499" i="7" s="1"/>
  <c r="B1500" i="7" s="1"/>
  <c r="B1501" i="7" s="1"/>
  <c r="B1502" i="7" s="1"/>
  <c r="B1503" i="7" s="1"/>
  <c r="B1504" i="7" s="1"/>
  <c r="B1505" i="7" s="1"/>
  <c r="B1506" i="7" s="1"/>
  <c r="B1507" i="7" s="1"/>
  <c r="B1508" i="7" s="1"/>
  <c r="B1509" i="7" s="1"/>
  <c r="B1510" i="7" s="1"/>
  <c r="B1511" i="7" s="1"/>
  <c r="B1512" i="7" s="1"/>
  <c r="B1513" i="7" s="1"/>
  <c r="B1514" i="7" s="1"/>
  <c r="B1515" i="7" s="1"/>
  <c r="B1516" i="7" s="1"/>
  <c r="B1517" i="7" s="1"/>
  <c r="B1518" i="7" s="1"/>
  <c r="B1519" i="7" s="1"/>
  <c r="B1520" i="7" s="1"/>
  <c r="B1521" i="7" s="1"/>
  <c r="B1522" i="7" s="1"/>
  <c r="B1523" i="7" s="1"/>
  <c r="B1524" i="7" s="1"/>
  <c r="B1525" i="7" s="1"/>
  <c r="B1526" i="7" s="1"/>
  <c r="B1527" i="7" s="1"/>
  <c r="B1528" i="7" s="1"/>
  <c r="B1529" i="7" s="1"/>
  <c r="B1530" i="7" s="1"/>
  <c r="B1531" i="7" s="1"/>
  <c r="B1532" i="7" s="1"/>
  <c r="B1533" i="7" s="1"/>
  <c r="B1534" i="7" s="1"/>
  <c r="B1535" i="7" s="1"/>
  <c r="B1536" i="7" s="1"/>
  <c r="B1537" i="7" s="1"/>
  <c r="B1538" i="7" s="1"/>
  <c r="B1539" i="7" s="1"/>
  <c r="B1540" i="7" s="1"/>
  <c r="B1541" i="7" s="1"/>
  <c r="B1542" i="7" s="1"/>
  <c r="B1543" i="7" s="1"/>
  <c r="B1544" i="7" s="1"/>
  <c r="B1545" i="7" s="1"/>
  <c r="B1546" i="7" s="1"/>
  <c r="B1547" i="7" s="1"/>
  <c r="B1548" i="7" s="1"/>
  <c r="B1549" i="7" s="1"/>
  <c r="B1550" i="7" s="1"/>
  <c r="B1551" i="7" s="1"/>
  <c r="B1552" i="7" s="1"/>
  <c r="B1553" i="7" s="1"/>
  <c r="B1554" i="7" s="1"/>
  <c r="B1555" i="7" s="1"/>
  <c r="B1556" i="7" s="1"/>
  <c r="B1557" i="7" s="1"/>
  <c r="B1558" i="7" s="1"/>
  <c r="B1559" i="7" s="1"/>
  <c r="B1560" i="7" s="1"/>
  <c r="B1561" i="7" s="1"/>
  <c r="B1562" i="7" s="1"/>
  <c r="B1563" i="7" s="1"/>
  <c r="B1564" i="7" s="1"/>
  <c r="B1565" i="7" s="1"/>
  <c r="B1566" i="7" s="1"/>
  <c r="B1567" i="7" s="1"/>
  <c r="B1568" i="7" s="1"/>
  <c r="B1569" i="7" s="1"/>
  <c r="B1570" i="7" s="1"/>
  <c r="B1571" i="7" s="1"/>
  <c r="B1572" i="7" s="1"/>
  <c r="B1573" i="7" s="1"/>
  <c r="B1574" i="7" s="1"/>
  <c r="B1575" i="7" s="1"/>
  <c r="B1576" i="7" s="1"/>
  <c r="B1577" i="7" s="1"/>
  <c r="B1578" i="7" s="1"/>
  <c r="B1579" i="7" s="1"/>
  <c r="B1580" i="7" s="1"/>
  <c r="B1581" i="7" s="1"/>
  <c r="B1582" i="7" s="1"/>
  <c r="B1583" i="7" s="1"/>
  <c r="B1584" i="7" s="1"/>
  <c r="B1585" i="7" s="1"/>
  <c r="B1586" i="7" s="1"/>
  <c r="B1587" i="7" s="1"/>
  <c r="B1588" i="7" s="1"/>
  <c r="B1589" i="7" s="1"/>
  <c r="B1590" i="7" s="1"/>
  <c r="B1591" i="7" s="1"/>
  <c r="B1592" i="7" s="1"/>
  <c r="B1593" i="7" s="1"/>
  <c r="B1594" i="7" s="1"/>
  <c r="B1595" i="7" s="1"/>
  <c r="B1596" i="7" s="1"/>
  <c r="B1597" i="7" s="1"/>
  <c r="B1598" i="7" s="1"/>
  <c r="B1599" i="7" s="1"/>
  <c r="B1600" i="7" s="1"/>
  <c r="B1601" i="7" s="1"/>
  <c r="B1602" i="7" s="1"/>
  <c r="B1603" i="7" s="1"/>
  <c r="B1604" i="7" s="1"/>
  <c r="B1605" i="7" s="1"/>
  <c r="B1606" i="7" s="1"/>
  <c r="B1607" i="7" s="1"/>
  <c r="B1608" i="7" s="1"/>
  <c r="B1609" i="7" s="1"/>
  <c r="B1610" i="7" s="1"/>
  <c r="B1611" i="7" s="1"/>
  <c r="B1612" i="7" s="1"/>
  <c r="B1613" i="7" s="1"/>
  <c r="B1614" i="7" s="1"/>
  <c r="B1615" i="7" s="1"/>
  <c r="B1616" i="7" s="1"/>
  <c r="B1617" i="7" s="1"/>
  <c r="B1618" i="7" s="1"/>
  <c r="B1619" i="7" s="1"/>
  <c r="B1620" i="7" s="1"/>
  <c r="B1621" i="7" s="1"/>
  <c r="B1622" i="7" s="1"/>
  <c r="B1623" i="7" s="1"/>
  <c r="B1624" i="7" s="1"/>
  <c r="B1625" i="7" s="1"/>
  <c r="B1626" i="7" s="1"/>
  <c r="B1627" i="7" s="1"/>
  <c r="B1628" i="7" s="1"/>
  <c r="B1629" i="7" s="1"/>
  <c r="B1630" i="7" s="1"/>
  <c r="B1631" i="7" s="1"/>
  <c r="B1632" i="7" s="1"/>
  <c r="B1633" i="7" s="1"/>
  <c r="B1634" i="7" s="1"/>
  <c r="B1635" i="7" s="1"/>
  <c r="B1636" i="7" s="1"/>
  <c r="B1637" i="7" s="1"/>
  <c r="B1638" i="7" s="1"/>
  <c r="B1639" i="7" s="1"/>
  <c r="B1640" i="7" s="1"/>
  <c r="B1641" i="7" s="1"/>
  <c r="B1642" i="7" s="1"/>
  <c r="B1643" i="7" s="1"/>
  <c r="B1644" i="7" s="1"/>
  <c r="B1645" i="7" s="1"/>
  <c r="B1646" i="7" s="1"/>
  <c r="B1647" i="7" s="1"/>
  <c r="B1648" i="7" s="1"/>
  <c r="B1649" i="7" s="1"/>
  <c r="B1650" i="7" s="1"/>
  <c r="B1651" i="7" s="1"/>
  <c r="B1652" i="7" s="1"/>
  <c r="B1653" i="7" s="1"/>
  <c r="B1654" i="7" s="1"/>
  <c r="B1655" i="7" s="1"/>
  <c r="B1656" i="7" s="1"/>
  <c r="B1657" i="7" s="1"/>
  <c r="B1658" i="7" s="1"/>
  <c r="B1659" i="7" s="1"/>
  <c r="B1660" i="7" s="1"/>
  <c r="B1661" i="7" s="1"/>
  <c r="B1662" i="7" s="1"/>
  <c r="B1663" i="7" s="1"/>
  <c r="B1664" i="7" s="1"/>
  <c r="B1665" i="7" s="1"/>
  <c r="B1666" i="7" s="1"/>
  <c r="B1667" i="7" s="1"/>
  <c r="B1668" i="7" s="1"/>
  <c r="B1669" i="7" s="1"/>
  <c r="B1670" i="7" s="1"/>
  <c r="B1671" i="7" s="1"/>
  <c r="B1672" i="7" s="1"/>
  <c r="B1673" i="7" s="1"/>
  <c r="B1674" i="7" s="1"/>
  <c r="B1675" i="7" s="1"/>
  <c r="B1676" i="7" s="1"/>
  <c r="B1677" i="7" s="1"/>
  <c r="B1678" i="7" s="1"/>
  <c r="B1679" i="7" s="1"/>
  <c r="B1680" i="7" s="1"/>
  <c r="B1681" i="7" s="1"/>
  <c r="B1682" i="7" s="1"/>
  <c r="B1683" i="7" s="1"/>
  <c r="B1684" i="7" s="1"/>
  <c r="B1685" i="7" s="1"/>
  <c r="B1686" i="7" s="1"/>
  <c r="B1687" i="7" s="1"/>
  <c r="B1688" i="7" s="1"/>
  <c r="B1689" i="7" s="1"/>
  <c r="B1690" i="7" s="1"/>
  <c r="B1691" i="7" s="1"/>
  <c r="B1692" i="7" s="1"/>
  <c r="B1693" i="7" s="1"/>
  <c r="B1694" i="7" s="1"/>
  <c r="B1695" i="7" s="1"/>
  <c r="B1696" i="7" s="1"/>
  <c r="B1697" i="7" s="1"/>
  <c r="B1698" i="7" s="1"/>
  <c r="B1699" i="7" s="1"/>
  <c r="B1700" i="7" s="1"/>
  <c r="B1701" i="7" s="1"/>
  <c r="B1702" i="7" s="1"/>
  <c r="B1703" i="7" s="1"/>
  <c r="B1704" i="7" s="1"/>
  <c r="B1705" i="7" s="1"/>
  <c r="B1706" i="7" s="1"/>
  <c r="B1707" i="7" s="1"/>
  <c r="B1708" i="7" s="1"/>
  <c r="B1709" i="7" s="1"/>
  <c r="B1710" i="7" s="1"/>
  <c r="B1711" i="7" s="1"/>
  <c r="B1712" i="7" s="1"/>
  <c r="B1713" i="7" s="1"/>
  <c r="B1714" i="7" s="1"/>
  <c r="B1715" i="7" s="1"/>
  <c r="B1716" i="7" s="1"/>
  <c r="B1717" i="7" s="1"/>
  <c r="B1718" i="7" s="1"/>
  <c r="B1719" i="7" s="1"/>
  <c r="B1720" i="7" s="1"/>
  <c r="B1721" i="7" s="1"/>
  <c r="B1722" i="7" s="1"/>
  <c r="B1723" i="7" s="1"/>
  <c r="B1724" i="7" s="1"/>
  <c r="B1725" i="7" s="1"/>
  <c r="B1726" i="7" s="1"/>
  <c r="B1727" i="7" s="1"/>
  <c r="B1728" i="7" s="1"/>
  <c r="B1729" i="7" s="1"/>
  <c r="B1730" i="7" s="1"/>
  <c r="B1731" i="7" s="1"/>
  <c r="B1732" i="7" s="1"/>
  <c r="B1733" i="7" s="1"/>
  <c r="B1734" i="7" s="1"/>
  <c r="B1735" i="7" s="1"/>
  <c r="B1736" i="7" s="1"/>
  <c r="B1737" i="7" s="1"/>
  <c r="B1738" i="7" s="1"/>
  <c r="B1739" i="7" s="1"/>
  <c r="B1740" i="7" s="1"/>
  <c r="B1741" i="7" s="1"/>
  <c r="B1742" i="7" s="1"/>
  <c r="B1743" i="7" s="1"/>
  <c r="B1744" i="7" s="1"/>
  <c r="B1745" i="7" s="1"/>
  <c r="B1746" i="7" s="1"/>
  <c r="B1747" i="7" s="1"/>
  <c r="B1748" i="7" s="1"/>
  <c r="B1749" i="7" s="1"/>
  <c r="B1750" i="7" s="1"/>
  <c r="B1751" i="7" s="1"/>
  <c r="B1752" i="7" s="1"/>
  <c r="B1753" i="7" s="1"/>
  <c r="B1754" i="7" s="1"/>
  <c r="B1755" i="7" s="1"/>
  <c r="B1756" i="7" s="1"/>
  <c r="B1757" i="7" s="1"/>
  <c r="B1758" i="7" s="1"/>
  <c r="B1759" i="7" s="1"/>
  <c r="B1760" i="7" s="1"/>
  <c r="B1761" i="7" s="1"/>
  <c r="B1762" i="7" s="1"/>
  <c r="B1763" i="7" s="1"/>
  <c r="B1764" i="7" s="1"/>
  <c r="B1765" i="7" s="1"/>
  <c r="B1766" i="7" s="1"/>
  <c r="B1767" i="7" s="1"/>
  <c r="B1768" i="7" s="1"/>
  <c r="B1769" i="7" s="1"/>
  <c r="B1770" i="7" s="1"/>
  <c r="B1771" i="7" s="1"/>
  <c r="B1772" i="7" s="1"/>
  <c r="B1773" i="7" s="1"/>
  <c r="B1774" i="7" s="1"/>
  <c r="B1775" i="7" s="1"/>
  <c r="B1776" i="7" s="1"/>
  <c r="B1777" i="7" s="1"/>
  <c r="B1778" i="7" s="1"/>
  <c r="B1779" i="7" s="1"/>
  <c r="B1780" i="7" s="1"/>
  <c r="B1781" i="7" s="1"/>
  <c r="B1782" i="7" s="1"/>
  <c r="B1783" i="7" s="1"/>
  <c r="B1784" i="7" s="1"/>
  <c r="B1785" i="7" s="1"/>
  <c r="B1786" i="7" s="1"/>
  <c r="B1787" i="7" s="1"/>
  <c r="B1788" i="7" s="1"/>
  <c r="B1789" i="7" s="1"/>
  <c r="B1790" i="7" s="1"/>
  <c r="B1791" i="7" s="1"/>
  <c r="B1792" i="7" s="1"/>
  <c r="B1793" i="7" s="1"/>
  <c r="B1794" i="7" s="1"/>
  <c r="B1795" i="7" s="1"/>
  <c r="B1796" i="7" s="1"/>
  <c r="B1797" i="7" s="1"/>
  <c r="B1798" i="7" s="1"/>
  <c r="B1799" i="7" s="1"/>
  <c r="B1800" i="7" s="1"/>
  <c r="B1801" i="7" s="1"/>
  <c r="B1802" i="7" s="1"/>
  <c r="B1803" i="7" s="1"/>
  <c r="B1804" i="7" s="1"/>
  <c r="B1805" i="7" s="1"/>
  <c r="B1806" i="7" s="1"/>
  <c r="B1807" i="7" s="1"/>
  <c r="B1808" i="7" s="1"/>
  <c r="B1809" i="7" s="1"/>
  <c r="B1810" i="7" s="1"/>
  <c r="B1811" i="7" s="1"/>
  <c r="B1812" i="7" s="1"/>
  <c r="B1813" i="7" s="1"/>
  <c r="B1814" i="7" s="1"/>
  <c r="B1815" i="7" s="1"/>
  <c r="B1816" i="7" s="1"/>
  <c r="B1817" i="7" s="1"/>
  <c r="B1818" i="7" s="1"/>
  <c r="B1819" i="7" s="1"/>
  <c r="B1820" i="7" s="1"/>
  <c r="B1821" i="7" s="1"/>
  <c r="B1822" i="7" s="1"/>
  <c r="B1823" i="7" s="1"/>
  <c r="B1824" i="7" s="1"/>
  <c r="B1825" i="7" s="1"/>
  <c r="B1826" i="7" s="1"/>
  <c r="B1827" i="7" s="1"/>
  <c r="B1828" i="7" s="1"/>
  <c r="B1829" i="7" s="1"/>
  <c r="B1830" i="7" s="1"/>
  <c r="B1831" i="7" s="1"/>
  <c r="B1832" i="7" s="1"/>
  <c r="B1833" i="7" s="1"/>
  <c r="B1834" i="7" s="1"/>
  <c r="B1835" i="7" s="1"/>
  <c r="B1836" i="7" s="1"/>
  <c r="B1837" i="7" s="1"/>
  <c r="B1838" i="7" s="1"/>
  <c r="B1839" i="7" s="1"/>
  <c r="B1840" i="7" s="1"/>
  <c r="B1841" i="7" s="1"/>
  <c r="B1842" i="7" s="1"/>
  <c r="B1843" i="7" s="1"/>
  <c r="B1844" i="7" s="1"/>
  <c r="B1845" i="7" s="1"/>
  <c r="B1846" i="7" s="1"/>
  <c r="B1847" i="7" s="1"/>
  <c r="B1848" i="7" s="1"/>
  <c r="B1849" i="7" s="1"/>
  <c r="B1850" i="7" s="1"/>
  <c r="B1851" i="7" s="1"/>
  <c r="B1852" i="7" s="1"/>
  <c r="B1853" i="7" s="1"/>
  <c r="B1854" i="7" s="1"/>
  <c r="B1855" i="7" s="1"/>
  <c r="B1856" i="7" s="1"/>
  <c r="B1857" i="7" s="1"/>
  <c r="B1858" i="7" s="1"/>
  <c r="B1859" i="7" s="1"/>
  <c r="B1860" i="7" s="1"/>
  <c r="B1861" i="7" s="1"/>
  <c r="B1862" i="7" s="1"/>
  <c r="B1863" i="7" s="1"/>
  <c r="B1864" i="7" s="1"/>
  <c r="B1865" i="7" s="1"/>
  <c r="B1866" i="7" s="1"/>
  <c r="B1867" i="7" s="1"/>
  <c r="B1868" i="7" s="1"/>
  <c r="B1869" i="7" s="1"/>
  <c r="B1870" i="7" s="1"/>
  <c r="B1871" i="7" s="1"/>
  <c r="B1872" i="7" s="1"/>
  <c r="B1873" i="7" s="1"/>
  <c r="B1874" i="7" s="1"/>
  <c r="B1875" i="7" s="1"/>
  <c r="B1876" i="7" s="1"/>
  <c r="B1877" i="7" s="1"/>
  <c r="B1878" i="7" s="1"/>
  <c r="B1879" i="7" s="1"/>
  <c r="B1880" i="7" s="1"/>
  <c r="B1881" i="7" s="1"/>
  <c r="B1882" i="7" s="1"/>
  <c r="B1883" i="7" s="1"/>
  <c r="B1884" i="7" s="1"/>
  <c r="B1885" i="7" s="1"/>
  <c r="B1886" i="7" s="1"/>
  <c r="B1887" i="7" s="1"/>
  <c r="B1888" i="7" s="1"/>
  <c r="B1889" i="7" s="1"/>
  <c r="B1890" i="7" s="1"/>
  <c r="B1891" i="7" s="1"/>
  <c r="B1892" i="7" s="1"/>
  <c r="B1893" i="7" s="1"/>
  <c r="B1894" i="7" s="1"/>
  <c r="B1895" i="7" s="1"/>
  <c r="B1896" i="7" s="1"/>
  <c r="B1897" i="7" s="1"/>
  <c r="B1898" i="7" s="1"/>
  <c r="B1899" i="7" s="1"/>
  <c r="B1900" i="7" s="1"/>
  <c r="B1901" i="7" s="1"/>
  <c r="B1902" i="7" s="1"/>
  <c r="B1903" i="7" s="1"/>
  <c r="B1904" i="7" s="1"/>
  <c r="B1905" i="7" s="1"/>
  <c r="B1906" i="7" s="1"/>
  <c r="B1907" i="7" s="1"/>
  <c r="B1908" i="7" s="1"/>
  <c r="B1909" i="7" s="1"/>
  <c r="B1910" i="7" s="1"/>
  <c r="B1911" i="7" s="1"/>
  <c r="B1912" i="7" s="1"/>
  <c r="B1913" i="7" s="1"/>
  <c r="B1914" i="7" s="1"/>
  <c r="B1915" i="7" s="1"/>
  <c r="B1916" i="7" s="1"/>
  <c r="B1917" i="7" s="1"/>
  <c r="B1918" i="7" s="1"/>
  <c r="B1919" i="7" s="1"/>
  <c r="C225" i="7" s="1"/>
  <c r="K51" i="7"/>
  <c r="K37" i="7"/>
  <c r="K49" i="7"/>
  <c r="K52" i="7"/>
  <c r="K36" i="7"/>
  <c r="K50" i="7"/>
  <c r="K38" i="7"/>
  <c r="K42" i="7"/>
  <c r="C733" i="7" l="1"/>
  <c r="D1872" i="7"/>
  <c r="D1185" i="7"/>
  <c r="C1080" i="7"/>
  <c r="C1141" i="7"/>
  <c r="D973" i="7"/>
  <c r="D1644" i="7"/>
  <c r="D1630" i="7"/>
  <c r="D1638" i="7"/>
  <c r="D1843" i="7"/>
  <c r="D864" i="7"/>
  <c r="D284" i="7"/>
  <c r="C1607" i="7"/>
  <c r="C1303" i="7"/>
  <c r="C797" i="7"/>
  <c r="D1645" i="7"/>
  <c r="C1886" i="7"/>
  <c r="C604" i="7"/>
  <c r="D1530" i="7"/>
  <c r="C1820" i="7"/>
  <c r="C434" i="7"/>
  <c r="D500" i="7"/>
  <c r="D983" i="7"/>
  <c r="C1790" i="7"/>
  <c r="D674" i="7"/>
  <c r="C1860" i="7"/>
  <c r="C1663" i="7"/>
  <c r="D1123" i="7"/>
  <c r="C1911" i="7"/>
  <c r="D1693" i="7"/>
  <c r="C1893" i="7"/>
  <c r="D1107" i="7"/>
  <c r="C1365" i="7"/>
  <c r="D1011" i="7"/>
  <c r="D1848" i="7"/>
  <c r="C1806" i="7"/>
  <c r="C1591" i="7"/>
  <c r="D1506" i="7"/>
  <c r="D1156" i="7"/>
  <c r="D1760" i="7"/>
  <c r="C1891" i="7"/>
  <c r="C216" i="7"/>
  <c r="C1421" i="7"/>
  <c r="D1104" i="7"/>
  <c r="D1437" i="7"/>
  <c r="C1780" i="7"/>
  <c r="D1725" i="7"/>
  <c r="C175" i="7"/>
  <c r="D1554" i="7"/>
  <c r="D1700" i="7"/>
  <c r="D302" i="7"/>
  <c r="D1232" i="7"/>
  <c r="D1772" i="7"/>
  <c r="C1774" i="7"/>
  <c r="C492" i="7"/>
  <c r="D482" i="7"/>
  <c r="C1455" i="7"/>
  <c r="D1236" i="7"/>
  <c r="C830" i="7"/>
  <c r="C1859" i="7"/>
  <c r="D183" i="7"/>
  <c r="C1845" i="7"/>
  <c r="D1294" i="7"/>
  <c r="C669" i="7"/>
  <c r="C1208" i="7"/>
  <c r="D1235" i="7"/>
  <c r="C190" i="7"/>
  <c r="D479" i="7"/>
  <c r="C1375" i="7"/>
  <c r="C1829" i="7"/>
  <c r="C1533" i="7"/>
  <c r="C288" i="7"/>
  <c r="C737" i="7"/>
  <c r="C1597" i="7"/>
  <c r="C1907" i="7"/>
  <c r="C1661" i="7"/>
  <c r="D1855" i="7"/>
  <c r="C1735" i="7"/>
  <c r="C1701" i="7"/>
  <c r="D1300" i="7"/>
  <c r="C1776" i="7"/>
  <c r="C427" i="7"/>
  <c r="C603" i="7"/>
  <c r="C1506" i="7"/>
  <c r="D1588" i="7"/>
  <c r="D267" i="7"/>
  <c r="C1043" i="7"/>
  <c r="C1758" i="7"/>
  <c r="C321" i="7"/>
  <c r="C1253" i="7"/>
  <c r="C1711" i="7"/>
  <c r="D1217" i="7"/>
  <c r="C226" i="7"/>
  <c r="D607" i="7"/>
  <c r="D1069" i="7"/>
  <c r="C1677" i="7"/>
  <c r="D1326" i="7"/>
  <c r="D1565" i="7"/>
  <c r="D1597" i="7"/>
  <c r="D1284" i="7"/>
  <c r="C313" i="7"/>
  <c r="D1678" i="7"/>
  <c r="C952" i="7"/>
  <c r="D475" i="7"/>
  <c r="C1869" i="7"/>
  <c r="C1797" i="7"/>
  <c r="C1527" i="7"/>
  <c r="C623" i="7"/>
  <c r="D1261" i="7"/>
  <c r="C620" i="7"/>
  <c r="C373" i="7"/>
  <c r="D1372" i="7"/>
  <c r="C1469" i="7"/>
  <c r="C1687" i="7"/>
  <c r="D1808" i="7"/>
  <c r="C1301" i="7"/>
  <c r="D1444" i="7"/>
  <c r="C76" i="7"/>
  <c r="C469" i="7"/>
  <c r="C818" i="7"/>
  <c r="D829" i="7"/>
  <c r="D526" i="7"/>
  <c r="D711" i="7"/>
  <c r="D1417" i="7"/>
  <c r="D1850" i="7"/>
  <c r="C113" i="7"/>
  <c r="D1327" i="7"/>
  <c r="D988" i="7"/>
  <c r="D442" i="7"/>
  <c r="C1587" i="7"/>
  <c r="C1577" i="7"/>
  <c r="C1467" i="7"/>
  <c r="D216" i="7"/>
  <c r="D1194" i="7"/>
  <c r="C344" i="7"/>
  <c r="D626" i="7"/>
  <c r="D1395" i="7"/>
  <c r="D870" i="7"/>
  <c r="C181" i="7"/>
  <c r="C1210" i="7"/>
  <c r="D689" i="7"/>
  <c r="C960" i="7"/>
  <c r="C1839" i="7"/>
  <c r="C1521" i="7"/>
  <c r="D869" i="7"/>
  <c r="D1043" i="7"/>
  <c r="C242" i="7"/>
  <c r="C1190" i="7"/>
  <c r="D669" i="7"/>
  <c r="C1360" i="7"/>
  <c r="D1008" i="7"/>
  <c r="D316" i="7"/>
  <c r="C622" i="7"/>
  <c r="D174" i="7"/>
  <c r="D1667" i="7"/>
  <c r="C462" i="7"/>
  <c r="C834" i="7"/>
  <c r="D618" i="7"/>
  <c r="C695" i="7"/>
  <c r="D460" i="7"/>
  <c r="C215" i="7"/>
  <c r="D450" i="7"/>
  <c r="C1762" i="7"/>
  <c r="C223" i="7"/>
  <c r="C293" i="7"/>
  <c r="C1299" i="7"/>
  <c r="D860" i="7"/>
  <c r="C1200" i="7"/>
  <c r="C1484" i="7"/>
  <c r="D632" i="7"/>
  <c r="D308" i="7"/>
  <c r="D1471" i="7"/>
  <c r="C481" i="7"/>
  <c r="C124" i="7"/>
  <c r="C1355" i="7"/>
  <c r="C966" i="7"/>
  <c r="C1905" i="7"/>
  <c r="D262" i="7"/>
  <c r="D792" i="7"/>
  <c r="D1451" i="7"/>
  <c r="D403" i="7"/>
  <c r="C84" i="7"/>
  <c r="D580" i="7"/>
  <c r="C232" i="7"/>
  <c r="D678" i="7"/>
  <c r="C370" i="7"/>
  <c r="C1244" i="7"/>
  <c r="C552" i="7"/>
  <c r="D659" i="7"/>
  <c r="D675" i="7"/>
  <c r="D1064" i="7"/>
  <c r="D725" i="7"/>
  <c r="C388" i="7"/>
  <c r="C1092" i="7"/>
  <c r="D1476" i="7"/>
  <c r="C1545" i="7"/>
  <c r="C463" i="7"/>
  <c r="C1555" i="7"/>
  <c r="D470" i="7"/>
  <c r="D716" i="7"/>
  <c r="C1356" i="7"/>
  <c r="D1004" i="7"/>
  <c r="D312" i="7"/>
  <c r="D1343" i="7"/>
  <c r="D818" i="7"/>
  <c r="C129" i="7"/>
  <c r="C1611" i="7"/>
  <c r="C1193" i="7"/>
  <c r="C323" i="7"/>
  <c r="C285" i="7"/>
  <c r="C708" i="7"/>
  <c r="D1323" i="7"/>
  <c r="D798" i="7"/>
  <c r="C109" i="7"/>
  <c r="C1138" i="7"/>
  <c r="D617" i="7"/>
  <c r="C436" i="7"/>
  <c r="C1736" i="7"/>
  <c r="C1227" i="7"/>
  <c r="D179" i="7"/>
  <c r="C1370" i="7"/>
  <c r="D532" i="7"/>
  <c r="D1720" i="7"/>
  <c r="D1128" i="7"/>
  <c r="D857" i="7"/>
  <c r="C1486" i="7"/>
  <c r="D313" i="7"/>
  <c r="C964" i="7"/>
  <c r="C498" i="7"/>
  <c r="C1528" i="7"/>
  <c r="D771" i="7"/>
  <c r="C397" i="7"/>
  <c r="D1240" i="7"/>
  <c r="D170" i="7"/>
  <c r="C1251" i="7"/>
  <c r="C224" i="7"/>
  <c r="C393" i="7"/>
  <c r="C1508" i="7"/>
  <c r="D728" i="7"/>
  <c r="D357" i="7"/>
  <c r="D1495" i="7"/>
  <c r="C529" i="7"/>
  <c r="C172" i="7"/>
  <c r="D1233" i="7"/>
  <c r="D205" i="7"/>
  <c r="C919" i="7"/>
  <c r="C1294" i="7"/>
  <c r="C1432" i="7"/>
  <c r="D326" i="7"/>
  <c r="C1412" i="7"/>
  <c r="D874" i="7"/>
  <c r="D609" i="7"/>
  <c r="D533" i="7"/>
  <c r="D1038" i="7"/>
  <c r="C1225" i="7"/>
  <c r="C179" i="7"/>
  <c r="C1031" i="7"/>
  <c r="C1046" i="7"/>
  <c r="C1136" i="7"/>
  <c r="D1491" i="7"/>
  <c r="D709" i="7"/>
  <c r="D1439" i="7"/>
  <c r="D413" i="7"/>
  <c r="C1497" i="7"/>
  <c r="C1148" i="7"/>
  <c r="C1172" i="7"/>
  <c r="C910" i="7"/>
  <c r="D1419" i="7"/>
  <c r="C351" i="7"/>
  <c r="D1367" i="7"/>
  <c r="D713" i="7"/>
  <c r="C746" i="7"/>
  <c r="D1018" i="7"/>
  <c r="D421" i="7"/>
  <c r="C422" i="7"/>
  <c r="D972" i="7"/>
  <c r="D1610" i="7"/>
  <c r="C1252" i="7"/>
  <c r="C456" i="7"/>
  <c r="C245" i="7"/>
  <c r="D1609" i="7"/>
  <c r="D1910" i="7"/>
  <c r="D431" i="7"/>
  <c r="D836" i="7"/>
  <c r="D195" i="7"/>
  <c r="C1744" i="7"/>
  <c r="D287" i="7"/>
  <c r="D1206" i="7"/>
  <c r="D1035" i="7"/>
  <c r="D1737" i="7"/>
  <c r="C1382" i="7"/>
  <c r="C1794" i="7"/>
  <c r="C885" i="7"/>
  <c r="C107" i="7"/>
  <c r="C183" i="7"/>
  <c r="C884" i="7"/>
  <c r="D61" i="7"/>
  <c r="C631" i="7"/>
  <c r="C517" i="7"/>
  <c r="D1540" i="7"/>
  <c r="D1886" i="7"/>
  <c r="D131" i="7"/>
  <c r="D207" i="7"/>
  <c r="C551" i="7"/>
  <c r="C1712" i="7"/>
  <c r="C888" i="7"/>
  <c r="D65" i="7"/>
  <c r="C1180" i="7"/>
  <c r="C736" i="7"/>
  <c r="D1647" i="7"/>
  <c r="D900" i="7"/>
  <c r="C1324" i="7"/>
  <c r="C97" i="7"/>
  <c r="C907" i="7"/>
  <c r="D694" i="7"/>
  <c r="D886" i="7"/>
  <c r="D285" i="7"/>
  <c r="C387" i="7"/>
  <c r="D1641" i="7"/>
  <c r="D742" i="7"/>
  <c r="D1361" i="7"/>
  <c r="D1573" i="7"/>
  <c r="D1222" i="7"/>
  <c r="D81" i="7"/>
  <c r="C1480" i="7"/>
  <c r="C1660" i="7"/>
  <c r="D1576" i="7"/>
  <c r="D1425" i="7"/>
  <c r="C163" i="7"/>
  <c r="D1368" i="7"/>
  <c r="C1724" i="7"/>
  <c r="C1580" i="7"/>
  <c r="C756" i="7"/>
  <c r="C1656" i="7"/>
  <c r="C673" i="7"/>
  <c r="D970" i="7"/>
  <c r="D107" i="7"/>
  <c r="D1672" i="7"/>
  <c r="C1598" i="7"/>
  <c r="C1636" i="7"/>
  <c r="C633" i="7"/>
  <c r="C1584" i="7"/>
  <c r="C760" i="7"/>
  <c r="D705" i="7"/>
  <c r="C99" i="7"/>
  <c r="C66" i="7"/>
  <c r="D1579" i="7"/>
  <c r="D134" i="7"/>
  <c r="D346" i="7"/>
  <c r="D1770" i="7"/>
  <c r="C712" i="7"/>
  <c r="C1102" i="7"/>
  <c r="D786" i="7"/>
  <c r="D627" i="7"/>
  <c r="D1509" i="7"/>
  <c r="C378" i="7"/>
  <c r="C326" i="7"/>
  <c r="C204" i="7"/>
  <c r="D1298" i="7"/>
  <c r="C788" i="7"/>
  <c r="C783" i="7"/>
  <c r="C1153" i="7"/>
  <c r="C1107" i="7"/>
  <c r="C925" i="7"/>
  <c r="C451" i="7"/>
  <c r="C105" i="7"/>
  <c r="D910" i="7"/>
  <c r="D1180" i="7"/>
  <c r="D268" i="7"/>
  <c r="C585" i="7"/>
  <c r="D477" i="7"/>
  <c r="C1236" i="7"/>
  <c r="D865" i="7"/>
  <c r="D648" i="7"/>
  <c r="D360" i="7"/>
  <c r="D358" i="7"/>
  <c r="D1147" i="7"/>
  <c r="D95" i="7"/>
  <c r="C832" i="7"/>
  <c r="C802" i="7"/>
  <c r="D128" i="7"/>
  <c r="D190" i="7"/>
  <c r="C773" i="7"/>
  <c r="C1906" i="7"/>
  <c r="C1443" i="7"/>
  <c r="C843" i="7"/>
  <c r="D1514" i="7"/>
  <c r="D796" i="7"/>
  <c r="C138" i="7"/>
  <c r="C1419" i="7"/>
  <c r="D737" i="7"/>
  <c r="C170" i="7"/>
  <c r="D203" i="7"/>
  <c r="D189" i="7"/>
  <c r="D1754" i="7"/>
  <c r="D60" i="7"/>
  <c r="C1053" i="7"/>
  <c r="C692" i="7"/>
  <c r="D852" i="7"/>
  <c r="D1747" i="7"/>
  <c r="C702" i="7"/>
  <c r="D1113" i="7"/>
  <c r="C682" i="7"/>
  <c r="C969" i="7"/>
  <c r="C1675" i="7"/>
  <c r="D690" i="7"/>
  <c r="D122" i="7"/>
  <c r="D275" i="7"/>
  <c r="D323" i="7"/>
  <c r="C352" i="7"/>
  <c r="C1032" i="7"/>
  <c r="D1567" i="7"/>
  <c r="C1089" i="7"/>
  <c r="C554" i="7"/>
  <c r="D310" i="7"/>
  <c r="C526" i="7"/>
  <c r="C1051" i="7"/>
  <c r="D1758" i="7"/>
  <c r="C1307" i="7"/>
  <c r="D420" i="7"/>
  <c r="D109" i="7"/>
  <c r="D1065" i="7"/>
  <c r="C203" i="7"/>
  <c r="D1697" i="7"/>
  <c r="C934" i="7"/>
  <c r="D802" i="7"/>
  <c r="D282" i="7"/>
  <c r="C1340" i="7"/>
  <c r="C268" i="7"/>
  <c r="D319" i="7"/>
  <c r="D483" i="7"/>
  <c r="D1724" i="7"/>
  <c r="D965" i="7"/>
  <c r="C831" i="7"/>
  <c r="D1169" i="7"/>
  <c r="D159" i="7"/>
  <c r="C1049" i="7"/>
  <c r="C440" i="7"/>
  <c r="D1727" i="7"/>
  <c r="C864" i="7"/>
  <c r="C259" i="7"/>
  <c r="D1131" i="7"/>
  <c r="C613" i="7"/>
  <c r="D1143" i="7"/>
  <c r="D440" i="7"/>
  <c r="C655" i="7"/>
  <c r="D1707" i="7"/>
  <c r="C844" i="7"/>
  <c r="C239" i="7"/>
  <c r="C1183" i="7"/>
  <c r="C662" i="7"/>
  <c r="C1143" i="7"/>
  <c r="C804" i="7"/>
  <c r="C886" i="7"/>
  <c r="D1272" i="7"/>
  <c r="D1266" i="7"/>
  <c r="C262" i="7"/>
  <c r="D1078" i="7"/>
  <c r="C906" i="7"/>
  <c r="D1429" i="7"/>
  <c r="D1837" i="7"/>
  <c r="C1510" i="7"/>
  <c r="D1866" i="7"/>
  <c r="C547" i="7"/>
  <c r="D1385" i="7"/>
  <c r="C171" i="7"/>
  <c r="D679" i="7"/>
  <c r="D1001" i="7"/>
  <c r="D494" i="7"/>
  <c r="D93" i="7"/>
  <c r="D765" i="7"/>
  <c r="C381" i="7"/>
  <c r="D1146" i="7"/>
  <c r="C1874" i="7"/>
  <c r="D1893" i="7"/>
  <c r="D978" i="7"/>
  <c r="D1317" i="7"/>
  <c r="C103" i="7"/>
  <c r="D636" i="7"/>
  <c r="C292" i="7"/>
  <c r="C817" i="7"/>
  <c r="D463" i="7"/>
  <c r="D76" i="7"/>
  <c r="D185" i="7"/>
  <c r="D1221" i="7"/>
  <c r="C883" i="7"/>
  <c r="D879" i="7"/>
  <c r="D1766" i="7"/>
  <c r="D1761" i="7"/>
  <c r="D372" i="7"/>
  <c r="C1416" i="7"/>
  <c r="C329" i="7"/>
  <c r="C1262" i="7"/>
  <c r="C1409" i="7"/>
  <c r="D1585" i="7"/>
  <c r="D1191" i="7"/>
  <c r="C1498" i="7"/>
  <c r="D961" i="7"/>
  <c r="D83" i="7"/>
  <c r="C341" i="7"/>
  <c r="C1179" i="7"/>
  <c r="C658" i="7"/>
  <c r="C1688" i="7"/>
  <c r="C997" i="7"/>
  <c r="D379" i="7"/>
  <c r="C1574" i="7"/>
  <c r="D1598" i="7"/>
  <c r="D1274" i="7"/>
  <c r="C890" i="7"/>
  <c r="C1229" i="7"/>
  <c r="C1668" i="7"/>
  <c r="C977" i="7"/>
  <c r="D339" i="7"/>
  <c r="D1655" i="7"/>
  <c r="C792" i="7"/>
  <c r="D150" i="7"/>
  <c r="D374" i="7"/>
  <c r="C1045" i="7"/>
  <c r="C706" i="7"/>
  <c r="D519" i="7"/>
  <c r="D1209" i="7"/>
  <c r="D925" i="7"/>
  <c r="D1809" i="7"/>
  <c r="C512" i="7"/>
  <c r="D1814" i="7"/>
  <c r="D433" i="7"/>
  <c r="D640" i="7"/>
  <c r="D1150" i="7"/>
  <c r="C787" i="7"/>
  <c r="C322" i="7"/>
  <c r="D1125" i="7"/>
  <c r="D582" i="7"/>
  <c r="D137" i="7"/>
  <c r="D1842" i="7"/>
  <c r="D1665" i="7"/>
  <c r="D1433" i="7"/>
  <c r="C219" i="7"/>
  <c r="D727" i="7"/>
  <c r="D1085" i="7"/>
  <c r="D542" i="7"/>
  <c r="D117" i="7"/>
  <c r="D861" i="7"/>
  <c r="D436" i="7"/>
  <c r="D1743" i="7"/>
  <c r="C1682" i="7"/>
  <c r="D58" i="7"/>
  <c r="C1377" i="7"/>
  <c r="D548" i="7"/>
  <c r="D388" i="7"/>
  <c r="D698" i="7"/>
  <c r="D368" i="7"/>
  <c r="C720" i="7"/>
  <c r="D985" i="7"/>
  <c r="D1315" i="7"/>
  <c r="D855" i="7"/>
  <c r="D1857" i="7"/>
  <c r="D1604" i="7"/>
  <c r="C1363" i="7"/>
  <c r="D366" i="7"/>
  <c r="C356" i="7"/>
  <c r="D504" i="7"/>
  <c r="C164" i="7"/>
  <c r="D1048" i="7"/>
  <c r="C60" i="7"/>
  <c r="C1881" i="7"/>
  <c r="C1507" i="7"/>
  <c r="C392" i="7"/>
  <c r="D286" i="7"/>
  <c r="D1028" i="7"/>
  <c r="C205" i="7"/>
  <c r="D520" i="7"/>
  <c r="C153" i="7"/>
  <c r="C197" i="7"/>
  <c r="C1117" i="7"/>
  <c r="C1036" i="7"/>
  <c r="D547" i="7"/>
  <c r="C1833" i="7"/>
  <c r="D279" i="7"/>
  <c r="C1026" i="7"/>
  <c r="C568" i="7"/>
  <c r="D1237" i="7"/>
  <c r="C895" i="7"/>
  <c r="D718" i="7"/>
  <c r="D1905" i="7"/>
  <c r="D942" i="7"/>
  <c r="C635" i="7"/>
  <c r="C1350" i="7"/>
  <c r="C1235" i="7"/>
  <c r="C444" i="7"/>
  <c r="D486" i="7"/>
  <c r="D790" i="7"/>
  <c r="D1557" i="7"/>
  <c r="C704" i="7"/>
  <c r="C837" i="7"/>
  <c r="D1178" i="7"/>
  <c r="D1058" i="7"/>
  <c r="C855" i="7"/>
  <c r="C845" i="7"/>
  <c r="D428" i="7"/>
  <c r="C1223" i="7"/>
  <c r="D168" i="7"/>
  <c r="D1881" i="7"/>
  <c r="C1434" i="7"/>
  <c r="D914" i="7"/>
  <c r="D990" i="7"/>
  <c r="C1203" i="7"/>
  <c r="C464" i="7"/>
  <c r="C877" i="7"/>
  <c r="C412" i="7"/>
  <c r="D1386" i="7"/>
  <c r="C697" i="7"/>
  <c r="C439" i="7"/>
  <c r="C975" i="7"/>
  <c r="C1272" i="7"/>
  <c r="D1057" i="7"/>
  <c r="D509" i="7"/>
  <c r="C1250" i="7"/>
  <c r="C905" i="7"/>
  <c r="C1723" i="7"/>
  <c r="C596" i="7"/>
  <c r="C1082" i="7"/>
  <c r="D1765" i="7"/>
  <c r="C1050" i="7"/>
  <c r="C358" i="7"/>
  <c r="C784" i="7"/>
  <c r="C681" i="7"/>
  <c r="C1390" i="7"/>
  <c r="D1662" i="7"/>
  <c r="D1362" i="7"/>
  <c r="C1586" i="7"/>
  <c r="C693" i="7"/>
  <c r="C790" i="7"/>
  <c r="C1147" i="7"/>
  <c r="C449" i="7"/>
  <c r="C1095" i="7"/>
  <c r="D315" i="7"/>
  <c r="D1084" i="7"/>
  <c r="C1748" i="7"/>
  <c r="C826" i="7"/>
  <c r="C557" i="7"/>
  <c r="C1075" i="7"/>
  <c r="D240" i="7"/>
  <c r="C972" i="7"/>
  <c r="C453" i="7"/>
  <c r="C705" i="7"/>
  <c r="C778" i="7"/>
  <c r="C777" i="7"/>
  <c r="D273" i="7"/>
  <c r="D1290" i="7"/>
  <c r="C1697" i="7"/>
  <c r="C532" i="7"/>
  <c r="D250" i="7"/>
  <c r="D1489" i="7"/>
  <c r="D1689" i="7"/>
  <c r="D1291" i="7"/>
  <c r="C1106" i="7"/>
  <c r="C1554" i="7"/>
  <c r="C513" i="7"/>
  <c r="D341" i="7"/>
  <c r="C1500" i="7"/>
  <c r="D892" i="7"/>
  <c r="C229" i="7"/>
  <c r="C415" i="7"/>
  <c r="C981" i="7"/>
  <c r="C642" i="7"/>
  <c r="C474" i="7"/>
  <c r="C765" i="7"/>
  <c r="D1248" i="7"/>
  <c r="D1777" i="7"/>
  <c r="D723" i="7"/>
  <c r="D1782" i="7"/>
  <c r="C520" i="7"/>
  <c r="D815" i="7"/>
  <c r="D1214" i="7"/>
  <c r="C851" i="7"/>
  <c r="C354" i="7"/>
  <c r="D1189" i="7"/>
  <c r="D646" i="7"/>
  <c r="D169" i="7"/>
  <c r="D1810" i="7"/>
  <c r="D1537" i="7"/>
  <c r="D1497" i="7"/>
  <c r="C176" i="7"/>
  <c r="D425" i="7"/>
  <c r="D1149" i="7"/>
  <c r="D606" i="7"/>
  <c r="D149" i="7"/>
  <c r="C946" i="7"/>
  <c r="D489" i="7"/>
  <c r="D242" i="7"/>
  <c r="C1320" i="7"/>
  <c r="C1150" i="7"/>
  <c r="D1749" i="7"/>
  <c r="C1601" i="7"/>
  <c r="D1082" i="7"/>
  <c r="D445" i="7"/>
  <c r="C196" i="7"/>
  <c r="D1507" i="7"/>
  <c r="C58" i="7"/>
  <c r="C967" i="7"/>
  <c r="C709" i="7"/>
  <c r="D1686" i="7"/>
  <c r="C1633" i="7"/>
  <c r="C1039" i="7"/>
  <c r="D1717" i="7"/>
  <c r="C249" i="7"/>
  <c r="C1134" i="7"/>
  <c r="D613" i="7"/>
  <c r="C1304" i="7"/>
  <c r="D952" i="7"/>
  <c r="C198" i="7"/>
  <c r="C1689" i="7"/>
  <c r="D499" i="7"/>
  <c r="C1699" i="7"/>
  <c r="C632" i="7"/>
  <c r="C971" i="7"/>
  <c r="C1284" i="7"/>
  <c r="D932" i="7"/>
  <c r="C118" i="7"/>
  <c r="D1271" i="7"/>
  <c r="D746" i="7"/>
  <c r="C57" i="7"/>
  <c r="C445" i="7"/>
  <c r="C1576" i="7"/>
  <c r="C1060" i="7"/>
  <c r="C1582" i="7"/>
  <c r="D455" i="7"/>
  <c r="D1097" i="7"/>
  <c r="C718" i="7"/>
  <c r="C295" i="7"/>
  <c r="C579" i="7"/>
  <c r="D571" i="7"/>
  <c r="D788" i="7"/>
  <c r="C656" i="7"/>
  <c r="D1706" i="7"/>
  <c r="D1821" i="7"/>
  <c r="D592" i="7"/>
  <c r="D1461" i="7"/>
  <c r="C104" i="7"/>
  <c r="C938" i="7"/>
  <c r="D485" i="7"/>
  <c r="D1110" i="7"/>
  <c r="C747" i="7"/>
  <c r="C294" i="7"/>
  <c r="D1849" i="7"/>
  <c r="C672" i="7"/>
  <c r="D1854" i="7"/>
  <c r="D715" i="7"/>
  <c r="D1054" i="7"/>
  <c r="D1067" i="7"/>
  <c r="C679" i="7"/>
  <c r="C254" i="7"/>
  <c r="D1017" i="7"/>
  <c r="D502" i="7"/>
  <c r="D97" i="7"/>
  <c r="C177" i="7"/>
  <c r="D1391" i="7"/>
  <c r="D1052" i="7"/>
  <c r="C1006" i="7"/>
  <c r="C1459" i="7"/>
  <c r="C1465" i="7"/>
  <c r="C1531" i="7"/>
  <c r="C992" i="7"/>
  <c r="D1059" i="7"/>
  <c r="C250" i="7"/>
  <c r="D498" i="7"/>
  <c r="D1363" i="7"/>
  <c r="D838" i="7"/>
  <c r="C149" i="7"/>
  <c r="C1178" i="7"/>
  <c r="D657" i="7"/>
  <c r="C1145" i="7"/>
  <c r="D1486" i="7"/>
  <c r="C1585" i="7"/>
  <c r="D492" i="7"/>
  <c r="C611" i="7"/>
  <c r="C297" i="7"/>
  <c r="C1158" i="7"/>
  <c r="D637" i="7"/>
  <c r="C1328" i="7"/>
  <c r="D976" i="7"/>
  <c r="D258" i="7"/>
  <c r="C1065" i="7"/>
  <c r="D545" i="7"/>
  <c r="D1313" i="7"/>
  <c r="C1124" i="7"/>
  <c r="D176" i="7"/>
  <c r="C1433" i="7"/>
  <c r="C1038" i="7"/>
  <c r="D1399" i="7"/>
  <c r="D89" i="7"/>
  <c r="C101" i="7"/>
  <c r="D259" i="7"/>
  <c r="D1862" i="7"/>
  <c r="D1066" i="7"/>
  <c r="C336" i="7"/>
  <c r="C1825" i="7"/>
  <c r="D1218" i="7"/>
  <c r="C1452" i="7"/>
  <c r="C521" i="7"/>
  <c r="C1400" i="7"/>
  <c r="C315" i="7"/>
  <c r="D837" i="7"/>
  <c r="D337" i="7"/>
  <c r="C1266" i="7"/>
  <c r="C1342" i="7"/>
  <c r="C1380" i="7"/>
  <c r="D894" i="7"/>
  <c r="C1456" i="7"/>
  <c r="D842" i="7"/>
  <c r="C703" i="7"/>
  <c r="D1599" i="7"/>
  <c r="D616" i="7"/>
  <c r="C1609" i="7"/>
  <c r="D146" i="7"/>
  <c r="C70" i="7"/>
  <c r="C644" i="7"/>
  <c r="D585" i="7"/>
  <c r="C880" i="7"/>
  <c r="D1596" i="7"/>
  <c r="C564" i="7"/>
  <c r="D714" i="7"/>
  <c r="C785" i="7"/>
  <c r="C734" i="7"/>
  <c r="C1241" i="7"/>
  <c r="C714" i="7"/>
  <c r="C1130" i="7"/>
  <c r="C1034" i="7"/>
  <c r="D699" i="7"/>
  <c r="C1627" i="7"/>
  <c r="D1898" i="7"/>
  <c r="D1853" i="7"/>
  <c r="D539" i="7"/>
  <c r="D615" i="7"/>
  <c r="D845" i="7"/>
  <c r="C279" i="7"/>
  <c r="D540" i="7"/>
  <c r="C230" i="7"/>
  <c r="D1095" i="7"/>
  <c r="C555" i="7"/>
  <c r="D651" i="7"/>
  <c r="D464" i="7"/>
  <c r="C1073" i="7"/>
  <c r="D156" i="7"/>
  <c r="C1021" i="7"/>
  <c r="C283" i="7"/>
  <c r="D1411" i="7"/>
  <c r="C1612" i="7"/>
  <c r="C534" i="7"/>
  <c r="D1050" i="7"/>
  <c r="D1653" i="7"/>
  <c r="D920" i="7"/>
  <c r="D759" i="7"/>
  <c r="D1158" i="7"/>
  <c r="C1226" i="7"/>
  <c r="C1435" i="7"/>
  <c r="C1085" i="7"/>
  <c r="D1249" i="7"/>
  <c r="D1267" i="7"/>
  <c r="D561" i="7"/>
  <c r="D887" i="7"/>
  <c r="D541" i="7"/>
  <c r="C1020" i="7"/>
  <c r="D833" i="7"/>
  <c r="C874" i="7"/>
  <c r="D903" i="7"/>
  <c r="D1280" i="7"/>
  <c r="C841" i="7"/>
  <c r="D335" i="7"/>
  <c r="C442" i="7"/>
  <c r="D875" i="7"/>
  <c r="D78" i="7"/>
  <c r="C965" i="7"/>
  <c r="D269" i="7"/>
  <c r="D1496" i="7"/>
  <c r="D1338" i="7"/>
  <c r="D385" i="7"/>
  <c r="C467" i="7"/>
  <c r="C945" i="7"/>
  <c r="D249" i="7"/>
  <c r="D883" i="7"/>
  <c r="D86" i="7"/>
  <c r="C465" i="7"/>
  <c r="C921" i="7"/>
  <c r="C455" i="7"/>
  <c r="D1571" i="7"/>
  <c r="D959" i="7"/>
  <c r="C1619" i="7"/>
  <c r="D1229" i="7"/>
  <c r="D1311" i="7"/>
  <c r="C1753" i="7"/>
  <c r="D218" i="7"/>
  <c r="C899" i="7"/>
  <c r="C795" i="7"/>
  <c r="C1826" i="7"/>
  <c r="C405" i="7"/>
  <c r="C156" i="7"/>
  <c r="D1487" i="7"/>
  <c r="D696" i="7"/>
  <c r="C1232" i="7"/>
  <c r="C1267" i="7"/>
  <c r="C1337" i="7"/>
  <c r="D347" i="7"/>
  <c r="C1672" i="7"/>
  <c r="C1163" i="7"/>
  <c r="C1746" i="7"/>
  <c r="C1542" i="7"/>
  <c r="C1081" i="7"/>
  <c r="D1592" i="7"/>
  <c r="D927" i="7"/>
  <c r="C1008" i="7"/>
  <c r="C1550" i="7"/>
  <c r="C419" i="7"/>
  <c r="C1028" i="7"/>
  <c r="C530" i="7"/>
  <c r="C1560" i="7"/>
  <c r="D835" i="7"/>
  <c r="C429" i="7"/>
  <c r="D1112" i="7"/>
  <c r="D239" i="7"/>
  <c r="D1132" i="7"/>
  <c r="C533" i="7"/>
  <c r="D841" i="7"/>
  <c r="C1540" i="7"/>
  <c r="D795" i="7"/>
  <c r="C409" i="7"/>
  <c r="D1527" i="7"/>
  <c r="C593" i="7"/>
  <c r="D229" i="7"/>
  <c r="D968" i="7"/>
  <c r="D629" i="7"/>
  <c r="C281" i="7"/>
  <c r="C1071" i="7"/>
  <c r="D1550" i="7"/>
  <c r="D155" i="7"/>
  <c r="D881" i="7"/>
  <c r="C553" i="7"/>
  <c r="D96" i="7"/>
  <c r="C1793" i="7"/>
  <c r="C1243" i="7"/>
  <c r="C898" i="7"/>
  <c r="D1304" i="7"/>
  <c r="C430" i="7"/>
  <c r="C854" i="7"/>
  <c r="D1651" i="7"/>
  <c r="D142" i="7"/>
  <c r="C1127" i="7"/>
  <c r="C606" i="7"/>
  <c r="D1360" i="7"/>
  <c r="C1690" i="7"/>
  <c r="C1662" i="7"/>
  <c r="D327" i="7"/>
  <c r="C586" i="7"/>
  <c r="C1616" i="7"/>
  <c r="C98" i="7"/>
  <c r="D867" i="7"/>
  <c r="C546" i="7"/>
  <c r="C1072" i="7"/>
  <c r="D1528" i="7"/>
  <c r="C1239" i="7"/>
  <c r="C900" i="7"/>
  <c r="C523" i="7"/>
  <c r="C355" i="7"/>
  <c r="C903" i="7"/>
  <c r="C1761" i="7"/>
  <c r="D443" i="7"/>
  <c r="D1523" i="7"/>
  <c r="D225" i="7"/>
  <c r="C924" i="7"/>
  <c r="C1015" i="7"/>
  <c r="C1817" i="7"/>
  <c r="C1265" i="7"/>
  <c r="C1406" i="7"/>
  <c r="D362" i="7"/>
  <c r="D437" i="7"/>
  <c r="C1488" i="7"/>
  <c r="D317" i="7"/>
  <c r="D866" i="7"/>
  <c r="C1404" i="7"/>
  <c r="D666" i="7"/>
  <c r="C438" i="7"/>
  <c r="C1867" i="7"/>
  <c r="C671" i="7"/>
  <c r="D1009" i="7"/>
  <c r="C1017" i="7"/>
  <c r="C408" i="7"/>
  <c r="D1695" i="7"/>
  <c r="C227" i="7"/>
  <c r="D1250" i="7"/>
  <c r="D1256" i="7"/>
  <c r="D72" i="7"/>
  <c r="D1675" i="7"/>
  <c r="C812" i="7"/>
  <c r="C1151" i="7"/>
  <c r="C630" i="7"/>
  <c r="C275" i="7"/>
  <c r="D1251" i="7"/>
  <c r="C158" i="7"/>
  <c r="C345" i="7"/>
  <c r="D1060" i="7"/>
  <c r="C185" i="7"/>
  <c r="C647" i="7"/>
  <c r="C269" i="7"/>
  <c r="C1275" i="7"/>
  <c r="C1441" i="7"/>
  <c r="D872" i="7"/>
  <c r="C1230" i="7"/>
  <c r="D817" i="7"/>
  <c r="D356" i="7"/>
  <c r="C1329" i="7"/>
  <c r="D570" i="7"/>
  <c r="D722" i="7"/>
  <c r="D336" i="7"/>
  <c r="C1234" i="7"/>
  <c r="C685" i="7"/>
  <c r="C1213" i="7"/>
  <c r="D1577" i="7"/>
  <c r="D1797" i="7"/>
  <c r="D766" i="7"/>
  <c r="D191" i="7"/>
  <c r="C1058" i="7"/>
  <c r="D603" i="7"/>
  <c r="C821" i="7"/>
  <c r="D535" i="7"/>
  <c r="C350" i="7"/>
  <c r="C238" i="7"/>
  <c r="D1773" i="7"/>
  <c r="C528" i="7"/>
  <c r="D1321" i="7"/>
  <c r="D1397" i="7"/>
  <c r="C369" i="7"/>
  <c r="D1019" i="7"/>
  <c r="C1318" i="7"/>
  <c r="D522" i="7"/>
  <c r="D1253" i="7"/>
  <c r="D939" i="7"/>
  <c r="D1751" i="7"/>
  <c r="D398" i="7"/>
  <c r="C1596" i="7"/>
  <c r="D1544" i="7"/>
  <c r="D1377" i="7"/>
  <c r="D686" i="7"/>
  <c r="C986" i="7"/>
  <c r="D193" i="7"/>
  <c r="D1583" i="7"/>
  <c r="D1176" i="7"/>
  <c r="D221" i="7"/>
  <c r="D1482" i="7"/>
  <c r="C859" i="7"/>
  <c r="D292" i="7"/>
  <c r="C653" i="7"/>
  <c r="C1281" i="7"/>
  <c r="C815" i="7"/>
  <c r="C1233" i="7"/>
  <c r="D1619" i="7"/>
  <c r="C626" i="7"/>
  <c r="C574" i="7"/>
  <c r="C1658" i="7"/>
  <c r="D688" i="7"/>
  <c r="C1165" i="7"/>
  <c r="D1547" i="7"/>
  <c r="D1623" i="7"/>
  <c r="C502" i="7"/>
  <c r="C376" i="7"/>
  <c r="D301" i="7"/>
  <c r="D281" i="7"/>
  <c r="C1220" i="7"/>
  <c r="C1848" i="7"/>
  <c r="D581" i="7"/>
  <c r="D529" i="7"/>
  <c r="C200" i="7"/>
  <c r="C77" i="7"/>
  <c r="D468" i="7"/>
  <c r="D277" i="7"/>
  <c r="C102" i="7"/>
  <c r="C64" i="7"/>
  <c r="C629" i="7"/>
  <c r="C1564" i="7"/>
  <c r="C433" i="7"/>
  <c r="C641" i="7"/>
  <c r="D1901" i="7"/>
  <c r="C68" i="7"/>
  <c r="D214" i="7"/>
  <c r="C824" i="7"/>
  <c r="D1687" i="7"/>
  <c r="C400" i="7"/>
  <c r="C1009" i="7"/>
  <c r="D79" i="7"/>
  <c r="D945" i="7"/>
  <c r="C607" i="7"/>
  <c r="D1179" i="7"/>
  <c r="C1899" i="7"/>
  <c r="C1490" i="7"/>
  <c r="C420" i="7"/>
  <c r="C1029" i="7"/>
  <c r="C1720" i="7"/>
  <c r="C690" i="7"/>
  <c r="C1211" i="7"/>
  <c r="D487" i="7"/>
  <c r="D147" i="7"/>
  <c r="D1145" i="7"/>
  <c r="D1633" i="7"/>
  <c r="D1834" i="7"/>
  <c r="C1618" i="7"/>
  <c r="C501" i="7"/>
  <c r="D924" i="7"/>
  <c r="D298" i="7"/>
  <c r="D406" i="7"/>
  <c r="D324" i="7"/>
  <c r="C1198" i="7"/>
  <c r="C1505" i="7"/>
  <c r="C312" i="7"/>
  <c r="C220" i="7"/>
  <c r="C1162" i="7"/>
  <c r="C829" i="7"/>
  <c r="D77" i="7"/>
  <c r="D1072" i="7"/>
  <c r="C94" i="7"/>
  <c r="D1408" i="7"/>
  <c r="C100" i="7"/>
  <c r="D294" i="7"/>
  <c r="D1793" i="7"/>
  <c r="D1263" i="7"/>
  <c r="D1914" i="7"/>
  <c r="D583" i="7"/>
  <c r="C284" i="7"/>
  <c r="D166" i="7"/>
  <c r="C1111" i="7"/>
  <c r="C1202" i="7"/>
  <c r="D594" i="7"/>
  <c r="C1483" i="7"/>
  <c r="D376" i="7"/>
  <c r="D730" i="7"/>
  <c r="C1784" i="7"/>
  <c r="C1194" i="7"/>
  <c r="D1642" i="7"/>
  <c r="C168" i="7"/>
  <c r="C779" i="7"/>
  <c r="C343" i="7"/>
  <c r="C816" i="7"/>
  <c r="D944" i="7"/>
  <c r="D1874" i="7"/>
  <c r="C675" i="7"/>
  <c r="C134" i="7"/>
  <c r="D124" i="7"/>
  <c r="C1676" i="7"/>
  <c r="C311" i="7"/>
  <c r="C398" i="7"/>
  <c r="C145" i="7"/>
  <c r="D1455" i="7"/>
  <c r="D1732" i="7"/>
  <c r="C982" i="7"/>
  <c r="C324" i="7"/>
  <c r="D693" i="7"/>
  <c r="D1032" i="7"/>
  <c r="D531" i="7"/>
  <c r="D661" i="7"/>
  <c r="C217" i="7"/>
  <c r="D160" i="7"/>
  <c r="D1431" i="7"/>
  <c r="C74" i="7"/>
  <c r="D466" i="7"/>
  <c r="C1444" i="7"/>
  <c r="C1120" i="7"/>
  <c r="D780" i="7"/>
  <c r="C1379" i="7"/>
  <c r="C368" i="7"/>
  <c r="C1369" i="7"/>
  <c r="D228" i="7"/>
  <c r="D552" i="7"/>
  <c r="C1464" i="7"/>
  <c r="C383" i="7"/>
  <c r="D769" i="7"/>
  <c r="D314" i="7"/>
  <c r="C1358" i="7"/>
  <c r="C1188" i="7"/>
  <c r="C1732" i="7"/>
  <c r="D1464" i="7"/>
  <c r="C272" i="7"/>
  <c r="C1137" i="7"/>
  <c r="C1182" i="7"/>
  <c r="C1680" i="7"/>
  <c r="D67" i="7"/>
  <c r="C754" i="7"/>
  <c r="C852" i="7"/>
  <c r="D1111" i="7"/>
  <c r="D1130" i="7"/>
  <c r="D481" i="7"/>
  <c r="D387" i="7"/>
  <c r="C1315" i="7"/>
  <c r="C139" i="7"/>
  <c r="C752" i="7"/>
  <c r="C726" i="7"/>
  <c r="C707" i="7"/>
  <c r="D756" i="7"/>
  <c r="C881" i="7"/>
  <c r="D1333" i="7"/>
  <c r="D144" i="7"/>
  <c r="C338" i="7"/>
  <c r="C1417" i="7"/>
  <c r="C1104" i="7"/>
  <c r="D1423" i="7"/>
  <c r="D116" i="7"/>
  <c r="C1468" i="7"/>
  <c r="D577" i="7"/>
  <c r="C856" i="7"/>
  <c r="D143" i="7"/>
  <c r="C1771" i="7"/>
  <c r="C1752" i="7"/>
  <c r="D211" i="7"/>
  <c r="C1258" i="7"/>
  <c r="C1288" i="7"/>
  <c r="D1116" i="7"/>
  <c r="C525" i="7"/>
  <c r="C956" i="7"/>
  <c r="D931" i="7"/>
  <c r="D1093" i="7"/>
  <c r="C598" i="7"/>
  <c r="C897" i="7"/>
  <c r="C1422" i="7"/>
  <c r="D936" i="7"/>
  <c r="C519" i="7"/>
  <c r="D550" i="7"/>
  <c r="D668" i="7"/>
  <c r="D213" i="7"/>
  <c r="C150" i="7"/>
  <c r="D377" i="7"/>
  <c r="C1256" i="7"/>
  <c r="D1173" i="7"/>
  <c r="D1589" i="7"/>
  <c r="D538" i="7"/>
  <c r="D641" i="7"/>
  <c r="C838" i="7"/>
  <c r="D70" i="7"/>
  <c r="D1026" i="7"/>
  <c r="C151" i="7"/>
  <c r="C396" i="7"/>
  <c r="C567" i="7"/>
  <c r="D1569" i="7"/>
  <c r="C401" i="7"/>
  <c r="D261" i="7"/>
  <c r="C657" i="7"/>
  <c r="D1559" i="7"/>
  <c r="C441" i="7"/>
  <c r="D859" i="7"/>
  <c r="C1572" i="7"/>
  <c r="C1000" i="7"/>
  <c r="C661" i="7"/>
  <c r="D935" i="7"/>
  <c r="C195" i="7"/>
  <c r="C857" i="7"/>
  <c r="C461" i="7"/>
  <c r="D899" i="7"/>
  <c r="C1592" i="7"/>
  <c r="C562" i="7"/>
  <c r="C1083" i="7"/>
  <c r="C82" i="7"/>
  <c r="C1614" i="7"/>
  <c r="C1105" i="7"/>
  <c r="C1414" i="7"/>
  <c r="D1053" i="7"/>
  <c r="C769" i="7"/>
  <c r="D962" i="7"/>
  <c r="D572" i="7"/>
  <c r="C212" i="7"/>
  <c r="C186" i="7"/>
  <c r="D237" i="7"/>
  <c r="D811" i="7"/>
  <c r="D1100" i="7"/>
  <c r="C767" i="7"/>
  <c r="D306" i="7"/>
  <c r="C1512" i="7"/>
  <c r="D1750" i="7"/>
  <c r="D937" i="7"/>
  <c r="C106" i="7"/>
  <c r="C721" i="7"/>
  <c r="C1604" i="7"/>
  <c r="C67" i="7"/>
  <c r="C1624" i="7"/>
  <c r="C1678" i="7"/>
  <c r="D1265" i="7"/>
  <c r="C1544" i="7"/>
  <c r="D1394" i="7"/>
  <c r="C758" i="7"/>
  <c r="C1079" i="7"/>
  <c r="D1314" i="7"/>
  <c r="D244" i="7"/>
  <c r="D819" i="7"/>
  <c r="C403" i="7"/>
  <c r="D1624" i="7"/>
  <c r="D289" i="7"/>
  <c r="C471" i="7"/>
  <c r="D1330" i="7"/>
  <c r="D1157" i="7"/>
  <c r="D1127" i="7"/>
  <c r="D432" i="7"/>
  <c r="C1013" i="7"/>
  <c r="D724" i="7"/>
  <c r="D739" i="7"/>
  <c r="D451" i="7"/>
  <c r="C511" i="7"/>
  <c r="C304" i="7"/>
  <c r="D419" i="7"/>
  <c r="D758" i="7"/>
  <c r="C235" i="7"/>
  <c r="D200" i="7"/>
  <c r="C680" i="7"/>
  <c r="C1308" i="7"/>
  <c r="C214" i="7"/>
  <c r="D770" i="7"/>
  <c r="D1175" i="7"/>
  <c r="C1352" i="7"/>
  <c r="D204" i="7"/>
  <c r="C599" i="7"/>
  <c r="D987" i="7"/>
  <c r="D412" i="7"/>
  <c r="D813" i="7"/>
  <c r="C167" i="7"/>
  <c r="D1381" i="7"/>
  <c r="D1042" i="7"/>
  <c r="D1861" i="7"/>
  <c r="C1810" i="7"/>
  <c r="D1745" i="7"/>
  <c r="D452" i="7"/>
  <c r="D893" i="7"/>
  <c r="D125" i="7"/>
  <c r="D558" i="7"/>
  <c r="D1101" i="7"/>
  <c r="D208" i="7"/>
  <c r="C80" i="7"/>
  <c r="D1449" i="7"/>
  <c r="D929" i="7"/>
  <c r="C1659" i="7"/>
  <c r="C1705" i="7"/>
  <c r="D408" i="7"/>
  <c r="C836" i="7"/>
  <c r="D476" i="7"/>
  <c r="D528" i="7"/>
  <c r="C962" i="7"/>
  <c r="D457" i="7"/>
  <c r="D1802" i="7"/>
  <c r="C1033" i="7"/>
  <c r="C1754" i="7"/>
  <c r="D333" i="7"/>
  <c r="C1149" i="7"/>
  <c r="D734" i="7"/>
  <c r="C1739" i="7"/>
  <c r="C1292" i="7"/>
  <c r="C944" i="7"/>
  <c r="C1912" i="7"/>
  <c r="D565" i="7"/>
  <c r="D828" i="7"/>
  <c r="C504" i="7"/>
  <c r="C1066" i="7"/>
  <c r="D110" i="7"/>
  <c r="D853" i="7"/>
  <c r="D1211" i="7"/>
  <c r="C478" i="7"/>
  <c r="C1062" i="7"/>
  <c r="C663" i="7"/>
  <c r="C1257" i="7"/>
  <c r="D999" i="7"/>
  <c r="C968" i="7"/>
  <c r="D1551" i="7"/>
  <c r="D253" i="7"/>
  <c r="D280" i="7"/>
  <c r="D649" i="7"/>
  <c r="C1170" i="7"/>
  <c r="C141" i="7"/>
  <c r="D830" i="7"/>
  <c r="D1355" i="7"/>
  <c r="D454" i="7"/>
  <c r="D212" i="7"/>
  <c r="D995" i="7"/>
  <c r="C1547" i="7"/>
  <c r="C161" i="7"/>
  <c r="D344" i="7"/>
  <c r="C942" i="7"/>
  <c r="D106" i="7"/>
  <c r="C391" i="7"/>
  <c r="C1348" i="7"/>
  <c r="C1368" i="7"/>
  <c r="C165" i="7"/>
  <c r="D126" i="7"/>
  <c r="C810" i="7"/>
  <c r="C1108" i="7"/>
  <c r="D901" i="7"/>
  <c r="D1289" i="7"/>
  <c r="D1846" i="7"/>
  <c r="D862" i="7"/>
  <c r="C1420" i="7"/>
  <c r="C96" i="7"/>
  <c r="D1825" i="7"/>
  <c r="D453" i="7"/>
  <c r="D516" i="7"/>
  <c r="D291" i="7"/>
  <c r="C1305" i="7"/>
  <c r="D1154" i="7"/>
  <c r="D340" i="7"/>
  <c r="C889" i="7"/>
  <c r="D599" i="7"/>
  <c r="D1241" i="7"/>
  <c r="D430" i="7"/>
  <c r="C583" i="7"/>
  <c r="D667" i="7"/>
  <c r="C1737" i="7"/>
  <c r="C231" i="7"/>
  <c r="C1171" i="7"/>
  <c r="C719" i="7"/>
  <c r="C1769" i="7"/>
  <c r="D1331" i="7"/>
  <c r="D587" i="7"/>
  <c r="D1885" i="7"/>
  <c r="C1395" i="7"/>
  <c r="D1070" i="7"/>
  <c r="C432" i="7"/>
  <c r="D407" i="7"/>
  <c r="D1685" i="7"/>
  <c r="C617" i="7"/>
  <c r="D600" i="7"/>
  <c r="C1345" i="7"/>
  <c r="D844" i="7"/>
  <c r="C1683" i="7"/>
  <c r="D834" i="7"/>
  <c r="D1869" i="7"/>
  <c r="D955" i="7"/>
  <c r="D181" i="7"/>
  <c r="C516" i="7"/>
  <c r="D1561" i="7"/>
  <c r="D201" i="7"/>
  <c r="C386" i="7"/>
  <c r="C923" i="7"/>
  <c r="D236" i="7"/>
  <c r="D776" i="7"/>
  <c r="D1515" i="7"/>
  <c r="C904" i="7"/>
  <c r="C1097" i="7"/>
  <c r="C724" i="7"/>
  <c r="C473" i="7"/>
  <c r="C162" i="7"/>
  <c r="C1518" i="7"/>
  <c r="C740" i="7"/>
  <c r="D635" i="7"/>
  <c r="C976" i="7"/>
  <c r="D986" i="7"/>
  <c r="D153" i="7"/>
  <c r="D1329" i="7"/>
  <c r="C117" i="7"/>
  <c r="D729" i="7"/>
  <c r="C1019" i="7"/>
  <c r="C81" i="7"/>
  <c r="C148" i="7"/>
  <c r="D1483" i="7"/>
  <c r="C1841" i="7"/>
  <c r="C188" i="7"/>
  <c r="D1503" i="7"/>
  <c r="D564" i="7"/>
  <c r="D75" i="7"/>
  <c r="D196" i="7"/>
  <c r="C72" i="7"/>
  <c r="D1513" i="7"/>
  <c r="C654" i="7"/>
  <c r="C234" i="7"/>
  <c r="D90" i="7"/>
  <c r="D112" i="7"/>
  <c r="D1643" i="7"/>
  <c r="C366" i="7"/>
  <c r="D1359" i="7"/>
  <c r="D186" i="7"/>
  <c r="D537" i="7"/>
  <c r="C983" i="7"/>
  <c r="D1441" i="7"/>
  <c r="D247" i="7"/>
  <c r="D1197" i="7"/>
  <c r="D173" i="7"/>
  <c r="D513" i="7"/>
  <c r="C616" i="7"/>
  <c r="D381" i="7"/>
  <c r="D755" i="7"/>
  <c r="C1520" i="7"/>
  <c r="C490" i="7"/>
  <c r="C948" i="7"/>
  <c r="D252" i="7"/>
  <c r="C1470" i="7"/>
  <c r="D793" i="7"/>
  <c r="D1160" i="7"/>
  <c r="D1752" i="7"/>
  <c r="D871" i="7"/>
  <c r="C510" i="7"/>
  <c r="C988" i="7"/>
  <c r="D257" i="7"/>
  <c r="C649" i="7"/>
  <c r="D1555" i="7"/>
  <c r="C589" i="7"/>
  <c r="C407" i="7"/>
  <c r="D1640" i="7"/>
  <c r="C770" i="7"/>
  <c r="D1227" i="7"/>
  <c r="D1384" i="7"/>
  <c r="D979" i="7"/>
  <c r="C228" i="7"/>
  <c r="C121" i="7"/>
  <c r="D996" i="7"/>
  <c r="C1571" i="7"/>
  <c r="D1016" i="7"/>
  <c r="C274" i="7"/>
  <c r="C1807" i="7"/>
  <c r="D1379" i="7"/>
  <c r="D1002" i="7"/>
  <c r="C270" i="7"/>
  <c r="D1521" i="7"/>
  <c r="C1424" i="7"/>
  <c r="C1278" i="7"/>
  <c r="C1100" i="7"/>
  <c r="D435" i="7"/>
  <c r="C1889" i="7"/>
  <c r="D1798" i="7"/>
  <c r="D738" i="7"/>
  <c r="C1274" i="7"/>
  <c r="C699" i="7"/>
  <c r="C468" i="7"/>
  <c r="C985" i="7"/>
  <c r="C1691" i="7"/>
  <c r="C173" i="7"/>
  <c r="C328" i="7"/>
  <c r="C193" i="7"/>
  <c r="D1068" i="7"/>
  <c r="C1427" i="7"/>
  <c r="C1007" i="7"/>
  <c r="D673" i="7"/>
  <c r="D1805" i="7"/>
  <c r="C970" i="7"/>
  <c r="C318" i="7"/>
  <c r="C154" i="7"/>
  <c r="D276" i="7"/>
  <c r="D518" i="7"/>
  <c r="D1841" i="7"/>
  <c r="D1889" i="7"/>
  <c r="C337" i="7"/>
  <c r="D586" i="7"/>
  <c r="C875" i="7"/>
  <c r="C413" i="7"/>
  <c r="D63" i="7"/>
  <c r="C1119" i="7"/>
  <c r="D1283" i="7"/>
  <c r="C331" i="7"/>
  <c r="D507" i="7"/>
  <c r="D1731" i="7"/>
  <c r="C263" i="7"/>
  <c r="C686" i="7"/>
  <c r="D1481" i="7"/>
  <c r="D1519" i="7"/>
  <c r="C390" i="7"/>
  <c r="D912" i="7"/>
  <c r="C1264" i="7"/>
  <c r="D573" i="7"/>
  <c r="C1094" i="7"/>
  <c r="D114" i="7"/>
  <c r="D1637" i="7"/>
  <c r="C959" i="7"/>
  <c r="C1713" i="7"/>
  <c r="C1880" i="7"/>
  <c r="D1225" i="7"/>
  <c r="D593" i="7"/>
  <c r="C1114" i="7"/>
  <c r="C85" i="7"/>
  <c r="D774" i="7"/>
  <c r="D1299" i="7"/>
  <c r="C660" i="7"/>
  <c r="C237" i="7"/>
  <c r="D1705" i="7"/>
  <c r="C1116" i="7"/>
  <c r="C1403" i="7"/>
  <c r="D1163" i="7"/>
  <c r="D230" i="7"/>
  <c r="D590" i="7"/>
  <c r="C650" i="7"/>
  <c r="C893" i="7"/>
  <c r="C670" i="7"/>
  <c r="D1715" i="7"/>
  <c r="C549" i="7"/>
  <c r="D562" i="7"/>
  <c r="C266" i="7"/>
  <c r="D198" i="7"/>
  <c r="D680" i="7"/>
  <c r="C317" i="7"/>
  <c r="C507" i="7"/>
  <c r="D926" i="7"/>
  <c r="D1913" i="7"/>
  <c r="C333" i="7"/>
  <c r="D994" i="7"/>
  <c r="D417" i="7"/>
  <c r="C917" i="7"/>
  <c r="C78" i="7"/>
  <c r="C1436" i="7"/>
  <c r="D898" i="7"/>
  <c r="D1663" i="7"/>
  <c r="D145" i="7"/>
  <c r="D1719" i="7"/>
  <c r="D1137" i="7"/>
  <c r="C1402" i="7"/>
  <c r="C722" i="7"/>
  <c r="D1257" i="7"/>
  <c r="C1665" i="7"/>
  <c r="C848" i="7"/>
  <c r="D775" i="7"/>
  <c r="D1539" i="7"/>
  <c r="C494" i="7"/>
  <c r="C861" i="7"/>
  <c r="D365" i="7"/>
  <c r="D1463" i="7"/>
  <c r="D105" i="7"/>
  <c r="C640" i="7"/>
  <c r="C592" i="7"/>
  <c r="C813" i="7"/>
  <c r="C1448" i="7"/>
  <c r="C580" i="7"/>
  <c r="C987" i="7"/>
  <c r="C115" i="7"/>
  <c r="C1649" i="7"/>
  <c r="D783" i="7"/>
  <c r="D1450" i="7"/>
  <c r="C1372" i="7"/>
  <c r="C711" i="7"/>
  <c r="D556" i="7"/>
  <c r="D334" i="7"/>
  <c r="D1475" i="7"/>
  <c r="C132" i="7"/>
  <c r="C367" i="7"/>
  <c r="D805" i="7"/>
  <c r="D348" i="7"/>
  <c r="D1040" i="7"/>
  <c r="C1392" i="7"/>
  <c r="D701" i="7"/>
  <c r="C1222" i="7"/>
  <c r="C340" i="7"/>
  <c r="D1186" i="7"/>
  <c r="C1014" i="7"/>
  <c r="C1457" i="7"/>
  <c r="D1668" i="7"/>
  <c r="C1228" i="7"/>
  <c r="D721" i="7"/>
  <c r="C1242" i="7"/>
  <c r="C213" i="7"/>
  <c r="D902" i="7"/>
  <c r="D1427" i="7"/>
  <c r="D744" i="7"/>
  <c r="C110" i="7"/>
  <c r="C1282" i="7"/>
  <c r="D560" i="7"/>
  <c r="D1031" i="7"/>
  <c r="C1371" i="7"/>
  <c r="C1646" i="7"/>
  <c r="C578" i="7"/>
  <c r="C569" i="7"/>
  <c r="C1777" i="7"/>
  <c r="C609" i="7"/>
  <c r="C1548" i="7"/>
  <c r="C192" i="7"/>
  <c r="D127" i="7"/>
  <c r="D449" i="7"/>
  <c r="D1049" i="7"/>
  <c r="C142" i="7"/>
  <c r="D1591" i="7"/>
  <c r="C1101" i="7"/>
  <c r="C1726" i="7"/>
  <c r="C594" i="7"/>
  <c r="C1169" i="7"/>
  <c r="D1055" i="7"/>
  <c r="D399" i="7"/>
  <c r="D922" i="7"/>
  <c r="D1603" i="7"/>
  <c r="C558" i="7"/>
  <c r="D355" i="7"/>
  <c r="D743" i="7"/>
  <c r="C1552" i="7"/>
  <c r="C1534" i="7"/>
  <c r="D496" i="7"/>
  <c r="C713" i="7"/>
  <c r="D1512" i="7"/>
  <c r="D1336" i="7"/>
  <c r="D614" i="7"/>
  <c r="C1458" i="7"/>
  <c r="C1195" i="7"/>
  <c r="C404" i="7"/>
  <c r="D512" i="7"/>
  <c r="D121" i="7"/>
  <c r="D85" i="7"/>
  <c r="D625" i="7"/>
  <c r="D1542" i="7"/>
  <c r="D1080" i="7"/>
  <c r="C1098" i="7"/>
  <c r="C1177" i="7"/>
  <c r="C1626" i="7"/>
  <c r="C1702" i="7"/>
  <c r="C1131" i="7"/>
  <c r="C1640" i="7"/>
  <c r="D256" i="7"/>
  <c r="C144" i="7"/>
  <c r="D288" i="7"/>
  <c r="C957" i="7"/>
  <c r="C1648" i="7"/>
  <c r="C618" i="7"/>
  <c r="C1139" i="7"/>
  <c r="C426" i="7"/>
  <c r="C1714" i="7"/>
  <c r="C1217" i="7"/>
  <c r="C1606" i="7"/>
  <c r="D1296" i="7"/>
  <c r="C882" i="7"/>
  <c r="C638" i="7"/>
  <c r="C1159" i="7"/>
  <c r="D206" i="7"/>
  <c r="C820" i="7"/>
  <c r="D1683" i="7"/>
  <c r="D447" i="7"/>
  <c r="C276" i="7"/>
  <c r="D1239" i="7"/>
  <c r="D438" i="7"/>
  <c r="D1873" i="7"/>
  <c r="C1871" i="7"/>
  <c r="D777" i="7"/>
  <c r="C86" i="7"/>
  <c r="C278" i="7"/>
  <c r="C922" i="7"/>
  <c r="D1829" i="7"/>
  <c r="D157" i="7"/>
  <c r="C208" i="7"/>
  <c r="C1710" i="7"/>
  <c r="D1711" i="7"/>
  <c r="C543" i="7"/>
  <c r="D458" i="7"/>
  <c r="D1259" i="7"/>
  <c r="C65" i="7"/>
  <c r="C648" i="7"/>
  <c r="C514" i="7"/>
  <c r="C943" i="7"/>
  <c r="D904" i="7"/>
  <c r="C590" i="7"/>
  <c r="D161" i="7"/>
  <c r="D1790" i="7"/>
  <c r="C911" i="7"/>
  <c r="D803" i="7"/>
  <c r="D1020" i="7"/>
  <c r="D822" i="7"/>
  <c r="D1320" i="7"/>
  <c r="C92" i="7"/>
  <c r="D429" i="7"/>
  <c r="D1679" i="7"/>
  <c r="D290" i="7"/>
  <c r="D1786" i="7"/>
  <c r="D1545" i="7"/>
  <c r="C500" i="7"/>
  <c r="D654" i="7"/>
  <c r="C994" i="7"/>
  <c r="D1818" i="7"/>
  <c r="D779" i="7"/>
  <c r="D129" i="7"/>
  <c r="D566" i="7"/>
  <c r="D1109" i="7"/>
  <c r="C314" i="7"/>
  <c r="C771" i="7"/>
  <c r="D1134" i="7"/>
  <c r="D576" i="7"/>
  <c r="D401" i="7"/>
  <c r="D1822" i="7"/>
  <c r="C544" i="7"/>
  <c r="D1817" i="7"/>
  <c r="C334" i="7"/>
  <c r="C811" i="7"/>
  <c r="D1174" i="7"/>
  <c r="D517" i="7"/>
  <c r="C1002" i="7"/>
  <c r="D227" i="7"/>
  <c r="D1525" i="7"/>
  <c r="D791" i="7"/>
  <c r="C1569" i="7"/>
  <c r="D1422" i="7"/>
  <c r="D415" i="7"/>
  <c r="C1715" i="7"/>
  <c r="D1699" i="7"/>
  <c r="D1335" i="7"/>
  <c r="D588" i="7"/>
  <c r="C1561" i="7"/>
  <c r="D677" i="7"/>
  <c r="C918" i="7"/>
  <c r="D825" i="7"/>
  <c r="C577" i="7"/>
  <c r="D1347" i="7"/>
  <c r="C155" i="7"/>
  <c r="C479" i="7"/>
  <c r="C319" i="7"/>
  <c r="D380" i="7"/>
  <c r="D484" i="7"/>
  <c r="C1393" i="7"/>
  <c r="D644" i="7"/>
  <c r="D808" i="7"/>
  <c r="C1339" i="7"/>
  <c r="C819" i="7"/>
  <c r="C1164" i="7"/>
  <c r="C75" i="7"/>
  <c r="C761" i="7"/>
  <c r="D1369" i="7"/>
  <c r="C1331" i="7"/>
  <c r="D1615" i="7"/>
  <c r="D681" i="7"/>
  <c r="D1387" i="7"/>
  <c r="D660" i="7"/>
  <c r="D1407" i="7"/>
  <c r="C1070" i="7"/>
  <c r="D219" i="7"/>
  <c r="D597" i="7"/>
  <c r="C1446" i="7"/>
  <c r="D1493" i="7"/>
  <c r="D1142" i="7"/>
  <c r="D1192" i="7"/>
  <c r="C133" i="7"/>
  <c r="C108" i="7"/>
  <c r="C1023" i="7"/>
  <c r="D378" i="7"/>
  <c r="D446" i="7"/>
  <c r="C1628" i="7"/>
  <c r="C382" i="7"/>
  <c r="D1198" i="7"/>
  <c r="D1757" i="7"/>
  <c r="D328" i="7"/>
  <c r="D471" i="7"/>
  <c r="D997" i="7"/>
  <c r="D1021" i="7"/>
  <c r="C791" i="7"/>
  <c r="C868" i="7"/>
  <c r="C1207" i="7"/>
  <c r="D1228" i="7"/>
  <c r="D1443" i="7"/>
  <c r="C566" i="7"/>
  <c r="C1087" i="7"/>
  <c r="D62" i="7"/>
  <c r="C748" i="7"/>
  <c r="D1611" i="7"/>
  <c r="C774" i="7"/>
  <c r="D296" i="7"/>
  <c r="D1416" i="7"/>
  <c r="C879" i="7"/>
  <c r="D1378" i="7"/>
  <c r="D102" i="7"/>
  <c r="C768" i="7"/>
  <c r="D1631" i="7"/>
  <c r="D272" i="7"/>
  <c r="C953" i="7"/>
  <c r="C1644" i="7"/>
  <c r="C1181" i="7"/>
  <c r="C842" i="7"/>
  <c r="D1917" i="7"/>
  <c r="D1468" i="7"/>
  <c r="D611" i="7"/>
  <c r="C1537" i="7"/>
  <c r="C87" i="7"/>
  <c r="C989" i="7"/>
  <c r="C244" i="7"/>
  <c r="D1223" i="7"/>
  <c r="C247" i="7"/>
  <c r="D472" i="7"/>
  <c r="C1499" i="7"/>
  <c r="C1175" i="7"/>
  <c r="C1454" i="7"/>
  <c r="D969" i="7"/>
  <c r="C1249" i="7"/>
  <c r="D254" i="7"/>
  <c r="C339" i="7"/>
  <c r="D1918" i="7"/>
  <c r="C503" i="7"/>
  <c r="C119" i="7"/>
  <c r="C1858" i="7"/>
  <c r="D1182" i="7"/>
  <c r="D351" i="7"/>
  <c r="D764" i="7"/>
  <c r="D392" i="7"/>
  <c r="C233" i="7"/>
  <c r="C1595" i="7"/>
  <c r="C937" i="7"/>
  <c r="C251" i="7"/>
  <c r="C1041" i="7"/>
  <c r="D1029" i="7"/>
  <c r="C1061" i="7"/>
  <c r="D551" i="7"/>
  <c r="C651" i="7"/>
  <c r="C1118" i="7"/>
  <c r="C581" i="7"/>
  <c r="D353" i="7"/>
  <c r="D241" i="7"/>
  <c r="D1412" i="7"/>
  <c r="C482" i="7"/>
  <c r="C1184" i="7"/>
  <c r="D897" i="7"/>
  <c r="D647" i="7"/>
  <c r="C1326" i="7"/>
  <c r="D1738" i="7"/>
  <c r="D806" i="7"/>
  <c r="D553" i="7"/>
  <c r="D754" i="7"/>
  <c r="D1656" i="7"/>
  <c r="D82" i="7"/>
  <c r="D907" i="7"/>
  <c r="D1238" i="7"/>
  <c r="C325" i="7"/>
  <c r="D148" i="7"/>
  <c r="C166" i="7"/>
  <c r="D139" i="7"/>
  <c r="C1857" i="7"/>
  <c r="D840" i="7"/>
  <c r="C489" i="7"/>
  <c r="D753" i="7"/>
  <c r="C1289" i="7"/>
  <c r="C1099" i="7"/>
  <c r="C694" i="7"/>
  <c r="C1215" i="7"/>
  <c r="C271" i="7"/>
  <c r="C876" i="7"/>
  <c r="D1739" i="7"/>
  <c r="C823" i="7"/>
  <c r="D523" i="7"/>
  <c r="D957" i="7"/>
  <c r="D884" i="7"/>
  <c r="D933" i="7"/>
  <c r="C291" i="7"/>
  <c r="C896" i="7"/>
  <c r="C515" i="7"/>
  <c r="C472" i="7"/>
  <c r="D410" i="7"/>
  <c r="D223" i="7"/>
  <c r="D1269" i="7"/>
  <c r="D930" i="7"/>
  <c r="D1789" i="7"/>
  <c r="D1578" i="7"/>
  <c r="D490" i="7"/>
  <c r="D1164" i="7"/>
  <c r="C1276" i="7"/>
  <c r="C908" i="7"/>
  <c r="C363" i="7"/>
  <c r="D1212" i="7"/>
  <c r="C417" i="7"/>
  <c r="C565" i="7"/>
  <c r="C1803" i="7"/>
  <c r="C930" i="7"/>
  <c r="C385" i="7"/>
  <c r="D663" i="7"/>
  <c r="C1801" i="7"/>
  <c r="D676" i="7"/>
  <c r="D293" i="7"/>
  <c r="C913" i="7"/>
  <c r="D1402" i="7"/>
  <c r="C933" i="7"/>
  <c r="D359" i="7"/>
  <c r="D1344" i="7"/>
  <c r="C996" i="7"/>
  <c r="D804" i="7"/>
  <c r="D232" i="7"/>
  <c r="D305" i="7"/>
  <c r="D1701" i="7"/>
  <c r="C1385" i="7"/>
  <c r="C194" i="7"/>
  <c r="C421" i="7"/>
  <c r="C1012" i="7"/>
  <c r="D991" i="7"/>
  <c r="C1052" i="7"/>
  <c r="C717" i="7"/>
  <c r="C563" i="7"/>
  <c r="C772" i="7"/>
  <c r="D889" i="7"/>
  <c r="D115" i="7"/>
  <c r="C1704" i="7"/>
  <c r="C576" i="7"/>
  <c r="C302" i="7"/>
  <c r="C414" i="7"/>
  <c r="D1086" i="7"/>
  <c r="D568" i="7"/>
  <c r="C628" i="7"/>
  <c r="C299" i="7"/>
  <c r="D1312" i="7"/>
  <c r="C1201" i="7"/>
  <c r="C410" i="7"/>
  <c r="C610" i="7"/>
  <c r="C949" i="7"/>
  <c r="C1894" i="7"/>
  <c r="C347" i="7"/>
  <c r="C89" i="7"/>
  <c r="D778" i="7"/>
  <c r="D1303" i="7"/>
  <c r="D234" i="7"/>
  <c r="D964" i="7"/>
  <c r="C1316" i="7"/>
  <c r="C1035" i="7"/>
  <c r="C696" i="7"/>
  <c r="C1635" i="7"/>
  <c r="C454" i="7"/>
  <c r="C1625" i="7"/>
  <c r="D274" i="7"/>
  <c r="D984" i="7"/>
  <c r="C1336" i="7"/>
  <c r="D645" i="7"/>
  <c r="C1166" i="7"/>
  <c r="D68" i="7"/>
  <c r="C801" i="7"/>
  <c r="D620" i="7"/>
  <c r="C1313" i="7"/>
  <c r="C1865" i="7"/>
  <c r="C361" i="7"/>
  <c r="C1890" i="7"/>
  <c r="D1133" i="7"/>
  <c r="D1094" i="7"/>
  <c r="D1445" i="7"/>
  <c r="D497" i="7"/>
  <c r="D1165" i="7"/>
  <c r="D1505" i="7"/>
  <c r="D1105" i="7"/>
  <c r="D209" i="7"/>
  <c r="C780" i="7"/>
  <c r="C1897" i="7"/>
  <c r="C1074" i="7"/>
  <c r="D1625" i="7"/>
  <c r="D940" i="7"/>
  <c r="C1673" i="7"/>
  <c r="C1338" i="7"/>
  <c r="C1086" i="7"/>
  <c r="C800" i="7"/>
  <c r="C835" i="7"/>
  <c r="D549" i="7"/>
  <c r="C639" i="7"/>
  <c r="C399" i="7"/>
  <c r="C1563" i="7"/>
  <c r="D1258" i="7"/>
  <c r="C69" i="7"/>
  <c r="D843" i="7"/>
  <c r="C1056" i="7"/>
  <c r="D850" i="7"/>
  <c r="D1375" i="7"/>
  <c r="D1036" i="7"/>
  <c r="C1388" i="7"/>
  <c r="D602" i="7"/>
  <c r="C1491" i="7"/>
  <c r="D138" i="7"/>
  <c r="C1030" i="7"/>
  <c r="C1608" i="7"/>
  <c r="D810" i="7"/>
  <c r="C178" i="7"/>
  <c r="D1090" i="7"/>
  <c r="D906" i="7"/>
  <c r="D1830" i="7"/>
  <c r="C301" i="7"/>
  <c r="D733" i="7"/>
  <c r="C296" i="7"/>
  <c r="D1459" i="7"/>
  <c r="D751" i="7"/>
  <c r="D217" i="7"/>
  <c r="D120" i="7"/>
  <c r="D605" i="7"/>
  <c r="D974" i="7"/>
  <c r="D1162" i="7"/>
  <c r="D882" i="7"/>
  <c r="D278" i="7"/>
  <c r="D210" i="7"/>
  <c r="D720" i="7"/>
  <c r="D501" i="7"/>
  <c r="C1001" i="7"/>
  <c r="C1476" i="7"/>
  <c r="D1353" i="7"/>
  <c r="C1156" i="7"/>
  <c r="D630" i="7"/>
  <c r="C1523" i="7"/>
  <c r="D1681" i="7"/>
  <c r="C1473" i="7"/>
  <c r="C1214" i="7"/>
  <c r="C1384" i="7"/>
  <c r="D1301" i="7"/>
  <c r="C476" i="7"/>
  <c r="D474" i="7"/>
  <c r="C300" i="7"/>
  <c r="C781" i="7"/>
  <c r="C91" i="7"/>
  <c r="D1305" i="7"/>
  <c r="D1906" i="7"/>
  <c r="D73" i="7"/>
  <c r="D921" i="7"/>
  <c r="D188" i="7"/>
  <c r="D971" i="7"/>
  <c r="D1006" i="7"/>
  <c r="D1878" i="7"/>
  <c r="D595" i="7"/>
  <c r="D271" i="7"/>
  <c r="C955" i="7"/>
  <c r="D363" i="7"/>
  <c r="C1522" i="7"/>
  <c r="C1191" i="7"/>
  <c r="D1099" i="7"/>
  <c r="D854" i="7"/>
  <c r="D732" i="7"/>
  <c r="D1129" i="7"/>
  <c r="C303" i="7"/>
  <c r="D108" i="7"/>
  <c r="D700" i="7"/>
  <c r="C488" i="7"/>
  <c r="C477" i="7"/>
  <c r="D402" i="7"/>
  <c r="C209" i="7"/>
  <c r="D1673" i="7"/>
  <c r="C799" i="7"/>
  <c r="C452" i="7"/>
  <c r="C1330" i="7"/>
  <c r="C243" i="7"/>
  <c r="D1704" i="7"/>
  <c r="D1000" i="7"/>
  <c r="D1118" i="7"/>
  <c r="C1496" i="7"/>
  <c r="D1882" i="7"/>
  <c r="D57" i="7"/>
  <c r="D1281" i="7"/>
  <c r="C1729" i="7"/>
  <c r="C1161" i="7"/>
  <c r="D1785" i="7"/>
  <c r="D1635" i="7"/>
  <c r="C1168" i="7"/>
  <c r="D1365" i="7"/>
  <c r="D781" i="7"/>
  <c r="D172" i="7"/>
  <c r="C591" i="7"/>
  <c r="D521" i="7"/>
  <c r="C1010" i="7"/>
  <c r="D670" i="7"/>
  <c r="D1213" i="7"/>
  <c r="D263" i="7"/>
  <c r="D1409" i="7"/>
  <c r="D1778" i="7"/>
  <c r="D710" i="7"/>
  <c r="D1247" i="7"/>
  <c r="D908" i="7"/>
  <c r="C1260" i="7"/>
  <c r="C584" i="7"/>
  <c r="C1747" i="7"/>
  <c r="D91" i="7"/>
  <c r="C677" i="7"/>
  <c r="D141" i="7"/>
  <c r="D461" i="7"/>
  <c r="C935" i="7"/>
  <c r="D1535" i="7"/>
  <c r="C309" i="7"/>
  <c r="C424" i="7"/>
  <c r="C1296" i="7"/>
  <c r="D1894" i="7"/>
  <c r="C762" i="7"/>
  <c r="C1115" i="7"/>
  <c r="C1670" i="7"/>
  <c r="C307" i="7"/>
  <c r="D1448" i="7"/>
  <c r="D731" i="7"/>
  <c r="C522" i="7"/>
  <c r="C542" i="7"/>
  <c r="D1587" i="7"/>
  <c r="C822" i="7"/>
  <c r="D1081" i="7"/>
  <c r="C674" i="7"/>
  <c r="C932" i="7"/>
  <c r="C1126" i="7"/>
  <c r="D1027" i="7"/>
  <c r="D1354" i="7"/>
  <c r="C1641" i="7"/>
  <c r="C1651" i="7"/>
  <c r="D956" i="7"/>
  <c r="D1295" i="7"/>
  <c r="C1532" i="7"/>
  <c r="D397" i="7"/>
  <c r="D785" i="7"/>
  <c r="C505" i="7"/>
  <c r="D856" i="7"/>
  <c r="D350" i="7"/>
  <c r="C1063" i="7"/>
  <c r="C1291" i="7"/>
  <c r="C545" i="7"/>
  <c r="D373" i="7"/>
  <c r="D747" i="7"/>
  <c r="C1516" i="7"/>
  <c r="C395" i="7"/>
  <c r="D1322" i="7"/>
  <c r="D300" i="7"/>
  <c r="C1706" i="7"/>
  <c r="C753" i="7"/>
  <c r="C727" i="7"/>
  <c r="D1617" i="7"/>
  <c r="D622" i="7"/>
  <c r="D1083" i="7"/>
  <c r="C755" i="7"/>
  <c r="C349" i="7"/>
  <c r="D1279" i="7"/>
  <c r="D456" i="7"/>
  <c r="D1621" i="7"/>
  <c r="D488" i="7"/>
  <c r="C346" i="7"/>
  <c r="D740" i="7"/>
  <c r="C1513" i="7"/>
  <c r="C1146" i="7"/>
  <c r="C246" i="7"/>
  <c r="D135" i="7"/>
  <c r="D831" i="7"/>
  <c r="C1856" i="7"/>
  <c r="D1376" i="7"/>
  <c r="D1820" i="7"/>
  <c r="C273" i="7"/>
  <c r="C963" i="7"/>
  <c r="C1125" i="7"/>
  <c r="D1780" i="7"/>
  <c r="D1888" i="7"/>
  <c r="D1742" i="7"/>
  <c r="D1646" i="7"/>
  <c r="C509" i="7"/>
  <c r="C1366" i="7"/>
  <c r="D1188" i="7"/>
  <c r="D1892" i="7"/>
  <c r="C1768" i="7"/>
  <c r="C1511" i="7"/>
  <c r="D1420" i="7"/>
  <c r="C1795" i="7"/>
  <c r="D832" i="7"/>
  <c r="C1270" i="7"/>
  <c r="C1800" i="7"/>
  <c r="D977" i="7"/>
  <c r="C1293" i="7"/>
  <c r="D1388" i="7"/>
  <c r="D1276" i="7"/>
  <c r="D1613" i="7"/>
  <c r="D1803" i="7"/>
  <c r="C1016" i="7"/>
  <c r="D299" i="7"/>
  <c r="D1088" i="7"/>
  <c r="D1666" i="7"/>
  <c r="C1224" i="7"/>
  <c r="C1405" i="7"/>
  <c r="C1827" i="7"/>
  <c r="C1819" i="7"/>
  <c r="D1658" i="7"/>
  <c r="D1682" i="7"/>
  <c r="C1623" i="7"/>
  <c r="C1837" i="7"/>
  <c r="D416" i="7"/>
  <c r="C1221" i="7"/>
  <c r="C782" i="7"/>
  <c r="C1887" i="7"/>
  <c r="D687" i="7"/>
  <c r="D386" i="7"/>
  <c r="D80" i="7"/>
  <c r="D1278" i="7"/>
  <c r="C1570" i="7"/>
  <c r="D1203" i="7"/>
  <c r="D1340" i="7"/>
  <c r="C1519" i="7"/>
  <c r="C1798" i="7"/>
  <c r="D1676" i="7"/>
  <c r="C1558" i="7"/>
  <c r="D1606" i="7"/>
  <c r="C1096" i="7"/>
  <c r="C1341" i="7"/>
  <c r="D849" i="7"/>
  <c r="C537" i="7"/>
  <c r="D888" i="7"/>
  <c r="C1809" i="7"/>
  <c r="C1259" i="7"/>
  <c r="C374" i="7"/>
  <c r="C1248" i="7"/>
  <c r="C1078" i="7"/>
  <c r="D1605" i="7"/>
  <c r="C1745" i="7"/>
  <c r="C1362" i="7"/>
  <c r="D1714" i="7"/>
  <c r="D1871" i="7"/>
  <c r="D604" i="7"/>
  <c r="D414" i="7"/>
  <c r="D631" i="7"/>
  <c r="D1337" i="7"/>
  <c r="D1890" i="7"/>
  <c r="D245" i="7"/>
  <c r="D1543" i="7"/>
  <c r="D827" i="7"/>
  <c r="C936" i="7"/>
  <c r="D1063" i="7"/>
  <c r="C1273" i="7"/>
  <c r="C1647" i="7"/>
  <c r="C1343" i="7"/>
  <c r="C914" i="7"/>
  <c r="D574" i="7"/>
  <c r="C327" i="7"/>
  <c r="D1465" i="7"/>
  <c r="D1826" i="7"/>
  <c r="D309" i="7"/>
  <c r="D1607" i="7"/>
  <c r="C929" i="7"/>
  <c r="C1133" i="7"/>
  <c r="D1370" i="7"/>
  <c r="D1144" i="7"/>
  <c r="C1391" i="7"/>
  <c r="D1108" i="7"/>
  <c r="C1916" i="7"/>
  <c r="C798" i="7"/>
  <c r="C1847" i="7"/>
  <c r="C1254" i="7"/>
  <c r="D1883" i="7"/>
  <c r="D260" i="7"/>
  <c r="C1297" i="7"/>
  <c r="D1230" i="7"/>
  <c r="C1898" i="7"/>
  <c r="C1517" i="7"/>
  <c r="D1744" i="7"/>
  <c r="D1089" i="7"/>
  <c r="D913" i="7"/>
  <c r="D1325" i="7"/>
  <c r="C1850" i="7"/>
  <c r="C676" i="7"/>
  <c r="D1735" i="7"/>
  <c r="C1698" i="7"/>
  <c r="C1883" i="7"/>
  <c r="D1430" i="7"/>
  <c r="C1442" i="7"/>
  <c r="C1410" i="7"/>
  <c r="C1719" i="7"/>
  <c r="C508" i="7"/>
  <c r="D1608" i="7"/>
  <c r="C1142" i="7"/>
  <c r="D1458" i="7"/>
  <c r="D1859" i="7"/>
  <c r="D1612" i="7"/>
  <c r="C1354" i="7"/>
  <c r="D1170" i="7"/>
  <c r="C1396" i="7"/>
  <c r="D510" i="7"/>
  <c r="C1346" i="7"/>
  <c r="D1120" i="7"/>
  <c r="C1192" i="7"/>
  <c r="D1285" i="7"/>
  <c r="C310" i="7"/>
  <c r="C493" i="7"/>
  <c r="C160" i="7"/>
  <c r="C1325" i="7"/>
  <c r="C1461" i="7"/>
  <c r="D683" i="7"/>
  <c r="C979" i="7"/>
  <c r="D1564" i="7"/>
  <c r="D118" i="7"/>
  <c r="C847" i="7"/>
  <c r="D1799" i="7"/>
  <c r="C1471" i="7"/>
  <c r="D158" i="7"/>
  <c r="D1880" i="7"/>
  <c r="C698" i="7"/>
  <c r="C745" i="7"/>
  <c r="C973" i="7"/>
  <c r="C634" i="7"/>
  <c r="C458" i="7"/>
  <c r="C539" i="7"/>
  <c r="D1264" i="7"/>
  <c r="C201" i="7"/>
  <c r="D1415" i="7"/>
  <c r="C252" i="7"/>
  <c r="C1088" i="7"/>
  <c r="C1411" i="7"/>
  <c r="C1449" i="7"/>
  <c r="D1103" i="7"/>
  <c r="C1599" i="7"/>
  <c r="D928" i="7"/>
  <c r="D589" i="7"/>
  <c r="D178" i="7"/>
  <c r="C991" i="7"/>
  <c r="C1816" i="7"/>
  <c r="C83" i="7"/>
  <c r="C1199" i="7"/>
  <c r="C860" i="7"/>
  <c r="C759" i="7"/>
  <c r="D1079" i="7"/>
  <c r="D1061" i="7"/>
  <c r="C1796" i="7"/>
  <c r="D1348" i="7"/>
  <c r="D992" i="7"/>
  <c r="D653" i="7"/>
  <c r="D132" i="7"/>
  <c r="D741" i="7"/>
  <c r="C1903" i="7"/>
  <c r="D123" i="7"/>
  <c r="C749" i="7"/>
  <c r="C487" i="7"/>
  <c r="D958" i="7"/>
  <c r="D1902" i="7"/>
  <c r="D1897" i="7"/>
  <c r="C1815" i="7"/>
  <c r="D1775" i="7"/>
  <c r="D1722" i="7"/>
  <c r="D623" i="7"/>
  <c r="D1462" i="7"/>
  <c r="C1077" i="7"/>
  <c r="C1501" i="7"/>
  <c r="D584" i="7"/>
  <c r="C1849" i="7"/>
  <c r="D847" i="7"/>
  <c r="D1868" i="7"/>
  <c r="C1514" i="7"/>
  <c r="C1359" i="7"/>
  <c r="D119" i="7"/>
  <c r="D71" i="7"/>
  <c r="C1205" i="7"/>
  <c r="D1307" i="7"/>
  <c r="C872" i="7"/>
  <c r="D1660" i="7"/>
  <c r="C126" i="7"/>
  <c r="C364" i="7"/>
  <c r="D1316" i="7"/>
  <c r="D1654" i="7"/>
  <c r="D101" i="7"/>
  <c r="C1327" i="7"/>
  <c r="D265" i="7"/>
  <c r="D427" i="7"/>
  <c r="C1055" i="7"/>
  <c r="D652" i="7"/>
  <c r="C1059" i="7"/>
  <c r="D1404" i="7"/>
  <c r="D338" i="7"/>
  <c r="C332" i="7"/>
  <c r="C1475" i="7"/>
  <c r="D1858" i="7"/>
  <c r="C280" i="7"/>
  <c r="D1220" i="7"/>
  <c r="D1575" i="7"/>
  <c r="D891" i="7"/>
  <c r="C1064" i="7"/>
  <c r="C691" i="7"/>
  <c r="D1208" i="7"/>
  <c r="D633" i="7"/>
  <c r="C125" i="7"/>
  <c r="D1339" i="7"/>
  <c r="D84" i="7"/>
  <c r="C1129" i="7"/>
  <c r="D1034" i="7"/>
  <c r="C1703" i="7"/>
  <c r="D1200" i="7"/>
  <c r="D1141" i="7"/>
  <c r="C803" i="7"/>
  <c r="D704" i="7"/>
  <c r="D1806" i="7"/>
  <c r="D1801" i="7"/>
  <c r="D224" i="7"/>
  <c r="C1632" i="7"/>
  <c r="C1123" i="7"/>
  <c r="C1692" i="7"/>
  <c r="C1650" i="7"/>
  <c r="C1209" i="7"/>
  <c r="D1584" i="7"/>
  <c r="D1709" i="7"/>
  <c r="C1600" i="7"/>
  <c r="C1091" i="7"/>
  <c r="C1630" i="7"/>
  <c r="C1718" i="7"/>
  <c r="D993" i="7"/>
  <c r="D826" i="7"/>
  <c r="D320" i="7"/>
  <c r="C1364" i="7"/>
  <c r="D506" i="7"/>
  <c r="C431" i="7"/>
  <c r="D424" i="7"/>
  <c r="C1892" i="7"/>
  <c r="C701" i="7"/>
  <c r="C1430" i="7"/>
  <c r="D1650" i="7"/>
  <c r="D1863" i="7"/>
  <c r="D1436" i="7"/>
  <c r="C636" i="7"/>
  <c r="D1022" i="7"/>
  <c r="C1568" i="7"/>
  <c r="D1161" i="7"/>
  <c r="C1866" i="7"/>
  <c r="C1824" i="7"/>
  <c r="D1895" i="7"/>
  <c r="D1851" i="7"/>
  <c r="D876" i="7"/>
  <c r="C684" i="7"/>
  <c r="C1652" i="7"/>
  <c r="C1218" i="7"/>
  <c r="C1451" i="7"/>
  <c r="C111" i="7"/>
  <c r="C63" i="7"/>
  <c r="C1695" i="7"/>
  <c r="C809" i="7"/>
  <c r="D1033" i="7"/>
  <c r="C947" i="7"/>
  <c r="D243" i="7"/>
  <c r="C1135" i="7"/>
  <c r="D1282" i="7"/>
  <c r="D151" i="7"/>
  <c r="C1836" i="7"/>
  <c r="C1439" i="7"/>
  <c r="D1382" i="7"/>
  <c r="C1728" i="7"/>
  <c r="D761" i="7"/>
  <c r="D1844" i="7"/>
  <c r="D1488" i="7"/>
  <c r="C459" i="7"/>
  <c r="C1231" i="7"/>
  <c r="C892" i="7"/>
  <c r="C887" i="7"/>
  <c r="C757" i="7"/>
  <c r="C683" i="7"/>
  <c r="D349" i="7"/>
  <c r="C1504" i="7"/>
  <c r="C916" i="7"/>
  <c r="C1438" i="7"/>
  <c r="D1224" i="7"/>
  <c r="D1393" i="7"/>
  <c r="D1502" i="7"/>
  <c r="C1286" i="7"/>
  <c r="D1703" i="7"/>
  <c r="D1371" i="7"/>
  <c r="C282" i="7"/>
  <c r="C928" i="7"/>
  <c r="D938" i="7"/>
  <c r="C535" i="7"/>
  <c r="C365" i="7"/>
  <c r="C135" i="7"/>
  <c r="D1010" i="7"/>
  <c r="C1842" i="7"/>
  <c r="D74" i="7"/>
  <c r="C805" i="7"/>
  <c r="C221" i="7"/>
  <c r="D760" i="7"/>
  <c r="D1392" i="7"/>
  <c r="C486" i="7"/>
  <c r="C601" i="7"/>
  <c r="D656" i="7"/>
  <c r="C1466" i="7"/>
  <c r="C1895" i="7"/>
  <c r="C1755" i="7"/>
  <c r="C853" i="7"/>
  <c r="D1421" i="7"/>
  <c r="D982" i="7"/>
  <c r="C1423" i="7"/>
  <c r="D235" i="7"/>
  <c r="C1333" i="7"/>
  <c r="D325" i="7"/>
  <c r="D1139" i="7"/>
  <c r="D1023" i="7"/>
  <c r="C1575" i="7"/>
  <c r="D1277" i="7"/>
  <c r="D1549" i="7"/>
  <c r="C140" i="7"/>
  <c r="C1018" i="7"/>
  <c r="D1659" i="7"/>
  <c r="C1546" i="7"/>
  <c r="D1748" i="7"/>
  <c r="D1690" i="7"/>
  <c r="D503" i="7"/>
  <c r="D1454" i="7"/>
  <c r="C1884" i="7"/>
  <c r="D1811" i="7"/>
  <c r="D1374" i="7"/>
  <c r="D1310" i="7"/>
  <c r="D1400" i="7"/>
  <c r="C443" i="7"/>
  <c r="D809" i="7"/>
  <c r="C1383" i="7"/>
  <c r="C1888" i="7"/>
  <c r="D1764" i="7"/>
  <c r="D1730" i="7"/>
  <c r="D941" i="7"/>
  <c r="D238" i="7"/>
  <c r="C1022" i="7"/>
  <c r="C1535" i="7"/>
  <c r="C869" i="7"/>
  <c r="D1728" i="7"/>
  <c r="D816" i="7"/>
  <c r="C1487" i="7"/>
  <c r="C775" i="7"/>
  <c r="C1622" i="7"/>
  <c r="C1573" i="7"/>
  <c r="C1317" i="7"/>
  <c r="C1674" i="7"/>
  <c r="D1652" i="7"/>
  <c r="C1763" i="7"/>
  <c r="D1252" i="7"/>
  <c r="C90" i="7"/>
  <c r="C1176" i="7"/>
  <c r="D1243" i="7"/>
  <c r="D371" i="7"/>
  <c r="D478" i="7"/>
  <c r="D1478" i="7"/>
  <c r="D1710" i="7"/>
  <c r="C1109" i="7"/>
  <c r="C980" i="7"/>
  <c r="C1502" i="7"/>
  <c r="D1297" i="7"/>
  <c r="D762" i="7"/>
  <c r="C1300" i="7"/>
  <c r="C664" i="7"/>
  <c r="D579" i="7"/>
  <c r="D1015" i="7"/>
  <c r="C394" i="7"/>
  <c r="C1268" i="7"/>
  <c r="D563" i="7"/>
  <c r="D643" i="7"/>
  <c r="C666" i="7"/>
  <c r="D400" i="7"/>
  <c r="D1159" i="7"/>
  <c r="D1504" i="7"/>
  <c r="D283" i="7"/>
  <c r="D672" i="7"/>
  <c r="C1610" i="7"/>
  <c r="D1254" i="7"/>
  <c r="D1870" i="7"/>
  <c r="C1044" i="7"/>
  <c r="D1827" i="7"/>
  <c r="C1830" i="7"/>
  <c r="D947" i="7"/>
  <c r="C56" i="7"/>
  <c r="C766" i="7"/>
  <c r="D878" i="7"/>
  <c r="D1308" i="7"/>
  <c r="D1364" i="7"/>
  <c r="D1007" i="7"/>
  <c r="D1574" i="7"/>
  <c r="D1629" i="7"/>
  <c r="C796" i="7"/>
  <c r="C1271" i="7"/>
  <c r="D1270" i="7"/>
  <c r="C1750" i="7"/>
  <c r="C1730" i="7"/>
  <c r="D1479" i="7"/>
  <c r="C411" i="7"/>
  <c r="D364" i="7"/>
  <c r="C1408" i="7"/>
  <c r="C1246" i="7"/>
  <c r="C1425" i="7"/>
  <c r="D534" i="7"/>
  <c r="C286" i="7"/>
  <c r="C248" i="7"/>
  <c r="C608" i="7"/>
  <c r="C1679" i="7"/>
  <c r="D665" i="7"/>
  <c r="D111" i="7"/>
  <c r="C735" i="7"/>
  <c r="D180" i="7"/>
  <c r="D708" i="7"/>
  <c r="D824" i="7"/>
  <c r="C1873" i="7"/>
  <c r="D1912" i="7"/>
  <c r="C595" i="7"/>
  <c r="C256" i="7"/>
  <c r="C1387" i="7"/>
  <c r="C940" i="7"/>
  <c r="D1736" i="7"/>
  <c r="C645" i="7"/>
  <c r="D1334" i="7"/>
  <c r="D1087" i="7"/>
  <c r="D270" i="7"/>
  <c r="C538" i="7"/>
  <c r="C1831" i="7"/>
  <c r="D164" i="7"/>
  <c r="D1639" i="7"/>
  <c r="C189" i="7"/>
  <c r="D1566" i="7"/>
  <c r="C1786" i="7"/>
  <c r="D1541" i="7"/>
  <c r="C866" i="7"/>
  <c r="C1655" i="7"/>
  <c r="C1693" i="7"/>
  <c r="D628" i="7"/>
  <c r="C1792" i="7"/>
  <c r="D1815" i="7"/>
  <c r="D409" i="7"/>
  <c r="C1738" i="7"/>
  <c r="C1407" i="7"/>
  <c r="D1492" i="7"/>
  <c r="D1626" i="7"/>
  <c r="D527" i="7"/>
  <c r="C587" i="7"/>
  <c r="C1875" i="7"/>
  <c r="D1734" i="7"/>
  <c r="C316" i="7"/>
  <c r="C1840" i="7"/>
  <c r="D1500" i="7"/>
  <c r="D1302" i="7"/>
  <c r="C1879" i="7"/>
  <c r="D1783" i="7"/>
  <c r="D655" i="7"/>
  <c r="D423" i="7"/>
  <c r="D712" i="7"/>
  <c r="D394" i="7"/>
  <c r="C1785" i="7"/>
  <c r="C715" i="7"/>
  <c r="D530" i="7"/>
  <c r="D1098" i="7"/>
  <c r="D923" i="7"/>
  <c r="D749" i="7"/>
  <c r="C1594" i="7"/>
  <c r="C240" i="7"/>
  <c r="C1298" i="7"/>
  <c r="C136" i="7"/>
  <c r="D839" i="7"/>
  <c r="D1041" i="7"/>
  <c r="D1380" i="7"/>
  <c r="C435" i="7"/>
  <c r="D1124" i="7"/>
  <c r="D441" i="7"/>
  <c r="D671" i="7"/>
  <c r="D1037" i="7"/>
  <c r="C1426" i="7"/>
  <c r="D682" i="7"/>
  <c r="D591" i="7"/>
  <c r="D404" i="7"/>
  <c r="C1852" i="7"/>
  <c r="C475" i="7"/>
  <c r="D1075" i="7"/>
  <c r="D1366" i="7"/>
  <c r="D215" i="7"/>
  <c r="C1314" i="7"/>
  <c r="C1474" i="7"/>
  <c r="D1517" i="7"/>
  <c r="C1685" i="7"/>
  <c r="D1498" i="7"/>
  <c r="C257" i="7"/>
  <c r="C305" i="7"/>
  <c r="C1398" i="7"/>
  <c r="C1741" i="7"/>
  <c r="C1757" i="7"/>
  <c r="C1876" i="7"/>
  <c r="C127" i="7"/>
  <c r="D1357" i="7"/>
  <c r="D1047" i="7"/>
  <c r="C926" i="7"/>
  <c r="D1356" i="7"/>
  <c r="C1764" i="7"/>
  <c r="C652" i="7"/>
  <c r="C1479" i="7"/>
  <c r="D1414" i="7"/>
  <c r="D1919" i="7"/>
  <c r="C120" i="7"/>
  <c r="D821" i="7"/>
  <c r="C1277" i="7"/>
  <c r="C1770" i="7"/>
  <c r="D1590" i="7"/>
  <c r="D1847" i="7"/>
  <c r="C1882" i="7"/>
  <c r="C862" i="7"/>
  <c r="C371" i="7"/>
  <c r="C1722" i="7"/>
  <c r="C1778" i="7"/>
  <c r="C729" i="7"/>
  <c r="C742" i="7"/>
  <c r="C1559" i="7"/>
  <c r="C1805" i="7"/>
  <c r="C1460" i="7"/>
  <c r="D812" i="7"/>
  <c r="C978" i="7"/>
  <c r="C484" i="7"/>
  <c r="D1794" i="7"/>
  <c r="C1854" i="7"/>
  <c r="D389" i="7"/>
  <c r="D459" i="7"/>
  <c r="D369" i="7"/>
  <c r="D750" i="7"/>
  <c r="D1657" i="7"/>
  <c r="D1698" i="7"/>
  <c r="D1661" i="7"/>
  <c r="C1717" i="7"/>
  <c r="C1374" i="7"/>
  <c r="C362" i="7"/>
  <c r="C1751" i="7"/>
  <c r="C1653" i="7"/>
  <c r="D1788" i="7"/>
  <c r="D782" i="7"/>
  <c r="D800" i="7"/>
  <c r="D752" i="7"/>
  <c r="C1216" i="7"/>
  <c r="C621" i="7"/>
  <c r="D1210" i="7"/>
  <c r="C619" i="7"/>
  <c r="D1915" i="7"/>
  <c r="C88" i="7"/>
  <c r="D248" i="7"/>
  <c r="C1638" i="7"/>
  <c r="C954" i="7"/>
  <c r="D1832" i="7"/>
  <c r="D462" i="7"/>
  <c r="D56" i="7"/>
  <c r="C360" i="7"/>
  <c r="D1781" i="7"/>
  <c r="C1189" i="7"/>
  <c r="D794" i="7"/>
  <c r="D266" i="7"/>
  <c r="D383" i="7"/>
  <c r="D515" i="7"/>
  <c r="D567" i="7"/>
  <c r="D1273" i="7"/>
  <c r="D1526" i="7"/>
  <c r="D1627" i="7"/>
  <c r="D367" i="7"/>
  <c r="D1024" i="7"/>
  <c r="D685" i="7"/>
  <c r="C1775" i="7"/>
  <c r="D59" i="7"/>
  <c r="D222" i="7"/>
  <c r="D1691" i="7"/>
  <c r="D554" i="7"/>
  <c r="D434" i="7"/>
  <c r="C1140" i="7"/>
  <c r="C1913" i="7"/>
  <c r="D370" i="7"/>
  <c r="C1671" i="7"/>
  <c r="D1092" i="7"/>
  <c r="C867" i="7"/>
  <c r="D1470" i="7"/>
  <c r="C559" i="7"/>
  <c r="C894" i="7"/>
  <c r="D624" i="7"/>
  <c r="C863" i="7"/>
  <c r="C1838" i="7"/>
  <c r="D1014" i="7"/>
  <c r="C518" i="7"/>
  <c r="D1440" i="7"/>
  <c r="C1261" i="7"/>
  <c r="C1112" i="7"/>
  <c r="D695" i="7"/>
  <c r="D1677" i="7"/>
  <c r="C548" i="7"/>
  <c r="D1593" i="7"/>
  <c r="D1671" i="7"/>
  <c r="C993" i="7"/>
  <c r="C659" i="7"/>
  <c r="C1908" i="7"/>
  <c r="C506" i="7"/>
  <c r="C912" i="7"/>
  <c r="C73" i="7"/>
  <c r="D948" i="7"/>
  <c r="C1667" i="7"/>
  <c r="D1552" i="7"/>
  <c r="D1255" i="7"/>
  <c r="C1731" i="7"/>
  <c r="C1721" i="7"/>
  <c r="C1187" i="7"/>
  <c r="C1478" i="7"/>
  <c r="D1183" i="7"/>
  <c r="C1495" i="7"/>
  <c r="C1773" i="7"/>
  <c r="C615" i="7"/>
  <c r="C437" i="7"/>
  <c r="C540" i="7"/>
  <c r="D1692" i="7"/>
  <c r="D1332" i="7"/>
  <c r="D1226" i="7"/>
  <c r="D934" i="7"/>
  <c r="D251" i="7"/>
  <c r="C159" i="7"/>
  <c r="C211" i="7"/>
  <c r="D1288" i="7"/>
  <c r="D1812" i="7"/>
  <c r="C79" i="7"/>
  <c r="C447" i="7"/>
  <c r="D1056" i="7"/>
  <c r="D717" i="7"/>
  <c r="D1532" i="7"/>
  <c r="D113" i="7"/>
  <c r="D418" i="7"/>
  <c r="D1833" i="7"/>
  <c r="C1733" i="7"/>
  <c r="D1073" i="7"/>
  <c r="D1115" i="7"/>
  <c r="C116" i="7"/>
  <c r="D318" i="7"/>
  <c r="C850" i="7"/>
  <c r="D426" i="7"/>
  <c r="D1909" i="7"/>
  <c r="D493" i="7"/>
  <c r="D1674" i="7"/>
  <c r="C1054" i="7"/>
  <c r="C1567" i="7"/>
  <c r="D1003" i="7"/>
  <c r="D1852" i="7"/>
  <c r="C1027" i="7"/>
  <c r="D1908" i="7"/>
  <c r="D1570" i="7"/>
  <c r="D1823" i="7"/>
  <c r="D1616" i="7"/>
  <c r="C1621" i="7"/>
  <c r="C1896" i="7"/>
  <c r="D311" i="7"/>
  <c r="C1808" i="7"/>
  <c r="D998" i="7"/>
  <c r="C1381" i="7"/>
  <c r="D1231" i="7"/>
  <c r="C1631" i="7"/>
  <c r="C152" i="7"/>
  <c r="D1046" i="7"/>
  <c r="C1399" i="7"/>
  <c r="D608" i="7"/>
  <c r="C573" i="7"/>
  <c r="D943" i="7"/>
  <c r="D1876" i="7"/>
  <c r="C1503" i="7"/>
  <c r="C143" i="7"/>
  <c r="D918" i="7"/>
  <c r="C1445" i="7"/>
  <c r="C1613" i="7"/>
  <c r="D1136" i="7"/>
  <c r="D375" i="7"/>
  <c r="D1219" i="7"/>
  <c r="C750" i="7"/>
  <c r="C1450" i="7"/>
  <c r="D130" i="7"/>
  <c r="C1639" i="7"/>
  <c r="D909" i="7"/>
  <c r="C1863" i="7"/>
  <c r="D703" i="7"/>
  <c r="D1309" i="7"/>
  <c r="C1910" i="7"/>
  <c r="D642" i="7"/>
  <c r="D559" i="7"/>
  <c r="D1452" i="7"/>
  <c r="C1766" i="7"/>
  <c r="D1879" i="7"/>
  <c r="D1572" i="7"/>
  <c r="C700" i="7"/>
  <c r="D1390" i="7"/>
  <c r="D1438" i="7"/>
  <c r="D1260" i="7"/>
  <c r="D1586" i="7"/>
  <c r="D1341" i="7"/>
  <c r="D1568" i="7"/>
  <c r="C1011" i="7"/>
  <c r="D1184" i="7"/>
  <c r="D1684" i="7"/>
  <c r="C1279" i="7"/>
  <c r="D1887" i="7"/>
  <c r="C1642" i="7"/>
  <c r="D1816" i="7"/>
  <c r="D1460" i="7"/>
  <c r="D575" i="7"/>
  <c r="D1121" i="7"/>
  <c r="D1051" i="7"/>
  <c r="D877" i="7"/>
  <c r="D1413" i="7"/>
  <c r="D1845" i="7"/>
  <c r="C1530" i="7"/>
  <c r="C550" i="7"/>
  <c r="D297" i="7"/>
  <c r="D1595" i="7"/>
  <c r="C114" i="7"/>
  <c r="D954" i="7"/>
  <c r="D868" i="7"/>
  <c r="D951" i="7"/>
  <c r="C1634" i="7"/>
  <c r="D1447" i="7"/>
  <c r="D536" i="7"/>
  <c r="C1152" i="7"/>
  <c r="C1347" i="7"/>
  <c r="C1401" i="7"/>
  <c r="D505" i="7"/>
  <c r="D165" i="7"/>
  <c r="D1181" i="7"/>
  <c r="D231" i="7"/>
  <c r="D1473" i="7"/>
  <c r="C1047" i="7"/>
  <c r="D1856" i="7"/>
  <c r="C1349" i="7"/>
  <c r="D1511" i="7"/>
  <c r="D763" i="7"/>
  <c r="D692" i="7"/>
  <c r="D1196" i="7"/>
  <c r="C1321" i="7"/>
  <c r="D569" i="7"/>
  <c r="C61" i="7"/>
  <c r="D1275" i="7"/>
  <c r="D154" i="7"/>
  <c r="D1193" i="7"/>
  <c r="D807" i="7"/>
  <c r="D1792" i="7"/>
  <c r="C1285" i="7"/>
  <c r="C1247" i="7"/>
  <c r="D162" i="7"/>
  <c r="C1615" i="7"/>
  <c r="C902" i="7"/>
  <c r="C1666" i="7"/>
  <c r="C1472" i="7"/>
  <c r="D1457" i="7"/>
  <c r="C536" i="7"/>
  <c r="D1074" i="7"/>
  <c r="C1048" i="7"/>
  <c r="C1431" i="7"/>
  <c r="D511" i="7"/>
  <c r="C418" i="7"/>
  <c r="D1405" i="7"/>
  <c r="D98" i="7"/>
  <c r="D1721" i="7"/>
  <c r="C1057" i="7"/>
  <c r="D1558" i="7"/>
  <c r="D1891" i="7"/>
  <c r="C1878" i="7"/>
  <c r="C637" i="7"/>
  <c r="D848" i="7"/>
  <c r="D1013" i="7"/>
  <c r="C1004" i="7"/>
  <c r="D967" i="7"/>
  <c r="D1733" i="7"/>
  <c r="D1839" i="7"/>
  <c r="C865" i="7"/>
  <c r="D1490" i="7"/>
  <c r="D768" i="7"/>
  <c r="D706" i="7"/>
  <c r="D634" i="7"/>
  <c r="D1401" i="7"/>
  <c r="D1614" i="7"/>
  <c r="C1025" i="7"/>
  <c r="C643" i="7"/>
  <c r="D946" i="7"/>
  <c r="C763" i="7"/>
  <c r="D321" i="7"/>
  <c r="C1862" i="7"/>
  <c r="D103" i="7"/>
  <c r="C207" i="7"/>
  <c r="C560" i="7"/>
  <c r="D1152" i="7"/>
  <c r="C289" i="7"/>
  <c r="C1197" i="7"/>
  <c r="D1594" i="7"/>
  <c r="C359" i="7"/>
  <c r="C873" i="7"/>
  <c r="C446" i="7"/>
  <c r="D1716" i="7"/>
  <c r="D989" i="7"/>
  <c r="C984" i="7"/>
  <c r="D1319" i="7"/>
  <c r="D980" i="7"/>
  <c r="C1067" i="7"/>
  <c r="C1603" i="7"/>
  <c r="C1593" i="7"/>
  <c r="C460" i="7"/>
  <c r="C531" i="7"/>
  <c r="C571" i="7"/>
  <c r="C59" i="7"/>
  <c r="C1306" i="7"/>
  <c r="C1196" i="7"/>
  <c r="D1151" i="7"/>
  <c r="C1477" i="7"/>
  <c r="C1103" i="7"/>
  <c r="C764" i="7"/>
  <c r="C806" i="7"/>
  <c r="D1352" i="7"/>
  <c r="D1346" i="7"/>
  <c r="D332" i="7"/>
  <c r="C1376" i="7"/>
  <c r="C1206" i="7"/>
  <c r="D1122" i="7"/>
  <c r="C1489" i="7"/>
  <c r="D1713" i="7"/>
  <c r="D1702" i="7"/>
  <c r="D1807" i="7"/>
  <c r="C1167" i="7"/>
  <c r="C828" i="7"/>
  <c r="C527" i="7"/>
  <c r="D1207" i="7"/>
  <c r="D1195" i="7"/>
  <c r="D396" i="7"/>
  <c r="C1440" i="7"/>
  <c r="D612" i="7"/>
  <c r="C1310" i="7"/>
  <c r="C1361" i="7"/>
  <c r="D1553" i="7"/>
  <c r="D1618" i="7"/>
  <c r="C1378" i="7"/>
  <c r="C491" i="7"/>
  <c r="D1648" i="7"/>
  <c r="C1904" i="7"/>
  <c r="C556" i="7"/>
  <c r="D1501" i="7"/>
  <c r="D405" i="7"/>
  <c r="D177" i="7"/>
  <c r="D1774" i="7"/>
  <c r="C846" i="7"/>
  <c r="C605" i="7"/>
  <c r="C1311" i="7"/>
  <c r="D1318" i="7"/>
  <c r="C1492" i="7"/>
  <c r="C1494" i="7"/>
  <c r="C253" i="7"/>
  <c r="C448" i="7"/>
  <c r="C277" i="7"/>
  <c r="C1823" i="7"/>
  <c r="D1582" i="7"/>
  <c r="C1525" i="7"/>
  <c r="C1437" i="7"/>
  <c r="C1353" i="7"/>
  <c r="C1269" i="7"/>
  <c r="D1563" i="7"/>
  <c r="D960" i="7"/>
  <c r="D1622" i="7"/>
  <c r="C258" i="7"/>
  <c r="D100" i="7"/>
  <c r="D1135" i="7"/>
  <c r="C1791" i="7"/>
  <c r="D1383" i="7"/>
  <c r="C1481" i="7"/>
  <c r="C1846" i="7"/>
  <c r="C1821" i="7"/>
  <c r="D895" i="7"/>
  <c r="D197" i="7"/>
  <c r="D295" i="7"/>
  <c r="D1345" i="7"/>
  <c r="C951" i="7"/>
  <c r="C808" i="7"/>
  <c r="C1684" i="7"/>
  <c r="C320" i="7"/>
  <c r="C1536" i="7"/>
  <c r="D1096" i="7"/>
  <c r="C182" i="7"/>
  <c r="C389" i="7"/>
  <c r="D726" i="7"/>
  <c r="C600" i="7"/>
  <c r="C1005" i="7"/>
  <c r="D1025" i="7"/>
  <c r="C1727" i="7"/>
  <c r="D1406" i="7"/>
  <c r="C1804" i="7"/>
  <c r="C1781" i="7"/>
  <c r="C483" i="7"/>
  <c r="C858" i="7"/>
  <c r="D1398" i="7"/>
  <c r="D911" i="7"/>
  <c r="D823" i="7"/>
  <c r="D1796" i="7"/>
  <c r="C1219" i="7"/>
  <c r="D1536" i="7"/>
  <c r="C1238" i="7"/>
  <c r="D1649" i="7"/>
  <c r="D1102" i="7"/>
  <c r="C496" i="7"/>
  <c r="C157" i="7"/>
  <c r="C1835" i="7"/>
  <c r="D467" i="7"/>
  <c r="C1323" i="7"/>
  <c r="C174" i="7"/>
  <c r="D1531" i="7"/>
  <c r="C1914" i="7"/>
  <c r="D896" i="7"/>
  <c r="C241" i="7"/>
  <c r="C998" i="7"/>
  <c r="D1071" i="7"/>
  <c r="D975" i="7"/>
  <c r="D1466" i="7"/>
  <c r="D1177" i="7"/>
  <c r="D1246" i="7"/>
  <c r="D1472" i="7"/>
  <c r="C1818" i="7"/>
  <c r="C1334" i="7"/>
  <c r="C1749" i="7"/>
  <c r="D1216" i="7"/>
  <c r="D1884" i="7"/>
  <c r="D524" i="7"/>
  <c r="D1836" i="7"/>
  <c r="D1753" i="7"/>
  <c r="D820" i="7"/>
  <c r="D596" i="7"/>
  <c r="C840" i="7"/>
  <c r="D140" i="7"/>
  <c r="D1877" i="7"/>
  <c r="D508" i="7"/>
  <c r="D1126" i="7"/>
  <c r="C1708" i="7"/>
  <c r="D220" i="7"/>
  <c r="C1309" i="7"/>
  <c r="C961" i="7"/>
  <c r="D1787" i="7"/>
  <c r="C1645" i="7"/>
  <c r="C348" i="7"/>
  <c r="C1482" i="7"/>
  <c r="D1907" i="7"/>
  <c r="D1899" i="7"/>
  <c r="D981" i="7"/>
  <c r="D136" i="7"/>
  <c r="C1900" i="7"/>
  <c r="C741" i="7"/>
  <c r="D473" i="7"/>
  <c r="D1172" i="7"/>
  <c r="C1590" i="7"/>
  <c r="D1389" i="7"/>
  <c r="D1896" i="7"/>
  <c r="D1485" i="7"/>
  <c r="D757" i="7"/>
  <c r="D1768" i="7"/>
  <c r="C1367" i="7"/>
  <c r="C1557" i="7"/>
  <c r="C915" i="7"/>
  <c r="C95" i="7"/>
  <c r="D1106" i="7"/>
  <c r="D1696" i="7"/>
  <c r="D1522" i="7"/>
  <c r="C1772" i="7"/>
  <c r="C1351" i="7"/>
  <c r="D444" i="7"/>
  <c r="D152" i="7"/>
  <c r="C1068" i="7"/>
  <c r="D1410" i="7"/>
  <c r="C202" i="7"/>
  <c r="D264" i="7"/>
  <c r="D1529" i="7"/>
  <c r="C561" i="7"/>
  <c r="D303" i="7"/>
  <c r="C612" i="7"/>
  <c r="C1783" i="7"/>
  <c r="C1877" i="7"/>
  <c r="D448" i="7"/>
  <c r="C1864" i="7"/>
  <c r="C1629" i="7"/>
  <c r="C267" i="7"/>
  <c r="D949" i="7"/>
  <c r="C1312" i="7"/>
  <c r="D1508" i="7"/>
  <c r="C470" i="7"/>
  <c r="D1435" i="7"/>
  <c r="D543" i="7"/>
  <c r="C990" i="7"/>
  <c r="D1244" i="7"/>
  <c r="C1413" i="7"/>
  <c r="C728" i="7"/>
  <c r="C1069" i="7"/>
  <c r="D1494" i="7"/>
  <c r="C582" i="7"/>
  <c r="C751" i="7"/>
  <c r="C306" i="7"/>
  <c r="D1005" i="7"/>
  <c r="C357" i="7"/>
  <c r="C264" i="7"/>
  <c r="D1199" i="7"/>
  <c r="D1168" i="7"/>
  <c r="C1204" i="7"/>
  <c r="C1287" i="7"/>
  <c r="C93" i="7"/>
  <c r="C958" i="7"/>
  <c r="C218" i="7"/>
  <c r="C265" i="7"/>
  <c r="D1904" i="7"/>
  <c r="C974" i="7"/>
  <c r="D702" i="7"/>
  <c r="D182" i="7"/>
  <c r="D1242" i="7"/>
  <c r="D787" i="7"/>
  <c r="D1688" i="7"/>
  <c r="C1003" i="7"/>
  <c r="C1605" i="7"/>
  <c r="C939" i="7"/>
  <c r="C1696" i="7"/>
  <c r="C1024" i="7"/>
  <c r="D1795" i="7"/>
  <c r="C466" i="7"/>
  <c r="C793" i="7"/>
  <c r="C428" i="7"/>
  <c r="D304" i="7"/>
  <c r="D439" i="7"/>
  <c r="D525" i="7"/>
  <c r="C687" i="7"/>
  <c r="D199" i="7"/>
  <c r="D322" i="7"/>
  <c r="C1076" i="7"/>
  <c r="C739" i="7"/>
  <c r="C1909" i="7"/>
  <c r="D846" i="7"/>
  <c r="C335" i="7"/>
  <c r="D773" i="7"/>
  <c r="C71" i="7"/>
  <c r="D1477" i="7"/>
  <c r="D514" i="7"/>
  <c r="D1560" i="7"/>
  <c r="C1589" i="7"/>
  <c r="D950" i="7"/>
  <c r="C1549" i="7"/>
  <c r="C1834" i="7"/>
  <c r="D1712" i="7"/>
  <c r="D1741" i="7"/>
  <c r="D1835" i="7"/>
  <c r="D1520" i="7"/>
  <c r="C1128" i="7"/>
  <c r="C1716" i="7"/>
  <c r="C1759" i="7"/>
  <c r="D1215" i="7"/>
  <c r="C1493" i="7"/>
  <c r="D1518" i="7"/>
  <c r="D354" i="7"/>
  <c r="D1202" i="7"/>
  <c r="C723" i="7"/>
  <c r="C1386" i="7"/>
  <c r="C627" i="7"/>
  <c r="C789" i="7"/>
  <c r="C1429" i="7"/>
  <c r="C1855" i="7"/>
  <c r="C62" i="7"/>
  <c r="D1469" i="7"/>
  <c r="D1516" i="7"/>
  <c r="D1680" i="7"/>
  <c r="D1632" i="7"/>
  <c r="D1756" i="7"/>
  <c r="D66" i="7"/>
  <c r="D767" i="7"/>
  <c r="C1263" i="7"/>
  <c r="D1268" i="7"/>
  <c r="C1811" i="7"/>
  <c r="D917" i="7"/>
  <c r="C1915" i="7"/>
  <c r="D784" i="7"/>
  <c r="D1484" i="7"/>
  <c r="D1620" i="7"/>
  <c r="C1872" i="7"/>
  <c r="D736" i="7"/>
  <c r="D1140" i="7"/>
  <c r="C1654" i="7"/>
  <c r="D1286" i="7"/>
  <c r="C1868" i="7"/>
  <c r="D1155" i="7"/>
  <c r="D1791" i="7"/>
  <c r="C1509" i="7"/>
  <c r="D1119" i="7"/>
  <c r="C1335" i="7"/>
  <c r="D1664" i="7"/>
  <c r="C402" i="7"/>
  <c r="C1093" i="7"/>
  <c r="D1694" i="7"/>
  <c r="D87" i="7"/>
  <c r="D1628" i="7"/>
  <c r="C1295" i="7"/>
  <c r="C1902" i="7"/>
  <c r="D1911" i="7"/>
  <c r="C1787" i="7"/>
  <c r="D578" i="7"/>
  <c r="C180" i="7"/>
  <c r="D1499" i="7"/>
  <c r="D382" i="7"/>
  <c r="C999" i="7"/>
  <c r="C786" i="7"/>
  <c r="C891" i="7"/>
  <c r="D557" i="7"/>
  <c r="D307" i="7"/>
  <c r="C927" i="7"/>
  <c r="D1418" i="7"/>
  <c r="C147" i="7"/>
  <c r="C1853" i="7"/>
  <c r="C260" i="7"/>
  <c r="D69" i="7"/>
  <c r="D905" i="7"/>
  <c r="C123" i="7"/>
  <c r="D1114" i="7"/>
  <c r="C1132" i="7"/>
  <c r="C625" i="7"/>
  <c r="C425" i="7"/>
  <c r="C1556" i="7"/>
  <c r="C597" i="7"/>
  <c r="C128" i="7"/>
  <c r="C122" i="7"/>
  <c r="C1463" i="7"/>
  <c r="D1153" i="7"/>
  <c r="D133" i="7"/>
  <c r="D1117" i="7"/>
  <c r="C112" i="7"/>
  <c r="D1601" i="7"/>
  <c r="D684" i="7"/>
  <c r="C744" i="7"/>
  <c r="C130" i="7"/>
  <c r="C1620" i="7"/>
  <c r="C794" i="7"/>
  <c r="D171" i="7"/>
  <c r="D246" i="7"/>
  <c r="D1204" i="7"/>
  <c r="C1237" i="7"/>
  <c r="C1581" i="7"/>
  <c r="D1474" i="7"/>
  <c r="D1916" i="7"/>
  <c r="C380" i="7"/>
  <c r="D885" i="7"/>
  <c r="D801" i="7"/>
  <c r="D662" i="7"/>
  <c r="D691" i="7"/>
  <c r="D343" i="7"/>
  <c r="C146" i="7"/>
  <c r="C1901" i="7"/>
  <c r="D1434" i="7"/>
  <c r="C497" i="7"/>
  <c r="D1428" i="7"/>
  <c r="C1122" i="7"/>
  <c r="C1643" i="7"/>
  <c r="D1201" i="7"/>
  <c r="D1091" i="7"/>
  <c r="D1234" i="7"/>
  <c r="C1828" i="7"/>
  <c r="D1510" i="7"/>
  <c r="D858" i="7"/>
  <c r="C499" i="7"/>
  <c r="C665" i="7"/>
  <c r="D226" i="7"/>
  <c r="C1617" i="7"/>
  <c r="D610" i="7"/>
  <c r="C668" i="7"/>
  <c r="D1580" i="7"/>
  <c r="C1851" i="7"/>
  <c r="C169" i="7"/>
  <c r="D390" i="7"/>
  <c r="D1708" i="7"/>
  <c r="D1831" i="7"/>
  <c r="D1740" i="7"/>
  <c r="D104" i="7"/>
  <c r="C1084" i="7"/>
  <c r="D233" i="7"/>
  <c r="D1813" i="7"/>
  <c r="D1903" i="7"/>
  <c r="C1843" i="7"/>
  <c r="C1322" i="7"/>
  <c r="D851" i="7"/>
  <c r="C1767" i="7"/>
  <c r="D880" i="7"/>
  <c r="D697" i="7"/>
  <c r="D495" i="7"/>
  <c r="D1373" i="7"/>
  <c r="D1190" i="7"/>
  <c r="C308" i="7"/>
  <c r="D639" i="7"/>
  <c r="D664" i="7"/>
  <c r="D331" i="7"/>
  <c r="C1664" i="7"/>
  <c r="C1155" i="7"/>
  <c r="C1734" i="7"/>
  <c r="C1562" i="7"/>
  <c r="C1113" i="7"/>
  <c r="D890" i="7"/>
  <c r="D384" i="7"/>
  <c r="C1428" i="7"/>
  <c r="D748" i="7"/>
  <c r="C206" i="7"/>
  <c r="C406" i="7"/>
  <c r="D1864" i="7"/>
  <c r="D1453" i="7"/>
  <c r="C1280" i="7"/>
  <c r="C1110" i="7"/>
  <c r="D1669" i="7"/>
  <c r="C1681" i="7"/>
  <c r="C1290" i="7"/>
  <c r="C678" i="7"/>
  <c r="C255" i="7"/>
  <c r="D1723" i="7"/>
  <c r="D491" i="7"/>
  <c r="C485" i="7"/>
  <c r="C353" i="7"/>
  <c r="D1556" i="7"/>
  <c r="C1462" i="7"/>
  <c r="C1344" i="7"/>
  <c r="C1174" i="7"/>
  <c r="D915" i="7"/>
  <c r="C1553" i="7"/>
  <c r="D963" i="7"/>
  <c r="C236" i="7"/>
  <c r="D92" i="7"/>
  <c r="C849" i="7"/>
  <c r="D619" i="7"/>
  <c r="D650" i="7"/>
  <c r="C624" i="7"/>
  <c r="D1828" i="7"/>
  <c r="D1062" i="7"/>
  <c r="C1742" i="7"/>
  <c r="C1844" i="7"/>
  <c r="D1187" i="7"/>
  <c r="C1756" i="7"/>
  <c r="C541" i="7"/>
  <c r="D330" i="7"/>
  <c r="D1205" i="7"/>
  <c r="D1769" i="7"/>
  <c r="C1788" i="7"/>
  <c r="C1583" i="7"/>
  <c r="C1694" i="7"/>
  <c r="C1578" i="7"/>
  <c r="C1802" i="7"/>
  <c r="D601" i="7"/>
  <c r="C667" i="7"/>
  <c r="D175" i="7"/>
  <c r="C1918" i="7"/>
  <c r="C1389" i="7"/>
  <c r="D1292" i="7"/>
  <c r="D745" i="7"/>
  <c r="C1240" i="7"/>
  <c r="D411" i="7"/>
  <c r="C1565" i="7"/>
  <c r="C423" i="7"/>
  <c r="D621" i="7"/>
  <c r="D187" i="7"/>
  <c r="D1636" i="7"/>
  <c r="C1870" i="7"/>
  <c r="C1397" i="7"/>
  <c r="C1373" i="7"/>
  <c r="D1044" i="7"/>
  <c r="D797" i="7"/>
  <c r="D799" i="7"/>
  <c r="D1634" i="7"/>
  <c r="C689" i="7"/>
  <c r="C457" i="7"/>
  <c r="C1588" i="7"/>
  <c r="C725" i="7"/>
  <c r="C131" i="7"/>
  <c r="D342" i="7"/>
  <c r="C1154" i="7"/>
  <c r="D814" i="7"/>
  <c r="D184" i="7"/>
  <c r="C833" i="7"/>
  <c r="C1579" i="7"/>
  <c r="C1765" i="7"/>
  <c r="D1442" i="7"/>
  <c r="D598" i="7"/>
  <c r="C330" i="7"/>
  <c r="D1166" i="7"/>
  <c r="D465" i="7"/>
  <c r="C480" i="7"/>
  <c r="C375" i="7"/>
  <c r="C941" i="7"/>
  <c r="C602" i="7"/>
  <c r="D391" i="7"/>
  <c r="C1185" i="7"/>
  <c r="D1328" i="7"/>
  <c r="C1885" i="7"/>
  <c r="D1804" i="7"/>
  <c r="C909" i="7"/>
  <c r="C570" i="7"/>
  <c r="C210" i="7"/>
  <c r="C1121" i="7"/>
  <c r="D1432" i="7"/>
  <c r="C137" i="7"/>
  <c r="D1351" i="7"/>
  <c r="D1012" i="7"/>
  <c r="D789" i="7"/>
  <c r="C1539" i="7"/>
  <c r="C1529" i="7"/>
  <c r="D1324" i="7"/>
  <c r="C1541" i="7"/>
  <c r="D1718" i="7"/>
  <c r="D329" i="7"/>
  <c r="C1789" i="7"/>
  <c r="D88" i="7"/>
  <c r="C1245" i="7"/>
  <c r="D953" i="7"/>
  <c r="D1865" i="7"/>
  <c r="C1566" i="7"/>
  <c r="C1669" i="7"/>
  <c r="D1533" i="7"/>
  <c r="C1861" i="7"/>
  <c r="D546" i="7"/>
  <c r="D422" i="7"/>
  <c r="D1763" i="7"/>
  <c r="C776" i="7"/>
  <c r="D1726" i="7"/>
  <c r="D658" i="7"/>
  <c r="D1670" i="7"/>
  <c r="C1686" i="7"/>
  <c r="C1543" i="7"/>
  <c r="D735" i="7"/>
  <c r="D544" i="7"/>
  <c r="C191" i="7"/>
  <c r="C827" i="7"/>
  <c r="D1546" i="7"/>
  <c r="C870" i="7"/>
  <c r="D1600" i="7"/>
  <c r="C1602" i="7"/>
  <c r="C1415" i="7"/>
  <c r="D1030" i="7"/>
  <c r="C807" i="7"/>
  <c r="D163" i="7"/>
  <c r="C187" i="7"/>
  <c r="C1453" i="7"/>
  <c r="C814" i="7"/>
  <c r="C710" i="7"/>
  <c r="C287" i="7"/>
  <c r="D555" i="7"/>
  <c r="C688" i="7"/>
  <c r="D469" i="7"/>
  <c r="D1602" i="7"/>
  <c r="C416" i="7"/>
  <c r="C1515" i="7"/>
  <c r="D1349" i="7"/>
  <c r="C1447" i="7"/>
  <c r="C575" i="7"/>
  <c r="D1784" i="7"/>
  <c r="C1919" i="7"/>
  <c r="D1840" i="7"/>
  <c r="D1403" i="7"/>
  <c r="C1832" i="7"/>
  <c r="D1767" i="7"/>
  <c r="D1076" i="7"/>
  <c r="C1779" i="7"/>
  <c r="D1900" i="7"/>
  <c r="C1760" i="7"/>
  <c r="C1814" i="7"/>
  <c r="C1813" i="7"/>
  <c r="D1875" i="7"/>
  <c r="D1746" i="7"/>
  <c r="D1358" i="7"/>
  <c r="C878" i="7"/>
  <c r="C1538" i="7"/>
  <c r="C1357" i="7"/>
  <c r="C290" i="7"/>
  <c r="D1771" i="7"/>
  <c r="C839" i="7"/>
  <c r="C1725" i="7"/>
  <c r="C1637" i="7"/>
  <c r="D393" i="7"/>
  <c r="C825" i="7"/>
  <c r="D1759" i="7"/>
  <c r="C1917" i="7"/>
  <c r="C1302" i="7"/>
  <c r="D1396" i="7"/>
  <c r="C572" i="7"/>
  <c r="C732" i="7"/>
  <c r="D1350" i="7"/>
  <c r="C199" i="7"/>
  <c r="D255" i="7"/>
  <c r="D1480" i="7"/>
  <c r="C379" i="7"/>
  <c r="C298" i="7"/>
  <c r="D638" i="7"/>
  <c r="D1426" i="7"/>
  <c r="C1524" i="7"/>
  <c r="C1090" i="7"/>
  <c r="C1707" i="7"/>
  <c r="C716" i="7"/>
  <c r="D1562" i="7"/>
  <c r="D707" i="7"/>
  <c r="D1729" i="7"/>
  <c r="C901" i="7"/>
  <c r="D1045" i="7"/>
  <c r="D194" i="7"/>
  <c r="C1782" i="7"/>
  <c r="D352" i="7"/>
  <c r="C1799" i="7"/>
  <c r="D1148" i="7"/>
  <c r="C1040" i="7"/>
  <c r="C1283" i="7"/>
  <c r="D1245" i="7"/>
  <c r="C1332" i="7"/>
  <c r="C730" i="7"/>
  <c r="D64" i="7"/>
  <c r="D94" i="7"/>
  <c r="D772" i="7"/>
  <c r="C950" i="7"/>
  <c r="C646" i="7"/>
  <c r="C738" i="7"/>
  <c r="C222" i="7"/>
  <c r="D1524" i="7"/>
  <c r="C1144" i="7"/>
  <c r="C184" i="7"/>
  <c r="D1171" i="7"/>
  <c r="D1776" i="7"/>
  <c r="D873" i="7"/>
  <c r="D361" i="7"/>
  <c r="C377" i="7"/>
  <c r="C1160" i="7"/>
  <c r="D919" i="7"/>
  <c r="C1042" i="7"/>
  <c r="D1762" i="7"/>
  <c r="C731" i="7"/>
  <c r="D1262" i="7"/>
  <c r="D345" i="7"/>
  <c r="D1287" i="7"/>
  <c r="C1657" i="7"/>
  <c r="D916" i="7"/>
  <c r="D395" i="7"/>
  <c r="D99" i="7"/>
  <c r="D1581" i="7"/>
  <c r="C1157" i="7"/>
  <c r="C588" i="7"/>
  <c r="C1822" i="7"/>
  <c r="C384" i="7"/>
  <c r="C871" i="7"/>
  <c r="D1456" i="7"/>
  <c r="C495" i="7"/>
  <c r="C1394" i="7"/>
  <c r="D1819" i="7"/>
  <c r="C372" i="7"/>
  <c r="D1077" i="7"/>
  <c r="D1838" i="7"/>
  <c r="C1186" i="7"/>
  <c r="C1740" i="7"/>
  <c r="D1467" i="7"/>
  <c r="D1538" i="7"/>
  <c r="D202" i="7"/>
  <c r="C1319" i="7"/>
  <c r="D1755" i="7"/>
  <c r="C931" i="7"/>
  <c r="D1306" i="7"/>
  <c r="D719" i="7"/>
  <c r="C450" i="7"/>
  <c r="C1526" i="7"/>
  <c r="C920" i="7"/>
  <c r="C1485" i="7"/>
  <c r="C1743" i="7"/>
  <c r="C1418" i="7"/>
  <c r="D1138" i="7"/>
  <c r="C1255" i="7"/>
  <c r="D480" i="7"/>
  <c r="C261" i="7"/>
  <c r="C743" i="7"/>
  <c r="D1824" i="7"/>
  <c r="D1860" i="7"/>
  <c r="C1212" i="7"/>
  <c r="C342" i="7"/>
  <c r="D1293" i="7"/>
  <c r="D1167" i="7"/>
  <c r="D167" i="7"/>
  <c r="D966" i="7"/>
  <c r="D1779" i="7"/>
  <c r="D1867" i="7"/>
  <c r="D1800" i="7"/>
  <c r="D192" i="7"/>
  <c r="C1812" i="7"/>
  <c r="D1039" i="7"/>
  <c r="D1548" i="7"/>
  <c r="C1709" i="7"/>
  <c r="C614" i="7"/>
  <c r="C1037" i="7"/>
  <c r="D1424" i="7"/>
  <c r="D863" i="7"/>
  <c r="C1551" i="7"/>
  <c r="C1700" i="7"/>
  <c r="D1446" i="7"/>
  <c r="D1342" i="7"/>
  <c r="C995" i="7"/>
  <c r="D1534" i="7"/>
  <c r="C524" i="7"/>
  <c r="C1173" i="7"/>
  <c r="G56" i="7" l="1"/>
  <c r="G57" i="7"/>
  <c r="G58" i="7"/>
  <c r="G60" i="7" l="1"/>
  <c r="B29" i="8" s="1"/>
</calcChain>
</file>

<file path=xl/comments1.xml><?xml version="1.0" encoding="utf-8"?>
<comments xmlns="http://schemas.openxmlformats.org/spreadsheetml/2006/main">
  <authors>
    <author>anup.agarwal</author>
  </authors>
  <commentList>
    <comment ref="M2" authorId="0">
      <text>
        <r>
          <rPr>
            <b/>
            <sz val="9"/>
            <color indexed="81"/>
            <rFont val="Tahoma"/>
            <family val="2"/>
          </rPr>
          <t>anup.agarwal:</t>
        </r>
        <r>
          <rPr>
            <sz val="9"/>
            <color indexed="81"/>
            <rFont val="Tahoma"/>
            <family val="2"/>
          </rPr>
          <t xml:space="preserve">
This Shows how many Dollars in Home country is equivalent to US$ 1  in the US. For eg. Income of US$ 0.34 in India is same as US$ 1 in the US.</t>
        </r>
      </text>
    </comment>
    <comment ref="N2" authorId="0">
      <text>
        <r>
          <rPr>
            <b/>
            <sz val="9"/>
            <color indexed="81"/>
            <rFont val="Tahoma"/>
            <family val="2"/>
          </rPr>
          <t>anup.agarwal:</t>
        </r>
        <r>
          <rPr>
            <sz val="9"/>
            <color indexed="81"/>
            <rFont val="Tahoma"/>
            <family val="2"/>
          </rPr>
          <t xml:space="preserve">
This is a shorthand proxy of average level of the income in the country.</t>
        </r>
      </text>
    </comment>
    <comment ref="O2" authorId="0">
      <text>
        <r>
          <rPr>
            <b/>
            <sz val="9"/>
            <color indexed="81"/>
            <rFont val="Tahoma"/>
            <family val="2"/>
          </rPr>
          <t>anup.agarwal:</t>
        </r>
        <r>
          <rPr>
            <sz val="9"/>
            <color indexed="81"/>
            <rFont val="Tahoma"/>
            <family val="2"/>
          </rPr>
          <t xml:space="preserve">
As per WTO classification</t>
        </r>
      </text>
    </comment>
    <comment ref="P2" authorId="0">
      <text>
        <r>
          <rPr>
            <b/>
            <sz val="9"/>
            <color indexed="81"/>
            <rFont val="Tahoma"/>
            <family val="2"/>
          </rPr>
          <t>anup.agarwal:</t>
        </r>
        <r>
          <rPr>
            <sz val="9"/>
            <color indexed="81"/>
            <rFont val="Tahoma"/>
            <family val="2"/>
          </rPr>
          <t xml:space="preserve">
Taken from http://www.exchange-rate.com/currency-list.html</t>
        </r>
      </text>
    </comment>
    <comment ref="Q2" authorId="0">
      <text>
        <r>
          <rPr>
            <b/>
            <sz val="9"/>
            <color indexed="81"/>
            <rFont val="Tahoma"/>
            <family val="2"/>
          </rPr>
          <t>anup.agarwal:</t>
        </r>
        <r>
          <rPr>
            <sz val="9"/>
            <color indexed="81"/>
            <rFont val="Tahoma"/>
            <family val="2"/>
          </rPr>
          <t xml:space="preserve">
taken from XE.com</t>
        </r>
      </text>
    </comment>
  </commentList>
</comments>
</file>

<file path=xl/comments2.xml><?xml version="1.0" encoding="utf-8"?>
<comments xmlns="http://schemas.openxmlformats.org/spreadsheetml/2006/main">
  <authors>
    <author>anup.agarwal</author>
  </authors>
  <commentList>
    <comment ref="I1" authorId="0">
      <text>
        <r>
          <rPr>
            <b/>
            <sz val="9"/>
            <color indexed="81"/>
            <rFont val="Tahoma"/>
            <family val="2"/>
          </rPr>
          <t>anup.agarwal:</t>
        </r>
        <r>
          <rPr>
            <sz val="9"/>
            <color indexed="81"/>
            <rFont val="Tahoma"/>
            <family val="2"/>
          </rPr>
          <t xml:space="preserve">
This Shows how many Dollars in Home country is equivalent to US$ 1  in the US. For eg. Income of US$ 0.34 in India is same as US$ 1 in the US.</t>
        </r>
      </text>
    </comment>
    <comment ref="J1" authorId="0">
      <text>
        <r>
          <rPr>
            <b/>
            <sz val="9"/>
            <color indexed="81"/>
            <rFont val="Tahoma"/>
            <family val="2"/>
          </rPr>
          <t>anup.agarwal:</t>
        </r>
        <r>
          <rPr>
            <sz val="9"/>
            <color indexed="81"/>
            <rFont val="Tahoma"/>
            <family val="2"/>
          </rPr>
          <t xml:space="preserve">
This is a shorthand proxy of average level of the income in the country.</t>
        </r>
      </text>
    </comment>
  </commentList>
</comments>
</file>

<file path=xl/sharedStrings.xml><?xml version="1.0" encoding="utf-8"?>
<sst xmlns="http://schemas.openxmlformats.org/spreadsheetml/2006/main" count="10590" uniqueCount="2389">
  <si>
    <t>Currency</t>
  </si>
  <si>
    <t>How many hours of a day you work on Excel</t>
  </si>
  <si>
    <t>USD</t>
  </si>
  <si>
    <t>India</t>
  </si>
  <si>
    <t>europe/Croatia</t>
  </si>
  <si>
    <t>USA</t>
  </si>
  <si>
    <t>Pakistan</t>
  </si>
  <si>
    <t>Analyst</t>
  </si>
  <si>
    <t>Iceland</t>
  </si>
  <si>
    <t>EUR</t>
  </si>
  <si>
    <t>Germany</t>
  </si>
  <si>
    <t>Ukraine</t>
  </si>
  <si>
    <t>Portugal</t>
  </si>
  <si>
    <t>PKR</t>
  </si>
  <si>
    <t>Ireland</t>
  </si>
  <si>
    <t>Hungary</t>
  </si>
  <si>
    <t>INR</t>
  </si>
  <si>
    <t>Switzerland</t>
  </si>
  <si>
    <t>South Africa</t>
  </si>
  <si>
    <t>Manager</t>
  </si>
  <si>
    <t>ksa</t>
  </si>
  <si>
    <t>Belgium</t>
  </si>
  <si>
    <t>Russia</t>
  </si>
  <si>
    <t>Specialist</t>
  </si>
  <si>
    <t>GBP</t>
  </si>
  <si>
    <t>UK</t>
  </si>
  <si>
    <t>Romania</t>
  </si>
  <si>
    <t>Poland</t>
  </si>
  <si>
    <t>AUD</t>
  </si>
  <si>
    <t>Australia</t>
  </si>
  <si>
    <t>CAD</t>
  </si>
  <si>
    <t>Canada</t>
  </si>
  <si>
    <t>The Netherlands</t>
  </si>
  <si>
    <t>France</t>
  </si>
  <si>
    <t>Brasil</t>
  </si>
  <si>
    <t>FR</t>
  </si>
  <si>
    <t>RSA</t>
  </si>
  <si>
    <t>United Arab Emirates</t>
  </si>
  <si>
    <t>Saudi Arabia</t>
  </si>
  <si>
    <t>Panama</t>
  </si>
  <si>
    <t>Brazil</t>
  </si>
  <si>
    <t>arabian Gulf</t>
  </si>
  <si>
    <t>Mexico</t>
  </si>
  <si>
    <t>Greece</t>
  </si>
  <si>
    <t>Singapore</t>
  </si>
  <si>
    <t>UAE</t>
  </si>
  <si>
    <t>Colombia</t>
  </si>
  <si>
    <t>Turkey</t>
  </si>
  <si>
    <t>Engineer</t>
  </si>
  <si>
    <t>Bermuda</t>
  </si>
  <si>
    <t>Thailand</t>
  </si>
  <si>
    <t>Accountant</t>
  </si>
  <si>
    <t>Philippines</t>
  </si>
  <si>
    <t>Consultant</t>
  </si>
  <si>
    <t>AED</t>
  </si>
  <si>
    <t>Dubai</t>
  </si>
  <si>
    <t>MXN</t>
  </si>
  <si>
    <t>Israel</t>
  </si>
  <si>
    <t>Bangladesh</t>
  </si>
  <si>
    <t>SEK</t>
  </si>
  <si>
    <t>Sweden</t>
  </si>
  <si>
    <t>BDT</t>
  </si>
  <si>
    <t>Controller</t>
  </si>
  <si>
    <t>United Arab Emriate</t>
  </si>
  <si>
    <t>COSTARICAN</t>
  </si>
  <si>
    <t>Costa Rica</t>
  </si>
  <si>
    <t>iran</t>
  </si>
  <si>
    <t>Finland</t>
  </si>
  <si>
    <t>Dominican Republic</t>
  </si>
  <si>
    <t>Canad</t>
  </si>
  <si>
    <t>Somalia</t>
  </si>
  <si>
    <t>Republic of Georgia</t>
  </si>
  <si>
    <t>Estonia</t>
  </si>
  <si>
    <t>mozambique</t>
  </si>
  <si>
    <t>Norway</t>
  </si>
  <si>
    <t>ZAR</t>
  </si>
  <si>
    <t>Spain</t>
  </si>
  <si>
    <t>Netherlands</t>
  </si>
  <si>
    <t>nz</t>
  </si>
  <si>
    <t>Central America</t>
  </si>
  <si>
    <t>self-employed</t>
  </si>
  <si>
    <t>Japan</t>
  </si>
  <si>
    <t>BRA</t>
  </si>
  <si>
    <t>NZD</t>
  </si>
  <si>
    <t>New Zealand</t>
  </si>
  <si>
    <t>Guyana</t>
  </si>
  <si>
    <t>china</t>
  </si>
  <si>
    <t>Sri Lanka</t>
  </si>
  <si>
    <t>Indonesia</t>
  </si>
  <si>
    <t>bangkok</t>
  </si>
  <si>
    <t>Saudi Arabai</t>
  </si>
  <si>
    <t>Cambodia</t>
  </si>
  <si>
    <t>Lithuania</t>
  </si>
  <si>
    <t>EGYPT</t>
  </si>
  <si>
    <t>Egypt</t>
  </si>
  <si>
    <t>Bhutan</t>
  </si>
  <si>
    <t>Nigeria</t>
  </si>
  <si>
    <t>Denmark</t>
  </si>
  <si>
    <t>italy</t>
  </si>
  <si>
    <t>Croatia</t>
  </si>
  <si>
    <t>Inonesia</t>
  </si>
  <si>
    <t>RON</t>
  </si>
  <si>
    <t>Colombia - South America</t>
  </si>
  <si>
    <t>Europe</t>
  </si>
  <si>
    <t>Uruguay</t>
  </si>
  <si>
    <t>Aruba</t>
  </si>
  <si>
    <t>Qatar</t>
  </si>
  <si>
    <t>Viet Nam</t>
  </si>
  <si>
    <t>MÃ©xico</t>
  </si>
  <si>
    <t xml:space="preserve">Kuwait </t>
  </si>
  <si>
    <t>Czech Republic</t>
  </si>
  <si>
    <t>Zimbabwe</t>
  </si>
  <si>
    <t>Slovenia</t>
  </si>
  <si>
    <t>Albania</t>
  </si>
  <si>
    <t>Zambia</t>
  </si>
  <si>
    <t>New  Zealand</t>
  </si>
  <si>
    <t>malaysia</t>
  </si>
  <si>
    <t>China</t>
  </si>
  <si>
    <t>Asia</t>
  </si>
  <si>
    <t>Malaysia</t>
  </si>
  <si>
    <t>LKR</t>
  </si>
  <si>
    <t>Paraguay</t>
  </si>
  <si>
    <t>SGD</t>
  </si>
  <si>
    <t>Kuwait</t>
  </si>
  <si>
    <t>Continental Europe</t>
  </si>
  <si>
    <t>Montenegro</t>
  </si>
  <si>
    <t>Republica Dominicana</t>
  </si>
  <si>
    <t>Argentina</t>
  </si>
  <si>
    <t>PLN</t>
  </si>
  <si>
    <t>KENYA</t>
  </si>
  <si>
    <t>Kenya</t>
  </si>
  <si>
    <t>Italy</t>
  </si>
  <si>
    <t>DKK</t>
  </si>
  <si>
    <t>Latin America</t>
  </si>
  <si>
    <t>Pakistan, Angola</t>
  </si>
  <si>
    <t>IDR</t>
  </si>
  <si>
    <t>MONGOLIAN</t>
  </si>
  <si>
    <t>Mongolia</t>
  </si>
  <si>
    <t>srilanka</t>
  </si>
  <si>
    <t>Myanmar</t>
  </si>
  <si>
    <t>Uganda</t>
  </si>
  <si>
    <t>Kingdom of Saudi Arabia</t>
  </si>
  <si>
    <t>CEE</t>
  </si>
  <si>
    <t>Ghana</t>
  </si>
  <si>
    <t>Austria</t>
  </si>
  <si>
    <t>JPY</t>
  </si>
  <si>
    <t>SouthAfrica</t>
  </si>
  <si>
    <t>nld</t>
  </si>
  <si>
    <t>Myanmar [Burma]</t>
  </si>
  <si>
    <t>EU</t>
  </si>
  <si>
    <t>Bolivia</t>
  </si>
  <si>
    <t>Vietnam</t>
  </si>
  <si>
    <t>MYS</t>
  </si>
  <si>
    <t>NL</t>
  </si>
  <si>
    <t>Libya</t>
  </si>
  <si>
    <t>Bulgaria</t>
  </si>
  <si>
    <t>Peru</t>
  </si>
  <si>
    <t>MAD</t>
  </si>
  <si>
    <t>Morocco</t>
  </si>
  <si>
    <t>Lesotho</t>
  </si>
  <si>
    <t>Mauritius</t>
  </si>
  <si>
    <t>Azerbaijan</t>
  </si>
  <si>
    <t>Slovakia</t>
  </si>
  <si>
    <t>Tunisia</t>
  </si>
  <si>
    <t>NOK</t>
  </si>
  <si>
    <t>Armenia</t>
  </si>
  <si>
    <t>CHF</t>
  </si>
  <si>
    <t>Hong Kong</t>
  </si>
  <si>
    <t>Baltic</t>
  </si>
  <si>
    <t>mainland Europe (Euro zone)</t>
  </si>
  <si>
    <t>DK</t>
  </si>
  <si>
    <t>ETB</t>
  </si>
  <si>
    <t>Ethiopia</t>
  </si>
  <si>
    <t>Oman</t>
  </si>
  <si>
    <t>Unique ID</t>
  </si>
  <si>
    <t>ID0001</t>
  </si>
  <si>
    <t>ID0002</t>
  </si>
  <si>
    <t>ID0003</t>
  </si>
  <si>
    <t>ID0004</t>
  </si>
  <si>
    <t>ID0005</t>
  </si>
  <si>
    <t>ID0006</t>
  </si>
  <si>
    <t>ID0007</t>
  </si>
  <si>
    <t>ID0008</t>
  </si>
  <si>
    <t>ID0009</t>
  </si>
  <si>
    <t>ID0010</t>
  </si>
  <si>
    <t>ID0011</t>
  </si>
  <si>
    <t>ID0012</t>
  </si>
  <si>
    <t>ID0013</t>
  </si>
  <si>
    <t>ID0014</t>
  </si>
  <si>
    <t>ID0015</t>
  </si>
  <si>
    <t>ID0016</t>
  </si>
  <si>
    <t>ID0017</t>
  </si>
  <si>
    <t>ID0018</t>
  </si>
  <si>
    <t>ID0019</t>
  </si>
  <si>
    <t>ID0020</t>
  </si>
  <si>
    <t>ID0021</t>
  </si>
  <si>
    <t>ID0022</t>
  </si>
  <si>
    <t>ID0023</t>
  </si>
  <si>
    <t>ID0024</t>
  </si>
  <si>
    <t>ID0025</t>
  </si>
  <si>
    <t>ID0026</t>
  </si>
  <si>
    <t>ID0028</t>
  </si>
  <si>
    <t>ID0029</t>
  </si>
  <si>
    <t>ID0030</t>
  </si>
  <si>
    <t>ID0031</t>
  </si>
  <si>
    <t>ID0032</t>
  </si>
  <si>
    <t>ID0033</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</si>
  <si>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</si>
  <si>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</si>
  <si>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</si>
  <si>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</si>
  <si>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</si>
  <si>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</si>
  <si>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</si>
  <si>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</si>
  <si>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</si>
  <si>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</si>
  <si>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</si>
  <si>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</si>
  <si>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</si>
  <si>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</si>
  <si>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</si>
  <si>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</si>
  <si>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</si>
  <si>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</si>
  <si>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</si>
  <si>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</si>
  <si>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</si>
  <si>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</si>
  <si>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</si>
  <si>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</si>
  <si>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</si>
  <si>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</si>
  <si>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</si>
  <si>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</si>
  <si>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</si>
  <si>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</si>
  <si>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</si>
  <si>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</si>
  <si>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</si>
  <si>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</si>
  <si>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</si>
  <si>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</si>
  <si>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</si>
  <si>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</si>
  <si>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</si>
  <si>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</si>
  <si>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</si>
  <si>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</si>
  <si>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</si>
  <si>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</si>
  <si>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</si>
  <si>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</si>
  <si>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</si>
  <si>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</si>
  <si>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</si>
  <si>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</si>
  <si>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</si>
  <si>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</si>
  <si>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</si>
  <si>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</si>
  <si>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</si>
  <si>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</si>
  <si>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</si>
  <si>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</si>
  <si>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</si>
  <si>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</si>
  <si>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</si>
  <si>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</si>
  <si>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</si>
  <si>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</si>
  <si>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</si>
  <si>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</si>
  <si>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</si>
  <si>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</si>
  <si>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ID0104</t>
  </si>
  <si>
    <t>ID0105</t>
  </si>
  <si>
    <t>ID0106</t>
  </si>
  <si>
    <t>ID0107</t>
  </si>
  <si>
    <t>ID0108</t>
  </si>
  <si>
    <t>ID0109</t>
  </si>
  <si>
    <t>ID0111</t>
  </si>
  <si>
    <t>ID0112</t>
  </si>
  <si>
    <t>ID0113</t>
  </si>
  <si>
    <t>ID0114</t>
  </si>
  <si>
    <t>ID0115</t>
  </si>
  <si>
    <t>ID0116</t>
  </si>
  <si>
    <t>ID0117</t>
  </si>
  <si>
    <t>ID0118</t>
  </si>
  <si>
    <t>ID0119</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</si>
  <si>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</si>
  <si>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</si>
  <si>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</si>
  <si>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</si>
  <si>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</si>
  <si>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</si>
  <si>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</si>
  <si>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</si>
  <si>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</si>
  <si>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</si>
  <si>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</si>
  <si>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</si>
  <si>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</si>
  <si>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</si>
  <si>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</si>
  <si>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</si>
  <si>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</si>
  <si>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</si>
  <si>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</si>
  <si>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</si>
  <si>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</si>
  <si>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</si>
  <si>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</si>
  <si>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</si>
  <si>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</si>
  <si>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</si>
  <si>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</si>
  <si>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</si>
  <si>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</si>
  <si>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</si>
  <si>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</si>
  <si>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</si>
  <si>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</si>
  <si>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</si>
  <si>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</si>
  <si>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</si>
  <si>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</si>
  <si>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</si>
  <si>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</si>
  <si>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</si>
  <si>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</si>
  <si>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</si>
  <si>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</si>
  <si>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</si>
  <si>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</si>
  <si>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</si>
  <si>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</si>
  <si>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</si>
  <si>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</si>
  <si>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</si>
  <si>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</si>
  <si>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</si>
  <si>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</si>
  <si>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</si>
  <si>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</si>
  <si>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</si>
  <si>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</si>
  <si>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</si>
  <si>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ID0178</t>
  </si>
  <si>
    <t>ID0179</t>
  </si>
  <si>
    <t>ID0180</t>
  </si>
  <si>
    <t>ID0181</t>
  </si>
  <si>
    <t>ID0182</t>
  </si>
  <si>
    <t>ID0183</t>
  </si>
  <si>
    <t>ID0184</t>
  </si>
  <si>
    <t>ID0185</t>
  </si>
  <si>
    <t>ID0186</t>
  </si>
  <si>
    <t>ID0187</t>
  </si>
  <si>
    <t>ID0188</t>
  </si>
  <si>
    <t>ID0189</t>
  </si>
  <si>
    <t>ID0190</t>
  </si>
  <si>
    <t>ID0192</t>
  </si>
  <si>
    <t>ID0193</t>
  </si>
  <si>
    <t>ID0194</t>
  </si>
  <si>
    <t>ID0195</t>
  </si>
  <si>
    <t>ID0196</t>
  </si>
  <si>
    <t>ID0197</t>
  </si>
  <si>
    <t>ID0198</t>
  </si>
  <si>
    <t>ID0200</t>
  </si>
  <si>
    <t>ID0201</t>
  </si>
  <si>
    <t>ID0202</t>
  </si>
  <si>
    <t>ID0203</t>
  </si>
  <si>
    <t>ID0204</t>
  </si>
  <si>
    <t>ID0205</t>
  </si>
  <si>
    <t>ID0207</t>
  </si>
  <si>
    <t>ID0208</t>
  </si>
  <si>
    <t>ID0209</t>
  </si>
  <si>
    <t>ID0210</t>
  </si>
  <si>
    <t>ID0211</t>
  </si>
  <si>
    <t>ID0212</t>
  </si>
  <si>
    <t>ID0213</t>
  </si>
  <si>
    <t>ID0214</t>
  </si>
  <si>
    <t>ID0215</t>
  </si>
  <si>
    <t>ID0216</t>
  </si>
  <si>
    <t>ID0217</t>
  </si>
  <si>
    <t>ID0218</t>
  </si>
  <si>
    <t>ID0219</t>
  </si>
  <si>
    <t>ID0221</t>
  </si>
  <si>
    <t>ID0222</t>
  </si>
  <si>
    <t>ID0223</t>
  </si>
  <si>
    <t>ID0224</t>
  </si>
  <si>
    <t>ID0225</t>
  </si>
  <si>
    <t>ID0226</t>
  </si>
  <si>
    <t>ID0227</t>
  </si>
  <si>
    <t>ID0228</t>
  </si>
  <si>
    <t>ID0229</t>
  </si>
  <si>
    <t>ID0230</t>
  </si>
  <si>
    <t>ID0231</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</si>
  <si>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</si>
  <si>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</si>
  <si>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</si>
  <si>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</si>
  <si>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</si>
  <si>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</si>
  <si>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</si>
  <si>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</si>
  <si>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</si>
  <si>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</si>
  <si>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</si>
  <si>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</si>
  <si>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</si>
  <si>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</si>
  <si>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</si>
  <si>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</si>
  <si>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</si>
  <si>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</si>
  <si>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</si>
  <si>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</si>
  <si>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</si>
  <si>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</si>
  <si>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</si>
  <si>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</si>
  <si>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</si>
  <si>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</si>
  <si>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</si>
  <si>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</si>
  <si>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</si>
  <si>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</si>
  <si>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</si>
  <si>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</si>
  <si>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</si>
  <si>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</si>
  <si>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</si>
  <si>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</si>
  <si>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</si>
  <si>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</si>
  <si>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</si>
  <si>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</si>
  <si>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</si>
  <si>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</si>
  <si>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</si>
  <si>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</si>
  <si>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</si>
  <si>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</si>
  <si>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</si>
  <si>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</si>
  <si>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</si>
  <si>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</si>
  <si>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</si>
  <si>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</si>
  <si>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</si>
  <si>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</si>
  <si>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</si>
  <si>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</si>
  <si>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</si>
  <si>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</si>
  <si>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</si>
  <si>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</si>
  <si>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</si>
  <si>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</si>
  <si>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</si>
  <si>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</si>
  <si>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</si>
  <si>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</si>
  <si>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</si>
  <si>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</si>
  <si>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</si>
  <si>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</si>
  <si>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</si>
  <si>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</si>
  <si>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</si>
  <si>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</si>
  <si>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</si>
  <si>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</si>
  <si>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</si>
  <si>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</si>
  <si>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</si>
  <si>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</si>
  <si>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</si>
  <si>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</si>
  <si>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</si>
  <si>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</si>
  <si>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</si>
  <si>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</si>
  <si>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</si>
  <si>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</si>
  <si>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</si>
  <si>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</si>
  <si>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</si>
  <si>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</si>
  <si>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</si>
  <si>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</si>
  <si>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</si>
  <si>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</si>
  <si>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</si>
  <si>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</si>
  <si>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</si>
  <si>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</si>
  <si>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</si>
  <si>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</si>
  <si>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</si>
  <si>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</si>
  <si>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</si>
  <si>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</si>
  <si>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</si>
  <si>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</si>
  <si>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</si>
  <si>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</si>
  <si>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</si>
  <si>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</si>
  <si>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</si>
  <si>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</si>
  <si>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</si>
  <si>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</si>
  <si>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</si>
  <si>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</si>
  <si>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</si>
  <si>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</si>
  <si>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</si>
  <si>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</si>
  <si>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</si>
  <si>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</si>
  <si>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</si>
  <si>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</si>
  <si>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</si>
  <si>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</si>
  <si>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</si>
  <si>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</si>
  <si>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</si>
  <si>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</si>
  <si>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</si>
  <si>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</si>
  <si>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</si>
  <si>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</si>
  <si>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</si>
  <si>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</si>
  <si>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</si>
  <si>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</si>
  <si>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</si>
  <si>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</si>
  <si>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</si>
  <si>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</si>
  <si>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</si>
  <si>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</si>
  <si>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</si>
  <si>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</si>
  <si>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</si>
  <si>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</si>
  <si>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</si>
  <si>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</si>
  <si>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</si>
  <si>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</si>
  <si>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</si>
  <si>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</si>
  <si>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</si>
  <si>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</si>
  <si>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</si>
  <si>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</si>
  <si>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</si>
  <si>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</si>
  <si>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</si>
  <si>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</si>
  <si>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</si>
  <si>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</si>
  <si>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</si>
  <si>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</si>
  <si>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</si>
  <si>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</si>
  <si>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</si>
  <si>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</si>
  <si>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</si>
  <si>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</si>
  <si>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</si>
  <si>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</si>
  <si>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</si>
  <si>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</si>
  <si>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</si>
  <si>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</si>
  <si>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</si>
  <si>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</si>
  <si>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</si>
  <si>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</si>
  <si>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</si>
  <si>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</si>
  <si>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</si>
  <si>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</si>
  <si>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</si>
  <si>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</si>
  <si>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</si>
  <si>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</si>
  <si>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</si>
  <si>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</si>
  <si>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</si>
  <si>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</si>
  <si>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</si>
  <si>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</si>
  <si>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</si>
  <si>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</si>
  <si>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</si>
  <si>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</si>
  <si>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</si>
  <si>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</si>
  <si>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</si>
  <si>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</si>
  <si>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</si>
  <si>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</si>
  <si>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</si>
  <si>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</si>
  <si>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</si>
  <si>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</si>
  <si>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</si>
  <si>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</si>
  <si>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ID0448</t>
  </si>
  <si>
    <t>ID0449</t>
  </si>
  <si>
    <t>ID0450</t>
  </si>
  <si>
    <t>ID0451</t>
  </si>
  <si>
    <t>ID0452</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</si>
  <si>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</si>
  <si>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</si>
  <si>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</si>
  <si>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</si>
  <si>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</si>
  <si>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</si>
  <si>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</si>
  <si>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</si>
  <si>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</si>
  <si>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</si>
  <si>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</si>
  <si>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</si>
  <si>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</si>
  <si>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</si>
  <si>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</si>
  <si>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</si>
  <si>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</si>
  <si>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</si>
  <si>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</si>
  <si>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</si>
  <si>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</si>
  <si>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ID0476</t>
  </si>
  <si>
    <t>ID0477</t>
  </si>
  <si>
    <t>ID0478</t>
  </si>
  <si>
    <t>ID0479</t>
  </si>
  <si>
    <t>ID0480</t>
  </si>
  <si>
    <t>ID0481</t>
  </si>
  <si>
    <t>ID0482</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</si>
  <si>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</si>
  <si>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</si>
  <si>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</si>
  <si>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</si>
  <si>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</si>
  <si>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</si>
  <si>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</si>
  <si>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</si>
  <si>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</si>
  <si>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</si>
  <si>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</si>
  <si>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</si>
  <si>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</si>
  <si>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</si>
  <si>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</si>
  <si>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</si>
  <si>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</si>
  <si>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</si>
  <si>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</si>
  <si>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</si>
  <si>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</si>
  <si>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</si>
  <si>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</si>
  <si>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</si>
  <si>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</si>
  <si>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</si>
  <si>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</si>
  <si>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</si>
  <si>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</si>
  <si>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</si>
  <si>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</si>
  <si>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</si>
  <si>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</si>
  <si>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</si>
  <si>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</si>
  <si>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</si>
  <si>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</si>
  <si>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</si>
  <si>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</si>
  <si>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</si>
  <si>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</si>
  <si>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</si>
  <si>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</si>
  <si>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</si>
  <si>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</si>
  <si>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</si>
  <si>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</si>
  <si>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</si>
  <si>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</si>
  <si>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</si>
  <si>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</si>
  <si>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</si>
  <si>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ID0537</t>
  </si>
  <si>
    <t>ID0538</t>
  </si>
  <si>
    <t>ID0540</t>
  </si>
  <si>
    <t>ID0541</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</si>
  <si>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</si>
  <si>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</si>
  <si>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</si>
  <si>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</si>
  <si>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</si>
  <si>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</si>
  <si>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</si>
  <si>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</si>
  <si>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</si>
  <si>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</si>
  <si>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</si>
  <si>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</si>
  <si>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</si>
  <si>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</si>
  <si>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</si>
  <si>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</si>
  <si>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</si>
  <si>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</si>
  <si>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</si>
  <si>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</si>
  <si>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</si>
  <si>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</si>
  <si>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</si>
  <si>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</si>
  <si>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</si>
  <si>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</si>
  <si>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</si>
  <si>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</si>
  <si>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ID0572</t>
  </si>
  <si>
    <t>ID0573</t>
  </si>
  <si>
    <t>ID0574</t>
  </si>
  <si>
    <t>ID0575</t>
  </si>
  <si>
    <t>ID0576</t>
  </si>
  <si>
    <t>ID0577</t>
  </si>
  <si>
    <t>ID0578</t>
  </si>
  <si>
    <t>ID0579</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</si>
  <si>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</si>
  <si>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</si>
  <si>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</si>
  <si>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</si>
  <si>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</si>
  <si>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</si>
  <si>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</si>
  <si>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</si>
  <si>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</si>
  <si>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</si>
  <si>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</si>
  <si>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</si>
  <si>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</si>
  <si>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</si>
  <si>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</si>
  <si>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</si>
  <si>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</si>
  <si>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</si>
  <si>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</si>
  <si>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</si>
  <si>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</si>
  <si>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</si>
  <si>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</si>
  <si>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</si>
  <si>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</si>
  <si>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</si>
  <si>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</si>
  <si>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ID0608</t>
  </si>
  <si>
    <t>ID0609</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</si>
  <si>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</si>
  <si>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</si>
  <si>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</si>
  <si>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</si>
  <si>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</si>
  <si>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</si>
  <si>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</si>
  <si>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</si>
  <si>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</si>
  <si>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</si>
  <si>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</si>
  <si>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</si>
  <si>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</si>
  <si>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</si>
  <si>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</si>
  <si>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</si>
  <si>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</si>
  <si>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</si>
  <si>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</si>
  <si>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</si>
  <si>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</si>
  <si>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</si>
  <si>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</si>
  <si>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</si>
  <si>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</si>
  <si>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</si>
  <si>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</si>
  <si>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</si>
  <si>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</si>
  <si>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</si>
  <si>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</si>
  <si>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</si>
  <si>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</si>
  <si>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</si>
  <si>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</si>
  <si>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</si>
  <si>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</si>
  <si>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</si>
  <si>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</si>
  <si>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</si>
  <si>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</si>
  <si>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</si>
  <si>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</si>
  <si>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</si>
  <si>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</si>
  <si>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ID0657</t>
  </si>
  <si>
    <t>ID0658</t>
  </si>
  <si>
    <t>ID0659</t>
  </si>
  <si>
    <t>ID0660</t>
  </si>
  <si>
    <t>ID0661</t>
  </si>
  <si>
    <t>ID0662</t>
  </si>
  <si>
    <t>ID0663</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</si>
  <si>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</si>
  <si>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</si>
  <si>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</si>
  <si>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</si>
  <si>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</si>
  <si>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</si>
  <si>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</si>
  <si>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</si>
  <si>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</si>
  <si>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</si>
  <si>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</si>
  <si>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</si>
  <si>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</si>
  <si>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</si>
  <si>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</si>
  <si>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</si>
  <si>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</si>
  <si>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</si>
  <si>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</si>
  <si>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</si>
  <si>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</si>
  <si>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</si>
  <si>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</si>
  <si>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</si>
  <si>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</si>
  <si>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</si>
  <si>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</si>
  <si>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</si>
  <si>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</si>
  <si>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</si>
  <si>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</si>
  <si>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</si>
  <si>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</si>
  <si>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</si>
  <si>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</si>
  <si>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</si>
  <si>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</si>
  <si>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</si>
  <si>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</si>
  <si>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</si>
  <si>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</si>
  <si>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</si>
  <si>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</si>
  <si>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</si>
  <si>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</si>
  <si>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</si>
  <si>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</si>
  <si>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</si>
  <si>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</si>
  <si>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</si>
  <si>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</si>
  <si>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</si>
  <si>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</si>
  <si>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</si>
  <si>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</si>
  <si>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</si>
  <si>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</si>
  <si>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</si>
  <si>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</si>
  <si>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</si>
  <si>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</si>
  <si>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</si>
  <si>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</si>
  <si>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</si>
  <si>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</si>
  <si>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</si>
  <si>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</si>
  <si>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</si>
  <si>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</si>
  <si>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</si>
  <si>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</si>
  <si>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</si>
  <si>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</si>
  <si>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</si>
  <si>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</si>
  <si>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</si>
  <si>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</si>
  <si>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</si>
  <si>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</si>
  <si>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</si>
  <si>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</si>
  <si>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</si>
  <si>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</si>
  <si>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</si>
  <si>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</si>
  <si>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</si>
  <si>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</si>
  <si>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</si>
  <si>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</si>
  <si>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</si>
  <si>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</si>
  <si>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</si>
  <si>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</si>
  <si>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</si>
  <si>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</si>
  <si>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</si>
  <si>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</si>
  <si>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</si>
  <si>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</si>
  <si>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</si>
  <si>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</si>
  <si>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</si>
  <si>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</si>
  <si>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</si>
  <si>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</si>
  <si>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</si>
  <si>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</si>
  <si>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</si>
  <si>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</si>
  <si>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</si>
  <si>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</si>
  <si>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</si>
  <si>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</si>
  <si>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</si>
  <si>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</si>
  <si>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</si>
  <si>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</si>
  <si>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</si>
  <si>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</si>
  <si>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</si>
  <si>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</si>
  <si>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</si>
  <si>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</si>
  <si>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</si>
  <si>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</si>
  <si>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</si>
  <si>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</si>
  <si>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</si>
  <si>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</si>
  <si>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</si>
  <si>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</si>
  <si>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</si>
  <si>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</si>
  <si>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</si>
  <si>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</si>
  <si>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</si>
  <si>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</si>
  <si>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</si>
  <si>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</si>
  <si>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</si>
  <si>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</si>
  <si>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</si>
  <si>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</si>
  <si>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</si>
  <si>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</si>
  <si>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</si>
  <si>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</si>
  <si>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</si>
  <si>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</si>
  <si>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</si>
  <si>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</si>
  <si>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</si>
  <si>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</si>
  <si>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</si>
  <si>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ID0818</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</si>
  <si>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</si>
  <si>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</si>
  <si>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</si>
  <si>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</si>
  <si>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</si>
  <si>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</si>
  <si>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</si>
  <si>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</si>
  <si>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</si>
  <si>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</si>
  <si>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</si>
  <si>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</si>
  <si>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</si>
  <si>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</si>
  <si>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</si>
  <si>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</si>
  <si>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</si>
  <si>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</si>
  <si>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</si>
  <si>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</si>
  <si>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</si>
  <si>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</si>
  <si>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</si>
  <si>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ID0844</t>
  </si>
  <si>
    <t>ID0845</t>
  </si>
  <si>
    <t>ID0846</t>
  </si>
  <si>
    <t>ID0847</t>
  </si>
  <si>
    <t>ID0848</t>
  </si>
  <si>
    <t>ID0849</t>
  </si>
  <si>
    <t>ID0850</t>
  </si>
  <si>
    <t>ID0851</t>
  </si>
  <si>
    <t>ID0852</t>
  </si>
  <si>
    <t>ID0854</t>
  </si>
  <si>
    <t>ID0855</t>
  </si>
  <si>
    <t>ID0856</t>
  </si>
  <si>
    <t>ID0857</t>
  </si>
  <si>
    <t>ID0858</t>
  </si>
  <si>
    <t>ID0859</t>
  </si>
  <si>
    <t>ID0860</t>
  </si>
  <si>
    <t>ID0861</t>
  </si>
  <si>
    <t>ID0862</t>
  </si>
  <si>
    <t>ID0863</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</si>
  <si>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</si>
  <si>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</si>
  <si>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</si>
  <si>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</si>
  <si>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</si>
  <si>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</si>
  <si>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</si>
  <si>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</si>
  <si>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</si>
  <si>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</si>
  <si>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</si>
  <si>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</si>
  <si>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</si>
  <si>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</si>
  <si>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</si>
  <si>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</si>
  <si>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</si>
  <si>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</si>
  <si>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</si>
  <si>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</si>
  <si>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</si>
  <si>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</si>
  <si>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</si>
  <si>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</si>
  <si>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</si>
  <si>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</si>
  <si>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</si>
  <si>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</si>
  <si>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</si>
  <si>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</si>
  <si>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</si>
  <si>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</si>
  <si>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</si>
  <si>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</si>
  <si>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</si>
  <si>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</si>
  <si>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</si>
  <si>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ID0903</t>
  </si>
  <si>
    <t>ID0904</t>
  </si>
  <si>
    <t>ID0905</t>
  </si>
  <si>
    <t>ID0906</t>
  </si>
  <si>
    <t>ID0907</t>
  </si>
  <si>
    <t>ID0908</t>
  </si>
  <si>
    <t>ID0909</t>
  </si>
  <si>
    <t>ID0910</t>
  </si>
  <si>
    <t>ID0911</t>
  </si>
  <si>
    <t>ID0912</t>
  </si>
  <si>
    <t>ID0913</t>
  </si>
  <si>
    <t>ID0914</t>
  </si>
  <si>
    <t>ID0915</t>
  </si>
  <si>
    <t>ID0916</t>
  </si>
  <si>
    <t>ID0917</t>
  </si>
  <si>
    <t>ID0918</t>
  </si>
  <si>
    <t>ID0919</t>
  </si>
  <si>
    <t>ID0920</t>
  </si>
  <si>
    <t>ID0921</t>
  </si>
  <si>
    <t>ID0922</t>
  </si>
  <si>
    <t>ID0923</t>
  </si>
  <si>
    <t>ID0924</t>
  </si>
  <si>
    <t>ID0925</t>
  </si>
  <si>
    <t>ID0927</t>
  </si>
  <si>
    <t>ID0928</t>
  </si>
  <si>
    <t>ID0929</t>
  </si>
  <si>
    <t>ID0930</t>
  </si>
  <si>
    <t>ID0931</t>
  </si>
  <si>
    <t>ID0932</t>
  </si>
  <si>
    <t>ID0933</t>
  </si>
  <si>
    <t>ID0934</t>
  </si>
  <si>
    <t>ID0935</t>
  </si>
  <si>
    <t>ID0936</t>
  </si>
  <si>
    <t>ID0937</t>
  </si>
  <si>
    <t>ID0938</t>
  </si>
  <si>
    <t>ID0939</t>
  </si>
  <si>
    <t>ID0940</t>
  </si>
  <si>
    <t>ID0941</t>
  </si>
  <si>
    <t>ID0943</t>
  </si>
  <si>
    <t>ID0944</t>
  </si>
  <si>
    <t>ID0945</t>
  </si>
  <si>
    <t>ID0946</t>
  </si>
  <si>
    <t>ID0948</t>
  </si>
  <si>
    <t>ID0949</t>
  </si>
  <si>
    <t>ID0950</t>
  </si>
  <si>
    <t>ID0951</t>
  </si>
  <si>
    <t>ID0952</t>
  </si>
  <si>
    <t>ID0953</t>
  </si>
  <si>
    <t>ID0954</t>
  </si>
  <si>
    <t>ID0955</t>
  </si>
  <si>
    <t>ID0957</t>
  </si>
  <si>
    <t>ID0958</t>
  </si>
  <si>
    <t>ID0959</t>
  </si>
  <si>
    <t>ID0960</t>
  </si>
  <si>
    <t>ID0961</t>
  </si>
  <si>
    <t>ID0962</t>
  </si>
  <si>
    <t>ID0963</t>
  </si>
  <si>
    <t>ID0964</t>
  </si>
  <si>
    <t>ID0965</t>
  </si>
  <si>
    <t>ID0966</t>
  </si>
  <si>
    <t>ID0967</t>
  </si>
  <si>
    <t>ID0968</t>
  </si>
  <si>
    <t>ID0969</t>
  </si>
  <si>
    <t>ID0970</t>
  </si>
  <si>
    <t>ID0971</t>
  </si>
  <si>
    <t>ID0972</t>
  </si>
  <si>
    <t>ID0973</t>
  </si>
  <si>
    <t>ID0974</t>
  </si>
  <si>
    <t>ID0975</t>
  </si>
  <si>
    <t>ID0976</t>
  </si>
  <si>
    <t>ID0977</t>
  </si>
  <si>
    <t>ID0978</t>
  </si>
  <si>
    <t>ID0979</t>
  </si>
  <si>
    <t>ID0980</t>
  </si>
  <si>
    <t>ID0981</t>
  </si>
  <si>
    <t>ID0983</t>
  </si>
  <si>
    <t>ID0984</t>
  </si>
  <si>
    <t>ID0985</t>
  </si>
  <si>
    <t>ID0986</t>
  </si>
  <si>
    <t>ID0987</t>
  </si>
  <si>
    <t>ID0988</t>
  </si>
  <si>
    <t>ID0989</t>
  </si>
  <si>
    <t>ID0990</t>
  </si>
  <si>
    <t>ID0991</t>
  </si>
  <si>
    <t>ID0992</t>
  </si>
  <si>
    <t>ID0993</t>
  </si>
  <si>
    <t>ID0994</t>
  </si>
  <si>
    <t>ID0995</t>
  </si>
  <si>
    <t>ID0996</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</si>
  <si>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</si>
  <si>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</si>
  <si>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</si>
  <si>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</si>
  <si>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</si>
  <si>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</si>
  <si>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</si>
  <si>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</si>
  <si>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</si>
  <si>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</si>
  <si>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</si>
  <si>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</si>
  <si>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</si>
  <si>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</si>
  <si>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</si>
  <si>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</si>
  <si>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</si>
  <si>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</si>
  <si>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</si>
  <si>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</si>
  <si>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</si>
  <si>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</si>
  <si>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</si>
  <si>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</si>
  <si>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ID1023</t>
  </si>
  <si>
    <t>ID1024</t>
  </si>
  <si>
    <t>ID1025</t>
  </si>
  <si>
    <t>ID1026</t>
  </si>
  <si>
    <t>ID1027</t>
  </si>
  <si>
    <t>ID1028</t>
  </si>
  <si>
    <t>ID1029</t>
  </si>
  <si>
    <t>ID1030</t>
  </si>
  <si>
    <t>ID1031</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</si>
  <si>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</si>
  <si>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</si>
  <si>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</si>
  <si>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</si>
  <si>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</si>
  <si>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</si>
  <si>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</si>
  <si>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</si>
  <si>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</si>
  <si>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</si>
  <si>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</si>
  <si>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</si>
  <si>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</si>
  <si>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</si>
  <si>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</si>
  <si>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</si>
  <si>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</si>
  <si>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</si>
  <si>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</si>
  <si>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</si>
  <si>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</si>
  <si>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</si>
  <si>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</si>
  <si>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</si>
  <si>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</si>
  <si>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</si>
  <si>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</si>
  <si>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</si>
  <si>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</si>
  <si>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</si>
  <si>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</si>
  <si>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</si>
  <si>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</si>
  <si>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</si>
  <si>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</si>
  <si>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</si>
  <si>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</si>
  <si>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</si>
  <si>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</si>
  <si>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</si>
  <si>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</si>
  <si>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</si>
  <si>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</si>
  <si>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</si>
  <si>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</si>
  <si>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</si>
  <si>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</si>
  <si>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</si>
  <si>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</si>
  <si>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</si>
  <si>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</si>
  <si>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</si>
  <si>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</si>
  <si>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</si>
  <si>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</si>
  <si>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</si>
  <si>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</si>
  <si>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</si>
  <si>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</si>
  <si>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</si>
  <si>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ID1094</t>
  </si>
  <si>
    <t>ID1095</t>
  </si>
  <si>
    <t>ID1096</t>
  </si>
  <si>
    <t>ID1097</t>
  </si>
  <si>
    <t>ID1098</t>
  </si>
  <si>
    <t>ID1099</t>
  </si>
  <si>
    <t>ID1100</t>
  </si>
  <si>
    <t>ID1101</t>
  </si>
  <si>
    <t>ID1102</t>
  </si>
  <si>
    <t>ID1103</t>
  </si>
  <si>
    <t>ID1104</t>
  </si>
  <si>
    <t>ID1105</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</si>
  <si>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</si>
  <si>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</si>
  <si>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</si>
  <si>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</si>
  <si>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</si>
  <si>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</si>
  <si>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</si>
  <si>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</si>
  <si>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</si>
  <si>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</si>
  <si>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</si>
  <si>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</si>
  <si>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</si>
  <si>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</si>
  <si>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</si>
  <si>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</si>
  <si>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</si>
  <si>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</si>
  <si>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</si>
  <si>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</si>
  <si>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</si>
  <si>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</si>
  <si>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</si>
  <si>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</si>
  <si>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</si>
  <si>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</si>
  <si>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</si>
  <si>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ID1134</t>
  </si>
  <si>
    <t>ID1135</t>
  </si>
  <si>
    <t>ID1136</t>
  </si>
  <si>
    <t>ID1137</t>
  </si>
  <si>
    <t>ID1138</t>
  </si>
  <si>
    <t>ID1139</t>
  </si>
  <si>
    <t>ID1140</t>
  </si>
  <si>
    <t>ID1141</t>
  </si>
  <si>
    <t>ID1142</t>
  </si>
  <si>
    <t>ID1143</t>
  </si>
  <si>
    <t>ID1144</t>
  </si>
  <si>
    <t>ID1145</t>
  </si>
  <si>
    <t>ID1146</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</si>
  <si>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</si>
  <si>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</si>
  <si>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</si>
  <si>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</si>
  <si>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</si>
  <si>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</si>
  <si>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</si>
  <si>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</si>
  <si>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</si>
  <si>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</si>
  <si>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</si>
  <si>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</si>
  <si>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</si>
  <si>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</si>
  <si>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</si>
  <si>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</si>
  <si>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</si>
  <si>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</si>
  <si>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</si>
  <si>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</si>
  <si>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</si>
  <si>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</si>
  <si>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</si>
  <si>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</si>
  <si>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</si>
  <si>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</si>
  <si>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ID1175</t>
  </si>
  <si>
    <t>ID1176</t>
  </si>
  <si>
    <t>ID1177</t>
  </si>
  <si>
    <t>ID1178</t>
  </si>
  <si>
    <t>ID1179</t>
  </si>
  <si>
    <t>ID1180</t>
  </si>
  <si>
    <t>ID1181</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</si>
  <si>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</si>
  <si>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</si>
  <si>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</si>
  <si>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</si>
  <si>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</si>
  <si>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</si>
  <si>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</si>
  <si>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</si>
  <si>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</si>
  <si>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</si>
  <si>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</si>
  <si>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</si>
  <si>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</si>
  <si>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</si>
  <si>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</si>
  <si>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</si>
  <si>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</si>
  <si>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</si>
  <si>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</si>
  <si>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</si>
  <si>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</si>
  <si>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</si>
  <si>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</si>
  <si>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</si>
  <si>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</si>
  <si>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</si>
  <si>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</si>
  <si>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</si>
  <si>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</si>
  <si>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</si>
  <si>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</si>
  <si>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</si>
  <si>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</si>
  <si>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</si>
  <si>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</si>
  <si>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</si>
  <si>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</si>
  <si>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</si>
  <si>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</si>
  <si>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ID1222</t>
  </si>
  <si>
    <t>ID1223</t>
  </si>
  <si>
    <t>ID1224</t>
  </si>
  <si>
    <t>ID1225</t>
  </si>
  <si>
    <t>ID1226</t>
  </si>
  <si>
    <t>ID1227</t>
  </si>
  <si>
    <t>ID1228</t>
  </si>
  <si>
    <t>ID1229</t>
  </si>
  <si>
    <t>ID1230</t>
  </si>
  <si>
    <t>ID1231</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</si>
  <si>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</si>
  <si>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</si>
  <si>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</si>
  <si>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</si>
  <si>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</si>
  <si>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</si>
  <si>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</si>
  <si>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</si>
  <si>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</si>
  <si>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</si>
  <si>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</si>
  <si>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</si>
  <si>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</si>
  <si>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</si>
  <si>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</si>
  <si>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</si>
  <si>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</si>
  <si>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</si>
  <si>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</si>
  <si>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</si>
  <si>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</si>
  <si>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</si>
  <si>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</si>
  <si>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</si>
  <si>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</si>
  <si>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</si>
  <si>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</si>
  <si>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</si>
  <si>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</si>
  <si>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</si>
  <si>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</si>
  <si>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</si>
  <si>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</si>
  <si>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</si>
  <si>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</si>
  <si>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</si>
  <si>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</si>
  <si>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ID1270</t>
  </si>
  <si>
    <t>ID1271</t>
  </si>
  <si>
    <t>ID1273</t>
  </si>
  <si>
    <t>ID1274</t>
  </si>
  <si>
    <t>ID1275</t>
  </si>
  <si>
    <t>ID1276</t>
  </si>
  <si>
    <t>ID1277</t>
  </si>
  <si>
    <t>ID1278</t>
  </si>
  <si>
    <t>ID1279</t>
  </si>
  <si>
    <t>ID1280</t>
  </si>
  <si>
    <t>ID1281</t>
  </si>
  <si>
    <t>ID1282</t>
  </si>
  <si>
    <t>ID1283</t>
  </si>
  <si>
    <t>ID1284</t>
  </si>
  <si>
    <t>ID1285</t>
  </si>
  <si>
    <t>ID1286</t>
  </si>
  <si>
    <t>ID1287</t>
  </si>
  <si>
    <t>ID1288</t>
  </si>
  <si>
    <t>ID1289</t>
  </si>
  <si>
    <t>ID1290</t>
  </si>
  <si>
    <t>ID1291</t>
  </si>
  <si>
    <t>ID1292</t>
  </si>
  <si>
    <t>ID1294</t>
  </si>
  <si>
    <t>ID1295</t>
  </si>
  <si>
    <t>ID1296</t>
  </si>
  <si>
    <t>ID1297</t>
  </si>
  <si>
    <t>ID1298</t>
  </si>
  <si>
    <t>ID1299</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</si>
  <si>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</si>
  <si>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</si>
  <si>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</si>
  <si>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</si>
  <si>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</si>
  <si>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</si>
  <si>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</si>
  <si>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</si>
  <si>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</si>
  <si>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</si>
  <si>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</si>
  <si>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</si>
  <si>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</si>
  <si>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</si>
  <si>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</si>
  <si>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</si>
  <si>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</si>
  <si>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</si>
  <si>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</si>
  <si>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</si>
  <si>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ID1322</t>
  </si>
  <si>
    <t>ID1323</t>
  </si>
  <si>
    <t>ID1324</t>
  </si>
  <si>
    <t>ID1325</t>
  </si>
  <si>
    <t>ID1326</t>
  </si>
  <si>
    <t>ID1327</t>
  </si>
  <si>
    <t>ID1328</t>
  </si>
  <si>
    <t>ID1329</t>
  </si>
  <si>
    <t>ID1330</t>
  </si>
  <si>
    <t>ID1331</t>
  </si>
  <si>
    <t>ID1332</t>
  </si>
  <si>
    <t>ID1333</t>
  </si>
  <si>
    <t>ID1334</t>
  </si>
  <si>
    <t>ID1335</t>
  </si>
  <si>
    <t>ID1336</t>
  </si>
  <si>
    <t>ID1338</t>
  </si>
  <si>
    <t>ID1339</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</si>
  <si>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</si>
  <si>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</si>
  <si>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</si>
  <si>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</si>
  <si>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</si>
  <si>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</si>
  <si>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</si>
  <si>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</si>
  <si>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</si>
  <si>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</si>
  <si>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</si>
  <si>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</si>
  <si>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</si>
  <si>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</si>
  <si>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</si>
  <si>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</si>
  <si>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</si>
  <si>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</si>
  <si>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</si>
  <si>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</si>
  <si>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</si>
  <si>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</si>
  <si>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</si>
  <si>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</si>
  <si>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</si>
  <si>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</si>
  <si>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</si>
  <si>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</si>
  <si>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</si>
  <si>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</si>
  <si>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</si>
  <si>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</si>
  <si>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</si>
  <si>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</si>
  <si>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</si>
  <si>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</si>
  <si>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</si>
  <si>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</si>
  <si>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</si>
  <si>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</si>
  <si>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</si>
  <si>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</si>
  <si>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</si>
  <si>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</si>
  <si>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</si>
  <si>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</si>
  <si>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</si>
  <si>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</si>
  <si>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</si>
  <si>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</si>
  <si>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</si>
  <si>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</si>
  <si>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</si>
  <si>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</si>
  <si>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ID1395</t>
  </si>
  <si>
    <t>ID1396</t>
  </si>
  <si>
    <t>ID1397</t>
  </si>
  <si>
    <t>ID1398</t>
  </si>
  <si>
    <t>ID1399</t>
  </si>
  <si>
    <t>ID1400</t>
  </si>
  <si>
    <t>ID1401</t>
  </si>
  <si>
    <t>ID1402</t>
  </si>
  <si>
    <t>ID1403</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</si>
  <si>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</si>
  <si>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</si>
  <si>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</si>
  <si>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</si>
  <si>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</si>
  <si>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</si>
  <si>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</si>
  <si>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</si>
  <si>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</si>
  <si>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</si>
  <si>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</si>
  <si>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</si>
  <si>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</si>
  <si>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</si>
  <si>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</si>
  <si>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</si>
  <si>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</si>
  <si>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</si>
  <si>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</si>
  <si>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</si>
  <si>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</si>
  <si>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</si>
  <si>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</si>
  <si>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</si>
  <si>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</si>
  <si>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</si>
  <si>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</si>
  <si>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</si>
  <si>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</si>
  <si>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</si>
  <si>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</si>
  <si>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</si>
  <si>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</si>
  <si>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</si>
  <si>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</si>
  <si>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</si>
  <si>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</si>
  <si>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</si>
  <si>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</si>
  <si>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</si>
  <si>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</si>
  <si>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</si>
  <si>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</si>
  <si>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</si>
  <si>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</si>
  <si>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</si>
  <si>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</si>
  <si>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</si>
  <si>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</si>
  <si>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</si>
  <si>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</si>
  <si>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</si>
  <si>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</si>
  <si>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</si>
  <si>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</si>
  <si>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</si>
  <si>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</si>
  <si>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</si>
  <si>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</si>
  <si>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ID1464</t>
  </si>
  <si>
    <t>ID1465</t>
  </si>
  <si>
    <t>ID1466</t>
  </si>
  <si>
    <t>ID1467</t>
  </si>
  <si>
    <t>ID1468</t>
  </si>
  <si>
    <t>ID1469</t>
  </si>
  <si>
    <t>ID1470</t>
  </si>
  <si>
    <t>ID1471</t>
  </si>
  <si>
    <t>ID1472</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</si>
  <si>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</si>
  <si>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</si>
  <si>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</si>
  <si>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</si>
  <si>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</si>
  <si>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</si>
  <si>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</si>
  <si>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</si>
  <si>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</si>
  <si>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</si>
  <si>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</si>
  <si>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</si>
  <si>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</si>
  <si>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</si>
  <si>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</si>
  <si>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</si>
  <si>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</si>
  <si>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</si>
  <si>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</si>
  <si>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</si>
  <si>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</si>
  <si>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</si>
  <si>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</si>
  <si>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</si>
  <si>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</si>
  <si>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</si>
  <si>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</si>
  <si>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</si>
  <si>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</si>
  <si>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</si>
  <si>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</si>
  <si>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</si>
  <si>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</si>
  <si>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</si>
  <si>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</si>
  <si>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</si>
  <si>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</si>
  <si>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</si>
  <si>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</si>
  <si>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</si>
  <si>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</si>
  <si>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</si>
  <si>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</si>
  <si>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ID1519</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</si>
  <si>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</si>
  <si>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</si>
  <si>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</si>
  <si>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</si>
  <si>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</si>
  <si>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</si>
  <si>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</si>
  <si>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</si>
  <si>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</si>
  <si>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</si>
  <si>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</si>
  <si>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</si>
  <si>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</si>
  <si>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</si>
  <si>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</si>
  <si>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</si>
  <si>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</si>
  <si>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</si>
  <si>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</si>
  <si>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</si>
  <si>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</si>
  <si>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</si>
  <si>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</si>
  <si>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</si>
  <si>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</si>
  <si>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</si>
  <si>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</si>
  <si>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</si>
  <si>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</si>
  <si>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</si>
  <si>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</si>
  <si>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</si>
  <si>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</si>
  <si>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</si>
  <si>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</si>
  <si>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</si>
  <si>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</si>
  <si>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</si>
  <si>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</si>
  <si>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</si>
  <si>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</si>
  <si>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</si>
  <si>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</si>
  <si>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</si>
  <si>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</si>
  <si>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</si>
  <si>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</si>
  <si>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ID1569</t>
  </si>
  <si>
    <t>ID1570</t>
  </si>
  <si>
    <t>ID1571</t>
  </si>
  <si>
    <t>ID1572</t>
  </si>
  <si>
    <t>ID1573</t>
  </si>
  <si>
    <t>ID1574</t>
  </si>
  <si>
    <t>ID1575</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</si>
  <si>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</si>
  <si>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</si>
  <si>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</si>
  <si>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</si>
  <si>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</si>
  <si>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</si>
  <si>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</si>
  <si>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</si>
  <si>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</si>
  <si>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</si>
  <si>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</si>
  <si>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</si>
  <si>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</si>
  <si>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</si>
  <si>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</si>
  <si>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</si>
  <si>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</si>
  <si>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</si>
  <si>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</si>
  <si>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</si>
  <si>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</si>
  <si>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</si>
  <si>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</si>
  <si>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</si>
  <si>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</si>
  <si>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</si>
  <si>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</si>
  <si>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</si>
  <si>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</si>
  <si>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</si>
  <si>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</si>
  <si>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</si>
  <si>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</si>
  <si>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</si>
  <si>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</si>
  <si>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</si>
  <si>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</si>
  <si>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</si>
  <si>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</si>
  <si>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</si>
  <si>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</si>
  <si>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</si>
  <si>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</si>
  <si>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</si>
  <si>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</si>
  <si>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ID1623</t>
  </si>
  <si>
    <t>ID1624</t>
  </si>
  <si>
    <t>ID1625</t>
  </si>
  <si>
    <t>ID1626</t>
  </si>
  <si>
    <t>ID1627</t>
  </si>
  <si>
    <t>ID1628</t>
  </si>
  <si>
    <t>ID1629</t>
  </si>
  <si>
    <t>ID1630</t>
  </si>
  <si>
    <t>ID1631</t>
  </si>
  <si>
    <t>ID1632</t>
  </si>
  <si>
    <t>ID1633</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</si>
  <si>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</si>
  <si>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</si>
  <si>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</si>
  <si>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</si>
  <si>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</si>
  <si>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</si>
  <si>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</si>
  <si>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</si>
  <si>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</si>
  <si>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</si>
  <si>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</si>
  <si>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</si>
  <si>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</si>
  <si>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</si>
  <si>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</si>
  <si>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</si>
  <si>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</si>
  <si>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</si>
  <si>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</si>
  <si>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</si>
  <si>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</si>
  <si>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</si>
  <si>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</si>
  <si>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</si>
  <si>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</si>
  <si>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</si>
  <si>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</si>
  <si>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</si>
  <si>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</si>
  <si>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</si>
  <si>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</si>
  <si>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</si>
  <si>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</si>
  <si>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</si>
  <si>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</si>
  <si>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</si>
  <si>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</si>
  <si>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</si>
  <si>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</si>
  <si>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</si>
  <si>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</si>
  <si>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</si>
  <si>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</si>
  <si>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</si>
  <si>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</si>
  <si>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</si>
  <si>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</si>
  <si>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</si>
  <si>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</si>
  <si>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</si>
  <si>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</si>
  <si>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</si>
  <si>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</si>
  <si>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</si>
  <si>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</si>
  <si>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</si>
  <si>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</si>
  <si>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</si>
  <si>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</si>
  <si>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</si>
  <si>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</si>
  <si>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</si>
  <si>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</si>
  <si>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</si>
  <si>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</si>
  <si>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</si>
  <si>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</si>
  <si>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</si>
  <si>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</si>
  <si>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</si>
  <si>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</si>
  <si>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</si>
  <si>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</si>
  <si>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ID1710</t>
  </si>
  <si>
    <t>ID1711</t>
  </si>
  <si>
    <t>ID1712</t>
  </si>
  <si>
    <t>ID1713</t>
  </si>
  <si>
    <t>ID1714</t>
  </si>
  <si>
    <t>ID1716</t>
  </si>
  <si>
    <t>ID1717</t>
  </si>
  <si>
    <t>ID1718</t>
  </si>
  <si>
    <t>ID1719</t>
  </si>
  <si>
    <t>ID1720</t>
  </si>
  <si>
    <t>ID1721</t>
  </si>
  <si>
    <t>ID1722</t>
  </si>
  <si>
    <t>ID1723</t>
  </si>
  <si>
    <t>ID1724</t>
  </si>
  <si>
    <t>ID1725</t>
  </si>
  <si>
    <t>ID1726</t>
  </si>
  <si>
    <t>ID1727</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</si>
  <si>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</si>
  <si>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</si>
  <si>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</si>
  <si>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</si>
  <si>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</si>
  <si>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</si>
  <si>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</si>
  <si>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</si>
  <si>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</si>
  <si>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</si>
  <si>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</si>
  <si>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</si>
  <si>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</si>
  <si>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</si>
  <si>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</si>
  <si>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</si>
  <si>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</si>
  <si>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</si>
  <si>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</si>
  <si>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</si>
  <si>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</si>
  <si>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</si>
  <si>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</si>
  <si>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</si>
  <si>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</si>
  <si>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</si>
  <si>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</si>
  <si>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</si>
  <si>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</si>
  <si>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</si>
  <si>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</si>
  <si>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</si>
  <si>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</si>
  <si>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</si>
  <si>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</si>
  <si>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</si>
  <si>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</si>
  <si>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</si>
  <si>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</si>
  <si>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</si>
  <si>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</si>
  <si>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</si>
  <si>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</si>
  <si>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</si>
  <si>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</si>
  <si>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</si>
  <si>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</si>
  <si>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</si>
  <si>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</si>
  <si>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</si>
  <si>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</si>
  <si>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</si>
  <si>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</si>
  <si>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</si>
  <si>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</si>
  <si>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</si>
  <si>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</si>
  <si>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</si>
  <si>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</si>
  <si>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</si>
  <si>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</si>
  <si>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</si>
  <si>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</si>
  <si>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</si>
  <si>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</si>
  <si>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</si>
  <si>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</si>
  <si>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</si>
  <si>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</si>
  <si>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</si>
  <si>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</si>
  <si>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</si>
  <si>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</si>
  <si>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</si>
  <si>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</si>
  <si>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</si>
  <si>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</si>
  <si>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</si>
  <si>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</si>
  <si>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</si>
  <si>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</si>
  <si>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</si>
  <si>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</si>
  <si>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</si>
  <si>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</si>
  <si>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</si>
  <si>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</si>
  <si>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</si>
  <si>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</si>
  <si>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</si>
  <si>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</si>
  <si>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</si>
  <si>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</si>
  <si>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</si>
  <si>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</si>
  <si>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</si>
  <si>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</si>
  <si>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</si>
  <si>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</si>
  <si>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</si>
  <si>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</si>
  <si>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</si>
  <si>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</si>
  <si>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</si>
  <si>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</si>
  <si>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</si>
  <si>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</si>
  <si>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</si>
  <si>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</si>
  <si>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</si>
  <si>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</si>
  <si>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</si>
  <si>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</si>
  <si>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</si>
  <si>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</si>
  <si>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</si>
  <si>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ID1846</t>
  </si>
  <si>
    <t>ID1847</t>
  </si>
  <si>
    <t>ID1848</t>
  </si>
  <si>
    <t>ID1849</t>
  </si>
  <si>
    <t>ID1850</t>
  </si>
  <si>
    <t>ID1851</t>
  </si>
  <si>
    <t>ID1852</t>
  </si>
  <si>
    <t>ID1853</t>
  </si>
  <si>
    <t>ID1854</t>
  </si>
  <si>
    <t>ID1855</t>
  </si>
  <si>
    <t>ID1857</t>
  </si>
  <si>
    <t>ID1858</t>
  </si>
  <si>
    <t>ID1860</t>
  </si>
  <si>
    <t>ID1861</t>
  </si>
  <si>
    <t>ID1862</t>
  </si>
  <si>
    <t>ID1863</t>
  </si>
  <si>
    <t>ID1864</t>
  </si>
  <si>
    <t>ID1865</t>
  </si>
  <si>
    <t>ID1866</t>
  </si>
  <si>
    <t>ID1868</t>
  </si>
  <si>
    <t>ID1869</t>
  </si>
  <si>
    <t>ID1870</t>
  </si>
  <si>
    <t>ID1871</t>
  </si>
  <si>
    <t>ID1872</t>
  </si>
  <si>
    <t>ID1873</t>
  </si>
  <si>
    <t>ID1874</t>
  </si>
  <si>
    <t>ID1875</t>
  </si>
  <si>
    <t>ID1876</t>
  </si>
  <si>
    <t>ID1877</t>
  </si>
  <si>
    <t>ID1878</t>
  </si>
  <si>
    <t>ID1879</t>
  </si>
  <si>
    <t>ID1880</t>
  </si>
  <si>
    <t>ID1881</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</si>
  <si>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</si>
  <si>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</si>
  <si>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</si>
  <si>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</si>
  <si>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</si>
  <si>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</si>
  <si>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</si>
  <si>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</si>
  <si>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</si>
  <si>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</si>
  <si>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</si>
  <si>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</si>
  <si>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</si>
  <si>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</si>
  <si>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</si>
  <si>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</si>
  <si>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</si>
  <si>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</si>
  <si>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</si>
  <si>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</si>
  <si>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</si>
  <si>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</si>
  <si>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</si>
  <si>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</si>
  <si>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</si>
  <si>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</si>
  <si>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</si>
  <si>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</si>
  <si>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</si>
  <si>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</si>
  <si>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</si>
  <si>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ID1914</t>
  </si>
  <si>
    <t>ID1915</t>
  </si>
  <si>
    <t>ID1916</t>
  </si>
  <si>
    <t>ID1917</t>
  </si>
  <si>
    <t>ID1918</t>
  </si>
  <si>
    <t>ID1919</t>
  </si>
  <si>
    <t>ID1920</t>
  </si>
  <si>
    <t>ID1921</t>
  </si>
  <si>
    <t>ID1922</t>
  </si>
  <si>
    <t>ID1924</t>
  </si>
  <si>
    <t>ID1927</t>
  </si>
  <si>
    <t>ID1928</t>
  </si>
  <si>
    <t>ID1929</t>
  </si>
  <si>
    <t>ID1930</t>
  </si>
  <si>
    <t>ID1931</t>
  </si>
  <si>
    <t>ID1932</t>
  </si>
  <si>
    <t>in USD</t>
  </si>
  <si>
    <t>Value of 1 American Dollar</t>
  </si>
  <si>
    <t xml:space="preserve">     Argentine Peso </t>
  </si>
  <si>
    <t>ARS</t>
  </si>
  <si>
    <t xml:space="preserve">     Australian Dollar </t>
  </si>
  <si>
    <t xml:space="preserve">     Botswana Pula </t>
  </si>
  <si>
    <t>BWP</t>
  </si>
  <si>
    <t xml:space="preserve">     Brazilian Real </t>
  </si>
  <si>
    <t>BRL</t>
  </si>
  <si>
    <t xml:space="preserve">     British Pound </t>
  </si>
  <si>
    <t xml:space="preserve">     Brunei dollar </t>
  </si>
  <si>
    <t>BND</t>
  </si>
  <si>
    <t xml:space="preserve">     Bulgarian Lev </t>
  </si>
  <si>
    <t>BGN</t>
  </si>
  <si>
    <t xml:space="preserve">     Canadian Dollar </t>
  </si>
  <si>
    <t xml:space="preserve">     Chilean Peso </t>
  </si>
  <si>
    <t>CLP</t>
  </si>
  <si>
    <t xml:space="preserve">     Chinese Yuan </t>
  </si>
  <si>
    <t>CNY</t>
  </si>
  <si>
    <t xml:space="preserve">     Colombian Peso </t>
  </si>
  <si>
    <t>COP</t>
  </si>
  <si>
    <t xml:space="preserve">     Croatian Kuna </t>
  </si>
  <si>
    <t>HRK</t>
  </si>
  <si>
    <t xml:space="preserve">     Danish Krone </t>
  </si>
  <si>
    <t xml:space="preserve">     Euro </t>
  </si>
  <si>
    <t xml:space="preserve">     Hong Kong Dollar </t>
  </si>
  <si>
    <t>HKD</t>
  </si>
  <si>
    <t xml:space="preserve">     Hungarian Forint </t>
  </si>
  <si>
    <t>HUF</t>
  </si>
  <si>
    <t xml:space="preserve">     Iceland Krona </t>
  </si>
  <si>
    <t>ISK</t>
  </si>
  <si>
    <t xml:space="preserve">     Indian Rupee </t>
  </si>
  <si>
    <t xml:space="preserve">     Indonesian Rupiah </t>
  </si>
  <si>
    <t xml:space="preserve">     Israeli New Shekel </t>
  </si>
  <si>
    <t>ILS</t>
  </si>
  <si>
    <t xml:space="preserve">     Japanese Yen </t>
  </si>
  <si>
    <t xml:space="preserve">     Kazakhstani Tenge </t>
  </si>
  <si>
    <t>KZT</t>
  </si>
  <si>
    <t xml:space="preserve">     Kuwaiti Dinar </t>
  </si>
  <si>
    <t>KWD</t>
  </si>
  <si>
    <t xml:space="preserve">     Latvian Lat </t>
  </si>
  <si>
    <t>LVL</t>
  </si>
  <si>
    <t xml:space="preserve">     Libyan Dinar </t>
  </si>
  <si>
    <t>LYD</t>
  </si>
  <si>
    <t xml:space="preserve">     Lithuanian Litas </t>
  </si>
  <si>
    <t>LTL</t>
  </si>
  <si>
    <t xml:space="preserve">     Malaysian Ringgit </t>
  </si>
  <si>
    <t>MYR</t>
  </si>
  <si>
    <t xml:space="preserve">     Mauritius Rupee </t>
  </si>
  <si>
    <t>MUR</t>
  </si>
  <si>
    <t xml:space="preserve">     Mexican Peso </t>
  </si>
  <si>
    <t xml:space="preserve">     Nepalese Rupee </t>
  </si>
  <si>
    <t>NPR</t>
  </si>
  <si>
    <t xml:space="preserve">     New Zealand Dollar </t>
  </si>
  <si>
    <t xml:space="preserve">     Norwegian Kroner </t>
  </si>
  <si>
    <t xml:space="preserve">     Omani Rial </t>
  </si>
  <si>
    <t>OMR</t>
  </si>
  <si>
    <t xml:space="preserve">     Pakistan Rupee </t>
  </si>
  <si>
    <t xml:space="preserve">     Philippine Peso </t>
  </si>
  <si>
    <t>PHP</t>
  </si>
  <si>
    <t xml:space="preserve">     Qatari Rial </t>
  </si>
  <si>
    <t>QAR</t>
  </si>
  <si>
    <t xml:space="preserve">     Romanian Leu </t>
  </si>
  <si>
    <t xml:space="preserve">     Russian Ruble </t>
  </si>
  <si>
    <t>RUB</t>
  </si>
  <si>
    <t xml:space="preserve">     Saudi Riyal </t>
  </si>
  <si>
    <t>SAR</t>
  </si>
  <si>
    <t xml:space="preserve">     Singapore Dollar </t>
  </si>
  <si>
    <t xml:space="preserve">     South African Rand </t>
  </si>
  <si>
    <t xml:space="preserve">     South Korean Won </t>
  </si>
  <si>
    <t>KRW</t>
  </si>
  <si>
    <t xml:space="preserve">     Sri Lanka Rupee </t>
  </si>
  <si>
    <t xml:space="preserve">     Swedish Krona </t>
  </si>
  <si>
    <t xml:space="preserve">     Swiss Franc </t>
  </si>
  <si>
    <t xml:space="preserve">     Taiwan Dollar </t>
  </si>
  <si>
    <t>TWD</t>
  </si>
  <si>
    <t xml:space="preserve">     Thai Baht </t>
  </si>
  <si>
    <t>THB</t>
  </si>
  <si>
    <t xml:space="preserve">     Trinidad/Tobago Dollar </t>
  </si>
  <si>
    <t>TTD</t>
  </si>
  <si>
    <t xml:space="preserve">     Turkish Lira </t>
  </si>
  <si>
    <t>TRY</t>
  </si>
  <si>
    <t xml:space="preserve">     Venezuelan Bolivar </t>
  </si>
  <si>
    <t>VEF</t>
  </si>
  <si>
    <t>Source: Xrates on 6/21/2012</t>
  </si>
  <si>
    <t>UAE Dirham</t>
  </si>
  <si>
    <t>Salary in USD</t>
  </si>
  <si>
    <t>Bangladesh Takha</t>
  </si>
  <si>
    <t>Costarican CRC</t>
  </si>
  <si>
    <t>Costarican</t>
  </si>
  <si>
    <t>Egyptian Pound</t>
  </si>
  <si>
    <t>NAIRA</t>
  </si>
  <si>
    <t>Nigerian Naira</t>
  </si>
  <si>
    <t>DOP</t>
  </si>
  <si>
    <t>Dominican Peso</t>
  </si>
  <si>
    <t>Polish Zloty</t>
  </si>
  <si>
    <t>Kenyan Shilling</t>
  </si>
  <si>
    <t>Mongolian Tughrik</t>
  </si>
  <si>
    <t>Mongolian</t>
  </si>
  <si>
    <t>Moroccan Dirham</t>
  </si>
  <si>
    <t>Ethiopian Birr</t>
  </si>
  <si>
    <t>Years of Experience</t>
  </si>
  <si>
    <t>and xe.com</t>
  </si>
  <si>
    <t>Job Type</t>
  </si>
  <si>
    <t>Reporting</t>
  </si>
  <si>
    <t>Misc.</t>
  </si>
  <si>
    <t>CXO or Top Mgmt.</t>
  </si>
  <si>
    <t>Actual</t>
  </si>
  <si>
    <t>Mapping</t>
  </si>
  <si>
    <t>clean Country</t>
  </si>
  <si>
    <t>Country Mapping</t>
  </si>
  <si>
    <t>Currency Mapping</t>
  </si>
  <si>
    <t>Mapping Sheet</t>
  </si>
  <si>
    <t>Country</t>
  </si>
  <si>
    <t>Group</t>
  </si>
  <si>
    <t>Cyprus</t>
  </si>
  <si>
    <t>Korea</t>
  </si>
  <si>
    <t>Luxembourg</t>
  </si>
  <si>
    <t>Malta</t>
  </si>
  <si>
    <t>Taiwan Province of China</t>
  </si>
  <si>
    <t>Euro Area</t>
  </si>
  <si>
    <t>Classification</t>
  </si>
  <si>
    <t>Major Advanced Economies (G7)</t>
  </si>
  <si>
    <t>Newly Industrialized Asian Economies</t>
  </si>
  <si>
    <t>Other Advanced Economies</t>
  </si>
  <si>
    <t>Latvia</t>
  </si>
  <si>
    <t>Central and Eastern Europe</t>
  </si>
  <si>
    <t>Bosnia and Herzegovina</t>
  </si>
  <si>
    <t>Kosovo</t>
  </si>
  <si>
    <t>Former Yugoslav Republic of Macedonia</t>
  </si>
  <si>
    <t>Serbia</t>
  </si>
  <si>
    <t>Commonwealth of Independent States</t>
  </si>
  <si>
    <t>Belarus</t>
  </si>
  <si>
    <t>Kazakhstan</t>
  </si>
  <si>
    <t>Kyrgyz Republic</t>
  </si>
  <si>
    <t>Moldova</t>
  </si>
  <si>
    <t>Tajikistan</t>
  </si>
  <si>
    <t>Turkmenistan</t>
  </si>
  <si>
    <t>Uzbekistan</t>
  </si>
  <si>
    <t>Developing Asia</t>
  </si>
  <si>
    <t>Islamic Republic of Afghanistan</t>
  </si>
  <si>
    <t>Brunei Darussalam</t>
  </si>
  <si>
    <t>Fiji</t>
  </si>
  <si>
    <t>Kiribati</t>
  </si>
  <si>
    <t>Lao People's Democratic Republic</t>
  </si>
  <si>
    <t>Maldives</t>
  </si>
  <si>
    <t>Nepal</t>
  </si>
  <si>
    <t>Papua New Guinea</t>
  </si>
  <si>
    <t>Samoa</t>
  </si>
  <si>
    <t>Solomon Islands</t>
  </si>
  <si>
    <t>Timor-Leste</t>
  </si>
  <si>
    <t>Tonga</t>
  </si>
  <si>
    <t>Tuvalu</t>
  </si>
  <si>
    <t>Vanuatu</t>
  </si>
  <si>
    <t>Latin America and the Caribbean</t>
  </si>
  <si>
    <t>Antigua and Barbuda</t>
  </si>
  <si>
    <t>The Bahamas</t>
  </si>
  <si>
    <t>Barbados</t>
  </si>
  <si>
    <t>Belize</t>
  </si>
  <si>
    <t>Chile</t>
  </si>
  <si>
    <t>Dominica</t>
  </si>
  <si>
    <t>Ecuador</t>
  </si>
  <si>
    <t>El Salvador</t>
  </si>
  <si>
    <t>Grenada</t>
  </si>
  <si>
    <t>Guatemala</t>
  </si>
  <si>
    <t>Haiti</t>
  </si>
  <si>
    <t>Honduras</t>
  </si>
  <si>
    <t>Jamaica</t>
  </si>
  <si>
    <t>Nicaragua</t>
  </si>
  <si>
    <t>St. Kitts and Nevis</t>
  </si>
  <si>
    <t>St. Lucia</t>
  </si>
  <si>
    <t>St. Vincent and the Grenadines</t>
  </si>
  <si>
    <t>Suriname</t>
  </si>
  <si>
    <t>Trinidad and Tobago</t>
  </si>
  <si>
    <t>Venezuela</t>
  </si>
  <si>
    <t>Middle East and North Africa</t>
  </si>
  <si>
    <t>Algeria</t>
  </si>
  <si>
    <t>Bahrain</t>
  </si>
  <si>
    <t>Djibouti</t>
  </si>
  <si>
    <t>Islamic Republic of Iran</t>
  </si>
  <si>
    <t>Iraq</t>
  </si>
  <si>
    <t>Jordan</t>
  </si>
  <si>
    <t>Lebanon</t>
  </si>
  <si>
    <t>Mauritania</t>
  </si>
  <si>
    <t>Republic of Yemen</t>
  </si>
  <si>
    <t>Sudan</t>
  </si>
  <si>
    <t>Syrian Arab Rep.</t>
  </si>
  <si>
    <t>Sub-Saharan Africa</t>
  </si>
  <si>
    <t>Angola</t>
  </si>
  <si>
    <t>Benin</t>
  </si>
  <si>
    <t>Botswana</t>
  </si>
  <si>
    <t>Burkina Faso</t>
  </si>
  <si>
    <t>Burundi</t>
  </si>
  <si>
    <t>Cameroon</t>
  </si>
  <si>
    <t>Cape Verde</t>
  </si>
  <si>
    <t>Central African Republic</t>
  </si>
  <si>
    <t>Chad</t>
  </si>
  <si>
    <t>Comoros</t>
  </si>
  <si>
    <t>Democratic Republic of Congo</t>
  </si>
  <si>
    <t>Republic of Congo</t>
  </si>
  <si>
    <t>Côte d'Ivoire</t>
  </si>
  <si>
    <t>Equatorial Guinea</t>
  </si>
  <si>
    <t>Eritrea</t>
  </si>
  <si>
    <t>Gabon</t>
  </si>
  <si>
    <t>The Gambia</t>
  </si>
  <si>
    <t>Guinea</t>
  </si>
  <si>
    <t>Guinea-Bissau</t>
  </si>
  <si>
    <t>Liberia</t>
  </si>
  <si>
    <t>Madagascar</t>
  </si>
  <si>
    <t>Malawi</t>
  </si>
  <si>
    <t>Mali</t>
  </si>
  <si>
    <t>Mozambique</t>
  </si>
  <si>
    <t>Namibia</t>
  </si>
  <si>
    <t>Niger</t>
  </si>
  <si>
    <t>Rwanda</t>
  </si>
  <si>
    <t>São Tomé and Príncipe</t>
  </si>
  <si>
    <t>Senegal</t>
  </si>
  <si>
    <t>Seychelles</t>
  </si>
  <si>
    <t>Sierra Leone</t>
  </si>
  <si>
    <t>Swaziland</t>
  </si>
  <si>
    <t>Tanzania</t>
  </si>
  <si>
    <t>Togo</t>
  </si>
  <si>
    <t>n/a</t>
  </si>
  <si>
    <t>Implied PPP 2011</t>
  </si>
  <si>
    <t>USD GDP per Capita 2011</t>
  </si>
  <si>
    <t>nil</t>
  </si>
  <si>
    <t>Salary (in local currency)</t>
  </si>
  <si>
    <t>Ignored Values</t>
  </si>
  <si>
    <t>Hours of Work</t>
  </si>
  <si>
    <t>Output</t>
  </si>
  <si>
    <t>4 to 6</t>
  </si>
  <si>
    <t>2 to 3</t>
  </si>
  <si>
    <t>8 Hrs</t>
  </si>
  <si>
    <t>1 or 2</t>
  </si>
  <si>
    <t>Check</t>
  </si>
  <si>
    <t>Min</t>
  </si>
  <si>
    <t>Max</t>
  </si>
  <si>
    <t>Average</t>
  </si>
  <si>
    <t>25th</t>
  </si>
  <si>
    <t>75th</t>
  </si>
  <si>
    <t>Count</t>
  </si>
  <si>
    <t>Overall</t>
  </si>
  <si>
    <t>Calculations</t>
  </si>
  <si>
    <t>Chart</t>
  </si>
  <si>
    <t>Bar 1</t>
  </si>
  <si>
    <t>Bar 2</t>
  </si>
  <si>
    <t>Bar 3</t>
  </si>
  <si>
    <t>Bar 4</t>
  </si>
  <si>
    <t>Region</t>
  </si>
  <si>
    <t>Data Points</t>
  </si>
  <si>
    <t>Mean</t>
  </si>
  <si>
    <t>SD</t>
  </si>
  <si>
    <t>What to Compare</t>
  </si>
  <si>
    <t>Per Capita GDP (USD)</t>
  </si>
  <si>
    <t>0 Hrs</t>
  </si>
  <si>
    <t>Local Currency</t>
  </si>
  <si>
    <t>Convrsion Rate</t>
  </si>
  <si>
    <t>Selection</t>
  </si>
  <si>
    <t>Average Metric</t>
  </si>
  <si>
    <t>Chart Data</t>
  </si>
  <si>
    <t>Hours of Work on Excel</t>
  </si>
  <si>
    <t>Row Number</t>
  </si>
  <si>
    <t>Relevance</t>
  </si>
  <si>
    <t>Relation between Experience and Salary</t>
  </si>
  <si>
    <t>Relation between salary and Experience</t>
  </si>
  <si>
    <t xml:space="preserve"> </t>
  </si>
  <si>
    <t>Lek</t>
  </si>
  <si>
    <t>ALL</t>
  </si>
  <si>
    <t>Armenian Dram</t>
  </si>
  <si>
    <t>AMD</t>
  </si>
  <si>
    <t>Azerbaijanian Manat</t>
  </si>
  <si>
    <t>AZN</t>
  </si>
  <si>
    <t>Ngultrum</t>
  </si>
  <si>
    <t>BTN</t>
  </si>
  <si>
    <t>Boliviano</t>
  </si>
  <si>
    <t>BOB</t>
  </si>
  <si>
    <t>Riel</t>
  </si>
  <si>
    <t>KHR</t>
  </si>
  <si>
    <t>Czech Koruna</t>
  </si>
  <si>
    <t>CZK</t>
  </si>
  <si>
    <t>Lari</t>
  </si>
  <si>
    <t>GEL</t>
  </si>
  <si>
    <t>Ghana Cedi</t>
  </si>
  <si>
    <t>GHS</t>
  </si>
  <si>
    <t>Guyana Dollar</t>
  </si>
  <si>
    <t>GYD</t>
  </si>
  <si>
    <t>Loti</t>
  </si>
  <si>
    <t>LSL</t>
  </si>
  <si>
    <t>Kwacha</t>
  </si>
  <si>
    <t>Mozambique Metical</t>
  </si>
  <si>
    <t>MZN</t>
  </si>
  <si>
    <t>Kyat</t>
  </si>
  <si>
    <t>MMK</t>
  </si>
  <si>
    <t>Guarani</t>
  </si>
  <si>
    <t>PYG</t>
  </si>
  <si>
    <t>Nuevo Sol</t>
  </si>
  <si>
    <t>PEN</t>
  </si>
  <si>
    <t>Tunisian Dinar</t>
  </si>
  <si>
    <t>TND</t>
  </si>
  <si>
    <t>Uganda Shilling</t>
  </si>
  <si>
    <t>UGX</t>
  </si>
  <si>
    <t>Hryvnia</t>
  </si>
  <si>
    <t>UAH</t>
  </si>
  <si>
    <t>Peso Uruguayo</t>
  </si>
  <si>
    <t>UYU</t>
  </si>
  <si>
    <t>Dong</t>
  </si>
  <si>
    <t>VND</t>
  </si>
  <si>
    <t>ZMK</t>
  </si>
  <si>
    <t>Zimbabwe Dollar</t>
  </si>
  <si>
    <t>ZWD</t>
  </si>
  <si>
    <t>PPP adjustment (USD)</t>
  </si>
  <si>
    <t>Implied PPP 2011 (in local currency)</t>
  </si>
  <si>
    <t>What to compare</t>
  </si>
  <si>
    <t>Check for PPP</t>
  </si>
  <si>
    <t>Check for GDC/Capita</t>
  </si>
  <si>
    <t>y=mx+c</t>
  </si>
  <si>
    <t>m</t>
  </si>
  <si>
    <t>c</t>
  </si>
  <si>
    <t>R2</t>
  </si>
  <si>
    <t>Analysis of Salary data of Excel professionals</t>
  </si>
  <si>
    <t>s</t>
  </si>
  <si>
    <t>Hours of Work on Excel per day</t>
  </si>
  <si>
    <t>Text</t>
  </si>
  <si>
    <t>Hours of  Excel</t>
  </si>
  <si>
    <t>Iranian rial</t>
  </si>
  <si>
    <t>IRR</t>
  </si>
  <si>
    <t>Cleaning of Data</t>
  </si>
  <si>
    <t>Countries of some other participants have been further cleaned to Fit into WTO data.</t>
  </si>
  <si>
    <t>The following Data is taken from the WTO website.</t>
  </si>
  <si>
    <t>Implied PPP data for 184 countries for 2011</t>
  </si>
  <si>
    <t>Per Capita GDP for 184 countries for 2011</t>
  </si>
  <si>
    <t>The Currency of Zimbabwe was changed during the last 2 years because of Hyperinflation. So I have made some random changes for the data to fit.</t>
  </si>
  <si>
    <t>Features</t>
  </si>
  <si>
    <t>salary as times of GDP per Capita</t>
  </si>
  <si>
    <t>PPP adjusted salaries</t>
  </si>
  <si>
    <t xml:space="preserve">The Dash board can be used to compare any of </t>
  </si>
  <si>
    <t>Dollar salaries</t>
  </si>
  <si>
    <t>Straight Comparasion</t>
  </si>
  <si>
    <t>Salaries adjusted to prices</t>
  </si>
  <si>
    <t>Salary compared to income of an average person in country</t>
  </si>
  <si>
    <t>The salary of individuals or countries are not displayed, but only the distribution among the economic regions is shown for a wider perspective.</t>
  </si>
  <si>
    <t>The main plot is a block and whisker chart with a slight adjustment. The Main plot is explained below.</t>
  </si>
  <si>
    <t>Any section of the survey participants can be analysed by slicing the data. For example you can compare the salries across geographies for only analysts, or for anly people who use excel for 1 or 2 hrs or for only accountants who use excel for 2-3 hrs a day.</t>
  </si>
  <si>
    <t>Sub Panel 1 is  a scatter plot between salary and experience. It also shows a regression summary between the variables in the region.</t>
  </si>
  <si>
    <t>Sub Panel 2 compares the average salary across the Job Types. It also shows the number of data points such that the reader is careful when he/she looks at numbers.</t>
  </si>
  <si>
    <t>The data of 17 survey participants, who have given the following as their countries, have been removed.</t>
  </si>
  <si>
    <t>Sub Panel 3 compares the average salary across hours of work per day. It also shows the number of data points. It also shows a regression line.</t>
  </si>
  <si>
    <t>The way they have divided the world in 10 economic zones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</si>
</sst>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 #,##0.00_ ;_ * \-#,##0.00_ ;_ * &quot;-&quot;??_ ;_ @_ "/>
    <numFmt numFmtId="164" formatCode="_ * #,##0_ ;_ * \-#,##0_ ;_ * &quot;-&quot;??_ ;_ @_ "/>
    <numFmt numFmtId="165" formatCode="#,##0_ ;\-#,##0\ "/>
  </numFmts>
  <fonts count="23" x14ac:knownFonts="1">
    <font>
      <sz val="11"/>
      <color theme="1"/>
      <name val="Calibri"/>
      <family val="2"/>
      <scheme val="minor"/>
    </font>
    <font>
      <u/>
      <sz val="11"/>
      <color theme="10"/>
      <name val="Calibri"/>
      <family val="2"/>
      <scheme val="minor"/>
    </font>
    <font>
      <sz val="18"/>
      <color theme="1"/>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13"/>
      <color theme="3"/>
      <name val="Calibri"/>
      <family val="2"/>
      <scheme val="minor"/>
    </font>
    <font>
      <b/>
      <u/>
      <sz val="11"/>
      <color theme="1"/>
      <name val="Calibri"/>
      <family val="2"/>
      <scheme val="minor"/>
    </font>
    <font>
      <sz val="8"/>
      <color theme="1"/>
      <name val="Calibri"/>
      <family val="2"/>
      <scheme val="minor"/>
    </font>
    <font>
      <b/>
      <sz val="13"/>
      <color theme="3"/>
      <name val="Cambria"/>
      <family val="1"/>
      <scheme val="major"/>
    </font>
    <font>
      <sz val="8"/>
      <color rgb="FF000000"/>
      <name val="Tahoma"/>
      <family val="2"/>
    </font>
    <font>
      <sz val="9"/>
      <color theme="1"/>
      <name val="Calibri"/>
      <family val="2"/>
      <scheme val="minor"/>
    </font>
    <font>
      <sz val="8"/>
      <color theme="1"/>
      <name val="Webdings"/>
      <family val="1"/>
      <charset val="2"/>
    </font>
    <font>
      <sz val="9"/>
      <color indexed="81"/>
      <name val="Tahoma"/>
      <family val="2"/>
    </font>
    <font>
      <b/>
      <sz val="9"/>
      <color indexed="81"/>
      <name val="Tahoma"/>
      <family val="2"/>
    </font>
    <font>
      <b/>
      <sz val="8"/>
      <color theme="1"/>
      <name val="Calibri"/>
      <family val="2"/>
      <scheme val="minor"/>
    </font>
    <font>
      <b/>
      <sz val="9"/>
      <color theme="1"/>
      <name val="Calibri"/>
      <family val="2"/>
      <scheme val="minor"/>
    </font>
    <font>
      <sz val="9"/>
      <color theme="1"/>
      <name val="Webdings"/>
      <family val="1"/>
      <charset val="2"/>
    </font>
    <font>
      <sz val="9"/>
      <color theme="1"/>
      <name val="Cambria"/>
      <family val="1"/>
      <scheme val="major"/>
    </font>
    <font>
      <sz val="8"/>
      <color theme="1"/>
      <name val="Cambria"/>
      <family val="1"/>
      <scheme val="major"/>
    </font>
    <font>
      <sz val="7"/>
      <color theme="1"/>
      <name val="Cambria"/>
      <family val="1"/>
      <scheme val="major"/>
    </font>
    <font>
      <b/>
      <sz val="8"/>
      <color theme="1"/>
      <name val="Cambria"/>
      <family val="1"/>
      <scheme val="major"/>
    </font>
    <font>
      <b/>
      <sz val="15"/>
      <color theme="3"/>
      <name val="Calibri"/>
      <family val="2"/>
      <scheme val="minor"/>
    </font>
  </fonts>
  <fills count="10">
    <fill>
      <patternFill patternType="none"/>
    </fill>
    <fill>
      <patternFill patternType="gray125"/>
    </fill>
    <fill>
      <patternFill patternType="solid">
        <fgColor theme="4"/>
        <bgColor indexed="64"/>
      </patternFill>
    </fill>
    <fill>
      <patternFill patternType="solid">
        <fgColor theme="4"/>
        <bgColor theme="4"/>
      </patternFill>
    </fill>
    <fill>
      <patternFill patternType="solid">
        <fgColor theme="3"/>
        <bgColor indexed="64"/>
      </patternFill>
    </fill>
    <fill>
      <patternFill patternType="solid">
        <fgColor theme="7" tint="0.79998168889431442"/>
        <bgColor indexed="64"/>
      </patternFill>
    </fill>
    <fill>
      <patternFill patternType="solid">
        <fgColor theme="4" tint="0.59999389629810485"/>
        <bgColor indexed="65"/>
      </patternFill>
    </fill>
    <fill>
      <patternFill patternType="solid">
        <fgColor theme="6" tint="0.59999389629810485"/>
        <bgColor indexed="65"/>
      </patternFill>
    </fill>
    <fill>
      <patternFill patternType="solid">
        <fgColor theme="6" tint="0.59999389629810485"/>
        <bgColor indexed="64"/>
      </patternFill>
    </fill>
    <fill>
      <patternFill patternType="solid">
        <fgColor theme="4" tint="0.59999389629810485"/>
        <bgColor indexed="64"/>
      </patternFill>
    </fill>
  </fills>
  <borders count="17">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style="thin">
        <color theme="4" tint="0.39997558519241921"/>
      </left>
      <right/>
      <top/>
      <bottom/>
      <diagonal/>
    </border>
    <border>
      <left/>
      <right/>
      <top/>
      <bottom style="thick">
        <color theme="4" tint="0.499984740745262"/>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bottom/>
      <diagonal/>
    </border>
    <border>
      <left style="thin">
        <color theme="0" tint="-0.14999847407452621"/>
      </left>
      <right style="thin">
        <color theme="0" tint="-0.14999847407452621"/>
      </right>
      <top style="thin">
        <color theme="0" tint="-0.14999847407452621"/>
      </top>
      <bottom/>
      <diagonal/>
    </border>
    <border>
      <left/>
      <right/>
      <top style="thick">
        <color theme="4" tint="0.499984740745262"/>
      </top>
      <bottom/>
      <diagonal/>
    </border>
    <border>
      <left/>
      <right/>
      <top style="thin">
        <color indexed="64"/>
      </top>
      <bottom/>
      <diagonal/>
    </border>
    <border>
      <left/>
      <right style="thin">
        <color indexed="64"/>
      </right>
      <top/>
      <bottom/>
      <diagonal/>
    </border>
    <border>
      <left style="thin">
        <color indexed="64"/>
      </left>
      <right/>
      <top/>
      <bottom/>
      <diagonal/>
    </border>
    <border>
      <left/>
      <right/>
      <top/>
      <bottom style="thick">
        <color theme="4"/>
      </bottom>
      <diagonal/>
    </border>
  </borders>
  <cellStyleXfs count="8">
    <xf numFmtId="0" fontId="0" fillId="0" borderId="0"/>
    <xf numFmtId="0" fontId="1" fillId="0" borderId="0" applyNumberFormat="0" applyFill="0" applyBorder="0" applyAlignment="0" applyProtection="0"/>
    <xf numFmtId="43" fontId="4" fillId="0" borderId="0" applyFont="0" applyFill="0" applyBorder="0" applyAlignment="0" applyProtection="0"/>
    <xf numFmtId="0" fontId="6" fillId="0" borderId="8" applyNumberFormat="0" applyFill="0" applyAlignment="0" applyProtection="0"/>
    <xf numFmtId="9" fontId="4" fillId="0" borderId="0" applyFont="0" applyFill="0" applyBorder="0" applyAlignment="0" applyProtection="0"/>
    <xf numFmtId="0" fontId="4" fillId="6" borderId="0" applyNumberFormat="0" applyBorder="0" applyAlignment="0" applyProtection="0"/>
    <xf numFmtId="0" fontId="4" fillId="7" borderId="0" applyNumberFormat="0" applyBorder="0" applyAlignment="0" applyProtection="0"/>
    <xf numFmtId="0" fontId="22" fillId="0" borderId="16" applyNumberFormat="0" applyFill="0" applyAlignment="0" applyProtection="0"/>
  </cellStyleXfs>
  <cellXfs count="86">
    <xf numFmtId="0" fontId="0" fillId="0" borderId="0" xfId="0"/>
    <xf numFmtId="0" fontId="1" fillId="0" borderId="0" xfId="1"/>
    <xf numFmtId="0" fontId="3" fillId="2" borderId="0" xfId="0" applyFont="1" applyFill="1"/>
    <xf numFmtId="0" fontId="0" fillId="0" borderId="1" xfId="0" applyBorder="1"/>
    <xf numFmtId="0" fontId="3" fillId="2" borderId="1" xfId="0" applyFont="1" applyFill="1" applyBorder="1"/>
    <xf numFmtId="0" fontId="0" fillId="0" borderId="2" xfId="0" applyFont="1" applyBorder="1"/>
    <xf numFmtId="0" fontId="3" fillId="3" borderId="3" xfId="0" applyFont="1" applyFill="1" applyBorder="1"/>
    <xf numFmtId="0" fontId="3" fillId="3" borderId="4" xfId="0" applyFont="1" applyFill="1" applyBorder="1"/>
    <xf numFmtId="0" fontId="0" fillId="0" borderId="0" xfId="0" applyAlignment="1">
      <alignment horizontal="left"/>
    </xf>
    <xf numFmtId="0" fontId="5" fillId="0" borderId="0" xfId="0" applyFont="1"/>
    <xf numFmtId="0" fontId="3" fillId="3" borderId="5" xfId="0" applyFont="1" applyFill="1" applyBorder="1"/>
    <xf numFmtId="0" fontId="3" fillId="3" borderId="6" xfId="0" applyFont="1" applyFill="1" applyBorder="1"/>
    <xf numFmtId="4" fontId="0" fillId="0" borderId="0" xfId="0" applyNumberFormat="1"/>
    <xf numFmtId="0" fontId="0" fillId="0" borderId="3" xfId="0" applyFont="1" applyFill="1" applyBorder="1"/>
    <xf numFmtId="0" fontId="0" fillId="0" borderId="4" xfId="0" applyFont="1" applyFill="1" applyBorder="1"/>
    <xf numFmtId="0" fontId="3" fillId="0" borderId="0" xfId="0" applyFont="1" applyFill="1" applyBorder="1"/>
    <xf numFmtId="0" fontId="3" fillId="0" borderId="7" xfId="0" applyFont="1" applyFill="1" applyBorder="1"/>
    <xf numFmtId="0" fontId="7" fillId="0" borderId="0" xfId="0" applyFont="1"/>
    <xf numFmtId="0" fontId="7" fillId="0" borderId="0" xfId="0" applyFont="1" applyAlignment="1">
      <alignment horizontal="left"/>
    </xf>
    <xf numFmtId="0" fontId="7" fillId="0" borderId="0" xfId="0" applyFont="1" applyAlignment="1">
      <alignment horizontal="center"/>
    </xf>
    <xf numFmtId="164" fontId="3" fillId="3" borderId="9" xfId="2" applyNumberFormat="1" applyFont="1" applyFill="1" applyBorder="1"/>
    <xf numFmtId="0" fontId="0" fillId="0" borderId="0" xfId="0" applyFont="1" applyAlignment="1">
      <alignment horizontal="left"/>
    </xf>
    <xf numFmtId="164" fontId="0" fillId="0" borderId="0" xfId="2" applyNumberFormat="1" applyFont="1"/>
    <xf numFmtId="164" fontId="0" fillId="0" borderId="0" xfId="2" applyNumberFormat="1" applyFont="1" applyAlignment="1">
      <alignment horizontal="left"/>
    </xf>
    <xf numFmtId="0" fontId="8" fillId="0" borderId="0" xfId="0" applyFont="1" applyAlignment="1">
      <alignment horizontal="center" vertical="top" wrapText="1"/>
    </xf>
    <xf numFmtId="0" fontId="8" fillId="0" borderId="0" xfId="0" applyFont="1" applyAlignment="1">
      <alignment horizontal="center" vertical="center" wrapText="1"/>
    </xf>
    <xf numFmtId="165" fontId="8" fillId="0" borderId="0" xfId="2" applyNumberFormat="1" applyFont="1" applyAlignment="1">
      <alignment horizontal="center" vertical="center" wrapText="1"/>
    </xf>
    <xf numFmtId="0" fontId="0" fillId="0" borderId="0" xfId="0" applyFont="1" applyFill="1" applyBorder="1"/>
    <xf numFmtId="43" fontId="0" fillId="0" borderId="0" xfId="2" applyNumberFormat="1" applyFont="1" applyFill="1" applyBorder="1"/>
    <xf numFmtId="164" fontId="0" fillId="0" borderId="0" xfId="2" applyNumberFormat="1" applyFont="1" applyFill="1" applyBorder="1"/>
    <xf numFmtId="0" fontId="3" fillId="0" borderId="10" xfId="0" applyFont="1" applyFill="1" applyBorder="1"/>
    <xf numFmtId="43" fontId="0" fillId="0" borderId="7" xfId="2" applyFont="1" applyFill="1" applyBorder="1"/>
    <xf numFmtId="0" fontId="0" fillId="0" borderId="0" xfId="0" applyAlignment="1"/>
    <xf numFmtId="165" fontId="12" fillId="0" borderId="0" xfId="2" applyNumberFormat="1" applyFont="1" applyAlignment="1">
      <alignment horizontal="center" vertical="center" wrapText="1"/>
    </xf>
    <xf numFmtId="0" fontId="0" fillId="4" borderId="0" xfId="0" applyFill="1"/>
    <xf numFmtId="0" fontId="3" fillId="3" borderId="2" xfId="0" applyFont="1" applyFill="1" applyBorder="1"/>
    <xf numFmtId="0" fontId="0" fillId="0" borderId="11" xfId="0" applyBorder="1"/>
    <xf numFmtId="3" fontId="0" fillId="0" borderId="1" xfId="0" applyNumberFormat="1" applyBorder="1"/>
    <xf numFmtId="4" fontId="0" fillId="0" borderId="1" xfId="0" applyNumberFormat="1" applyBorder="1"/>
    <xf numFmtId="43" fontId="0" fillId="0" borderId="3" xfId="2" applyFont="1" applyFill="1" applyBorder="1"/>
    <xf numFmtId="43" fontId="0" fillId="0" borderId="0" xfId="2" applyFont="1"/>
    <xf numFmtId="10" fontId="0" fillId="0" borderId="0" xfId="4" applyNumberFormat="1" applyFont="1"/>
    <xf numFmtId="0" fontId="0" fillId="0" borderId="0" xfId="0" applyFill="1"/>
    <xf numFmtId="0" fontId="8" fillId="0" borderId="0" xfId="0" applyFont="1" applyFill="1" applyAlignment="1">
      <alignment horizontal="center" vertical="center" wrapText="1"/>
    </xf>
    <xf numFmtId="0" fontId="0" fillId="0" borderId="0" xfId="0" applyFill="1" applyAlignment="1">
      <alignment horizontal="left"/>
    </xf>
    <xf numFmtId="0" fontId="0" fillId="5" borderId="0" xfId="0" applyFill="1"/>
    <xf numFmtId="0" fontId="18" fillId="0" borderId="14" xfId="0" applyFont="1" applyBorder="1" applyAlignment="1">
      <alignment horizontal="right" vertical="center"/>
    </xf>
    <xf numFmtId="0" fontId="18" fillId="0" borderId="14" xfId="0" applyFont="1" applyBorder="1" applyAlignment="1">
      <alignment horizontal="right"/>
    </xf>
    <xf numFmtId="0" fontId="11" fillId="0" borderId="14" xfId="0" applyFont="1" applyBorder="1" applyAlignment="1">
      <alignment horizontal="right"/>
    </xf>
    <xf numFmtId="165" fontId="15" fillId="5" borderId="0" xfId="2" applyNumberFormat="1" applyFont="1" applyFill="1" applyAlignment="1">
      <alignment vertical="center" wrapText="1"/>
    </xf>
    <xf numFmtId="0" fontId="18" fillId="7" borderId="14" xfId="6" applyFont="1" applyBorder="1" applyAlignment="1">
      <alignment horizontal="right"/>
    </xf>
    <xf numFmtId="0" fontId="18" fillId="8" borderId="14" xfId="0" applyFont="1" applyFill="1" applyBorder="1" applyAlignment="1">
      <alignment horizontal="right"/>
    </xf>
    <xf numFmtId="0" fontId="0" fillId="8" borderId="0" xfId="0" applyFill="1" applyBorder="1" applyAlignment="1"/>
    <xf numFmtId="0" fontId="0" fillId="8" borderId="0" xfId="0" applyFill="1" applyAlignment="1"/>
    <xf numFmtId="0" fontId="4" fillId="6" borderId="0" xfId="5"/>
    <xf numFmtId="0" fontId="0" fillId="9" borderId="0" xfId="0" applyFill="1"/>
    <xf numFmtId="0" fontId="18" fillId="9" borderId="14" xfId="0" applyFont="1" applyFill="1" applyBorder="1" applyAlignment="1">
      <alignment horizontal="right" vertical="center"/>
    </xf>
    <xf numFmtId="0" fontId="22" fillId="0" borderId="16" xfId="7"/>
    <xf numFmtId="0" fontId="2" fillId="0" borderId="0" xfId="0" applyFont="1" applyAlignment="1">
      <alignment horizontal="left"/>
    </xf>
    <xf numFmtId="0" fontId="7" fillId="0" borderId="0" xfId="0" applyFont="1" applyAlignment="1">
      <alignment horizontal="center"/>
    </xf>
    <xf numFmtId="0" fontId="0" fillId="0" borderId="0" xfId="0" applyAlignment="1">
      <alignment horizontal="center"/>
    </xf>
    <xf numFmtId="0" fontId="16" fillId="0" borderId="0" xfId="0" applyFont="1" applyFill="1" applyAlignment="1">
      <alignment horizontal="center"/>
    </xf>
    <xf numFmtId="0" fontId="15" fillId="0" borderId="0" xfId="0" applyFont="1" applyFill="1" applyAlignment="1">
      <alignment horizontal="center" wrapText="1"/>
    </xf>
    <xf numFmtId="0" fontId="15" fillId="0" borderId="12" xfId="0" applyFont="1" applyFill="1" applyBorder="1" applyAlignment="1">
      <alignment horizontal="center" vertical="center" wrapText="1"/>
    </xf>
    <xf numFmtId="0" fontId="15" fillId="0" borderId="0" xfId="0" applyFont="1" applyFill="1" applyBorder="1" applyAlignment="1">
      <alignment horizontal="center" vertical="center" wrapText="1"/>
    </xf>
    <xf numFmtId="0" fontId="21" fillId="0" borderId="13" xfId="0" applyFont="1" applyBorder="1" applyAlignment="1">
      <alignment horizontal="center" wrapText="1"/>
    </xf>
    <xf numFmtId="0" fontId="18" fillId="7" borderId="0" xfId="6" applyFont="1" applyAlignment="1">
      <alignment horizontal="center" vertical="center"/>
    </xf>
    <xf numFmtId="3" fontId="18" fillId="7" borderId="0" xfId="2" applyNumberFormat="1" applyFont="1" applyFill="1" applyAlignment="1">
      <alignment horizontal="center"/>
    </xf>
    <xf numFmtId="0" fontId="17" fillId="0" borderId="0" xfId="0" applyFont="1" applyAlignment="1">
      <alignment horizontal="center" wrapText="1"/>
    </xf>
    <xf numFmtId="0" fontId="18" fillId="7" borderId="0" xfId="6" applyFont="1" applyAlignment="1">
      <alignment horizontal="center"/>
    </xf>
    <xf numFmtId="165" fontId="18" fillId="0" borderId="0" xfId="2" applyNumberFormat="1" applyFont="1" applyAlignment="1">
      <alignment horizontal="center"/>
    </xf>
    <xf numFmtId="165" fontId="18" fillId="0" borderId="0" xfId="2" applyNumberFormat="1" applyFont="1" applyAlignment="1">
      <alignment horizontal="center" vertical="center"/>
    </xf>
    <xf numFmtId="3" fontId="18" fillId="7" borderId="0" xfId="2" applyNumberFormat="1" applyFont="1" applyFill="1" applyAlignment="1">
      <alignment horizontal="center" vertical="center"/>
    </xf>
    <xf numFmtId="0" fontId="9" fillId="0" borderId="8" xfId="3" applyFont="1" applyAlignment="1">
      <alignment horizontal="center"/>
    </xf>
    <xf numFmtId="0" fontId="15" fillId="5" borderId="0" xfId="0" applyFont="1" applyFill="1" applyAlignment="1">
      <alignment horizontal="center" vertical="center" wrapText="1"/>
    </xf>
    <xf numFmtId="0" fontId="11" fillId="8" borderId="15" xfId="0" applyFont="1" applyFill="1" applyBorder="1" applyAlignment="1">
      <alignment horizontal="center" vertical="center"/>
    </xf>
    <xf numFmtId="0" fontId="11" fillId="8" borderId="0" xfId="0" applyFont="1" applyFill="1" applyAlignment="1">
      <alignment horizontal="center" vertical="center"/>
    </xf>
    <xf numFmtId="165" fontId="15" fillId="5" borderId="0" xfId="2" applyNumberFormat="1" applyFont="1" applyFill="1" applyAlignment="1">
      <alignment horizontal="center" vertical="center" wrapText="1"/>
    </xf>
    <xf numFmtId="0" fontId="15" fillId="5" borderId="0" xfId="0" applyFont="1" applyFill="1" applyAlignment="1">
      <alignment horizontal="center" vertical="center"/>
    </xf>
    <xf numFmtId="0" fontId="20" fillId="9" borderId="13" xfId="0" applyFont="1" applyFill="1" applyBorder="1" applyAlignment="1">
      <alignment horizontal="center" vertical="center" wrapText="1"/>
    </xf>
    <xf numFmtId="0" fontId="18" fillId="9" borderId="13" xfId="0" applyFont="1" applyFill="1" applyBorder="1" applyAlignment="1">
      <alignment horizontal="center" wrapText="1"/>
    </xf>
    <xf numFmtId="0" fontId="11" fillId="8" borderId="0" xfId="0" applyFont="1" applyFill="1" applyAlignment="1">
      <alignment horizontal="center"/>
    </xf>
    <xf numFmtId="0" fontId="11" fillId="6" borderId="0" xfId="5" applyFont="1" applyAlignment="1">
      <alignment horizontal="left" wrapText="1"/>
    </xf>
    <xf numFmtId="0" fontId="19" fillId="9" borderId="0" xfId="0" applyFont="1" applyFill="1" applyBorder="1" applyAlignment="1">
      <alignment horizontal="right" wrapText="1"/>
    </xf>
    <xf numFmtId="0" fontId="19" fillId="9" borderId="14" xfId="0" applyFont="1" applyFill="1" applyBorder="1" applyAlignment="1">
      <alignment horizontal="right" wrapText="1"/>
    </xf>
    <xf numFmtId="0" fontId="0" fillId="0" borderId="0" xfId="0" applyAlignment="1">
      <alignment horizontal="left" wrapText="1"/>
    </xf>
  </cellXfs>
  <cellStyles count="8">
    <cellStyle name="40% - Accent1" xfId="5" builtinId="31"/>
    <cellStyle name="40% - Accent3" xfId="6" builtinId="39"/>
    <cellStyle name="Comma" xfId="2" builtinId="3"/>
    <cellStyle name="Heading 1" xfId="7" builtinId="16"/>
    <cellStyle name="Heading 2" xfId="3" builtinId="17"/>
    <cellStyle name="Hyperlink" xfId="1" builtinId="8"/>
    <cellStyle name="Normal" xfId="0" builtinId="0"/>
    <cellStyle name="Percent" xfId="4" builtinId="5"/>
  </cellStyles>
  <dxfs count="29">
    <dxf>
      <numFmt numFmtId="2" formatCode="0.00"/>
    </dxf>
    <dxf>
      <fill>
        <patternFill>
          <bgColor theme="6" tint="0.79998168889431442"/>
        </patternFill>
      </fill>
    </dxf>
    <dxf>
      <fill>
        <patternFill>
          <bgColor theme="6" tint="0.79998168889431442"/>
        </patternFill>
      </fill>
    </dxf>
    <dxf>
      <fill>
        <patternFill>
          <bgColor theme="4" tint="0.59996337778862885"/>
        </patternFill>
      </fill>
    </dxf>
    <dxf>
      <numFmt numFmtId="2" formatCode="0.00"/>
    </dxf>
    <dxf>
      <numFmt numFmtId="2" formatCode="0.00"/>
    </dxf>
    <dxf>
      <numFmt numFmtId="2" formatCode="0.00"/>
    </dxf>
    <dxf>
      <font>
        <strike/>
        <color theme="1" tint="0.499984740745262"/>
      </font>
    </dxf>
    <dxf>
      <font>
        <strike/>
        <color theme="1" tint="0.499984740745262"/>
      </font>
    </dxf>
    <dxf>
      <font>
        <strike/>
        <color theme="1" tint="0.49998474074526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4" formatCode="#,##0.0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35" formatCode="_ * #,##0.00_ ;_ * \-#,##0.00_ ;_ * &quot;-&quot;??_ ;_ @_ "/>
      <fill>
        <patternFill patternType="none">
          <fgColor indexed="64"/>
          <bgColor indexed="65"/>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0"/>
        <name val="Calibri"/>
        <scheme val="minor"/>
      </font>
      <fill>
        <patternFill patternType="none">
          <fgColor indexed="64"/>
          <bgColor indexed="65"/>
        </patternFill>
      </fill>
      <border diagonalUp="0" diagonalDown="0" outline="0">
        <left style="thin">
          <color theme="4" tint="0.39997558519241921"/>
        </left>
        <right style="thin">
          <color theme="4" tint="0.3999755851924192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image" Target="../media/image1.pn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014314771796584E-2"/>
          <c:y val="5.8040104986876638E-2"/>
          <c:w val="0.92398568522820346"/>
          <c:h val="0.91591979002624668"/>
        </c:manualLayout>
      </c:layout>
      <c:barChart>
        <c:barDir val="col"/>
        <c:grouping val="stacked"/>
        <c:varyColors val="0"/>
        <c:ser>
          <c:idx val="0"/>
          <c:order val="0"/>
          <c:tx>
            <c:strRef>
              <c:f>'Charts data'!$I$21</c:f>
              <c:strCache>
                <c:ptCount val="1"/>
                <c:pt idx="0">
                  <c:v>Bar 1</c:v>
                </c:pt>
              </c:strCache>
            </c:strRef>
          </c:tx>
          <c:spPr>
            <a:noFill/>
            <a:ln>
              <a:noFill/>
            </a:ln>
          </c:spPr>
          <c:invertIfNegative val="0"/>
          <c:cat>
            <c:strRef>
              <c:f>'Charts data'!$A$22:$A$32</c:f>
              <c:strCache>
                <c:ptCount val="11"/>
                <c:pt idx="0">
                  <c:v>Overall</c:v>
                </c:pt>
                <c:pt idx="1">
                  <c:v>Major Advanced Economies (G7)</c:v>
                </c:pt>
                <c:pt idx="2">
                  <c:v>Other Advanced Economies</c:v>
                </c:pt>
                <c:pt idx="3">
                  <c:v>Euro Area</c:v>
                </c:pt>
                <c:pt idx="4">
                  <c:v>Middle East and North Africa</c:v>
                </c:pt>
                <c:pt idx="5">
                  <c:v>Central and Eastern Europe</c:v>
                </c:pt>
                <c:pt idx="6">
                  <c:v>Commonwealth of Independent States</c:v>
                </c:pt>
                <c:pt idx="7">
                  <c:v>Newly Industrialized Asian Economies</c:v>
                </c:pt>
                <c:pt idx="8">
                  <c:v>Latin America and the Caribbean</c:v>
                </c:pt>
                <c:pt idx="9">
                  <c:v>Developing Asia</c:v>
                </c:pt>
                <c:pt idx="10">
                  <c:v>Sub-Saharan Africa</c:v>
                </c:pt>
              </c:strCache>
            </c:strRef>
          </c:cat>
          <c:val>
            <c:numRef>
              <c:f>'Charts data'!$I$22:$I$32</c:f>
              <c:numCache>
                <c:formatCode>_ * #,##0_ ;_ * \-#,##0_ ;_ * "-"??_ ;_ @_ </c:formatCode>
                <c:ptCount val="11"/>
                <c:pt idx="0">
                  <c:v>2564.3400029917298</c:v>
                </c:pt>
                <c:pt idx="1">
                  <c:v>19000</c:v>
                </c:pt>
                <c:pt idx="2">
                  <c:v>20511.982612580177</c:v>
                </c:pt>
                <c:pt idx="3">
                  <c:v>12000</c:v>
                </c:pt>
                <c:pt idx="4">
                  <c:v>6948.8858067624697</c:v>
                </c:pt>
                <c:pt idx="5">
                  <c:v>7750</c:v>
                </c:pt>
                <c:pt idx="6">
                  <c:v>5370</c:v>
                </c:pt>
                <c:pt idx="7">
                  <c:v>20083.2</c:v>
                </c:pt>
                <c:pt idx="8">
                  <c:v>5199.75</c:v>
                </c:pt>
                <c:pt idx="9">
                  <c:v>2136.9500024931081</c:v>
                </c:pt>
                <c:pt idx="10">
                  <c:v>3898.1538461538462</c:v>
                </c:pt>
              </c:numCache>
            </c:numRef>
          </c:val>
        </c:ser>
        <c:ser>
          <c:idx val="1"/>
          <c:order val="1"/>
          <c:tx>
            <c:strRef>
              <c:f>'Charts data'!$J$21</c:f>
              <c:strCache>
                <c:ptCount val="1"/>
                <c:pt idx="0">
                  <c:v>Bar 2</c:v>
                </c:pt>
              </c:strCache>
            </c:strRef>
          </c:tx>
          <c:spPr>
            <a:blipFill dpi="0" rotWithShape="1">
              <a:blip xmlns:r="http://schemas.openxmlformats.org/officeDocument/2006/relationships" r:embed="rId1">
                <a:alphaModFix amt="20000"/>
              </a:blip>
              <a:srcRect/>
              <a:stretch>
                <a:fillRect/>
              </a:stretch>
            </a:blipFill>
            <a:ln>
              <a:noFill/>
            </a:ln>
          </c:spPr>
          <c:invertIfNegative val="0"/>
          <c:cat>
            <c:strRef>
              <c:f>'Charts data'!$A$22:$A$32</c:f>
              <c:strCache>
                <c:ptCount val="11"/>
                <c:pt idx="0">
                  <c:v>Overall</c:v>
                </c:pt>
                <c:pt idx="1">
                  <c:v>Major Advanced Economies (G7)</c:v>
                </c:pt>
                <c:pt idx="2">
                  <c:v>Other Advanced Economies</c:v>
                </c:pt>
                <c:pt idx="3">
                  <c:v>Euro Area</c:v>
                </c:pt>
                <c:pt idx="4">
                  <c:v>Middle East and North Africa</c:v>
                </c:pt>
                <c:pt idx="5">
                  <c:v>Central and Eastern Europe</c:v>
                </c:pt>
                <c:pt idx="6">
                  <c:v>Commonwealth of Independent States</c:v>
                </c:pt>
                <c:pt idx="7">
                  <c:v>Newly Industrialized Asian Economies</c:v>
                </c:pt>
                <c:pt idx="8">
                  <c:v>Latin America and the Caribbean</c:v>
                </c:pt>
                <c:pt idx="9">
                  <c:v>Developing Asia</c:v>
                </c:pt>
                <c:pt idx="10">
                  <c:v>Sub-Saharan Africa</c:v>
                </c:pt>
              </c:strCache>
            </c:strRef>
          </c:cat>
          <c:val>
            <c:numRef>
              <c:f>'Charts data'!$J$22:$J$32</c:f>
              <c:numCache>
                <c:formatCode>_ * #,##0_ ;_ * \-#,##0_ ;_ * "-"??_ ;_ @_ </c:formatCode>
                <c:ptCount val="11"/>
                <c:pt idx="0">
                  <c:v>10257.360011966919</c:v>
                </c:pt>
                <c:pt idx="1">
                  <c:v>28700</c:v>
                </c:pt>
                <c:pt idx="2">
                  <c:v>43295.064875814925</c:v>
                </c:pt>
                <c:pt idx="3">
                  <c:v>24682.78380088268</c:v>
                </c:pt>
                <c:pt idx="4">
                  <c:v>16801.114193237532</c:v>
                </c:pt>
                <c:pt idx="5">
                  <c:v>7250</c:v>
                </c:pt>
                <c:pt idx="6">
                  <c:v>6630</c:v>
                </c:pt>
                <c:pt idx="7">
                  <c:v>9016.7999999999993</c:v>
                </c:pt>
                <c:pt idx="8">
                  <c:v>6350.25</c:v>
                </c:pt>
                <c:pt idx="9">
                  <c:v>3205.4250037396628</c:v>
                </c:pt>
                <c:pt idx="10">
                  <c:v>8394.8829462586855</c:v>
                </c:pt>
              </c:numCache>
            </c:numRef>
          </c:val>
        </c:ser>
        <c:ser>
          <c:idx val="2"/>
          <c:order val="2"/>
          <c:tx>
            <c:strRef>
              <c:f>'Charts data'!$K$21</c:f>
              <c:strCache>
                <c:ptCount val="1"/>
                <c:pt idx="0">
                  <c:v>Bar 3</c:v>
                </c:pt>
              </c:strCache>
            </c:strRef>
          </c:tx>
          <c:spPr>
            <a:solidFill>
              <a:schemeClr val="accent2"/>
            </a:solidFill>
            <a:ln>
              <a:solidFill>
                <a:schemeClr val="accent2"/>
              </a:solidFill>
            </a:ln>
          </c:spPr>
          <c:invertIfNegative val="0"/>
          <c:val>
            <c:numRef>
              <c:f>'Charts data'!$K$22:$K$32</c:f>
              <c:numCache>
                <c:formatCode>_ * #,##0_ ;_ * \-#,##0_ ;_ * "-"??_ ;_ @_ </c:formatCode>
                <c:ptCount val="11"/>
                <c:pt idx="0">
                  <c:v>58106.322228069126</c:v>
                </c:pt>
                <c:pt idx="1">
                  <c:v>37300</c:v>
                </c:pt>
                <c:pt idx="2">
                  <c:v>43942.952511604897</c:v>
                </c:pt>
                <c:pt idx="3">
                  <c:v>26837.188148697707</c:v>
                </c:pt>
                <c:pt idx="4">
                  <c:v>27625</c:v>
                </c:pt>
                <c:pt idx="5">
                  <c:v>14500</c:v>
                </c:pt>
                <c:pt idx="6">
                  <c:v>29000</c:v>
                </c:pt>
                <c:pt idx="7">
                  <c:v>30900</c:v>
                </c:pt>
                <c:pt idx="8">
                  <c:v>19747.5</c:v>
                </c:pt>
                <c:pt idx="9">
                  <c:v>10684.75001246554</c:v>
                </c:pt>
                <c:pt idx="10">
                  <c:v>39454.71769860544</c:v>
                </c:pt>
              </c:numCache>
            </c:numRef>
          </c:val>
        </c:ser>
        <c:ser>
          <c:idx val="3"/>
          <c:order val="3"/>
          <c:tx>
            <c:strRef>
              <c:f>'Charts data'!$L$21</c:f>
              <c:strCache>
                <c:ptCount val="1"/>
                <c:pt idx="0">
                  <c:v>Bar 4</c:v>
                </c:pt>
              </c:strCache>
            </c:strRef>
          </c:tx>
          <c:spPr>
            <a:blipFill dpi="0" rotWithShape="1">
              <a:blip xmlns:r="http://schemas.openxmlformats.org/officeDocument/2006/relationships" r:embed="rId1">
                <a:alphaModFix amt="20000"/>
              </a:blip>
              <a:srcRect/>
              <a:stretch>
                <a:fillRect/>
              </a:stretch>
            </a:blipFill>
            <a:ln>
              <a:noFill/>
            </a:ln>
          </c:spPr>
          <c:invertIfNegative val="0"/>
          <c:val>
            <c:numRef>
              <c:f>'Charts data'!$L$22:$L$32</c:f>
              <c:numCache>
                <c:formatCode>_ * #,##0_ ;_ * \-#,##0_ ;_ * "-"??_ ;_ @_ </c:formatCode>
                <c:ptCount val="11"/>
                <c:pt idx="0">
                  <c:v>118471.97775697187</c:v>
                </c:pt>
                <c:pt idx="1">
                  <c:v>152008.00144385759</c:v>
                </c:pt>
                <c:pt idx="2">
                  <c:v>65634.641588448081</c:v>
                </c:pt>
                <c:pt idx="3">
                  <c:v>113065.55007025317</c:v>
                </c:pt>
                <c:pt idx="4">
                  <c:v>49049</c:v>
                </c:pt>
                <c:pt idx="5">
                  <c:v>65367.189901848935</c:v>
                </c:pt>
                <c:pt idx="6">
                  <c:v>58863.520000000004</c:v>
                </c:pt>
                <c:pt idx="7">
                  <c:v>54799.999999999971</c:v>
                </c:pt>
                <c:pt idx="8">
                  <c:v>156815.45753136193</c:v>
                </c:pt>
                <c:pt idx="9">
                  <c:v>69602.874981301691</c:v>
                </c:pt>
                <c:pt idx="10">
                  <c:v>111615.65740708473</c:v>
                </c:pt>
              </c:numCache>
            </c:numRef>
          </c:val>
        </c:ser>
        <c:dLbls>
          <c:showLegendKey val="0"/>
          <c:showVal val="0"/>
          <c:showCatName val="0"/>
          <c:showSerName val="0"/>
          <c:showPercent val="0"/>
          <c:showBubbleSize val="0"/>
        </c:dLbls>
        <c:gapWidth val="91"/>
        <c:overlap val="100"/>
        <c:axId val="177009408"/>
        <c:axId val="177011328"/>
      </c:barChart>
      <c:lineChart>
        <c:grouping val="standard"/>
        <c:varyColors val="0"/>
        <c:ser>
          <c:idx val="4"/>
          <c:order val="4"/>
          <c:tx>
            <c:strRef>
              <c:f>'Charts data'!$M$21</c:f>
              <c:strCache>
                <c:ptCount val="1"/>
                <c:pt idx="0">
                  <c:v>Average</c:v>
                </c:pt>
              </c:strCache>
            </c:strRef>
          </c:tx>
          <c:spPr>
            <a:ln>
              <a:noFill/>
            </a:ln>
          </c:spPr>
          <c:marker>
            <c:symbol val="dash"/>
            <c:size val="17"/>
            <c:spPr>
              <a:solidFill>
                <a:schemeClr val="accent3"/>
              </a:solidFill>
              <a:ln>
                <a:noFill/>
              </a:ln>
            </c:spPr>
          </c:marker>
          <c:val>
            <c:numRef>
              <c:f>'Charts data'!$M$22:$M$32</c:f>
              <c:numCache>
                <c:formatCode>_ * #,##0_ ;_ * \-#,##0_ ;_ * "-"??_ ;_ @_ </c:formatCode>
                <c:ptCount val="11"/>
                <c:pt idx="0">
                  <c:v>49653.96880991901</c:v>
                </c:pt>
                <c:pt idx="1">
                  <c:v>72734.804088723322</c:v>
                </c:pt>
                <c:pt idx="2">
                  <c:v>89303.569381758454</c:v>
                </c:pt>
                <c:pt idx="3">
                  <c:v>54143.74204924611</c:v>
                </c:pt>
                <c:pt idx="4">
                  <c:v>38878.029396235666</c:v>
                </c:pt>
                <c:pt idx="5">
                  <c:v>27595.516487152076</c:v>
                </c:pt>
                <c:pt idx="6">
                  <c:v>35544.630862329795</c:v>
                </c:pt>
                <c:pt idx="7">
                  <c:v>49857.985907096823</c:v>
                </c:pt>
                <c:pt idx="8">
                  <c:v>32320.406053018876</c:v>
                </c:pt>
                <c:pt idx="9">
                  <c:v>14070.8233458297</c:v>
                </c:pt>
                <c:pt idx="10">
                  <c:v>44620.895848994434</c:v>
                </c:pt>
              </c:numCache>
            </c:numRef>
          </c:val>
          <c:smooth val="0"/>
        </c:ser>
        <c:dLbls>
          <c:showLegendKey val="0"/>
          <c:showVal val="0"/>
          <c:showCatName val="0"/>
          <c:showSerName val="0"/>
          <c:showPercent val="0"/>
          <c:showBubbleSize val="0"/>
        </c:dLbls>
        <c:marker val="1"/>
        <c:smooth val="0"/>
        <c:axId val="177009408"/>
        <c:axId val="177011328"/>
      </c:lineChart>
      <c:catAx>
        <c:axId val="177009408"/>
        <c:scaling>
          <c:orientation val="minMax"/>
        </c:scaling>
        <c:delete val="1"/>
        <c:axPos val="b"/>
        <c:majorTickMark val="out"/>
        <c:minorTickMark val="none"/>
        <c:tickLblPos val="nextTo"/>
        <c:crossAx val="177011328"/>
        <c:crosses val="autoZero"/>
        <c:auto val="1"/>
        <c:lblAlgn val="ctr"/>
        <c:lblOffset val="100"/>
        <c:noMultiLvlLbl val="0"/>
      </c:catAx>
      <c:valAx>
        <c:axId val="177011328"/>
        <c:scaling>
          <c:orientation val="minMax"/>
        </c:scaling>
        <c:delete val="0"/>
        <c:axPos val="l"/>
        <c:majorGridlines>
          <c:spPr>
            <a:ln>
              <a:solidFill>
                <a:schemeClr val="bg1"/>
              </a:solidFill>
            </a:ln>
          </c:spPr>
        </c:majorGridlines>
        <c:title>
          <c:tx>
            <c:strRef>
              <c:f>'Charts data'!$A$20</c:f>
              <c:strCache>
                <c:ptCount val="1"/>
                <c:pt idx="0">
                  <c:v>In   $</c:v>
                </c:pt>
              </c:strCache>
            </c:strRef>
          </c:tx>
          <c:layout/>
          <c:overlay val="0"/>
          <c:txPr>
            <a:bodyPr rot="-5400000" vert="horz"/>
            <a:lstStyle/>
            <a:p>
              <a:pPr>
                <a:defRPr/>
              </a:pPr>
              <a:endParaRPr lang="en-US"/>
            </a:p>
          </c:txPr>
        </c:title>
        <c:numFmt formatCode="_ * #,##0_ ;_ * \-#,##0_ ;_ * &quot;-&quot;??_ ;_ @_ " sourceLinked="1"/>
        <c:majorTickMark val="out"/>
        <c:minorTickMark val="none"/>
        <c:tickLblPos val="nextTo"/>
        <c:txPr>
          <a:bodyPr/>
          <a:lstStyle/>
          <a:p>
            <a:pPr>
              <a:defRPr sz="800"/>
            </a:pPr>
            <a:endParaRPr lang="en-US"/>
          </a:p>
        </c:txPr>
        <c:crossAx val="177009408"/>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0"/>
    <c:plotArea>
      <c:layout>
        <c:manualLayout>
          <c:layoutTarget val="inner"/>
          <c:xMode val="edge"/>
          <c:yMode val="edge"/>
          <c:x val="0.17220150006610896"/>
          <c:y val="5.1400727375445779E-2"/>
          <c:w val="0.80557637978227681"/>
          <c:h val="0.91729918375587671"/>
        </c:manualLayout>
      </c:layout>
      <c:barChart>
        <c:barDir val="col"/>
        <c:grouping val="clustered"/>
        <c:varyColors val="0"/>
        <c:ser>
          <c:idx val="0"/>
          <c:order val="0"/>
          <c:invertIfNegative val="0"/>
          <c:trendline>
            <c:trendlineType val="linear"/>
            <c:dispRSqr val="0"/>
            <c:dispEq val="0"/>
          </c:trendline>
          <c:cat>
            <c:strRef>
              <c:f>'Charts data'!$A$48:$A$52</c:f>
              <c:strCache>
                <c:ptCount val="5"/>
                <c:pt idx="0">
                  <c:v>0 Hrs</c:v>
                </c:pt>
                <c:pt idx="1">
                  <c:v>1 or 2</c:v>
                </c:pt>
                <c:pt idx="2">
                  <c:v>2 to 3</c:v>
                </c:pt>
                <c:pt idx="3">
                  <c:v>4 to 6</c:v>
                </c:pt>
                <c:pt idx="4">
                  <c:v>8 Hrs</c:v>
                </c:pt>
              </c:strCache>
            </c:strRef>
          </c:cat>
          <c:val>
            <c:numRef>
              <c:f>'Charts data'!$K$48:$K$52</c:f>
              <c:numCache>
                <c:formatCode>_ * #,##0_ ;_ * \-#,##0_ ;_ * "-"??_ ;_ @_ </c:formatCode>
                <c:ptCount val="5"/>
                <c:pt idx="0">
                  <c:v>12225.989585930321</c:v>
                </c:pt>
                <c:pt idx="1">
                  <c:v>16684.005345857611</c:v>
                </c:pt>
                <c:pt idx="2">
                  <c:v>14809.011551061234</c:v>
                </c:pt>
                <c:pt idx="3">
                  <c:v>12903.769646168223</c:v>
                </c:pt>
                <c:pt idx="4">
                  <c:v>14002.099914045639</c:v>
                </c:pt>
              </c:numCache>
            </c:numRef>
          </c:val>
        </c:ser>
        <c:dLbls>
          <c:showLegendKey val="0"/>
          <c:showVal val="0"/>
          <c:showCatName val="0"/>
          <c:showSerName val="0"/>
          <c:showPercent val="0"/>
          <c:showBubbleSize val="0"/>
        </c:dLbls>
        <c:gapWidth val="150"/>
        <c:axId val="177028480"/>
        <c:axId val="177063040"/>
      </c:barChart>
      <c:catAx>
        <c:axId val="177028480"/>
        <c:scaling>
          <c:orientation val="minMax"/>
        </c:scaling>
        <c:delete val="1"/>
        <c:axPos val="b"/>
        <c:majorTickMark val="out"/>
        <c:minorTickMark val="none"/>
        <c:tickLblPos val="nextTo"/>
        <c:crossAx val="177063040"/>
        <c:crosses val="autoZero"/>
        <c:auto val="1"/>
        <c:lblAlgn val="ctr"/>
        <c:lblOffset val="100"/>
        <c:noMultiLvlLbl val="0"/>
      </c:catAx>
      <c:valAx>
        <c:axId val="177063040"/>
        <c:scaling>
          <c:orientation val="minMax"/>
          <c:min val="0"/>
        </c:scaling>
        <c:delete val="0"/>
        <c:axPos val="l"/>
        <c:majorGridlines>
          <c:spPr>
            <a:ln>
              <a:solidFill>
                <a:schemeClr val="bg1"/>
              </a:solidFill>
            </a:ln>
          </c:spPr>
        </c:majorGridlines>
        <c:title>
          <c:tx>
            <c:strRef>
              <c:f>'Charts data'!$A$20</c:f>
              <c:strCache>
                <c:ptCount val="1"/>
                <c:pt idx="0">
                  <c:v>In   $</c:v>
                </c:pt>
              </c:strCache>
            </c:strRef>
          </c:tx>
          <c:layout>
            <c:manualLayout>
              <c:xMode val="edge"/>
              <c:yMode val="edge"/>
              <c:x val="2.7778880504882057E-3"/>
              <c:y val="0.29742640914280333"/>
            </c:manualLayout>
          </c:layout>
          <c:overlay val="0"/>
          <c:txPr>
            <a:bodyPr rot="-5400000" vert="horz"/>
            <a:lstStyle/>
            <a:p>
              <a:pPr>
                <a:defRPr sz="900" b="0"/>
              </a:pPr>
              <a:endParaRPr lang="en-US"/>
            </a:p>
          </c:txPr>
        </c:title>
        <c:numFmt formatCode="#,##0" sourceLinked="0"/>
        <c:majorTickMark val="out"/>
        <c:minorTickMark val="none"/>
        <c:tickLblPos val="nextTo"/>
        <c:txPr>
          <a:bodyPr/>
          <a:lstStyle/>
          <a:p>
            <a:pPr>
              <a:defRPr sz="700"/>
            </a:pPr>
            <a:endParaRPr lang="en-US"/>
          </a:p>
        </c:txPr>
        <c:crossAx val="177028480"/>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671187453881432"/>
          <c:y val="5.1400543454860628E-2"/>
          <c:w val="0.89328817992817111"/>
          <c:h val="0.92160071570165036"/>
        </c:manualLayout>
      </c:layout>
      <c:barChart>
        <c:barDir val="col"/>
        <c:grouping val="clustered"/>
        <c:varyColors val="0"/>
        <c:ser>
          <c:idx val="0"/>
          <c:order val="0"/>
          <c:spPr>
            <a:solidFill>
              <a:schemeClr val="accent5"/>
            </a:solidFill>
          </c:spPr>
          <c:invertIfNegative val="0"/>
          <c:cat>
            <c:strRef>
              <c:f>'Charts data'!$A$36:$A$45</c:f>
              <c:strCache>
                <c:ptCount val="10"/>
                <c:pt idx="0">
                  <c:v>Accountant</c:v>
                </c:pt>
                <c:pt idx="1">
                  <c:v>Analyst</c:v>
                </c:pt>
                <c:pt idx="2">
                  <c:v>Consultant</c:v>
                </c:pt>
                <c:pt idx="3">
                  <c:v>Controller</c:v>
                </c:pt>
                <c:pt idx="4">
                  <c:v>CXO or Top Mgmt.</c:v>
                </c:pt>
                <c:pt idx="5">
                  <c:v>Engineer</c:v>
                </c:pt>
                <c:pt idx="6">
                  <c:v>Manager</c:v>
                </c:pt>
                <c:pt idx="7">
                  <c:v>Specialist</c:v>
                </c:pt>
                <c:pt idx="8">
                  <c:v>Reporting</c:v>
                </c:pt>
                <c:pt idx="9">
                  <c:v>Misc.</c:v>
                </c:pt>
              </c:strCache>
            </c:strRef>
          </c:cat>
          <c:val>
            <c:numRef>
              <c:f>'Charts data'!$K$36:$K$45</c:f>
              <c:numCache>
                <c:formatCode>_ * #,##0_ ;_ * \-#,##0_ ;_ * "-"??_ ;_ @_ </c:formatCode>
                <c:ptCount val="10"/>
                <c:pt idx="0">
                  <c:v>10214.409994686601</c:v>
                </c:pt>
                <c:pt idx="1">
                  <c:v>11728.099199793574</c:v>
                </c:pt>
                <c:pt idx="2">
                  <c:v>13326.582002316944</c:v>
                </c:pt>
                <c:pt idx="3">
                  <c:v>16507.72400578401</c:v>
                </c:pt>
                <c:pt idx="4">
                  <c:v>29112.273826738128</c:v>
                </c:pt>
                <c:pt idx="5">
                  <c:v>17589.874294435689</c:v>
                </c:pt>
                <c:pt idx="6">
                  <c:v>16072.053200371982</c:v>
                </c:pt>
                <c:pt idx="7">
                  <c:v>21246.179180586521</c:v>
                </c:pt>
                <c:pt idx="8">
                  <c:v>10312.144816828057</c:v>
                </c:pt>
                <c:pt idx="9">
                  <c:v>17551.33488143489</c:v>
                </c:pt>
              </c:numCache>
            </c:numRef>
          </c:val>
        </c:ser>
        <c:dLbls>
          <c:showLegendKey val="0"/>
          <c:showVal val="0"/>
          <c:showCatName val="0"/>
          <c:showSerName val="0"/>
          <c:showPercent val="0"/>
          <c:showBubbleSize val="0"/>
        </c:dLbls>
        <c:gapWidth val="150"/>
        <c:axId val="177746688"/>
        <c:axId val="177748224"/>
      </c:barChart>
      <c:catAx>
        <c:axId val="177746688"/>
        <c:scaling>
          <c:orientation val="minMax"/>
        </c:scaling>
        <c:delete val="1"/>
        <c:axPos val="b"/>
        <c:majorTickMark val="out"/>
        <c:minorTickMark val="none"/>
        <c:tickLblPos val="nextTo"/>
        <c:crossAx val="177748224"/>
        <c:crosses val="autoZero"/>
        <c:auto val="1"/>
        <c:lblAlgn val="ctr"/>
        <c:lblOffset val="100"/>
        <c:noMultiLvlLbl val="0"/>
      </c:catAx>
      <c:valAx>
        <c:axId val="177748224"/>
        <c:scaling>
          <c:orientation val="minMax"/>
          <c:min val="0"/>
        </c:scaling>
        <c:delete val="0"/>
        <c:axPos val="l"/>
        <c:majorGridlines>
          <c:spPr>
            <a:ln>
              <a:solidFill>
                <a:schemeClr val="bg1"/>
              </a:solidFill>
            </a:ln>
          </c:spPr>
        </c:majorGridlines>
        <c:title>
          <c:tx>
            <c:strRef>
              <c:f>'Charts data'!$A$20</c:f>
              <c:strCache>
                <c:ptCount val="1"/>
                <c:pt idx="0">
                  <c:v>In   $</c:v>
                </c:pt>
              </c:strCache>
            </c:strRef>
          </c:tx>
          <c:layout>
            <c:manualLayout>
              <c:xMode val="edge"/>
              <c:yMode val="edge"/>
              <c:x val="2.7777923108448649E-3"/>
              <c:y val="0.23952843087781367"/>
            </c:manualLayout>
          </c:layout>
          <c:overlay val="0"/>
          <c:txPr>
            <a:bodyPr rot="-5400000" vert="horz"/>
            <a:lstStyle/>
            <a:p>
              <a:pPr>
                <a:defRPr sz="900" b="0"/>
              </a:pPr>
              <a:endParaRPr lang="en-US"/>
            </a:p>
          </c:txPr>
        </c:title>
        <c:numFmt formatCode="#,##0" sourceLinked="0"/>
        <c:majorTickMark val="out"/>
        <c:minorTickMark val="none"/>
        <c:tickLblPos val="nextTo"/>
        <c:txPr>
          <a:bodyPr/>
          <a:lstStyle/>
          <a:p>
            <a:pPr>
              <a:defRPr sz="700"/>
            </a:pPr>
            <a:endParaRPr lang="en-US"/>
          </a:p>
        </c:txPr>
        <c:crossAx val="177746688"/>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manualLayout>
          <c:layoutTarget val="inner"/>
          <c:xMode val="edge"/>
          <c:yMode val="edge"/>
          <c:x val="0.19547548278319515"/>
          <c:y val="2.8674628758653491E-2"/>
          <c:w val="0.76013175505379704"/>
          <c:h val="0.80262431961105529"/>
        </c:manualLayout>
      </c:layout>
      <c:scatterChart>
        <c:scatterStyle val="lineMarker"/>
        <c:varyColors val="0"/>
        <c:ser>
          <c:idx val="0"/>
          <c:order val="0"/>
          <c:tx>
            <c:strRef>
              <c:f>'Charts data'!$A$54</c:f>
              <c:strCache>
                <c:ptCount val="1"/>
                <c:pt idx="0">
                  <c:v>Relation between Experience and Salary</c:v>
                </c:pt>
              </c:strCache>
            </c:strRef>
          </c:tx>
          <c:spPr>
            <a:ln w="28575">
              <a:noFill/>
            </a:ln>
          </c:spPr>
          <c:marker>
            <c:symbol val="x"/>
            <c:size val="2"/>
          </c:marker>
          <c:trendline>
            <c:trendlineType val="linear"/>
            <c:dispRSqr val="0"/>
            <c:dispEq val="0"/>
          </c:trendline>
          <c:trendline>
            <c:trendlineType val="linear"/>
            <c:dispRSqr val="0"/>
            <c:dispEq val="0"/>
          </c:trendline>
          <c:xVal>
            <c:numRef>
              <c:f>'Charts data'!$C$56:$C$1919</c:f>
              <c:numCache>
                <c:formatCode>General</c:formatCode>
                <c:ptCount val="1864"/>
                <c:pt idx="0">
                  <c:v>6</c:v>
                </c:pt>
                <c:pt idx="1">
                  <c:v>3</c:v>
                </c:pt>
                <c:pt idx="2">
                  <c:v>0</c:v>
                </c:pt>
                <c:pt idx="3">
                  <c:v>3</c:v>
                </c:pt>
                <c:pt idx="4">
                  <c:v>5</c:v>
                </c:pt>
                <c:pt idx="5">
                  <c:v>10</c:v>
                </c:pt>
                <c:pt idx="6">
                  <c:v>3</c:v>
                </c:pt>
                <c:pt idx="7">
                  <c:v>6</c:v>
                </c:pt>
                <c:pt idx="8">
                  <c:v>10</c:v>
                </c:pt>
                <c:pt idx="9">
                  <c:v>3</c:v>
                </c:pt>
                <c:pt idx="10">
                  <c:v>12</c:v>
                </c:pt>
                <c:pt idx="11">
                  <c:v>3</c:v>
                </c:pt>
                <c:pt idx="12">
                  <c:v>3</c:v>
                </c:pt>
                <c:pt idx="13">
                  <c:v>2</c:v>
                </c:pt>
                <c:pt idx="14">
                  <c:v>1.5</c:v>
                </c:pt>
                <c:pt idx="15">
                  <c:v>6</c:v>
                </c:pt>
                <c:pt idx="16">
                  <c:v>1</c:v>
                </c:pt>
                <c:pt idx="17">
                  <c:v>5</c:v>
                </c:pt>
                <c:pt idx="18">
                  <c:v>11</c:v>
                </c:pt>
                <c:pt idx="19">
                  <c:v>5</c:v>
                </c:pt>
                <c:pt idx="20">
                  <c:v>3</c:v>
                </c:pt>
                <c:pt idx="21">
                  <c:v>3</c:v>
                </c:pt>
                <c:pt idx="22">
                  <c:v>5</c:v>
                </c:pt>
                <c:pt idx="23">
                  <c:v>10</c:v>
                </c:pt>
                <c:pt idx="24">
                  <c:v>3</c:v>
                </c:pt>
                <c:pt idx="25">
                  <c:v>11</c:v>
                </c:pt>
                <c:pt idx="26">
                  <c:v>4.5</c:v>
                </c:pt>
                <c:pt idx="27">
                  <c:v>3</c:v>
                </c:pt>
                <c:pt idx="28">
                  <c:v>8</c:v>
                </c:pt>
                <c:pt idx="29">
                  <c:v>3</c:v>
                </c:pt>
                <c:pt idx="30">
                  <c:v>4.5</c:v>
                </c:pt>
                <c:pt idx="31">
                  <c:v>5</c:v>
                </c:pt>
                <c:pt idx="32">
                  <c:v>4</c:v>
                </c:pt>
                <c:pt idx="33">
                  <c:v>3</c:v>
                </c:pt>
                <c:pt idx="34">
                  <c:v>2</c:v>
                </c:pt>
                <c:pt idx="35">
                  <c:v>3</c:v>
                </c:pt>
                <c:pt idx="36">
                  <c:v>7</c:v>
                </c:pt>
                <c:pt idx="37">
                  <c:v>7</c:v>
                </c:pt>
                <c:pt idx="38">
                  <c:v>3</c:v>
                </c:pt>
                <c:pt idx="39">
                  <c:v>2</c:v>
                </c:pt>
                <c:pt idx="40">
                  <c:v>6</c:v>
                </c:pt>
                <c:pt idx="41">
                  <c:v>4</c:v>
                </c:pt>
                <c:pt idx="42">
                  <c:v>4.5</c:v>
                </c:pt>
                <c:pt idx="43">
                  <c:v>5</c:v>
                </c:pt>
                <c:pt idx="44">
                  <c:v>14</c:v>
                </c:pt>
                <c:pt idx="45">
                  <c:v>7</c:v>
                </c:pt>
                <c:pt idx="46">
                  <c:v>7</c:v>
                </c:pt>
                <c:pt idx="47">
                  <c:v>2</c:v>
                </c:pt>
                <c:pt idx="48">
                  <c:v>2</c:v>
                </c:pt>
                <c:pt idx="49">
                  <c:v>4</c:v>
                </c:pt>
                <c:pt idx="50">
                  <c:v>2</c:v>
                </c:pt>
                <c:pt idx="51">
                  <c:v>0</c:v>
                </c:pt>
                <c:pt idx="52">
                  <c:v>4</c:v>
                </c:pt>
                <c:pt idx="53">
                  <c:v>8</c:v>
                </c:pt>
                <c:pt idx="54">
                  <c:v>0</c:v>
                </c:pt>
                <c:pt idx="55">
                  <c:v>5</c:v>
                </c:pt>
                <c:pt idx="56">
                  <c:v>2</c:v>
                </c:pt>
                <c:pt idx="57">
                  <c:v>1</c:v>
                </c:pt>
                <c:pt idx="58">
                  <c:v>2</c:v>
                </c:pt>
                <c:pt idx="59">
                  <c:v>10</c:v>
                </c:pt>
                <c:pt idx="60">
                  <c:v>7</c:v>
                </c:pt>
                <c:pt idx="61">
                  <c:v>6</c:v>
                </c:pt>
                <c:pt idx="62">
                  <c:v>4</c:v>
                </c:pt>
                <c:pt idx="63">
                  <c:v>6</c:v>
                </c:pt>
                <c:pt idx="64">
                  <c:v>1</c:v>
                </c:pt>
                <c:pt idx="65">
                  <c:v>7</c:v>
                </c:pt>
                <c:pt idx="66">
                  <c:v>3.5</c:v>
                </c:pt>
                <c:pt idx="67">
                  <c:v>12</c:v>
                </c:pt>
                <c:pt idx="68">
                  <c:v>4</c:v>
                </c:pt>
                <c:pt idx="69">
                  <c:v>13</c:v>
                </c:pt>
                <c:pt idx="70">
                  <c:v>8</c:v>
                </c:pt>
                <c:pt idx="71">
                  <c:v>5</c:v>
                </c:pt>
                <c:pt idx="72">
                  <c:v>5</c:v>
                </c:pt>
                <c:pt idx="73">
                  <c:v>6</c:v>
                </c:pt>
                <c:pt idx="74">
                  <c:v>8</c:v>
                </c:pt>
                <c:pt idx="75">
                  <c:v>5.5</c:v>
                </c:pt>
                <c:pt idx="76">
                  <c:v>20</c:v>
                </c:pt>
                <c:pt idx="77">
                  <c:v>5</c:v>
                </c:pt>
                <c:pt idx="78">
                  <c:v>2</c:v>
                </c:pt>
                <c:pt idx="79">
                  <c:v>14</c:v>
                </c:pt>
                <c:pt idx="80">
                  <c:v>10</c:v>
                </c:pt>
                <c:pt idx="81">
                  <c:v>4</c:v>
                </c:pt>
                <c:pt idx="82">
                  <c:v>2</c:v>
                </c:pt>
                <c:pt idx="83">
                  <c:v>11</c:v>
                </c:pt>
                <c:pt idx="84">
                  <c:v>2.4</c:v>
                </c:pt>
                <c:pt idx="85">
                  <c:v>7</c:v>
                </c:pt>
                <c:pt idx="86">
                  <c:v>5</c:v>
                </c:pt>
                <c:pt idx="87">
                  <c:v>4</c:v>
                </c:pt>
                <c:pt idx="88">
                  <c:v>7</c:v>
                </c:pt>
                <c:pt idx="89">
                  <c:v>1.5</c:v>
                </c:pt>
                <c:pt idx="90">
                  <c:v>2</c:v>
                </c:pt>
                <c:pt idx="91">
                  <c:v>6</c:v>
                </c:pt>
                <c:pt idx="92">
                  <c:v>7</c:v>
                </c:pt>
                <c:pt idx="93">
                  <c:v>4</c:v>
                </c:pt>
                <c:pt idx="94">
                  <c:v>2</c:v>
                </c:pt>
                <c:pt idx="95">
                  <c:v>6</c:v>
                </c:pt>
                <c:pt idx="96">
                  <c:v>2</c:v>
                </c:pt>
                <c:pt idx="97">
                  <c:v>3</c:v>
                </c:pt>
                <c:pt idx="98">
                  <c:v>5</c:v>
                </c:pt>
                <c:pt idx="99">
                  <c:v>0</c:v>
                </c:pt>
                <c:pt idx="100">
                  <c:v>3</c:v>
                </c:pt>
                <c:pt idx="101">
                  <c:v>1</c:v>
                </c:pt>
                <c:pt idx="102">
                  <c:v>5</c:v>
                </c:pt>
                <c:pt idx="103">
                  <c:v>1.1000000000000001</c:v>
                </c:pt>
                <c:pt idx="104">
                  <c:v>4</c:v>
                </c:pt>
                <c:pt idx="105">
                  <c:v>1</c:v>
                </c:pt>
                <c:pt idx="106">
                  <c:v>20</c:v>
                </c:pt>
                <c:pt idx="107">
                  <c:v>18</c:v>
                </c:pt>
                <c:pt idx="108">
                  <c:v>10</c:v>
                </c:pt>
                <c:pt idx="109">
                  <c:v>9</c:v>
                </c:pt>
                <c:pt idx="110">
                  <c:v>18</c:v>
                </c:pt>
                <c:pt idx="111">
                  <c:v>1</c:v>
                </c:pt>
                <c:pt idx="112">
                  <c:v>2</c:v>
                </c:pt>
                <c:pt idx="113">
                  <c:v>6.5</c:v>
                </c:pt>
                <c:pt idx="114">
                  <c:v>3.5</c:v>
                </c:pt>
                <c:pt idx="115">
                  <c:v>1</c:v>
                </c:pt>
                <c:pt idx="116">
                  <c:v>8</c:v>
                </c:pt>
                <c:pt idx="117">
                  <c:v>1</c:v>
                </c:pt>
                <c:pt idx="118">
                  <c:v>10</c:v>
                </c:pt>
                <c:pt idx="119">
                  <c:v>3</c:v>
                </c:pt>
                <c:pt idx="120">
                  <c:v>5</c:v>
                </c:pt>
                <c:pt idx="121">
                  <c:v>6</c:v>
                </c:pt>
                <c:pt idx="122">
                  <c:v>5</c:v>
                </c:pt>
                <c:pt idx="123">
                  <c:v>8</c:v>
                </c:pt>
                <c:pt idx="124">
                  <c:v>8</c:v>
                </c:pt>
                <c:pt idx="125">
                  <c:v>17</c:v>
                </c:pt>
                <c:pt idx="126">
                  <c:v>5</c:v>
                </c:pt>
                <c:pt idx="127">
                  <c:v>3</c:v>
                </c:pt>
                <c:pt idx="128">
                  <c:v>5</c:v>
                </c:pt>
                <c:pt idx="129">
                  <c:v>3</c:v>
                </c:pt>
                <c:pt idx="130">
                  <c:v>3.5</c:v>
                </c:pt>
                <c:pt idx="131">
                  <c:v>9</c:v>
                </c:pt>
                <c:pt idx="132">
                  <c:v>3</c:v>
                </c:pt>
                <c:pt idx="133">
                  <c:v>2</c:v>
                </c:pt>
                <c:pt idx="134">
                  <c:v>5</c:v>
                </c:pt>
                <c:pt idx="135">
                  <c:v>6</c:v>
                </c:pt>
                <c:pt idx="136">
                  <c:v>0.5</c:v>
                </c:pt>
                <c:pt idx="137">
                  <c:v>4</c:v>
                </c:pt>
                <c:pt idx="138">
                  <c:v>8</c:v>
                </c:pt>
                <c:pt idx="139">
                  <c:v>8</c:v>
                </c:pt>
                <c:pt idx="140">
                  <c:v>3</c:v>
                </c:pt>
                <c:pt idx="141">
                  <c:v>8</c:v>
                </c:pt>
                <c:pt idx="142">
                  <c:v>1</c:v>
                </c:pt>
                <c:pt idx="143">
                  <c:v>2</c:v>
                </c:pt>
                <c:pt idx="144">
                  <c:v>11</c:v>
                </c:pt>
                <c:pt idx="145">
                  <c:v>4</c:v>
                </c:pt>
                <c:pt idx="146">
                  <c:v>0</c:v>
                </c:pt>
                <c:pt idx="147">
                  <c:v>6</c:v>
                </c:pt>
                <c:pt idx="148">
                  <c:v>7</c:v>
                </c:pt>
                <c:pt idx="149">
                  <c:v>6</c:v>
                </c:pt>
                <c:pt idx="150">
                  <c:v>8</c:v>
                </c:pt>
                <c:pt idx="151">
                  <c:v>10</c:v>
                </c:pt>
                <c:pt idx="152">
                  <c:v>7</c:v>
                </c:pt>
                <c:pt idx="153">
                  <c:v>1</c:v>
                </c:pt>
                <c:pt idx="154">
                  <c:v>2.5</c:v>
                </c:pt>
                <c:pt idx="155">
                  <c:v>6</c:v>
                </c:pt>
                <c:pt idx="156">
                  <c:v>3</c:v>
                </c:pt>
                <c:pt idx="157">
                  <c:v>15</c:v>
                </c:pt>
                <c:pt idx="158">
                  <c:v>5</c:v>
                </c:pt>
                <c:pt idx="159">
                  <c:v>13</c:v>
                </c:pt>
                <c:pt idx="160">
                  <c:v>3.5</c:v>
                </c:pt>
                <c:pt idx="161">
                  <c:v>5</c:v>
                </c:pt>
                <c:pt idx="162">
                  <c:v>5</c:v>
                </c:pt>
                <c:pt idx="163">
                  <c:v>10</c:v>
                </c:pt>
                <c:pt idx="164">
                  <c:v>3.5</c:v>
                </c:pt>
                <c:pt idx="165">
                  <c:v>25</c:v>
                </c:pt>
                <c:pt idx="166">
                  <c:v>12</c:v>
                </c:pt>
                <c:pt idx="167">
                  <c:v>8</c:v>
                </c:pt>
                <c:pt idx="168">
                  <c:v>8</c:v>
                </c:pt>
                <c:pt idx="169">
                  <c:v>4</c:v>
                </c:pt>
                <c:pt idx="170">
                  <c:v>5</c:v>
                </c:pt>
                <c:pt idx="171">
                  <c:v>5</c:v>
                </c:pt>
                <c:pt idx="172">
                  <c:v>2</c:v>
                </c:pt>
                <c:pt idx="173">
                  <c:v>5</c:v>
                </c:pt>
                <c:pt idx="174">
                  <c:v>7</c:v>
                </c:pt>
                <c:pt idx="175">
                  <c:v>5</c:v>
                </c:pt>
                <c:pt idx="176">
                  <c:v>3</c:v>
                </c:pt>
                <c:pt idx="177">
                  <c:v>7</c:v>
                </c:pt>
                <c:pt idx="178">
                  <c:v>1</c:v>
                </c:pt>
                <c:pt idx="179">
                  <c:v>9</c:v>
                </c:pt>
                <c:pt idx="180">
                  <c:v>10</c:v>
                </c:pt>
                <c:pt idx="181">
                  <c:v>3.5</c:v>
                </c:pt>
                <c:pt idx="182">
                  <c:v>9</c:v>
                </c:pt>
                <c:pt idx="183">
                  <c:v>4</c:v>
                </c:pt>
                <c:pt idx="184">
                  <c:v>8</c:v>
                </c:pt>
                <c:pt idx="185">
                  <c:v>3</c:v>
                </c:pt>
                <c:pt idx="186">
                  <c:v>3</c:v>
                </c:pt>
                <c:pt idx="187">
                  <c:v>10</c:v>
                </c:pt>
                <c:pt idx="188">
                  <c:v>23</c:v>
                </c:pt>
                <c:pt idx="189">
                  <c:v>20</c:v>
                </c:pt>
                <c:pt idx="190">
                  <c:v>5</c:v>
                </c:pt>
                <c:pt idx="191">
                  <c:v>3</c:v>
                </c:pt>
                <c:pt idx="192">
                  <c:v>8</c:v>
                </c:pt>
                <c:pt idx="193">
                  <c:v>5</c:v>
                </c:pt>
                <c:pt idx="194">
                  <c:v>16</c:v>
                </c:pt>
                <c:pt idx="195">
                  <c:v>7</c:v>
                </c:pt>
                <c:pt idx="196">
                  <c:v>1</c:v>
                </c:pt>
                <c:pt idx="197">
                  <c:v>22</c:v>
                </c:pt>
                <c:pt idx="198">
                  <c:v>9</c:v>
                </c:pt>
                <c:pt idx="199">
                  <c:v>5</c:v>
                </c:pt>
                <c:pt idx="200">
                  <c:v>10</c:v>
                </c:pt>
                <c:pt idx="201">
                  <c:v>2</c:v>
                </c:pt>
                <c:pt idx="202">
                  <c:v>5</c:v>
                </c:pt>
                <c:pt idx="203">
                  <c:v>6</c:v>
                </c:pt>
                <c:pt idx="204">
                  <c:v>5</c:v>
                </c:pt>
                <c:pt idx="205">
                  <c:v>25</c:v>
                </c:pt>
                <c:pt idx="206">
                  <c:v>0.8</c:v>
                </c:pt>
                <c:pt idx="207">
                  <c:v>6</c:v>
                </c:pt>
                <c:pt idx="208">
                  <c:v>21</c:v>
                </c:pt>
                <c:pt idx="209">
                  <c:v>1.5</c:v>
                </c:pt>
                <c:pt idx="210">
                  <c:v>7.9</c:v>
                </c:pt>
                <c:pt idx="211">
                  <c:v>15</c:v>
                </c:pt>
                <c:pt idx="212">
                  <c:v>13</c:v>
                </c:pt>
                <c:pt idx="213">
                  <c:v>1</c:v>
                </c:pt>
                <c:pt idx="214">
                  <c:v>13</c:v>
                </c:pt>
                <c:pt idx="215">
                  <c:v>3</c:v>
                </c:pt>
                <c:pt idx="216">
                  <c:v>4</c:v>
                </c:pt>
                <c:pt idx="217">
                  <c:v>3</c:v>
                </c:pt>
                <c:pt idx="218">
                  <c:v>2</c:v>
                </c:pt>
                <c:pt idx="219">
                  <c:v>8.5</c:v>
                </c:pt>
                <c:pt idx="220">
                  <c:v>6</c:v>
                </c:pt>
                <c:pt idx="221">
                  <c:v>6</c:v>
                </c:pt>
                <c:pt idx="222">
                  <c:v>1</c:v>
                </c:pt>
                <c:pt idx="223">
                  <c:v>29</c:v>
                </c:pt>
                <c:pt idx="224">
                  <c:v>6</c:v>
                </c:pt>
                <c:pt idx="225">
                  <c:v>10</c:v>
                </c:pt>
                <c:pt idx="226">
                  <c:v>8</c:v>
                </c:pt>
                <c:pt idx="227">
                  <c:v>5</c:v>
                </c:pt>
                <c:pt idx="228">
                  <c:v>3</c:v>
                </c:pt>
                <c:pt idx="229">
                  <c:v>2</c:v>
                </c:pt>
                <c:pt idx="230">
                  <c:v>1.5</c:v>
                </c:pt>
                <c:pt idx="231">
                  <c:v>7</c:v>
                </c:pt>
                <c:pt idx="232">
                  <c:v>5</c:v>
                </c:pt>
                <c:pt idx="233">
                  <c:v>2</c:v>
                </c:pt>
                <c:pt idx="234">
                  <c:v>4.5</c:v>
                </c:pt>
                <c:pt idx="235">
                  <c:v>3</c:v>
                </c:pt>
                <c:pt idx="236">
                  <c:v>6</c:v>
                </c:pt>
                <c:pt idx="237">
                  <c:v>9</c:v>
                </c:pt>
                <c:pt idx="238">
                  <c:v>28</c:v>
                </c:pt>
                <c:pt idx="239">
                  <c:v>0.1</c:v>
                </c:pt>
                <c:pt idx="240">
                  <c:v>7</c:v>
                </c:pt>
                <c:pt idx="241">
                  <c:v>2</c:v>
                </c:pt>
                <c:pt idx="242">
                  <c:v>4</c:v>
                </c:pt>
                <c:pt idx="243">
                  <c:v>3</c:v>
                </c:pt>
                <c:pt idx="244">
                  <c:v>5</c:v>
                </c:pt>
                <c:pt idx="245">
                  <c:v>7</c:v>
                </c:pt>
                <c:pt idx="246">
                  <c:v>21</c:v>
                </c:pt>
                <c:pt idx="247">
                  <c:v>4</c:v>
                </c:pt>
                <c:pt idx="248">
                  <c:v>8</c:v>
                </c:pt>
                <c:pt idx="249">
                  <c:v>7</c:v>
                </c:pt>
                <c:pt idx="250">
                  <c:v>5.6</c:v>
                </c:pt>
                <c:pt idx="251">
                  <c:v>15</c:v>
                </c:pt>
                <c:pt idx="252">
                  <c:v>1</c:v>
                </c:pt>
                <c:pt idx="253">
                  <c:v>5.5</c:v>
                </c:pt>
                <c:pt idx="254">
                  <c:v>4</c:v>
                </c:pt>
                <c:pt idx="255">
                  <c:v>7</c:v>
                </c:pt>
                <c:pt idx="256">
                  <c:v>4</c:v>
                </c:pt>
                <c:pt idx="257">
                  <c:v>36</c:v>
                </c:pt>
                <c:pt idx="258">
                  <c:v>0</c:v>
                </c:pt>
                <c:pt idx="259">
                  <c:v>6</c:v>
                </c:pt>
                <c:pt idx="260">
                  <c:v>2</c:v>
                </c:pt>
                <c:pt idx="261">
                  <c:v>6</c:v>
                </c:pt>
                <c:pt idx="262">
                  <c:v>15</c:v>
                </c:pt>
                <c:pt idx="263">
                  <c:v>6</c:v>
                </c:pt>
                <c:pt idx="264">
                  <c:v>12</c:v>
                </c:pt>
                <c:pt idx="265">
                  <c:v>5</c:v>
                </c:pt>
                <c:pt idx="266">
                  <c:v>7</c:v>
                </c:pt>
                <c:pt idx="267">
                  <c:v>11</c:v>
                </c:pt>
                <c:pt idx="268">
                  <c:v>1.6</c:v>
                </c:pt>
                <c:pt idx="269">
                  <c:v>3</c:v>
                </c:pt>
                <c:pt idx="270">
                  <c:v>8</c:v>
                </c:pt>
                <c:pt idx="271">
                  <c:v>21</c:v>
                </c:pt>
                <c:pt idx="272">
                  <c:v>5</c:v>
                </c:pt>
                <c:pt idx="273">
                  <c:v>10</c:v>
                </c:pt>
                <c:pt idx="274">
                  <c:v>4</c:v>
                </c:pt>
                <c:pt idx="275">
                  <c:v>8</c:v>
                </c:pt>
                <c:pt idx="276">
                  <c:v>3</c:v>
                </c:pt>
                <c:pt idx="277">
                  <c:v>6</c:v>
                </c:pt>
                <c:pt idx="278">
                  <c:v>5</c:v>
                </c:pt>
                <c:pt idx="279">
                  <c:v>10</c:v>
                </c:pt>
                <c:pt idx="280">
                  <c:v>30</c:v>
                </c:pt>
                <c:pt idx="281">
                  <c:v>9</c:v>
                </c:pt>
                <c:pt idx="282">
                  <c:v>5</c:v>
                </c:pt>
                <c:pt idx="283">
                  <c:v>6</c:v>
                </c:pt>
                <c:pt idx="284">
                  <c:v>8</c:v>
                </c:pt>
                <c:pt idx="285">
                  <c:v>2.5</c:v>
                </c:pt>
                <c:pt idx="286">
                  <c:v>6</c:v>
                </c:pt>
                <c:pt idx="287">
                  <c:v>4</c:v>
                </c:pt>
                <c:pt idx="288">
                  <c:v>5</c:v>
                </c:pt>
                <c:pt idx="289">
                  <c:v>1</c:v>
                </c:pt>
                <c:pt idx="290">
                  <c:v>2.5</c:v>
                </c:pt>
                <c:pt idx="291">
                  <c:v>2</c:v>
                </c:pt>
                <c:pt idx="292">
                  <c:v>5</c:v>
                </c:pt>
                <c:pt idx="293">
                  <c:v>4</c:v>
                </c:pt>
                <c:pt idx="294">
                  <c:v>13</c:v>
                </c:pt>
                <c:pt idx="295">
                  <c:v>4</c:v>
                </c:pt>
                <c:pt idx="296">
                  <c:v>4</c:v>
                </c:pt>
                <c:pt idx="297">
                  <c:v>5</c:v>
                </c:pt>
                <c:pt idx="298">
                  <c:v>8</c:v>
                </c:pt>
                <c:pt idx="299">
                  <c:v>15</c:v>
                </c:pt>
                <c:pt idx="300">
                  <c:v>20</c:v>
                </c:pt>
                <c:pt idx="301">
                  <c:v>2.5</c:v>
                </c:pt>
                <c:pt idx="302">
                  <c:v>5</c:v>
                </c:pt>
                <c:pt idx="303">
                  <c:v>4</c:v>
                </c:pt>
                <c:pt idx="304">
                  <c:v>16</c:v>
                </c:pt>
                <c:pt idx="305">
                  <c:v>4</c:v>
                </c:pt>
                <c:pt idx="306">
                  <c:v>4</c:v>
                </c:pt>
                <c:pt idx="307">
                  <c:v>5</c:v>
                </c:pt>
                <c:pt idx="308">
                  <c:v>13</c:v>
                </c:pt>
                <c:pt idx="309">
                  <c:v>3</c:v>
                </c:pt>
                <c:pt idx="310">
                  <c:v>2</c:v>
                </c:pt>
                <c:pt idx="311">
                  <c:v>4</c:v>
                </c:pt>
                <c:pt idx="312">
                  <c:v>2</c:v>
                </c:pt>
                <c:pt idx="313">
                  <c:v>4</c:v>
                </c:pt>
                <c:pt idx="314">
                  <c:v>9</c:v>
                </c:pt>
                <c:pt idx="315">
                  <c:v>2</c:v>
                </c:pt>
                <c:pt idx="316">
                  <c:v>0</c:v>
                </c:pt>
                <c:pt idx="317">
                  <c:v>0</c:v>
                </c:pt>
                <c:pt idx="318">
                  <c:v>3</c:v>
                </c:pt>
                <c:pt idx="319">
                  <c:v>3</c:v>
                </c:pt>
                <c:pt idx="320">
                  <c:v>5</c:v>
                </c:pt>
                <c:pt idx="321">
                  <c:v>0</c:v>
                </c:pt>
                <c:pt idx="322">
                  <c:v>9</c:v>
                </c:pt>
                <c:pt idx="323">
                  <c:v>1</c:v>
                </c:pt>
                <c:pt idx="324">
                  <c:v>1</c:v>
                </c:pt>
                <c:pt idx="325">
                  <c:v>3</c:v>
                </c:pt>
                <c:pt idx="326">
                  <c:v>4</c:v>
                </c:pt>
                <c:pt idx="327">
                  <c:v>8</c:v>
                </c:pt>
                <c:pt idx="328">
                  <c:v>4</c:v>
                </c:pt>
                <c:pt idx="329">
                  <c:v>10</c:v>
                </c:pt>
                <c:pt idx="330">
                  <c:v>6</c:v>
                </c:pt>
                <c:pt idx="331">
                  <c:v>7</c:v>
                </c:pt>
                <c:pt idx="332">
                  <c:v>6</c:v>
                </c:pt>
                <c:pt idx="333">
                  <c:v>5</c:v>
                </c:pt>
                <c:pt idx="334">
                  <c:v>10</c:v>
                </c:pt>
                <c:pt idx="335">
                  <c:v>4</c:v>
                </c:pt>
                <c:pt idx="336">
                  <c:v>10</c:v>
                </c:pt>
                <c:pt idx="337">
                  <c:v>2</c:v>
                </c:pt>
                <c:pt idx="338">
                  <c:v>12</c:v>
                </c:pt>
                <c:pt idx="339">
                  <c:v>6</c:v>
                </c:pt>
                <c:pt idx="340">
                  <c:v>12</c:v>
                </c:pt>
                <c:pt idx="341">
                  <c:v>9</c:v>
                </c:pt>
                <c:pt idx="342">
                  <c:v>2</c:v>
                </c:pt>
                <c:pt idx="343">
                  <c:v>27</c:v>
                </c:pt>
                <c:pt idx="344">
                  <c:v>3</c:v>
                </c:pt>
                <c:pt idx="345">
                  <c:v>5</c:v>
                </c:pt>
                <c:pt idx="346">
                  <c:v>2</c:v>
                </c:pt>
                <c:pt idx="347">
                  <c:v>6</c:v>
                </c:pt>
                <c:pt idx="348">
                  <c:v>1.6</c:v>
                </c:pt>
                <c:pt idx="349">
                  <c:v>3</c:v>
                </c:pt>
                <c:pt idx="350">
                  <c:v>9</c:v>
                </c:pt>
                <c:pt idx="351">
                  <c:v>0</c:v>
                </c:pt>
                <c:pt idx="352">
                  <c:v>2</c:v>
                </c:pt>
                <c:pt idx="353">
                  <c:v>2</c:v>
                </c:pt>
                <c:pt idx="354">
                  <c:v>20</c:v>
                </c:pt>
                <c:pt idx="355">
                  <c:v>0</c:v>
                </c:pt>
                <c:pt idx="356">
                  <c:v>9</c:v>
                </c:pt>
                <c:pt idx="357">
                  <c:v>10</c:v>
                </c:pt>
                <c:pt idx="358">
                  <c:v>2</c:v>
                </c:pt>
                <c:pt idx="359">
                  <c:v>0</c:v>
                </c:pt>
                <c:pt idx="360">
                  <c:v>2</c:v>
                </c:pt>
                <c:pt idx="361">
                  <c:v>2</c:v>
                </c:pt>
                <c:pt idx="362">
                  <c:v>7</c:v>
                </c:pt>
                <c:pt idx="363">
                  <c:v>4</c:v>
                </c:pt>
                <c:pt idx="364">
                  <c:v>4</c:v>
                </c:pt>
                <c:pt idx="365">
                  <c:v>2</c:v>
                </c:pt>
                <c:pt idx="366">
                  <c:v>10</c:v>
                </c:pt>
                <c:pt idx="367">
                  <c:v>8</c:v>
                </c:pt>
                <c:pt idx="368">
                  <c:v>5</c:v>
                </c:pt>
                <c:pt idx="369">
                  <c:v>12</c:v>
                </c:pt>
                <c:pt idx="370">
                  <c:v>15</c:v>
                </c:pt>
                <c:pt idx="371">
                  <c:v>10</c:v>
                </c:pt>
                <c:pt idx="372">
                  <c:v>0</c:v>
                </c:pt>
                <c:pt idx="373">
                  <c:v>6</c:v>
                </c:pt>
                <c:pt idx="374">
                  <c:v>25</c:v>
                </c:pt>
                <c:pt idx="375">
                  <c:v>10</c:v>
                </c:pt>
                <c:pt idx="376">
                  <c:v>23</c:v>
                </c:pt>
                <c:pt idx="377">
                  <c:v>26</c:v>
                </c:pt>
                <c:pt idx="378">
                  <c:v>6</c:v>
                </c:pt>
                <c:pt idx="379">
                  <c:v>4</c:v>
                </c:pt>
                <c:pt idx="380">
                  <c:v>4</c:v>
                </c:pt>
                <c:pt idx="381">
                  <c:v>8</c:v>
                </c:pt>
                <c:pt idx="382">
                  <c:v>3</c:v>
                </c:pt>
                <c:pt idx="383">
                  <c:v>9</c:v>
                </c:pt>
                <c:pt idx="384">
                  <c:v>2</c:v>
                </c:pt>
                <c:pt idx="385">
                  <c:v>10</c:v>
                </c:pt>
                <c:pt idx="386">
                  <c:v>8</c:v>
                </c:pt>
                <c:pt idx="387">
                  <c:v>7.3</c:v>
                </c:pt>
                <c:pt idx="388">
                  <c:v>4.5</c:v>
                </c:pt>
                <c:pt idx="389">
                  <c:v>4</c:v>
                </c:pt>
                <c:pt idx="390">
                  <c:v>20</c:v>
                </c:pt>
                <c:pt idx="391">
                  <c:v>23</c:v>
                </c:pt>
                <c:pt idx="392">
                  <c:v>2</c:v>
                </c:pt>
                <c:pt idx="393">
                  <c:v>6</c:v>
                </c:pt>
                <c:pt idx="394">
                  <c:v>10</c:v>
                </c:pt>
                <c:pt idx="395">
                  <c:v>15</c:v>
                </c:pt>
                <c:pt idx="396">
                  <c:v>2</c:v>
                </c:pt>
                <c:pt idx="397">
                  <c:v>12</c:v>
                </c:pt>
                <c:pt idx="398">
                  <c:v>5</c:v>
                </c:pt>
                <c:pt idx="399">
                  <c:v>6</c:v>
                </c:pt>
                <c:pt idx="400">
                  <c:v>7</c:v>
                </c:pt>
                <c:pt idx="401">
                  <c:v>6</c:v>
                </c:pt>
                <c:pt idx="402">
                  <c:v>1</c:v>
                </c:pt>
                <c:pt idx="403">
                  <c:v>2.5</c:v>
                </c:pt>
                <c:pt idx="404">
                  <c:v>15</c:v>
                </c:pt>
                <c:pt idx="405">
                  <c:v>1</c:v>
                </c:pt>
                <c:pt idx="406">
                  <c:v>12</c:v>
                </c:pt>
                <c:pt idx="407">
                  <c:v>8</c:v>
                </c:pt>
                <c:pt idx="408">
                  <c:v>5</c:v>
                </c:pt>
                <c:pt idx="409">
                  <c:v>3</c:v>
                </c:pt>
                <c:pt idx="410">
                  <c:v>6</c:v>
                </c:pt>
                <c:pt idx="411">
                  <c:v>2</c:v>
                </c:pt>
                <c:pt idx="412">
                  <c:v>1</c:v>
                </c:pt>
                <c:pt idx="413">
                  <c:v>6</c:v>
                </c:pt>
                <c:pt idx="414">
                  <c:v>5</c:v>
                </c:pt>
                <c:pt idx="415">
                  <c:v>3</c:v>
                </c:pt>
                <c:pt idx="416">
                  <c:v>10</c:v>
                </c:pt>
                <c:pt idx="417">
                  <c:v>5</c:v>
                </c:pt>
                <c:pt idx="418">
                  <c:v>2</c:v>
                </c:pt>
                <c:pt idx="419">
                  <c:v>8</c:v>
                </c:pt>
                <c:pt idx="420">
                  <c:v>4</c:v>
                </c:pt>
                <c:pt idx="421">
                  <c:v>6</c:v>
                </c:pt>
                <c:pt idx="422">
                  <c:v>4.5999999999999996</c:v>
                </c:pt>
                <c:pt idx="423">
                  <c:v>3</c:v>
                </c:pt>
                <c:pt idx="424">
                  <c:v>5</c:v>
                </c:pt>
                <c:pt idx="425">
                  <c:v>7</c:v>
                </c:pt>
                <c:pt idx="426">
                  <c:v>8</c:v>
                </c:pt>
                <c:pt idx="427">
                  <c:v>8</c:v>
                </c:pt>
                <c:pt idx="428">
                  <c:v>26</c:v>
                </c:pt>
                <c:pt idx="429">
                  <c:v>5</c:v>
                </c:pt>
                <c:pt idx="430">
                  <c:v>6</c:v>
                </c:pt>
                <c:pt idx="431">
                  <c:v>10</c:v>
                </c:pt>
                <c:pt idx="432">
                  <c:v>30</c:v>
                </c:pt>
                <c:pt idx="433">
                  <c:v>7</c:v>
                </c:pt>
                <c:pt idx="434">
                  <c:v>14</c:v>
                </c:pt>
                <c:pt idx="435">
                  <c:v>5</c:v>
                </c:pt>
                <c:pt idx="436">
                  <c:v>2</c:v>
                </c:pt>
                <c:pt idx="437">
                  <c:v>6</c:v>
                </c:pt>
                <c:pt idx="438">
                  <c:v>2</c:v>
                </c:pt>
                <c:pt idx="439">
                  <c:v>7</c:v>
                </c:pt>
                <c:pt idx="440">
                  <c:v>5</c:v>
                </c:pt>
                <c:pt idx="441">
                  <c:v>1</c:v>
                </c:pt>
                <c:pt idx="442">
                  <c:v>3</c:v>
                </c:pt>
                <c:pt idx="443">
                  <c:v>10</c:v>
                </c:pt>
                <c:pt idx="444">
                  <c:v>12</c:v>
                </c:pt>
                <c:pt idx="445">
                  <c:v>12</c:v>
                </c:pt>
                <c:pt idx="446">
                  <c:v>4</c:v>
                </c:pt>
                <c:pt idx="447">
                  <c:v>20</c:v>
                </c:pt>
                <c:pt idx="448">
                  <c:v>0.5</c:v>
                </c:pt>
                <c:pt idx="449">
                  <c:v>0.6</c:v>
                </c:pt>
                <c:pt idx="450">
                  <c:v>1</c:v>
                </c:pt>
                <c:pt idx="451">
                  <c:v>6.4</c:v>
                </c:pt>
                <c:pt idx="452">
                  <c:v>6</c:v>
                </c:pt>
                <c:pt idx="453">
                  <c:v>3</c:v>
                </c:pt>
                <c:pt idx="454">
                  <c:v>8</c:v>
                </c:pt>
                <c:pt idx="455">
                  <c:v>5</c:v>
                </c:pt>
                <c:pt idx="456">
                  <c:v>10</c:v>
                </c:pt>
                <c:pt idx="457">
                  <c:v>6</c:v>
                </c:pt>
                <c:pt idx="458">
                  <c:v>19</c:v>
                </c:pt>
                <c:pt idx="459">
                  <c:v>4</c:v>
                </c:pt>
                <c:pt idx="460">
                  <c:v>4</c:v>
                </c:pt>
                <c:pt idx="461">
                  <c:v>6</c:v>
                </c:pt>
                <c:pt idx="462">
                  <c:v>18</c:v>
                </c:pt>
                <c:pt idx="463">
                  <c:v>4</c:v>
                </c:pt>
                <c:pt idx="464">
                  <c:v>4</c:v>
                </c:pt>
                <c:pt idx="465">
                  <c:v>2</c:v>
                </c:pt>
                <c:pt idx="466">
                  <c:v>6</c:v>
                </c:pt>
                <c:pt idx="467">
                  <c:v>12</c:v>
                </c:pt>
                <c:pt idx="468">
                  <c:v>1</c:v>
                </c:pt>
                <c:pt idx="469">
                  <c:v>5</c:v>
                </c:pt>
                <c:pt idx="470">
                  <c:v>8</c:v>
                </c:pt>
                <c:pt idx="471">
                  <c:v>1</c:v>
                </c:pt>
                <c:pt idx="472">
                  <c:v>9</c:v>
                </c:pt>
                <c:pt idx="473">
                  <c:v>3</c:v>
                </c:pt>
                <c:pt idx="474">
                  <c:v>3</c:v>
                </c:pt>
                <c:pt idx="475">
                  <c:v>1</c:v>
                </c:pt>
                <c:pt idx="476">
                  <c:v>2</c:v>
                </c:pt>
                <c:pt idx="477">
                  <c:v>8</c:v>
                </c:pt>
                <c:pt idx="478">
                  <c:v>6</c:v>
                </c:pt>
                <c:pt idx="479">
                  <c:v>8</c:v>
                </c:pt>
                <c:pt idx="480">
                  <c:v>11</c:v>
                </c:pt>
                <c:pt idx="481">
                  <c:v>6</c:v>
                </c:pt>
                <c:pt idx="482">
                  <c:v>5</c:v>
                </c:pt>
                <c:pt idx="483">
                  <c:v>7</c:v>
                </c:pt>
                <c:pt idx="484">
                  <c:v>3</c:v>
                </c:pt>
                <c:pt idx="485">
                  <c:v>2</c:v>
                </c:pt>
                <c:pt idx="486">
                  <c:v>1</c:v>
                </c:pt>
                <c:pt idx="487">
                  <c:v>5</c:v>
                </c:pt>
                <c:pt idx="488">
                  <c:v>3</c:v>
                </c:pt>
                <c:pt idx="489">
                  <c:v>0.3</c:v>
                </c:pt>
                <c:pt idx="490">
                  <c:v>5</c:v>
                </c:pt>
                <c:pt idx="491">
                  <c:v>0</c:v>
                </c:pt>
                <c:pt idx="492">
                  <c:v>8</c:v>
                </c:pt>
                <c:pt idx="493">
                  <c:v>5</c:v>
                </c:pt>
                <c:pt idx="494">
                  <c:v>1.5</c:v>
                </c:pt>
                <c:pt idx="495">
                  <c:v>10</c:v>
                </c:pt>
                <c:pt idx="496">
                  <c:v>2</c:v>
                </c:pt>
                <c:pt idx="497">
                  <c:v>4</c:v>
                </c:pt>
                <c:pt idx="498">
                  <c:v>10</c:v>
                </c:pt>
                <c:pt idx="499">
                  <c:v>3</c:v>
                </c:pt>
                <c:pt idx="500">
                  <c:v>6</c:v>
                </c:pt>
                <c:pt idx="501">
                  <c:v>5</c:v>
                </c:pt>
                <c:pt idx="502">
                  <c:v>5</c:v>
                </c:pt>
                <c:pt idx="503">
                  <c:v>5</c:v>
                </c:pt>
                <c:pt idx="504">
                  <c:v>1</c:v>
                </c:pt>
                <c:pt idx="505">
                  <c:v>7</c:v>
                </c:pt>
                <c:pt idx="506">
                  <c:v>14</c:v>
                </c:pt>
                <c:pt idx="507">
                  <c:v>4</c:v>
                </c:pt>
                <c:pt idx="508">
                  <c:v>16</c:v>
                </c:pt>
                <c:pt idx="509">
                  <c:v>2</c:v>
                </c:pt>
                <c:pt idx="510">
                  <c:v>3</c:v>
                </c:pt>
                <c:pt idx="511">
                  <c:v>12</c:v>
                </c:pt>
                <c:pt idx="512">
                  <c:v>0</c:v>
                </c:pt>
                <c:pt idx="513">
                  <c:v>0</c:v>
                </c:pt>
                <c:pt idx="514">
                  <c:v>10</c:v>
                </c:pt>
                <c:pt idx="515">
                  <c:v>0</c:v>
                </c:pt>
                <c:pt idx="516">
                  <c:v>12</c:v>
                </c:pt>
                <c:pt idx="517">
                  <c:v>15</c:v>
                </c:pt>
                <c:pt idx="518">
                  <c:v>2</c:v>
                </c:pt>
                <c:pt idx="519">
                  <c:v>6</c:v>
                </c:pt>
                <c:pt idx="520">
                  <c:v>5</c:v>
                </c:pt>
                <c:pt idx="521">
                  <c:v>15</c:v>
                </c:pt>
                <c:pt idx="522">
                  <c:v>4</c:v>
                </c:pt>
                <c:pt idx="523">
                  <c:v>18</c:v>
                </c:pt>
                <c:pt idx="524">
                  <c:v>15</c:v>
                </c:pt>
                <c:pt idx="525">
                  <c:v>1</c:v>
                </c:pt>
                <c:pt idx="526">
                  <c:v>8</c:v>
                </c:pt>
                <c:pt idx="527">
                  <c:v>5</c:v>
                </c:pt>
                <c:pt idx="528">
                  <c:v>5</c:v>
                </c:pt>
                <c:pt idx="529">
                  <c:v>6</c:v>
                </c:pt>
                <c:pt idx="530">
                  <c:v>8</c:v>
                </c:pt>
                <c:pt idx="531">
                  <c:v>20</c:v>
                </c:pt>
                <c:pt idx="532">
                  <c:v>12</c:v>
                </c:pt>
                <c:pt idx="533">
                  <c:v>7</c:v>
                </c:pt>
                <c:pt idx="534">
                  <c:v>3</c:v>
                </c:pt>
                <c:pt idx="535">
                  <c:v>15</c:v>
                </c:pt>
                <c:pt idx="536">
                  <c:v>20</c:v>
                </c:pt>
                <c:pt idx="537">
                  <c:v>4.5</c:v>
                </c:pt>
                <c:pt idx="538">
                  <c:v>10</c:v>
                </c:pt>
                <c:pt idx="539">
                  <c:v>0</c:v>
                </c:pt>
                <c:pt idx="540">
                  <c:v>10</c:v>
                </c:pt>
                <c:pt idx="541">
                  <c:v>4</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numCache>
            </c:numRef>
          </c:xVal>
          <c:yVal>
            <c:numRef>
              <c:f>'Charts data'!$D$56:$D$1919</c:f>
              <c:numCache>
                <c:formatCode>General</c:formatCode>
                <c:ptCount val="1864"/>
                <c:pt idx="0">
                  <c:v>148102.22862117883</c:v>
                </c:pt>
                <c:pt idx="1">
                  <c:v>39404.456801682099</c:v>
                </c:pt>
                <c:pt idx="2">
                  <c:v>8903.9583437212841</c:v>
                </c:pt>
                <c:pt idx="3">
                  <c:v>7123.1666749770275</c:v>
                </c:pt>
                <c:pt idx="4">
                  <c:v>4273.9000049862161</c:v>
                </c:pt>
                <c:pt idx="5">
                  <c:v>6767.0083412281756</c:v>
                </c:pt>
                <c:pt idx="6">
                  <c:v>7479.3250087258784</c:v>
                </c:pt>
                <c:pt idx="7">
                  <c:v>15136.729184326183</c:v>
                </c:pt>
                <c:pt idx="8">
                  <c:v>32054.250037396621</c:v>
                </c:pt>
                <c:pt idx="9">
                  <c:v>2849.2666699908109</c:v>
                </c:pt>
                <c:pt idx="10">
                  <c:v>12821.700014958649</c:v>
                </c:pt>
                <c:pt idx="11">
                  <c:v>3561.5833374885137</c:v>
                </c:pt>
                <c:pt idx="12">
                  <c:v>10684.750012465542</c:v>
                </c:pt>
                <c:pt idx="13">
                  <c:v>5342.3750062327708</c:v>
                </c:pt>
                <c:pt idx="14">
                  <c:v>71231.666749770273</c:v>
                </c:pt>
                <c:pt idx="15">
                  <c:v>80135.625093491559</c:v>
                </c:pt>
                <c:pt idx="16">
                  <c:v>5342.3750062327708</c:v>
                </c:pt>
                <c:pt idx="17">
                  <c:v>7123.1666749770275</c:v>
                </c:pt>
                <c:pt idx="18">
                  <c:v>10684.750012465542</c:v>
                </c:pt>
                <c:pt idx="19">
                  <c:v>2671.1875031163854</c:v>
                </c:pt>
                <c:pt idx="20">
                  <c:v>14246.333349954055</c:v>
                </c:pt>
                <c:pt idx="21">
                  <c:v>8547.8000099724322</c:v>
                </c:pt>
                <c:pt idx="22">
                  <c:v>7693.0200089751897</c:v>
                </c:pt>
                <c:pt idx="23">
                  <c:v>186983.12521814698</c:v>
                </c:pt>
                <c:pt idx="24">
                  <c:v>16917.52085307044</c:v>
                </c:pt>
                <c:pt idx="25">
                  <c:v>2938.3062534280239</c:v>
                </c:pt>
                <c:pt idx="26">
                  <c:v>5342.3750062327708</c:v>
                </c:pt>
                <c:pt idx="27">
                  <c:v>3561.5833374885137</c:v>
                </c:pt>
                <c:pt idx="28">
                  <c:v>8547.8000099724322</c:v>
                </c:pt>
                <c:pt idx="29">
                  <c:v>4095.8208381117906</c:v>
                </c:pt>
                <c:pt idx="30">
                  <c:v>5787.5729234188348</c:v>
                </c:pt>
                <c:pt idx="31">
                  <c:v>4451.9791718606421</c:v>
                </c:pt>
                <c:pt idx="32">
                  <c:v>8369.7208430980063</c:v>
                </c:pt>
                <c:pt idx="33">
                  <c:v>3917.7416712373652</c:v>
                </c:pt>
                <c:pt idx="34">
                  <c:v>4630.058338735068</c:v>
                </c:pt>
                <c:pt idx="35">
                  <c:v>2136.9500024931081</c:v>
                </c:pt>
                <c:pt idx="36">
                  <c:v>2564.3400029917298</c:v>
                </c:pt>
                <c:pt idx="37">
                  <c:v>20479.104190558952</c:v>
                </c:pt>
                <c:pt idx="38">
                  <c:v>5342.3750062327708</c:v>
                </c:pt>
                <c:pt idx="39">
                  <c:v>11539.530013462785</c:v>
                </c:pt>
                <c:pt idx="40">
                  <c:v>6767.0083412281756</c:v>
                </c:pt>
                <c:pt idx="41">
                  <c:v>4451.9791718606421</c:v>
                </c:pt>
                <c:pt idx="42">
                  <c:v>2671.1875031163854</c:v>
                </c:pt>
                <c:pt idx="43">
                  <c:v>4957.7240057840108</c:v>
                </c:pt>
                <c:pt idx="44">
                  <c:v>3205.4250037396623</c:v>
                </c:pt>
                <c:pt idx="45">
                  <c:v>14246.333349954055</c:v>
                </c:pt>
                <c:pt idx="46">
                  <c:v>5342.3750062327708</c:v>
                </c:pt>
                <c:pt idx="47">
                  <c:v>6588.9291743537506</c:v>
                </c:pt>
                <c:pt idx="48">
                  <c:v>6588.9291743537506</c:v>
                </c:pt>
                <c:pt idx="49">
                  <c:v>12821.700014958649</c:v>
                </c:pt>
                <c:pt idx="50">
                  <c:v>10684.750012465542</c:v>
                </c:pt>
                <c:pt idx="51">
                  <c:v>2136.9500024931081</c:v>
                </c:pt>
                <c:pt idx="52">
                  <c:v>8547.8000099724322</c:v>
                </c:pt>
                <c:pt idx="53">
                  <c:v>8013.5625093491553</c:v>
                </c:pt>
                <c:pt idx="54">
                  <c:v>7123.1666749770275</c:v>
                </c:pt>
                <c:pt idx="55">
                  <c:v>40958.208381117904</c:v>
                </c:pt>
                <c:pt idx="56">
                  <c:v>11325.835013213473</c:v>
                </c:pt>
                <c:pt idx="57">
                  <c:v>8903.9583437212841</c:v>
                </c:pt>
                <c:pt idx="58">
                  <c:v>8903.9583437212841</c:v>
                </c:pt>
                <c:pt idx="59">
                  <c:v>12821.700014958649</c:v>
                </c:pt>
                <c:pt idx="60">
                  <c:v>3205.4250037396623</c:v>
                </c:pt>
                <c:pt idx="61">
                  <c:v>6677.9687577909626</c:v>
                </c:pt>
                <c:pt idx="62">
                  <c:v>7123.1666749770275</c:v>
                </c:pt>
                <c:pt idx="63">
                  <c:v>4451.9791718606421</c:v>
                </c:pt>
                <c:pt idx="64">
                  <c:v>6945.0875081026015</c:v>
                </c:pt>
                <c:pt idx="65">
                  <c:v>10684.750012465542</c:v>
                </c:pt>
                <c:pt idx="66">
                  <c:v>8547.8000099724322</c:v>
                </c:pt>
                <c:pt idx="67">
                  <c:v>17807.916687442568</c:v>
                </c:pt>
                <c:pt idx="68">
                  <c:v>3205.4250037396623</c:v>
                </c:pt>
                <c:pt idx="69">
                  <c:v>14246.333349954055</c:v>
                </c:pt>
                <c:pt idx="70">
                  <c:v>10684.750012465542</c:v>
                </c:pt>
                <c:pt idx="71">
                  <c:v>7301.2458418514525</c:v>
                </c:pt>
                <c:pt idx="72">
                  <c:v>10684.750012465542</c:v>
                </c:pt>
                <c:pt idx="73">
                  <c:v>6410.8500074793246</c:v>
                </c:pt>
                <c:pt idx="74">
                  <c:v>4273.9000049862161</c:v>
                </c:pt>
                <c:pt idx="75">
                  <c:v>4006.7812546745777</c:v>
                </c:pt>
                <c:pt idx="76">
                  <c:v>4273.9000049862161</c:v>
                </c:pt>
                <c:pt idx="77">
                  <c:v>12465.541681209797</c:v>
                </c:pt>
                <c:pt idx="78">
                  <c:v>2136.9500024931081</c:v>
                </c:pt>
                <c:pt idx="79">
                  <c:v>21369.500024931083</c:v>
                </c:pt>
                <c:pt idx="80">
                  <c:v>3650.6229209257262</c:v>
                </c:pt>
                <c:pt idx="81">
                  <c:v>5342.3750062327708</c:v>
                </c:pt>
                <c:pt idx="82">
                  <c:v>3917.7416712373652</c:v>
                </c:pt>
                <c:pt idx="83">
                  <c:v>8547.8000099724322</c:v>
                </c:pt>
                <c:pt idx="84">
                  <c:v>10150.512511842264</c:v>
                </c:pt>
                <c:pt idx="85">
                  <c:v>11325.835013213473</c:v>
                </c:pt>
                <c:pt idx="86">
                  <c:v>40067.812546745779</c:v>
                </c:pt>
                <c:pt idx="87">
                  <c:v>4273.9000049862161</c:v>
                </c:pt>
                <c:pt idx="88">
                  <c:v>7123.1666749770275</c:v>
                </c:pt>
                <c:pt idx="89">
                  <c:v>8013.5625093491553</c:v>
                </c:pt>
                <c:pt idx="90">
                  <c:v>2671.1875031163854</c:v>
                </c:pt>
                <c:pt idx="91">
                  <c:v>20514.720023933838</c:v>
                </c:pt>
                <c:pt idx="92">
                  <c:v>6713.584591165848</c:v>
                </c:pt>
                <c:pt idx="93">
                  <c:v>10684.750012465542</c:v>
                </c:pt>
                <c:pt idx="94">
                  <c:v>15136.729184326183</c:v>
                </c:pt>
                <c:pt idx="95">
                  <c:v>8013.5625093491553</c:v>
                </c:pt>
                <c:pt idx="96">
                  <c:v>3027.3458368652364</c:v>
                </c:pt>
                <c:pt idx="97">
                  <c:v>4273.9000049862161</c:v>
                </c:pt>
                <c:pt idx="98">
                  <c:v>11575.14584683767</c:v>
                </c:pt>
                <c:pt idx="99">
                  <c:v>9188.8850107203652</c:v>
                </c:pt>
                <c:pt idx="100">
                  <c:v>8975.1900104710548</c:v>
                </c:pt>
                <c:pt idx="101">
                  <c:v>2564.3400029917298</c:v>
                </c:pt>
                <c:pt idx="102">
                  <c:v>10684.750012465542</c:v>
                </c:pt>
                <c:pt idx="103">
                  <c:v>30273.458368652366</c:v>
                </c:pt>
                <c:pt idx="104">
                  <c:v>6410.8500074793246</c:v>
                </c:pt>
                <c:pt idx="105">
                  <c:v>9794.354178093412</c:v>
                </c:pt>
                <c:pt idx="106">
                  <c:v>10684.750012465542</c:v>
                </c:pt>
                <c:pt idx="107">
                  <c:v>10684.750012465542</c:v>
                </c:pt>
                <c:pt idx="108">
                  <c:v>17807.916687442568</c:v>
                </c:pt>
                <c:pt idx="109">
                  <c:v>16027.125018698311</c:v>
                </c:pt>
                <c:pt idx="110">
                  <c:v>21369.500024931083</c:v>
                </c:pt>
                <c:pt idx="111">
                  <c:v>3561.5833374885137</c:v>
                </c:pt>
                <c:pt idx="112">
                  <c:v>3561.5833374885137</c:v>
                </c:pt>
                <c:pt idx="113">
                  <c:v>17807.916687442568</c:v>
                </c:pt>
                <c:pt idx="114">
                  <c:v>11575.14584683767</c:v>
                </c:pt>
                <c:pt idx="115">
                  <c:v>9794.354178093412</c:v>
                </c:pt>
                <c:pt idx="116">
                  <c:v>9616.275011218986</c:v>
                </c:pt>
                <c:pt idx="117">
                  <c:v>2564.3400029917298</c:v>
                </c:pt>
                <c:pt idx="118">
                  <c:v>5342.3750062327708</c:v>
                </c:pt>
                <c:pt idx="119">
                  <c:v>12821.700014958649</c:v>
                </c:pt>
                <c:pt idx="120">
                  <c:v>10684.750012465542</c:v>
                </c:pt>
                <c:pt idx="121">
                  <c:v>7123.1666749770275</c:v>
                </c:pt>
                <c:pt idx="122">
                  <c:v>8903.9583437212841</c:v>
                </c:pt>
                <c:pt idx="123">
                  <c:v>7123.1666749770275</c:v>
                </c:pt>
                <c:pt idx="124">
                  <c:v>40958.208381117904</c:v>
                </c:pt>
                <c:pt idx="125">
                  <c:v>21369.500024931083</c:v>
                </c:pt>
                <c:pt idx="126">
                  <c:v>2136.9500024931081</c:v>
                </c:pt>
                <c:pt idx="127">
                  <c:v>8903.9583437212841</c:v>
                </c:pt>
                <c:pt idx="128">
                  <c:v>17807.916687442568</c:v>
                </c:pt>
                <c:pt idx="129">
                  <c:v>15136.729184326183</c:v>
                </c:pt>
                <c:pt idx="130">
                  <c:v>3205.4250037396623</c:v>
                </c:pt>
                <c:pt idx="131">
                  <c:v>10684.750012465542</c:v>
                </c:pt>
                <c:pt idx="132">
                  <c:v>23150.291693675339</c:v>
                </c:pt>
                <c:pt idx="133">
                  <c:v>13801.135432767991</c:v>
                </c:pt>
                <c:pt idx="134">
                  <c:v>18698.312521814696</c:v>
                </c:pt>
                <c:pt idx="135">
                  <c:v>8654.6475100970874</c:v>
                </c:pt>
                <c:pt idx="136">
                  <c:v>5342.3750062327708</c:v>
                </c:pt>
                <c:pt idx="137">
                  <c:v>2564.3400029917298</c:v>
                </c:pt>
                <c:pt idx="138">
                  <c:v>3205.4250037396623</c:v>
                </c:pt>
                <c:pt idx="139">
                  <c:v>10684.750012465542</c:v>
                </c:pt>
                <c:pt idx="140">
                  <c:v>12465.541681209797</c:v>
                </c:pt>
                <c:pt idx="141">
                  <c:v>17807.916687442568</c:v>
                </c:pt>
                <c:pt idx="142">
                  <c:v>12465.541681209797</c:v>
                </c:pt>
                <c:pt idx="143">
                  <c:v>8547.8000099724322</c:v>
                </c:pt>
                <c:pt idx="144">
                  <c:v>10684.750012465542</c:v>
                </c:pt>
                <c:pt idx="145">
                  <c:v>10684.750012465542</c:v>
                </c:pt>
                <c:pt idx="146">
                  <c:v>3632.815004238284</c:v>
                </c:pt>
                <c:pt idx="147">
                  <c:v>21369.500024931083</c:v>
                </c:pt>
                <c:pt idx="148">
                  <c:v>8903.9583437212841</c:v>
                </c:pt>
                <c:pt idx="149">
                  <c:v>9705.3145946561999</c:v>
                </c:pt>
                <c:pt idx="150">
                  <c:v>17807.916687442568</c:v>
                </c:pt>
                <c:pt idx="151">
                  <c:v>3205.4250037396623</c:v>
                </c:pt>
                <c:pt idx="152">
                  <c:v>12465.541681209797</c:v>
                </c:pt>
                <c:pt idx="153">
                  <c:v>11575.14584683767</c:v>
                </c:pt>
                <c:pt idx="154">
                  <c:v>6232.7708406048987</c:v>
                </c:pt>
                <c:pt idx="155">
                  <c:v>11397.066679963244</c:v>
                </c:pt>
                <c:pt idx="156">
                  <c:v>6499.8895909165376</c:v>
                </c:pt>
                <c:pt idx="157">
                  <c:v>8013.5625093491553</c:v>
                </c:pt>
                <c:pt idx="158">
                  <c:v>10150.512511842264</c:v>
                </c:pt>
                <c:pt idx="159">
                  <c:v>10898.445012714852</c:v>
                </c:pt>
                <c:pt idx="160">
                  <c:v>2136.9500024931081</c:v>
                </c:pt>
                <c:pt idx="161">
                  <c:v>7123.1666749770275</c:v>
                </c:pt>
                <c:pt idx="162">
                  <c:v>5342.3750062327708</c:v>
                </c:pt>
                <c:pt idx="163">
                  <c:v>7479.3250087258784</c:v>
                </c:pt>
                <c:pt idx="164">
                  <c:v>3739.6625043629392</c:v>
                </c:pt>
                <c:pt idx="165">
                  <c:v>17807.916687442568</c:v>
                </c:pt>
                <c:pt idx="166">
                  <c:v>10684.750012465542</c:v>
                </c:pt>
                <c:pt idx="167">
                  <c:v>8476.5683432226633</c:v>
                </c:pt>
                <c:pt idx="168">
                  <c:v>3561.5833374885137</c:v>
                </c:pt>
                <c:pt idx="169">
                  <c:v>3205.4250037396623</c:v>
                </c:pt>
                <c:pt idx="170">
                  <c:v>4487.5950052355274</c:v>
                </c:pt>
                <c:pt idx="171">
                  <c:v>12465.541681209797</c:v>
                </c:pt>
                <c:pt idx="172">
                  <c:v>21369.500024931083</c:v>
                </c:pt>
                <c:pt idx="173">
                  <c:v>7265.630008476568</c:v>
                </c:pt>
                <c:pt idx="174">
                  <c:v>9438.1958443445619</c:v>
                </c:pt>
                <c:pt idx="175">
                  <c:v>3561.5833374885137</c:v>
                </c:pt>
                <c:pt idx="176">
                  <c:v>3561.5833374885137</c:v>
                </c:pt>
                <c:pt idx="177">
                  <c:v>21369.500024931083</c:v>
                </c:pt>
                <c:pt idx="178">
                  <c:v>5342.3750062327708</c:v>
                </c:pt>
                <c:pt idx="179">
                  <c:v>28492.66669990811</c:v>
                </c:pt>
                <c:pt idx="180">
                  <c:v>7799.8675090998449</c:v>
                </c:pt>
                <c:pt idx="181">
                  <c:v>4451.9791718606421</c:v>
                </c:pt>
                <c:pt idx="182">
                  <c:v>44519.791718606422</c:v>
                </c:pt>
                <c:pt idx="183">
                  <c:v>2493.1083362419595</c:v>
                </c:pt>
                <c:pt idx="184">
                  <c:v>21369.500024931083</c:v>
                </c:pt>
                <c:pt idx="185">
                  <c:v>4273.9000049862161</c:v>
                </c:pt>
                <c:pt idx="186">
                  <c:v>4451.9791718606421</c:v>
                </c:pt>
                <c:pt idx="187">
                  <c:v>10684.750012465542</c:v>
                </c:pt>
                <c:pt idx="188">
                  <c:v>8903.9583437212841</c:v>
                </c:pt>
                <c:pt idx="189">
                  <c:v>4273.9000049862161</c:v>
                </c:pt>
                <c:pt idx="190">
                  <c:v>21369.500024931083</c:v>
                </c:pt>
                <c:pt idx="191">
                  <c:v>3205.4250037396623</c:v>
                </c:pt>
                <c:pt idx="192">
                  <c:v>10684.750012465542</c:v>
                </c:pt>
                <c:pt idx="193">
                  <c:v>5342.3750062327708</c:v>
                </c:pt>
                <c:pt idx="194">
                  <c:v>4487.5950052355274</c:v>
                </c:pt>
                <c:pt idx="195">
                  <c:v>4314.929445034084</c:v>
                </c:pt>
                <c:pt idx="196">
                  <c:v>3739.6625043629392</c:v>
                </c:pt>
                <c:pt idx="197">
                  <c:v>16027.125018698311</c:v>
                </c:pt>
                <c:pt idx="198">
                  <c:v>7123.1666749770275</c:v>
                </c:pt>
                <c:pt idx="199">
                  <c:v>2675.675098121621</c:v>
                </c:pt>
                <c:pt idx="200">
                  <c:v>42739.000049862167</c:v>
                </c:pt>
                <c:pt idx="201">
                  <c:v>7123.1666749770275</c:v>
                </c:pt>
                <c:pt idx="202">
                  <c:v>3561.5833374885137</c:v>
                </c:pt>
                <c:pt idx="203">
                  <c:v>15190.15293438851</c:v>
                </c:pt>
                <c:pt idx="204">
                  <c:v>12608.005014709339</c:v>
                </c:pt>
                <c:pt idx="205">
                  <c:v>8903.9583437212841</c:v>
                </c:pt>
                <c:pt idx="206">
                  <c:v>8903.9583437212841</c:v>
                </c:pt>
                <c:pt idx="207">
                  <c:v>3561.5833374885137</c:v>
                </c:pt>
                <c:pt idx="208">
                  <c:v>8013.5625093491553</c:v>
                </c:pt>
                <c:pt idx="209">
                  <c:v>6232.7708406048987</c:v>
                </c:pt>
                <c:pt idx="210">
                  <c:v>9616.275011218986</c:v>
                </c:pt>
                <c:pt idx="211">
                  <c:v>8547.8000099724322</c:v>
                </c:pt>
                <c:pt idx="212">
                  <c:v>19588.708356186824</c:v>
                </c:pt>
                <c:pt idx="213">
                  <c:v>4451.9791718606421</c:v>
                </c:pt>
                <c:pt idx="214">
                  <c:v>16027.125018698311</c:v>
                </c:pt>
                <c:pt idx="215">
                  <c:v>8903.9583437212841</c:v>
                </c:pt>
                <c:pt idx="216">
                  <c:v>46300.583387350678</c:v>
                </c:pt>
                <c:pt idx="217">
                  <c:v>13355.937515581925</c:v>
                </c:pt>
                <c:pt idx="218">
                  <c:v>8013.5625093491553</c:v>
                </c:pt>
                <c:pt idx="219">
                  <c:v>17807.916687442568</c:v>
                </c:pt>
                <c:pt idx="220">
                  <c:v>12465.541681209797</c:v>
                </c:pt>
                <c:pt idx="221">
                  <c:v>5342.3750062327708</c:v>
                </c:pt>
                <c:pt idx="222">
                  <c:v>7123.1666749770275</c:v>
                </c:pt>
                <c:pt idx="223">
                  <c:v>8903.9583437212841</c:v>
                </c:pt>
                <c:pt idx="224">
                  <c:v>6410.8500074793246</c:v>
                </c:pt>
                <c:pt idx="225">
                  <c:v>17807.916687442568</c:v>
                </c:pt>
                <c:pt idx="226">
                  <c:v>16027.125018698311</c:v>
                </c:pt>
                <c:pt idx="227">
                  <c:v>5342.3750062327708</c:v>
                </c:pt>
                <c:pt idx="228">
                  <c:v>7123.1666749770275</c:v>
                </c:pt>
                <c:pt idx="229">
                  <c:v>10684.750012465542</c:v>
                </c:pt>
                <c:pt idx="230">
                  <c:v>6232.7708406048987</c:v>
                </c:pt>
                <c:pt idx="231">
                  <c:v>26711.875031163851</c:v>
                </c:pt>
                <c:pt idx="232">
                  <c:v>10239.552095279476</c:v>
                </c:pt>
                <c:pt idx="233">
                  <c:v>8903.9583437212841</c:v>
                </c:pt>
                <c:pt idx="234">
                  <c:v>3739.6625043629392</c:v>
                </c:pt>
                <c:pt idx="235">
                  <c:v>3561.5833374885137</c:v>
                </c:pt>
                <c:pt idx="236">
                  <c:v>6410.8500074793246</c:v>
                </c:pt>
                <c:pt idx="237">
                  <c:v>21369.500024931083</c:v>
                </c:pt>
                <c:pt idx="238">
                  <c:v>10684.750012465542</c:v>
                </c:pt>
                <c:pt idx="239">
                  <c:v>5591.6858398569666</c:v>
                </c:pt>
                <c:pt idx="240">
                  <c:v>11753.225013712095</c:v>
                </c:pt>
                <c:pt idx="241">
                  <c:v>3632.815004238284</c:v>
                </c:pt>
                <c:pt idx="242">
                  <c:v>4897.177089046706</c:v>
                </c:pt>
                <c:pt idx="243">
                  <c:v>5342.3750062327708</c:v>
                </c:pt>
                <c:pt idx="244">
                  <c:v>8903.9583437212841</c:v>
                </c:pt>
                <c:pt idx="245">
                  <c:v>10684.750012465542</c:v>
                </c:pt>
                <c:pt idx="246">
                  <c:v>21369.500024931083</c:v>
                </c:pt>
                <c:pt idx="247">
                  <c:v>28492.66669990811</c:v>
                </c:pt>
                <c:pt idx="248">
                  <c:v>4451.9791718606421</c:v>
                </c:pt>
                <c:pt idx="249">
                  <c:v>8013.5625093491553</c:v>
                </c:pt>
                <c:pt idx="250">
                  <c:v>39355.495879248076</c:v>
                </c:pt>
                <c:pt idx="251">
                  <c:v>4451.9791718606421</c:v>
                </c:pt>
                <c:pt idx="252">
                  <c:v>13355.937515581925</c:v>
                </c:pt>
                <c:pt idx="253">
                  <c:v>57875.729234188344</c:v>
                </c:pt>
                <c:pt idx="254">
                  <c:v>5342.3750062327708</c:v>
                </c:pt>
                <c:pt idx="255">
                  <c:v>8547.8000099724322</c:v>
                </c:pt>
                <c:pt idx="256">
                  <c:v>16027.125018698311</c:v>
                </c:pt>
                <c:pt idx="257">
                  <c:v>10684.750012465542</c:v>
                </c:pt>
                <c:pt idx="258">
                  <c:v>8903.9583437212841</c:v>
                </c:pt>
                <c:pt idx="259">
                  <c:v>17807.916687442568</c:v>
                </c:pt>
                <c:pt idx="260">
                  <c:v>5698.5333399816218</c:v>
                </c:pt>
                <c:pt idx="261">
                  <c:v>7123.1666749770275</c:v>
                </c:pt>
                <c:pt idx="262">
                  <c:v>4451.9791718606421</c:v>
                </c:pt>
                <c:pt idx="263">
                  <c:v>6410.8500074793246</c:v>
                </c:pt>
                <c:pt idx="264">
                  <c:v>20479.104190558952</c:v>
                </c:pt>
                <c:pt idx="265">
                  <c:v>11040.908346214392</c:v>
                </c:pt>
                <c:pt idx="266">
                  <c:v>17807.916687442568</c:v>
                </c:pt>
                <c:pt idx="267">
                  <c:v>3561.5833374885137</c:v>
                </c:pt>
                <c:pt idx="268">
                  <c:v>4095.8208381117906</c:v>
                </c:pt>
                <c:pt idx="269">
                  <c:v>12821.700014958649</c:v>
                </c:pt>
                <c:pt idx="270">
                  <c:v>4950.6008391090336</c:v>
                </c:pt>
                <c:pt idx="271">
                  <c:v>11575.14584683767</c:v>
                </c:pt>
                <c:pt idx="272">
                  <c:v>71231.666749770273</c:v>
                </c:pt>
                <c:pt idx="273">
                  <c:v>26711.875031163851</c:v>
                </c:pt>
                <c:pt idx="274">
                  <c:v>9545.0433444692171</c:v>
                </c:pt>
                <c:pt idx="275">
                  <c:v>8903.9583437212841</c:v>
                </c:pt>
                <c:pt idx="276">
                  <c:v>3561.5833374885137</c:v>
                </c:pt>
                <c:pt idx="277">
                  <c:v>6767.0083412281756</c:v>
                </c:pt>
                <c:pt idx="278">
                  <c:v>3205.4250037396623</c:v>
                </c:pt>
                <c:pt idx="279">
                  <c:v>17807.916687442568</c:v>
                </c:pt>
                <c:pt idx="280">
                  <c:v>12465.541681209797</c:v>
                </c:pt>
                <c:pt idx="281">
                  <c:v>8903.9583437212841</c:v>
                </c:pt>
                <c:pt idx="282">
                  <c:v>15136.729184326183</c:v>
                </c:pt>
                <c:pt idx="283">
                  <c:v>100614.72928405051</c:v>
                </c:pt>
                <c:pt idx="284">
                  <c:v>6410.8500074793246</c:v>
                </c:pt>
                <c:pt idx="285">
                  <c:v>4451.9791718606421</c:v>
                </c:pt>
                <c:pt idx="286">
                  <c:v>30273.458368652366</c:v>
                </c:pt>
                <c:pt idx="287">
                  <c:v>17807.916687442568</c:v>
                </c:pt>
                <c:pt idx="288">
                  <c:v>11575.14584683767</c:v>
                </c:pt>
                <c:pt idx="289">
                  <c:v>32054.250037396621</c:v>
                </c:pt>
                <c:pt idx="290">
                  <c:v>7123.1666749770275</c:v>
                </c:pt>
                <c:pt idx="291">
                  <c:v>12109.383347460946</c:v>
                </c:pt>
                <c:pt idx="292">
                  <c:v>5698.5333399816218</c:v>
                </c:pt>
                <c:pt idx="293">
                  <c:v>65889.291743537498</c:v>
                </c:pt>
                <c:pt idx="294">
                  <c:v>17807.916687442568</c:v>
                </c:pt>
                <c:pt idx="295">
                  <c:v>17807.916687442568</c:v>
                </c:pt>
                <c:pt idx="296">
                  <c:v>2225.989585930321</c:v>
                </c:pt>
                <c:pt idx="297">
                  <c:v>6054.6916737304728</c:v>
                </c:pt>
                <c:pt idx="298">
                  <c:v>5342.3750062327708</c:v>
                </c:pt>
                <c:pt idx="299">
                  <c:v>4273.9000049862161</c:v>
                </c:pt>
                <c:pt idx="300">
                  <c:v>8903.9583437212841</c:v>
                </c:pt>
                <c:pt idx="301">
                  <c:v>5698.5333399816218</c:v>
                </c:pt>
                <c:pt idx="302">
                  <c:v>3419.1200039889732</c:v>
                </c:pt>
                <c:pt idx="303">
                  <c:v>8013.5625093491553</c:v>
                </c:pt>
                <c:pt idx="304">
                  <c:v>3561.5833374885137</c:v>
                </c:pt>
                <c:pt idx="305">
                  <c:v>7123.1666749770275</c:v>
                </c:pt>
                <c:pt idx="306">
                  <c:v>8903.9583437212841</c:v>
                </c:pt>
                <c:pt idx="307">
                  <c:v>10684.750012465542</c:v>
                </c:pt>
                <c:pt idx="308">
                  <c:v>9794.354178093412</c:v>
                </c:pt>
                <c:pt idx="309">
                  <c:v>2671.1875031163854</c:v>
                </c:pt>
                <c:pt idx="310">
                  <c:v>8903.9583437212841</c:v>
                </c:pt>
                <c:pt idx="311">
                  <c:v>7497.1329254133216</c:v>
                </c:pt>
                <c:pt idx="312">
                  <c:v>6410.8500074793246</c:v>
                </c:pt>
                <c:pt idx="313">
                  <c:v>4594.4425053601826</c:v>
                </c:pt>
                <c:pt idx="314">
                  <c:v>16917.52085307044</c:v>
                </c:pt>
                <c:pt idx="315">
                  <c:v>3205.4250037396623</c:v>
                </c:pt>
                <c:pt idx="316">
                  <c:v>14246.333349954055</c:v>
                </c:pt>
                <c:pt idx="317">
                  <c:v>14246.333349954055</c:v>
                </c:pt>
                <c:pt idx="318">
                  <c:v>21903.737525554359</c:v>
                </c:pt>
                <c:pt idx="319">
                  <c:v>20122.945856810104</c:v>
                </c:pt>
                <c:pt idx="320">
                  <c:v>2493.1083362419595</c:v>
                </c:pt>
                <c:pt idx="321">
                  <c:v>8903.9583437212841</c:v>
                </c:pt>
                <c:pt idx="322">
                  <c:v>23150.291693675339</c:v>
                </c:pt>
                <c:pt idx="323">
                  <c:v>2671.1875031163854</c:v>
                </c:pt>
                <c:pt idx="324">
                  <c:v>8547.8000099724322</c:v>
                </c:pt>
                <c:pt idx="325">
                  <c:v>7123.1666749770275</c:v>
                </c:pt>
                <c:pt idx="326">
                  <c:v>9972.4333449678379</c:v>
                </c:pt>
                <c:pt idx="327">
                  <c:v>4986.216672483919</c:v>
                </c:pt>
                <c:pt idx="328">
                  <c:v>8013.5625093491553</c:v>
                </c:pt>
                <c:pt idx="329">
                  <c:v>17807.916687442568</c:v>
                </c:pt>
                <c:pt idx="330">
                  <c:v>16027.125018698311</c:v>
                </c:pt>
                <c:pt idx="331">
                  <c:v>21369.500024931083</c:v>
                </c:pt>
                <c:pt idx="332">
                  <c:v>7568.3645921630914</c:v>
                </c:pt>
                <c:pt idx="333">
                  <c:v>4808.137505609493</c:v>
                </c:pt>
                <c:pt idx="334">
                  <c:v>24931.083362419595</c:v>
                </c:pt>
                <c:pt idx="335">
                  <c:v>12465.541681209797</c:v>
                </c:pt>
                <c:pt idx="336">
                  <c:v>17807.916687442568</c:v>
                </c:pt>
                <c:pt idx="337">
                  <c:v>6410.8500074793246</c:v>
                </c:pt>
                <c:pt idx="338">
                  <c:v>10684.750012465542</c:v>
                </c:pt>
                <c:pt idx="339">
                  <c:v>6232.7708406048987</c:v>
                </c:pt>
                <c:pt idx="340">
                  <c:v>41712.231189497601</c:v>
                </c:pt>
                <c:pt idx="341">
                  <c:v>12465.541681209797</c:v>
                </c:pt>
                <c:pt idx="342">
                  <c:v>7123.1666749770275</c:v>
                </c:pt>
                <c:pt idx="343">
                  <c:v>6232.7708406048987</c:v>
                </c:pt>
                <c:pt idx="344">
                  <c:v>4451.9791718606421</c:v>
                </c:pt>
                <c:pt idx="345">
                  <c:v>13355.937515581925</c:v>
                </c:pt>
                <c:pt idx="346">
                  <c:v>7479.3250087258784</c:v>
                </c:pt>
                <c:pt idx="347">
                  <c:v>4914.9850057341491</c:v>
                </c:pt>
                <c:pt idx="348">
                  <c:v>4451.9791718606421</c:v>
                </c:pt>
                <c:pt idx="349">
                  <c:v>3205.4250037396623</c:v>
                </c:pt>
                <c:pt idx="350">
                  <c:v>51497.005988023957</c:v>
                </c:pt>
                <c:pt idx="351">
                  <c:v>10956.982885192734</c:v>
                </c:pt>
                <c:pt idx="352">
                  <c:v>15206.427249917633</c:v>
                </c:pt>
                <c:pt idx="353">
                  <c:v>11404.820437438224</c:v>
                </c:pt>
                <c:pt idx="354">
                  <c:v>28353.650809742252</c:v>
                </c:pt>
                <c:pt idx="355">
                  <c:v>10809.503829551191</c:v>
                </c:pt>
                <c:pt idx="356">
                  <c:v>17067.637625607145</c:v>
                </c:pt>
                <c:pt idx="357">
                  <c:v>3982.448779308334</c:v>
                </c:pt>
                <c:pt idx="358">
                  <c:v>5120.2912876821438</c:v>
                </c:pt>
                <c:pt idx="359">
                  <c:v>6368.453230079479</c:v>
                </c:pt>
                <c:pt idx="360">
                  <c:v>2122.8177433598262</c:v>
                </c:pt>
                <c:pt idx="361">
                  <c:v>2165.2740982270229</c:v>
                </c:pt>
                <c:pt idx="362">
                  <c:v>1910.5359690238436</c:v>
                </c:pt>
                <c:pt idx="363">
                  <c:v>4457.9172610556352</c:v>
                </c:pt>
                <c:pt idx="364">
                  <c:v>3184.2266150397395</c:v>
                </c:pt>
                <c:pt idx="365">
                  <c:v>4840.0244548604041</c:v>
                </c:pt>
                <c:pt idx="366">
                  <c:v>1783.166904422254</c:v>
                </c:pt>
                <c:pt idx="367">
                  <c:v>21228.177433598263</c:v>
                </c:pt>
                <c:pt idx="368">
                  <c:v>36000</c:v>
                </c:pt>
                <c:pt idx="369">
                  <c:v>3000</c:v>
                </c:pt>
                <c:pt idx="370">
                  <c:v>14400</c:v>
                </c:pt>
                <c:pt idx="371">
                  <c:v>60000</c:v>
                </c:pt>
                <c:pt idx="372">
                  <c:v>15000</c:v>
                </c:pt>
                <c:pt idx="373">
                  <c:v>4285</c:v>
                </c:pt>
                <c:pt idx="374">
                  <c:v>50000</c:v>
                </c:pt>
                <c:pt idx="375">
                  <c:v>50000</c:v>
                </c:pt>
                <c:pt idx="376">
                  <c:v>21000</c:v>
                </c:pt>
                <c:pt idx="377">
                  <c:v>8400</c:v>
                </c:pt>
                <c:pt idx="378">
                  <c:v>4000</c:v>
                </c:pt>
                <c:pt idx="379">
                  <c:v>4200</c:v>
                </c:pt>
                <c:pt idx="380">
                  <c:v>4000</c:v>
                </c:pt>
                <c:pt idx="381">
                  <c:v>4000</c:v>
                </c:pt>
                <c:pt idx="382">
                  <c:v>5400</c:v>
                </c:pt>
                <c:pt idx="383">
                  <c:v>21500</c:v>
                </c:pt>
                <c:pt idx="384">
                  <c:v>15000</c:v>
                </c:pt>
                <c:pt idx="385">
                  <c:v>37000</c:v>
                </c:pt>
                <c:pt idx="386">
                  <c:v>5800</c:v>
                </c:pt>
                <c:pt idx="387">
                  <c:v>8738</c:v>
                </c:pt>
                <c:pt idx="388">
                  <c:v>10200</c:v>
                </c:pt>
                <c:pt idx="389">
                  <c:v>13000</c:v>
                </c:pt>
                <c:pt idx="390">
                  <c:v>50000</c:v>
                </c:pt>
                <c:pt idx="391">
                  <c:v>7000</c:v>
                </c:pt>
                <c:pt idx="392">
                  <c:v>10000</c:v>
                </c:pt>
                <c:pt idx="393">
                  <c:v>31250</c:v>
                </c:pt>
                <c:pt idx="394">
                  <c:v>35000</c:v>
                </c:pt>
                <c:pt idx="395">
                  <c:v>40000</c:v>
                </c:pt>
                <c:pt idx="396">
                  <c:v>15000</c:v>
                </c:pt>
                <c:pt idx="397">
                  <c:v>10000</c:v>
                </c:pt>
                <c:pt idx="398">
                  <c:v>16000</c:v>
                </c:pt>
                <c:pt idx="399">
                  <c:v>6000</c:v>
                </c:pt>
                <c:pt idx="400">
                  <c:v>20000</c:v>
                </c:pt>
                <c:pt idx="401">
                  <c:v>8000</c:v>
                </c:pt>
                <c:pt idx="402">
                  <c:v>24000</c:v>
                </c:pt>
                <c:pt idx="403">
                  <c:v>13500</c:v>
                </c:pt>
                <c:pt idx="404">
                  <c:v>45000</c:v>
                </c:pt>
                <c:pt idx="405">
                  <c:v>16000</c:v>
                </c:pt>
                <c:pt idx="406">
                  <c:v>10000</c:v>
                </c:pt>
                <c:pt idx="407">
                  <c:v>96000</c:v>
                </c:pt>
                <c:pt idx="408">
                  <c:v>13100</c:v>
                </c:pt>
                <c:pt idx="409">
                  <c:v>15500</c:v>
                </c:pt>
                <c:pt idx="410">
                  <c:v>13000</c:v>
                </c:pt>
                <c:pt idx="411">
                  <c:v>30000</c:v>
                </c:pt>
                <c:pt idx="412">
                  <c:v>5000</c:v>
                </c:pt>
                <c:pt idx="413">
                  <c:v>10000</c:v>
                </c:pt>
                <c:pt idx="414">
                  <c:v>16350</c:v>
                </c:pt>
                <c:pt idx="415">
                  <c:v>24000</c:v>
                </c:pt>
                <c:pt idx="416">
                  <c:v>24000</c:v>
                </c:pt>
                <c:pt idx="417">
                  <c:v>8000</c:v>
                </c:pt>
                <c:pt idx="418">
                  <c:v>15000</c:v>
                </c:pt>
                <c:pt idx="419">
                  <c:v>18000</c:v>
                </c:pt>
                <c:pt idx="420">
                  <c:v>15000</c:v>
                </c:pt>
                <c:pt idx="421">
                  <c:v>7265</c:v>
                </c:pt>
                <c:pt idx="422">
                  <c:v>18000</c:v>
                </c:pt>
                <c:pt idx="423">
                  <c:v>28000</c:v>
                </c:pt>
                <c:pt idx="424">
                  <c:v>6000</c:v>
                </c:pt>
                <c:pt idx="425">
                  <c:v>8700</c:v>
                </c:pt>
                <c:pt idx="426">
                  <c:v>12000</c:v>
                </c:pt>
                <c:pt idx="427">
                  <c:v>5100</c:v>
                </c:pt>
                <c:pt idx="428">
                  <c:v>50000</c:v>
                </c:pt>
                <c:pt idx="429">
                  <c:v>7000</c:v>
                </c:pt>
                <c:pt idx="430">
                  <c:v>6720</c:v>
                </c:pt>
                <c:pt idx="431">
                  <c:v>7200</c:v>
                </c:pt>
                <c:pt idx="432">
                  <c:v>50000</c:v>
                </c:pt>
                <c:pt idx="433">
                  <c:v>7960</c:v>
                </c:pt>
                <c:pt idx="434">
                  <c:v>60000</c:v>
                </c:pt>
                <c:pt idx="435">
                  <c:v>10000</c:v>
                </c:pt>
                <c:pt idx="436">
                  <c:v>40000</c:v>
                </c:pt>
                <c:pt idx="437">
                  <c:v>6000</c:v>
                </c:pt>
                <c:pt idx="438">
                  <c:v>8600</c:v>
                </c:pt>
                <c:pt idx="439">
                  <c:v>7200</c:v>
                </c:pt>
                <c:pt idx="440">
                  <c:v>4800</c:v>
                </c:pt>
                <c:pt idx="441">
                  <c:v>9000</c:v>
                </c:pt>
                <c:pt idx="442">
                  <c:v>30000</c:v>
                </c:pt>
                <c:pt idx="443">
                  <c:v>11800</c:v>
                </c:pt>
                <c:pt idx="444">
                  <c:v>18000</c:v>
                </c:pt>
                <c:pt idx="445">
                  <c:v>14000</c:v>
                </c:pt>
                <c:pt idx="446">
                  <c:v>8000</c:v>
                </c:pt>
                <c:pt idx="447">
                  <c:v>13500</c:v>
                </c:pt>
                <c:pt idx="448">
                  <c:v>10000</c:v>
                </c:pt>
                <c:pt idx="449">
                  <c:v>9000</c:v>
                </c:pt>
                <c:pt idx="450">
                  <c:v>9000</c:v>
                </c:pt>
                <c:pt idx="451">
                  <c:v>6600</c:v>
                </c:pt>
                <c:pt idx="452">
                  <c:v>20000</c:v>
                </c:pt>
                <c:pt idx="453">
                  <c:v>14000</c:v>
                </c:pt>
                <c:pt idx="454">
                  <c:v>25000</c:v>
                </c:pt>
                <c:pt idx="455">
                  <c:v>4356</c:v>
                </c:pt>
                <c:pt idx="456">
                  <c:v>20000</c:v>
                </c:pt>
                <c:pt idx="457">
                  <c:v>4000</c:v>
                </c:pt>
                <c:pt idx="458">
                  <c:v>3200</c:v>
                </c:pt>
                <c:pt idx="459">
                  <c:v>25000</c:v>
                </c:pt>
                <c:pt idx="460">
                  <c:v>5000</c:v>
                </c:pt>
                <c:pt idx="461">
                  <c:v>18000</c:v>
                </c:pt>
                <c:pt idx="462">
                  <c:v>8000</c:v>
                </c:pt>
                <c:pt idx="463">
                  <c:v>34000</c:v>
                </c:pt>
                <c:pt idx="464">
                  <c:v>30000</c:v>
                </c:pt>
                <c:pt idx="465">
                  <c:v>6000</c:v>
                </c:pt>
                <c:pt idx="466">
                  <c:v>10000</c:v>
                </c:pt>
                <c:pt idx="467">
                  <c:v>10000</c:v>
                </c:pt>
                <c:pt idx="468">
                  <c:v>20000</c:v>
                </c:pt>
                <c:pt idx="469">
                  <c:v>15000</c:v>
                </c:pt>
                <c:pt idx="470">
                  <c:v>50000</c:v>
                </c:pt>
                <c:pt idx="471">
                  <c:v>7000</c:v>
                </c:pt>
                <c:pt idx="472">
                  <c:v>6545</c:v>
                </c:pt>
                <c:pt idx="473">
                  <c:v>12000</c:v>
                </c:pt>
                <c:pt idx="474">
                  <c:v>3360</c:v>
                </c:pt>
                <c:pt idx="475">
                  <c:v>10000</c:v>
                </c:pt>
                <c:pt idx="476">
                  <c:v>10000</c:v>
                </c:pt>
                <c:pt idx="477">
                  <c:v>14400</c:v>
                </c:pt>
                <c:pt idx="478">
                  <c:v>22000</c:v>
                </c:pt>
                <c:pt idx="479">
                  <c:v>25000</c:v>
                </c:pt>
                <c:pt idx="480">
                  <c:v>10000</c:v>
                </c:pt>
                <c:pt idx="481">
                  <c:v>28995</c:v>
                </c:pt>
                <c:pt idx="482">
                  <c:v>5320</c:v>
                </c:pt>
                <c:pt idx="483">
                  <c:v>12000</c:v>
                </c:pt>
                <c:pt idx="484">
                  <c:v>2400</c:v>
                </c:pt>
                <c:pt idx="485">
                  <c:v>11000</c:v>
                </c:pt>
                <c:pt idx="486">
                  <c:v>3600</c:v>
                </c:pt>
                <c:pt idx="487">
                  <c:v>14000</c:v>
                </c:pt>
                <c:pt idx="488">
                  <c:v>4800</c:v>
                </c:pt>
                <c:pt idx="489">
                  <c:v>15000</c:v>
                </c:pt>
                <c:pt idx="490">
                  <c:v>6720</c:v>
                </c:pt>
                <c:pt idx="491">
                  <c:v>37500</c:v>
                </c:pt>
                <c:pt idx="492">
                  <c:v>11000</c:v>
                </c:pt>
                <c:pt idx="493">
                  <c:v>40000</c:v>
                </c:pt>
                <c:pt idx="494">
                  <c:v>25000</c:v>
                </c:pt>
                <c:pt idx="495">
                  <c:v>5000</c:v>
                </c:pt>
                <c:pt idx="496">
                  <c:v>5000</c:v>
                </c:pt>
                <c:pt idx="497">
                  <c:v>4000</c:v>
                </c:pt>
                <c:pt idx="498">
                  <c:v>25000</c:v>
                </c:pt>
                <c:pt idx="499">
                  <c:v>5000</c:v>
                </c:pt>
                <c:pt idx="500">
                  <c:v>8400</c:v>
                </c:pt>
                <c:pt idx="501">
                  <c:v>20000</c:v>
                </c:pt>
                <c:pt idx="502">
                  <c:v>21000</c:v>
                </c:pt>
                <c:pt idx="503">
                  <c:v>10000</c:v>
                </c:pt>
                <c:pt idx="504">
                  <c:v>15000</c:v>
                </c:pt>
                <c:pt idx="505">
                  <c:v>30000</c:v>
                </c:pt>
                <c:pt idx="506">
                  <c:v>98000</c:v>
                </c:pt>
                <c:pt idx="507">
                  <c:v>4500</c:v>
                </c:pt>
                <c:pt idx="508">
                  <c:v>60000</c:v>
                </c:pt>
                <c:pt idx="509">
                  <c:v>15000</c:v>
                </c:pt>
                <c:pt idx="510">
                  <c:v>36000</c:v>
                </c:pt>
                <c:pt idx="511">
                  <c:v>35000</c:v>
                </c:pt>
                <c:pt idx="512">
                  <c:v>12000</c:v>
                </c:pt>
                <c:pt idx="513">
                  <c:v>24000</c:v>
                </c:pt>
                <c:pt idx="514">
                  <c:v>15000</c:v>
                </c:pt>
                <c:pt idx="515">
                  <c:v>12000</c:v>
                </c:pt>
                <c:pt idx="516">
                  <c:v>16800</c:v>
                </c:pt>
                <c:pt idx="517">
                  <c:v>5022</c:v>
                </c:pt>
                <c:pt idx="518">
                  <c:v>3000</c:v>
                </c:pt>
                <c:pt idx="519">
                  <c:v>3480</c:v>
                </c:pt>
                <c:pt idx="520">
                  <c:v>10800</c:v>
                </c:pt>
                <c:pt idx="521">
                  <c:v>2400</c:v>
                </c:pt>
                <c:pt idx="522">
                  <c:v>3500</c:v>
                </c:pt>
                <c:pt idx="523">
                  <c:v>8725</c:v>
                </c:pt>
                <c:pt idx="524">
                  <c:v>40000</c:v>
                </c:pt>
                <c:pt idx="525">
                  <c:v>12000</c:v>
                </c:pt>
                <c:pt idx="526">
                  <c:v>45000</c:v>
                </c:pt>
                <c:pt idx="527">
                  <c:v>5300</c:v>
                </c:pt>
                <c:pt idx="528">
                  <c:v>30000</c:v>
                </c:pt>
                <c:pt idx="529">
                  <c:v>4500</c:v>
                </c:pt>
                <c:pt idx="530">
                  <c:v>15840</c:v>
                </c:pt>
                <c:pt idx="531">
                  <c:v>19068</c:v>
                </c:pt>
                <c:pt idx="532">
                  <c:v>18060</c:v>
                </c:pt>
                <c:pt idx="533">
                  <c:v>12500</c:v>
                </c:pt>
                <c:pt idx="534">
                  <c:v>4019</c:v>
                </c:pt>
                <c:pt idx="535">
                  <c:v>12000</c:v>
                </c:pt>
                <c:pt idx="536">
                  <c:v>13800</c:v>
                </c:pt>
                <c:pt idx="537">
                  <c:v>11000</c:v>
                </c:pt>
                <c:pt idx="538">
                  <c:v>85000</c:v>
                </c:pt>
                <c:pt idx="539">
                  <c:v>138000</c:v>
                </c:pt>
                <c:pt idx="540">
                  <c:v>70000</c:v>
                </c:pt>
                <c:pt idx="541">
                  <c:v>10000</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numCache>
            </c:numRef>
          </c:yVal>
          <c:smooth val="0"/>
        </c:ser>
        <c:dLbls>
          <c:showLegendKey val="0"/>
          <c:showVal val="0"/>
          <c:showCatName val="0"/>
          <c:showSerName val="0"/>
          <c:showPercent val="0"/>
          <c:showBubbleSize val="0"/>
        </c:dLbls>
        <c:axId val="177794432"/>
        <c:axId val="177866240"/>
      </c:scatterChart>
      <c:valAx>
        <c:axId val="177794432"/>
        <c:scaling>
          <c:orientation val="minMax"/>
        </c:scaling>
        <c:delete val="0"/>
        <c:axPos val="b"/>
        <c:title>
          <c:tx>
            <c:rich>
              <a:bodyPr/>
              <a:lstStyle/>
              <a:p>
                <a:pPr>
                  <a:defRPr/>
                </a:pPr>
                <a:r>
                  <a:rPr lang="en-US"/>
                  <a:t>Experience in Years</a:t>
                </a:r>
              </a:p>
            </c:rich>
          </c:tx>
          <c:layout>
            <c:manualLayout>
              <c:xMode val="edge"/>
              <c:yMode val="edge"/>
              <c:x val="0.61757765378665419"/>
              <c:y val="0.88767552493438318"/>
            </c:manualLayout>
          </c:layout>
          <c:overlay val="0"/>
        </c:title>
        <c:numFmt formatCode="General" sourceLinked="1"/>
        <c:majorTickMark val="out"/>
        <c:minorTickMark val="none"/>
        <c:tickLblPos val="nextTo"/>
        <c:txPr>
          <a:bodyPr/>
          <a:lstStyle/>
          <a:p>
            <a:pPr>
              <a:defRPr sz="800"/>
            </a:pPr>
            <a:endParaRPr lang="en-US"/>
          </a:p>
        </c:txPr>
        <c:crossAx val="177866240"/>
        <c:crosses val="autoZero"/>
        <c:crossBetween val="midCat"/>
      </c:valAx>
      <c:valAx>
        <c:axId val="177866240"/>
        <c:scaling>
          <c:orientation val="minMax"/>
          <c:min val="0"/>
        </c:scaling>
        <c:delete val="0"/>
        <c:axPos val="l"/>
        <c:majorGridlines>
          <c:spPr>
            <a:ln>
              <a:solidFill>
                <a:schemeClr val="bg1"/>
              </a:solidFill>
            </a:ln>
          </c:spPr>
        </c:majorGridlines>
        <c:title>
          <c:tx>
            <c:strRef>
              <c:f>'Charts data'!$A$20</c:f>
              <c:strCache>
                <c:ptCount val="1"/>
                <c:pt idx="0">
                  <c:v>In   $</c:v>
                </c:pt>
              </c:strCache>
            </c:strRef>
          </c:tx>
          <c:layout/>
          <c:overlay val="0"/>
          <c:txPr>
            <a:bodyPr rot="-5400000" vert="horz"/>
            <a:lstStyle/>
            <a:p>
              <a:pPr>
                <a:defRPr sz="900" b="0"/>
              </a:pPr>
              <a:endParaRPr lang="en-US"/>
            </a:p>
          </c:txPr>
        </c:title>
        <c:numFmt formatCode="#,##0" sourceLinked="0"/>
        <c:majorTickMark val="out"/>
        <c:minorTickMark val="none"/>
        <c:tickLblPos val="nextTo"/>
        <c:txPr>
          <a:bodyPr/>
          <a:lstStyle/>
          <a:p>
            <a:pPr>
              <a:defRPr sz="700"/>
            </a:pPr>
            <a:endParaRPr lang="en-US"/>
          </a:p>
        </c:txPr>
        <c:crossAx val="177794432"/>
        <c:crosses val="autoZero"/>
        <c:crossBetween val="midCat"/>
      </c:valAx>
      <c:spPr>
        <a:noFill/>
      </c:spPr>
    </c:plotArea>
    <c:plotVisOnly val="1"/>
    <c:dispBlanksAs val="gap"/>
    <c:showDLblsOverMax val="0"/>
  </c:chart>
  <c:spPr>
    <a:noFill/>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Charts data'!$B$2" lockText="1" noThreeD="1"/>
</file>

<file path=xl/ctrlProps/ctrlProp2.xml><?xml version="1.0" encoding="utf-8"?>
<formControlPr xmlns="http://schemas.microsoft.com/office/spreadsheetml/2009/9/main" objectType="CheckBox" checked="Checked" fmlaLink="'Charts data'!$B$3" lockText="1" noThreeD="1"/>
</file>

<file path=xl/ctrlProps/ctrlProp3.xml><?xml version="1.0" encoding="utf-8"?>
<formControlPr xmlns="http://schemas.microsoft.com/office/spreadsheetml/2009/9/main" objectType="CheckBox" checked="Checked" fmlaLink="'Charts data'!$B$4" lockText="1" noThreeD="1"/>
</file>

<file path=xl/ctrlProps/ctrlProp4.xml><?xml version="1.0" encoding="utf-8"?>
<formControlPr xmlns="http://schemas.microsoft.com/office/spreadsheetml/2009/9/main" objectType="CheckBox" checked="Checked" fmlaLink="'Charts data'!$B$5" lockText="1" noThreeD="1"/>
</file>

<file path=xl/ctrlProps/ctrlProp5.xml><?xml version="1.0" encoding="utf-8"?>
<formControlPr xmlns="http://schemas.microsoft.com/office/spreadsheetml/2009/9/main" objectType="CheckBox" checked="Checked" fmlaLink="'Charts data'!$B$6" lockText="1" noThreeD="1"/>
</file>

<file path=xl/ctrlProps/ctrlProp6.xml><?xml version="1.0" encoding="utf-8"?>
<formControlPr xmlns="http://schemas.microsoft.com/office/spreadsheetml/2009/9/main" objectType="CheckBox" checked="Checked" fmlaLink="'Charts data'!$B$7" lockText="1" noThreeD="1"/>
</file>

<file path=xl/ctrlProps/ctrlProp7.xml><?xml version="1.0" encoding="utf-8"?>
<formControlPr xmlns="http://schemas.microsoft.com/office/spreadsheetml/2009/9/main" objectType="CheckBox" checked="Checked" fmlaLink="'Charts data'!$B$8" lockText="1" noThreeD="1"/>
</file>

<file path=xl/ctrlProps/ctrlProp8.xml><?xml version="1.0" encoding="utf-8"?>
<formControlPr xmlns="http://schemas.microsoft.com/office/spreadsheetml/2009/9/main" objectType="CheckBox" checked="Checked" fmlaLink="'Charts data'!$B$11" lockText="1" noThreeD="1"/>
</file>

<file path=xl/ctrlProps/ctrlProp9.xml><?xml version="1.0" encoding="utf-8"?>
<formControlPr xmlns="http://schemas.microsoft.com/office/spreadsheetml/2009/9/main" objectType="CheckBox" checked="Checked" fmlaLink="'Charts data'!$B$9" lockText="1" noThreeD="1"/>
</file>

<file path=xl/ctrlProps/ctrlProp10.xml><?xml version="1.0" encoding="utf-8"?>
<formControlPr xmlns="http://schemas.microsoft.com/office/spreadsheetml/2009/9/main" objectType="CheckBox" checked="Checked" fmlaLink="'Charts data'!$B$10" lockText="1" noThreeD="1"/>
</file>

<file path=xl/ctrlProps/ctrlProp11.xml><?xml version="1.0" encoding="utf-8"?>
<formControlPr xmlns="http://schemas.microsoft.com/office/spreadsheetml/2009/9/main" objectType="CheckBox" checked="Checked" fmlaLink="'Charts data'!$B$14" lockText="1" noThreeD="1"/>
</file>

<file path=xl/ctrlProps/ctrlProp12.xml><?xml version="1.0" encoding="utf-8"?>
<formControlPr xmlns="http://schemas.microsoft.com/office/spreadsheetml/2009/9/main" objectType="CheckBox" checked="Checked" fmlaLink="'Charts data'!$B$15" lockText="1" noThreeD="1"/>
</file>

<file path=xl/ctrlProps/ctrlProp13.xml><?xml version="1.0" encoding="utf-8"?>
<formControlPr xmlns="http://schemas.microsoft.com/office/spreadsheetml/2009/9/main" objectType="CheckBox" checked="Checked" fmlaLink="'Charts data'!$B$16" lockText="1" noThreeD="1"/>
</file>

<file path=xl/ctrlProps/ctrlProp14.xml><?xml version="1.0" encoding="utf-8"?>
<formControlPr xmlns="http://schemas.microsoft.com/office/spreadsheetml/2009/9/main" objectType="CheckBox" checked="Checked" fmlaLink="'Charts data'!$B$17" lockText="1" noThreeD="1"/>
</file>

<file path=xl/ctrlProps/ctrlProp15.xml><?xml version="1.0" encoding="utf-8"?>
<formControlPr xmlns="http://schemas.microsoft.com/office/spreadsheetml/2009/9/main" objectType="CheckBox" checked="Checked" fmlaLink="'Charts data'!$B$18" lockText="1" noThreeD="1"/>
</file>

<file path=xl/ctrlProps/ctrlProp16.xml><?xml version="1.0" encoding="utf-8"?>
<formControlPr xmlns="http://schemas.microsoft.com/office/spreadsheetml/2009/9/main" objectType="Radio" checked="Checked" firstButton="1" fmlaLink="'Charts data'!E2"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2.tmp"/></Relationships>
</file>

<file path=xl/drawings/drawing1.xml><?xml version="1.0" encoding="utf-8"?>
<xdr:wsDr xmlns:xdr="http://schemas.openxmlformats.org/drawingml/2006/spreadsheetDrawing" xmlns:a="http://schemas.openxmlformats.org/drawingml/2006/main">
  <xdr:twoCellAnchor>
    <xdr:from>
      <xdr:col>7</xdr:col>
      <xdr:colOff>9525</xdr:colOff>
      <xdr:row>1</xdr:row>
      <xdr:rowOff>200024</xdr:rowOff>
    </xdr:from>
    <xdr:to>
      <xdr:col>41</xdr:col>
      <xdr:colOff>9524</xdr:colOff>
      <xdr:row>14</xdr:row>
      <xdr:rowOff>85725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9525</xdr:colOff>
      <xdr:row>2</xdr:row>
      <xdr:rowOff>9525</xdr:rowOff>
    </xdr:from>
    <xdr:to>
      <xdr:col>6</xdr:col>
      <xdr:colOff>0</xdr:colOff>
      <xdr:row>14</xdr:row>
      <xdr:rowOff>0</xdr:rowOff>
    </xdr:to>
    <xdr:sp macro="" textlink="">
      <xdr:nvSpPr>
        <xdr:cNvPr id="12" name="Rectangle 11"/>
        <xdr:cNvSpPr/>
      </xdr:nvSpPr>
      <xdr:spPr>
        <a:xfrm>
          <a:off x="1504950" y="323850"/>
          <a:ext cx="1323975" cy="2276475"/>
        </a:xfrm>
        <a:prstGeom prst="rect">
          <a:avLst/>
        </a:prstGeom>
        <a:noFill/>
        <a:ln w="19050">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xdr:from>
          <xdr:col>4</xdr:col>
          <xdr:colOff>28575</xdr:colOff>
          <xdr:row>3</xdr:row>
          <xdr:rowOff>180975</xdr:rowOff>
        </xdr:from>
        <xdr:to>
          <xdr:col>5</xdr:col>
          <xdr:colOff>657225</xdr:colOff>
          <xdr:row>14</xdr:row>
          <xdr:rowOff>0</xdr:rowOff>
        </xdr:to>
        <xdr:grpSp>
          <xdr:nvGrpSpPr>
            <xdr:cNvPr id="6" name="Group 5"/>
            <xdr:cNvGrpSpPr/>
          </xdr:nvGrpSpPr>
          <xdr:grpSpPr>
            <a:xfrm>
              <a:off x="1516856" y="669131"/>
              <a:ext cx="1295400" cy="1914525"/>
              <a:chOff x="1476375" y="752475"/>
              <a:chExt cx="1095375" cy="1924054"/>
            </a:xfrm>
          </xdr:grpSpPr>
          <xdr:sp macro="" textlink="">
            <xdr:nvSpPr>
              <xdr:cNvPr id="8199" name="Check Box 7" hidden="1">
                <a:extLst>
                  <a:ext uri="{63B3BB69-23CF-44E3-9099-C40C66FF867C}">
                    <a14:compatExt spid="_x0000_s8199"/>
                  </a:ext>
                </a:extLst>
              </xdr:cNvPr>
              <xdr:cNvSpPr/>
            </xdr:nvSpPr>
            <xdr:spPr>
              <a:xfrm>
                <a:off x="1476375" y="752475"/>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Acountant</a:t>
                </a:r>
                <a:endParaRPr lang="en-IN"/>
              </a:p>
            </xdr:txBody>
          </xdr:sp>
          <xdr:sp macro="" textlink="">
            <xdr:nvSpPr>
              <xdr:cNvPr id="8200" name="Check Box 8" hidden="1">
                <a:extLst>
                  <a:ext uri="{63B3BB69-23CF-44E3-9099-C40C66FF867C}">
                    <a14:compatExt spid="_x0000_s8200"/>
                  </a:ext>
                </a:extLst>
              </xdr:cNvPr>
              <xdr:cNvSpPr/>
            </xdr:nvSpPr>
            <xdr:spPr>
              <a:xfrm>
                <a:off x="1476375" y="933450"/>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Analyst</a:t>
                </a:r>
                <a:endParaRPr lang="en-IN"/>
              </a:p>
            </xdr:txBody>
          </xdr:sp>
          <xdr:sp macro="" textlink="">
            <xdr:nvSpPr>
              <xdr:cNvPr id="8201" name="Check Box 9" hidden="1">
                <a:extLst>
                  <a:ext uri="{63B3BB69-23CF-44E3-9099-C40C66FF867C}">
                    <a14:compatExt spid="_x0000_s8201"/>
                  </a:ext>
                </a:extLst>
              </xdr:cNvPr>
              <xdr:cNvSpPr/>
            </xdr:nvSpPr>
            <xdr:spPr>
              <a:xfrm>
                <a:off x="1476375" y="1123950"/>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Consultant</a:t>
                </a:r>
                <a:endParaRPr lang="en-IN"/>
              </a:p>
            </xdr:txBody>
          </xdr:sp>
          <xdr:sp macro="" textlink="">
            <xdr:nvSpPr>
              <xdr:cNvPr id="8202" name="Check Box 10" hidden="1">
                <a:extLst>
                  <a:ext uri="{63B3BB69-23CF-44E3-9099-C40C66FF867C}">
                    <a14:compatExt spid="_x0000_s8202"/>
                  </a:ext>
                </a:extLst>
              </xdr:cNvPr>
              <xdr:cNvSpPr/>
            </xdr:nvSpPr>
            <xdr:spPr>
              <a:xfrm>
                <a:off x="1476375" y="1314450"/>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Controller</a:t>
                </a:r>
                <a:endParaRPr lang="en-IN"/>
              </a:p>
            </xdr:txBody>
          </xdr:sp>
          <xdr:sp macro="" textlink="">
            <xdr:nvSpPr>
              <xdr:cNvPr id="8203" name="Check Box 11" hidden="1">
                <a:extLst>
                  <a:ext uri="{63B3BB69-23CF-44E3-9099-C40C66FF867C}">
                    <a14:compatExt spid="_x0000_s8203"/>
                  </a:ext>
                </a:extLst>
              </xdr:cNvPr>
              <xdr:cNvSpPr/>
            </xdr:nvSpPr>
            <xdr:spPr>
              <a:xfrm>
                <a:off x="1476375" y="1504950"/>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CXO or Top Mgt.</a:t>
                </a:r>
                <a:endParaRPr lang="en-IN"/>
              </a:p>
            </xdr:txBody>
          </xdr:sp>
          <xdr:sp macro="" textlink="">
            <xdr:nvSpPr>
              <xdr:cNvPr id="8204" name="Check Box 12" hidden="1">
                <a:extLst>
                  <a:ext uri="{63B3BB69-23CF-44E3-9099-C40C66FF867C}">
                    <a14:compatExt spid="_x0000_s8204"/>
                  </a:ext>
                </a:extLst>
              </xdr:cNvPr>
              <xdr:cNvSpPr/>
            </xdr:nvSpPr>
            <xdr:spPr>
              <a:xfrm>
                <a:off x="1476375" y="1704975"/>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Engineer</a:t>
                </a:r>
                <a:endParaRPr lang="en-IN"/>
              </a:p>
            </xdr:txBody>
          </xdr:sp>
          <xdr:sp macro="" textlink="">
            <xdr:nvSpPr>
              <xdr:cNvPr id="8205" name="Check Box 13" hidden="1">
                <a:extLst>
                  <a:ext uri="{63B3BB69-23CF-44E3-9099-C40C66FF867C}">
                    <a14:compatExt spid="_x0000_s8205"/>
                  </a:ext>
                </a:extLst>
              </xdr:cNvPr>
              <xdr:cNvSpPr/>
            </xdr:nvSpPr>
            <xdr:spPr>
              <a:xfrm>
                <a:off x="1476375" y="1885950"/>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Manager</a:t>
                </a:r>
                <a:endParaRPr lang="en-IN"/>
              </a:p>
            </xdr:txBody>
          </xdr:sp>
          <xdr:sp macro="" textlink="">
            <xdr:nvSpPr>
              <xdr:cNvPr id="8206" name="Check Box 14" hidden="1">
                <a:extLst>
                  <a:ext uri="{63B3BB69-23CF-44E3-9099-C40C66FF867C}">
                    <a14:compatExt spid="_x0000_s8206"/>
                  </a:ext>
                </a:extLst>
              </xdr:cNvPr>
              <xdr:cNvSpPr/>
            </xdr:nvSpPr>
            <xdr:spPr>
              <a:xfrm>
                <a:off x="1476375" y="2457454"/>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Miscellaneous</a:t>
                </a:r>
                <a:endParaRPr lang="en-IN"/>
              </a:p>
            </xdr:txBody>
          </xdr:sp>
          <xdr:sp macro="" textlink="">
            <xdr:nvSpPr>
              <xdr:cNvPr id="8207" name="Check Box 15" hidden="1">
                <a:extLst>
                  <a:ext uri="{63B3BB69-23CF-44E3-9099-C40C66FF867C}">
                    <a14:compatExt spid="_x0000_s8207"/>
                  </a:ext>
                </a:extLst>
              </xdr:cNvPr>
              <xdr:cNvSpPr/>
            </xdr:nvSpPr>
            <xdr:spPr>
              <a:xfrm>
                <a:off x="1476375" y="2076450"/>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Specialist</a:t>
                </a:r>
                <a:endParaRPr lang="en-IN"/>
              </a:p>
            </xdr:txBody>
          </xdr:sp>
          <xdr:sp macro="" textlink="">
            <xdr:nvSpPr>
              <xdr:cNvPr id="8208" name="Check Box 16" hidden="1">
                <a:extLst>
                  <a:ext uri="{63B3BB69-23CF-44E3-9099-C40C66FF867C}">
                    <a14:compatExt spid="_x0000_s8208"/>
                  </a:ext>
                </a:extLst>
              </xdr:cNvPr>
              <xdr:cNvSpPr/>
            </xdr:nvSpPr>
            <xdr:spPr>
              <a:xfrm>
                <a:off x="1476375" y="2266950"/>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Reporting</a:t>
                </a:r>
                <a:endParaRPr lang="en-IN"/>
              </a:p>
            </xdr:txBody>
          </xdr:sp>
        </xdr:grpSp>
        <xdr:clientData/>
      </xdr:twoCellAnchor>
    </mc:Choice>
    <mc:Fallback/>
  </mc:AlternateContent>
  <xdr:twoCellAnchor>
    <xdr:from>
      <xdr:col>1</xdr:col>
      <xdr:colOff>28575</xdr:colOff>
      <xdr:row>7</xdr:row>
      <xdr:rowOff>40481</xdr:rowOff>
    </xdr:from>
    <xdr:to>
      <xdr:col>3</xdr:col>
      <xdr:colOff>11906</xdr:colOff>
      <xdr:row>14</xdr:row>
      <xdr:rowOff>11906</xdr:rowOff>
    </xdr:to>
    <xdr:sp macro="" textlink="">
      <xdr:nvSpPr>
        <xdr:cNvPr id="32" name="Rectangle 31"/>
        <xdr:cNvSpPr/>
      </xdr:nvSpPr>
      <xdr:spPr>
        <a:xfrm>
          <a:off x="104775" y="1307306"/>
          <a:ext cx="1316831" cy="1304925"/>
        </a:xfrm>
        <a:prstGeom prst="rect">
          <a:avLst/>
        </a:prstGeom>
        <a:noFill/>
        <a:ln w="19050">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xdr:from>
          <xdr:col>1</xdr:col>
          <xdr:colOff>123825</xdr:colOff>
          <xdr:row>8</xdr:row>
          <xdr:rowOff>171450</xdr:rowOff>
        </xdr:from>
        <xdr:to>
          <xdr:col>2</xdr:col>
          <xdr:colOff>114300</xdr:colOff>
          <xdr:row>14</xdr:row>
          <xdr:rowOff>0</xdr:rowOff>
        </xdr:to>
        <xdr:grpSp>
          <xdr:nvGrpSpPr>
            <xdr:cNvPr id="33" name="Group 32"/>
            <xdr:cNvGrpSpPr/>
          </xdr:nvGrpSpPr>
          <xdr:grpSpPr>
            <a:xfrm>
              <a:off x="195263" y="1612106"/>
              <a:ext cx="657225" cy="971550"/>
              <a:chOff x="28575" y="752475"/>
              <a:chExt cx="1095375" cy="971550"/>
            </a:xfrm>
          </xdr:grpSpPr>
          <xdr:sp macro="" textlink="">
            <xdr:nvSpPr>
              <xdr:cNvPr id="8214" name="Check Box 22" hidden="1">
                <a:extLst>
                  <a:ext uri="{63B3BB69-23CF-44E3-9099-C40C66FF867C}">
                    <a14:compatExt spid="_x0000_s8214"/>
                  </a:ext>
                </a:extLst>
              </xdr:cNvPr>
              <xdr:cNvSpPr/>
            </xdr:nvSpPr>
            <xdr:spPr>
              <a:xfrm>
                <a:off x="28575" y="752475"/>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0 Hours</a:t>
                </a:r>
                <a:endParaRPr lang="en-IN"/>
              </a:p>
            </xdr:txBody>
          </xdr:sp>
          <xdr:sp macro="" textlink="">
            <xdr:nvSpPr>
              <xdr:cNvPr id="8215" name="Check Box 23" hidden="1">
                <a:extLst>
                  <a:ext uri="{63B3BB69-23CF-44E3-9099-C40C66FF867C}">
                    <a14:compatExt spid="_x0000_s8215"/>
                  </a:ext>
                </a:extLst>
              </xdr:cNvPr>
              <xdr:cNvSpPr/>
            </xdr:nvSpPr>
            <xdr:spPr>
              <a:xfrm>
                <a:off x="28575" y="933450"/>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1 or 2 Hours</a:t>
                </a:r>
                <a:endParaRPr lang="en-IN"/>
              </a:p>
            </xdr:txBody>
          </xdr:sp>
          <xdr:sp macro="" textlink="">
            <xdr:nvSpPr>
              <xdr:cNvPr id="8216" name="Check Box 24" hidden="1">
                <a:extLst>
                  <a:ext uri="{63B3BB69-23CF-44E3-9099-C40C66FF867C}">
                    <a14:compatExt spid="_x0000_s8216"/>
                  </a:ext>
                </a:extLst>
              </xdr:cNvPr>
              <xdr:cNvSpPr/>
            </xdr:nvSpPr>
            <xdr:spPr>
              <a:xfrm>
                <a:off x="28575" y="1123950"/>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2 to 3 Hours</a:t>
                </a:r>
                <a:endParaRPr lang="en-IN"/>
              </a:p>
            </xdr:txBody>
          </xdr:sp>
          <xdr:sp macro="" textlink="">
            <xdr:nvSpPr>
              <xdr:cNvPr id="8217" name="Check Box 25" hidden="1">
                <a:extLst>
                  <a:ext uri="{63B3BB69-23CF-44E3-9099-C40C66FF867C}">
                    <a14:compatExt spid="_x0000_s8217"/>
                  </a:ext>
                </a:extLst>
              </xdr:cNvPr>
              <xdr:cNvSpPr/>
            </xdr:nvSpPr>
            <xdr:spPr>
              <a:xfrm>
                <a:off x="28575" y="1314450"/>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4 to 6 Hours</a:t>
                </a:r>
                <a:endParaRPr lang="en-IN"/>
              </a:p>
            </xdr:txBody>
          </xdr:sp>
          <xdr:sp macro="" textlink="">
            <xdr:nvSpPr>
              <xdr:cNvPr id="8218" name="Check Box 26" hidden="1">
                <a:extLst>
                  <a:ext uri="{63B3BB69-23CF-44E3-9099-C40C66FF867C}">
                    <a14:compatExt spid="_x0000_s8218"/>
                  </a:ext>
                </a:extLst>
              </xdr:cNvPr>
              <xdr:cNvSpPr/>
            </xdr:nvSpPr>
            <xdr:spPr>
              <a:xfrm>
                <a:off x="28575" y="1504950"/>
                <a:ext cx="1095375" cy="219075"/>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8 Hours</a:t>
                </a:r>
                <a:endParaRPr lang="en-IN"/>
              </a:p>
            </xdr:txBody>
          </xdr:sp>
        </xdr:grpSp>
        <xdr:clientData/>
      </xdr:twoCellAnchor>
    </mc:Choice>
    <mc:Fallback/>
  </mc:AlternateContent>
  <xdr:twoCellAnchor>
    <xdr:from>
      <xdr:col>29</xdr:col>
      <xdr:colOff>19050</xdr:colOff>
      <xdr:row>19</xdr:row>
      <xdr:rowOff>142874</xdr:rowOff>
    </xdr:from>
    <xdr:to>
      <xdr:col>40</xdr:col>
      <xdr:colOff>238124</xdr:colOff>
      <xdr:row>29</xdr:row>
      <xdr:rowOff>76199</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114300</xdr:colOff>
      <xdr:row>20</xdr:row>
      <xdr:rowOff>9524</xdr:rowOff>
    </xdr:from>
    <xdr:to>
      <xdr:col>28</xdr:col>
      <xdr:colOff>0</xdr:colOff>
      <xdr:row>29</xdr:row>
      <xdr:rowOff>57150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20</xdr:row>
      <xdr:rowOff>0</xdr:rowOff>
    </xdr:from>
    <xdr:to>
      <xdr:col>7</xdr:col>
      <xdr:colOff>47625</xdr:colOff>
      <xdr:row>28</xdr:row>
      <xdr:rowOff>76200</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2</xdr:col>
          <xdr:colOff>590550</xdr:colOff>
          <xdr:row>4</xdr:row>
          <xdr:rowOff>19050</xdr:rowOff>
        </xdr:to>
        <xdr:sp macro="" textlink="">
          <xdr:nvSpPr>
            <xdr:cNvPr id="8219" name="Option Button 27" hidden="1">
              <a:extLst>
                <a:ext uri="{63B3BB69-23CF-44E3-9099-C40C66FF867C}">
                  <a14:compatExt spid="_x0000_s82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Dollar Salaries</a:t>
              </a: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142875</xdr:rowOff>
        </xdr:from>
        <xdr:to>
          <xdr:col>2</xdr:col>
          <xdr:colOff>590550</xdr:colOff>
          <xdr:row>5</xdr:row>
          <xdr:rowOff>133350</xdr:rowOff>
        </xdr:to>
        <xdr:sp macro="" textlink="">
          <xdr:nvSpPr>
            <xdr:cNvPr id="8221" name="Option Button 29" hidden="1">
              <a:extLst>
                <a:ext uri="{63B3BB69-23CF-44E3-9099-C40C66FF867C}">
                  <a14:compatExt spid="_x0000_s82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PPP adjusted Dollar Salaries</a:t>
              </a: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9525</xdr:rowOff>
        </xdr:from>
        <xdr:to>
          <xdr:col>2</xdr:col>
          <xdr:colOff>523875</xdr:colOff>
          <xdr:row>7</xdr:row>
          <xdr:rowOff>0</xdr:rowOff>
        </xdr:to>
        <xdr:sp macro="" textlink="">
          <xdr:nvSpPr>
            <xdr:cNvPr id="8222" name="Option Button 30" hidden="1">
              <a:extLst>
                <a:ext uri="{63B3BB69-23CF-44E3-9099-C40C66FF867C}">
                  <a14:compatExt spid="_x0000_s82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Salaries as times of per capita GDP</a:t>
              </a:r>
              <a:endParaRPr lang="en-IN"/>
            </a:p>
          </xdr:txBody>
        </xdr:sp>
        <xdr:clientData/>
      </xdr:twoCellAnchor>
    </mc:Choice>
    <mc:Fallback/>
  </mc:AlternateContent>
  <xdr:twoCellAnchor>
    <xdr:from>
      <xdr:col>1</xdr:col>
      <xdr:colOff>28574</xdr:colOff>
      <xdr:row>1</xdr:row>
      <xdr:rowOff>209551</xdr:rowOff>
    </xdr:from>
    <xdr:to>
      <xdr:col>3</xdr:col>
      <xdr:colOff>9525</xdr:colOff>
      <xdr:row>7</xdr:row>
      <xdr:rowOff>9526</xdr:rowOff>
    </xdr:to>
    <xdr:sp macro="" textlink="">
      <xdr:nvSpPr>
        <xdr:cNvPr id="30" name="Rectangle 29"/>
        <xdr:cNvSpPr/>
      </xdr:nvSpPr>
      <xdr:spPr>
        <a:xfrm>
          <a:off x="104774" y="304801"/>
          <a:ext cx="1314451" cy="971550"/>
        </a:xfrm>
        <a:prstGeom prst="rect">
          <a:avLst/>
        </a:prstGeom>
        <a:noFill/>
        <a:ln w="19050">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52918</xdr:colOff>
      <xdr:row>14</xdr:row>
      <xdr:rowOff>218276</xdr:rowOff>
    </xdr:from>
    <xdr:to>
      <xdr:col>5</xdr:col>
      <xdr:colOff>645583</xdr:colOff>
      <xdr:row>14</xdr:row>
      <xdr:rowOff>645584</xdr:rowOff>
    </xdr:to>
    <xdr:sp macro="" textlink="">
      <xdr:nvSpPr>
        <xdr:cNvPr id="2" name="Rectangular Callout 1"/>
        <xdr:cNvSpPr/>
      </xdr:nvSpPr>
      <xdr:spPr>
        <a:xfrm>
          <a:off x="127001" y="2800609"/>
          <a:ext cx="2677582" cy="427308"/>
        </a:xfrm>
        <a:prstGeom prst="wedgeRectCallout">
          <a:avLst>
            <a:gd name="adj1" fmla="val 21420"/>
            <a:gd name="adj2" fmla="val -66315"/>
          </a:avLst>
        </a:prstGeom>
        <a:ln>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IN" sz="900"/>
            <a:t>For</a:t>
          </a:r>
          <a:r>
            <a:rPr lang="en-IN" sz="900" baseline="0"/>
            <a:t> Slicing and Dicing the data , check  or uncheck to include or uninclude some type of participants</a:t>
          </a:r>
          <a:endParaRPr lang="en-IN" sz="900"/>
        </a:p>
      </xdr:txBody>
    </xdr:sp>
    <xdr:clientData/>
  </xdr:twoCellAnchor>
  <xdr:twoCellAnchor>
    <xdr:from>
      <xdr:col>1</xdr:col>
      <xdr:colOff>63501</xdr:colOff>
      <xdr:row>16</xdr:row>
      <xdr:rowOff>60051</xdr:rowOff>
    </xdr:from>
    <xdr:to>
      <xdr:col>5</xdr:col>
      <xdr:colOff>645588</xdr:colOff>
      <xdr:row>18</xdr:row>
      <xdr:rowOff>127000</xdr:rowOff>
    </xdr:to>
    <xdr:sp macro="" textlink="">
      <xdr:nvSpPr>
        <xdr:cNvPr id="34" name="Rectangular Callout 33"/>
        <xdr:cNvSpPr/>
      </xdr:nvSpPr>
      <xdr:spPr>
        <a:xfrm>
          <a:off x="137584" y="3531384"/>
          <a:ext cx="2667004" cy="405616"/>
        </a:xfrm>
        <a:prstGeom prst="wedgeRectCallout">
          <a:avLst>
            <a:gd name="adj1" fmla="val 55692"/>
            <a:gd name="adj2" fmla="val 22075"/>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IN" sz="900"/>
            <a:t>Hover</a:t>
          </a:r>
          <a:r>
            <a:rPr lang="en-IN" sz="900" baseline="0"/>
            <a:t> over a Paricular region to check the details of the data included in the above chart</a:t>
          </a:r>
          <a:endParaRPr lang="en-IN" sz="9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32</xdr:row>
      <xdr:rowOff>0</xdr:rowOff>
    </xdr:from>
    <xdr:to>
      <xdr:col>3</xdr:col>
      <xdr:colOff>676455</xdr:colOff>
      <xdr:row>49</xdr:row>
      <xdr:rowOff>48084</xdr:rowOff>
    </xdr:to>
    <xdr:pic>
      <xdr:nvPicPr>
        <xdr:cNvPr id="2" name="Picture 1"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4825" y="6248400"/>
          <a:ext cx="1286055" cy="3286584"/>
        </a:xfrm>
        <a:prstGeom prst="rect">
          <a:avLst/>
        </a:prstGeom>
      </xdr:spPr>
    </xdr:pic>
    <xdr:clientData/>
  </xdr:twoCellAnchor>
  <xdr:twoCellAnchor>
    <xdr:from>
      <xdr:col>4</xdr:col>
      <xdr:colOff>504824</xdr:colOff>
      <xdr:row>31</xdr:row>
      <xdr:rowOff>161926</xdr:rowOff>
    </xdr:from>
    <xdr:to>
      <xdr:col>8</xdr:col>
      <xdr:colOff>647699</xdr:colOff>
      <xdr:row>33</xdr:row>
      <xdr:rowOff>28576</xdr:rowOff>
    </xdr:to>
    <xdr:sp macro="" textlink="">
      <xdr:nvSpPr>
        <xdr:cNvPr id="3" name="Line Callout 1 2"/>
        <xdr:cNvSpPr/>
      </xdr:nvSpPr>
      <xdr:spPr>
        <a:xfrm>
          <a:off x="2505074" y="6219826"/>
          <a:ext cx="3686175" cy="247650"/>
        </a:xfrm>
        <a:prstGeom prst="borderCallout1">
          <a:avLst>
            <a:gd name="adj1" fmla="val 18750"/>
            <a:gd name="adj2" fmla="val -8333"/>
            <a:gd name="adj3" fmla="val 339423"/>
            <a:gd name="adj4" fmla="val -284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t>99th Percentile Value </a:t>
          </a:r>
          <a:r>
            <a:rPr lang="en-IN" sz="1000" baseline="0"/>
            <a:t> (not maximum to ignore outliers)</a:t>
          </a:r>
          <a:endParaRPr lang="en-IN" sz="1000"/>
        </a:p>
      </xdr:txBody>
    </xdr:sp>
    <xdr:clientData/>
  </xdr:twoCellAnchor>
  <xdr:twoCellAnchor>
    <xdr:from>
      <xdr:col>4</xdr:col>
      <xdr:colOff>504825</xdr:colOff>
      <xdr:row>33</xdr:row>
      <xdr:rowOff>152401</xdr:rowOff>
    </xdr:from>
    <xdr:to>
      <xdr:col>7</xdr:col>
      <xdr:colOff>285750</xdr:colOff>
      <xdr:row>35</xdr:row>
      <xdr:rowOff>19051</xdr:rowOff>
    </xdr:to>
    <xdr:sp macro="" textlink="">
      <xdr:nvSpPr>
        <xdr:cNvPr id="4" name="Line Callout 1 3"/>
        <xdr:cNvSpPr/>
      </xdr:nvSpPr>
      <xdr:spPr>
        <a:xfrm>
          <a:off x="2505075" y="6591301"/>
          <a:ext cx="2438400" cy="247650"/>
        </a:xfrm>
        <a:prstGeom prst="borderCallout1">
          <a:avLst>
            <a:gd name="adj1" fmla="val 18750"/>
            <a:gd name="adj2" fmla="val -8333"/>
            <a:gd name="adj3" fmla="val 524038"/>
            <a:gd name="adj4" fmla="val -4184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75th Percentile Value</a:t>
          </a:r>
        </a:p>
      </xdr:txBody>
    </xdr:sp>
    <xdr:clientData/>
  </xdr:twoCellAnchor>
  <xdr:twoCellAnchor>
    <xdr:from>
      <xdr:col>4</xdr:col>
      <xdr:colOff>485775</xdr:colOff>
      <xdr:row>35</xdr:row>
      <xdr:rowOff>180976</xdr:rowOff>
    </xdr:from>
    <xdr:to>
      <xdr:col>7</xdr:col>
      <xdr:colOff>266700</xdr:colOff>
      <xdr:row>37</xdr:row>
      <xdr:rowOff>47626</xdr:rowOff>
    </xdr:to>
    <xdr:sp macro="" textlink="">
      <xdr:nvSpPr>
        <xdr:cNvPr id="5" name="Line Callout 1 4"/>
        <xdr:cNvSpPr/>
      </xdr:nvSpPr>
      <xdr:spPr>
        <a:xfrm>
          <a:off x="2486025" y="7000876"/>
          <a:ext cx="2438400" cy="247650"/>
        </a:xfrm>
        <a:prstGeom prst="borderCallout1">
          <a:avLst>
            <a:gd name="adj1" fmla="val 18750"/>
            <a:gd name="adj2" fmla="val -8333"/>
            <a:gd name="adj3" fmla="val 389423"/>
            <a:gd name="adj4" fmla="val -3872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Mean</a:t>
          </a:r>
        </a:p>
      </xdr:txBody>
    </xdr:sp>
    <xdr:clientData/>
  </xdr:twoCellAnchor>
  <xdr:twoCellAnchor>
    <xdr:from>
      <xdr:col>4</xdr:col>
      <xdr:colOff>485775</xdr:colOff>
      <xdr:row>38</xdr:row>
      <xdr:rowOff>28576</xdr:rowOff>
    </xdr:from>
    <xdr:to>
      <xdr:col>7</xdr:col>
      <xdr:colOff>266700</xdr:colOff>
      <xdr:row>39</xdr:row>
      <xdr:rowOff>85726</xdr:rowOff>
    </xdr:to>
    <xdr:sp macro="" textlink="">
      <xdr:nvSpPr>
        <xdr:cNvPr id="6" name="Line Callout 1 5"/>
        <xdr:cNvSpPr/>
      </xdr:nvSpPr>
      <xdr:spPr>
        <a:xfrm>
          <a:off x="2486025" y="7419976"/>
          <a:ext cx="2438400" cy="247650"/>
        </a:xfrm>
        <a:prstGeom prst="borderCallout1">
          <a:avLst>
            <a:gd name="adj1" fmla="val 18750"/>
            <a:gd name="adj2" fmla="val -8333"/>
            <a:gd name="adj3" fmla="val 300961"/>
            <a:gd name="adj4" fmla="val -4028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25th Percentile Value</a:t>
          </a:r>
        </a:p>
      </xdr:txBody>
    </xdr:sp>
    <xdr:clientData/>
  </xdr:twoCellAnchor>
  <xdr:twoCellAnchor>
    <xdr:from>
      <xdr:col>4</xdr:col>
      <xdr:colOff>485774</xdr:colOff>
      <xdr:row>40</xdr:row>
      <xdr:rowOff>28576</xdr:rowOff>
    </xdr:from>
    <xdr:to>
      <xdr:col>8</xdr:col>
      <xdr:colOff>647699</xdr:colOff>
      <xdr:row>41</xdr:row>
      <xdr:rowOff>85726</xdr:rowOff>
    </xdr:to>
    <xdr:sp macro="" textlink="">
      <xdr:nvSpPr>
        <xdr:cNvPr id="7" name="Line Callout 1 6"/>
        <xdr:cNvSpPr/>
      </xdr:nvSpPr>
      <xdr:spPr>
        <a:xfrm>
          <a:off x="2486024" y="7800976"/>
          <a:ext cx="3705225" cy="247650"/>
        </a:xfrm>
        <a:prstGeom prst="borderCallout1">
          <a:avLst>
            <a:gd name="adj1" fmla="val 18750"/>
            <a:gd name="adj2" fmla="val -8333"/>
            <a:gd name="adj3" fmla="val 181731"/>
            <a:gd name="adj4" fmla="val -2706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IN" sz="1100"/>
            <a:t>1st Percentile Value  </a:t>
          </a:r>
          <a:r>
            <a:rPr lang="en-IN" sz="1100" baseline="0">
              <a:solidFill>
                <a:schemeClr val="lt1"/>
              </a:solidFill>
              <a:effectLst/>
              <a:latin typeface="+mn-lt"/>
              <a:ea typeface="+mn-ea"/>
              <a:cs typeface="+mn-cs"/>
            </a:rPr>
            <a:t>(not maximum to ignore outliers)</a:t>
          </a:r>
          <a:endParaRPr lang="en-IN">
            <a:effectLst/>
          </a:endParaRPr>
        </a:p>
        <a:p>
          <a:pPr algn="l"/>
          <a:endParaRPr lang="en-IN" sz="1100"/>
        </a:p>
      </xdr:txBody>
    </xdr:sp>
    <xdr:clientData/>
  </xdr:twoCellAnchor>
  <xdr:twoCellAnchor>
    <xdr:from>
      <xdr:col>8</xdr:col>
      <xdr:colOff>723900</xdr:colOff>
      <xdr:row>31</xdr:row>
      <xdr:rowOff>123825</xdr:rowOff>
    </xdr:from>
    <xdr:to>
      <xdr:col>9</xdr:col>
      <xdr:colOff>142875</xdr:colOff>
      <xdr:row>41</xdr:row>
      <xdr:rowOff>161925</xdr:rowOff>
    </xdr:to>
    <xdr:sp macro="" textlink="">
      <xdr:nvSpPr>
        <xdr:cNvPr id="8" name="Right Brace 7"/>
        <xdr:cNvSpPr/>
      </xdr:nvSpPr>
      <xdr:spPr>
        <a:xfrm>
          <a:off x="6267450" y="6181725"/>
          <a:ext cx="304800" cy="194310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xdr:twoCellAnchor>
    <xdr:from>
      <xdr:col>9</xdr:col>
      <xdr:colOff>314325</xdr:colOff>
      <xdr:row>34</xdr:row>
      <xdr:rowOff>57150</xdr:rowOff>
    </xdr:from>
    <xdr:to>
      <xdr:col>11</xdr:col>
      <xdr:colOff>600075</xdr:colOff>
      <xdr:row>39</xdr:row>
      <xdr:rowOff>9525</xdr:rowOff>
    </xdr:to>
    <xdr:sp macro="" textlink="">
      <xdr:nvSpPr>
        <xdr:cNvPr id="9" name="Rectangle 8"/>
        <xdr:cNvSpPr/>
      </xdr:nvSpPr>
      <xdr:spPr>
        <a:xfrm>
          <a:off x="6743700" y="6686550"/>
          <a:ext cx="2057400" cy="904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Together they explain the distribution</a:t>
          </a:r>
          <a:r>
            <a:rPr lang="en-IN" sz="1100" baseline="0"/>
            <a:t> of income in the region</a:t>
          </a:r>
          <a:endParaRPr lang="en-IN" sz="1100"/>
        </a:p>
      </xdr:txBody>
    </xdr:sp>
    <xdr:clientData/>
  </xdr:twoCellAnchor>
  <xdr:twoCellAnchor>
    <xdr:from>
      <xdr:col>4</xdr:col>
      <xdr:colOff>676274</xdr:colOff>
      <xdr:row>43</xdr:row>
      <xdr:rowOff>9525</xdr:rowOff>
    </xdr:from>
    <xdr:to>
      <xdr:col>8</xdr:col>
      <xdr:colOff>133350</xdr:colOff>
      <xdr:row>45</xdr:row>
      <xdr:rowOff>114300</xdr:rowOff>
    </xdr:to>
    <xdr:sp macro="" textlink="">
      <xdr:nvSpPr>
        <xdr:cNvPr id="10" name="Line Callout 1 9"/>
        <xdr:cNvSpPr/>
      </xdr:nvSpPr>
      <xdr:spPr>
        <a:xfrm>
          <a:off x="2676524" y="8353425"/>
          <a:ext cx="3000376" cy="485775"/>
        </a:xfrm>
        <a:prstGeom prst="borderCallout1">
          <a:avLst>
            <a:gd name="adj1" fmla="val 18750"/>
            <a:gd name="adj2" fmla="val -8333"/>
            <a:gd name="adj3" fmla="val 129999"/>
            <a:gd name="adj4" fmla="val -35183"/>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IN" sz="1100"/>
            <a:t>Important</a:t>
          </a:r>
          <a:r>
            <a:rPr lang="en-IN" sz="1100" baseline="0"/>
            <a:t> to understand is we have enough data points to rely on the metrics.</a:t>
          </a:r>
          <a:endParaRPr lang="en-IN" sz="1100"/>
        </a:p>
      </xdr:txBody>
    </xdr:sp>
    <xdr:clientData/>
  </xdr:twoCellAnchor>
  <xdr:twoCellAnchor>
    <xdr:from>
      <xdr:col>4</xdr:col>
      <xdr:colOff>609599</xdr:colOff>
      <xdr:row>45</xdr:row>
      <xdr:rowOff>180975</xdr:rowOff>
    </xdr:from>
    <xdr:to>
      <xdr:col>8</xdr:col>
      <xdr:colOff>66675</xdr:colOff>
      <xdr:row>48</xdr:row>
      <xdr:rowOff>95250</xdr:rowOff>
    </xdr:to>
    <xdr:sp macro="" textlink="">
      <xdr:nvSpPr>
        <xdr:cNvPr id="11" name="Line Callout 1 10"/>
        <xdr:cNvSpPr/>
      </xdr:nvSpPr>
      <xdr:spPr>
        <a:xfrm>
          <a:off x="2609849" y="8905875"/>
          <a:ext cx="3000376" cy="485775"/>
        </a:xfrm>
        <a:prstGeom prst="borderCallout1">
          <a:avLst>
            <a:gd name="adj1" fmla="val 18750"/>
            <a:gd name="adj2" fmla="val -8333"/>
            <a:gd name="adj3" fmla="val 114313"/>
            <a:gd name="adj4" fmla="val -32961"/>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IN" sz="1100"/>
            <a:t>Hover here here</a:t>
          </a:r>
          <a:r>
            <a:rPr lang="en-IN" sz="1100" baseline="0"/>
            <a:t> to get further info in the 3 panels below.</a:t>
          </a:r>
          <a:endParaRPr lang="en-IN" sz="1100"/>
        </a:p>
      </xdr:txBody>
    </xdr:sp>
    <xdr:clientData/>
  </xdr:twoCellAnchor>
</xdr:wsDr>
</file>

<file path=xl/tables/table1.xml><?xml version="1.0" encoding="utf-8"?>
<table xmlns="http://schemas.openxmlformats.org/spreadsheetml/2006/main" id="2" name="tblXrate" displayName="tblXrate" ref="B3:C64" totalsRowShown="0">
  <autoFilter ref="B3:C64"/>
  <tableColumns count="2">
    <tableColumn id="1" name="Currency"/>
    <tableColumn id="2" name="in USD"/>
  </tableColumns>
  <tableStyleInfo name="TableStyleMedium2" showFirstColumn="0" showLastColumn="0" showRowStripes="1" showColumnStripes="0"/>
</table>
</file>

<file path=xl/tables/table2.xml><?xml version="1.0" encoding="utf-8"?>
<table xmlns="http://schemas.openxmlformats.org/spreadsheetml/2006/main" id="4" name="tblCountries" displayName="tblCountries" ref="I3:J137" totalsRowShown="0">
  <autoFilter ref="I3:J137"/>
  <tableColumns count="2">
    <tableColumn id="1" name="Actual"/>
    <tableColumn id="2" name="Mapping"/>
  </tableColumns>
  <tableStyleInfo name="TableStyleMedium2" showFirstColumn="0" showLastColumn="0" showRowStripes="1" showColumnStripes="0"/>
</table>
</file>

<file path=xl/tables/table3.xml><?xml version="1.0" encoding="utf-8"?>
<table xmlns="http://schemas.openxmlformats.org/spreadsheetml/2006/main" id="8" name="Table8" displayName="Table8" ref="L2:Q92" totalsRowShown="0" headerRowDxfId="28" dataDxfId="27" tableBorderDxfId="26">
  <autoFilter ref="L2:Q92"/>
  <sortState ref="L3:Q91">
    <sortCondition ref="L2:L91"/>
  </sortState>
  <tableColumns count="6">
    <tableColumn id="1" name="Country" dataDxfId="25"/>
    <tableColumn id="2" name="PPP adjustment (USD)" dataDxfId="24" dataCellStyle="Comma">
      <calculatedColumnFormula>VLOOKUP(L3,Table5[#All],2,0)/Table8[[#This Row],[Convrsion Rate]]</calculatedColumnFormula>
    </tableColumn>
    <tableColumn id="3" name="Per Capita GDP (USD)" dataDxfId="23">
      <calculatedColumnFormula>VLOOKUP(L3,Table5[#All],3,0)</calculatedColumnFormula>
    </tableColumn>
    <tableColumn id="4" name="Group" dataDxfId="22">
      <calculatedColumnFormula>VLOOKUP(L3,Table5[#All],4,0)</calculatedColumnFormula>
    </tableColumn>
    <tableColumn id="5" name="Local Currency" dataDxfId="21"/>
    <tableColumn id="7" name="Convrsion Rate" dataDxfId="20" dataCellStyle="Comma">
      <calculatedColumnFormula>INDEX($F$4:$F$87,MATCH(Table8[[#This Row],[Local Currency]],$G$4:$G$87,0))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5" name="Table5" displayName="Table5" ref="A1:D185" totalsRowShown="0" headerRowDxfId="19">
  <autoFilter ref="A1:D185"/>
  <tableColumns count="4">
    <tableColumn id="1" name="Country"/>
    <tableColumn id="2" name="Implied PPP 2011 (in local currency)"/>
    <tableColumn id="3" name="USD GDP per Capita 2011" dataDxfId="18"/>
    <tableColumn id="4" name="Classification"/>
  </tableColumns>
  <tableStyleInfo name="TableStyleMedium2" showFirstColumn="0" showLastColumn="0" showRowStripes="1" showColumnStripes="0"/>
</table>
</file>

<file path=xl/tables/table5.xml><?xml version="1.0" encoding="utf-8"?>
<table xmlns="http://schemas.openxmlformats.org/spreadsheetml/2006/main" id="6" name="Table6" displayName="Table6" ref="A188:D199" totalsRowShown="0" headerRowDxfId="17" headerRowBorderDxfId="16" tableBorderDxfId="15">
  <autoFilter ref="A188:D199"/>
  <tableColumns count="4">
    <tableColumn id="1" name="Country"/>
    <tableColumn id="2" name="Implied PPP 2011"/>
    <tableColumn id="3" name="USD GDP per Capita 2011"/>
    <tableColumn id="4" name="Classifica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omposite">
      <a:dk1>
        <a:sysClr val="windowText" lastClr="000000"/>
      </a:dk1>
      <a:lt1>
        <a:sysClr val="window" lastClr="FFFFFF"/>
      </a:lt1>
      <a:dk2>
        <a:srgbClr val="5B6973"/>
      </a:dk2>
      <a:lt2>
        <a:srgbClr val="E7ECED"/>
      </a:lt2>
      <a:accent1>
        <a:srgbClr val="98C723"/>
      </a:accent1>
      <a:accent2>
        <a:srgbClr val="59B0B9"/>
      </a:accent2>
      <a:accent3>
        <a:srgbClr val="DEAE00"/>
      </a:accent3>
      <a:accent4>
        <a:srgbClr val="B77BB4"/>
      </a:accent4>
      <a:accent5>
        <a:srgbClr val="E0773C"/>
      </a:accent5>
      <a:accent6>
        <a:srgbClr val="A98D63"/>
      </a:accent6>
      <a:hlink>
        <a:srgbClr val="26CBEC"/>
      </a:hlink>
      <a:folHlink>
        <a:srgbClr val="598C8C"/>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table" Target="../tables/table3.xml"/><Relationship Id="rId2" Type="http://schemas.openxmlformats.org/officeDocument/2006/relationships/hyperlink" Target="http://xe.com/" TargetMode="External"/><Relationship Id="rId1" Type="http://schemas.openxmlformats.org/officeDocument/2006/relationships/hyperlink" Target="http://www.x-rates.com/cgi-bin/cgicalc.cgi?value=1&amp;base=USD"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3.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Q137"/>
  <sheetViews>
    <sheetView showGridLines="0" workbookViewId="0">
      <selection activeCell="A3" sqref="A3"/>
    </sheetView>
  </sheetViews>
  <sheetFormatPr defaultRowHeight="15" x14ac:dyDescent="0.25"/>
  <cols>
    <col min="1" max="1" width="4" customWidth="1"/>
    <col min="2" max="2" width="20.28515625" customWidth="1"/>
    <col min="5" max="5" width="26" bestFit="1" customWidth="1"/>
    <col min="6" max="6" width="14.28515625" customWidth="1"/>
    <col min="9" max="10" width="27.140625" bestFit="1" customWidth="1"/>
    <col min="12" max="12" width="18.85546875" bestFit="1" customWidth="1"/>
    <col min="13" max="13" width="18.85546875" customWidth="1"/>
    <col min="14" max="14" width="17.140625" customWidth="1"/>
    <col min="15" max="15" width="36.140625" bestFit="1" customWidth="1"/>
    <col min="16" max="16" width="16.140625" bestFit="1" customWidth="1"/>
    <col min="17" max="17" width="14" bestFit="1" customWidth="1"/>
  </cols>
  <sheetData>
    <row r="1" spans="2:17" ht="23.25" x14ac:dyDescent="0.35">
      <c r="B1" s="58" t="s">
        <v>2153</v>
      </c>
      <c r="C1" s="58"/>
      <c r="E1" s="1" t="s">
        <v>2125</v>
      </c>
      <c r="F1" s="1" t="s">
        <v>2143</v>
      </c>
    </row>
    <row r="2" spans="2:17" x14ac:dyDescent="0.25">
      <c r="B2" s="2" t="s">
        <v>2152</v>
      </c>
      <c r="C2" s="2"/>
      <c r="I2" s="2" t="s">
        <v>2151</v>
      </c>
      <c r="J2" s="2"/>
      <c r="L2" s="15" t="s">
        <v>2154</v>
      </c>
      <c r="M2" s="16" t="s">
        <v>2351</v>
      </c>
      <c r="N2" s="16" t="s">
        <v>2294</v>
      </c>
      <c r="O2" s="16" t="s">
        <v>2155</v>
      </c>
      <c r="P2" s="16" t="s">
        <v>2296</v>
      </c>
      <c r="Q2" s="30" t="s">
        <v>2297</v>
      </c>
    </row>
    <row r="3" spans="2:17" x14ac:dyDescent="0.25">
      <c r="B3" t="s">
        <v>0</v>
      </c>
      <c r="C3" t="s">
        <v>2041</v>
      </c>
      <c r="E3" s="4" t="s">
        <v>2042</v>
      </c>
      <c r="F3" s="4"/>
      <c r="G3" s="4"/>
      <c r="I3" t="s">
        <v>2148</v>
      </c>
      <c r="J3" t="s">
        <v>2149</v>
      </c>
      <c r="L3" s="14" t="s">
        <v>113</v>
      </c>
      <c r="M3" s="39">
        <f>VLOOKUP(L3,Table5[#All],2,0)/Table8[[#This Row],[Convrsion Rate]]</f>
        <v>0.47374412721358866</v>
      </c>
      <c r="N3" s="13">
        <f>VLOOKUP(L3,Table5[#All],3,0)</f>
        <v>3992.47</v>
      </c>
      <c r="O3" s="13" t="str">
        <f>VLOOKUP(L3,Table5[#All],4,0)</f>
        <v>Central and Eastern Europe</v>
      </c>
      <c r="P3" s="13" t="s">
        <v>2308</v>
      </c>
      <c r="Q3" s="31">
        <f>INDEX($F$4:$F$87,MATCH(Table8[[#This Row],[Local Currency]],$G$4:$G$87,0))</f>
        <v>110.68</v>
      </c>
    </row>
    <row r="4" spans="2:17" x14ac:dyDescent="0.25">
      <c r="B4" t="s">
        <v>2</v>
      </c>
      <c r="C4">
        <v>1</v>
      </c>
      <c r="E4" s="3" t="s">
        <v>2043</v>
      </c>
      <c r="F4" s="3">
        <v>4.4927299999999999</v>
      </c>
      <c r="G4" s="3" t="s">
        <v>2044</v>
      </c>
      <c r="I4" t="s">
        <v>5</v>
      </c>
      <c r="J4" t="s">
        <v>5</v>
      </c>
      <c r="L4" s="14" t="s">
        <v>127</v>
      </c>
      <c r="M4" s="39">
        <f>VLOOKUP(L4,Table5[#All],2,0)/Table8[[#This Row],[Convrsion Rate]]</f>
        <v>0.57159010223182793</v>
      </c>
      <c r="N4" s="13">
        <f>VLOOKUP(L4,Table5[#All],3,0)</f>
        <v>10944.71</v>
      </c>
      <c r="O4" s="13" t="str">
        <f>VLOOKUP(L4,Table5[#All],4,0)</f>
        <v>Latin America and the Caribbean</v>
      </c>
      <c r="P4" s="13" t="s">
        <v>2044</v>
      </c>
      <c r="Q4" s="31">
        <f>INDEX($F$4:$F$87,MATCH(Table8[[#This Row],[Local Currency]],$G$4:$G$87,0))</f>
        <v>4.4927299999999999</v>
      </c>
    </row>
    <row r="5" spans="2:17" x14ac:dyDescent="0.25">
      <c r="B5" t="s">
        <v>9</v>
      </c>
      <c r="C5">
        <f>1/INDEX($F$4:$F$87,MATCH(tblXrate[[#This Row],[Currency]],$G$4:$G$87,0))</f>
        <v>1.2703994389916078</v>
      </c>
      <c r="E5" s="3" t="s">
        <v>2045</v>
      </c>
      <c r="F5" s="3">
        <v>0.98047899999999999</v>
      </c>
      <c r="G5" s="3" t="s">
        <v>28</v>
      </c>
      <c r="I5" t="s">
        <v>3</v>
      </c>
      <c r="J5" t="s">
        <v>3</v>
      </c>
      <c r="L5" s="14" t="s">
        <v>165</v>
      </c>
      <c r="M5" s="39">
        <f>VLOOKUP(L5,Table5[#All],2,0)/Table8[[#This Row],[Convrsion Rate]]</f>
        <v>0.51570552734936292</v>
      </c>
      <c r="N5" s="13">
        <f>VLOOKUP(L5,Table5[#All],3,0)</f>
        <v>3032.81</v>
      </c>
      <c r="O5" s="13" t="str">
        <f>VLOOKUP(L5,Table5[#All],4,0)</f>
        <v>Commonwealth of Independent States</v>
      </c>
      <c r="P5" s="13" t="s">
        <v>2310</v>
      </c>
      <c r="Q5" s="31">
        <f>INDEX($F$4:$F$87,MATCH(Table8[[#This Row],[Local Currency]],$G$4:$G$87,0))</f>
        <v>417.56</v>
      </c>
    </row>
    <row r="6" spans="2:17" ht="15" customHeight="1" x14ac:dyDescent="0.25">
      <c r="B6" t="s">
        <v>13</v>
      </c>
      <c r="C6">
        <f>1/INDEX($F$4:$F$87,MATCH(tblXrate[[#This Row],[Currency]],$G$4:$G$87,0))</f>
        <v>1.0614088716799131E-2</v>
      </c>
      <c r="E6" s="3" t="s">
        <v>2046</v>
      </c>
      <c r="F6" s="3">
        <v>7.6569700000000003</v>
      </c>
      <c r="G6" s="3" t="s">
        <v>2047</v>
      </c>
      <c r="I6" t="s">
        <v>25</v>
      </c>
      <c r="J6" t="s">
        <v>25</v>
      </c>
      <c r="L6" s="14" t="s">
        <v>29</v>
      </c>
      <c r="M6" s="39">
        <f>VLOOKUP(L6,Table5[#All],2,0)/Table8[[#This Row],[Convrsion Rate]]</f>
        <v>1.6083975281469567</v>
      </c>
      <c r="N6" s="13">
        <f>VLOOKUP(L6,Table5[#All],3,0)</f>
        <v>65477.03</v>
      </c>
      <c r="O6" s="13" t="str">
        <f>VLOOKUP(L6,Table5[#All],4,0)</f>
        <v>Other Advanced Economies</v>
      </c>
      <c r="P6" s="13" t="s">
        <v>28</v>
      </c>
      <c r="Q6" s="31">
        <f>INDEX($F$4:$F$87,MATCH(Table8[[#This Row],[Local Currency]],$G$4:$G$87,0))</f>
        <v>0.98047899999999999</v>
      </c>
    </row>
    <row r="7" spans="2:17" ht="15" customHeight="1" x14ac:dyDescent="0.25">
      <c r="B7" t="s">
        <v>16</v>
      </c>
      <c r="C7">
        <f>1/INDEX($F$4:$F$87,MATCH(tblXrate[[#This Row],[Currency]],$G$4:$G$87,0))</f>
        <v>1.7807916687442568E-2</v>
      </c>
      <c r="E7" s="3" t="s">
        <v>2048</v>
      </c>
      <c r="F7" s="3">
        <v>2.0231400000000002</v>
      </c>
      <c r="G7" s="3" t="s">
        <v>2049</v>
      </c>
      <c r="I7" t="s">
        <v>29</v>
      </c>
      <c r="J7" t="s">
        <v>29</v>
      </c>
      <c r="L7" s="14" t="s">
        <v>144</v>
      </c>
      <c r="M7" s="39">
        <f>VLOOKUP(L7,Table5[#All],2,0)/Table8[[#This Row],[Convrsion Rate]]</f>
        <v>1.0874619197768163</v>
      </c>
      <c r="N7" s="13">
        <f>VLOOKUP(L7,Table5[#All],3,0)</f>
        <v>49809.17</v>
      </c>
      <c r="O7" s="13" t="str">
        <f>VLOOKUP(L7,Table5[#All],4,0)</f>
        <v>Euro Area</v>
      </c>
      <c r="P7" s="13" t="s">
        <v>9</v>
      </c>
      <c r="Q7" s="31">
        <f>INDEX($F$4:$F$87,MATCH(Table8[[#This Row],[Local Currency]],$G$4:$G$87,0))</f>
        <v>0.78715400000000002</v>
      </c>
    </row>
    <row r="8" spans="2:17" x14ac:dyDescent="0.25">
      <c r="B8" t="s">
        <v>24</v>
      </c>
      <c r="C8">
        <f>1/INDEX($F$4:$F$87,MATCH(tblXrate[[#This Row],[Currency]],$G$4:$G$87,0))</f>
        <v>1.5761782720672841</v>
      </c>
      <c r="E8" s="3" t="s">
        <v>2050</v>
      </c>
      <c r="F8" s="3">
        <v>0.63444599999999995</v>
      </c>
      <c r="G8" s="3" t="s">
        <v>24</v>
      </c>
      <c r="I8" t="s">
        <v>31</v>
      </c>
      <c r="J8" t="s">
        <v>31</v>
      </c>
      <c r="L8" s="14" t="s">
        <v>161</v>
      </c>
      <c r="M8" s="39">
        <f>VLOOKUP(L8,Table5[#All],2,0)/Table8[[#This Row],[Convrsion Rate]]</f>
        <v>0.68517575140091702</v>
      </c>
      <c r="N8" s="13">
        <f>VLOOKUP(L8,Table5[#All],3,0)</f>
        <v>6832.28</v>
      </c>
      <c r="O8" s="13" t="str">
        <f>VLOOKUP(L8,Table5[#All],4,0)</f>
        <v>Commonwealth of Independent States</v>
      </c>
      <c r="P8" s="13" t="s">
        <v>2312</v>
      </c>
      <c r="Q8" s="31">
        <f>INDEX($F$4:$F$87,MATCH(Table8[[#This Row],[Local Currency]],$G$4:$G$87,0))</f>
        <v>0.78520000000000001</v>
      </c>
    </row>
    <row r="9" spans="2:17" ht="15" customHeight="1" x14ac:dyDescent="0.25">
      <c r="B9" t="s">
        <v>28</v>
      </c>
      <c r="C9">
        <f>1/INDEX($F$4:$F$87,MATCH(tblXrate[[#This Row],[Currency]],$G$4:$G$87,0))</f>
        <v>1.0199096564026358</v>
      </c>
      <c r="E9" s="3" t="s">
        <v>2051</v>
      </c>
      <c r="F9" s="3">
        <v>1.2686999999999999</v>
      </c>
      <c r="G9" s="3" t="s">
        <v>2052</v>
      </c>
      <c r="I9" t="s">
        <v>6</v>
      </c>
      <c r="J9" t="s">
        <v>6</v>
      </c>
      <c r="L9" s="14" t="s">
        <v>58</v>
      </c>
      <c r="M9" s="39">
        <f>VLOOKUP(L9,Table5[#All],2,0)/Table8[[#This Row],[Convrsion Rate]]</f>
        <v>0.36952170055507078</v>
      </c>
      <c r="N9" s="13">
        <f>VLOOKUP(L9,Table5[#All],3,0)</f>
        <v>678.02800000000002</v>
      </c>
      <c r="O9" s="13" t="str">
        <f>VLOOKUP(L9,Table5[#All],4,0)</f>
        <v>Developing Asia</v>
      </c>
      <c r="P9" s="13" t="s">
        <v>61</v>
      </c>
      <c r="Q9" s="31">
        <f>INDEX($F$4:$F$87,MATCH(Table8[[#This Row],[Local Currency]],$G$4:$G$87,0))</f>
        <v>81.827399999999997</v>
      </c>
    </row>
    <row r="10" spans="2:17" ht="15" customHeight="1" x14ac:dyDescent="0.25">
      <c r="B10" t="s">
        <v>30</v>
      </c>
      <c r="C10">
        <f>1/INDEX($F$4:$F$87,MATCH(tblXrate[[#This Row],[Currency]],$G$4:$G$87,0))</f>
        <v>0.98336152303032687</v>
      </c>
      <c r="E10" s="3" t="s">
        <v>2053</v>
      </c>
      <c r="F10" s="3">
        <v>1.53952</v>
      </c>
      <c r="G10" s="3" t="s">
        <v>2054</v>
      </c>
      <c r="I10" t="s">
        <v>18</v>
      </c>
      <c r="J10" t="s">
        <v>18</v>
      </c>
      <c r="L10" s="14" t="s">
        <v>21</v>
      </c>
      <c r="M10" s="39">
        <f>VLOOKUP(L10,Table5[#All],2,0)/Table8[[#This Row],[Convrsion Rate]]</f>
        <v>1.1344666990195058</v>
      </c>
      <c r="N10" s="13">
        <f>VLOOKUP(L10,Table5[#All],3,0)</f>
        <v>46878.36</v>
      </c>
      <c r="O10" s="13" t="str">
        <f>VLOOKUP(L10,Table5[#All],4,0)</f>
        <v>Euro Area</v>
      </c>
      <c r="P10" s="13" t="s">
        <v>9</v>
      </c>
      <c r="Q10" s="31">
        <f>INDEX($F$4:$F$87,MATCH(Table8[[#This Row],[Local Currency]],$G$4:$G$87,0))</f>
        <v>0.78715400000000002</v>
      </c>
    </row>
    <row r="11" spans="2:17" x14ac:dyDescent="0.25">
      <c r="B11" t="s">
        <v>2100</v>
      </c>
      <c r="C11">
        <f>1/INDEX($F$4:$F$87,MATCH(tblXrate[[#This Row],[Currency]],$G$4:$G$87,0))</f>
        <v>2.3705052257787702E-2</v>
      </c>
      <c r="E11" s="3" t="s">
        <v>2055</v>
      </c>
      <c r="F11" s="3">
        <v>1.01692</v>
      </c>
      <c r="G11" s="3" t="s">
        <v>30</v>
      </c>
      <c r="I11" t="s">
        <v>10</v>
      </c>
      <c r="J11" t="s">
        <v>10</v>
      </c>
      <c r="L11" s="14" t="s">
        <v>95</v>
      </c>
      <c r="M11" s="39">
        <f>VLOOKUP(L11,Table5[#All],2,0)/Table8[[#This Row],[Convrsion Rate]]</f>
        <v>0.32665732623366672</v>
      </c>
      <c r="N11" s="13">
        <f>VLOOKUP(L11,Table5[#All],3,0)</f>
        <v>2121.17</v>
      </c>
      <c r="O11" s="13" t="str">
        <f>VLOOKUP(L11,Table5[#All],4,0)</f>
        <v>Developing Asia</v>
      </c>
      <c r="P11" s="13" t="s">
        <v>2314</v>
      </c>
      <c r="Q11" s="31">
        <f>INDEX($F$4:$F$87,MATCH(Table8[[#This Row],[Local Currency]],$G$4:$G$87,0))</f>
        <v>56.885300000000001</v>
      </c>
    </row>
    <row r="12" spans="2:17" x14ac:dyDescent="0.25">
      <c r="B12" t="s">
        <v>54</v>
      </c>
      <c r="C12">
        <f>1/INDEX($F$4:$F$87,MATCH(tblXrate[[#This Row],[Currency]],$G$4:$G$87,0))</f>
        <v>0.27221921268759308</v>
      </c>
      <c r="E12" s="3" t="s">
        <v>2056</v>
      </c>
      <c r="F12" s="3">
        <v>497.26799999999997</v>
      </c>
      <c r="G12" s="3" t="s">
        <v>2057</v>
      </c>
      <c r="I12" t="s">
        <v>45</v>
      </c>
      <c r="J12" t="s">
        <v>45</v>
      </c>
      <c r="L12" s="14" t="s">
        <v>150</v>
      </c>
      <c r="M12" s="39">
        <f>VLOOKUP(L12,Table5[#All],2,0)/Table8[[#This Row],[Convrsion Rate]]</f>
        <v>0.47945402298850576</v>
      </c>
      <c r="N12" s="13">
        <f>VLOOKUP(L12,Table5[#All],3,0)</f>
        <v>2314.83</v>
      </c>
      <c r="O12" s="13" t="str">
        <f>VLOOKUP(L12,Table5[#All],4,0)</f>
        <v>Latin America and the Caribbean</v>
      </c>
      <c r="P12" s="13" t="s">
        <v>2316</v>
      </c>
      <c r="Q12" s="31">
        <f>INDEX($F$4:$F$87,MATCH(Table8[[#This Row],[Local Currency]],$G$4:$G$87,0))</f>
        <v>6.96</v>
      </c>
    </row>
    <row r="13" spans="2:17" ht="15" customHeight="1" x14ac:dyDescent="0.25">
      <c r="B13" t="s">
        <v>56</v>
      </c>
      <c r="C13">
        <f>1/INDEX($F$4:$F$87,MATCH(tblXrate[[#This Row],[Currency]],$G$4:$G$87,0))</f>
        <v>7.3046552567951561E-2</v>
      </c>
      <c r="E13" s="3" t="s">
        <v>2058</v>
      </c>
      <c r="F13" s="3">
        <v>6.3609099999999996</v>
      </c>
      <c r="G13" s="3" t="s">
        <v>2059</v>
      </c>
      <c r="I13" t="s">
        <v>40</v>
      </c>
      <c r="J13" t="s">
        <v>40</v>
      </c>
      <c r="L13" s="14" t="s">
        <v>40</v>
      </c>
      <c r="M13" s="39">
        <f>VLOOKUP(L13,Table5[#All],2,0)/Table8[[#This Row],[Convrsion Rate]]</f>
        <v>0.89267178741955566</v>
      </c>
      <c r="N13" s="13">
        <f>VLOOKUP(L13,Table5[#All],3,0)</f>
        <v>12788.56</v>
      </c>
      <c r="O13" s="13" t="str">
        <f>VLOOKUP(L13,Table5[#All],4,0)</f>
        <v>Latin America and the Caribbean</v>
      </c>
      <c r="P13" s="13" t="s">
        <v>2049</v>
      </c>
      <c r="Q13" s="31">
        <f>INDEX($F$4:$F$87,MATCH(Table8[[#This Row],[Local Currency]],$G$4:$G$87,0))</f>
        <v>2.0231400000000002</v>
      </c>
    </row>
    <row r="14" spans="2:17" x14ac:dyDescent="0.25">
      <c r="B14" t="s">
        <v>59</v>
      </c>
      <c r="C14">
        <f>1/INDEX($F$4:$F$87,MATCH(tblXrate[[#This Row],[Currency]],$G$4:$G$87,0))</f>
        <v>0.14365525038391866</v>
      </c>
      <c r="E14" s="3" t="s">
        <v>2060</v>
      </c>
      <c r="F14" s="3">
        <v>1769.79</v>
      </c>
      <c r="G14" s="3" t="s">
        <v>2061</v>
      </c>
      <c r="I14" t="s">
        <v>77</v>
      </c>
      <c r="J14" t="s">
        <v>77</v>
      </c>
      <c r="L14" s="14" t="s">
        <v>155</v>
      </c>
      <c r="M14" s="39">
        <f>VLOOKUP(L14,Table5[#All],2,0)/Table8[[#This Row],[Convrsion Rate]]</f>
        <v>0.48391706505923926</v>
      </c>
      <c r="N14" s="13">
        <f>VLOOKUP(L14,Table5[#All],3,0)</f>
        <v>7201.88</v>
      </c>
      <c r="O14" s="13" t="str">
        <f>VLOOKUP(L14,Table5[#All],4,0)</f>
        <v>Central and Eastern Europe</v>
      </c>
      <c r="P14" s="13" t="s">
        <v>2054</v>
      </c>
      <c r="Q14" s="31">
        <f>INDEX($F$4:$F$87,MATCH(Table8[[#This Row],[Local Currency]],$G$4:$G$87,0))</f>
        <v>1.53952</v>
      </c>
    </row>
    <row r="15" spans="2:17" x14ac:dyDescent="0.25">
      <c r="B15" t="s">
        <v>61</v>
      </c>
      <c r="C15">
        <f>1/INDEX($F$4:$F$87,MATCH(tblXrate[[#This Row],[Currency]],$G$4:$G$87,0))</f>
        <v>1.2220845340313881E-2</v>
      </c>
      <c r="E15" s="3" t="s">
        <v>2062</v>
      </c>
      <c r="F15" s="3">
        <v>5.9367099999999997</v>
      </c>
      <c r="G15" s="3" t="s">
        <v>2063</v>
      </c>
      <c r="I15" t="s">
        <v>44</v>
      </c>
      <c r="J15" t="s">
        <v>44</v>
      </c>
      <c r="L15" s="14" t="s">
        <v>91</v>
      </c>
      <c r="M15" s="39">
        <f>VLOOKUP(L15,Table5[#All],2,0)/Table8[[#This Row],[Convrsion Rate]]</f>
        <v>0.3787941534713764</v>
      </c>
      <c r="N15" s="13">
        <f>VLOOKUP(L15,Table5[#All],3,0)</f>
        <v>851.529</v>
      </c>
      <c r="O15" s="13" t="str">
        <f>VLOOKUP(L15,Table5[#All],4,0)</f>
        <v>Developing Asia</v>
      </c>
      <c r="P15" s="13" t="s">
        <v>2318</v>
      </c>
      <c r="Q15" s="31">
        <f>INDEX($F$4:$F$87,MATCH(Table8[[#This Row],[Local Currency]],$G$4:$G$87,0))</f>
        <v>4105</v>
      </c>
    </row>
    <row r="16" spans="2:17" ht="15" customHeight="1" x14ac:dyDescent="0.25">
      <c r="B16" t="s">
        <v>64</v>
      </c>
      <c r="C16">
        <f>1/INDEX($F$4:$F$87,MATCH(tblXrate[[#This Row],[Currency]],$G$4:$G$87,0))</f>
        <v>2.0078305391024996E-3</v>
      </c>
      <c r="E16" s="3" t="s">
        <v>2064</v>
      </c>
      <c r="F16" s="3">
        <v>5.8512300000000002</v>
      </c>
      <c r="G16" s="3" t="s">
        <v>132</v>
      </c>
      <c r="I16" t="s">
        <v>52</v>
      </c>
      <c r="J16" t="s">
        <v>52</v>
      </c>
      <c r="L16" s="14" t="s">
        <v>31</v>
      </c>
      <c r="M16" s="39">
        <f>VLOOKUP(L16,Table5[#All],2,0)/Table8[[#This Row],[Convrsion Rate]]</f>
        <v>1.2105180348503324</v>
      </c>
      <c r="N16" s="13">
        <f>VLOOKUP(L16,Table5[#All],3,0)</f>
        <v>50435.5</v>
      </c>
      <c r="O16" s="13" t="str">
        <f>VLOOKUP(L16,Table5[#All],4,0)</f>
        <v>Major Advanced Economies (G7)</v>
      </c>
      <c r="P16" s="13" t="s">
        <v>30</v>
      </c>
      <c r="Q16" s="31">
        <f>INDEX($F$4:$F$87,MATCH(Table8[[#This Row],[Local Currency]],$G$4:$G$87,0))</f>
        <v>1.01692</v>
      </c>
    </row>
    <row r="17" spans="2:17" ht="15" customHeight="1" x14ac:dyDescent="0.25">
      <c r="B17" t="s">
        <v>75</v>
      </c>
      <c r="C17">
        <f>1/INDEX($F$4:$F$87,MATCH(tblXrate[[#This Row],[Currency]],$G$4:$G$87,0))</f>
        <v>0.12192177986291114</v>
      </c>
      <c r="E17" s="3" t="s">
        <v>2065</v>
      </c>
      <c r="F17" s="3">
        <v>0.78715400000000002</v>
      </c>
      <c r="G17" s="3" t="s">
        <v>9</v>
      </c>
      <c r="I17" t="s">
        <v>12</v>
      </c>
      <c r="J17" t="s">
        <v>12</v>
      </c>
      <c r="L17" s="14" t="s">
        <v>86</v>
      </c>
      <c r="M17" s="39">
        <f>VLOOKUP(L17,Table5[#All],2,0)/Table8[[#This Row],[Convrsion Rate]]</f>
        <v>0.65603820836955729</v>
      </c>
      <c r="N17" s="13">
        <f>VLOOKUP(L17,Table5[#All],3,0)</f>
        <v>5413.57</v>
      </c>
      <c r="O17" s="13" t="str">
        <f>VLOOKUP(L17,Table5[#All],4,0)</f>
        <v>Developing Asia</v>
      </c>
      <c r="P17" s="13" t="s">
        <v>2059</v>
      </c>
      <c r="Q17" s="31">
        <f>INDEX($F$4:$F$87,MATCH(Table8[[#This Row],[Local Currency]],$G$4:$G$87,0))</f>
        <v>6.3609099999999996</v>
      </c>
    </row>
    <row r="18" spans="2:17" x14ac:dyDescent="0.25">
      <c r="B18" t="s">
        <v>83</v>
      </c>
      <c r="C18">
        <f>1/INDEX($F$4:$F$87,MATCH(tblXrate[[#This Row],[Currency]],$G$4:$G$87,0))</f>
        <v>0.79758809360493876</v>
      </c>
      <c r="E18" s="3" t="s">
        <v>2066</v>
      </c>
      <c r="F18" s="3">
        <v>7.7588900000000001</v>
      </c>
      <c r="G18" s="3" t="s">
        <v>2067</v>
      </c>
      <c r="I18" t="s">
        <v>76</v>
      </c>
      <c r="J18" t="s">
        <v>76</v>
      </c>
      <c r="L18" s="14" t="s">
        <v>46</v>
      </c>
      <c r="M18" s="39">
        <f>VLOOKUP(L18,Table5[#All],2,0)/Table8[[#This Row],[Convrsion Rate]]</f>
        <v>0.7389464286723284</v>
      </c>
      <c r="N18" s="13">
        <f>VLOOKUP(L18,Table5[#All],3,0)</f>
        <v>7131.61</v>
      </c>
      <c r="O18" s="13" t="str">
        <f>VLOOKUP(L18,Table5[#All],4,0)</f>
        <v>Latin America and the Caribbean</v>
      </c>
      <c r="P18" s="13" t="s">
        <v>2061</v>
      </c>
      <c r="Q18" s="31">
        <f>INDEX($F$4:$F$87,MATCH(Table8[[#This Row],[Local Currency]],$G$4:$G$87,0))</f>
        <v>1769.79</v>
      </c>
    </row>
    <row r="19" spans="2:17" ht="15" customHeight="1" x14ac:dyDescent="0.25">
      <c r="B19" t="s">
        <v>2059</v>
      </c>
      <c r="C19">
        <f>1/INDEX($F$4:$F$87,MATCH(tblXrate[[#This Row],[Currency]],$G$4:$G$87,0))</f>
        <v>0.15721021048875083</v>
      </c>
      <c r="E19" s="3" t="s">
        <v>2068</v>
      </c>
      <c r="F19" s="3">
        <v>225.874</v>
      </c>
      <c r="G19" s="3" t="s">
        <v>2069</v>
      </c>
      <c r="I19" t="s">
        <v>84</v>
      </c>
      <c r="J19" t="s">
        <v>84</v>
      </c>
      <c r="L19" s="14" t="s">
        <v>65</v>
      </c>
      <c r="M19" s="39">
        <f>VLOOKUP(L19,Table5[#All],2,0)/Table8[[#This Row],[Convrsion Rate]]</f>
        <v>0.75669310310209814</v>
      </c>
      <c r="N19" s="13">
        <f>VLOOKUP(L19,Table5[#All],3,0)</f>
        <v>8876.59</v>
      </c>
      <c r="O19" s="13" t="str">
        <f>VLOOKUP(L19,Table5[#All],4,0)</f>
        <v>Latin America and the Caribbean</v>
      </c>
      <c r="P19" s="13" t="s">
        <v>64</v>
      </c>
      <c r="Q19" s="31">
        <f>INDEX($F$4:$F$87,MATCH(Table8[[#This Row],[Local Currency]],$G$4:$G$87,0))</f>
        <v>498.05</v>
      </c>
    </row>
    <row r="20" spans="2:17" ht="15" customHeight="1" x14ac:dyDescent="0.25">
      <c r="B20" t="s">
        <v>93</v>
      </c>
      <c r="C20">
        <f>1/INDEX($F$4:$F$87,MATCH(tblXrate[[#This Row],[Currency]],$G$4:$G$87,0))</f>
        <v>0.16526194017517765</v>
      </c>
      <c r="E20" s="3" t="s">
        <v>2070</v>
      </c>
      <c r="F20" s="3">
        <v>124.697</v>
      </c>
      <c r="G20" s="3" t="s">
        <v>2071</v>
      </c>
      <c r="I20" t="s">
        <v>22</v>
      </c>
      <c r="J20" t="s">
        <v>22</v>
      </c>
      <c r="L20" s="14" t="s">
        <v>99</v>
      </c>
      <c r="M20" s="39">
        <f>VLOOKUP(L20,Table5[#All],2,0)/Table8[[#This Row],[Convrsion Rate]]</f>
        <v>5.3953864173973578</v>
      </c>
      <c r="N20" s="13">
        <f>VLOOKUP(L20,Table5[#All],3,0)</f>
        <v>14456.97</v>
      </c>
      <c r="O20" s="13" t="str">
        <f>VLOOKUP(L20,Table5[#All],4,0)</f>
        <v>Central and Eastern Europe</v>
      </c>
      <c r="P20" s="13" t="s">
        <v>9</v>
      </c>
      <c r="Q20" s="31">
        <f>INDEX($F$4:$F$87,MATCH(Table8[[#This Row],[Local Currency]],$G$4:$G$87,0))</f>
        <v>0.78715400000000002</v>
      </c>
    </row>
    <row r="21" spans="2:17" x14ac:dyDescent="0.25">
      <c r="B21" t="s">
        <v>2132</v>
      </c>
      <c r="C21">
        <f>1/INDEX($F$4:$F$87,MATCH(tblXrate[[#This Row],[Currency]],$G$4:$G$87,0))</f>
        <v>6.1633281972265025E-3</v>
      </c>
      <c r="E21" s="3" t="s">
        <v>2072</v>
      </c>
      <c r="F21" s="3">
        <v>56.154800000000002</v>
      </c>
      <c r="G21" s="3" t="s">
        <v>16</v>
      </c>
      <c r="I21" t="s">
        <v>38</v>
      </c>
      <c r="J21" t="s">
        <v>38</v>
      </c>
      <c r="L21" s="14" t="s">
        <v>110</v>
      </c>
      <c r="M21" s="39">
        <f>VLOOKUP(L21,Table5[#All],2,0)/Table8[[#This Row],[Convrsion Rate]]</f>
        <v>0.6448127496189392</v>
      </c>
      <c r="N21" s="13">
        <f>VLOOKUP(L21,Table5[#All],3,0)</f>
        <v>20443.97</v>
      </c>
      <c r="O21" s="13" t="str">
        <f>VLOOKUP(L21,Table5[#All],4,0)</f>
        <v>Other Advanced Economies</v>
      </c>
      <c r="P21" s="13" t="s">
        <v>2320</v>
      </c>
      <c r="Q21" s="31">
        <f>INDEX($F$4:$F$87,MATCH(Table8[[#This Row],[Local Currency]],$G$4:$G$87,0))</f>
        <v>20.7316</v>
      </c>
    </row>
    <row r="22" spans="2:17" ht="15" customHeight="1" x14ac:dyDescent="0.25">
      <c r="B22" t="s">
        <v>54</v>
      </c>
      <c r="C22">
        <f>1/INDEX($F$4:$F$87,MATCH(tblXrate[[#This Row],[Currency]],$G$4:$G$87,0))</f>
        <v>0.27221921268759308</v>
      </c>
      <c r="E22" s="3" t="s">
        <v>2073</v>
      </c>
      <c r="F22" s="3">
        <v>9443.81</v>
      </c>
      <c r="G22" s="3" t="s">
        <v>135</v>
      </c>
      <c r="I22" t="s">
        <v>42</v>
      </c>
      <c r="J22" t="s">
        <v>42</v>
      </c>
      <c r="L22" s="14" t="s">
        <v>97</v>
      </c>
      <c r="M22" s="39">
        <f>VLOOKUP(L22,Table5[#All],2,0)/Table8[[#This Row],[Convrsion Rate]]</f>
        <v>1.4800306944010062</v>
      </c>
      <c r="N22" s="13">
        <f>VLOOKUP(L22,Table5[#All],3,0)</f>
        <v>59928.1</v>
      </c>
      <c r="O22" s="13" t="str">
        <f>VLOOKUP(L22,Table5[#All],4,0)</f>
        <v>Other Advanced Economies</v>
      </c>
      <c r="P22" s="13" t="s">
        <v>132</v>
      </c>
      <c r="Q22" s="31">
        <f>INDEX($F$4:$F$87,MATCH(Table8[[#This Row],[Local Currency]],$G$4:$G$87,0))</f>
        <v>5.8512300000000002</v>
      </c>
    </row>
    <row r="23" spans="2:17" ht="15" customHeight="1" x14ac:dyDescent="0.25">
      <c r="B23" t="s">
        <v>2049</v>
      </c>
      <c r="C23">
        <f>1/INDEX($F$4:$F$87,MATCH(tblXrate[[#This Row],[Currency]],$G$4:$G$87,0))</f>
        <v>0.49428116689897877</v>
      </c>
      <c r="E23" s="3" t="s">
        <v>2074</v>
      </c>
      <c r="F23" s="3">
        <v>3.86721</v>
      </c>
      <c r="G23" s="3" t="s">
        <v>2075</v>
      </c>
      <c r="I23" t="s">
        <v>88</v>
      </c>
      <c r="J23" t="s">
        <v>88</v>
      </c>
      <c r="L23" s="14" t="s">
        <v>68</v>
      </c>
      <c r="M23" s="39">
        <f>VLOOKUP(L23,Table5[#All],2,0)/Table8[[#This Row],[Convrsion Rate]]</f>
        <v>0.59255455712451854</v>
      </c>
      <c r="N23" s="13">
        <f>VLOOKUP(L23,Table5[#All],3,0)</f>
        <v>5638.69</v>
      </c>
      <c r="O23" s="13" t="str">
        <f>VLOOKUP(L23,Table5[#All],4,0)</f>
        <v>Latin America and the Caribbean</v>
      </c>
      <c r="P23" s="13" t="s">
        <v>2134</v>
      </c>
      <c r="Q23" s="31">
        <f>INDEX($F$4:$F$87,MATCH(Table8[[#This Row],[Local Currency]],$G$4:$G$87,0))</f>
        <v>38.950000000000003</v>
      </c>
    </row>
    <row r="24" spans="2:17" ht="15" customHeight="1" x14ac:dyDescent="0.25">
      <c r="B24" t="s">
        <v>101</v>
      </c>
      <c r="C24">
        <f>1/INDEX($F$4:$F$87,MATCH(tblXrate[[#This Row],[Currency]],$G$4:$G$87,0))</f>
        <v>0.28461323906942854</v>
      </c>
      <c r="E24" s="3" t="s">
        <v>2076</v>
      </c>
      <c r="F24" s="3">
        <v>78.904300000000006</v>
      </c>
      <c r="G24" s="3" t="s">
        <v>145</v>
      </c>
      <c r="I24" t="s">
        <v>74</v>
      </c>
      <c r="J24" t="s">
        <v>74</v>
      </c>
      <c r="L24" s="14" t="s">
        <v>94</v>
      </c>
      <c r="M24" s="39">
        <f>VLOOKUP(L24,Table5[#All],2,0)/Table8[[#This Row],[Convrsion Rate]]</f>
        <v>0.43678730788299452</v>
      </c>
      <c r="N24" s="13">
        <f>VLOOKUP(L24,Table5[#All],3,0)</f>
        <v>2970.4</v>
      </c>
      <c r="O24" s="13" t="str">
        <f>VLOOKUP(L24,Table5[#All],4,0)</f>
        <v>Middle East and North Africa</v>
      </c>
      <c r="P24" s="13" t="s">
        <v>93</v>
      </c>
      <c r="Q24" s="31">
        <f>INDEX($F$4:$F$87,MATCH(Table8[[#This Row],[Local Currency]],$G$4:$G$87,0))</f>
        <v>6.0510000000000002</v>
      </c>
    </row>
    <row r="25" spans="2:17" x14ac:dyDescent="0.25">
      <c r="B25" t="s">
        <v>2088</v>
      </c>
      <c r="C25">
        <f>1/INDEX($F$4:$F$87,MATCH(tblXrate[[#This Row],[Currency]],$G$4:$G$87,0))</f>
        <v>0.31680056770661735</v>
      </c>
      <c r="E25" s="3" t="s">
        <v>2077</v>
      </c>
      <c r="F25" s="3">
        <v>148.88</v>
      </c>
      <c r="G25" s="3" t="s">
        <v>2078</v>
      </c>
      <c r="I25" t="s">
        <v>116</v>
      </c>
      <c r="J25" t="s">
        <v>116</v>
      </c>
      <c r="L25" s="14" t="s">
        <v>72</v>
      </c>
      <c r="M25" s="39">
        <f>VLOOKUP(L25,Table5[#All],2,0)/Table8[[#This Row],[Convrsion Rate]]</f>
        <v>0.74318367181009048</v>
      </c>
      <c r="N25" s="13">
        <f>VLOOKUP(L25,Table5[#All],3,0)</f>
        <v>16583.39</v>
      </c>
      <c r="O25" s="13" t="str">
        <f>VLOOKUP(L25,Table5[#All],4,0)</f>
        <v>Euro Area</v>
      </c>
      <c r="P25" s="13" t="s">
        <v>9</v>
      </c>
      <c r="Q25" s="31">
        <f>INDEX($F$4:$F$87,MATCH(Table8[[#This Row],[Local Currency]],$G$4:$G$87,0))</f>
        <v>0.78715400000000002</v>
      </c>
    </row>
    <row r="26" spans="2:17" ht="15" customHeight="1" x14ac:dyDescent="0.25">
      <c r="B26" t="s">
        <v>120</v>
      </c>
      <c r="C26">
        <f>1/INDEX($F$4:$F$87,MATCH(tblXrate[[#This Row],[Currency]],$G$4:$G$87,0))</f>
        <v>7.5240581760178168E-3</v>
      </c>
      <c r="E26" s="3" t="s">
        <v>2079</v>
      </c>
      <c r="F26" s="3">
        <v>0.27939999999999998</v>
      </c>
      <c r="G26" s="3" t="s">
        <v>2080</v>
      </c>
      <c r="I26" t="s">
        <v>32</v>
      </c>
      <c r="J26" t="s">
        <v>77</v>
      </c>
      <c r="L26" s="14" t="s">
        <v>172</v>
      </c>
      <c r="M26" s="39">
        <f>VLOOKUP(L26,Table5[#All],2,0)/Table8[[#This Row],[Convrsion Rate]]</f>
        <v>0.30033936651583709</v>
      </c>
      <c r="N26" s="13">
        <f>VLOOKUP(L26,Table5[#All],3,0)</f>
        <v>359.94600000000003</v>
      </c>
      <c r="O26" s="13" t="str">
        <f>VLOOKUP(L26,Table5[#All],4,0)</f>
        <v>Sub-Saharan Africa</v>
      </c>
      <c r="P26" s="13" t="s">
        <v>171</v>
      </c>
      <c r="Q26" s="31">
        <f>INDEX($F$4:$F$87,MATCH(Table8[[#This Row],[Local Currency]],$G$4:$G$87,0))</f>
        <v>17.68</v>
      </c>
    </row>
    <row r="27" spans="2:17" ht="15" customHeight="1" x14ac:dyDescent="0.25">
      <c r="B27" t="s">
        <v>122</v>
      </c>
      <c r="C27">
        <f>1/INDEX($F$4:$F$87,MATCH(tblXrate[[#This Row],[Currency]],$G$4:$G$87,0))</f>
        <v>0.78882394238429931</v>
      </c>
      <c r="E27" s="3" t="s">
        <v>2081</v>
      </c>
      <c r="F27" s="3">
        <v>0.548489</v>
      </c>
      <c r="G27" s="3" t="s">
        <v>2082</v>
      </c>
      <c r="I27" t="s">
        <v>26</v>
      </c>
      <c r="J27" t="s">
        <v>26</v>
      </c>
      <c r="L27" s="14" t="s">
        <v>67</v>
      </c>
      <c r="M27" s="39">
        <f>VLOOKUP(L27,Table5[#All],2,0)/Table8[[#This Row],[Convrsion Rate]]</f>
        <v>1.2437210507727838</v>
      </c>
      <c r="N27" s="13">
        <f>VLOOKUP(L27,Table5[#All],3,0)</f>
        <v>49349.52</v>
      </c>
      <c r="O27" s="13" t="str">
        <f>VLOOKUP(L27,Table5[#All],4,0)</f>
        <v>Euro Area</v>
      </c>
      <c r="P27" s="13" t="s">
        <v>9</v>
      </c>
      <c r="Q27" s="31">
        <f>INDEX($F$4:$F$87,MATCH(Table8[[#This Row],[Local Currency]],$G$4:$G$87,0))</f>
        <v>0.78715400000000002</v>
      </c>
    </row>
    <row r="28" spans="2:17" ht="15" customHeight="1" x14ac:dyDescent="0.25">
      <c r="B28" t="s">
        <v>24</v>
      </c>
      <c r="C28">
        <f>1/INDEX($F$4:$F$87,MATCH(tblXrate[[#This Row],[Currency]],$G$4:$G$87,0))</f>
        <v>1.5761782720672841</v>
      </c>
      <c r="E28" s="3" t="s">
        <v>2083</v>
      </c>
      <c r="F28" s="3">
        <v>1.9323999999999999</v>
      </c>
      <c r="G28" s="3" t="s">
        <v>2084</v>
      </c>
      <c r="I28" t="s">
        <v>27</v>
      </c>
      <c r="J28" t="s">
        <v>27</v>
      </c>
      <c r="L28" s="14" t="s">
        <v>33</v>
      </c>
      <c r="M28" s="39">
        <f>VLOOKUP(L28,Table5[#All],2,0)/Table8[[#This Row],[Convrsion Rate]]</f>
        <v>1.1433594950924471</v>
      </c>
      <c r="N28" s="13">
        <f>VLOOKUP(L28,Table5[#All],3,0)</f>
        <v>44008.18</v>
      </c>
      <c r="O28" s="13" t="str">
        <f>VLOOKUP(L28,Table5[#All],4,0)</f>
        <v>Major Advanced Economies (G7)</v>
      </c>
      <c r="P28" s="13" t="s">
        <v>9</v>
      </c>
      <c r="Q28" s="31">
        <f>INDEX($F$4:$F$87,MATCH(Table8[[#This Row],[Local Currency]],$G$4:$G$87,0))</f>
        <v>0.78715400000000002</v>
      </c>
    </row>
    <row r="29" spans="2:17" ht="15" customHeight="1" x14ac:dyDescent="0.25">
      <c r="B29" t="s">
        <v>2134</v>
      </c>
      <c r="C29">
        <f>1/INDEX($F$4:$F$87,MATCH(tblXrate[[#This Row],[Currency]],$G$4:$G$87,0))</f>
        <v>2.5673940949935813E-2</v>
      </c>
      <c r="E29" s="3" t="s">
        <v>2085</v>
      </c>
      <c r="F29" s="3">
        <v>2.7178800000000001</v>
      </c>
      <c r="G29" s="3" t="s">
        <v>2086</v>
      </c>
      <c r="I29" t="s">
        <v>98</v>
      </c>
      <c r="J29" t="s">
        <v>98</v>
      </c>
      <c r="L29" s="14" t="s">
        <v>10</v>
      </c>
      <c r="M29" s="39">
        <f>VLOOKUP(L29,Table5[#All],2,0)/Table8[[#This Row],[Convrsion Rate]]</f>
        <v>1.0544315343630344</v>
      </c>
      <c r="N29" s="13">
        <f>VLOOKUP(L29,Table5[#All],3,0)</f>
        <v>43741.55</v>
      </c>
      <c r="O29" s="13" t="str">
        <f>VLOOKUP(L29,Table5[#All],4,0)</f>
        <v>Major Advanced Economies (G7)</v>
      </c>
      <c r="P29" s="13" t="s">
        <v>9</v>
      </c>
      <c r="Q29" s="31">
        <f>INDEX($F$4:$F$87,MATCH(Table8[[#This Row],[Local Currency]],$G$4:$G$87,0))</f>
        <v>0.78715400000000002</v>
      </c>
    </row>
    <row r="30" spans="2:17" x14ac:dyDescent="0.25">
      <c r="B30" t="s">
        <v>128</v>
      </c>
      <c r="C30">
        <f>1/INDEX($F$4:$F$87,MATCH(tblXrate[[#This Row],[Currency]],$G$4:$G$87,0))</f>
        <v>0.30031472983686902</v>
      </c>
      <c r="E30" s="3" t="s">
        <v>2087</v>
      </c>
      <c r="F30" s="3">
        <v>3.1565599999999998</v>
      </c>
      <c r="G30" s="3" t="s">
        <v>2088</v>
      </c>
      <c r="I30" t="s">
        <v>15</v>
      </c>
      <c r="J30" t="s">
        <v>15</v>
      </c>
      <c r="L30" s="14" t="s">
        <v>143</v>
      </c>
      <c r="M30" s="39">
        <f>VLOOKUP(L30,Table5[#All],2,0)/Table8[[#This Row],[Convrsion Rate]]</f>
        <v>0.39596273291925466</v>
      </c>
      <c r="N30" s="13">
        <f>VLOOKUP(L30,Table5[#All],3,0)</f>
        <v>1528.86</v>
      </c>
      <c r="O30" s="13" t="str">
        <f>VLOOKUP(L30,Table5[#All],4,0)</f>
        <v>Sub-Saharan Africa</v>
      </c>
      <c r="P30" s="13" t="s">
        <v>2324</v>
      </c>
      <c r="Q30" s="31">
        <f>INDEX($F$4:$F$87,MATCH(Table8[[#This Row],[Local Currency]],$G$4:$G$87,0))</f>
        <v>1.9319999999999999</v>
      </c>
    </row>
    <row r="31" spans="2:17" ht="15" customHeight="1" x14ac:dyDescent="0.25">
      <c r="B31" t="s">
        <v>129</v>
      </c>
      <c r="C31">
        <f>1/INDEX($F$4:$F$87,MATCH(tblXrate[[#This Row],[Currency]],$G$4:$G$87,0))</f>
        <v>1.1976047904191617E-2</v>
      </c>
      <c r="E31" s="3" t="s">
        <v>2089</v>
      </c>
      <c r="F31" s="3">
        <v>30.715900000000001</v>
      </c>
      <c r="G31" s="3" t="s">
        <v>2090</v>
      </c>
      <c r="I31" t="s">
        <v>97</v>
      </c>
      <c r="J31" t="s">
        <v>97</v>
      </c>
      <c r="L31" s="14" t="s">
        <v>43</v>
      </c>
      <c r="M31" s="39">
        <f>VLOOKUP(L31,Table5[#All],2,0)/Table8[[#This Row],[Convrsion Rate]]</f>
        <v>0.94009558485378975</v>
      </c>
      <c r="N31" s="13">
        <f>VLOOKUP(L31,Table5[#All],3,0)</f>
        <v>27073.41</v>
      </c>
      <c r="O31" s="13" t="str">
        <f>VLOOKUP(L31,Table5[#All],4,0)</f>
        <v>Euro Area</v>
      </c>
      <c r="P31" s="13" t="s">
        <v>9</v>
      </c>
      <c r="Q31" s="31">
        <f>INDEX($F$4:$F$87,MATCH(Table8[[#This Row],[Local Currency]],$G$4:$G$87,0))</f>
        <v>0.78715400000000002</v>
      </c>
    </row>
    <row r="32" spans="2:17" x14ac:dyDescent="0.25">
      <c r="B32" t="s">
        <v>132</v>
      </c>
      <c r="C32">
        <f>1/INDEX($F$4:$F$87,MATCH(tblXrate[[#This Row],[Currency]],$G$4:$G$87,0))</f>
        <v>0.17090423722875361</v>
      </c>
      <c r="E32" s="3" t="s">
        <v>2091</v>
      </c>
      <c r="F32" s="3">
        <v>13.6899</v>
      </c>
      <c r="G32" s="3" t="s">
        <v>56</v>
      </c>
      <c r="I32" t="s">
        <v>14</v>
      </c>
      <c r="J32" t="s">
        <v>14</v>
      </c>
      <c r="L32" s="14" t="s">
        <v>85</v>
      </c>
      <c r="M32" s="39">
        <f>VLOOKUP(L32,Table5[#All],2,0)/Table8[[#This Row],[Convrsion Rate]]</f>
        <v>0.43627768101517794</v>
      </c>
      <c r="N32" s="13">
        <f>VLOOKUP(L32,Table5[#All],3,0)</f>
        <v>3202.22</v>
      </c>
      <c r="O32" s="13" t="str">
        <f>VLOOKUP(L32,Table5[#All],4,0)</f>
        <v>Latin America and the Caribbean</v>
      </c>
      <c r="P32" s="13" t="s">
        <v>2326</v>
      </c>
      <c r="Q32" s="31">
        <f>INDEX($F$4:$F$87,MATCH(Table8[[#This Row],[Local Currency]],$G$4:$G$87,0))</f>
        <v>200.95</v>
      </c>
    </row>
    <row r="33" spans="2:17" x14ac:dyDescent="0.25">
      <c r="B33" t="s">
        <v>135</v>
      </c>
      <c r="C33">
        <f>1/INDEX($F$4:$F$87,MATCH(tblXrate[[#This Row],[Currency]],$G$4:$G$87,0))</f>
        <v>1.0588946622178973E-4</v>
      </c>
      <c r="E33" s="3" t="s">
        <v>2092</v>
      </c>
      <c r="F33" s="3">
        <v>89.65</v>
      </c>
      <c r="G33" s="3" t="s">
        <v>2093</v>
      </c>
      <c r="I33" t="s">
        <v>57</v>
      </c>
      <c r="J33" t="s">
        <v>57</v>
      </c>
      <c r="L33" s="14" t="s">
        <v>167</v>
      </c>
      <c r="M33" s="39">
        <f>VLOOKUP(L33,Table5[#All],2,0)/Table8[[#This Row],[Convrsion Rate]]</f>
        <v>0.69520253541421517</v>
      </c>
      <c r="N33" s="13">
        <f>VLOOKUP(L33,Table5[#All],3,0)</f>
        <v>34048.92</v>
      </c>
      <c r="O33" s="13" t="str">
        <f>VLOOKUP(L33,Table5[#All],4,0)</f>
        <v>Newly Industrialized Asian Economies</v>
      </c>
      <c r="P33" s="13" t="s">
        <v>2067</v>
      </c>
      <c r="Q33" s="31">
        <f>INDEX($F$4:$F$87,MATCH(Table8[[#This Row],[Local Currency]],$G$4:$G$87,0))</f>
        <v>7.7588900000000001</v>
      </c>
    </row>
    <row r="34" spans="2:17" ht="15" customHeight="1" x14ac:dyDescent="0.25">
      <c r="B34" t="s">
        <v>136</v>
      </c>
      <c r="C34">
        <f>1/INDEX($F$4:$F$87,MATCH(tblXrate[[#This Row],[Currency]],$G$4:$G$87,0))</f>
        <v>7.5642965204236008E-4</v>
      </c>
      <c r="E34" s="3" t="s">
        <v>2094</v>
      </c>
      <c r="F34" s="3">
        <v>1.2537799999999999</v>
      </c>
      <c r="G34" s="3" t="s">
        <v>83</v>
      </c>
      <c r="I34" t="s">
        <v>33</v>
      </c>
      <c r="J34" t="s">
        <v>33</v>
      </c>
      <c r="L34" s="14" t="s">
        <v>15</v>
      </c>
      <c r="M34" s="39">
        <f>VLOOKUP(L34,Table5[#All],2,0)/Table8[[#This Row],[Convrsion Rate]]</f>
        <v>182.82191286584327</v>
      </c>
      <c r="N34" s="13">
        <f>VLOOKUP(L34,Table5[#All],3,0)</f>
        <v>14050.01</v>
      </c>
      <c r="O34" s="13" t="str">
        <f>VLOOKUP(L34,Table5[#All],4,0)</f>
        <v>Central and Eastern Europe</v>
      </c>
      <c r="P34" s="13" t="s">
        <v>9</v>
      </c>
      <c r="Q34" s="31">
        <f>INDEX($F$4:$F$87,MATCH(Table8[[#This Row],[Local Currency]],$G$4:$G$87,0))</f>
        <v>0.78715400000000002</v>
      </c>
    </row>
    <row r="35" spans="2:17" x14ac:dyDescent="0.25">
      <c r="B35" t="s">
        <v>145</v>
      </c>
      <c r="C35">
        <f>1/INDEX($F$4:$F$87,MATCH(tblXrate[[#This Row],[Currency]],$G$4:$G$87,0))</f>
        <v>1.2673580527296991E-2</v>
      </c>
      <c r="E35" s="3" t="s">
        <v>2095</v>
      </c>
      <c r="F35" s="3">
        <v>5.9083800000000002</v>
      </c>
      <c r="G35" s="3" t="s">
        <v>164</v>
      </c>
      <c r="I35" t="s">
        <v>46</v>
      </c>
      <c r="J35" t="s">
        <v>46</v>
      </c>
      <c r="L35" s="14" t="s">
        <v>8</v>
      </c>
      <c r="M35" s="39">
        <f>VLOOKUP(L35,Table5[#All],2,0)/Table8[[#This Row],[Convrsion Rate]]</f>
        <v>1.0534736200550134</v>
      </c>
      <c r="N35" s="13">
        <f>VLOOKUP(L35,Table5[#All],3,0)</f>
        <v>43088.2</v>
      </c>
      <c r="O35" s="13" t="str">
        <f>VLOOKUP(L35,Table5[#All],4,0)</f>
        <v>Other Advanced Economies</v>
      </c>
      <c r="P35" s="13" t="s">
        <v>2071</v>
      </c>
      <c r="Q35" s="31">
        <f>INDEX($F$4:$F$87,MATCH(Table8[[#This Row],[Local Currency]],$G$4:$G$87,0))</f>
        <v>124.697</v>
      </c>
    </row>
    <row r="36" spans="2:17" ht="15" customHeight="1" x14ac:dyDescent="0.25">
      <c r="B36" t="s">
        <v>2107</v>
      </c>
      <c r="C36">
        <f>1/INDEX($F$4:$F$87,MATCH(tblXrate[[#This Row],[Currency]],$G$4:$G$87,0))</f>
        <v>0.26666666666666666</v>
      </c>
      <c r="E36" s="3" t="s">
        <v>2096</v>
      </c>
      <c r="F36" s="3">
        <v>0.38450000000000001</v>
      </c>
      <c r="G36" s="3" t="s">
        <v>2097</v>
      </c>
      <c r="I36" t="s">
        <v>17</v>
      </c>
      <c r="J36" t="s">
        <v>17</v>
      </c>
      <c r="L36" s="14" t="s">
        <v>3</v>
      </c>
      <c r="M36" s="39">
        <f>VLOOKUP(L36,Table5[#All],2,0)/Table8[[#This Row],[Convrsion Rate]]</f>
        <v>0.34064763831408895</v>
      </c>
      <c r="N36" s="13">
        <f>VLOOKUP(L36,Table5[#All],3,0)</f>
        <v>1388.78</v>
      </c>
      <c r="O36" s="13" t="str">
        <f>VLOOKUP(L36,Table5[#All],4,0)</f>
        <v>Developing Asia</v>
      </c>
      <c r="P36" s="13" t="s">
        <v>16</v>
      </c>
      <c r="Q36" s="31">
        <f>INDEX($F$4:$F$87,MATCH(Table8[[#This Row],[Local Currency]],$G$4:$G$87,0))</f>
        <v>56.154800000000002</v>
      </c>
    </row>
    <row r="37" spans="2:17" ht="15" customHeight="1" x14ac:dyDescent="0.25">
      <c r="B37" t="s">
        <v>157</v>
      </c>
      <c r="C37">
        <f>1/INDEX($F$4:$F$87,MATCH(tblXrate[[#This Row],[Currency]],$G$4:$G$87,0))</f>
        <v>0.11454753722794959</v>
      </c>
      <c r="E37" s="3" t="s">
        <v>2098</v>
      </c>
      <c r="F37" s="3">
        <v>94.214399999999998</v>
      </c>
      <c r="G37" s="3" t="s">
        <v>13</v>
      </c>
      <c r="I37" t="s">
        <v>87</v>
      </c>
      <c r="J37" t="s">
        <v>87</v>
      </c>
      <c r="L37" s="14" t="s">
        <v>88</v>
      </c>
      <c r="M37" s="39">
        <f>VLOOKUP(L37,Table5[#All],2,0)/Table8[[#This Row],[Convrsion Rate]]</f>
        <v>0.69928450487673943</v>
      </c>
      <c r="N37" s="13">
        <f>VLOOKUP(L37,Table5[#All],3,0)</f>
        <v>3508.61</v>
      </c>
      <c r="O37" s="13" t="str">
        <f>VLOOKUP(L37,Table5[#All],4,0)</f>
        <v>Developing Asia</v>
      </c>
      <c r="P37" s="13" t="s">
        <v>135</v>
      </c>
      <c r="Q37" s="31">
        <f>INDEX($F$4:$F$87,MATCH(Table8[[#This Row],[Local Currency]],$G$4:$G$87,0))</f>
        <v>9443.81</v>
      </c>
    </row>
    <row r="38" spans="2:17" ht="15" customHeight="1" x14ac:dyDescent="0.25">
      <c r="B38" t="s">
        <v>2090</v>
      </c>
      <c r="C38">
        <f>1/INDEX($F$4:$F$87,MATCH(tblXrate[[#This Row],[Currency]],$G$4:$G$87,0))</f>
        <v>3.2556428429575561E-2</v>
      </c>
      <c r="E38" s="3" t="s">
        <v>2099</v>
      </c>
      <c r="F38" s="3">
        <v>42.185099999999998</v>
      </c>
      <c r="G38" s="3" t="s">
        <v>2100</v>
      </c>
      <c r="I38" t="s">
        <v>21</v>
      </c>
      <c r="J38" t="s">
        <v>21</v>
      </c>
      <c r="L38" s="14" t="s">
        <v>14</v>
      </c>
      <c r="M38" s="39">
        <f>VLOOKUP(L38,Table5[#All],2,0)/Table8[[#This Row],[Convrsion Rate]]</f>
        <v>1.0938139169717742</v>
      </c>
      <c r="N38" s="13">
        <f>VLOOKUP(L38,Table5[#All],3,0)</f>
        <v>47512.83</v>
      </c>
      <c r="O38" s="13" t="str">
        <f>VLOOKUP(L38,Table5[#All],4,0)</f>
        <v>Euro Area</v>
      </c>
      <c r="P38" s="13" t="s">
        <v>9</v>
      </c>
      <c r="Q38" s="31">
        <f>INDEX($F$4:$F$87,MATCH(Table8[[#This Row],[Local Currency]],$G$4:$G$87,0))</f>
        <v>0.78715400000000002</v>
      </c>
    </row>
    <row r="39" spans="2:17" x14ac:dyDescent="0.25">
      <c r="B39" t="s">
        <v>164</v>
      </c>
      <c r="C39">
        <f>1/INDEX($F$4:$F$87,MATCH(tblXrate[[#This Row],[Currency]],$G$4:$G$87,0))</f>
        <v>0.16925113144381371</v>
      </c>
      <c r="E39" s="3" t="s">
        <v>2101</v>
      </c>
      <c r="F39" s="3">
        <v>3.64</v>
      </c>
      <c r="G39" s="3" t="s">
        <v>2102</v>
      </c>
      <c r="I39" t="s">
        <v>55</v>
      </c>
      <c r="J39" t="s">
        <v>45</v>
      </c>
      <c r="L39" s="14" t="s">
        <v>2220</v>
      </c>
      <c r="M39" s="39">
        <f>VLOOKUP(L39,Table5[#All],2,0)/Table8[[#This Row],[Convrsion Rate]]</f>
        <v>0.44990367346938775</v>
      </c>
      <c r="N39" s="13">
        <f>VLOOKUP(L39,Table5[#All],3,0)</f>
        <v>6359.76</v>
      </c>
      <c r="O39" s="13" t="str">
        <f>VLOOKUP(L39,Table5[#All],4,0)</f>
        <v>Middle East and North Africa</v>
      </c>
      <c r="P39" s="13" t="s">
        <v>2366</v>
      </c>
      <c r="Q39" s="31">
        <f>INDEX($F$4:$F$87,MATCH(Table8[[#This Row],[Local Currency]],$G$4:$G$87,0))</f>
        <v>12250</v>
      </c>
    </row>
    <row r="40" spans="2:17" ht="15" customHeight="1" x14ac:dyDescent="0.25">
      <c r="B40" t="s">
        <v>166</v>
      </c>
      <c r="C40">
        <f>1/INDEX($F$4:$F$87,MATCH(tblXrate[[#This Row],[Currency]],$G$4:$G$87,0))</f>
        <v>1.0578730615798488</v>
      </c>
      <c r="E40" s="3" t="s">
        <v>2103</v>
      </c>
      <c r="F40" s="3">
        <v>3.5135399999999999</v>
      </c>
      <c r="G40" s="3" t="s">
        <v>101</v>
      </c>
      <c r="I40" t="s">
        <v>11</v>
      </c>
      <c r="J40" t="s">
        <v>11</v>
      </c>
      <c r="L40" s="14" t="s">
        <v>57</v>
      </c>
      <c r="M40" s="39">
        <f>VLOOKUP(L40,Table5[#All],2,0)/Table8[[#This Row],[Convrsion Rate]]</f>
        <v>0.9554691883812878</v>
      </c>
      <c r="N40" s="13">
        <f>VLOOKUP(L40,Table5[#All],3,0)</f>
        <v>31985.73</v>
      </c>
      <c r="O40" s="13" t="str">
        <f>VLOOKUP(L40,Table5[#All],4,0)</f>
        <v>Other Advanced Economies</v>
      </c>
      <c r="P40" s="13" t="s">
        <v>2075</v>
      </c>
      <c r="Q40" s="31">
        <f>INDEX($F$4:$F$87,MATCH(Table8[[#This Row],[Local Currency]],$G$4:$G$87,0))</f>
        <v>3.86721</v>
      </c>
    </row>
    <row r="41" spans="2:17" ht="15" customHeight="1" x14ac:dyDescent="0.25">
      <c r="B41" t="s">
        <v>171</v>
      </c>
      <c r="C41">
        <f>1/INDEX($F$4:$F$87,MATCH(tblXrate[[#This Row],[Currency]],$G$4:$G$87,0))</f>
        <v>5.6561085972850679E-2</v>
      </c>
      <c r="E41" s="3" t="s">
        <v>2104</v>
      </c>
      <c r="F41" s="3">
        <v>32.5458</v>
      </c>
      <c r="G41" s="3" t="s">
        <v>2105</v>
      </c>
      <c r="I41" t="s">
        <v>123</v>
      </c>
      <c r="J41" t="s">
        <v>123</v>
      </c>
      <c r="L41" s="14" t="s">
        <v>98</v>
      </c>
      <c r="M41" s="39">
        <f>VLOOKUP(L41,Table5[#All],2,0)/Table8[[#This Row],[Convrsion Rate]]</f>
        <v>1.0874619197768163</v>
      </c>
      <c r="N41" s="13">
        <f>VLOOKUP(L41,Table5[#All],3,0)</f>
        <v>36266.85</v>
      </c>
      <c r="O41" s="13" t="str">
        <f>VLOOKUP(L41,Table5[#All],4,0)</f>
        <v>Major Advanced Economies (G7)</v>
      </c>
      <c r="P41" s="13" t="s">
        <v>9</v>
      </c>
      <c r="Q41" s="31">
        <f>INDEX($F$4:$F$87,MATCH(Table8[[#This Row],[Local Currency]],$G$4:$G$87,0))</f>
        <v>0.78715400000000002</v>
      </c>
    </row>
    <row r="42" spans="2:17" ht="15" customHeight="1" x14ac:dyDescent="0.25">
      <c r="B42" s="3" t="s">
        <v>2308</v>
      </c>
      <c r="C42">
        <f>1/INDEX($F$4:$F$87,MATCH(tblXrate[[#This Row],[Currency]],$G$4:$G$87,0))</f>
        <v>9.0350560173473073E-3</v>
      </c>
      <c r="E42" s="3" t="s">
        <v>2106</v>
      </c>
      <c r="F42" s="3">
        <v>3.75</v>
      </c>
      <c r="G42" s="3" t="s">
        <v>2107</v>
      </c>
      <c r="I42" t="s">
        <v>66</v>
      </c>
      <c r="J42" t="s">
        <v>2220</v>
      </c>
      <c r="L42" s="14" t="s">
        <v>81</v>
      </c>
      <c r="M42" s="39">
        <f>VLOOKUP(L42,Table5[#All],2,0)/Table8[[#This Row],[Convrsion Rate]]</f>
        <v>1.3369613569856142</v>
      </c>
      <c r="N42" s="13">
        <f>VLOOKUP(L42,Table5[#All],3,0)</f>
        <v>45920.3</v>
      </c>
      <c r="O42" s="13" t="str">
        <f>VLOOKUP(L42,Table5[#All],4,0)</f>
        <v>Major Advanced Economies (G7)</v>
      </c>
      <c r="P42" s="13" t="s">
        <v>145</v>
      </c>
      <c r="Q42" s="31">
        <f>INDEX($F$4:$F$87,MATCH(Table8[[#This Row],[Local Currency]],$G$4:$G$87,0))</f>
        <v>78.904300000000006</v>
      </c>
    </row>
    <row r="43" spans="2:17" x14ac:dyDescent="0.25">
      <c r="B43" s="3" t="s">
        <v>2310</v>
      </c>
      <c r="C43">
        <f>1/INDEX($F$4:$F$87,MATCH(tblXrate[[#This Row],[Currency]],$G$4:$G$87,0))</f>
        <v>2.3948654085640389E-3</v>
      </c>
      <c r="E43" s="3" t="s">
        <v>2108</v>
      </c>
      <c r="F43" s="3">
        <v>1.2677099999999999</v>
      </c>
      <c r="G43" s="3" t="s">
        <v>122</v>
      </c>
      <c r="I43" t="s">
        <v>106</v>
      </c>
      <c r="J43" t="s">
        <v>106</v>
      </c>
      <c r="L43" s="14" t="s">
        <v>130</v>
      </c>
      <c r="M43" s="39">
        <f>VLOOKUP(L43,Table5[#All],2,0)/Table8[[#This Row],[Convrsion Rate]]</f>
        <v>0.50302994011976043</v>
      </c>
      <c r="N43" s="13">
        <f>VLOOKUP(L43,Table5[#All],3,0)</f>
        <v>850.55499999999995</v>
      </c>
      <c r="O43" s="13" t="str">
        <f>VLOOKUP(L43,Table5[#All],4,0)</f>
        <v>Sub-Saharan Africa</v>
      </c>
      <c r="P43" s="13" t="s">
        <v>129</v>
      </c>
      <c r="Q43" s="31">
        <f>INDEX($F$4:$F$87,MATCH(Table8[[#This Row],[Local Currency]],$G$4:$G$87,0))</f>
        <v>83.5</v>
      </c>
    </row>
    <row r="44" spans="2:17" x14ac:dyDescent="0.25">
      <c r="B44" s="3" t="s">
        <v>2312</v>
      </c>
      <c r="C44">
        <f>1/INDEX($F$4:$F$87,MATCH(tblXrate[[#This Row],[Currency]],$G$4:$G$87,0))</f>
        <v>1.2735608762098829</v>
      </c>
      <c r="E44" s="3" t="s">
        <v>2109</v>
      </c>
      <c r="F44" s="3">
        <v>8.2019800000000007</v>
      </c>
      <c r="G44" s="3" t="s">
        <v>75</v>
      </c>
      <c r="I44" t="s">
        <v>96</v>
      </c>
      <c r="J44" t="s">
        <v>96</v>
      </c>
      <c r="L44" s="14" t="s">
        <v>123</v>
      </c>
      <c r="M44" s="39">
        <f>VLOOKUP(L44,Table5[#All],2,0)/Table8[[#This Row],[Convrsion Rate]]</f>
        <v>1.134574087329993</v>
      </c>
      <c r="N44" s="13">
        <f>VLOOKUP(L44,Table5[#All],3,0)</f>
        <v>47982.43</v>
      </c>
      <c r="O44" s="13" t="str">
        <f>VLOOKUP(L44,Table5[#All],4,0)</f>
        <v>Middle East and North Africa</v>
      </c>
      <c r="P44" s="13" t="s">
        <v>2080</v>
      </c>
      <c r="Q44" s="31">
        <f>INDEX($F$4:$F$87,MATCH(Table8[[#This Row],[Local Currency]],$G$4:$G$87,0))</f>
        <v>0.27939999999999998</v>
      </c>
    </row>
    <row r="45" spans="2:17" x14ac:dyDescent="0.25">
      <c r="B45" s="3" t="s">
        <v>2314</v>
      </c>
      <c r="C45">
        <f>1/INDEX($F$4:$F$87,MATCH(tblXrate[[#This Row],[Currency]],$G$4:$G$87,0))</f>
        <v>1.7579234002457575E-2</v>
      </c>
      <c r="E45" s="3" t="s">
        <v>2110</v>
      </c>
      <c r="F45" s="3">
        <v>1151.0899999999999</v>
      </c>
      <c r="G45" s="3" t="s">
        <v>2111</v>
      </c>
      <c r="I45" t="s">
        <v>67</v>
      </c>
      <c r="J45" t="s">
        <v>67</v>
      </c>
      <c r="L45" s="14" t="s">
        <v>159</v>
      </c>
      <c r="M45" s="39">
        <f>VLOOKUP(L45,Table5[#All],2,0)/Table8[[#This Row],[Convrsion Rate]]</f>
        <v>0.56556349363563152</v>
      </c>
      <c r="N45" s="13">
        <f>VLOOKUP(L45,Table5[#All],3,0)</f>
        <v>1263.96</v>
      </c>
      <c r="O45" s="13" t="str">
        <f>VLOOKUP(L45,Table5[#All],4,0)</f>
        <v>Sub-Saharan Africa</v>
      </c>
      <c r="P45" s="13" t="s">
        <v>2328</v>
      </c>
      <c r="Q45" s="31">
        <f>INDEX($F$4:$F$87,MATCH(Table8[[#This Row],[Local Currency]],$G$4:$G$87,0))</f>
        <v>8.4305299999999992</v>
      </c>
    </row>
    <row r="46" spans="2:17" x14ac:dyDescent="0.25">
      <c r="B46" s="3" t="s">
        <v>2316</v>
      </c>
      <c r="C46">
        <f>1/INDEX($F$4:$F$87,MATCH(tblXrate[[#This Row],[Currency]],$G$4:$G$87,0))</f>
        <v>0.14367816091954022</v>
      </c>
      <c r="E46" s="3" t="s">
        <v>2112</v>
      </c>
      <c r="F46" s="3">
        <v>132.90700000000001</v>
      </c>
      <c r="G46" s="3" t="s">
        <v>120</v>
      </c>
      <c r="I46" t="s">
        <v>103</v>
      </c>
      <c r="J46" t="s">
        <v>103</v>
      </c>
      <c r="L46" s="14" t="s">
        <v>154</v>
      </c>
      <c r="M46" s="39">
        <f>VLOOKUP(L46,Table5[#All],2,0)/Table8[[#This Row],[Convrsion Rate]]</f>
        <v>0.62305940799006421</v>
      </c>
      <c r="N46" s="13">
        <f>VLOOKUP(L46,Table5[#All],3,0)</f>
        <v>5691.33</v>
      </c>
      <c r="O46" s="13" t="str">
        <f>VLOOKUP(L46,Table5[#All],4,0)</f>
        <v>Middle East and North Africa</v>
      </c>
      <c r="P46" s="13" t="s">
        <v>2084</v>
      </c>
      <c r="Q46" s="31">
        <f>INDEX($F$4:$F$87,MATCH(Table8[[#This Row],[Local Currency]],$G$4:$G$87,0))</f>
        <v>1.9323999999999999</v>
      </c>
    </row>
    <row r="47" spans="2:17" ht="15" customHeight="1" x14ac:dyDescent="0.25">
      <c r="B47" s="3" t="s">
        <v>2318</v>
      </c>
      <c r="C47">
        <f>1/INDEX($F$4:$F$87,MATCH(tblXrate[[#This Row],[Currency]],$G$4:$G$87,0))</f>
        <v>2.43605359317905E-4</v>
      </c>
      <c r="E47" s="3" t="s">
        <v>2113</v>
      </c>
      <c r="F47" s="3">
        <v>6.9611099999999997</v>
      </c>
      <c r="G47" s="3" t="s">
        <v>59</v>
      </c>
      <c r="I47" t="s">
        <v>81</v>
      </c>
      <c r="J47" t="s">
        <v>81</v>
      </c>
      <c r="L47" s="14" t="s">
        <v>92</v>
      </c>
      <c r="M47" s="39">
        <f>VLOOKUP(L47,Table5[#All],2,0)/Table8[[#This Row],[Convrsion Rate]]</f>
        <v>0.63321412277216071</v>
      </c>
      <c r="N47" s="13">
        <f>VLOOKUP(L47,Table5[#All],3,0)</f>
        <v>13075.41</v>
      </c>
      <c r="O47" s="13" t="str">
        <f>VLOOKUP(L47,Table5[#All],4,0)</f>
        <v>Central and Eastern Europe</v>
      </c>
      <c r="P47" s="13" t="s">
        <v>2086</v>
      </c>
      <c r="Q47" s="31">
        <f>INDEX($F$4:$F$87,MATCH(Table8[[#This Row],[Local Currency]],$G$4:$G$87,0))</f>
        <v>2.7178800000000001</v>
      </c>
    </row>
    <row r="48" spans="2:17" ht="15" customHeight="1" x14ac:dyDescent="0.25">
      <c r="B48" s="3" t="s">
        <v>2320</v>
      </c>
      <c r="C48">
        <f>1/INDEX($F$4:$F$87,MATCH(tblXrate[[#This Row],[Currency]],$G$4:$G$87,0))</f>
        <v>4.8235543807520882E-2</v>
      </c>
      <c r="E48" s="3" t="s">
        <v>2114</v>
      </c>
      <c r="F48" s="3">
        <v>0.94529300000000005</v>
      </c>
      <c r="G48" s="3" t="s">
        <v>166</v>
      </c>
      <c r="I48" t="s">
        <v>34</v>
      </c>
      <c r="J48" t="s">
        <v>40</v>
      </c>
      <c r="L48" s="14" t="s">
        <v>116</v>
      </c>
      <c r="M48" s="39">
        <f>VLOOKUP(L48,Table5[#All],2,0)/Table8[[#This Row],[Convrsion Rate]]</f>
        <v>0.6038218820488126</v>
      </c>
      <c r="N48" s="13">
        <f>VLOOKUP(L48,Table5[#All],3,0)</f>
        <v>9699.7000000000007</v>
      </c>
      <c r="O48" s="13" t="str">
        <f>VLOOKUP(L48,Table5[#All],4,0)</f>
        <v>Developing Asia</v>
      </c>
      <c r="P48" s="13" t="s">
        <v>2088</v>
      </c>
      <c r="Q48" s="31">
        <f>INDEX($F$4:$F$87,MATCH(Table8[[#This Row],[Local Currency]],$G$4:$G$87,0))</f>
        <v>3.1565599999999998</v>
      </c>
    </row>
    <row r="49" spans="2:17" ht="15" customHeight="1" x14ac:dyDescent="0.25">
      <c r="B49" s="3" t="s">
        <v>2324</v>
      </c>
      <c r="C49">
        <f>1/INDEX($F$4:$F$87,MATCH(tblXrate[[#This Row],[Currency]],$G$4:$G$87,0))</f>
        <v>0.51759834368530022</v>
      </c>
      <c r="E49" s="3" t="s">
        <v>2115</v>
      </c>
      <c r="F49" s="3">
        <v>29.859400000000001</v>
      </c>
      <c r="G49" s="3" t="s">
        <v>2116</v>
      </c>
      <c r="I49" t="s">
        <v>78</v>
      </c>
      <c r="J49" t="s">
        <v>84</v>
      </c>
      <c r="L49" s="14" t="s">
        <v>160</v>
      </c>
      <c r="M49" s="39">
        <f>VLOOKUP(L49,Table5[#All],2,0)/Table8[[#This Row],[Convrsion Rate]]</f>
        <v>0.54851070618148901</v>
      </c>
      <c r="N49" s="13">
        <f>VLOOKUP(L49,Table5[#All],3,0)</f>
        <v>8776.7800000000007</v>
      </c>
      <c r="O49" s="13" t="str">
        <f>VLOOKUP(L49,Table5[#All],4,0)</f>
        <v>Sub-Saharan Africa</v>
      </c>
      <c r="P49" s="13" t="s">
        <v>2090</v>
      </c>
      <c r="Q49" s="31">
        <f>INDEX($F$4:$F$87,MATCH(Table8[[#This Row],[Local Currency]],$G$4:$G$87,0))</f>
        <v>30.715900000000001</v>
      </c>
    </row>
    <row r="50" spans="2:17" ht="15" customHeight="1" x14ac:dyDescent="0.25">
      <c r="B50" s="3" t="s">
        <v>2326</v>
      </c>
      <c r="C50">
        <f>1/INDEX($F$4:$F$87,MATCH(tblXrate[[#This Row],[Currency]],$G$4:$G$87,0))</f>
        <v>4.9763622791739242E-3</v>
      </c>
      <c r="E50" s="3" t="s">
        <v>2117</v>
      </c>
      <c r="F50" s="3">
        <v>31.500299999999999</v>
      </c>
      <c r="G50" s="3" t="s">
        <v>2118</v>
      </c>
      <c r="I50" t="s">
        <v>43</v>
      </c>
      <c r="J50" t="s">
        <v>43</v>
      </c>
      <c r="L50" s="14" t="s">
        <v>42</v>
      </c>
      <c r="M50" s="39">
        <f>VLOOKUP(L50,Table5[#All],2,0)/Table8[[#This Row],[Convrsion Rate]]</f>
        <v>0.63068393487169372</v>
      </c>
      <c r="N50" s="13">
        <f>VLOOKUP(L50,Table5[#All],3,0)</f>
        <v>10153.299999999999</v>
      </c>
      <c r="O50" s="13" t="str">
        <f>VLOOKUP(L50,Table5[#All],4,0)</f>
        <v>Latin America and the Caribbean</v>
      </c>
      <c r="P50" s="13" t="s">
        <v>56</v>
      </c>
      <c r="Q50" s="31">
        <f>INDEX($F$4:$F$87,MATCH(Table8[[#This Row],[Local Currency]],$G$4:$G$87,0))</f>
        <v>13.6899</v>
      </c>
    </row>
    <row r="51" spans="2:17" x14ac:dyDescent="0.25">
      <c r="B51" s="3" t="s">
        <v>2328</v>
      </c>
      <c r="C51">
        <f>1/INDEX($F$4:$F$87,MATCH(tblXrate[[#This Row],[Currency]],$G$4:$G$87,0))</f>
        <v>0.11861650453767439</v>
      </c>
      <c r="E51" s="3" t="s">
        <v>2119</v>
      </c>
      <c r="F51" s="3">
        <v>6.3912199999999997</v>
      </c>
      <c r="G51" s="3" t="s">
        <v>2120</v>
      </c>
      <c r="I51" t="s">
        <v>20</v>
      </c>
      <c r="J51" t="s">
        <v>5</v>
      </c>
      <c r="L51" s="14" t="s">
        <v>137</v>
      </c>
      <c r="M51" s="39">
        <f>VLOOKUP(L51,Table5[#All],2,0)/Table8[[#This Row],[Convrsion Rate]]</f>
        <v>0.61762481089258703</v>
      </c>
      <c r="N51" s="13">
        <f>VLOOKUP(L51,Table5[#All],3,0)</f>
        <v>3042.19</v>
      </c>
      <c r="O51" s="13" t="str">
        <f>VLOOKUP(L51,Table5[#All],4,0)</f>
        <v>Commonwealth of Independent States</v>
      </c>
      <c r="P51" s="13" t="s">
        <v>136</v>
      </c>
      <c r="Q51" s="31">
        <f>INDEX($F$4:$F$87,MATCH(Table8[[#This Row],[Local Currency]],$G$4:$G$87,0))</f>
        <v>1322</v>
      </c>
    </row>
    <row r="52" spans="2:17" ht="15" customHeight="1" x14ac:dyDescent="0.25">
      <c r="B52" s="3" t="s">
        <v>2331</v>
      </c>
      <c r="C52">
        <f>1/INDEX($F$4:$F$87,MATCH(tblXrate[[#This Row],[Currency]],$G$4:$G$87,0))</f>
        <v>3.6101083032490974E-2</v>
      </c>
      <c r="E52" s="3" t="s">
        <v>2121</v>
      </c>
      <c r="F52" s="3">
        <v>1.79447</v>
      </c>
      <c r="G52" s="3" t="s">
        <v>2122</v>
      </c>
      <c r="I52" t="s">
        <v>39</v>
      </c>
      <c r="J52" t="s">
        <v>39</v>
      </c>
      <c r="L52" s="14" t="s">
        <v>125</v>
      </c>
      <c r="M52" s="39">
        <f>VLOOKUP(L52,Table5[#All],2,0)/Table8[[#This Row],[Convrsion Rate]]</f>
        <v>0.57803174474118157</v>
      </c>
      <c r="N52" s="13">
        <f>VLOOKUP(L52,Table5[#All],3,0)</f>
        <v>7316.68</v>
      </c>
      <c r="O52" s="13" t="str">
        <f>VLOOKUP(L52,Table5[#All],4,0)</f>
        <v>Central and Eastern Europe</v>
      </c>
      <c r="P52" s="13" t="s">
        <v>9</v>
      </c>
      <c r="Q52" s="31">
        <f>INDEX($F$4:$F$87,MATCH(Table8[[#This Row],[Local Currency]],$G$4:$G$87,0))</f>
        <v>0.78715400000000002</v>
      </c>
    </row>
    <row r="53" spans="2:17" x14ac:dyDescent="0.25">
      <c r="B53" s="3" t="s">
        <v>2333</v>
      </c>
      <c r="C53">
        <f>1/INDEX($F$4:$F$87,MATCH(tblXrate[[#This Row],[Currency]],$G$4:$G$87,0))</f>
        <v>1.1534025374855825E-3</v>
      </c>
      <c r="E53" s="3" t="s">
        <v>2123</v>
      </c>
      <c r="F53" s="3">
        <v>4.2940199999999997</v>
      </c>
      <c r="G53" s="3" t="s">
        <v>2124</v>
      </c>
      <c r="I53" t="s">
        <v>47</v>
      </c>
      <c r="J53" t="s">
        <v>47</v>
      </c>
      <c r="L53" s="14" t="s">
        <v>158</v>
      </c>
      <c r="M53" s="39">
        <f>VLOOKUP(L53,Table5[#All],2,0)/Table8[[#This Row],[Convrsion Rate]]</f>
        <v>0.56643757159221075</v>
      </c>
      <c r="N53" s="13">
        <f>VLOOKUP(L53,Table5[#All],3,0)</f>
        <v>3083.25</v>
      </c>
      <c r="O53" s="13" t="str">
        <f>VLOOKUP(L53,Table5[#All],4,0)</f>
        <v>Middle East and North Africa</v>
      </c>
      <c r="P53" s="13" t="s">
        <v>157</v>
      </c>
      <c r="Q53" s="31">
        <f>INDEX($F$4:$F$87,MATCH(Table8[[#This Row],[Local Currency]],$G$4:$G$87,0))</f>
        <v>8.73</v>
      </c>
    </row>
    <row r="54" spans="2:17" x14ac:dyDescent="0.25">
      <c r="B54" s="3" t="s">
        <v>2335</v>
      </c>
      <c r="C54">
        <f>1/INDEX($F$4:$F$87,MATCH(tblXrate[[#This Row],[Currency]],$G$4:$G$87,0))</f>
        <v>2.2222222222222223E-4</v>
      </c>
      <c r="E54" s="3" t="s">
        <v>2126</v>
      </c>
      <c r="F54" s="3">
        <v>3.6735099999999998</v>
      </c>
      <c r="G54" s="3" t="s">
        <v>54</v>
      </c>
      <c r="I54" t="s">
        <v>60</v>
      </c>
      <c r="J54" t="s">
        <v>60</v>
      </c>
      <c r="L54" s="14" t="s">
        <v>73</v>
      </c>
      <c r="M54" s="39">
        <f>VLOOKUP(L54,Table5[#All],2,0)/Table8[[#This Row],[Convrsion Rate]]</f>
        <v>0.56335740072202167</v>
      </c>
      <c r="N54" s="13">
        <f>VLOOKUP(L54,Table5[#All],3,0)</f>
        <v>582.61099999999999</v>
      </c>
      <c r="O54" s="13" t="str">
        <f>VLOOKUP(L54,Table5[#All],4,0)</f>
        <v>Sub-Saharan Africa</v>
      </c>
      <c r="P54" s="13" t="s">
        <v>2331</v>
      </c>
      <c r="Q54" s="31">
        <f>INDEX($F$4:$F$87,MATCH(Table8[[#This Row],[Local Currency]],$G$4:$G$87,0))</f>
        <v>27.7</v>
      </c>
    </row>
    <row r="55" spans="2:17" ht="15" customHeight="1" x14ac:dyDescent="0.25">
      <c r="B55" s="3" t="s">
        <v>2337</v>
      </c>
      <c r="C55">
        <f>1/INDEX($F$4:$F$87,MATCH(tblXrate[[#This Row],[Currency]],$G$4:$G$87,0))</f>
        <v>0.37593984962406013</v>
      </c>
      <c r="E55" s="3" t="s">
        <v>2128</v>
      </c>
      <c r="F55" s="3">
        <v>81.827399999999997</v>
      </c>
      <c r="G55" s="3" t="s">
        <v>61</v>
      </c>
      <c r="I55" t="s">
        <v>86</v>
      </c>
      <c r="J55" t="s">
        <v>86</v>
      </c>
      <c r="L55" s="14" t="s">
        <v>139</v>
      </c>
      <c r="M55" s="39">
        <f>VLOOKUP(L55,Table5[#All],2,0)/Table8[[#This Row],[Convrsion Rate]]</f>
        <v>0.55529757785467126</v>
      </c>
      <c r="N55" s="13">
        <f>VLOOKUP(L55,Table5[#All],3,0)</f>
        <v>831.91</v>
      </c>
      <c r="O55" s="13" t="str">
        <f>VLOOKUP(L55,Table5[#All],4,0)</f>
        <v>Developing Asia</v>
      </c>
      <c r="P55" s="13" t="s">
        <v>2333</v>
      </c>
      <c r="Q55" s="31">
        <f>INDEX($F$4:$F$87,MATCH(Table8[[#This Row],[Local Currency]],$G$4:$G$87,0))</f>
        <v>867</v>
      </c>
    </row>
    <row r="56" spans="2:17" ht="15" customHeight="1" x14ac:dyDescent="0.25">
      <c r="B56" s="3" t="s">
        <v>2322</v>
      </c>
      <c r="C56">
        <f>1/INDEX($F$4:$F$87,MATCH(tblXrate[[#This Row],[Currency]],$G$4:$G$87,0))</f>
        <v>0.61109753116597409</v>
      </c>
      <c r="E56" s="3" t="s">
        <v>2129</v>
      </c>
      <c r="F56" s="3">
        <v>498.05</v>
      </c>
      <c r="G56" s="3" t="s">
        <v>2130</v>
      </c>
      <c r="I56" t="s">
        <v>58</v>
      </c>
      <c r="J56" t="s">
        <v>58</v>
      </c>
      <c r="L56" s="14" t="s">
        <v>77</v>
      </c>
      <c r="M56" s="39">
        <f>VLOOKUP(L56,Table5[#All],2,0)/Table8[[#This Row],[Convrsion Rate]]</f>
        <v>1.0900027186547994</v>
      </c>
      <c r="N56" s="13">
        <f>VLOOKUP(L56,Table5[#All],3,0)</f>
        <v>50355.47</v>
      </c>
      <c r="O56" s="13" t="str">
        <f>VLOOKUP(L56,Table5[#All],4,0)</f>
        <v>Euro Area</v>
      </c>
      <c r="P56" s="13" t="s">
        <v>9</v>
      </c>
      <c r="Q56" s="31">
        <f>INDEX($F$4:$F$87,MATCH(Table8[[#This Row],[Local Currency]],$G$4:$G$87,0))</f>
        <v>0.78715400000000002</v>
      </c>
    </row>
    <row r="57" spans="2:17" ht="15" customHeight="1" x14ac:dyDescent="0.25">
      <c r="B57" s="3" t="s">
        <v>2339</v>
      </c>
      <c r="C57">
        <f>1/INDEX($F$4:$F$87,MATCH(tblXrate[[#This Row],[Currency]],$G$4:$G$87,0))</f>
        <v>0.62736831539059945</v>
      </c>
      <c r="E57" s="3" t="s">
        <v>2131</v>
      </c>
      <c r="F57" s="3">
        <v>6.0510000000000002</v>
      </c>
      <c r="G57" s="3" t="s">
        <v>94</v>
      </c>
      <c r="I57" t="s">
        <v>99</v>
      </c>
      <c r="J57" t="s">
        <v>99</v>
      </c>
      <c r="L57" s="14" t="s">
        <v>84</v>
      </c>
      <c r="M57" s="39">
        <f>VLOOKUP(L57,Table5[#All],2,0)/Table8[[#This Row],[Convrsion Rate]]</f>
        <v>1.3351624686946675</v>
      </c>
      <c r="N57" s="13">
        <f>VLOOKUP(L57,Table5[#All],3,0)</f>
        <v>36648.199999999997</v>
      </c>
      <c r="O57" s="13" t="str">
        <f>VLOOKUP(L57,Table5[#All],4,0)</f>
        <v>Other Advanced Economies</v>
      </c>
      <c r="P57" s="13" t="s">
        <v>83</v>
      </c>
      <c r="Q57" s="31">
        <f>INDEX($F$4:$F$87,MATCH(Table8[[#This Row],[Local Currency]],$G$4:$G$87,0))</f>
        <v>1.2537799999999999</v>
      </c>
    </row>
    <row r="58" spans="2:17" ht="15" customHeight="1" x14ac:dyDescent="0.25">
      <c r="B58" s="3" t="s">
        <v>2341</v>
      </c>
      <c r="C58">
        <f>1/INDEX($F$4:$F$87,MATCH(tblXrate[[#This Row],[Currency]],$G$4:$G$87,0))</f>
        <v>4.0485829959514168E-4</v>
      </c>
      <c r="E58" s="3" t="s">
        <v>2133</v>
      </c>
      <c r="F58" s="3">
        <v>162.25</v>
      </c>
      <c r="G58" s="3" t="s">
        <v>2132</v>
      </c>
      <c r="I58" t="s">
        <v>37</v>
      </c>
      <c r="J58" t="s">
        <v>45</v>
      </c>
      <c r="L58" s="14" t="s">
        <v>96</v>
      </c>
      <c r="M58" s="39">
        <f>VLOOKUP(L58,Table5[#All],2,0)/Table8[[#This Row],[Convrsion Rate]]</f>
        <v>0.54494915254237297</v>
      </c>
      <c r="N58" s="13">
        <f>VLOOKUP(L58,Table5[#All],3,0)</f>
        <v>1490.06</v>
      </c>
      <c r="O58" s="13" t="str">
        <f>VLOOKUP(L58,Table5[#All],4,0)</f>
        <v>Sub-Saharan Africa</v>
      </c>
      <c r="P58" s="13" t="s">
        <v>2132</v>
      </c>
      <c r="Q58" s="31">
        <f>INDEX($F$4:$F$87,MATCH(Table8[[#This Row],[Local Currency]],$G$4:$G$87,0))</f>
        <v>162.25</v>
      </c>
    </row>
    <row r="59" spans="2:17" x14ac:dyDescent="0.25">
      <c r="B59" s="3" t="s">
        <v>2343</v>
      </c>
      <c r="C59">
        <f>1/INDEX($F$4:$F$87,MATCH(tblXrate[[#This Row],[Currency]],$G$4:$G$87,0))</f>
        <v>0.12383900928792571</v>
      </c>
      <c r="E59" s="3" t="s">
        <v>2135</v>
      </c>
      <c r="F59" s="3">
        <v>38.950000000000003</v>
      </c>
      <c r="G59" s="3" t="s">
        <v>2134</v>
      </c>
      <c r="I59" t="s">
        <v>108</v>
      </c>
      <c r="J59" t="s">
        <v>42</v>
      </c>
      <c r="L59" s="14" t="s">
        <v>74</v>
      </c>
      <c r="M59" s="39">
        <f>VLOOKUP(L59,Table5[#All],2,0)/Table8[[#This Row],[Convrsion Rate]]</f>
        <v>12.950451881080451</v>
      </c>
      <c r="N59" s="13">
        <f>VLOOKUP(L59,Table5[#All],3,0)</f>
        <v>97254.6</v>
      </c>
      <c r="O59" s="13" t="str">
        <f>VLOOKUP(L59,Table5[#All],4,0)</f>
        <v>Other Advanced Economies</v>
      </c>
      <c r="P59" s="13" t="s">
        <v>9</v>
      </c>
      <c r="Q59" s="31">
        <f>INDEX($F$4:$F$87,MATCH(Table8[[#This Row],[Local Currency]],$G$4:$G$87,0))</f>
        <v>0.78715400000000002</v>
      </c>
    </row>
    <row r="60" spans="2:17" ht="15" customHeight="1" x14ac:dyDescent="0.25">
      <c r="B60" s="3" t="s">
        <v>2345</v>
      </c>
      <c r="C60">
        <f>1/INDEX($F$4:$F$87,MATCH(tblXrate[[#This Row],[Currency]],$G$4:$G$87,0))</f>
        <v>4.6403712296983757E-2</v>
      </c>
      <c r="E60" s="3" t="s">
        <v>2136</v>
      </c>
      <c r="F60" s="3">
        <v>3.3298399999999999</v>
      </c>
      <c r="G60" s="3" t="s">
        <v>128</v>
      </c>
      <c r="I60" t="s">
        <v>114</v>
      </c>
      <c r="J60" t="s">
        <v>114</v>
      </c>
      <c r="L60" s="14" t="s">
        <v>173</v>
      </c>
      <c r="M60" s="39">
        <f>VLOOKUP(L60,Table5[#All],2,0)/Table8[[#This Row],[Convrsion Rate]]</f>
        <v>0.87906371911573478</v>
      </c>
      <c r="N60" s="13">
        <f>VLOOKUP(L60,Table5[#All],3,0)</f>
        <v>23315.46</v>
      </c>
      <c r="O60" s="13" t="str">
        <f>VLOOKUP(L60,Table5[#All],4,0)</f>
        <v>Middle East and North Africa</v>
      </c>
      <c r="P60" s="13" t="s">
        <v>2097</v>
      </c>
      <c r="Q60" s="31">
        <f>INDEX($F$4:$F$87,MATCH(Table8[[#This Row],[Local Currency]],$G$4:$G$87,0))</f>
        <v>0.38450000000000001</v>
      </c>
    </row>
    <row r="61" spans="2:17" ht="15" customHeight="1" x14ac:dyDescent="0.25">
      <c r="B61" s="3" t="s">
        <v>2347</v>
      </c>
      <c r="C61">
        <f>1/INDEX($F$4:$F$87,MATCH(tblXrate[[#This Row],[Currency]],$G$4:$G$87,0))</f>
        <v>4.7915668423574511E-5</v>
      </c>
      <c r="E61" s="3" t="s">
        <v>2137</v>
      </c>
      <c r="F61" s="3">
        <v>83.5</v>
      </c>
      <c r="G61" s="3" t="s">
        <v>130</v>
      </c>
      <c r="I61" t="s">
        <v>163</v>
      </c>
      <c r="J61" t="s">
        <v>163</v>
      </c>
      <c r="L61" s="14" t="s">
        <v>6</v>
      </c>
      <c r="M61" s="39">
        <f>VLOOKUP(L61,Table5[#All],2,0)/Table8[[#This Row],[Convrsion Rate]]</f>
        <v>0.65835867993475172</v>
      </c>
      <c r="N61" s="13">
        <f>VLOOKUP(L61,Table5[#All],3,0)</f>
        <v>1201.1099999999999</v>
      </c>
      <c r="O61" s="13" t="str">
        <f>VLOOKUP(L61,Table5[#All],4,0)</f>
        <v>Developing Asia</v>
      </c>
      <c r="P61" s="13" t="s">
        <v>16</v>
      </c>
      <c r="Q61" s="31">
        <f>INDEX($F$4:$F$87,MATCH(Table8[[#This Row],[Local Currency]],$G$4:$G$87,0))</f>
        <v>56.154800000000002</v>
      </c>
    </row>
    <row r="62" spans="2:17" x14ac:dyDescent="0.25">
      <c r="B62" s="3" t="s">
        <v>2348</v>
      </c>
      <c r="C62">
        <f>1/INDEX($F$4:$F$87,MATCH(tblXrate[[#This Row],[Currency]],$G$4:$G$87,0))</f>
        <v>1.9342359767891682E-4</v>
      </c>
      <c r="E62" s="3" t="s">
        <v>2138</v>
      </c>
      <c r="F62" s="3">
        <v>1322</v>
      </c>
      <c r="G62" s="3" t="s">
        <v>2139</v>
      </c>
      <c r="I62" t="s">
        <v>90</v>
      </c>
      <c r="J62" t="s">
        <v>38</v>
      </c>
      <c r="L62" s="14" t="s">
        <v>39</v>
      </c>
      <c r="M62" s="39">
        <f>VLOOKUP(L62,Table5[#All],2,0)/Table8[[#This Row],[Convrsion Rate]]</f>
        <v>0.76732126115093102</v>
      </c>
      <c r="N62" s="13">
        <f>VLOOKUP(L62,Table5[#All],3,0)</f>
        <v>8514.2199999999993</v>
      </c>
      <c r="O62" s="13" t="str">
        <f>VLOOKUP(L62,Table5[#All],4,0)</f>
        <v>Latin America and the Caribbean</v>
      </c>
      <c r="P62" s="13" t="s">
        <v>9</v>
      </c>
      <c r="Q62" s="31">
        <f>INDEX($F$4:$F$87,MATCH(Table8[[#This Row],[Local Currency]],$G$4:$G$87,0))</f>
        <v>0.78715400000000002</v>
      </c>
    </row>
    <row r="63" spans="2:17" x14ac:dyDescent="0.25">
      <c r="B63" s="36" t="s">
        <v>2366</v>
      </c>
      <c r="C63">
        <f>1/INDEX($F$4:$F$87,MATCH(tblXrate[[#This Row],[Currency]],$G$4:$G$87,0))</f>
        <v>8.163265306122449E-5</v>
      </c>
      <c r="E63" s="3" t="s">
        <v>2140</v>
      </c>
      <c r="F63" s="3">
        <v>8.73</v>
      </c>
      <c r="G63" s="3" t="s">
        <v>157</v>
      </c>
      <c r="I63" t="s">
        <v>172</v>
      </c>
      <c r="J63" t="s">
        <v>172</v>
      </c>
      <c r="L63" s="14" t="s">
        <v>121</v>
      </c>
      <c r="M63" s="39">
        <f>VLOOKUP(L63,Table5[#All],2,0)/Table8[[#This Row],[Convrsion Rate]]</f>
        <v>0.6031955555555556</v>
      </c>
      <c r="N63" s="13">
        <f>VLOOKUP(L63,Table5[#All],3,0)</f>
        <v>3251.91</v>
      </c>
      <c r="O63" s="13" t="str">
        <f>VLOOKUP(L63,Table5[#All],4,0)</f>
        <v>Latin America and the Caribbean</v>
      </c>
      <c r="P63" s="13" t="s">
        <v>2335</v>
      </c>
      <c r="Q63" s="31">
        <f>INDEX($F$4:$F$87,MATCH(Table8[[#This Row],[Local Currency]],$G$4:$G$87,0))</f>
        <v>4500</v>
      </c>
    </row>
    <row r="64" spans="2:17" ht="15" customHeight="1" x14ac:dyDescent="0.25">
      <c r="B64" s="36" t="s">
        <v>2350</v>
      </c>
      <c r="C64">
        <f>1/INDEX($F$4:$F$87,MATCH(tblXrate[[#This Row],[Currency]],$G$4:$G$87,0))</f>
        <v>0.27631942525559544</v>
      </c>
      <c r="E64" s="3" t="s">
        <v>2141</v>
      </c>
      <c r="F64" s="3">
        <v>17.68</v>
      </c>
      <c r="G64" s="3" t="s">
        <v>171</v>
      </c>
      <c r="I64" t="s">
        <v>142</v>
      </c>
      <c r="J64" t="s">
        <v>142</v>
      </c>
      <c r="L64" s="14" t="s">
        <v>156</v>
      </c>
      <c r="M64" s="39">
        <f>VLOOKUP(L64,Table5[#All],2,0)/Table8[[#This Row],[Convrsion Rate]]</f>
        <v>0.60563909774436087</v>
      </c>
      <c r="N64" s="13">
        <f>VLOOKUP(L64,Table5[#All],3,0)</f>
        <v>5781.58</v>
      </c>
      <c r="O64" s="13" t="str">
        <f>VLOOKUP(L64,Table5[#All],4,0)</f>
        <v>Latin America and the Caribbean</v>
      </c>
      <c r="P64" s="13" t="s">
        <v>2337</v>
      </c>
      <c r="Q64" s="31">
        <f>INDEX($F$4:$F$87,MATCH(Table8[[#This Row],[Local Currency]],$G$4:$G$87,0))</f>
        <v>2.66</v>
      </c>
    </row>
    <row r="65" spans="5:17" ht="15" customHeight="1" x14ac:dyDescent="0.25">
      <c r="E65" s="3" t="s">
        <v>2307</v>
      </c>
      <c r="F65" s="3">
        <v>110.68</v>
      </c>
      <c r="G65" s="3" t="s">
        <v>2308</v>
      </c>
      <c r="I65" t="s">
        <v>146</v>
      </c>
      <c r="J65" t="s">
        <v>18</v>
      </c>
      <c r="L65" s="14" t="s">
        <v>52</v>
      </c>
      <c r="M65" s="39">
        <f>VLOOKUP(L65,Table5[#All],2,0)/Table8[[#This Row],[Convrsion Rate]]</f>
        <v>0.59108547804793632</v>
      </c>
      <c r="N65" s="13">
        <f>VLOOKUP(L65,Table5[#All],3,0)</f>
        <v>2223.44</v>
      </c>
      <c r="O65" s="13" t="str">
        <f>VLOOKUP(L65,Table5[#All],4,0)</f>
        <v>Developing Asia</v>
      </c>
      <c r="P65" s="13" t="s">
        <v>2100</v>
      </c>
      <c r="Q65" s="31">
        <f>INDEX($F$4:$F$87,MATCH(Table8[[#This Row],[Local Currency]],$G$4:$G$87,0))</f>
        <v>42.185099999999998</v>
      </c>
    </row>
    <row r="66" spans="5:17" ht="15" customHeight="1" x14ac:dyDescent="0.25">
      <c r="E66" s="3" t="s">
        <v>2309</v>
      </c>
      <c r="F66" s="3">
        <v>417.56</v>
      </c>
      <c r="G66" s="3" t="s">
        <v>2310</v>
      </c>
      <c r="I66" t="s">
        <v>79</v>
      </c>
      <c r="J66" t="s">
        <v>79</v>
      </c>
      <c r="L66" s="14" t="s">
        <v>27</v>
      </c>
      <c r="M66" s="39">
        <f>VLOOKUP(L66,Table5[#All],2,0)/Table8[[#This Row],[Convrsion Rate]]</f>
        <v>2.5064980931304421</v>
      </c>
      <c r="N66" s="13">
        <f>VLOOKUP(L66,Table5[#All],3,0)</f>
        <v>13539.84</v>
      </c>
      <c r="O66" s="13" t="str">
        <f>VLOOKUP(L66,Table5[#All],4,0)</f>
        <v>Central and Eastern Europe</v>
      </c>
      <c r="P66" s="13" t="s">
        <v>9</v>
      </c>
      <c r="Q66" s="31">
        <f>INDEX($F$4:$F$87,MATCH(Table8[[#This Row],[Local Currency]],$G$4:$G$87,0))</f>
        <v>0.78715400000000002</v>
      </c>
    </row>
    <row r="67" spans="5:17" x14ac:dyDescent="0.25">
      <c r="E67" s="3" t="s">
        <v>2311</v>
      </c>
      <c r="F67" s="3">
        <v>0.78520000000000001</v>
      </c>
      <c r="G67" s="3" t="s">
        <v>2312</v>
      </c>
      <c r="I67" t="s">
        <v>104</v>
      </c>
      <c r="J67" t="s">
        <v>104</v>
      </c>
      <c r="L67" s="14" t="s">
        <v>12</v>
      </c>
      <c r="M67" s="39">
        <f>VLOOKUP(L67,Table5[#All],2,0)/Table8[[#This Row],[Convrsion Rate]]</f>
        <v>0.87657561290420927</v>
      </c>
      <c r="N67" s="13">
        <f>VLOOKUP(L67,Table5[#All],3,0)</f>
        <v>22413.45</v>
      </c>
      <c r="O67" s="13" t="str">
        <f>VLOOKUP(L67,Table5[#All],4,0)</f>
        <v>Euro Area</v>
      </c>
      <c r="P67" s="13" t="s">
        <v>9</v>
      </c>
      <c r="Q67" s="31">
        <f>INDEX($F$4:$F$87,MATCH(Table8[[#This Row],[Local Currency]],$G$4:$G$87,0))</f>
        <v>0.78715400000000002</v>
      </c>
    </row>
    <row r="68" spans="5:17" x14ac:dyDescent="0.25">
      <c r="E68" s="3" t="s">
        <v>2313</v>
      </c>
      <c r="F68" s="3">
        <v>56.885300000000001</v>
      </c>
      <c r="G68" s="3" t="s">
        <v>2314</v>
      </c>
      <c r="I68" t="s">
        <v>130</v>
      </c>
      <c r="J68" t="s">
        <v>130</v>
      </c>
      <c r="L68" s="14" t="s">
        <v>106</v>
      </c>
      <c r="M68" s="39">
        <f>VLOOKUP(L68,Table5[#All],2,0)/Table8[[#This Row],[Convrsion Rate]]</f>
        <v>0.95521978021978016</v>
      </c>
      <c r="N68" s="13">
        <f>VLOOKUP(L68,Table5[#All],3,0)</f>
        <v>98329.49</v>
      </c>
      <c r="O68" s="13" t="str">
        <f>VLOOKUP(L68,Table5[#All],4,0)</f>
        <v>Middle East and North Africa</v>
      </c>
      <c r="P68" s="13" t="s">
        <v>2102</v>
      </c>
      <c r="Q68" s="31">
        <f>INDEX($F$4:$F$87,MATCH(Table8[[#This Row],[Local Currency]],$G$4:$G$87,0))</f>
        <v>3.64</v>
      </c>
    </row>
    <row r="69" spans="5:17" ht="15" customHeight="1" x14ac:dyDescent="0.25">
      <c r="E69" s="3" t="s">
        <v>2315</v>
      </c>
      <c r="F69" s="3">
        <v>6.96</v>
      </c>
      <c r="G69" s="3" t="s">
        <v>2316</v>
      </c>
      <c r="I69" t="s">
        <v>126</v>
      </c>
      <c r="J69" t="s">
        <v>68</v>
      </c>
      <c r="L69" s="14" t="s">
        <v>71</v>
      </c>
      <c r="M69" s="39">
        <f>VLOOKUP(L69,Table5[#All],2,0)/Table8[[#This Row],[Convrsion Rate]]</f>
        <v>0.60315326326081642</v>
      </c>
      <c r="N69" s="13">
        <f>VLOOKUP(L69,Table5[#All],3,0)</f>
        <v>3210.3</v>
      </c>
      <c r="O69" s="13" t="str">
        <f>VLOOKUP(L69,Table5[#All],4,0)</f>
        <v>Commonwealth of Independent States</v>
      </c>
      <c r="P69" s="13" t="s">
        <v>2322</v>
      </c>
      <c r="Q69" s="31">
        <f>INDEX($F$4:$F$87,MATCH(Table8[[#This Row],[Local Currency]],$G$4:$G$87,0))</f>
        <v>1.6364000000000001</v>
      </c>
    </row>
    <row r="70" spans="5:17" x14ac:dyDescent="0.25">
      <c r="E70" s="3" t="s">
        <v>2317</v>
      </c>
      <c r="F70" s="3">
        <v>4105</v>
      </c>
      <c r="G70" s="3" t="s">
        <v>2318</v>
      </c>
      <c r="I70" t="s">
        <v>141</v>
      </c>
      <c r="J70" t="s">
        <v>38</v>
      </c>
      <c r="L70" s="14" t="s">
        <v>26</v>
      </c>
      <c r="M70" s="39">
        <f>VLOOKUP(L70,Table5[#All],2,0)/Table8[[#This Row],[Convrsion Rate]]</f>
        <v>0.61647227582438224</v>
      </c>
      <c r="N70" s="13">
        <f>VLOOKUP(L70,Table5[#All],3,0)</f>
        <v>8862.8700000000008</v>
      </c>
      <c r="O70" s="13" t="str">
        <f>VLOOKUP(L70,Table5[#All],4,0)</f>
        <v>Central and Eastern Europe</v>
      </c>
      <c r="P70" s="13" t="s">
        <v>101</v>
      </c>
      <c r="Q70" s="31">
        <f>INDEX($F$4:$F$87,MATCH(Table8[[#This Row],[Local Currency]],$G$4:$G$87,0))</f>
        <v>3.5135399999999999</v>
      </c>
    </row>
    <row r="71" spans="5:17" ht="15" customHeight="1" x14ac:dyDescent="0.25">
      <c r="E71" s="3" t="s">
        <v>2319</v>
      </c>
      <c r="F71" s="3">
        <v>20.7316</v>
      </c>
      <c r="G71" s="3" t="s">
        <v>2320</v>
      </c>
      <c r="I71" t="s">
        <v>162</v>
      </c>
      <c r="J71" t="s">
        <v>162</v>
      </c>
      <c r="L71" s="14" t="s">
        <v>22</v>
      </c>
      <c r="M71" s="39">
        <f>VLOOKUP(L71,Table5[#All],2,0)/Table8[[#This Row],[Convrsion Rate]]</f>
        <v>0.7009199343694118</v>
      </c>
      <c r="N71" s="13">
        <f>VLOOKUP(L71,Table5[#All],3,0)</f>
        <v>12993.36</v>
      </c>
      <c r="O71" s="13" t="str">
        <f>VLOOKUP(L71,Table5[#All],4,0)</f>
        <v>Commonwealth of Independent States</v>
      </c>
      <c r="P71" s="13" t="s">
        <v>2105</v>
      </c>
      <c r="Q71" s="31">
        <f>INDEX($F$4:$F$87,MATCH(Table8[[#This Row],[Local Currency]],$G$4:$G$87,0))</f>
        <v>32.5458</v>
      </c>
    </row>
    <row r="72" spans="5:17" ht="15" customHeight="1" x14ac:dyDescent="0.25">
      <c r="E72" s="3" t="s">
        <v>2323</v>
      </c>
      <c r="F72" s="3">
        <v>1.9319999999999999</v>
      </c>
      <c r="G72" s="3" t="s">
        <v>2324</v>
      </c>
      <c r="I72" t="s">
        <v>144</v>
      </c>
      <c r="J72" t="s">
        <v>144</v>
      </c>
      <c r="L72" s="14" t="s">
        <v>38</v>
      </c>
      <c r="M72" s="39">
        <f>VLOOKUP(L72,Table5[#All],2,0)/Table8[[#This Row],[Convrsion Rate]]</f>
        <v>0.8448</v>
      </c>
      <c r="N72" s="13">
        <f>VLOOKUP(L72,Table5[#All],3,0)</f>
        <v>20504.36</v>
      </c>
      <c r="O72" s="13" t="str">
        <f>VLOOKUP(L72,Table5[#All],4,0)</f>
        <v>Middle East and North Africa</v>
      </c>
      <c r="P72" s="13" t="s">
        <v>2107</v>
      </c>
      <c r="Q72" s="31">
        <f>INDEX($F$4:$F$87,MATCH(Table8[[#This Row],[Local Currency]],$G$4:$G$87,0))</f>
        <v>3.75</v>
      </c>
    </row>
    <row r="73" spans="5:17" x14ac:dyDescent="0.25">
      <c r="E73" s="3" t="s">
        <v>2325</v>
      </c>
      <c r="F73" s="3">
        <v>200.95</v>
      </c>
      <c r="G73" s="3" t="s">
        <v>2326</v>
      </c>
      <c r="I73" t="s">
        <v>85</v>
      </c>
      <c r="J73" t="s">
        <v>85</v>
      </c>
      <c r="L73" s="14" t="s">
        <v>44</v>
      </c>
      <c r="M73" s="39">
        <f>VLOOKUP(L73,Table5[#All],2,0)/Table8[[#This Row],[Convrsion Rate]]</f>
        <v>0.81879925219490268</v>
      </c>
      <c r="N73" s="13">
        <f>VLOOKUP(L73,Table5[#All],3,0)</f>
        <v>49270.87</v>
      </c>
      <c r="O73" s="13" t="str">
        <f>VLOOKUP(L73,Table5[#All],4,0)</f>
        <v>Newly Industrialized Asian Economies</v>
      </c>
      <c r="P73" s="13" t="s">
        <v>122</v>
      </c>
      <c r="Q73" s="31">
        <f>INDEX($F$4:$F$87,MATCH(Table8[[#This Row],[Local Currency]],$G$4:$G$87,0))</f>
        <v>1.2677099999999999</v>
      </c>
    </row>
    <row r="74" spans="5:17" ht="15" customHeight="1" x14ac:dyDescent="0.25">
      <c r="E74" s="3" t="s">
        <v>2327</v>
      </c>
      <c r="F74" s="3">
        <v>8.4305299999999992</v>
      </c>
      <c r="G74" s="3" t="s">
        <v>2328</v>
      </c>
      <c r="I74" t="s">
        <v>161</v>
      </c>
      <c r="J74" t="s">
        <v>161</v>
      </c>
      <c r="L74" s="14" t="s">
        <v>162</v>
      </c>
      <c r="M74" s="39">
        <f>VLOOKUP(L74,Table5[#All],2,0)/Table8[[#This Row],[Convrsion Rate]]</f>
        <v>0.69109729481143467</v>
      </c>
      <c r="N74" s="13">
        <f>VLOOKUP(L74,Table5[#All],3,0)</f>
        <v>17643.54</v>
      </c>
      <c r="O74" s="13" t="str">
        <f>VLOOKUP(L74,Table5[#All],4,0)</f>
        <v>Euro Area</v>
      </c>
      <c r="P74" s="13" t="s">
        <v>9</v>
      </c>
      <c r="Q74" s="31">
        <f>INDEX($F$4:$F$87,MATCH(Table8[[#This Row],[Local Currency]],$G$4:$G$87,0))</f>
        <v>0.78715400000000002</v>
      </c>
    </row>
    <row r="75" spans="5:17" x14ac:dyDescent="0.25">
      <c r="E75" s="3" t="s">
        <v>2330</v>
      </c>
      <c r="F75" s="3">
        <v>27.7</v>
      </c>
      <c r="G75" s="3" t="s">
        <v>2331</v>
      </c>
      <c r="I75" t="s">
        <v>155</v>
      </c>
      <c r="J75" t="s">
        <v>155</v>
      </c>
      <c r="L75" s="14" t="s">
        <v>112</v>
      </c>
      <c r="M75" s="39">
        <f>VLOOKUP(L75,Table5[#All],2,0)/Table8[[#This Row],[Convrsion Rate]]</f>
        <v>0.78256605441883031</v>
      </c>
      <c r="N75" s="13">
        <f>VLOOKUP(L75,Table5[#All],3,0)</f>
        <v>24533.08</v>
      </c>
      <c r="O75" s="13" t="str">
        <f>VLOOKUP(L75,Table5[#All],4,0)</f>
        <v>Euro Area</v>
      </c>
      <c r="P75" s="13" t="s">
        <v>9</v>
      </c>
      <c r="Q75" s="31">
        <f>INDEX($F$4:$F$87,MATCH(Table8[[#This Row],[Local Currency]],$G$4:$G$87,0))</f>
        <v>0.78715400000000002</v>
      </c>
    </row>
    <row r="76" spans="5:17" ht="15" customHeight="1" x14ac:dyDescent="0.25">
      <c r="E76" s="3" t="s">
        <v>2332</v>
      </c>
      <c r="F76" s="3">
        <v>867</v>
      </c>
      <c r="G76" s="3" t="s">
        <v>2333</v>
      </c>
      <c r="I76" t="s">
        <v>109</v>
      </c>
      <c r="J76" t="s">
        <v>123</v>
      </c>
      <c r="L76" s="14" t="s">
        <v>18</v>
      </c>
      <c r="M76" s="39">
        <f>VLOOKUP(L76,Table5[#All],2,0)/Table8[[#This Row],[Convrsion Rate]]</f>
        <v>0.65008693022904218</v>
      </c>
      <c r="N76" s="13">
        <f>VLOOKUP(L76,Table5[#All],3,0)</f>
        <v>8066.15</v>
      </c>
      <c r="O76" s="13" t="str">
        <f>VLOOKUP(L76,Table5[#All],4,0)</f>
        <v>Sub-Saharan Africa</v>
      </c>
      <c r="P76" s="13" t="s">
        <v>75</v>
      </c>
      <c r="Q76" s="31">
        <f>INDEX($F$4:$F$87,MATCH(Table8[[#This Row],[Local Currency]],$G$4:$G$87,0))</f>
        <v>8.2019800000000007</v>
      </c>
    </row>
    <row r="77" spans="5:17" ht="15" customHeight="1" x14ac:dyDescent="0.25">
      <c r="E77" s="3" t="s">
        <v>2334</v>
      </c>
      <c r="F77" s="3">
        <v>4500</v>
      </c>
      <c r="G77" s="3" t="s">
        <v>2335</v>
      </c>
      <c r="I77" t="s">
        <v>156</v>
      </c>
      <c r="J77" t="s">
        <v>156</v>
      </c>
      <c r="L77" s="14" t="s">
        <v>76</v>
      </c>
      <c r="M77" s="39">
        <f>VLOOKUP(L77,Table5[#All],2,0)/Table8[[#This Row],[Convrsion Rate]]</f>
        <v>0.96423317419463028</v>
      </c>
      <c r="N77" s="13">
        <f>VLOOKUP(L77,Table5[#All],3,0)</f>
        <v>32360.1</v>
      </c>
      <c r="O77" s="13" t="str">
        <f>VLOOKUP(L77,Table5[#All],4,0)</f>
        <v>Euro Area</v>
      </c>
      <c r="P77" s="13" t="s">
        <v>9</v>
      </c>
      <c r="Q77" s="31">
        <f>INDEX($F$4:$F$87,MATCH(Table8[[#This Row],[Local Currency]],$G$4:$G$87,0))</f>
        <v>0.78715400000000002</v>
      </c>
    </row>
    <row r="78" spans="5:17" ht="15" customHeight="1" x14ac:dyDescent="0.25">
      <c r="E78" s="3" t="s">
        <v>2336</v>
      </c>
      <c r="F78" s="3">
        <v>2.66</v>
      </c>
      <c r="G78" s="3" t="s">
        <v>2337</v>
      </c>
      <c r="I78" t="s">
        <v>151</v>
      </c>
      <c r="J78" t="s">
        <v>151</v>
      </c>
      <c r="L78" s="14" t="s">
        <v>87</v>
      </c>
      <c r="M78" s="39">
        <f>VLOOKUP(L78,Table5[#All],2,0)/Table8[[#This Row],[Convrsion Rate]]</f>
        <v>0.42199432686013522</v>
      </c>
      <c r="N78" s="13">
        <f>VLOOKUP(L78,Table5[#All],3,0)</f>
        <v>2876.97</v>
      </c>
      <c r="O78" s="13" t="str">
        <f>VLOOKUP(L78,Table5[#All],4,0)</f>
        <v>Developing Asia</v>
      </c>
      <c r="P78" s="13" t="s">
        <v>120</v>
      </c>
      <c r="Q78" s="31">
        <f>INDEX($F$4:$F$87,MATCH(Table8[[#This Row],[Local Currency]],$G$4:$G$87,0))</f>
        <v>132.90700000000001</v>
      </c>
    </row>
    <row r="79" spans="5:17" ht="15" customHeight="1" x14ac:dyDescent="0.25">
      <c r="E79" s="3" t="s">
        <v>2321</v>
      </c>
      <c r="F79" s="3">
        <v>1.6364000000000001</v>
      </c>
      <c r="G79" s="3" t="s">
        <v>2322</v>
      </c>
      <c r="I79" t="s">
        <v>165</v>
      </c>
      <c r="J79" t="s">
        <v>165</v>
      </c>
      <c r="L79" s="14" t="s">
        <v>60</v>
      </c>
      <c r="M79" s="39">
        <f>VLOOKUP(L79,Table5[#All],2,0)/Table8[[#This Row],[Convrsion Rate]]</f>
        <v>1.3153074725151594</v>
      </c>
      <c r="N79" s="13">
        <f>VLOOKUP(L79,Table5[#All],3,0)</f>
        <v>56956.31</v>
      </c>
      <c r="O79" s="13" t="str">
        <f>VLOOKUP(L79,Table5[#All],4,0)</f>
        <v>Other Advanced Economies</v>
      </c>
      <c r="P79" s="13" t="s">
        <v>59</v>
      </c>
      <c r="Q79" s="31">
        <f>INDEX($F$4:$F$87,MATCH(Table8[[#This Row],[Local Currency]],$G$4:$G$87,0))</f>
        <v>6.9611099999999997</v>
      </c>
    </row>
    <row r="80" spans="5:17" x14ac:dyDescent="0.25">
      <c r="E80" s="3" t="s">
        <v>2338</v>
      </c>
      <c r="F80" s="3">
        <v>1.59396</v>
      </c>
      <c r="G80" s="3" t="s">
        <v>2339</v>
      </c>
      <c r="I80" t="s">
        <v>111</v>
      </c>
      <c r="J80" t="s">
        <v>111</v>
      </c>
      <c r="L80" s="14" t="s">
        <v>17</v>
      </c>
      <c r="M80" s="39">
        <f>VLOOKUP(L80,Table5[#All],2,0)/Table8[[#This Row],[Convrsion Rate]]</f>
        <v>1.7581850283457086</v>
      </c>
      <c r="N80" s="13">
        <f>VLOOKUP(L80,Table5[#All],3,0)</f>
        <v>81160.62</v>
      </c>
      <c r="O80" s="13" t="str">
        <f>VLOOKUP(L80,Table5[#All],4,0)</f>
        <v>Other Advanced Economies</v>
      </c>
      <c r="P80" s="13" t="s">
        <v>166</v>
      </c>
      <c r="Q80" s="31">
        <f>INDEX($F$4:$F$87,MATCH(Table8[[#This Row],[Local Currency]],$G$4:$G$87,0))</f>
        <v>0.94529300000000005</v>
      </c>
    </row>
    <row r="81" spans="5:17" x14ac:dyDescent="0.25">
      <c r="E81" s="3" t="s">
        <v>2340</v>
      </c>
      <c r="F81" s="37">
        <v>2470</v>
      </c>
      <c r="G81" s="3" t="s">
        <v>2341</v>
      </c>
      <c r="I81" t="s">
        <v>36</v>
      </c>
      <c r="J81" t="s">
        <v>18</v>
      </c>
      <c r="L81" s="14" t="s">
        <v>50</v>
      </c>
      <c r="M81" s="39">
        <f>VLOOKUP(L81,Table5[#All],2,0)/Table8[[#This Row],[Convrsion Rate]]</f>
        <v>0.5557089932476833</v>
      </c>
      <c r="N81" s="13">
        <f>VLOOKUP(L81,Table5[#All],3,0)</f>
        <v>5394.36</v>
      </c>
      <c r="O81" s="13" t="str">
        <f>VLOOKUP(L81,Table5[#All],4,0)</f>
        <v>Developing Asia</v>
      </c>
      <c r="P81" s="13" t="s">
        <v>2118</v>
      </c>
      <c r="Q81" s="31">
        <f>INDEX($F$4:$F$87,MATCH(Table8[[#This Row],[Local Currency]],$G$4:$G$87,0))</f>
        <v>31.500299999999999</v>
      </c>
    </row>
    <row r="82" spans="5:17" x14ac:dyDescent="0.25">
      <c r="E82" s="3" t="s">
        <v>2342</v>
      </c>
      <c r="F82" s="3">
        <v>8.0749999999999993</v>
      </c>
      <c r="G82" s="3" t="s">
        <v>2343</v>
      </c>
      <c r="I82" t="s">
        <v>154</v>
      </c>
      <c r="J82" t="s">
        <v>154</v>
      </c>
      <c r="L82" s="14" t="s">
        <v>163</v>
      </c>
      <c r="M82" s="39">
        <f>VLOOKUP(L82,Table5[#All],2,0)/Table8[[#This Row],[Convrsion Rate]]</f>
        <v>0.40527993174232729</v>
      </c>
      <c r="N82" s="13">
        <f>VLOOKUP(L82,Table5[#All],3,0)</f>
        <v>4351.18</v>
      </c>
      <c r="O82" s="13" t="str">
        <f>VLOOKUP(L82,Table5[#All],4,0)</f>
        <v>Middle East and North Africa</v>
      </c>
      <c r="P82" s="13" t="s">
        <v>2339</v>
      </c>
      <c r="Q82" s="31">
        <f>INDEX($F$4:$F$87,MATCH(Table8[[#This Row],[Local Currency]],$G$4:$G$87,0))</f>
        <v>1.59396</v>
      </c>
    </row>
    <row r="83" spans="5:17" ht="15" customHeight="1" x14ac:dyDescent="0.25">
      <c r="E83" s="3" t="s">
        <v>2344</v>
      </c>
      <c r="F83" s="3">
        <v>21.55</v>
      </c>
      <c r="G83" s="3" t="s">
        <v>2345</v>
      </c>
      <c r="I83" t="s">
        <v>80</v>
      </c>
      <c r="J83" t="s">
        <v>80</v>
      </c>
      <c r="L83" s="14" t="s">
        <v>47</v>
      </c>
      <c r="M83" s="39">
        <f>VLOOKUP(L83,Table5[#All],2,0)/Table8[[#This Row],[Convrsion Rate]]</f>
        <v>0.67708014065434363</v>
      </c>
      <c r="N83" s="13">
        <f>VLOOKUP(L83,Table5[#All],3,0)</f>
        <v>10521.82</v>
      </c>
      <c r="O83" s="13" t="str">
        <f>VLOOKUP(L83,Table5[#All],4,0)</f>
        <v>Central and Eastern Europe</v>
      </c>
      <c r="P83" s="13" t="s">
        <v>2122</v>
      </c>
      <c r="Q83" s="31">
        <f>INDEX($F$4:$F$87,MATCH(Table8[[#This Row],[Local Currency]],$G$4:$G$87,0))</f>
        <v>1.79447</v>
      </c>
    </row>
    <row r="84" spans="5:17" x14ac:dyDescent="0.25">
      <c r="E84" s="3" t="s">
        <v>2346</v>
      </c>
      <c r="F84" s="37">
        <v>20870</v>
      </c>
      <c r="G84" s="3" t="s">
        <v>2347</v>
      </c>
      <c r="I84" t="s">
        <v>92</v>
      </c>
      <c r="J84" t="s">
        <v>92</v>
      </c>
      <c r="L84" s="14" t="s">
        <v>45</v>
      </c>
      <c r="M84" s="39">
        <f>VLOOKUP(L84,Table5[#All],2,0)/Table8[[#This Row],[Convrsion Rate]]</f>
        <v>1.3910401768336007</v>
      </c>
      <c r="N84" s="13">
        <f>VLOOKUP(L84,Table5[#All],3,0)</f>
        <v>67007.98</v>
      </c>
      <c r="O84" s="13" t="str">
        <f>VLOOKUP(L84,Table5[#All],4,0)</f>
        <v>Middle East and North Africa</v>
      </c>
      <c r="P84" s="13" t="s">
        <v>54</v>
      </c>
      <c r="Q84" s="31">
        <f>INDEX($F$4:$F$87,MATCH(Table8[[#This Row],[Local Currency]],$G$4:$G$87,0))</f>
        <v>3.6735099999999998</v>
      </c>
    </row>
    <row r="85" spans="5:17" ht="15" customHeight="1" x14ac:dyDescent="0.25">
      <c r="E85" s="3" t="s">
        <v>2329</v>
      </c>
      <c r="F85" s="38">
        <v>5170</v>
      </c>
      <c r="G85" s="3" t="s">
        <v>2348</v>
      </c>
      <c r="I85" t="s">
        <v>70</v>
      </c>
      <c r="J85" t="s">
        <v>70</v>
      </c>
      <c r="L85" s="14" t="s">
        <v>140</v>
      </c>
      <c r="M85" s="39">
        <f>VLOOKUP(L85,Table5[#All],2,0)/Table8[[#This Row],[Convrsion Rate]]</f>
        <v>0.34101295546558708</v>
      </c>
      <c r="N85" s="13">
        <f>VLOOKUP(L85,Table5[#All],3,0)</f>
        <v>477.54500000000002</v>
      </c>
      <c r="O85" s="13" t="str">
        <f>VLOOKUP(L85,Table5[#All],4,0)</f>
        <v>Sub-Saharan Africa</v>
      </c>
      <c r="P85" s="13" t="s">
        <v>2341</v>
      </c>
      <c r="Q85" s="31">
        <f>INDEX($F$4:$F$87,MATCH(Table8[[#This Row],[Local Currency]],$G$4:$G$87,0))</f>
        <v>2470</v>
      </c>
    </row>
    <row r="86" spans="5:17" x14ac:dyDescent="0.25">
      <c r="E86" s="3" t="s">
        <v>2365</v>
      </c>
      <c r="F86" s="38">
        <v>12250</v>
      </c>
      <c r="G86" s="3" t="s">
        <v>2366</v>
      </c>
      <c r="I86" t="s">
        <v>102</v>
      </c>
      <c r="J86" t="s">
        <v>46</v>
      </c>
      <c r="L86" s="14" t="s">
        <v>25</v>
      </c>
      <c r="M86" s="39">
        <f>VLOOKUP(L86,Table5[#All],2,0)/Table8[[#This Row],[Convrsion Rate]]</f>
        <v>1.0513109074688785</v>
      </c>
      <c r="N86" s="13">
        <f>VLOOKUP(L86,Table5[#All],3,0)</f>
        <v>38592.1</v>
      </c>
      <c r="O86" s="13" t="str">
        <f>VLOOKUP(L86,Table5[#All],4,0)</f>
        <v>Major Advanced Economies (G7)</v>
      </c>
      <c r="P86" s="13" t="s">
        <v>24</v>
      </c>
      <c r="Q86" s="31">
        <f>INDEX($F$4:$F$87,MATCH(Table8[[#This Row],[Local Currency]],$G$4:$G$87,0))</f>
        <v>0.63444599999999995</v>
      </c>
    </row>
    <row r="87" spans="5:17" x14ac:dyDescent="0.25">
      <c r="E87" s="3" t="s">
        <v>2349</v>
      </c>
      <c r="F87" s="3">
        <v>3.6190000000000002</v>
      </c>
      <c r="G87" s="3" t="s">
        <v>2350</v>
      </c>
      <c r="I87" t="s">
        <v>82</v>
      </c>
      <c r="J87" t="s">
        <v>40</v>
      </c>
      <c r="L87" s="14" t="s">
        <v>11</v>
      </c>
      <c r="M87" s="39">
        <f>VLOOKUP(L87,Table5[#All],2,0)/Table8[[#This Row],[Convrsion Rate]]</f>
        <v>0.49399380804953563</v>
      </c>
      <c r="N87" s="13">
        <f>VLOOKUP(L87,Table5[#All],3,0)</f>
        <v>3621.22</v>
      </c>
      <c r="O87" s="13" t="str">
        <f>VLOOKUP(L87,Table5[#All],4,0)</f>
        <v>Commonwealth of Independent States</v>
      </c>
      <c r="P87" s="13" t="s">
        <v>2343</v>
      </c>
      <c r="Q87" s="31">
        <f>INDEX($F$4:$F$87,MATCH(Table8[[#This Row],[Local Currency]],$G$4:$G$87,0))</f>
        <v>8.0749999999999993</v>
      </c>
    </row>
    <row r="88" spans="5:17" x14ac:dyDescent="0.25">
      <c r="E88" s="3"/>
      <c r="F88" s="3"/>
      <c r="G88" s="3"/>
      <c r="I88" t="s">
        <v>169</v>
      </c>
      <c r="J88" t="s">
        <v>103</v>
      </c>
      <c r="L88" s="14" t="s">
        <v>104</v>
      </c>
      <c r="M88" s="39">
        <f>VLOOKUP(L88,Table5[#All],2,0)/Table8[[#This Row],[Convrsion Rate]]</f>
        <v>0.82232018561484921</v>
      </c>
      <c r="N88" s="13">
        <f>VLOOKUP(L88,Table5[#All],3,0)</f>
        <v>13914.33</v>
      </c>
      <c r="O88" s="13" t="str">
        <f>VLOOKUP(L88,Table5[#All],4,0)</f>
        <v>Latin America and the Caribbean</v>
      </c>
      <c r="P88" s="13" t="s">
        <v>2345</v>
      </c>
      <c r="Q88" s="31">
        <f>INDEX($F$4:$F$87,MATCH(Table8[[#This Row],[Local Currency]],$G$4:$G$87,0))</f>
        <v>21.55</v>
      </c>
    </row>
    <row r="89" spans="5:17" x14ac:dyDescent="0.25">
      <c r="I89" t="s">
        <v>50</v>
      </c>
      <c r="J89" t="s">
        <v>50</v>
      </c>
      <c r="L89" s="14" t="s">
        <v>5</v>
      </c>
      <c r="M89" s="39">
        <f>VLOOKUP(L89,Table5[#All],2,0)/Table8[[#This Row],[Convrsion Rate]]</f>
        <v>1</v>
      </c>
      <c r="N89" s="13">
        <f>VLOOKUP(L89,Table5[#All],3,0)</f>
        <v>48386.69</v>
      </c>
      <c r="O89" s="13" t="str">
        <f>VLOOKUP(L89,Table5[#All],4,0)</f>
        <v>Major Advanced Economies (G7)</v>
      </c>
      <c r="P89" s="13" t="s">
        <v>2</v>
      </c>
      <c r="Q89" s="31">
        <v>1</v>
      </c>
    </row>
    <row r="90" spans="5:17" x14ac:dyDescent="0.25">
      <c r="I90" t="s">
        <v>124</v>
      </c>
      <c r="J90" t="s">
        <v>142</v>
      </c>
      <c r="L90" s="14" t="s">
        <v>151</v>
      </c>
      <c r="M90" s="39">
        <f>VLOOKUP(L90,Table5[#All],2,0)/Table8[[#This Row],[Convrsion Rate]]</f>
        <v>0.40490943938667939</v>
      </c>
      <c r="N90" s="13">
        <f>VLOOKUP(L90,Table5[#All],3,0)</f>
        <v>1374.01</v>
      </c>
      <c r="O90" s="13" t="str">
        <f>VLOOKUP(L90,Table5[#All],4,0)</f>
        <v>Developing Asia</v>
      </c>
      <c r="P90" s="13" t="s">
        <v>2347</v>
      </c>
      <c r="Q90" s="31">
        <f>INDEX($F$4:$F$87,MATCH(Table8[[#This Row],[Local Currency]],$G$4:$G$87,0))</f>
        <v>20870</v>
      </c>
    </row>
    <row r="91" spans="5:17" x14ac:dyDescent="0.25">
      <c r="I91" t="s">
        <v>118</v>
      </c>
      <c r="J91" t="s">
        <v>118</v>
      </c>
      <c r="L91" s="14" t="s">
        <v>114</v>
      </c>
      <c r="M91" s="39">
        <f>VLOOKUP(L91,Table5[#All],2,0)/Table8[[#This Row],[Convrsion Rate]]</f>
        <v>0.82520696324951637</v>
      </c>
      <c r="N91" s="13">
        <f>VLOOKUP(L91,Table5[#All],3,0)</f>
        <v>1413.77</v>
      </c>
      <c r="O91" s="13" t="str">
        <f>VLOOKUP(L91,Table5[#All],4,0)</f>
        <v>Sub-Saharan Africa</v>
      </c>
      <c r="P91" s="13" t="s">
        <v>2348</v>
      </c>
      <c r="Q91" s="31">
        <f>INDEX($F$4:$F$87,MATCH(Table8[[#This Row],[Local Currency]],$G$4:$G$87,0))</f>
        <v>5170</v>
      </c>
    </row>
    <row r="92" spans="5:17" x14ac:dyDescent="0.25">
      <c r="I92" t="s">
        <v>160</v>
      </c>
      <c r="J92" t="s">
        <v>160</v>
      </c>
      <c r="L92" s="14" t="s">
        <v>111</v>
      </c>
      <c r="M92" s="39">
        <f>VLOOKUP(L92,Table5[#All],2,0)/Table8[[#This Row],[Convrsion Rate]]</f>
        <v>0.42055816523901629</v>
      </c>
      <c r="N92" s="13">
        <f>VLOOKUP(L92,Table5[#All],3,0)</f>
        <v>741.375</v>
      </c>
      <c r="O92" s="13" t="str">
        <f>VLOOKUP(L92,Table5[#All],4,0)</f>
        <v>Sub-Saharan Africa</v>
      </c>
      <c r="P92" s="13" t="s">
        <v>2350</v>
      </c>
      <c r="Q92" s="31">
        <f>INDEX($F$4:$F$87,MATCH(Table8[[#This Row],[Local Currency]],$G$4:$G$87,0))</f>
        <v>3.6190000000000002</v>
      </c>
    </row>
    <row r="93" spans="5:17" x14ac:dyDescent="0.25">
      <c r="I93" t="s">
        <v>91</v>
      </c>
      <c r="J93" t="s">
        <v>91</v>
      </c>
    </row>
    <row r="94" spans="5:17" x14ac:dyDescent="0.25">
      <c r="I94" t="s">
        <v>65</v>
      </c>
      <c r="J94" t="s">
        <v>65</v>
      </c>
      <c r="L94" s="8"/>
      <c r="M94" s="8"/>
    </row>
    <row r="95" spans="5:17" x14ac:dyDescent="0.25">
      <c r="I95" t="s">
        <v>107</v>
      </c>
      <c r="J95" t="s">
        <v>151</v>
      </c>
      <c r="L95" s="8"/>
      <c r="M95" s="8"/>
    </row>
    <row r="96" spans="5:17" x14ac:dyDescent="0.25">
      <c r="I96" t="s">
        <v>137</v>
      </c>
      <c r="J96" t="s">
        <v>137</v>
      </c>
      <c r="L96" s="8"/>
      <c r="M96" s="8"/>
    </row>
    <row r="97" spans="9:13" x14ac:dyDescent="0.25">
      <c r="I97" t="s">
        <v>72</v>
      </c>
      <c r="J97" t="s">
        <v>72</v>
      </c>
      <c r="L97" s="8"/>
      <c r="M97" s="8"/>
    </row>
    <row r="98" spans="9:13" x14ac:dyDescent="0.25">
      <c r="I98" t="s">
        <v>125</v>
      </c>
      <c r="J98" t="s">
        <v>125</v>
      </c>
      <c r="L98" s="8"/>
      <c r="M98" s="8"/>
    </row>
    <row r="99" spans="9:13" x14ac:dyDescent="0.25">
      <c r="I99" t="s">
        <v>149</v>
      </c>
      <c r="J99" t="s">
        <v>103</v>
      </c>
    </row>
    <row r="100" spans="9:13" x14ac:dyDescent="0.25">
      <c r="I100" t="s">
        <v>158</v>
      </c>
      <c r="J100" t="s">
        <v>158</v>
      </c>
    </row>
    <row r="101" spans="9:13" x14ac:dyDescent="0.25">
      <c r="I101" t="s">
        <v>71</v>
      </c>
      <c r="J101" t="s">
        <v>71</v>
      </c>
    </row>
    <row r="102" spans="9:13" x14ac:dyDescent="0.25">
      <c r="I102" t="s">
        <v>73</v>
      </c>
      <c r="J102" t="s">
        <v>2252</v>
      </c>
    </row>
    <row r="103" spans="9:13" x14ac:dyDescent="0.25">
      <c r="I103" t="s">
        <v>4</v>
      </c>
      <c r="J103" t="s">
        <v>99</v>
      </c>
    </row>
    <row r="104" spans="9:13" x14ac:dyDescent="0.25">
      <c r="I104" t="s">
        <v>139</v>
      </c>
      <c r="J104" t="s">
        <v>139</v>
      </c>
    </row>
    <row r="105" spans="9:13" x14ac:dyDescent="0.25">
      <c r="I105" t="s">
        <v>49</v>
      </c>
      <c r="J105" t="s">
        <v>49</v>
      </c>
    </row>
    <row r="106" spans="9:13" x14ac:dyDescent="0.25">
      <c r="I106" t="s">
        <v>148</v>
      </c>
      <c r="J106" t="s">
        <v>139</v>
      </c>
    </row>
    <row r="107" spans="9:13" x14ac:dyDescent="0.25">
      <c r="I107" t="s">
        <v>35</v>
      </c>
      <c r="J107" t="s">
        <v>33</v>
      </c>
    </row>
    <row r="108" spans="9:13" x14ac:dyDescent="0.25">
      <c r="I108" t="s">
        <v>152</v>
      </c>
      <c r="J108" t="s">
        <v>119</v>
      </c>
    </row>
    <row r="109" spans="9:13" x14ac:dyDescent="0.25">
      <c r="I109" t="s">
        <v>95</v>
      </c>
      <c r="J109" t="s">
        <v>95</v>
      </c>
    </row>
    <row r="110" spans="9:13" x14ac:dyDescent="0.25">
      <c r="I110" t="s">
        <v>168</v>
      </c>
      <c r="J110" t="s">
        <v>168</v>
      </c>
    </row>
    <row r="111" spans="9:13" x14ac:dyDescent="0.25">
      <c r="I111" t="s">
        <v>112</v>
      </c>
      <c r="J111" t="s">
        <v>112</v>
      </c>
    </row>
    <row r="112" spans="9:13" x14ac:dyDescent="0.25">
      <c r="I112" t="s">
        <v>115</v>
      </c>
      <c r="J112" t="s">
        <v>84</v>
      </c>
    </row>
    <row r="113" spans="9:10" x14ac:dyDescent="0.25">
      <c r="I113" t="s">
        <v>150</v>
      </c>
      <c r="J113" t="s">
        <v>150</v>
      </c>
    </row>
    <row r="114" spans="9:10" x14ac:dyDescent="0.25">
      <c r="I114" t="s">
        <v>110</v>
      </c>
      <c r="J114" t="s">
        <v>110</v>
      </c>
    </row>
    <row r="115" spans="9:10" x14ac:dyDescent="0.25">
      <c r="I115" t="s">
        <v>143</v>
      </c>
      <c r="J115" t="s">
        <v>143</v>
      </c>
    </row>
    <row r="116" spans="9:10" x14ac:dyDescent="0.25">
      <c r="I116" t="s">
        <v>89</v>
      </c>
      <c r="J116" t="s">
        <v>50</v>
      </c>
    </row>
    <row r="117" spans="9:10" x14ac:dyDescent="0.25">
      <c r="I117" t="s">
        <v>138</v>
      </c>
      <c r="J117" t="s">
        <v>87</v>
      </c>
    </row>
    <row r="118" spans="9:10" x14ac:dyDescent="0.25">
      <c r="I118" t="s">
        <v>153</v>
      </c>
      <c r="J118" t="s">
        <v>77</v>
      </c>
    </row>
    <row r="119" spans="9:10" x14ac:dyDescent="0.25">
      <c r="I119" t="s">
        <v>167</v>
      </c>
      <c r="J119" t="s">
        <v>167</v>
      </c>
    </row>
    <row r="120" spans="9:10" x14ac:dyDescent="0.25">
      <c r="I120" t="s">
        <v>147</v>
      </c>
      <c r="J120" t="s">
        <v>84</v>
      </c>
    </row>
    <row r="121" spans="9:10" x14ac:dyDescent="0.25">
      <c r="I121" t="s">
        <v>105</v>
      </c>
      <c r="J121" t="s">
        <v>105</v>
      </c>
    </row>
    <row r="122" spans="9:10" x14ac:dyDescent="0.25">
      <c r="I122" t="s">
        <v>170</v>
      </c>
      <c r="J122" t="s">
        <v>97</v>
      </c>
    </row>
    <row r="123" spans="9:10" x14ac:dyDescent="0.25">
      <c r="I123" t="s">
        <v>8</v>
      </c>
      <c r="J123" t="s">
        <v>8</v>
      </c>
    </row>
    <row r="124" spans="9:10" x14ac:dyDescent="0.25">
      <c r="I124" t="s">
        <v>68</v>
      </c>
      <c r="J124" t="s">
        <v>68</v>
      </c>
    </row>
    <row r="125" spans="9:10" x14ac:dyDescent="0.25">
      <c r="I125" t="s">
        <v>140</v>
      </c>
      <c r="J125" t="s">
        <v>140</v>
      </c>
    </row>
    <row r="126" spans="9:10" x14ac:dyDescent="0.25">
      <c r="I126" t="s">
        <v>173</v>
      </c>
      <c r="J126" t="s">
        <v>173</v>
      </c>
    </row>
    <row r="127" spans="9:10" x14ac:dyDescent="0.25">
      <c r="I127" t="s">
        <v>100</v>
      </c>
      <c r="J127" t="s">
        <v>88</v>
      </c>
    </row>
    <row r="128" spans="9:10" x14ac:dyDescent="0.25">
      <c r="I128" t="s">
        <v>127</v>
      </c>
      <c r="J128" t="s">
        <v>127</v>
      </c>
    </row>
    <row r="129" spans="9:10" x14ac:dyDescent="0.25">
      <c r="I129" t="s">
        <v>63</v>
      </c>
      <c r="J129" t="s">
        <v>45</v>
      </c>
    </row>
    <row r="130" spans="9:10" x14ac:dyDescent="0.25">
      <c r="I130" t="s">
        <v>134</v>
      </c>
      <c r="J130" t="s">
        <v>6</v>
      </c>
    </row>
    <row r="131" spans="9:10" x14ac:dyDescent="0.25">
      <c r="I131" t="s">
        <v>69</v>
      </c>
      <c r="J131" t="s">
        <v>31</v>
      </c>
    </row>
    <row r="132" spans="9:10" x14ac:dyDescent="0.25">
      <c r="I132" t="s">
        <v>94</v>
      </c>
      <c r="J132" t="s">
        <v>94</v>
      </c>
    </row>
    <row r="133" spans="9:10" x14ac:dyDescent="0.25">
      <c r="I133" t="s">
        <v>41</v>
      </c>
      <c r="J133" t="s">
        <v>41</v>
      </c>
    </row>
    <row r="134" spans="9:10" x14ac:dyDescent="0.25">
      <c r="I134" t="s">
        <v>121</v>
      </c>
      <c r="J134" t="s">
        <v>121</v>
      </c>
    </row>
    <row r="135" spans="9:10" x14ac:dyDescent="0.25">
      <c r="I135" t="s">
        <v>133</v>
      </c>
      <c r="J135" t="s">
        <v>133</v>
      </c>
    </row>
    <row r="136" spans="9:10" x14ac:dyDescent="0.25">
      <c r="I136" t="s">
        <v>113</v>
      </c>
      <c r="J136" t="s">
        <v>113</v>
      </c>
    </row>
    <row r="137" spans="9:10" x14ac:dyDescent="0.25">
      <c r="I137" t="s">
        <v>159</v>
      </c>
      <c r="J137" t="s">
        <v>159</v>
      </c>
    </row>
  </sheetData>
  <mergeCells count="1">
    <mergeCell ref="B1:C1"/>
  </mergeCells>
  <conditionalFormatting sqref="J129">
    <cfRule type="duplicateValues" dxfId="14" priority="1"/>
  </conditionalFormatting>
  <hyperlinks>
    <hyperlink ref="E1" r:id="rId1"/>
    <hyperlink ref="F1" r:id="rId2"/>
  </hyperlinks>
  <pageMargins left="0.7" right="0.7" top="0.75" bottom="0.75" header="0.3" footer="0.3"/>
  <pageSetup orientation="portrait" r:id="rId3"/>
  <legacyDrawing r:id="rId4"/>
  <tableParts count="3">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99"/>
  <sheetViews>
    <sheetView workbookViewId="0"/>
  </sheetViews>
  <sheetFormatPr defaultRowHeight="15" x14ac:dyDescent="0.25"/>
  <cols>
    <col min="1" max="1" width="37" bestFit="1" customWidth="1"/>
    <col min="2" max="2" width="18.28515625" customWidth="1"/>
    <col min="3" max="3" width="25" customWidth="1"/>
    <col min="4" max="4" width="36.140625" bestFit="1" customWidth="1"/>
    <col min="5" max="5" width="12" customWidth="1"/>
  </cols>
  <sheetData>
    <row r="1" spans="1:4" x14ac:dyDescent="0.25">
      <c r="A1" s="9" t="s">
        <v>2154</v>
      </c>
      <c r="B1" s="9" t="s">
        <v>2352</v>
      </c>
      <c r="C1" s="9" t="s">
        <v>2265</v>
      </c>
      <c r="D1" s="9" t="s">
        <v>2162</v>
      </c>
    </row>
    <row r="2" spans="1:4" x14ac:dyDescent="0.25">
      <c r="A2" t="s">
        <v>2181</v>
      </c>
      <c r="B2">
        <v>29.119</v>
      </c>
      <c r="C2">
        <v>584.9</v>
      </c>
      <c r="D2" t="s">
        <v>2180</v>
      </c>
    </row>
    <row r="3" spans="1:4" x14ac:dyDescent="0.25">
      <c r="A3" t="s">
        <v>113</v>
      </c>
      <c r="B3">
        <v>52.433999999999997</v>
      </c>
      <c r="C3" s="12">
        <v>3992.47</v>
      </c>
      <c r="D3" t="s">
        <v>2167</v>
      </c>
    </row>
    <row r="4" spans="1:4" x14ac:dyDescent="0.25">
      <c r="A4" t="s">
        <v>2217</v>
      </c>
      <c r="B4">
        <v>52.585999999999999</v>
      </c>
      <c r="C4" s="12">
        <v>5304.21</v>
      </c>
      <c r="D4" t="s">
        <v>2216</v>
      </c>
    </row>
    <row r="5" spans="1:4" x14ac:dyDescent="0.25">
      <c r="A5" t="s">
        <v>2229</v>
      </c>
      <c r="B5">
        <v>81.837000000000003</v>
      </c>
      <c r="C5" s="12">
        <v>5143.95</v>
      </c>
      <c r="D5" t="s">
        <v>2228</v>
      </c>
    </row>
    <row r="6" spans="1:4" x14ac:dyDescent="0.25">
      <c r="A6" t="s">
        <v>2196</v>
      </c>
      <c r="B6">
        <v>2.0350000000000001</v>
      </c>
      <c r="C6" s="12">
        <v>13552.32</v>
      </c>
      <c r="D6" t="s">
        <v>2195</v>
      </c>
    </row>
    <row r="7" spans="1:4" x14ac:dyDescent="0.25">
      <c r="A7" t="s">
        <v>127</v>
      </c>
      <c r="B7">
        <v>2.5680000000000001</v>
      </c>
      <c r="C7" s="12">
        <v>10944.71</v>
      </c>
      <c r="D7" t="s">
        <v>2195</v>
      </c>
    </row>
    <row r="8" spans="1:4" x14ac:dyDescent="0.25">
      <c r="A8" t="s">
        <v>165</v>
      </c>
      <c r="B8">
        <v>215.33799999999999</v>
      </c>
      <c r="C8" s="12">
        <v>3032.81</v>
      </c>
      <c r="D8" t="s">
        <v>2172</v>
      </c>
    </row>
    <row r="9" spans="1:4" x14ac:dyDescent="0.25">
      <c r="A9" t="s">
        <v>29</v>
      </c>
      <c r="B9">
        <v>1.577</v>
      </c>
      <c r="C9" s="12">
        <v>65477.03</v>
      </c>
      <c r="D9" t="s">
        <v>2165</v>
      </c>
    </row>
    <row r="10" spans="1:4" x14ac:dyDescent="0.25">
      <c r="A10" t="s">
        <v>144</v>
      </c>
      <c r="B10">
        <v>0.85599999999999998</v>
      </c>
      <c r="C10" s="12">
        <v>49809.17</v>
      </c>
      <c r="D10" t="s">
        <v>2161</v>
      </c>
    </row>
    <row r="11" spans="1:4" x14ac:dyDescent="0.25">
      <c r="A11" t="s">
        <v>161</v>
      </c>
      <c r="B11">
        <v>0.53800000000000003</v>
      </c>
      <c r="C11" s="12">
        <v>6832.28</v>
      </c>
      <c r="D11" t="s">
        <v>2172</v>
      </c>
    </row>
    <row r="12" spans="1:4" x14ac:dyDescent="0.25">
      <c r="A12" t="s">
        <v>2197</v>
      </c>
      <c r="B12">
        <v>0.749</v>
      </c>
      <c r="C12" s="12">
        <v>23175.07</v>
      </c>
      <c r="D12" t="s">
        <v>2195</v>
      </c>
    </row>
    <row r="13" spans="1:4" x14ac:dyDescent="0.25">
      <c r="A13" t="s">
        <v>2218</v>
      </c>
      <c r="B13">
        <v>0.316</v>
      </c>
      <c r="C13" s="12">
        <v>23132.32</v>
      </c>
      <c r="D13" t="s">
        <v>2216</v>
      </c>
    </row>
    <row r="14" spans="1:4" x14ac:dyDescent="0.25">
      <c r="A14" t="s">
        <v>58</v>
      </c>
      <c r="B14">
        <v>30.236999999999998</v>
      </c>
      <c r="C14">
        <v>678.02800000000002</v>
      </c>
      <c r="D14" t="s">
        <v>2180</v>
      </c>
    </row>
    <row r="15" spans="1:4" x14ac:dyDescent="0.25">
      <c r="A15" t="s">
        <v>2198</v>
      </c>
      <c r="B15">
        <v>1.379</v>
      </c>
      <c r="C15" s="12">
        <v>16148.22</v>
      </c>
      <c r="D15" t="s">
        <v>2195</v>
      </c>
    </row>
    <row r="16" spans="1:4" x14ac:dyDescent="0.25">
      <c r="A16" t="s">
        <v>2173</v>
      </c>
      <c r="B16" s="12">
        <v>1946.87</v>
      </c>
      <c r="C16" s="12">
        <v>5881.47</v>
      </c>
      <c r="D16" t="s">
        <v>2172</v>
      </c>
    </row>
    <row r="17" spans="1:4" x14ac:dyDescent="0.25">
      <c r="A17" t="s">
        <v>21</v>
      </c>
      <c r="B17">
        <v>0.89300000000000002</v>
      </c>
      <c r="C17" s="12">
        <v>46878.36</v>
      </c>
      <c r="D17" t="s">
        <v>2161</v>
      </c>
    </row>
    <row r="18" spans="1:4" x14ac:dyDescent="0.25">
      <c r="A18" t="s">
        <v>2199</v>
      </c>
      <c r="B18">
        <v>1.0529999999999999</v>
      </c>
      <c r="C18" s="12">
        <v>4349.46</v>
      </c>
      <c r="D18" t="s">
        <v>2195</v>
      </c>
    </row>
    <row r="19" spans="1:4" x14ac:dyDescent="0.25">
      <c r="A19" t="s">
        <v>2230</v>
      </c>
      <c r="B19">
        <v>234.43700000000001</v>
      </c>
      <c r="C19">
        <v>736.91499999999996</v>
      </c>
      <c r="D19" t="s">
        <v>2228</v>
      </c>
    </row>
    <row r="20" spans="1:4" x14ac:dyDescent="0.25">
      <c r="A20" t="s">
        <v>95</v>
      </c>
      <c r="B20">
        <v>18.582000000000001</v>
      </c>
      <c r="C20" s="12">
        <v>2121.17</v>
      </c>
      <c r="D20" t="s">
        <v>2180</v>
      </c>
    </row>
    <row r="21" spans="1:4" x14ac:dyDescent="0.25">
      <c r="A21" t="s">
        <v>150</v>
      </c>
      <c r="B21">
        <v>3.3370000000000002</v>
      </c>
      <c r="C21" s="12">
        <v>2314.83</v>
      </c>
      <c r="D21" t="s">
        <v>2195</v>
      </c>
    </row>
    <row r="22" spans="1:4" x14ac:dyDescent="0.25">
      <c r="A22" t="s">
        <v>2168</v>
      </c>
      <c r="B22">
        <v>0.79900000000000004</v>
      </c>
      <c r="C22" s="12">
        <v>4618.1000000000004</v>
      </c>
      <c r="D22" t="s">
        <v>2167</v>
      </c>
    </row>
    <row r="23" spans="1:4" x14ac:dyDescent="0.25">
      <c r="A23" t="s">
        <v>2231</v>
      </c>
      <c r="B23">
        <v>4.0339999999999998</v>
      </c>
      <c r="C23" s="12">
        <v>9480.77</v>
      </c>
      <c r="D23" t="s">
        <v>2228</v>
      </c>
    </row>
    <row r="24" spans="1:4" x14ac:dyDescent="0.25">
      <c r="A24" t="s">
        <v>40</v>
      </c>
      <c r="B24">
        <v>1.806</v>
      </c>
      <c r="C24" s="12">
        <v>12788.56</v>
      </c>
      <c r="D24" t="s">
        <v>2195</v>
      </c>
    </row>
    <row r="25" spans="1:4" x14ac:dyDescent="0.25">
      <c r="A25" t="s">
        <v>2182</v>
      </c>
      <c r="B25">
        <v>0.93200000000000005</v>
      </c>
      <c r="C25" s="12">
        <v>36583.760000000002</v>
      </c>
      <c r="D25" t="s">
        <v>2180</v>
      </c>
    </row>
    <row r="26" spans="1:4" x14ac:dyDescent="0.25">
      <c r="A26" t="s">
        <v>155</v>
      </c>
      <c r="B26">
        <v>0.745</v>
      </c>
      <c r="C26" s="12">
        <v>7201.88</v>
      </c>
      <c r="D26" t="s">
        <v>2167</v>
      </c>
    </row>
    <row r="27" spans="1:4" x14ac:dyDescent="0.25">
      <c r="A27" t="s">
        <v>2232</v>
      </c>
      <c r="B27">
        <v>213.477</v>
      </c>
      <c r="C27">
        <v>663.904</v>
      </c>
      <c r="D27" t="s">
        <v>2228</v>
      </c>
    </row>
    <row r="28" spans="1:4" x14ac:dyDescent="0.25">
      <c r="A28" t="s">
        <v>2233</v>
      </c>
      <c r="B28">
        <v>573.03800000000001</v>
      </c>
      <c r="C28">
        <v>279.24099999999999</v>
      </c>
      <c r="D28" t="s">
        <v>2228</v>
      </c>
    </row>
    <row r="29" spans="1:4" x14ac:dyDescent="0.25">
      <c r="A29" t="s">
        <v>91</v>
      </c>
      <c r="B29" s="12">
        <v>1554.95</v>
      </c>
      <c r="C29">
        <v>851.529</v>
      </c>
      <c r="D29" t="s">
        <v>2180</v>
      </c>
    </row>
    <row r="30" spans="1:4" x14ac:dyDescent="0.25">
      <c r="A30" t="s">
        <v>2234</v>
      </c>
      <c r="B30">
        <v>253.08699999999999</v>
      </c>
      <c r="C30" s="12">
        <v>1230.45</v>
      </c>
      <c r="D30" t="s">
        <v>2228</v>
      </c>
    </row>
    <row r="31" spans="1:4" x14ac:dyDescent="0.25">
      <c r="A31" t="s">
        <v>31</v>
      </c>
      <c r="B31">
        <v>1.2310000000000001</v>
      </c>
      <c r="C31" s="12">
        <v>50435.5</v>
      </c>
      <c r="D31" t="s">
        <v>2163</v>
      </c>
    </row>
    <row r="32" spans="1:4" x14ac:dyDescent="0.25">
      <c r="A32" t="s">
        <v>2235</v>
      </c>
      <c r="B32">
        <v>73.497</v>
      </c>
      <c r="C32" s="12">
        <v>3660.86</v>
      </c>
      <c r="D32" t="s">
        <v>2228</v>
      </c>
    </row>
    <row r="33" spans="1:4" x14ac:dyDescent="0.25">
      <c r="A33" t="s">
        <v>2236</v>
      </c>
      <c r="B33">
        <v>280.57799999999997</v>
      </c>
      <c r="C33">
        <v>456.43400000000003</v>
      </c>
      <c r="D33" t="s">
        <v>2228</v>
      </c>
    </row>
    <row r="34" spans="1:4" x14ac:dyDescent="0.25">
      <c r="A34" t="s">
        <v>2237</v>
      </c>
      <c r="B34">
        <v>225.398</v>
      </c>
      <c r="C34">
        <v>891.73400000000004</v>
      </c>
      <c r="D34" t="s">
        <v>2228</v>
      </c>
    </row>
    <row r="35" spans="1:4" x14ac:dyDescent="0.25">
      <c r="A35" t="s">
        <v>2200</v>
      </c>
      <c r="B35">
        <v>401.06099999999998</v>
      </c>
      <c r="C35" s="12">
        <v>14277.69</v>
      </c>
      <c r="D35" t="s">
        <v>2195</v>
      </c>
    </row>
    <row r="36" spans="1:4" x14ac:dyDescent="0.25">
      <c r="A36" t="s">
        <v>117</v>
      </c>
      <c r="B36">
        <v>4.173</v>
      </c>
      <c r="C36" s="12">
        <v>5413.57</v>
      </c>
      <c r="D36" t="s">
        <v>2180</v>
      </c>
    </row>
    <row r="37" spans="1:4" x14ac:dyDescent="0.25">
      <c r="A37" t="s">
        <v>46</v>
      </c>
      <c r="B37" s="12">
        <v>1307.78</v>
      </c>
      <c r="C37" s="12">
        <v>7131.61</v>
      </c>
      <c r="D37" t="s">
        <v>2195</v>
      </c>
    </row>
    <row r="38" spans="1:4" x14ac:dyDescent="0.25">
      <c r="A38" t="s">
        <v>2238</v>
      </c>
      <c r="B38">
        <v>257.88400000000001</v>
      </c>
      <c r="C38">
        <v>902.64599999999996</v>
      </c>
      <c r="D38" t="s">
        <v>2228</v>
      </c>
    </row>
    <row r="39" spans="1:4" x14ac:dyDescent="0.25">
      <c r="A39" t="s">
        <v>2239</v>
      </c>
      <c r="B39">
        <v>572.70600000000002</v>
      </c>
      <c r="C39">
        <v>215.89599999999999</v>
      </c>
      <c r="D39" t="s">
        <v>2228</v>
      </c>
    </row>
    <row r="40" spans="1:4" x14ac:dyDescent="0.25">
      <c r="A40" t="s">
        <v>2240</v>
      </c>
      <c r="B40">
        <v>381.51299999999998</v>
      </c>
      <c r="C40" s="12">
        <v>3713.77</v>
      </c>
      <c r="D40" t="s">
        <v>2228</v>
      </c>
    </row>
    <row r="41" spans="1:4" x14ac:dyDescent="0.25">
      <c r="A41" t="s">
        <v>65</v>
      </c>
      <c r="B41">
        <v>376.87099999999998</v>
      </c>
      <c r="C41" s="12">
        <v>8876.59</v>
      </c>
      <c r="D41" t="s">
        <v>2195</v>
      </c>
    </row>
    <row r="42" spans="1:4" x14ac:dyDescent="0.25">
      <c r="A42" t="s">
        <v>2241</v>
      </c>
      <c r="B42">
        <v>314.94600000000003</v>
      </c>
      <c r="C42" s="12">
        <v>1062.0999999999999</v>
      </c>
      <c r="D42" t="s">
        <v>2228</v>
      </c>
    </row>
    <row r="43" spans="1:4" x14ac:dyDescent="0.25">
      <c r="A43" t="s">
        <v>99</v>
      </c>
      <c r="B43">
        <v>4.2469999999999999</v>
      </c>
      <c r="C43" s="12">
        <v>14456.97</v>
      </c>
      <c r="D43" t="s">
        <v>2167</v>
      </c>
    </row>
    <row r="44" spans="1:4" x14ac:dyDescent="0.25">
      <c r="A44" t="s">
        <v>2156</v>
      </c>
      <c r="B44">
        <v>0.75600000000000001</v>
      </c>
      <c r="C44" s="12">
        <v>30570.73</v>
      </c>
      <c r="D44" t="s">
        <v>2161</v>
      </c>
    </row>
    <row r="45" spans="1:4" x14ac:dyDescent="0.25">
      <c r="A45" t="s">
        <v>110</v>
      </c>
      <c r="B45">
        <v>13.368</v>
      </c>
      <c r="C45" s="12">
        <v>20443.97</v>
      </c>
      <c r="D45" t="s">
        <v>2165</v>
      </c>
    </row>
    <row r="46" spans="1:4" x14ac:dyDescent="0.25">
      <c r="A46" t="s">
        <v>97</v>
      </c>
      <c r="B46">
        <v>8.66</v>
      </c>
      <c r="C46" s="12">
        <v>59928.1</v>
      </c>
      <c r="D46" t="s">
        <v>2165</v>
      </c>
    </row>
    <row r="47" spans="1:4" x14ac:dyDescent="0.25">
      <c r="A47" t="s">
        <v>2219</v>
      </c>
      <c r="B47">
        <v>98.697000000000003</v>
      </c>
      <c r="C47" s="12">
        <v>1466.97</v>
      </c>
      <c r="D47" t="s">
        <v>2216</v>
      </c>
    </row>
    <row r="48" spans="1:4" x14ac:dyDescent="0.25">
      <c r="A48" t="s">
        <v>2201</v>
      </c>
      <c r="B48">
        <v>1.35</v>
      </c>
      <c r="C48" s="12">
        <v>6908.88</v>
      </c>
      <c r="D48" t="s">
        <v>2195</v>
      </c>
    </row>
    <row r="49" spans="1:4" x14ac:dyDescent="0.25">
      <c r="A49" t="s">
        <v>68</v>
      </c>
      <c r="B49">
        <v>23.08</v>
      </c>
      <c r="C49" s="12">
        <v>5638.69</v>
      </c>
      <c r="D49" t="s">
        <v>2195</v>
      </c>
    </row>
    <row r="50" spans="1:4" x14ac:dyDescent="0.25">
      <c r="A50" t="s">
        <v>2202</v>
      </c>
      <c r="B50">
        <v>0.52100000000000002</v>
      </c>
      <c r="C50" s="12">
        <v>4424.04</v>
      </c>
      <c r="D50" t="s">
        <v>2195</v>
      </c>
    </row>
    <row r="51" spans="1:4" x14ac:dyDescent="0.25">
      <c r="A51" t="s">
        <v>94</v>
      </c>
      <c r="B51">
        <v>2.6429999999999998</v>
      </c>
      <c r="C51" s="12">
        <v>2970.4</v>
      </c>
      <c r="D51" t="s">
        <v>2216</v>
      </c>
    </row>
    <row r="52" spans="1:4" x14ac:dyDescent="0.25">
      <c r="A52" t="s">
        <v>2203</v>
      </c>
      <c r="B52">
        <v>0.51100000000000001</v>
      </c>
      <c r="C52" s="12">
        <v>3854.98</v>
      </c>
      <c r="D52" t="s">
        <v>2195</v>
      </c>
    </row>
    <row r="53" spans="1:4" x14ac:dyDescent="0.25">
      <c r="A53" t="s">
        <v>2242</v>
      </c>
      <c r="B53">
        <v>357.41399999999999</v>
      </c>
      <c r="C53" s="12">
        <v>14660.81</v>
      </c>
      <c r="D53" t="s">
        <v>2228</v>
      </c>
    </row>
    <row r="54" spans="1:4" x14ac:dyDescent="0.25">
      <c r="A54" t="s">
        <v>2243</v>
      </c>
      <c r="B54">
        <v>9.9350000000000005</v>
      </c>
      <c r="C54">
        <v>475.22699999999998</v>
      </c>
      <c r="D54" t="s">
        <v>2228</v>
      </c>
    </row>
    <row r="55" spans="1:4" x14ac:dyDescent="0.25">
      <c r="A55" t="s">
        <v>72</v>
      </c>
      <c r="B55">
        <v>0.58499999999999996</v>
      </c>
      <c r="C55" s="12">
        <v>16583.39</v>
      </c>
      <c r="D55" t="s">
        <v>2161</v>
      </c>
    </row>
    <row r="56" spans="1:4" x14ac:dyDescent="0.25">
      <c r="A56" t="s">
        <v>172</v>
      </c>
      <c r="B56">
        <v>5.31</v>
      </c>
      <c r="C56">
        <v>359.94600000000003</v>
      </c>
      <c r="D56" t="s">
        <v>2228</v>
      </c>
    </row>
    <row r="57" spans="1:4" x14ac:dyDescent="0.25">
      <c r="A57" t="s">
        <v>2183</v>
      </c>
      <c r="B57">
        <v>1.6539999999999999</v>
      </c>
      <c r="C57" s="12">
        <v>3964.59</v>
      </c>
      <c r="D57" t="s">
        <v>2180</v>
      </c>
    </row>
    <row r="58" spans="1:4" x14ac:dyDescent="0.25">
      <c r="A58" t="s">
        <v>67</v>
      </c>
      <c r="B58">
        <v>0.97899999999999998</v>
      </c>
      <c r="C58" s="12">
        <v>49349.52</v>
      </c>
      <c r="D58" t="s">
        <v>2161</v>
      </c>
    </row>
    <row r="59" spans="1:4" x14ac:dyDescent="0.25">
      <c r="A59" t="s">
        <v>33</v>
      </c>
      <c r="B59">
        <v>0.9</v>
      </c>
      <c r="C59" s="12">
        <v>44008.18</v>
      </c>
      <c r="D59" t="s">
        <v>2163</v>
      </c>
    </row>
    <row r="60" spans="1:4" x14ac:dyDescent="0.25">
      <c r="A60" t="s">
        <v>2244</v>
      </c>
      <c r="B60">
        <v>326.05200000000002</v>
      </c>
      <c r="C60" s="12">
        <v>10653.71</v>
      </c>
      <c r="D60" t="s">
        <v>2228</v>
      </c>
    </row>
    <row r="61" spans="1:4" x14ac:dyDescent="0.25">
      <c r="A61" t="s">
        <v>2245</v>
      </c>
      <c r="B61">
        <v>8.1910000000000007</v>
      </c>
      <c r="C61">
        <v>543.03599999999994</v>
      </c>
      <c r="D61" t="s">
        <v>2228</v>
      </c>
    </row>
    <row r="62" spans="1:4" x14ac:dyDescent="0.25">
      <c r="A62" s="8" t="s">
        <v>71</v>
      </c>
      <c r="B62">
        <v>0.98699999999999999</v>
      </c>
      <c r="C62" s="12">
        <v>3210.3</v>
      </c>
      <c r="D62" t="s">
        <v>2172</v>
      </c>
    </row>
    <row r="63" spans="1:4" x14ac:dyDescent="0.25">
      <c r="A63" t="s">
        <v>10</v>
      </c>
      <c r="B63">
        <v>0.83</v>
      </c>
      <c r="C63" s="12">
        <v>43741.55</v>
      </c>
      <c r="D63" t="s">
        <v>2163</v>
      </c>
    </row>
    <row r="64" spans="1:4" x14ac:dyDescent="0.25">
      <c r="A64" t="s">
        <v>143</v>
      </c>
      <c r="B64">
        <v>0.76500000000000001</v>
      </c>
      <c r="C64" s="12">
        <v>1528.86</v>
      </c>
      <c r="D64" t="s">
        <v>2228</v>
      </c>
    </row>
    <row r="65" spans="1:4" x14ac:dyDescent="0.25">
      <c r="A65" t="s">
        <v>43</v>
      </c>
      <c r="B65">
        <v>0.74</v>
      </c>
      <c r="C65" s="12">
        <v>27073.41</v>
      </c>
      <c r="D65" t="s">
        <v>2161</v>
      </c>
    </row>
    <row r="66" spans="1:4" x14ac:dyDescent="0.25">
      <c r="A66" t="s">
        <v>2204</v>
      </c>
      <c r="B66">
        <v>1.5309999999999999</v>
      </c>
      <c r="C66" s="12">
        <v>7877.83</v>
      </c>
      <c r="D66" t="s">
        <v>2195</v>
      </c>
    </row>
    <row r="67" spans="1:4" x14ac:dyDescent="0.25">
      <c r="A67" t="s">
        <v>2205</v>
      </c>
      <c r="B67">
        <v>4.8869999999999996</v>
      </c>
      <c r="C67" s="12">
        <v>3182.38</v>
      </c>
      <c r="D67" t="s">
        <v>2195</v>
      </c>
    </row>
    <row r="68" spans="1:4" x14ac:dyDescent="0.25">
      <c r="A68" t="s">
        <v>2246</v>
      </c>
      <c r="B68" s="12">
        <v>2963.45</v>
      </c>
      <c r="C68">
        <v>492.21199999999999</v>
      </c>
      <c r="D68" t="s">
        <v>2228</v>
      </c>
    </row>
    <row r="69" spans="1:4" x14ac:dyDescent="0.25">
      <c r="A69" t="s">
        <v>2247</v>
      </c>
      <c r="B69">
        <v>237.17699999999999</v>
      </c>
      <c r="C69">
        <v>575.57600000000002</v>
      </c>
      <c r="D69" t="s">
        <v>2228</v>
      </c>
    </row>
    <row r="70" spans="1:4" x14ac:dyDescent="0.25">
      <c r="A70" t="s">
        <v>85</v>
      </c>
      <c r="B70">
        <v>87.67</v>
      </c>
      <c r="C70" s="12">
        <v>3202.22</v>
      </c>
      <c r="D70" t="s">
        <v>2195</v>
      </c>
    </row>
    <row r="71" spans="1:4" x14ac:dyDescent="0.25">
      <c r="A71" t="s">
        <v>2206</v>
      </c>
      <c r="B71">
        <v>24.074000000000002</v>
      </c>
      <c r="C71">
        <v>737.88599999999997</v>
      </c>
      <c r="D71" t="s">
        <v>2195</v>
      </c>
    </row>
    <row r="72" spans="1:4" x14ac:dyDescent="0.25">
      <c r="A72" t="s">
        <v>2207</v>
      </c>
      <c r="B72">
        <v>9.2330000000000005</v>
      </c>
      <c r="C72" s="12">
        <v>2115.67</v>
      </c>
      <c r="D72" t="s">
        <v>2195</v>
      </c>
    </row>
    <row r="73" spans="1:4" x14ac:dyDescent="0.25">
      <c r="A73" t="s">
        <v>167</v>
      </c>
      <c r="B73">
        <v>5.3940000000000001</v>
      </c>
      <c r="C73" s="12">
        <v>34048.92</v>
      </c>
      <c r="D73" t="s">
        <v>2164</v>
      </c>
    </row>
    <row r="74" spans="1:4" x14ac:dyDescent="0.25">
      <c r="A74" t="s">
        <v>15</v>
      </c>
      <c r="B74">
        <v>143.90899999999999</v>
      </c>
      <c r="C74" s="12">
        <v>14050.01</v>
      </c>
      <c r="D74" t="s">
        <v>2167</v>
      </c>
    </row>
    <row r="75" spans="1:4" x14ac:dyDescent="0.25">
      <c r="A75" t="s">
        <v>8</v>
      </c>
      <c r="B75">
        <v>131.36500000000001</v>
      </c>
      <c r="C75" s="12">
        <v>43088.2</v>
      </c>
      <c r="D75" t="s">
        <v>2165</v>
      </c>
    </row>
    <row r="76" spans="1:4" x14ac:dyDescent="0.25">
      <c r="A76" t="s">
        <v>3</v>
      </c>
      <c r="B76">
        <v>19.129000000000001</v>
      </c>
      <c r="C76" s="12">
        <v>1388.78</v>
      </c>
      <c r="D76" t="s">
        <v>2180</v>
      </c>
    </row>
    <row r="77" spans="1:4" x14ac:dyDescent="0.25">
      <c r="A77" t="s">
        <v>88</v>
      </c>
      <c r="B77" s="12">
        <v>6603.91</v>
      </c>
      <c r="C77" s="12">
        <v>3508.61</v>
      </c>
      <c r="D77" t="s">
        <v>2180</v>
      </c>
    </row>
    <row r="78" spans="1:4" x14ac:dyDescent="0.25">
      <c r="A78" t="s">
        <v>2220</v>
      </c>
      <c r="B78" s="12">
        <v>5511.32</v>
      </c>
      <c r="C78" s="12">
        <v>6359.76</v>
      </c>
      <c r="D78" t="s">
        <v>2216</v>
      </c>
    </row>
    <row r="79" spans="1:4" x14ac:dyDescent="0.25">
      <c r="A79" t="s">
        <v>2221</v>
      </c>
      <c r="B79" s="12">
        <v>1057.78</v>
      </c>
      <c r="C79" s="12">
        <v>3512.92</v>
      </c>
      <c r="D79" t="s">
        <v>2216</v>
      </c>
    </row>
    <row r="80" spans="1:4" x14ac:dyDescent="0.25">
      <c r="A80" t="s">
        <v>14</v>
      </c>
      <c r="B80">
        <v>0.86099999999999999</v>
      </c>
      <c r="C80" s="12">
        <v>47512.83</v>
      </c>
      <c r="D80" t="s">
        <v>2161</v>
      </c>
    </row>
    <row r="81" spans="1:4" x14ac:dyDescent="0.25">
      <c r="A81" t="s">
        <v>57</v>
      </c>
      <c r="B81">
        <v>3.6949999999999998</v>
      </c>
      <c r="C81" s="12">
        <v>31985.73</v>
      </c>
      <c r="D81" t="s">
        <v>2165</v>
      </c>
    </row>
    <row r="82" spans="1:4" x14ac:dyDescent="0.25">
      <c r="A82" t="s">
        <v>131</v>
      </c>
      <c r="B82">
        <v>0.85599999999999998</v>
      </c>
      <c r="C82" s="12">
        <v>36266.85</v>
      </c>
      <c r="D82" t="s">
        <v>2163</v>
      </c>
    </row>
    <row r="83" spans="1:4" x14ac:dyDescent="0.25">
      <c r="A83" t="s">
        <v>2208</v>
      </c>
      <c r="B83">
        <v>51.276000000000003</v>
      </c>
      <c r="C83" s="12">
        <v>5402.1</v>
      </c>
      <c r="D83" t="s">
        <v>2195</v>
      </c>
    </row>
    <row r="84" spans="1:4" x14ac:dyDescent="0.25">
      <c r="A84" t="s">
        <v>81</v>
      </c>
      <c r="B84">
        <v>105.492</v>
      </c>
      <c r="C84" s="12">
        <v>45920.3</v>
      </c>
      <c r="D84" t="s">
        <v>2163</v>
      </c>
    </row>
    <row r="85" spans="1:4" x14ac:dyDescent="0.25">
      <c r="A85" t="s">
        <v>2222</v>
      </c>
      <c r="B85">
        <v>0.56299999999999994</v>
      </c>
      <c r="C85" s="12">
        <v>4674.67</v>
      </c>
      <c r="D85" t="s">
        <v>2216</v>
      </c>
    </row>
    <row r="86" spans="1:4" x14ac:dyDescent="0.25">
      <c r="A86" t="s">
        <v>2174</v>
      </c>
      <c r="B86">
        <v>121.652</v>
      </c>
      <c r="C86" s="12">
        <v>10693.99</v>
      </c>
      <c r="D86" t="s">
        <v>2172</v>
      </c>
    </row>
    <row r="87" spans="1:4" x14ac:dyDescent="0.25">
      <c r="A87" t="s">
        <v>130</v>
      </c>
      <c r="B87">
        <v>42.003</v>
      </c>
      <c r="C87">
        <v>850.55499999999995</v>
      </c>
      <c r="D87" t="s">
        <v>2228</v>
      </c>
    </row>
    <row r="88" spans="1:4" x14ac:dyDescent="0.25">
      <c r="A88" t="s">
        <v>2184</v>
      </c>
      <c r="B88">
        <v>0.27</v>
      </c>
      <c r="C88" s="12">
        <v>1592.54</v>
      </c>
      <c r="D88" t="s">
        <v>2180</v>
      </c>
    </row>
    <row r="89" spans="1:4" x14ac:dyDescent="0.25">
      <c r="A89" t="s">
        <v>2157</v>
      </c>
      <c r="B89">
        <v>796.01599999999996</v>
      </c>
      <c r="C89" s="12">
        <v>22777.93</v>
      </c>
      <c r="D89" t="s">
        <v>2164</v>
      </c>
    </row>
    <row r="90" spans="1:4" x14ac:dyDescent="0.25">
      <c r="A90" t="s">
        <v>2169</v>
      </c>
      <c r="B90">
        <v>0.36099999999999999</v>
      </c>
      <c r="C90" t="s">
        <v>2266</v>
      </c>
      <c r="D90" t="s">
        <v>2167</v>
      </c>
    </row>
    <row r="91" spans="1:4" x14ac:dyDescent="0.25">
      <c r="A91" t="s">
        <v>123</v>
      </c>
      <c r="B91">
        <v>0.317</v>
      </c>
      <c r="C91" s="12">
        <v>47982.43</v>
      </c>
      <c r="D91" t="s">
        <v>2216</v>
      </c>
    </row>
    <row r="92" spans="1:4" x14ac:dyDescent="0.25">
      <c r="A92" t="s">
        <v>2175</v>
      </c>
      <c r="B92">
        <v>20.808</v>
      </c>
      <c r="C92" s="12">
        <v>1070.01</v>
      </c>
      <c r="D92" t="s">
        <v>2172</v>
      </c>
    </row>
    <row r="93" spans="1:4" x14ac:dyDescent="0.25">
      <c r="A93" t="s">
        <v>2185</v>
      </c>
      <c r="B93" s="12">
        <v>3639.4</v>
      </c>
      <c r="C93" s="12">
        <v>1203.56</v>
      </c>
      <c r="D93" t="s">
        <v>2180</v>
      </c>
    </row>
    <row r="94" spans="1:4" x14ac:dyDescent="0.25">
      <c r="A94" t="s">
        <v>2166</v>
      </c>
      <c r="B94">
        <v>0.40600000000000003</v>
      </c>
      <c r="C94" s="12">
        <v>12671.26</v>
      </c>
      <c r="D94" t="s">
        <v>2167</v>
      </c>
    </row>
    <row r="95" spans="1:4" x14ac:dyDescent="0.25">
      <c r="A95" t="s">
        <v>2223</v>
      </c>
      <c r="B95">
        <v>957.79499999999996</v>
      </c>
      <c r="C95" s="12">
        <v>9862.44</v>
      </c>
      <c r="D95" t="s">
        <v>2216</v>
      </c>
    </row>
    <row r="96" spans="1:4" x14ac:dyDescent="0.25">
      <c r="A96" t="s">
        <v>159</v>
      </c>
      <c r="B96">
        <v>4.7679999999999998</v>
      </c>
      <c r="C96" s="12">
        <v>1263.96</v>
      </c>
      <c r="D96" t="s">
        <v>2228</v>
      </c>
    </row>
    <row r="97" spans="1:4" x14ac:dyDescent="0.25">
      <c r="A97" t="s">
        <v>2248</v>
      </c>
      <c r="B97">
        <v>0.65200000000000002</v>
      </c>
      <c r="C97">
        <v>297.69400000000002</v>
      </c>
      <c r="D97" t="s">
        <v>2228</v>
      </c>
    </row>
    <row r="98" spans="1:4" x14ac:dyDescent="0.25">
      <c r="A98" t="s">
        <v>154</v>
      </c>
      <c r="B98">
        <v>1.204</v>
      </c>
      <c r="C98" s="12">
        <v>5691.33</v>
      </c>
      <c r="D98" t="s">
        <v>2216</v>
      </c>
    </row>
    <row r="99" spans="1:4" x14ac:dyDescent="0.25">
      <c r="A99" t="s">
        <v>92</v>
      </c>
      <c r="B99">
        <v>1.7210000000000001</v>
      </c>
      <c r="C99" s="12">
        <v>13075.41</v>
      </c>
      <c r="D99" t="s">
        <v>2167</v>
      </c>
    </row>
    <row r="100" spans="1:4" x14ac:dyDescent="0.25">
      <c r="A100" t="s">
        <v>2158</v>
      </c>
      <c r="B100">
        <v>1.018</v>
      </c>
      <c r="C100" s="12">
        <v>113533.01</v>
      </c>
      <c r="D100" t="s">
        <v>2161</v>
      </c>
    </row>
    <row r="101" spans="1:4" x14ac:dyDescent="0.25">
      <c r="A101" t="s">
        <v>2170</v>
      </c>
      <c r="B101">
        <v>21.065000000000001</v>
      </c>
      <c r="C101" s="12">
        <v>5015.79</v>
      </c>
      <c r="D101" t="s">
        <v>2167</v>
      </c>
    </row>
    <row r="102" spans="1:4" x14ac:dyDescent="0.25">
      <c r="A102" t="s">
        <v>2249</v>
      </c>
      <c r="B102">
        <v>993.21600000000001</v>
      </c>
      <c r="C102">
        <v>458.77499999999998</v>
      </c>
      <c r="D102" t="s">
        <v>2228</v>
      </c>
    </row>
    <row r="103" spans="1:4" x14ac:dyDescent="0.25">
      <c r="A103" t="s">
        <v>2250</v>
      </c>
      <c r="B103">
        <v>64.486999999999995</v>
      </c>
      <c r="C103">
        <v>350.935</v>
      </c>
      <c r="D103" t="s">
        <v>2228</v>
      </c>
    </row>
    <row r="104" spans="1:4" x14ac:dyDescent="0.25">
      <c r="A104" t="s">
        <v>119</v>
      </c>
      <c r="B104">
        <v>1.9059999999999999</v>
      </c>
      <c r="C104" s="12">
        <v>9699.7000000000007</v>
      </c>
      <c r="D104" t="s">
        <v>2180</v>
      </c>
    </row>
    <row r="105" spans="1:4" x14ac:dyDescent="0.25">
      <c r="A105" t="s">
        <v>2186</v>
      </c>
      <c r="B105">
        <v>10.536</v>
      </c>
      <c r="C105" s="12">
        <v>5973.41</v>
      </c>
      <c r="D105" t="s">
        <v>2180</v>
      </c>
    </row>
    <row r="106" spans="1:4" x14ac:dyDescent="0.25">
      <c r="A106" t="s">
        <v>2251</v>
      </c>
      <c r="B106">
        <v>279.60599999999999</v>
      </c>
      <c r="C106">
        <v>668.72799999999995</v>
      </c>
      <c r="D106" t="s">
        <v>2228</v>
      </c>
    </row>
    <row r="107" spans="1:4" x14ac:dyDescent="0.25">
      <c r="A107" t="s">
        <v>2159</v>
      </c>
      <c r="B107">
        <v>0.59399999999999997</v>
      </c>
      <c r="C107" s="12">
        <v>21028.06</v>
      </c>
      <c r="D107" t="s">
        <v>2161</v>
      </c>
    </row>
    <row r="108" spans="1:4" x14ac:dyDescent="0.25">
      <c r="A108" t="s">
        <v>2224</v>
      </c>
      <c r="B108">
        <v>166.303</v>
      </c>
      <c r="C108" s="12">
        <v>1290.06</v>
      </c>
      <c r="D108" t="s">
        <v>2216</v>
      </c>
    </row>
    <row r="109" spans="1:4" x14ac:dyDescent="0.25">
      <c r="A109" t="s">
        <v>160</v>
      </c>
      <c r="B109">
        <v>16.847999999999999</v>
      </c>
      <c r="C109" s="12">
        <v>8776.7800000000007</v>
      </c>
      <c r="D109" t="s">
        <v>2228</v>
      </c>
    </row>
    <row r="110" spans="1:4" x14ac:dyDescent="0.25">
      <c r="A110" t="s">
        <v>42</v>
      </c>
      <c r="B110">
        <v>8.6340000000000003</v>
      </c>
      <c r="C110" s="12">
        <v>10153.299999999999</v>
      </c>
      <c r="D110" t="s">
        <v>2195</v>
      </c>
    </row>
    <row r="111" spans="1:4" x14ac:dyDescent="0.25">
      <c r="A111" t="s">
        <v>2176</v>
      </c>
      <c r="B111">
        <v>6.8490000000000002</v>
      </c>
      <c r="C111" s="12">
        <v>1968.95</v>
      </c>
      <c r="D111" t="s">
        <v>2172</v>
      </c>
    </row>
    <row r="112" spans="1:4" x14ac:dyDescent="0.25">
      <c r="A112" t="s">
        <v>137</v>
      </c>
      <c r="B112">
        <v>816.5</v>
      </c>
      <c r="C112" s="12">
        <v>3042.19</v>
      </c>
      <c r="D112" t="s">
        <v>2172</v>
      </c>
    </row>
    <row r="113" spans="1:4" x14ac:dyDescent="0.25">
      <c r="A113" t="s">
        <v>125</v>
      </c>
      <c r="B113">
        <v>0.45500000000000002</v>
      </c>
      <c r="C113" s="12">
        <v>7316.68</v>
      </c>
      <c r="D113" t="s">
        <v>2167</v>
      </c>
    </row>
    <row r="114" spans="1:4" x14ac:dyDescent="0.25">
      <c r="A114" t="s">
        <v>158</v>
      </c>
      <c r="B114">
        <v>4.9450000000000003</v>
      </c>
      <c r="C114" s="12">
        <v>3083.25</v>
      </c>
      <c r="D114" t="s">
        <v>2216</v>
      </c>
    </row>
    <row r="115" spans="1:4" x14ac:dyDescent="0.25">
      <c r="A115" t="s">
        <v>2252</v>
      </c>
      <c r="B115">
        <v>15.605</v>
      </c>
      <c r="C115">
        <v>582.61099999999999</v>
      </c>
      <c r="D115" t="s">
        <v>2228</v>
      </c>
    </row>
    <row r="116" spans="1:4" x14ac:dyDescent="0.25">
      <c r="A116" t="s">
        <v>139</v>
      </c>
      <c r="B116">
        <v>481.44299999999998</v>
      </c>
      <c r="C116">
        <v>831.91</v>
      </c>
      <c r="D116" t="s">
        <v>2180</v>
      </c>
    </row>
    <row r="117" spans="1:4" x14ac:dyDescent="0.25">
      <c r="A117" t="s">
        <v>2253</v>
      </c>
      <c r="B117">
        <v>5.6710000000000003</v>
      </c>
      <c r="C117" s="12">
        <v>5828.22</v>
      </c>
      <c r="D117" t="s">
        <v>2228</v>
      </c>
    </row>
    <row r="118" spans="1:4" x14ac:dyDescent="0.25">
      <c r="A118" t="s">
        <v>2187</v>
      </c>
      <c r="B118">
        <v>35.606999999999999</v>
      </c>
      <c r="C118">
        <v>652.85500000000002</v>
      </c>
      <c r="D118" t="s">
        <v>2180</v>
      </c>
    </row>
    <row r="119" spans="1:4" x14ac:dyDescent="0.25">
      <c r="A119" t="s">
        <v>77</v>
      </c>
      <c r="B119">
        <v>0.85799999999999998</v>
      </c>
      <c r="C119" s="12">
        <v>50355.47</v>
      </c>
      <c r="D119" t="s">
        <v>2161</v>
      </c>
    </row>
    <row r="120" spans="1:4" x14ac:dyDescent="0.25">
      <c r="A120" t="s">
        <v>84</v>
      </c>
      <c r="B120">
        <v>1.6739999999999999</v>
      </c>
      <c r="C120" s="12">
        <v>36648.199999999997</v>
      </c>
      <c r="D120" t="s">
        <v>2165</v>
      </c>
    </row>
    <row r="121" spans="1:4" x14ac:dyDescent="0.25">
      <c r="A121" t="s">
        <v>2209</v>
      </c>
      <c r="B121">
        <v>8.6679999999999993</v>
      </c>
      <c r="C121" s="12">
        <v>1239.18</v>
      </c>
      <c r="D121" t="s">
        <v>2195</v>
      </c>
    </row>
    <row r="122" spans="1:4" x14ac:dyDescent="0.25">
      <c r="A122" t="s">
        <v>2254</v>
      </c>
      <c r="B122">
        <v>244.09100000000001</v>
      </c>
      <c r="C122">
        <v>399.23500000000001</v>
      </c>
      <c r="D122" t="s">
        <v>2228</v>
      </c>
    </row>
    <row r="123" spans="1:4" x14ac:dyDescent="0.25">
      <c r="A123" t="s">
        <v>96</v>
      </c>
      <c r="B123">
        <v>88.418000000000006</v>
      </c>
      <c r="C123" s="12">
        <v>1490.06</v>
      </c>
      <c r="D123" t="s">
        <v>2228</v>
      </c>
    </row>
    <row r="124" spans="1:4" x14ac:dyDescent="0.25">
      <c r="A124" t="s">
        <v>74</v>
      </c>
      <c r="B124">
        <v>10.194000000000001</v>
      </c>
      <c r="C124" s="12">
        <v>97254.6</v>
      </c>
      <c r="D124" t="s">
        <v>2165</v>
      </c>
    </row>
    <row r="125" spans="1:4" x14ac:dyDescent="0.25">
      <c r="A125" t="s">
        <v>173</v>
      </c>
      <c r="B125">
        <v>0.33800000000000002</v>
      </c>
      <c r="C125" s="12">
        <v>23315.46</v>
      </c>
      <c r="D125" t="s">
        <v>2216</v>
      </c>
    </row>
    <row r="126" spans="1:4" x14ac:dyDescent="0.25">
      <c r="A126" t="s">
        <v>6</v>
      </c>
      <c r="B126">
        <v>36.97</v>
      </c>
      <c r="C126" s="12">
        <v>1201.1099999999999</v>
      </c>
      <c r="D126" t="s">
        <v>2180</v>
      </c>
    </row>
    <row r="127" spans="1:4" x14ac:dyDescent="0.25">
      <c r="A127" t="s">
        <v>39</v>
      </c>
      <c r="B127">
        <v>0.60399999999999998</v>
      </c>
      <c r="C127" s="12">
        <v>8514.2199999999993</v>
      </c>
      <c r="D127" t="s">
        <v>2195</v>
      </c>
    </row>
    <row r="128" spans="1:4" x14ac:dyDescent="0.25">
      <c r="A128" t="s">
        <v>2188</v>
      </c>
      <c r="B128">
        <v>1.7889999999999999</v>
      </c>
      <c r="C128" s="12">
        <v>1900.27</v>
      </c>
      <c r="D128" t="s">
        <v>2180</v>
      </c>
    </row>
    <row r="129" spans="1:4" x14ac:dyDescent="0.25">
      <c r="A129" t="s">
        <v>121</v>
      </c>
      <c r="B129" s="12">
        <v>2714.38</v>
      </c>
      <c r="C129" s="12">
        <v>3251.91</v>
      </c>
      <c r="D129" t="s">
        <v>2195</v>
      </c>
    </row>
    <row r="130" spans="1:4" x14ac:dyDescent="0.25">
      <c r="A130" t="s">
        <v>156</v>
      </c>
      <c r="B130">
        <v>1.611</v>
      </c>
      <c r="C130" s="12">
        <v>5781.58</v>
      </c>
      <c r="D130" t="s">
        <v>2195</v>
      </c>
    </row>
    <row r="131" spans="1:4" x14ac:dyDescent="0.25">
      <c r="A131" t="s">
        <v>52</v>
      </c>
      <c r="B131">
        <v>24.934999999999999</v>
      </c>
      <c r="C131" s="12">
        <v>2223.44</v>
      </c>
      <c r="D131" t="s">
        <v>2180</v>
      </c>
    </row>
    <row r="132" spans="1:4" x14ac:dyDescent="0.25">
      <c r="A132" t="s">
        <v>27</v>
      </c>
      <c r="B132">
        <v>1.9730000000000001</v>
      </c>
      <c r="C132" s="12">
        <v>13539.84</v>
      </c>
      <c r="D132" t="s">
        <v>2167</v>
      </c>
    </row>
    <row r="133" spans="1:4" x14ac:dyDescent="0.25">
      <c r="A133" t="s">
        <v>12</v>
      </c>
      <c r="B133">
        <v>0.69</v>
      </c>
      <c r="C133" s="12">
        <v>22413.45</v>
      </c>
      <c r="D133" t="s">
        <v>2161</v>
      </c>
    </row>
    <row r="134" spans="1:4" x14ac:dyDescent="0.25">
      <c r="A134" t="s">
        <v>106</v>
      </c>
      <c r="B134">
        <v>3.4769999999999999</v>
      </c>
      <c r="C134" s="12">
        <v>98329.49</v>
      </c>
      <c r="D134" t="s">
        <v>2216</v>
      </c>
    </row>
    <row r="135" spans="1:4" x14ac:dyDescent="0.25">
      <c r="A135" t="s">
        <v>26</v>
      </c>
      <c r="B135">
        <v>2.1659999999999999</v>
      </c>
      <c r="C135" s="12">
        <v>8862.8700000000008</v>
      </c>
      <c r="D135" t="s">
        <v>2167</v>
      </c>
    </row>
    <row r="136" spans="1:4" x14ac:dyDescent="0.25">
      <c r="A136" t="s">
        <v>22</v>
      </c>
      <c r="B136">
        <v>22.812000000000001</v>
      </c>
      <c r="C136" s="12">
        <v>12993.36</v>
      </c>
      <c r="D136" t="s">
        <v>2172</v>
      </c>
    </row>
    <row r="137" spans="1:4" x14ac:dyDescent="0.25">
      <c r="A137" t="s">
        <v>2255</v>
      </c>
      <c r="B137">
        <v>271.05099999999999</v>
      </c>
      <c r="C137">
        <v>605.279</v>
      </c>
      <c r="D137" t="s">
        <v>2228</v>
      </c>
    </row>
    <row r="138" spans="1:4" x14ac:dyDescent="0.25">
      <c r="A138" t="s">
        <v>2189</v>
      </c>
      <c r="B138">
        <v>1.381</v>
      </c>
      <c r="C138" s="12">
        <v>3451.07</v>
      </c>
      <c r="D138" t="s">
        <v>2180</v>
      </c>
    </row>
    <row r="139" spans="1:4" x14ac:dyDescent="0.25">
      <c r="A139" t="s">
        <v>2256</v>
      </c>
      <c r="B139" s="12">
        <v>11530.34</v>
      </c>
      <c r="C139" s="12">
        <v>1473.29</v>
      </c>
      <c r="D139" t="s">
        <v>2228</v>
      </c>
    </row>
    <row r="140" spans="1:4" x14ac:dyDescent="0.25">
      <c r="A140" t="s">
        <v>38</v>
      </c>
      <c r="B140">
        <v>3.1680000000000001</v>
      </c>
      <c r="C140" s="12">
        <v>20504.36</v>
      </c>
      <c r="D140" t="s">
        <v>2216</v>
      </c>
    </row>
    <row r="141" spans="1:4" x14ac:dyDescent="0.25">
      <c r="A141" t="s">
        <v>2257</v>
      </c>
      <c r="B141">
        <v>271.053</v>
      </c>
      <c r="C141" s="12">
        <v>1075.73</v>
      </c>
      <c r="D141" t="s">
        <v>2228</v>
      </c>
    </row>
    <row r="142" spans="1:4" x14ac:dyDescent="0.25">
      <c r="A142" t="s">
        <v>2171</v>
      </c>
      <c r="B142">
        <v>41.881999999999998</v>
      </c>
      <c r="C142" s="12">
        <v>6080.52</v>
      </c>
      <c r="D142" t="s">
        <v>2167</v>
      </c>
    </row>
    <row r="143" spans="1:4" x14ac:dyDescent="0.25">
      <c r="A143" t="s">
        <v>2258</v>
      </c>
      <c r="B143">
        <v>5.593</v>
      </c>
      <c r="C143" s="12">
        <v>11170.33</v>
      </c>
      <c r="D143" t="s">
        <v>2228</v>
      </c>
    </row>
    <row r="144" spans="1:4" x14ac:dyDescent="0.25">
      <c r="A144" t="s">
        <v>2259</v>
      </c>
      <c r="B144" s="12">
        <v>1880.69</v>
      </c>
      <c r="C144">
        <v>366.024</v>
      </c>
      <c r="D144" t="s">
        <v>2228</v>
      </c>
    </row>
    <row r="145" spans="1:4" x14ac:dyDescent="0.25">
      <c r="A145" t="s">
        <v>44</v>
      </c>
      <c r="B145">
        <v>1.038</v>
      </c>
      <c r="C145" s="12">
        <v>49270.87</v>
      </c>
      <c r="D145" t="s">
        <v>2164</v>
      </c>
    </row>
    <row r="146" spans="1:4" x14ac:dyDescent="0.25">
      <c r="A146" s="8" t="s">
        <v>162</v>
      </c>
      <c r="B146">
        <v>0.54400000000000004</v>
      </c>
      <c r="C146" s="12">
        <v>17643.54</v>
      </c>
      <c r="D146" t="s">
        <v>2161</v>
      </c>
    </row>
    <row r="147" spans="1:4" x14ac:dyDescent="0.25">
      <c r="A147" t="s">
        <v>112</v>
      </c>
      <c r="B147">
        <v>0.61599999999999999</v>
      </c>
      <c r="C147" s="12">
        <v>24533.08</v>
      </c>
      <c r="D147" t="s">
        <v>2161</v>
      </c>
    </row>
    <row r="148" spans="1:4" x14ac:dyDescent="0.25">
      <c r="A148" t="s">
        <v>2190</v>
      </c>
      <c r="B148">
        <v>3.7130000000000001</v>
      </c>
      <c r="C148" s="12">
        <v>1553.69</v>
      </c>
      <c r="D148" t="s">
        <v>2180</v>
      </c>
    </row>
    <row r="149" spans="1:4" x14ac:dyDescent="0.25">
      <c r="A149" t="s">
        <v>18</v>
      </c>
      <c r="B149">
        <v>5.3319999999999999</v>
      </c>
      <c r="C149" s="12">
        <v>8066.15</v>
      </c>
      <c r="D149" t="s">
        <v>2228</v>
      </c>
    </row>
    <row r="150" spans="1:4" x14ac:dyDescent="0.25">
      <c r="A150" t="s">
        <v>76</v>
      </c>
      <c r="B150">
        <v>0.75900000000000001</v>
      </c>
      <c r="C150" s="12">
        <v>32360.1</v>
      </c>
      <c r="D150" t="s">
        <v>2161</v>
      </c>
    </row>
    <row r="151" spans="1:4" x14ac:dyDescent="0.25">
      <c r="A151" t="s">
        <v>87</v>
      </c>
      <c r="B151">
        <v>56.085999999999999</v>
      </c>
      <c r="C151" s="12">
        <v>2876.97</v>
      </c>
      <c r="D151" t="s">
        <v>2180</v>
      </c>
    </row>
    <row r="152" spans="1:4" x14ac:dyDescent="0.25">
      <c r="A152" t="s">
        <v>2210</v>
      </c>
      <c r="B152">
        <v>2.2069999999999999</v>
      </c>
      <c r="C152" s="12">
        <v>12728.4</v>
      </c>
      <c r="D152" t="s">
        <v>2195</v>
      </c>
    </row>
    <row r="153" spans="1:4" x14ac:dyDescent="0.25">
      <c r="A153" t="s">
        <v>2211</v>
      </c>
      <c r="B153">
        <v>1.5920000000000001</v>
      </c>
      <c r="C153" s="12">
        <v>7434.97</v>
      </c>
      <c r="D153" t="s">
        <v>2195</v>
      </c>
    </row>
    <row r="154" spans="1:4" x14ac:dyDescent="0.25">
      <c r="A154" t="s">
        <v>2212</v>
      </c>
      <c r="B154">
        <v>1.49</v>
      </c>
      <c r="C154" s="12">
        <v>6342.32</v>
      </c>
      <c r="D154" t="s">
        <v>2195</v>
      </c>
    </row>
    <row r="155" spans="1:4" x14ac:dyDescent="0.25">
      <c r="A155" t="s">
        <v>2226</v>
      </c>
      <c r="B155">
        <v>1.9390000000000001</v>
      </c>
      <c r="C155" s="12">
        <v>1982.46</v>
      </c>
      <c r="D155" t="s">
        <v>2216</v>
      </c>
    </row>
    <row r="156" spans="1:4" x14ac:dyDescent="0.25">
      <c r="A156" t="s">
        <v>2213</v>
      </c>
      <c r="B156">
        <v>2.4710000000000001</v>
      </c>
      <c r="C156" s="12">
        <v>7096.03</v>
      </c>
      <c r="D156" t="s">
        <v>2195</v>
      </c>
    </row>
    <row r="157" spans="1:4" x14ac:dyDescent="0.25">
      <c r="A157" t="s">
        <v>2260</v>
      </c>
      <c r="B157">
        <v>4.6239999999999997</v>
      </c>
      <c r="C157" s="12">
        <v>3358.03</v>
      </c>
      <c r="D157" t="s">
        <v>2228</v>
      </c>
    </row>
    <row r="158" spans="1:4" x14ac:dyDescent="0.25">
      <c r="A158" t="s">
        <v>60</v>
      </c>
      <c r="B158">
        <v>9.1560000000000006</v>
      </c>
      <c r="C158" s="12">
        <v>56956.31</v>
      </c>
      <c r="D158" t="s">
        <v>2165</v>
      </c>
    </row>
    <row r="159" spans="1:4" x14ac:dyDescent="0.25">
      <c r="A159" t="s">
        <v>17</v>
      </c>
      <c r="B159">
        <v>1.6619999999999999</v>
      </c>
      <c r="C159" s="12">
        <v>81160.62</v>
      </c>
      <c r="D159" t="s">
        <v>2165</v>
      </c>
    </row>
    <row r="160" spans="1:4" x14ac:dyDescent="0.25">
      <c r="A160" t="s">
        <v>2227</v>
      </c>
      <c r="B160" t="s">
        <v>2263</v>
      </c>
      <c r="C160" t="s">
        <v>2263</v>
      </c>
      <c r="D160" t="s">
        <v>2216</v>
      </c>
    </row>
    <row r="161" spans="1:4" x14ac:dyDescent="0.25">
      <c r="A161" t="s">
        <v>2160</v>
      </c>
      <c r="B161">
        <v>15.704000000000001</v>
      </c>
      <c r="C161" s="12">
        <v>20100.5</v>
      </c>
      <c r="D161" t="s">
        <v>2164</v>
      </c>
    </row>
    <row r="162" spans="1:4" x14ac:dyDescent="0.25">
      <c r="A162" t="s">
        <v>2177</v>
      </c>
      <c r="B162">
        <v>1.8540000000000001</v>
      </c>
      <c r="C162">
        <v>830.98900000000003</v>
      </c>
      <c r="D162" t="s">
        <v>2172</v>
      </c>
    </row>
    <row r="163" spans="1:4" x14ac:dyDescent="0.25">
      <c r="A163" t="s">
        <v>2261</v>
      </c>
      <c r="B163">
        <v>544.36699999999996</v>
      </c>
      <c r="C163">
        <v>553.23099999999999</v>
      </c>
      <c r="D163" t="s">
        <v>2228</v>
      </c>
    </row>
    <row r="164" spans="1:4" x14ac:dyDescent="0.25">
      <c r="A164" t="s">
        <v>50</v>
      </c>
      <c r="B164">
        <v>17.504999999999999</v>
      </c>
      <c r="C164" s="12">
        <v>5394.36</v>
      </c>
      <c r="D164" t="s">
        <v>2180</v>
      </c>
    </row>
    <row r="165" spans="1:4" x14ac:dyDescent="0.25">
      <c r="A165" t="s">
        <v>2191</v>
      </c>
      <c r="B165">
        <v>0.45400000000000001</v>
      </c>
      <c r="C165" s="12">
        <v>3949.48</v>
      </c>
      <c r="D165" t="s">
        <v>2180</v>
      </c>
    </row>
    <row r="166" spans="1:4" x14ac:dyDescent="0.25">
      <c r="A166" t="s">
        <v>2262</v>
      </c>
      <c r="B166">
        <v>265.18900000000002</v>
      </c>
      <c r="C166">
        <v>505.76600000000002</v>
      </c>
      <c r="D166" t="s">
        <v>2228</v>
      </c>
    </row>
    <row r="167" spans="1:4" x14ac:dyDescent="0.25">
      <c r="A167" t="s">
        <v>2192</v>
      </c>
      <c r="B167">
        <v>1.016</v>
      </c>
      <c r="C167" s="12">
        <v>4220.6099999999997</v>
      </c>
      <c r="D167" t="s">
        <v>2180</v>
      </c>
    </row>
    <row r="168" spans="1:4" x14ac:dyDescent="0.25">
      <c r="A168" t="s">
        <v>2214</v>
      </c>
      <c r="B168">
        <v>5.4489999999999998</v>
      </c>
      <c r="C168" s="12">
        <v>17158.419999999998</v>
      </c>
      <c r="D168" t="s">
        <v>2195</v>
      </c>
    </row>
    <row r="169" spans="1:4" x14ac:dyDescent="0.25">
      <c r="A169" t="s">
        <v>163</v>
      </c>
      <c r="B169">
        <v>0.64600000000000002</v>
      </c>
      <c r="C169" s="12">
        <v>4351.18</v>
      </c>
      <c r="D169" t="s">
        <v>2216</v>
      </c>
    </row>
    <row r="170" spans="1:4" x14ac:dyDescent="0.25">
      <c r="A170" t="s">
        <v>47</v>
      </c>
      <c r="B170">
        <v>1.2150000000000001</v>
      </c>
      <c r="C170" s="12">
        <v>10521.82</v>
      </c>
      <c r="D170" t="s">
        <v>2167</v>
      </c>
    </row>
    <row r="171" spans="1:4" x14ac:dyDescent="0.25">
      <c r="A171" t="s">
        <v>2178</v>
      </c>
      <c r="B171">
        <v>1.6919999999999999</v>
      </c>
      <c r="C171" s="12">
        <v>4658.43</v>
      </c>
      <c r="D171" t="s">
        <v>2172</v>
      </c>
    </row>
    <row r="172" spans="1:4" x14ac:dyDescent="0.25">
      <c r="A172" t="s">
        <v>2193</v>
      </c>
      <c r="B172">
        <v>0.92400000000000004</v>
      </c>
      <c r="C172" t="s">
        <v>2263</v>
      </c>
      <c r="D172" t="s">
        <v>2180</v>
      </c>
    </row>
    <row r="173" spans="1:4" x14ac:dyDescent="0.25">
      <c r="A173" t="s">
        <v>140</v>
      </c>
      <c r="B173">
        <v>842.30200000000002</v>
      </c>
      <c r="C173">
        <v>477.54500000000002</v>
      </c>
      <c r="D173" t="s">
        <v>2228</v>
      </c>
    </row>
    <row r="174" spans="1:4" x14ac:dyDescent="0.25">
      <c r="A174" t="s">
        <v>11</v>
      </c>
      <c r="B174">
        <v>3.9889999999999999</v>
      </c>
      <c r="C174" s="12">
        <v>3621.22</v>
      </c>
      <c r="D174" t="s">
        <v>2172</v>
      </c>
    </row>
    <row r="175" spans="1:4" x14ac:dyDescent="0.25">
      <c r="A175" t="s">
        <v>45</v>
      </c>
      <c r="B175">
        <v>5.1100000000000003</v>
      </c>
      <c r="C175" s="12">
        <v>67007.98</v>
      </c>
      <c r="D175" t="s">
        <v>2216</v>
      </c>
    </row>
    <row r="176" spans="1:4" x14ac:dyDescent="0.25">
      <c r="A176" t="s">
        <v>25</v>
      </c>
      <c r="B176">
        <v>0.66700000000000004</v>
      </c>
      <c r="C176" s="12">
        <v>38592.1</v>
      </c>
      <c r="D176" t="s">
        <v>2163</v>
      </c>
    </row>
    <row r="177" spans="1:4" x14ac:dyDescent="0.25">
      <c r="A177" t="s">
        <v>5</v>
      </c>
      <c r="B177">
        <v>1</v>
      </c>
      <c r="C177" s="12">
        <v>48386.69</v>
      </c>
      <c r="D177" t="s">
        <v>2163</v>
      </c>
    </row>
    <row r="178" spans="1:4" x14ac:dyDescent="0.25">
      <c r="A178" t="s">
        <v>104</v>
      </c>
      <c r="B178">
        <v>17.721</v>
      </c>
      <c r="C178" s="12">
        <v>13914.33</v>
      </c>
      <c r="D178" t="s">
        <v>2195</v>
      </c>
    </row>
    <row r="179" spans="1:4" x14ac:dyDescent="0.25">
      <c r="A179" t="s">
        <v>2179</v>
      </c>
      <c r="B179">
        <v>816.37199999999996</v>
      </c>
      <c r="C179" s="12">
        <v>1572.48</v>
      </c>
      <c r="D179" t="s">
        <v>2172</v>
      </c>
    </row>
    <row r="180" spans="1:4" x14ac:dyDescent="0.25">
      <c r="A180" t="s">
        <v>2194</v>
      </c>
      <c r="B180">
        <v>57.533999999999999</v>
      </c>
      <c r="C180" s="12">
        <v>3036.44</v>
      </c>
      <c r="D180" t="s">
        <v>2180</v>
      </c>
    </row>
    <row r="181" spans="1:4" x14ac:dyDescent="0.25">
      <c r="A181" t="s">
        <v>2215</v>
      </c>
      <c r="B181">
        <v>3.6219999999999999</v>
      </c>
      <c r="C181" s="12">
        <v>10610.5</v>
      </c>
      <c r="D181" t="s">
        <v>2195</v>
      </c>
    </row>
    <row r="182" spans="1:4" x14ac:dyDescent="0.25">
      <c r="A182" t="s">
        <v>151</v>
      </c>
      <c r="B182" s="12">
        <v>8450.4599999999991</v>
      </c>
      <c r="C182" s="12">
        <v>1374.01</v>
      </c>
      <c r="D182" t="s">
        <v>2180</v>
      </c>
    </row>
    <row r="183" spans="1:4" x14ac:dyDescent="0.25">
      <c r="A183" t="s">
        <v>2225</v>
      </c>
      <c r="B183">
        <v>124.20399999999999</v>
      </c>
      <c r="C183" s="12">
        <v>1340.04</v>
      </c>
      <c r="D183" t="s">
        <v>2216</v>
      </c>
    </row>
    <row r="184" spans="1:4" x14ac:dyDescent="0.25">
      <c r="A184" t="s">
        <v>114</v>
      </c>
      <c r="B184" s="12">
        <v>4266.32</v>
      </c>
      <c r="C184" s="12">
        <v>1413.77</v>
      </c>
      <c r="D184" t="s">
        <v>2228</v>
      </c>
    </row>
    <row r="185" spans="1:4" x14ac:dyDescent="0.25">
      <c r="A185" t="s">
        <v>111</v>
      </c>
      <c r="B185">
        <v>1.522</v>
      </c>
      <c r="C185">
        <v>741.375</v>
      </c>
      <c r="D185" t="s">
        <v>2228</v>
      </c>
    </row>
    <row r="187" spans="1:4" x14ac:dyDescent="0.25">
      <c r="A187" s="9" t="s">
        <v>2268</v>
      </c>
    </row>
    <row r="188" spans="1:4" x14ac:dyDescent="0.25">
      <c r="A188" s="11" t="s">
        <v>2154</v>
      </c>
      <c r="B188" s="10" t="s">
        <v>2264</v>
      </c>
      <c r="C188" s="10" t="s">
        <v>2265</v>
      </c>
      <c r="D188" s="10" t="s">
        <v>2162</v>
      </c>
    </row>
    <row r="189" spans="1:4" x14ac:dyDescent="0.25">
      <c r="A189" t="s">
        <v>41</v>
      </c>
      <c r="D189" t="s">
        <v>2216</v>
      </c>
    </row>
    <row r="190" spans="1:4" x14ac:dyDescent="0.25">
      <c r="A190" t="s">
        <v>105</v>
      </c>
      <c r="D190" t="s">
        <v>2195</v>
      </c>
    </row>
    <row r="191" spans="1:4" x14ac:dyDescent="0.25">
      <c r="A191" t="s">
        <v>118</v>
      </c>
      <c r="D191" t="s">
        <v>2180</v>
      </c>
    </row>
    <row r="192" spans="1:4" x14ac:dyDescent="0.25">
      <c r="A192" t="s">
        <v>168</v>
      </c>
      <c r="D192" t="s">
        <v>2167</v>
      </c>
    </row>
    <row r="193" spans="1:4" x14ac:dyDescent="0.25">
      <c r="A193" t="s">
        <v>49</v>
      </c>
      <c r="D193" t="s">
        <v>2195</v>
      </c>
    </row>
    <row r="194" spans="1:4" x14ac:dyDescent="0.25">
      <c r="A194" t="s">
        <v>142</v>
      </c>
      <c r="D194" t="s">
        <v>2167</v>
      </c>
    </row>
    <row r="195" spans="1:4" x14ac:dyDescent="0.25">
      <c r="A195" t="s">
        <v>79</v>
      </c>
      <c r="D195" t="s">
        <v>2195</v>
      </c>
    </row>
    <row r="196" spans="1:4" x14ac:dyDescent="0.25">
      <c r="A196" t="s">
        <v>103</v>
      </c>
      <c r="D196" t="s">
        <v>2161</v>
      </c>
    </row>
    <row r="197" spans="1:4" x14ac:dyDescent="0.25">
      <c r="A197" t="s">
        <v>133</v>
      </c>
      <c r="D197" t="s">
        <v>2195</v>
      </c>
    </row>
    <row r="198" spans="1:4" x14ac:dyDescent="0.25">
      <c r="A198" t="s">
        <v>80</v>
      </c>
    </row>
    <row r="199" spans="1:4" x14ac:dyDescent="0.25">
      <c r="A199" t="s">
        <v>70</v>
      </c>
      <c r="D199" s="5" t="s">
        <v>2216</v>
      </c>
    </row>
  </sheetData>
  <conditionalFormatting sqref="A62">
    <cfRule type="duplicateValues" dxfId="13" priority="4"/>
  </conditionalFormatting>
  <conditionalFormatting sqref="A146">
    <cfRule type="duplicateValues" dxfId="12" priority="3"/>
  </conditionalFormatting>
  <conditionalFormatting sqref="A160">
    <cfRule type="duplicateValues" dxfId="11" priority="2"/>
  </conditionalFormatting>
  <conditionalFormatting sqref="A165">
    <cfRule type="duplicateValues" dxfId="10" priority="1"/>
  </conditionalFormatting>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867"/>
  <sheetViews>
    <sheetView workbookViewId="0"/>
  </sheetViews>
  <sheetFormatPr defaultRowHeight="15" x14ac:dyDescent="0.25"/>
  <cols>
    <col min="1" max="1" width="12" customWidth="1"/>
    <col min="2" max="2" width="25.140625" bestFit="1" customWidth="1"/>
    <col min="3" max="3" width="12.42578125" bestFit="1" customWidth="1"/>
    <col min="4" max="4" width="14.7109375" customWidth="1"/>
    <col min="5" max="5" width="17" bestFit="1" customWidth="1"/>
    <col min="6" max="6" width="18.85546875" bestFit="1" customWidth="1"/>
    <col min="7" max="7" width="41.42578125" customWidth="1"/>
    <col min="8" max="8" width="20.5703125" customWidth="1"/>
    <col min="9" max="9" width="17.140625" customWidth="1"/>
    <col min="10" max="10" width="16.42578125" customWidth="1"/>
    <col min="12" max="12" width="12.5703125" bestFit="1" customWidth="1"/>
  </cols>
  <sheetData>
    <row r="1" spans="1:12" x14ac:dyDescent="0.25">
      <c r="A1" s="6" t="s">
        <v>174</v>
      </c>
      <c r="B1" s="6" t="s">
        <v>2267</v>
      </c>
      <c r="C1" s="7" t="s">
        <v>0</v>
      </c>
      <c r="D1" s="7" t="s">
        <v>2127</v>
      </c>
      <c r="E1" s="7" t="s">
        <v>2144</v>
      </c>
      <c r="F1" s="7" t="s">
        <v>2150</v>
      </c>
      <c r="G1" s="7" t="s">
        <v>1</v>
      </c>
      <c r="H1" s="7" t="s">
        <v>2142</v>
      </c>
      <c r="I1" s="35" t="s">
        <v>2351</v>
      </c>
      <c r="J1" s="35" t="s">
        <v>2294</v>
      </c>
      <c r="K1" s="6" t="s">
        <v>2155</v>
      </c>
      <c r="L1" s="20" t="s">
        <v>2270</v>
      </c>
    </row>
    <row r="2" spans="1:12" x14ac:dyDescent="0.25">
      <c r="A2" s="27" t="s">
        <v>453</v>
      </c>
      <c r="B2" s="27">
        <v>100000</v>
      </c>
      <c r="C2" s="27" t="s">
        <v>54</v>
      </c>
      <c r="D2" s="28">
        <f>B2*VLOOKUP(C2,tblXrate[],2,0)</f>
        <v>27221.92126875931</v>
      </c>
      <c r="E2" s="27" t="s">
        <v>51</v>
      </c>
      <c r="F2" s="27" t="s">
        <v>45</v>
      </c>
      <c r="G2" s="27" t="s">
        <v>2271</v>
      </c>
      <c r="H2" s="27"/>
      <c r="I2" s="27">
        <f>VLOOKUP(F2,mapping!$L$2:$P$92,2,0)</f>
        <v>1.3910401768336007</v>
      </c>
      <c r="J2" s="27">
        <f>VLOOKUP($F2,mapping!$L$2:$P$92,3,0)</f>
        <v>67007.98</v>
      </c>
      <c r="K2" s="27" t="str">
        <f>VLOOKUP($F2,mapping!$L$2:$P$92,4,0)</f>
        <v>Middle East and North Africa</v>
      </c>
      <c r="L2" s="29">
        <f>$D2*VLOOKUP($E2,'Charts data'!$A$2:$B$11,2,0)*VLOOKUP($G2,'Charts data'!$A$14:$B$18,2,0)/IF('Charts data'!$E$3=1,I2,1)/IF('Charts data'!$E$4=1,J2,1)</f>
        <v>27221.92126875931</v>
      </c>
    </row>
    <row r="3" spans="1:12" x14ac:dyDescent="0.25">
      <c r="A3" s="27" t="s">
        <v>934</v>
      </c>
      <c r="B3" s="27">
        <v>33600</v>
      </c>
      <c r="C3" s="27" t="s">
        <v>54</v>
      </c>
      <c r="D3" s="28">
        <f>B3*VLOOKUP(C3,tblXrate[],2,0)</f>
        <v>9146.5655463031271</v>
      </c>
      <c r="E3" s="27" t="s">
        <v>51</v>
      </c>
      <c r="F3" s="27" t="s">
        <v>45</v>
      </c>
      <c r="G3" s="27" t="s">
        <v>2274</v>
      </c>
      <c r="H3" s="27">
        <v>7</v>
      </c>
      <c r="I3" s="27">
        <f>VLOOKUP(F3,mapping!$L$2:$P$92,2,0)</f>
        <v>1.3910401768336007</v>
      </c>
      <c r="J3" s="27">
        <f>VLOOKUP($F3,mapping!$L$2:$P$92,3,0)</f>
        <v>67007.98</v>
      </c>
      <c r="K3" s="27" t="str">
        <f>VLOOKUP($F3,mapping!$L$2:$P$92,4,0)</f>
        <v>Middle East and North Africa</v>
      </c>
      <c r="L3" s="29">
        <f>$D3*VLOOKUP($E3,'Charts data'!$A$2:$B$11,2,0)*VLOOKUP($G3,'Charts data'!$A$14:$B$18,2,0)/IF('Charts data'!$E$3=1,I3,1)/IF('Charts data'!$E$4=1,J3,1)</f>
        <v>9146.5655463031271</v>
      </c>
    </row>
    <row r="4" spans="1:12" x14ac:dyDescent="0.25">
      <c r="A4" s="27" t="s">
        <v>1069</v>
      </c>
      <c r="B4" s="27">
        <v>104000</v>
      </c>
      <c r="C4" s="27" t="s">
        <v>54</v>
      </c>
      <c r="D4" s="28">
        <f>B4*VLOOKUP(C4,tblXrate[],2,0)</f>
        <v>28310.79811950968</v>
      </c>
      <c r="E4" s="27" t="s">
        <v>7</v>
      </c>
      <c r="F4" s="27" t="s">
        <v>45</v>
      </c>
      <c r="G4" s="27" t="s">
        <v>2271</v>
      </c>
      <c r="H4" s="27">
        <v>11</v>
      </c>
      <c r="I4" s="27">
        <f>VLOOKUP(F4,mapping!$L$2:$P$92,2,0)</f>
        <v>1.3910401768336007</v>
      </c>
      <c r="J4" s="27">
        <f>VLOOKUP($F4,mapping!$L$2:$P$92,3,0)</f>
        <v>67007.98</v>
      </c>
      <c r="K4" s="27" t="str">
        <f>VLOOKUP($F4,mapping!$L$2:$P$92,4,0)</f>
        <v>Middle East and North Africa</v>
      </c>
      <c r="L4" s="29">
        <f>$D4*VLOOKUP($E4,'Charts data'!$A$2:$B$11,2,0)*VLOOKUP($G4,'Charts data'!$A$14:$B$18,2,0)/IF('Charts data'!$E$3=1,I4,1)/IF('Charts data'!$E$4=1,J4,1)</f>
        <v>28310.79811950968</v>
      </c>
    </row>
    <row r="5" spans="1:12" x14ac:dyDescent="0.25">
      <c r="A5" s="27" t="s">
        <v>1266</v>
      </c>
      <c r="B5" s="27">
        <v>120000</v>
      </c>
      <c r="C5" s="27" t="s">
        <v>54</v>
      </c>
      <c r="D5" s="28">
        <f>B5*VLOOKUP(C5,tblXrate[],2,0)</f>
        <v>32666.305522511171</v>
      </c>
      <c r="E5" s="27" t="s">
        <v>19</v>
      </c>
      <c r="F5" s="27" t="s">
        <v>45</v>
      </c>
      <c r="G5" s="27" t="s">
        <v>2272</v>
      </c>
      <c r="H5" s="27">
        <v>12</v>
      </c>
      <c r="I5" s="27">
        <f>VLOOKUP(F5,mapping!$L$2:$P$92,2,0)</f>
        <v>1.3910401768336007</v>
      </c>
      <c r="J5" s="27">
        <f>VLOOKUP($F5,mapping!$L$2:$P$92,3,0)</f>
        <v>67007.98</v>
      </c>
      <c r="K5" s="27" t="str">
        <f>VLOOKUP($F5,mapping!$L$2:$P$92,4,0)</f>
        <v>Middle East and North Africa</v>
      </c>
      <c r="L5" s="29">
        <f>$D5*VLOOKUP($E5,'Charts data'!$A$2:$B$11,2,0)*VLOOKUP($G5,'Charts data'!$A$14:$B$18,2,0)/IF('Charts data'!$E$3=1,I5,1)/IF('Charts data'!$E$4=1,J5,1)</f>
        <v>32666.305522511171</v>
      </c>
    </row>
    <row r="6" spans="1:12" x14ac:dyDescent="0.25">
      <c r="A6" s="27" t="s">
        <v>1326</v>
      </c>
      <c r="B6" s="27">
        <v>216000</v>
      </c>
      <c r="C6" s="27" t="s">
        <v>54</v>
      </c>
      <c r="D6" s="28">
        <f>B6*VLOOKUP(C6,tblXrate[],2,0)</f>
        <v>58799.349940520107</v>
      </c>
      <c r="E6" s="27" t="s">
        <v>7</v>
      </c>
      <c r="F6" s="27" t="s">
        <v>45</v>
      </c>
      <c r="G6" s="27" t="s">
        <v>2271</v>
      </c>
      <c r="H6" s="27">
        <v>2</v>
      </c>
      <c r="I6" s="27">
        <f>VLOOKUP(F6,mapping!$L$2:$P$92,2,0)</f>
        <v>1.3910401768336007</v>
      </c>
      <c r="J6" s="27">
        <f>VLOOKUP($F6,mapping!$L$2:$P$92,3,0)</f>
        <v>67007.98</v>
      </c>
      <c r="K6" s="27" t="str">
        <f>VLOOKUP($F6,mapping!$L$2:$P$92,4,0)</f>
        <v>Middle East and North Africa</v>
      </c>
      <c r="L6" s="29">
        <f>$D6*VLOOKUP($E6,'Charts data'!$A$2:$B$11,2,0)*VLOOKUP($G6,'Charts data'!$A$14:$B$18,2,0)/IF('Charts data'!$E$3=1,I6,1)/IF('Charts data'!$E$4=1,J6,1)</f>
        <v>58799.349940520107</v>
      </c>
    </row>
    <row r="7" spans="1:12" x14ac:dyDescent="0.25">
      <c r="A7" s="27" t="s">
        <v>213</v>
      </c>
      <c r="B7" s="27">
        <v>70000</v>
      </c>
      <c r="C7" s="27" t="s">
        <v>28</v>
      </c>
      <c r="D7" s="28">
        <f>B7*VLOOKUP(C7,tblXrate[],2,0)</f>
        <v>71393.675948184507</v>
      </c>
      <c r="E7" s="27" t="s">
        <v>53</v>
      </c>
      <c r="F7" s="27" t="s">
        <v>29</v>
      </c>
      <c r="G7" s="27" t="s">
        <v>2272</v>
      </c>
      <c r="H7" s="27"/>
      <c r="I7" s="27">
        <f>VLOOKUP(F7,mapping!$L$2:$P$92,2,0)</f>
        <v>1.6083975281469567</v>
      </c>
      <c r="J7" s="27">
        <f>VLOOKUP($F7,mapping!$L$2:$P$92,3,0)</f>
        <v>65477.03</v>
      </c>
      <c r="K7" s="27" t="str">
        <f>VLOOKUP($F7,mapping!$L$2:$P$92,4,0)</f>
        <v>Other Advanced Economies</v>
      </c>
      <c r="L7" s="29">
        <f>$D7*VLOOKUP($E7,'Charts data'!$A$2:$B$11,2,0)*VLOOKUP($G7,'Charts data'!$A$14:$B$18,2,0)/IF('Charts data'!$E$3=1,I7,1)/IF('Charts data'!$E$4=1,J7,1)</f>
        <v>71393.675948184507</v>
      </c>
    </row>
    <row r="8" spans="1:12" x14ac:dyDescent="0.25">
      <c r="A8" s="27" t="s">
        <v>239</v>
      </c>
      <c r="B8" s="27">
        <v>85000</v>
      </c>
      <c r="C8" s="27" t="s">
        <v>28</v>
      </c>
      <c r="D8" s="28">
        <f>B8*VLOOKUP(C8,tblXrate[],2,0)</f>
        <v>86692.320794224041</v>
      </c>
      <c r="E8" s="27" t="s">
        <v>2147</v>
      </c>
      <c r="F8" s="27" t="s">
        <v>29</v>
      </c>
      <c r="G8" s="27" t="s">
        <v>2271</v>
      </c>
      <c r="H8" s="27"/>
      <c r="I8" s="27">
        <f>VLOOKUP(F8,mapping!$L$2:$P$92,2,0)</f>
        <v>1.6083975281469567</v>
      </c>
      <c r="J8" s="27">
        <f>VLOOKUP($F8,mapping!$L$2:$P$92,3,0)</f>
        <v>65477.03</v>
      </c>
      <c r="K8" s="27" t="str">
        <f>VLOOKUP($F8,mapping!$L$2:$P$92,4,0)</f>
        <v>Other Advanced Economies</v>
      </c>
      <c r="L8" s="29">
        <f>$D8*VLOOKUP($E8,'Charts data'!$A$2:$B$11,2,0)*VLOOKUP($G8,'Charts data'!$A$14:$B$18,2,0)/IF('Charts data'!$E$3=1,I8,1)/IF('Charts data'!$E$4=1,J8,1)</f>
        <v>86692.320794224041</v>
      </c>
    </row>
    <row r="9" spans="1:12" x14ac:dyDescent="0.25">
      <c r="A9" s="27" t="s">
        <v>245</v>
      </c>
      <c r="B9" s="27">
        <v>100000</v>
      </c>
      <c r="C9" s="27" t="s">
        <v>28</v>
      </c>
      <c r="D9" s="28">
        <f>B9*VLOOKUP(C9,tblXrate[],2,0)</f>
        <v>101990.96564026357</v>
      </c>
      <c r="E9" s="27" t="s">
        <v>19</v>
      </c>
      <c r="F9" s="27" t="s">
        <v>29</v>
      </c>
      <c r="G9" s="27" t="s">
        <v>2271</v>
      </c>
      <c r="H9" s="27"/>
      <c r="I9" s="27">
        <f>VLOOKUP(F9,mapping!$L$2:$P$92,2,0)</f>
        <v>1.6083975281469567</v>
      </c>
      <c r="J9" s="27">
        <f>VLOOKUP($F9,mapping!$L$2:$P$92,3,0)</f>
        <v>65477.03</v>
      </c>
      <c r="K9" s="27" t="str">
        <f>VLOOKUP($F9,mapping!$L$2:$P$92,4,0)</f>
        <v>Other Advanced Economies</v>
      </c>
      <c r="L9" s="29">
        <f>$D9*VLOOKUP($E9,'Charts data'!$A$2:$B$11,2,0)*VLOOKUP($G9,'Charts data'!$A$14:$B$18,2,0)/IF('Charts data'!$E$3=1,I9,1)/IF('Charts data'!$E$4=1,J9,1)</f>
        <v>101990.96564026357</v>
      </c>
    </row>
    <row r="10" spans="1:12" x14ac:dyDescent="0.25">
      <c r="A10" s="27" t="s">
        <v>695</v>
      </c>
      <c r="B10" s="27">
        <v>60000</v>
      </c>
      <c r="C10" s="27" t="s">
        <v>28</v>
      </c>
      <c r="D10" s="28">
        <f>B10*VLOOKUP(C10,tblXrate[],2,0)</f>
        <v>61194.579384158147</v>
      </c>
      <c r="E10" s="27" t="s">
        <v>7</v>
      </c>
      <c r="F10" s="27" t="s">
        <v>29</v>
      </c>
      <c r="G10" s="27" t="s">
        <v>2272</v>
      </c>
      <c r="H10" s="27"/>
      <c r="I10" s="27">
        <f>VLOOKUP(F10,mapping!$L$2:$P$92,2,0)</f>
        <v>1.6083975281469567</v>
      </c>
      <c r="J10" s="27">
        <f>VLOOKUP($F10,mapping!$L$2:$P$92,3,0)</f>
        <v>65477.03</v>
      </c>
      <c r="K10" s="27" t="str">
        <f>VLOOKUP($F10,mapping!$L$2:$P$92,4,0)</f>
        <v>Other Advanced Economies</v>
      </c>
      <c r="L10" s="29">
        <f>$D10*VLOOKUP($E10,'Charts data'!$A$2:$B$11,2,0)*VLOOKUP($G10,'Charts data'!$A$14:$B$18,2,0)/IF('Charts data'!$E$3=1,I10,1)/IF('Charts data'!$E$4=1,J10,1)</f>
        <v>61194.579384158147</v>
      </c>
    </row>
    <row r="11" spans="1:12" x14ac:dyDescent="0.25">
      <c r="A11" s="27" t="s">
        <v>701</v>
      </c>
      <c r="B11" s="27">
        <v>85000</v>
      </c>
      <c r="C11" s="27" t="s">
        <v>28</v>
      </c>
      <c r="D11" s="28">
        <f>B11*VLOOKUP(C11,tblXrate[],2,0)</f>
        <v>86692.320794224041</v>
      </c>
      <c r="E11" s="27" t="s">
        <v>7</v>
      </c>
      <c r="F11" s="27" t="s">
        <v>29</v>
      </c>
      <c r="G11" s="27" t="s">
        <v>2271</v>
      </c>
      <c r="H11" s="27"/>
      <c r="I11" s="27">
        <f>VLOOKUP(F11,mapping!$L$2:$P$92,2,0)</f>
        <v>1.6083975281469567</v>
      </c>
      <c r="J11" s="27">
        <f>VLOOKUP($F11,mapping!$L$2:$P$92,3,0)</f>
        <v>65477.03</v>
      </c>
      <c r="K11" s="27" t="str">
        <f>VLOOKUP($F11,mapping!$L$2:$P$92,4,0)</f>
        <v>Other Advanced Economies</v>
      </c>
      <c r="L11" s="29">
        <f>$D11*VLOOKUP($E11,'Charts data'!$A$2:$B$11,2,0)*VLOOKUP($G11,'Charts data'!$A$14:$B$18,2,0)/IF('Charts data'!$E$3=1,I11,1)/IF('Charts data'!$E$4=1,J11,1)</f>
        <v>86692.320794224041</v>
      </c>
    </row>
    <row r="12" spans="1:12" x14ac:dyDescent="0.25">
      <c r="A12" s="27" t="s">
        <v>714</v>
      </c>
      <c r="B12" s="27">
        <v>77000</v>
      </c>
      <c r="C12" s="27" t="s">
        <v>28</v>
      </c>
      <c r="D12" s="28">
        <f>B12*VLOOKUP(C12,tblXrate[],2,0)</f>
        <v>78533.043543002947</v>
      </c>
      <c r="E12" s="27" t="s">
        <v>7</v>
      </c>
      <c r="F12" s="27" t="s">
        <v>29</v>
      </c>
      <c r="G12" s="27" t="s">
        <v>2272</v>
      </c>
      <c r="H12" s="27"/>
      <c r="I12" s="27">
        <f>VLOOKUP(F12,mapping!$L$2:$P$92,2,0)</f>
        <v>1.6083975281469567</v>
      </c>
      <c r="J12" s="27">
        <f>VLOOKUP($F12,mapping!$L$2:$P$92,3,0)</f>
        <v>65477.03</v>
      </c>
      <c r="K12" s="27" t="str">
        <f>VLOOKUP($F12,mapping!$L$2:$P$92,4,0)</f>
        <v>Other Advanced Economies</v>
      </c>
      <c r="L12" s="29">
        <f>$D12*VLOOKUP($E12,'Charts data'!$A$2:$B$11,2,0)*VLOOKUP($G12,'Charts data'!$A$14:$B$18,2,0)/IF('Charts data'!$E$3=1,I12,1)/IF('Charts data'!$E$4=1,J12,1)</f>
        <v>78533.043543002947</v>
      </c>
    </row>
    <row r="13" spans="1:12" x14ac:dyDescent="0.25">
      <c r="A13" s="27" t="s">
        <v>727</v>
      </c>
      <c r="B13" s="27">
        <v>155000</v>
      </c>
      <c r="C13" s="27" t="s">
        <v>28</v>
      </c>
      <c r="D13" s="28">
        <f>B13*VLOOKUP(C13,tblXrate[],2,0)</f>
        <v>158085.99674240855</v>
      </c>
      <c r="E13" s="27" t="s">
        <v>19</v>
      </c>
      <c r="F13" s="27" t="s">
        <v>29</v>
      </c>
      <c r="G13" s="27" t="s">
        <v>2271</v>
      </c>
      <c r="H13" s="27">
        <v>20</v>
      </c>
      <c r="I13" s="27">
        <f>VLOOKUP(F13,mapping!$L$2:$P$92,2,0)</f>
        <v>1.6083975281469567</v>
      </c>
      <c r="J13" s="27">
        <f>VLOOKUP($F13,mapping!$L$2:$P$92,3,0)</f>
        <v>65477.03</v>
      </c>
      <c r="K13" s="27" t="str">
        <f>VLOOKUP($F13,mapping!$L$2:$P$92,4,0)</f>
        <v>Other Advanced Economies</v>
      </c>
      <c r="L13" s="29">
        <f>$D13*VLOOKUP($E13,'Charts data'!$A$2:$B$11,2,0)*VLOOKUP($G13,'Charts data'!$A$14:$B$18,2,0)/IF('Charts data'!$E$3=1,I13,1)/IF('Charts data'!$E$4=1,J13,1)</f>
        <v>158085.99674240855</v>
      </c>
    </row>
    <row r="14" spans="1:12" x14ac:dyDescent="0.25">
      <c r="A14" s="27" t="s">
        <v>735</v>
      </c>
      <c r="B14" s="27">
        <v>22000</v>
      </c>
      <c r="C14" s="27" t="s">
        <v>28</v>
      </c>
      <c r="D14" s="28">
        <f>B14*VLOOKUP(C14,tblXrate[],2,0)</f>
        <v>22438.012440857987</v>
      </c>
      <c r="E14" s="27" t="s">
        <v>7</v>
      </c>
      <c r="F14" s="27" t="s">
        <v>29</v>
      </c>
      <c r="G14" s="27" t="s">
        <v>2271</v>
      </c>
      <c r="H14" s="27">
        <v>8</v>
      </c>
      <c r="I14" s="27">
        <f>VLOOKUP(F14,mapping!$L$2:$P$92,2,0)</f>
        <v>1.6083975281469567</v>
      </c>
      <c r="J14" s="27">
        <f>VLOOKUP($F14,mapping!$L$2:$P$92,3,0)</f>
        <v>65477.03</v>
      </c>
      <c r="K14" s="27" t="str">
        <f>VLOOKUP($F14,mapping!$L$2:$P$92,4,0)</f>
        <v>Other Advanced Economies</v>
      </c>
      <c r="L14" s="29">
        <f>$D14*VLOOKUP($E14,'Charts data'!$A$2:$B$11,2,0)*VLOOKUP($G14,'Charts data'!$A$14:$B$18,2,0)/IF('Charts data'!$E$3=1,I14,1)/IF('Charts data'!$E$4=1,J14,1)</f>
        <v>22438.012440857987</v>
      </c>
    </row>
    <row r="15" spans="1:12" x14ac:dyDescent="0.25">
      <c r="A15" s="27" t="s">
        <v>738</v>
      </c>
      <c r="B15" s="27">
        <v>130000</v>
      </c>
      <c r="C15" s="27" t="s">
        <v>28</v>
      </c>
      <c r="D15" s="28">
        <f>B15*VLOOKUP(C15,tblXrate[],2,0)</f>
        <v>132588.25533234264</v>
      </c>
      <c r="E15" s="27" t="s">
        <v>51</v>
      </c>
      <c r="F15" s="27" t="s">
        <v>29</v>
      </c>
      <c r="G15" s="27" t="s">
        <v>2272</v>
      </c>
      <c r="H15" s="27">
        <v>27</v>
      </c>
      <c r="I15" s="27">
        <f>VLOOKUP(F15,mapping!$L$2:$P$92,2,0)</f>
        <v>1.6083975281469567</v>
      </c>
      <c r="J15" s="27">
        <f>VLOOKUP($F15,mapping!$L$2:$P$92,3,0)</f>
        <v>65477.03</v>
      </c>
      <c r="K15" s="27" t="str">
        <f>VLOOKUP($F15,mapping!$L$2:$P$92,4,0)</f>
        <v>Other Advanced Economies</v>
      </c>
      <c r="L15" s="29">
        <f>$D15*VLOOKUP($E15,'Charts data'!$A$2:$B$11,2,0)*VLOOKUP($G15,'Charts data'!$A$14:$B$18,2,0)/IF('Charts data'!$E$3=1,I15,1)/IF('Charts data'!$E$4=1,J15,1)</f>
        <v>132588.25533234264</v>
      </c>
    </row>
    <row r="16" spans="1:12" x14ac:dyDescent="0.25">
      <c r="A16" s="27" t="s">
        <v>742</v>
      </c>
      <c r="B16" s="27">
        <v>102000</v>
      </c>
      <c r="C16" s="27" t="s">
        <v>28</v>
      </c>
      <c r="D16" s="28">
        <f>B16*VLOOKUP(C16,tblXrate[],2,0)</f>
        <v>104030.78495306884</v>
      </c>
      <c r="E16" s="27" t="s">
        <v>19</v>
      </c>
      <c r="F16" s="27" t="s">
        <v>29</v>
      </c>
      <c r="G16" s="27" t="s">
        <v>2274</v>
      </c>
      <c r="H16" s="27">
        <v>10</v>
      </c>
      <c r="I16" s="27">
        <f>VLOOKUP(F16,mapping!$L$2:$P$92,2,0)</f>
        <v>1.6083975281469567</v>
      </c>
      <c r="J16" s="27">
        <f>VLOOKUP($F16,mapping!$L$2:$P$92,3,0)</f>
        <v>65477.03</v>
      </c>
      <c r="K16" s="27" t="str">
        <f>VLOOKUP($F16,mapping!$L$2:$P$92,4,0)</f>
        <v>Other Advanced Economies</v>
      </c>
      <c r="L16" s="29">
        <f>$D16*VLOOKUP($E16,'Charts data'!$A$2:$B$11,2,0)*VLOOKUP($G16,'Charts data'!$A$14:$B$18,2,0)/IF('Charts data'!$E$3=1,I16,1)/IF('Charts data'!$E$4=1,J16,1)</f>
        <v>104030.78495306884</v>
      </c>
    </row>
    <row r="17" spans="1:12" x14ac:dyDescent="0.25">
      <c r="A17" s="27" t="s">
        <v>745</v>
      </c>
      <c r="B17" s="27">
        <v>106000</v>
      </c>
      <c r="C17" s="27" t="s">
        <v>28</v>
      </c>
      <c r="D17" s="28">
        <f>B17*VLOOKUP(C17,tblXrate[],2,0)</f>
        <v>108110.42357867939</v>
      </c>
      <c r="E17" s="27" t="s">
        <v>23</v>
      </c>
      <c r="F17" s="27" t="s">
        <v>29</v>
      </c>
      <c r="G17" s="27" t="s">
        <v>2271</v>
      </c>
      <c r="H17" s="27">
        <v>16</v>
      </c>
      <c r="I17" s="27">
        <f>VLOOKUP(F17,mapping!$L$2:$P$92,2,0)</f>
        <v>1.6083975281469567</v>
      </c>
      <c r="J17" s="27">
        <f>VLOOKUP($F17,mapping!$L$2:$P$92,3,0)</f>
        <v>65477.03</v>
      </c>
      <c r="K17" s="27" t="str">
        <f>VLOOKUP($F17,mapping!$L$2:$P$92,4,0)</f>
        <v>Other Advanced Economies</v>
      </c>
      <c r="L17" s="29">
        <f>$D17*VLOOKUP($E17,'Charts data'!$A$2:$B$11,2,0)*VLOOKUP($G17,'Charts data'!$A$14:$B$18,2,0)/IF('Charts data'!$E$3=1,I17,1)/IF('Charts data'!$E$4=1,J17,1)</f>
        <v>108110.42357867939</v>
      </c>
    </row>
    <row r="18" spans="1:12" x14ac:dyDescent="0.25">
      <c r="A18" s="27" t="s">
        <v>765</v>
      </c>
      <c r="B18" s="27">
        <v>100000</v>
      </c>
      <c r="C18" s="27" t="s">
        <v>28</v>
      </c>
      <c r="D18" s="28">
        <f>B18*VLOOKUP(C18,tblXrate[],2,0)</f>
        <v>101990.96564026357</v>
      </c>
      <c r="E18" s="27" t="s">
        <v>19</v>
      </c>
      <c r="F18" s="27" t="s">
        <v>29</v>
      </c>
      <c r="G18" s="27" t="s">
        <v>2272</v>
      </c>
      <c r="H18" s="27">
        <v>20</v>
      </c>
      <c r="I18" s="27">
        <f>VLOOKUP(F18,mapping!$L$2:$P$92,2,0)</f>
        <v>1.6083975281469567</v>
      </c>
      <c r="J18" s="27">
        <f>VLOOKUP($F18,mapping!$L$2:$P$92,3,0)</f>
        <v>65477.03</v>
      </c>
      <c r="K18" s="27" t="str">
        <f>VLOOKUP($F18,mapping!$L$2:$P$92,4,0)</f>
        <v>Other Advanced Economies</v>
      </c>
      <c r="L18" s="29">
        <f>$D18*VLOOKUP($E18,'Charts data'!$A$2:$B$11,2,0)*VLOOKUP($G18,'Charts data'!$A$14:$B$18,2,0)/IF('Charts data'!$E$3=1,I18,1)/IF('Charts data'!$E$4=1,J18,1)</f>
        <v>101990.96564026357</v>
      </c>
    </row>
    <row r="19" spans="1:12" x14ac:dyDescent="0.25">
      <c r="A19" s="27" t="s">
        <v>778</v>
      </c>
      <c r="B19" s="27">
        <v>85000</v>
      </c>
      <c r="C19" s="27" t="s">
        <v>28</v>
      </c>
      <c r="D19" s="28">
        <f>B19*VLOOKUP(C19,tblXrate[],2,0)</f>
        <v>86692.320794224041</v>
      </c>
      <c r="E19" s="27" t="s">
        <v>53</v>
      </c>
      <c r="F19" s="27" t="s">
        <v>29</v>
      </c>
      <c r="G19" s="27" t="s">
        <v>2274</v>
      </c>
      <c r="H19" s="27">
        <v>20</v>
      </c>
      <c r="I19" s="27">
        <f>VLOOKUP(F19,mapping!$L$2:$P$92,2,0)</f>
        <v>1.6083975281469567</v>
      </c>
      <c r="J19" s="27">
        <f>VLOOKUP($F19,mapping!$L$2:$P$92,3,0)</f>
        <v>65477.03</v>
      </c>
      <c r="K19" s="27" t="str">
        <f>VLOOKUP($F19,mapping!$L$2:$P$92,4,0)</f>
        <v>Other Advanced Economies</v>
      </c>
      <c r="L19" s="29">
        <f>$D19*VLOOKUP($E19,'Charts data'!$A$2:$B$11,2,0)*VLOOKUP($G19,'Charts data'!$A$14:$B$18,2,0)/IF('Charts data'!$E$3=1,I19,1)/IF('Charts data'!$E$4=1,J19,1)</f>
        <v>86692.320794224041</v>
      </c>
    </row>
    <row r="20" spans="1:12" x14ac:dyDescent="0.25">
      <c r="A20" s="27" t="s">
        <v>781</v>
      </c>
      <c r="B20" s="27">
        <v>100000</v>
      </c>
      <c r="C20" s="27" t="s">
        <v>28</v>
      </c>
      <c r="D20" s="28">
        <f>B20*VLOOKUP(C20,tblXrate[],2,0)</f>
        <v>101990.96564026357</v>
      </c>
      <c r="E20" s="27" t="s">
        <v>7</v>
      </c>
      <c r="F20" s="27" t="s">
        <v>29</v>
      </c>
      <c r="G20" s="27" t="s">
        <v>2273</v>
      </c>
      <c r="H20" s="27">
        <v>1</v>
      </c>
      <c r="I20" s="27">
        <f>VLOOKUP(F20,mapping!$L$2:$P$92,2,0)</f>
        <v>1.6083975281469567</v>
      </c>
      <c r="J20" s="27">
        <f>VLOOKUP($F20,mapping!$L$2:$P$92,3,0)</f>
        <v>65477.03</v>
      </c>
      <c r="K20" s="27" t="str">
        <f>VLOOKUP($F20,mapping!$L$2:$P$92,4,0)</f>
        <v>Other Advanced Economies</v>
      </c>
      <c r="L20" s="29">
        <f>$D20*VLOOKUP($E20,'Charts data'!$A$2:$B$11,2,0)*VLOOKUP($G20,'Charts data'!$A$14:$B$18,2,0)/IF('Charts data'!$E$3=1,I20,1)/IF('Charts data'!$E$4=1,J20,1)</f>
        <v>101990.96564026357</v>
      </c>
    </row>
    <row r="21" spans="1:12" x14ac:dyDescent="0.25">
      <c r="A21" s="27" t="s">
        <v>788</v>
      </c>
      <c r="B21" s="27">
        <v>170000</v>
      </c>
      <c r="C21" s="27" t="s">
        <v>28</v>
      </c>
      <c r="D21" s="28">
        <f>B21*VLOOKUP(C21,tblXrate[],2,0)</f>
        <v>173384.64158844808</v>
      </c>
      <c r="E21" s="27" t="s">
        <v>7</v>
      </c>
      <c r="F21" s="27" t="s">
        <v>29</v>
      </c>
      <c r="G21" s="27" t="s">
        <v>2273</v>
      </c>
      <c r="H21" s="27">
        <v>10</v>
      </c>
      <c r="I21" s="27">
        <f>VLOOKUP(F21,mapping!$L$2:$P$92,2,0)</f>
        <v>1.6083975281469567</v>
      </c>
      <c r="J21" s="27">
        <f>VLOOKUP($F21,mapping!$L$2:$P$92,3,0)</f>
        <v>65477.03</v>
      </c>
      <c r="K21" s="27" t="str">
        <f>VLOOKUP($F21,mapping!$L$2:$P$92,4,0)</f>
        <v>Other Advanced Economies</v>
      </c>
      <c r="L21" s="29">
        <f>$D21*VLOOKUP($E21,'Charts data'!$A$2:$B$11,2,0)*VLOOKUP($G21,'Charts data'!$A$14:$B$18,2,0)/IF('Charts data'!$E$3=1,I21,1)/IF('Charts data'!$E$4=1,J21,1)</f>
        <v>173384.64158844808</v>
      </c>
    </row>
    <row r="22" spans="1:12" x14ac:dyDescent="0.25">
      <c r="A22" s="27" t="s">
        <v>790</v>
      </c>
      <c r="B22" s="27">
        <v>78000</v>
      </c>
      <c r="C22" s="27" t="s">
        <v>28</v>
      </c>
      <c r="D22" s="28">
        <f>B22*VLOOKUP(C22,tblXrate[],2,0)</f>
        <v>79552.953199405587</v>
      </c>
      <c r="E22" s="27" t="s">
        <v>51</v>
      </c>
      <c r="F22" s="27" t="s">
        <v>29</v>
      </c>
      <c r="G22" s="27" t="s">
        <v>2273</v>
      </c>
      <c r="H22" s="27">
        <v>4</v>
      </c>
      <c r="I22" s="27">
        <f>VLOOKUP(F22,mapping!$L$2:$P$92,2,0)</f>
        <v>1.6083975281469567</v>
      </c>
      <c r="J22" s="27">
        <f>VLOOKUP($F22,mapping!$L$2:$P$92,3,0)</f>
        <v>65477.03</v>
      </c>
      <c r="K22" s="27" t="str">
        <f>VLOOKUP($F22,mapping!$L$2:$P$92,4,0)</f>
        <v>Other Advanced Economies</v>
      </c>
      <c r="L22" s="29">
        <f>$D22*VLOOKUP($E22,'Charts data'!$A$2:$B$11,2,0)*VLOOKUP($G22,'Charts data'!$A$14:$B$18,2,0)/IF('Charts data'!$E$3=1,I22,1)/IF('Charts data'!$E$4=1,J22,1)</f>
        <v>79552.953199405587</v>
      </c>
    </row>
    <row r="23" spans="1:12" x14ac:dyDescent="0.25">
      <c r="A23" s="27" t="s">
        <v>835</v>
      </c>
      <c r="B23" s="27">
        <v>100000</v>
      </c>
      <c r="C23" s="27" t="s">
        <v>28</v>
      </c>
      <c r="D23" s="28">
        <f>B23*VLOOKUP(C23,tblXrate[],2,0)</f>
        <v>101990.96564026357</v>
      </c>
      <c r="E23" s="27" t="s">
        <v>19</v>
      </c>
      <c r="F23" s="27" t="s">
        <v>29</v>
      </c>
      <c r="G23" s="27" t="s">
        <v>2274</v>
      </c>
      <c r="H23" s="27">
        <v>20</v>
      </c>
      <c r="I23" s="27">
        <f>VLOOKUP(F23,mapping!$L$2:$P$92,2,0)</f>
        <v>1.6083975281469567</v>
      </c>
      <c r="J23" s="27">
        <f>VLOOKUP($F23,mapping!$L$2:$P$92,3,0)</f>
        <v>65477.03</v>
      </c>
      <c r="K23" s="27" t="str">
        <f>VLOOKUP($F23,mapping!$L$2:$P$92,4,0)</f>
        <v>Other Advanced Economies</v>
      </c>
      <c r="L23" s="29">
        <f>$D23*VLOOKUP($E23,'Charts data'!$A$2:$B$11,2,0)*VLOOKUP($G23,'Charts data'!$A$14:$B$18,2,0)/IF('Charts data'!$E$3=1,I23,1)/IF('Charts data'!$E$4=1,J23,1)</f>
        <v>101990.96564026357</v>
      </c>
    </row>
    <row r="24" spans="1:12" x14ac:dyDescent="0.25">
      <c r="A24" s="27" t="s">
        <v>923</v>
      </c>
      <c r="B24" s="27">
        <v>95000</v>
      </c>
      <c r="C24" s="27" t="s">
        <v>28</v>
      </c>
      <c r="D24" s="28">
        <f>B24*VLOOKUP(C24,tblXrate[],2,0)</f>
        <v>96891.417358250401</v>
      </c>
      <c r="E24" s="27" t="s">
        <v>7</v>
      </c>
      <c r="F24" s="27" t="s">
        <v>29</v>
      </c>
      <c r="G24" s="27" t="s">
        <v>2272</v>
      </c>
      <c r="H24" s="27">
        <v>11</v>
      </c>
      <c r="I24" s="27">
        <f>VLOOKUP(F24,mapping!$L$2:$P$92,2,0)</f>
        <v>1.6083975281469567</v>
      </c>
      <c r="J24" s="27">
        <f>VLOOKUP($F24,mapping!$L$2:$P$92,3,0)</f>
        <v>65477.03</v>
      </c>
      <c r="K24" s="27" t="str">
        <f>VLOOKUP($F24,mapping!$L$2:$P$92,4,0)</f>
        <v>Other Advanced Economies</v>
      </c>
      <c r="L24" s="29">
        <f>$D24*VLOOKUP($E24,'Charts data'!$A$2:$B$11,2,0)*VLOOKUP($G24,'Charts data'!$A$14:$B$18,2,0)/IF('Charts data'!$E$3=1,I24,1)/IF('Charts data'!$E$4=1,J24,1)</f>
        <v>96891.417358250401</v>
      </c>
    </row>
    <row r="25" spans="1:12" x14ac:dyDescent="0.25">
      <c r="A25" s="27" t="s">
        <v>952</v>
      </c>
      <c r="B25" s="27">
        <v>65000</v>
      </c>
      <c r="C25" s="27" t="s">
        <v>28</v>
      </c>
      <c r="D25" s="28">
        <f>B25*VLOOKUP(C25,tblXrate[],2,0)</f>
        <v>66294.12766617132</v>
      </c>
      <c r="E25" s="27" t="s">
        <v>7</v>
      </c>
      <c r="F25" s="27" t="s">
        <v>29</v>
      </c>
      <c r="G25" s="27" t="s">
        <v>2273</v>
      </c>
      <c r="H25" s="27">
        <v>10</v>
      </c>
      <c r="I25" s="27">
        <f>VLOOKUP(F25,mapping!$L$2:$P$92,2,0)</f>
        <v>1.6083975281469567</v>
      </c>
      <c r="J25" s="27">
        <f>VLOOKUP($F25,mapping!$L$2:$P$92,3,0)</f>
        <v>65477.03</v>
      </c>
      <c r="K25" s="27" t="str">
        <f>VLOOKUP($F25,mapping!$L$2:$P$92,4,0)</f>
        <v>Other Advanced Economies</v>
      </c>
      <c r="L25" s="29">
        <f>$D25*VLOOKUP($E25,'Charts data'!$A$2:$B$11,2,0)*VLOOKUP($G25,'Charts data'!$A$14:$B$18,2,0)/IF('Charts data'!$E$3=1,I25,1)/IF('Charts data'!$E$4=1,J25,1)</f>
        <v>66294.12766617132</v>
      </c>
    </row>
    <row r="26" spans="1:12" x14ac:dyDescent="0.25">
      <c r="A26" s="27" t="s">
        <v>1071</v>
      </c>
      <c r="B26" s="27">
        <v>95000</v>
      </c>
      <c r="C26" s="27" t="s">
        <v>28</v>
      </c>
      <c r="D26" s="28">
        <f>B26*VLOOKUP(C26,tblXrate[],2,0)</f>
        <v>96891.417358250401</v>
      </c>
      <c r="E26" s="27" t="s">
        <v>7</v>
      </c>
      <c r="F26" s="27" t="s">
        <v>29</v>
      </c>
      <c r="G26" s="27" t="s">
        <v>2274</v>
      </c>
      <c r="H26" s="27">
        <v>7</v>
      </c>
      <c r="I26" s="27">
        <f>VLOOKUP(F26,mapping!$L$2:$P$92,2,0)</f>
        <v>1.6083975281469567</v>
      </c>
      <c r="J26" s="27">
        <f>VLOOKUP($F26,mapping!$L$2:$P$92,3,0)</f>
        <v>65477.03</v>
      </c>
      <c r="K26" s="27" t="str">
        <f>VLOOKUP($F26,mapping!$L$2:$P$92,4,0)</f>
        <v>Other Advanced Economies</v>
      </c>
      <c r="L26" s="29">
        <f>$D26*VLOOKUP($E26,'Charts data'!$A$2:$B$11,2,0)*VLOOKUP($G26,'Charts data'!$A$14:$B$18,2,0)/IF('Charts data'!$E$3=1,I26,1)/IF('Charts data'!$E$4=1,J26,1)</f>
        <v>96891.417358250401</v>
      </c>
    </row>
    <row r="27" spans="1:12" x14ac:dyDescent="0.25">
      <c r="A27" s="27" t="s">
        <v>1109</v>
      </c>
      <c r="B27" s="27">
        <v>80000</v>
      </c>
      <c r="C27" s="27" t="s">
        <v>28</v>
      </c>
      <c r="D27" s="28">
        <f>B27*VLOOKUP(C27,tblXrate[],2,0)</f>
        <v>81592.772512210868</v>
      </c>
      <c r="E27" s="27" t="s">
        <v>19</v>
      </c>
      <c r="F27" s="27" t="s">
        <v>29</v>
      </c>
      <c r="G27" s="27" t="s">
        <v>2271</v>
      </c>
      <c r="H27" s="27">
        <v>25</v>
      </c>
      <c r="I27" s="27">
        <f>VLOOKUP(F27,mapping!$L$2:$P$92,2,0)</f>
        <v>1.6083975281469567</v>
      </c>
      <c r="J27" s="27">
        <f>VLOOKUP($F27,mapping!$L$2:$P$92,3,0)</f>
        <v>65477.03</v>
      </c>
      <c r="K27" s="27" t="str">
        <f>VLOOKUP($F27,mapping!$L$2:$P$92,4,0)</f>
        <v>Other Advanced Economies</v>
      </c>
      <c r="L27" s="29">
        <f>$D27*VLOOKUP($E27,'Charts data'!$A$2:$B$11,2,0)*VLOOKUP($G27,'Charts data'!$A$14:$B$18,2,0)/IF('Charts data'!$E$3=1,I27,1)/IF('Charts data'!$E$4=1,J27,1)</f>
        <v>81592.772512210868</v>
      </c>
    </row>
    <row r="28" spans="1:12" x14ac:dyDescent="0.25">
      <c r="A28" s="27" t="s">
        <v>1110</v>
      </c>
      <c r="B28" s="27">
        <v>95000</v>
      </c>
      <c r="C28" s="27" t="s">
        <v>28</v>
      </c>
      <c r="D28" s="28">
        <f>B28*VLOOKUP(C28,tblXrate[],2,0)</f>
        <v>96891.417358250401</v>
      </c>
      <c r="E28" s="27" t="s">
        <v>7</v>
      </c>
      <c r="F28" s="27" t="s">
        <v>29</v>
      </c>
      <c r="G28" s="27" t="s">
        <v>2272</v>
      </c>
      <c r="H28" s="27">
        <v>20</v>
      </c>
      <c r="I28" s="27">
        <f>VLOOKUP(F28,mapping!$L$2:$P$92,2,0)</f>
        <v>1.6083975281469567</v>
      </c>
      <c r="J28" s="27">
        <f>VLOOKUP($F28,mapping!$L$2:$P$92,3,0)</f>
        <v>65477.03</v>
      </c>
      <c r="K28" s="27" t="str">
        <f>VLOOKUP($F28,mapping!$L$2:$P$92,4,0)</f>
        <v>Other Advanced Economies</v>
      </c>
      <c r="L28" s="29">
        <f>$D28*VLOOKUP($E28,'Charts data'!$A$2:$B$11,2,0)*VLOOKUP($G28,'Charts data'!$A$14:$B$18,2,0)/IF('Charts data'!$E$3=1,I28,1)/IF('Charts data'!$E$4=1,J28,1)</f>
        <v>96891.417358250401</v>
      </c>
    </row>
    <row r="29" spans="1:12" x14ac:dyDescent="0.25">
      <c r="A29" s="27" t="s">
        <v>1111</v>
      </c>
      <c r="B29" s="27">
        <v>90000</v>
      </c>
      <c r="C29" s="27" t="s">
        <v>28</v>
      </c>
      <c r="D29" s="28">
        <f>B29*VLOOKUP(C29,tblXrate[],2,0)</f>
        <v>91791.869076237213</v>
      </c>
      <c r="E29" s="27" t="s">
        <v>7</v>
      </c>
      <c r="F29" s="27" t="s">
        <v>29</v>
      </c>
      <c r="G29" s="27" t="s">
        <v>2271</v>
      </c>
      <c r="H29" s="27">
        <v>13</v>
      </c>
      <c r="I29" s="27">
        <f>VLOOKUP(F29,mapping!$L$2:$P$92,2,0)</f>
        <v>1.6083975281469567</v>
      </c>
      <c r="J29" s="27">
        <f>VLOOKUP($F29,mapping!$L$2:$P$92,3,0)</f>
        <v>65477.03</v>
      </c>
      <c r="K29" s="27" t="str">
        <f>VLOOKUP($F29,mapping!$L$2:$P$92,4,0)</f>
        <v>Other Advanced Economies</v>
      </c>
      <c r="L29" s="29">
        <f>$D29*VLOOKUP($E29,'Charts data'!$A$2:$B$11,2,0)*VLOOKUP($G29,'Charts data'!$A$14:$B$18,2,0)/IF('Charts data'!$E$3=1,I29,1)/IF('Charts data'!$E$4=1,J29,1)</f>
        <v>91791.869076237213</v>
      </c>
    </row>
    <row r="30" spans="1:12" x14ac:dyDescent="0.25">
      <c r="A30" s="27" t="s">
        <v>1113</v>
      </c>
      <c r="B30" s="27">
        <v>65000</v>
      </c>
      <c r="C30" s="27" t="s">
        <v>28</v>
      </c>
      <c r="D30" s="28">
        <f>B30*VLOOKUP(C30,tblXrate[],2,0)</f>
        <v>66294.12766617132</v>
      </c>
      <c r="E30" s="27" t="s">
        <v>19</v>
      </c>
      <c r="F30" s="27" t="s">
        <v>29</v>
      </c>
      <c r="G30" s="27" t="s">
        <v>2272</v>
      </c>
      <c r="H30" s="27">
        <v>5</v>
      </c>
      <c r="I30" s="27">
        <f>VLOOKUP(F30,mapping!$L$2:$P$92,2,0)</f>
        <v>1.6083975281469567</v>
      </c>
      <c r="J30" s="27">
        <f>VLOOKUP($F30,mapping!$L$2:$P$92,3,0)</f>
        <v>65477.03</v>
      </c>
      <c r="K30" s="27" t="str">
        <f>VLOOKUP($F30,mapping!$L$2:$P$92,4,0)</f>
        <v>Other Advanced Economies</v>
      </c>
      <c r="L30" s="29">
        <f>$D30*VLOOKUP($E30,'Charts data'!$A$2:$B$11,2,0)*VLOOKUP($G30,'Charts data'!$A$14:$B$18,2,0)/IF('Charts data'!$E$3=1,I30,1)/IF('Charts data'!$E$4=1,J30,1)</f>
        <v>66294.12766617132</v>
      </c>
    </row>
    <row r="31" spans="1:12" x14ac:dyDescent="0.25">
      <c r="A31" s="27" t="s">
        <v>1114</v>
      </c>
      <c r="B31" s="27">
        <v>100000</v>
      </c>
      <c r="C31" s="27" t="s">
        <v>28</v>
      </c>
      <c r="D31" s="28">
        <f>B31*VLOOKUP(C31,tblXrate[],2,0)</f>
        <v>101990.96564026357</v>
      </c>
      <c r="E31" s="27" t="s">
        <v>53</v>
      </c>
      <c r="F31" s="27" t="s">
        <v>29</v>
      </c>
      <c r="G31" s="27" t="s">
        <v>2273</v>
      </c>
      <c r="H31" s="27">
        <v>6</v>
      </c>
      <c r="I31" s="27">
        <f>VLOOKUP(F31,mapping!$L$2:$P$92,2,0)</f>
        <v>1.6083975281469567</v>
      </c>
      <c r="J31" s="27">
        <f>VLOOKUP($F31,mapping!$L$2:$P$92,3,0)</f>
        <v>65477.03</v>
      </c>
      <c r="K31" s="27" t="str">
        <f>VLOOKUP($F31,mapping!$L$2:$P$92,4,0)</f>
        <v>Other Advanced Economies</v>
      </c>
      <c r="L31" s="29">
        <f>$D31*VLOOKUP($E31,'Charts data'!$A$2:$B$11,2,0)*VLOOKUP($G31,'Charts data'!$A$14:$B$18,2,0)/IF('Charts data'!$E$3=1,I31,1)/IF('Charts data'!$E$4=1,J31,1)</f>
        <v>101990.96564026357</v>
      </c>
    </row>
    <row r="32" spans="1:12" x14ac:dyDescent="0.25">
      <c r="A32" s="27" t="s">
        <v>1116</v>
      </c>
      <c r="B32" s="27">
        <v>43000</v>
      </c>
      <c r="C32" s="27" t="s">
        <v>28</v>
      </c>
      <c r="D32" s="28">
        <f>B32*VLOOKUP(C32,tblXrate[],2,0)</f>
        <v>43856.11522531334</v>
      </c>
      <c r="E32" s="27" t="s">
        <v>19</v>
      </c>
      <c r="F32" s="27" t="s">
        <v>29</v>
      </c>
      <c r="G32" s="27" t="s">
        <v>2273</v>
      </c>
      <c r="H32" s="27">
        <v>1</v>
      </c>
      <c r="I32" s="27">
        <f>VLOOKUP(F32,mapping!$L$2:$P$92,2,0)</f>
        <v>1.6083975281469567</v>
      </c>
      <c r="J32" s="27">
        <f>VLOOKUP($F32,mapping!$L$2:$P$92,3,0)</f>
        <v>65477.03</v>
      </c>
      <c r="K32" s="27" t="str">
        <f>VLOOKUP($F32,mapping!$L$2:$P$92,4,0)</f>
        <v>Other Advanced Economies</v>
      </c>
      <c r="L32" s="29">
        <f>$D32*VLOOKUP($E32,'Charts data'!$A$2:$B$11,2,0)*VLOOKUP($G32,'Charts data'!$A$14:$B$18,2,0)/IF('Charts data'!$E$3=1,I32,1)/IF('Charts data'!$E$4=1,J32,1)</f>
        <v>43856.11522531334</v>
      </c>
    </row>
    <row r="33" spans="1:12" x14ac:dyDescent="0.25">
      <c r="A33" s="27" t="s">
        <v>1119</v>
      </c>
      <c r="B33" s="27">
        <v>56600</v>
      </c>
      <c r="C33" s="27" t="s">
        <v>28</v>
      </c>
      <c r="D33" s="28">
        <f>B33*VLOOKUP(C33,tblXrate[],2,0)</f>
        <v>57726.886552389187</v>
      </c>
      <c r="E33" s="27" t="s">
        <v>19</v>
      </c>
      <c r="F33" s="27" t="s">
        <v>29</v>
      </c>
      <c r="G33" s="27" t="s">
        <v>2272</v>
      </c>
      <c r="H33" s="27">
        <v>2</v>
      </c>
      <c r="I33" s="27">
        <f>VLOOKUP(F33,mapping!$L$2:$P$92,2,0)</f>
        <v>1.6083975281469567</v>
      </c>
      <c r="J33" s="27">
        <f>VLOOKUP($F33,mapping!$L$2:$P$92,3,0)</f>
        <v>65477.03</v>
      </c>
      <c r="K33" s="27" t="str">
        <f>VLOOKUP($F33,mapping!$L$2:$P$92,4,0)</f>
        <v>Other Advanced Economies</v>
      </c>
      <c r="L33" s="29">
        <f>$D33*VLOOKUP($E33,'Charts data'!$A$2:$B$11,2,0)*VLOOKUP($G33,'Charts data'!$A$14:$B$18,2,0)/IF('Charts data'!$E$3=1,I33,1)/IF('Charts data'!$E$4=1,J33,1)</f>
        <v>57726.886552389187</v>
      </c>
    </row>
    <row r="34" spans="1:12" x14ac:dyDescent="0.25">
      <c r="A34" s="27" t="s">
        <v>1121</v>
      </c>
      <c r="B34" s="27">
        <v>200000</v>
      </c>
      <c r="C34" s="27" t="s">
        <v>28</v>
      </c>
      <c r="D34" s="28">
        <f>B34*VLOOKUP(C34,tblXrate[],2,0)</f>
        <v>203981.93128052715</v>
      </c>
      <c r="E34" s="27" t="s">
        <v>19</v>
      </c>
      <c r="F34" s="27" t="s">
        <v>29</v>
      </c>
      <c r="G34" s="27" t="s">
        <v>2271</v>
      </c>
      <c r="H34" s="27">
        <v>15</v>
      </c>
      <c r="I34" s="27">
        <f>VLOOKUP(F34,mapping!$L$2:$P$92,2,0)</f>
        <v>1.6083975281469567</v>
      </c>
      <c r="J34" s="27">
        <f>VLOOKUP($F34,mapping!$L$2:$P$92,3,0)</f>
        <v>65477.03</v>
      </c>
      <c r="K34" s="27" t="str">
        <f>VLOOKUP($F34,mapping!$L$2:$P$92,4,0)</f>
        <v>Other Advanced Economies</v>
      </c>
      <c r="L34" s="29">
        <f>$D34*VLOOKUP($E34,'Charts data'!$A$2:$B$11,2,0)*VLOOKUP($G34,'Charts data'!$A$14:$B$18,2,0)/IF('Charts data'!$E$3=1,I34,1)/IF('Charts data'!$E$4=1,J34,1)</f>
        <v>203981.93128052715</v>
      </c>
    </row>
    <row r="35" spans="1:12" x14ac:dyDescent="0.25">
      <c r="A35" s="27" t="s">
        <v>1122</v>
      </c>
      <c r="B35" s="27">
        <v>50000</v>
      </c>
      <c r="C35" s="27" t="s">
        <v>28</v>
      </c>
      <c r="D35" s="28">
        <f>B35*VLOOKUP(C35,tblXrate[],2,0)</f>
        <v>50995.482820131787</v>
      </c>
      <c r="E35" s="27" t="s">
        <v>62</v>
      </c>
      <c r="F35" s="27" t="s">
        <v>29</v>
      </c>
      <c r="G35" s="27" t="s">
        <v>2274</v>
      </c>
      <c r="H35" s="27">
        <v>5</v>
      </c>
      <c r="I35" s="27">
        <f>VLOOKUP(F35,mapping!$L$2:$P$92,2,0)</f>
        <v>1.6083975281469567</v>
      </c>
      <c r="J35" s="27">
        <f>VLOOKUP($F35,mapping!$L$2:$P$92,3,0)</f>
        <v>65477.03</v>
      </c>
      <c r="K35" s="27" t="str">
        <f>VLOOKUP($F35,mapping!$L$2:$P$92,4,0)</f>
        <v>Other Advanced Economies</v>
      </c>
      <c r="L35" s="29">
        <f>$D35*VLOOKUP($E35,'Charts data'!$A$2:$B$11,2,0)*VLOOKUP($G35,'Charts data'!$A$14:$B$18,2,0)/IF('Charts data'!$E$3=1,I35,1)/IF('Charts data'!$E$4=1,J35,1)</f>
        <v>50995.482820131787</v>
      </c>
    </row>
    <row r="36" spans="1:12" x14ac:dyDescent="0.25">
      <c r="A36" s="27" t="s">
        <v>1123</v>
      </c>
      <c r="B36" s="27">
        <v>125000</v>
      </c>
      <c r="C36" s="27" t="s">
        <v>28</v>
      </c>
      <c r="D36" s="28">
        <f>B36*VLOOKUP(C36,tblXrate[],2,0)</f>
        <v>127488.70705032947</v>
      </c>
      <c r="E36" s="27" t="s">
        <v>2147</v>
      </c>
      <c r="F36" s="27" t="s">
        <v>29</v>
      </c>
      <c r="G36" s="27" t="s">
        <v>2271</v>
      </c>
      <c r="H36" s="27">
        <v>15</v>
      </c>
      <c r="I36" s="27">
        <f>VLOOKUP(F36,mapping!$L$2:$P$92,2,0)</f>
        <v>1.6083975281469567</v>
      </c>
      <c r="J36" s="27">
        <f>VLOOKUP($F36,mapping!$L$2:$P$92,3,0)</f>
        <v>65477.03</v>
      </c>
      <c r="K36" s="27" t="str">
        <f>VLOOKUP($F36,mapping!$L$2:$P$92,4,0)</f>
        <v>Other Advanced Economies</v>
      </c>
      <c r="L36" s="29">
        <f>$D36*VLOOKUP($E36,'Charts data'!$A$2:$B$11,2,0)*VLOOKUP($G36,'Charts data'!$A$14:$B$18,2,0)/IF('Charts data'!$E$3=1,I36,1)/IF('Charts data'!$E$4=1,J36,1)</f>
        <v>127488.70705032947</v>
      </c>
    </row>
    <row r="37" spans="1:12" x14ac:dyDescent="0.25">
      <c r="A37" s="27" t="s">
        <v>1124</v>
      </c>
      <c r="B37" s="27">
        <v>65000</v>
      </c>
      <c r="C37" s="27" t="s">
        <v>28</v>
      </c>
      <c r="D37" s="28">
        <f>B37*VLOOKUP(C37,tblXrate[],2,0)</f>
        <v>66294.12766617132</v>
      </c>
      <c r="E37" s="27" t="s">
        <v>7</v>
      </c>
      <c r="F37" s="27" t="s">
        <v>29</v>
      </c>
      <c r="G37" s="27" t="s">
        <v>2271</v>
      </c>
      <c r="H37" s="27">
        <v>4</v>
      </c>
      <c r="I37" s="27">
        <f>VLOOKUP(F37,mapping!$L$2:$P$92,2,0)</f>
        <v>1.6083975281469567</v>
      </c>
      <c r="J37" s="27">
        <f>VLOOKUP($F37,mapping!$L$2:$P$92,3,0)</f>
        <v>65477.03</v>
      </c>
      <c r="K37" s="27" t="str">
        <f>VLOOKUP($F37,mapping!$L$2:$P$92,4,0)</f>
        <v>Other Advanced Economies</v>
      </c>
      <c r="L37" s="29">
        <f>$D37*VLOOKUP($E37,'Charts data'!$A$2:$B$11,2,0)*VLOOKUP($G37,'Charts data'!$A$14:$B$18,2,0)/IF('Charts data'!$E$3=1,I37,1)/IF('Charts data'!$E$4=1,J37,1)</f>
        <v>66294.12766617132</v>
      </c>
    </row>
    <row r="38" spans="1:12" x14ac:dyDescent="0.25">
      <c r="A38" s="27" t="s">
        <v>1125</v>
      </c>
      <c r="B38" s="27">
        <v>62000</v>
      </c>
      <c r="C38" s="27" t="s">
        <v>28</v>
      </c>
      <c r="D38" s="28">
        <f>B38*VLOOKUP(C38,tblXrate[],2,0)</f>
        <v>63234.398696963413</v>
      </c>
      <c r="E38" s="27" t="s">
        <v>7</v>
      </c>
      <c r="F38" s="27" t="s">
        <v>29</v>
      </c>
      <c r="G38" s="27" t="s">
        <v>2271</v>
      </c>
      <c r="H38" s="27">
        <v>3</v>
      </c>
      <c r="I38" s="27">
        <f>VLOOKUP(F38,mapping!$L$2:$P$92,2,0)</f>
        <v>1.6083975281469567</v>
      </c>
      <c r="J38" s="27">
        <f>VLOOKUP($F38,mapping!$L$2:$P$92,3,0)</f>
        <v>65477.03</v>
      </c>
      <c r="K38" s="27" t="str">
        <f>VLOOKUP($F38,mapping!$L$2:$P$92,4,0)</f>
        <v>Other Advanced Economies</v>
      </c>
      <c r="L38" s="29">
        <f>$D38*VLOOKUP($E38,'Charts data'!$A$2:$B$11,2,0)*VLOOKUP($G38,'Charts data'!$A$14:$B$18,2,0)/IF('Charts data'!$E$3=1,I38,1)/IF('Charts data'!$E$4=1,J38,1)</f>
        <v>63234.398696963413</v>
      </c>
    </row>
    <row r="39" spans="1:12" x14ac:dyDescent="0.25">
      <c r="A39" s="27" t="s">
        <v>1127</v>
      </c>
      <c r="B39" s="27">
        <v>110000</v>
      </c>
      <c r="C39" s="27" t="s">
        <v>28</v>
      </c>
      <c r="D39" s="28">
        <f>B39*VLOOKUP(C39,tblXrate[],2,0)</f>
        <v>112190.06220428993</v>
      </c>
      <c r="E39" s="27" t="s">
        <v>19</v>
      </c>
      <c r="F39" s="27" t="s">
        <v>29</v>
      </c>
      <c r="G39" s="27" t="s">
        <v>2272</v>
      </c>
      <c r="H39" s="27">
        <v>8</v>
      </c>
      <c r="I39" s="27">
        <f>VLOOKUP(F39,mapping!$L$2:$P$92,2,0)</f>
        <v>1.6083975281469567</v>
      </c>
      <c r="J39" s="27">
        <f>VLOOKUP($F39,mapping!$L$2:$P$92,3,0)</f>
        <v>65477.03</v>
      </c>
      <c r="K39" s="27" t="str">
        <f>VLOOKUP($F39,mapping!$L$2:$P$92,4,0)</f>
        <v>Other Advanced Economies</v>
      </c>
      <c r="L39" s="29">
        <f>$D39*VLOOKUP($E39,'Charts data'!$A$2:$B$11,2,0)*VLOOKUP($G39,'Charts data'!$A$14:$B$18,2,0)/IF('Charts data'!$E$3=1,I39,1)/IF('Charts data'!$E$4=1,J39,1)</f>
        <v>112190.06220428993</v>
      </c>
    </row>
    <row r="40" spans="1:12" x14ac:dyDescent="0.25">
      <c r="A40" s="27" t="s">
        <v>1128</v>
      </c>
      <c r="B40" s="27">
        <v>70000</v>
      </c>
      <c r="C40" s="27" t="s">
        <v>28</v>
      </c>
      <c r="D40" s="28">
        <f>B40*VLOOKUP(C40,tblXrate[],2,0)</f>
        <v>71393.675948184507</v>
      </c>
      <c r="E40" s="27" t="s">
        <v>19</v>
      </c>
      <c r="F40" s="27" t="s">
        <v>29</v>
      </c>
      <c r="G40" s="27" t="s">
        <v>2271</v>
      </c>
      <c r="H40" s="27">
        <v>7</v>
      </c>
      <c r="I40" s="27">
        <f>VLOOKUP(F40,mapping!$L$2:$P$92,2,0)</f>
        <v>1.6083975281469567</v>
      </c>
      <c r="J40" s="27">
        <f>VLOOKUP($F40,mapping!$L$2:$P$92,3,0)</f>
        <v>65477.03</v>
      </c>
      <c r="K40" s="27" t="str">
        <f>VLOOKUP($F40,mapping!$L$2:$P$92,4,0)</f>
        <v>Other Advanced Economies</v>
      </c>
      <c r="L40" s="29">
        <f>$D40*VLOOKUP($E40,'Charts data'!$A$2:$B$11,2,0)*VLOOKUP($G40,'Charts data'!$A$14:$B$18,2,0)/IF('Charts data'!$E$3=1,I40,1)/IF('Charts data'!$E$4=1,J40,1)</f>
        <v>71393.675948184507</v>
      </c>
    </row>
    <row r="41" spans="1:12" x14ac:dyDescent="0.25">
      <c r="A41" s="27" t="s">
        <v>1130</v>
      </c>
      <c r="B41" s="27">
        <v>94000</v>
      </c>
      <c r="C41" s="27" t="s">
        <v>28</v>
      </c>
      <c r="D41" s="28">
        <f>B41*VLOOKUP(C41,tblXrate[],2,0)</f>
        <v>95871.50770184776</v>
      </c>
      <c r="E41" s="27" t="s">
        <v>7</v>
      </c>
      <c r="F41" s="27" t="s">
        <v>29</v>
      </c>
      <c r="G41" s="27" t="s">
        <v>2272</v>
      </c>
      <c r="H41" s="27">
        <v>2.5</v>
      </c>
      <c r="I41" s="27">
        <f>VLOOKUP(F41,mapping!$L$2:$P$92,2,0)</f>
        <v>1.6083975281469567</v>
      </c>
      <c r="J41" s="27">
        <f>VLOOKUP($F41,mapping!$L$2:$P$92,3,0)</f>
        <v>65477.03</v>
      </c>
      <c r="K41" s="27" t="str">
        <f>VLOOKUP($F41,mapping!$L$2:$P$92,4,0)</f>
        <v>Other Advanced Economies</v>
      </c>
      <c r="L41" s="29">
        <f>$D41*VLOOKUP($E41,'Charts data'!$A$2:$B$11,2,0)*VLOOKUP($G41,'Charts data'!$A$14:$B$18,2,0)/IF('Charts data'!$E$3=1,I41,1)/IF('Charts data'!$E$4=1,J41,1)</f>
        <v>95871.50770184776</v>
      </c>
    </row>
    <row r="42" spans="1:12" x14ac:dyDescent="0.25">
      <c r="A42" s="27" t="s">
        <v>1131</v>
      </c>
      <c r="B42" s="27">
        <v>107000</v>
      </c>
      <c r="C42" s="27" t="s">
        <v>28</v>
      </c>
      <c r="D42" s="28">
        <f>B42*VLOOKUP(C42,tblXrate[],2,0)</f>
        <v>109130.33323508203</v>
      </c>
      <c r="E42" s="27" t="s">
        <v>19</v>
      </c>
      <c r="F42" s="27" t="s">
        <v>29</v>
      </c>
      <c r="G42" s="27" t="s">
        <v>2271</v>
      </c>
      <c r="H42" s="27">
        <v>35</v>
      </c>
      <c r="I42" s="27">
        <f>VLOOKUP(F42,mapping!$L$2:$P$92,2,0)</f>
        <v>1.6083975281469567</v>
      </c>
      <c r="J42" s="27">
        <f>VLOOKUP($F42,mapping!$L$2:$P$92,3,0)</f>
        <v>65477.03</v>
      </c>
      <c r="K42" s="27" t="str">
        <f>VLOOKUP($F42,mapping!$L$2:$P$92,4,0)</f>
        <v>Other Advanced Economies</v>
      </c>
      <c r="L42" s="29">
        <f>$D42*VLOOKUP($E42,'Charts data'!$A$2:$B$11,2,0)*VLOOKUP($G42,'Charts data'!$A$14:$B$18,2,0)/IF('Charts data'!$E$3=1,I42,1)/IF('Charts data'!$E$4=1,J42,1)</f>
        <v>109130.33323508203</v>
      </c>
    </row>
    <row r="43" spans="1:12" x14ac:dyDescent="0.25">
      <c r="A43" s="27" t="s">
        <v>1133</v>
      </c>
      <c r="B43" s="27">
        <v>120000</v>
      </c>
      <c r="C43" s="27" t="s">
        <v>28</v>
      </c>
      <c r="D43" s="28">
        <f>B43*VLOOKUP(C43,tblXrate[],2,0)</f>
        <v>122389.15876831629</v>
      </c>
      <c r="E43" s="27" t="s">
        <v>7</v>
      </c>
      <c r="F43" s="27" t="s">
        <v>29</v>
      </c>
      <c r="G43" s="27" t="s">
        <v>2271</v>
      </c>
      <c r="H43" s="27">
        <v>2</v>
      </c>
      <c r="I43" s="27">
        <f>VLOOKUP(F43,mapping!$L$2:$P$92,2,0)</f>
        <v>1.6083975281469567</v>
      </c>
      <c r="J43" s="27">
        <f>VLOOKUP($F43,mapping!$L$2:$P$92,3,0)</f>
        <v>65477.03</v>
      </c>
      <c r="K43" s="27" t="str">
        <f>VLOOKUP($F43,mapping!$L$2:$P$92,4,0)</f>
        <v>Other Advanced Economies</v>
      </c>
      <c r="L43" s="29">
        <f>$D43*VLOOKUP($E43,'Charts data'!$A$2:$B$11,2,0)*VLOOKUP($G43,'Charts data'!$A$14:$B$18,2,0)/IF('Charts data'!$E$3=1,I43,1)/IF('Charts data'!$E$4=1,J43,1)</f>
        <v>122389.15876831629</v>
      </c>
    </row>
    <row r="44" spans="1:12" x14ac:dyDescent="0.25">
      <c r="A44" s="27" t="s">
        <v>1134</v>
      </c>
      <c r="B44" s="27">
        <v>52000</v>
      </c>
      <c r="C44" s="27" t="s">
        <v>28</v>
      </c>
      <c r="D44" s="28">
        <f>B44*VLOOKUP(C44,tblXrate[],2,0)</f>
        <v>53035.30213293706</v>
      </c>
      <c r="E44" s="27" t="s">
        <v>7</v>
      </c>
      <c r="F44" s="27" t="s">
        <v>29</v>
      </c>
      <c r="G44" s="27" t="s">
        <v>2271</v>
      </c>
      <c r="H44" s="27">
        <v>4</v>
      </c>
      <c r="I44" s="27">
        <f>VLOOKUP(F44,mapping!$L$2:$P$92,2,0)</f>
        <v>1.6083975281469567</v>
      </c>
      <c r="J44" s="27">
        <f>VLOOKUP($F44,mapping!$L$2:$P$92,3,0)</f>
        <v>65477.03</v>
      </c>
      <c r="K44" s="27" t="str">
        <f>VLOOKUP($F44,mapping!$L$2:$P$92,4,0)</f>
        <v>Other Advanced Economies</v>
      </c>
      <c r="L44" s="29">
        <f>$D44*VLOOKUP($E44,'Charts data'!$A$2:$B$11,2,0)*VLOOKUP($G44,'Charts data'!$A$14:$B$18,2,0)/IF('Charts data'!$E$3=1,I44,1)/IF('Charts data'!$E$4=1,J44,1)</f>
        <v>53035.30213293706</v>
      </c>
    </row>
    <row r="45" spans="1:12" x14ac:dyDescent="0.25">
      <c r="A45" s="27" t="s">
        <v>1137</v>
      </c>
      <c r="B45" s="27">
        <v>92000</v>
      </c>
      <c r="C45" s="27" t="s">
        <v>28</v>
      </c>
      <c r="D45" s="28">
        <f>B45*VLOOKUP(C45,tblXrate[],2,0)</f>
        <v>93831.688389042494</v>
      </c>
      <c r="E45" s="27" t="s">
        <v>7</v>
      </c>
      <c r="F45" s="27" t="s">
        <v>29</v>
      </c>
      <c r="G45" s="27" t="s">
        <v>2273</v>
      </c>
      <c r="H45" s="27">
        <v>6</v>
      </c>
      <c r="I45" s="27">
        <f>VLOOKUP(F45,mapping!$L$2:$P$92,2,0)</f>
        <v>1.6083975281469567</v>
      </c>
      <c r="J45" s="27">
        <f>VLOOKUP($F45,mapping!$L$2:$P$92,3,0)</f>
        <v>65477.03</v>
      </c>
      <c r="K45" s="27" t="str">
        <f>VLOOKUP($F45,mapping!$L$2:$P$92,4,0)</f>
        <v>Other Advanced Economies</v>
      </c>
      <c r="L45" s="29">
        <f>$D45*VLOOKUP($E45,'Charts data'!$A$2:$B$11,2,0)*VLOOKUP($G45,'Charts data'!$A$14:$B$18,2,0)/IF('Charts data'!$E$3=1,I45,1)/IF('Charts data'!$E$4=1,J45,1)</f>
        <v>93831.688389042494</v>
      </c>
    </row>
    <row r="46" spans="1:12" x14ac:dyDescent="0.25">
      <c r="A46" s="27" t="s">
        <v>1138</v>
      </c>
      <c r="B46" s="27">
        <v>100000</v>
      </c>
      <c r="C46" s="27" t="s">
        <v>28</v>
      </c>
      <c r="D46" s="28">
        <f>B46*VLOOKUP(C46,tblXrate[],2,0)</f>
        <v>101990.96564026357</v>
      </c>
      <c r="E46" s="27" t="s">
        <v>7</v>
      </c>
      <c r="F46" s="27" t="s">
        <v>29</v>
      </c>
      <c r="G46" s="27" t="s">
        <v>2271</v>
      </c>
      <c r="H46" s="27">
        <v>20</v>
      </c>
      <c r="I46" s="27">
        <f>VLOOKUP(F46,mapping!$L$2:$P$92,2,0)</f>
        <v>1.6083975281469567</v>
      </c>
      <c r="J46" s="27">
        <f>VLOOKUP($F46,mapping!$L$2:$P$92,3,0)</f>
        <v>65477.03</v>
      </c>
      <c r="K46" s="27" t="str">
        <f>VLOOKUP($F46,mapping!$L$2:$P$92,4,0)</f>
        <v>Other Advanced Economies</v>
      </c>
      <c r="L46" s="29">
        <f>$D46*VLOOKUP($E46,'Charts data'!$A$2:$B$11,2,0)*VLOOKUP($G46,'Charts data'!$A$14:$B$18,2,0)/IF('Charts data'!$E$3=1,I46,1)/IF('Charts data'!$E$4=1,J46,1)</f>
        <v>101990.96564026357</v>
      </c>
    </row>
    <row r="47" spans="1:12" x14ac:dyDescent="0.25">
      <c r="A47" s="27" t="s">
        <v>1139</v>
      </c>
      <c r="B47" s="27">
        <v>120000</v>
      </c>
      <c r="C47" s="27" t="s">
        <v>28</v>
      </c>
      <c r="D47" s="28">
        <f>B47*VLOOKUP(C47,tblXrate[],2,0)</f>
        <v>122389.15876831629</v>
      </c>
      <c r="E47" s="27" t="s">
        <v>7</v>
      </c>
      <c r="F47" s="27" t="s">
        <v>29</v>
      </c>
      <c r="G47" s="27" t="s">
        <v>2271</v>
      </c>
      <c r="H47" s="27">
        <v>5</v>
      </c>
      <c r="I47" s="27">
        <f>VLOOKUP(F47,mapping!$L$2:$P$92,2,0)</f>
        <v>1.6083975281469567</v>
      </c>
      <c r="J47" s="27">
        <f>VLOOKUP($F47,mapping!$L$2:$P$92,3,0)</f>
        <v>65477.03</v>
      </c>
      <c r="K47" s="27" t="str">
        <f>VLOOKUP($F47,mapping!$L$2:$P$92,4,0)</f>
        <v>Other Advanced Economies</v>
      </c>
      <c r="L47" s="29">
        <f>$D47*VLOOKUP($E47,'Charts data'!$A$2:$B$11,2,0)*VLOOKUP($G47,'Charts data'!$A$14:$B$18,2,0)/IF('Charts data'!$E$3=1,I47,1)/IF('Charts data'!$E$4=1,J47,1)</f>
        <v>122389.15876831629</v>
      </c>
    </row>
    <row r="48" spans="1:12" x14ac:dyDescent="0.25">
      <c r="A48" s="27" t="s">
        <v>1151</v>
      </c>
      <c r="B48" s="27">
        <v>94000</v>
      </c>
      <c r="C48" s="27" t="s">
        <v>28</v>
      </c>
      <c r="D48" s="28">
        <f>B48*VLOOKUP(C48,tblXrate[],2,0)</f>
        <v>95871.50770184776</v>
      </c>
      <c r="E48" s="27" t="s">
        <v>7</v>
      </c>
      <c r="F48" s="27" t="s">
        <v>29</v>
      </c>
      <c r="G48" s="27" t="s">
        <v>2272</v>
      </c>
      <c r="H48" s="27">
        <v>14</v>
      </c>
      <c r="I48" s="27">
        <f>VLOOKUP(F48,mapping!$L$2:$P$92,2,0)</f>
        <v>1.6083975281469567</v>
      </c>
      <c r="J48" s="27">
        <f>VLOOKUP($F48,mapping!$L$2:$P$92,3,0)</f>
        <v>65477.03</v>
      </c>
      <c r="K48" s="27" t="str">
        <f>VLOOKUP($F48,mapping!$L$2:$P$92,4,0)</f>
        <v>Other Advanced Economies</v>
      </c>
      <c r="L48" s="29">
        <f>$D48*VLOOKUP($E48,'Charts data'!$A$2:$B$11,2,0)*VLOOKUP($G48,'Charts data'!$A$14:$B$18,2,0)/IF('Charts data'!$E$3=1,I48,1)/IF('Charts data'!$E$4=1,J48,1)</f>
        <v>95871.50770184776</v>
      </c>
    </row>
    <row r="49" spans="1:12" x14ac:dyDescent="0.25">
      <c r="A49" s="27" t="s">
        <v>1152</v>
      </c>
      <c r="B49" s="27">
        <v>170000</v>
      </c>
      <c r="C49" s="27" t="s">
        <v>28</v>
      </c>
      <c r="D49" s="28">
        <f>B49*VLOOKUP(C49,tblXrate[],2,0)</f>
        <v>173384.64158844808</v>
      </c>
      <c r="E49" s="27" t="s">
        <v>53</v>
      </c>
      <c r="F49" s="27" t="s">
        <v>29</v>
      </c>
      <c r="G49" s="27" t="s">
        <v>2272</v>
      </c>
      <c r="H49" s="27">
        <v>8</v>
      </c>
      <c r="I49" s="27">
        <f>VLOOKUP(F49,mapping!$L$2:$P$92,2,0)</f>
        <v>1.6083975281469567</v>
      </c>
      <c r="J49" s="27">
        <f>VLOOKUP($F49,mapping!$L$2:$P$92,3,0)</f>
        <v>65477.03</v>
      </c>
      <c r="K49" s="27" t="str">
        <f>VLOOKUP($F49,mapping!$L$2:$P$92,4,0)</f>
        <v>Other Advanced Economies</v>
      </c>
      <c r="L49" s="29">
        <f>$D49*VLOOKUP($E49,'Charts data'!$A$2:$B$11,2,0)*VLOOKUP($G49,'Charts data'!$A$14:$B$18,2,0)/IF('Charts data'!$E$3=1,I49,1)/IF('Charts data'!$E$4=1,J49,1)</f>
        <v>173384.64158844808</v>
      </c>
    </row>
    <row r="50" spans="1:12" x14ac:dyDescent="0.25">
      <c r="A50" s="27" t="s">
        <v>1155</v>
      </c>
      <c r="B50" s="27">
        <v>70000</v>
      </c>
      <c r="C50" s="27" t="s">
        <v>28</v>
      </c>
      <c r="D50" s="28">
        <f>B50*VLOOKUP(C50,tblXrate[],2,0)</f>
        <v>71393.675948184507</v>
      </c>
      <c r="E50" s="27" t="s">
        <v>2147</v>
      </c>
      <c r="F50" s="27" t="s">
        <v>29</v>
      </c>
      <c r="G50" s="27" t="s">
        <v>2273</v>
      </c>
      <c r="H50" s="27">
        <v>2</v>
      </c>
      <c r="I50" s="27">
        <f>VLOOKUP(F50,mapping!$L$2:$P$92,2,0)</f>
        <v>1.6083975281469567</v>
      </c>
      <c r="J50" s="27">
        <f>VLOOKUP($F50,mapping!$L$2:$P$92,3,0)</f>
        <v>65477.03</v>
      </c>
      <c r="K50" s="27" t="str">
        <f>VLOOKUP($F50,mapping!$L$2:$P$92,4,0)</f>
        <v>Other Advanced Economies</v>
      </c>
      <c r="L50" s="29">
        <f>$D50*VLOOKUP($E50,'Charts data'!$A$2:$B$11,2,0)*VLOOKUP($G50,'Charts data'!$A$14:$B$18,2,0)/IF('Charts data'!$E$3=1,I50,1)/IF('Charts data'!$E$4=1,J50,1)</f>
        <v>71393.675948184507</v>
      </c>
    </row>
    <row r="51" spans="1:12" x14ac:dyDescent="0.25">
      <c r="A51" s="27" t="s">
        <v>1197</v>
      </c>
      <c r="B51" s="27">
        <v>50000</v>
      </c>
      <c r="C51" s="27" t="s">
        <v>28</v>
      </c>
      <c r="D51" s="28">
        <f>B51*VLOOKUP(C51,tblXrate[],2,0)</f>
        <v>50995.482820131787</v>
      </c>
      <c r="E51" s="27" t="s">
        <v>7</v>
      </c>
      <c r="F51" s="27" t="s">
        <v>29</v>
      </c>
      <c r="G51" s="27" t="s">
        <v>2271</v>
      </c>
      <c r="H51" s="27">
        <v>4</v>
      </c>
      <c r="I51" s="27">
        <f>VLOOKUP(F51,mapping!$L$2:$P$92,2,0)</f>
        <v>1.6083975281469567</v>
      </c>
      <c r="J51" s="27">
        <f>VLOOKUP($F51,mapping!$L$2:$P$92,3,0)</f>
        <v>65477.03</v>
      </c>
      <c r="K51" s="27" t="str">
        <f>VLOOKUP($F51,mapping!$L$2:$P$92,4,0)</f>
        <v>Other Advanced Economies</v>
      </c>
      <c r="L51" s="29">
        <f>$D51*VLOOKUP($E51,'Charts data'!$A$2:$B$11,2,0)*VLOOKUP($G51,'Charts data'!$A$14:$B$18,2,0)/IF('Charts data'!$E$3=1,I51,1)/IF('Charts data'!$E$4=1,J51,1)</f>
        <v>50995.482820131787</v>
      </c>
    </row>
    <row r="52" spans="1:12" x14ac:dyDescent="0.25">
      <c r="A52" s="27" t="s">
        <v>1373</v>
      </c>
      <c r="B52" s="27">
        <v>150000</v>
      </c>
      <c r="C52" s="27" t="s">
        <v>28</v>
      </c>
      <c r="D52" s="28">
        <f>B52*VLOOKUP(C52,tblXrate[],2,0)</f>
        <v>152986.44846039536</v>
      </c>
      <c r="E52" s="27" t="s">
        <v>7</v>
      </c>
      <c r="F52" s="27" t="s">
        <v>29</v>
      </c>
      <c r="G52" s="27" t="s">
        <v>2272</v>
      </c>
      <c r="H52" s="27">
        <v>10</v>
      </c>
      <c r="I52" s="27">
        <f>VLOOKUP(F52,mapping!$L$2:$P$92,2,0)</f>
        <v>1.6083975281469567</v>
      </c>
      <c r="J52" s="27">
        <f>VLOOKUP($F52,mapping!$L$2:$P$92,3,0)</f>
        <v>65477.03</v>
      </c>
      <c r="K52" s="27" t="str">
        <f>VLOOKUP($F52,mapping!$L$2:$P$92,4,0)</f>
        <v>Other Advanced Economies</v>
      </c>
      <c r="L52" s="29">
        <f>$D52*VLOOKUP($E52,'Charts data'!$A$2:$B$11,2,0)*VLOOKUP($G52,'Charts data'!$A$14:$B$18,2,0)/IF('Charts data'!$E$3=1,I52,1)/IF('Charts data'!$E$4=1,J52,1)</f>
        <v>152986.44846039536</v>
      </c>
    </row>
    <row r="53" spans="1:12" x14ac:dyDescent="0.25">
      <c r="A53" s="27" t="s">
        <v>1391</v>
      </c>
      <c r="B53" s="27">
        <v>80000</v>
      </c>
      <c r="C53" s="27" t="s">
        <v>28</v>
      </c>
      <c r="D53" s="28">
        <f>B53*VLOOKUP(C53,tblXrate[],2,0)</f>
        <v>81592.772512210868</v>
      </c>
      <c r="E53" s="27" t="s">
        <v>51</v>
      </c>
      <c r="F53" s="27" t="s">
        <v>29</v>
      </c>
      <c r="G53" s="27" t="s">
        <v>2271</v>
      </c>
      <c r="H53" s="27">
        <v>5</v>
      </c>
      <c r="I53" s="27">
        <f>VLOOKUP(F53,mapping!$L$2:$P$92,2,0)</f>
        <v>1.6083975281469567</v>
      </c>
      <c r="J53" s="27">
        <f>VLOOKUP($F53,mapping!$L$2:$P$92,3,0)</f>
        <v>65477.03</v>
      </c>
      <c r="K53" s="27" t="str">
        <f>VLOOKUP($F53,mapping!$L$2:$P$92,4,0)</f>
        <v>Other Advanced Economies</v>
      </c>
      <c r="L53" s="29">
        <f>$D53*VLOOKUP($E53,'Charts data'!$A$2:$B$11,2,0)*VLOOKUP($G53,'Charts data'!$A$14:$B$18,2,0)/IF('Charts data'!$E$3=1,I53,1)/IF('Charts data'!$E$4=1,J53,1)</f>
        <v>81592.772512210868</v>
      </c>
    </row>
    <row r="54" spans="1:12" x14ac:dyDescent="0.25">
      <c r="A54" s="27" t="s">
        <v>1399</v>
      </c>
      <c r="B54" s="27">
        <v>90000</v>
      </c>
      <c r="C54" s="27" t="s">
        <v>28</v>
      </c>
      <c r="D54" s="28">
        <f>B54*VLOOKUP(C54,tblXrate[],2,0)</f>
        <v>91791.869076237213</v>
      </c>
      <c r="E54" s="27" t="s">
        <v>7</v>
      </c>
      <c r="F54" s="27" t="s">
        <v>29</v>
      </c>
      <c r="G54" s="27" t="s">
        <v>2271</v>
      </c>
      <c r="H54" s="27">
        <v>5</v>
      </c>
      <c r="I54" s="27">
        <f>VLOOKUP(F54,mapping!$L$2:$P$92,2,0)</f>
        <v>1.6083975281469567</v>
      </c>
      <c r="J54" s="27">
        <f>VLOOKUP($F54,mapping!$L$2:$P$92,3,0)</f>
        <v>65477.03</v>
      </c>
      <c r="K54" s="27" t="str">
        <f>VLOOKUP($F54,mapping!$L$2:$P$92,4,0)</f>
        <v>Other Advanced Economies</v>
      </c>
      <c r="L54" s="29">
        <f>$D54*VLOOKUP($E54,'Charts data'!$A$2:$B$11,2,0)*VLOOKUP($G54,'Charts data'!$A$14:$B$18,2,0)/IF('Charts data'!$E$3=1,I54,1)/IF('Charts data'!$E$4=1,J54,1)</f>
        <v>91791.869076237213</v>
      </c>
    </row>
    <row r="55" spans="1:12" x14ac:dyDescent="0.25">
      <c r="A55" s="27" t="s">
        <v>1400</v>
      </c>
      <c r="B55" s="27">
        <v>110000</v>
      </c>
      <c r="C55" s="27" t="s">
        <v>28</v>
      </c>
      <c r="D55" s="28">
        <f>B55*VLOOKUP(C55,tblXrate[],2,0)</f>
        <v>112190.06220428993</v>
      </c>
      <c r="E55" s="27" t="s">
        <v>7</v>
      </c>
      <c r="F55" s="27" t="s">
        <v>29</v>
      </c>
      <c r="G55" s="27" t="s">
        <v>2272</v>
      </c>
      <c r="H55" s="27">
        <v>7</v>
      </c>
      <c r="I55" s="27">
        <f>VLOOKUP(F55,mapping!$L$2:$P$92,2,0)</f>
        <v>1.6083975281469567</v>
      </c>
      <c r="J55" s="27">
        <f>VLOOKUP($F55,mapping!$L$2:$P$92,3,0)</f>
        <v>65477.03</v>
      </c>
      <c r="K55" s="27" t="str">
        <f>VLOOKUP($F55,mapping!$L$2:$P$92,4,0)</f>
        <v>Other Advanced Economies</v>
      </c>
      <c r="L55" s="29">
        <f>$D55*VLOOKUP($E55,'Charts data'!$A$2:$B$11,2,0)*VLOOKUP($G55,'Charts data'!$A$14:$B$18,2,0)/IF('Charts data'!$E$3=1,I55,1)/IF('Charts data'!$E$4=1,J55,1)</f>
        <v>112190.06220428993</v>
      </c>
    </row>
    <row r="56" spans="1:12" x14ac:dyDescent="0.25">
      <c r="A56" s="27" t="s">
        <v>1404</v>
      </c>
      <c r="B56" s="27">
        <v>100000</v>
      </c>
      <c r="C56" s="27" t="s">
        <v>28</v>
      </c>
      <c r="D56" s="28">
        <f>B56*VLOOKUP(C56,tblXrate[],2,0)</f>
        <v>101990.96564026357</v>
      </c>
      <c r="E56" s="27" t="s">
        <v>53</v>
      </c>
      <c r="F56" s="27" t="s">
        <v>29</v>
      </c>
      <c r="G56" s="27" t="s">
        <v>2271</v>
      </c>
      <c r="H56" s="27">
        <v>15</v>
      </c>
      <c r="I56" s="27">
        <f>VLOOKUP(F56,mapping!$L$2:$P$92,2,0)</f>
        <v>1.6083975281469567</v>
      </c>
      <c r="J56" s="27">
        <f>VLOOKUP($F56,mapping!$L$2:$P$92,3,0)</f>
        <v>65477.03</v>
      </c>
      <c r="K56" s="27" t="str">
        <f>VLOOKUP($F56,mapping!$L$2:$P$92,4,0)</f>
        <v>Other Advanced Economies</v>
      </c>
      <c r="L56" s="29">
        <f>$D56*VLOOKUP($E56,'Charts data'!$A$2:$B$11,2,0)*VLOOKUP($G56,'Charts data'!$A$14:$B$18,2,0)/IF('Charts data'!$E$3=1,I56,1)/IF('Charts data'!$E$4=1,J56,1)</f>
        <v>101990.96564026357</v>
      </c>
    </row>
    <row r="57" spans="1:12" x14ac:dyDescent="0.25">
      <c r="A57" s="27" t="s">
        <v>1408</v>
      </c>
      <c r="B57" s="27">
        <v>48000</v>
      </c>
      <c r="C57" s="27" t="s">
        <v>28</v>
      </c>
      <c r="D57" s="28">
        <f>B57*VLOOKUP(C57,tblXrate[],2,0)</f>
        <v>48955.663507326513</v>
      </c>
      <c r="E57" s="27" t="s">
        <v>7</v>
      </c>
      <c r="F57" s="27" t="s">
        <v>29</v>
      </c>
      <c r="G57" s="27" t="s">
        <v>2274</v>
      </c>
      <c r="H57" s="27">
        <v>2</v>
      </c>
      <c r="I57" s="27">
        <f>VLOOKUP(F57,mapping!$L$2:$P$92,2,0)</f>
        <v>1.6083975281469567</v>
      </c>
      <c r="J57" s="27">
        <f>VLOOKUP($F57,mapping!$L$2:$P$92,3,0)</f>
        <v>65477.03</v>
      </c>
      <c r="K57" s="27" t="str">
        <f>VLOOKUP($F57,mapping!$L$2:$P$92,4,0)</f>
        <v>Other Advanced Economies</v>
      </c>
      <c r="L57" s="29">
        <f>$D57*VLOOKUP($E57,'Charts data'!$A$2:$B$11,2,0)*VLOOKUP($G57,'Charts data'!$A$14:$B$18,2,0)/IF('Charts data'!$E$3=1,I57,1)/IF('Charts data'!$E$4=1,J57,1)</f>
        <v>48955.663507326513</v>
      </c>
    </row>
    <row r="58" spans="1:12" x14ac:dyDescent="0.25">
      <c r="A58" s="27" t="s">
        <v>1438</v>
      </c>
      <c r="B58" s="27">
        <v>68000</v>
      </c>
      <c r="C58" s="27" t="s">
        <v>28</v>
      </c>
      <c r="D58" s="28">
        <f>B58*VLOOKUP(C58,tblXrate[],2,0)</f>
        <v>69353.856635379227</v>
      </c>
      <c r="E58" s="27" t="s">
        <v>19</v>
      </c>
      <c r="F58" s="27" t="s">
        <v>29</v>
      </c>
      <c r="G58" s="27" t="s">
        <v>2271</v>
      </c>
      <c r="H58" s="27">
        <v>10</v>
      </c>
      <c r="I58" s="27">
        <f>VLOOKUP(F58,mapping!$L$2:$P$92,2,0)</f>
        <v>1.6083975281469567</v>
      </c>
      <c r="J58" s="27">
        <f>VLOOKUP($F58,mapping!$L$2:$P$92,3,0)</f>
        <v>65477.03</v>
      </c>
      <c r="K58" s="27" t="str">
        <f>VLOOKUP($F58,mapping!$L$2:$P$92,4,0)</f>
        <v>Other Advanced Economies</v>
      </c>
      <c r="L58" s="29">
        <f>$D58*VLOOKUP($E58,'Charts data'!$A$2:$B$11,2,0)*VLOOKUP($G58,'Charts data'!$A$14:$B$18,2,0)/IF('Charts data'!$E$3=1,I58,1)/IF('Charts data'!$E$4=1,J58,1)</f>
        <v>69353.856635379227</v>
      </c>
    </row>
    <row r="59" spans="1:12" x14ac:dyDescent="0.25">
      <c r="A59" s="27" t="s">
        <v>1439</v>
      </c>
      <c r="B59" s="27">
        <v>49000</v>
      </c>
      <c r="C59" s="27" t="s">
        <v>28</v>
      </c>
      <c r="D59" s="28">
        <f>B59*VLOOKUP(C59,tblXrate[],2,0)</f>
        <v>49975.573163729154</v>
      </c>
      <c r="E59" s="27" t="s">
        <v>62</v>
      </c>
      <c r="F59" s="27" t="s">
        <v>29</v>
      </c>
      <c r="G59" s="27" t="s">
        <v>2271</v>
      </c>
      <c r="H59" s="27">
        <v>30</v>
      </c>
      <c r="I59" s="27">
        <f>VLOOKUP(F59,mapping!$L$2:$P$92,2,0)</f>
        <v>1.6083975281469567</v>
      </c>
      <c r="J59" s="27">
        <f>VLOOKUP($F59,mapping!$L$2:$P$92,3,0)</f>
        <v>65477.03</v>
      </c>
      <c r="K59" s="27" t="str">
        <f>VLOOKUP($F59,mapping!$L$2:$P$92,4,0)</f>
        <v>Other Advanced Economies</v>
      </c>
      <c r="L59" s="29">
        <f>$D59*VLOOKUP($E59,'Charts data'!$A$2:$B$11,2,0)*VLOOKUP($G59,'Charts data'!$A$14:$B$18,2,0)/IF('Charts data'!$E$3=1,I59,1)/IF('Charts data'!$E$4=1,J59,1)</f>
        <v>49975.573163729154</v>
      </c>
    </row>
    <row r="60" spans="1:12" x14ac:dyDescent="0.25">
      <c r="A60" s="27" t="s">
        <v>1484</v>
      </c>
      <c r="B60" s="27">
        <v>150000</v>
      </c>
      <c r="C60" s="27" t="s">
        <v>28</v>
      </c>
      <c r="D60" s="28">
        <f>B60*VLOOKUP(C60,tblXrate[],2,0)</f>
        <v>152986.44846039536</v>
      </c>
      <c r="E60" s="27" t="s">
        <v>7</v>
      </c>
      <c r="F60" s="27" t="s">
        <v>29</v>
      </c>
      <c r="G60" s="27" t="s">
        <v>2274</v>
      </c>
      <c r="H60" s="27">
        <v>5.5</v>
      </c>
      <c r="I60" s="27">
        <f>VLOOKUP(F60,mapping!$L$2:$P$92,2,0)</f>
        <v>1.6083975281469567</v>
      </c>
      <c r="J60" s="27">
        <f>VLOOKUP($F60,mapping!$L$2:$P$92,3,0)</f>
        <v>65477.03</v>
      </c>
      <c r="K60" s="27" t="str">
        <f>VLOOKUP($F60,mapping!$L$2:$P$92,4,0)</f>
        <v>Other Advanced Economies</v>
      </c>
      <c r="L60" s="29">
        <f>$D60*VLOOKUP($E60,'Charts data'!$A$2:$B$11,2,0)*VLOOKUP($G60,'Charts data'!$A$14:$B$18,2,0)/IF('Charts data'!$E$3=1,I60,1)/IF('Charts data'!$E$4=1,J60,1)</f>
        <v>152986.44846039536</v>
      </c>
    </row>
    <row r="61" spans="1:12" x14ac:dyDescent="0.25">
      <c r="A61" s="27" t="s">
        <v>1486</v>
      </c>
      <c r="B61" s="27">
        <v>100000</v>
      </c>
      <c r="C61" s="27" t="s">
        <v>28</v>
      </c>
      <c r="D61" s="28">
        <f>B61*VLOOKUP(C61,tblXrate[],2,0)</f>
        <v>101990.96564026357</v>
      </c>
      <c r="E61" s="27" t="s">
        <v>53</v>
      </c>
      <c r="F61" s="27" t="s">
        <v>29</v>
      </c>
      <c r="G61" s="27" t="s">
        <v>2274</v>
      </c>
      <c r="H61" s="27">
        <v>30</v>
      </c>
      <c r="I61" s="27">
        <f>VLOOKUP(F61,mapping!$L$2:$P$92,2,0)</f>
        <v>1.6083975281469567</v>
      </c>
      <c r="J61" s="27">
        <f>VLOOKUP($F61,mapping!$L$2:$P$92,3,0)</f>
        <v>65477.03</v>
      </c>
      <c r="K61" s="27" t="str">
        <f>VLOOKUP($F61,mapping!$L$2:$P$92,4,0)</f>
        <v>Other Advanced Economies</v>
      </c>
      <c r="L61" s="29">
        <f>$D61*VLOOKUP($E61,'Charts data'!$A$2:$B$11,2,0)*VLOOKUP($G61,'Charts data'!$A$14:$B$18,2,0)/IF('Charts data'!$E$3=1,I61,1)/IF('Charts data'!$E$4=1,J61,1)</f>
        <v>101990.96564026357</v>
      </c>
    </row>
    <row r="62" spans="1:12" x14ac:dyDescent="0.25">
      <c r="A62" s="27" t="s">
        <v>1569</v>
      </c>
      <c r="B62" s="27">
        <v>55000</v>
      </c>
      <c r="C62" s="27" t="s">
        <v>28</v>
      </c>
      <c r="D62" s="28">
        <f>B62*VLOOKUP(C62,tblXrate[],2,0)</f>
        <v>56095.031102144967</v>
      </c>
      <c r="E62" s="27" t="s">
        <v>7</v>
      </c>
      <c r="F62" s="27" t="s">
        <v>29</v>
      </c>
      <c r="G62" s="27" t="s">
        <v>2272</v>
      </c>
      <c r="H62" s="27">
        <v>11</v>
      </c>
      <c r="I62" s="27">
        <f>VLOOKUP(F62,mapping!$L$2:$P$92,2,0)</f>
        <v>1.6083975281469567</v>
      </c>
      <c r="J62" s="27">
        <f>VLOOKUP($F62,mapping!$L$2:$P$92,3,0)</f>
        <v>65477.03</v>
      </c>
      <c r="K62" s="27" t="str">
        <f>VLOOKUP($F62,mapping!$L$2:$P$92,4,0)</f>
        <v>Other Advanced Economies</v>
      </c>
      <c r="L62" s="29">
        <f>$D62*VLOOKUP($E62,'Charts data'!$A$2:$B$11,2,0)*VLOOKUP($G62,'Charts data'!$A$14:$B$18,2,0)/IF('Charts data'!$E$3=1,I62,1)/IF('Charts data'!$E$4=1,J62,1)</f>
        <v>56095.031102144967</v>
      </c>
    </row>
    <row r="63" spans="1:12" x14ac:dyDescent="0.25">
      <c r="A63" s="27" t="s">
        <v>1570</v>
      </c>
      <c r="B63" s="27">
        <v>70000</v>
      </c>
      <c r="C63" s="27" t="s">
        <v>28</v>
      </c>
      <c r="D63" s="28">
        <f>B63*VLOOKUP(C63,tblXrate[],2,0)</f>
        <v>71393.675948184507</v>
      </c>
      <c r="E63" s="27" t="s">
        <v>51</v>
      </c>
      <c r="F63" s="27" t="s">
        <v>29</v>
      </c>
      <c r="G63" s="27" t="s">
        <v>2272</v>
      </c>
      <c r="H63" s="27">
        <v>5</v>
      </c>
      <c r="I63" s="27">
        <f>VLOOKUP(F63,mapping!$L$2:$P$92,2,0)</f>
        <v>1.6083975281469567</v>
      </c>
      <c r="J63" s="27">
        <f>VLOOKUP($F63,mapping!$L$2:$P$92,3,0)</f>
        <v>65477.03</v>
      </c>
      <c r="K63" s="27" t="str">
        <f>VLOOKUP($F63,mapping!$L$2:$P$92,4,0)</f>
        <v>Other Advanced Economies</v>
      </c>
      <c r="L63" s="29">
        <f>$D63*VLOOKUP($E63,'Charts data'!$A$2:$B$11,2,0)*VLOOKUP($G63,'Charts data'!$A$14:$B$18,2,0)/IF('Charts data'!$E$3=1,I63,1)/IF('Charts data'!$E$4=1,J63,1)</f>
        <v>71393.675948184507</v>
      </c>
    </row>
    <row r="64" spans="1:12" x14ac:dyDescent="0.25">
      <c r="A64" s="27" t="s">
        <v>1584</v>
      </c>
      <c r="B64" s="27">
        <v>86000</v>
      </c>
      <c r="C64" s="27" t="s">
        <v>28</v>
      </c>
      <c r="D64" s="28">
        <f>B64*VLOOKUP(C64,tblXrate[],2,0)</f>
        <v>87712.230450626681</v>
      </c>
      <c r="E64" s="27" t="s">
        <v>7</v>
      </c>
      <c r="F64" s="27" t="s">
        <v>29</v>
      </c>
      <c r="G64" s="27" t="s">
        <v>2271</v>
      </c>
      <c r="H64" s="27">
        <v>10</v>
      </c>
      <c r="I64" s="27">
        <f>VLOOKUP(F64,mapping!$L$2:$P$92,2,0)</f>
        <v>1.6083975281469567</v>
      </c>
      <c r="J64" s="27">
        <f>VLOOKUP($F64,mapping!$L$2:$P$92,3,0)</f>
        <v>65477.03</v>
      </c>
      <c r="K64" s="27" t="str">
        <f>VLOOKUP($F64,mapping!$L$2:$P$92,4,0)</f>
        <v>Other Advanced Economies</v>
      </c>
      <c r="L64" s="29">
        <f>$D64*VLOOKUP($E64,'Charts data'!$A$2:$B$11,2,0)*VLOOKUP($G64,'Charts data'!$A$14:$B$18,2,0)/IF('Charts data'!$E$3=1,I64,1)/IF('Charts data'!$E$4=1,J64,1)</f>
        <v>87712.230450626681</v>
      </c>
    </row>
    <row r="65" spans="1:12" x14ac:dyDescent="0.25">
      <c r="A65" s="27" t="s">
        <v>1602</v>
      </c>
      <c r="B65" s="27">
        <v>125000</v>
      </c>
      <c r="C65" s="27" t="s">
        <v>28</v>
      </c>
      <c r="D65" s="28">
        <f>B65*VLOOKUP(C65,tblXrate[],2,0)</f>
        <v>127488.70705032947</v>
      </c>
      <c r="E65" s="27" t="s">
        <v>51</v>
      </c>
      <c r="F65" s="27" t="s">
        <v>29</v>
      </c>
      <c r="G65" s="27" t="s">
        <v>2271</v>
      </c>
      <c r="H65" s="27">
        <v>7</v>
      </c>
      <c r="I65" s="27">
        <f>VLOOKUP(F65,mapping!$L$2:$P$92,2,0)</f>
        <v>1.6083975281469567</v>
      </c>
      <c r="J65" s="27">
        <f>VLOOKUP($F65,mapping!$L$2:$P$92,3,0)</f>
        <v>65477.03</v>
      </c>
      <c r="K65" s="27" t="str">
        <f>VLOOKUP($F65,mapping!$L$2:$P$92,4,0)</f>
        <v>Other Advanced Economies</v>
      </c>
      <c r="L65" s="29">
        <f>$D65*VLOOKUP($E65,'Charts data'!$A$2:$B$11,2,0)*VLOOKUP($G65,'Charts data'!$A$14:$B$18,2,0)/IF('Charts data'!$E$3=1,I65,1)/IF('Charts data'!$E$4=1,J65,1)</f>
        <v>127488.70705032947</v>
      </c>
    </row>
    <row r="66" spans="1:12" x14ac:dyDescent="0.25">
      <c r="A66" s="27" t="s">
        <v>1619</v>
      </c>
      <c r="B66" s="27">
        <v>165000</v>
      </c>
      <c r="C66" s="27" t="s">
        <v>28</v>
      </c>
      <c r="D66" s="28">
        <f>B66*VLOOKUP(C66,tblXrate[],2,0)</f>
        <v>168285.09330643489</v>
      </c>
      <c r="E66" s="27" t="s">
        <v>48</v>
      </c>
      <c r="F66" s="27" t="s">
        <v>29</v>
      </c>
      <c r="G66" s="27" t="s">
        <v>2272</v>
      </c>
      <c r="H66" s="27">
        <v>17</v>
      </c>
      <c r="I66" s="27">
        <f>VLOOKUP(F66,mapping!$L$2:$P$92,2,0)</f>
        <v>1.6083975281469567</v>
      </c>
      <c r="J66" s="27">
        <f>VLOOKUP($F66,mapping!$L$2:$P$92,3,0)</f>
        <v>65477.03</v>
      </c>
      <c r="K66" s="27" t="str">
        <f>VLOOKUP($F66,mapping!$L$2:$P$92,4,0)</f>
        <v>Other Advanced Economies</v>
      </c>
      <c r="L66" s="29">
        <f>$D66*VLOOKUP($E66,'Charts data'!$A$2:$B$11,2,0)*VLOOKUP($G66,'Charts data'!$A$14:$B$18,2,0)/IF('Charts data'!$E$3=1,I66,1)/IF('Charts data'!$E$4=1,J66,1)</f>
        <v>168285.09330643489</v>
      </c>
    </row>
    <row r="67" spans="1:12" x14ac:dyDescent="0.25">
      <c r="A67" s="27" t="s">
        <v>1625</v>
      </c>
      <c r="B67" s="27">
        <v>74000</v>
      </c>
      <c r="C67" s="27" t="s">
        <v>28</v>
      </c>
      <c r="D67" s="28">
        <f>B67*VLOOKUP(C67,tblXrate[],2,0)</f>
        <v>75473.31457379504</v>
      </c>
      <c r="E67" s="27" t="s">
        <v>7</v>
      </c>
      <c r="F67" s="27" t="s">
        <v>29</v>
      </c>
      <c r="G67" s="27" t="s">
        <v>2273</v>
      </c>
      <c r="H67" s="27">
        <v>20</v>
      </c>
      <c r="I67" s="27">
        <f>VLOOKUP(F67,mapping!$L$2:$P$92,2,0)</f>
        <v>1.6083975281469567</v>
      </c>
      <c r="J67" s="27">
        <f>VLOOKUP($F67,mapping!$L$2:$P$92,3,0)</f>
        <v>65477.03</v>
      </c>
      <c r="K67" s="27" t="str">
        <f>VLOOKUP($F67,mapping!$L$2:$P$92,4,0)</f>
        <v>Other Advanced Economies</v>
      </c>
      <c r="L67" s="29">
        <f>$D67*VLOOKUP($E67,'Charts data'!$A$2:$B$11,2,0)*VLOOKUP($G67,'Charts data'!$A$14:$B$18,2,0)/IF('Charts data'!$E$3=1,I67,1)/IF('Charts data'!$E$4=1,J67,1)</f>
        <v>75473.31457379504</v>
      </c>
    </row>
    <row r="68" spans="1:12" x14ac:dyDescent="0.25">
      <c r="A68" s="27" t="s">
        <v>1662</v>
      </c>
      <c r="B68" s="27">
        <v>85000</v>
      </c>
      <c r="C68" s="27" t="s">
        <v>28</v>
      </c>
      <c r="D68" s="28">
        <f>B68*VLOOKUP(C68,tblXrate[],2,0)</f>
        <v>86692.320794224041</v>
      </c>
      <c r="E68" s="27" t="s">
        <v>7</v>
      </c>
      <c r="F68" s="27" t="s">
        <v>29</v>
      </c>
      <c r="G68" s="27" t="s">
        <v>2274</v>
      </c>
      <c r="H68" s="27">
        <v>5</v>
      </c>
      <c r="I68" s="27">
        <f>VLOOKUP(F68,mapping!$L$2:$P$92,2,0)</f>
        <v>1.6083975281469567</v>
      </c>
      <c r="J68" s="27">
        <f>VLOOKUP($F68,mapping!$L$2:$P$92,3,0)</f>
        <v>65477.03</v>
      </c>
      <c r="K68" s="27" t="str">
        <f>VLOOKUP($F68,mapping!$L$2:$P$92,4,0)</f>
        <v>Other Advanced Economies</v>
      </c>
      <c r="L68" s="29">
        <f>$D68*VLOOKUP($E68,'Charts data'!$A$2:$B$11,2,0)*VLOOKUP($G68,'Charts data'!$A$14:$B$18,2,0)/IF('Charts data'!$E$3=1,I68,1)/IF('Charts data'!$E$4=1,J68,1)</f>
        <v>86692.320794224041</v>
      </c>
    </row>
    <row r="69" spans="1:12" x14ac:dyDescent="0.25">
      <c r="A69" s="27" t="s">
        <v>1707</v>
      </c>
      <c r="B69" s="27">
        <v>100000</v>
      </c>
      <c r="C69" s="27" t="s">
        <v>28</v>
      </c>
      <c r="D69" s="28">
        <f>B69*VLOOKUP(C69,tblXrate[],2,0)</f>
        <v>101990.96564026357</v>
      </c>
      <c r="E69" s="27" t="s">
        <v>19</v>
      </c>
      <c r="F69" s="27" t="s">
        <v>29</v>
      </c>
      <c r="G69" s="27" t="s">
        <v>2271</v>
      </c>
      <c r="H69" s="27">
        <v>20</v>
      </c>
      <c r="I69" s="27">
        <f>VLOOKUP(F69,mapping!$L$2:$P$92,2,0)</f>
        <v>1.6083975281469567</v>
      </c>
      <c r="J69" s="27">
        <f>VLOOKUP($F69,mapping!$L$2:$P$92,3,0)</f>
        <v>65477.03</v>
      </c>
      <c r="K69" s="27" t="str">
        <f>VLOOKUP($F69,mapping!$L$2:$P$92,4,0)</f>
        <v>Other Advanced Economies</v>
      </c>
      <c r="L69" s="29">
        <f>$D69*VLOOKUP($E69,'Charts data'!$A$2:$B$11,2,0)*VLOOKUP($G69,'Charts data'!$A$14:$B$18,2,0)/IF('Charts data'!$E$3=1,I69,1)/IF('Charts data'!$E$4=1,J69,1)</f>
        <v>101990.96564026357</v>
      </c>
    </row>
    <row r="70" spans="1:12" x14ac:dyDescent="0.25">
      <c r="A70" s="27" t="s">
        <v>1709</v>
      </c>
      <c r="B70" s="27">
        <v>85000</v>
      </c>
      <c r="C70" s="27" t="s">
        <v>28</v>
      </c>
      <c r="D70" s="28">
        <f>B70*VLOOKUP(C70,tblXrate[],2,0)</f>
        <v>86692.320794224041</v>
      </c>
      <c r="E70" s="27" t="s">
        <v>7</v>
      </c>
      <c r="F70" s="27" t="s">
        <v>29</v>
      </c>
      <c r="G70" s="27" t="s">
        <v>2271</v>
      </c>
      <c r="H70" s="27">
        <v>30</v>
      </c>
      <c r="I70" s="27">
        <f>VLOOKUP(F70,mapping!$L$2:$P$92,2,0)</f>
        <v>1.6083975281469567</v>
      </c>
      <c r="J70" s="27">
        <f>VLOOKUP($F70,mapping!$L$2:$P$92,3,0)</f>
        <v>65477.03</v>
      </c>
      <c r="K70" s="27" t="str">
        <f>VLOOKUP($F70,mapping!$L$2:$P$92,4,0)</f>
        <v>Other Advanced Economies</v>
      </c>
      <c r="L70" s="29">
        <f>$D70*VLOOKUP($E70,'Charts data'!$A$2:$B$11,2,0)*VLOOKUP($G70,'Charts data'!$A$14:$B$18,2,0)/IF('Charts data'!$E$3=1,I70,1)/IF('Charts data'!$E$4=1,J70,1)</f>
        <v>86692.320794224041</v>
      </c>
    </row>
    <row r="71" spans="1:12" x14ac:dyDescent="0.25">
      <c r="A71" s="27" t="s">
        <v>1710</v>
      </c>
      <c r="B71" s="27">
        <v>120000</v>
      </c>
      <c r="C71" s="27" t="s">
        <v>28</v>
      </c>
      <c r="D71" s="28">
        <f>B71*VLOOKUP(C71,tblXrate[],2,0)</f>
        <v>122389.15876831629</v>
      </c>
      <c r="E71" s="27" t="s">
        <v>7</v>
      </c>
      <c r="F71" s="27" t="s">
        <v>29</v>
      </c>
      <c r="G71" s="27" t="s">
        <v>2272</v>
      </c>
      <c r="H71" s="27">
        <v>5</v>
      </c>
      <c r="I71" s="27">
        <f>VLOOKUP(F71,mapping!$L$2:$P$92,2,0)</f>
        <v>1.6083975281469567</v>
      </c>
      <c r="J71" s="27">
        <f>VLOOKUP($F71,mapping!$L$2:$P$92,3,0)</f>
        <v>65477.03</v>
      </c>
      <c r="K71" s="27" t="str">
        <f>VLOOKUP($F71,mapping!$L$2:$P$92,4,0)</f>
        <v>Other Advanced Economies</v>
      </c>
      <c r="L71" s="29">
        <f>$D71*VLOOKUP($E71,'Charts data'!$A$2:$B$11,2,0)*VLOOKUP($G71,'Charts data'!$A$14:$B$18,2,0)/IF('Charts data'!$E$3=1,I71,1)/IF('Charts data'!$E$4=1,J71,1)</f>
        <v>122389.15876831629</v>
      </c>
    </row>
    <row r="72" spans="1:12" x14ac:dyDescent="0.25">
      <c r="A72" s="27" t="s">
        <v>1780</v>
      </c>
      <c r="B72" s="27">
        <v>84000</v>
      </c>
      <c r="C72" s="27" t="s">
        <v>28</v>
      </c>
      <c r="D72" s="28">
        <f>B72*VLOOKUP(C72,tblXrate[],2,0)</f>
        <v>85672.4111378214</v>
      </c>
      <c r="E72" s="27" t="s">
        <v>53</v>
      </c>
      <c r="F72" s="27" t="s">
        <v>29</v>
      </c>
      <c r="G72" s="27" t="s">
        <v>2271</v>
      </c>
      <c r="H72" s="27">
        <v>6</v>
      </c>
      <c r="I72" s="27">
        <f>VLOOKUP(F72,mapping!$L$2:$P$92,2,0)</f>
        <v>1.6083975281469567</v>
      </c>
      <c r="J72" s="27">
        <f>VLOOKUP($F72,mapping!$L$2:$P$92,3,0)</f>
        <v>65477.03</v>
      </c>
      <c r="K72" s="27" t="str">
        <f>VLOOKUP($F72,mapping!$L$2:$P$92,4,0)</f>
        <v>Other Advanced Economies</v>
      </c>
      <c r="L72" s="29">
        <f>$D72*VLOOKUP($E72,'Charts data'!$A$2:$B$11,2,0)*VLOOKUP($G72,'Charts data'!$A$14:$B$18,2,0)/IF('Charts data'!$E$3=1,I72,1)/IF('Charts data'!$E$4=1,J72,1)</f>
        <v>85672.4111378214</v>
      </c>
    </row>
    <row r="73" spans="1:12" x14ac:dyDescent="0.25">
      <c r="A73" s="27" t="s">
        <v>1831</v>
      </c>
      <c r="B73" s="27">
        <v>80000</v>
      </c>
      <c r="C73" s="27" t="s">
        <v>28</v>
      </c>
      <c r="D73" s="28">
        <f>B73*VLOOKUP(C73,tblXrate[],2,0)</f>
        <v>81592.772512210868</v>
      </c>
      <c r="E73" s="27" t="s">
        <v>23</v>
      </c>
      <c r="F73" s="27" t="s">
        <v>29</v>
      </c>
      <c r="G73" s="27" t="s">
        <v>2271</v>
      </c>
      <c r="H73" s="27">
        <v>5</v>
      </c>
      <c r="I73" s="27">
        <f>VLOOKUP(F73,mapping!$L$2:$P$92,2,0)</f>
        <v>1.6083975281469567</v>
      </c>
      <c r="J73" s="27">
        <f>VLOOKUP($F73,mapping!$L$2:$P$92,3,0)</f>
        <v>65477.03</v>
      </c>
      <c r="K73" s="27" t="str">
        <f>VLOOKUP($F73,mapping!$L$2:$P$92,4,0)</f>
        <v>Other Advanced Economies</v>
      </c>
      <c r="L73" s="29">
        <f>$D73*VLOOKUP($E73,'Charts data'!$A$2:$B$11,2,0)*VLOOKUP($G73,'Charts data'!$A$14:$B$18,2,0)/IF('Charts data'!$E$3=1,I73,1)/IF('Charts data'!$E$4=1,J73,1)</f>
        <v>81592.772512210868</v>
      </c>
    </row>
    <row r="74" spans="1:12" x14ac:dyDescent="0.25">
      <c r="A74" s="27" t="s">
        <v>1854</v>
      </c>
      <c r="B74" s="27">
        <v>60000</v>
      </c>
      <c r="C74" s="27" t="s">
        <v>28</v>
      </c>
      <c r="D74" s="28">
        <f>B74*VLOOKUP(C74,tblXrate[],2,0)</f>
        <v>61194.579384158147</v>
      </c>
      <c r="E74" s="27" t="s">
        <v>7</v>
      </c>
      <c r="F74" s="27" t="s">
        <v>29</v>
      </c>
      <c r="G74" s="27" t="s">
        <v>2272</v>
      </c>
      <c r="H74" s="27">
        <v>3</v>
      </c>
      <c r="I74" s="27">
        <f>VLOOKUP(F74,mapping!$L$2:$P$92,2,0)</f>
        <v>1.6083975281469567</v>
      </c>
      <c r="J74" s="27">
        <f>VLOOKUP($F74,mapping!$L$2:$P$92,3,0)</f>
        <v>65477.03</v>
      </c>
      <c r="K74" s="27" t="str">
        <f>VLOOKUP($F74,mapping!$L$2:$P$92,4,0)</f>
        <v>Other Advanced Economies</v>
      </c>
      <c r="L74" s="29">
        <f>$D74*VLOOKUP($E74,'Charts data'!$A$2:$B$11,2,0)*VLOOKUP($G74,'Charts data'!$A$14:$B$18,2,0)/IF('Charts data'!$E$3=1,I74,1)/IF('Charts data'!$E$4=1,J74,1)</f>
        <v>61194.579384158147</v>
      </c>
    </row>
    <row r="75" spans="1:12" x14ac:dyDescent="0.25">
      <c r="A75" s="27" t="s">
        <v>1926</v>
      </c>
      <c r="B75" s="27">
        <v>156000</v>
      </c>
      <c r="C75" s="27" t="s">
        <v>28</v>
      </c>
      <c r="D75" s="28">
        <f>B75*VLOOKUP(C75,tblXrate[],2,0)</f>
        <v>159105.90639881117</v>
      </c>
      <c r="E75" s="27" t="s">
        <v>48</v>
      </c>
      <c r="F75" s="27" t="s">
        <v>29</v>
      </c>
      <c r="G75" s="27" t="s">
        <v>2272</v>
      </c>
      <c r="H75" s="27">
        <v>12</v>
      </c>
      <c r="I75" s="27">
        <f>VLOOKUP(F75,mapping!$L$2:$P$92,2,0)</f>
        <v>1.6083975281469567</v>
      </c>
      <c r="J75" s="27">
        <f>VLOOKUP($F75,mapping!$L$2:$P$92,3,0)</f>
        <v>65477.03</v>
      </c>
      <c r="K75" s="27" t="str">
        <f>VLOOKUP($F75,mapping!$L$2:$P$92,4,0)</f>
        <v>Other Advanced Economies</v>
      </c>
      <c r="L75" s="29">
        <f>$D75*VLOOKUP($E75,'Charts data'!$A$2:$B$11,2,0)*VLOOKUP($G75,'Charts data'!$A$14:$B$18,2,0)/IF('Charts data'!$E$3=1,I75,1)/IF('Charts data'!$E$4=1,J75,1)</f>
        <v>159105.90639881117</v>
      </c>
    </row>
    <row r="76" spans="1:12" x14ac:dyDescent="0.25">
      <c r="A76" s="27" t="s">
        <v>1932</v>
      </c>
      <c r="B76" s="27">
        <v>145000</v>
      </c>
      <c r="C76" s="27" t="s">
        <v>28</v>
      </c>
      <c r="D76" s="28">
        <f>B76*VLOOKUP(C76,tblXrate[],2,0)</f>
        <v>147886.90017838217</v>
      </c>
      <c r="E76" s="27" t="s">
        <v>62</v>
      </c>
      <c r="F76" s="27" t="s">
        <v>29</v>
      </c>
      <c r="G76" s="27" t="s">
        <v>2272</v>
      </c>
      <c r="H76" s="27">
        <v>15</v>
      </c>
      <c r="I76" s="27">
        <f>VLOOKUP(F76,mapping!$L$2:$P$92,2,0)</f>
        <v>1.6083975281469567</v>
      </c>
      <c r="J76" s="27">
        <f>VLOOKUP($F76,mapping!$L$2:$P$92,3,0)</f>
        <v>65477.03</v>
      </c>
      <c r="K76" s="27" t="str">
        <f>VLOOKUP($F76,mapping!$L$2:$P$92,4,0)</f>
        <v>Other Advanced Economies</v>
      </c>
      <c r="L76" s="29">
        <f>$D76*VLOOKUP($E76,'Charts data'!$A$2:$B$11,2,0)*VLOOKUP($G76,'Charts data'!$A$14:$B$18,2,0)/IF('Charts data'!$E$3=1,I76,1)/IF('Charts data'!$E$4=1,J76,1)</f>
        <v>147886.90017838217</v>
      </c>
    </row>
    <row r="77" spans="1:12" x14ac:dyDescent="0.25">
      <c r="A77" s="27" t="s">
        <v>2000</v>
      </c>
      <c r="B77" s="27">
        <v>63000</v>
      </c>
      <c r="C77" s="27" t="s">
        <v>28</v>
      </c>
      <c r="D77" s="28">
        <f>B77*VLOOKUP(C77,tblXrate[],2,0)</f>
        <v>64254.308353366054</v>
      </c>
      <c r="E77" s="27" t="s">
        <v>51</v>
      </c>
      <c r="F77" s="27" t="s">
        <v>29</v>
      </c>
      <c r="G77" s="27" t="s">
        <v>2273</v>
      </c>
      <c r="H77" s="27">
        <v>3</v>
      </c>
      <c r="I77" s="27">
        <f>VLOOKUP(F77,mapping!$L$2:$P$92,2,0)</f>
        <v>1.6083975281469567</v>
      </c>
      <c r="J77" s="27">
        <f>VLOOKUP($F77,mapping!$L$2:$P$92,3,0)</f>
        <v>65477.03</v>
      </c>
      <c r="K77" s="27" t="str">
        <f>VLOOKUP($F77,mapping!$L$2:$P$92,4,0)</f>
        <v>Other Advanced Economies</v>
      </c>
      <c r="L77" s="29">
        <f>$D77*VLOOKUP($E77,'Charts data'!$A$2:$B$11,2,0)*VLOOKUP($G77,'Charts data'!$A$14:$B$18,2,0)/IF('Charts data'!$E$3=1,I77,1)/IF('Charts data'!$E$4=1,J77,1)</f>
        <v>64254.308353366054</v>
      </c>
    </row>
    <row r="78" spans="1:12" x14ac:dyDescent="0.25">
      <c r="A78" s="27" t="s">
        <v>2005</v>
      </c>
      <c r="B78" s="27">
        <v>76300</v>
      </c>
      <c r="C78" s="27" t="s">
        <v>28</v>
      </c>
      <c r="D78" s="28">
        <f>B78*VLOOKUP(C78,tblXrate[],2,0)</f>
        <v>77819.106783521114</v>
      </c>
      <c r="E78" s="27" t="s">
        <v>7</v>
      </c>
      <c r="F78" s="27" t="s">
        <v>29</v>
      </c>
      <c r="G78" s="27" t="s">
        <v>2273</v>
      </c>
      <c r="H78" s="27">
        <v>3</v>
      </c>
      <c r="I78" s="27">
        <f>VLOOKUP(F78,mapping!$L$2:$P$92,2,0)</f>
        <v>1.6083975281469567</v>
      </c>
      <c r="J78" s="27">
        <f>VLOOKUP($F78,mapping!$L$2:$P$92,3,0)</f>
        <v>65477.03</v>
      </c>
      <c r="K78" s="27" t="str">
        <f>VLOOKUP($F78,mapping!$L$2:$P$92,4,0)</f>
        <v>Other Advanced Economies</v>
      </c>
      <c r="L78" s="29">
        <f>$D78*VLOOKUP($E78,'Charts data'!$A$2:$B$11,2,0)*VLOOKUP($G78,'Charts data'!$A$14:$B$18,2,0)/IF('Charts data'!$E$3=1,I78,1)/IF('Charts data'!$E$4=1,J78,1)</f>
        <v>77819.106783521114</v>
      </c>
    </row>
    <row r="79" spans="1:12" x14ac:dyDescent="0.25">
      <c r="A79" s="27" t="s">
        <v>2013</v>
      </c>
      <c r="B79" s="27">
        <v>120000</v>
      </c>
      <c r="C79" s="27" t="s">
        <v>28</v>
      </c>
      <c r="D79" s="28">
        <f>B79*VLOOKUP(C79,tblXrate[],2,0)</f>
        <v>122389.15876831629</v>
      </c>
      <c r="E79" s="27" t="s">
        <v>19</v>
      </c>
      <c r="F79" s="27" t="s">
        <v>29</v>
      </c>
      <c r="G79" s="27" t="s">
        <v>2274</v>
      </c>
      <c r="H79" s="27">
        <v>8</v>
      </c>
      <c r="I79" s="27">
        <f>VLOOKUP(F79,mapping!$L$2:$P$92,2,0)</f>
        <v>1.6083975281469567</v>
      </c>
      <c r="J79" s="27">
        <f>VLOOKUP($F79,mapping!$L$2:$P$92,3,0)</f>
        <v>65477.03</v>
      </c>
      <c r="K79" s="27" t="str">
        <f>VLOOKUP($F79,mapping!$L$2:$P$92,4,0)</f>
        <v>Other Advanced Economies</v>
      </c>
      <c r="L79" s="29">
        <f>$D79*VLOOKUP($E79,'Charts data'!$A$2:$B$11,2,0)*VLOOKUP($G79,'Charts data'!$A$14:$B$18,2,0)/IF('Charts data'!$E$3=1,I79,1)/IF('Charts data'!$E$4=1,J79,1)</f>
        <v>122389.15876831629</v>
      </c>
    </row>
    <row r="80" spans="1:12" x14ac:dyDescent="0.25">
      <c r="A80" s="27" t="s">
        <v>2018</v>
      </c>
      <c r="B80" s="27">
        <v>74000</v>
      </c>
      <c r="C80" s="27" t="s">
        <v>28</v>
      </c>
      <c r="D80" s="28">
        <f>B80*VLOOKUP(C80,tblXrate[],2,0)</f>
        <v>75473.31457379504</v>
      </c>
      <c r="E80" s="27" t="s">
        <v>7</v>
      </c>
      <c r="F80" s="27" t="s">
        <v>29</v>
      </c>
      <c r="G80" s="27" t="s">
        <v>2271</v>
      </c>
      <c r="H80" s="27">
        <v>8</v>
      </c>
      <c r="I80" s="27">
        <f>VLOOKUP(F80,mapping!$L$2:$P$92,2,0)</f>
        <v>1.6083975281469567</v>
      </c>
      <c r="J80" s="27">
        <f>VLOOKUP($F80,mapping!$L$2:$P$92,3,0)</f>
        <v>65477.03</v>
      </c>
      <c r="K80" s="27" t="str">
        <f>VLOOKUP($F80,mapping!$L$2:$P$92,4,0)</f>
        <v>Other Advanced Economies</v>
      </c>
      <c r="L80" s="29">
        <f>$D80*VLOOKUP($E80,'Charts data'!$A$2:$B$11,2,0)*VLOOKUP($G80,'Charts data'!$A$14:$B$18,2,0)/IF('Charts data'!$E$3=1,I80,1)/IF('Charts data'!$E$4=1,J80,1)</f>
        <v>75473.31457379504</v>
      </c>
    </row>
    <row r="81" spans="1:12" x14ac:dyDescent="0.25">
      <c r="A81" s="27" t="s">
        <v>562</v>
      </c>
      <c r="B81" s="27">
        <v>1440000</v>
      </c>
      <c r="C81" s="27" t="s">
        <v>61</v>
      </c>
      <c r="D81" s="28">
        <f>B81*VLOOKUP(C81,tblXrate[],2,0)</f>
        <v>17598.017290051986</v>
      </c>
      <c r="E81" s="27" t="s">
        <v>7</v>
      </c>
      <c r="F81" s="27" t="s">
        <v>58</v>
      </c>
      <c r="G81" s="27" t="s">
        <v>2272</v>
      </c>
      <c r="H81" s="27"/>
      <c r="I81" s="27">
        <f>VLOOKUP(F81,mapping!$L$2:$P$92,2,0)</f>
        <v>0.36952170055507078</v>
      </c>
      <c r="J81" s="27">
        <f>VLOOKUP($F81,mapping!$L$2:$P$92,3,0)</f>
        <v>678.02800000000002</v>
      </c>
      <c r="K81" s="27" t="str">
        <f>VLOOKUP($F81,mapping!$L$2:$P$92,4,0)</f>
        <v>Developing Asia</v>
      </c>
      <c r="L81" s="29">
        <f>$D81*VLOOKUP($E81,'Charts data'!$A$2:$B$11,2,0)*VLOOKUP($G81,'Charts data'!$A$14:$B$18,2,0)/IF('Charts data'!$E$3=1,I81,1)/IF('Charts data'!$E$4=1,J81,1)</f>
        <v>17598.017290051986</v>
      </c>
    </row>
    <row r="82" spans="1:12" x14ac:dyDescent="0.25">
      <c r="A82" s="27" t="s">
        <v>975</v>
      </c>
      <c r="B82" s="27">
        <v>300000</v>
      </c>
      <c r="C82" s="27" t="s">
        <v>2049</v>
      </c>
      <c r="D82" s="28">
        <f>B82*VLOOKUP(C82,tblXrate[],2,0)</f>
        <v>148284.35006969364</v>
      </c>
      <c r="E82" s="27" t="s">
        <v>7</v>
      </c>
      <c r="F82" s="27" t="s">
        <v>40</v>
      </c>
      <c r="G82" s="27" t="s">
        <v>2273</v>
      </c>
      <c r="H82" s="27">
        <v>3</v>
      </c>
      <c r="I82" s="27">
        <f>VLOOKUP(F82,mapping!$L$2:$P$92,2,0)</f>
        <v>0.89267178741955566</v>
      </c>
      <c r="J82" s="27">
        <f>VLOOKUP($F82,mapping!$L$2:$P$92,3,0)</f>
        <v>12788.56</v>
      </c>
      <c r="K82" s="27" t="str">
        <f>VLOOKUP($F82,mapping!$L$2:$P$92,4,0)</f>
        <v>Latin America and the Caribbean</v>
      </c>
      <c r="L82" s="29">
        <f>$D82*VLOOKUP($E82,'Charts data'!$A$2:$B$11,2,0)*VLOOKUP($G82,'Charts data'!$A$14:$B$18,2,0)/IF('Charts data'!$E$3=1,I82,1)/IF('Charts data'!$E$4=1,J82,1)</f>
        <v>148284.35006969364</v>
      </c>
    </row>
    <row r="83" spans="1:12" x14ac:dyDescent="0.25">
      <c r="A83" s="27" t="s">
        <v>1082</v>
      </c>
      <c r="B83" s="27">
        <v>19200</v>
      </c>
      <c r="C83" s="27" t="s">
        <v>2049</v>
      </c>
      <c r="D83" s="28">
        <f>B83*VLOOKUP(C83,tblXrate[],2,0)</f>
        <v>9490.1984044603923</v>
      </c>
      <c r="E83" s="27" t="s">
        <v>7</v>
      </c>
      <c r="F83" s="27" t="s">
        <v>40</v>
      </c>
      <c r="G83" s="27" t="s">
        <v>2273</v>
      </c>
      <c r="H83" s="27">
        <v>8</v>
      </c>
      <c r="I83" s="27">
        <f>VLOOKUP(F83,mapping!$L$2:$P$92,2,0)</f>
        <v>0.89267178741955566</v>
      </c>
      <c r="J83" s="27">
        <f>VLOOKUP($F83,mapping!$L$2:$P$92,3,0)</f>
        <v>12788.56</v>
      </c>
      <c r="K83" s="27" t="str">
        <f>VLOOKUP($F83,mapping!$L$2:$P$92,4,0)</f>
        <v>Latin America and the Caribbean</v>
      </c>
      <c r="L83" s="29">
        <f>$D83*VLOOKUP($E83,'Charts data'!$A$2:$B$11,2,0)*VLOOKUP($G83,'Charts data'!$A$14:$B$18,2,0)/IF('Charts data'!$E$3=1,I83,1)/IF('Charts data'!$E$4=1,J83,1)</f>
        <v>9490.1984044603923</v>
      </c>
    </row>
    <row r="84" spans="1:12" x14ac:dyDescent="0.25">
      <c r="A84" s="27" t="s">
        <v>1309</v>
      </c>
      <c r="B84" s="27">
        <v>54000</v>
      </c>
      <c r="C84" s="27" t="s">
        <v>2049</v>
      </c>
      <c r="D84" s="28">
        <f>B84*VLOOKUP(C84,tblXrate[],2,0)</f>
        <v>26691.183012544854</v>
      </c>
      <c r="E84" s="27" t="s">
        <v>19</v>
      </c>
      <c r="F84" s="27" t="s">
        <v>40</v>
      </c>
      <c r="G84" s="27" t="s">
        <v>2274</v>
      </c>
      <c r="H84" s="27">
        <v>7</v>
      </c>
      <c r="I84" s="27">
        <f>VLOOKUP(F84,mapping!$L$2:$P$92,2,0)</f>
        <v>0.89267178741955566</v>
      </c>
      <c r="J84" s="27">
        <f>VLOOKUP($F84,mapping!$L$2:$P$92,3,0)</f>
        <v>12788.56</v>
      </c>
      <c r="K84" s="27" t="str">
        <f>VLOOKUP($F84,mapping!$L$2:$P$92,4,0)</f>
        <v>Latin America and the Caribbean</v>
      </c>
      <c r="L84" s="29">
        <f>$D84*VLOOKUP($E84,'Charts data'!$A$2:$B$11,2,0)*VLOOKUP($G84,'Charts data'!$A$14:$B$18,2,0)/IF('Charts data'!$E$3=1,I84,1)/IF('Charts data'!$E$4=1,J84,1)</f>
        <v>26691.183012544854</v>
      </c>
    </row>
    <row r="85" spans="1:12" x14ac:dyDescent="0.25">
      <c r="A85" s="27" t="s">
        <v>215</v>
      </c>
      <c r="B85" s="27">
        <v>70000</v>
      </c>
      <c r="C85" s="27" t="s">
        <v>30</v>
      </c>
      <c r="D85" s="28">
        <f>B85*VLOOKUP(C85,tblXrate[],2,0)</f>
        <v>68835.306612122877</v>
      </c>
      <c r="E85" s="27" t="s">
        <v>48</v>
      </c>
      <c r="F85" s="27" t="s">
        <v>31</v>
      </c>
      <c r="G85" s="27" t="s">
        <v>2272</v>
      </c>
      <c r="H85" s="27"/>
      <c r="I85" s="27">
        <f>VLOOKUP(F85,mapping!$L$2:$P$92,2,0)</f>
        <v>1.2105180348503324</v>
      </c>
      <c r="J85" s="27">
        <f>VLOOKUP($F85,mapping!$L$2:$P$92,3,0)</f>
        <v>50435.5</v>
      </c>
      <c r="K85" s="27" t="str">
        <f>VLOOKUP($F85,mapping!$L$2:$P$92,4,0)</f>
        <v>Major Advanced Economies (G7)</v>
      </c>
      <c r="L85" s="29">
        <f>$D85*VLOOKUP($E85,'Charts data'!$A$2:$B$11,2,0)*VLOOKUP($G85,'Charts data'!$A$14:$B$18,2,0)/IF('Charts data'!$E$3=1,I85,1)/IF('Charts data'!$E$4=1,J85,1)</f>
        <v>68835.306612122877</v>
      </c>
    </row>
    <row r="86" spans="1:12" x14ac:dyDescent="0.25">
      <c r="A86" s="27" t="s">
        <v>234</v>
      </c>
      <c r="B86" s="27">
        <v>56000</v>
      </c>
      <c r="C86" s="27" t="s">
        <v>30</v>
      </c>
      <c r="D86" s="28">
        <f>B86*VLOOKUP(C86,tblXrate[],2,0)</f>
        <v>55068.245289698301</v>
      </c>
      <c r="E86" s="27" t="s">
        <v>7</v>
      </c>
      <c r="F86" s="27" t="s">
        <v>31</v>
      </c>
      <c r="G86" s="27" t="s">
        <v>2273</v>
      </c>
      <c r="H86" s="27"/>
      <c r="I86" s="27">
        <f>VLOOKUP(F86,mapping!$L$2:$P$92,2,0)</f>
        <v>1.2105180348503324</v>
      </c>
      <c r="J86" s="27">
        <f>VLOOKUP($F86,mapping!$L$2:$P$92,3,0)</f>
        <v>50435.5</v>
      </c>
      <c r="K86" s="27" t="str">
        <f>VLOOKUP($F86,mapping!$L$2:$P$92,4,0)</f>
        <v>Major Advanced Economies (G7)</v>
      </c>
      <c r="L86" s="29">
        <f>$D86*VLOOKUP($E86,'Charts data'!$A$2:$B$11,2,0)*VLOOKUP($G86,'Charts data'!$A$14:$B$18,2,0)/IF('Charts data'!$E$3=1,I86,1)/IF('Charts data'!$E$4=1,J86,1)</f>
        <v>55068.245289698301</v>
      </c>
    </row>
    <row r="87" spans="1:12" x14ac:dyDescent="0.25">
      <c r="A87" s="27" t="s">
        <v>247</v>
      </c>
      <c r="B87" s="27">
        <v>59450</v>
      </c>
      <c r="C87" s="27" t="s">
        <v>30</v>
      </c>
      <c r="D87" s="28">
        <f>B87*VLOOKUP(C87,tblXrate[],2,0)</f>
        <v>58460.842544152933</v>
      </c>
      <c r="E87" s="27" t="s">
        <v>23</v>
      </c>
      <c r="F87" s="27" t="s">
        <v>31</v>
      </c>
      <c r="G87" s="27" t="s">
        <v>2273</v>
      </c>
      <c r="H87" s="27"/>
      <c r="I87" s="27">
        <f>VLOOKUP(F87,mapping!$L$2:$P$92,2,0)</f>
        <v>1.2105180348503324</v>
      </c>
      <c r="J87" s="27">
        <f>VLOOKUP($F87,mapping!$L$2:$P$92,3,0)</f>
        <v>50435.5</v>
      </c>
      <c r="K87" s="27" t="str">
        <f>VLOOKUP($F87,mapping!$L$2:$P$92,4,0)</f>
        <v>Major Advanced Economies (G7)</v>
      </c>
      <c r="L87" s="29">
        <f>$D87*VLOOKUP($E87,'Charts data'!$A$2:$B$11,2,0)*VLOOKUP($G87,'Charts data'!$A$14:$B$18,2,0)/IF('Charts data'!$E$3=1,I87,1)/IF('Charts data'!$E$4=1,J87,1)</f>
        <v>58460.842544152933</v>
      </c>
    </row>
    <row r="88" spans="1:12" x14ac:dyDescent="0.25">
      <c r="A88" s="27" t="s">
        <v>262</v>
      </c>
      <c r="B88" s="27">
        <v>42000</v>
      </c>
      <c r="C88" s="27" t="s">
        <v>30</v>
      </c>
      <c r="D88" s="28">
        <f>B88*VLOOKUP(C88,tblXrate[],2,0)</f>
        <v>41301.183967273726</v>
      </c>
      <c r="E88" s="27" t="s">
        <v>7</v>
      </c>
      <c r="F88" s="27" t="s">
        <v>31</v>
      </c>
      <c r="G88" s="27" t="s">
        <v>2271</v>
      </c>
      <c r="H88" s="27"/>
      <c r="I88" s="27">
        <f>VLOOKUP(F88,mapping!$L$2:$P$92,2,0)</f>
        <v>1.2105180348503324</v>
      </c>
      <c r="J88" s="27">
        <f>VLOOKUP($F88,mapping!$L$2:$P$92,3,0)</f>
        <v>50435.5</v>
      </c>
      <c r="K88" s="27" t="str">
        <f>VLOOKUP($F88,mapping!$L$2:$P$92,4,0)</f>
        <v>Major Advanced Economies (G7)</v>
      </c>
      <c r="L88" s="29">
        <f>$D88*VLOOKUP($E88,'Charts data'!$A$2:$B$11,2,0)*VLOOKUP($G88,'Charts data'!$A$14:$B$18,2,0)/IF('Charts data'!$E$3=1,I88,1)/IF('Charts data'!$E$4=1,J88,1)</f>
        <v>41301.183967273726</v>
      </c>
    </row>
    <row r="89" spans="1:12" x14ac:dyDescent="0.25">
      <c r="A89" s="27" t="s">
        <v>291</v>
      </c>
      <c r="B89" s="27">
        <v>60000</v>
      </c>
      <c r="C89" s="27" t="s">
        <v>30</v>
      </c>
      <c r="D89" s="28">
        <f>B89*VLOOKUP(C89,tblXrate[],2,0)</f>
        <v>59001.691381819612</v>
      </c>
      <c r="E89" s="27" t="s">
        <v>7</v>
      </c>
      <c r="F89" s="27" t="s">
        <v>31</v>
      </c>
      <c r="G89" s="27" t="s">
        <v>2295</v>
      </c>
      <c r="H89" s="27"/>
      <c r="I89" s="27">
        <f>VLOOKUP(F89,mapping!$L$2:$P$92,2,0)</f>
        <v>1.2105180348503324</v>
      </c>
      <c r="J89" s="27">
        <f>VLOOKUP($F89,mapping!$L$2:$P$92,3,0)</f>
        <v>50435.5</v>
      </c>
      <c r="K89" s="27" t="str">
        <f>VLOOKUP($F89,mapping!$L$2:$P$92,4,0)</f>
        <v>Major Advanced Economies (G7)</v>
      </c>
      <c r="L89" s="29">
        <f>$D89*VLOOKUP($E89,'Charts data'!$A$2:$B$11,2,0)*VLOOKUP($G89,'Charts data'!$A$14:$B$18,2,0)/IF('Charts data'!$E$3=1,I89,1)/IF('Charts data'!$E$4=1,J89,1)</f>
        <v>59001.691381819612</v>
      </c>
    </row>
    <row r="90" spans="1:12" x14ac:dyDescent="0.25">
      <c r="A90" s="27" t="s">
        <v>307</v>
      </c>
      <c r="B90" s="27">
        <v>70000</v>
      </c>
      <c r="C90" s="27" t="s">
        <v>30</v>
      </c>
      <c r="D90" s="28">
        <f>B90*VLOOKUP(C90,tblXrate[],2,0)</f>
        <v>68835.306612122877</v>
      </c>
      <c r="E90" s="27" t="s">
        <v>19</v>
      </c>
      <c r="F90" s="27" t="s">
        <v>31</v>
      </c>
      <c r="G90" s="27" t="s">
        <v>2271</v>
      </c>
      <c r="H90" s="27"/>
      <c r="I90" s="27">
        <f>VLOOKUP(F90,mapping!$L$2:$P$92,2,0)</f>
        <v>1.2105180348503324</v>
      </c>
      <c r="J90" s="27">
        <f>VLOOKUP($F90,mapping!$L$2:$P$92,3,0)</f>
        <v>50435.5</v>
      </c>
      <c r="K90" s="27" t="str">
        <f>VLOOKUP($F90,mapping!$L$2:$P$92,4,0)</f>
        <v>Major Advanced Economies (G7)</v>
      </c>
      <c r="L90" s="29">
        <f>$D90*VLOOKUP($E90,'Charts data'!$A$2:$B$11,2,0)*VLOOKUP($G90,'Charts data'!$A$14:$B$18,2,0)/IF('Charts data'!$E$3=1,I90,1)/IF('Charts data'!$E$4=1,J90,1)</f>
        <v>68835.306612122877</v>
      </c>
    </row>
    <row r="91" spans="1:12" x14ac:dyDescent="0.25">
      <c r="A91" s="27" t="s">
        <v>308</v>
      </c>
      <c r="B91" s="27">
        <v>50000</v>
      </c>
      <c r="C91" s="27" t="s">
        <v>30</v>
      </c>
      <c r="D91" s="28">
        <f>B91*VLOOKUP(C91,tblXrate[],2,0)</f>
        <v>49168.076151516347</v>
      </c>
      <c r="E91" s="27" t="s">
        <v>19</v>
      </c>
      <c r="F91" s="27" t="s">
        <v>31</v>
      </c>
      <c r="G91" s="27" t="s">
        <v>2271</v>
      </c>
      <c r="H91" s="27"/>
      <c r="I91" s="27">
        <f>VLOOKUP(F91,mapping!$L$2:$P$92,2,0)</f>
        <v>1.2105180348503324</v>
      </c>
      <c r="J91" s="27">
        <f>VLOOKUP($F91,mapping!$L$2:$P$92,3,0)</f>
        <v>50435.5</v>
      </c>
      <c r="K91" s="27" t="str">
        <f>VLOOKUP($F91,mapping!$L$2:$P$92,4,0)</f>
        <v>Major Advanced Economies (G7)</v>
      </c>
      <c r="L91" s="29">
        <f>$D91*VLOOKUP($E91,'Charts data'!$A$2:$B$11,2,0)*VLOOKUP($G91,'Charts data'!$A$14:$B$18,2,0)/IF('Charts data'!$E$3=1,I91,1)/IF('Charts data'!$E$4=1,J91,1)</f>
        <v>49168.076151516347</v>
      </c>
    </row>
    <row r="92" spans="1:12" x14ac:dyDescent="0.25">
      <c r="A92" s="27" t="s">
        <v>310</v>
      </c>
      <c r="B92" s="27">
        <v>62000</v>
      </c>
      <c r="C92" s="27" t="s">
        <v>30</v>
      </c>
      <c r="D92" s="28">
        <f>B92*VLOOKUP(C92,tblXrate[],2,0)</f>
        <v>60968.414427880263</v>
      </c>
      <c r="E92" s="27" t="s">
        <v>7</v>
      </c>
      <c r="F92" s="27" t="s">
        <v>31</v>
      </c>
      <c r="G92" s="27" t="s">
        <v>2272</v>
      </c>
      <c r="H92" s="27"/>
      <c r="I92" s="27">
        <f>VLOOKUP(F92,mapping!$L$2:$P$92,2,0)</f>
        <v>1.2105180348503324</v>
      </c>
      <c r="J92" s="27">
        <f>VLOOKUP($F92,mapping!$L$2:$P$92,3,0)</f>
        <v>50435.5</v>
      </c>
      <c r="K92" s="27" t="str">
        <f>VLOOKUP($F92,mapping!$L$2:$P$92,4,0)</f>
        <v>Major Advanced Economies (G7)</v>
      </c>
      <c r="L92" s="29">
        <f>$D92*VLOOKUP($E92,'Charts data'!$A$2:$B$11,2,0)*VLOOKUP($G92,'Charts data'!$A$14:$B$18,2,0)/IF('Charts data'!$E$3=1,I92,1)/IF('Charts data'!$E$4=1,J92,1)</f>
        <v>60968.414427880263</v>
      </c>
    </row>
    <row r="93" spans="1:12" x14ac:dyDescent="0.25">
      <c r="A93" s="27" t="s">
        <v>336</v>
      </c>
      <c r="B93" s="27">
        <v>107000</v>
      </c>
      <c r="C93" s="27" t="s">
        <v>30</v>
      </c>
      <c r="D93" s="28">
        <f>B93*VLOOKUP(C93,tblXrate[],2,0)</f>
        <v>105219.68296424497</v>
      </c>
      <c r="E93" s="27" t="s">
        <v>19</v>
      </c>
      <c r="F93" s="27" t="s">
        <v>31</v>
      </c>
      <c r="G93" s="27" t="s">
        <v>2272</v>
      </c>
      <c r="H93" s="27"/>
      <c r="I93" s="27">
        <f>VLOOKUP(F93,mapping!$L$2:$P$92,2,0)</f>
        <v>1.2105180348503324</v>
      </c>
      <c r="J93" s="27">
        <f>VLOOKUP($F93,mapping!$L$2:$P$92,3,0)</f>
        <v>50435.5</v>
      </c>
      <c r="K93" s="27" t="str">
        <f>VLOOKUP($F93,mapping!$L$2:$P$92,4,0)</f>
        <v>Major Advanced Economies (G7)</v>
      </c>
      <c r="L93" s="29">
        <f>$D93*VLOOKUP($E93,'Charts data'!$A$2:$B$11,2,0)*VLOOKUP($G93,'Charts data'!$A$14:$B$18,2,0)/IF('Charts data'!$E$3=1,I93,1)/IF('Charts data'!$E$4=1,J93,1)</f>
        <v>105219.68296424497</v>
      </c>
    </row>
    <row r="94" spans="1:12" x14ac:dyDescent="0.25">
      <c r="A94" s="27" t="s">
        <v>341</v>
      </c>
      <c r="B94" s="27">
        <v>90000</v>
      </c>
      <c r="C94" s="27" t="s">
        <v>30</v>
      </c>
      <c r="D94" s="28">
        <f>B94*VLOOKUP(C94,tblXrate[],2,0)</f>
        <v>88502.537072729421</v>
      </c>
      <c r="E94" s="27" t="s">
        <v>7</v>
      </c>
      <c r="F94" s="27" t="s">
        <v>31</v>
      </c>
      <c r="G94" s="27" t="s">
        <v>2271</v>
      </c>
      <c r="H94" s="27"/>
      <c r="I94" s="27">
        <f>VLOOKUP(F94,mapping!$L$2:$P$92,2,0)</f>
        <v>1.2105180348503324</v>
      </c>
      <c r="J94" s="27">
        <f>VLOOKUP($F94,mapping!$L$2:$P$92,3,0)</f>
        <v>50435.5</v>
      </c>
      <c r="K94" s="27" t="str">
        <f>VLOOKUP($F94,mapping!$L$2:$P$92,4,0)</f>
        <v>Major Advanced Economies (G7)</v>
      </c>
      <c r="L94" s="29">
        <f>$D94*VLOOKUP($E94,'Charts data'!$A$2:$B$11,2,0)*VLOOKUP($G94,'Charts data'!$A$14:$B$18,2,0)/IF('Charts data'!$E$3=1,I94,1)/IF('Charts data'!$E$4=1,J94,1)</f>
        <v>88502.537072729421</v>
      </c>
    </row>
    <row r="95" spans="1:12" x14ac:dyDescent="0.25">
      <c r="A95" s="27" t="s">
        <v>357</v>
      </c>
      <c r="B95" s="27">
        <v>92000</v>
      </c>
      <c r="C95" s="27" t="s">
        <v>30</v>
      </c>
      <c r="D95" s="28">
        <f>B95*VLOOKUP(C95,tblXrate[],2,0)</f>
        <v>90469.260118790073</v>
      </c>
      <c r="E95" s="27" t="s">
        <v>53</v>
      </c>
      <c r="F95" s="27" t="s">
        <v>31</v>
      </c>
      <c r="G95" s="27" t="s">
        <v>2273</v>
      </c>
      <c r="H95" s="27"/>
      <c r="I95" s="27">
        <f>VLOOKUP(F95,mapping!$L$2:$P$92,2,0)</f>
        <v>1.2105180348503324</v>
      </c>
      <c r="J95" s="27">
        <f>VLOOKUP($F95,mapping!$L$2:$P$92,3,0)</f>
        <v>50435.5</v>
      </c>
      <c r="K95" s="27" t="str">
        <f>VLOOKUP($F95,mapping!$L$2:$P$92,4,0)</f>
        <v>Major Advanced Economies (G7)</v>
      </c>
      <c r="L95" s="29">
        <f>$D95*VLOOKUP($E95,'Charts data'!$A$2:$B$11,2,0)*VLOOKUP($G95,'Charts data'!$A$14:$B$18,2,0)/IF('Charts data'!$E$3=1,I95,1)/IF('Charts data'!$E$4=1,J95,1)</f>
        <v>90469.260118790073</v>
      </c>
    </row>
    <row r="96" spans="1:12" x14ac:dyDescent="0.25">
      <c r="A96" s="27" t="s">
        <v>360</v>
      </c>
      <c r="B96" s="27">
        <v>60000</v>
      </c>
      <c r="C96" s="27" t="s">
        <v>30</v>
      </c>
      <c r="D96" s="28">
        <f>B96*VLOOKUP(C96,tblXrate[],2,0)</f>
        <v>59001.691381819612</v>
      </c>
      <c r="E96" s="27" t="s">
        <v>7</v>
      </c>
      <c r="F96" s="27" t="s">
        <v>31</v>
      </c>
      <c r="G96" s="27" t="s">
        <v>2272</v>
      </c>
      <c r="H96" s="27"/>
      <c r="I96" s="27">
        <f>VLOOKUP(F96,mapping!$L$2:$P$92,2,0)</f>
        <v>1.2105180348503324</v>
      </c>
      <c r="J96" s="27">
        <f>VLOOKUP($F96,mapping!$L$2:$P$92,3,0)</f>
        <v>50435.5</v>
      </c>
      <c r="K96" s="27" t="str">
        <f>VLOOKUP($F96,mapping!$L$2:$P$92,4,0)</f>
        <v>Major Advanced Economies (G7)</v>
      </c>
      <c r="L96" s="29">
        <f>$D96*VLOOKUP($E96,'Charts data'!$A$2:$B$11,2,0)*VLOOKUP($G96,'Charts data'!$A$14:$B$18,2,0)/IF('Charts data'!$E$3=1,I96,1)/IF('Charts data'!$E$4=1,J96,1)</f>
        <v>59001.691381819612</v>
      </c>
    </row>
    <row r="97" spans="1:12" x14ac:dyDescent="0.25">
      <c r="A97" s="27" t="s">
        <v>394</v>
      </c>
      <c r="B97" s="27">
        <v>45000</v>
      </c>
      <c r="C97" s="27" t="s">
        <v>30</v>
      </c>
      <c r="D97" s="28">
        <f>B97*VLOOKUP(C97,tblXrate[],2,0)</f>
        <v>44251.268536364711</v>
      </c>
      <c r="E97" s="27" t="s">
        <v>23</v>
      </c>
      <c r="F97" s="27" t="s">
        <v>31</v>
      </c>
      <c r="G97" s="27" t="s">
        <v>2274</v>
      </c>
      <c r="H97" s="27"/>
      <c r="I97" s="27">
        <f>VLOOKUP(F97,mapping!$L$2:$P$92,2,0)</f>
        <v>1.2105180348503324</v>
      </c>
      <c r="J97" s="27">
        <f>VLOOKUP($F97,mapping!$L$2:$P$92,3,0)</f>
        <v>50435.5</v>
      </c>
      <c r="K97" s="27" t="str">
        <f>VLOOKUP($F97,mapping!$L$2:$P$92,4,0)</f>
        <v>Major Advanced Economies (G7)</v>
      </c>
      <c r="L97" s="29">
        <f>$D97*VLOOKUP($E97,'Charts data'!$A$2:$B$11,2,0)*VLOOKUP($G97,'Charts data'!$A$14:$B$18,2,0)/IF('Charts data'!$E$3=1,I97,1)/IF('Charts data'!$E$4=1,J97,1)</f>
        <v>44251.268536364711</v>
      </c>
    </row>
    <row r="98" spans="1:12" x14ac:dyDescent="0.25">
      <c r="A98" s="27" t="s">
        <v>405</v>
      </c>
      <c r="B98" s="27">
        <v>100000</v>
      </c>
      <c r="C98" s="27" t="s">
        <v>30</v>
      </c>
      <c r="D98" s="28">
        <f>B98*VLOOKUP(C98,tblXrate[],2,0)</f>
        <v>98336.152303032693</v>
      </c>
      <c r="E98" s="27" t="s">
        <v>19</v>
      </c>
      <c r="F98" s="27" t="s">
        <v>31</v>
      </c>
      <c r="G98" s="27" t="s">
        <v>2272</v>
      </c>
      <c r="H98" s="27"/>
      <c r="I98" s="27">
        <f>VLOOKUP(F98,mapping!$L$2:$P$92,2,0)</f>
        <v>1.2105180348503324</v>
      </c>
      <c r="J98" s="27">
        <f>VLOOKUP($F98,mapping!$L$2:$P$92,3,0)</f>
        <v>50435.5</v>
      </c>
      <c r="K98" s="27" t="str">
        <f>VLOOKUP($F98,mapping!$L$2:$P$92,4,0)</f>
        <v>Major Advanced Economies (G7)</v>
      </c>
      <c r="L98" s="29">
        <f>$D98*VLOOKUP($E98,'Charts data'!$A$2:$B$11,2,0)*VLOOKUP($G98,'Charts data'!$A$14:$B$18,2,0)/IF('Charts data'!$E$3=1,I98,1)/IF('Charts data'!$E$4=1,J98,1)</f>
        <v>98336.152303032693</v>
      </c>
    </row>
    <row r="99" spans="1:12" x14ac:dyDescent="0.25">
      <c r="A99" s="27" t="s">
        <v>412</v>
      </c>
      <c r="B99" s="27">
        <v>65000</v>
      </c>
      <c r="C99" s="27" t="s">
        <v>30</v>
      </c>
      <c r="D99" s="28">
        <f>B99*VLOOKUP(C99,tblXrate[],2,0)</f>
        <v>63918.498996971248</v>
      </c>
      <c r="E99" s="27" t="s">
        <v>19</v>
      </c>
      <c r="F99" s="27" t="s">
        <v>31</v>
      </c>
      <c r="G99" s="27" t="s">
        <v>2271</v>
      </c>
      <c r="H99" s="27"/>
      <c r="I99" s="27">
        <f>VLOOKUP(F99,mapping!$L$2:$P$92,2,0)</f>
        <v>1.2105180348503324</v>
      </c>
      <c r="J99" s="27">
        <f>VLOOKUP($F99,mapping!$L$2:$P$92,3,0)</f>
        <v>50435.5</v>
      </c>
      <c r="K99" s="27" t="str">
        <f>VLOOKUP($F99,mapping!$L$2:$P$92,4,0)</f>
        <v>Major Advanced Economies (G7)</v>
      </c>
      <c r="L99" s="29">
        <f>$D99*VLOOKUP($E99,'Charts data'!$A$2:$B$11,2,0)*VLOOKUP($G99,'Charts data'!$A$14:$B$18,2,0)/IF('Charts data'!$E$3=1,I99,1)/IF('Charts data'!$E$4=1,J99,1)</f>
        <v>63918.498996971248</v>
      </c>
    </row>
    <row r="100" spans="1:12" x14ac:dyDescent="0.25">
      <c r="A100" s="27" t="s">
        <v>469</v>
      </c>
      <c r="B100" s="27">
        <v>42000</v>
      </c>
      <c r="C100" s="27" t="s">
        <v>30</v>
      </c>
      <c r="D100" s="28">
        <f>B100*VLOOKUP(C100,tblXrate[],2,0)</f>
        <v>41301.183967273726</v>
      </c>
      <c r="E100" s="27" t="s">
        <v>7</v>
      </c>
      <c r="F100" s="27" t="s">
        <v>31</v>
      </c>
      <c r="G100" s="27" t="s">
        <v>2273</v>
      </c>
      <c r="H100" s="27"/>
      <c r="I100" s="27">
        <f>VLOOKUP(F100,mapping!$L$2:$P$92,2,0)</f>
        <v>1.2105180348503324</v>
      </c>
      <c r="J100" s="27">
        <f>VLOOKUP($F100,mapping!$L$2:$P$92,3,0)</f>
        <v>50435.5</v>
      </c>
      <c r="K100" s="27" t="str">
        <f>VLOOKUP($F100,mapping!$L$2:$P$92,4,0)</f>
        <v>Major Advanced Economies (G7)</v>
      </c>
      <c r="L100" s="29">
        <f>$D100*VLOOKUP($E100,'Charts data'!$A$2:$B$11,2,0)*VLOOKUP($G100,'Charts data'!$A$14:$B$18,2,0)/IF('Charts data'!$E$3=1,I100,1)/IF('Charts data'!$E$4=1,J100,1)</f>
        <v>41301.183967273726</v>
      </c>
    </row>
    <row r="101" spans="1:12" x14ac:dyDescent="0.25">
      <c r="A101" s="27" t="s">
        <v>481</v>
      </c>
      <c r="B101" s="27">
        <v>60000</v>
      </c>
      <c r="C101" s="27" t="s">
        <v>30</v>
      </c>
      <c r="D101" s="28">
        <f>B101*VLOOKUP(C101,tblXrate[],2,0)</f>
        <v>59001.691381819612</v>
      </c>
      <c r="E101" s="27" t="s">
        <v>7</v>
      </c>
      <c r="F101" s="27" t="s">
        <v>31</v>
      </c>
      <c r="G101" s="27" t="s">
        <v>2273</v>
      </c>
      <c r="H101" s="27"/>
      <c r="I101" s="27">
        <f>VLOOKUP(F101,mapping!$L$2:$P$92,2,0)</f>
        <v>1.2105180348503324</v>
      </c>
      <c r="J101" s="27">
        <f>VLOOKUP($F101,mapping!$L$2:$P$92,3,0)</f>
        <v>50435.5</v>
      </c>
      <c r="K101" s="27" t="str">
        <f>VLOOKUP($F101,mapping!$L$2:$P$92,4,0)</f>
        <v>Major Advanced Economies (G7)</v>
      </c>
      <c r="L101" s="29">
        <f>$D101*VLOOKUP($E101,'Charts data'!$A$2:$B$11,2,0)*VLOOKUP($G101,'Charts data'!$A$14:$B$18,2,0)/IF('Charts data'!$E$3=1,I101,1)/IF('Charts data'!$E$4=1,J101,1)</f>
        <v>59001.691381819612</v>
      </c>
    </row>
    <row r="102" spans="1:12" x14ac:dyDescent="0.25">
      <c r="A102" s="27" t="s">
        <v>499</v>
      </c>
      <c r="B102" s="27">
        <v>65000</v>
      </c>
      <c r="C102" s="27" t="s">
        <v>30</v>
      </c>
      <c r="D102" s="28">
        <f>B102*VLOOKUP(C102,tblXrate[],2,0)</f>
        <v>63918.498996971248</v>
      </c>
      <c r="E102" s="27" t="s">
        <v>19</v>
      </c>
      <c r="F102" s="27" t="s">
        <v>31</v>
      </c>
      <c r="G102" s="27" t="s">
        <v>2272</v>
      </c>
      <c r="H102" s="27"/>
      <c r="I102" s="27">
        <f>VLOOKUP(F102,mapping!$L$2:$P$92,2,0)</f>
        <v>1.2105180348503324</v>
      </c>
      <c r="J102" s="27">
        <f>VLOOKUP($F102,mapping!$L$2:$P$92,3,0)</f>
        <v>50435.5</v>
      </c>
      <c r="K102" s="27" t="str">
        <f>VLOOKUP($F102,mapping!$L$2:$P$92,4,0)</f>
        <v>Major Advanced Economies (G7)</v>
      </c>
      <c r="L102" s="29">
        <f>$D102*VLOOKUP($E102,'Charts data'!$A$2:$B$11,2,0)*VLOOKUP($G102,'Charts data'!$A$14:$B$18,2,0)/IF('Charts data'!$E$3=1,I102,1)/IF('Charts data'!$E$4=1,J102,1)</f>
        <v>63918.498996971248</v>
      </c>
    </row>
    <row r="103" spans="1:12" x14ac:dyDescent="0.25">
      <c r="A103" s="27" t="s">
        <v>514</v>
      </c>
      <c r="B103" s="27">
        <v>56000</v>
      </c>
      <c r="C103" s="27" t="s">
        <v>30</v>
      </c>
      <c r="D103" s="28">
        <f>B103*VLOOKUP(C103,tblXrate[],2,0)</f>
        <v>55068.245289698301</v>
      </c>
      <c r="E103" s="27" t="s">
        <v>7</v>
      </c>
      <c r="F103" s="27" t="s">
        <v>31</v>
      </c>
      <c r="G103" s="27" t="s">
        <v>2271</v>
      </c>
      <c r="H103" s="27"/>
      <c r="I103" s="27">
        <f>VLOOKUP(F103,mapping!$L$2:$P$92,2,0)</f>
        <v>1.2105180348503324</v>
      </c>
      <c r="J103" s="27">
        <f>VLOOKUP($F103,mapping!$L$2:$P$92,3,0)</f>
        <v>50435.5</v>
      </c>
      <c r="K103" s="27" t="str">
        <f>VLOOKUP($F103,mapping!$L$2:$P$92,4,0)</f>
        <v>Major Advanced Economies (G7)</v>
      </c>
      <c r="L103" s="29">
        <f>$D103*VLOOKUP($E103,'Charts data'!$A$2:$B$11,2,0)*VLOOKUP($G103,'Charts data'!$A$14:$B$18,2,0)/IF('Charts data'!$E$3=1,I103,1)/IF('Charts data'!$E$4=1,J103,1)</f>
        <v>55068.245289698301</v>
      </c>
    </row>
    <row r="104" spans="1:12" x14ac:dyDescent="0.25">
      <c r="A104" s="27" t="s">
        <v>518</v>
      </c>
      <c r="B104" s="27">
        <v>160000</v>
      </c>
      <c r="C104" s="27" t="s">
        <v>30</v>
      </c>
      <c r="D104" s="28">
        <f>B104*VLOOKUP(C104,tblXrate[],2,0)</f>
        <v>157337.8436848523</v>
      </c>
      <c r="E104" s="27" t="s">
        <v>53</v>
      </c>
      <c r="F104" s="27" t="s">
        <v>31</v>
      </c>
      <c r="G104" s="27" t="s">
        <v>2272</v>
      </c>
      <c r="H104" s="27"/>
      <c r="I104" s="27">
        <f>VLOOKUP(F104,mapping!$L$2:$P$92,2,0)</f>
        <v>1.2105180348503324</v>
      </c>
      <c r="J104" s="27">
        <f>VLOOKUP($F104,mapping!$L$2:$P$92,3,0)</f>
        <v>50435.5</v>
      </c>
      <c r="K104" s="27" t="str">
        <f>VLOOKUP($F104,mapping!$L$2:$P$92,4,0)</f>
        <v>Major Advanced Economies (G7)</v>
      </c>
      <c r="L104" s="29">
        <f>$D104*VLOOKUP($E104,'Charts data'!$A$2:$B$11,2,0)*VLOOKUP($G104,'Charts data'!$A$14:$B$18,2,0)/IF('Charts data'!$E$3=1,I104,1)/IF('Charts data'!$E$4=1,J104,1)</f>
        <v>157337.8436848523</v>
      </c>
    </row>
    <row r="105" spans="1:12" x14ac:dyDescent="0.25">
      <c r="A105" s="27" t="s">
        <v>522</v>
      </c>
      <c r="B105" s="27">
        <v>75000</v>
      </c>
      <c r="C105" s="27" t="s">
        <v>30</v>
      </c>
      <c r="D105" s="28">
        <f>B105*VLOOKUP(C105,tblXrate[],2,0)</f>
        <v>73752.11422727452</v>
      </c>
      <c r="E105" s="27" t="s">
        <v>7</v>
      </c>
      <c r="F105" s="27" t="s">
        <v>31</v>
      </c>
      <c r="G105" s="27" t="s">
        <v>2271</v>
      </c>
      <c r="H105" s="27"/>
      <c r="I105" s="27">
        <f>VLOOKUP(F105,mapping!$L$2:$P$92,2,0)</f>
        <v>1.2105180348503324</v>
      </c>
      <c r="J105" s="27">
        <f>VLOOKUP($F105,mapping!$L$2:$P$92,3,0)</f>
        <v>50435.5</v>
      </c>
      <c r="K105" s="27" t="str">
        <f>VLOOKUP($F105,mapping!$L$2:$P$92,4,0)</f>
        <v>Major Advanced Economies (G7)</v>
      </c>
      <c r="L105" s="29">
        <f>$D105*VLOOKUP($E105,'Charts data'!$A$2:$B$11,2,0)*VLOOKUP($G105,'Charts data'!$A$14:$B$18,2,0)/IF('Charts data'!$E$3=1,I105,1)/IF('Charts data'!$E$4=1,J105,1)</f>
        <v>73752.11422727452</v>
      </c>
    </row>
    <row r="106" spans="1:12" x14ac:dyDescent="0.25">
      <c r="A106" s="27" t="s">
        <v>542</v>
      </c>
      <c r="B106" s="27">
        <v>80000</v>
      </c>
      <c r="C106" s="27" t="s">
        <v>30</v>
      </c>
      <c r="D106" s="28">
        <f>B106*VLOOKUP(C106,tblXrate[],2,0)</f>
        <v>78668.921842426149</v>
      </c>
      <c r="E106" s="27" t="s">
        <v>7</v>
      </c>
      <c r="F106" s="27" t="s">
        <v>31</v>
      </c>
      <c r="G106" s="27" t="s">
        <v>2271</v>
      </c>
      <c r="H106" s="27"/>
      <c r="I106" s="27">
        <f>VLOOKUP(F106,mapping!$L$2:$P$92,2,0)</f>
        <v>1.2105180348503324</v>
      </c>
      <c r="J106" s="27">
        <f>VLOOKUP($F106,mapping!$L$2:$P$92,3,0)</f>
        <v>50435.5</v>
      </c>
      <c r="K106" s="27" t="str">
        <f>VLOOKUP($F106,mapping!$L$2:$P$92,4,0)</f>
        <v>Major Advanced Economies (G7)</v>
      </c>
      <c r="L106" s="29">
        <f>$D106*VLOOKUP($E106,'Charts data'!$A$2:$B$11,2,0)*VLOOKUP($G106,'Charts data'!$A$14:$B$18,2,0)/IF('Charts data'!$E$3=1,I106,1)/IF('Charts data'!$E$4=1,J106,1)</f>
        <v>78668.921842426149</v>
      </c>
    </row>
    <row r="107" spans="1:12" x14ac:dyDescent="0.25">
      <c r="A107" s="27" t="s">
        <v>567</v>
      </c>
      <c r="B107" s="27">
        <v>72000</v>
      </c>
      <c r="C107" s="27" t="s">
        <v>30</v>
      </c>
      <c r="D107" s="28">
        <f>B107*VLOOKUP(C107,tblXrate[],2,0)</f>
        <v>70802.029658183528</v>
      </c>
      <c r="E107" s="27" t="s">
        <v>62</v>
      </c>
      <c r="F107" s="27" t="s">
        <v>31</v>
      </c>
      <c r="G107" s="27" t="s">
        <v>2271</v>
      </c>
      <c r="H107" s="27"/>
      <c r="I107" s="27">
        <f>VLOOKUP(F107,mapping!$L$2:$P$92,2,0)</f>
        <v>1.2105180348503324</v>
      </c>
      <c r="J107" s="27">
        <f>VLOOKUP($F107,mapping!$L$2:$P$92,3,0)</f>
        <v>50435.5</v>
      </c>
      <c r="K107" s="27" t="str">
        <f>VLOOKUP($F107,mapping!$L$2:$P$92,4,0)</f>
        <v>Major Advanced Economies (G7)</v>
      </c>
      <c r="L107" s="29">
        <f>$D107*VLOOKUP($E107,'Charts data'!$A$2:$B$11,2,0)*VLOOKUP($G107,'Charts data'!$A$14:$B$18,2,0)/IF('Charts data'!$E$3=1,I107,1)/IF('Charts data'!$E$4=1,J107,1)</f>
        <v>70802.029658183528</v>
      </c>
    </row>
    <row r="108" spans="1:12" x14ac:dyDescent="0.25">
      <c r="A108" s="27" t="s">
        <v>610</v>
      </c>
      <c r="B108" s="27">
        <v>110000</v>
      </c>
      <c r="C108" s="27" t="s">
        <v>30</v>
      </c>
      <c r="D108" s="28">
        <f>B108*VLOOKUP(C108,tblXrate[],2,0)</f>
        <v>108169.76753333595</v>
      </c>
      <c r="E108" s="27" t="s">
        <v>62</v>
      </c>
      <c r="F108" s="27" t="s">
        <v>31</v>
      </c>
      <c r="G108" s="27" t="s">
        <v>2272</v>
      </c>
      <c r="H108" s="27"/>
      <c r="I108" s="27">
        <f>VLOOKUP(F108,mapping!$L$2:$P$92,2,0)</f>
        <v>1.2105180348503324</v>
      </c>
      <c r="J108" s="27">
        <f>VLOOKUP($F108,mapping!$L$2:$P$92,3,0)</f>
        <v>50435.5</v>
      </c>
      <c r="K108" s="27" t="str">
        <f>VLOOKUP($F108,mapping!$L$2:$P$92,4,0)</f>
        <v>Major Advanced Economies (G7)</v>
      </c>
      <c r="L108" s="29">
        <f>$D108*VLOOKUP($E108,'Charts data'!$A$2:$B$11,2,0)*VLOOKUP($G108,'Charts data'!$A$14:$B$18,2,0)/IF('Charts data'!$E$3=1,I108,1)/IF('Charts data'!$E$4=1,J108,1)</f>
        <v>108169.76753333595</v>
      </c>
    </row>
    <row r="109" spans="1:12" x14ac:dyDescent="0.25">
      <c r="A109" s="27" t="s">
        <v>623</v>
      </c>
      <c r="B109" s="27">
        <v>52000</v>
      </c>
      <c r="C109" s="27" t="s">
        <v>30</v>
      </c>
      <c r="D109" s="28">
        <f>B109*VLOOKUP(C109,tblXrate[],2,0)</f>
        <v>51134.799197576998</v>
      </c>
      <c r="E109" s="27" t="s">
        <v>19</v>
      </c>
      <c r="F109" s="27" t="s">
        <v>31</v>
      </c>
      <c r="G109" s="27" t="s">
        <v>2271</v>
      </c>
      <c r="H109" s="27"/>
      <c r="I109" s="27">
        <f>VLOOKUP(F109,mapping!$L$2:$P$92,2,0)</f>
        <v>1.2105180348503324</v>
      </c>
      <c r="J109" s="27">
        <f>VLOOKUP($F109,mapping!$L$2:$P$92,3,0)</f>
        <v>50435.5</v>
      </c>
      <c r="K109" s="27" t="str">
        <f>VLOOKUP($F109,mapping!$L$2:$P$92,4,0)</f>
        <v>Major Advanced Economies (G7)</v>
      </c>
      <c r="L109" s="29">
        <f>$D109*VLOOKUP($E109,'Charts data'!$A$2:$B$11,2,0)*VLOOKUP($G109,'Charts data'!$A$14:$B$18,2,0)/IF('Charts data'!$E$3=1,I109,1)/IF('Charts data'!$E$4=1,J109,1)</f>
        <v>51134.799197576998</v>
      </c>
    </row>
    <row r="110" spans="1:12" x14ac:dyDescent="0.25">
      <c r="A110" s="27" t="s">
        <v>629</v>
      </c>
      <c r="B110" s="27">
        <v>70000</v>
      </c>
      <c r="C110" s="27" t="s">
        <v>30</v>
      </c>
      <c r="D110" s="28">
        <f>B110*VLOOKUP(C110,tblXrate[],2,0)</f>
        <v>68835.306612122877</v>
      </c>
      <c r="E110" s="27" t="s">
        <v>19</v>
      </c>
      <c r="F110" s="27" t="s">
        <v>31</v>
      </c>
      <c r="G110" s="27" t="s">
        <v>2274</v>
      </c>
      <c r="H110" s="27"/>
      <c r="I110" s="27">
        <f>VLOOKUP(F110,mapping!$L$2:$P$92,2,0)</f>
        <v>1.2105180348503324</v>
      </c>
      <c r="J110" s="27">
        <f>VLOOKUP($F110,mapping!$L$2:$P$92,3,0)</f>
        <v>50435.5</v>
      </c>
      <c r="K110" s="27" t="str">
        <f>VLOOKUP($F110,mapping!$L$2:$P$92,4,0)</f>
        <v>Major Advanced Economies (G7)</v>
      </c>
      <c r="L110" s="29">
        <f>$D110*VLOOKUP($E110,'Charts data'!$A$2:$B$11,2,0)*VLOOKUP($G110,'Charts data'!$A$14:$B$18,2,0)/IF('Charts data'!$E$3=1,I110,1)/IF('Charts data'!$E$4=1,J110,1)</f>
        <v>68835.306612122877</v>
      </c>
    </row>
    <row r="111" spans="1:12" x14ac:dyDescent="0.25">
      <c r="A111" s="27" t="s">
        <v>631</v>
      </c>
      <c r="B111" s="27">
        <v>87000</v>
      </c>
      <c r="C111" s="27" t="s">
        <v>30</v>
      </c>
      <c r="D111" s="28">
        <f>B111*VLOOKUP(C111,tblXrate[],2,0)</f>
        <v>85552.452503638444</v>
      </c>
      <c r="E111" s="27" t="s">
        <v>19</v>
      </c>
      <c r="F111" s="27" t="s">
        <v>31</v>
      </c>
      <c r="G111" s="27" t="s">
        <v>2271</v>
      </c>
      <c r="H111" s="27"/>
      <c r="I111" s="27">
        <f>VLOOKUP(F111,mapping!$L$2:$P$92,2,0)</f>
        <v>1.2105180348503324</v>
      </c>
      <c r="J111" s="27">
        <f>VLOOKUP($F111,mapping!$L$2:$P$92,3,0)</f>
        <v>50435.5</v>
      </c>
      <c r="K111" s="27" t="str">
        <f>VLOOKUP($F111,mapping!$L$2:$P$92,4,0)</f>
        <v>Major Advanced Economies (G7)</v>
      </c>
      <c r="L111" s="29">
        <f>$D111*VLOOKUP($E111,'Charts data'!$A$2:$B$11,2,0)*VLOOKUP($G111,'Charts data'!$A$14:$B$18,2,0)/IF('Charts data'!$E$3=1,I111,1)/IF('Charts data'!$E$4=1,J111,1)</f>
        <v>85552.452503638444</v>
      </c>
    </row>
    <row r="112" spans="1:12" x14ac:dyDescent="0.25">
      <c r="A112" s="27" t="s">
        <v>639</v>
      </c>
      <c r="B112" s="27">
        <v>1250000</v>
      </c>
      <c r="C112" s="27" t="s">
        <v>30</v>
      </c>
      <c r="D112" s="28">
        <f>B112*VLOOKUP(C112,tblXrate[],2,0)</f>
        <v>1229201.9037879086</v>
      </c>
      <c r="E112" s="27" t="s">
        <v>51</v>
      </c>
      <c r="F112" s="27" t="s">
        <v>31</v>
      </c>
      <c r="G112" s="27" t="s">
        <v>2271</v>
      </c>
      <c r="H112" s="27"/>
      <c r="I112" s="27">
        <f>VLOOKUP(F112,mapping!$L$2:$P$92,2,0)</f>
        <v>1.2105180348503324</v>
      </c>
      <c r="J112" s="27">
        <f>VLOOKUP($F112,mapping!$L$2:$P$92,3,0)</f>
        <v>50435.5</v>
      </c>
      <c r="K112" s="27" t="str">
        <f>VLOOKUP($F112,mapping!$L$2:$P$92,4,0)</f>
        <v>Major Advanced Economies (G7)</v>
      </c>
      <c r="L112" s="29">
        <f>$D112*VLOOKUP($E112,'Charts data'!$A$2:$B$11,2,0)*VLOOKUP($G112,'Charts data'!$A$14:$B$18,2,0)/IF('Charts data'!$E$3=1,I112,1)/IF('Charts data'!$E$4=1,J112,1)</f>
        <v>1229201.9037879086</v>
      </c>
    </row>
    <row r="113" spans="1:12" x14ac:dyDescent="0.25">
      <c r="A113" s="27" t="s">
        <v>650</v>
      </c>
      <c r="B113" s="27">
        <v>46000</v>
      </c>
      <c r="C113" s="27" t="s">
        <v>30</v>
      </c>
      <c r="D113" s="28">
        <f>B113*VLOOKUP(C113,tblXrate[],2,0)</f>
        <v>45234.630059395036</v>
      </c>
      <c r="E113" s="27" t="s">
        <v>7</v>
      </c>
      <c r="F113" s="27" t="s">
        <v>31</v>
      </c>
      <c r="G113" s="27" t="s">
        <v>2273</v>
      </c>
      <c r="H113" s="27"/>
      <c r="I113" s="27">
        <f>VLOOKUP(F113,mapping!$L$2:$P$92,2,0)</f>
        <v>1.2105180348503324</v>
      </c>
      <c r="J113" s="27">
        <f>VLOOKUP($F113,mapping!$L$2:$P$92,3,0)</f>
        <v>50435.5</v>
      </c>
      <c r="K113" s="27" t="str">
        <f>VLOOKUP($F113,mapping!$L$2:$P$92,4,0)</f>
        <v>Major Advanced Economies (G7)</v>
      </c>
      <c r="L113" s="29">
        <f>$D113*VLOOKUP($E113,'Charts data'!$A$2:$B$11,2,0)*VLOOKUP($G113,'Charts data'!$A$14:$B$18,2,0)/IF('Charts data'!$E$3=1,I113,1)/IF('Charts data'!$E$4=1,J113,1)</f>
        <v>45234.630059395036</v>
      </c>
    </row>
    <row r="114" spans="1:12" x14ac:dyDescent="0.25">
      <c r="A114" s="27" t="s">
        <v>662</v>
      </c>
      <c r="B114" s="27">
        <v>68500</v>
      </c>
      <c r="C114" s="27" t="s">
        <v>30</v>
      </c>
      <c r="D114" s="28">
        <f>B114*VLOOKUP(C114,tblXrate[],2,0)</f>
        <v>67360.264327577388</v>
      </c>
      <c r="E114" s="27" t="s">
        <v>7</v>
      </c>
      <c r="F114" s="27" t="s">
        <v>31</v>
      </c>
      <c r="G114" s="27" t="s">
        <v>2271</v>
      </c>
      <c r="H114" s="27"/>
      <c r="I114" s="27">
        <f>VLOOKUP(F114,mapping!$L$2:$P$92,2,0)</f>
        <v>1.2105180348503324</v>
      </c>
      <c r="J114" s="27">
        <f>VLOOKUP($F114,mapping!$L$2:$P$92,3,0)</f>
        <v>50435.5</v>
      </c>
      <c r="K114" s="27" t="str">
        <f>VLOOKUP($F114,mapping!$L$2:$P$92,4,0)</f>
        <v>Major Advanced Economies (G7)</v>
      </c>
      <c r="L114" s="29">
        <f>$D114*VLOOKUP($E114,'Charts data'!$A$2:$B$11,2,0)*VLOOKUP($G114,'Charts data'!$A$14:$B$18,2,0)/IF('Charts data'!$E$3=1,I114,1)/IF('Charts data'!$E$4=1,J114,1)</f>
        <v>67360.264327577388</v>
      </c>
    </row>
    <row r="115" spans="1:12" x14ac:dyDescent="0.25">
      <c r="A115" s="27" t="s">
        <v>683</v>
      </c>
      <c r="B115" s="27">
        <v>87550</v>
      </c>
      <c r="C115" s="27" t="s">
        <v>30</v>
      </c>
      <c r="D115" s="28">
        <f>B115*VLOOKUP(C115,tblXrate[],2,0)</f>
        <v>86093.301341305123</v>
      </c>
      <c r="E115" s="27" t="s">
        <v>19</v>
      </c>
      <c r="F115" s="27" t="s">
        <v>31</v>
      </c>
      <c r="G115" s="27" t="s">
        <v>2271</v>
      </c>
      <c r="H115" s="27"/>
      <c r="I115" s="27">
        <f>VLOOKUP(F115,mapping!$L$2:$P$92,2,0)</f>
        <v>1.2105180348503324</v>
      </c>
      <c r="J115" s="27">
        <f>VLOOKUP($F115,mapping!$L$2:$P$92,3,0)</f>
        <v>50435.5</v>
      </c>
      <c r="K115" s="27" t="str">
        <f>VLOOKUP($F115,mapping!$L$2:$P$92,4,0)</f>
        <v>Major Advanced Economies (G7)</v>
      </c>
      <c r="L115" s="29">
        <f>$D115*VLOOKUP($E115,'Charts data'!$A$2:$B$11,2,0)*VLOOKUP($G115,'Charts data'!$A$14:$B$18,2,0)/IF('Charts data'!$E$3=1,I115,1)/IF('Charts data'!$E$4=1,J115,1)</f>
        <v>86093.301341305123</v>
      </c>
    </row>
    <row r="116" spans="1:12" x14ac:dyDescent="0.25">
      <c r="A116" s="27" t="s">
        <v>775</v>
      </c>
      <c r="B116" s="27">
        <v>250000</v>
      </c>
      <c r="C116" s="27" t="s">
        <v>30</v>
      </c>
      <c r="D116" s="28">
        <f>B116*VLOOKUP(C116,tblXrate[],2,0)</f>
        <v>245840.3807575817</v>
      </c>
      <c r="E116" s="27" t="s">
        <v>7</v>
      </c>
      <c r="F116" s="27" t="s">
        <v>31</v>
      </c>
      <c r="G116" s="27" t="s">
        <v>2271</v>
      </c>
      <c r="H116" s="27">
        <v>32</v>
      </c>
      <c r="I116" s="27">
        <f>VLOOKUP(F116,mapping!$L$2:$P$92,2,0)</f>
        <v>1.2105180348503324</v>
      </c>
      <c r="J116" s="27">
        <f>VLOOKUP($F116,mapping!$L$2:$P$92,3,0)</f>
        <v>50435.5</v>
      </c>
      <c r="K116" s="27" t="str">
        <f>VLOOKUP($F116,mapping!$L$2:$P$92,4,0)</f>
        <v>Major Advanced Economies (G7)</v>
      </c>
      <c r="L116" s="29">
        <f>$D116*VLOOKUP($E116,'Charts data'!$A$2:$B$11,2,0)*VLOOKUP($G116,'Charts data'!$A$14:$B$18,2,0)/IF('Charts data'!$E$3=1,I116,1)/IF('Charts data'!$E$4=1,J116,1)</f>
        <v>245840.3807575817</v>
      </c>
    </row>
    <row r="117" spans="1:12" x14ac:dyDescent="0.25">
      <c r="A117" s="27" t="s">
        <v>797</v>
      </c>
      <c r="B117" s="27">
        <v>55000</v>
      </c>
      <c r="C117" s="27" t="s">
        <v>30</v>
      </c>
      <c r="D117" s="28">
        <f>B117*VLOOKUP(C117,tblXrate[],2,0)</f>
        <v>54084.883766667976</v>
      </c>
      <c r="E117" s="27" t="s">
        <v>19</v>
      </c>
      <c r="F117" s="27" t="s">
        <v>31</v>
      </c>
      <c r="G117" s="27" t="s">
        <v>2271</v>
      </c>
      <c r="H117" s="27">
        <v>5</v>
      </c>
      <c r="I117" s="27">
        <f>VLOOKUP(F117,mapping!$L$2:$P$92,2,0)</f>
        <v>1.2105180348503324</v>
      </c>
      <c r="J117" s="27">
        <f>VLOOKUP($F117,mapping!$L$2:$P$92,3,0)</f>
        <v>50435.5</v>
      </c>
      <c r="K117" s="27" t="str">
        <f>VLOOKUP($F117,mapping!$L$2:$P$92,4,0)</f>
        <v>Major Advanced Economies (G7)</v>
      </c>
      <c r="L117" s="29">
        <f>$D117*VLOOKUP($E117,'Charts data'!$A$2:$B$11,2,0)*VLOOKUP($G117,'Charts data'!$A$14:$B$18,2,0)/IF('Charts data'!$E$3=1,I117,1)/IF('Charts data'!$E$4=1,J117,1)</f>
        <v>54084.883766667976</v>
      </c>
    </row>
    <row r="118" spans="1:12" x14ac:dyDescent="0.25">
      <c r="A118" s="27" t="s">
        <v>944</v>
      </c>
      <c r="B118" s="27">
        <v>66000</v>
      </c>
      <c r="C118" s="27" t="s">
        <v>30</v>
      </c>
      <c r="D118" s="28">
        <f>B118*VLOOKUP(C118,tblXrate[],2,0)</f>
        <v>64901.860520001574</v>
      </c>
      <c r="E118" s="27" t="s">
        <v>7</v>
      </c>
      <c r="F118" s="27" t="s">
        <v>31</v>
      </c>
      <c r="G118" s="27" t="s">
        <v>2272</v>
      </c>
      <c r="H118" s="27">
        <v>20</v>
      </c>
      <c r="I118" s="27">
        <f>VLOOKUP(F118,mapping!$L$2:$P$92,2,0)</f>
        <v>1.2105180348503324</v>
      </c>
      <c r="J118" s="27">
        <f>VLOOKUP($F118,mapping!$L$2:$P$92,3,0)</f>
        <v>50435.5</v>
      </c>
      <c r="K118" s="27" t="str">
        <f>VLOOKUP($F118,mapping!$L$2:$P$92,4,0)</f>
        <v>Major Advanced Economies (G7)</v>
      </c>
      <c r="L118" s="29">
        <f>$D118*VLOOKUP($E118,'Charts data'!$A$2:$B$11,2,0)*VLOOKUP($G118,'Charts data'!$A$14:$B$18,2,0)/IF('Charts data'!$E$3=1,I118,1)/IF('Charts data'!$E$4=1,J118,1)</f>
        <v>64901.860520001574</v>
      </c>
    </row>
    <row r="119" spans="1:12" x14ac:dyDescent="0.25">
      <c r="A119" s="27" t="s">
        <v>947</v>
      </c>
      <c r="B119" s="27">
        <v>100000</v>
      </c>
      <c r="C119" s="27" t="s">
        <v>30</v>
      </c>
      <c r="D119" s="28">
        <f>B119*VLOOKUP(C119,tblXrate[],2,0)</f>
        <v>98336.152303032693</v>
      </c>
      <c r="E119" s="27" t="s">
        <v>2147</v>
      </c>
      <c r="F119" s="27" t="s">
        <v>31</v>
      </c>
      <c r="G119" s="27" t="s">
        <v>2271</v>
      </c>
      <c r="H119" s="27">
        <v>5</v>
      </c>
      <c r="I119" s="27">
        <f>VLOOKUP(F119,mapping!$L$2:$P$92,2,0)</f>
        <v>1.2105180348503324</v>
      </c>
      <c r="J119" s="27">
        <f>VLOOKUP($F119,mapping!$L$2:$P$92,3,0)</f>
        <v>50435.5</v>
      </c>
      <c r="K119" s="27" t="str">
        <f>VLOOKUP($F119,mapping!$L$2:$P$92,4,0)</f>
        <v>Major Advanced Economies (G7)</v>
      </c>
      <c r="L119" s="29">
        <f>$D119*VLOOKUP($E119,'Charts data'!$A$2:$B$11,2,0)*VLOOKUP($G119,'Charts data'!$A$14:$B$18,2,0)/IF('Charts data'!$E$3=1,I119,1)/IF('Charts data'!$E$4=1,J119,1)</f>
        <v>98336.152303032693</v>
      </c>
    </row>
    <row r="120" spans="1:12" x14ac:dyDescent="0.25">
      <c r="A120" s="27" t="s">
        <v>1004</v>
      </c>
      <c r="B120" s="27">
        <v>100000</v>
      </c>
      <c r="C120" s="27" t="s">
        <v>30</v>
      </c>
      <c r="D120" s="28">
        <f>B120*VLOOKUP(C120,tblXrate[],2,0)</f>
        <v>98336.152303032693</v>
      </c>
      <c r="E120" s="27" t="s">
        <v>19</v>
      </c>
      <c r="F120" s="27" t="s">
        <v>31</v>
      </c>
      <c r="G120" s="27" t="s">
        <v>2272</v>
      </c>
      <c r="H120" s="27">
        <v>10</v>
      </c>
      <c r="I120" s="27">
        <f>VLOOKUP(F120,mapping!$L$2:$P$92,2,0)</f>
        <v>1.2105180348503324</v>
      </c>
      <c r="J120" s="27">
        <f>VLOOKUP($F120,mapping!$L$2:$P$92,3,0)</f>
        <v>50435.5</v>
      </c>
      <c r="K120" s="27" t="str">
        <f>VLOOKUP($F120,mapping!$L$2:$P$92,4,0)</f>
        <v>Major Advanced Economies (G7)</v>
      </c>
      <c r="L120" s="29">
        <f>$D120*VLOOKUP($E120,'Charts data'!$A$2:$B$11,2,0)*VLOOKUP($G120,'Charts data'!$A$14:$B$18,2,0)/IF('Charts data'!$E$3=1,I120,1)/IF('Charts data'!$E$4=1,J120,1)</f>
        <v>98336.152303032693</v>
      </c>
    </row>
    <row r="121" spans="1:12" x14ac:dyDescent="0.25">
      <c r="A121" s="27" t="s">
        <v>1140</v>
      </c>
      <c r="B121" s="27">
        <v>35000</v>
      </c>
      <c r="C121" s="27" t="s">
        <v>30</v>
      </c>
      <c r="D121" s="28">
        <f>B121*VLOOKUP(C121,tblXrate[],2,0)</f>
        <v>34417.653306061438</v>
      </c>
      <c r="E121" s="27" t="s">
        <v>7</v>
      </c>
      <c r="F121" s="27" t="s">
        <v>31</v>
      </c>
      <c r="G121" s="27" t="s">
        <v>2273</v>
      </c>
      <c r="H121" s="27">
        <v>4</v>
      </c>
      <c r="I121" s="27">
        <f>VLOOKUP(F121,mapping!$L$2:$P$92,2,0)</f>
        <v>1.2105180348503324</v>
      </c>
      <c r="J121" s="27">
        <f>VLOOKUP($F121,mapping!$L$2:$P$92,3,0)</f>
        <v>50435.5</v>
      </c>
      <c r="K121" s="27" t="str">
        <f>VLOOKUP($F121,mapping!$L$2:$P$92,4,0)</f>
        <v>Major Advanced Economies (G7)</v>
      </c>
      <c r="L121" s="29">
        <f>$D121*VLOOKUP($E121,'Charts data'!$A$2:$B$11,2,0)*VLOOKUP($G121,'Charts data'!$A$14:$B$18,2,0)/IF('Charts data'!$E$3=1,I121,1)/IF('Charts data'!$E$4=1,J121,1)</f>
        <v>34417.653306061438</v>
      </c>
    </row>
    <row r="122" spans="1:12" x14ac:dyDescent="0.25">
      <c r="A122" s="27" t="s">
        <v>1304</v>
      </c>
      <c r="B122" s="27">
        <v>65000</v>
      </c>
      <c r="C122" s="27" t="s">
        <v>30</v>
      </c>
      <c r="D122" s="28">
        <f>B122*VLOOKUP(C122,tblXrate[],2,0)</f>
        <v>63918.498996971248</v>
      </c>
      <c r="E122" s="27" t="s">
        <v>7</v>
      </c>
      <c r="F122" s="27" t="s">
        <v>31</v>
      </c>
      <c r="G122" s="27" t="s">
        <v>2271</v>
      </c>
      <c r="H122" s="27">
        <v>20</v>
      </c>
      <c r="I122" s="27">
        <f>VLOOKUP(F122,mapping!$L$2:$P$92,2,0)</f>
        <v>1.2105180348503324</v>
      </c>
      <c r="J122" s="27">
        <f>VLOOKUP($F122,mapping!$L$2:$P$92,3,0)</f>
        <v>50435.5</v>
      </c>
      <c r="K122" s="27" t="str">
        <f>VLOOKUP($F122,mapping!$L$2:$P$92,4,0)</f>
        <v>Major Advanced Economies (G7)</v>
      </c>
      <c r="L122" s="29">
        <f>$D122*VLOOKUP($E122,'Charts data'!$A$2:$B$11,2,0)*VLOOKUP($G122,'Charts data'!$A$14:$B$18,2,0)/IF('Charts data'!$E$3=1,I122,1)/IF('Charts data'!$E$4=1,J122,1)</f>
        <v>63918.498996971248</v>
      </c>
    </row>
    <row r="123" spans="1:12" x14ac:dyDescent="0.25">
      <c r="A123" s="27" t="s">
        <v>1314</v>
      </c>
      <c r="B123" s="27">
        <v>53000</v>
      </c>
      <c r="C123" s="27" t="s">
        <v>30</v>
      </c>
      <c r="D123" s="28">
        <f>B123*VLOOKUP(C123,tblXrate[],2,0)</f>
        <v>52118.160720607324</v>
      </c>
      <c r="E123" s="27" t="s">
        <v>7</v>
      </c>
      <c r="F123" s="27" t="s">
        <v>31</v>
      </c>
      <c r="G123" s="27" t="s">
        <v>2271</v>
      </c>
      <c r="H123" s="27">
        <v>6</v>
      </c>
      <c r="I123" s="27">
        <f>VLOOKUP(F123,mapping!$L$2:$P$92,2,0)</f>
        <v>1.2105180348503324</v>
      </c>
      <c r="J123" s="27">
        <f>VLOOKUP($F123,mapping!$L$2:$P$92,3,0)</f>
        <v>50435.5</v>
      </c>
      <c r="K123" s="27" t="str">
        <f>VLOOKUP($F123,mapping!$L$2:$P$92,4,0)</f>
        <v>Major Advanced Economies (G7)</v>
      </c>
      <c r="L123" s="29">
        <f>$D123*VLOOKUP($E123,'Charts data'!$A$2:$B$11,2,0)*VLOOKUP($G123,'Charts data'!$A$14:$B$18,2,0)/IF('Charts data'!$E$3=1,I123,1)/IF('Charts data'!$E$4=1,J123,1)</f>
        <v>52118.160720607324</v>
      </c>
    </row>
    <row r="124" spans="1:12" x14ac:dyDescent="0.25">
      <c r="A124" s="27" t="s">
        <v>1395</v>
      </c>
      <c r="B124" s="27">
        <v>65000</v>
      </c>
      <c r="C124" s="27" t="s">
        <v>30</v>
      </c>
      <c r="D124" s="28">
        <f>B124*VLOOKUP(C124,tblXrate[],2,0)</f>
        <v>63918.498996971248</v>
      </c>
      <c r="E124" s="27" t="s">
        <v>19</v>
      </c>
      <c r="F124" s="27" t="s">
        <v>31</v>
      </c>
      <c r="G124" s="27" t="s">
        <v>2272</v>
      </c>
      <c r="H124" s="27">
        <v>15</v>
      </c>
      <c r="I124" s="27">
        <f>VLOOKUP(F124,mapping!$L$2:$P$92,2,0)</f>
        <v>1.2105180348503324</v>
      </c>
      <c r="J124" s="27">
        <f>VLOOKUP($F124,mapping!$L$2:$P$92,3,0)</f>
        <v>50435.5</v>
      </c>
      <c r="K124" s="27" t="str">
        <f>VLOOKUP($F124,mapping!$L$2:$P$92,4,0)</f>
        <v>Major Advanced Economies (G7)</v>
      </c>
      <c r="L124" s="29">
        <f>$D124*VLOOKUP($E124,'Charts data'!$A$2:$B$11,2,0)*VLOOKUP($G124,'Charts data'!$A$14:$B$18,2,0)/IF('Charts data'!$E$3=1,I124,1)/IF('Charts data'!$E$4=1,J124,1)</f>
        <v>63918.498996971248</v>
      </c>
    </row>
    <row r="125" spans="1:12" x14ac:dyDescent="0.25">
      <c r="A125" s="27" t="s">
        <v>1656</v>
      </c>
      <c r="B125" s="27">
        <v>50000</v>
      </c>
      <c r="C125" s="27" t="s">
        <v>30</v>
      </c>
      <c r="D125" s="28">
        <f>B125*VLOOKUP(C125,tblXrate[],2,0)</f>
        <v>49168.076151516347</v>
      </c>
      <c r="E125" s="27" t="s">
        <v>7</v>
      </c>
      <c r="F125" s="27" t="s">
        <v>31</v>
      </c>
      <c r="G125" s="27" t="s">
        <v>2271</v>
      </c>
      <c r="H125" s="27">
        <v>3</v>
      </c>
      <c r="I125" s="27">
        <f>VLOOKUP(F125,mapping!$L$2:$P$92,2,0)</f>
        <v>1.2105180348503324</v>
      </c>
      <c r="J125" s="27">
        <f>VLOOKUP($F125,mapping!$L$2:$P$92,3,0)</f>
        <v>50435.5</v>
      </c>
      <c r="K125" s="27" t="str">
        <f>VLOOKUP($F125,mapping!$L$2:$P$92,4,0)</f>
        <v>Major Advanced Economies (G7)</v>
      </c>
      <c r="L125" s="29">
        <f>$D125*VLOOKUP($E125,'Charts data'!$A$2:$B$11,2,0)*VLOOKUP($G125,'Charts data'!$A$14:$B$18,2,0)/IF('Charts data'!$E$3=1,I125,1)/IF('Charts data'!$E$4=1,J125,1)</f>
        <v>49168.076151516347</v>
      </c>
    </row>
    <row r="126" spans="1:12" x14ac:dyDescent="0.25">
      <c r="A126" s="27" t="s">
        <v>1683</v>
      </c>
      <c r="B126" s="27">
        <v>74000</v>
      </c>
      <c r="C126" s="27" t="s">
        <v>30</v>
      </c>
      <c r="D126" s="28">
        <f>B126*VLOOKUP(C126,tblXrate[],2,0)</f>
        <v>72768.752704244194</v>
      </c>
      <c r="E126" s="27" t="s">
        <v>7</v>
      </c>
      <c r="F126" s="27" t="s">
        <v>31</v>
      </c>
      <c r="G126" s="27" t="s">
        <v>2271</v>
      </c>
      <c r="H126" s="27">
        <v>10</v>
      </c>
      <c r="I126" s="27">
        <f>VLOOKUP(F126,mapping!$L$2:$P$92,2,0)</f>
        <v>1.2105180348503324</v>
      </c>
      <c r="J126" s="27">
        <f>VLOOKUP($F126,mapping!$L$2:$P$92,3,0)</f>
        <v>50435.5</v>
      </c>
      <c r="K126" s="27" t="str">
        <f>VLOOKUP($F126,mapping!$L$2:$P$92,4,0)</f>
        <v>Major Advanced Economies (G7)</v>
      </c>
      <c r="L126" s="29">
        <f>$D126*VLOOKUP($E126,'Charts data'!$A$2:$B$11,2,0)*VLOOKUP($G126,'Charts data'!$A$14:$B$18,2,0)/IF('Charts data'!$E$3=1,I126,1)/IF('Charts data'!$E$4=1,J126,1)</f>
        <v>72768.752704244194</v>
      </c>
    </row>
    <row r="127" spans="1:12" x14ac:dyDescent="0.25">
      <c r="A127" s="27" t="s">
        <v>1705</v>
      </c>
      <c r="B127" s="27">
        <v>80000</v>
      </c>
      <c r="C127" s="27" t="s">
        <v>30</v>
      </c>
      <c r="D127" s="28">
        <f>B127*VLOOKUP(C127,tblXrate[],2,0)</f>
        <v>78668.921842426149</v>
      </c>
      <c r="E127" s="27" t="s">
        <v>7</v>
      </c>
      <c r="F127" s="27" t="s">
        <v>31</v>
      </c>
      <c r="G127" s="27" t="s">
        <v>2271</v>
      </c>
      <c r="H127" s="27">
        <v>7</v>
      </c>
      <c r="I127" s="27">
        <f>VLOOKUP(F127,mapping!$L$2:$P$92,2,0)</f>
        <v>1.2105180348503324</v>
      </c>
      <c r="J127" s="27">
        <f>VLOOKUP($F127,mapping!$L$2:$P$92,3,0)</f>
        <v>50435.5</v>
      </c>
      <c r="K127" s="27" t="str">
        <f>VLOOKUP($F127,mapping!$L$2:$P$92,4,0)</f>
        <v>Major Advanced Economies (G7)</v>
      </c>
      <c r="L127" s="29">
        <f>$D127*VLOOKUP($E127,'Charts data'!$A$2:$B$11,2,0)*VLOOKUP($G127,'Charts data'!$A$14:$B$18,2,0)/IF('Charts data'!$E$3=1,I127,1)/IF('Charts data'!$E$4=1,J127,1)</f>
        <v>78668.921842426149</v>
      </c>
    </row>
    <row r="128" spans="1:12" x14ac:dyDescent="0.25">
      <c r="A128" s="27" t="s">
        <v>1765</v>
      </c>
      <c r="B128" s="27">
        <v>50000</v>
      </c>
      <c r="C128" s="27" t="s">
        <v>30</v>
      </c>
      <c r="D128" s="28">
        <f>B128*VLOOKUP(C128,tblXrate[],2,0)</f>
        <v>49168.076151516347</v>
      </c>
      <c r="E128" s="27" t="s">
        <v>7</v>
      </c>
      <c r="F128" s="27" t="s">
        <v>31</v>
      </c>
      <c r="G128" s="27" t="s">
        <v>2271</v>
      </c>
      <c r="H128" s="27">
        <v>5</v>
      </c>
      <c r="I128" s="27">
        <f>VLOOKUP(F128,mapping!$L$2:$P$92,2,0)</f>
        <v>1.2105180348503324</v>
      </c>
      <c r="J128" s="27">
        <f>VLOOKUP($F128,mapping!$L$2:$P$92,3,0)</f>
        <v>50435.5</v>
      </c>
      <c r="K128" s="27" t="str">
        <f>VLOOKUP($F128,mapping!$L$2:$P$92,4,0)</f>
        <v>Major Advanced Economies (G7)</v>
      </c>
      <c r="L128" s="29">
        <f>$D128*VLOOKUP($E128,'Charts data'!$A$2:$B$11,2,0)*VLOOKUP($G128,'Charts data'!$A$14:$B$18,2,0)/IF('Charts data'!$E$3=1,I128,1)/IF('Charts data'!$E$4=1,J128,1)</f>
        <v>49168.076151516347</v>
      </c>
    </row>
    <row r="129" spans="1:12" x14ac:dyDescent="0.25">
      <c r="A129" s="27" t="s">
        <v>1787</v>
      </c>
      <c r="B129" s="27">
        <v>56000</v>
      </c>
      <c r="C129" s="27" t="s">
        <v>30</v>
      </c>
      <c r="D129" s="28">
        <f>B129*VLOOKUP(C129,tblXrate[],2,0)</f>
        <v>55068.245289698301</v>
      </c>
      <c r="E129" s="27" t="s">
        <v>53</v>
      </c>
      <c r="F129" s="27" t="s">
        <v>31</v>
      </c>
      <c r="G129" s="27" t="s">
        <v>2273</v>
      </c>
      <c r="H129" s="27">
        <v>1</v>
      </c>
      <c r="I129" s="27">
        <f>VLOOKUP(F129,mapping!$L$2:$P$92,2,0)</f>
        <v>1.2105180348503324</v>
      </c>
      <c r="J129" s="27">
        <f>VLOOKUP($F129,mapping!$L$2:$P$92,3,0)</f>
        <v>50435.5</v>
      </c>
      <c r="K129" s="27" t="str">
        <f>VLOOKUP($F129,mapping!$L$2:$P$92,4,0)</f>
        <v>Major Advanced Economies (G7)</v>
      </c>
      <c r="L129" s="29">
        <f>$D129*VLOOKUP($E129,'Charts data'!$A$2:$B$11,2,0)*VLOOKUP($G129,'Charts data'!$A$14:$B$18,2,0)/IF('Charts data'!$E$3=1,I129,1)/IF('Charts data'!$E$4=1,J129,1)</f>
        <v>55068.245289698301</v>
      </c>
    </row>
    <row r="130" spans="1:12" x14ac:dyDescent="0.25">
      <c r="A130" s="27" t="s">
        <v>1832</v>
      </c>
      <c r="B130" s="27">
        <v>36000</v>
      </c>
      <c r="C130" s="27" t="s">
        <v>30</v>
      </c>
      <c r="D130" s="28">
        <f>B130*VLOOKUP(C130,tblXrate[],2,0)</f>
        <v>35401.014829091764</v>
      </c>
      <c r="E130" s="27" t="s">
        <v>7</v>
      </c>
      <c r="F130" s="27" t="s">
        <v>31</v>
      </c>
      <c r="G130" s="27" t="s">
        <v>2273</v>
      </c>
      <c r="H130" s="27">
        <v>2</v>
      </c>
      <c r="I130" s="27">
        <f>VLOOKUP(F130,mapping!$L$2:$P$92,2,0)</f>
        <v>1.2105180348503324</v>
      </c>
      <c r="J130" s="27">
        <f>VLOOKUP($F130,mapping!$L$2:$P$92,3,0)</f>
        <v>50435.5</v>
      </c>
      <c r="K130" s="27" t="str">
        <f>VLOOKUP($F130,mapping!$L$2:$P$92,4,0)</f>
        <v>Major Advanced Economies (G7)</v>
      </c>
      <c r="L130" s="29">
        <f>$D130*VLOOKUP($E130,'Charts data'!$A$2:$B$11,2,0)*VLOOKUP($G130,'Charts data'!$A$14:$B$18,2,0)/IF('Charts data'!$E$3=1,I130,1)/IF('Charts data'!$E$4=1,J130,1)</f>
        <v>35401.014829091764</v>
      </c>
    </row>
    <row r="131" spans="1:12" x14ac:dyDescent="0.25">
      <c r="A131" s="27" t="s">
        <v>1846</v>
      </c>
      <c r="B131" s="27">
        <v>134000</v>
      </c>
      <c r="C131" s="27" t="s">
        <v>30</v>
      </c>
      <c r="D131" s="28">
        <f>B131*VLOOKUP(C131,tblXrate[],2,0)</f>
        <v>131770.4440860638</v>
      </c>
      <c r="E131" s="27" t="s">
        <v>51</v>
      </c>
      <c r="F131" s="27" t="s">
        <v>31</v>
      </c>
      <c r="G131" s="27" t="s">
        <v>2273</v>
      </c>
      <c r="H131" s="27">
        <v>20</v>
      </c>
      <c r="I131" s="27">
        <f>VLOOKUP(F131,mapping!$L$2:$P$92,2,0)</f>
        <v>1.2105180348503324</v>
      </c>
      <c r="J131" s="27">
        <f>VLOOKUP($F131,mapping!$L$2:$P$92,3,0)</f>
        <v>50435.5</v>
      </c>
      <c r="K131" s="27" t="str">
        <f>VLOOKUP($F131,mapping!$L$2:$P$92,4,0)</f>
        <v>Major Advanced Economies (G7)</v>
      </c>
      <c r="L131" s="29">
        <f>$D131*VLOOKUP($E131,'Charts data'!$A$2:$B$11,2,0)*VLOOKUP($G131,'Charts data'!$A$14:$B$18,2,0)/IF('Charts data'!$E$3=1,I131,1)/IF('Charts data'!$E$4=1,J131,1)</f>
        <v>131770.4440860638</v>
      </c>
    </row>
    <row r="132" spans="1:12" x14ac:dyDescent="0.25">
      <c r="A132" s="27" t="s">
        <v>1847</v>
      </c>
      <c r="B132" s="27">
        <v>70000</v>
      </c>
      <c r="C132" s="27" t="s">
        <v>30</v>
      </c>
      <c r="D132" s="28">
        <f>B132*VLOOKUP(C132,tblXrate[],2,0)</f>
        <v>68835.306612122877</v>
      </c>
      <c r="E132" s="27" t="s">
        <v>7</v>
      </c>
      <c r="F132" s="27" t="s">
        <v>31</v>
      </c>
      <c r="G132" s="27" t="s">
        <v>2273</v>
      </c>
      <c r="H132" s="27">
        <v>2</v>
      </c>
      <c r="I132" s="27">
        <f>VLOOKUP(F132,mapping!$L$2:$P$92,2,0)</f>
        <v>1.2105180348503324</v>
      </c>
      <c r="J132" s="27">
        <f>VLOOKUP($F132,mapping!$L$2:$P$92,3,0)</f>
        <v>50435.5</v>
      </c>
      <c r="K132" s="27" t="str">
        <f>VLOOKUP($F132,mapping!$L$2:$P$92,4,0)</f>
        <v>Major Advanced Economies (G7)</v>
      </c>
      <c r="L132" s="29">
        <f>$D132*VLOOKUP($E132,'Charts data'!$A$2:$B$11,2,0)*VLOOKUP($G132,'Charts data'!$A$14:$B$18,2,0)/IF('Charts data'!$E$3=1,I132,1)/IF('Charts data'!$E$4=1,J132,1)</f>
        <v>68835.306612122877</v>
      </c>
    </row>
    <row r="133" spans="1:12" x14ac:dyDescent="0.25">
      <c r="A133" s="27" t="s">
        <v>1916</v>
      </c>
      <c r="B133" s="27">
        <v>40000</v>
      </c>
      <c r="C133" s="27" t="s">
        <v>30</v>
      </c>
      <c r="D133" s="28">
        <f>B133*VLOOKUP(C133,tblXrate[],2,0)</f>
        <v>39334.460921213074</v>
      </c>
      <c r="E133" s="27" t="s">
        <v>7</v>
      </c>
      <c r="F133" s="27" t="s">
        <v>31</v>
      </c>
      <c r="G133" s="27" t="s">
        <v>2274</v>
      </c>
      <c r="H133" s="27">
        <v>1</v>
      </c>
      <c r="I133" s="27">
        <f>VLOOKUP(F133,mapping!$L$2:$P$92,2,0)</f>
        <v>1.2105180348503324</v>
      </c>
      <c r="J133" s="27">
        <f>VLOOKUP($F133,mapping!$L$2:$P$92,3,0)</f>
        <v>50435.5</v>
      </c>
      <c r="K133" s="27" t="str">
        <f>VLOOKUP($F133,mapping!$L$2:$P$92,4,0)</f>
        <v>Major Advanced Economies (G7)</v>
      </c>
      <c r="L133" s="29">
        <f>$D133*VLOOKUP($E133,'Charts data'!$A$2:$B$11,2,0)*VLOOKUP($G133,'Charts data'!$A$14:$B$18,2,0)/IF('Charts data'!$E$3=1,I133,1)/IF('Charts data'!$E$4=1,J133,1)</f>
        <v>39334.460921213074</v>
      </c>
    </row>
    <row r="134" spans="1:12" x14ac:dyDescent="0.25">
      <c r="A134" s="27" t="s">
        <v>1921</v>
      </c>
      <c r="B134" s="27">
        <v>78000</v>
      </c>
      <c r="C134" s="27" t="s">
        <v>30</v>
      </c>
      <c r="D134" s="28">
        <f>B134*VLOOKUP(C134,tblXrate[],2,0)</f>
        <v>76702.198796365497</v>
      </c>
      <c r="E134" s="27" t="s">
        <v>7</v>
      </c>
      <c r="F134" s="27" t="s">
        <v>31</v>
      </c>
      <c r="G134" s="27" t="s">
        <v>2273</v>
      </c>
      <c r="H134" s="27">
        <v>4</v>
      </c>
      <c r="I134" s="27">
        <f>VLOOKUP(F134,mapping!$L$2:$P$92,2,0)</f>
        <v>1.2105180348503324</v>
      </c>
      <c r="J134" s="27">
        <f>VLOOKUP($F134,mapping!$L$2:$P$92,3,0)</f>
        <v>50435.5</v>
      </c>
      <c r="K134" s="27" t="str">
        <f>VLOOKUP($F134,mapping!$L$2:$P$92,4,0)</f>
        <v>Major Advanced Economies (G7)</v>
      </c>
      <c r="L134" s="29">
        <f>$D134*VLOOKUP($E134,'Charts data'!$A$2:$B$11,2,0)*VLOOKUP($G134,'Charts data'!$A$14:$B$18,2,0)/IF('Charts data'!$E$3=1,I134,1)/IF('Charts data'!$E$4=1,J134,1)</f>
        <v>76702.198796365497</v>
      </c>
    </row>
    <row r="135" spans="1:12" x14ac:dyDescent="0.25">
      <c r="A135" s="27" t="s">
        <v>1880</v>
      </c>
      <c r="B135" s="27">
        <v>140000</v>
      </c>
      <c r="C135" s="27" t="s">
        <v>166</v>
      </c>
      <c r="D135" s="28">
        <f>B135*VLOOKUP(C135,tblXrate[],2,0)</f>
        <v>148102.22862117883</v>
      </c>
      <c r="E135" s="27" t="s">
        <v>19</v>
      </c>
      <c r="F135" s="27" t="s">
        <v>17</v>
      </c>
      <c r="G135" s="27" t="s">
        <v>2272</v>
      </c>
      <c r="H135" s="27">
        <v>6</v>
      </c>
      <c r="I135" s="27">
        <f>VLOOKUP(F135,mapping!$L$2:$P$92,2,0)</f>
        <v>1.7581850283457086</v>
      </c>
      <c r="J135" s="27">
        <f>VLOOKUP($F135,mapping!$L$2:$P$92,3,0)</f>
        <v>81160.62</v>
      </c>
      <c r="K135" s="27" t="str">
        <f>VLOOKUP($F135,mapping!$L$2:$P$92,4,0)</f>
        <v>Other Advanced Economies</v>
      </c>
      <c r="L135" s="29">
        <f>$D135*VLOOKUP($E135,'Charts data'!$A$2:$B$11,2,0)*VLOOKUP($G135,'Charts data'!$A$14:$B$18,2,0)/IF('Charts data'!$E$3=1,I135,1)/IF('Charts data'!$E$4=1,J135,1)</f>
        <v>148102.22862117883</v>
      </c>
    </row>
    <row r="136" spans="1:12" x14ac:dyDescent="0.25">
      <c r="A136" s="27" t="s">
        <v>750</v>
      </c>
      <c r="B136" s="27">
        <v>96000</v>
      </c>
      <c r="C136" s="27" t="s">
        <v>2059</v>
      </c>
      <c r="D136" s="28">
        <f>B136*VLOOKUP(C136,tblXrate[],2,0)</f>
        <v>15092.18020692008</v>
      </c>
      <c r="E136" s="27" t="s">
        <v>51</v>
      </c>
      <c r="F136" s="27" t="s">
        <v>86</v>
      </c>
      <c r="G136" s="27" t="s">
        <v>2271</v>
      </c>
      <c r="H136" s="27">
        <v>10</v>
      </c>
      <c r="I136" s="27">
        <f>VLOOKUP(F136,mapping!$L$2:$P$92,2,0)</f>
        <v>0.65603820836955729</v>
      </c>
      <c r="J136" s="27">
        <f>VLOOKUP($F136,mapping!$L$2:$P$92,3,0)</f>
        <v>5413.57</v>
      </c>
      <c r="K136" s="27" t="str">
        <f>VLOOKUP($F136,mapping!$L$2:$P$92,4,0)</f>
        <v>Developing Asia</v>
      </c>
      <c r="L136" s="29">
        <f>$D136*VLOOKUP($E136,'Charts data'!$A$2:$B$11,2,0)*VLOOKUP($G136,'Charts data'!$A$14:$B$18,2,0)/IF('Charts data'!$E$3=1,I136,1)/IF('Charts data'!$E$4=1,J136,1)</f>
        <v>15092.18020692008</v>
      </c>
    </row>
    <row r="137" spans="1:12" x14ac:dyDescent="0.25">
      <c r="A137" s="27" t="s">
        <v>576</v>
      </c>
      <c r="B137" s="27">
        <v>14000000</v>
      </c>
      <c r="C137" s="27" t="s">
        <v>64</v>
      </c>
      <c r="D137" s="28">
        <f>B137*VLOOKUP(C137,tblXrate[],2,0)</f>
        <v>28109.627547434993</v>
      </c>
      <c r="E137" s="27" t="s">
        <v>7</v>
      </c>
      <c r="F137" s="27" t="s">
        <v>65</v>
      </c>
      <c r="G137" s="27" t="s">
        <v>2273</v>
      </c>
      <c r="H137" s="27"/>
      <c r="I137" s="27">
        <f>VLOOKUP(F137,mapping!$L$2:$P$92,2,0)</f>
        <v>0.75669310310209814</v>
      </c>
      <c r="J137" s="27">
        <f>VLOOKUP($F137,mapping!$L$2:$P$92,3,0)</f>
        <v>8876.59</v>
      </c>
      <c r="K137" s="27" t="str">
        <f>VLOOKUP($F137,mapping!$L$2:$P$92,4,0)</f>
        <v>Latin America and the Caribbean</v>
      </c>
      <c r="L137" s="29">
        <f>$D137*VLOOKUP($E137,'Charts data'!$A$2:$B$11,2,0)*VLOOKUP($G137,'Charts data'!$A$14:$B$18,2,0)/IF('Charts data'!$E$3=1,I137,1)/IF('Charts data'!$E$4=1,J137,1)</f>
        <v>28109.627547434993</v>
      </c>
    </row>
    <row r="138" spans="1:12" x14ac:dyDescent="0.25">
      <c r="A138" s="27" t="s">
        <v>1350</v>
      </c>
      <c r="B138" s="27">
        <v>625000</v>
      </c>
      <c r="C138" s="27" t="s">
        <v>132</v>
      </c>
      <c r="D138" s="28">
        <f>B138*VLOOKUP(C138,tblXrate[],2,0)</f>
        <v>106815.148267971</v>
      </c>
      <c r="E138" s="27" t="s">
        <v>19</v>
      </c>
      <c r="F138" s="27" t="s">
        <v>97</v>
      </c>
      <c r="G138" s="27" t="s">
        <v>2271</v>
      </c>
      <c r="H138" s="27">
        <v>25</v>
      </c>
      <c r="I138" s="27">
        <f>VLOOKUP(F138,mapping!$L$2:$P$92,2,0)</f>
        <v>1.4800306944010062</v>
      </c>
      <c r="J138" s="27">
        <f>VLOOKUP($F138,mapping!$L$2:$P$92,3,0)</f>
        <v>59928.1</v>
      </c>
      <c r="K138" s="27" t="str">
        <f>VLOOKUP($F138,mapping!$L$2:$P$92,4,0)</f>
        <v>Other Advanced Economies</v>
      </c>
      <c r="L138" s="29">
        <f>$D138*VLOOKUP($E138,'Charts data'!$A$2:$B$11,2,0)*VLOOKUP($G138,'Charts data'!$A$14:$B$18,2,0)/IF('Charts data'!$E$3=1,I138,1)/IF('Charts data'!$E$4=1,J138,1)</f>
        <v>106815.148267971</v>
      </c>
    </row>
    <row r="139" spans="1:12" x14ac:dyDescent="0.25">
      <c r="A139" s="27" t="s">
        <v>1383</v>
      </c>
      <c r="B139" s="27">
        <v>450000</v>
      </c>
      <c r="C139" s="27" t="s">
        <v>132</v>
      </c>
      <c r="D139" s="28">
        <f>B139*VLOOKUP(C139,tblXrate[],2,0)</f>
        <v>76906.906752939132</v>
      </c>
      <c r="E139" s="27" t="s">
        <v>2147</v>
      </c>
      <c r="F139" s="27" t="s">
        <v>97</v>
      </c>
      <c r="G139" s="27" t="s">
        <v>2273</v>
      </c>
      <c r="H139" s="27">
        <v>17</v>
      </c>
      <c r="I139" s="27">
        <f>VLOOKUP(F139,mapping!$L$2:$P$92,2,0)</f>
        <v>1.4800306944010062</v>
      </c>
      <c r="J139" s="27">
        <f>VLOOKUP($F139,mapping!$L$2:$P$92,3,0)</f>
        <v>59928.1</v>
      </c>
      <c r="K139" s="27" t="str">
        <f>VLOOKUP($F139,mapping!$L$2:$P$92,4,0)</f>
        <v>Other Advanced Economies</v>
      </c>
      <c r="L139" s="29">
        <f>$D139*VLOOKUP($E139,'Charts data'!$A$2:$B$11,2,0)*VLOOKUP($G139,'Charts data'!$A$14:$B$18,2,0)/IF('Charts data'!$E$3=1,I139,1)/IF('Charts data'!$E$4=1,J139,1)</f>
        <v>76906.906752939132</v>
      </c>
    </row>
    <row r="140" spans="1:12" x14ac:dyDescent="0.25">
      <c r="A140" s="27" t="s">
        <v>1759</v>
      </c>
      <c r="B140" s="27">
        <v>485000</v>
      </c>
      <c r="C140" s="27" t="s">
        <v>132</v>
      </c>
      <c r="D140" s="28">
        <f>B140*VLOOKUP(C140,tblXrate[],2,0)</f>
        <v>82888.5550559455</v>
      </c>
      <c r="E140" s="27" t="s">
        <v>62</v>
      </c>
      <c r="F140" s="27" t="s">
        <v>97</v>
      </c>
      <c r="G140" s="27" t="s">
        <v>2271</v>
      </c>
      <c r="H140" s="27">
        <v>18</v>
      </c>
      <c r="I140" s="27">
        <f>VLOOKUP(F140,mapping!$L$2:$P$92,2,0)</f>
        <v>1.4800306944010062</v>
      </c>
      <c r="J140" s="27">
        <f>VLOOKUP($F140,mapping!$L$2:$P$92,3,0)</f>
        <v>59928.1</v>
      </c>
      <c r="K140" s="27" t="str">
        <f>VLOOKUP($F140,mapping!$L$2:$P$92,4,0)</f>
        <v>Other Advanced Economies</v>
      </c>
      <c r="L140" s="29">
        <f>$D140*VLOOKUP($E140,'Charts data'!$A$2:$B$11,2,0)*VLOOKUP($G140,'Charts data'!$A$14:$B$18,2,0)/IF('Charts data'!$E$3=1,I140,1)/IF('Charts data'!$E$4=1,J140,1)</f>
        <v>82888.5550559455</v>
      </c>
    </row>
    <row r="141" spans="1:12" x14ac:dyDescent="0.25">
      <c r="A141" s="27" t="s">
        <v>2002</v>
      </c>
      <c r="B141" s="27">
        <v>600000</v>
      </c>
      <c r="C141" s="27" t="s">
        <v>132</v>
      </c>
      <c r="D141" s="28">
        <f>B141*VLOOKUP(C141,tblXrate[],2,0)</f>
        <v>102542.54233725216</v>
      </c>
      <c r="E141" s="27" t="s">
        <v>48</v>
      </c>
      <c r="F141" s="27" t="s">
        <v>97</v>
      </c>
      <c r="G141" s="27" t="s">
        <v>2272</v>
      </c>
      <c r="H141" s="27">
        <v>20</v>
      </c>
      <c r="I141" s="27">
        <f>VLOOKUP(F141,mapping!$L$2:$P$92,2,0)</f>
        <v>1.4800306944010062</v>
      </c>
      <c r="J141" s="27">
        <f>VLOOKUP($F141,mapping!$L$2:$P$92,3,0)</f>
        <v>59928.1</v>
      </c>
      <c r="K141" s="27" t="str">
        <f>VLOOKUP($F141,mapping!$L$2:$P$92,4,0)</f>
        <v>Other Advanced Economies</v>
      </c>
      <c r="L141" s="29">
        <f>$D141*VLOOKUP($E141,'Charts data'!$A$2:$B$11,2,0)*VLOOKUP($G141,'Charts data'!$A$14:$B$18,2,0)/IF('Charts data'!$E$3=1,I141,1)/IF('Charts data'!$E$4=1,J141,1)</f>
        <v>102542.54233725216</v>
      </c>
    </row>
    <row r="142" spans="1:12" x14ac:dyDescent="0.25">
      <c r="A142" s="27" t="s">
        <v>1303</v>
      </c>
      <c r="B142" s="27">
        <v>600000</v>
      </c>
      <c r="C142" s="27" t="s">
        <v>2134</v>
      </c>
      <c r="D142" s="28">
        <f>B142*VLOOKUP(C142,tblXrate[],2,0)</f>
        <v>15404.364569961488</v>
      </c>
      <c r="E142" s="27" t="s">
        <v>7</v>
      </c>
      <c r="F142" s="27" t="s">
        <v>68</v>
      </c>
      <c r="G142" s="27" t="s">
        <v>2273</v>
      </c>
      <c r="H142" s="27">
        <v>3</v>
      </c>
      <c r="I142" s="27">
        <f>VLOOKUP(F142,mapping!$L$2:$P$92,2,0)</f>
        <v>0.59255455712451854</v>
      </c>
      <c r="J142" s="27">
        <f>VLOOKUP($F142,mapping!$L$2:$P$92,3,0)</f>
        <v>5638.69</v>
      </c>
      <c r="K142" s="27" t="str">
        <f>VLOOKUP($F142,mapping!$L$2:$P$92,4,0)</f>
        <v>Latin America and the Caribbean</v>
      </c>
      <c r="L142" s="29">
        <f>$D142*VLOOKUP($E142,'Charts data'!$A$2:$B$11,2,0)*VLOOKUP($G142,'Charts data'!$A$14:$B$18,2,0)/IF('Charts data'!$E$3=1,I142,1)/IF('Charts data'!$E$4=1,J142,1)</f>
        <v>15404.364569961488</v>
      </c>
    </row>
    <row r="143" spans="1:12" x14ac:dyDescent="0.25">
      <c r="A143" s="27" t="s">
        <v>894</v>
      </c>
      <c r="B143" s="27">
        <v>120000</v>
      </c>
      <c r="C143" s="27" t="s">
        <v>93</v>
      </c>
      <c r="D143" s="28">
        <f>B143*VLOOKUP(C143,tblXrate[],2,0)</f>
        <v>19831.432821021317</v>
      </c>
      <c r="E143" s="27" t="s">
        <v>7</v>
      </c>
      <c r="F143" s="27" t="s">
        <v>94</v>
      </c>
      <c r="G143" s="27" t="s">
        <v>2273</v>
      </c>
      <c r="H143" s="27">
        <v>5</v>
      </c>
      <c r="I143" s="27">
        <f>VLOOKUP(F143,mapping!$L$2:$P$92,2,0)</f>
        <v>0.43678730788299452</v>
      </c>
      <c r="J143" s="27">
        <f>VLOOKUP($F143,mapping!$L$2:$P$92,3,0)</f>
        <v>2970.4</v>
      </c>
      <c r="K143" s="27" t="str">
        <f>VLOOKUP($F143,mapping!$L$2:$P$92,4,0)</f>
        <v>Middle East and North Africa</v>
      </c>
      <c r="L143" s="29">
        <f>$D143*VLOOKUP($E143,'Charts data'!$A$2:$B$11,2,0)*VLOOKUP($G143,'Charts data'!$A$14:$B$18,2,0)/IF('Charts data'!$E$3=1,I143,1)/IF('Charts data'!$E$4=1,J143,1)</f>
        <v>19831.432821021317</v>
      </c>
    </row>
    <row r="144" spans="1:12" x14ac:dyDescent="0.25">
      <c r="A144" s="27" t="s">
        <v>2016</v>
      </c>
      <c r="B144" s="27">
        <v>52224</v>
      </c>
      <c r="C144" s="27" t="s">
        <v>171</v>
      </c>
      <c r="D144" s="28">
        <f>B144*VLOOKUP(C144,tblXrate[],2,0)</f>
        <v>2953.8461538461538</v>
      </c>
      <c r="E144" s="27" t="s">
        <v>2145</v>
      </c>
      <c r="F144" s="27" t="s">
        <v>172</v>
      </c>
      <c r="G144" s="27" t="s">
        <v>2271</v>
      </c>
      <c r="H144" s="27">
        <v>3</v>
      </c>
      <c r="I144" s="27">
        <f>VLOOKUP(F144,mapping!$L$2:$P$92,2,0)</f>
        <v>0.30033936651583709</v>
      </c>
      <c r="J144" s="27">
        <f>VLOOKUP($F144,mapping!$L$2:$P$92,3,0)</f>
        <v>359.94600000000003</v>
      </c>
      <c r="K144" s="27" t="str">
        <f>VLOOKUP($F144,mapping!$L$2:$P$92,4,0)</f>
        <v>Sub-Saharan Africa</v>
      </c>
      <c r="L144" s="29">
        <f>$D144*VLOOKUP($E144,'Charts data'!$A$2:$B$11,2,0)*VLOOKUP($G144,'Charts data'!$A$14:$B$18,2,0)/IF('Charts data'!$E$3=1,I144,1)/IF('Charts data'!$E$4=1,J144,1)</f>
        <v>2953.8461538461538</v>
      </c>
    </row>
    <row r="145" spans="1:12" x14ac:dyDescent="0.25">
      <c r="A145" s="27" t="s">
        <v>1488</v>
      </c>
      <c r="B145" s="27">
        <v>40000</v>
      </c>
      <c r="C145" s="27" t="s">
        <v>9</v>
      </c>
      <c r="D145" s="28">
        <f>B145*VLOOKUP(C145,tblXrate[],2,0)</f>
        <v>50815.977559664309</v>
      </c>
      <c r="E145" s="27" t="s">
        <v>19</v>
      </c>
      <c r="F145" s="27" t="s">
        <v>144</v>
      </c>
      <c r="G145" s="27" t="s">
        <v>2271</v>
      </c>
      <c r="H145" s="27">
        <v>20</v>
      </c>
      <c r="I145" s="27">
        <f>VLOOKUP(F145,mapping!$L$2:$P$92,2,0)</f>
        <v>1.0874619197768163</v>
      </c>
      <c r="J145" s="27">
        <f>VLOOKUP($F145,mapping!$L$2:$P$92,3,0)</f>
        <v>49809.17</v>
      </c>
      <c r="K145" s="27" t="str">
        <f>VLOOKUP($F145,mapping!$L$2:$P$92,4,0)</f>
        <v>Euro Area</v>
      </c>
      <c r="L145" s="29">
        <f>$D145*VLOOKUP($E145,'Charts data'!$A$2:$B$11,2,0)*VLOOKUP($G145,'Charts data'!$A$14:$B$18,2,0)/IF('Charts data'!$E$3=1,I145,1)/IF('Charts data'!$E$4=1,J145,1)</f>
        <v>50815.977559664309</v>
      </c>
    </row>
    <row r="146" spans="1:12" x14ac:dyDescent="0.25">
      <c r="A146" s="27" t="s">
        <v>201</v>
      </c>
      <c r="B146" s="27">
        <v>32400</v>
      </c>
      <c r="C146" s="27" t="s">
        <v>9</v>
      </c>
      <c r="D146" s="28">
        <f>B146*VLOOKUP(C146,tblXrate[],2,0)</f>
        <v>41160.941823328096</v>
      </c>
      <c r="E146" s="27" t="s">
        <v>19</v>
      </c>
      <c r="F146" s="27" t="s">
        <v>21</v>
      </c>
      <c r="G146" s="27" t="s">
        <v>2271</v>
      </c>
      <c r="H146" s="27"/>
      <c r="I146" s="27">
        <f>VLOOKUP(F146,mapping!$L$2:$P$92,2,0)</f>
        <v>1.1344666990195058</v>
      </c>
      <c r="J146" s="27">
        <f>VLOOKUP($F146,mapping!$L$2:$P$92,3,0)</f>
        <v>46878.36</v>
      </c>
      <c r="K146" s="27" t="str">
        <f>VLOOKUP($F146,mapping!$L$2:$P$92,4,0)</f>
        <v>Euro Area</v>
      </c>
      <c r="L146" s="29">
        <f>$D146*VLOOKUP($E146,'Charts data'!$A$2:$B$11,2,0)*VLOOKUP($G146,'Charts data'!$A$14:$B$18,2,0)/IF('Charts data'!$E$3=1,I146,1)/IF('Charts data'!$E$4=1,J146,1)</f>
        <v>41160.941823328096</v>
      </c>
    </row>
    <row r="147" spans="1:12" x14ac:dyDescent="0.25">
      <c r="A147" s="27" t="s">
        <v>1282</v>
      </c>
      <c r="B147" s="27">
        <v>30000</v>
      </c>
      <c r="C147" s="27" t="s">
        <v>9</v>
      </c>
      <c r="D147" s="28">
        <f>B147*VLOOKUP(C147,tblXrate[],2,0)</f>
        <v>38111.983169748237</v>
      </c>
      <c r="E147" s="27" t="s">
        <v>7</v>
      </c>
      <c r="F147" s="27" t="s">
        <v>21</v>
      </c>
      <c r="G147" s="27" t="s">
        <v>2274</v>
      </c>
      <c r="H147" s="27">
        <v>15</v>
      </c>
      <c r="I147" s="27">
        <f>VLOOKUP(F147,mapping!$L$2:$P$92,2,0)</f>
        <v>1.1344666990195058</v>
      </c>
      <c r="J147" s="27">
        <f>VLOOKUP($F147,mapping!$L$2:$P$92,3,0)</f>
        <v>46878.36</v>
      </c>
      <c r="K147" s="27" t="str">
        <f>VLOOKUP($F147,mapping!$L$2:$P$92,4,0)</f>
        <v>Euro Area</v>
      </c>
      <c r="L147" s="29">
        <f>$D147*VLOOKUP($E147,'Charts data'!$A$2:$B$11,2,0)*VLOOKUP($G147,'Charts data'!$A$14:$B$18,2,0)/IF('Charts data'!$E$3=1,I147,1)/IF('Charts data'!$E$4=1,J147,1)</f>
        <v>38111.983169748237</v>
      </c>
    </row>
    <row r="148" spans="1:12" x14ac:dyDescent="0.25">
      <c r="A148" s="27" t="s">
        <v>1431</v>
      </c>
      <c r="B148" s="27">
        <v>30000</v>
      </c>
      <c r="C148" s="27" t="s">
        <v>9</v>
      </c>
      <c r="D148" s="28">
        <f>B148*VLOOKUP(C148,tblXrate[],2,0)</f>
        <v>38111.983169748237</v>
      </c>
      <c r="E148" s="27" t="s">
        <v>7</v>
      </c>
      <c r="F148" s="27" t="s">
        <v>21</v>
      </c>
      <c r="G148" s="27" t="s">
        <v>2272</v>
      </c>
      <c r="H148" s="27">
        <v>15</v>
      </c>
      <c r="I148" s="27">
        <f>VLOOKUP(F148,mapping!$L$2:$P$92,2,0)</f>
        <v>1.1344666990195058</v>
      </c>
      <c r="J148" s="27">
        <f>VLOOKUP($F148,mapping!$L$2:$P$92,3,0)</f>
        <v>46878.36</v>
      </c>
      <c r="K148" s="27" t="str">
        <f>VLOOKUP($F148,mapping!$L$2:$P$92,4,0)</f>
        <v>Euro Area</v>
      </c>
      <c r="L148" s="29">
        <f>$D148*VLOOKUP($E148,'Charts data'!$A$2:$B$11,2,0)*VLOOKUP($G148,'Charts data'!$A$14:$B$18,2,0)/IF('Charts data'!$E$3=1,I148,1)/IF('Charts data'!$E$4=1,J148,1)</f>
        <v>38111.983169748237</v>
      </c>
    </row>
    <row r="149" spans="1:12" x14ac:dyDescent="0.25">
      <c r="A149" s="27" t="s">
        <v>1822</v>
      </c>
      <c r="B149" s="27">
        <v>38920</v>
      </c>
      <c r="C149" s="27" t="s">
        <v>9</v>
      </c>
      <c r="D149" s="28">
        <f>B149*VLOOKUP(C149,tblXrate[],2,0)</f>
        <v>49443.946165553374</v>
      </c>
      <c r="E149" s="27" t="s">
        <v>7</v>
      </c>
      <c r="F149" s="27" t="s">
        <v>21</v>
      </c>
      <c r="G149" s="27" t="s">
        <v>2271</v>
      </c>
      <c r="H149" s="27">
        <v>1.5</v>
      </c>
      <c r="I149" s="27">
        <f>VLOOKUP(F149,mapping!$L$2:$P$92,2,0)</f>
        <v>1.1344666990195058</v>
      </c>
      <c r="J149" s="27">
        <f>VLOOKUP($F149,mapping!$L$2:$P$92,3,0)</f>
        <v>46878.36</v>
      </c>
      <c r="K149" s="27" t="str">
        <f>VLOOKUP($F149,mapping!$L$2:$P$92,4,0)</f>
        <v>Euro Area</v>
      </c>
      <c r="L149" s="29">
        <f>$D149*VLOOKUP($E149,'Charts data'!$A$2:$B$11,2,0)*VLOOKUP($G149,'Charts data'!$A$14:$B$18,2,0)/IF('Charts data'!$E$3=1,I149,1)/IF('Charts data'!$E$4=1,J149,1)</f>
        <v>49443.946165553374</v>
      </c>
    </row>
    <row r="150" spans="1:12" x14ac:dyDescent="0.25">
      <c r="A150" s="27" t="s">
        <v>1898</v>
      </c>
      <c r="B150" s="27">
        <v>72000</v>
      </c>
      <c r="C150" s="27" t="s">
        <v>9</v>
      </c>
      <c r="D150" s="28">
        <f>B150*VLOOKUP(C150,tblXrate[],2,0)</f>
        <v>91468.759607395754</v>
      </c>
      <c r="E150" s="27" t="s">
        <v>19</v>
      </c>
      <c r="F150" s="27" t="s">
        <v>99</v>
      </c>
      <c r="G150" s="27" t="s">
        <v>2274</v>
      </c>
      <c r="H150" s="27">
        <v>3</v>
      </c>
      <c r="I150" s="27">
        <f>VLOOKUP(F150,mapping!$L$2:$P$92,2,0)</f>
        <v>5.3953864173973578</v>
      </c>
      <c r="J150" s="27">
        <f>VLOOKUP($F150,mapping!$L$2:$P$92,3,0)</f>
        <v>14456.97</v>
      </c>
      <c r="K150" s="27" t="str">
        <f>VLOOKUP($F150,mapping!$L$2:$P$92,4,0)</f>
        <v>Central and Eastern Europe</v>
      </c>
      <c r="L150" s="29">
        <f>$D150*VLOOKUP($E150,'Charts data'!$A$2:$B$11,2,0)*VLOOKUP($G150,'Charts data'!$A$14:$B$18,2,0)/IF('Charts data'!$E$3=1,I150,1)/IF('Charts data'!$E$4=1,J150,1)</f>
        <v>91468.759607395754</v>
      </c>
    </row>
    <row r="151" spans="1:12" x14ac:dyDescent="0.25">
      <c r="A151" s="27" t="s">
        <v>590</v>
      </c>
      <c r="B151" s="27">
        <v>70800</v>
      </c>
      <c r="C151" s="27" t="s">
        <v>9</v>
      </c>
      <c r="D151" s="28">
        <f>B151*VLOOKUP(C151,tblXrate[],2,0)</f>
        <v>89944.280280605832</v>
      </c>
      <c r="E151" s="27" t="s">
        <v>7</v>
      </c>
      <c r="F151" s="27" t="s">
        <v>67</v>
      </c>
      <c r="G151" s="27" t="s">
        <v>2273</v>
      </c>
      <c r="H151" s="27"/>
      <c r="I151" s="27">
        <f>VLOOKUP(F151,mapping!$L$2:$P$92,2,0)</f>
        <v>1.2437210507727838</v>
      </c>
      <c r="J151" s="27">
        <f>VLOOKUP($F151,mapping!$L$2:$P$92,3,0)</f>
        <v>49349.52</v>
      </c>
      <c r="K151" s="27" t="str">
        <f>VLOOKUP($F151,mapping!$L$2:$P$92,4,0)</f>
        <v>Euro Area</v>
      </c>
      <c r="L151" s="29">
        <f>$D151*VLOOKUP($E151,'Charts data'!$A$2:$B$11,2,0)*VLOOKUP($G151,'Charts data'!$A$14:$B$18,2,0)/IF('Charts data'!$E$3=1,I151,1)/IF('Charts data'!$E$4=1,J151,1)</f>
        <v>89944.280280605832</v>
      </c>
    </row>
    <row r="152" spans="1:12" x14ac:dyDescent="0.25">
      <c r="A152" s="27" t="s">
        <v>1265</v>
      </c>
      <c r="B152" s="27">
        <v>60000</v>
      </c>
      <c r="C152" s="27" t="s">
        <v>9</v>
      </c>
      <c r="D152" s="28">
        <f>B152*VLOOKUP(C152,tblXrate[],2,0)</f>
        <v>76223.966339496474</v>
      </c>
      <c r="E152" s="27" t="s">
        <v>19</v>
      </c>
      <c r="F152" s="27" t="s">
        <v>67</v>
      </c>
      <c r="G152" s="27" t="s">
        <v>2274</v>
      </c>
      <c r="H152" s="27">
        <v>4</v>
      </c>
      <c r="I152" s="27">
        <f>VLOOKUP(F152,mapping!$L$2:$P$92,2,0)</f>
        <v>1.2437210507727838</v>
      </c>
      <c r="J152" s="27">
        <f>VLOOKUP($F152,mapping!$L$2:$P$92,3,0)</f>
        <v>49349.52</v>
      </c>
      <c r="K152" s="27" t="str">
        <f>VLOOKUP($F152,mapping!$L$2:$P$92,4,0)</f>
        <v>Euro Area</v>
      </c>
      <c r="L152" s="29">
        <f>$D152*VLOOKUP($E152,'Charts data'!$A$2:$B$11,2,0)*VLOOKUP($G152,'Charts data'!$A$14:$B$18,2,0)/IF('Charts data'!$E$3=1,I152,1)/IF('Charts data'!$E$4=1,J152,1)</f>
        <v>76223.966339496474</v>
      </c>
    </row>
    <row r="153" spans="1:12" x14ac:dyDescent="0.25">
      <c r="A153" s="27" t="s">
        <v>230</v>
      </c>
      <c r="B153" s="27">
        <v>49000</v>
      </c>
      <c r="C153" s="27" t="s">
        <v>9</v>
      </c>
      <c r="D153" s="28">
        <f>B153*VLOOKUP(C153,tblXrate[],2,0)</f>
        <v>62249.572510588783</v>
      </c>
      <c r="E153" s="27" t="s">
        <v>19</v>
      </c>
      <c r="F153" s="27" t="s">
        <v>33</v>
      </c>
      <c r="G153" s="27" t="s">
        <v>2272</v>
      </c>
      <c r="H153" s="27"/>
      <c r="I153" s="27">
        <f>VLOOKUP(F153,mapping!$L$2:$P$92,2,0)</f>
        <v>1.1433594950924471</v>
      </c>
      <c r="J153" s="27">
        <f>VLOOKUP($F153,mapping!$L$2:$P$92,3,0)</f>
        <v>44008.18</v>
      </c>
      <c r="K153" s="27" t="str">
        <f>VLOOKUP($F153,mapping!$L$2:$P$92,4,0)</f>
        <v>Major Advanced Economies (G7)</v>
      </c>
      <c r="L153" s="29">
        <f>$D153*VLOOKUP($E153,'Charts data'!$A$2:$B$11,2,0)*VLOOKUP($G153,'Charts data'!$A$14:$B$18,2,0)/IF('Charts data'!$E$3=1,I153,1)/IF('Charts data'!$E$4=1,J153,1)</f>
        <v>62249.572510588783</v>
      </c>
    </row>
    <row r="154" spans="1:12" x14ac:dyDescent="0.25">
      <c r="A154" s="27" t="s">
        <v>236</v>
      </c>
      <c r="B154" s="27">
        <v>43000</v>
      </c>
      <c r="C154" s="27" t="s">
        <v>9</v>
      </c>
      <c r="D154" s="28">
        <f>B154*VLOOKUP(C154,tblXrate[],2,0)</f>
        <v>54627.175876639136</v>
      </c>
      <c r="E154" s="27" t="s">
        <v>53</v>
      </c>
      <c r="F154" s="27" t="s">
        <v>33</v>
      </c>
      <c r="G154" s="27" t="s">
        <v>2271</v>
      </c>
      <c r="H154" s="27"/>
      <c r="I154" s="27">
        <f>VLOOKUP(F154,mapping!$L$2:$P$92,2,0)</f>
        <v>1.1433594950924471</v>
      </c>
      <c r="J154" s="27">
        <f>VLOOKUP($F154,mapping!$L$2:$P$92,3,0)</f>
        <v>44008.18</v>
      </c>
      <c r="K154" s="27" t="str">
        <f>VLOOKUP($F154,mapping!$L$2:$P$92,4,0)</f>
        <v>Major Advanced Economies (G7)</v>
      </c>
      <c r="L154" s="29">
        <f>$D154*VLOOKUP($E154,'Charts data'!$A$2:$B$11,2,0)*VLOOKUP($G154,'Charts data'!$A$14:$B$18,2,0)/IF('Charts data'!$E$3=1,I154,1)/IF('Charts data'!$E$4=1,J154,1)</f>
        <v>54627.175876639136</v>
      </c>
    </row>
    <row r="155" spans="1:12" x14ac:dyDescent="0.25">
      <c r="A155" s="27" t="s">
        <v>1091</v>
      </c>
      <c r="B155" s="27">
        <v>63200</v>
      </c>
      <c r="C155" s="27" t="s">
        <v>9</v>
      </c>
      <c r="D155" s="28">
        <f>B155*VLOOKUP(C155,tblXrate[],2,0)</f>
        <v>80289.244544269619</v>
      </c>
      <c r="E155" s="27" t="s">
        <v>53</v>
      </c>
      <c r="F155" s="27" t="s">
        <v>33</v>
      </c>
      <c r="G155" s="27" t="s">
        <v>2271</v>
      </c>
      <c r="H155" s="27">
        <v>3</v>
      </c>
      <c r="I155" s="27">
        <f>VLOOKUP(F155,mapping!$L$2:$P$92,2,0)</f>
        <v>1.1433594950924471</v>
      </c>
      <c r="J155" s="27">
        <f>VLOOKUP($F155,mapping!$L$2:$P$92,3,0)</f>
        <v>44008.18</v>
      </c>
      <c r="K155" s="27" t="str">
        <f>VLOOKUP($F155,mapping!$L$2:$P$92,4,0)</f>
        <v>Major Advanced Economies (G7)</v>
      </c>
      <c r="L155" s="29">
        <f>$D155*VLOOKUP($E155,'Charts data'!$A$2:$B$11,2,0)*VLOOKUP($G155,'Charts data'!$A$14:$B$18,2,0)/IF('Charts data'!$E$3=1,I155,1)/IF('Charts data'!$E$4=1,J155,1)</f>
        <v>80289.244544269619</v>
      </c>
    </row>
    <row r="156" spans="1:12" x14ac:dyDescent="0.25">
      <c r="A156" s="27" t="s">
        <v>1453</v>
      </c>
      <c r="B156" s="27">
        <v>43000</v>
      </c>
      <c r="C156" s="27" t="s">
        <v>9</v>
      </c>
      <c r="D156" s="28">
        <f>B156*VLOOKUP(C156,tblXrate[],2,0)</f>
        <v>54627.175876639136</v>
      </c>
      <c r="E156" s="27" t="s">
        <v>19</v>
      </c>
      <c r="F156" s="27" t="s">
        <v>33</v>
      </c>
      <c r="G156" s="27" t="s">
        <v>2273</v>
      </c>
      <c r="H156" s="27">
        <v>7</v>
      </c>
      <c r="I156" s="27">
        <f>VLOOKUP(F156,mapping!$L$2:$P$92,2,0)</f>
        <v>1.1433594950924471</v>
      </c>
      <c r="J156" s="27">
        <f>VLOOKUP($F156,mapping!$L$2:$P$92,3,0)</f>
        <v>44008.18</v>
      </c>
      <c r="K156" s="27" t="str">
        <f>VLOOKUP($F156,mapping!$L$2:$P$92,4,0)</f>
        <v>Major Advanced Economies (G7)</v>
      </c>
      <c r="L156" s="29">
        <f>$D156*VLOOKUP($E156,'Charts data'!$A$2:$B$11,2,0)*VLOOKUP($G156,'Charts data'!$A$14:$B$18,2,0)/IF('Charts data'!$E$3=1,I156,1)/IF('Charts data'!$E$4=1,J156,1)</f>
        <v>54627.175876639136</v>
      </c>
    </row>
    <row r="157" spans="1:12" x14ac:dyDescent="0.25">
      <c r="A157" s="27" t="s">
        <v>1810</v>
      </c>
      <c r="B157" s="27">
        <v>33000</v>
      </c>
      <c r="C157" s="27" t="s">
        <v>9</v>
      </c>
      <c r="D157" s="28">
        <f>B157*VLOOKUP(C157,tblXrate[],2,0)</f>
        <v>41923.181486723057</v>
      </c>
      <c r="E157" s="27" t="s">
        <v>7</v>
      </c>
      <c r="F157" s="27" t="s">
        <v>33</v>
      </c>
      <c r="G157" s="27" t="s">
        <v>2271</v>
      </c>
      <c r="H157" s="27">
        <v>6</v>
      </c>
      <c r="I157" s="27">
        <f>VLOOKUP(F157,mapping!$L$2:$P$92,2,0)</f>
        <v>1.1433594950924471</v>
      </c>
      <c r="J157" s="27">
        <f>VLOOKUP($F157,mapping!$L$2:$P$92,3,0)</f>
        <v>44008.18</v>
      </c>
      <c r="K157" s="27" t="str">
        <f>VLOOKUP($F157,mapping!$L$2:$P$92,4,0)</f>
        <v>Major Advanced Economies (G7)</v>
      </c>
      <c r="L157" s="29">
        <f>$D157*VLOOKUP($E157,'Charts data'!$A$2:$B$11,2,0)*VLOOKUP($G157,'Charts data'!$A$14:$B$18,2,0)/IF('Charts data'!$E$3=1,I157,1)/IF('Charts data'!$E$4=1,J157,1)</f>
        <v>41923.181486723057</v>
      </c>
    </row>
    <row r="158" spans="1:12" x14ac:dyDescent="0.25">
      <c r="A158" s="27" t="s">
        <v>181</v>
      </c>
      <c r="B158" s="27">
        <v>145000</v>
      </c>
      <c r="C158" s="27" t="s">
        <v>9</v>
      </c>
      <c r="D158" s="28">
        <f>B158*VLOOKUP(C158,tblXrate[],2,0)</f>
        <v>184207.91865378313</v>
      </c>
      <c r="E158" s="27" t="s">
        <v>19</v>
      </c>
      <c r="F158" s="27" t="s">
        <v>10</v>
      </c>
      <c r="G158" s="27" t="s">
        <v>2274</v>
      </c>
      <c r="H158" s="27"/>
      <c r="I158" s="27">
        <f>VLOOKUP(F158,mapping!$L$2:$P$92,2,0)</f>
        <v>1.0544315343630344</v>
      </c>
      <c r="J158" s="27">
        <f>VLOOKUP($F158,mapping!$L$2:$P$92,3,0)</f>
        <v>43741.55</v>
      </c>
      <c r="K158" s="27" t="str">
        <f>VLOOKUP($F158,mapping!$L$2:$P$92,4,0)</f>
        <v>Major Advanced Economies (G7)</v>
      </c>
      <c r="L158" s="29">
        <f>$D158*VLOOKUP($E158,'Charts data'!$A$2:$B$11,2,0)*VLOOKUP($G158,'Charts data'!$A$14:$B$18,2,0)/IF('Charts data'!$E$3=1,I158,1)/IF('Charts data'!$E$4=1,J158,1)</f>
        <v>184207.91865378313</v>
      </c>
    </row>
    <row r="159" spans="1:12" x14ac:dyDescent="0.25">
      <c r="A159" s="27" t="s">
        <v>225</v>
      </c>
      <c r="B159" s="27">
        <v>24000</v>
      </c>
      <c r="C159" s="27" t="s">
        <v>9</v>
      </c>
      <c r="D159" s="28">
        <f>B159*VLOOKUP(C159,tblXrate[],2,0)</f>
        <v>30489.586535798586</v>
      </c>
      <c r="E159" s="27" t="s">
        <v>19</v>
      </c>
      <c r="F159" s="27" t="s">
        <v>10</v>
      </c>
      <c r="G159" s="27" t="s">
        <v>2273</v>
      </c>
      <c r="H159" s="27"/>
      <c r="I159" s="27">
        <f>VLOOKUP(F159,mapping!$L$2:$P$92,2,0)</f>
        <v>1.0544315343630344</v>
      </c>
      <c r="J159" s="27">
        <f>VLOOKUP($F159,mapping!$L$2:$P$92,3,0)</f>
        <v>43741.55</v>
      </c>
      <c r="K159" s="27" t="str">
        <f>VLOOKUP($F159,mapping!$L$2:$P$92,4,0)</f>
        <v>Major Advanced Economies (G7)</v>
      </c>
      <c r="L159" s="29">
        <f>$D159*VLOOKUP($E159,'Charts data'!$A$2:$B$11,2,0)*VLOOKUP($G159,'Charts data'!$A$14:$B$18,2,0)/IF('Charts data'!$E$3=1,I159,1)/IF('Charts data'!$E$4=1,J159,1)</f>
        <v>30489.586535798586</v>
      </c>
    </row>
    <row r="160" spans="1:12" x14ac:dyDescent="0.25">
      <c r="A160" s="27" t="s">
        <v>471</v>
      </c>
      <c r="B160" s="27">
        <v>65000</v>
      </c>
      <c r="C160" s="27" t="s">
        <v>9</v>
      </c>
      <c r="D160" s="28">
        <f>B160*VLOOKUP(C160,tblXrate[],2,0)</f>
        <v>82575.963534454509</v>
      </c>
      <c r="E160" s="27" t="s">
        <v>62</v>
      </c>
      <c r="F160" s="27" t="s">
        <v>10</v>
      </c>
      <c r="G160" s="27" t="s">
        <v>2273</v>
      </c>
      <c r="H160" s="27"/>
      <c r="I160" s="27">
        <f>VLOOKUP(F160,mapping!$L$2:$P$92,2,0)</f>
        <v>1.0544315343630344</v>
      </c>
      <c r="J160" s="27">
        <f>VLOOKUP($F160,mapping!$L$2:$P$92,3,0)</f>
        <v>43741.55</v>
      </c>
      <c r="K160" s="27" t="str">
        <f>VLOOKUP($F160,mapping!$L$2:$P$92,4,0)</f>
        <v>Major Advanced Economies (G7)</v>
      </c>
      <c r="L160" s="29">
        <f>$D160*VLOOKUP($E160,'Charts data'!$A$2:$B$11,2,0)*VLOOKUP($G160,'Charts data'!$A$14:$B$18,2,0)/IF('Charts data'!$E$3=1,I160,1)/IF('Charts data'!$E$4=1,J160,1)</f>
        <v>82575.963534454509</v>
      </c>
    </row>
    <row r="161" spans="1:12" x14ac:dyDescent="0.25">
      <c r="A161" s="27" t="s">
        <v>752</v>
      </c>
      <c r="B161" s="27">
        <v>50000</v>
      </c>
      <c r="C161" s="27" t="s">
        <v>9</v>
      </c>
      <c r="D161" s="28">
        <f>B161*VLOOKUP(C161,tblXrate[],2,0)</f>
        <v>63519.971949580387</v>
      </c>
      <c r="E161" s="27" t="s">
        <v>7</v>
      </c>
      <c r="F161" s="27" t="s">
        <v>10</v>
      </c>
      <c r="G161" s="27" t="s">
        <v>2272</v>
      </c>
      <c r="H161" s="27">
        <v>4</v>
      </c>
      <c r="I161" s="27">
        <f>VLOOKUP(F161,mapping!$L$2:$P$92,2,0)</f>
        <v>1.0544315343630344</v>
      </c>
      <c r="J161" s="27">
        <f>VLOOKUP($F161,mapping!$L$2:$P$92,3,0)</f>
        <v>43741.55</v>
      </c>
      <c r="K161" s="27" t="str">
        <f>VLOOKUP($F161,mapping!$L$2:$P$92,4,0)</f>
        <v>Major Advanced Economies (G7)</v>
      </c>
      <c r="L161" s="29">
        <f>$D161*VLOOKUP($E161,'Charts data'!$A$2:$B$11,2,0)*VLOOKUP($G161,'Charts data'!$A$14:$B$18,2,0)/IF('Charts data'!$E$3=1,I161,1)/IF('Charts data'!$E$4=1,J161,1)</f>
        <v>63519.971949580387</v>
      </c>
    </row>
    <row r="162" spans="1:12" x14ac:dyDescent="0.25">
      <c r="A162" s="27" t="s">
        <v>897</v>
      </c>
      <c r="B162" s="27">
        <v>66000</v>
      </c>
      <c r="C162" s="27" t="s">
        <v>9</v>
      </c>
      <c r="D162" s="28">
        <f>B162*VLOOKUP(C162,tblXrate[],2,0)</f>
        <v>83846.362973446114</v>
      </c>
      <c r="E162" s="27" t="s">
        <v>7</v>
      </c>
      <c r="F162" s="27" t="s">
        <v>10</v>
      </c>
      <c r="G162" s="27" t="s">
        <v>2271</v>
      </c>
      <c r="H162" s="27">
        <v>7</v>
      </c>
      <c r="I162" s="27">
        <f>VLOOKUP(F162,mapping!$L$2:$P$92,2,0)</f>
        <v>1.0544315343630344</v>
      </c>
      <c r="J162" s="27">
        <f>VLOOKUP($F162,mapping!$L$2:$P$92,3,0)</f>
        <v>43741.55</v>
      </c>
      <c r="K162" s="27" t="str">
        <f>VLOOKUP($F162,mapping!$L$2:$P$92,4,0)</f>
        <v>Major Advanced Economies (G7)</v>
      </c>
      <c r="L162" s="29">
        <f>$D162*VLOOKUP($E162,'Charts data'!$A$2:$B$11,2,0)*VLOOKUP($G162,'Charts data'!$A$14:$B$18,2,0)/IF('Charts data'!$E$3=1,I162,1)/IF('Charts data'!$E$4=1,J162,1)</f>
        <v>83846.362973446114</v>
      </c>
    </row>
    <row r="163" spans="1:12" x14ac:dyDescent="0.25">
      <c r="A163" s="27" t="s">
        <v>1097</v>
      </c>
      <c r="B163" s="27">
        <v>42000</v>
      </c>
      <c r="C163" s="27" t="s">
        <v>9</v>
      </c>
      <c r="D163" s="28">
        <f>B163*VLOOKUP(C163,tblXrate[],2,0)</f>
        <v>53356.776437647524</v>
      </c>
      <c r="E163" s="27" t="s">
        <v>53</v>
      </c>
      <c r="F163" s="27" t="s">
        <v>10</v>
      </c>
      <c r="G163" s="27" t="s">
        <v>2272</v>
      </c>
      <c r="H163" s="27">
        <v>3</v>
      </c>
      <c r="I163" s="27">
        <f>VLOOKUP(F163,mapping!$L$2:$P$92,2,0)</f>
        <v>1.0544315343630344</v>
      </c>
      <c r="J163" s="27">
        <f>VLOOKUP($F163,mapping!$L$2:$P$92,3,0)</f>
        <v>43741.55</v>
      </c>
      <c r="K163" s="27" t="str">
        <f>VLOOKUP($F163,mapping!$L$2:$P$92,4,0)</f>
        <v>Major Advanced Economies (G7)</v>
      </c>
      <c r="L163" s="29">
        <f>$D163*VLOOKUP($E163,'Charts data'!$A$2:$B$11,2,0)*VLOOKUP($G163,'Charts data'!$A$14:$B$18,2,0)/IF('Charts data'!$E$3=1,I163,1)/IF('Charts data'!$E$4=1,J163,1)</f>
        <v>53356.776437647524</v>
      </c>
    </row>
    <row r="164" spans="1:12" x14ac:dyDescent="0.25">
      <c r="A164" s="27" t="s">
        <v>1378</v>
      </c>
      <c r="B164" s="27">
        <v>71000</v>
      </c>
      <c r="C164" s="27" t="s">
        <v>9</v>
      </c>
      <c r="D164" s="28">
        <f>B164*VLOOKUP(C164,tblXrate[],2,0)</f>
        <v>90198.36016840415</v>
      </c>
      <c r="E164" s="27" t="s">
        <v>53</v>
      </c>
      <c r="F164" s="27" t="s">
        <v>10</v>
      </c>
      <c r="G164" s="27" t="s">
        <v>2274</v>
      </c>
      <c r="H164" s="27">
        <v>3</v>
      </c>
      <c r="I164" s="27">
        <f>VLOOKUP(F164,mapping!$L$2:$P$92,2,0)</f>
        <v>1.0544315343630344</v>
      </c>
      <c r="J164" s="27">
        <f>VLOOKUP($F164,mapping!$L$2:$P$92,3,0)</f>
        <v>43741.55</v>
      </c>
      <c r="K164" s="27" t="str">
        <f>VLOOKUP($F164,mapping!$L$2:$P$92,4,0)</f>
        <v>Major Advanced Economies (G7)</v>
      </c>
      <c r="L164" s="29">
        <f>$D164*VLOOKUP($E164,'Charts data'!$A$2:$B$11,2,0)*VLOOKUP($G164,'Charts data'!$A$14:$B$18,2,0)/IF('Charts data'!$E$3=1,I164,1)/IF('Charts data'!$E$4=1,J164,1)</f>
        <v>90198.36016840415</v>
      </c>
    </row>
    <row r="165" spans="1:12" x14ac:dyDescent="0.25">
      <c r="A165" s="27" t="s">
        <v>1452</v>
      </c>
      <c r="B165" s="27">
        <v>139000</v>
      </c>
      <c r="C165" s="27" t="s">
        <v>9</v>
      </c>
      <c r="D165" s="28">
        <f>B165*VLOOKUP(C165,tblXrate[],2,0)</f>
        <v>176585.52201983347</v>
      </c>
      <c r="E165" s="27" t="s">
        <v>19</v>
      </c>
      <c r="F165" s="27" t="s">
        <v>10</v>
      </c>
      <c r="G165" s="27" t="s">
        <v>2274</v>
      </c>
      <c r="H165" s="27">
        <v>25</v>
      </c>
      <c r="I165" s="27">
        <f>VLOOKUP(F165,mapping!$L$2:$P$92,2,0)</f>
        <v>1.0544315343630344</v>
      </c>
      <c r="J165" s="27">
        <f>VLOOKUP($F165,mapping!$L$2:$P$92,3,0)</f>
        <v>43741.55</v>
      </c>
      <c r="K165" s="27" t="str">
        <f>VLOOKUP($F165,mapping!$L$2:$P$92,4,0)</f>
        <v>Major Advanced Economies (G7)</v>
      </c>
      <c r="L165" s="29">
        <f>$D165*VLOOKUP($E165,'Charts data'!$A$2:$B$11,2,0)*VLOOKUP($G165,'Charts data'!$A$14:$B$18,2,0)/IF('Charts data'!$E$3=1,I165,1)/IF('Charts data'!$E$4=1,J165,1)</f>
        <v>176585.52201983347</v>
      </c>
    </row>
    <row r="166" spans="1:12" x14ac:dyDescent="0.25">
      <c r="A166" s="27" t="s">
        <v>1497</v>
      </c>
      <c r="B166" s="27">
        <v>45000</v>
      </c>
      <c r="C166" s="27" t="s">
        <v>9</v>
      </c>
      <c r="D166" s="28">
        <f>B166*VLOOKUP(C166,tblXrate[],2,0)</f>
        <v>57167.974754622352</v>
      </c>
      <c r="E166" s="27" t="s">
        <v>62</v>
      </c>
      <c r="F166" s="27" t="s">
        <v>10</v>
      </c>
      <c r="G166" s="27" t="s">
        <v>2271</v>
      </c>
      <c r="H166" s="27">
        <v>12</v>
      </c>
      <c r="I166" s="27">
        <f>VLOOKUP(F166,mapping!$L$2:$P$92,2,0)</f>
        <v>1.0544315343630344</v>
      </c>
      <c r="J166" s="27">
        <f>VLOOKUP($F166,mapping!$L$2:$P$92,3,0)</f>
        <v>43741.55</v>
      </c>
      <c r="K166" s="27" t="str">
        <f>VLOOKUP($F166,mapping!$L$2:$P$92,4,0)</f>
        <v>Major Advanced Economies (G7)</v>
      </c>
      <c r="L166" s="29">
        <f>$D166*VLOOKUP($E166,'Charts data'!$A$2:$B$11,2,0)*VLOOKUP($G166,'Charts data'!$A$14:$B$18,2,0)/IF('Charts data'!$E$3=1,I166,1)/IF('Charts data'!$E$4=1,J166,1)</f>
        <v>57167.974754622352</v>
      </c>
    </row>
    <row r="167" spans="1:12" x14ac:dyDescent="0.25">
      <c r="A167" s="27" t="s">
        <v>1622</v>
      </c>
      <c r="B167" s="27">
        <v>42000</v>
      </c>
      <c r="C167" s="27" t="s">
        <v>9</v>
      </c>
      <c r="D167" s="28">
        <f>B167*VLOOKUP(C167,tblXrate[],2,0)</f>
        <v>53356.776437647524</v>
      </c>
      <c r="E167" s="27" t="s">
        <v>53</v>
      </c>
      <c r="F167" s="27" t="s">
        <v>10</v>
      </c>
      <c r="G167" s="27" t="s">
        <v>2273</v>
      </c>
      <c r="H167" s="27">
        <v>7</v>
      </c>
      <c r="I167" s="27">
        <f>VLOOKUP(F167,mapping!$L$2:$P$92,2,0)</f>
        <v>1.0544315343630344</v>
      </c>
      <c r="J167" s="27">
        <f>VLOOKUP($F167,mapping!$L$2:$P$92,3,0)</f>
        <v>43741.55</v>
      </c>
      <c r="K167" s="27" t="str">
        <f>VLOOKUP($F167,mapping!$L$2:$P$92,4,0)</f>
        <v>Major Advanced Economies (G7)</v>
      </c>
      <c r="L167" s="29">
        <f>$D167*VLOOKUP($E167,'Charts data'!$A$2:$B$11,2,0)*VLOOKUP($G167,'Charts data'!$A$14:$B$18,2,0)/IF('Charts data'!$E$3=1,I167,1)/IF('Charts data'!$E$4=1,J167,1)</f>
        <v>53356.776437647524</v>
      </c>
    </row>
    <row r="168" spans="1:12" x14ac:dyDescent="0.25">
      <c r="A168" s="27" t="s">
        <v>1627</v>
      </c>
      <c r="B168" s="27">
        <v>33500</v>
      </c>
      <c r="C168" s="27" t="s">
        <v>9</v>
      </c>
      <c r="D168" s="28">
        <f>B168*VLOOKUP(C168,tblXrate[],2,0)</f>
        <v>42558.381206218859</v>
      </c>
      <c r="E168" s="27" t="s">
        <v>62</v>
      </c>
      <c r="F168" s="27" t="s">
        <v>10</v>
      </c>
      <c r="G168" s="27" t="s">
        <v>2273</v>
      </c>
      <c r="H168" s="27">
        <v>8</v>
      </c>
      <c r="I168" s="27">
        <f>VLOOKUP(F168,mapping!$L$2:$P$92,2,0)</f>
        <v>1.0544315343630344</v>
      </c>
      <c r="J168" s="27">
        <f>VLOOKUP($F168,mapping!$L$2:$P$92,3,0)</f>
        <v>43741.55</v>
      </c>
      <c r="K168" s="27" t="str">
        <f>VLOOKUP($F168,mapping!$L$2:$P$92,4,0)</f>
        <v>Major Advanced Economies (G7)</v>
      </c>
      <c r="L168" s="29">
        <f>$D168*VLOOKUP($E168,'Charts data'!$A$2:$B$11,2,0)*VLOOKUP($G168,'Charts data'!$A$14:$B$18,2,0)/IF('Charts data'!$E$3=1,I168,1)/IF('Charts data'!$E$4=1,J168,1)</f>
        <v>42558.381206218859</v>
      </c>
    </row>
    <row r="169" spans="1:12" x14ac:dyDescent="0.25">
      <c r="A169" s="27" t="s">
        <v>1687</v>
      </c>
      <c r="B169" s="27">
        <v>70000</v>
      </c>
      <c r="C169" s="27" t="s">
        <v>9</v>
      </c>
      <c r="D169" s="28">
        <f>B169*VLOOKUP(C169,tblXrate[],2,0)</f>
        <v>88927.960729412545</v>
      </c>
      <c r="E169" s="27" t="s">
        <v>23</v>
      </c>
      <c r="F169" s="27" t="s">
        <v>10</v>
      </c>
      <c r="G169" s="27" t="s">
        <v>2274</v>
      </c>
      <c r="H169" s="27">
        <v>5</v>
      </c>
      <c r="I169" s="27">
        <f>VLOOKUP(F169,mapping!$L$2:$P$92,2,0)</f>
        <v>1.0544315343630344</v>
      </c>
      <c r="J169" s="27">
        <f>VLOOKUP($F169,mapping!$L$2:$P$92,3,0)</f>
        <v>43741.55</v>
      </c>
      <c r="K169" s="27" t="str">
        <f>VLOOKUP($F169,mapping!$L$2:$P$92,4,0)</f>
        <v>Major Advanced Economies (G7)</v>
      </c>
      <c r="L169" s="29">
        <f>$D169*VLOOKUP($E169,'Charts data'!$A$2:$B$11,2,0)*VLOOKUP($G169,'Charts data'!$A$14:$B$18,2,0)/IF('Charts data'!$E$3=1,I169,1)/IF('Charts data'!$E$4=1,J169,1)</f>
        <v>88927.960729412545</v>
      </c>
    </row>
    <row r="170" spans="1:12" x14ac:dyDescent="0.25">
      <c r="A170" s="27" t="s">
        <v>1818</v>
      </c>
      <c r="B170" s="27">
        <v>40000</v>
      </c>
      <c r="C170" s="27" t="s">
        <v>9</v>
      </c>
      <c r="D170" s="28">
        <f>B170*VLOOKUP(C170,tblXrate[],2,0)</f>
        <v>50815.977559664309</v>
      </c>
      <c r="E170" s="27" t="s">
        <v>7</v>
      </c>
      <c r="F170" s="27" t="s">
        <v>10</v>
      </c>
      <c r="G170" s="27" t="s">
        <v>2272</v>
      </c>
      <c r="H170" s="27">
        <v>3</v>
      </c>
      <c r="I170" s="27">
        <f>VLOOKUP(F170,mapping!$L$2:$P$92,2,0)</f>
        <v>1.0544315343630344</v>
      </c>
      <c r="J170" s="27">
        <f>VLOOKUP($F170,mapping!$L$2:$P$92,3,0)</f>
        <v>43741.55</v>
      </c>
      <c r="K170" s="27" t="str">
        <f>VLOOKUP($F170,mapping!$L$2:$P$92,4,0)</f>
        <v>Major Advanced Economies (G7)</v>
      </c>
      <c r="L170" s="29">
        <f>$D170*VLOOKUP($E170,'Charts data'!$A$2:$B$11,2,0)*VLOOKUP($G170,'Charts data'!$A$14:$B$18,2,0)/IF('Charts data'!$E$3=1,I170,1)/IF('Charts data'!$E$4=1,J170,1)</f>
        <v>50815.977559664309</v>
      </c>
    </row>
    <row r="171" spans="1:12" x14ac:dyDescent="0.25">
      <c r="A171" s="27" t="s">
        <v>2001</v>
      </c>
      <c r="B171" s="27">
        <v>60000</v>
      </c>
      <c r="C171" s="27" t="s">
        <v>9</v>
      </c>
      <c r="D171" s="28">
        <f>B171*VLOOKUP(C171,tblXrate[],2,0)</f>
        <v>76223.966339496474</v>
      </c>
      <c r="E171" s="27" t="s">
        <v>19</v>
      </c>
      <c r="F171" s="27" t="s">
        <v>10</v>
      </c>
      <c r="G171" s="27" t="s">
        <v>2271</v>
      </c>
      <c r="H171" s="27">
        <v>6</v>
      </c>
      <c r="I171" s="27">
        <f>VLOOKUP(F171,mapping!$L$2:$P$92,2,0)</f>
        <v>1.0544315343630344</v>
      </c>
      <c r="J171" s="27">
        <f>VLOOKUP($F171,mapping!$L$2:$P$92,3,0)</f>
        <v>43741.55</v>
      </c>
      <c r="K171" s="27" t="str">
        <f>VLOOKUP($F171,mapping!$L$2:$P$92,4,0)</f>
        <v>Major Advanced Economies (G7)</v>
      </c>
      <c r="L171" s="29">
        <f>$D171*VLOOKUP($E171,'Charts data'!$A$2:$B$11,2,0)*VLOOKUP($G171,'Charts data'!$A$14:$B$18,2,0)/IF('Charts data'!$E$3=1,I171,1)/IF('Charts data'!$E$4=1,J171,1)</f>
        <v>76223.966339496474</v>
      </c>
    </row>
    <row r="172" spans="1:12" x14ac:dyDescent="0.25">
      <c r="A172" s="27" t="s">
        <v>280</v>
      </c>
      <c r="B172" s="27">
        <v>35000</v>
      </c>
      <c r="C172" s="27" t="s">
        <v>9</v>
      </c>
      <c r="D172" s="28">
        <f>B172*VLOOKUP(C172,tblXrate[],2,0)</f>
        <v>44463.980364706273</v>
      </c>
      <c r="E172" s="27" t="s">
        <v>19</v>
      </c>
      <c r="F172" s="27" t="s">
        <v>43</v>
      </c>
      <c r="G172" s="27" t="s">
        <v>2271</v>
      </c>
      <c r="H172" s="27"/>
      <c r="I172" s="27">
        <f>VLOOKUP(F172,mapping!$L$2:$P$92,2,0)</f>
        <v>0.94009558485378975</v>
      </c>
      <c r="J172" s="27">
        <f>VLOOKUP($F172,mapping!$L$2:$P$92,3,0)</f>
        <v>27073.41</v>
      </c>
      <c r="K172" s="27" t="str">
        <f>VLOOKUP($F172,mapping!$L$2:$P$92,4,0)</f>
        <v>Euro Area</v>
      </c>
      <c r="L172" s="29">
        <f>$D172*VLOOKUP($E172,'Charts data'!$A$2:$B$11,2,0)*VLOOKUP($G172,'Charts data'!$A$14:$B$18,2,0)/IF('Charts data'!$E$3=1,I172,1)/IF('Charts data'!$E$4=1,J172,1)</f>
        <v>44463.980364706273</v>
      </c>
    </row>
    <row r="173" spans="1:12" x14ac:dyDescent="0.25">
      <c r="A173" s="27" t="s">
        <v>1198</v>
      </c>
      <c r="B173" s="27">
        <v>16000</v>
      </c>
      <c r="C173" s="27" t="s">
        <v>9</v>
      </c>
      <c r="D173" s="28">
        <f>B173*VLOOKUP(C173,tblXrate[],2,0)</f>
        <v>20326.391023865726</v>
      </c>
      <c r="E173" s="27" t="s">
        <v>19</v>
      </c>
      <c r="F173" s="27" t="s">
        <v>43</v>
      </c>
      <c r="G173" s="27" t="s">
        <v>2273</v>
      </c>
      <c r="H173" s="27">
        <v>16</v>
      </c>
      <c r="I173" s="27">
        <f>VLOOKUP(F173,mapping!$L$2:$P$92,2,0)</f>
        <v>0.94009558485378975</v>
      </c>
      <c r="J173" s="27">
        <f>VLOOKUP($F173,mapping!$L$2:$P$92,3,0)</f>
        <v>27073.41</v>
      </c>
      <c r="K173" s="27" t="str">
        <f>VLOOKUP($F173,mapping!$L$2:$P$92,4,0)</f>
        <v>Euro Area</v>
      </c>
      <c r="L173" s="29">
        <f>$D173*VLOOKUP($E173,'Charts data'!$A$2:$B$11,2,0)*VLOOKUP($G173,'Charts data'!$A$14:$B$18,2,0)/IF('Charts data'!$E$3=1,I173,1)/IF('Charts data'!$E$4=1,J173,1)</f>
        <v>20326.391023865726</v>
      </c>
    </row>
    <row r="174" spans="1:12" x14ac:dyDescent="0.25">
      <c r="A174" s="27" t="s">
        <v>1345</v>
      </c>
      <c r="B174" s="27">
        <v>20000</v>
      </c>
      <c r="C174" s="27" t="s">
        <v>9</v>
      </c>
      <c r="D174" s="28">
        <f>B174*VLOOKUP(C174,tblXrate[],2,0)</f>
        <v>25407.988779832154</v>
      </c>
      <c r="E174" s="27" t="s">
        <v>19</v>
      </c>
      <c r="F174" s="27" t="s">
        <v>43</v>
      </c>
      <c r="G174" s="27" t="s">
        <v>2274</v>
      </c>
      <c r="H174" s="27">
        <v>12</v>
      </c>
      <c r="I174" s="27">
        <f>VLOOKUP(F174,mapping!$L$2:$P$92,2,0)</f>
        <v>0.94009558485378975</v>
      </c>
      <c r="J174" s="27">
        <f>VLOOKUP($F174,mapping!$L$2:$P$92,3,0)</f>
        <v>27073.41</v>
      </c>
      <c r="K174" s="27" t="str">
        <f>VLOOKUP($F174,mapping!$L$2:$P$92,4,0)</f>
        <v>Euro Area</v>
      </c>
      <c r="L174" s="29">
        <f>$D174*VLOOKUP($E174,'Charts data'!$A$2:$B$11,2,0)*VLOOKUP($G174,'Charts data'!$A$14:$B$18,2,0)/IF('Charts data'!$E$3=1,I174,1)/IF('Charts data'!$E$4=1,J174,1)</f>
        <v>25407.988779832154</v>
      </c>
    </row>
    <row r="175" spans="1:12" x14ac:dyDescent="0.25">
      <c r="A175" s="27" t="s">
        <v>1483</v>
      </c>
      <c r="B175" s="27">
        <v>9067</v>
      </c>
      <c r="C175" s="27" t="s">
        <v>9</v>
      </c>
      <c r="D175" s="28">
        <f>B175*VLOOKUP(C175,tblXrate[],2,0)</f>
        <v>11518.711713336908</v>
      </c>
      <c r="E175" s="27" t="s">
        <v>7</v>
      </c>
      <c r="F175" s="27" t="s">
        <v>15</v>
      </c>
      <c r="G175" s="27" t="s">
        <v>2272</v>
      </c>
      <c r="H175" s="27">
        <v>3</v>
      </c>
      <c r="I175" s="27">
        <f>VLOOKUP(F175,mapping!$L$2:$P$92,2,0)</f>
        <v>182.82191286584327</v>
      </c>
      <c r="J175" s="27">
        <f>VLOOKUP($F175,mapping!$L$2:$P$92,3,0)</f>
        <v>14050.01</v>
      </c>
      <c r="K175" s="27" t="str">
        <f>VLOOKUP($F175,mapping!$L$2:$P$92,4,0)</f>
        <v>Central and Eastern Europe</v>
      </c>
      <c r="L175" s="29">
        <f>$D175*VLOOKUP($E175,'Charts data'!$A$2:$B$11,2,0)*VLOOKUP($G175,'Charts data'!$A$14:$B$18,2,0)/IF('Charts data'!$E$3=1,I175,1)/IF('Charts data'!$E$4=1,J175,1)</f>
        <v>11518.711713336908</v>
      </c>
    </row>
    <row r="176" spans="1:12" x14ac:dyDescent="0.25">
      <c r="A176" s="27" t="s">
        <v>1731</v>
      </c>
      <c r="B176" s="27">
        <v>27600</v>
      </c>
      <c r="C176" s="27" t="s">
        <v>9</v>
      </c>
      <c r="D176" s="28">
        <f>B176*VLOOKUP(C176,tblXrate[],2,0)</f>
        <v>35063.024516168378</v>
      </c>
      <c r="E176" s="27" t="s">
        <v>62</v>
      </c>
      <c r="F176" s="27" t="s">
        <v>15</v>
      </c>
      <c r="G176" s="27" t="s">
        <v>2273</v>
      </c>
      <c r="H176" s="27">
        <v>15</v>
      </c>
      <c r="I176" s="27">
        <f>VLOOKUP(F176,mapping!$L$2:$P$92,2,0)</f>
        <v>182.82191286584327</v>
      </c>
      <c r="J176" s="27">
        <f>VLOOKUP($F176,mapping!$L$2:$P$92,3,0)</f>
        <v>14050.01</v>
      </c>
      <c r="K176" s="27" t="str">
        <f>VLOOKUP($F176,mapping!$L$2:$P$92,4,0)</f>
        <v>Central and Eastern Europe</v>
      </c>
      <c r="L176" s="29">
        <f>$D176*VLOOKUP($E176,'Charts data'!$A$2:$B$11,2,0)*VLOOKUP($G176,'Charts data'!$A$14:$B$18,2,0)/IF('Charts data'!$E$3=1,I176,1)/IF('Charts data'!$E$4=1,J176,1)</f>
        <v>35063.024516168378</v>
      </c>
    </row>
    <row r="177" spans="1:12" x14ac:dyDescent="0.25">
      <c r="A177" s="27" t="s">
        <v>185</v>
      </c>
      <c r="B177" s="27">
        <v>51650</v>
      </c>
      <c r="C177" s="27" t="s">
        <v>9</v>
      </c>
      <c r="D177" s="28">
        <f>B177*VLOOKUP(C177,tblXrate[],2,0)</f>
        <v>65616.131023916547</v>
      </c>
      <c r="E177" s="27" t="s">
        <v>23</v>
      </c>
      <c r="F177" s="27" t="s">
        <v>14</v>
      </c>
      <c r="G177" s="27" t="s">
        <v>2272</v>
      </c>
      <c r="H177" s="27"/>
      <c r="I177" s="27">
        <f>VLOOKUP(F177,mapping!$L$2:$P$92,2,0)</f>
        <v>1.0938139169717742</v>
      </c>
      <c r="J177" s="27">
        <f>VLOOKUP($F177,mapping!$L$2:$P$92,3,0)</f>
        <v>47512.83</v>
      </c>
      <c r="K177" s="27" t="str">
        <f>VLOOKUP($F177,mapping!$L$2:$P$92,4,0)</f>
        <v>Euro Area</v>
      </c>
      <c r="L177" s="29">
        <f>$D177*VLOOKUP($E177,'Charts data'!$A$2:$B$11,2,0)*VLOOKUP($G177,'Charts data'!$A$14:$B$18,2,0)/IF('Charts data'!$E$3=1,I177,1)/IF('Charts data'!$E$4=1,J177,1)</f>
        <v>65616.131023916547</v>
      </c>
    </row>
    <row r="178" spans="1:12" x14ac:dyDescent="0.25">
      <c r="A178" s="27" t="s">
        <v>375</v>
      </c>
      <c r="B178" s="27">
        <v>50000</v>
      </c>
      <c r="C178" s="27" t="s">
        <v>9</v>
      </c>
      <c r="D178" s="28">
        <f>B178*VLOOKUP(C178,tblXrate[],2,0)</f>
        <v>63519.971949580387</v>
      </c>
      <c r="E178" s="27" t="s">
        <v>7</v>
      </c>
      <c r="F178" s="27" t="s">
        <v>14</v>
      </c>
      <c r="G178" s="27" t="s">
        <v>2271</v>
      </c>
      <c r="H178" s="27"/>
      <c r="I178" s="27">
        <f>VLOOKUP(F178,mapping!$L$2:$P$92,2,0)</f>
        <v>1.0938139169717742</v>
      </c>
      <c r="J178" s="27">
        <f>VLOOKUP($F178,mapping!$L$2:$P$92,3,0)</f>
        <v>47512.83</v>
      </c>
      <c r="K178" s="27" t="str">
        <f>VLOOKUP($F178,mapping!$L$2:$P$92,4,0)</f>
        <v>Euro Area</v>
      </c>
      <c r="L178" s="29">
        <f>$D178*VLOOKUP($E178,'Charts data'!$A$2:$B$11,2,0)*VLOOKUP($G178,'Charts data'!$A$14:$B$18,2,0)/IF('Charts data'!$E$3=1,I178,1)/IF('Charts data'!$E$4=1,J178,1)</f>
        <v>63519.971949580387</v>
      </c>
    </row>
    <row r="179" spans="1:12" x14ac:dyDescent="0.25">
      <c r="A179" s="27" t="s">
        <v>1288</v>
      </c>
      <c r="B179" s="27">
        <v>70000</v>
      </c>
      <c r="C179" s="27" t="s">
        <v>9</v>
      </c>
      <c r="D179" s="28">
        <f>B179*VLOOKUP(C179,tblXrate[],2,0)</f>
        <v>88927.960729412545</v>
      </c>
      <c r="E179" s="27" t="s">
        <v>53</v>
      </c>
      <c r="F179" s="27" t="s">
        <v>14</v>
      </c>
      <c r="G179" s="27" t="s">
        <v>2272</v>
      </c>
      <c r="H179" s="27">
        <v>20</v>
      </c>
      <c r="I179" s="27">
        <f>VLOOKUP(F179,mapping!$L$2:$P$92,2,0)</f>
        <v>1.0938139169717742</v>
      </c>
      <c r="J179" s="27">
        <f>VLOOKUP($F179,mapping!$L$2:$P$92,3,0)</f>
        <v>47512.83</v>
      </c>
      <c r="K179" s="27" t="str">
        <f>VLOOKUP($F179,mapping!$L$2:$P$92,4,0)</f>
        <v>Euro Area</v>
      </c>
      <c r="L179" s="29">
        <f>$D179*VLOOKUP($E179,'Charts data'!$A$2:$B$11,2,0)*VLOOKUP($G179,'Charts data'!$A$14:$B$18,2,0)/IF('Charts data'!$E$3=1,I179,1)/IF('Charts data'!$E$4=1,J179,1)</f>
        <v>88927.960729412545</v>
      </c>
    </row>
    <row r="180" spans="1:12" x14ac:dyDescent="0.25">
      <c r="A180" s="27" t="s">
        <v>1374</v>
      </c>
      <c r="B180" s="27">
        <v>35000</v>
      </c>
      <c r="C180" s="27" t="s">
        <v>9</v>
      </c>
      <c r="D180" s="28">
        <f>B180*VLOOKUP(C180,tblXrate[],2,0)</f>
        <v>44463.980364706273</v>
      </c>
      <c r="E180" s="27" t="s">
        <v>7</v>
      </c>
      <c r="F180" s="27" t="s">
        <v>14</v>
      </c>
      <c r="G180" s="27" t="s">
        <v>2273</v>
      </c>
      <c r="H180" s="27">
        <v>12</v>
      </c>
      <c r="I180" s="27">
        <f>VLOOKUP(F180,mapping!$L$2:$P$92,2,0)</f>
        <v>1.0938139169717742</v>
      </c>
      <c r="J180" s="27">
        <f>VLOOKUP($F180,mapping!$L$2:$P$92,3,0)</f>
        <v>47512.83</v>
      </c>
      <c r="K180" s="27" t="str">
        <f>VLOOKUP($F180,mapping!$L$2:$P$92,4,0)</f>
        <v>Euro Area</v>
      </c>
      <c r="L180" s="29">
        <f>$D180*VLOOKUP($E180,'Charts data'!$A$2:$B$11,2,0)*VLOOKUP($G180,'Charts data'!$A$14:$B$18,2,0)/IF('Charts data'!$E$3=1,I180,1)/IF('Charts data'!$E$4=1,J180,1)</f>
        <v>44463.980364706273</v>
      </c>
    </row>
    <row r="181" spans="1:12" x14ac:dyDescent="0.25">
      <c r="A181" s="27" t="s">
        <v>1540</v>
      </c>
      <c r="B181" s="27">
        <v>36000</v>
      </c>
      <c r="C181" s="27" t="s">
        <v>9</v>
      </c>
      <c r="D181" s="28">
        <f>B181*VLOOKUP(C181,tblXrate[],2,0)</f>
        <v>45734.379803697877</v>
      </c>
      <c r="E181" s="27" t="s">
        <v>7</v>
      </c>
      <c r="F181" s="27" t="s">
        <v>14</v>
      </c>
      <c r="G181" s="27" t="s">
        <v>2272</v>
      </c>
      <c r="H181" s="27">
        <v>4</v>
      </c>
      <c r="I181" s="27">
        <f>VLOOKUP(F181,mapping!$L$2:$P$92,2,0)</f>
        <v>1.0938139169717742</v>
      </c>
      <c r="J181" s="27">
        <f>VLOOKUP($F181,mapping!$L$2:$P$92,3,0)</f>
        <v>47512.83</v>
      </c>
      <c r="K181" s="27" t="str">
        <f>VLOOKUP($F181,mapping!$L$2:$P$92,4,0)</f>
        <v>Euro Area</v>
      </c>
      <c r="L181" s="29">
        <f>$D181*VLOOKUP($E181,'Charts data'!$A$2:$B$11,2,0)*VLOOKUP($G181,'Charts data'!$A$14:$B$18,2,0)/IF('Charts data'!$E$3=1,I181,1)/IF('Charts data'!$E$4=1,J181,1)</f>
        <v>45734.379803697877</v>
      </c>
    </row>
    <row r="182" spans="1:12" x14ac:dyDescent="0.25">
      <c r="A182" s="27" t="s">
        <v>932</v>
      </c>
      <c r="B182" s="27">
        <v>55000</v>
      </c>
      <c r="C182" s="27" t="s">
        <v>9</v>
      </c>
      <c r="D182" s="28">
        <f>B182*VLOOKUP(C182,tblXrate[],2,0)</f>
        <v>69871.969144538423</v>
      </c>
      <c r="E182" s="27" t="s">
        <v>2147</v>
      </c>
      <c r="F182" s="27" t="s">
        <v>98</v>
      </c>
      <c r="G182" s="27" t="s">
        <v>2272</v>
      </c>
      <c r="H182" s="27">
        <v>18</v>
      </c>
      <c r="I182" s="27">
        <f>VLOOKUP(F182,mapping!$L$2:$P$92,2,0)</f>
        <v>1.0874619197768163</v>
      </c>
      <c r="J182" s="27">
        <f>VLOOKUP($F182,mapping!$L$2:$P$92,3,0)</f>
        <v>36266.85</v>
      </c>
      <c r="K182" s="27" t="str">
        <f>VLOOKUP($F182,mapping!$L$2:$P$92,4,0)</f>
        <v>Major Advanced Economies (G7)</v>
      </c>
      <c r="L182" s="29">
        <f>$D182*VLOOKUP($E182,'Charts data'!$A$2:$B$11,2,0)*VLOOKUP($G182,'Charts data'!$A$14:$B$18,2,0)/IF('Charts data'!$E$3=1,I182,1)/IF('Charts data'!$E$4=1,J182,1)</f>
        <v>69871.969144538423</v>
      </c>
    </row>
    <row r="183" spans="1:12" x14ac:dyDescent="0.25">
      <c r="A183" s="27" t="s">
        <v>1338</v>
      </c>
      <c r="B183" s="27">
        <v>15000</v>
      </c>
      <c r="C183" s="27" t="s">
        <v>9</v>
      </c>
      <c r="D183" s="28">
        <f>B183*VLOOKUP(C183,tblXrate[],2,0)</f>
        <v>19055.991584874118</v>
      </c>
      <c r="E183" s="27" t="s">
        <v>53</v>
      </c>
      <c r="F183" s="27" t="s">
        <v>98</v>
      </c>
      <c r="G183" s="27" t="s">
        <v>2271</v>
      </c>
      <c r="H183" s="27">
        <v>3</v>
      </c>
      <c r="I183" s="27">
        <f>VLOOKUP(F183,mapping!$L$2:$P$92,2,0)</f>
        <v>1.0874619197768163</v>
      </c>
      <c r="J183" s="27">
        <f>VLOOKUP($F183,mapping!$L$2:$P$92,3,0)</f>
        <v>36266.85</v>
      </c>
      <c r="K183" s="27" t="str">
        <f>VLOOKUP($F183,mapping!$L$2:$P$92,4,0)</f>
        <v>Major Advanced Economies (G7)</v>
      </c>
      <c r="L183" s="29">
        <f>$D183*VLOOKUP($E183,'Charts data'!$A$2:$B$11,2,0)*VLOOKUP($G183,'Charts data'!$A$14:$B$18,2,0)/IF('Charts data'!$E$3=1,I183,1)/IF('Charts data'!$E$4=1,J183,1)</f>
        <v>19055.991584874118</v>
      </c>
    </row>
    <row r="184" spans="1:12" x14ac:dyDescent="0.25">
      <c r="A184" s="27" t="s">
        <v>1454</v>
      </c>
      <c r="B184" s="27">
        <v>24000</v>
      </c>
      <c r="C184" s="27" t="s">
        <v>9</v>
      </c>
      <c r="D184" s="28">
        <f>B184*VLOOKUP(C184,tblXrate[],2,0)</f>
        <v>30489.586535798586</v>
      </c>
      <c r="E184" s="27" t="s">
        <v>62</v>
      </c>
      <c r="F184" s="27" t="s">
        <v>98</v>
      </c>
      <c r="G184" s="27" t="s">
        <v>2271</v>
      </c>
      <c r="H184" s="27">
        <v>10</v>
      </c>
      <c r="I184" s="27">
        <f>VLOOKUP(F184,mapping!$L$2:$P$92,2,0)</f>
        <v>1.0874619197768163</v>
      </c>
      <c r="J184" s="27">
        <f>VLOOKUP($F184,mapping!$L$2:$P$92,3,0)</f>
        <v>36266.85</v>
      </c>
      <c r="K184" s="27" t="str">
        <f>VLOOKUP($F184,mapping!$L$2:$P$92,4,0)</f>
        <v>Major Advanced Economies (G7)</v>
      </c>
      <c r="L184" s="29">
        <f>$D184*VLOOKUP($E184,'Charts data'!$A$2:$B$11,2,0)*VLOOKUP($G184,'Charts data'!$A$14:$B$18,2,0)/IF('Charts data'!$E$3=1,I184,1)/IF('Charts data'!$E$4=1,J184,1)</f>
        <v>30489.586535798586</v>
      </c>
    </row>
    <row r="185" spans="1:12" x14ac:dyDescent="0.25">
      <c r="A185" s="27" t="s">
        <v>1612</v>
      </c>
      <c r="B185" s="27">
        <v>60000</v>
      </c>
      <c r="C185" s="27" t="s">
        <v>9</v>
      </c>
      <c r="D185" s="28">
        <f>B185*VLOOKUP(C185,tblXrate[],2,0)</f>
        <v>76223.966339496474</v>
      </c>
      <c r="E185" s="27" t="s">
        <v>7</v>
      </c>
      <c r="F185" s="27" t="s">
        <v>98</v>
      </c>
      <c r="G185" s="27" t="s">
        <v>2273</v>
      </c>
      <c r="H185" s="27">
        <v>14</v>
      </c>
      <c r="I185" s="27">
        <f>VLOOKUP(F185,mapping!$L$2:$P$92,2,0)</f>
        <v>1.0874619197768163</v>
      </c>
      <c r="J185" s="27">
        <f>VLOOKUP($F185,mapping!$L$2:$P$92,3,0)</f>
        <v>36266.85</v>
      </c>
      <c r="K185" s="27" t="str">
        <f>VLOOKUP($F185,mapping!$L$2:$P$92,4,0)</f>
        <v>Major Advanced Economies (G7)</v>
      </c>
      <c r="L185" s="29">
        <f>$D185*VLOOKUP($E185,'Charts data'!$A$2:$B$11,2,0)*VLOOKUP($G185,'Charts data'!$A$14:$B$18,2,0)/IF('Charts data'!$E$3=1,I185,1)/IF('Charts data'!$E$4=1,J185,1)</f>
        <v>76223.966339496474</v>
      </c>
    </row>
    <row r="186" spans="1:12" x14ac:dyDescent="0.25">
      <c r="A186" s="27" t="s">
        <v>1635</v>
      </c>
      <c r="B186" s="27">
        <v>50000</v>
      </c>
      <c r="C186" s="27" t="s">
        <v>9</v>
      </c>
      <c r="D186" s="28">
        <f>B186*VLOOKUP(C186,tblXrate[],2,0)</f>
        <v>63519.971949580387</v>
      </c>
      <c r="E186" s="27" t="s">
        <v>51</v>
      </c>
      <c r="F186" s="27" t="s">
        <v>98</v>
      </c>
      <c r="G186" s="27" t="s">
        <v>2273</v>
      </c>
      <c r="H186" s="27">
        <v>15</v>
      </c>
      <c r="I186" s="27">
        <f>VLOOKUP(F186,mapping!$L$2:$P$92,2,0)</f>
        <v>1.0874619197768163</v>
      </c>
      <c r="J186" s="27">
        <f>VLOOKUP($F186,mapping!$L$2:$P$92,3,0)</f>
        <v>36266.85</v>
      </c>
      <c r="K186" s="27" t="str">
        <f>VLOOKUP($F186,mapping!$L$2:$P$92,4,0)</f>
        <v>Major Advanced Economies (G7)</v>
      </c>
      <c r="L186" s="29">
        <f>$D186*VLOOKUP($E186,'Charts data'!$A$2:$B$11,2,0)*VLOOKUP($G186,'Charts data'!$A$14:$B$18,2,0)/IF('Charts data'!$E$3=1,I186,1)/IF('Charts data'!$E$4=1,J186,1)</f>
        <v>63519.971949580387</v>
      </c>
    </row>
    <row r="187" spans="1:12" x14ac:dyDescent="0.25">
      <c r="A187" s="27" t="s">
        <v>1944</v>
      </c>
      <c r="B187" s="27">
        <v>19200</v>
      </c>
      <c r="C187" s="27" t="s">
        <v>9</v>
      </c>
      <c r="D187" s="28">
        <f>B187*VLOOKUP(C187,tblXrate[],2,0)</f>
        <v>24391.669228638868</v>
      </c>
      <c r="E187" s="27" t="s">
        <v>7</v>
      </c>
      <c r="F187" s="27" t="s">
        <v>98</v>
      </c>
      <c r="G187" s="27" t="s">
        <v>2271</v>
      </c>
      <c r="H187" s="27">
        <v>10</v>
      </c>
      <c r="I187" s="27">
        <f>VLOOKUP(F187,mapping!$L$2:$P$92,2,0)</f>
        <v>1.0874619197768163</v>
      </c>
      <c r="J187" s="27">
        <f>VLOOKUP($F187,mapping!$L$2:$P$92,3,0)</f>
        <v>36266.85</v>
      </c>
      <c r="K187" s="27" t="str">
        <f>VLOOKUP($F187,mapping!$L$2:$P$92,4,0)</f>
        <v>Major Advanced Economies (G7)</v>
      </c>
      <c r="L187" s="29">
        <f>$D187*VLOOKUP($E187,'Charts data'!$A$2:$B$11,2,0)*VLOOKUP($G187,'Charts data'!$A$14:$B$18,2,0)/IF('Charts data'!$E$3=1,I187,1)/IF('Charts data'!$E$4=1,J187,1)</f>
        <v>24391.669228638868</v>
      </c>
    </row>
    <row r="188" spans="1:12" x14ac:dyDescent="0.25">
      <c r="A188" s="27" t="s">
        <v>221</v>
      </c>
      <c r="B188" s="27">
        <v>45000</v>
      </c>
      <c r="C188" s="27" t="s">
        <v>9</v>
      </c>
      <c r="D188" s="28">
        <f>B188*VLOOKUP(C188,tblXrate[],2,0)</f>
        <v>57167.974754622352</v>
      </c>
      <c r="E188" s="27" t="s">
        <v>19</v>
      </c>
      <c r="F188" s="27" t="s">
        <v>77</v>
      </c>
      <c r="G188" s="27" t="s">
        <v>2271</v>
      </c>
      <c r="H188" s="27"/>
      <c r="I188" s="27">
        <f>VLOOKUP(F188,mapping!$L$2:$P$92,2,0)</f>
        <v>1.0900027186547994</v>
      </c>
      <c r="J188" s="27">
        <f>VLOOKUP($F188,mapping!$L$2:$P$92,3,0)</f>
        <v>50355.47</v>
      </c>
      <c r="K188" s="27" t="str">
        <f>VLOOKUP($F188,mapping!$L$2:$P$92,4,0)</f>
        <v>Euro Area</v>
      </c>
      <c r="L188" s="29">
        <f>$D188*VLOOKUP($E188,'Charts data'!$A$2:$B$11,2,0)*VLOOKUP($G188,'Charts data'!$A$14:$B$18,2,0)/IF('Charts data'!$E$3=1,I188,1)/IF('Charts data'!$E$4=1,J188,1)</f>
        <v>57167.974754622352</v>
      </c>
    </row>
    <row r="189" spans="1:12" x14ac:dyDescent="0.25">
      <c r="A189" s="27" t="s">
        <v>238</v>
      </c>
      <c r="B189" s="27">
        <v>38000</v>
      </c>
      <c r="C189" s="27" t="s">
        <v>9</v>
      </c>
      <c r="D189" s="28">
        <f>B189*VLOOKUP(C189,tblXrate[],2,0)</f>
        <v>48275.178681681093</v>
      </c>
      <c r="E189" s="27" t="s">
        <v>7</v>
      </c>
      <c r="F189" s="27" t="s">
        <v>77</v>
      </c>
      <c r="G189" s="27" t="s">
        <v>2274</v>
      </c>
      <c r="H189" s="27"/>
      <c r="I189" s="27">
        <f>VLOOKUP(F189,mapping!$L$2:$P$92,2,0)</f>
        <v>1.0900027186547994</v>
      </c>
      <c r="J189" s="27">
        <f>VLOOKUP($F189,mapping!$L$2:$P$92,3,0)</f>
        <v>50355.47</v>
      </c>
      <c r="K189" s="27" t="str">
        <f>VLOOKUP($F189,mapping!$L$2:$P$92,4,0)</f>
        <v>Euro Area</v>
      </c>
      <c r="L189" s="29">
        <f>$D189*VLOOKUP($E189,'Charts data'!$A$2:$B$11,2,0)*VLOOKUP($G189,'Charts data'!$A$14:$B$18,2,0)/IF('Charts data'!$E$3=1,I189,1)/IF('Charts data'!$E$4=1,J189,1)</f>
        <v>48275.178681681093</v>
      </c>
    </row>
    <row r="190" spans="1:12" x14ac:dyDescent="0.25">
      <c r="A190" s="27" t="s">
        <v>475</v>
      </c>
      <c r="B190" s="27">
        <v>200000</v>
      </c>
      <c r="C190" s="27" t="s">
        <v>9</v>
      </c>
      <c r="D190" s="28">
        <f>B190*VLOOKUP(C190,tblXrate[],2,0)</f>
        <v>254079.88779832155</v>
      </c>
      <c r="E190" s="27" t="s">
        <v>2145</v>
      </c>
      <c r="F190" s="27" t="s">
        <v>77</v>
      </c>
      <c r="G190" s="27" t="s">
        <v>2273</v>
      </c>
      <c r="H190" s="27"/>
      <c r="I190" s="27">
        <f>VLOOKUP(F190,mapping!$L$2:$P$92,2,0)</f>
        <v>1.0900027186547994</v>
      </c>
      <c r="J190" s="27">
        <f>VLOOKUP($F190,mapping!$L$2:$P$92,3,0)</f>
        <v>50355.47</v>
      </c>
      <c r="K190" s="27" t="str">
        <f>VLOOKUP($F190,mapping!$L$2:$P$92,4,0)</f>
        <v>Euro Area</v>
      </c>
      <c r="L190" s="29">
        <f>$D190*VLOOKUP($E190,'Charts data'!$A$2:$B$11,2,0)*VLOOKUP($G190,'Charts data'!$A$14:$B$18,2,0)/IF('Charts data'!$E$3=1,I190,1)/IF('Charts data'!$E$4=1,J190,1)</f>
        <v>254079.88779832155</v>
      </c>
    </row>
    <row r="191" spans="1:12" x14ac:dyDescent="0.25">
      <c r="A191" s="27" t="s">
        <v>689</v>
      </c>
      <c r="B191" s="27">
        <v>49248</v>
      </c>
      <c r="C191" s="27" t="s">
        <v>9</v>
      </c>
      <c r="D191" s="28">
        <f>B191*VLOOKUP(C191,tblXrate[],2,0)</f>
        <v>62564.631571458704</v>
      </c>
      <c r="E191" s="27" t="s">
        <v>51</v>
      </c>
      <c r="F191" s="27" t="s">
        <v>77</v>
      </c>
      <c r="G191" s="27" t="s">
        <v>2273</v>
      </c>
      <c r="H191" s="27"/>
      <c r="I191" s="27">
        <f>VLOOKUP(F191,mapping!$L$2:$P$92,2,0)</f>
        <v>1.0900027186547994</v>
      </c>
      <c r="J191" s="27">
        <f>VLOOKUP($F191,mapping!$L$2:$P$92,3,0)</f>
        <v>50355.47</v>
      </c>
      <c r="K191" s="27" t="str">
        <f>VLOOKUP($F191,mapping!$L$2:$P$92,4,0)</f>
        <v>Euro Area</v>
      </c>
      <c r="L191" s="29">
        <f>$D191*VLOOKUP($E191,'Charts data'!$A$2:$B$11,2,0)*VLOOKUP($G191,'Charts data'!$A$14:$B$18,2,0)/IF('Charts data'!$E$3=1,I191,1)/IF('Charts data'!$E$4=1,J191,1)</f>
        <v>62564.631571458704</v>
      </c>
    </row>
    <row r="192" spans="1:12" x14ac:dyDescent="0.25">
      <c r="A192" s="27" t="s">
        <v>724</v>
      </c>
      <c r="B192" s="27">
        <v>55000</v>
      </c>
      <c r="C192" s="27" t="s">
        <v>9</v>
      </c>
      <c r="D192" s="28">
        <f>B192*VLOOKUP(C192,tblXrate[],2,0)</f>
        <v>69871.969144538423</v>
      </c>
      <c r="E192" s="27" t="s">
        <v>7</v>
      </c>
      <c r="F192" s="27" t="s">
        <v>77</v>
      </c>
      <c r="G192" s="27" t="s">
        <v>2273</v>
      </c>
      <c r="H192" s="27">
        <v>6</v>
      </c>
      <c r="I192" s="27">
        <f>VLOOKUP(F192,mapping!$L$2:$P$92,2,0)</f>
        <v>1.0900027186547994</v>
      </c>
      <c r="J192" s="27">
        <f>VLOOKUP($F192,mapping!$L$2:$P$92,3,0)</f>
        <v>50355.47</v>
      </c>
      <c r="K192" s="27" t="str">
        <f>VLOOKUP($F192,mapping!$L$2:$P$92,4,0)</f>
        <v>Euro Area</v>
      </c>
      <c r="L192" s="29">
        <f>$D192*VLOOKUP($E192,'Charts data'!$A$2:$B$11,2,0)*VLOOKUP($G192,'Charts data'!$A$14:$B$18,2,0)/IF('Charts data'!$E$3=1,I192,1)/IF('Charts data'!$E$4=1,J192,1)</f>
        <v>69871.969144538423</v>
      </c>
    </row>
    <row r="193" spans="1:12" x14ac:dyDescent="0.25">
      <c r="A193" s="27" t="s">
        <v>983</v>
      </c>
      <c r="B193" s="27">
        <v>42000</v>
      </c>
      <c r="C193" s="27" t="s">
        <v>9</v>
      </c>
      <c r="D193" s="28">
        <f>B193*VLOOKUP(C193,tblXrate[],2,0)</f>
        <v>53356.776437647524</v>
      </c>
      <c r="E193" s="27" t="s">
        <v>48</v>
      </c>
      <c r="F193" s="27" t="s">
        <v>77</v>
      </c>
      <c r="G193" s="27" t="s">
        <v>2271</v>
      </c>
      <c r="H193" s="27">
        <v>2</v>
      </c>
      <c r="I193" s="27">
        <f>VLOOKUP(F193,mapping!$L$2:$P$92,2,0)</f>
        <v>1.0900027186547994</v>
      </c>
      <c r="J193" s="27">
        <f>VLOOKUP($F193,mapping!$L$2:$P$92,3,0)</f>
        <v>50355.47</v>
      </c>
      <c r="K193" s="27" t="str">
        <f>VLOOKUP($F193,mapping!$L$2:$P$92,4,0)</f>
        <v>Euro Area</v>
      </c>
      <c r="L193" s="29">
        <f>$D193*VLOOKUP($E193,'Charts data'!$A$2:$B$11,2,0)*VLOOKUP($G193,'Charts data'!$A$14:$B$18,2,0)/IF('Charts data'!$E$3=1,I193,1)/IF('Charts data'!$E$4=1,J193,1)</f>
        <v>53356.776437647524</v>
      </c>
    </row>
    <row r="194" spans="1:12" x14ac:dyDescent="0.25">
      <c r="A194" s="27" t="s">
        <v>1032</v>
      </c>
      <c r="B194" s="27">
        <v>40000</v>
      </c>
      <c r="C194" s="27" t="s">
        <v>9</v>
      </c>
      <c r="D194" s="28">
        <f>B194*VLOOKUP(C194,tblXrate[],2,0)</f>
        <v>50815.977559664309</v>
      </c>
      <c r="E194" s="27" t="s">
        <v>7</v>
      </c>
      <c r="F194" s="27" t="s">
        <v>77</v>
      </c>
      <c r="G194" s="27" t="s">
        <v>2271</v>
      </c>
      <c r="H194" s="27">
        <v>4</v>
      </c>
      <c r="I194" s="27">
        <f>VLOOKUP(F194,mapping!$L$2:$P$92,2,0)</f>
        <v>1.0900027186547994</v>
      </c>
      <c r="J194" s="27">
        <f>VLOOKUP($F194,mapping!$L$2:$P$92,3,0)</f>
        <v>50355.47</v>
      </c>
      <c r="K194" s="27" t="str">
        <f>VLOOKUP($F194,mapping!$L$2:$P$92,4,0)</f>
        <v>Euro Area</v>
      </c>
      <c r="L194" s="29">
        <f>$D194*VLOOKUP($E194,'Charts data'!$A$2:$B$11,2,0)*VLOOKUP($G194,'Charts data'!$A$14:$B$18,2,0)/IF('Charts data'!$E$3=1,I194,1)/IF('Charts data'!$E$4=1,J194,1)</f>
        <v>50815.977559664309</v>
      </c>
    </row>
    <row r="195" spans="1:12" x14ac:dyDescent="0.25">
      <c r="A195" s="27" t="s">
        <v>1101</v>
      </c>
      <c r="B195" s="27">
        <v>75000</v>
      </c>
      <c r="C195" s="27" t="s">
        <v>9</v>
      </c>
      <c r="D195" s="28">
        <f>B195*VLOOKUP(C195,tblXrate[],2,0)</f>
        <v>95279.957924370581</v>
      </c>
      <c r="E195" s="27" t="s">
        <v>7</v>
      </c>
      <c r="F195" s="27" t="s">
        <v>77</v>
      </c>
      <c r="G195" s="27" t="s">
        <v>2271</v>
      </c>
      <c r="H195" s="27">
        <v>4</v>
      </c>
      <c r="I195" s="27">
        <f>VLOOKUP(F195,mapping!$L$2:$P$92,2,0)</f>
        <v>1.0900027186547994</v>
      </c>
      <c r="J195" s="27">
        <f>VLOOKUP($F195,mapping!$L$2:$P$92,3,0)</f>
        <v>50355.47</v>
      </c>
      <c r="K195" s="27" t="str">
        <f>VLOOKUP($F195,mapping!$L$2:$P$92,4,0)</f>
        <v>Euro Area</v>
      </c>
      <c r="L195" s="29">
        <f>$D195*VLOOKUP($E195,'Charts data'!$A$2:$B$11,2,0)*VLOOKUP($G195,'Charts data'!$A$14:$B$18,2,0)/IF('Charts data'!$E$3=1,I195,1)/IF('Charts data'!$E$4=1,J195,1)</f>
        <v>95279.957924370581</v>
      </c>
    </row>
    <row r="196" spans="1:12" x14ac:dyDescent="0.25">
      <c r="A196" s="27" t="s">
        <v>1102</v>
      </c>
      <c r="B196" s="27">
        <v>45000</v>
      </c>
      <c r="C196" s="27" t="s">
        <v>9</v>
      </c>
      <c r="D196" s="28">
        <f>B196*VLOOKUP(C196,tblXrate[],2,0)</f>
        <v>57167.974754622352</v>
      </c>
      <c r="E196" s="27" t="s">
        <v>7</v>
      </c>
      <c r="F196" s="27" t="s">
        <v>77</v>
      </c>
      <c r="G196" s="27" t="s">
        <v>2272</v>
      </c>
      <c r="H196" s="27">
        <v>10</v>
      </c>
      <c r="I196" s="27">
        <f>VLOOKUP(F196,mapping!$L$2:$P$92,2,0)</f>
        <v>1.0900027186547994</v>
      </c>
      <c r="J196" s="27">
        <f>VLOOKUP($F196,mapping!$L$2:$P$92,3,0)</f>
        <v>50355.47</v>
      </c>
      <c r="K196" s="27" t="str">
        <f>VLOOKUP($F196,mapping!$L$2:$P$92,4,0)</f>
        <v>Euro Area</v>
      </c>
      <c r="L196" s="29">
        <f>$D196*VLOOKUP($E196,'Charts data'!$A$2:$B$11,2,0)*VLOOKUP($G196,'Charts data'!$A$14:$B$18,2,0)/IF('Charts data'!$E$3=1,I196,1)/IF('Charts data'!$E$4=1,J196,1)</f>
        <v>57167.974754622352</v>
      </c>
    </row>
    <row r="197" spans="1:12" x14ac:dyDescent="0.25">
      <c r="A197" s="27" t="s">
        <v>1236</v>
      </c>
      <c r="B197" s="27">
        <v>40000</v>
      </c>
      <c r="C197" s="27" t="s">
        <v>9</v>
      </c>
      <c r="D197" s="28">
        <f>B197*VLOOKUP(C197,tblXrate[],2,0)</f>
        <v>50815.977559664309</v>
      </c>
      <c r="E197" s="27" t="s">
        <v>7</v>
      </c>
      <c r="F197" s="27" t="s">
        <v>77</v>
      </c>
      <c r="G197" s="27" t="s">
        <v>2271</v>
      </c>
      <c r="H197" s="27">
        <v>3</v>
      </c>
      <c r="I197" s="27">
        <f>VLOOKUP(F197,mapping!$L$2:$P$92,2,0)</f>
        <v>1.0900027186547994</v>
      </c>
      <c r="J197" s="27">
        <f>VLOOKUP($F197,mapping!$L$2:$P$92,3,0)</f>
        <v>50355.47</v>
      </c>
      <c r="K197" s="27" t="str">
        <f>VLOOKUP($F197,mapping!$L$2:$P$92,4,0)</f>
        <v>Euro Area</v>
      </c>
      <c r="L197" s="29">
        <f>$D197*VLOOKUP($E197,'Charts data'!$A$2:$B$11,2,0)*VLOOKUP($G197,'Charts data'!$A$14:$B$18,2,0)/IF('Charts data'!$E$3=1,I197,1)/IF('Charts data'!$E$4=1,J197,1)</f>
        <v>50815.977559664309</v>
      </c>
    </row>
    <row r="198" spans="1:12" x14ac:dyDescent="0.25">
      <c r="A198" s="27" t="s">
        <v>1334</v>
      </c>
      <c r="B198" s="27">
        <v>82000</v>
      </c>
      <c r="C198" s="27" t="s">
        <v>9</v>
      </c>
      <c r="D198" s="28">
        <f>B198*VLOOKUP(C198,tblXrate[],2,0)</f>
        <v>104172.75399731184</v>
      </c>
      <c r="E198" s="27" t="s">
        <v>19</v>
      </c>
      <c r="F198" s="27" t="s">
        <v>77</v>
      </c>
      <c r="G198" s="27" t="s">
        <v>2273</v>
      </c>
      <c r="H198" s="27">
        <v>25</v>
      </c>
      <c r="I198" s="27">
        <f>VLOOKUP(F198,mapping!$L$2:$P$92,2,0)</f>
        <v>1.0900027186547994</v>
      </c>
      <c r="J198" s="27">
        <f>VLOOKUP($F198,mapping!$L$2:$P$92,3,0)</f>
        <v>50355.47</v>
      </c>
      <c r="K198" s="27" t="str">
        <f>VLOOKUP($F198,mapping!$L$2:$P$92,4,0)</f>
        <v>Euro Area</v>
      </c>
      <c r="L198" s="29">
        <f>$D198*VLOOKUP($E198,'Charts data'!$A$2:$B$11,2,0)*VLOOKUP($G198,'Charts data'!$A$14:$B$18,2,0)/IF('Charts data'!$E$3=1,I198,1)/IF('Charts data'!$E$4=1,J198,1)</f>
        <v>104172.75399731184</v>
      </c>
    </row>
    <row r="199" spans="1:12" x14ac:dyDescent="0.25">
      <c r="A199" s="27" t="s">
        <v>1372</v>
      </c>
      <c r="B199" s="27">
        <v>62000</v>
      </c>
      <c r="C199" s="27" t="s">
        <v>9</v>
      </c>
      <c r="D199" s="28">
        <f>B199*VLOOKUP(C199,tblXrate[],2,0)</f>
        <v>78764.765217479682</v>
      </c>
      <c r="E199" s="27" t="s">
        <v>7</v>
      </c>
      <c r="F199" s="27" t="s">
        <v>77</v>
      </c>
      <c r="G199" s="27" t="s">
        <v>2271</v>
      </c>
      <c r="H199" s="27">
        <v>15</v>
      </c>
      <c r="I199" s="27">
        <f>VLOOKUP(F199,mapping!$L$2:$P$92,2,0)</f>
        <v>1.0900027186547994</v>
      </c>
      <c r="J199" s="27">
        <f>VLOOKUP($F199,mapping!$L$2:$P$92,3,0)</f>
        <v>50355.47</v>
      </c>
      <c r="K199" s="27" t="str">
        <f>VLOOKUP($F199,mapping!$L$2:$P$92,4,0)</f>
        <v>Euro Area</v>
      </c>
      <c r="L199" s="29">
        <f>$D199*VLOOKUP($E199,'Charts data'!$A$2:$B$11,2,0)*VLOOKUP($G199,'Charts data'!$A$14:$B$18,2,0)/IF('Charts data'!$E$3=1,I199,1)/IF('Charts data'!$E$4=1,J199,1)</f>
        <v>78764.765217479682</v>
      </c>
    </row>
    <row r="200" spans="1:12" x14ac:dyDescent="0.25">
      <c r="A200" s="27" t="s">
        <v>1375</v>
      </c>
      <c r="B200" s="27">
        <v>30000</v>
      </c>
      <c r="C200" s="27" t="s">
        <v>9</v>
      </c>
      <c r="D200" s="28">
        <f>B200*VLOOKUP(C200,tblXrate[],2,0)</f>
        <v>38111.983169748237</v>
      </c>
      <c r="E200" s="27" t="s">
        <v>53</v>
      </c>
      <c r="F200" s="27" t="s">
        <v>77</v>
      </c>
      <c r="G200" s="27" t="s">
        <v>2274</v>
      </c>
      <c r="H200" s="27">
        <v>8</v>
      </c>
      <c r="I200" s="27">
        <f>VLOOKUP(F200,mapping!$L$2:$P$92,2,0)</f>
        <v>1.0900027186547994</v>
      </c>
      <c r="J200" s="27">
        <f>VLOOKUP($F200,mapping!$L$2:$P$92,3,0)</f>
        <v>50355.47</v>
      </c>
      <c r="K200" s="27" t="str">
        <f>VLOOKUP($F200,mapping!$L$2:$P$92,4,0)</f>
        <v>Euro Area</v>
      </c>
      <c r="L200" s="29">
        <f>$D200*VLOOKUP($E200,'Charts data'!$A$2:$B$11,2,0)*VLOOKUP($G200,'Charts data'!$A$14:$B$18,2,0)/IF('Charts data'!$E$3=1,I200,1)/IF('Charts data'!$E$4=1,J200,1)</f>
        <v>38111.983169748237</v>
      </c>
    </row>
    <row r="201" spans="1:12" x14ac:dyDescent="0.25">
      <c r="A201" s="27" t="s">
        <v>1444</v>
      </c>
      <c r="B201" s="27">
        <v>48500</v>
      </c>
      <c r="C201" s="27" t="s">
        <v>9</v>
      </c>
      <c r="D201" s="28">
        <f>B201*VLOOKUP(C201,tblXrate[],2,0)</f>
        <v>61614.372791092981</v>
      </c>
      <c r="E201" s="27" t="s">
        <v>7</v>
      </c>
      <c r="F201" s="27" t="s">
        <v>77</v>
      </c>
      <c r="G201" s="27" t="s">
        <v>2271</v>
      </c>
      <c r="H201" s="27">
        <v>8</v>
      </c>
      <c r="I201" s="27">
        <f>VLOOKUP(F201,mapping!$L$2:$P$92,2,0)</f>
        <v>1.0900027186547994</v>
      </c>
      <c r="J201" s="27">
        <f>VLOOKUP($F201,mapping!$L$2:$P$92,3,0)</f>
        <v>50355.47</v>
      </c>
      <c r="K201" s="27" t="str">
        <f>VLOOKUP($F201,mapping!$L$2:$P$92,4,0)</f>
        <v>Euro Area</v>
      </c>
      <c r="L201" s="29">
        <f>$D201*VLOOKUP($E201,'Charts data'!$A$2:$B$11,2,0)*VLOOKUP($G201,'Charts data'!$A$14:$B$18,2,0)/IF('Charts data'!$E$3=1,I201,1)/IF('Charts data'!$E$4=1,J201,1)</f>
        <v>61614.372791092981</v>
      </c>
    </row>
    <row r="202" spans="1:12" x14ac:dyDescent="0.25">
      <c r="A202" s="27" t="s">
        <v>1447</v>
      </c>
      <c r="B202" s="27">
        <v>28500</v>
      </c>
      <c r="C202" s="27" t="s">
        <v>9</v>
      </c>
      <c r="D202" s="28">
        <f>B202*VLOOKUP(C202,tblXrate[],2,0)</f>
        <v>36206.384011260823</v>
      </c>
      <c r="E202" s="27" t="s">
        <v>7</v>
      </c>
      <c r="F202" s="27" t="s">
        <v>77</v>
      </c>
      <c r="G202" s="27" t="s">
        <v>2274</v>
      </c>
      <c r="H202" s="27">
        <v>5</v>
      </c>
      <c r="I202" s="27">
        <f>VLOOKUP(F202,mapping!$L$2:$P$92,2,0)</f>
        <v>1.0900027186547994</v>
      </c>
      <c r="J202" s="27">
        <f>VLOOKUP($F202,mapping!$L$2:$P$92,3,0)</f>
        <v>50355.47</v>
      </c>
      <c r="K202" s="27" t="str">
        <f>VLOOKUP($F202,mapping!$L$2:$P$92,4,0)</f>
        <v>Euro Area</v>
      </c>
      <c r="L202" s="29">
        <f>$D202*VLOOKUP($E202,'Charts data'!$A$2:$B$11,2,0)*VLOOKUP($G202,'Charts data'!$A$14:$B$18,2,0)/IF('Charts data'!$E$3=1,I202,1)/IF('Charts data'!$E$4=1,J202,1)</f>
        <v>36206.384011260823</v>
      </c>
    </row>
    <row r="203" spans="1:12" x14ac:dyDescent="0.25">
      <c r="A203" s="27" t="s">
        <v>1462</v>
      </c>
      <c r="B203" s="27">
        <v>75000</v>
      </c>
      <c r="C203" s="27" t="s">
        <v>9</v>
      </c>
      <c r="D203" s="28">
        <f>B203*VLOOKUP(C203,tblXrate[],2,0)</f>
        <v>95279.957924370581</v>
      </c>
      <c r="E203" s="27" t="s">
        <v>7</v>
      </c>
      <c r="F203" s="27" t="s">
        <v>77</v>
      </c>
      <c r="G203" s="27" t="s">
        <v>2273</v>
      </c>
      <c r="H203" s="27">
        <v>16</v>
      </c>
      <c r="I203" s="27">
        <f>VLOOKUP(F203,mapping!$L$2:$P$92,2,0)</f>
        <v>1.0900027186547994</v>
      </c>
      <c r="J203" s="27">
        <f>VLOOKUP($F203,mapping!$L$2:$P$92,3,0)</f>
        <v>50355.47</v>
      </c>
      <c r="K203" s="27" t="str">
        <f>VLOOKUP($F203,mapping!$L$2:$P$92,4,0)</f>
        <v>Euro Area</v>
      </c>
      <c r="L203" s="29">
        <f>$D203*VLOOKUP($E203,'Charts data'!$A$2:$B$11,2,0)*VLOOKUP($G203,'Charts data'!$A$14:$B$18,2,0)/IF('Charts data'!$E$3=1,I203,1)/IF('Charts data'!$E$4=1,J203,1)</f>
        <v>95279.957924370581</v>
      </c>
    </row>
    <row r="204" spans="1:12" x14ac:dyDescent="0.25">
      <c r="A204" s="27" t="s">
        <v>1481</v>
      </c>
      <c r="B204" s="27">
        <v>34500</v>
      </c>
      <c r="C204" s="27" t="s">
        <v>9</v>
      </c>
      <c r="D204" s="28">
        <f>B204*VLOOKUP(C204,tblXrate[],2,0)</f>
        <v>43828.780645210471</v>
      </c>
      <c r="E204" s="27" t="s">
        <v>7</v>
      </c>
      <c r="F204" s="27" t="s">
        <v>77</v>
      </c>
      <c r="G204" s="27" t="s">
        <v>2271</v>
      </c>
      <c r="H204" s="27">
        <v>15</v>
      </c>
      <c r="I204" s="27">
        <f>VLOOKUP(F204,mapping!$L$2:$P$92,2,0)</f>
        <v>1.0900027186547994</v>
      </c>
      <c r="J204" s="27">
        <f>VLOOKUP($F204,mapping!$L$2:$P$92,3,0)</f>
        <v>50355.47</v>
      </c>
      <c r="K204" s="27" t="str">
        <f>VLOOKUP($F204,mapping!$L$2:$P$92,4,0)</f>
        <v>Euro Area</v>
      </c>
      <c r="L204" s="29">
        <f>$D204*VLOOKUP($E204,'Charts data'!$A$2:$B$11,2,0)*VLOOKUP($G204,'Charts data'!$A$14:$B$18,2,0)/IF('Charts data'!$E$3=1,I204,1)/IF('Charts data'!$E$4=1,J204,1)</f>
        <v>43828.780645210471</v>
      </c>
    </row>
    <row r="205" spans="1:12" x14ac:dyDescent="0.25">
      <c r="A205" s="27" t="s">
        <v>1500</v>
      </c>
      <c r="B205" s="27">
        <v>62000</v>
      </c>
      <c r="C205" s="27" t="s">
        <v>9</v>
      </c>
      <c r="D205" s="28">
        <f>B205*VLOOKUP(C205,tblXrate[],2,0)</f>
        <v>78764.765217479682</v>
      </c>
      <c r="E205" s="27" t="s">
        <v>62</v>
      </c>
      <c r="F205" s="27" t="s">
        <v>77</v>
      </c>
      <c r="G205" s="27" t="s">
        <v>2271</v>
      </c>
      <c r="H205" s="27">
        <v>15</v>
      </c>
      <c r="I205" s="27">
        <f>VLOOKUP(F205,mapping!$L$2:$P$92,2,0)</f>
        <v>1.0900027186547994</v>
      </c>
      <c r="J205" s="27">
        <f>VLOOKUP($F205,mapping!$L$2:$P$92,3,0)</f>
        <v>50355.47</v>
      </c>
      <c r="K205" s="27" t="str">
        <f>VLOOKUP($F205,mapping!$L$2:$P$92,4,0)</f>
        <v>Euro Area</v>
      </c>
      <c r="L205" s="29">
        <f>$D205*VLOOKUP($E205,'Charts data'!$A$2:$B$11,2,0)*VLOOKUP($G205,'Charts data'!$A$14:$B$18,2,0)/IF('Charts data'!$E$3=1,I205,1)/IF('Charts data'!$E$4=1,J205,1)</f>
        <v>78764.765217479682</v>
      </c>
    </row>
    <row r="206" spans="1:12" x14ac:dyDescent="0.25">
      <c r="A206" s="27" t="s">
        <v>1666</v>
      </c>
      <c r="B206" s="27">
        <v>60000</v>
      </c>
      <c r="C206" s="27" t="s">
        <v>9</v>
      </c>
      <c r="D206" s="28">
        <f>B206*VLOOKUP(C206,tblXrate[],2,0)</f>
        <v>76223.966339496474</v>
      </c>
      <c r="E206" s="27" t="s">
        <v>19</v>
      </c>
      <c r="F206" s="27" t="s">
        <v>77</v>
      </c>
      <c r="G206" s="27" t="s">
        <v>2272</v>
      </c>
      <c r="H206" s="27">
        <v>15</v>
      </c>
      <c r="I206" s="27">
        <f>VLOOKUP(F206,mapping!$L$2:$P$92,2,0)</f>
        <v>1.0900027186547994</v>
      </c>
      <c r="J206" s="27">
        <f>VLOOKUP($F206,mapping!$L$2:$P$92,3,0)</f>
        <v>50355.47</v>
      </c>
      <c r="K206" s="27" t="str">
        <f>VLOOKUP($F206,mapping!$L$2:$P$92,4,0)</f>
        <v>Euro Area</v>
      </c>
      <c r="L206" s="29">
        <f>$D206*VLOOKUP($E206,'Charts data'!$A$2:$B$11,2,0)*VLOOKUP($G206,'Charts data'!$A$14:$B$18,2,0)/IF('Charts data'!$E$3=1,I206,1)/IF('Charts data'!$E$4=1,J206,1)</f>
        <v>76223.966339496474</v>
      </c>
    </row>
    <row r="207" spans="1:12" x14ac:dyDescent="0.25">
      <c r="A207" s="27" t="s">
        <v>1677</v>
      </c>
      <c r="B207" s="27">
        <v>55000</v>
      </c>
      <c r="C207" s="27" t="s">
        <v>9</v>
      </c>
      <c r="D207" s="28">
        <f>B207*VLOOKUP(C207,tblXrate[],2,0)</f>
        <v>69871.969144538423</v>
      </c>
      <c r="E207" s="27" t="s">
        <v>19</v>
      </c>
      <c r="F207" s="27" t="s">
        <v>77</v>
      </c>
      <c r="G207" s="27" t="s">
        <v>2274</v>
      </c>
      <c r="H207" s="27">
        <v>5</v>
      </c>
      <c r="I207" s="27">
        <f>VLOOKUP(F207,mapping!$L$2:$P$92,2,0)</f>
        <v>1.0900027186547994</v>
      </c>
      <c r="J207" s="27">
        <f>VLOOKUP($F207,mapping!$L$2:$P$92,3,0)</f>
        <v>50355.47</v>
      </c>
      <c r="K207" s="27" t="str">
        <f>VLOOKUP($F207,mapping!$L$2:$P$92,4,0)</f>
        <v>Euro Area</v>
      </c>
      <c r="L207" s="29">
        <f>$D207*VLOOKUP($E207,'Charts data'!$A$2:$B$11,2,0)*VLOOKUP($G207,'Charts data'!$A$14:$B$18,2,0)/IF('Charts data'!$E$3=1,I207,1)/IF('Charts data'!$E$4=1,J207,1)</f>
        <v>69871.969144538423</v>
      </c>
    </row>
    <row r="208" spans="1:12" x14ac:dyDescent="0.25">
      <c r="A208" s="27" t="s">
        <v>1679</v>
      </c>
      <c r="B208" s="27">
        <v>60000</v>
      </c>
      <c r="C208" s="27" t="s">
        <v>9</v>
      </c>
      <c r="D208" s="28">
        <f>B208*VLOOKUP(C208,tblXrate[],2,0)</f>
        <v>76223.966339496474</v>
      </c>
      <c r="E208" s="27" t="s">
        <v>48</v>
      </c>
      <c r="F208" s="27" t="s">
        <v>77</v>
      </c>
      <c r="G208" s="27" t="s">
        <v>2271</v>
      </c>
      <c r="H208" s="27">
        <v>7</v>
      </c>
      <c r="I208" s="27">
        <f>VLOOKUP(F208,mapping!$L$2:$P$92,2,0)</f>
        <v>1.0900027186547994</v>
      </c>
      <c r="J208" s="27">
        <f>VLOOKUP($F208,mapping!$L$2:$P$92,3,0)</f>
        <v>50355.47</v>
      </c>
      <c r="K208" s="27" t="str">
        <f>VLOOKUP($F208,mapping!$L$2:$P$92,4,0)</f>
        <v>Euro Area</v>
      </c>
      <c r="L208" s="29">
        <f>$D208*VLOOKUP($E208,'Charts data'!$A$2:$B$11,2,0)*VLOOKUP($G208,'Charts data'!$A$14:$B$18,2,0)/IF('Charts data'!$E$3=1,I208,1)/IF('Charts data'!$E$4=1,J208,1)</f>
        <v>76223.966339496474</v>
      </c>
    </row>
    <row r="209" spans="1:12" x14ac:dyDescent="0.25">
      <c r="A209" s="27" t="s">
        <v>1730</v>
      </c>
      <c r="B209" s="27">
        <v>50000</v>
      </c>
      <c r="C209" s="27" t="s">
        <v>9</v>
      </c>
      <c r="D209" s="28">
        <f>B209*VLOOKUP(C209,tblXrate[],2,0)</f>
        <v>63519.971949580387</v>
      </c>
      <c r="E209" s="27" t="s">
        <v>62</v>
      </c>
      <c r="F209" s="27" t="s">
        <v>77</v>
      </c>
      <c r="G209" s="27" t="s">
        <v>2271</v>
      </c>
      <c r="H209" s="27">
        <v>10</v>
      </c>
      <c r="I209" s="27">
        <f>VLOOKUP(F209,mapping!$L$2:$P$92,2,0)</f>
        <v>1.0900027186547994</v>
      </c>
      <c r="J209" s="27">
        <f>VLOOKUP($F209,mapping!$L$2:$P$92,3,0)</f>
        <v>50355.47</v>
      </c>
      <c r="K209" s="27" t="str">
        <f>VLOOKUP($F209,mapping!$L$2:$P$92,4,0)</f>
        <v>Euro Area</v>
      </c>
      <c r="L209" s="29">
        <f>$D209*VLOOKUP($E209,'Charts data'!$A$2:$B$11,2,0)*VLOOKUP($G209,'Charts data'!$A$14:$B$18,2,0)/IF('Charts data'!$E$3=1,I209,1)/IF('Charts data'!$E$4=1,J209,1)</f>
        <v>63519.971949580387</v>
      </c>
    </row>
    <row r="210" spans="1:12" x14ac:dyDescent="0.25">
      <c r="A210" s="27" t="s">
        <v>1937</v>
      </c>
      <c r="B210" s="27">
        <v>45000</v>
      </c>
      <c r="C210" s="27" t="s">
        <v>9</v>
      </c>
      <c r="D210" s="28">
        <f>B210*VLOOKUP(C210,tblXrate[],2,0)</f>
        <v>57167.974754622352</v>
      </c>
      <c r="E210" s="27" t="s">
        <v>7</v>
      </c>
      <c r="F210" s="27" t="s">
        <v>77</v>
      </c>
      <c r="G210" s="27" t="s">
        <v>2272</v>
      </c>
      <c r="H210" s="27">
        <v>14</v>
      </c>
      <c r="I210" s="27">
        <f>VLOOKUP(F210,mapping!$L$2:$P$92,2,0)</f>
        <v>1.0900027186547994</v>
      </c>
      <c r="J210" s="27">
        <f>VLOOKUP($F210,mapping!$L$2:$P$92,3,0)</f>
        <v>50355.47</v>
      </c>
      <c r="K210" s="27" t="str">
        <f>VLOOKUP($F210,mapping!$L$2:$P$92,4,0)</f>
        <v>Euro Area</v>
      </c>
      <c r="L210" s="29">
        <f>$D210*VLOOKUP($E210,'Charts data'!$A$2:$B$11,2,0)*VLOOKUP($G210,'Charts data'!$A$14:$B$18,2,0)/IF('Charts data'!$E$3=1,I210,1)/IF('Charts data'!$E$4=1,J210,1)</f>
        <v>57167.974754622352</v>
      </c>
    </row>
    <row r="211" spans="1:12" x14ac:dyDescent="0.25">
      <c r="A211" s="27" t="s">
        <v>1247</v>
      </c>
      <c r="B211" s="27">
        <v>57000</v>
      </c>
      <c r="C211" s="27" t="s">
        <v>9</v>
      </c>
      <c r="D211" s="28">
        <f>B211*VLOOKUP(C211,tblXrate[],2,0)</f>
        <v>72412.768022521646</v>
      </c>
      <c r="E211" s="27" t="s">
        <v>19</v>
      </c>
      <c r="F211" s="27" t="s">
        <v>74</v>
      </c>
      <c r="G211" s="27" t="s">
        <v>2274</v>
      </c>
      <c r="H211" s="27">
        <v>15</v>
      </c>
      <c r="I211" s="27">
        <f>VLOOKUP(F211,mapping!$L$2:$P$92,2,0)</f>
        <v>12.950451881080451</v>
      </c>
      <c r="J211" s="27">
        <f>VLOOKUP($F211,mapping!$L$2:$P$92,3,0)</f>
        <v>97254.6</v>
      </c>
      <c r="K211" s="27" t="str">
        <f>VLOOKUP($F211,mapping!$L$2:$P$92,4,0)</f>
        <v>Other Advanced Economies</v>
      </c>
      <c r="L211" s="29">
        <f>$D211*VLOOKUP($E211,'Charts data'!$A$2:$B$11,2,0)*VLOOKUP($G211,'Charts data'!$A$14:$B$18,2,0)/IF('Charts data'!$E$3=1,I211,1)/IF('Charts data'!$E$4=1,J211,1)</f>
        <v>72412.768022521646</v>
      </c>
    </row>
    <row r="212" spans="1:12" x14ac:dyDescent="0.25">
      <c r="A212" s="27" t="s">
        <v>717</v>
      </c>
      <c r="B212" s="27">
        <v>50000</v>
      </c>
      <c r="C212" s="27" t="s">
        <v>9</v>
      </c>
      <c r="D212" s="28">
        <f>B212*VLOOKUP(C212,tblXrate[],2,0)</f>
        <v>63519.971949580387</v>
      </c>
      <c r="E212" s="27" t="s">
        <v>19</v>
      </c>
      <c r="F212" s="27" t="s">
        <v>39</v>
      </c>
      <c r="G212" s="27" t="s">
        <v>2272</v>
      </c>
      <c r="H212" s="27"/>
      <c r="I212" s="27">
        <f>VLOOKUP(F212,mapping!$L$2:$P$92,2,0)</f>
        <v>0.76732126115093102</v>
      </c>
      <c r="J212" s="27">
        <f>VLOOKUP($F212,mapping!$L$2:$P$92,3,0)</f>
        <v>8514.2199999999993</v>
      </c>
      <c r="K212" s="27" t="str">
        <f>VLOOKUP($F212,mapping!$L$2:$P$92,4,0)</f>
        <v>Latin America and the Caribbean</v>
      </c>
      <c r="L212" s="29">
        <f>$D212*VLOOKUP($E212,'Charts data'!$A$2:$B$11,2,0)*VLOOKUP($G212,'Charts data'!$A$14:$B$18,2,0)/IF('Charts data'!$E$3=1,I212,1)/IF('Charts data'!$E$4=1,J212,1)</f>
        <v>63519.971949580387</v>
      </c>
    </row>
    <row r="213" spans="1:12" x14ac:dyDescent="0.25">
      <c r="A213" s="27" t="s">
        <v>1070</v>
      </c>
      <c r="B213" s="27">
        <v>20500</v>
      </c>
      <c r="C213" s="27" t="s">
        <v>9</v>
      </c>
      <c r="D213" s="28">
        <f>B213*VLOOKUP(C213,tblXrate[],2,0)</f>
        <v>26043.18849932796</v>
      </c>
      <c r="E213" s="27" t="s">
        <v>19</v>
      </c>
      <c r="F213" s="27" t="s">
        <v>27</v>
      </c>
      <c r="G213" s="27" t="s">
        <v>2271</v>
      </c>
      <c r="H213" s="27">
        <v>8</v>
      </c>
      <c r="I213" s="27">
        <f>VLOOKUP(F213,mapping!$L$2:$P$92,2,0)</f>
        <v>2.5064980931304421</v>
      </c>
      <c r="J213" s="27">
        <f>VLOOKUP($F213,mapping!$L$2:$P$92,3,0)</f>
        <v>13539.84</v>
      </c>
      <c r="K213" s="27" t="str">
        <f>VLOOKUP($F213,mapping!$L$2:$P$92,4,0)</f>
        <v>Central and Eastern Europe</v>
      </c>
      <c r="L213" s="29">
        <f>$D213*VLOOKUP($E213,'Charts data'!$A$2:$B$11,2,0)*VLOOKUP($G213,'Charts data'!$A$14:$B$18,2,0)/IF('Charts data'!$E$3=1,I213,1)/IF('Charts data'!$E$4=1,J213,1)</f>
        <v>26043.18849932796</v>
      </c>
    </row>
    <row r="214" spans="1:12" x14ac:dyDescent="0.25">
      <c r="A214" s="27" t="s">
        <v>406</v>
      </c>
      <c r="B214" s="27">
        <v>12000</v>
      </c>
      <c r="C214" s="27" t="s">
        <v>9</v>
      </c>
      <c r="D214" s="28">
        <f>B214*VLOOKUP(C214,tblXrate[],2,0)</f>
        <v>15244.793267899293</v>
      </c>
      <c r="E214" s="27" t="s">
        <v>23</v>
      </c>
      <c r="F214" s="27" t="s">
        <v>12</v>
      </c>
      <c r="G214" s="27" t="s">
        <v>2273</v>
      </c>
      <c r="H214" s="27"/>
      <c r="I214" s="27">
        <f>VLOOKUP(F214,mapping!$L$2:$P$92,2,0)</f>
        <v>0.87657561290420927</v>
      </c>
      <c r="J214" s="27">
        <f>VLOOKUP($F214,mapping!$L$2:$P$92,3,0)</f>
        <v>22413.45</v>
      </c>
      <c r="K214" s="27" t="str">
        <f>VLOOKUP($F214,mapping!$L$2:$P$92,4,0)</f>
        <v>Euro Area</v>
      </c>
      <c r="L214" s="29">
        <f>$D214*VLOOKUP($E214,'Charts data'!$A$2:$B$11,2,0)*VLOOKUP($G214,'Charts data'!$A$14:$B$18,2,0)/IF('Charts data'!$E$3=1,I214,1)/IF('Charts data'!$E$4=1,J214,1)</f>
        <v>15244.793267899293</v>
      </c>
    </row>
    <row r="215" spans="1:12" x14ac:dyDescent="0.25">
      <c r="A215" s="27" t="s">
        <v>543</v>
      </c>
      <c r="B215" s="27">
        <v>18000</v>
      </c>
      <c r="C215" s="27" t="s">
        <v>9</v>
      </c>
      <c r="D215" s="28">
        <f>B215*VLOOKUP(C215,tblXrate[],2,0)</f>
        <v>22867.189901848938</v>
      </c>
      <c r="E215" s="27" t="s">
        <v>19</v>
      </c>
      <c r="F215" s="27" t="s">
        <v>12</v>
      </c>
      <c r="G215" s="27" t="s">
        <v>2272</v>
      </c>
      <c r="H215" s="27"/>
      <c r="I215" s="27">
        <f>VLOOKUP(F215,mapping!$L$2:$P$92,2,0)</f>
        <v>0.87657561290420927</v>
      </c>
      <c r="J215" s="27">
        <f>VLOOKUP($F215,mapping!$L$2:$P$92,3,0)</f>
        <v>22413.45</v>
      </c>
      <c r="K215" s="27" t="str">
        <f>VLOOKUP($F215,mapping!$L$2:$P$92,4,0)</f>
        <v>Euro Area</v>
      </c>
      <c r="L215" s="29">
        <f>$D215*VLOOKUP($E215,'Charts data'!$A$2:$B$11,2,0)*VLOOKUP($G215,'Charts data'!$A$14:$B$18,2,0)/IF('Charts data'!$E$3=1,I215,1)/IF('Charts data'!$E$4=1,J215,1)</f>
        <v>22867.189901848938</v>
      </c>
    </row>
    <row r="216" spans="1:12" x14ac:dyDescent="0.25">
      <c r="A216" s="27" t="s">
        <v>987</v>
      </c>
      <c r="B216" s="27">
        <v>15600</v>
      </c>
      <c r="C216" s="27" t="s">
        <v>9</v>
      </c>
      <c r="D216" s="28">
        <f>B216*VLOOKUP(C216,tblXrate[],2,0)</f>
        <v>19818.231248269083</v>
      </c>
      <c r="E216" s="27" t="s">
        <v>62</v>
      </c>
      <c r="F216" s="27" t="s">
        <v>12</v>
      </c>
      <c r="G216" s="27" t="s">
        <v>2271</v>
      </c>
      <c r="H216" s="27">
        <v>5</v>
      </c>
      <c r="I216" s="27">
        <f>VLOOKUP(F216,mapping!$L$2:$P$92,2,0)</f>
        <v>0.87657561290420927</v>
      </c>
      <c r="J216" s="27">
        <f>VLOOKUP($F216,mapping!$L$2:$P$92,3,0)</f>
        <v>22413.45</v>
      </c>
      <c r="K216" s="27" t="str">
        <f>VLOOKUP($F216,mapping!$L$2:$P$92,4,0)</f>
        <v>Euro Area</v>
      </c>
      <c r="L216" s="29">
        <f>$D216*VLOOKUP($E216,'Charts data'!$A$2:$B$11,2,0)*VLOOKUP($G216,'Charts data'!$A$14:$B$18,2,0)/IF('Charts data'!$E$3=1,I216,1)/IF('Charts data'!$E$4=1,J216,1)</f>
        <v>19818.231248269083</v>
      </c>
    </row>
    <row r="217" spans="1:12" x14ac:dyDescent="0.25">
      <c r="A217" s="27" t="s">
        <v>1001</v>
      </c>
      <c r="B217" s="27">
        <v>30000</v>
      </c>
      <c r="C217" s="27" t="s">
        <v>9</v>
      </c>
      <c r="D217" s="28">
        <f>B217*VLOOKUP(C217,tblXrate[],2,0)</f>
        <v>38111.983169748237</v>
      </c>
      <c r="E217" s="27" t="s">
        <v>51</v>
      </c>
      <c r="F217" s="27" t="s">
        <v>12</v>
      </c>
      <c r="G217" s="27" t="s">
        <v>2273</v>
      </c>
      <c r="H217" s="27">
        <v>8</v>
      </c>
      <c r="I217" s="27">
        <f>VLOOKUP(F217,mapping!$L$2:$P$92,2,0)</f>
        <v>0.87657561290420927</v>
      </c>
      <c r="J217" s="27">
        <f>VLOOKUP($F217,mapping!$L$2:$P$92,3,0)</f>
        <v>22413.45</v>
      </c>
      <c r="K217" s="27" t="str">
        <f>VLOOKUP($F217,mapping!$L$2:$P$92,4,0)</f>
        <v>Euro Area</v>
      </c>
      <c r="L217" s="29">
        <f>$D217*VLOOKUP($E217,'Charts data'!$A$2:$B$11,2,0)*VLOOKUP($G217,'Charts data'!$A$14:$B$18,2,0)/IF('Charts data'!$E$3=1,I217,1)/IF('Charts data'!$E$4=1,J217,1)</f>
        <v>38111.983169748237</v>
      </c>
    </row>
    <row r="218" spans="1:12" x14ac:dyDescent="0.25">
      <c r="A218" s="27" t="s">
        <v>1248</v>
      </c>
      <c r="B218" s="27">
        <v>40000</v>
      </c>
      <c r="C218" s="27" t="s">
        <v>9</v>
      </c>
      <c r="D218" s="28">
        <f>B218*VLOOKUP(C218,tblXrate[],2,0)</f>
        <v>50815.977559664309</v>
      </c>
      <c r="E218" s="27" t="s">
        <v>51</v>
      </c>
      <c r="F218" s="27" t="s">
        <v>12</v>
      </c>
      <c r="G218" s="27" t="s">
        <v>2272</v>
      </c>
      <c r="H218" s="27">
        <v>10</v>
      </c>
      <c r="I218" s="27">
        <f>VLOOKUP(F218,mapping!$L$2:$P$92,2,0)</f>
        <v>0.87657561290420927</v>
      </c>
      <c r="J218" s="27">
        <f>VLOOKUP($F218,mapping!$L$2:$P$92,3,0)</f>
        <v>22413.45</v>
      </c>
      <c r="K218" s="27" t="str">
        <f>VLOOKUP($F218,mapping!$L$2:$P$92,4,0)</f>
        <v>Euro Area</v>
      </c>
      <c r="L218" s="29">
        <f>$D218*VLOOKUP($E218,'Charts data'!$A$2:$B$11,2,0)*VLOOKUP($G218,'Charts data'!$A$14:$B$18,2,0)/IF('Charts data'!$E$3=1,I218,1)/IF('Charts data'!$E$4=1,J218,1)</f>
        <v>50815.977559664309</v>
      </c>
    </row>
    <row r="219" spans="1:12" x14ac:dyDescent="0.25">
      <c r="A219" s="27" t="s">
        <v>1268</v>
      </c>
      <c r="B219" s="27">
        <v>50000</v>
      </c>
      <c r="C219" s="27" t="s">
        <v>9</v>
      </c>
      <c r="D219" s="28">
        <f>B219*VLOOKUP(C219,tblXrate[],2,0)</f>
        <v>63519.971949580387</v>
      </c>
      <c r="E219" s="27" t="s">
        <v>48</v>
      </c>
      <c r="F219" s="27" t="s">
        <v>12</v>
      </c>
      <c r="G219" s="27" t="s">
        <v>2272</v>
      </c>
      <c r="H219" s="27">
        <v>14</v>
      </c>
      <c r="I219" s="27">
        <f>VLOOKUP(F219,mapping!$L$2:$P$92,2,0)</f>
        <v>0.87657561290420927</v>
      </c>
      <c r="J219" s="27">
        <f>VLOOKUP($F219,mapping!$L$2:$P$92,3,0)</f>
        <v>22413.45</v>
      </c>
      <c r="K219" s="27" t="str">
        <f>VLOOKUP($F219,mapping!$L$2:$P$92,4,0)</f>
        <v>Euro Area</v>
      </c>
      <c r="L219" s="29">
        <f>$D219*VLOOKUP($E219,'Charts data'!$A$2:$B$11,2,0)*VLOOKUP($G219,'Charts data'!$A$14:$B$18,2,0)/IF('Charts data'!$E$3=1,I219,1)/IF('Charts data'!$E$4=1,J219,1)</f>
        <v>63519.971949580387</v>
      </c>
    </row>
    <row r="220" spans="1:12" x14ac:dyDescent="0.25">
      <c r="A220" s="27" t="s">
        <v>1721</v>
      </c>
      <c r="B220" s="27">
        <v>21000</v>
      </c>
      <c r="C220" s="27" t="s">
        <v>9</v>
      </c>
      <c r="D220" s="28">
        <f>B220*VLOOKUP(C220,tblXrate[],2,0)</f>
        <v>26678.388218823762</v>
      </c>
      <c r="E220" s="27" t="s">
        <v>19</v>
      </c>
      <c r="F220" s="27" t="s">
        <v>12</v>
      </c>
      <c r="G220" s="27" t="s">
        <v>2271</v>
      </c>
      <c r="H220" s="27">
        <v>10</v>
      </c>
      <c r="I220" s="27">
        <f>VLOOKUP(F220,mapping!$L$2:$P$92,2,0)</f>
        <v>0.87657561290420927</v>
      </c>
      <c r="J220" s="27">
        <f>VLOOKUP($F220,mapping!$L$2:$P$92,3,0)</f>
        <v>22413.45</v>
      </c>
      <c r="K220" s="27" t="str">
        <f>VLOOKUP($F220,mapping!$L$2:$P$92,4,0)</f>
        <v>Euro Area</v>
      </c>
      <c r="L220" s="29">
        <f>$D220*VLOOKUP($E220,'Charts data'!$A$2:$B$11,2,0)*VLOOKUP($G220,'Charts data'!$A$14:$B$18,2,0)/IF('Charts data'!$E$3=1,I220,1)/IF('Charts data'!$E$4=1,J220,1)</f>
        <v>26678.388218823762</v>
      </c>
    </row>
    <row r="221" spans="1:12" x14ac:dyDescent="0.25">
      <c r="A221" s="27" t="s">
        <v>1808</v>
      </c>
      <c r="B221" s="27">
        <v>21000</v>
      </c>
      <c r="C221" s="27" t="s">
        <v>9</v>
      </c>
      <c r="D221" s="28">
        <f>B221*VLOOKUP(C221,tblXrate[],2,0)</f>
        <v>26678.388218823762</v>
      </c>
      <c r="E221" s="27" t="s">
        <v>7</v>
      </c>
      <c r="F221" s="27" t="s">
        <v>12</v>
      </c>
      <c r="G221" s="27" t="s">
        <v>2271</v>
      </c>
      <c r="H221" s="27">
        <v>5</v>
      </c>
      <c r="I221" s="27">
        <f>VLOOKUP(F221,mapping!$L$2:$P$92,2,0)</f>
        <v>0.87657561290420927</v>
      </c>
      <c r="J221" s="27">
        <f>VLOOKUP($F221,mapping!$L$2:$P$92,3,0)</f>
        <v>22413.45</v>
      </c>
      <c r="K221" s="27" t="str">
        <f>VLOOKUP($F221,mapping!$L$2:$P$92,4,0)</f>
        <v>Euro Area</v>
      </c>
      <c r="L221" s="29">
        <f>$D221*VLOOKUP($E221,'Charts data'!$A$2:$B$11,2,0)*VLOOKUP($G221,'Charts data'!$A$14:$B$18,2,0)/IF('Charts data'!$E$3=1,I221,1)/IF('Charts data'!$E$4=1,J221,1)</f>
        <v>26678.388218823762</v>
      </c>
    </row>
    <row r="222" spans="1:12" x14ac:dyDescent="0.25">
      <c r="A222" s="27" t="s">
        <v>1890</v>
      </c>
      <c r="B222" s="27">
        <v>16800</v>
      </c>
      <c r="C222" s="27" t="s">
        <v>9</v>
      </c>
      <c r="D222" s="28">
        <f>B222*VLOOKUP(C222,tblXrate[],2,0)</f>
        <v>21342.710575059013</v>
      </c>
      <c r="E222" s="27" t="s">
        <v>51</v>
      </c>
      <c r="F222" s="27" t="s">
        <v>12</v>
      </c>
      <c r="G222" s="27" t="s">
        <v>2271</v>
      </c>
      <c r="H222" s="27">
        <v>15</v>
      </c>
      <c r="I222" s="27">
        <f>VLOOKUP(F222,mapping!$L$2:$P$92,2,0)</f>
        <v>0.87657561290420927</v>
      </c>
      <c r="J222" s="27">
        <f>VLOOKUP($F222,mapping!$L$2:$P$92,3,0)</f>
        <v>22413.45</v>
      </c>
      <c r="K222" s="27" t="str">
        <f>VLOOKUP($F222,mapping!$L$2:$P$92,4,0)</f>
        <v>Euro Area</v>
      </c>
      <c r="L222" s="29">
        <f>$D222*VLOOKUP($E222,'Charts data'!$A$2:$B$11,2,0)*VLOOKUP($G222,'Charts data'!$A$14:$B$18,2,0)/IF('Charts data'!$E$3=1,I222,1)/IF('Charts data'!$E$4=1,J222,1)</f>
        <v>21342.710575059013</v>
      </c>
    </row>
    <row r="223" spans="1:12" x14ac:dyDescent="0.25">
      <c r="A223" s="27" t="s">
        <v>1077</v>
      </c>
      <c r="B223" s="27">
        <v>15000</v>
      </c>
      <c r="C223" s="27" t="s">
        <v>9</v>
      </c>
      <c r="D223" s="28">
        <f>B223*VLOOKUP(C223,tblXrate[],2,0)</f>
        <v>19055.991584874118</v>
      </c>
      <c r="E223" s="27" t="s">
        <v>7</v>
      </c>
      <c r="F223" s="27" t="s">
        <v>112</v>
      </c>
      <c r="G223" s="27" t="s">
        <v>2271</v>
      </c>
      <c r="H223" s="27">
        <v>4</v>
      </c>
      <c r="I223" s="27">
        <f>VLOOKUP(F223,mapping!$L$2:$P$92,2,0)</f>
        <v>0.78256605441883031</v>
      </c>
      <c r="J223" s="27">
        <f>VLOOKUP($F223,mapping!$L$2:$P$92,3,0)</f>
        <v>24533.08</v>
      </c>
      <c r="K223" s="27" t="str">
        <f>VLOOKUP($F223,mapping!$L$2:$P$92,4,0)</f>
        <v>Euro Area</v>
      </c>
      <c r="L223" s="29">
        <f>$D223*VLOOKUP($E223,'Charts data'!$A$2:$B$11,2,0)*VLOOKUP($G223,'Charts data'!$A$14:$B$18,2,0)/IF('Charts data'!$E$3=1,I223,1)/IF('Charts data'!$E$4=1,J223,1)</f>
        <v>19055.991584874118</v>
      </c>
    </row>
    <row r="224" spans="1:12" x14ac:dyDescent="0.25">
      <c r="A224" s="27" t="s">
        <v>668</v>
      </c>
      <c r="B224" s="27">
        <v>15000</v>
      </c>
      <c r="C224" s="27" t="s">
        <v>9</v>
      </c>
      <c r="D224" s="28">
        <f>B224*VLOOKUP(C224,tblXrate[],2,0)</f>
        <v>19055.991584874118</v>
      </c>
      <c r="E224" s="27" t="s">
        <v>7</v>
      </c>
      <c r="F224" s="27" t="s">
        <v>76</v>
      </c>
      <c r="G224" s="27" t="s">
        <v>2273</v>
      </c>
      <c r="H224" s="27"/>
      <c r="I224" s="27">
        <f>VLOOKUP(F224,mapping!$L$2:$P$92,2,0)</f>
        <v>0.96423317419463028</v>
      </c>
      <c r="J224" s="27">
        <f>VLOOKUP($F224,mapping!$L$2:$P$92,3,0)</f>
        <v>32360.1</v>
      </c>
      <c r="K224" s="27" t="str">
        <f>VLOOKUP($F224,mapping!$L$2:$P$92,4,0)</f>
        <v>Euro Area</v>
      </c>
      <c r="L224" s="29">
        <f>$D224*VLOOKUP($E224,'Charts data'!$A$2:$B$11,2,0)*VLOOKUP($G224,'Charts data'!$A$14:$B$18,2,0)/IF('Charts data'!$E$3=1,I224,1)/IF('Charts data'!$E$4=1,J224,1)</f>
        <v>19055.991584874118</v>
      </c>
    </row>
    <row r="225" spans="1:12" x14ac:dyDescent="0.25">
      <c r="A225" s="27" t="s">
        <v>951</v>
      </c>
      <c r="B225" s="27">
        <v>15000</v>
      </c>
      <c r="C225" s="27" t="s">
        <v>9</v>
      </c>
      <c r="D225" s="28">
        <f>B225*VLOOKUP(C225,tblXrate[],2,0)</f>
        <v>19055.991584874118</v>
      </c>
      <c r="E225" s="27" t="s">
        <v>7</v>
      </c>
      <c r="F225" s="27" t="s">
        <v>76</v>
      </c>
      <c r="G225" s="27" t="s">
        <v>2272</v>
      </c>
      <c r="H225" s="27">
        <v>10</v>
      </c>
      <c r="I225" s="27">
        <f>VLOOKUP(F225,mapping!$L$2:$P$92,2,0)</f>
        <v>0.96423317419463028</v>
      </c>
      <c r="J225" s="27">
        <f>VLOOKUP($F225,mapping!$L$2:$P$92,3,0)</f>
        <v>32360.1</v>
      </c>
      <c r="K225" s="27" t="str">
        <f>VLOOKUP($F225,mapping!$L$2:$P$92,4,0)</f>
        <v>Euro Area</v>
      </c>
      <c r="L225" s="29">
        <f>$D225*VLOOKUP($E225,'Charts data'!$A$2:$B$11,2,0)*VLOOKUP($G225,'Charts data'!$A$14:$B$18,2,0)/IF('Charts data'!$E$3=1,I225,1)/IF('Charts data'!$E$4=1,J225,1)</f>
        <v>19055.991584874118</v>
      </c>
    </row>
    <row r="226" spans="1:12" x14ac:dyDescent="0.25">
      <c r="A226" s="27" t="s">
        <v>1194</v>
      </c>
      <c r="B226" s="27">
        <v>43500</v>
      </c>
      <c r="C226" s="27" t="s">
        <v>9</v>
      </c>
      <c r="D226" s="28">
        <f>B226*VLOOKUP(C226,tblXrate[],2,0)</f>
        <v>55262.375596134938</v>
      </c>
      <c r="E226" s="27" t="s">
        <v>19</v>
      </c>
      <c r="F226" s="27" t="s">
        <v>76</v>
      </c>
      <c r="G226" s="27" t="s">
        <v>2272</v>
      </c>
      <c r="H226" s="27">
        <v>10</v>
      </c>
      <c r="I226" s="27">
        <f>VLOOKUP(F226,mapping!$L$2:$P$92,2,0)</f>
        <v>0.96423317419463028</v>
      </c>
      <c r="J226" s="27">
        <f>VLOOKUP($F226,mapping!$L$2:$P$92,3,0)</f>
        <v>32360.1</v>
      </c>
      <c r="K226" s="27" t="str">
        <f>VLOOKUP($F226,mapping!$L$2:$P$92,4,0)</f>
        <v>Euro Area</v>
      </c>
      <c r="L226" s="29">
        <f>$D226*VLOOKUP($E226,'Charts data'!$A$2:$B$11,2,0)*VLOOKUP($G226,'Charts data'!$A$14:$B$18,2,0)/IF('Charts data'!$E$3=1,I226,1)/IF('Charts data'!$E$4=1,J226,1)</f>
        <v>55262.375596134938</v>
      </c>
    </row>
    <row r="227" spans="1:12" x14ac:dyDescent="0.25">
      <c r="A227" s="27" t="s">
        <v>1240</v>
      </c>
      <c r="B227" s="27">
        <v>37000</v>
      </c>
      <c r="C227" s="27" t="s">
        <v>9</v>
      </c>
      <c r="D227" s="28">
        <f>B227*VLOOKUP(C227,tblXrate[],2,0)</f>
        <v>47004.779242689488</v>
      </c>
      <c r="E227" s="27" t="s">
        <v>7</v>
      </c>
      <c r="F227" s="27" t="s">
        <v>76</v>
      </c>
      <c r="G227" s="27" t="s">
        <v>2271</v>
      </c>
      <c r="H227" s="27">
        <v>11</v>
      </c>
      <c r="I227" s="27">
        <f>VLOOKUP(F227,mapping!$L$2:$P$92,2,0)</f>
        <v>0.96423317419463028</v>
      </c>
      <c r="J227" s="27">
        <f>VLOOKUP($F227,mapping!$L$2:$P$92,3,0)</f>
        <v>32360.1</v>
      </c>
      <c r="K227" s="27" t="str">
        <f>VLOOKUP($F227,mapping!$L$2:$P$92,4,0)</f>
        <v>Euro Area</v>
      </c>
      <c r="L227" s="29">
        <f>$D227*VLOOKUP($E227,'Charts data'!$A$2:$B$11,2,0)*VLOOKUP($G227,'Charts data'!$A$14:$B$18,2,0)/IF('Charts data'!$E$3=1,I227,1)/IF('Charts data'!$E$4=1,J227,1)</f>
        <v>47004.779242689488</v>
      </c>
    </row>
    <row r="228" spans="1:12" x14ac:dyDescent="0.25">
      <c r="A228" s="27" t="s">
        <v>1273</v>
      </c>
      <c r="B228" s="27">
        <v>45000</v>
      </c>
      <c r="C228" s="27" t="s">
        <v>9</v>
      </c>
      <c r="D228" s="28">
        <f>B228*VLOOKUP(C228,tblXrate[],2,0)</f>
        <v>57167.974754622352</v>
      </c>
      <c r="E228" s="27" t="s">
        <v>19</v>
      </c>
      <c r="F228" s="27" t="s">
        <v>76</v>
      </c>
      <c r="G228" s="27" t="s">
        <v>2271</v>
      </c>
      <c r="H228" s="27">
        <v>14</v>
      </c>
      <c r="I228" s="27">
        <f>VLOOKUP(F228,mapping!$L$2:$P$92,2,0)</f>
        <v>0.96423317419463028</v>
      </c>
      <c r="J228" s="27">
        <f>VLOOKUP($F228,mapping!$L$2:$P$92,3,0)</f>
        <v>32360.1</v>
      </c>
      <c r="K228" s="27" t="str">
        <f>VLOOKUP($F228,mapping!$L$2:$P$92,4,0)</f>
        <v>Euro Area</v>
      </c>
      <c r="L228" s="29">
        <f>$D228*VLOOKUP($E228,'Charts data'!$A$2:$B$11,2,0)*VLOOKUP($G228,'Charts data'!$A$14:$B$18,2,0)/IF('Charts data'!$E$3=1,I228,1)/IF('Charts data'!$E$4=1,J228,1)</f>
        <v>57167.974754622352</v>
      </c>
    </row>
    <row r="229" spans="1:12" x14ac:dyDescent="0.25">
      <c r="A229" s="27" t="s">
        <v>1276</v>
      </c>
      <c r="B229" s="27">
        <v>100000</v>
      </c>
      <c r="C229" s="27" t="s">
        <v>9</v>
      </c>
      <c r="D229" s="28">
        <f>B229*VLOOKUP(C229,tblXrate[],2,0)</f>
        <v>127039.94389916077</v>
      </c>
      <c r="E229" s="27" t="s">
        <v>2147</v>
      </c>
      <c r="F229" s="27" t="s">
        <v>76</v>
      </c>
      <c r="G229" s="27" t="s">
        <v>2274</v>
      </c>
      <c r="H229" s="27">
        <v>20</v>
      </c>
      <c r="I229" s="27">
        <f>VLOOKUP(F229,mapping!$L$2:$P$92,2,0)</f>
        <v>0.96423317419463028</v>
      </c>
      <c r="J229" s="27">
        <f>VLOOKUP($F229,mapping!$L$2:$P$92,3,0)</f>
        <v>32360.1</v>
      </c>
      <c r="K229" s="27" t="str">
        <f>VLOOKUP($F229,mapping!$L$2:$P$92,4,0)</f>
        <v>Euro Area</v>
      </c>
      <c r="L229" s="29">
        <f>$D229*VLOOKUP($E229,'Charts data'!$A$2:$B$11,2,0)*VLOOKUP($G229,'Charts data'!$A$14:$B$18,2,0)/IF('Charts data'!$E$3=1,I229,1)/IF('Charts data'!$E$4=1,J229,1)</f>
        <v>127039.94389916077</v>
      </c>
    </row>
    <row r="230" spans="1:12" x14ac:dyDescent="0.25">
      <c r="A230" s="27" t="s">
        <v>1464</v>
      </c>
      <c r="B230" s="27">
        <v>41000</v>
      </c>
      <c r="C230" s="27" t="s">
        <v>9</v>
      </c>
      <c r="D230" s="28">
        <f>B230*VLOOKUP(C230,tblXrate[],2,0)</f>
        <v>52086.37699865592</v>
      </c>
      <c r="E230" s="27" t="s">
        <v>48</v>
      </c>
      <c r="F230" s="27" t="s">
        <v>76</v>
      </c>
      <c r="G230" s="27" t="s">
        <v>2271</v>
      </c>
      <c r="H230" s="27">
        <v>12</v>
      </c>
      <c r="I230" s="27">
        <f>VLOOKUP(F230,mapping!$L$2:$P$92,2,0)</f>
        <v>0.96423317419463028</v>
      </c>
      <c r="J230" s="27">
        <f>VLOOKUP($F230,mapping!$L$2:$P$92,3,0)</f>
        <v>32360.1</v>
      </c>
      <c r="K230" s="27" t="str">
        <f>VLOOKUP($F230,mapping!$L$2:$P$92,4,0)</f>
        <v>Euro Area</v>
      </c>
      <c r="L230" s="29">
        <f>$D230*VLOOKUP($E230,'Charts data'!$A$2:$B$11,2,0)*VLOOKUP($G230,'Charts data'!$A$14:$B$18,2,0)/IF('Charts data'!$E$3=1,I230,1)/IF('Charts data'!$E$4=1,J230,1)</f>
        <v>52086.37699865592</v>
      </c>
    </row>
    <row r="231" spans="1:12" x14ac:dyDescent="0.25">
      <c r="A231" s="27" t="s">
        <v>1792</v>
      </c>
      <c r="B231" s="27">
        <v>30000</v>
      </c>
      <c r="C231" s="27" t="s">
        <v>9</v>
      </c>
      <c r="D231" s="28">
        <f>B231*VLOOKUP(C231,tblXrate[],2,0)</f>
        <v>38111.983169748237</v>
      </c>
      <c r="E231" s="27" t="s">
        <v>7</v>
      </c>
      <c r="F231" s="27" t="s">
        <v>76</v>
      </c>
      <c r="G231" s="27" t="s">
        <v>2274</v>
      </c>
      <c r="H231" s="27">
        <v>12</v>
      </c>
      <c r="I231" s="27">
        <f>VLOOKUP(F231,mapping!$L$2:$P$92,2,0)</f>
        <v>0.96423317419463028</v>
      </c>
      <c r="J231" s="27">
        <f>VLOOKUP($F231,mapping!$L$2:$P$92,3,0)</f>
        <v>32360.1</v>
      </c>
      <c r="K231" s="27" t="str">
        <f>VLOOKUP($F231,mapping!$L$2:$P$92,4,0)</f>
        <v>Euro Area</v>
      </c>
      <c r="L231" s="29">
        <f>$D231*VLOOKUP($E231,'Charts data'!$A$2:$B$11,2,0)*VLOOKUP($G231,'Charts data'!$A$14:$B$18,2,0)/IF('Charts data'!$E$3=1,I231,1)/IF('Charts data'!$E$4=1,J231,1)</f>
        <v>38111.983169748237</v>
      </c>
    </row>
    <row r="232" spans="1:12" x14ac:dyDescent="0.25">
      <c r="A232" s="27" t="s">
        <v>2011</v>
      </c>
      <c r="B232" s="27">
        <v>28000</v>
      </c>
      <c r="C232" s="27" t="s">
        <v>9</v>
      </c>
      <c r="D232" s="28">
        <f>B232*VLOOKUP(C232,tblXrate[],2,0)</f>
        <v>35571.184291765021</v>
      </c>
      <c r="E232" s="27" t="s">
        <v>62</v>
      </c>
      <c r="F232" s="27" t="s">
        <v>76</v>
      </c>
      <c r="G232" s="27" t="s">
        <v>2271</v>
      </c>
      <c r="H232" s="27">
        <v>8</v>
      </c>
      <c r="I232" s="27">
        <f>VLOOKUP(F232,mapping!$L$2:$P$92,2,0)</f>
        <v>0.96423317419463028</v>
      </c>
      <c r="J232" s="27">
        <f>VLOOKUP($F232,mapping!$L$2:$P$92,3,0)</f>
        <v>32360.1</v>
      </c>
      <c r="K232" s="27" t="str">
        <f>VLOOKUP($F232,mapping!$L$2:$P$92,4,0)</f>
        <v>Euro Area</v>
      </c>
      <c r="L232" s="29">
        <f>$D232*VLOOKUP($E232,'Charts data'!$A$2:$B$11,2,0)*VLOOKUP($G232,'Charts data'!$A$14:$B$18,2,0)/IF('Charts data'!$E$3=1,I232,1)/IF('Charts data'!$E$4=1,J232,1)</f>
        <v>35571.184291765021</v>
      </c>
    </row>
    <row r="233" spans="1:12" x14ac:dyDescent="0.25">
      <c r="A233" s="27" t="s">
        <v>1319</v>
      </c>
      <c r="B233" s="27">
        <v>32000</v>
      </c>
      <c r="C233" s="27" t="s">
        <v>24</v>
      </c>
      <c r="D233" s="28">
        <f>B233*VLOOKUP(C233,tblXrate[],2,0)</f>
        <v>50437.70470615309</v>
      </c>
      <c r="E233" s="27" t="s">
        <v>7</v>
      </c>
      <c r="F233" s="27" t="s">
        <v>31</v>
      </c>
      <c r="G233" s="27" t="s">
        <v>2271</v>
      </c>
      <c r="H233" s="27">
        <v>9</v>
      </c>
      <c r="I233" s="27">
        <f>VLOOKUP(F233,mapping!$L$2:$P$92,2,0)</f>
        <v>1.2105180348503324</v>
      </c>
      <c r="J233" s="27">
        <f>VLOOKUP($F233,mapping!$L$2:$P$92,3,0)</f>
        <v>50435.5</v>
      </c>
      <c r="K233" s="27" t="str">
        <f>VLOOKUP($F233,mapping!$L$2:$P$92,4,0)</f>
        <v>Major Advanced Economies (G7)</v>
      </c>
      <c r="L233" s="29">
        <f>$D233*VLOOKUP($E233,'Charts data'!$A$2:$B$11,2,0)*VLOOKUP($G233,'Charts data'!$A$14:$B$18,2,0)/IF('Charts data'!$E$3=1,I233,1)/IF('Charts data'!$E$4=1,J233,1)</f>
        <v>50437.70470615309</v>
      </c>
    </row>
    <row r="234" spans="1:12" x14ac:dyDescent="0.25">
      <c r="A234" s="27" t="s">
        <v>206</v>
      </c>
      <c r="B234" s="27">
        <v>35000</v>
      </c>
      <c r="C234" s="27" t="s">
        <v>24</v>
      </c>
      <c r="D234" s="28">
        <f>B234*VLOOKUP(C234,tblXrate[],2,0)</f>
        <v>55166.239522354947</v>
      </c>
      <c r="E234" s="27" t="s">
        <v>7</v>
      </c>
      <c r="F234" s="27" t="s">
        <v>25</v>
      </c>
      <c r="G234" s="27" t="s">
        <v>2273</v>
      </c>
      <c r="H234" s="27"/>
      <c r="I234" s="27">
        <f>VLOOKUP(F234,mapping!$L$2:$P$92,2,0)</f>
        <v>1.0513109074688785</v>
      </c>
      <c r="J234" s="27">
        <f>VLOOKUP($F234,mapping!$L$2:$P$92,3,0)</f>
        <v>38592.1</v>
      </c>
      <c r="K234" s="27" t="str">
        <f>VLOOKUP($F234,mapping!$L$2:$P$92,4,0)</f>
        <v>Major Advanced Economies (G7)</v>
      </c>
      <c r="L234" s="29">
        <f>$D234*VLOOKUP($E234,'Charts data'!$A$2:$B$11,2,0)*VLOOKUP($G234,'Charts data'!$A$14:$B$18,2,0)/IF('Charts data'!$E$3=1,I234,1)/IF('Charts data'!$E$4=1,J234,1)</f>
        <v>55166.239522354947</v>
      </c>
    </row>
    <row r="235" spans="1:12" x14ac:dyDescent="0.25">
      <c r="A235" s="27" t="s">
        <v>219</v>
      </c>
      <c r="B235" s="27">
        <v>32000</v>
      </c>
      <c r="C235" s="27" t="s">
        <v>24</v>
      </c>
      <c r="D235" s="28">
        <f>B235*VLOOKUP(C235,tblXrate[],2,0)</f>
        <v>50437.70470615309</v>
      </c>
      <c r="E235" s="27" t="s">
        <v>7</v>
      </c>
      <c r="F235" s="27" t="s">
        <v>25</v>
      </c>
      <c r="G235" s="27" t="s">
        <v>2271</v>
      </c>
      <c r="H235" s="27"/>
      <c r="I235" s="27">
        <f>VLOOKUP(F235,mapping!$L$2:$P$92,2,0)</f>
        <v>1.0513109074688785</v>
      </c>
      <c r="J235" s="27">
        <f>VLOOKUP($F235,mapping!$L$2:$P$92,3,0)</f>
        <v>38592.1</v>
      </c>
      <c r="K235" s="27" t="str">
        <f>VLOOKUP($F235,mapping!$L$2:$P$92,4,0)</f>
        <v>Major Advanced Economies (G7)</v>
      </c>
      <c r="L235" s="29">
        <f>$D235*VLOOKUP($E235,'Charts data'!$A$2:$B$11,2,0)*VLOOKUP($G235,'Charts data'!$A$14:$B$18,2,0)/IF('Charts data'!$E$3=1,I235,1)/IF('Charts data'!$E$4=1,J235,1)</f>
        <v>50437.70470615309</v>
      </c>
    </row>
    <row r="236" spans="1:12" x14ac:dyDescent="0.25">
      <c r="A236" s="27" t="s">
        <v>224</v>
      </c>
      <c r="B236" s="27">
        <v>40000</v>
      </c>
      <c r="C236" s="27" t="s">
        <v>24</v>
      </c>
      <c r="D236" s="28">
        <f>B236*VLOOKUP(C236,tblXrate[],2,0)</f>
        <v>63047.130882691366</v>
      </c>
      <c r="E236" s="27" t="s">
        <v>51</v>
      </c>
      <c r="F236" s="27" t="s">
        <v>25</v>
      </c>
      <c r="G236" s="27" t="s">
        <v>2271</v>
      </c>
      <c r="H236" s="27"/>
      <c r="I236" s="27">
        <f>VLOOKUP(F236,mapping!$L$2:$P$92,2,0)</f>
        <v>1.0513109074688785</v>
      </c>
      <c r="J236" s="27">
        <f>VLOOKUP($F236,mapping!$L$2:$P$92,3,0)</f>
        <v>38592.1</v>
      </c>
      <c r="K236" s="27" t="str">
        <f>VLOOKUP($F236,mapping!$L$2:$P$92,4,0)</f>
        <v>Major Advanced Economies (G7)</v>
      </c>
      <c r="L236" s="29">
        <f>$D236*VLOOKUP($E236,'Charts data'!$A$2:$B$11,2,0)*VLOOKUP($G236,'Charts data'!$A$14:$B$18,2,0)/IF('Charts data'!$E$3=1,I236,1)/IF('Charts data'!$E$4=1,J236,1)</f>
        <v>63047.130882691366</v>
      </c>
    </row>
    <row r="237" spans="1:12" x14ac:dyDescent="0.25">
      <c r="A237" s="27" t="s">
        <v>229</v>
      </c>
      <c r="B237" s="27">
        <v>18000</v>
      </c>
      <c r="C237" s="27" t="s">
        <v>24</v>
      </c>
      <c r="D237" s="28">
        <f>B237*VLOOKUP(C237,tblXrate[],2,0)</f>
        <v>28371.208897211112</v>
      </c>
      <c r="E237" s="27" t="s">
        <v>19</v>
      </c>
      <c r="F237" s="27" t="s">
        <v>25</v>
      </c>
      <c r="G237" s="27" t="s">
        <v>2274</v>
      </c>
      <c r="H237" s="27"/>
      <c r="I237" s="27">
        <f>VLOOKUP(F237,mapping!$L$2:$P$92,2,0)</f>
        <v>1.0513109074688785</v>
      </c>
      <c r="J237" s="27">
        <f>VLOOKUP($F237,mapping!$L$2:$P$92,3,0)</f>
        <v>38592.1</v>
      </c>
      <c r="K237" s="27" t="str">
        <f>VLOOKUP($F237,mapping!$L$2:$P$92,4,0)</f>
        <v>Major Advanced Economies (G7)</v>
      </c>
      <c r="L237" s="29">
        <f>$D237*VLOOKUP($E237,'Charts data'!$A$2:$B$11,2,0)*VLOOKUP($G237,'Charts data'!$A$14:$B$18,2,0)/IF('Charts data'!$E$3=1,I237,1)/IF('Charts data'!$E$4=1,J237,1)</f>
        <v>28371.208897211112</v>
      </c>
    </row>
    <row r="238" spans="1:12" x14ac:dyDescent="0.25">
      <c r="A238" s="27" t="s">
        <v>250</v>
      </c>
      <c r="B238" s="27">
        <v>100000</v>
      </c>
      <c r="C238" s="27" t="s">
        <v>24</v>
      </c>
      <c r="D238" s="28">
        <f>B238*VLOOKUP(C238,tblXrate[],2,0)</f>
        <v>157617.8272067284</v>
      </c>
      <c r="E238" s="27" t="s">
        <v>7</v>
      </c>
      <c r="F238" s="27" t="s">
        <v>25</v>
      </c>
      <c r="G238" s="27" t="s">
        <v>2272</v>
      </c>
      <c r="H238" s="27"/>
      <c r="I238" s="27">
        <f>VLOOKUP(F238,mapping!$L$2:$P$92,2,0)</f>
        <v>1.0513109074688785</v>
      </c>
      <c r="J238" s="27">
        <f>VLOOKUP($F238,mapping!$L$2:$P$92,3,0)</f>
        <v>38592.1</v>
      </c>
      <c r="K238" s="27" t="str">
        <f>VLOOKUP($F238,mapping!$L$2:$P$92,4,0)</f>
        <v>Major Advanced Economies (G7)</v>
      </c>
      <c r="L238" s="29">
        <f>$D238*VLOOKUP($E238,'Charts data'!$A$2:$B$11,2,0)*VLOOKUP($G238,'Charts data'!$A$14:$B$18,2,0)/IF('Charts data'!$E$3=1,I238,1)/IF('Charts data'!$E$4=1,J238,1)</f>
        <v>157617.8272067284</v>
      </c>
    </row>
    <row r="239" spans="1:12" x14ac:dyDescent="0.25">
      <c r="A239" s="27" t="s">
        <v>254</v>
      </c>
      <c r="B239" s="27">
        <v>30000</v>
      </c>
      <c r="C239" s="27" t="s">
        <v>24</v>
      </c>
      <c r="D239" s="28">
        <f>B239*VLOOKUP(C239,tblXrate[],2,0)</f>
        <v>47285.348162018527</v>
      </c>
      <c r="E239" s="27" t="s">
        <v>19</v>
      </c>
      <c r="F239" s="27" t="s">
        <v>25</v>
      </c>
      <c r="G239" s="27" t="s">
        <v>2271</v>
      </c>
      <c r="H239" s="27"/>
      <c r="I239" s="27">
        <f>VLOOKUP(F239,mapping!$L$2:$P$92,2,0)</f>
        <v>1.0513109074688785</v>
      </c>
      <c r="J239" s="27">
        <f>VLOOKUP($F239,mapping!$L$2:$P$92,3,0)</f>
        <v>38592.1</v>
      </c>
      <c r="K239" s="27" t="str">
        <f>VLOOKUP($F239,mapping!$L$2:$P$92,4,0)</f>
        <v>Major Advanced Economies (G7)</v>
      </c>
      <c r="L239" s="29">
        <f>$D239*VLOOKUP($E239,'Charts data'!$A$2:$B$11,2,0)*VLOOKUP($G239,'Charts data'!$A$14:$B$18,2,0)/IF('Charts data'!$E$3=1,I239,1)/IF('Charts data'!$E$4=1,J239,1)</f>
        <v>47285.348162018527</v>
      </c>
    </row>
    <row r="240" spans="1:12" x14ac:dyDescent="0.25">
      <c r="A240" s="27" t="s">
        <v>301</v>
      </c>
      <c r="B240" s="27">
        <v>28159</v>
      </c>
      <c r="C240" s="27" t="s">
        <v>24</v>
      </c>
      <c r="D240" s="28">
        <f>B240*VLOOKUP(C240,tblXrate[],2,0)</f>
        <v>44383.603963142654</v>
      </c>
      <c r="E240" s="27" t="s">
        <v>7</v>
      </c>
      <c r="F240" s="27" t="s">
        <v>25</v>
      </c>
      <c r="G240" s="27" t="s">
        <v>2273</v>
      </c>
      <c r="H240" s="27"/>
      <c r="I240" s="27">
        <f>VLOOKUP(F240,mapping!$L$2:$P$92,2,0)</f>
        <v>1.0513109074688785</v>
      </c>
      <c r="J240" s="27">
        <f>VLOOKUP($F240,mapping!$L$2:$P$92,3,0)</f>
        <v>38592.1</v>
      </c>
      <c r="K240" s="27" t="str">
        <f>VLOOKUP($F240,mapping!$L$2:$P$92,4,0)</f>
        <v>Major Advanced Economies (G7)</v>
      </c>
      <c r="L240" s="29">
        <f>$D240*VLOOKUP($E240,'Charts data'!$A$2:$B$11,2,0)*VLOOKUP($G240,'Charts data'!$A$14:$B$18,2,0)/IF('Charts data'!$E$3=1,I240,1)/IF('Charts data'!$E$4=1,J240,1)</f>
        <v>44383.603963142654</v>
      </c>
    </row>
    <row r="241" spans="1:12" x14ac:dyDescent="0.25">
      <c r="A241" s="27" t="s">
        <v>304</v>
      </c>
      <c r="B241" s="27">
        <v>70000</v>
      </c>
      <c r="C241" s="27" t="s">
        <v>24</v>
      </c>
      <c r="D241" s="28">
        <f>B241*VLOOKUP(C241,tblXrate[],2,0)</f>
        <v>110332.47904470989</v>
      </c>
      <c r="E241" s="27" t="s">
        <v>19</v>
      </c>
      <c r="F241" s="27" t="s">
        <v>25</v>
      </c>
      <c r="G241" s="27" t="s">
        <v>2272</v>
      </c>
      <c r="H241" s="27"/>
      <c r="I241" s="27">
        <f>VLOOKUP(F241,mapping!$L$2:$P$92,2,0)</f>
        <v>1.0513109074688785</v>
      </c>
      <c r="J241" s="27">
        <f>VLOOKUP($F241,mapping!$L$2:$P$92,3,0)</f>
        <v>38592.1</v>
      </c>
      <c r="K241" s="27" t="str">
        <f>VLOOKUP($F241,mapping!$L$2:$P$92,4,0)</f>
        <v>Major Advanced Economies (G7)</v>
      </c>
      <c r="L241" s="29">
        <f>$D241*VLOOKUP($E241,'Charts data'!$A$2:$B$11,2,0)*VLOOKUP($G241,'Charts data'!$A$14:$B$18,2,0)/IF('Charts data'!$E$3=1,I241,1)/IF('Charts data'!$E$4=1,J241,1)</f>
        <v>110332.47904470989</v>
      </c>
    </row>
    <row r="242" spans="1:12" x14ac:dyDescent="0.25">
      <c r="A242" s="27" t="s">
        <v>329</v>
      </c>
      <c r="B242" s="27">
        <v>32250</v>
      </c>
      <c r="C242" s="27" t="s">
        <v>24</v>
      </c>
      <c r="D242" s="28">
        <f>B242*VLOOKUP(C242,tblXrate[],2,0)</f>
        <v>50831.74927416991</v>
      </c>
      <c r="E242" s="27" t="s">
        <v>19</v>
      </c>
      <c r="F242" s="27" t="s">
        <v>25</v>
      </c>
      <c r="G242" s="27" t="s">
        <v>2271</v>
      </c>
      <c r="H242" s="27"/>
      <c r="I242" s="27">
        <f>VLOOKUP(F242,mapping!$L$2:$P$92,2,0)</f>
        <v>1.0513109074688785</v>
      </c>
      <c r="J242" s="27">
        <f>VLOOKUP($F242,mapping!$L$2:$P$92,3,0)</f>
        <v>38592.1</v>
      </c>
      <c r="K242" s="27" t="str">
        <f>VLOOKUP($F242,mapping!$L$2:$P$92,4,0)</f>
        <v>Major Advanced Economies (G7)</v>
      </c>
      <c r="L242" s="29">
        <f>$D242*VLOOKUP($E242,'Charts data'!$A$2:$B$11,2,0)*VLOOKUP($G242,'Charts data'!$A$14:$B$18,2,0)/IF('Charts data'!$E$3=1,I242,1)/IF('Charts data'!$E$4=1,J242,1)</f>
        <v>50831.74927416991</v>
      </c>
    </row>
    <row r="243" spans="1:12" x14ac:dyDescent="0.25">
      <c r="A243" s="27" t="s">
        <v>349</v>
      </c>
      <c r="B243" s="27">
        <v>18500</v>
      </c>
      <c r="C243" s="27" t="s">
        <v>24</v>
      </c>
      <c r="D243" s="28">
        <f>B243*VLOOKUP(C243,tblXrate[],2,0)</f>
        <v>29159.298033244755</v>
      </c>
      <c r="E243" s="27" t="s">
        <v>19</v>
      </c>
      <c r="F243" s="27" t="s">
        <v>25</v>
      </c>
      <c r="G243" s="27" t="s">
        <v>2273</v>
      </c>
      <c r="H243" s="27"/>
      <c r="I243" s="27">
        <f>VLOOKUP(F243,mapping!$L$2:$P$92,2,0)</f>
        <v>1.0513109074688785</v>
      </c>
      <c r="J243" s="27">
        <f>VLOOKUP($F243,mapping!$L$2:$P$92,3,0)</f>
        <v>38592.1</v>
      </c>
      <c r="K243" s="27" t="str">
        <f>VLOOKUP($F243,mapping!$L$2:$P$92,4,0)</f>
        <v>Major Advanced Economies (G7)</v>
      </c>
      <c r="L243" s="29">
        <f>$D243*VLOOKUP($E243,'Charts data'!$A$2:$B$11,2,0)*VLOOKUP($G243,'Charts data'!$A$14:$B$18,2,0)/IF('Charts data'!$E$3=1,I243,1)/IF('Charts data'!$E$4=1,J243,1)</f>
        <v>29159.298033244755</v>
      </c>
    </row>
    <row r="244" spans="1:12" x14ac:dyDescent="0.25">
      <c r="A244" s="27" t="s">
        <v>374</v>
      </c>
      <c r="B244" s="27">
        <v>30000</v>
      </c>
      <c r="C244" s="27" t="s">
        <v>24</v>
      </c>
      <c r="D244" s="28">
        <f>B244*VLOOKUP(C244,tblXrate[],2,0)</f>
        <v>47285.348162018527</v>
      </c>
      <c r="E244" s="27" t="s">
        <v>7</v>
      </c>
      <c r="F244" s="27" t="s">
        <v>25</v>
      </c>
      <c r="G244" s="27" t="s">
        <v>2272</v>
      </c>
      <c r="H244" s="27"/>
      <c r="I244" s="27">
        <f>VLOOKUP(F244,mapping!$L$2:$P$92,2,0)</f>
        <v>1.0513109074688785</v>
      </c>
      <c r="J244" s="27">
        <f>VLOOKUP($F244,mapping!$L$2:$P$92,3,0)</f>
        <v>38592.1</v>
      </c>
      <c r="K244" s="27" t="str">
        <f>VLOOKUP($F244,mapping!$L$2:$P$92,4,0)</f>
        <v>Major Advanced Economies (G7)</v>
      </c>
      <c r="L244" s="29">
        <f>$D244*VLOOKUP($E244,'Charts data'!$A$2:$B$11,2,0)*VLOOKUP($G244,'Charts data'!$A$14:$B$18,2,0)/IF('Charts data'!$E$3=1,I244,1)/IF('Charts data'!$E$4=1,J244,1)</f>
        <v>47285.348162018527</v>
      </c>
    </row>
    <row r="245" spans="1:12" x14ac:dyDescent="0.25">
      <c r="A245" s="27" t="s">
        <v>395</v>
      </c>
      <c r="B245" s="27">
        <v>43000</v>
      </c>
      <c r="C245" s="27" t="s">
        <v>24</v>
      </c>
      <c r="D245" s="28">
        <f>B245*VLOOKUP(C245,tblXrate[],2,0)</f>
        <v>67775.665698893223</v>
      </c>
      <c r="E245" s="27" t="s">
        <v>19</v>
      </c>
      <c r="F245" s="27" t="s">
        <v>25</v>
      </c>
      <c r="G245" s="27" t="s">
        <v>2272</v>
      </c>
      <c r="H245" s="27"/>
      <c r="I245" s="27">
        <f>VLOOKUP(F245,mapping!$L$2:$P$92,2,0)</f>
        <v>1.0513109074688785</v>
      </c>
      <c r="J245" s="27">
        <f>VLOOKUP($F245,mapping!$L$2:$P$92,3,0)</f>
        <v>38592.1</v>
      </c>
      <c r="K245" s="27" t="str">
        <f>VLOOKUP($F245,mapping!$L$2:$P$92,4,0)</f>
        <v>Major Advanced Economies (G7)</v>
      </c>
      <c r="L245" s="29">
        <f>$D245*VLOOKUP($E245,'Charts data'!$A$2:$B$11,2,0)*VLOOKUP($G245,'Charts data'!$A$14:$B$18,2,0)/IF('Charts data'!$E$3=1,I245,1)/IF('Charts data'!$E$4=1,J245,1)</f>
        <v>67775.665698893223</v>
      </c>
    </row>
    <row r="246" spans="1:12" x14ac:dyDescent="0.25">
      <c r="A246" s="27" t="s">
        <v>401</v>
      </c>
      <c r="B246" s="27">
        <v>45000</v>
      </c>
      <c r="C246" s="27" t="s">
        <v>24</v>
      </c>
      <c r="D246" s="28">
        <f>B246*VLOOKUP(C246,tblXrate[],2,0)</f>
        <v>70928.022243027779</v>
      </c>
      <c r="E246" s="27" t="s">
        <v>19</v>
      </c>
      <c r="F246" s="27" t="s">
        <v>25</v>
      </c>
      <c r="G246" s="27" t="s">
        <v>2272</v>
      </c>
      <c r="H246" s="27"/>
      <c r="I246" s="27">
        <f>VLOOKUP(F246,mapping!$L$2:$P$92,2,0)</f>
        <v>1.0513109074688785</v>
      </c>
      <c r="J246" s="27">
        <f>VLOOKUP($F246,mapping!$L$2:$P$92,3,0)</f>
        <v>38592.1</v>
      </c>
      <c r="K246" s="27" t="str">
        <f>VLOOKUP($F246,mapping!$L$2:$P$92,4,0)</f>
        <v>Major Advanced Economies (G7)</v>
      </c>
      <c r="L246" s="29">
        <f>$D246*VLOOKUP($E246,'Charts data'!$A$2:$B$11,2,0)*VLOOKUP($G246,'Charts data'!$A$14:$B$18,2,0)/IF('Charts data'!$E$3=1,I246,1)/IF('Charts data'!$E$4=1,J246,1)</f>
        <v>70928.022243027779</v>
      </c>
    </row>
    <row r="247" spans="1:12" x14ac:dyDescent="0.25">
      <c r="A247" s="27" t="s">
        <v>422</v>
      </c>
      <c r="B247" s="27">
        <v>52680</v>
      </c>
      <c r="C247" s="27" t="s">
        <v>24</v>
      </c>
      <c r="D247" s="28">
        <f>B247*VLOOKUP(C247,tblXrate[],2,0)</f>
        <v>83033.071372504521</v>
      </c>
      <c r="E247" s="27" t="s">
        <v>53</v>
      </c>
      <c r="F247" s="27" t="s">
        <v>25</v>
      </c>
      <c r="G247" s="27" t="s">
        <v>2273</v>
      </c>
      <c r="H247" s="27"/>
      <c r="I247" s="27">
        <f>VLOOKUP(F247,mapping!$L$2:$P$92,2,0)</f>
        <v>1.0513109074688785</v>
      </c>
      <c r="J247" s="27">
        <f>VLOOKUP($F247,mapping!$L$2:$P$92,3,0)</f>
        <v>38592.1</v>
      </c>
      <c r="K247" s="27" t="str">
        <f>VLOOKUP($F247,mapping!$L$2:$P$92,4,0)</f>
        <v>Major Advanced Economies (G7)</v>
      </c>
      <c r="L247" s="29">
        <f>$D247*VLOOKUP($E247,'Charts data'!$A$2:$B$11,2,0)*VLOOKUP($G247,'Charts data'!$A$14:$B$18,2,0)/IF('Charts data'!$E$3=1,I247,1)/IF('Charts data'!$E$4=1,J247,1)</f>
        <v>83033.071372504521</v>
      </c>
    </row>
    <row r="248" spans="1:12" x14ac:dyDescent="0.25">
      <c r="A248" s="27" t="s">
        <v>426</v>
      </c>
      <c r="B248" s="27">
        <v>60000</v>
      </c>
      <c r="C248" s="27" t="s">
        <v>24</v>
      </c>
      <c r="D248" s="28">
        <f>B248*VLOOKUP(C248,tblXrate[],2,0)</f>
        <v>94570.696324037053</v>
      </c>
      <c r="E248" s="27" t="s">
        <v>7</v>
      </c>
      <c r="F248" s="27" t="s">
        <v>25</v>
      </c>
      <c r="G248" s="27" t="s">
        <v>2273</v>
      </c>
      <c r="H248" s="27"/>
      <c r="I248" s="27">
        <f>VLOOKUP(F248,mapping!$L$2:$P$92,2,0)</f>
        <v>1.0513109074688785</v>
      </c>
      <c r="J248" s="27">
        <f>VLOOKUP($F248,mapping!$L$2:$P$92,3,0)</f>
        <v>38592.1</v>
      </c>
      <c r="K248" s="27" t="str">
        <f>VLOOKUP($F248,mapping!$L$2:$P$92,4,0)</f>
        <v>Major Advanced Economies (G7)</v>
      </c>
      <c r="L248" s="29">
        <f>$D248*VLOOKUP($E248,'Charts data'!$A$2:$B$11,2,0)*VLOOKUP($G248,'Charts data'!$A$14:$B$18,2,0)/IF('Charts data'!$E$3=1,I248,1)/IF('Charts data'!$E$4=1,J248,1)</f>
        <v>94570.696324037053</v>
      </c>
    </row>
    <row r="249" spans="1:12" x14ac:dyDescent="0.25">
      <c r="A249" s="27" t="s">
        <v>428</v>
      </c>
      <c r="B249" s="27">
        <v>28000</v>
      </c>
      <c r="C249" s="27" t="s">
        <v>24</v>
      </c>
      <c r="D249" s="28">
        <f>B249*VLOOKUP(C249,tblXrate[],2,0)</f>
        <v>44132.991617883956</v>
      </c>
      <c r="E249" s="27" t="s">
        <v>7</v>
      </c>
      <c r="F249" s="27" t="s">
        <v>25</v>
      </c>
      <c r="G249" s="27" t="s">
        <v>2273</v>
      </c>
      <c r="H249" s="27"/>
      <c r="I249" s="27">
        <f>VLOOKUP(F249,mapping!$L$2:$P$92,2,0)</f>
        <v>1.0513109074688785</v>
      </c>
      <c r="J249" s="27">
        <f>VLOOKUP($F249,mapping!$L$2:$P$92,3,0)</f>
        <v>38592.1</v>
      </c>
      <c r="K249" s="27" t="str">
        <f>VLOOKUP($F249,mapping!$L$2:$P$92,4,0)</f>
        <v>Major Advanced Economies (G7)</v>
      </c>
      <c r="L249" s="29">
        <f>$D249*VLOOKUP($E249,'Charts data'!$A$2:$B$11,2,0)*VLOOKUP($G249,'Charts data'!$A$14:$B$18,2,0)/IF('Charts data'!$E$3=1,I249,1)/IF('Charts data'!$E$4=1,J249,1)</f>
        <v>44132.991617883956</v>
      </c>
    </row>
    <row r="250" spans="1:12" x14ac:dyDescent="0.25">
      <c r="A250" s="27" t="s">
        <v>457</v>
      </c>
      <c r="B250" s="27">
        <v>31000</v>
      </c>
      <c r="C250" s="27" t="s">
        <v>24</v>
      </c>
      <c r="D250" s="28">
        <f>B250*VLOOKUP(C250,tblXrate[],2,0)</f>
        <v>48861.526434085805</v>
      </c>
      <c r="E250" s="27" t="s">
        <v>48</v>
      </c>
      <c r="F250" s="27" t="s">
        <v>25</v>
      </c>
      <c r="G250" s="27" t="s">
        <v>2272</v>
      </c>
      <c r="H250" s="27"/>
      <c r="I250" s="27">
        <f>VLOOKUP(F250,mapping!$L$2:$P$92,2,0)</f>
        <v>1.0513109074688785</v>
      </c>
      <c r="J250" s="27">
        <f>VLOOKUP($F250,mapping!$L$2:$P$92,3,0)</f>
        <v>38592.1</v>
      </c>
      <c r="K250" s="27" t="str">
        <f>VLOOKUP($F250,mapping!$L$2:$P$92,4,0)</f>
        <v>Major Advanced Economies (G7)</v>
      </c>
      <c r="L250" s="29">
        <f>$D250*VLOOKUP($E250,'Charts data'!$A$2:$B$11,2,0)*VLOOKUP($G250,'Charts data'!$A$14:$B$18,2,0)/IF('Charts data'!$E$3=1,I250,1)/IF('Charts data'!$E$4=1,J250,1)</f>
        <v>48861.526434085805</v>
      </c>
    </row>
    <row r="251" spans="1:12" x14ac:dyDescent="0.25">
      <c r="A251" s="27" t="s">
        <v>477</v>
      </c>
      <c r="B251" s="27">
        <v>20000</v>
      </c>
      <c r="C251" s="27" t="s">
        <v>24</v>
      </c>
      <c r="D251" s="28">
        <f>B251*VLOOKUP(C251,tblXrate[],2,0)</f>
        <v>31523.565441345683</v>
      </c>
      <c r="E251" s="27" t="s">
        <v>48</v>
      </c>
      <c r="F251" s="27" t="s">
        <v>25</v>
      </c>
      <c r="G251" s="27" t="s">
        <v>2274</v>
      </c>
      <c r="H251" s="27"/>
      <c r="I251" s="27">
        <f>VLOOKUP(F251,mapping!$L$2:$P$92,2,0)</f>
        <v>1.0513109074688785</v>
      </c>
      <c r="J251" s="27">
        <f>VLOOKUP($F251,mapping!$L$2:$P$92,3,0)</f>
        <v>38592.1</v>
      </c>
      <c r="K251" s="27" t="str">
        <f>VLOOKUP($F251,mapping!$L$2:$P$92,4,0)</f>
        <v>Major Advanced Economies (G7)</v>
      </c>
      <c r="L251" s="29">
        <f>$D251*VLOOKUP($E251,'Charts data'!$A$2:$B$11,2,0)*VLOOKUP($G251,'Charts data'!$A$14:$B$18,2,0)/IF('Charts data'!$E$3=1,I251,1)/IF('Charts data'!$E$4=1,J251,1)</f>
        <v>31523.565441345683</v>
      </c>
    </row>
    <row r="252" spans="1:12" x14ac:dyDescent="0.25">
      <c r="A252" s="27" t="s">
        <v>491</v>
      </c>
      <c r="B252" s="27">
        <v>29000</v>
      </c>
      <c r="C252" s="27" t="s">
        <v>24</v>
      </c>
      <c r="D252" s="28">
        <f>B252*VLOOKUP(C252,tblXrate[],2,0)</f>
        <v>45709.169889951241</v>
      </c>
      <c r="E252" s="27" t="s">
        <v>7</v>
      </c>
      <c r="F252" s="27" t="s">
        <v>25</v>
      </c>
      <c r="G252" s="27" t="s">
        <v>2271</v>
      </c>
      <c r="H252" s="27"/>
      <c r="I252" s="27">
        <f>VLOOKUP(F252,mapping!$L$2:$P$92,2,0)</f>
        <v>1.0513109074688785</v>
      </c>
      <c r="J252" s="27">
        <f>VLOOKUP($F252,mapping!$L$2:$P$92,3,0)</f>
        <v>38592.1</v>
      </c>
      <c r="K252" s="27" t="str">
        <f>VLOOKUP($F252,mapping!$L$2:$P$92,4,0)</f>
        <v>Major Advanced Economies (G7)</v>
      </c>
      <c r="L252" s="29">
        <f>$D252*VLOOKUP($E252,'Charts data'!$A$2:$B$11,2,0)*VLOOKUP($G252,'Charts data'!$A$14:$B$18,2,0)/IF('Charts data'!$E$3=1,I252,1)/IF('Charts data'!$E$4=1,J252,1)</f>
        <v>45709.169889951241</v>
      </c>
    </row>
    <row r="253" spans="1:12" x14ac:dyDescent="0.25">
      <c r="A253" s="27" t="s">
        <v>530</v>
      </c>
      <c r="B253" s="27">
        <v>43000</v>
      </c>
      <c r="C253" s="27" t="s">
        <v>24</v>
      </c>
      <c r="D253" s="28">
        <f>B253*VLOOKUP(C253,tblXrate[],2,0)</f>
        <v>67775.665698893223</v>
      </c>
      <c r="E253" s="27" t="s">
        <v>19</v>
      </c>
      <c r="F253" s="27" t="s">
        <v>25</v>
      </c>
      <c r="G253" s="27" t="s">
        <v>2271</v>
      </c>
      <c r="H253" s="27"/>
      <c r="I253" s="27">
        <f>VLOOKUP(F253,mapping!$L$2:$P$92,2,0)</f>
        <v>1.0513109074688785</v>
      </c>
      <c r="J253" s="27">
        <f>VLOOKUP($F253,mapping!$L$2:$P$92,3,0)</f>
        <v>38592.1</v>
      </c>
      <c r="K253" s="27" t="str">
        <f>VLOOKUP($F253,mapping!$L$2:$P$92,4,0)</f>
        <v>Major Advanced Economies (G7)</v>
      </c>
      <c r="L253" s="29">
        <f>$D253*VLOOKUP($E253,'Charts data'!$A$2:$B$11,2,0)*VLOOKUP($G253,'Charts data'!$A$14:$B$18,2,0)/IF('Charts data'!$E$3=1,I253,1)/IF('Charts data'!$E$4=1,J253,1)</f>
        <v>67775.665698893223</v>
      </c>
    </row>
    <row r="254" spans="1:12" x14ac:dyDescent="0.25">
      <c r="A254" s="27" t="s">
        <v>544</v>
      </c>
      <c r="B254" s="27">
        <v>60000</v>
      </c>
      <c r="C254" s="27" t="s">
        <v>24</v>
      </c>
      <c r="D254" s="28">
        <f>B254*VLOOKUP(C254,tblXrate[],2,0)</f>
        <v>94570.696324037053</v>
      </c>
      <c r="E254" s="27" t="s">
        <v>2147</v>
      </c>
      <c r="F254" s="27" t="s">
        <v>25</v>
      </c>
      <c r="G254" s="27" t="s">
        <v>2272</v>
      </c>
      <c r="H254" s="27"/>
      <c r="I254" s="27">
        <f>VLOOKUP(F254,mapping!$L$2:$P$92,2,0)</f>
        <v>1.0513109074688785</v>
      </c>
      <c r="J254" s="27">
        <f>VLOOKUP($F254,mapping!$L$2:$P$92,3,0)</f>
        <v>38592.1</v>
      </c>
      <c r="K254" s="27" t="str">
        <f>VLOOKUP($F254,mapping!$L$2:$P$92,4,0)</f>
        <v>Major Advanced Economies (G7)</v>
      </c>
      <c r="L254" s="29">
        <f>$D254*VLOOKUP($E254,'Charts data'!$A$2:$B$11,2,0)*VLOOKUP($G254,'Charts data'!$A$14:$B$18,2,0)/IF('Charts data'!$E$3=1,I254,1)/IF('Charts data'!$E$4=1,J254,1)</f>
        <v>94570.696324037053</v>
      </c>
    </row>
    <row r="255" spans="1:12" x14ac:dyDescent="0.25">
      <c r="A255" s="27" t="s">
        <v>551</v>
      </c>
      <c r="B255" s="27">
        <v>28000</v>
      </c>
      <c r="C255" s="27" t="s">
        <v>24</v>
      </c>
      <c r="D255" s="28">
        <f>B255*VLOOKUP(C255,tblXrate[],2,0)</f>
        <v>44132.991617883956</v>
      </c>
      <c r="E255" s="27" t="s">
        <v>19</v>
      </c>
      <c r="F255" s="27" t="s">
        <v>25</v>
      </c>
      <c r="G255" s="27" t="s">
        <v>2272</v>
      </c>
      <c r="H255" s="27"/>
      <c r="I255" s="27">
        <f>VLOOKUP(F255,mapping!$L$2:$P$92,2,0)</f>
        <v>1.0513109074688785</v>
      </c>
      <c r="J255" s="27">
        <f>VLOOKUP($F255,mapping!$L$2:$P$92,3,0)</f>
        <v>38592.1</v>
      </c>
      <c r="K255" s="27" t="str">
        <f>VLOOKUP($F255,mapping!$L$2:$P$92,4,0)</f>
        <v>Major Advanced Economies (G7)</v>
      </c>
      <c r="L255" s="29">
        <f>$D255*VLOOKUP($E255,'Charts data'!$A$2:$B$11,2,0)*VLOOKUP($G255,'Charts data'!$A$14:$B$18,2,0)/IF('Charts data'!$E$3=1,I255,1)/IF('Charts data'!$E$4=1,J255,1)</f>
        <v>44132.991617883956</v>
      </c>
    </row>
    <row r="256" spans="1:12" x14ac:dyDescent="0.25">
      <c r="A256" s="27" t="s">
        <v>573</v>
      </c>
      <c r="B256" s="27">
        <v>35000</v>
      </c>
      <c r="C256" s="27" t="s">
        <v>24</v>
      </c>
      <c r="D256" s="28">
        <f>B256*VLOOKUP(C256,tblXrate[],2,0)</f>
        <v>55166.239522354947</v>
      </c>
      <c r="E256" s="27" t="s">
        <v>51</v>
      </c>
      <c r="F256" s="27" t="s">
        <v>25</v>
      </c>
      <c r="G256" s="27" t="s">
        <v>2271</v>
      </c>
      <c r="H256" s="27"/>
      <c r="I256" s="27">
        <f>VLOOKUP(F256,mapping!$L$2:$P$92,2,0)</f>
        <v>1.0513109074688785</v>
      </c>
      <c r="J256" s="27">
        <f>VLOOKUP($F256,mapping!$L$2:$P$92,3,0)</f>
        <v>38592.1</v>
      </c>
      <c r="K256" s="27" t="str">
        <f>VLOOKUP($F256,mapping!$L$2:$P$92,4,0)</f>
        <v>Major Advanced Economies (G7)</v>
      </c>
      <c r="L256" s="29">
        <f>$D256*VLOOKUP($E256,'Charts data'!$A$2:$B$11,2,0)*VLOOKUP($G256,'Charts data'!$A$14:$B$18,2,0)/IF('Charts data'!$E$3=1,I256,1)/IF('Charts data'!$E$4=1,J256,1)</f>
        <v>55166.239522354947</v>
      </c>
    </row>
    <row r="257" spans="1:12" x14ac:dyDescent="0.25">
      <c r="A257" s="27" t="s">
        <v>583</v>
      </c>
      <c r="B257" s="27">
        <v>66000</v>
      </c>
      <c r="C257" s="27" t="s">
        <v>24</v>
      </c>
      <c r="D257" s="28">
        <f>B257*VLOOKUP(C257,tblXrate[],2,0)</f>
        <v>104027.76595644075</v>
      </c>
      <c r="E257" s="27" t="s">
        <v>19</v>
      </c>
      <c r="F257" s="27" t="s">
        <v>25</v>
      </c>
      <c r="G257" s="27" t="s">
        <v>2274</v>
      </c>
      <c r="H257" s="27"/>
      <c r="I257" s="27">
        <f>VLOOKUP(F257,mapping!$L$2:$P$92,2,0)</f>
        <v>1.0513109074688785</v>
      </c>
      <c r="J257" s="27">
        <f>VLOOKUP($F257,mapping!$L$2:$P$92,3,0)</f>
        <v>38592.1</v>
      </c>
      <c r="K257" s="27" t="str">
        <f>VLOOKUP($F257,mapping!$L$2:$P$92,4,0)</f>
        <v>Major Advanced Economies (G7)</v>
      </c>
      <c r="L257" s="29">
        <f>$D257*VLOOKUP($E257,'Charts data'!$A$2:$B$11,2,0)*VLOOKUP($G257,'Charts data'!$A$14:$B$18,2,0)/IF('Charts data'!$E$3=1,I257,1)/IF('Charts data'!$E$4=1,J257,1)</f>
        <v>104027.76595644075</v>
      </c>
    </row>
    <row r="258" spans="1:12" x14ac:dyDescent="0.25">
      <c r="A258" s="27" t="s">
        <v>597</v>
      </c>
      <c r="B258" s="27">
        <v>65000</v>
      </c>
      <c r="C258" s="27" t="s">
        <v>24</v>
      </c>
      <c r="D258" s="28">
        <f>B258*VLOOKUP(C258,tblXrate[],2,0)</f>
        <v>102451.58768437347</v>
      </c>
      <c r="E258" s="27" t="s">
        <v>62</v>
      </c>
      <c r="F258" s="27" t="s">
        <v>25</v>
      </c>
      <c r="G258" s="27" t="s">
        <v>2272</v>
      </c>
      <c r="H258" s="27"/>
      <c r="I258" s="27">
        <f>VLOOKUP(F258,mapping!$L$2:$P$92,2,0)</f>
        <v>1.0513109074688785</v>
      </c>
      <c r="J258" s="27">
        <f>VLOOKUP($F258,mapping!$L$2:$P$92,3,0)</f>
        <v>38592.1</v>
      </c>
      <c r="K258" s="27" t="str">
        <f>VLOOKUP($F258,mapping!$L$2:$P$92,4,0)</f>
        <v>Major Advanced Economies (G7)</v>
      </c>
      <c r="L258" s="29">
        <f>$D258*VLOOKUP($E258,'Charts data'!$A$2:$B$11,2,0)*VLOOKUP($G258,'Charts data'!$A$14:$B$18,2,0)/IF('Charts data'!$E$3=1,I258,1)/IF('Charts data'!$E$4=1,J258,1)</f>
        <v>102451.58768437347</v>
      </c>
    </row>
    <row r="259" spans="1:12" x14ac:dyDescent="0.25">
      <c r="A259" s="27" t="s">
        <v>614</v>
      </c>
      <c r="B259" s="27">
        <v>60000</v>
      </c>
      <c r="C259" s="27" t="s">
        <v>24</v>
      </c>
      <c r="D259" s="28">
        <f>B259*VLOOKUP(C259,tblXrate[],2,0)</f>
        <v>94570.696324037053</v>
      </c>
      <c r="E259" s="27" t="s">
        <v>53</v>
      </c>
      <c r="F259" s="27" t="s">
        <v>25</v>
      </c>
      <c r="G259" s="27" t="s">
        <v>2271</v>
      </c>
      <c r="H259" s="27"/>
      <c r="I259" s="27">
        <f>VLOOKUP(F259,mapping!$L$2:$P$92,2,0)</f>
        <v>1.0513109074688785</v>
      </c>
      <c r="J259" s="27">
        <f>VLOOKUP($F259,mapping!$L$2:$P$92,3,0)</f>
        <v>38592.1</v>
      </c>
      <c r="K259" s="27" t="str">
        <f>VLOOKUP($F259,mapping!$L$2:$P$92,4,0)</f>
        <v>Major Advanced Economies (G7)</v>
      </c>
      <c r="L259" s="29">
        <f>$D259*VLOOKUP($E259,'Charts data'!$A$2:$B$11,2,0)*VLOOKUP($G259,'Charts data'!$A$14:$B$18,2,0)/IF('Charts data'!$E$3=1,I259,1)/IF('Charts data'!$E$4=1,J259,1)</f>
        <v>94570.696324037053</v>
      </c>
    </row>
    <row r="260" spans="1:12" x14ac:dyDescent="0.25">
      <c r="A260" s="27" t="s">
        <v>622</v>
      </c>
      <c r="B260" s="27">
        <v>38000</v>
      </c>
      <c r="C260" s="27" t="s">
        <v>24</v>
      </c>
      <c r="D260" s="28">
        <f>B260*VLOOKUP(C260,tblXrate[],2,0)</f>
        <v>59894.774338556796</v>
      </c>
      <c r="E260" s="27" t="s">
        <v>51</v>
      </c>
      <c r="F260" s="27" t="s">
        <v>25</v>
      </c>
      <c r="G260" s="27" t="s">
        <v>2271</v>
      </c>
      <c r="H260" s="27"/>
      <c r="I260" s="27">
        <f>VLOOKUP(F260,mapping!$L$2:$P$92,2,0)</f>
        <v>1.0513109074688785</v>
      </c>
      <c r="J260" s="27">
        <f>VLOOKUP($F260,mapping!$L$2:$P$92,3,0)</f>
        <v>38592.1</v>
      </c>
      <c r="K260" s="27" t="str">
        <f>VLOOKUP($F260,mapping!$L$2:$P$92,4,0)</f>
        <v>Major Advanced Economies (G7)</v>
      </c>
      <c r="L260" s="29">
        <f>$D260*VLOOKUP($E260,'Charts data'!$A$2:$B$11,2,0)*VLOOKUP($G260,'Charts data'!$A$14:$B$18,2,0)/IF('Charts data'!$E$3=1,I260,1)/IF('Charts data'!$E$4=1,J260,1)</f>
        <v>59894.774338556796</v>
      </c>
    </row>
    <row r="261" spans="1:12" x14ac:dyDescent="0.25">
      <c r="A261" s="27" t="s">
        <v>627</v>
      </c>
      <c r="B261" s="27">
        <v>25000</v>
      </c>
      <c r="C261" s="27" t="s">
        <v>24</v>
      </c>
      <c r="D261" s="28">
        <f>B261*VLOOKUP(C261,tblXrate[],2,0)</f>
        <v>39404.456801682099</v>
      </c>
      <c r="E261" s="27" t="s">
        <v>7</v>
      </c>
      <c r="F261" s="27" t="s">
        <v>25</v>
      </c>
      <c r="G261" s="27" t="s">
        <v>2271</v>
      </c>
      <c r="H261" s="27"/>
      <c r="I261" s="27">
        <f>VLOOKUP(F261,mapping!$L$2:$P$92,2,0)</f>
        <v>1.0513109074688785</v>
      </c>
      <c r="J261" s="27">
        <f>VLOOKUP($F261,mapping!$L$2:$P$92,3,0)</f>
        <v>38592.1</v>
      </c>
      <c r="K261" s="27" t="str">
        <f>VLOOKUP($F261,mapping!$L$2:$P$92,4,0)</f>
        <v>Major Advanced Economies (G7)</v>
      </c>
      <c r="L261" s="29">
        <f>$D261*VLOOKUP($E261,'Charts data'!$A$2:$B$11,2,0)*VLOOKUP($G261,'Charts data'!$A$14:$B$18,2,0)/IF('Charts data'!$E$3=1,I261,1)/IF('Charts data'!$E$4=1,J261,1)</f>
        <v>39404.456801682099</v>
      </c>
    </row>
    <row r="262" spans="1:12" x14ac:dyDescent="0.25">
      <c r="A262" s="27" t="s">
        <v>636</v>
      </c>
      <c r="B262" s="27">
        <v>28500</v>
      </c>
      <c r="C262" s="27" t="s">
        <v>24</v>
      </c>
      <c r="D262" s="28">
        <f>B262*VLOOKUP(C262,tblXrate[],2,0)</f>
        <v>44921.080753917595</v>
      </c>
      <c r="E262" s="27" t="s">
        <v>19</v>
      </c>
      <c r="F262" s="27" t="s">
        <v>25</v>
      </c>
      <c r="G262" s="27" t="s">
        <v>2272</v>
      </c>
      <c r="H262" s="27"/>
      <c r="I262" s="27">
        <f>VLOOKUP(F262,mapping!$L$2:$P$92,2,0)</f>
        <v>1.0513109074688785</v>
      </c>
      <c r="J262" s="27">
        <f>VLOOKUP($F262,mapping!$L$2:$P$92,3,0)</f>
        <v>38592.1</v>
      </c>
      <c r="K262" s="27" t="str">
        <f>VLOOKUP($F262,mapping!$L$2:$P$92,4,0)</f>
        <v>Major Advanced Economies (G7)</v>
      </c>
      <c r="L262" s="29">
        <f>$D262*VLOOKUP($E262,'Charts data'!$A$2:$B$11,2,0)*VLOOKUP($G262,'Charts data'!$A$14:$B$18,2,0)/IF('Charts data'!$E$3=1,I262,1)/IF('Charts data'!$E$4=1,J262,1)</f>
        <v>44921.080753917595</v>
      </c>
    </row>
    <row r="263" spans="1:12" x14ac:dyDescent="0.25">
      <c r="A263" s="27" t="s">
        <v>647</v>
      </c>
      <c r="B263" s="27">
        <v>59000</v>
      </c>
      <c r="C263" s="27" t="s">
        <v>24</v>
      </c>
      <c r="D263" s="28">
        <f>B263*VLOOKUP(C263,tblXrate[],2,0)</f>
        <v>92994.518051969761</v>
      </c>
      <c r="E263" s="27" t="s">
        <v>53</v>
      </c>
      <c r="F263" s="27" t="s">
        <v>25</v>
      </c>
      <c r="G263" s="27" t="s">
        <v>2272</v>
      </c>
      <c r="H263" s="27"/>
      <c r="I263" s="27">
        <f>VLOOKUP(F263,mapping!$L$2:$P$92,2,0)</f>
        <v>1.0513109074688785</v>
      </c>
      <c r="J263" s="27">
        <f>VLOOKUP($F263,mapping!$L$2:$P$92,3,0)</f>
        <v>38592.1</v>
      </c>
      <c r="K263" s="27" t="str">
        <f>VLOOKUP($F263,mapping!$L$2:$P$92,4,0)</f>
        <v>Major Advanced Economies (G7)</v>
      </c>
      <c r="L263" s="29">
        <f>$D263*VLOOKUP($E263,'Charts data'!$A$2:$B$11,2,0)*VLOOKUP($G263,'Charts data'!$A$14:$B$18,2,0)/IF('Charts data'!$E$3=1,I263,1)/IF('Charts data'!$E$4=1,J263,1)</f>
        <v>92994.518051969761</v>
      </c>
    </row>
    <row r="264" spans="1:12" x14ac:dyDescent="0.25">
      <c r="A264" s="27" t="s">
        <v>654</v>
      </c>
      <c r="B264" s="27">
        <v>190000</v>
      </c>
      <c r="C264" s="27" t="s">
        <v>24</v>
      </c>
      <c r="D264" s="28">
        <f>B264*VLOOKUP(C264,tblXrate[],2,0)</f>
        <v>299473.87169278396</v>
      </c>
      <c r="E264" s="27" t="s">
        <v>2147</v>
      </c>
      <c r="F264" s="27" t="s">
        <v>25</v>
      </c>
      <c r="G264" s="27" t="s">
        <v>2271</v>
      </c>
      <c r="H264" s="27"/>
      <c r="I264" s="27">
        <f>VLOOKUP(F264,mapping!$L$2:$P$92,2,0)</f>
        <v>1.0513109074688785</v>
      </c>
      <c r="J264" s="27">
        <f>VLOOKUP($F264,mapping!$L$2:$P$92,3,0)</f>
        <v>38592.1</v>
      </c>
      <c r="K264" s="27" t="str">
        <f>VLOOKUP($F264,mapping!$L$2:$P$92,4,0)</f>
        <v>Major Advanced Economies (G7)</v>
      </c>
      <c r="L264" s="29">
        <f>$D264*VLOOKUP($E264,'Charts data'!$A$2:$B$11,2,0)*VLOOKUP($G264,'Charts data'!$A$14:$B$18,2,0)/IF('Charts data'!$E$3=1,I264,1)/IF('Charts data'!$E$4=1,J264,1)</f>
        <v>299473.87169278396</v>
      </c>
    </row>
    <row r="265" spans="1:12" x14ac:dyDescent="0.25">
      <c r="A265" s="27" t="s">
        <v>655</v>
      </c>
      <c r="B265" s="27">
        <v>28164</v>
      </c>
      <c r="C265" s="27" t="s">
        <v>24</v>
      </c>
      <c r="D265" s="28">
        <f>B265*VLOOKUP(C265,tblXrate[],2,0)</f>
        <v>44391.484854502989</v>
      </c>
      <c r="E265" s="27" t="s">
        <v>19</v>
      </c>
      <c r="F265" s="27" t="s">
        <v>25</v>
      </c>
      <c r="G265" s="27" t="s">
        <v>2271</v>
      </c>
      <c r="H265" s="27"/>
      <c r="I265" s="27">
        <f>VLOOKUP(F265,mapping!$L$2:$P$92,2,0)</f>
        <v>1.0513109074688785</v>
      </c>
      <c r="J265" s="27">
        <f>VLOOKUP($F265,mapping!$L$2:$P$92,3,0)</f>
        <v>38592.1</v>
      </c>
      <c r="K265" s="27" t="str">
        <f>VLOOKUP($F265,mapping!$L$2:$P$92,4,0)</f>
        <v>Major Advanced Economies (G7)</v>
      </c>
      <c r="L265" s="29">
        <f>$D265*VLOOKUP($E265,'Charts data'!$A$2:$B$11,2,0)*VLOOKUP($G265,'Charts data'!$A$14:$B$18,2,0)/IF('Charts data'!$E$3=1,I265,1)/IF('Charts data'!$E$4=1,J265,1)</f>
        <v>44391.484854502989</v>
      </c>
    </row>
    <row r="266" spans="1:12" x14ac:dyDescent="0.25">
      <c r="A266" s="27" t="s">
        <v>660</v>
      </c>
      <c r="B266" s="27">
        <v>33000</v>
      </c>
      <c r="C266" s="27" t="s">
        <v>24</v>
      </c>
      <c r="D266" s="28">
        <f>B266*VLOOKUP(C266,tblXrate[],2,0)</f>
        <v>52013.882978220376</v>
      </c>
      <c r="E266" s="27" t="s">
        <v>19</v>
      </c>
      <c r="F266" s="27" t="s">
        <v>25</v>
      </c>
      <c r="G266" s="27" t="s">
        <v>2271</v>
      </c>
      <c r="H266" s="27"/>
      <c r="I266" s="27">
        <f>VLOOKUP(F266,mapping!$L$2:$P$92,2,0)</f>
        <v>1.0513109074688785</v>
      </c>
      <c r="J266" s="27">
        <f>VLOOKUP($F266,mapping!$L$2:$P$92,3,0)</f>
        <v>38592.1</v>
      </c>
      <c r="K266" s="27" t="str">
        <f>VLOOKUP($F266,mapping!$L$2:$P$92,4,0)</f>
        <v>Major Advanced Economies (G7)</v>
      </c>
      <c r="L266" s="29">
        <f>$D266*VLOOKUP($E266,'Charts data'!$A$2:$B$11,2,0)*VLOOKUP($G266,'Charts data'!$A$14:$B$18,2,0)/IF('Charts data'!$E$3=1,I266,1)/IF('Charts data'!$E$4=1,J266,1)</f>
        <v>52013.882978220376</v>
      </c>
    </row>
    <row r="267" spans="1:12" x14ac:dyDescent="0.25">
      <c r="A267" s="27" t="s">
        <v>664</v>
      </c>
      <c r="B267" s="27">
        <v>58000</v>
      </c>
      <c r="C267" s="27" t="s">
        <v>24</v>
      </c>
      <c r="D267" s="28">
        <f>B267*VLOOKUP(C267,tblXrate[],2,0)</f>
        <v>91418.339779902482</v>
      </c>
      <c r="E267" s="27" t="s">
        <v>19</v>
      </c>
      <c r="F267" s="27" t="s">
        <v>25</v>
      </c>
      <c r="G267" s="27" t="s">
        <v>2273</v>
      </c>
      <c r="H267" s="27"/>
      <c r="I267" s="27">
        <f>VLOOKUP(F267,mapping!$L$2:$P$92,2,0)</f>
        <v>1.0513109074688785</v>
      </c>
      <c r="J267" s="27">
        <f>VLOOKUP($F267,mapping!$L$2:$P$92,3,0)</f>
        <v>38592.1</v>
      </c>
      <c r="K267" s="27" t="str">
        <f>VLOOKUP($F267,mapping!$L$2:$P$92,4,0)</f>
        <v>Major Advanced Economies (G7)</v>
      </c>
      <c r="L267" s="29">
        <f>$D267*VLOOKUP($E267,'Charts data'!$A$2:$B$11,2,0)*VLOOKUP($G267,'Charts data'!$A$14:$B$18,2,0)/IF('Charts data'!$E$3=1,I267,1)/IF('Charts data'!$E$4=1,J267,1)</f>
        <v>91418.339779902482</v>
      </c>
    </row>
    <row r="268" spans="1:12" x14ac:dyDescent="0.25">
      <c r="A268" s="27" t="s">
        <v>674</v>
      </c>
      <c r="B268" s="27">
        <v>16400</v>
      </c>
      <c r="C268" s="27" t="s">
        <v>24</v>
      </c>
      <c r="D268" s="28">
        <f>B268*VLOOKUP(C268,tblXrate[],2,0)</f>
        <v>25849.323661903458</v>
      </c>
      <c r="E268" s="27" t="s">
        <v>7</v>
      </c>
      <c r="F268" s="27" t="s">
        <v>25</v>
      </c>
      <c r="G268" s="27" t="s">
        <v>2271</v>
      </c>
      <c r="H268" s="27"/>
      <c r="I268" s="27">
        <f>VLOOKUP(F268,mapping!$L$2:$P$92,2,0)</f>
        <v>1.0513109074688785</v>
      </c>
      <c r="J268" s="27">
        <f>VLOOKUP($F268,mapping!$L$2:$P$92,3,0)</f>
        <v>38592.1</v>
      </c>
      <c r="K268" s="27" t="str">
        <f>VLOOKUP($F268,mapping!$L$2:$P$92,4,0)</f>
        <v>Major Advanced Economies (G7)</v>
      </c>
      <c r="L268" s="29">
        <f>$D268*VLOOKUP($E268,'Charts data'!$A$2:$B$11,2,0)*VLOOKUP($G268,'Charts data'!$A$14:$B$18,2,0)/IF('Charts data'!$E$3=1,I268,1)/IF('Charts data'!$E$4=1,J268,1)</f>
        <v>25849.323661903458</v>
      </c>
    </row>
    <row r="269" spans="1:12" x14ac:dyDescent="0.25">
      <c r="A269" s="27" t="s">
        <v>675</v>
      </c>
      <c r="B269" s="27">
        <v>78000</v>
      </c>
      <c r="C269" s="27" t="s">
        <v>24</v>
      </c>
      <c r="D269" s="28">
        <f>B269*VLOOKUP(C269,tblXrate[],2,0)</f>
        <v>122941.90522124816</v>
      </c>
      <c r="E269" s="27" t="s">
        <v>7</v>
      </c>
      <c r="F269" s="27" t="s">
        <v>25</v>
      </c>
      <c r="G269" s="27" t="s">
        <v>2274</v>
      </c>
      <c r="H269" s="27"/>
      <c r="I269" s="27">
        <f>VLOOKUP(F269,mapping!$L$2:$P$92,2,0)</f>
        <v>1.0513109074688785</v>
      </c>
      <c r="J269" s="27">
        <f>VLOOKUP($F269,mapping!$L$2:$P$92,3,0)</f>
        <v>38592.1</v>
      </c>
      <c r="K269" s="27" t="str">
        <f>VLOOKUP($F269,mapping!$L$2:$P$92,4,0)</f>
        <v>Major Advanced Economies (G7)</v>
      </c>
      <c r="L269" s="29">
        <f>$D269*VLOOKUP($E269,'Charts data'!$A$2:$B$11,2,0)*VLOOKUP($G269,'Charts data'!$A$14:$B$18,2,0)/IF('Charts data'!$E$3=1,I269,1)/IF('Charts data'!$E$4=1,J269,1)</f>
        <v>122941.90522124816</v>
      </c>
    </row>
    <row r="270" spans="1:12" x14ac:dyDescent="0.25">
      <c r="A270" s="27" t="s">
        <v>690</v>
      </c>
      <c r="B270" s="27">
        <v>36500</v>
      </c>
      <c r="C270" s="27" t="s">
        <v>24</v>
      </c>
      <c r="D270" s="28">
        <f>B270*VLOOKUP(C270,tblXrate[],2,0)</f>
        <v>57530.506930455871</v>
      </c>
      <c r="E270" s="27" t="s">
        <v>19</v>
      </c>
      <c r="F270" s="27" t="s">
        <v>25</v>
      </c>
      <c r="G270" s="27" t="s">
        <v>2272</v>
      </c>
      <c r="H270" s="27"/>
      <c r="I270" s="27">
        <f>VLOOKUP(F270,mapping!$L$2:$P$92,2,0)</f>
        <v>1.0513109074688785</v>
      </c>
      <c r="J270" s="27">
        <f>VLOOKUP($F270,mapping!$L$2:$P$92,3,0)</f>
        <v>38592.1</v>
      </c>
      <c r="K270" s="27" t="str">
        <f>VLOOKUP($F270,mapping!$L$2:$P$92,4,0)</f>
        <v>Major Advanced Economies (G7)</v>
      </c>
      <c r="L270" s="29">
        <f>$D270*VLOOKUP($E270,'Charts data'!$A$2:$B$11,2,0)*VLOOKUP($G270,'Charts data'!$A$14:$B$18,2,0)/IF('Charts data'!$E$3=1,I270,1)/IF('Charts data'!$E$4=1,J270,1)</f>
        <v>57530.506930455871</v>
      </c>
    </row>
    <row r="271" spans="1:12" x14ac:dyDescent="0.25">
      <c r="A271" s="27" t="s">
        <v>693</v>
      </c>
      <c r="B271" s="27">
        <v>140000</v>
      </c>
      <c r="C271" s="27" t="s">
        <v>24</v>
      </c>
      <c r="D271" s="28">
        <f>B271*VLOOKUP(C271,tblXrate[],2,0)</f>
        <v>220664.95808941979</v>
      </c>
      <c r="E271" s="27" t="s">
        <v>23</v>
      </c>
      <c r="F271" s="27" t="s">
        <v>25</v>
      </c>
      <c r="G271" s="27" t="s">
        <v>2273</v>
      </c>
      <c r="H271" s="27"/>
      <c r="I271" s="27">
        <f>VLOOKUP(F271,mapping!$L$2:$P$92,2,0)</f>
        <v>1.0513109074688785</v>
      </c>
      <c r="J271" s="27">
        <f>VLOOKUP($F271,mapping!$L$2:$P$92,3,0)</f>
        <v>38592.1</v>
      </c>
      <c r="K271" s="27" t="str">
        <f>VLOOKUP($F271,mapping!$L$2:$P$92,4,0)</f>
        <v>Major Advanced Economies (G7)</v>
      </c>
      <c r="L271" s="29">
        <f>$D271*VLOOKUP($E271,'Charts data'!$A$2:$B$11,2,0)*VLOOKUP($G271,'Charts data'!$A$14:$B$18,2,0)/IF('Charts data'!$E$3=1,I271,1)/IF('Charts data'!$E$4=1,J271,1)</f>
        <v>220664.95808941979</v>
      </c>
    </row>
    <row r="272" spans="1:12" x14ac:dyDescent="0.25">
      <c r="A272" s="27" t="s">
        <v>698</v>
      </c>
      <c r="B272" s="27">
        <v>73000</v>
      </c>
      <c r="C272" s="27" t="s">
        <v>24</v>
      </c>
      <c r="D272" s="28">
        <f>B272*VLOOKUP(C272,tblXrate[],2,0)</f>
        <v>115061.01386091174</v>
      </c>
      <c r="E272" s="27" t="s">
        <v>19</v>
      </c>
      <c r="F272" s="27" t="s">
        <v>25</v>
      </c>
      <c r="G272" s="27" t="s">
        <v>2271</v>
      </c>
      <c r="H272" s="27"/>
      <c r="I272" s="27">
        <f>VLOOKUP(F272,mapping!$L$2:$P$92,2,0)</f>
        <v>1.0513109074688785</v>
      </c>
      <c r="J272" s="27">
        <f>VLOOKUP($F272,mapping!$L$2:$P$92,3,0)</f>
        <v>38592.1</v>
      </c>
      <c r="K272" s="27" t="str">
        <f>VLOOKUP($F272,mapping!$L$2:$P$92,4,0)</f>
        <v>Major Advanced Economies (G7)</v>
      </c>
      <c r="L272" s="29">
        <f>$D272*VLOOKUP($E272,'Charts data'!$A$2:$B$11,2,0)*VLOOKUP($G272,'Charts data'!$A$14:$B$18,2,0)/IF('Charts data'!$E$3=1,I272,1)/IF('Charts data'!$E$4=1,J272,1)</f>
        <v>115061.01386091174</v>
      </c>
    </row>
    <row r="273" spans="1:12" x14ac:dyDescent="0.25">
      <c r="A273" s="27" t="s">
        <v>713</v>
      </c>
      <c r="B273" s="27">
        <v>20000</v>
      </c>
      <c r="C273" s="27" t="s">
        <v>24</v>
      </c>
      <c r="D273" s="28">
        <f>B273*VLOOKUP(C273,tblXrate[],2,0)</f>
        <v>31523.565441345683</v>
      </c>
      <c r="E273" s="27" t="s">
        <v>53</v>
      </c>
      <c r="F273" s="27" t="s">
        <v>25</v>
      </c>
      <c r="G273" s="27" t="s">
        <v>2271</v>
      </c>
      <c r="H273" s="27"/>
      <c r="I273" s="27">
        <f>VLOOKUP(F273,mapping!$L$2:$P$92,2,0)</f>
        <v>1.0513109074688785</v>
      </c>
      <c r="J273" s="27">
        <f>VLOOKUP($F273,mapping!$L$2:$P$92,3,0)</f>
        <v>38592.1</v>
      </c>
      <c r="K273" s="27" t="str">
        <f>VLOOKUP($F273,mapping!$L$2:$P$92,4,0)</f>
        <v>Major Advanced Economies (G7)</v>
      </c>
      <c r="L273" s="29">
        <f>$D273*VLOOKUP($E273,'Charts data'!$A$2:$B$11,2,0)*VLOOKUP($G273,'Charts data'!$A$14:$B$18,2,0)/IF('Charts data'!$E$3=1,I273,1)/IF('Charts data'!$E$4=1,J273,1)</f>
        <v>31523.565441345683</v>
      </c>
    </row>
    <row r="274" spans="1:12" x14ac:dyDescent="0.25">
      <c r="A274" s="27" t="s">
        <v>731</v>
      </c>
      <c r="B274" s="27">
        <v>28800</v>
      </c>
      <c r="C274" s="27" t="s">
        <v>24</v>
      </c>
      <c r="D274" s="28">
        <f>B274*VLOOKUP(C274,tblXrate[],2,0)</f>
        <v>45393.934235537781</v>
      </c>
      <c r="E274" s="27" t="s">
        <v>19</v>
      </c>
      <c r="F274" s="27" t="s">
        <v>25</v>
      </c>
      <c r="G274" s="27" t="s">
        <v>2271</v>
      </c>
      <c r="H274" s="27">
        <v>27</v>
      </c>
      <c r="I274" s="27">
        <f>VLOOKUP(F274,mapping!$L$2:$P$92,2,0)</f>
        <v>1.0513109074688785</v>
      </c>
      <c r="J274" s="27">
        <f>VLOOKUP($F274,mapping!$L$2:$P$92,3,0)</f>
        <v>38592.1</v>
      </c>
      <c r="K274" s="27" t="str">
        <f>VLOOKUP($F274,mapping!$L$2:$P$92,4,0)</f>
        <v>Major Advanced Economies (G7)</v>
      </c>
      <c r="L274" s="29">
        <f>$D274*VLOOKUP($E274,'Charts data'!$A$2:$B$11,2,0)*VLOOKUP($G274,'Charts data'!$A$14:$B$18,2,0)/IF('Charts data'!$E$3=1,I274,1)/IF('Charts data'!$E$4=1,J274,1)</f>
        <v>45393.934235537781</v>
      </c>
    </row>
    <row r="275" spans="1:12" x14ac:dyDescent="0.25">
      <c r="A275" s="27" t="s">
        <v>732</v>
      </c>
      <c r="B275" s="27">
        <v>21000</v>
      </c>
      <c r="C275" s="27" t="s">
        <v>24</v>
      </c>
      <c r="D275" s="28">
        <f>B275*VLOOKUP(C275,tblXrate[],2,0)</f>
        <v>33099.743713412965</v>
      </c>
      <c r="E275" s="27" t="s">
        <v>7</v>
      </c>
      <c r="F275" s="27" t="s">
        <v>25</v>
      </c>
      <c r="G275" s="27" t="s">
        <v>2273</v>
      </c>
      <c r="H275" s="27">
        <v>10</v>
      </c>
      <c r="I275" s="27">
        <f>VLOOKUP(F275,mapping!$L$2:$P$92,2,0)</f>
        <v>1.0513109074688785</v>
      </c>
      <c r="J275" s="27">
        <f>VLOOKUP($F275,mapping!$L$2:$P$92,3,0)</f>
        <v>38592.1</v>
      </c>
      <c r="K275" s="27" t="str">
        <f>VLOOKUP($F275,mapping!$L$2:$P$92,4,0)</f>
        <v>Major Advanced Economies (G7)</v>
      </c>
      <c r="L275" s="29">
        <f>$D275*VLOOKUP($E275,'Charts data'!$A$2:$B$11,2,0)*VLOOKUP($G275,'Charts data'!$A$14:$B$18,2,0)/IF('Charts data'!$E$3=1,I275,1)/IF('Charts data'!$E$4=1,J275,1)</f>
        <v>33099.743713412965</v>
      </c>
    </row>
    <row r="276" spans="1:12" x14ac:dyDescent="0.25">
      <c r="A276" s="27" t="s">
        <v>900</v>
      </c>
      <c r="B276" s="27">
        <v>74000</v>
      </c>
      <c r="C276" s="27" t="s">
        <v>24</v>
      </c>
      <c r="D276" s="28">
        <f>B276*VLOOKUP(C276,tblXrate[],2,0)</f>
        <v>116637.19213297902</v>
      </c>
      <c r="E276" s="27" t="s">
        <v>19</v>
      </c>
      <c r="F276" s="27" t="s">
        <v>25</v>
      </c>
      <c r="G276" s="27" t="s">
        <v>2271</v>
      </c>
      <c r="H276" s="27">
        <v>5</v>
      </c>
      <c r="I276" s="27">
        <f>VLOOKUP(F276,mapping!$L$2:$P$92,2,0)</f>
        <v>1.0513109074688785</v>
      </c>
      <c r="J276" s="27">
        <f>VLOOKUP($F276,mapping!$L$2:$P$92,3,0)</f>
        <v>38592.1</v>
      </c>
      <c r="K276" s="27" t="str">
        <f>VLOOKUP($F276,mapping!$L$2:$P$92,4,0)</f>
        <v>Major Advanced Economies (G7)</v>
      </c>
      <c r="L276" s="29">
        <f>$D276*VLOOKUP($E276,'Charts data'!$A$2:$B$11,2,0)*VLOOKUP($G276,'Charts data'!$A$14:$B$18,2,0)/IF('Charts data'!$E$3=1,I276,1)/IF('Charts data'!$E$4=1,J276,1)</f>
        <v>116637.19213297902</v>
      </c>
    </row>
    <row r="277" spans="1:12" x14ac:dyDescent="0.25">
      <c r="A277" s="27" t="s">
        <v>901</v>
      </c>
      <c r="B277" s="27">
        <v>21798</v>
      </c>
      <c r="C277" s="27" t="s">
        <v>24</v>
      </c>
      <c r="D277" s="28">
        <f>B277*VLOOKUP(C277,tblXrate[],2,0)</f>
        <v>34357.533974522659</v>
      </c>
      <c r="E277" s="27" t="s">
        <v>7</v>
      </c>
      <c r="F277" s="27" t="s">
        <v>25</v>
      </c>
      <c r="G277" s="27" t="s">
        <v>2273</v>
      </c>
      <c r="H277" s="27">
        <v>1.5</v>
      </c>
      <c r="I277" s="27">
        <f>VLOOKUP(F277,mapping!$L$2:$P$92,2,0)</f>
        <v>1.0513109074688785</v>
      </c>
      <c r="J277" s="27">
        <f>VLOOKUP($F277,mapping!$L$2:$P$92,3,0)</f>
        <v>38592.1</v>
      </c>
      <c r="K277" s="27" t="str">
        <f>VLOOKUP($F277,mapping!$L$2:$P$92,4,0)</f>
        <v>Major Advanced Economies (G7)</v>
      </c>
      <c r="L277" s="29">
        <f>$D277*VLOOKUP($E277,'Charts data'!$A$2:$B$11,2,0)*VLOOKUP($G277,'Charts data'!$A$14:$B$18,2,0)/IF('Charts data'!$E$3=1,I277,1)/IF('Charts data'!$E$4=1,J277,1)</f>
        <v>34357.533974522659</v>
      </c>
    </row>
    <row r="278" spans="1:12" x14ac:dyDescent="0.25">
      <c r="A278" s="27" t="s">
        <v>902</v>
      </c>
      <c r="B278" s="27">
        <v>65000</v>
      </c>
      <c r="C278" s="27" t="s">
        <v>24</v>
      </c>
      <c r="D278" s="28">
        <f>B278*VLOOKUP(C278,tblXrate[],2,0)</f>
        <v>102451.58768437347</v>
      </c>
      <c r="E278" s="27" t="s">
        <v>19</v>
      </c>
      <c r="F278" s="27" t="s">
        <v>25</v>
      </c>
      <c r="G278" s="27" t="s">
        <v>2271</v>
      </c>
      <c r="H278" s="27">
        <v>15</v>
      </c>
      <c r="I278" s="27">
        <f>VLOOKUP(F278,mapping!$L$2:$P$92,2,0)</f>
        <v>1.0513109074688785</v>
      </c>
      <c r="J278" s="27">
        <f>VLOOKUP($F278,mapping!$L$2:$P$92,3,0)</f>
        <v>38592.1</v>
      </c>
      <c r="K278" s="27" t="str">
        <f>VLOOKUP($F278,mapping!$L$2:$P$92,4,0)</f>
        <v>Major Advanced Economies (G7)</v>
      </c>
      <c r="L278" s="29">
        <f>$D278*VLOOKUP($E278,'Charts data'!$A$2:$B$11,2,0)*VLOOKUP($G278,'Charts data'!$A$14:$B$18,2,0)/IF('Charts data'!$E$3=1,I278,1)/IF('Charts data'!$E$4=1,J278,1)</f>
        <v>102451.58768437347</v>
      </c>
    </row>
    <row r="279" spans="1:12" x14ac:dyDescent="0.25">
      <c r="A279" s="27" t="s">
        <v>909</v>
      </c>
      <c r="B279" s="27">
        <v>24000</v>
      </c>
      <c r="C279" s="27" t="s">
        <v>24</v>
      </c>
      <c r="D279" s="28">
        <f>B279*VLOOKUP(C279,tblXrate[],2,0)</f>
        <v>37828.278529614821</v>
      </c>
      <c r="E279" s="27" t="s">
        <v>23</v>
      </c>
      <c r="F279" s="27" t="s">
        <v>25</v>
      </c>
      <c r="G279" s="27" t="s">
        <v>2273</v>
      </c>
      <c r="H279" s="27">
        <v>8</v>
      </c>
      <c r="I279" s="27">
        <f>VLOOKUP(F279,mapping!$L$2:$P$92,2,0)</f>
        <v>1.0513109074688785</v>
      </c>
      <c r="J279" s="27">
        <f>VLOOKUP($F279,mapping!$L$2:$P$92,3,0)</f>
        <v>38592.1</v>
      </c>
      <c r="K279" s="27" t="str">
        <f>VLOOKUP($F279,mapping!$L$2:$P$92,4,0)</f>
        <v>Major Advanced Economies (G7)</v>
      </c>
      <c r="L279" s="29">
        <f>$D279*VLOOKUP($E279,'Charts data'!$A$2:$B$11,2,0)*VLOOKUP($G279,'Charts data'!$A$14:$B$18,2,0)/IF('Charts data'!$E$3=1,I279,1)/IF('Charts data'!$E$4=1,J279,1)</f>
        <v>37828.278529614821</v>
      </c>
    </row>
    <row r="280" spans="1:12" x14ac:dyDescent="0.25">
      <c r="A280" s="27" t="s">
        <v>954</v>
      </c>
      <c r="B280" s="27">
        <v>29000</v>
      </c>
      <c r="C280" s="27" t="s">
        <v>24</v>
      </c>
      <c r="D280" s="28">
        <f>B280*VLOOKUP(C280,tblXrate[],2,0)</f>
        <v>45709.169889951241</v>
      </c>
      <c r="E280" s="27" t="s">
        <v>2145</v>
      </c>
      <c r="F280" s="27" t="s">
        <v>25</v>
      </c>
      <c r="G280" s="27" t="s">
        <v>2272</v>
      </c>
      <c r="H280" s="27">
        <v>15</v>
      </c>
      <c r="I280" s="27">
        <f>VLOOKUP(F280,mapping!$L$2:$P$92,2,0)</f>
        <v>1.0513109074688785</v>
      </c>
      <c r="J280" s="27">
        <f>VLOOKUP($F280,mapping!$L$2:$P$92,3,0)</f>
        <v>38592.1</v>
      </c>
      <c r="K280" s="27" t="str">
        <f>VLOOKUP($F280,mapping!$L$2:$P$92,4,0)</f>
        <v>Major Advanced Economies (G7)</v>
      </c>
      <c r="L280" s="29">
        <f>$D280*VLOOKUP($E280,'Charts data'!$A$2:$B$11,2,0)*VLOOKUP($G280,'Charts data'!$A$14:$B$18,2,0)/IF('Charts data'!$E$3=1,I280,1)/IF('Charts data'!$E$4=1,J280,1)</f>
        <v>45709.169889951241</v>
      </c>
    </row>
    <row r="281" spans="1:12" x14ac:dyDescent="0.25">
      <c r="A281" s="27" t="s">
        <v>973</v>
      </c>
      <c r="B281" s="27">
        <v>55000</v>
      </c>
      <c r="C281" s="27" t="s">
        <v>24</v>
      </c>
      <c r="D281" s="28">
        <f>B281*VLOOKUP(C281,tblXrate[],2,0)</f>
        <v>86689.804963700633</v>
      </c>
      <c r="E281" s="27" t="s">
        <v>62</v>
      </c>
      <c r="F281" s="27" t="s">
        <v>25</v>
      </c>
      <c r="G281" s="27" t="s">
        <v>2271</v>
      </c>
      <c r="H281" s="27">
        <v>12</v>
      </c>
      <c r="I281" s="27">
        <f>VLOOKUP(F281,mapping!$L$2:$P$92,2,0)</f>
        <v>1.0513109074688785</v>
      </c>
      <c r="J281" s="27">
        <f>VLOOKUP($F281,mapping!$L$2:$P$92,3,0)</f>
        <v>38592.1</v>
      </c>
      <c r="K281" s="27" t="str">
        <f>VLOOKUP($F281,mapping!$L$2:$P$92,4,0)</f>
        <v>Major Advanced Economies (G7)</v>
      </c>
      <c r="L281" s="29">
        <f>$D281*VLOOKUP($E281,'Charts data'!$A$2:$B$11,2,0)*VLOOKUP($G281,'Charts data'!$A$14:$B$18,2,0)/IF('Charts data'!$E$3=1,I281,1)/IF('Charts data'!$E$4=1,J281,1)</f>
        <v>86689.804963700633</v>
      </c>
    </row>
    <row r="282" spans="1:12" x14ac:dyDescent="0.25">
      <c r="A282" s="27" t="s">
        <v>996</v>
      </c>
      <c r="B282" s="27">
        <v>100000</v>
      </c>
      <c r="C282" s="27" t="s">
        <v>24</v>
      </c>
      <c r="D282" s="28">
        <f>B282*VLOOKUP(C282,tblXrate[],2,0)</f>
        <v>157617.8272067284</v>
      </c>
      <c r="E282" s="27" t="s">
        <v>62</v>
      </c>
      <c r="F282" s="27" t="s">
        <v>25</v>
      </c>
      <c r="G282" s="27" t="s">
        <v>2272</v>
      </c>
      <c r="H282" s="27">
        <v>20</v>
      </c>
      <c r="I282" s="27">
        <f>VLOOKUP(F282,mapping!$L$2:$P$92,2,0)</f>
        <v>1.0513109074688785</v>
      </c>
      <c r="J282" s="27">
        <f>VLOOKUP($F282,mapping!$L$2:$P$92,3,0)</f>
        <v>38592.1</v>
      </c>
      <c r="K282" s="27" t="str">
        <f>VLOOKUP($F282,mapping!$L$2:$P$92,4,0)</f>
        <v>Major Advanced Economies (G7)</v>
      </c>
      <c r="L282" s="29">
        <f>$D282*VLOOKUP($E282,'Charts data'!$A$2:$B$11,2,0)*VLOOKUP($G282,'Charts data'!$A$14:$B$18,2,0)/IF('Charts data'!$E$3=1,I282,1)/IF('Charts data'!$E$4=1,J282,1)</f>
        <v>157617.8272067284</v>
      </c>
    </row>
    <row r="283" spans="1:12" x14ac:dyDescent="0.25">
      <c r="A283" s="27" t="s">
        <v>1058</v>
      </c>
      <c r="B283" s="27">
        <v>80000</v>
      </c>
      <c r="C283" s="27" t="s">
        <v>24</v>
      </c>
      <c r="D283" s="28">
        <f>B283*VLOOKUP(C283,tblXrate[],2,0)</f>
        <v>126094.26176538273</v>
      </c>
      <c r="E283" s="27" t="s">
        <v>51</v>
      </c>
      <c r="F283" s="27" t="s">
        <v>25</v>
      </c>
      <c r="G283" s="27" t="s">
        <v>2271</v>
      </c>
      <c r="H283" s="27">
        <v>10</v>
      </c>
      <c r="I283" s="27">
        <f>VLOOKUP(F283,mapping!$L$2:$P$92,2,0)</f>
        <v>1.0513109074688785</v>
      </c>
      <c r="J283" s="27">
        <f>VLOOKUP($F283,mapping!$L$2:$P$92,3,0)</f>
        <v>38592.1</v>
      </c>
      <c r="K283" s="27" t="str">
        <f>VLOOKUP($F283,mapping!$L$2:$P$92,4,0)</f>
        <v>Major Advanced Economies (G7)</v>
      </c>
      <c r="L283" s="29">
        <f>$D283*VLOOKUP($E283,'Charts data'!$A$2:$B$11,2,0)*VLOOKUP($G283,'Charts data'!$A$14:$B$18,2,0)/IF('Charts data'!$E$3=1,I283,1)/IF('Charts data'!$E$4=1,J283,1)</f>
        <v>126094.26176538273</v>
      </c>
    </row>
    <row r="284" spans="1:12" x14ac:dyDescent="0.25">
      <c r="A284" s="27" t="s">
        <v>1065</v>
      </c>
      <c r="B284" s="27">
        <v>65000</v>
      </c>
      <c r="C284" s="27" t="s">
        <v>24</v>
      </c>
      <c r="D284" s="28">
        <f>B284*VLOOKUP(C284,tblXrate[],2,0)</f>
        <v>102451.58768437347</v>
      </c>
      <c r="E284" s="27" t="s">
        <v>19</v>
      </c>
      <c r="F284" s="27" t="s">
        <v>25</v>
      </c>
      <c r="G284" s="27" t="s">
        <v>2274</v>
      </c>
      <c r="H284" s="27">
        <v>15</v>
      </c>
      <c r="I284" s="27">
        <f>VLOOKUP(F284,mapping!$L$2:$P$92,2,0)</f>
        <v>1.0513109074688785</v>
      </c>
      <c r="J284" s="27">
        <f>VLOOKUP($F284,mapping!$L$2:$P$92,3,0)</f>
        <v>38592.1</v>
      </c>
      <c r="K284" s="27" t="str">
        <f>VLOOKUP($F284,mapping!$L$2:$P$92,4,0)</f>
        <v>Major Advanced Economies (G7)</v>
      </c>
      <c r="L284" s="29">
        <f>$D284*VLOOKUP($E284,'Charts data'!$A$2:$B$11,2,0)*VLOOKUP($G284,'Charts data'!$A$14:$B$18,2,0)/IF('Charts data'!$E$3=1,I284,1)/IF('Charts data'!$E$4=1,J284,1)</f>
        <v>102451.58768437347</v>
      </c>
    </row>
    <row r="285" spans="1:12" x14ac:dyDescent="0.25">
      <c r="A285" s="27" t="s">
        <v>1067</v>
      </c>
      <c r="B285" s="27">
        <v>64210</v>
      </c>
      <c r="C285" s="27" t="s">
        <v>24</v>
      </c>
      <c r="D285" s="28">
        <f>B285*VLOOKUP(C285,tblXrate[],2,0)</f>
        <v>101206.40684944032</v>
      </c>
      <c r="E285" s="27" t="s">
        <v>53</v>
      </c>
      <c r="F285" s="27" t="s">
        <v>25</v>
      </c>
      <c r="G285" s="27" t="s">
        <v>2271</v>
      </c>
      <c r="H285" s="27">
        <v>16</v>
      </c>
      <c r="I285" s="27">
        <f>VLOOKUP(F285,mapping!$L$2:$P$92,2,0)</f>
        <v>1.0513109074688785</v>
      </c>
      <c r="J285" s="27">
        <f>VLOOKUP($F285,mapping!$L$2:$P$92,3,0)</f>
        <v>38592.1</v>
      </c>
      <c r="K285" s="27" t="str">
        <f>VLOOKUP($F285,mapping!$L$2:$P$92,4,0)</f>
        <v>Major Advanced Economies (G7)</v>
      </c>
      <c r="L285" s="29">
        <f>$D285*VLOOKUP($E285,'Charts data'!$A$2:$B$11,2,0)*VLOOKUP($G285,'Charts data'!$A$14:$B$18,2,0)/IF('Charts data'!$E$3=1,I285,1)/IF('Charts data'!$E$4=1,J285,1)</f>
        <v>101206.40684944032</v>
      </c>
    </row>
    <row r="286" spans="1:12" x14ac:dyDescent="0.25">
      <c r="A286" s="27" t="s">
        <v>1080</v>
      </c>
      <c r="B286" s="27">
        <v>50000</v>
      </c>
      <c r="C286" s="27" t="s">
        <v>24</v>
      </c>
      <c r="D286" s="28">
        <f>B286*VLOOKUP(C286,tblXrate[],2,0)</f>
        <v>78808.913603364199</v>
      </c>
      <c r="E286" s="27" t="s">
        <v>7</v>
      </c>
      <c r="F286" s="27" t="s">
        <v>25</v>
      </c>
      <c r="G286" s="27" t="s">
        <v>2273</v>
      </c>
      <c r="H286" s="27">
        <v>10</v>
      </c>
      <c r="I286" s="27">
        <f>VLOOKUP(F286,mapping!$L$2:$P$92,2,0)</f>
        <v>1.0513109074688785</v>
      </c>
      <c r="J286" s="27">
        <f>VLOOKUP($F286,mapping!$L$2:$P$92,3,0)</f>
        <v>38592.1</v>
      </c>
      <c r="K286" s="27" t="str">
        <f>VLOOKUP($F286,mapping!$L$2:$P$92,4,0)</f>
        <v>Major Advanced Economies (G7)</v>
      </c>
      <c r="L286" s="29">
        <f>$D286*VLOOKUP($E286,'Charts data'!$A$2:$B$11,2,0)*VLOOKUP($G286,'Charts data'!$A$14:$B$18,2,0)/IF('Charts data'!$E$3=1,I286,1)/IF('Charts data'!$E$4=1,J286,1)</f>
        <v>78808.913603364199</v>
      </c>
    </row>
    <row r="287" spans="1:12" x14ac:dyDescent="0.25">
      <c r="A287" s="27" t="s">
        <v>1196</v>
      </c>
      <c r="B287" s="27">
        <v>26000</v>
      </c>
      <c r="C287" s="27" t="s">
        <v>24</v>
      </c>
      <c r="D287" s="28">
        <f>B287*VLOOKUP(C287,tblXrate[],2,0)</f>
        <v>40980.635073749385</v>
      </c>
      <c r="E287" s="27" t="s">
        <v>53</v>
      </c>
      <c r="F287" s="27" t="s">
        <v>25</v>
      </c>
      <c r="G287" s="27" t="s">
        <v>2273</v>
      </c>
      <c r="H287" s="27">
        <v>8</v>
      </c>
      <c r="I287" s="27">
        <f>VLOOKUP(F287,mapping!$L$2:$P$92,2,0)</f>
        <v>1.0513109074688785</v>
      </c>
      <c r="J287" s="27">
        <f>VLOOKUP($F287,mapping!$L$2:$P$92,3,0)</f>
        <v>38592.1</v>
      </c>
      <c r="K287" s="27" t="str">
        <f>VLOOKUP($F287,mapping!$L$2:$P$92,4,0)</f>
        <v>Major Advanced Economies (G7)</v>
      </c>
      <c r="L287" s="29">
        <f>$D287*VLOOKUP($E287,'Charts data'!$A$2:$B$11,2,0)*VLOOKUP($G287,'Charts data'!$A$14:$B$18,2,0)/IF('Charts data'!$E$3=1,I287,1)/IF('Charts data'!$E$4=1,J287,1)</f>
        <v>40980.635073749385</v>
      </c>
    </row>
    <row r="288" spans="1:12" x14ac:dyDescent="0.25">
      <c r="A288" s="27" t="s">
        <v>1203</v>
      </c>
      <c r="B288" s="27">
        <v>28000</v>
      </c>
      <c r="C288" s="27" t="s">
        <v>24</v>
      </c>
      <c r="D288" s="28">
        <f>B288*VLOOKUP(C288,tblXrate[],2,0)</f>
        <v>44132.991617883956</v>
      </c>
      <c r="E288" s="27" t="s">
        <v>7</v>
      </c>
      <c r="F288" s="27" t="s">
        <v>25</v>
      </c>
      <c r="G288" s="27" t="s">
        <v>2272</v>
      </c>
      <c r="H288" s="27">
        <v>16</v>
      </c>
      <c r="I288" s="27">
        <f>VLOOKUP(F288,mapping!$L$2:$P$92,2,0)</f>
        <v>1.0513109074688785</v>
      </c>
      <c r="J288" s="27">
        <f>VLOOKUP($F288,mapping!$L$2:$P$92,3,0)</f>
        <v>38592.1</v>
      </c>
      <c r="K288" s="27" t="str">
        <f>VLOOKUP($F288,mapping!$L$2:$P$92,4,0)</f>
        <v>Major Advanced Economies (G7)</v>
      </c>
      <c r="L288" s="29">
        <f>$D288*VLOOKUP($E288,'Charts data'!$A$2:$B$11,2,0)*VLOOKUP($G288,'Charts data'!$A$14:$B$18,2,0)/IF('Charts data'!$E$3=1,I288,1)/IF('Charts data'!$E$4=1,J288,1)</f>
        <v>44132.991617883956</v>
      </c>
    </row>
    <row r="289" spans="1:12" x14ac:dyDescent="0.25">
      <c r="A289" s="27" t="s">
        <v>1213</v>
      </c>
      <c r="B289" s="27">
        <v>15600</v>
      </c>
      <c r="C289" s="27" t="s">
        <v>24</v>
      </c>
      <c r="D289" s="28">
        <f>B289*VLOOKUP(C289,tblXrate[],2,0)</f>
        <v>24588.381044249632</v>
      </c>
      <c r="E289" s="27" t="s">
        <v>7</v>
      </c>
      <c r="F289" s="27" t="s">
        <v>25</v>
      </c>
      <c r="G289" s="27" t="s">
        <v>2273</v>
      </c>
      <c r="H289" s="27">
        <v>0</v>
      </c>
      <c r="I289" s="27">
        <f>VLOOKUP(F289,mapping!$L$2:$P$92,2,0)</f>
        <v>1.0513109074688785</v>
      </c>
      <c r="J289" s="27">
        <f>VLOOKUP($F289,mapping!$L$2:$P$92,3,0)</f>
        <v>38592.1</v>
      </c>
      <c r="K289" s="27" t="str">
        <f>VLOOKUP($F289,mapping!$L$2:$P$92,4,0)</f>
        <v>Major Advanced Economies (G7)</v>
      </c>
      <c r="L289" s="29">
        <f>$D289*VLOOKUP($E289,'Charts data'!$A$2:$B$11,2,0)*VLOOKUP($G289,'Charts data'!$A$14:$B$18,2,0)/IF('Charts data'!$E$3=1,I289,1)/IF('Charts data'!$E$4=1,J289,1)</f>
        <v>24588.381044249632</v>
      </c>
    </row>
    <row r="290" spans="1:12" x14ac:dyDescent="0.25">
      <c r="A290" s="27" t="s">
        <v>1216</v>
      </c>
      <c r="B290" s="27">
        <v>50000</v>
      </c>
      <c r="C290" s="27" t="s">
        <v>24</v>
      </c>
      <c r="D290" s="28">
        <f>B290*VLOOKUP(C290,tblXrate[],2,0)</f>
        <v>78808.913603364199</v>
      </c>
      <c r="E290" s="27" t="s">
        <v>19</v>
      </c>
      <c r="F290" s="27" t="s">
        <v>25</v>
      </c>
      <c r="G290" s="27" t="s">
        <v>2272</v>
      </c>
      <c r="H290" s="27">
        <v>12</v>
      </c>
      <c r="I290" s="27">
        <f>VLOOKUP(F290,mapping!$L$2:$P$92,2,0)</f>
        <v>1.0513109074688785</v>
      </c>
      <c r="J290" s="27">
        <f>VLOOKUP($F290,mapping!$L$2:$P$92,3,0)</f>
        <v>38592.1</v>
      </c>
      <c r="K290" s="27" t="str">
        <f>VLOOKUP($F290,mapping!$L$2:$P$92,4,0)</f>
        <v>Major Advanced Economies (G7)</v>
      </c>
      <c r="L290" s="29">
        <f>$D290*VLOOKUP($E290,'Charts data'!$A$2:$B$11,2,0)*VLOOKUP($G290,'Charts data'!$A$14:$B$18,2,0)/IF('Charts data'!$E$3=1,I290,1)/IF('Charts data'!$E$4=1,J290,1)</f>
        <v>78808.913603364199</v>
      </c>
    </row>
    <row r="291" spans="1:12" x14ac:dyDescent="0.25">
      <c r="A291" s="27" t="s">
        <v>1219</v>
      </c>
      <c r="B291" s="27">
        <v>30000</v>
      </c>
      <c r="C291" s="27" t="s">
        <v>24</v>
      </c>
      <c r="D291" s="28">
        <f>B291*VLOOKUP(C291,tblXrate[],2,0)</f>
        <v>47285.348162018527</v>
      </c>
      <c r="E291" s="27" t="s">
        <v>7</v>
      </c>
      <c r="F291" s="27" t="s">
        <v>25</v>
      </c>
      <c r="G291" s="27" t="s">
        <v>2273</v>
      </c>
      <c r="H291" s="27">
        <v>15</v>
      </c>
      <c r="I291" s="27">
        <f>VLOOKUP(F291,mapping!$L$2:$P$92,2,0)</f>
        <v>1.0513109074688785</v>
      </c>
      <c r="J291" s="27">
        <f>VLOOKUP($F291,mapping!$L$2:$P$92,3,0)</f>
        <v>38592.1</v>
      </c>
      <c r="K291" s="27" t="str">
        <f>VLOOKUP($F291,mapping!$L$2:$P$92,4,0)</f>
        <v>Major Advanced Economies (G7)</v>
      </c>
      <c r="L291" s="29">
        <f>$D291*VLOOKUP($E291,'Charts data'!$A$2:$B$11,2,0)*VLOOKUP($G291,'Charts data'!$A$14:$B$18,2,0)/IF('Charts data'!$E$3=1,I291,1)/IF('Charts data'!$E$4=1,J291,1)</f>
        <v>47285.348162018527</v>
      </c>
    </row>
    <row r="292" spans="1:12" x14ac:dyDescent="0.25">
      <c r="A292" s="27" t="s">
        <v>1223</v>
      </c>
      <c r="B292" s="27">
        <v>20000</v>
      </c>
      <c r="C292" s="27" t="s">
        <v>24</v>
      </c>
      <c r="D292" s="28">
        <f>B292*VLOOKUP(C292,tblXrate[],2,0)</f>
        <v>31523.565441345683</v>
      </c>
      <c r="E292" s="27" t="s">
        <v>7</v>
      </c>
      <c r="F292" s="27" t="s">
        <v>25</v>
      </c>
      <c r="G292" s="27" t="s">
        <v>2271</v>
      </c>
      <c r="H292" s="27">
        <v>1</v>
      </c>
      <c r="I292" s="27">
        <f>VLOOKUP(F292,mapping!$L$2:$P$92,2,0)</f>
        <v>1.0513109074688785</v>
      </c>
      <c r="J292" s="27">
        <f>VLOOKUP($F292,mapping!$L$2:$P$92,3,0)</f>
        <v>38592.1</v>
      </c>
      <c r="K292" s="27" t="str">
        <f>VLOOKUP($F292,mapping!$L$2:$P$92,4,0)</f>
        <v>Major Advanced Economies (G7)</v>
      </c>
      <c r="L292" s="29">
        <f>$D292*VLOOKUP($E292,'Charts data'!$A$2:$B$11,2,0)*VLOOKUP($G292,'Charts data'!$A$14:$B$18,2,0)/IF('Charts data'!$E$3=1,I292,1)/IF('Charts data'!$E$4=1,J292,1)</f>
        <v>31523.565441345683</v>
      </c>
    </row>
    <row r="293" spans="1:12" x14ac:dyDescent="0.25">
      <c r="A293" s="27" t="s">
        <v>1225</v>
      </c>
      <c r="B293" s="27">
        <v>80000</v>
      </c>
      <c r="C293" s="27" t="s">
        <v>24</v>
      </c>
      <c r="D293" s="28">
        <f>B293*VLOOKUP(C293,tblXrate[],2,0)</f>
        <v>126094.26176538273</v>
      </c>
      <c r="E293" s="27" t="s">
        <v>53</v>
      </c>
      <c r="F293" s="27" t="s">
        <v>25</v>
      </c>
      <c r="G293" s="27" t="s">
        <v>2271</v>
      </c>
      <c r="H293" s="27">
        <v>10</v>
      </c>
      <c r="I293" s="27">
        <f>VLOOKUP(F293,mapping!$L$2:$P$92,2,0)</f>
        <v>1.0513109074688785</v>
      </c>
      <c r="J293" s="27">
        <f>VLOOKUP($F293,mapping!$L$2:$P$92,3,0)</f>
        <v>38592.1</v>
      </c>
      <c r="K293" s="27" t="str">
        <f>VLOOKUP($F293,mapping!$L$2:$P$92,4,0)</f>
        <v>Major Advanced Economies (G7)</v>
      </c>
      <c r="L293" s="29">
        <f>$D293*VLOOKUP($E293,'Charts data'!$A$2:$B$11,2,0)*VLOOKUP($G293,'Charts data'!$A$14:$B$18,2,0)/IF('Charts data'!$E$3=1,I293,1)/IF('Charts data'!$E$4=1,J293,1)</f>
        <v>126094.26176538273</v>
      </c>
    </row>
    <row r="294" spans="1:12" x14ac:dyDescent="0.25">
      <c r="A294" s="27" t="s">
        <v>1226</v>
      </c>
      <c r="B294" s="27">
        <v>63000</v>
      </c>
      <c r="C294" s="27" t="s">
        <v>24</v>
      </c>
      <c r="D294" s="28">
        <f>B294*VLOOKUP(C294,tblXrate[],2,0)</f>
        <v>99299.231140238902</v>
      </c>
      <c r="E294" s="27" t="s">
        <v>23</v>
      </c>
      <c r="F294" s="27" t="s">
        <v>25</v>
      </c>
      <c r="G294" s="27" t="s">
        <v>2272</v>
      </c>
      <c r="H294" s="27">
        <v>1</v>
      </c>
      <c r="I294" s="27">
        <f>VLOOKUP(F294,mapping!$L$2:$P$92,2,0)</f>
        <v>1.0513109074688785</v>
      </c>
      <c r="J294" s="27">
        <f>VLOOKUP($F294,mapping!$L$2:$P$92,3,0)</f>
        <v>38592.1</v>
      </c>
      <c r="K294" s="27" t="str">
        <f>VLOOKUP($F294,mapping!$L$2:$P$92,4,0)</f>
        <v>Major Advanced Economies (G7)</v>
      </c>
      <c r="L294" s="29">
        <f>$D294*VLOOKUP($E294,'Charts data'!$A$2:$B$11,2,0)*VLOOKUP($G294,'Charts data'!$A$14:$B$18,2,0)/IF('Charts data'!$E$3=1,I294,1)/IF('Charts data'!$E$4=1,J294,1)</f>
        <v>99299.231140238902</v>
      </c>
    </row>
    <row r="295" spans="1:12" x14ac:dyDescent="0.25">
      <c r="A295" s="27" t="s">
        <v>1227</v>
      </c>
      <c r="B295" s="27">
        <v>55000</v>
      </c>
      <c r="C295" s="27" t="s">
        <v>24</v>
      </c>
      <c r="D295" s="28">
        <f>B295*VLOOKUP(C295,tblXrate[],2,0)</f>
        <v>86689.804963700633</v>
      </c>
      <c r="E295" s="27" t="s">
        <v>2147</v>
      </c>
      <c r="F295" s="27" t="s">
        <v>25</v>
      </c>
      <c r="G295" s="27" t="s">
        <v>2272</v>
      </c>
      <c r="H295" s="27">
        <v>22</v>
      </c>
      <c r="I295" s="27">
        <f>VLOOKUP(F295,mapping!$L$2:$P$92,2,0)</f>
        <v>1.0513109074688785</v>
      </c>
      <c r="J295" s="27">
        <f>VLOOKUP($F295,mapping!$L$2:$P$92,3,0)</f>
        <v>38592.1</v>
      </c>
      <c r="K295" s="27" t="str">
        <f>VLOOKUP($F295,mapping!$L$2:$P$92,4,0)</f>
        <v>Major Advanced Economies (G7)</v>
      </c>
      <c r="L295" s="29">
        <f>$D295*VLOOKUP($E295,'Charts data'!$A$2:$B$11,2,0)*VLOOKUP($G295,'Charts data'!$A$14:$B$18,2,0)/IF('Charts data'!$E$3=1,I295,1)/IF('Charts data'!$E$4=1,J295,1)</f>
        <v>86689.804963700633</v>
      </c>
    </row>
    <row r="296" spans="1:12" x14ac:dyDescent="0.25">
      <c r="A296" s="27" t="s">
        <v>1232</v>
      </c>
      <c r="B296" s="27">
        <v>40500</v>
      </c>
      <c r="C296" s="27" t="s">
        <v>24</v>
      </c>
      <c r="D296" s="28">
        <f>B296*VLOOKUP(C296,tblXrate[],2,0)</f>
        <v>63835.220018725006</v>
      </c>
      <c r="E296" s="27" t="s">
        <v>19</v>
      </c>
      <c r="F296" s="27" t="s">
        <v>25</v>
      </c>
      <c r="G296" s="27" t="s">
        <v>2272</v>
      </c>
      <c r="H296" s="27">
        <v>25</v>
      </c>
      <c r="I296" s="27">
        <f>VLOOKUP(F296,mapping!$L$2:$P$92,2,0)</f>
        <v>1.0513109074688785</v>
      </c>
      <c r="J296" s="27">
        <f>VLOOKUP($F296,mapping!$L$2:$P$92,3,0)</f>
        <v>38592.1</v>
      </c>
      <c r="K296" s="27" t="str">
        <f>VLOOKUP($F296,mapping!$L$2:$P$92,4,0)</f>
        <v>Major Advanced Economies (G7)</v>
      </c>
      <c r="L296" s="29">
        <f>$D296*VLOOKUP($E296,'Charts data'!$A$2:$B$11,2,0)*VLOOKUP($G296,'Charts data'!$A$14:$B$18,2,0)/IF('Charts data'!$E$3=1,I296,1)/IF('Charts data'!$E$4=1,J296,1)</f>
        <v>63835.220018725006</v>
      </c>
    </row>
    <row r="297" spans="1:12" x14ac:dyDescent="0.25">
      <c r="A297" s="27" t="s">
        <v>1233</v>
      </c>
      <c r="B297" s="27">
        <v>23000</v>
      </c>
      <c r="C297" s="27" t="s">
        <v>24</v>
      </c>
      <c r="D297" s="28">
        <f>B297*VLOOKUP(C297,tblXrate[],2,0)</f>
        <v>36252.100257547536</v>
      </c>
      <c r="E297" s="27" t="s">
        <v>7</v>
      </c>
      <c r="F297" s="27" t="s">
        <v>25</v>
      </c>
      <c r="G297" s="27" t="s">
        <v>2273</v>
      </c>
      <c r="H297" s="27">
        <v>5</v>
      </c>
      <c r="I297" s="27">
        <f>VLOOKUP(F297,mapping!$L$2:$P$92,2,0)</f>
        <v>1.0513109074688785</v>
      </c>
      <c r="J297" s="27">
        <f>VLOOKUP($F297,mapping!$L$2:$P$92,3,0)</f>
        <v>38592.1</v>
      </c>
      <c r="K297" s="27" t="str">
        <f>VLOOKUP($F297,mapping!$L$2:$P$92,4,0)</f>
        <v>Major Advanced Economies (G7)</v>
      </c>
      <c r="L297" s="29">
        <f>$D297*VLOOKUP($E297,'Charts data'!$A$2:$B$11,2,0)*VLOOKUP($G297,'Charts data'!$A$14:$B$18,2,0)/IF('Charts data'!$E$3=1,I297,1)/IF('Charts data'!$E$4=1,J297,1)</f>
        <v>36252.100257547536</v>
      </c>
    </row>
    <row r="298" spans="1:12" x14ac:dyDescent="0.25">
      <c r="A298" s="27" t="s">
        <v>1237</v>
      </c>
      <c r="B298" s="27">
        <v>30000</v>
      </c>
      <c r="C298" s="27" t="s">
        <v>24</v>
      </c>
      <c r="D298" s="28">
        <f>B298*VLOOKUP(C298,tblXrate[],2,0)</f>
        <v>47285.348162018527</v>
      </c>
      <c r="E298" s="27" t="s">
        <v>7</v>
      </c>
      <c r="F298" s="27" t="s">
        <v>25</v>
      </c>
      <c r="G298" s="27" t="s">
        <v>2271</v>
      </c>
      <c r="H298" s="27">
        <v>4</v>
      </c>
      <c r="I298" s="27">
        <f>VLOOKUP(F298,mapping!$L$2:$P$92,2,0)</f>
        <v>1.0513109074688785</v>
      </c>
      <c r="J298" s="27">
        <f>VLOOKUP($F298,mapping!$L$2:$P$92,3,0)</f>
        <v>38592.1</v>
      </c>
      <c r="K298" s="27" t="str">
        <f>VLOOKUP($F298,mapping!$L$2:$P$92,4,0)</f>
        <v>Major Advanced Economies (G7)</v>
      </c>
      <c r="L298" s="29">
        <f>$D298*VLOOKUP($E298,'Charts data'!$A$2:$B$11,2,0)*VLOOKUP($G298,'Charts data'!$A$14:$B$18,2,0)/IF('Charts data'!$E$3=1,I298,1)/IF('Charts data'!$E$4=1,J298,1)</f>
        <v>47285.348162018527</v>
      </c>
    </row>
    <row r="299" spans="1:12" x14ac:dyDescent="0.25">
      <c r="A299" s="27" t="s">
        <v>1238</v>
      </c>
      <c r="B299" s="27">
        <v>48000</v>
      </c>
      <c r="C299" s="27" t="s">
        <v>24</v>
      </c>
      <c r="D299" s="28">
        <f>B299*VLOOKUP(C299,tblXrate[],2,0)</f>
        <v>75656.557059229643</v>
      </c>
      <c r="E299" s="27" t="s">
        <v>19</v>
      </c>
      <c r="F299" s="27" t="s">
        <v>25</v>
      </c>
      <c r="G299" s="27" t="s">
        <v>2272</v>
      </c>
      <c r="H299" s="27">
        <v>10</v>
      </c>
      <c r="I299" s="27">
        <f>VLOOKUP(F299,mapping!$L$2:$P$92,2,0)</f>
        <v>1.0513109074688785</v>
      </c>
      <c r="J299" s="27">
        <f>VLOOKUP($F299,mapping!$L$2:$P$92,3,0)</f>
        <v>38592.1</v>
      </c>
      <c r="K299" s="27" t="str">
        <f>VLOOKUP($F299,mapping!$L$2:$P$92,4,0)</f>
        <v>Major Advanced Economies (G7)</v>
      </c>
      <c r="L299" s="29">
        <f>$D299*VLOOKUP($E299,'Charts data'!$A$2:$B$11,2,0)*VLOOKUP($G299,'Charts data'!$A$14:$B$18,2,0)/IF('Charts data'!$E$3=1,I299,1)/IF('Charts data'!$E$4=1,J299,1)</f>
        <v>75656.557059229643</v>
      </c>
    </row>
    <row r="300" spans="1:12" x14ac:dyDescent="0.25">
      <c r="A300" s="27" t="s">
        <v>1241</v>
      </c>
      <c r="B300" s="27">
        <v>30000</v>
      </c>
      <c r="C300" s="27" t="s">
        <v>24</v>
      </c>
      <c r="D300" s="28">
        <f>B300*VLOOKUP(C300,tblXrate[],2,0)</f>
        <v>47285.348162018527</v>
      </c>
      <c r="E300" s="27" t="s">
        <v>7</v>
      </c>
      <c r="F300" s="27" t="s">
        <v>25</v>
      </c>
      <c r="G300" s="27" t="s">
        <v>2273</v>
      </c>
      <c r="H300" s="27">
        <v>10</v>
      </c>
      <c r="I300" s="27">
        <f>VLOOKUP(F300,mapping!$L$2:$P$92,2,0)</f>
        <v>1.0513109074688785</v>
      </c>
      <c r="J300" s="27">
        <f>VLOOKUP($F300,mapping!$L$2:$P$92,3,0)</f>
        <v>38592.1</v>
      </c>
      <c r="K300" s="27" t="str">
        <f>VLOOKUP($F300,mapping!$L$2:$P$92,4,0)</f>
        <v>Major Advanced Economies (G7)</v>
      </c>
      <c r="L300" s="29">
        <f>$D300*VLOOKUP($E300,'Charts data'!$A$2:$B$11,2,0)*VLOOKUP($G300,'Charts data'!$A$14:$B$18,2,0)/IF('Charts data'!$E$3=1,I300,1)/IF('Charts data'!$E$4=1,J300,1)</f>
        <v>47285.348162018527</v>
      </c>
    </row>
    <row r="301" spans="1:12" x14ac:dyDescent="0.25">
      <c r="A301" s="27" t="s">
        <v>1242</v>
      </c>
      <c r="B301" s="27">
        <v>58000</v>
      </c>
      <c r="C301" s="27" t="s">
        <v>24</v>
      </c>
      <c r="D301" s="28">
        <f>B301*VLOOKUP(C301,tblXrate[],2,0)</f>
        <v>91418.339779902482</v>
      </c>
      <c r="E301" s="27" t="s">
        <v>7</v>
      </c>
      <c r="F301" s="27" t="s">
        <v>25</v>
      </c>
      <c r="G301" s="27" t="s">
        <v>2273</v>
      </c>
      <c r="H301" s="27">
        <v>8</v>
      </c>
      <c r="I301" s="27">
        <f>VLOOKUP(F301,mapping!$L$2:$P$92,2,0)</f>
        <v>1.0513109074688785</v>
      </c>
      <c r="J301" s="27">
        <f>VLOOKUP($F301,mapping!$L$2:$P$92,3,0)</f>
        <v>38592.1</v>
      </c>
      <c r="K301" s="27" t="str">
        <f>VLOOKUP($F301,mapping!$L$2:$P$92,4,0)</f>
        <v>Major Advanced Economies (G7)</v>
      </c>
      <c r="L301" s="29">
        <f>$D301*VLOOKUP($E301,'Charts data'!$A$2:$B$11,2,0)*VLOOKUP($G301,'Charts data'!$A$14:$B$18,2,0)/IF('Charts data'!$E$3=1,I301,1)/IF('Charts data'!$E$4=1,J301,1)</f>
        <v>91418.339779902482</v>
      </c>
    </row>
    <row r="302" spans="1:12" x14ac:dyDescent="0.25">
      <c r="A302" s="27" t="s">
        <v>1243</v>
      </c>
      <c r="B302" s="27">
        <v>79000</v>
      </c>
      <c r="C302" s="27" t="s">
        <v>24</v>
      </c>
      <c r="D302" s="28">
        <f>B302*VLOOKUP(C302,tblXrate[],2,0)</f>
        <v>124518.08349331544</v>
      </c>
      <c r="E302" s="27" t="s">
        <v>7</v>
      </c>
      <c r="F302" s="27" t="s">
        <v>25</v>
      </c>
      <c r="G302" s="27" t="s">
        <v>2272</v>
      </c>
      <c r="H302" s="27">
        <v>14</v>
      </c>
      <c r="I302" s="27">
        <f>VLOOKUP(F302,mapping!$L$2:$P$92,2,0)</f>
        <v>1.0513109074688785</v>
      </c>
      <c r="J302" s="27">
        <f>VLOOKUP($F302,mapping!$L$2:$P$92,3,0)</f>
        <v>38592.1</v>
      </c>
      <c r="K302" s="27" t="str">
        <f>VLOOKUP($F302,mapping!$L$2:$P$92,4,0)</f>
        <v>Major Advanced Economies (G7)</v>
      </c>
      <c r="L302" s="29">
        <f>$D302*VLOOKUP($E302,'Charts data'!$A$2:$B$11,2,0)*VLOOKUP($G302,'Charts data'!$A$14:$B$18,2,0)/IF('Charts data'!$E$3=1,I302,1)/IF('Charts data'!$E$4=1,J302,1)</f>
        <v>124518.08349331544</v>
      </c>
    </row>
    <row r="303" spans="1:12" x14ac:dyDescent="0.25">
      <c r="A303" s="27" t="s">
        <v>1244</v>
      </c>
      <c r="B303" s="27">
        <v>43912</v>
      </c>
      <c r="C303" s="27" t="s">
        <v>24</v>
      </c>
      <c r="D303" s="28">
        <f>B303*VLOOKUP(C303,tblXrate[],2,0)</f>
        <v>69213.140283018583</v>
      </c>
      <c r="E303" s="27" t="s">
        <v>7</v>
      </c>
      <c r="F303" s="27" t="s">
        <v>25</v>
      </c>
      <c r="G303" s="27" t="s">
        <v>2273</v>
      </c>
      <c r="H303" s="27">
        <v>3</v>
      </c>
      <c r="I303" s="27">
        <f>VLOOKUP(F303,mapping!$L$2:$P$92,2,0)</f>
        <v>1.0513109074688785</v>
      </c>
      <c r="J303" s="27">
        <f>VLOOKUP($F303,mapping!$L$2:$P$92,3,0)</f>
        <v>38592.1</v>
      </c>
      <c r="K303" s="27" t="str">
        <f>VLOOKUP($F303,mapping!$L$2:$P$92,4,0)</f>
        <v>Major Advanced Economies (G7)</v>
      </c>
      <c r="L303" s="29">
        <f>$D303*VLOOKUP($E303,'Charts data'!$A$2:$B$11,2,0)*VLOOKUP($G303,'Charts data'!$A$14:$B$18,2,0)/IF('Charts data'!$E$3=1,I303,1)/IF('Charts data'!$E$4=1,J303,1)</f>
        <v>69213.140283018583</v>
      </c>
    </row>
    <row r="304" spans="1:12" x14ac:dyDescent="0.25">
      <c r="A304" s="27" t="s">
        <v>1246</v>
      </c>
      <c r="B304" s="27">
        <v>40000</v>
      </c>
      <c r="C304" s="27" t="s">
        <v>24</v>
      </c>
      <c r="D304" s="28">
        <f>B304*VLOOKUP(C304,tblXrate[],2,0)</f>
        <v>63047.130882691366</v>
      </c>
      <c r="E304" s="27" t="s">
        <v>19</v>
      </c>
      <c r="F304" s="27" t="s">
        <v>25</v>
      </c>
      <c r="G304" s="27" t="s">
        <v>2274</v>
      </c>
      <c r="H304" s="27">
        <v>20</v>
      </c>
      <c r="I304" s="27">
        <f>VLOOKUP(F304,mapping!$L$2:$P$92,2,0)</f>
        <v>1.0513109074688785</v>
      </c>
      <c r="J304" s="27">
        <f>VLOOKUP($F304,mapping!$L$2:$P$92,3,0)</f>
        <v>38592.1</v>
      </c>
      <c r="K304" s="27" t="str">
        <f>VLOOKUP($F304,mapping!$L$2:$P$92,4,0)</f>
        <v>Major Advanced Economies (G7)</v>
      </c>
      <c r="L304" s="29">
        <f>$D304*VLOOKUP($E304,'Charts data'!$A$2:$B$11,2,0)*VLOOKUP($G304,'Charts data'!$A$14:$B$18,2,0)/IF('Charts data'!$E$3=1,I304,1)/IF('Charts data'!$E$4=1,J304,1)</f>
        <v>63047.130882691366</v>
      </c>
    </row>
    <row r="305" spans="1:12" x14ac:dyDescent="0.25">
      <c r="A305" s="27" t="s">
        <v>1250</v>
      </c>
      <c r="B305" s="27">
        <v>35000</v>
      </c>
      <c r="C305" s="27" t="s">
        <v>24</v>
      </c>
      <c r="D305" s="28">
        <f>B305*VLOOKUP(C305,tblXrate[],2,0)</f>
        <v>55166.239522354947</v>
      </c>
      <c r="E305" s="27" t="s">
        <v>7</v>
      </c>
      <c r="F305" s="27" t="s">
        <v>25</v>
      </c>
      <c r="G305" s="27" t="s">
        <v>2272</v>
      </c>
      <c r="H305" s="27">
        <v>6</v>
      </c>
      <c r="I305" s="27">
        <f>VLOOKUP(F305,mapping!$L$2:$P$92,2,0)</f>
        <v>1.0513109074688785</v>
      </c>
      <c r="J305" s="27">
        <f>VLOOKUP($F305,mapping!$L$2:$P$92,3,0)</f>
        <v>38592.1</v>
      </c>
      <c r="K305" s="27" t="str">
        <f>VLOOKUP($F305,mapping!$L$2:$P$92,4,0)</f>
        <v>Major Advanced Economies (G7)</v>
      </c>
      <c r="L305" s="29">
        <f>$D305*VLOOKUP($E305,'Charts data'!$A$2:$B$11,2,0)*VLOOKUP($G305,'Charts data'!$A$14:$B$18,2,0)/IF('Charts data'!$E$3=1,I305,1)/IF('Charts data'!$E$4=1,J305,1)</f>
        <v>55166.239522354947</v>
      </c>
    </row>
    <row r="306" spans="1:12" x14ac:dyDescent="0.25">
      <c r="A306" s="27" t="s">
        <v>1254</v>
      </c>
      <c r="B306" s="27">
        <v>75000</v>
      </c>
      <c r="C306" s="27" t="s">
        <v>24</v>
      </c>
      <c r="D306" s="28">
        <f>B306*VLOOKUP(C306,tblXrate[],2,0)</f>
        <v>118213.37040504631</v>
      </c>
      <c r="E306" s="27" t="s">
        <v>19</v>
      </c>
      <c r="F306" s="27" t="s">
        <v>25</v>
      </c>
      <c r="G306" s="27" t="s">
        <v>2272</v>
      </c>
      <c r="H306" s="27">
        <v>10</v>
      </c>
      <c r="I306" s="27">
        <f>VLOOKUP(F306,mapping!$L$2:$P$92,2,0)</f>
        <v>1.0513109074688785</v>
      </c>
      <c r="J306" s="27">
        <f>VLOOKUP($F306,mapping!$L$2:$P$92,3,0)</f>
        <v>38592.1</v>
      </c>
      <c r="K306" s="27" t="str">
        <f>VLOOKUP($F306,mapping!$L$2:$P$92,4,0)</f>
        <v>Major Advanced Economies (G7)</v>
      </c>
      <c r="L306" s="29">
        <f>$D306*VLOOKUP($E306,'Charts data'!$A$2:$B$11,2,0)*VLOOKUP($G306,'Charts data'!$A$14:$B$18,2,0)/IF('Charts data'!$E$3=1,I306,1)/IF('Charts data'!$E$4=1,J306,1)</f>
        <v>118213.37040504631</v>
      </c>
    </row>
    <row r="307" spans="1:12" x14ac:dyDescent="0.25">
      <c r="A307" s="27" t="s">
        <v>1256</v>
      </c>
      <c r="B307" s="27">
        <v>45000</v>
      </c>
      <c r="C307" s="27" t="s">
        <v>24</v>
      </c>
      <c r="D307" s="28">
        <f>B307*VLOOKUP(C307,tblXrate[],2,0)</f>
        <v>70928.022243027779</v>
      </c>
      <c r="E307" s="27" t="s">
        <v>2147</v>
      </c>
      <c r="F307" s="27" t="s">
        <v>25</v>
      </c>
      <c r="G307" s="27" t="s">
        <v>2271</v>
      </c>
      <c r="H307" s="27">
        <v>8</v>
      </c>
      <c r="I307" s="27">
        <f>VLOOKUP(F307,mapping!$L$2:$P$92,2,0)</f>
        <v>1.0513109074688785</v>
      </c>
      <c r="J307" s="27">
        <f>VLOOKUP($F307,mapping!$L$2:$P$92,3,0)</f>
        <v>38592.1</v>
      </c>
      <c r="K307" s="27" t="str">
        <f>VLOOKUP($F307,mapping!$L$2:$P$92,4,0)</f>
        <v>Major Advanced Economies (G7)</v>
      </c>
      <c r="L307" s="29">
        <f>$D307*VLOOKUP($E307,'Charts data'!$A$2:$B$11,2,0)*VLOOKUP($G307,'Charts data'!$A$14:$B$18,2,0)/IF('Charts data'!$E$3=1,I307,1)/IF('Charts data'!$E$4=1,J307,1)</f>
        <v>70928.022243027779</v>
      </c>
    </row>
    <row r="308" spans="1:12" x14ac:dyDescent="0.25">
      <c r="A308" s="27" t="s">
        <v>1257</v>
      </c>
      <c r="B308" s="27">
        <v>25000</v>
      </c>
      <c r="C308" s="27" t="s">
        <v>24</v>
      </c>
      <c r="D308" s="28">
        <f>B308*VLOOKUP(C308,tblXrate[],2,0)</f>
        <v>39404.456801682099</v>
      </c>
      <c r="E308" s="27" t="s">
        <v>7</v>
      </c>
      <c r="F308" s="27" t="s">
        <v>25</v>
      </c>
      <c r="G308" s="27" t="s">
        <v>2271</v>
      </c>
      <c r="H308" s="27">
        <v>3</v>
      </c>
      <c r="I308" s="27">
        <f>VLOOKUP(F308,mapping!$L$2:$P$92,2,0)</f>
        <v>1.0513109074688785</v>
      </c>
      <c r="J308" s="27">
        <f>VLOOKUP($F308,mapping!$L$2:$P$92,3,0)</f>
        <v>38592.1</v>
      </c>
      <c r="K308" s="27" t="str">
        <f>VLOOKUP($F308,mapping!$L$2:$P$92,4,0)</f>
        <v>Major Advanced Economies (G7)</v>
      </c>
      <c r="L308" s="29">
        <f>$D308*VLOOKUP($E308,'Charts data'!$A$2:$B$11,2,0)*VLOOKUP($G308,'Charts data'!$A$14:$B$18,2,0)/IF('Charts data'!$E$3=1,I308,1)/IF('Charts data'!$E$4=1,J308,1)</f>
        <v>39404.456801682099</v>
      </c>
    </row>
    <row r="309" spans="1:12" x14ac:dyDescent="0.25">
      <c r="A309" s="27" t="s">
        <v>1259</v>
      </c>
      <c r="B309" s="27">
        <v>28500</v>
      </c>
      <c r="C309" s="27" t="s">
        <v>24</v>
      </c>
      <c r="D309" s="28">
        <f>B309*VLOOKUP(C309,tblXrate[],2,0)</f>
        <v>44921.080753917595</v>
      </c>
      <c r="E309" s="27" t="s">
        <v>19</v>
      </c>
      <c r="F309" s="27" t="s">
        <v>25</v>
      </c>
      <c r="G309" s="27" t="s">
        <v>2274</v>
      </c>
      <c r="H309" s="27">
        <v>15</v>
      </c>
      <c r="I309" s="27">
        <f>VLOOKUP(F309,mapping!$L$2:$P$92,2,0)</f>
        <v>1.0513109074688785</v>
      </c>
      <c r="J309" s="27">
        <f>VLOOKUP($F309,mapping!$L$2:$P$92,3,0)</f>
        <v>38592.1</v>
      </c>
      <c r="K309" s="27" t="str">
        <f>VLOOKUP($F309,mapping!$L$2:$P$92,4,0)</f>
        <v>Major Advanced Economies (G7)</v>
      </c>
      <c r="L309" s="29">
        <f>$D309*VLOOKUP($E309,'Charts data'!$A$2:$B$11,2,0)*VLOOKUP($G309,'Charts data'!$A$14:$B$18,2,0)/IF('Charts data'!$E$3=1,I309,1)/IF('Charts data'!$E$4=1,J309,1)</f>
        <v>44921.080753917595</v>
      </c>
    </row>
    <row r="310" spans="1:12" x14ac:dyDescent="0.25">
      <c r="A310" s="27" t="s">
        <v>1261</v>
      </c>
      <c r="B310" s="27">
        <v>45200</v>
      </c>
      <c r="C310" s="27" t="s">
        <v>24</v>
      </c>
      <c r="D310" s="28">
        <f>B310*VLOOKUP(C310,tblXrate[],2,0)</f>
        <v>71243.257897441246</v>
      </c>
      <c r="E310" s="27" t="s">
        <v>19</v>
      </c>
      <c r="F310" s="27" t="s">
        <v>25</v>
      </c>
      <c r="G310" s="27" t="s">
        <v>2272</v>
      </c>
      <c r="H310" s="27">
        <v>5</v>
      </c>
      <c r="I310" s="27">
        <f>VLOOKUP(F310,mapping!$L$2:$P$92,2,0)</f>
        <v>1.0513109074688785</v>
      </c>
      <c r="J310" s="27">
        <f>VLOOKUP($F310,mapping!$L$2:$P$92,3,0)</f>
        <v>38592.1</v>
      </c>
      <c r="K310" s="27" t="str">
        <f>VLOOKUP($F310,mapping!$L$2:$P$92,4,0)</f>
        <v>Major Advanced Economies (G7)</v>
      </c>
      <c r="L310" s="29">
        <f>$D310*VLOOKUP($E310,'Charts data'!$A$2:$B$11,2,0)*VLOOKUP($G310,'Charts data'!$A$14:$B$18,2,0)/IF('Charts data'!$E$3=1,I310,1)/IF('Charts data'!$E$4=1,J310,1)</f>
        <v>71243.257897441246</v>
      </c>
    </row>
    <row r="311" spans="1:12" x14ac:dyDescent="0.25">
      <c r="A311" s="27" t="s">
        <v>1272</v>
      </c>
      <c r="B311" s="27">
        <v>15000</v>
      </c>
      <c r="C311" s="27" t="s">
        <v>24</v>
      </c>
      <c r="D311" s="28">
        <f>B311*VLOOKUP(C311,tblXrate[],2,0)</f>
        <v>23642.674081009263</v>
      </c>
      <c r="E311" s="27" t="s">
        <v>2145</v>
      </c>
      <c r="F311" s="27" t="s">
        <v>25</v>
      </c>
      <c r="G311" s="27" t="s">
        <v>2273</v>
      </c>
      <c r="H311" s="27">
        <v>2</v>
      </c>
      <c r="I311" s="27">
        <f>VLOOKUP(F311,mapping!$L$2:$P$92,2,0)</f>
        <v>1.0513109074688785</v>
      </c>
      <c r="J311" s="27">
        <f>VLOOKUP($F311,mapping!$L$2:$P$92,3,0)</f>
        <v>38592.1</v>
      </c>
      <c r="K311" s="27" t="str">
        <f>VLOOKUP($F311,mapping!$L$2:$P$92,4,0)</f>
        <v>Major Advanced Economies (G7)</v>
      </c>
      <c r="L311" s="29">
        <f>$D311*VLOOKUP($E311,'Charts data'!$A$2:$B$11,2,0)*VLOOKUP($G311,'Charts data'!$A$14:$B$18,2,0)/IF('Charts data'!$E$3=1,I311,1)/IF('Charts data'!$E$4=1,J311,1)</f>
        <v>23642.674081009263</v>
      </c>
    </row>
    <row r="312" spans="1:12" x14ac:dyDescent="0.25">
      <c r="A312" s="27" t="s">
        <v>1280</v>
      </c>
      <c r="B312" s="27">
        <v>29000</v>
      </c>
      <c r="C312" s="27" t="s">
        <v>24</v>
      </c>
      <c r="D312" s="28">
        <f>B312*VLOOKUP(C312,tblXrate[],2,0)</f>
        <v>45709.169889951241</v>
      </c>
      <c r="E312" s="27" t="s">
        <v>7</v>
      </c>
      <c r="F312" s="27" t="s">
        <v>25</v>
      </c>
      <c r="G312" s="27" t="s">
        <v>2271</v>
      </c>
      <c r="H312" s="27">
        <v>14</v>
      </c>
      <c r="I312" s="27">
        <f>VLOOKUP(F312,mapping!$L$2:$P$92,2,0)</f>
        <v>1.0513109074688785</v>
      </c>
      <c r="J312" s="27">
        <f>VLOOKUP($F312,mapping!$L$2:$P$92,3,0)</f>
        <v>38592.1</v>
      </c>
      <c r="K312" s="27" t="str">
        <f>VLOOKUP($F312,mapping!$L$2:$P$92,4,0)</f>
        <v>Major Advanced Economies (G7)</v>
      </c>
      <c r="L312" s="29">
        <f>$D312*VLOOKUP($E312,'Charts data'!$A$2:$B$11,2,0)*VLOOKUP($G312,'Charts data'!$A$14:$B$18,2,0)/IF('Charts data'!$E$3=1,I312,1)/IF('Charts data'!$E$4=1,J312,1)</f>
        <v>45709.169889951241</v>
      </c>
    </row>
    <row r="313" spans="1:12" x14ac:dyDescent="0.25">
      <c r="A313" s="27" t="s">
        <v>1286</v>
      </c>
      <c r="B313" s="27">
        <v>23000</v>
      </c>
      <c r="C313" s="27" t="s">
        <v>24</v>
      </c>
      <c r="D313" s="28">
        <f>B313*VLOOKUP(C313,tblXrate[],2,0)</f>
        <v>36252.100257547536</v>
      </c>
      <c r="E313" s="27" t="s">
        <v>19</v>
      </c>
      <c r="F313" s="27" t="s">
        <v>25</v>
      </c>
      <c r="G313" s="27" t="s">
        <v>2271</v>
      </c>
      <c r="H313" s="27">
        <v>10</v>
      </c>
      <c r="I313" s="27">
        <f>VLOOKUP(F313,mapping!$L$2:$P$92,2,0)</f>
        <v>1.0513109074688785</v>
      </c>
      <c r="J313" s="27">
        <f>VLOOKUP($F313,mapping!$L$2:$P$92,3,0)</f>
        <v>38592.1</v>
      </c>
      <c r="K313" s="27" t="str">
        <f>VLOOKUP($F313,mapping!$L$2:$P$92,4,0)</f>
        <v>Major Advanced Economies (G7)</v>
      </c>
      <c r="L313" s="29">
        <f>$D313*VLOOKUP($E313,'Charts data'!$A$2:$B$11,2,0)*VLOOKUP($G313,'Charts data'!$A$14:$B$18,2,0)/IF('Charts data'!$E$3=1,I313,1)/IF('Charts data'!$E$4=1,J313,1)</f>
        <v>36252.100257547536</v>
      </c>
    </row>
    <row r="314" spans="1:12" x14ac:dyDescent="0.25">
      <c r="A314" s="27" t="s">
        <v>1287</v>
      </c>
      <c r="B314" s="27">
        <v>30000</v>
      </c>
      <c r="C314" s="27" t="s">
        <v>24</v>
      </c>
      <c r="D314" s="28">
        <f>B314*VLOOKUP(C314,tblXrate[],2,0)</f>
        <v>47285.348162018527</v>
      </c>
      <c r="E314" s="27" t="s">
        <v>51</v>
      </c>
      <c r="F314" s="27" t="s">
        <v>25</v>
      </c>
      <c r="G314" s="27" t="s">
        <v>2272</v>
      </c>
      <c r="H314" s="27">
        <v>5</v>
      </c>
      <c r="I314" s="27">
        <f>VLOOKUP(F314,mapping!$L$2:$P$92,2,0)</f>
        <v>1.0513109074688785</v>
      </c>
      <c r="J314" s="27">
        <f>VLOOKUP($F314,mapping!$L$2:$P$92,3,0)</f>
        <v>38592.1</v>
      </c>
      <c r="K314" s="27" t="str">
        <f>VLOOKUP($F314,mapping!$L$2:$P$92,4,0)</f>
        <v>Major Advanced Economies (G7)</v>
      </c>
      <c r="L314" s="29">
        <f>$D314*VLOOKUP($E314,'Charts data'!$A$2:$B$11,2,0)*VLOOKUP($G314,'Charts data'!$A$14:$B$18,2,0)/IF('Charts data'!$E$3=1,I314,1)/IF('Charts data'!$E$4=1,J314,1)</f>
        <v>47285.348162018527</v>
      </c>
    </row>
    <row r="315" spans="1:12" x14ac:dyDescent="0.25">
      <c r="A315" s="27" t="s">
        <v>1291</v>
      </c>
      <c r="B315" s="27">
        <v>35000</v>
      </c>
      <c r="C315" s="27" t="s">
        <v>24</v>
      </c>
      <c r="D315" s="28">
        <f>B315*VLOOKUP(C315,tblXrate[],2,0)</f>
        <v>55166.239522354947</v>
      </c>
      <c r="E315" s="27" t="s">
        <v>7</v>
      </c>
      <c r="F315" s="27" t="s">
        <v>25</v>
      </c>
      <c r="G315" s="27" t="s">
        <v>2271</v>
      </c>
      <c r="H315" s="27">
        <v>10</v>
      </c>
      <c r="I315" s="27">
        <f>VLOOKUP(F315,mapping!$L$2:$P$92,2,0)</f>
        <v>1.0513109074688785</v>
      </c>
      <c r="J315" s="27">
        <f>VLOOKUP($F315,mapping!$L$2:$P$92,3,0)</f>
        <v>38592.1</v>
      </c>
      <c r="K315" s="27" t="str">
        <f>VLOOKUP($F315,mapping!$L$2:$P$92,4,0)</f>
        <v>Major Advanced Economies (G7)</v>
      </c>
      <c r="L315" s="29">
        <f>$D315*VLOOKUP($E315,'Charts data'!$A$2:$B$11,2,0)*VLOOKUP($G315,'Charts data'!$A$14:$B$18,2,0)/IF('Charts data'!$E$3=1,I315,1)/IF('Charts data'!$E$4=1,J315,1)</f>
        <v>55166.239522354947</v>
      </c>
    </row>
    <row r="316" spans="1:12" x14ac:dyDescent="0.25">
      <c r="A316" s="27" t="s">
        <v>1294</v>
      </c>
      <c r="B316" s="27">
        <v>37500</v>
      </c>
      <c r="C316" s="27" t="s">
        <v>24</v>
      </c>
      <c r="D316" s="28">
        <f>B316*VLOOKUP(C316,tblXrate[],2,0)</f>
        <v>59106.685202523156</v>
      </c>
      <c r="E316" s="27" t="s">
        <v>51</v>
      </c>
      <c r="F316" s="27" t="s">
        <v>25</v>
      </c>
      <c r="G316" s="27" t="s">
        <v>2272</v>
      </c>
      <c r="H316" s="27">
        <v>5</v>
      </c>
      <c r="I316" s="27">
        <f>VLOOKUP(F316,mapping!$L$2:$P$92,2,0)</f>
        <v>1.0513109074688785</v>
      </c>
      <c r="J316" s="27">
        <f>VLOOKUP($F316,mapping!$L$2:$P$92,3,0)</f>
        <v>38592.1</v>
      </c>
      <c r="K316" s="27" t="str">
        <f>VLOOKUP($F316,mapping!$L$2:$P$92,4,0)</f>
        <v>Major Advanced Economies (G7)</v>
      </c>
      <c r="L316" s="29">
        <f>$D316*VLOOKUP($E316,'Charts data'!$A$2:$B$11,2,0)*VLOOKUP($G316,'Charts data'!$A$14:$B$18,2,0)/IF('Charts data'!$E$3=1,I316,1)/IF('Charts data'!$E$4=1,J316,1)</f>
        <v>59106.685202523156</v>
      </c>
    </row>
    <row r="317" spans="1:12" x14ac:dyDescent="0.25">
      <c r="A317" s="27" t="s">
        <v>1308</v>
      </c>
      <c r="B317" s="27">
        <v>80000</v>
      </c>
      <c r="C317" s="27" t="s">
        <v>24</v>
      </c>
      <c r="D317" s="28">
        <f>B317*VLOOKUP(C317,tblXrate[],2,0)</f>
        <v>126094.26176538273</v>
      </c>
      <c r="E317" s="27" t="s">
        <v>62</v>
      </c>
      <c r="F317" s="27" t="s">
        <v>25</v>
      </c>
      <c r="G317" s="27" t="s">
        <v>2271</v>
      </c>
      <c r="H317" s="27">
        <v>15</v>
      </c>
      <c r="I317" s="27">
        <f>VLOOKUP(F317,mapping!$L$2:$P$92,2,0)</f>
        <v>1.0513109074688785</v>
      </c>
      <c r="J317" s="27">
        <f>VLOOKUP($F317,mapping!$L$2:$P$92,3,0)</f>
        <v>38592.1</v>
      </c>
      <c r="K317" s="27" t="str">
        <f>VLOOKUP($F317,mapping!$L$2:$P$92,4,0)</f>
        <v>Major Advanced Economies (G7)</v>
      </c>
      <c r="L317" s="29">
        <f>$D317*VLOOKUP($E317,'Charts data'!$A$2:$B$11,2,0)*VLOOKUP($G317,'Charts data'!$A$14:$B$18,2,0)/IF('Charts data'!$E$3=1,I317,1)/IF('Charts data'!$E$4=1,J317,1)</f>
        <v>126094.26176538273</v>
      </c>
    </row>
    <row r="318" spans="1:12" x14ac:dyDescent="0.25">
      <c r="A318" s="27" t="s">
        <v>1312</v>
      </c>
      <c r="B318" s="27">
        <v>32000</v>
      </c>
      <c r="C318" s="27" t="s">
        <v>24</v>
      </c>
      <c r="D318" s="28">
        <f>B318*VLOOKUP(C318,tblXrate[],2,0)</f>
        <v>50437.70470615309</v>
      </c>
      <c r="E318" s="27" t="s">
        <v>7</v>
      </c>
      <c r="F318" s="27" t="s">
        <v>25</v>
      </c>
      <c r="G318" s="27" t="s">
        <v>2271</v>
      </c>
      <c r="H318" s="27">
        <v>4</v>
      </c>
      <c r="I318" s="27">
        <f>VLOOKUP(F318,mapping!$L$2:$P$92,2,0)</f>
        <v>1.0513109074688785</v>
      </c>
      <c r="J318" s="27">
        <f>VLOOKUP($F318,mapping!$L$2:$P$92,3,0)</f>
        <v>38592.1</v>
      </c>
      <c r="K318" s="27" t="str">
        <f>VLOOKUP($F318,mapping!$L$2:$P$92,4,0)</f>
        <v>Major Advanced Economies (G7)</v>
      </c>
      <c r="L318" s="29">
        <f>$D318*VLOOKUP($E318,'Charts data'!$A$2:$B$11,2,0)*VLOOKUP($G318,'Charts data'!$A$14:$B$18,2,0)/IF('Charts data'!$E$3=1,I318,1)/IF('Charts data'!$E$4=1,J318,1)</f>
        <v>50437.70470615309</v>
      </c>
    </row>
    <row r="319" spans="1:12" x14ac:dyDescent="0.25">
      <c r="A319" s="27" t="s">
        <v>1313</v>
      </c>
      <c r="B319" s="27">
        <v>43000</v>
      </c>
      <c r="C319" s="27" t="s">
        <v>24</v>
      </c>
      <c r="D319" s="28">
        <f>B319*VLOOKUP(C319,tblXrate[],2,0)</f>
        <v>67775.665698893223</v>
      </c>
      <c r="E319" s="27" t="s">
        <v>51</v>
      </c>
      <c r="F319" s="27" t="s">
        <v>25</v>
      </c>
      <c r="G319" s="27" t="s">
        <v>2273</v>
      </c>
      <c r="H319" s="27">
        <v>15</v>
      </c>
      <c r="I319" s="27">
        <f>VLOOKUP(F319,mapping!$L$2:$P$92,2,0)</f>
        <v>1.0513109074688785</v>
      </c>
      <c r="J319" s="27">
        <f>VLOOKUP($F319,mapping!$L$2:$P$92,3,0)</f>
        <v>38592.1</v>
      </c>
      <c r="K319" s="27" t="str">
        <f>VLOOKUP($F319,mapping!$L$2:$P$92,4,0)</f>
        <v>Major Advanced Economies (G7)</v>
      </c>
      <c r="L319" s="29">
        <f>$D319*VLOOKUP($E319,'Charts data'!$A$2:$B$11,2,0)*VLOOKUP($G319,'Charts data'!$A$14:$B$18,2,0)/IF('Charts data'!$E$3=1,I319,1)/IF('Charts data'!$E$4=1,J319,1)</f>
        <v>67775.665698893223</v>
      </c>
    </row>
    <row r="320" spans="1:12" x14ac:dyDescent="0.25">
      <c r="A320" s="27" t="s">
        <v>1318</v>
      </c>
      <c r="B320" s="27">
        <v>31763</v>
      </c>
      <c r="C320" s="27" t="s">
        <v>24</v>
      </c>
      <c r="D320" s="28">
        <f>B320*VLOOKUP(C320,tblXrate[],2,0)</f>
        <v>50064.150455673145</v>
      </c>
      <c r="E320" s="27" t="s">
        <v>7</v>
      </c>
      <c r="F320" s="27" t="s">
        <v>25</v>
      </c>
      <c r="G320" s="27" t="s">
        <v>2272</v>
      </c>
      <c r="H320" s="27">
        <v>2</v>
      </c>
      <c r="I320" s="27">
        <f>VLOOKUP(F320,mapping!$L$2:$P$92,2,0)</f>
        <v>1.0513109074688785</v>
      </c>
      <c r="J320" s="27">
        <f>VLOOKUP($F320,mapping!$L$2:$P$92,3,0)</f>
        <v>38592.1</v>
      </c>
      <c r="K320" s="27" t="str">
        <f>VLOOKUP($F320,mapping!$L$2:$P$92,4,0)</f>
        <v>Major Advanced Economies (G7)</v>
      </c>
      <c r="L320" s="29">
        <f>$D320*VLOOKUP($E320,'Charts data'!$A$2:$B$11,2,0)*VLOOKUP($G320,'Charts data'!$A$14:$B$18,2,0)/IF('Charts data'!$E$3=1,I320,1)/IF('Charts data'!$E$4=1,J320,1)</f>
        <v>50064.150455673145</v>
      </c>
    </row>
    <row r="321" spans="1:12" x14ac:dyDescent="0.25">
      <c r="A321" s="27" t="s">
        <v>1342</v>
      </c>
      <c r="B321" s="27">
        <v>34000</v>
      </c>
      <c r="C321" s="27" t="s">
        <v>24</v>
      </c>
      <c r="D321" s="28">
        <f>B321*VLOOKUP(C321,tblXrate[],2,0)</f>
        <v>53590.061250287661</v>
      </c>
      <c r="E321" s="27" t="s">
        <v>51</v>
      </c>
      <c r="F321" s="27" t="s">
        <v>25</v>
      </c>
      <c r="G321" s="27" t="s">
        <v>2273</v>
      </c>
      <c r="H321" s="27">
        <v>10</v>
      </c>
      <c r="I321" s="27">
        <f>VLOOKUP(F321,mapping!$L$2:$P$92,2,0)</f>
        <v>1.0513109074688785</v>
      </c>
      <c r="J321" s="27">
        <f>VLOOKUP($F321,mapping!$L$2:$P$92,3,0)</f>
        <v>38592.1</v>
      </c>
      <c r="K321" s="27" t="str">
        <f>VLOOKUP($F321,mapping!$L$2:$P$92,4,0)</f>
        <v>Major Advanced Economies (G7)</v>
      </c>
      <c r="L321" s="29">
        <f>$D321*VLOOKUP($E321,'Charts data'!$A$2:$B$11,2,0)*VLOOKUP($G321,'Charts data'!$A$14:$B$18,2,0)/IF('Charts data'!$E$3=1,I321,1)/IF('Charts data'!$E$4=1,J321,1)</f>
        <v>53590.061250287661</v>
      </c>
    </row>
    <row r="322" spans="1:12" x14ac:dyDescent="0.25">
      <c r="A322" s="27" t="s">
        <v>1343</v>
      </c>
      <c r="B322" s="27">
        <v>34000</v>
      </c>
      <c r="C322" s="27" t="s">
        <v>24</v>
      </c>
      <c r="D322" s="28">
        <f>B322*VLOOKUP(C322,tblXrate[],2,0)</f>
        <v>53590.061250287661</v>
      </c>
      <c r="E322" s="27" t="s">
        <v>51</v>
      </c>
      <c r="F322" s="27" t="s">
        <v>25</v>
      </c>
      <c r="G322" s="27" t="s">
        <v>2273</v>
      </c>
      <c r="H322" s="27">
        <v>10</v>
      </c>
      <c r="I322" s="27">
        <f>VLOOKUP(F322,mapping!$L$2:$P$92,2,0)</f>
        <v>1.0513109074688785</v>
      </c>
      <c r="J322" s="27">
        <f>VLOOKUP($F322,mapping!$L$2:$P$92,3,0)</f>
        <v>38592.1</v>
      </c>
      <c r="K322" s="27" t="str">
        <f>VLOOKUP($F322,mapping!$L$2:$P$92,4,0)</f>
        <v>Major Advanced Economies (G7)</v>
      </c>
      <c r="L322" s="29">
        <f>$D322*VLOOKUP($E322,'Charts data'!$A$2:$B$11,2,0)*VLOOKUP($G322,'Charts data'!$A$14:$B$18,2,0)/IF('Charts data'!$E$3=1,I322,1)/IF('Charts data'!$E$4=1,J322,1)</f>
        <v>53590.061250287661</v>
      </c>
    </row>
    <row r="323" spans="1:12" x14ac:dyDescent="0.25">
      <c r="A323" s="27" t="s">
        <v>1368</v>
      </c>
      <c r="B323" s="27">
        <v>26000</v>
      </c>
      <c r="C323" s="27" t="s">
        <v>24</v>
      </c>
      <c r="D323" s="28">
        <f>B323*VLOOKUP(C323,tblXrate[],2,0)</f>
        <v>40980.635073749385</v>
      </c>
      <c r="E323" s="27" t="s">
        <v>7</v>
      </c>
      <c r="F323" s="27" t="s">
        <v>25</v>
      </c>
      <c r="G323" s="27" t="s">
        <v>2271</v>
      </c>
      <c r="H323" s="27">
        <v>2</v>
      </c>
      <c r="I323" s="27">
        <f>VLOOKUP(F323,mapping!$L$2:$P$92,2,0)</f>
        <v>1.0513109074688785</v>
      </c>
      <c r="J323" s="27">
        <f>VLOOKUP($F323,mapping!$L$2:$P$92,3,0)</f>
        <v>38592.1</v>
      </c>
      <c r="K323" s="27" t="str">
        <f>VLOOKUP($F323,mapping!$L$2:$P$92,4,0)</f>
        <v>Major Advanced Economies (G7)</v>
      </c>
      <c r="L323" s="29">
        <f>$D323*VLOOKUP($E323,'Charts data'!$A$2:$B$11,2,0)*VLOOKUP($G323,'Charts data'!$A$14:$B$18,2,0)/IF('Charts data'!$E$3=1,I323,1)/IF('Charts data'!$E$4=1,J323,1)</f>
        <v>40980.635073749385</v>
      </c>
    </row>
    <row r="324" spans="1:12" x14ac:dyDescent="0.25">
      <c r="A324" s="27" t="s">
        <v>1369</v>
      </c>
      <c r="B324" s="27">
        <v>29000</v>
      </c>
      <c r="C324" s="27" t="s">
        <v>24</v>
      </c>
      <c r="D324" s="28">
        <f>B324*VLOOKUP(C324,tblXrate[],2,0)</f>
        <v>45709.169889951241</v>
      </c>
      <c r="E324" s="27" t="s">
        <v>51</v>
      </c>
      <c r="F324" s="27" t="s">
        <v>25</v>
      </c>
      <c r="G324" s="27" t="s">
        <v>2272</v>
      </c>
      <c r="H324" s="27">
        <v>8</v>
      </c>
      <c r="I324" s="27">
        <f>VLOOKUP(F324,mapping!$L$2:$P$92,2,0)</f>
        <v>1.0513109074688785</v>
      </c>
      <c r="J324" s="27">
        <f>VLOOKUP($F324,mapping!$L$2:$P$92,3,0)</f>
        <v>38592.1</v>
      </c>
      <c r="K324" s="27" t="str">
        <f>VLOOKUP($F324,mapping!$L$2:$P$92,4,0)</f>
        <v>Major Advanced Economies (G7)</v>
      </c>
      <c r="L324" s="29">
        <f>$D324*VLOOKUP($E324,'Charts data'!$A$2:$B$11,2,0)*VLOOKUP($G324,'Charts data'!$A$14:$B$18,2,0)/IF('Charts data'!$E$3=1,I324,1)/IF('Charts data'!$E$4=1,J324,1)</f>
        <v>45709.169889951241</v>
      </c>
    </row>
    <row r="325" spans="1:12" x14ac:dyDescent="0.25">
      <c r="A325" s="27" t="s">
        <v>1376</v>
      </c>
      <c r="B325" s="27">
        <v>75000</v>
      </c>
      <c r="C325" s="27" t="s">
        <v>24</v>
      </c>
      <c r="D325" s="28">
        <f>B325*VLOOKUP(C325,tblXrate[],2,0)</f>
        <v>118213.37040504631</v>
      </c>
      <c r="E325" s="27" t="s">
        <v>19</v>
      </c>
      <c r="F325" s="27" t="s">
        <v>25</v>
      </c>
      <c r="G325" s="27" t="s">
        <v>2271</v>
      </c>
      <c r="H325" s="27">
        <v>20</v>
      </c>
      <c r="I325" s="27">
        <f>VLOOKUP(F325,mapping!$L$2:$P$92,2,0)</f>
        <v>1.0513109074688785</v>
      </c>
      <c r="J325" s="27">
        <f>VLOOKUP($F325,mapping!$L$2:$P$92,3,0)</f>
        <v>38592.1</v>
      </c>
      <c r="K325" s="27" t="str">
        <f>VLOOKUP($F325,mapping!$L$2:$P$92,4,0)</f>
        <v>Major Advanced Economies (G7)</v>
      </c>
      <c r="L325" s="29">
        <f>$D325*VLOOKUP($E325,'Charts data'!$A$2:$B$11,2,0)*VLOOKUP($G325,'Charts data'!$A$14:$B$18,2,0)/IF('Charts data'!$E$3=1,I325,1)/IF('Charts data'!$E$4=1,J325,1)</f>
        <v>118213.37040504631</v>
      </c>
    </row>
    <row r="326" spans="1:12" x14ac:dyDescent="0.25">
      <c r="A326" s="27" t="s">
        <v>1377</v>
      </c>
      <c r="B326" s="27">
        <v>25000</v>
      </c>
      <c r="C326" s="27" t="s">
        <v>24</v>
      </c>
      <c r="D326" s="28">
        <f>B326*VLOOKUP(C326,tblXrate[],2,0)</f>
        <v>39404.456801682099</v>
      </c>
      <c r="E326" s="27" t="s">
        <v>51</v>
      </c>
      <c r="F326" s="27" t="s">
        <v>25</v>
      </c>
      <c r="G326" s="27" t="s">
        <v>2272</v>
      </c>
      <c r="H326" s="27">
        <v>10</v>
      </c>
      <c r="I326" s="27">
        <f>VLOOKUP(F326,mapping!$L$2:$P$92,2,0)</f>
        <v>1.0513109074688785</v>
      </c>
      <c r="J326" s="27">
        <f>VLOOKUP($F326,mapping!$L$2:$P$92,3,0)</f>
        <v>38592.1</v>
      </c>
      <c r="K326" s="27" t="str">
        <f>VLOOKUP($F326,mapping!$L$2:$P$92,4,0)</f>
        <v>Major Advanced Economies (G7)</v>
      </c>
      <c r="L326" s="29">
        <f>$D326*VLOOKUP($E326,'Charts data'!$A$2:$B$11,2,0)*VLOOKUP($G326,'Charts data'!$A$14:$B$18,2,0)/IF('Charts data'!$E$3=1,I326,1)/IF('Charts data'!$E$4=1,J326,1)</f>
        <v>39404.456801682099</v>
      </c>
    </row>
    <row r="327" spans="1:12" x14ac:dyDescent="0.25">
      <c r="A327" s="27" t="s">
        <v>1379</v>
      </c>
      <c r="B327" s="27">
        <v>30000</v>
      </c>
      <c r="C327" s="27" t="s">
        <v>24</v>
      </c>
      <c r="D327" s="28">
        <f>B327*VLOOKUP(C327,tblXrate[],2,0)</f>
        <v>47285.348162018527</v>
      </c>
      <c r="E327" s="27" t="s">
        <v>23</v>
      </c>
      <c r="F327" s="27" t="s">
        <v>25</v>
      </c>
      <c r="G327" s="27" t="s">
        <v>2271</v>
      </c>
      <c r="H327" s="27">
        <v>14</v>
      </c>
      <c r="I327" s="27">
        <f>VLOOKUP(F327,mapping!$L$2:$P$92,2,0)</f>
        <v>1.0513109074688785</v>
      </c>
      <c r="J327" s="27">
        <f>VLOOKUP($F327,mapping!$L$2:$P$92,3,0)</f>
        <v>38592.1</v>
      </c>
      <c r="K327" s="27" t="str">
        <f>VLOOKUP($F327,mapping!$L$2:$P$92,4,0)</f>
        <v>Major Advanced Economies (G7)</v>
      </c>
      <c r="L327" s="29">
        <f>$D327*VLOOKUP($E327,'Charts data'!$A$2:$B$11,2,0)*VLOOKUP($G327,'Charts data'!$A$14:$B$18,2,0)/IF('Charts data'!$E$3=1,I327,1)/IF('Charts data'!$E$4=1,J327,1)</f>
        <v>47285.348162018527</v>
      </c>
    </row>
    <row r="328" spans="1:12" x14ac:dyDescent="0.25">
      <c r="A328" s="27" t="s">
        <v>1382</v>
      </c>
      <c r="B328" s="27">
        <v>34000</v>
      </c>
      <c r="C328" s="27" t="s">
        <v>24</v>
      </c>
      <c r="D328" s="28">
        <f>B328*VLOOKUP(C328,tblXrate[],2,0)</f>
        <v>53590.061250287661</v>
      </c>
      <c r="E328" s="27" t="s">
        <v>51</v>
      </c>
      <c r="F328" s="27" t="s">
        <v>25</v>
      </c>
      <c r="G328" s="27" t="s">
        <v>2273</v>
      </c>
      <c r="H328" s="27">
        <v>10</v>
      </c>
      <c r="I328" s="27">
        <f>VLOOKUP(F328,mapping!$L$2:$P$92,2,0)</f>
        <v>1.0513109074688785</v>
      </c>
      <c r="J328" s="27">
        <f>VLOOKUP($F328,mapping!$L$2:$P$92,3,0)</f>
        <v>38592.1</v>
      </c>
      <c r="K328" s="27" t="str">
        <f>VLOOKUP($F328,mapping!$L$2:$P$92,4,0)</f>
        <v>Major Advanced Economies (G7)</v>
      </c>
      <c r="L328" s="29">
        <f>$D328*VLOOKUP($E328,'Charts data'!$A$2:$B$11,2,0)*VLOOKUP($G328,'Charts data'!$A$14:$B$18,2,0)/IF('Charts data'!$E$3=1,I328,1)/IF('Charts data'!$E$4=1,J328,1)</f>
        <v>53590.061250287661</v>
      </c>
    </row>
    <row r="329" spans="1:12" x14ac:dyDescent="0.25">
      <c r="A329" s="27" t="s">
        <v>1387</v>
      </c>
      <c r="B329" s="27">
        <v>43000</v>
      </c>
      <c r="C329" s="27" t="s">
        <v>24</v>
      </c>
      <c r="D329" s="28">
        <f>B329*VLOOKUP(C329,tblXrate[],2,0)</f>
        <v>67775.665698893223</v>
      </c>
      <c r="E329" s="27" t="s">
        <v>62</v>
      </c>
      <c r="F329" s="27" t="s">
        <v>25</v>
      </c>
      <c r="G329" s="27" t="s">
        <v>2271</v>
      </c>
      <c r="H329" s="27">
        <v>25</v>
      </c>
      <c r="I329" s="27">
        <f>VLOOKUP(F329,mapping!$L$2:$P$92,2,0)</f>
        <v>1.0513109074688785</v>
      </c>
      <c r="J329" s="27">
        <f>VLOOKUP($F329,mapping!$L$2:$P$92,3,0)</f>
        <v>38592.1</v>
      </c>
      <c r="K329" s="27" t="str">
        <f>VLOOKUP($F329,mapping!$L$2:$P$92,4,0)</f>
        <v>Major Advanced Economies (G7)</v>
      </c>
      <c r="L329" s="29">
        <f>$D329*VLOOKUP($E329,'Charts data'!$A$2:$B$11,2,0)*VLOOKUP($G329,'Charts data'!$A$14:$B$18,2,0)/IF('Charts data'!$E$3=1,I329,1)/IF('Charts data'!$E$4=1,J329,1)</f>
        <v>67775.665698893223</v>
      </c>
    </row>
    <row r="330" spans="1:12" x14ac:dyDescent="0.25">
      <c r="A330" s="27" t="s">
        <v>1388</v>
      </c>
      <c r="B330" s="27">
        <v>25750</v>
      </c>
      <c r="C330" s="27" t="s">
        <v>24</v>
      </c>
      <c r="D330" s="28">
        <f>B330*VLOOKUP(C330,tblXrate[],2,0)</f>
        <v>40586.590505732565</v>
      </c>
      <c r="E330" s="27" t="s">
        <v>7</v>
      </c>
      <c r="F330" s="27" t="s">
        <v>25</v>
      </c>
      <c r="G330" s="27" t="s">
        <v>2271</v>
      </c>
      <c r="H330" s="27">
        <v>1</v>
      </c>
      <c r="I330" s="27">
        <f>VLOOKUP(F330,mapping!$L$2:$P$92,2,0)</f>
        <v>1.0513109074688785</v>
      </c>
      <c r="J330" s="27">
        <f>VLOOKUP($F330,mapping!$L$2:$P$92,3,0)</f>
        <v>38592.1</v>
      </c>
      <c r="K330" s="27" t="str">
        <f>VLOOKUP($F330,mapping!$L$2:$P$92,4,0)</f>
        <v>Major Advanced Economies (G7)</v>
      </c>
      <c r="L330" s="29">
        <f>$D330*VLOOKUP($E330,'Charts data'!$A$2:$B$11,2,0)*VLOOKUP($G330,'Charts data'!$A$14:$B$18,2,0)/IF('Charts data'!$E$3=1,I330,1)/IF('Charts data'!$E$4=1,J330,1)</f>
        <v>40586.590505732565</v>
      </c>
    </row>
    <row r="331" spans="1:12" x14ac:dyDescent="0.25">
      <c r="A331" s="27" t="s">
        <v>1393</v>
      </c>
      <c r="B331" s="27">
        <v>20000</v>
      </c>
      <c r="C331" s="27" t="s">
        <v>24</v>
      </c>
      <c r="D331" s="28">
        <f>B331*VLOOKUP(C331,tblXrate[],2,0)</f>
        <v>31523.565441345683</v>
      </c>
      <c r="E331" s="27" t="s">
        <v>7</v>
      </c>
      <c r="F331" s="27" t="s">
        <v>25</v>
      </c>
      <c r="G331" s="27" t="s">
        <v>2271</v>
      </c>
      <c r="H331" s="27">
        <v>1</v>
      </c>
      <c r="I331" s="27">
        <f>VLOOKUP(F331,mapping!$L$2:$P$92,2,0)</f>
        <v>1.0513109074688785</v>
      </c>
      <c r="J331" s="27">
        <f>VLOOKUP($F331,mapping!$L$2:$P$92,3,0)</f>
        <v>38592.1</v>
      </c>
      <c r="K331" s="27" t="str">
        <f>VLOOKUP($F331,mapping!$L$2:$P$92,4,0)</f>
        <v>Major Advanced Economies (G7)</v>
      </c>
      <c r="L331" s="29">
        <f>$D331*VLOOKUP($E331,'Charts data'!$A$2:$B$11,2,0)*VLOOKUP($G331,'Charts data'!$A$14:$B$18,2,0)/IF('Charts data'!$E$3=1,I331,1)/IF('Charts data'!$E$4=1,J331,1)</f>
        <v>31523.565441345683</v>
      </c>
    </row>
    <row r="332" spans="1:12" x14ac:dyDescent="0.25">
      <c r="A332" s="27" t="s">
        <v>1463</v>
      </c>
      <c r="B332" s="27">
        <v>45000</v>
      </c>
      <c r="C332" s="27" t="s">
        <v>24</v>
      </c>
      <c r="D332" s="28">
        <f>B332*VLOOKUP(C332,tblXrate[],2,0)</f>
        <v>70928.022243027779</v>
      </c>
      <c r="E332" s="27" t="s">
        <v>53</v>
      </c>
      <c r="F332" s="27" t="s">
        <v>25</v>
      </c>
      <c r="G332" s="27" t="s">
        <v>2272</v>
      </c>
      <c r="H332" s="27">
        <v>4</v>
      </c>
      <c r="I332" s="27">
        <f>VLOOKUP(F332,mapping!$L$2:$P$92,2,0)</f>
        <v>1.0513109074688785</v>
      </c>
      <c r="J332" s="27">
        <f>VLOOKUP($F332,mapping!$L$2:$P$92,3,0)</f>
        <v>38592.1</v>
      </c>
      <c r="K332" s="27" t="str">
        <f>VLOOKUP($F332,mapping!$L$2:$P$92,4,0)</f>
        <v>Major Advanced Economies (G7)</v>
      </c>
      <c r="L332" s="29">
        <f>$D332*VLOOKUP($E332,'Charts data'!$A$2:$B$11,2,0)*VLOOKUP($G332,'Charts data'!$A$14:$B$18,2,0)/IF('Charts data'!$E$3=1,I332,1)/IF('Charts data'!$E$4=1,J332,1)</f>
        <v>70928.022243027779</v>
      </c>
    </row>
    <row r="333" spans="1:12" x14ac:dyDescent="0.25">
      <c r="A333" s="27" t="s">
        <v>1470</v>
      </c>
      <c r="B333" s="27">
        <v>26000</v>
      </c>
      <c r="C333" s="27" t="s">
        <v>24</v>
      </c>
      <c r="D333" s="28">
        <f>B333*VLOOKUP(C333,tblXrate[],2,0)</f>
        <v>40980.635073749385</v>
      </c>
      <c r="E333" s="27" t="s">
        <v>7</v>
      </c>
      <c r="F333" s="27" t="s">
        <v>25</v>
      </c>
      <c r="G333" s="27" t="s">
        <v>2271</v>
      </c>
      <c r="H333" s="27">
        <v>2</v>
      </c>
      <c r="I333" s="27">
        <f>VLOOKUP(F333,mapping!$L$2:$P$92,2,0)</f>
        <v>1.0513109074688785</v>
      </c>
      <c r="J333" s="27">
        <f>VLOOKUP($F333,mapping!$L$2:$P$92,3,0)</f>
        <v>38592.1</v>
      </c>
      <c r="K333" s="27" t="str">
        <f>VLOOKUP($F333,mapping!$L$2:$P$92,4,0)</f>
        <v>Major Advanced Economies (G7)</v>
      </c>
      <c r="L333" s="29">
        <f>$D333*VLOOKUP($E333,'Charts data'!$A$2:$B$11,2,0)*VLOOKUP($G333,'Charts data'!$A$14:$B$18,2,0)/IF('Charts data'!$E$3=1,I333,1)/IF('Charts data'!$E$4=1,J333,1)</f>
        <v>40980.635073749385</v>
      </c>
    </row>
    <row r="334" spans="1:12" x14ac:dyDescent="0.25">
      <c r="A334" s="27" t="s">
        <v>1478</v>
      </c>
      <c r="B334" s="27">
        <v>70000</v>
      </c>
      <c r="C334" s="27" t="s">
        <v>24</v>
      </c>
      <c r="D334" s="28">
        <f>B334*VLOOKUP(C334,tblXrate[],2,0)</f>
        <v>110332.47904470989</v>
      </c>
      <c r="E334" s="27" t="s">
        <v>53</v>
      </c>
      <c r="F334" s="27" t="s">
        <v>25</v>
      </c>
      <c r="G334" s="27" t="s">
        <v>2271</v>
      </c>
      <c r="H334" s="27">
        <v>15</v>
      </c>
      <c r="I334" s="27">
        <f>VLOOKUP(F334,mapping!$L$2:$P$92,2,0)</f>
        <v>1.0513109074688785</v>
      </c>
      <c r="J334" s="27">
        <f>VLOOKUP($F334,mapping!$L$2:$P$92,3,0)</f>
        <v>38592.1</v>
      </c>
      <c r="K334" s="27" t="str">
        <f>VLOOKUP($F334,mapping!$L$2:$P$92,4,0)</f>
        <v>Major Advanced Economies (G7)</v>
      </c>
      <c r="L334" s="29">
        <f>$D334*VLOOKUP($E334,'Charts data'!$A$2:$B$11,2,0)*VLOOKUP($G334,'Charts data'!$A$14:$B$18,2,0)/IF('Charts data'!$E$3=1,I334,1)/IF('Charts data'!$E$4=1,J334,1)</f>
        <v>110332.47904470989</v>
      </c>
    </row>
    <row r="335" spans="1:12" x14ac:dyDescent="0.25">
      <c r="A335" s="27" t="s">
        <v>1479</v>
      </c>
      <c r="B335" s="27">
        <v>30000</v>
      </c>
      <c r="C335" s="27" t="s">
        <v>24</v>
      </c>
      <c r="D335" s="28">
        <f>B335*VLOOKUP(C335,tblXrate[],2,0)</f>
        <v>47285.348162018527</v>
      </c>
      <c r="E335" s="27" t="s">
        <v>7</v>
      </c>
      <c r="F335" s="27" t="s">
        <v>25</v>
      </c>
      <c r="G335" s="27" t="s">
        <v>2273</v>
      </c>
      <c r="H335" s="27">
        <v>6</v>
      </c>
      <c r="I335" s="27">
        <f>VLOOKUP(F335,mapping!$L$2:$P$92,2,0)</f>
        <v>1.0513109074688785</v>
      </c>
      <c r="J335" s="27">
        <f>VLOOKUP($F335,mapping!$L$2:$P$92,3,0)</f>
        <v>38592.1</v>
      </c>
      <c r="K335" s="27" t="str">
        <f>VLOOKUP($F335,mapping!$L$2:$P$92,4,0)</f>
        <v>Major Advanced Economies (G7)</v>
      </c>
      <c r="L335" s="29">
        <f>$D335*VLOOKUP($E335,'Charts data'!$A$2:$B$11,2,0)*VLOOKUP($G335,'Charts data'!$A$14:$B$18,2,0)/IF('Charts data'!$E$3=1,I335,1)/IF('Charts data'!$E$4=1,J335,1)</f>
        <v>47285.348162018527</v>
      </c>
    </row>
    <row r="336" spans="1:12" x14ac:dyDescent="0.25">
      <c r="A336" s="27" t="s">
        <v>1492</v>
      </c>
      <c r="B336" s="27">
        <v>27000</v>
      </c>
      <c r="C336" s="27" t="s">
        <v>24</v>
      </c>
      <c r="D336" s="28">
        <f>B336*VLOOKUP(C336,tblXrate[],2,0)</f>
        <v>42556.81334581667</v>
      </c>
      <c r="E336" s="27" t="s">
        <v>48</v>
      </c>
      <c r="F336" s="27" t="s">
        <v>25</v>
      </c>
      <c r="G336" s="27" t="s">
        <v>2271</v>
      </c>
      <c r="H336" s="27">
        <v>1</v>
      </c>
      <c r="I336" s="27">
        <f>VLOOKUP(F336,mapping!$L$2:$P$92,2,0)</f>
        <v>1.0513109074688785</v>
      </c>
      <c r="J336" s="27">
        <f>VLOOKUP($F336,mapping!$L$2:$P$92,3,0)</f>
        <v>38592.1</v>
      </c>
      <c r="K336" s="27" t="str">
        <f>VLOOKUP($F336,mapping!$L$2:$P$92,4,0)</f>
        <v>Major Advanced Economies (G7)</v>
      </c>
      <c r="L336" s="29">
        <f>$D336*VLOOKUP($E336,'Charts data'!$A$2:$B$11,2,0)*VLOOKUP($G336,'Charts data'!$A$14:$B$18,2,0)/IF('Charts data'!$E$3=1,I336,1)/IF('Charts data'!$E$4=1,J336,1)</f>
        <v>42556.81334581667</v>
      </c>
    </row>
    <row r="337" spans="1:12" x14ac:dyDescent="0.25">
      <c r="A337" s="27" t="s">
        <v>1502</v>
      </c>
      <c r="B337" s="27">
        <v>45000</v>
      </c>
      <c r="C337" s="27" t="s">
        <v>24</v>
      </c>
      <c r="D337" s="28">
        <f>B337*VLOOKUP(C337,tblXrate[],2,0)</f>
        <v>70928.022243027779</v>
      </c>
      <c r="E337" s="27" t="s">
        <v>19</v>
      </c>
      <c r="F337" s="27" t="s">
        <v>25</v>
      </c>
      <c r="G337" s="27" t="s">
        <v>2272</v>
      </c>
      <c r="H337" s="27">
        <v>15</v>
      </c>
      <c r="I337" s="27">
        <f>VLOOKUP(F337,mapping!$L$2:$P$92,2,0)</f>
        <v>1.0513109074688785</v>
      </c>
      <c r="J337" s="27">
        <f>VLOOKUP($F337,mapping!$L$2:$P$92,3,0)</f>
        <v>38592.1</v>
      </c>
      <c r="K337" s="27" t="str">
        <f>VLOOKUP($F337,mapping!$L$2:$P$92,4,0)</f>
        <v>Major Advanced Economies (G7)</v>
      </c>
      <c r="L337" s="29">
        <f>$D337*VLOOKUP($E337,'Charts data'!$A$2:$B$11,2,0)*VLOOKUP($G337,'Charts data'!$A$14:$B$18,2,0)/IF('Charts data'!$E$3=1,I337,1)/IF('Charts data'!$E$4=1,J337,1)</f>
        <v>70928.022243027779</v>
      </c>
    </row>
    <row r="338" spans="1:12" x14ac:dyDescent="0.25">
      <c r="A338" s="27" t="s">
        <v>1518</v>
      </c>
      <c r="B338" s="27">
        <v>60000</v>
      </c>
      <c r="C338" s="27" t="s">
        <v>24</v>
      </c>
      <c r="D338" s="28">
        <f>B338*VLOOKUP(C338,tblXrate[],2,0)</f>
        <v>94570.696324037053</v>
      </c>
      <c r="E338" s="27" t="s">
        <v>7</v>
      </c>
      <c r="F338" s="27" t="s">
        <v>25</v>
      </c>
      <c r="G338" s="27" t="s">
        <v>2271</v>
      </c>
      <c r="H338" s="27">
        <v>7</v>
      </c>
      <c r="I338" s="27">
        <f>VLOOKUP(F338,mapping!$L$2:$P$92,2,0)</f>
        <v>1.0513109074688785</v>
      </c>
      <c r="J338" s="27">
        <f>VLOOKUP($F338,mapping!$L$2:$P$92,3,0)</f>
        <v>38592.1</v>
      </c>
      <c r="K338" s="27" t="str">
        <f>VLOOKUP($F338,mapping!$L$2:$P$92,4,0)</f>
        <v>Major Advanced Economies (G7)</v>
      </c>
      <c r="L338" s="29">
        <f>$D338*VLOOKUP($E338,'Charts data'!$A$2:$B$11,2,0)*VLOOKUP($G338,'Charts data'!$A$14:$B$18,2,0)/IF('Charts data'!$E$3=1,I338,1)/IF('Charts data'!$E$4=1,J338,1)</f>
        <v>94570.696324037053</v>
      </c>
    </row>
    <row r="339" spans="1:12" x14ac:dyDescent="0.25">
      <c r="A339" s="27" t="s">
        <v>1598</v>
      </c>
      <c r="B339" s="27">
        <v>17000</v>
      </c>
      <c r="C339" s="27" t="s">
        <v>24</v>
      </c>
      <c r="D339" s="28">
        <f>B339*VLOOKUP(C339,tblXrate[],2,0)</f>
        <v>26795.030625143831</v>
      </c>
      <c r="E339" s="27" t="s">
        <v>7</v>
      </c>
      <c r="F339" s="27" t="s">
        <v>25</v>
      </c>
      <c r="G339" s="27" t="s">
        <v>2272</v>
      </c>
      <c r="H339" s="27">
        <v>5</v>
      </c>
      <c r="I339" s="27">
        <f>VLOOKUP(F339,mapping!$L$2:$P$92,2,0)</f>
        <v>1.0513109074688785</v>
      </c>
      <c r="J339" s="27">
        <f>VLOOKUP($F339,mapping!$L$2:$P$92,3,0)</f>
        <v>38592.1</v>
      </c>
      <c r="K339" s="27" t="str">
        <f>VLOOKUP($F339,mapping!$L$2:$P$92,4,0)</f>
        <v>Major Advanced Economies (G7)</v>
      </c>
      <c r="L339" s="29">
        <f>$D339*VLOOKUP($E339,'Charts data'!$A$2:$B$11,2,0)*VLOOKUP($G339,'Charts data'!$A$14:$B$18,2,0)/IF('Charts data'!$E$3=1,I339,1)/IF('Charts data'!$E$4=1,J339,1)</f>
        <v>26795.030625143831</v>
      </c>
    </row>
    <row r="340" spans="1:12" x14ac:dyDescent="0.25">
      <c r="A340" s="27" t="s">
        <v>1600</v>
      </c>
      <c r="B340" s="27">
        <v>25000</v>
      </c>
      <c r="C340" s="27" t="s">
        <v>24</v>
      </c>
      <c r="D340" s="28">
        <f>B340*VLOOKUP(C340,tblXrate[],2,0)</f>
        <v>39404.456801682099</v>
      </c>
      <c r="E340" s="27" t="s">
        <v>51</v>
      </c>
      <c r="F340" s="27" t="s">
        <v>25</v>
      </c>
      <c r="G340" s="27" t="s">
        <v>2271</v>
      </c>
      <c r="H340" s="27">
        <v>35</v>
      </c>
      <c r="I340" s="27">
        <f>VLOOKUP(F340,mapping!$L$2:$P$92,2,0)</f>
        <v>1.0513109074688785</v>
      </c>
      <c r="J340" s="27">
        <f>VLOOKUP($F340,mapping!$L$2:$P$92,3,0)</f>
        <v>38592.1</v>
      </c>
      <c r="K340" s="27" t="str">
        <f>VLOOKUP($F340,mapping!$L$2:$P$92,4,0)</f>
        <v>Major Advanced Economies (G7)</v>
      </c>
      <c r="L340" s="29">
        <f>$D340*VLOOKUP($E340,'Charts data'!$A$2:$B$11,2,0)*VLOOKUP($G340,'Charts data'!$A$14:$B$18,2,0)/IF('Charts data'!$E$3=1,I340,1)/IF('Charts data'!$E$4=1,J340,1)</f>
        <v>39404.456801682099</v>
      </c>
    </row>
    <row r="341" spans="1:12" x14ac:dyDescent="0.25">
      <c r="A341" s="27" t="s">
        <v>1603</v>
      </c>
      <c r="B341" s="27">
        <v>37000</v>
      </c>
      <c r="C341" s="27" t="s">
        <v>24</v>
      </c>
      <c r="D341" s="28">
        <f>B341*VLOOKUP(C341,tblXrate[],2,0)</f>
        <v>58318.59606648951</v>
      </c>
      <c r="E341" s="27" t="s">
        <v>19</v>
      </c>
      <c r="F341" s="27" t="s">
        <v>25</v>
      </c>
      <c r="G341" s="27" t="s">
        <v>2273</v>
      </c>
      <c r="H341" s="27">
        <v>20</v>
      </c>
      <c r="I341" s="27">
        <f>VLOOKUP(F341,mapping!$L$2:$P$92,2,0)</f>
        <v>1.0513109074688785</v>
      </c>
      <c r="J341" s="27">
        <f>VLOOKUP($F341,mapping!$L$2:$P$92,3,0)</f>
        <v>38592.1</v>
      </c>
      <c r="K341" s="27" t="str">
        <f>VLOOKUP($F341,mapping!$L$2:$P$92,4,0)</f>
        <v>Major Advanced Economies (G7)</v>
      </c>
      <c r="L341" s="29">
        <f>$D341*VLOOKUP($E341,'Charts data'!$A$2:$B$11,2,0)*VLOOKUP($G341,'Charts data'!$A$14:$B$18,2,0)/IF('Charts data'!$E$3=1,I341,1)/IF('Charts data'!$E$4=1,J341,1)</f>
        <v>58318.59606648951</v>
      </c>
    </row>
    <row r="342" spans="1:12" x14ac:dyDescent="0.25">
      <c r="A342" s="27" t="s">
        <v>1616</v>
      </c>
      <c r="B342" s="27">
        <v>146633</v>
      </c>
      <c r="C342" s="27" t="s">
        <v>24</v>
      </c>
      <c r="D342" s="28">
        <f>B342*VLOOKUP(C342,tblXrate[],2,0)</f>
        <v>231119.74856804207</v>
      </c>
      <c r="E342" s="27" t="s">
        <v>48</v>
      </c>
      <c r="F342" s="27" t="s">
        <v>25</v>
      </c>
      <c r="G342" s="27" t="s">
        <v>2272</v>
      </c>
      <c r="H342" s="27">
        <v>10</v>
      </c>
      <c r="I342" s="27">
        <f>VLOOKUP(F342,mapping!$L$2:$P$92,2,0)</f>
        <v>1.0513109074688785</v>
      </c>
      <c r="J342" s="27">
        <f>VLOOKUP($F342,mapping!$L$2:$P$92,3,0)</f>
        <v>38592.1</v>
      </c>
      <c r="K342" s="27" t="str">
        <f>VLOOKUP($F342,mapping!$L$2:$P$92,4,0)</f>
        <v>Major Advanced Economies (G7)</v>
      </c>
      <c r="L342" s="29">
        <f>$D342*VLOOKUP($E342,'Charts data'!$A$2:$B$11,2,0)*VLOOKUP($G342,'Charts data'!$A$14:$B$18,2,0)/IF('Charts data'!$E$3=1,I342,1)/IF('Charts data'!$E$4=1,J342,1)</f>
        <v>231119.74856804207</v>
      </c>
    </row>
    <row r="343" spans="1:12" x14ac:dyDescent="0.25">
      <c r="A343" s="27" t="s">
        <v>1618</v>
      </c>
      <c r="B343" s="27">
        <v>10000</v>
      </c>
      <c r="C343" s="27" t="s">
        <v>24</v>
      </c>
      <c r="D343" s="28">
        <f>B343*VLOOKUP(C343,tblXrate[],2,0)</f>
        <v>15761.782720672842</v>
      </c>
      <c r="E343" s="27" t="s">
        <v>7</v>
      </c>
      <c r="F343" s="27" t="s">
        <v>25</v>
      </c>
      <c r="G343" s="27" t="s">
        <v>2272</v>
      </c>
      <c r="H343" s="27">
        <v>8</v>
      </c>
      <c r="I343" s="27">
        <f>VLOOKUP(F343,mapping!$L$2:$P$92,2,0)</f>
        <v>1.0513109074688785</v>
      </c>
      <c r="J343" s="27">
        <f>VLOOKUP($F343,mapping!$L$2:$P$92,3,0)</f>
        <v>38592.1</v>
      </c>
      <c r="K343" s="27" t="str">
        <f>VLOOKUP($F343,mapping!$L$2:$P$92,4,0)</f>
        <v>Major Advanced Economies (G7)</v>
      </c>
      <c r="L343" s="29">
        <f>$D343*VLOOKUP($E343,'Charts data'!$A$2:$B$11,2,0)*VLOOKUP($G343,'Charts data'!$A$14:$B$18,2,0)/IF('Charts data'!$E$3=1,I343,1)/IF('Charts data'!$E$4=1,J343,1)</f>
        <v>15761.782720672842</v>
      </c>
    </row>
    <row r="344" spans="1:12" x14ac:dyDescent="0.25">
      <c r="A344" s="27" t="s">
        <v>1665</v>
      </c>
      <c r="B344" s="27">
        <v>30500</v>
      </c>
      <c r="C344" s="27" t="s">
        <v>24</v>
      </c>
      <c r="D344" s="28">
        <f>B344*VLOOKUP(C344,tblXrate[],2,0)</f>
        <v>48073.437298052166</v>
      </c>
      <c r="E344" s="27" t="s">
        <v>53</v>
      </c>
      <c r="F344" s="27" t="s">
        <v>25</v>
      </c>
      <c r="G344" s="27" t="s">
        <v>2271</v>
      </c>
      <c r="H344" s="27">
        <v>14</v>
      </c>
      <c r="I344" s="27">
        <f>VLOOKUP(F344,mapping!$L$2:$P$92,2,0)</f>
        <v>1.0513109074688785</v>
      </c>
      <c r="J344" s="27">
        <f>VLOOKUP($F344,mapping!$L$2:$P$92,3,0)</f>
        <v>38592.1</v>
      </c>
      <c r="K344" s="27" t="str">
        <f>VLOOKUP($F344,mapping!$L$2:$P$92,4,0)</f>
        <v>Major Advanced Economies (G7)</v>
      </c>
      <c r="L344" s="29">
        <f>$D344*VLOOKUP($E344,'Charts data'!$A$2:$B$11,2,0)*VLOOKUP($G344,'Charts data'!$A$14:$B$18,2,0)/IF('Charts data'!$E$3=1,I344,1)/IF('Charts data'!$E$4=1,J344,1)</f>
        <v>48073.437298052166</v>
      </c>
    </row>
    <row r="345" spans="1:12" x14ac:dyDescent="0.25">
      <c r="A345" s="27" t="s">
        <v>1668</v>
      </c>
      <c r="B345" s="27">
        <v>48360</v>
      </c>
      <c r="C345" s="27" t="s">
        <v>24</v>
      </c>
      <c r="D345" s="28">
        <f>B345*VLOOKUP(C345,tblXrate[],2,0)</f>
        <v>76223.981237173866</v>
      </c>
      <c r="E345" s="27" t="s">
        <v>19</v>
      </c>
      <c r="F345" s="27" t="s">
        <v>25</v>
      </c>
      <c r="G345" s="27" t="s">
        <v>2273</v>
      </c>
      <c r="H345" s="27">
        <v>8</v>
      </c>
      <c r="I345" s="27">
        <f>VLOOKUP(F345,mapping!$L$2:$P$92,2,0)</f>
        <v>1.0513109074688785</v>
      </c>
      <c r="J345" s="27">
        <f>VLOOKUP($F345,mapping!$L$2:$P$92,3,0)</f>
        <v>38592.1</v>
      </c>
      <c r="K345" s="27" t="str">
        <f>VLOOKUP($F345,mapping!$L$2:$P$92,4,0)</f>
        <v>Major Advanced Economies (G7)</v>
      </c>
      <c r="L345" s="29">
        <f>$D345*VLOOKUP($E345,'Charts data'!$A$2:$B$11,2,0)*VLOOKUP($G345,'Charts data'!$A$14:$B$18,2,0)/IF('Charts data'!$E$3=1,I345,1)/IF('Charts data'!$E$4=1,J345,1)</f>
        <v>76223.981237173866</v>
      </c>
    </row>
    <row r="346" spans="1:12" x14ac:dyDescent="0.25">
      <c r="A346" s="27" t="s">
        <v>1674</v>
      </c>
      <c r="B346" s="27">
        <v>30000</v>
      </c>
      <c r="C346" s="27" t="s">
        <v>24</v>
      </c>
      <c r="D346" s="28">
        <f>B346*VLOOKUP(C346,tblXrate[],2,0)</f>
        <v>47285.348162018527</v>
      </c>
      <c r="E346" s="27" t="s">
        <v>7</v>
      </c>
      <c r="F346" s="27" t="s">
        <v>25</v>
      </c>
      <c r="G346" s="27" t="s">
        <v>2271</v>
      </c>
      <c r="H346" s="27">
        <v>7</v>
      </c>
      <c r="I346" s="27">
        <f>VLOOKUP(F346,mapping!$L$2:$P$92,2,0)</f>
        <v>1.0513109074688785</v>
      </c>
      <c r="J346" s="27">
        <f>VLOOKUP($F346,mapping!$L$2:$P$92,3,0)</f>
        <v>38592.1</v>
      </c>
      <c r="K346" s="27" t="str">
        <f>VLOOKUP($F346,mapping!$L$2:$P$92,4,0)</f>
        <v>Major Advanced Economies (G7)</v>
      </c>
      <c r="L346" s="29">
        <f>$D346*VLOOKUP($E346,'Charts data'!$A$2:$B$11,2,0)*VLOOKUP($G346,'Charts data'!$A$14:$B$18,2,0)/IF('Charts data'!$E$3=1,I346,1)/IF('Charts data'!$E$4=1,J346,1)</f>
        <v>47285.348162018527</v>
      </c>
    </row>
    <row r="347" spans="1:12" x14ac:dyDescent="0.25">
      <c r="A347" s="27" t="s">
        <v>1676</v>
      </c>
      <c r="B347" s="27">
        <v>35000</v>
      </c>
      <c r="C347" s="27" t="s">
        <v>24</v>
      </c>
      <c r="D347" s="28">
        <f>B347*VLOOKUP(C347,tblXrate[],2,0)</f>
        <v>55166.239522354947</v>
      </c>
      <c r="E347" s="27" t="s">
        <v>7</v>
      </c>
      <c r="F347" s="27" t="s">
        <v>25</v>
      </c>
      <c r="G347" s="27" t="s">
        <v>2271</v>
      </c>
      <c r="H347" s="27">
        <v>3</v>
      </c>
      <c r="I347" s="27">
        <f>VLOOKUP(F347,mapping!$L$2:$P$92,2,0)</f>
        <v>1.0513109074688785</v>
      </c>
      <c r="J347" s="27">
        <f>VLOOKUP($F347,mapping!$L$2:$P$92,3,0)</f>
        <v>38592.1</v>
      </c>
      <c r="K347" s="27" t="str">
        <f>VLOOKUP($F347,mapping!$L$2:$P$92,4,0)</f>
        <v>Major Advanced Economies (G7)</v>
      </c>
      <c r="L347" s="29">
        <f>$D347*VLOOKUP($E347,'Charts data'!$A$2:$B$11,2,0)*VLOOKUP($G347,'Charts data'!$A$14:$B$18,2,0)/IF('Charts data'!$E$3=1,I347,1)/IF('Charts data'!$E$4=1,J347,1)</f>
        <v>55166.239522354947</v>
      </c>
    </row>
    <row r="348" spans="1:12" x14ac:dyDescent="0.25">
      <c r="A348" s="27" t="s">
        <v>1686</v>
      </c>
      <c r="B348" s="27">
        <v>25000</v>
      </c>
      <c r="C348" s="27" t="s">
        <v>24</v>
      </c>
      <c r="D348" s="28">
        <f>B348*VLOOKUP(C348,tblXrate[],2,0)</f>
        <v>39404.456801682099</v>
      </c>
      <c r="E348" s="27" t="s">
        <v>2145</v>
      </c>
      <c r="F348" s="27" t="s">
        <v>25</v>
      </c>
      <c r="G348" s="27" t="s">
        <v>2271</v>
      </c>
      <c r="H348" s="27">
        <v>2</v>
      </c>
      <c r="I348" s="27">
        <f>VLOOKUP(F348,mapping!$L$2:$P$92,2,0)</f>
        <v>1.0513109074688785</v>
      </c>
      <c r="J348" s="27">
        <f>VLOOKUP($F348,mapping!$L$2:$P$92,3,0)</f>
        <v>38592.1</v>
      </c>
      <c r="K348" s="27" t="str">
        <f>VLOOKUP($F348,mapping!$L$2:$P$92,4,0)</f>
        <v>Major Advanced Economies (G7)</v>
      </c>
      <c r="L348" s="29">
        <f>$D348*VLOOKUP($E348,'Charts data'!$A$2:$B$11,2,0)*VLOOKUP($G348,'Charts data'!$A$14:$B$18,2,0)/IF('Charts data'!$E$3=1,I348,1)/IF('Charts data'!$E$4=1,J348,1)</f>
        <v>39404.456801682099</v>
      </c>
    </row>
    <row r="349" spans="1:12" x14ac:dyDescent="0.25">
      <c r="A349" s="27" t="s">
        <v>1700</v>
      </c>
      <c r="B349" s="27">
        <v>35000</v>
      </c>
      <c r="C349" s="27" t="s">
        <v>24</v>
      </c>
      <c r="D349" s="28">
        <f>B349*VLOOKUP(C349,tblXrate[],2,0)</f>
        <v>55166.239522354947</v>
      </c>
      <c r="E349" s="27" t="s">
        <v>2147</v>
      </c>
      <c r="F349" s="27" t="s">
        <v>25</v>
      </c>
      <c r="G349" s="27" t="s">
        <v>2272</v>
      </c>
      <c r="H349" s="27">
        <v>30</v>
      </c>
      <c r="I349" s="27">
        <f>VLOOKUP(F349,mapping!$L$2:$P$92,2,0)</f>
        <v>1.0513109074688785</v>
      </c>
      <c r="J349" s="27">
        <f>VLOOKUP($F349,mapping!$L$2:$P$92,3,0)</f>
        <v>38592.1</v>
      </c>
      <c r="K349" s="27" t="str">
        <f>VLOOKUP($F349,mapping!$L$2:$P$92,4,0)</f>
        <v>Major Advanced Economies (G7)</v>
      </c>
      <c r="L349" s="29">
        <f>$D349*VLOOKUP($E349,'Charts data'!$A$2:$B$11,2,0)*VLOOKUP($G349,'Charts data'!$A$14:$B$18,2,0)/IF('Charts data'!$E$3=1,I349,1)/IF('Charts data'!$E$4=1,J349,1)</f>
        <v>55166.239522354947</v>
      </c>
    </row>
    <row r="350" spans="1:12" x14ac:dyDescent="0.25">
      <c r="A350" s="27" t="s">
        <v>1722</v>
      </c>
      <c r="B350" s="27">
        <v>80000</v>
      </c>
      <c r="C350" s="27" t="s">
        <v>24</v>
      </c>
      <c r="D350" s="28">
        <f>B350*VLOOKUP(C350,tblXrate[],2,0)</f>
        <v>126094.26176538273</v>
      </c>
      <c r="E350" s="27" t="s">
        <v>53</v>
      </c>
      <c r="F350" s="27" t="s">
        <v>25</v>
      </c>
      <c r="G350" s="27" t="s">
        <v>2271</v>
      </c>
      <c r="H350" s="27">
        <v>12</v>
      </c>
      <c r="I350" s="27">
        <f>VLOOKUP(F350,mapping!$L$2:$P$92,2,0)</f>
        <v>1.0513109074688785</v>
      </c>
      <c r="J350" s="27">
        <f>VLOOKUP($F350,mapping!$L$2:$P$92,3,0)</f>
        <v>38592.1</v>
      </c>
      <c r="K350" s="27" t="str">
        <f>VLOOKUP($F350,mapping!$L$2:$P$92,4,0)</f>
        <v>Major Advanced Economies (G7)</v>
      </c>
      <c r="L350" s="29">
        <f>$D350*VLOOKUP($E350,'Charts data'!$A$2:$B$11,2,0)*VLOOKUP($G350,'Charts data'!$A$14:$B$18,2,0)/IF('Charts data'!$E$3=1,I350,1)/IF('Charts data'!$E$4=1,J350,1)</f>
        <v>126094.26176538273</v>
      </c>
    </row>
    <row r="351" spans="1:12" x14ac:dyDescent="0.25">
      <c r="A351" s="27" t="s">
        <v>1729</v>
      </c>
      <c r="B351" s="27">
        <v>20000</v>
      </c>
      <c r="C351" s="27" t="s">
        <v>24</v>
      </c>
      <c r="D351" s="28">
        <f>B351*VLOOKUP(C351,tblXrate[],2,0)</f>
        <v>31523.565441345683</v>
      </c>
      <c r="E351" s="27" t="s">
        <v>7</v>
      </c>
      <c r="F351" s="27" t="s">
        <v>25</v>
      </c>
      <c r="G351" s="27" t="s">
        <v>2273</v>
      </c>
      <c r="H351" s="27">
        <v>3</v>
      </c>
      <c r="I351" s="27">
        <f>VLOOKUP(F351,mapping!$L$2:$P$92,2,0)</f>
        <v>1.0513109074688785</v>
      </c>
      <c r="J351" s="27">
        <f>VLOOKUP($F351,mapping!$L$2:$P$92,3,0)</f>
        <v>38592.1</v>
      </c>
      <c r="K351" s="27" t="str">
        <f>VLOOKUP($F351,mapping!$L$2:$P$92,4,0)</f>
        <v>Major Advanced Economies (G7)</v>
      </c>
      <c r="L351" s="29">
        <f>$D351*VLOOKUP($E351,'Charts data'!$A$2:$B$11,2,0)*VLOOKUP($G351,'Charts data'!$A$14:$B$18,2,0)/IF('Charts data'!$E$3=1,I351,1)/IF('Charts data'!$E$4=1,J351,1)</f>
        <v>31523.565441345683</v>
      </c>
    </row>
    <row r="352" spans="1:12" x14ac:dyDescent="0.25">
      <c r="A352" s="27" t="s">
        <v>1737</v>
      </c>
      <c r="B352" s="27">
        <v>21500</v>
      </c>
      <c r="C352" s="27" t="s">
        <v>24</v>
      </c>
      <c r="D352" s="28">
        <f>B352*VLOOKUP(C352,tblXrate[],2,0)</f>
        <v>33887.832849446611</v>
      </c>
      <c r="E352" s="27" t="s">
        <v>7</v>
      </c>
      <c r="F352" s="27" t="s">
        <v>25</v>
      </c>
      <c r="G352" s="27" t="s">
        <v>2273</v>
      </c>
      <c r="H352" s="27">
        <v>1</v>
      </c>
      <c r="I352" s="27">
        <f>VLOOKUP(F352,mapping!$L$2:$P$92,2,0)</f>
        <v>1.0513109074688785</v>
      </c>
      <c r="J352" s="27">
        <f>VLOOKUP($F352,mapping!$L$2:$P$92,3,0)</f>
        <v>38592.1</v>
      </c>
      <c r="K352" s="27" t="str">
        <f>VLOOKUP($F352,mapping!$L$2:$P$92,4,0)</f>
        <v>Major Advanced Economies (G7)</v>
      </c>
      <c r="L352" s="29">
        <f>$D352*VLOOKUP($E352,'Charts data'!$A$2:$B$11,2,0)*VLOOKUP($G352,'Charts data'!$A$14:$B$18,2,0)/IF('Charts data'!$E$3=1,I352,1)/IF('Charts data'!$E$4=1,J352,1)</f>
        <v>33887.832849446611</v>
      </c>
    </row>
    <row r="353" spans="1:12" x14ac:dyDescent="0.25">
      <c r="A353" s="27" t="s">
        <v>1749</v>
      </c>
      <c r="B353" s="27">
        <v>37000</v>
      </c>
      <c r="C353" s="27" t="s">
        <v>24</v>
      </c>
      <c r="D353" s="28">
        <f>B353*VLOOKUP(C353,tblXrate[],2,0)</f>
        <v>58318.59606648951</v>
      </c>
      <c r="E353" s="27" t="s">
        <v>7</v>
      </c>
      <c r="F353" s="27" t="s">
        <v>25</v>
      </c>
      <c r="G353" s="27" t="s">
        <v>2271</v>
      </c>
      <c r="H353" s="27">
        <v>9</v>
      </c>
      <c r="I353" s="27">
        <f>VLOOKUP(F353,mapping!$L$2:$P$92,2,0)</f>
        <v>1.0513109074688785</v>
      </c>
      <c r="J353" s="27">
        <f>VLOOKUP($F353,mapping!$L$2:$P$92,3,0)</f>
        <v>38592.1</v>
      </c>
      <c r="K353" s="27" t="str">
        <f>VLOOKUP($F353,mapping!$L$2:$P$92,4,0)</f>
        <v>Major Advanced Economies (G7)</v>
      </c>
      <c r="L353" s="29">
        <f>$D353*VLOOKUP($E353,'Charts data'!$A$2:$B$11,2,0)*VLOOKUP($G353,'Charts data'!$A$14:$B$18,2,0)/IF('Charts data'!$E$3=1,I353,1)/IF('Charts data'!$E$4=1,J353,1)</f>
        <v>58318.59606648951</v>
      </c>
    </row>
    <row r="354" spans="1:12" x14ac:dyDescent="0.25">
      <c r="A354" s="27" t="s">
        <v>1755</v>
      </c>
      <c r="B354" s="27">
        <v>60000</v>
      </c>
      <c r="C354" s="27" t="s">
        <v>24</v>
      </c>
      <c r="D354" s="28">
        <f>B354*VLOOKUP(C354,tblXrate[],2,0)</f>
        <v>94570.696324037053</v>
      </c>
      <c r="E354" s="27" t="s">
        <v>7</v>
      </c>
      <c r="F354" s="27" t="s">
        <v>25</v>
      </c>
      <c r="G354" s="27" t="s">
        <v>2271</v>
      </c>
      <c r="H354" s="27">
        <v>5</v>
      </c>
      <c r="I354" s="27">
        <f>VLOOKUP(F354,mapping!$L$2:$P$92,2,0)</f>
        <v>1.0513109074688785</v>
      </c>
      <c r="J354" s="27">
        <f>VLOOKUP($F354,mapping!$L$2:$P$92,3,0)</f>
        <v>38592.1</v>
      </c>
      <c r="K354" s="27" t="str">
        <f>VLOOKUP($F354,mapping!$L$2:$P$92,4,0)</f>
        <v>Major Advanced Economies (G7)</v>
      </c>
      <c r="L354" s="29">
        <f>$D354*VLOOKUP($E354,'Charts data'!$A$2:$B$11,2,0)*VLOOKUP($G354,'Charts data'!$A$14:$B$18,2,0)/IF('Charts data'!$E$3=1,I354,1)/IF('Charts data'!$E$4=1,J354,1)</f>
        <v>94570.696324037053</v>
      </c>
    </row>
    <row r="355" spans="1:12" x14ac:dyDescent="0.25">
      <c r="A355" s="27" t="s">
        <v>1783</v>
      </c>
      <c r="B355" s="27">
        <v>42000</v>
      </c>
      <c r="C355" s="27" t="s">
        <v>24</v>
      </c>
      <c r="D355" s="28">
        <f>B355*VLOOKUP(C355,tblXrate[],2,0)</f>
        <v>66199.48742682593</v>
      </c>
      <c r="E355" s="27" t="s">
        <v>19</v>
      </c>
      <c r="F355" s="27" t="s">
        <v>25</v>
      </c>
      <c r="G355" s="27" t="s">
        <v>2271</v>
      </c>
      <c r="H355" s="27">
        <v>23</v>
      </c>
      <c r="I355" s="27">
        <f>VLOOKUP(F355,mapping!$L$2:$P$92,2,0)</f>
        <v>1.0513109074688785</v>
      </c>
      <c r="J355" s="27">
        <f>VLOOKUP($F355,mapping!$L$2:$P$92,3,0)</f>
        <v>38592.1</v>
      </c>
      <c r="K355" s="27" t="str">
        <f>VLOOKUP($F355,mapping!$L$2:$P$92,4,0)</f>
        <v>Major Advanced Economies (G7)</v>
      </c>
      <c r="L355" s="29">
        <f>$D355*VLOOKUP($E355,'Charts data'!$A$2:$B$11,2,0)*VLOOKUP($G355,'Charts data'!$A$14:$B$18,2,0)/IF('Charts data'!$E$3=1,I355,1)/IF('Charts data'!$E$4=1,J355,1)</f>
        <v>66199.48742682593</v>
      </c>
    </row>
    <row r="356" spans="1:12" x14ac:dyDescent="0.25">
      <c r="A356" s="27" t="s">
        <v>1785</v>
      </c>
      <c r="B356" s="27">
        <v>22000</v>
      </c>
      <c r="C356" s="27" t="s">
        <v>24</v>
      </c>
      <c r="D356" s="28">
        <f>B356*VLOOKUP(C356,tblXrate[],2,0)</f>
        <v>34675.92198548025</v>
      </c>
      <c r="E356" s="27" t="s">
        <v>19</v>
      </c>
      <c r="F356" s="27" t="s">
        <v>25</v>
      </c>
      <c r="G356" s="27" t="s">
        <v>2271</v>
      </c>
      <c r="H356" s="27">
        <v>17</v>
      </c>
      <c r="I356" s="27">
        <f>VLOOKUP(F356,mapping!$L$2:$P$92,2,0)</f>
        <v>1.0513109074688785</v>
      </c>
      <c r="J356" s="27">
        <f>VLOOKUP($F356,mapping!$L$2:$P$92,3,0)</f>
        <v>38592.1</v>
      </c>
      <c r="K356" s="27" t="str">
        <f>VLOOKUP($F356,mapping!$L$2:$P$92,4,0)</f>
        <v>Major Advanced Economies (G7)</v>
      </c>
      <c r="L356" s="29">
        <f>$D356*VLOOKUP($E356,'Charts data'!$A$2:$B$11,2,0)*VLOOKUP($G356,'Charts data'!$A$14:$B$18,2,0)/IF('Charts data'!$E$3=1,I356,1)/IF('Charts data'!$E$4=1,J356,1)</f>
        <v>34675.92198548025</v>
      </c>
    </row>
    <row r="357" spans="1:12" x14ac:dyDescent="0.25">
      <c r="A357" s="27" t="s">
        <v>1801</v>
      </c>
      <c r="B357" s="27">
        <v>40000</v>
      </c>
      <c r="C357" s="27" t="s">
        <v>24</v>
      </c>
      <c r="D357" s="28">
        <f>B357*VLOOKUP(C357,tblXrate[],2,0)</f>
        <v>63047.130882691366</v>
      </c>
      <c r="E357" s="27" t="s">
        <v>23</v>
      </c>
      <c r="F357" s="27" t="s">
        <v>25</v>
      </c>
      <c r="G357" s="27" t="s">
        <v>2272</v>
      </c>
      <c r="H357" s="27">
        <v>25</v>
      </c>
      <c r="I357" s="27">
        <f>VLOOKUP(F357,mapping!$L$2:$P$92,2,0)</f>
        <v>1.0513109074688785</v>
      </c>
      <c r="J357" s="27">
        <f>VLOOKUP($F357,mapping!$L$2:$P$92,3,0)</f>
        <v>38592.1</v>
      </c>
      <c r="K357" s="27" t="str">
        <f>VLOOKUP($F357,mapping!$L$2:$P$92,4,0)</f>
        <v>Major Advanced Economies (G7)</v>
      </c>
      <c r="L357" s="29">
        <f>$D357*VLOOKUP($E357,'Charts data'!$A$2:$B$11,2,0)*VLOOKUP($G357,'Charts data'!$A$14:$B$18,2,0)/IF('Charts data'!$E$3=1,I357,1)/IF('Charts data'!$E$4=1,J357,1)</f>
        <v>63047.130882691366</v>
      </c>
    </row>
    <row r="358" spans="1:12" x14ac:dyDescent="0.25">
      <c r="A358" s="27" t="s">
        <v>1809</v>
      </c>
      <c r="B358" s="27">
        <v>45000</v>
      </c>
      <c r="C358" s="27" t="s">
        <v>24</v>
      </c>
      <c r="D358" s="28">
        <f>B358*VLOOKUP(C358,tblXrate[],2,0)</f>
        <v>70928.022243027779</v>
      </c>
      <c r="E358" s="27" t="s">
        <v>7</v>
      </c>
      <c r="F358" s="27" t="s">
        <v>25</v>
      </c>
      <c r="G358" s="27" t="s">
        <v>2273</v>
      </c>
      <c r="H358" s="27">
        <v>5</v>
      </c>
      <c r="I358" s="27">
        <f>VLOOKUP(F358,mapping!$L$2:$P$92,2,0)</f>
        <v>1.0513109074688785</v>
      </c>
      <c r="J358" s="27">
        <f>VLOOKUP($F358,mapping!$L$2:$P$92,3,0)</f>
        <v>38592.1</v>
      </c>
      <c r="K358" s="27" t="str">
        <f>VLOOKUP($F358,mapping!$L$2:$P$92,4,0)</f>
        <v>Major Advanced Economies (G7)</v>
      </c>
      <c r="L358" s="29">
        <f>$D358*VLOOKUP($E358,'Charts data'!$A$2:$B$11,2,0)*VLOOKUP($G358,'Charts data'!$A$14:$B$18,2,0)/IF('Charts data'!$E$3=1,I358,1)/IF('Charts data'!$E$4=1,J358,1)</f>
        <v>70928.022243027779</v>
      </c>
    </row>
    <row r="359" spans="1:12" x14ac:dyDescent="0.25">
      <c r="A359" s="27" t="s">
        <v>1814</v>
      </c>
      <c r="B359" s="27">
        <v>50000</v>
      </c>
      <c r="C359" s="27" t="s">
        <v>24</v>
      </c>
      <c r="D359" s="28">
        <f>B359*VLOOKUP(C359,tblXrate[],2,0)</f>
        <v>78808.913603364199</v>
      </c>
      <c r="E359" s="27" t="s">
        <v>2147</v>
      </c>
      <c r="F359" s="27" t="s">
        <v>25</v>
      </c>
      <c r="G359" s="27" t="s">
        <v>2271</v>
      </c>
      <c r="H359" s="27">
        <v>10</v>
      </c>
      <c r="I359" s="27">
        <f>VLOOKUP(F359,mapping!$L$2:$P$92,2,0)</f>
        <v>1.0513109074688785</v>
      </c>
      <c r="J359" s="27">
        <f>VLOOKUP($F359,mapping!$L$2:$P$92,3,0)</f>
        <v>38592.1</v>
      </c>
      <c r="K359" s="27" t="str">
        <f>VLOOKUP($F359,mapping!$L$2:$P$92,4,0)</f>
        <v>Major Advanced Economies (G7)</v>
      </c>
      <c r="L359" s="29">
        <f>$D359*VLOOKUP($E359,'Charts data'!$A$2:$B$11,2,0)*VLOOKUP($G359,'Charts data'!$A$14:$B$18,2,0)/IF('Charts data'!$E$3=1,I359,1)/IF('Charts data'!$E$4=1,J359,1)</f>
        <v>78808.913603364199</v>
      </c>
    </row>
    <row r="360" spans="1:12" x14ac:dyDescent="0.25">
      <c r="A360" s="27" t="s">
        <v>1819</v>
      </c>
      <c r="B360" s="27">
        <v>35500</v>
      </c>
      <c r="C360" s="27" t="s">
        <v>24</v>
      </c>
      <c r="D360" s="28">
        <f>B360*VLOOKUP(C360,tblXrate[],2,0)</f>
        <v>55954.328658388586</v>
      </c>
      <c r="E360" s="27" t="s">
        <v>51</v>
      </c>
      <c r="F360" s="27" t="s">
        <v>25</v>
      </c>
      <c r="G360" s="27" t="s">
        <v>2271</v>
      </c>
      <c r="H360" s="27">
        <v>8</v>
      </c>
      <c r="I360" s="27">
        <f>VLOOKUP(F360,mapping!$L$2:$P$92,2,0)</f>
        <v>1.0513109074688785</v>
      </c>
      <c r="J360" s="27">
        <f>VLOOKUP($F360,mapping!$L$2:$P$92,3,0)</f>
        <v>38592.1</v>
      </c>
      <c r="K360" s="27" t="str">
        <f>VLOOKUP($F360,mapping!$L$2:$P$92,4,0)</f>
        <v>Major Advanced Economies (G7)</v>
      </c>
      <c r="L360" s="29">
        <f>$D360*VLOOKUP($E360,'Charts data'!$A$2:$B$11,2,0)*VLOOKUP($G360,'Charts data'!$A$14:$B$18,2,0)/IF('Charts data'!$E$3=1,I360,1)/IF('Charts data'!$E$4=1,J360,1)</f>
        <v>55954.328658388586</v>
      </c>
    </row>
    <row r="361" spans="1:12" x14ac:dyDescent="0.25">
      <c r="A361" s="27" t="s">
        <v>1841</v>
      </c>
      <c r="B361" s="27">
        <v>40000</v>
      </c>
      <c r="C361" s="27" t="s">
        <v>24</v>
      </c>
      <c r="D361" s="28">
        <f>B361*VLOOKUP(C361,tblXrate[],2,0)</f>
        <v>63047.130882691366</v>
      </c>
      <c r="E361" s="27" t="s">
        <v>19</v>
      </c>
      <c r="F361" s="27" t="s">
        <v>25</v>
      </c>
      <c r="G361" s="27" t="s">
        <v>2271</v>
      </c>
      <c r="H361" s="27">
        <v>15</v>
      </c>
      <c r="I361" s="27">
        <f>VLOOKUP(F361,mapping!$L$2:$P$92,2,0)</f>
        <v>1.0513109074688785</v>
      </c>
      <c r="J361" s="27">
        <f>VLOOKUP($F361,mapping!$L$2:$P$92,3,0)</f>
        <v>38592.1</v>
      </c>
      <c r="K361" s="27" t="str">
        <f>VLOOKUP($F361,mapping!$L$2:$P$92,4,0)</f>
        <v>Major Advanced Economies (G7)</v>
      </c>
      <c r="L361" s="29">
        <f>$D361*VLOOKUP($E361,'Charts data'!$A$2:$B$11,2,0)*VLOOKUP($G361,'Charts data'!$A$14:$B$18,2,0)/IF('Charts data'!$E$3=1,I361,1)/IF('Charts data'!$E$4=1,J361,1)</f>
        <v>63047.130882691366</v>
      </c>
    </row>
    <row r="362" spans="1:12" x14ac:dyDescent="0.25">
      <c r="A362" s="27" t="s">
        <v>1842</v>
      </c>
      <c r="B362" s="27">
        <v>36000</v>
      </c>
      <c r="C362" s="27" t="s">
        <v>24</v>
      </c>
      <c r="D362" s="28">
        <f>B362*VLOOKUP(C362,tblXrate[],2,0)</f>
        <v>56742.417794422225</v>
      </c>
      <c r="E362" s="27" t="s">
        <v>19</v>
      </c>
      <c r="F362" s="27" t="s">
        <v>25</v>
      </c>
      <c r="G362" s="27" t="s">
        <v>2274</v>
      </c>
      <c r="H362" s="27">
        <v>25</v>
      </c>
      <c r="I362" s="27">
        <f>VLOOKUP(F362,mapping!$L$2:$P$92,2,0)</f>
        <v>1.0513109074688785</v>
      </c>
      <c r="J362" s="27">
        <f>VLOOKUP($F362,mapping!$L$2:$P$92,3,0)</f>
        <v>38592.1</v>
      </c>
      <c r="K362" s="27" t="str">
        <f>VLOOKUP($F362,mapping!$L$2:$P$92,4,0)</f>
        <v>Major Advanced Economies (G7)</v>
      </c>
      <c r="L362" s="29">
        <f>$D362*VLOOKUP($E362,'Charts data'!$A$2:$B$11,2,0)*VLOOKUP($G362,'Charts data'!$A$14:$B$18,2,0)/IF('Charts data'!$E$3=1,I362,1)/IF('Charts data'!$E$4=1,J362,1)</f>
        <v>56742.417794422225</v>
      </c>
    </row>
    <row r="363" spans="1:12" x14ac:dyDescent="0.25">
      <c r="A363" s="27" t="s">
        <v>1845</v>
      </c>
      <c r="B363" s="27">
        <v>27000</v>
      </c>
      <c r="C363" s="27" t="s">
        <v>24</v>
      </c>
      <c r="D363" s="28">
        <f>B363*VLOOKUP(C363,tblXrate[],2,0)</f>
        <v>42556.81334581667</v>
      </c>
      <c r="E363" s="27" t="s">
        <v>7</v>
      </c>
      <c r="F363" s="27" t="s">
        <v>25</v>
      </c>
      <c r="G363" s="27" t="s">
        <v>2271</v>
      </c>
      <c r="H363" s="27">
        <v>2</v>
      </c>
      <c r="I363" s="27">
        <f>VLOOKUP(F363,mapping!$L$2:$P$92,2,0)</f>
        <v>1.0513109074688785</v>
      </c>
      <c r="J363" s="27">
        <f>VLOOKUP($F363,mapping!$L$2:$P$92,3,0)</f>
        <v>38592.1</v>
      </c>
      <c r="K363" s="27" t="str">
        <f>VLOOKUP($F363,mapping!$L$2:$P$92,4,0)</f>
        <v>Major Advanced Economies (G7)</v>
      </c>
      <c r="L363" s="29">
        <f>$D363*VLOOKUP($E363,'Charts data'!$A$2:$B$11,2,0)*VLOOKUP($G363,'Charts data'!$A$14:$B$18,2,0)/IF('Charts data'!$E$3=1,I363,1)/IF('Charts data'!$E$4=1,J363,1)</f>
        <v>42556.81334581667</v>
      </c>
    </row>
    <row r="364" spans="1:12" x14ac:dyDescent="0.25">
      <c r="A364" s="27" t="s">
        <v>1849</v>
      </c>
      <c r="B364" s="27">
        <v>50000</v>
      </c>
      <c r="C364" s="27" t="s">
        <v>24</v>
      </c>
      <c r="D364" s="28">
        <f>B364*VLOOKUP(C364,tblXrate[],2,0)</f>
        <v>78808.913603364199</v>
      </c>
      <c r="E364" s="27" t="s">
        <v>7</v>
      </c>
      <c r="F364" s="27" t="s">
        <v>25</v>
      </c>
      <c r="G364" s="27" t="s">
        <v>2272</v>
      </c>
      <c r="H364" s="27">
        <v>2</v>
      </c>
      <c r="I364" s="27">
        <f>VLOOKUP(F364,mapping!$L$2:$P$92,2,0)</f>
        <v>1.0513109074688785</v>
      </c>
      <c r="J364" s="27">
        <f>VLOOKUP($F364,mapping!$L$2:$P$92,3,0)</f>
        <v>38592.1</v>
      </c>
      <c r="K364" s="27" t="str">
        <f>VLOOKUP($F364,mapping!$L$2:$P$92,4,0)</f>
        <v>Major Advanced Economies (G7)</v>
      </c>
      <c r="L364" s="29">
        <f>$D364*VLOOKUP($E364,'Charts data'!$A$2:$B$11,2,0)*VLOOKUP($G364,'Charts data'!$A$14:$B$18,2,0)/IF('Charts data'!$E$3=1,I364,1)/IF('Charts data'!$E$4=1,J364,1)</f>
        <v>78808.913603364199</v>
      </c>
    </row>
    <row r="365" spans="1:12" x14ac:dyDescent="0.25">
      <c r="A365" s="27" t="s">
        <v>1853</v>
      </c>
      <c r="B365" s="27">
        <v>40000</v>
      </c>
      <c r="C365" s="27" t="s">
        <v>24</v>
      </c>
      <c r="D365" s="28">
        <f>B365*VLOOKUP(C365,tblXrate[],2,0)</f>
        <v>63047.130882691366</v>
      </c>
      <c r="E365" s="27" t="s">
        <v>7</v>
      </c>
      <c r="F365" s="27" t="s">
        <v>25</v>
      </c>
      <c r="G365" s="27" t="s">
        <v>2271</v>
      </c>
      <c r="H365" s="27">
        <v>5</v>
      </c>
      <c r="I365" s="27">
        <f>VLOOKUP(F365,mapping!$L$2:$P$92,2,0)</f>
        <v>1.0513109074688785</v>
      </c>
      <c r="J365" s="27">
        <f>VLOOKUP($F365,mapping!$L$2:$P$92,3,0)</f>
        <v>38592.1</v>
      </c>
      <c r="K365" s="27" t="str">
        <f>VLOOKUP($F365,mapping!$L$2:$P$92,4,0)</f>
        <v>Major Advanced Economies (G7)</v>
      </c>
      <c r="L365" s="29">
        <f>$D365*VLOOKUP($E365,'Charts data'!$A$2:$B$11,2,0)*VLOOKUP($G365,'Charts data'!$A$14:$B$18,2,0)/IF('Charts data'!$E$3=1,I365,1)/IF('Charts data'!$E$4=1,J365,1)</f>
        <v>63047.130882691366</v>
      </c>
    </row>
    <row r="366" spans="1:12" x14ac:dyDescent="0.25">
      <c r="A366" s="27" t="s">
        <v>1855</v>
      </c>
      <c r="B366" s="27">
        <v>73000</v>
      </c>
      <c r="C366" s="27" t="s">
        <v>24</v>
      </c>
      <c r="D366" s="28">
        <f>B366*VLOOKUP(C366,tblXrate[],2,0)</f>
        <v>115061.01386091174</v>
      </c>
      <c r="E366" s="27" t="s">
        <v>62</v>
      </c>
      <c r="F366" s="27" t="s">
        <v>25</v>
      </c>
      <c r="G366" s="27" t="s">
        <v>2271</v>
      </c>
      <c r="H366" s="27">
        <v>8</v>
      </c>
      <c r="I366" s="27">
        <f>VLOOKUP(F366,mapping!$L$2:$P$92,2,0)</f>
        <v>1.0513109074688785</v>
      </c>
      <c r="J366" s="27">
        <f>VLOOKUP($F366,mapping!$L$2:$P$92,3,0)</f>
        <v>38592.1</v>
      </c>
      <c r="K366" s="27" t="str">
        <f>VLOOKUP($F366,mapping!$L$2:$P$92,4,0)</f>
        <v>Major Advanced Economies (G7)</v>
      </c>
      <c r="L366" s="29">
        <f>$D366*VLOOKUP($E366,'Charts data'!$A$2:$B$11,2,0)*VLOOKUP($G366,'Charts data'!$A$14:$B$18,2,0)/IF('Charts data'!$E$3=1,I366,1)/IF('Charts data'!$E$4=1,J366,1)</f>
        <v>115061.01386091174</v>
      </c>
    </row>
    <row r="367" spans="1:12" x14ac:dyDescent="0.25">
      <c r="A367" s="27" t="s">
        <v>1877</v>
      </c>
      <c r="B367" s="27">
        <v>45000</v>
      </c>
      <c r="C367" s="27" t="s">
        <v>24</v>
      </c>
      <c r="D367" s="28">
        <f>B367*VLOOKUP(C367,tblXrate[],2,0)</f>
        <v>70928.022243027779</v>
      </c>
      <c r="E367" s="27" t="s">
        <v>7</v>
      </c>
      <c r="F367" s="27" t="s">
        <v>25</v>
      </c>
      <c r="G367" s="27" t="s">
        <v>2273</v>
      </c>
      <c r="H367" s="27">
        <v>20</v>
      </c>
      <c r="I367" s="27">
        <f>VLOOKUP(F367,mapping!$L$2:$P$92,2,0)</f>
        <v>1.0513109074688785</v>
      </c>
      <c r="J367" s="27">
        <f>VLOOKUP($F367,mapping!$L$2:$P$92,3,0)</f>
        <v>38592.1</v>
      </c>
      <c r="K367" s="27" t="str">
        <f>VLOOKUP($F367,mapping!$L$2:$P$92,4,0)</f>
        <v>Major Advanced Economies (G7)</v>
      </c>
      <c r="L367" s="29">
        <f>$D367*VLOOKUP($E367,'Charts data'!$A$2:$B$11,2,0)*VLOOKUP($G367,'Charts data'!$A$14:$B$18,2,0)/IF('Charts data'!$E$3=1,I367,1)/IF('Charts data'!$E$4=1,J367,1)</f>
        <v>70928.022243027779</v>
      </c>
    </row>
    <row r="368" spans="1:12" x14ac:dyDescent="0.25">
      <c r="A368" s="27" t="s">
        <v>1899</v>
      </c>
      <c r="B368" s="27">
        <v>22300</v>
      </c>
      <c r="C368" s="27" t="s">
        <v>24</v>
      </c>
      <c r="D368" s="28">
        <f>B368*VLOOKUP(C368,tblXrate[],2,0)</f>
        <v>35148.775467100437</v>
      </c>
      <c r="E368" s="27" t="s">
        <v>7</v>
      </c>
      <c r="F368" s="27" t="s">
        <v>25</v>
      </c>
      <c r="G368" s="27" t="s">
        <v>2273</v>
      </c>
      <c r="H368" s="27">
        <v>4</v>
      </c>
      <c r="I368" s="27">
        <f>VLOOKUP(F368,mapping!$L$2:$P$92,2,0)</f>
        <v>1.0513109074688785</v>
      </c>
      <c r="J368" s="27">
        <f>VLOOKUP($F368,mapping!$L$2:$P$92,3,0)</f>
        <v>38592.1</v>
      </c>
      <c r="K368" s="27" t="str">
        <f>VLOOKUP($F368,mapping!$L$2:$P$92,4,0)</f>
        <v>Major Advanced Economies (G7)</v>
      </c>
      <c r="L368" s="29">
        <f>$D368*VLOOKUP($E368,'Charts data'!$A$2:$B$11,2,0)*VLOOKUP($G368,'Charts data'!$A$14:$B$18,2,0)/IF('Charts data'!$E$3=1,I368,1)/IF('Charts data'!$E$4=1,J368,1)</f>
        <v>35148.775467100437</v>
      </c>
    </row>
    <row r="369" spans="1:12" x14ac:dyDescent="0.25">
      <c r="A369" s="27" t="s">
        <v>1900</v>
      </c>
      <c r="B369" s="27">
        <v>31185</v>
      </c>
      <c r="C369" s="27" t="s">
        <v>24</v>
      </c>
      <c r="D369" s="28">
        <f>B369*VLOOKUP(C369,tblXrate[],2,0)</f>
        <v>49153.119414418252</v>
      </c>
      <c r="E369" s="27" t="s">
        <v>19</v>
      </c>
      <c r="F369" s="27" t="s">
        <v>25</v>
      </c>
      <c r="G369" s="27" t="s">
        <v>2271</v>
      </c>
      <c r="H369" s="27">
        <v>7</v>
      </c>
      <c r="I369" s="27">
        <f>VLOOKUP(F369,mapping!$L$2:$P$92,2,0)</f>
        <v>1.0513109074688785</v>
      </c>
      <c r="J369" s="27">
        <f>VLOOKUP($F369,mapping!$L$2:$P$92,3,0)</f>
        <v>38592.1</v>
      </c>
      <c r="K369" s="27" t="str">
        <f>VLOOKUP($F369,mapping!$L$2:$P$92,4,0)</f>
        <v>Major Advanced Economies (G7)</v>
      </c>
      <c r="L369" s="29">
        <f>$D369*VLOOKUP($E369,'Charts data'!$A$2:$B$11,2,0)*VLOOKUP($G369,'Charts data'!$A$14:$B$18,2,0)/IF('Charts data'!$E$3=1,I369,1)/IF('Charts data'!$E$4=1,J369,1)</f>
        <v>49153.119414418252</v>
      </c>
    </row>
    <row r="370" spans="1:12" x14ac:dyDescent="0.25">
      <c r="A370" s="27" t="s">
        <v>1902</v>
      </c>
      <c r="B370" s="27">
        <v>27000</v>
      </c>
      <c r="C370" s="27" t="s">
        <v>24</v>
      </c>
      <c r="D370" s="28">
        <f>B370*VLOOKUP(C370,tblXrate[],2,0)</f>
        <v>42556.81334581667</v>
      </c>
      <c r="E370" s="27" t="s">
        <v>19</v>
      </c>
      <c r="F370" s="27" t="s">
        <v>25</v>
      </c>
      <c r="G370" s="27" t="s">
        <v>2271</v>
      </c>
      <c r="H370" s="27">
        <v>3</v>
      </c>
      <c r="I370" s="27">
        <f>VLOOKUP(F370,mapping!$L$2:$P$92,2,0)</f>
        <v>1.0513109074688785</v>
      </c>
      <c r="J370" s="27">
        <f>VLOOKUP($F370,mapping!$L$2:$P$92,3,0)</f>
        <v>38592.1</v>
      </c>
      <c r="K370" s="27" t="str">
        <f>VLOOKUP($F370,mapping!$L$2:$P$92,4,0)</f>
        <v>Major Advanced Economies (G7)</v>
      </c>
      <c r="L370" s="29">
        <f>$D370*VLOOKUP($E370,'Charts data'!$A$2:$B$11,2,0)*VLOOKUP($G370,'Charts data'!$A$14:$B$18,2,0)/IF('Charts data'!$E$3=1,I370,1)/IF('Charts data'!$E$4=1,J370,1)</f>
        <v>42556.81334581667</v>
      </c>
    </row>
    <row r="371" spans="1:12" x14ac:dyDescent="0.25">
      <c r="A371" s="27" t="s">
        <v>1903</v>
      </c>
      <c r="B371" s="27">
        <v>27000</v>
      </c>
      <c r="C371" s="27" t="s">
        <v>24</v>
      </c>
      <c r="D371" s="28">
        <f>B371*VLOOKUP(C371,tblXrate[],2,0)</f>
        <v>42556.81334581667</v>
      </c>
      <c r="E371" s="27" t="s">
        <v>19</v>
      </c>
      <c r="F371" s="27" t="s">
        <v>25</v>
      </c>
      <c r="G371" s="27" t="s">
        <v>2271</v>
      </c>
      <c r="H371" s="27">
        <v>3</v>
      </c>
      <c r="I371" s="27">
        <f>VLOOKUP(F371,mapping!$L$2:$P$92,2,0)</f>
        <v>1.0513109074688785</v>
      </c>
      <c r="J371" s="27">
        <f>VLOOKUP($F371,mapping!$L$2:$P$92,3,0)</f>
        <v>38592.1</v>
      </c>
      <c r="K371" s="27" t="str">
        <f>VLOOKUP($F371,mapping!$L$2:$P$92,4,0)</f>
        <v>Major Advanced Economies (G7)</v>
      </c>
      <c r="L371" s="29">
        <f>$D371*VLOOKUP($E371,'Charts data'!$A$2:$B$11,2,0)*VLOOKUP($G371,'Charts data'!$A$14:$B$18,2,0)/IF('Charts data'!$E$3=1,I371,1)/IF('Charts data'!$E$4=1,J371,1)</f>
        <v>42556.81334581667</v>
      </c>
    </row>
    <row r="372" spans="1:12" x14ac:dyDescent="0.25">
      <c r="A372" s="27" t="s">
        <v>1905</v>
      </c>
      <c r="B372" s="27">
        <v>26500</v>
      </c>
      <c r="C372" s="27" t="s">
        <v>24</v>
      </c>
      <c r="D372" s="28">
        <f>B372*VLOOKUP(C372,tblXrate[],2,0)</f>
        <v>41768.724209783031</v>
      </c>
      <c r="E372" s="27" t="s">
        <v>19</v>
      </c>
      <c r="F372" s="27" t="s">
        <v>25</v>
      </c>
      <c r="G372" s="27" t="s">
        <v>2271</v>
      </c>
      <c r="H372" s="27">
        <v>16</v>
      </c>
      <c r="I372" s="27">
        <f>VLOOKUP(F372,mapping!$L$2:$P$92,2,0)</f>
        <v>1.0513109074688785</v>
      </c>
      <c r="J372" s="27">
        <f>VLOOKUP($F372,mapping!$L$2:$P$92,3,0)</f>
        <v>38592.1</v>
      </c>
      <c r="K372" s="27" t="str">
        <f>VLOOKUP($F372,mapping!$L$2:$P$92,4,0)</f>
        <v>Major Advanced Economies (G7)</v>
      </c>
      <c r="L372" s="29">
        <f>$D372*VLOOKUP($E372,'Charts data'!$A$2:$B$11,2,0)*VLOOKUP($G372,'Charts data'!$A$14:$B$18,2,0)/IF('Charts data'!$E$3=1,I372,1)/IF('Charts data'!$E$4=1,J372,1)</f>
        <v>41768.724209783031</v>
      </c>
    </row>
    <row r="373" spans="1:12" x14ac:dyDescent="0.25">
      <c r="A373" s="27" t="s">
        <v>1929</v>
      </c>
      <c r="B373" s="27">
        <v>32000</v>
      </c>
      <c r="C373" s="27" t="s">
        <v>24</v>
      </c>
      <c r="D373" s="28">
        <f>B373*VLOOKUP(C373,tblXrate[],2,0)</f>
        <v>50437.70470615309</v>
      </c>
      <c r="E373" s="27" t="s">
        <v>7</v>
      </c>
      <c r="F373" s="27" t="s">
        <v>25</v>
      </c>
      <c r="G373" s="27" t="s">
        <v>2271</v>
      </c>
      <c r="H373" s="27">
        <v>20</v>
      </c>
      <c r="I373" s="27">
        <f>VLOOKUP(F373,mapping!$L$2:$P$92,2,0)</f>
        <v>1.0513109074688785</v>
      </c>
      <c r="J373" s="27">
        <f>VLOOKUP($F373,mapping!$L$2:$P$92,3,0)</f>
        <v>38592.1</v>
      </c>
      <c r="K373" s="27" t="str">
        <f>VLOOKUP($F373,mapping!$L$2:$P$92,4,0)</f>
        <v>Major Advanced Economies (G7)</v>
      </c>
      <c r="L373" s="29">
        <f>$D373*VLOOKUP($E373,'Charts data'!$A$2:$B$11,2,0)*VLOOKUP($G373,'Charts data'!$A$14:$B$18,2,0)/IF('Charts data'!$E$3=1,I373,1)/IF('Charts data'!$E$4=1,J373,1)</f>
        <v>50437.70470615309</v>
      </c>
    </row>
    <row r="374" spans="1:12" x14ac:dyDescent="0.25">
      <c r="A374" s="27" t="s">
        <v>1930</v>
      </c>
      <c r="B374" s="27">
        <v>32000</v>
      </c>
      <c r="C374" s="27" t="s">
        <v>24</v>
      </c>
      <c r="D374" s="28">
        <f>B374*VLOOKUP(C374,tblXrate[],2,0)</f>
        <v>50437.70470615309</v>
      </c>
      <c r="E374" s="27" t="s">
        <v>7</v>
      </c>
      <c r="F374" s="27" t="s">
        <v>25</v>
      </c>
      <c r="G374" s="27" t="s">
        <v>2273</v>
      </c>
      <c r="H374" s="27">
        <v>1</v>
      </c>
      <c r="I374" s="27">
        <f>VLOOKUP(F374,mapping!$L$2:$P$92,2,0)</f>
        <v>1.0513109074688785</v>
      </c>
      <c r="J374" s="27">
        <f>VLOOKUP($F374,mapping!$L$2:$P$92,3,0)</f>
        <v>38592.1</v>
      </c>
      <c r="K374" s="27" t="str">
        <f>VLOOKUP($F374,mapping!$L$2:$P$92,4,0)</f>
        <v>Major Advanced Economies (G7)</v>
      </c>
      <c r="L374" s="29">
        <f>$D374*VLOOKUP($E374,'Charts data'!$A$2:$B$11,2,0)*VLOOKUP($G374,'Charts data'!$A$14:$B$18,2,0)/IF('Charts data'!$E$3=1,I374,1)/IF('Charts data'!$E$4=1,J374,1)</f>
        <v>50437.70470615309</v>
      </c>
    </row>
    <row r="375" spans="1:12" x14ac:dyDescent="0.25">
      <c r="A375" s="27" t="s">
        <v>1950</v>
      </c>
      <c r="B375" s="27">
        <v>36000</v>
      </c>
      <c r="C375" s="27" t="s">
        <v>24</v>
      </c>
      <c r="D375" s="28">
        <f>B375*VLOOKUP(C375,tblXrate[],2,0)</f>
        <v>56742.417794422225</v>
      </c>
      <c r="E375" s="27" t="s">
        <v>19</v>
      </c>
      <c r="F375" s="27" t="s">
        <v>25</v>
      </c>
      <c r="G375" s="27" t="s">
        <v>2273</v>
      </c>
      <c r="H375" s="27">
        <v>7</v>
      </c>
      <c r="I375" s="27">
        <f>VLOOKUP(F375,mapping!$L$2:$P$92,2,0)</f>
        <v>1.0513109074688785</v>
      </c>
      <c r="J375" s="27">
        <f>VLOOKUP($F375,mapping!$L$2:$P$92,3,0)</f>
        <v>38592.1</v>
      </c>
      <c r="K375" s="27" t="str">
        <f>VLOOKUP($F375,mapping!$L$2:$P$92,4,0)</f>
        <v>Major Advanced Economies (G7)</v>
      </c>
      <c r="L375" s="29">
        <f>$D375*VLOOKUP($E375,'Charts data'!$A$2:$B$11,2,0)*VLOOKUP($G375,'Charts data'!$A$14:$B$18,2,0)/IF('Charts data'!$E$3=1,I375,1)/IF('Charts data'!$E$4=1,J375,1)</f>
        <v>56742.417794422225</v>
      </c>
    </row>
    <row r="376" spans="1:12" x14ac:dyDescent="0.25">
      <c r="A376" s="27" t="s">
        <v>1953</v>
      </c>
      <c r="B376" s="27">
        <v>50000</v>
      </c>
      <c r="C376" s="27" t="s">
        <v>24</v>
      </c>
      <c r="D376" s="28">
        <f>B376*VLOOKUP(C376,tblXrate[],2,0)</f>
        <v>78808.913603364199</v>
      </c>
      <c r="E376" s="27" t="s">
        <v>51</v>
      </c>
      <c r="F376" s="27" t="s">
        <v>25</v>
      </c>
      <c r="G376" s="27" t="s">
        <v>2272</v>
      </c>
      <c r="H376" s="27">
        <v>10</v>
      </c>
      <c r="I376" s="27">
        <f>VLOOKUP(F376,mapping!$L$2:$P$92,2,0)</f>
        <v>1.0513109074688785</v>
      </c>
      <c r="J376" s="27">
        <f>VLOOKUP($F376,mapping!$L$2:$P$92,3,0)</f>
        <v>38592.1</v>
      </c>
      <c r="K376" s="27" t="str">
        <f>VLOOKUP($F376,mapping!$L$2:$P$92,4,0)</f>
        <v>Major Advanced Economies (G7)</v>
      </c>
      <c r="L376" s="29">
        <f>$D376*VLOOKUP($E376,'Charts data'!$A$2:$B$11,2,0)*VLOOKUP($G376,'Charts data'!$A$14:$B$18,2,0)/IF('Charts data'!$E$3=1,I376,1)/IF('Charts data'!$E$4=1,J376,1)</f>
        <v>78808.913603364199</v>
      </c>
    </row>
    <row r="377" spans="1:12" x14ac:dyDescent="0.25">
      <c r="A377" s="27" t="s">
        <v>1969</v>
      </c>
      <c r="B377" s="27">
        <v>33500</v>
      </c>
      <c r="C377" s="27" t="s">
        <v>24</v>
      </c>
      <c r="D377" s="28">
        <f>B377*VLOOKUP(C377,tblXrate[],2,0)</f>
        <v>52801.972114254015</v>
      </c>
      <c r="E377" s="27" t="s">
        <v>48</v>
      </c>
      <c r="F377" s="27" t="s">
        <v>25</v>
      </c>
      <c r="G377" s="27" t="s">
        <v>2272</v>
      </c>
      <c r="H377" s="27">
        <v>7</v>
      </c>
      <c r="I377" s="27">
        <f>VLOOKUP(F377,mapping!$L$2:$P$92,2,0)</f>
        <v>1.0513109074688785</v>
      </c>
      <c r="J377" s="27">
        <f>VLOOKUP($F377,mapping!$L$2:$P$92,3,0)</f>
        <v>38592.1</v>
      </c>
      <c r="K377" s="27" t="str">
        <f>VLOOKUP($F377,mapping!$L$2:$P$92,4,0)</f>
        <v>Major Advanced Economies (G7)</v>
      </c>
      <c r="L377" s="29">
        <f>$D377*VLOOKUP($E377,'Charts data'!$A$2:$B$11,2,0)*VLOOKUP($G377,'Charts data'!$A$14:$B$18,2,0)/IF('Charts data'!$E$3=1,I377,1)/IF('Charts data'!$E$4=1,J377,1)</f>
        <v>52801.972114254015</v>
      </c>
    </row>
    <row r="378" spans="1:12" x14ac:dyDescent="0.25">
      <c r="A378" s="27" t="s">
        <v>1976</v>
      </c>
      <c r="B378" s="27">
        <v>20000</v>
      </c>
      <c r="C378" s="27" t="s">
        <v>24</v>
      </c>
      <c r="D378" s="28">
        <f>B378*VLOOKUP(C378,tblXrate[],2,0)</f>
        <v>31523.565441345683</v>
      </c>
      <c r="E378" s="27" t="s">
        <v>51</v>
      </c>
      <c r="F378" s="27" t="s">
        <v>25</v>
      </c>
      <c r="G378" s="27" t="s">
        <v>2272</v>
      </c>
      <c r="H378" s="27">
        <v>10</v>
      </c>
      <c r="I378" s="27">
        <f>VLOOKUP(F378,mapping!$L$2:$P$92,2,0)</f>
        <v>1.0513109074688785</v>
      </c>
      <c r="J378" s="27">
        <f>VLOOKUP($F378,mapping!$L$2:$P$92,3,0)</f>
        <v>38592.1</v>
      </c>
      <c r="K378" s="27" t="str">
        <f>VLOOKUP($F378,mapping!$L$2:$P$92,4,0)</f>
        <v>Major Advanced Economies (G7)</v>
      </c>
      <c r="L378" s="29">
        <f>$D378*VLOOKUP($E378,'Charts data'!$A$2:$B$11,2,0)*VLOOKUP($G378,'Charts data'!$A$14:$B$18,2,0)/IF('Charts data'!$E$3=1,I378,1)/IF('Charts data'!$E$4=1,J378,1)</f>
        <v>31523.565441345683</v>
      </c>
    </row>
    <row r="379" spans="1:12" x14ac:dyDescent="0.25">
      <c r="A379" s="27" t="s">
        <v>1994</v>
      </c>
      <c r="B379" s="27">
        <v>20500</v>
      </c>
      <c r="C379" s="27" t="s">
        <v>24</v>
      </c>
      <c r="D379" s="28">
        <f>B379*VLOOKUP(C379,tblXrate[],2,0)</f>
        <v>32311.654577379326</v>
      </c>
      <c r="E379" s="27" t="s">
        <v>7</v>
      </c>
      <c r="F379" s="27" t="s">
        <v>25</v>
      </c>
      <c r="G379" s="27" t="s">
        <v>2271</v>
      </c>
      <c r="H379" s="27">
        <v>20</v>
      </c>
      <c r="I379" s="27">
        <f>VLOOKUP(F379,mapping!$L$2:$P$92,2,0)</f>
        <v>1.0513109074688785</v>
      </c>
      <c r="J379" s="27">
        <f>VLOOKUP($F379,mapping!$L$2:$P$92,3,0)</f>
        <v>38592.1</v>
      </c>
      <c r="K379" s="27" t="str">
        <f>VLOOKUP($F379,mapping!$L$2:$P$92,4,0)</f>
        <v>Major Advanced Economies (G7)</v>
      </c>
      <c r="L379" s="29">
        <f>$D379*VLOOKUP($E379,'Charts data'!$A$2:$B$11,2,0)*VLOOKUP($G379,'Charts data'!$A$14:$B$18,2,0)/IF('Charts data'!$E$3=1,I379,1)/IF('Charts data'!$E$4=1,J379,1)</f>
        <v>32311.654577379326</v>
      </c>
    </row>
    <row r="380" spans="1:12" x14ac:dyDescent="0.25">
      <c r="A380" s="27" t="s">
        <v>2007</v>
      </c>
      <c r="B380" s="27">
        <v>35000</v>
      </c>
      <c r="C380" s="27" t="s">
        <v>24</v>
      </c>
      <c r="D380" s="28">
        <f>B380*VLOOKUP(C380,tblXrate[],2,0)</f>
        <v>55166.239522354947</v>
      </c>
      <c r="E380" s="27" t="s">
        <v>7</v>
      </c>
      <c r="F380" s="27" t="s">
        <v>25</v>
      </c>
      <c r="G380" s="27" t="s">
        <v>2273</v>
      </c>
      <c r="H380" s="27">
        <v>34</v>
      </c>
      <c r="I380" s="27">
        <f>VLOOKUP(F380,mapping!$L$2:$P$92,2,0)</f>
        <v>1.0513109074688785</v>
      </c>
      <c r="J380" s="27">
        <f>VLOOKUP($F380,mapping!$L$2:$P$92,3,0)</f>
        <v>38592.1</v>
      </c>
      <c r="K380" s="27" t="str">
        <f>VLOOKUP($F380,mapping!$L$2:$P$92,4,0)</f>
        <v>Major Advanced Economies (G7)</v>
      </c>
      <c r="L380" s="29">
        <f>$D380*VLOOKUP($E380,'Charts data'!$A$2:$B$11,2,0)*VLOOKUP($G380,'Charts data'!$A$14:$B$18,2,0)/IF('Charts data'!$E$3=1,I380,1)/IF('Charts data'!$E$4=1,J380,1)</f>
        <v>55166.239522354947</v>
      </c>
    </row>
    <row r="381" spans="1:12" x14ac:dyDescent="0.25">
      <c r="A381" s="27" t="s">
        <v>2017</v>
      </c>
      <c r="B381" s="27">
        <v>25000</v>
      </c>
      <c r="C381" s="27" t="s">
        <v>24</v>
      </c>
      <c r="D381" s="28">
        <f>B381*VLOOKUP(C381,tblXrate[],2,0)</f>
        <v>39404.456801682099</v>
      </c>
      <c r="E381" s="27" t="s">
        <v>7</v>
      </c>
      <c r="F381" s="27" t="s">
        <v>25</v>
      </c>
      <c r="G381" s="27" t="s">
        <v>2271</v>
      </c>
      <c r="H381" s="27">
        <v>3</v>
      </c>
      <c r="I381" s="27">
        <f>VLOOKUP(F381,mapping!$L$2:$P$92,2,0)</f>
        <v>1.0513109074688785</v>
      </c>
      <c r="J381" s="27">
        <f>VLOOKUP($F381,mapping!$L$2:$P$92,3,0)</f>
        <v>38592.1</v>
      </c>
      <c r="K381" s="27" t="str">
        <f>VLOOKUP($F381,mapping!$L$2:$P$92,4,0)</f>
        <v>Major Advanced Economies (G7)</v>
      </c>
      <c r="L381" s="29">
        <f>$D381*VLOOKUP($E381,'Charts data'!$A$2:$B$11,2,0)*VLOOKUP($G381,'Charts data'!$A$14:$B$18,2,0)/IF('Charts data'!$E$3=1,I381,1)/IF('Charts data'!$E$4=1,J381,1)</f>
        <v>39404.456801682099</v>
      </c>
    </row>
    <row r="382" spans="1:12" x14ac:dyDescent="0.25">
      <c r="A382" s="27" t="s">
        <v>1381</v>
      </c>
      <c r="B382" s="27">
        <v>48000000</v>
      </c>
      <c r="C382" s="27" t="s">
        <v>135</v>
      </c>
      <c r="D382" s="28">
        <f>B382*VLOOKUP(C382,tblXrate[],2,0)</f>
        <v>5082.6943786459069</v>
      </c>
      <c r="E382" s="27" t="s">
        <v>7</v>
      </c>
      <c r="F382" s="27" t="s">
        <v>88</v>
      </c>
      <c r="G382" s="27" t="s">
        <v>2274</v>
      </c>
      <c r="H382" s="27">
        <v>2</v>
      </c>
      <c r="I382" s="27">
        <f>VLOOKUP(F382,mapping!$L$2:$P$92,2,0)</f>
        <v>0.69928450487673943</v>
      </c>
      <c r="J382" s="27">
        <f>VLOOKUP($F382,mapping!$L$2:$P$92,3,0)</f>
        <v>3508.61</v>
      </c>
      <c r="K382" s="27" t="str">
        <f>VLOOKUP($F382,mapping!$L$2:$P$92,4,0)</f>
        <v>Developing Asia</v>
      </c>
      <c r="L382" s="29">
        <f>$D382*VLOOKUP($E382,'Charts data'!$A$2:$B$11,2,0)*VLOOKUP($G382,'Charts data'!$A$14:$B$18,2,0)/IF('Charts data'!$E$3=1,I382,1)/IF('Charts data'!$E$4=1,J382,1)</f>
        <v>5082.6943786459069</v>
      </c>
    </row>
    <row r="383" spans="1:12" x14ac:dyDescent="0.25">
      <c r="A383" s="27" t="s">
        <v>187</v>
      </c>
      <c r="B383" s="27">
        <v>749000</v>
      </c>
      <c r="C383" s="27" t="s">
        <v>16</v>
      </c>
      <c r="D383" s="28">
        <f>B383*VLOOKUP(C383,tblXrate[],2,0)</f>
        <v>13338.129598894484</v>
      </c>
      <c r="E383" s="27" t="s">
        <v>7</v>
      </c>
      <c r="F383" s="27" t="s">
        <v>3</v>
      </c>
      <c r="G383" s="27" t="s">
        <v>2273</v>
      </c>
      <c r="H383" s="27"/>
      <c r="I383" s="27">
        <f>VLOOKUP(F383,mapping!$L$2:$P$92,2,0)</f>
        <v>0.34064763831408895</v>
      </c>
      <c r="J383" s="27">
        <f>VLOOKUP($F383,mapping!$L$2:$P$92,3,0)</f>
        <v>1388.78</v>
      </c>
      <c r="K383" s="27" t="str">
        <f>VLOOKUP($F383,mapping!$L$2:$P$92,4,0)</f>
        <v>Developing Asia</v>
      </c>
      <c r="L383" s="29">
        <f>$D383*VLOOKUP($E383,'Charts data'!$A$2:$B$11,2,0)*VLOOKUP($G383,'Charts data'!$A$14:$B$18,2,0)/IF('Charts data'!$E$3=1,I383,1)/IF('Charts data'!$E$4=1,J383,1)</f>
        <v>13338.129598894484</v>
      </c>
    </row>
    <row r="384" spans="1:12" x14ac:dyDescent="0.25">
      <c r="A384" s="27" t="s">
        <v>193</v>
      </c>
      <c r="B384" s="27">
        <v>550000</v>
      </c>
      <c r="C384" s="27" t="s">
        <v>16</v>
      </c>
      <c r="D384" s="28">
        <f>B384*VLOOKUP(C384,tblXrate[],2,0)</f>
        <v>9794.354178093412</v>
      </c>
      <c r="E384" s="27" t="s">
        <v>19</v>
      </c>
      <c r="F384" s="27" t="s">
        <v>3</v>
      </c>
      <c r="G384" s="27" t="s">
        <v>2272</v>
      </c>
      <c r="H384" s="27"/>
      <c r="I384" s="27">
        <f>VLOOKUP(F384,mapping!$L$2:$P$92,2,0)</f>
        <v>0.34064763831408895</v>
      </c>
      <c r="J384" s="27">
        <f>VLOOKUP($F384,mapping!$L$2:$P$92,3,0)</f>
        <v>1388.78</v>
      </c>
      <c r="K384" s="27" t="str">
        <f>VLOOKUP($F384,mapping!$L$2:$P$92,4,0)</f>
        <v>Developing Asia</v>
      </c>
      <c r="L384" s="29">
        <f>$D384*VLOOKUP($E384,'Charts data'!$A$2:$B$11,2,0)*VLOOKUP($G384,'Charts data'!$A$14:$B$18,2,0)/IF('Charts data'!$E$3=1,I384,1)/IF('Charts data'!$E$4=1,J384,1)</f>
        <v>9794.354178093412</v>
      </c>
    </row>
    <row r="385" spans="1:12" x14ac:dyDescent="0.25">
      <c r="A385" s="27" t="s">
        <v>197</v>
      </c>
      <c r="B385" s="27">
        <v>1000000</v>
      </c>
      <c r="C385" s="27" t="s">
        <v>16</v>
      </c>
      <c r="D385" s="28">
        <f>B385*VLOOKUP(C385,tblXrate[],2,0)</f>
        <v>17807.916687442568</v>
      </c>
      <c r="E385" s="27" t="s">
        <v>19</v>
      </c>
      <c r="F385" s="27" t="s">
        <v>3</v>
      </c>
      <c r="G385" s="27" t="s">
        <v>2271</v>
      </c>
      <c r="H385" s="27"/>
      <c r="I385" s="27">
        <f>VLOOKUP(F385,mapping!$L$2:$P$92,2,0)</f>
        <v>0.34064763831408895</v>
      </c>
      <c r="J385" s="27">
        <f>VLOOKUP($F385,mapping!$L$2:$P$92,3,0)</f>
        <v>1388.78</v>
      </c>
      <c r="K385" s="27" t="str">
        <f>VLOOKUP($F385,mapping!$L$2:$P$92,4,0)</f>
        <v>Developing Asia</v>
      </c>
      <c r="L385" s="29">
        <f>$D385*VLOOKUP($E385,'Charts data'!$A$2:$B$11,2,0)*VLOOKUP($G385,'Charts data'!$A$14:$B$18,2,0)/IF('Charts data'!$E$3=1,I385,1)/IF('Charts data'!$E$4=1,J385,1)</f>
        <v>17807.916687442568</v>
      </c>
    </row>
    <row r="386" spans="1:12" x14ac:dyDescent="0.25">
      <c r="A386" s="27" t="s">
        <v>202</v>
      </c>
      <c r="B386" s="27">
        <v>900000</v>
      </c>
      <c r="C386" s="27" t="s">
        <v>16</v>
      </c>
      <c r="D386" s="28">
        <f>B386*VLOOKUP(C386,tblXrate[],2,0)</f>
        <v>16027.125018698311</v>
      </c>
      <c r="E386" s="27" t="s">
        <v>48</v>
      </c>
      <c r="F386" s="27" t="s">
        <v>3</v>
      </c>
      <c r="G386" s="27" t="s">
        <v>2274</v>
      </c>
      <c r="H386" s="27"/>
      <c r="I386" s="27">
        <f>VLOOKUP(F386,mapping!$L$2:$P$92,2,0)</f>
        <v>0.34064763831408895</v>
      </c>
      <c r="J386" s="27">
        <f>VLOOKUP($F386,mapping!$L$2:$P$92,3,0)</f>
        <v>1388.78</v>
      </c>
      <c r="K386" s="27" t="str">
        <f>VLOOKUP($F386,mapping!$L$2:$P$92,4,0)</f>
        <v>Developing Asia</v>
      </c>
      <c r="L386" s="29">
        <f>$D386*VLOOKUP($E386,'Charts data'!$A$2:$B$11,2,0)*VLOOKUP($G386,'Charts data'!$A$14:$B$18,2,0)/IF('Charts data'!$E$3=1,I386,1)/IF('Charts data'!$E$4=1,J386,1)</f>
        <v>16027.125018698311</v>
      </c>
    </row>
    <row r="387" spans="1:12" x14ac:dyDescent="0.25">
      <c r="A387" s="27" t="s">
        <v>203</v>
      </c>
      <c r="B387" s="27">
        <v>600000</v>
      </c>
      <c r="C387" s="27" t="s">
        <v>16</v>
      </c>
      <c r="D387" s="28">
        <f>B387*VLOOKUP(C387,tblXrate[],2,0)</f>
        <v>10684.750012465542</v>
      </c>
      <c r="E387" s="27" t="s">
        <v>19</v>
      </c>
      <c r="F387" s="27" t="s">
        <v>3</v>
      </c>
      <c r="G387" s="27" t="s">
        <v>2271</v>
      </c>
      <c r="H387" s="27"/>
      <c r="I387" s="27">
        <f>VLOOKUP(F387,mapping!$L$2:$P$92,2,0)</f>
        <v>0.34064763831408895</v>
      </c>
      <c r="J387" s="27">
        <f>VLOOKUP($F387,mapping!$L$2:$P$92,3,0)</f>
        <v>1388.78</v>
      </c>
      <c r="K387" s="27" t="str">
        <f>VLOOKUP($F387,mapping!$L$2:$P$92,4,0)</f>
        <v>Developing Asia</v>
      </c>
      <c r="L387" s="29">
        <f>$D387*VLOOKUP($E387,'Charts data'!$A$2:$B$11,2,0)*VLOOKUP($G387,'Charts data'!$A$14:$B$18,2,0)/IF('Charts data'!$E$3=1,I387,1)/IF('Charts data'!$E$4=1,J387,1)</f>
        <v>10684.750012465542</v>
      </c>
    </row>
    <row r="388" spans="1:12" x14ac:dyDescent="0.25">
      <c r="A388" s="27" t="s">
        <v>205</v>
      </c>
      <c r="B388" s="27">
        <v>360000</v>
      </c>
      <c r="C388" s="27" t="s">
        <v>16</v>
      </c>
      <c r="D388" s="28">
        <f>B388*VLOOKUP(C388,tblXrate[],2,0)</f>
        <v>6410.8500074793246</v>
      </c>
      <c r="E388" s="27" t="s">
        <v>23</v>
      </c>
      <c r="F388" s="27" t="s">
        <v>3</v>
      </c>
      <c r="G388" s="27" t="s">
        <v>2271</v>
      </c>
      <c r="H388" s="27"/>
      <c r="I388" s="27">
        <f>VLOOKUP(F388,mapping!$L$2:$P$92,2,0)</f>
        <v>0.34064763831408895</v>
      </c>
      <c r="J388" s="27">
        <f>VLOOKUP($F388,mapping!$L$2:$P$92,3,0)</f>
        <v>1388.78</v>
      </c>
      <c r="K388" s="27" t="str">
        <f>VLOOKUP($F388,mapping!$L$2:$P$92,4,0)</f>
        <v>Developing Asia</v>
      </c>
      <c r="L388" s="29">
        <f>$D388*VLOOKUP($E388,'Charts data'!$A$2:$B$11,2,0)*VLOOKUP($G388,'Charts data'!$A$14:$B$18,2,0)/IF('Charts data'!$E$3=1,I388,1)/IF('Charts data'!$E$4=1,J388,1)</f>
        <v>6410.8500074793246</v>
      </c>
    </row>
    <row r="389" spans="1:12" x14ac:dyDescent="0.25">
      <c r="A389" s="27" t="s">
        <v>208</v>
      </c>
      <c r="B389" s="27">
        <v>500000</v>
      </c>
      <c r="C389" s="27" t="s">
        <v>16</v>
      </c>
      <c r="D389" s="28">
        <f>B389*VLOOKUP(C389,tblXrate[],2,0)</f>
        <v>8903.9583437212841</v>
      </c>
      <c r="E389" s="27" t="s">
        <v>53</v>
      </c>
      <c r="F389" s="27" t="s">
        <v>3</v>
      </c>
      <c r="G389" s="27" t="s">
        <v>2273</v>
      </c>
      <c r="H389" s="27"/>
      <c r="I389" s="27">
        <f>VLOOKUP(F389,mapping!$L$2:$P$92,2,0)</f>
        <v>0.34064763831408895</v>
      </c>
      <c r="J389" s="27">
        <f>VLOOKUP($F389,mapping!$L$2:$P$92,3,0)</f>
        <v>1388.78</v>
      </c>
      <c r="K389" s="27" t="str">
        <f>VLOOKUP($F389,mapping!$L$2:$P$92,4,0)</f>
        <v>Developing Asia</v>
      </c>
      <c r="L389" s="29">
        <f>$D389*VLOOKUP($E389,'Charts data'!$A$2:$B$11,2,0)*VLOOKUP($G389,'Charts data'!$A$14:$B$18,2,0)/IF('Charts data'!$E$3=1,I389,1)/IF('Charts data'!$E$4=1,J389,1)</f>
        <v>8903.9583437212841</v>
      </c>
    </row>
    <row r="390" spans="1:12" x14ac:dyDescent="0.25">
      <c r="A390" s="27" t="s">
        <v>212</v>
      </c>
      <c r="B390" s="27">
        <v>400000</v>
      </c>
      <c r="C390" s="27" t="s">
        <v>16</v>
      </c>
      <c r="D390" s="28">
        <f>B390*VLOOKUP(C390,tblXrate[],2,0)</f>
        <v>7123.1666749770275</v>
      </c>
      <c r="E390" s="27" t="s">
        <v>19</v>
      </c>
      <c r="F390" s="27" t="s">
        <v>3</v>
      </c>
      <c r="G390" s="27" t="s">
        <v>2271</v>
      </c>
      <c r="H390" s="27"/>
      <c r="I390" s="27">
        <f>VLOOKUP(F390,mapping!$L$2:$P$92,2,0)</f>
        <v>0.34064763831408895</v>
      </c>
      <c r="J390" s="27">
        <f>VLOOKUP($F390,mapping!$L$2:$P$92,3,0)</f>
        <v>1388.78</v>
      </c>
      <c r="K390" s="27" t="str">
        <f>VLOOKUP($F390,mapping!$L$2:$P$92,4,0)</f>
        <v>Developing Asia</v>
      </c>
      <c r="L390" s="29">
        <f>$D390*VLOOKUP($E390,'Charts data'!$A$2:$B$11,2,0)*VLOOKUP($G390,'Charts data'!$A$14:$B$18,2,0)/IF('Charts data'!$E$3=1,I390,1)/IF('Charts data'!$E$4=1,J390,1)</f>
        <v>7123.1666749770275</v>
      </c>
    </row>
    <row r="391" spans="1:12" x14ac:dyDescent="0.25">
      <c r="A391" s="27" t="s">
        <v>218</v>
      </c>
      <c r="B391" s="27">
        <v>800000</v>
      </c>
      <c r="C391" s="27" t="s">
        <v>16</v>
      </c>
      <c r="D391" s="28">
        <f>B391*VLOOKUP(C391,tblXrate[],2,0)</f>
        <v>14246.333349954055</v>
      </c>
      <c r="E391" s="27" t="s">
        <v>19</v>
      </c>
      <c r="F391" s="27" t="s">
        <v>3</v>
      </c>
      <c r="G391" s="27" t="s">
        <v>2272</v>
      </c>
      <c r="H391" s="27"/>
      <c r="I391" s="27">
        <f>VLOOKUP(F391,mapping!$L$2:$P$92,2,0)</f>
        <v>0.34064763831408895</v>
      </c>
      <c r="J391" s="27">
        <f>VLOOKUP($F391,mapping!$L$2:$P$92,3,0)</f>
        <v>1388.78</v>
      </c>
      <c r="K391" s="27" t="str">
        <f>VLOOKUP($F391,mapping!$L$2:$P$92,4,0)</f>
        <v>Developing Asia</v>
      </c>
      <c r="L391" s="29">
        <f>$D391*VLOOKUP($E391,'Charts data'!$A$2:$B$11,2,0)*VLOOKUP($G391,'Charts data'!$A$14:$B$18,2,0)/IF('Charts data'!$E$3=1,I391,1)/IF('Charts data'!$E$4=1,J391,1)</f>
        <v>14246.333349954055</v>
      </c>
    </row>
    <row r="392" spans="1:12" x14ac:dyDescent="0.25">
      <c r="A392" s="27" t="s">
        <v>257</v>
      </c>
      <c r="B392" s="27">
        <v>500000</v>
      </c>
      <c r="C392" s="27" t="s">
        <v>16</v>
      </c>
      <c r="D392" s="28">
        <f>B392*VLOOKUP(C392,tblXrate[],2,0)</f>
        <v>8903.9583437212841</v>
      </c>
      <c r="E392" s="27" t="s">
        <v>53</v>
      </c>
      <c r="F392" s="27" t="s">
        <v>3</v>
      </c>
      <c r="G392" s="27" t="s">
        <v>2273</v>
      </c>
      <c r="H392" s="27"/>
      <c r="I392" s="27">
        <f>VLOOKUP(F392,mapping!$L$2:$P$92,2,0)</f>
        <v>0.34064763831408895</v>
      </c>
      <c r="J392" s="27">
        <f>VLOOKUP($F392,mapping!$L$2:$P$92,3,0)</f>
        <v>1388.78</v>
      </c>
      <c r="K392" s="27" t="str">
        <f>VLOOKUP($F392,mapping!$L$2:$P$92,4,0)</f>
        <v>Developing Asia</v>
      </c>
      <c r="L392" s="29">
        <f>$D392*VLOOKUP($E392,'Charts data'!$A$2:$B$11,2,0)*VLOOKUP($G392,'Charts data'!$A$14:$B$18,2,0)/IF('Charts data'!$E$3=1,I392,1)/IF('Charts data'!$E$4=1,J392,1)</f>
        <v>8903.9583437212841</v>
      </c>
    </row>
    <row r="393" spans="1:12" x14ac:dyDescent="0.25">
      <c r="A393" s="27" t="s">
        <v>265</v>
      </c>
      <c r="B393" s="27">
        <v>144000</v>
      </c>
      <c r="C393" s="27" t="s">
        <v>16</v>
      </c>
      <c r="D393" s="28">
        <f>B393*VLOOKUP(C393,tblXrate[],2,0)</f>
        <v>2564.3400029917298</v>
      </c>
      <c r="E393" s="27" t="s">
        <v>53</v>
      </c>
      <c r="F393" s="27" t="s">
        <v>3</v>
      </c>
      <c r="G393" s="27" t="s">
        <v>2274</v>
      </c>
      <c r="H393" s="27"/>
      <c r="I393" s="27">
        <f>VLOOKUP(F393,mapping!$L$2:$P$92,2,0)</f>
        <v>0.34064763831408895</v>
      </c>
      <c r="J393" s="27">
        <f>VLOOKUP($F393,mapping!$L$2:$P$92,3,0)</f>
        <v>1388.78</v>
      </c>
      <c r="K393" s="27" t="str">
        <f>VLOOKUP($F393,mapping!$L$2:$P$92,4,0)</f>
        <v>Developing Asia</v>
      </c>
      <c r="L393" s="29">
        <f>$D393*VLOOKUP($E393,'Charts data'!$A$2:$B$11,2,0)*VLOOKUP($G393,'Charts data'!$A$14:$B$18,2,0)/IF('Charts data'!$E$3=1,I393,1)/IF('Charts data'!$E$4=1,J393,1)</f>
        <v>2564.3400029917298</v>
      </c>
    </row>
    <row r="394" spans="1:12" x14ac:dyDescent="0.25">
      <c r="A394" s="27" t="s">
        <v>294</v>
      </c>
      <c r="B394" s="27">
        <v>2300000</v>
      </c>
      <c r="C394" s="27" t="s">
        <v>16</v>
      </c>
      <c r="D394" s="28">
        <f>B394*VLOOKUP(C394,tblXrate[],2,0)</f>
        <v>40958.208381117904</v>
      </c>
      <c r="E394" s="27" t="s">
        <v>7</v>
      </c>
      <c r="F394" s="27" t="s">
        <v>3</v>
      </c>
      <c r="G394" s="27" t="s">
        <v>2274</v>
      </c>
      <c r="H394" s="27"/>
      <c r="I394" s="27">
        <f>VLOOKUP(F394,mapping!$L$2:$P$92,2,0)</f>
        <v>0.34064763831408895</v>
      </c>
      <c r="J394" s="27">
        <f>VLOOKUP($F394,mapping!$L$2:$P$92,3,0)</f>
        <v>1388.78</v>
      </c>
      <c r="K394" s="27" t="str">
        <f>VLOOKUP($F394,mapping!$L$2:$P$92,4,0)</f>
        <v>Developing Asia</v>
      </c>
      <c r="L394" s="29">
        <f>$D394*VLOOKUP($E394,'Charts data'!$A$2:$B$11,2,0)*VLOOKUP($G394,'Charts data'!$A$14:$B$18,2,0)/IF('Charts data'!$E$3=1,I394,1)/IF('Charts data'!$E$4=1,J394,1)</f>
        <v>40958.208381117904</v>
      </c>
    </row>
    <row r="395" spans="1:12" x14ac:dyDescent="0.25">
      <c r="A395" s="27" t="s">
        <v>306</v>
      </c>
      <c r="B395" s="27">
        <v>800000</v>
      </c>
      <c r="C395" s="27" t="s">
        <v>16</v>
      </c>
      <c r="D395" s="28">
        <f>B395*VLOOKUP(C395,tblXrate[],2,0)</f>
        <v>14246.333349954055</v>
      </c>
      <c r="E395" s="27" t="s">
        <v>19</v>
      </c>
      <c r="F395" s="27" t="s">
        <v>3</v>
      </c>
      <c r="G395" s="27" t="s">
        <v>2272</v>
      </c>
      <c r="H395" s="27"/>
      <c r="I395" s="27">
        <f>VLOOKUP(F395,mapping!$L$2:$P$92,2,0)</f>
        <v>0.34064763831408895</v>
      </c>
      <c r="J395" s="27">
        <f>VLOOKUP($F395,mapping!$L$2:$P$92,3,0)</f>
        <v>1388.78</v>
      </c>
      <c r="K395" s="27" t="str">
        <f>VLOOKUP($F395,mapping!$L$2:$P$92,4,0)</f>
        <v>Developing Asia</v>
      </c>
      <c r="L395" s="29">
        <f>$D395*VLOOKUP($E395,'Charts data'!$A$2:$B$11,2,0)*VLOOKUP($G395,'Charts data'!$A$14:$B$18,2,0)/IF('Charts data'!$E$3=1,I395,1)/IF('Charts data'!$E$4=1,J395,1)</f>
        <v>14246.333349954055</v>
      </c>
    </row>
    <row r="396" spans="1:12" x14ac:dyDescent="0.25">
      <c r="A396" s="27" t="s">
        <v>311</v>
      </c>
      <c r="B396" s="27">
        <v>336000</v>
      </c>
      <c r="C396" s="27" t="s">
        <v>16</v>
      </c>
      <c r="D396" s="28">
        <f>B396*VLOOKUP(C396,tblXrate[],2,0)</f>
        <v>5983.4600069807029</v>
      </c>
      <c r="E396" s="27" t="s">
        <v>2145</v>
      </c>
      <c r="F396" s="27" t="s">
        <v>3</v>
      </c>
      <c r="G396" s="27" t="s">
        <v>2271</v>
      </c>
      <c r="H396" s="27"/>
      <c r="I396" s="27">
        <f>VLOOKUP(F396,mapping!$L$2:$P$92,2,0)</f>
        <v>0.34064763831408895</v>
      </c>
      <c r="J396" s="27">
        <f>VLOOKUP($F396,mapping!$L$2:$P$92,3,0)</f>
        <v>1388.78</v>
      </c>
      <c r="K396" s="27" t="str">
        <f>VLOOKUP($F396,mapping!$L$2:$P$92,4,0)</f>
        <v>Developing Asia</v>
      </c>
      <c r="L396" s="29">
        <f>$D396*VLOOKUP($E396,'Charts data'!$A$2:$B$11,2,0)*VLOOKUP($G396,'Charts data'!$A$14:$B$18,2,0)/IF('Charts data'!$E$3=1,I396,1)/IF('Charts data'!$E$4=1,J396,1)</f>
        <v>5983.4600069807029</v>
      </c>
    </row>
    <row r="397" spans="1:12" x14ac:dyDescent="0.25">
      <c r="A397" s="27" t="s">
        <v>330</v>
      </c>
      <c r="B397" s="27">
        <v>420000</v>
      </c>
      <c r="C397" s="27" t="s">
        <v>16</v>
      </c>
      <c r="D397" s="28">
        <f>B397*VLOOKUP(C397,tblXrate[],2,0)</f>
        <v>7479.3250087258784</v>
      </c>
      <c r="E397" s="27" t="s">
        <v>19</v>
      </c>
      <c r="F397" s="27" t="s">
        <v>3</v>
      </c>
      <c r="G397" s="27" t="s">
        <v>2274</v>
      </c>
      <c r="H397" s="27"/>
      <c r="I397" s="27">
        <f>VLOOKUP(F397,mapping!$L$2:$P$92,2,0)</f>
        <v>0.34064763831408895</v>
      </c>
      <c r="J397" s="27">
        <f>VLOOKUP($F397,mapping!$L$2:$P$92,3,0)</f>
        <v>1388.78</v>
      </c>
      <c r="K397" s="27" t="str">
        <f>VLOOKUP($F397,mapping!$L$2:$P$92,4,0)</f>
        <v>Developing Asia</v>
      </c>
      <c r="L397" s="29">
        <f>$D397*VLOOKUP($E397,'Charts data'!$A$2:$B$11,2,0)*VLOOKUP($G397,'Charts data'!$A$14:$B$18,2,0)/IF('Charts data'!$E$3=1,I397,1)/IF('Charts data'!$E$4=1,J397,1)</f>
        <v>7479.3250087258784</v>
      </c>
    </row>
    <row r="398" spans="1:12" x14ac:dyDescent="0.25">
      <c r="A398" s="27" t="s">
        <v>335</v>
      </c>
      <c r="B398" s="27">
        <v>1300000</v>
      </c>
      <c r="C398" s="27" t="s">
        <v>16</v>
      </c>
      <c r="D398" s="28">
        <f>B398*VLOOKUP(C398,tblXrate[],2,0)</f>
        <v>23150.291693675339</v>
      </c>
      <c r="E398" s="27" t="s">
        <v>19</v>
      </c>
      <c r="F398" s="27" t="s">
        <v>3</v>
      </c>
      <c r="G398" s="27" t="s">
        <v>2271</v>
      </c>
      <c r="H398" s="27"/>
      <c r="I398" s="27">
        <f>VLOOKUP(F398,mapping!$L$2:$P$92,2,0)</f>
        <v>0.34064763831408895</v>
      </c>
      <c r="J398" s="27">
        <f>VLOOKUP($F398,mapping!$L$2:$P$92,3,0)</f>
        <v>1388.78</v>
      </c>
      <c r="K398" s="27" t="str">
        <f>VLOOKUP($F398,mapping!$L$2:$P$92,4,0)</f>
        <v>Developing Asia</v>
      </c>
      <c r="L398" s="29">
        <f>$D398*VLOOKUP($E398,'Charts data'!$A$2:$B$11,2,0)*VLOOKUP($G398,'Charts data'!$A$14:$B$18,2,0)/IF('Charts data'!$E$3=1,I398,1)/IF('Charts data'!$E$4=1,J398,1)</f>
        <v>23150.291693675339</v>
      </c>
    </row>
    <row r="399" spans="1:12" x14ac:dyDescent="0.25">
      <c r="A399" s="27" t="s">
        <v>340</v>
      </c>
      <c r="B399" s="27">
        <v>500000</v>
      </c>
      <c r="C399" s="27" t="s">
        <v>16</v>
      </c>
      <c r="D399" s="28">
        <f>B399*VLOOKUP(C399,tblXrate[],2,0)</f>
        <v>8903.9583437212841</v>
      </c>
      <c r="E399" s="27" t="s">
        <v>7</v>
      </c>
      <c r="F399" s="27" t="s">
        <v>3</v>
      </c>
      <c r="G399" s="27" t="s">
        <v>2272</v>
      </c>
      <c r="H399" s="27"/>
      <c r="I399" s="27">
        <f>VLOOKUP(F399,mapping!$L$2:$P$92,2,0)</f>
        <v>0.34064763831408895</v>
      </c>
      <c r="J399" s="27">
        <f>VLOOKUP($F399,mapping!$L$2:$P$92,3,0)</f>
        <v>1388.78</v>
      </c>
      <c r="K399" s="27" t="str">
        <f>VLOOKUP($F399,mapping!$L$2:$P$92,4,0)</f>
        <v>Developing Asia</v>
      </c>
      <c r="L399" s="29">
        <f>$D399*VLOOKUP($E399,'Charts data'!$A$2:$B$11,2,0)*VLOOKUP($G399,'Charts data'!$A$14:$B$18,2,0)/IF('Charts data'!$E$3=1,I399,1)/IF('Charts data'!$E$4=1,J399,1)</f>
        <v>8903.9583437212841</v>
      </c>
    </row>
    <row r="400" spans="1:12" x14ac:dyDescent="0.25">
      <c r="A400" s="27" t="s">
        <v>342</v>
      </c>
      <c r="B400" s="27">
        <v>180000</v>
      </c>
      <c r="C400" s="27" t="s">
        <v>16</v>
      </c>
      <c r="D400" s="28">
        <f>B400*VLOOKUP(C400,tblXrate[],2,0)</f>
        <v>3205.4250037396623</v>
      </c>
      <c r="E400" s="27" t="s">
        <v>7</v>
      </c>
      <c r="F400" s="27" t="s">
        <v>3</v>
      </c>
      <c r="G400" s="27" t="s">
        <v>2271</v>
      </c>
      <c r="H400" s="27"/>
      <c r="I400" s="27">
        <f>VLOOKUP(F400,mapping!$L$2:$P$92,2,0)</f>
        <v>0.34064763831408895</v>
      </c>
      <c r="J400" s="27">
        <f>VLOOKUP($F400,mapping!$L$2:$P$92,3,0)</f>
        <v>1388.78</v>
      </c>
      <c r="K400" s="27" t="str">
        <f>VLOOKUP($F400,mapping!$L$2:$P$92,4,0)</f>
        <v>Developing Asia</v>
      </c>
      <c r="L400" s="29">
        <f>$D400*VLOOKUP($E400,'Charts data'!$A$2:$B$11,2,0)*VLOOKUP($G400,'Charts data'!$A$14:$B$18,2,0)/IF('Charts data'!$E$3=1,I400,1)/IF('Charts data'!$E$4=1,J400,1)</f>
        <v>3205.4250037396623</v>
      </c>
    </row>
    <row r="401" spans="1:12" x14ac:dyDescent="0.25">
      <c r="A401" s="27" t="s">
        <v>345</v>
      </c>
      <c r="B401" s="27">
        <v>1100000</v>
      </c>
      <c r="C401" s="27" t="s">
        <v>16</v>
      </c>
      <c r="D401" s="28">
        <f>B401*VLOOKUP(C401,tblXrate[],2,0)</f>
        <v>19588.708356186824</v>
      </c>
      <c r="E401" s="27" t="s">
        <v>19</v>
      </c>
      <c r="F401" s="27" t="s">
        <v>3</v>
      </c>
      <c r="G401" s="27" t="s">
        <v>2271</v>
      </c>
      <c r="H401" s="27"/>
      <c r="I401" s="27">
        <f>VLOOKUP(F401,mapping!$L$2:$P$92,2,0)</f>
        <v>0.34064763831408895</v>
      </c>
      <c r="J401" s="27">
        <f>VLOOKUP($F401,mapping!$L$2:$P$92,3,0)</f>
        <v>1388.78</v>
      </c>
      <c r="K401" s="27" t="str">
        <f>VLOOKUP($F401,mapping!$L$2:$P$92,4,0)</f>
        <v>Developing Asia</v>
      </c>
      <c r="L401" s="29">
        <f>$D401*VLOOKUP($E401,'Charts data'!$A$2:$B$11,2,0)*VLOOKUP($G401,'Charts data'!$A$14:$B$18,2,0)/IF('Charts data'!$E$3=1,I401,1)/IF('Charts data'!$E$4=1,J401,1)</f>
        <v>19588.708356186824</v>
      </c>
    </row>
    <row r="402" spans="1:12" x14ac:dyDescent="0.25">
      <c r="A402" s="27" t="s">
        <v>348</v>
      </c>
      <c r="B402" s="27">
        <v>180000</v>
      </c>
      <c r="C402" s="27" t="s">
        <v>16</v>
      </c>
      <c r="D402" s="28">
        <f>B402*VLOOKUP(C402,tblXrate[],2,0)</f>
        <v>3205.4250037396623</v>
      </c>
      <c r="E402" s="27" t="s">
        <v>7</v>
      </c>
      <c r="F402" s="27" t="s">
        <v>3</v>
      </c>
      <c r="G402" s="27" t="s">
        <v>2271</v>
      </c>
      <c r="H402" s="27"/>
      <c r="I402" s="27">
        <f>VLOOKUP(F402,mapping!$L$2:$P$92,2,0)</f>
        <v>0.34064763831408895</v>
      </c>
      <c r="J402" s="27">
        <f>VLOOKUP($F402,mapping!$L$2:$P$92,3,0)</f>
        <v>1388.78</v>
      </c>
      <c r="K402" s="27" t="str">
        <f>VLOOKUP($F402,mapping!$L$2:$P$92,4,0)</f>
        <v>Developing Asia</v>
      </c>
      <c r="L402" s="29">
        <f>$D402*VLOOKUP($E402,'Charts data'!$A$2:$B$11,2,0)*VLOOKUP($G402,'Charts data'!$A$14:$B$18,2,0)/IF('Charts data'!$E$3=1,I402,1)/IF('Charts data'!$E$4=1,J402,1)</f>
        <v>3205.4250037396623</v>
      </c>
    </row>
    <row r="403" spans="1:12" x14ac:dyDescent="0.25">
      <c r="A403" s="27" t="s">
        <v>366</v>
      </c>
      <c r="B403" s="27">
        <v>233000</v>
      </c>
      <c r="C403" s="27" t="s">
        <v>16</v>
      </c>
      <c r="D403" s="28">
        <f>B403*VLOOKUP(C403,tblXrate[],2,0)</f>
        <v>4149.2445881741187</v>
      </c>
      <c r="E403" s="27" t="s">
        <v>19</v>
      </c>
      <c r="F403" s="27" t="s">
        <v>3</v>
      </c>
      <c r="G403" s="27" t="s">
        <v>2273</v>
      </c>
      <c r="H403" s="27"/>
      <c r="I403" s="27">
        <f>VLOOKUP(F403,mapping!$L$2:$P$92,2,0)</f>
        <v>0.34064763831408895</v>
      </c>
      <c r="J403" s="27">
        <f>VLOOKUP($F403,mapping!$L$2:$P$92,3,0)</f>
        <v>1388.78</v>
      </c>
      <c r="K403" s="27" t="str">
        <f>VLOOKUP($F403,mapping!$L$2:$P$92,4,0)</f>
        <v>Developing Asia</v>
      </c>
      <c r="L403" s="29">
        <f>$D403*VLOOKUP($E403,'Charts data'!$A$2:$B$11,2,0)*VLOOKUP($G403,'Charts data'!$A$14:$B$18,2,0)/IF('Charts data'!$E$3=1,I403,1)/IF('Charts data'!$E$4=1,J403,1)</f>
        <v>4149.2445881741187</v>
      </c>
    </row>
    <row r="404" spans="1:12" x14ac:dyDescent="0.25">
      <c r="A404" s="27" t="s">
        <v>369</v>
      </c>
      <c r="B404" s="27">
        <v>275000</v>
      </c>
      <c r="C404" s="27" t="s">
        <v>16</v>
      </c>
      <c r="D404" s="28">
        <f>B404*VLOOKUP(C404,tblXrate[],2,0)</f>
        <v>4897.177089046706</v>
      </c>
      <c r="E404" s="27" t="s">
        <v>7</v>
      </c>
      <c r="F404" s="27" t="s">
        <v>3</v>
      </c>
      <c r="G404" s="27" t="s">
        <v>2272</v>
      </c>
      <c r="H404" s="27"/>
      <c r="I404" s="27">
        <f>VLOOKUP(F404,mapping!$L$2:$P$92,2,0)</f>
        <v>0.34064763831408895</v>
      </c>
      <c r="J404" s="27">
        <f>VLOOKUP($F404,mapping!$L$2:$P$92,3,0)</f>
        <v>1388.78</v>
      </c>
      <c r="K404" s="27" t="str">
        <f>VLOOKUP($F404,mapping!$L$2:$P$92,4,0)</f>
        <v>Developing Asia</v>
      </c>
      <c r="L404" s="29">
        <f>$D404*VLOOKUP($E404,'Charts data'!$A$2:$B$11,2,0)*VLOOKUP($G404,'Charts data'!$A$14:$B$18,2,0)/IF('Charts data'!$E$3=1,I404,1)/IF('Charts data'!$E$4=1,J404,1)</f>
        <v>4897.177089046706</v>
      </c>
    </row>
    <row r="405" spans="1:12" x14ac:dyDescent="0.25">
      <c r="A405" s="27" t="s">
        <v>370</v>
      </c>
      <c r="B405" s="27">
        <v>192000</v>
      </c>
      <c r="C405" s="27" t="s">
        <v>16</v>
      </c>
      <c r="D405" s="28">
        <f>B405*VLOOKUP(C405,tblXrate[],2,0)</f>
        <v>3419.1200039889732</v>
      </c>
      <c r="E405" s="27" t="s">
        <v>7</v>
      </c>
      <c r="F405" s="27" t="s">
        <v>3</v>
      </c>
      <c r="G405" s="27" t="s">
        <v>2273</v>
      </c>
      <c r="H405" s="27"/>
      <c r="I405" s="27">
        <f>VLOOKUP(F405,mapping!$L$2:$P$92,2,0)</f>
        <v>0.34064763831408895</v>
      </c>
      <c r="J405" s="27">
        <f>VLOOKUP($F405,mapping!$L$2:$P$92,3,0)</f>
        <v>1388.78</v>
      </c>
      <c r="K405" s="27" t="str">
        <f>VLOOKUP($F405,mapping!$L$2:$P$92,4,0)</f>
        <v>Developing Asia</v>
      </c>
      <c r="L405" s="29">
        <f>$D405*VLOOKUP($E405,'Charts data'!$A$2:$B$11,2,0)*VLOOKUP($G405,'Charts data'!$A$14:$B$18,2,0)/IF('Charts data'!$E$3=1,I405,1)/IF('Charts data'!$E$4=1,J405,1)</f>
        <v>3419.1200039889732</v>
      </c>
    </row>
    <row r="406" spans="1:12" x14ac:dyDescent="0.25">
      <c r="A406" s="27" t="s">
        <v>373</v>
      </c>
      <c r="B406" s="27">
        <v>1800000</v>
      </c>
      <c r="C406" s="27" t="s">
        <v>16</v>
      </c>
      <c r="D406" s="28">
        <f>B406*VLOOKUP(C406,tblXrate[],2,0)</f>
        <v>32054.250037396621</v>
      </c>
      <c r="E406" s="27" t="s">
        <v>19</v>
      </c>
      <c r="F406" s="27" t="s">
        <v>3</v>
      </c>
      <c r="G406" s="27" t="s">
        <v>2274</v>
      </c>
      <c r="H406" s="27"/>
      <c r="I406" s="27">
        <f>VLOOKUP(F406,mapping!$L$2:$P$92,2,0)</f>
        <v>0.34064763831408895</v>
      </c>
      <c r="J406" s="27">
        <f>VLOOKUP($F406,mapping!$L$2:$P$92,3,0)</f>
        <v>1388.78</v>
      </c>
      <c r="K406" s="27" t="str">
        <f>VLOOKUP($F406,mapping!$L$2:$P$92,4,0)</f>
        <v>Developing Asia</v>
      </c>
      <c r="L406" s="29">
        <f>$D406*VLOOKUP($E406,'Charts data'!$A$2:$B$11,2,0)*VLOOKUP($G406,'Charts data'!$A$14:$B$18,2,0)/IF('Charts data'!$E$3=1,I406,1)/IF('Charts data'!$E$4=1,J406,1)</f>
        <v>32054.250037396621</v>
      </c>
    </row>
    <row r="407" spans="1:12" x14ac:dyDescent="0.25">
      <c r="A407" s="27" t="s">
        <v>387</v>
      </c>
      <c r="B407" s="27">
        <v>500000</v>
      </c>
      <c r="C407" s="27" t="s">
        <v>16</v>
      </c>
      <c r="D407" s="28">
        <f>B407*VLOOKUP(C407,tblXrate[],2,0)</f>
        <v>8903.9583437212841</v>
      </c>
      <c r="E407" s="27" t="s">
        <v>19</v>
      </c>
      <c r="F407" s="27" t="s">
        <v>3</v>
      </c>
      <c r="G407" s="27" t="s">
        <v>2271</v>
      </c>
      <c r="H407" s="27"/>
      <c r="I407" s="27">
        <f>VLOOKUP(F407,mapping!$L$2:$P$92,2,0)</f>
        <v>0.34064763831408895</v>
      </c>
      <c r="J407" s="27">
        <f>VLOOKUP($F407,mapping!$L$2:$P$92,3,0)</f>
        <v>1388.78</v>
      </c>
      <c r="K407" s="27" t="str">
        <f>VLOOKUP($F407,mapping!$L$2:$P$92,4,0)</f>
        <v>Developing Asia</v>
      </c>
      <c r="L407" s="29">
        <f>$D407*VLOOKUP($E407,'Charts data'!$A$2:$B$11,2,0)*VLOOKUP($G407,'Charts data'!$A$14:$B$18,2,0)/IF('Charts data'!$E$3=1,I407,1)/IF('Charts data'!$E$4=1,J407,1)</f>
        <v>8903.9583437212841</v>
      </c>
    </row>
    <row r="408" spans="1:12" x14ac:dyDescent="0.25">
      <c r="A408" s="27" t="s">
        <v>388</v>
      </c>
      <c r="B408" s="27">
        <v>350000</v>
      </c>
      <c r="C408" s="27" t="s">
        <v>16</v>
      </c>
      <c r="D408" s="28">
        <f>B408*VLOOKUP(C408,tblXrate[],2,0)</f>
        <v>6232.7708406048987</v>
      </c>
      <c r="E408" s="27" t="s">
        <v>51</v>
      </c>
      <c r="F408" s="27" t="s">
        <v>3</v>
      </c>
      <c r="G408" s="27" t="s">
        <v>2271</v>
      </c>
      <c r="H408" s="27"/>
      <c r="I408" s="27">
        <f>VLOOKUP(F408,mapping!$L$2:$P$92,2,0)</f>
        <v>0.34064763831408895</v>
      </c>
      <c r="J408" s="27">
        <f>VLOOKUP($F408,mapping!$L$2:$P$92,3,0)</f>
        <v>1388.78</v>
      </c>
      <c r="K408" s="27" t="str">
        <f>VLOOKUP($F408,mapping!$L$2:$P$92,4,0)</f>
        <v>Developing Asia</v>
      </c>
      <c r="L408" s="29">
        <f>$D408*VLOOKUP($E408,'Charts data'!$A$2:$B$11,2,0)*VLOOKUP($G408,'Charts data'!$A$14:$B$18,2,0)/IF('Charts data'!$E$3=1,I408,1)/IF('Charts data'!$E$4=1,J408,1)</f>
        <v>6232.7708406048987</v>
      </c>
    </row>
    <row r="409" spans="1:12" x14ac:dyDescent="0.25">
      <c r="A409" s="27" t="s">
        <v>391</v>
      </c>
      <c r="B409" s="27">
        <v>480000</v>
      </c>
      <c r="C409" s="27" t="s">
        <v>16</v>
      </c>
      <c r="D409" s="28">
        <f>B409*VLOOKUP(C409,tblXrate[],2,0)</f>
        <v>8547.8000099724322</v>
      </c>
      <c r="E409" s="27" t="s">
        <v>19</v>
      </c>
      <c r="F409" s="27" t="s">
        <v>3</v>
      </c>
      <c r="G409" s="27" t="s">
        <v>2271</v>
      </c>
      <c r="H409" s="27"/>
      <c r="I409" s="27">
        <f>VLOOKUP(F409,mapping!$L$2:$P$92,2,0)</f>
        <v>0.34064763831408895</v>
      </c>
      <c r="J409" s="27">
        <f>VLOOKUP($F409,mapping!$L$2:$P$92,3,0)</f>
        <v>1388.78</v>
      </c>
      <c r="K409" s="27" t="str">
        <f>VLOOKUP($F409,mapping!$L$2:$P$92,4,0)</f>
        <v>Developing Asia</v>
      </c>
      <c r="L409" s="29">
        <f>$D409*VLOOKUP($E409,'Charts data'!$A$2:$B$11,2,0)*VLOOKUP($G409,'Charts data'!$A$14:$B$18,2,0)/IF('Charts data'!$E$3=1,I409,1)/IF('Charts data'!$E$4=1,J409,1)</f>
        <v>8547.8000099724322</v>
      </c>
    </row>
    <row r="410" spans="1:12" x14ac:dyDescent="0.25">
      <c r="A410" s="27" t="s">
        <v>396</v>
      </c>
      <c r="B410" s="27">
        <v>200000</v>
      </c>
      <c r="C410" s="27" t="s">
        <v>16</v>
      </c>
      <c r="D410" s="28">
        <f>B410*VLOOKUP(C410,tblXrate[],2,0)</f>
        <v>3561.5833374885137</v>
      </c>
      <c r="E410" s="27" t="s">
        <v>7</v>
      </c>
      <c r="F410" s="27" t="s">
        <v>3</v>
      </c>
      <c r="G410" s="27" t="s">
        <v>2274</v>
      </c>
      <c r="H410" s="27"/>
      <c r="I410" s="27">
        <f>VLOOKUP(F410,mapping!$L$2:$P$92,2,0)</f>
        <v>0.34064763831408895</v>
      </c>
      <c r="J410" s="27">
        <f>VLOOKUP($F410,mapping!$L$2:$P$92,3,0)</f>
        <v>1388.78</v>
      </c>
      <c r="K410" s="27" t="str">
        <f>VLOOKUP($F410,mapping!$L$2:$P$92,4,0)</f>
        <v>Developing Asia</v>
      </c>
      <c r="L410" s="29">
        <f>$D410*VLOOKUP($E410,'Charts data'!$A$2:$B$11,2,0)*VLOOKUP($G410,'Charts data'!$A$14:$B$18,2,0)/IF('Charts data'!$E$3=1,I410,1)/IF('Charts data'!$E$4=1,J410,1)</f>
        <v>3561.5833374885137</v>
      </c>
    </row>
    <row r="411" spans="1:12" x14ac:dyDescent="0.25">
      <c r="A411" s="27" t="s">
        <v>404</v>
      </c>
      <c r="B411" s="27">
        <v>1200000</v>
      </c>
      <c r="C411" s="27" t="s">
        <v>16</v>
      </c>
      <c r="D411" s="28">
        <f>B411*VLOOKUP(C411,tblXrate[],2,0)</f>
        <v>21369.500024931083</v>
      </c>
      <c r="E411" s="27" t="s">
        <v>19</v>
      </c>
      <c r="F411" s="27" t="s">
        <v>3</v>
      </c>
      <c r="G411" s="27" t="s">
        <v>2272</v>
      </c>
      <c r="H411" s="27"/>
      <c r="I411" s="27">
        <f>VLOOKUP(F411,mapping!$L$2:$P$92,2,0)</f>
        <v>0.34064763831408895</v>
      </c>
      <c r="J411" s="27">
        <f>VLOOKUP($F411,mapping!$L$2:$P$92,3,0)</f>
        <v>1388.78</v>
      </c>
      <c r="K411" s="27" t="str">
        <f>VLOOKUP($F411,mapping!$L$2:$P$92,4,0)</f>
        <v>Developing Asia</v>
      </c>
      <c r="L411" s="29">
        <f>$D411*VLOOKUP($E411,'Charts data'!$A$2:$B$11,2,0)*VLOOKUP($G411,'Charts data'!$A$14:$B$18,2,0)/IF('Charts data'!$E$3=1,I411,1)/IF('Charts data'!$E$4=1,J411,1)</f>
        <v>21369.500024931083</v>
      </c>
    </row>
    <row r="412" spans="1:12" x14ac:dyDescent="0.25">
      <c r="A412" s="27" t="s">
        <v>424</v>
      </c>
      <c r="B412" s="27">
        <v>470000</v>
      </c>
      <c r="C412" s="27" t="s">
        <v>16</v>
      </c>
      <c r="D412" s="28">
        <f>B412*VLOOKUP(C412,tblXrate[],2,0)</f>
        <v>8369.7208430980063</v>
      </c>
      <c r="E412" s="27" t="s">
        <v>7</v>
      </c>
      <c r="F412" s="27" t="s">
        <v>3</v>
      </c>
      <c r="G412" s="27" t="s">
        <v>2273</v>
      </c>
      <c r="H412" s="27"/>
      <c r="I412" s="27">
        <f>VLOOKUP(F412,mapping!$L$2:$P$92,2,0)</f>
        <v>0.34064763831408895</v>
      </c>
      <c r="J412" s="27">
        <f>VLOOKUP($F412,mapping!$L$2:$P$92,3,0)</f>
        <v>1388.78</v>
      </c>
      <c r="K412" s="27" t="str">
        <f>VLOOKUP($F412,mapping!$L$2:$P$92,4,0)</f>
        <v>Developing Asia</v>
      </c>
      <c r="L412" s="29">
        <f>$D412*VLOOKUP($E412,'Charts data'!$A$2:$B$11,2,0)*VLOOKUP($G412,'Charts data'!$A$14:$B$18,2,0)/IF('Charts data'!$E$3=1,I412,1)/IF('Charts data'!$E$4=1,J412,1)</f>
        <v>8369.7208430980063</v>
      </c>
    </row>
    <row r="413" spans="1:12" x14ac:dyDescent="0.25">
      <c r="A413" s="27" t="s">
        <v>427</v>
      </c>
      <c r="B413" s="27">
        <v>1920000</v>
      </c>
      <c r="C413" s="27" t="s">
        <v>16</v>
      </c>
      <c r="D413" s="28">
        <f>B413*VLOOKUP(C413,tblXrate[],2,0)</f>
        <v>34191.200039889729</v>
      </c>
      <c r="E413" s="27" t="s">
        <v>19</v>
      </c>
      <c r="F413" s="27" t="s">
        <v>3</v>
      </c>
      <c r="G413" s="27" t="s">
        <v>2272</v>
      </c>
      <c r="H413" s="27"/>
      <c r="I413" s="27">
        <f>VLOOKUP(F413,mapping!$L$2:$P$92,2,0)</f>
        <v>0.34064763831408895</v>
      </c>
      <c r="J413" s="27">
        <f>VLOOKUP($F413,mapping!$L$2:$P$92,3,0)</f>
        <v>1388.78</v>
      </c>
      <c r="K413" s="27" t="str">
        <f>VLOOKUP($F413,mapping!$L$2:$P$92,4,0)</f>
        <v>Developing Asia</v>
      </c>
      <c r="L413" s="29">
        <f>$D413*VLOOKUP($E413,'Charts data'!$A$2:$B$11,2,0)*VLOOKUP($G413,'Charts data'!$A$14:$B$18,2,0)/IF('Charts data'!$E$3=1,I413,1)/IF('Charts data'!$E$4=1,J413,1)</f>
        <v>34191.200039889729</v>
      </c>
    </row>
    <row r="414" spans="1:12" x14ac:dyDescent="0.25">
      <c r="A414" s="27" t="s">
        <v>433</v>
      </c>
      <c r="B414" s="27">
        <v>276000</v>
      </c>
      <c r="C414" s="27" t="s">
        <v>16</v>
      </c>
      <c r="D414" s="28">
        <f>B414*VLOOKUP(C414,tblXrate[],2,0)</f>
        <v>4914.9850057341491</v>
      </c>
      <c r="E414" s="27" t="s">
        <v>7</v>
      </c>
      <c r="F414" s="27" t="s">
        <v>3</v>
      </c>
      <c r="G414" s="27" t="s">
        <v>2273</v>
      </c>
      <c r="H414" s="27"/>
      <c r="I414" s="27">
        <f>VLOOKUP(F414,mapping!$L$2:$P$92,2,0)</f>
        <v>0.34064763831408895</v>
      </c>
      <c r="J414" s="27">
        <f>VLOOKUP($F414,mapping!$L$2:$P$92,3,0)</f>
        <v>1388.78</v>
      </c>
      <c r="K414" s="27" t="str">
        <f>VLOOKUP($F414,mapping!$L$2:$P$92,4,0)</f>
        <v>Developing Asia</v>
      </c>
      <c r="L414" s="29">
        <f>$D414*VLOOKUP($E414,'Charts data'!$A$2:$B$11,2,0)*VLOOKUP($G414,'Charts data'!$A$14:$B$18,2,0)/IF('Charts data'!$E$3=1,I414,1)/IF('Charts data'!$E$4=1,J414,1)</f>
        <v>4914.9850057341491</v>
      </c>
    </row>
    <row r="415" spans="1:12" x14ac:dyDescent="0.25">
      <c r="A415" s="27" t="s">
        <v>452</v>
      </c>
      <c r="B415" s="27">
        <v>1500000</v>
      </c>
      <c r="C415" s="27" t="s">
        <v>16</v>
      </c>
      <c r="D415" s="28">
        <f>B415*VLOOKUP(C415,tblXrate[],2,0)</f>
        <v>26711.875031163851</v>
      </c>
      <c r="E415" s="27" t="s">
        <v>53</v>
      </c>
      <c r="F415" s="27" t="s">
        <v>3</v>
      </c>
      <c r="G415" s="27" t="s">
        <v>2273</v>
      </c>
      <c r="H415" s="27"/>
      <c r="I415" s="27">
        <f>VLOOKUP(F415,mapping!$L$2:$P$92,2,0)</f>
        <v>0.34064763831408895</v>
      </c>
      <c r="J415" s="27">
        <f>VLOOKUP($F415,mapping!$L$2:$P$92,3,0)</f>
        <v>1388.78</v>
      </c>
      <c r="K415" s="27" t="str">
        <f>VLOOKUP($F415,mapping!$L$2:$P$92,4,0)</f>
        <v>Developing Asia</v>
      </c>
      <c r="L415" s="29">
        <f>$D415*VLOOKUP($E415,'Charts data'!$A$2:$B$11,2,0)*VLOOKUP($G415,'Charts data'!$A$14:$B$18,2,0)/IF('Charts data'!$E$3=1,I415,1)/IF('Charts data'!$E$4=1,J415,1)</f>
        <v>26711.875031163851</v>
      </c>
    </row>
    <row r="416" spans="1:12" x14ac:dyDescent="0.25">
      <c r="A416" s="27" t="s">
        <v>460</v>
      </c>
      <c r="B416" s="27">
        <v>450000</v>
      </c>
      <c r="C416" s="27" t="s">
        <v>16</v>
      </c>
      <c r="D416" s="28">
        <f>B416*VLOOKUP(C416,tblXrate[],2,0)</f>
        <v>8013.5625093491553</v>
      </c>
      <c r="E416" s="27" t="s">
        <v>7</v>
      </c>
      <c r="F416" s="27" t="s">
        <v>3</v>
      </c>
      <c r="G416" s="27" t="s">
        <v>2271</v>
      </c>
      <c r="H416" s="27"/>
      <c r="I416" s="27">
        <f>VLOOKUP(F416,mapping!$L$2:$P$92,2,0)</f>
        <v>0.34064763831408895</v>
      </c>
      <c r="J416" s="27">
        <f>VLOOKUP($F416,mapping!$L$2:$P$92,3,0)</f>
        <v>1388.78</v>
      </c>
      <c r="K416" s="27" t="str">
        <f>VLOOKUP($F416,mapping!$L$2:$P$92,4,0)</f>
        <v>Developing Asia</v>
      </c>
      <c r="L416" s="29">
        <f>$D416*VLOOKUP($E416,'Charts data'!$A$2:$B$11,2,0)*VLOOKUP($G416,'Charts data'!$A$14:$B$18,2,0)/IF('Charts data'!$E$3=1,I416,1)/IF('Charts data'!$E$4=1,J416,1)</f>
        <v>8013.5625093491553</v>
      </c>
    </row>
    <row r="417" spans="1:12" x14ac:dyDescent="0.25">
      <c r="A417" s="27" t="s">
        <v>463</v>
      </c>
      <c r="B417" s="27">
        <v>180000</v>
      </c>
      <c r="C417" s="27" t="s">
        <v>16</v>
      </c>
      <c r="D417" s="28">
        <f>B417*VLOOKUP(C417,tblXrate[],2,0)</f>
        <v>3205.4250037396623</v>
      </c>
      <c r="E417" s="27" t="s">
        <v>19</v>
      </c>
      <c r="F417" s="27" t="s">
        <v>3</v>
      </c>
      <c r="G417" s="27" t="s">
        <v>2271</v>
      </c>
      <c r="H417" s="27"/>
      <c r="I417" s="27">
        <f>VLOOKUP(F417,mapping!$L$2:$P$92,2,0)</f>
        <v>0.34064763831408895</v>
      </c>
      <c r="J417" s="27">
        <f>VLOOKUP($F417,mapping!$L$2:$P$92,3,0)</f>
        <v>1388.78</v>
      </c>
      <c r="K417" s="27" t="str">
        <f>VLOOKUP($F417,mapping!$L$2:$P$92,4,0)</f>
        <v>Developing Asia</v>
      </c>
      <c r="L417" s="29">
        <f>$D417*VLOOKUP($E417,'Charts data'!$A$2:$B$11,2,0)*VLOOKUP($G417,'Charts data'!$A$14:$B$18,2,0)/IF('Charts data'!$E$3=1,I417,1)/IF('Charts data'!$E$4=1,J417,1)</f>
        <v>3205.4250037396623</v>
      </c>
    </row>
    <row r="418" spans="1:12" x14ac:dyDescent="0.25">
      <c r="A418" s="27" t="s">
        <v>479</v>
      </c>
      <c r="B418" s="27">
        <v>1400000</v>
      </c>
      <c r="C418" s="27" t="s">
        <v>16</v>
      </c>
      <c r="D418" s="28">
        <f>B418*VLOOKUP(C418,tblXrate[],2,0)</f>
        <v>24931.083362419595</v>
      </c>
      <c r="E418" s="27" t="s">
        <v>19</v>
      </c>
      <c r="F418" s="27" t="s">
        <v>3</v>
      </c>
      <c r="G418" s="27" t="s">
        <v>2274</v>
      </c>
      <c r="H418" s="27"/>
      <c r="I418" s="27">
        <f>VLOOKUP(F418,mapping!$L$2:$P$92,2,0)</f>
        <v>0.34064763831408895</v>
      </c>
      <c r="J418" s="27">
        <f>VLOOKUP($F418,mapping!$L$2:$P$92,3,0)</f>
        <v>1388.78</v>
      </c>
      <c r="K418" s="27" t="str">
        <f>VLOOKUP($F418,mapping!$L$2:$P$92,4,0)</f>
        <v>Developing Asia</v>
      </c>
      <c r="L418" s="29">
        <f>$D418*VLOOKUP($E418,'Charts data'!$A$2:$B$11,2,0)*VLOOKUP($G418,'Charts data'!$A$14:$B$18,2,0)/IF('Charts data'!$E$3=1,I418,1)/IF('Charts data'!$E$4=1,J418,1)</f>
        <v>24931.083362419595</v>
      </c>
    </row>
    <row r="419" spans="1:12" x14ac:dyDescent="0.25">
      <c r="A419" s="27" t="s">
        <v>487</v>
      </c>
      <c r="B419" s="27">
        <v>1000000</v>
      </c>
      <c r="C419" s="27" t="s">
        <v>16</v>
      </c>
      <c r="D419" s="28">
        <f>B419*VLOOKUP(C419,tblXrate[],2,0)</f>
        <v>17807.916687442568</v>
      </c>
      <c r="E419" s="27" t="s">
        <v>19</v>
      </c>
      <c r="F419" s="27" t="s">
        <v>3</v>
      </c>
      <c r="G419" s="27" t="s">
        <v>2271</v>
      </c>
      <c r="H419" s="27"/>
      <c r="I419" s="27">
        <f>VLOOKUP(F419,mapping!$L$2:$P$92,2,0)</f>
        <v>0.34064763831408895</v>
      </c>
      <c r="J419" s="27">
        <f>VLOOKUP($F419,mapping!$L$2:$P$92,3,0)</f>
        <v>1388.78</v>
      </c>
      <c r="K419" s="27" t="str">
        <f>VLOOKUP($F419,mapping!$L$2:$P$92,4,0)</f>
        <v>Developing Asia</v>
      </c>
      <c r="L419" s="29">
        <f>$D419*VLOOKUP($E419,'Charts data'!$A$2:$B$11,2,0)*VLOOKUP($G419,'Charts data'!$A$14:$B$18,2,0)/IF('Charts data'!$E$3=1,I419,1)/IF('Charts data'!$E$4=1,J419,1)</f>
        <v>17807.916687442568</v>
      </c>
    </row>
    <row r="420" spans="1:12" x14ac:dyDescent="0.25">
      <c r="A420" s="27" t="s">
        <v>502</v>
      </c>
      <c r="B420" s="27">
        <v>400000</v>
      </c>
      <c r="C420" s="27" t="s">
        <v>16</v>
      </c>
      <c r="D420" s="28">
        <f>B420*VLOOKUP(C420,tblXrate[],2,0)</f>
        <v>7123.1666749770275</v>
      </c>
      <c r="E420" s="27" t="s">
        <v>7</v>
      </c>
      <c r="F420" s="27" t="s">
        <v>3</v>
      </c>
      <c r="G420" s="27" t="s">
        <v>2271</v>
      </c>
      <c r="H420" s="27"/>
      <c r="I420" s="27">
        <f>VLOOKUP(F420,mapping!$L$2:$P$92,2,0)</f>
        <v>0.34064763831408895</v>
      </c>
      <c r="J420" s="27">
        <f>VLOOKUP($F420,mapping!$L$2:$P$92,3,0)</f>
        <v>1388.78</v>
      </c>
      <c r="K420" s="27" t="str">
        <f>VLOOKUP($F420,mapping!$L$2:$P$92,4,0)</f>
        <v>Developing Asia</v>
      </c>
      <c r="L420" s="29">
        <f>$D420*VLOOKUP($E420,'Charts data'!$A$2:$B$11,2,0)*VLOOKUP($G420,'Charts data'!$A$14:$B$18,2,0)/IF('Charts data'!$E$3=1,I420,1)/IF('Charts data'!$E$4=1,J420,1)</f>
        <v>7123.1666749770275</v>
      </c>
    </row>
    <row r="421" spans="1:12" x14ac:dyDescent="0.25">
      <c r="A421" s="27" t="s">
        <v>506</v>
      </c>
      <c r="B421" s="27">
        <v>360000</v>
      </c>
      <c r="C421" s="27" t="s">
        <v>16</v>
      </c>
      <c r="D421" s="28">
        <f>B421*VLOOKUP(C421,tblXrate[],2,0)</f>
        <v>6410.8500074793246</v>
      </c>
      <c r="E421" s="27" t="s">
        <v>7</v>
      </c>
      <c r="F421" s="27" t="s">
        <v>3</v>
      </c>
      <c r="G421" s="27" t="s">
        <v>2272</v>
      </c>
      <c r="H421" s="27"/>
      <c r="I421" s="27">
        <f>VLOOKUP(F421,mapping!$L$2:$P$92,2,0)</f>
        <v>0.34064763831408895</v>
      </c>
      <c r="J421" s="27">
        <f>VLOOKUP($F421,mapping!$L$2:$P$92,3,0)</f>
        <v>1388.78</v>
      </c>
      <c r="K421" s="27" t="str">
        <f>VLOOKUP($F421,mapping!$L$2:$P$92,4,0)</f>
        <v>Developing Asia</v>
      </c>
      <c r="L421" s="29">
        <f>$D421*VLOOKUP($E421,'Charts data'!$A$2:$B$11,2,0)*VLOOKUP($G421,'Charts data'!$A$14:$B$18,2,0)/IF('Charts data'!$E$3=1,I421,1)/IF('Charts data'!$E$4=1,J421,1)</f>
        <v>6410.8500074793246</v>
      </c>
    </row>
    <row r="422" spans="1:12" x14ac:dyDescent="0.25">
      <c r="A422" s="27" t="s">
        <v>517</v>
      </c>
      <c r="B422" s="27">
        <v>370000</v>
      </c>
      <c r="C422" s="27" t="s">
        <v>16</v>
      </c>
      <c r="D422" s="28">
        <f>B422*VLOOKUP(C422,tblXrate[],2,0)</f>
        <v>6588.9291743537506</v>
      </c>
      <c r="E422" s="27" t="s">
        <v>7</v>
      </c>
      <c r="F422" s="27" t="s">
        <v>3</v>
      </c>
      <c r="G422" s="27" t="s">
        <v>2273</v>
      </c>
      <c r="H422" s="27"/>
      <c r="I422" s="27">
        <f>VLOOKUP(F422,mapping!$L$2:$P$92,2,0)</f>
        <v>0.34064763831408895</v>
      </c>
      <c r="J422" s="27">
        <f>VLOOKUP($F422,mapping!$L$2:$P$92,3,0)</f>
        <v>1388.78</v>
      </c>
      <c r="K422" s="27" t="str">
        <f>VLOOKUP($F422,mapping!$L$2:$P$92,4,0)</f>
        <v>Developing Asia</v>
      </c>
      <c r="L422" s="29">
        <f>$D422*VLOOKUP($E422,'Charts data'!$A$2:$B$11,2,0)*VLOOKUP($G422,'Charts data'!$A$14:$B$18,2,0)/IF('Charts data'!$E$3=1,I422,1)/IF('Charts data'!$E$4=1,J422,1)</f>
        <v>6588.9291743537506</v>
      </c>
    </row>
    <row r="423" spans="1:12" x14ac:dyDescent="0.25">
      <c r="A423" s="27" t="s">
        <v>536</v>
      </c>
      <c r="B423" s="27">
        <v>480000</v>
      </c>
      <c r="C423" s="27" t="s">
        <v>16</v>
      </c>
      <c r="D423" s="28">
        <f>B423*VLOOKUP(C423,tblXrate[],2,0)</f>
        <v>8547.8000099724322</v>
      </c>
      <c r="E423" s="27" t="s">
        <v>19</v>
      </c>
      <c r="F423" s="27" t="s">
        <v>3</v>
      </c>
      <c r="G423" s="27" t="s">
        <v>2274</v>
      </c>
      <c r="H423" s="27"/>
      <c r="I423" s="27">
        <f>VLOOKUP(F423,mapping!$L$2:$P$92,2,0)</f>
        <v>0.34064763831408895</v>
      </c>
      <c r="J423" s="27">
        <f>VLOOKUP($F423,mapping!$L$2:$P$92,3,0)</f>
        <v>1388.78</v>
      </c>
      <c r="K423" s="27" t="str">
        <f>VLOOKUP($F423,mapping!$L$2:$P$92,4,0)</f>
        <v>Developing Asia</v>
      </c>
      <c r="L423" s="29">
        <f>$D423*VLOOKUP($E423,'Charts data'!$A$2:$B$11,2,0)*VLOOKUP($G423,'Charts data'!$A$14:$B$18,2,0)/IF('Charts data'!$E$3=1,I423,1)/IF('Charts data'!$E$4=1,J423,1)</f>
        <v>8547.8000099724322</v>
      </c>
    </row>
    <row r="424" spans="1:12" x14ac:dyDescent="0.25">
      <c r="A424" s="27" t="s">
        <v>540</v>
      </c>
      <c r="B424" s="27">
        <v>9000000</v>
      </c>
      <c r="C424" s="27" t="s">
        <v>16</v>
      </c>
      <c r="D424" s="28">
        <f>B424*VLOOKUP(C424,tblXrate[],2,0)</f>
        <v>160271.25018698312</v>
      </c>
      <c r="E424" s="27" t="s">
        <v>7</v>
      </c>
      <c r="F424" s="27" t="s">
        <v>3</v>
      </c>
      <c r="G424" s="27" t="s">
        <v>2271</v>
      </c>
      <c r="H424" s="27"/>
      <c r="I424" s="27">
        <f>VLOOKUP(F424,mapping!$L$2:$P$92,2,0)</f>
        <v>0.34064763831408895</v>
      </c>
      <c r="J424" s="27">
        <f>VLOOKUP($F424,mapping!$L$2:$P$92,3,0)</f>
        <v>1388.78</v>
      </c>
      <c r="K424" s="27" t="str">
        <f>VLOOKUP($F424,mapping!$L$2:$P$92,4,0)</f>
        <v>Developing Asia</v>
      </c>
      <c r="L424" s="29">
        <f>$D424*VLOOKUP($E424,'Charts data'!$A$2:$B$11,2,0)*VLOOKUP($G424,'Charts data'!$A$14:$B$18,2,0)/IF('Charts data'!$E$3=1,I424,1)/IF('Charts data'!$E$4=1,J424,1)</f>
        <v>160271.25018698312</v>
      </c>
    </row>
    <row r="425" spans="1:12" x14ac:dyDescent="0.25">
      <c r="A425" s="27" t="s">
        <v>541</v>
      </c>
      <c r="B425" s="27">
        <v>500000</v>
      </c>
      <c r="C425" s="27" t="s">
        <v>16</v>
      </c>
      <c r="D425" s="28">
        <f>B425*VLOOKUP(C425,tblXrate[],2,0)</f>
        <v>8903.9583437212841</v>
      </c>
      <c r="E425" s="27" t="s">
        <v>19</v>
      </c>
      <c r="F425" s="27" t="s">
        <v>3</v>
      </c>
      <c r="G425" s="27" t="s">
        <v>2272</v>
      </c>
      <c r="H425" s="27"/>
      <c r="I425" s="27">
        <f>VLOOKUP(F425,mapping!$L$2:$P$92,2,0)</f>
        <v>0.34064763831408895</v>
      </c>
      <c r="J425" s="27">
        <f>VLOOKUP($F425,mapping!$L$2:$P$92,3,0)</f>
        <v>1388.78</v>
      </c>
      <c r="K425" s="27" t="str">
        <f>VLOOKUP($F425,mapping!$L$2:$P$92,4,0)</f>
        <v>Developing Asia</v>
      </c>
      <c r="L425" s="29">
        <f>$D425*VLOOKUP($E425,'Charts data'!$A$2:$B$11,2,0)*VLOOKUP($G425,'Charts data'!$A$14:$B$18,2,0)/IF('Charts data'!$E$3=1,I425,1)/IF('Charts data'!$E$4=1,J425,1)</f>
        <v>8903.9583437212841</v>
      </c>
    </row>
    <row r="426" spans="1:12" x14ac:dyDescent="0.25">
      <c r="A426" s="27" t="s">
        <v>546</v>
      </c>
      <c r="B426" s="27">
        <v>540000</v>
      </c>
      <c r="C426" s="27" t="s">
        <v>16</v>
      </c>
      <c r="D426" s="28">
        <f>B426*VLOOKUP(C426,tblXrate[],2,0)</f>
        <v>9616.275011218986</v>
      </c>
      <c r="E426" s="27" t="s">
        <v>48</v>
      </c>
      <c r="F426" s="27" t="s">
        <v>3</v>
      </c>
      <c r="G426" s="27" t="s">
        <v>2271</v>
      </c>
      <c r="H426" s="27"/>
      <c r="I426" s="27">
        <f>VLOOKUP(F426,mapping!$L$2:$P$92,2,0)</f>
        <v>0.34064763831408895</v>
      </c>
      <c r="J426" s="27">
        <f>VLOOKUP($F426,mapping!$L$2:$P$92,3,0)</f>
        <v>1388.78</v>
      </c>
      <c r="K426" s="27" t="str">
        <f>VLOOKUP($F426,mapping!$L$2:$P$92,4,0)</f>
        <v>Developing Asia</v>
      </c>
      <c r="L426" s="29">
        <f>$D426*VLOOKUP($E426,'Charts data'!$A$2:$B$11,2,0)*VLOOKUP($G426,'Charts data'!$A$14:$B$18,2,0)/IF('Charts data'!$E$3=1,I426,1)/IF('Charts data'!$E$4=1,J426,1)</f>
        <v>9616.275011218986</v>
      </c>
    </row>
    <row r="427" spans="1:12" x14ac:dyDescent="0.25">
      <c r="A427" s="27" t="s">
        <v>550</v>
      </c>
      <c r="B427" s="27">
        <v>620000</v>
      </c>
      <c r="C427" s="27" t="s">
        <v>16</v>
      </c>
      <c r="D427" s="28">
        <f>B427*VLOOKUP(C427,tblXrate[],2,0)</f>
        <v>11040.908346214392</v>
      </c>
      <c r="E427" s="27" t="s">
        <v>19</v>
      </c>
      <c r="F427" s="27" t="s">
        <v>3</v>
      </c>
      <c r="G427" s="27" t="s">
        <v>2274</v>
      </c>
      <c r="H427" s="27"/>
      <c r="I427" s="27">
        <f>VLOOKUP(F427,mapping!$L$2:$P$92,2,0)</f>
        <v>0.34064763831408895</v>
      </c>
      <c r="J427" s="27">
        <f>VLOOKUP($F427,mapping!$L$2:$P$92,3,0)</f>
        <v>1388.78</v>
      </c>
      <c r="K427" s="27" t="str">
        <f>VLOOKUP($F427,mapping!$L$2:$P$92,4,0)</f>
        <v>Developing Asia</v>
      </c>
      <c r="L427" s="29">
        <f>$D427*VLOOKUP($E427,'Charts data'!$A$2:$B$11,2,0)*VLOOKUP($G427,'Charts data'!$A$14:$B$18,2,0)/IF('Charts data'!$E$3=1,I427,1)/IF('Charts data'!$E$4=1,J427,1)</f>
        <v>11040.908346214392</v>
      </c>
    </row>
    <row r="428" spans="1:12" x14ac:dyDescent="0.25">
      <c r="A428" s="27" t="s">
        <v>557</v>
      </c>
      <c r="B428" s="27">
        <v>750000</v>
      </c>
      <c r="C428" s="27" t="s">
        <v>16</v>
      </c>
      <c r="D428" s="28">
        <f>B428*VLOOKUP(C428,tblXrate[],2,0)</f>
        <v>13355.937515581925</v>
      </c>
      <c r="E428" s="27" t="s">
        <v>7</v>
      </c>
      <c r="F428" s="27" t="s">
        <v>3</v>
      </c>
      <c r="G428" s="27" t="s">
        <v>2274</v>
      </c>
      <c r="H428" s="27"/>
      <c r="I428" s="27">
        <f>VLOOKUP(F428,mapping!$L$2:$P$92,2,0)</f>
        <v>0.34064763831408895</v>
      </c>
      <c r="J428" s="27">
        <f>VLOOKUP($F428,mapping!$L$2:$P$92,3,0)</f>
        <v>1388.78</v>
      </c>
      <c r="K428" s="27" t="str">
        <f>VLOOKUP($F428,mapping!$L$2:$P$92,4,0)</f>
        <v>Developing Asia</v>
      </c>
      <c r="L428" s="29">
        <f>$D428*VLOOKUP($E428,'Charts data'!$A$2:$B$11,2,0)*VLOOKUP($G428,'Charts data'!$A$14:$B$18,2,0)/IF('Charts data'!$E$3=1,I428,1)/IF('Charts data'!$E$4=1,J428,1)</f>
        <v>13355.937515581925</v>
      </c>
    </row>
    <row r="429" spans="1:12" x14ac:dyDescent="0.25">
      <c r="A429" s="27" t="s">
        <v>570</v>
      </c>
      <c r="B429" s="27">
        <v>300000</v>
      </c>
      <c r="C429" s="27" t="s">
        <v>16</v>
      </c>
      <c r="D429" s="28">
        <f>B429*VLOOKUP(C429,tblXrate[],2,0)</f>
        <v>5342.3750062327708</v>
      </c>
      <c r="E429" s="27" t="s">
        <v>48</v>
      </c>
      <c r="F429" s="27" t="s">
        <v>3</v>
      </c>
      <c r="G429" s="27" t="s">
        <v>2274</v>
      </c>
      <c r="H429" s="27"/>
      <c r="I429" s="27">
        <f>VLOOKUP(F429,mapping!$L$2:$P$92,2,0)</f>
        <v>0.34064763831408895</v>
      </c>
      <c r="J429" s="27">
        <f>VLOOKUP($F429,mapping!$L$2:$P$92,3,0)</f>
        <v>1388.78</v>
      </c>
      <c r="K429" s="27" t="str">
        <f>VLOOKUP($F429,mapping!$L$2:$P$92,4,0)</f>
        <v>Developing Asia</v>
      </c>
      <c r="L429" s="29">
        <f>$D429*VLOOKUP($E429,'Charts data'!$A$2:$B$11,2,0)*VLOOKUP($G429,'Charts data'!$A$14:$B$18,2,0)/IF('Charts data'!$E$3=1,I429,1)/IF('Charts data'!$E$4=1,J429,1)</f>
        <v>5342.3750062327708</v>
      </c>
    </row>
    <row r="430" spans="1:12" x14ac:dyDescent="0.25">
      <c r="A430" s="27" t="s">
        <v>571</v>
      </c>
      <c r="B430" s="27">
        <v>400000</v>
      </c>
      <c r="C430" s="27" t="s">
        <v>16</v>
      </c>
      <c r="D430" s="28">
        <f>B430*VLOOKUP(C430,tblXrate[],2,0)</f>
        <v>7123.1666749770275</v>
      </c>
      <c r="E430" s="27" t="s">
        <v>7</v>
      </c>
      <c r="F430" s="27" t="s">
        <v>3</v>
      </c>
      <c r="G430" s="27" t="s">
        <v>2271</v>
      </c>
      <c r="H430" s="27"/>
      <c r="I430" s="27">
        <f>VLOOKUP(F430,mapping!$L$2:$P$92,2,0)</f>
        <v>0.34064763831408895</v>
      </c>
      <c r="J430" s="27">
        <f>VLOOKUP($F430,mapping!$L$2:$P$92,3,0)</f>
        <v>1388.78</v>
      </c>
      <c r="K430" s="27" t="str">
        <f>VLOOKUP($F430,mapping!$L$2:$P$92,4,0)</f>
        <v>Developing Asia</v>
      </c>
      <c r="L430" s="29">
        <f>$D430*VLOOKUP($E430,'Charts data'!$A$2:$B$11,2,0)*VLOOKUP($G430,'Charts data'!$A$14:$B$18,2,0)/IF('Charts data'!$E$3=1,I430,1)/IF('Charts data'!$E$4=1,J430,1)</f>
        <v>7123.1666749770275</v>
      </c>
    </row>
    <row r="431" spans="1:12" x14ac:dyDescent="0.25">
      <c r="A431" s="27" t="s">
        <v>584</v>
      </c>
      <c r="B431" s="27">
        <v>200000</v>
      </c>
      <c r="C431" s="27" t="s">
        <v>16</v>
      </c>
      <c r="D431" s="28">
        <f>B431*VLOOKUP(C431,tblXrate[],2,0)</f>
        <v>3561.5833374885137</v>
      </c>
      <c r="E431" s="27" t="s">
        <v>53</v>
      </c>
      <c r="F431" s="27" t="s">
        <v>3</v>
      </c>
      <c r="G431" s="27" t="s">
        <v>2274</v>
      </c>
      <c r="H431" s="27"/>
      <c r="I431" s="27">
        <f>VLOOKUP(F431,mapping!$L$2:$P$92,2,0)</f>
        <v>0.34064763831408895</v>
      </c>
      <c r="J431" s="27">
        <f>VLOOKUP($F431,mapping!$L$2:$P$92,3,0)</f>
        <v>1388.78</v>
      </c>
      <c r="K431" s="27" t="str">
        <f>VLOOKUP($F431,mapping!$L$2:$P$92,4,0)</f>
        <v>Developing Asia</v>
      </c>
      <c r="L431" s="29">
        <f>$D431*VLOOKUP($E431,'Charts data'!$A$2:$B$11,2,0)*VLOOKUP($G431,'Charts data'!$A$14:$B$18,2,0)/IF('Charts data'!$E$3=1,I431,1)/IF('Charts data'!$E$4=1,J431,1)</f>
        <v>3561.5833374885137</v>
      </c>
    </row>
    <row r="432" spans="1:12" x14ac:dyDescent="0.25">
      <c r="A432" s="27" t="s">
        <v>591</v>
      </c>
      <c r="B432" s="27">
        <v>240000</v>
      </c>
      <c r="C432" s="27" t="s">
        <v>16</v>
      </c>
      <c r="D432" s="28">
        <f>B432*VLOOKUP(C432,tblXrate[],2,0)</f>
        <v>4273.9000049862161</v>
      </c>
      <c r="E432" s="27" t="s">
        <v>19</v>
      </c>
      <c r="F432" s="27" t="s">
        <v>3</v>
      </c>
      <c r="G432" s="27" t="s">
        <v>2273</v>
      </c>
      <c r="H432" s="27"/>
      <c r="I432" s="27">
        <f>VLOOKUP(F432,mapping!$L$2:$P$92,2,0)</f>
        <v>0.34064763831408895</v>
      </c>
      <c r="J432" s="27">
        <f>VLOOKUP($F432,mapping!$L$2:$P$92,3,0)</f>
        <v>1388.78</v>
      </c>
      <c r="K432" s="27" t="str">
        <f>VLOOKUP($F432,mapping!$L$2:$P$92,4,0)</f>
        <v>Developing Asia</v>
      </c>
      <c r="L432" s="29">
        <f>$D432*VLOOKUP($E432,'Charts data'!$A$2:$B$11,2,0)*VLOOKUP($G432,'Charts data'!$A$14:$B$18,2,0)/IF('Charts data'!$E$3=1,I432,1)/IF('Charts data'!$E$4=1,J432,1)</f>
        <v>4273.9000049862161</v>
      </c>
    </row>
    <row r="433" spans="1:12" x14ac:dyDescent="0.25">
      <c r="A433" s="27" t="s">
        <v>605</v>
      </c>
      <c r="B433" s="27">
        <v>4000000</v>
      </c>
      <c r="C433" s="27" t="s">
        <v>16</v>
      </c>
      <c r="D433" s="28">
        <f>B433*VLOOKUP(C433,tblXrate[],2,0)</f>
        <v>71231.666749770273</v>
      </c>
      <c r="E433" s="27" t="s">
        <v>51</v>
      </c>
      <c r="F433" s="27" t="s">
        <v>3</v>
      </c>
      <c r="G433" s="27" t="s">
        <v>2273</v>
      </c>
      <c r="H433" s="27"/>
      <c r="I433" s="27">
        <f>VLOOKUP(F433,mapping!$L$2:$P$92,2,0)</f>
        <v>0.34064763831408895</v>
      </c>
      <c r="J433" s="27">
        <f>VLOOKUP($F433,mapping!$L$2:$P$92,3,0)</f>
        <v>1388.78</v>
      </c>
      <c r="K433" s="27" t="str">
        <f>VLOOKUP($F433,mapping!$L$2:$P$92,4,0)</f>
        <v>Developing Asia</v>
      </c>
      <c r="L433" s="29">
        <f>$D433*VLOOKUP($E433,'Charts data'!$A$2:$B$11,2,0)*VLOOKUP($G433,'Charts data'!$A$14:$B$18,2,0)/IF('Charts data'!$E$3=1,I433,1)/IF('Charts data'!$E$4=1,J433,1)</f>
        <v>71231.666749770273</v>
      </c>
    </row>
    <row r="434" spans="1:12" x14ac:dyDescent="0.25">
      <c r="A434" s="27" t="s">
        <v>606</v>
      </c>
      <c r="B434" s="27">
        <v>300000</v>
      </c>
      <c r="C434" s="27" t="s">
        <v>16</v>
      </c>
      <c r="D434" s="28">
        <f>B434*VLOOKUP(C434,tblXrate[],2,0)</f>
        <v>5342.3750062327708</v>
      </c>
      <c r="E434" s="27" t="s">
        <v>19</v>
      </c>
      <c r="F434" s="27" t="s">
        <v>3</v>
      </c>
      <c r="G434" s="27" t="s">
        <v>2271</v>
      </c>
      <c r="H434" s="27"/>
      <c r="I434" s="27">
        <f>VLOOKUP(F434,mapping!$L$2:$P$92,2,0)</f>
        <v>0.34064763831408895</v>
      </c>
      <c r="J434" s="27">
        <f>VLOOKUP($F434,mapping!$L$2:$P$92,3,0)</f>
        <v>1388.78</v>
      </c>
      <c r="K434" s="27" t="str">
        <f>VLOOKUP($F434,mapping!$L$2:$P$92,4,0)</f>
        <v>Developing Asia</v>
      </c>
      <c r="L434" s="29">
        <f>$D434*VLOOKUP($E434,'Charts data'!$A$2:$B$11,2,0)*VLOOKUP($G434,'Charts data'!$A$14:$B$18,2,0)/IF('Charts data'!$E$3=1,I434,1)/IF('Charts data'!$E$4=1,J434,1)</f>
        <v>5342.3750062327708</v>
      </c>
    </row>
    <row r="435" spans="1:12" x14ac:dyDescent="0.25">
      <c r="A435" s="27" t="s">
        <v>607</v>
      </c>
      <c r="B435" s="27">
        <v>1100000</v>
      </c>
      <c r="C435" s="27" t="s">
        <v>16</v>
      </c>
      <c r="D435" s="28">
        <f>B435*VLOOKUP(C435,tblXrate[],2,0)</f>
        <v>19588.708356186824</v>
      </c>
      <c r="E435" s="27" t="s">
        <v>19</v>
      </c>
      <c r="F435" s="27" t="s">
        <v>3</v>
      </c>
      <c r="G435" s="27" t="s">
        <v>2271</v>
      </c>
      <c r="H435" s="27"/>
      <c r="I435" s="27">
        <f>VLOOKUP(F435,mapping!$L$2:$P$92,2,0)</f>
        <v>0.34064763831408895</v>
      </c>
      <c r="J435" s="27">
        <f>VLOOKUP($F435,mapping!$L$2:$P$92,3,0)</f>
        <v>1388.78</v>
      </c>
      <c r="K435" s="27" t="str">
        <f>VLOOKUP($F435,mapping!$L$2:$P$92,4,0)</f>
        <v>Developing Asia</v>
      </c>
      <c r="L435" s="29">
        <f>$D435*VLOOKUP($E435,'Charts data'!$A$2:$B$11,2,0)*VLOOKUP($G435,'Charts data'!$A$14:$B$18,2,0)/IF('Charts data'!$E$3=1,I435,1)/IF('Charts data'!$E$4=1,J435,1)</f>
        <v>19588.708356186824</v>
      </c>
    </row>
    <row r="436" spans="1:12" x14ac:dyDescent="0.25">
      <c r="A436" s="27" t="s">
        <v>609</v>
      </c>
      <c r="B436" s="27">
        <v>3000000</v>
      </c>
      <c r="C436" s="27" t="s">
        <v>16</v>
      </c>
      <c r="D436" s="28">
        <f>B436*VLOOKUP(C436,tblXrate[],2,0)</f>
        <v>53423.750062327701</v>
      </c>
      <c r="E436" s="27" t="s">
        <v>19</v>
      </c>
      <c r="F436" s="27" t="s">
        <v>3</v>
      </c>
      <c r="G436" s="27" t="s">
        <v>2271</v>
      </c>
      <c r="H436" s="27"/>
      <c r="I436" s="27">
        <f>VLOOKUP(F436,mapping!$L$2:$P$92,2,0)</f>
        <v>0.34064763831408895</v>
      </c>
      <c r="J436" s="27">
        <f>VLOOKUP($F436,mapping!$L$2:$P$92,3,0)</f>
        <v>1388.78</v>
      </c>
      <c r="K436" s="27" t="str">
        <f>VLOOKUP($F436,mapping!$L$2:$P$92,4,0)</f>
        <v>Developing Asia</v>
      </c>
      <c r="L436" s="29">
        <f>$D436*VLOOKUP($E436,'Charts data'!$A$2:$B$11,2,0)*VLOOKUP($G436,'Charts data'!$A$14:$B$18,2,0)/IF('Charts data'!$E$3=1,I436,1)/IF('Charts data'!$E$4=1,J436,1)</f>
        <v>53423.750062327701</v>
      </c>
    </row>
    <row r="437" spans="1:12" x14ac:dyDescent="0.25">
      <c r="A437" s="27" t="s">
        <v>616</v>
      </c>
      <c r="B437" s="27">
        <v>500000</v>
      </c>
      <c r="C437" s="27" t="s">
        <v>16</v>
      </c>
      <c r="D437" s="28">
        <f>B437*VLOOKUP(C437,tblXrate[],2,0)</f>
        <v>8903.9583437212841</v>
      </c>
      <c r="E437" s="27" t="s">
        <v>7</v>
      </c>
      <c r="F437" s="27" t="s">
        <v>3</v>
      </c>
      <c r="G437" s="27" t="s">
        <v>2271</v>
      </c>
      <c r="H437" s="27"/>
      <c r="I437" s="27">
        <f>VLOOKUP(F437,mapping!$L$2:$P$92,2,0)</f>
        <v>0.34064763831408895</v>
      </c>
      <c r="J437" s="27">
        <f>VLOOKUP($F437,mapping!$L$2:$P$92,3,0)</f>
        <v>1388.78</v>
      </c>
      <c r="K437" s="27" t="str">
        <f>VLOOKUP($F437,mapping!$L$2:$P$92,4,0)</f>
        <v>Developing Asia</v>
      </c>
      <c r="L437" s="29">
        <f>$D437*VLOOKUP($E437,'Charts data'!$A$2:$B$11,2,0)*VLOOKUP($G437,'Charts data'!$A$14:$B$18,2,0)/IF('Charts data'!$E$3=1,I437,1)/IF('Charts data'!$E$4=1,J437,1)</f>
        <v>8903.9583437212841</v>
      </c>
    </row>
    <row r="438" spans="1:12" x14ac:dyDescent="0.25">
      <c r="A438" s="27" t="s">
        <v>617</v>
      </c>
      <c r="B438" s="27">
        <v>900000</v>
      </c>
      <c r="C438" s="27" t="s">
        <v>16</v>
      </c>
      <c r="D438" s="28">
        <f>B438*VLOOKUP(C438,tblXrate[],2,0)</f>
        <v>16027.125018698311</v>
      </c>
      <c r="E438" s="27" t="s">
        <v>19</v>
      </c>
      <c r="F438" s="27" t="s">
        <v>3</v>
      </c>
      <c r="G438" s="27" t="s">
        <v>2274</v>
      </c>
      <c r="H438" s="27"/>
      <c r="I438" s="27">
        <f>VLOOKUP(F438,mapping!$L$2:$P$92,2,0)</f>
        <v>0.34064763831408895</v>
      </c>
      <c r="J438" s="27">
        <f>VLOOKUP($F438,mapping!$L$2:$P$92,3,0)</f>
        <v>1388.78</v>
      </c>
      <c r="K438" s="27" t="str">
        <f>VLOOKUP($F438,mapping!$L$2:$P$92,4,0)</f>
        <v>Developing Asia</v>
      </c>
      <c r="L438" s="29">
        <f>$D438*VLOOKUP($E438,'Charts data'!$A$2:$B$11,2,0)*VLOOKUP($G438,'Charts data'!$A$14:$B$18,2,0)/IF('Charts data'!$E$3=1,I438,1)/IF('Charts data'!$E$4=1,J438,1)</f>
        <v>16027.125018698311</v>
      </c>
    </row>
    <row r="439" spans="1:12" x14ac:dyDescent="0.25">
      <c r="A439" s="27" t="s">
        <v>620</v>
      </c>
      <c r="B439" s="27">
        <v>800000</v>
      </c>
      <c r="C439" s="27" t="s">
        <v>16</v>
      </c>
      <c r="D439" s="28">
        <f>B439*VLOOKUP(C439,tblXrate[],2,0)</f>
        <v>14246.333349954055</v>
      </c>
      <c r="E439" s="27" t="s">
        <v>2147</v>
      </c>
      <c r="F439" s="27" t="s">
        <v>3</v>
      </c>
      <c r="G439" s="27" t="s">
        <v>2273</v>
      </c>
      <c r="H439" s="27"/>
      <c r="I439" s="27">
        <f>VLOOKUP(F439,mapping!$L$2:$P$92,2,0)</f>
        <v>0.34064763831408895</v>
      </c>
      <c r="J439" s="27">
        <f>VLOOKUP($F439,mapping!$L$2:$P$92,3,0)</f>
        <v>1388.78</v>
      </c>
      <c r="K439" s="27" t="str">
        <f>VLOOKUP($F439,mapping!$L$2:$P$92,4,0)</f>
        <v>Developing Asia</v>
      </c>
      <c r="L439" s="29">
        <f>$D439*VLOOKUP($E439,'Charts data'!$A$2:$B$11,2,0)*VLOOKUP($G439,'Charts data'!$A$14:$B$18,2,0)/IF('Charts data'!$E$3=1,I439,1)/IF('Charts data'!$E$4=1,J439,1)</f>
        <v>14246.333349954055</v>
      </c>
    </row>
    <row r="440" spans="1:12" x14ac:dyDescent="0.25">
      <c r="A440" s="27" t="s">
        <v>632</v>
      </c>
      <c r="B440" s="27">
        <v>125000</v>
      </c>
      <c r="C440" s="27" t="s">
        <v>16</v>
      </c>
      <c r="D440" s="28">
        <f>B440*VLOOKUP(C440,tblXrate[],2,0)</f>
        <v>2225.989585930321</v>
      </c>
      <c r="E440" s="27" t="s">
        <v>7</v>
      </c>
      <c r="F440" s="27" t="s">
        <v>3</v>
      </c>
      <c r="G440" s="27" t="s">
        <v>2271</v>
      </c>
      <c r="H440" s="27"/>
      <c r="I440" s="27">
        <f>VLOOKUP(F440,mapping!$L$2:$P$92,2,0)</f>
        <v>0.34064763831408895</v>
      </c>
      <c r="J440" s="27">
        <f>VLOOKUP($F440,mapping!$L$2:$P$92,3,0)</f>
        <v>1388.78</v>
      </c>
      <c r="K440" s="27" t="str">
        <f>VLOOKUP($F440,mapping!$L$2:$P$92,4,0)</f>
        <v>Developing Asia</v>
      </c>
      <c r="L440" s="29">
        <f>$D440*VLOOKUP($E440,'Charts data'!$A$2:$B$11,2,0)*VLOOKUP($G440,'Charts data'!$A$14:$B$18,2,0)/IF('Charts data'!$E$3=1,I440,1)/IF('Charts data'!$E$4=1,J440,1)</f>
        <v>2225.989585930321</v>
      </c>
    </row>
    <row r="441" spans="1:12" x14ac:dyDescent="0.25">
      <c r="A441" s="27" t="s">
        <v>658</v>
      </c>
      <c r="B441" s="27">
        <v>200000</v>
      </c>
      <c r="C441" s="27" t="s">
        <v>16</v>
      </c>
      <c r="D441" s="28">
        <f>B441*VLOOKUP(C441,tblXrate[],2,0)</f>
        <v>3561.5833374885137</v>
      </c>
      <c r="E441" s="27" t="s">
        <v>7</v>
      </c>
      <c r="F441" s="27" t="s">
        <v>3</v>
      </c>
      <c r="G441" s="27" t="s">
        <v>2272</v>
      </c>
      <c r="H441" s="27"/>
      <c r="I441" s="27">
        <f>VLOOKUP(F441,mapping!$L$2:$P$92,2,0)</f>
        <v>0.34064763831408895</v>
      </c>
      <c r="J441" s="27">
        <f>VLOOKUP($F441,mapping!$L$2:$P$92,3,0)</f>
        <v>1388.78</v>
      </c>
      <c r="K441" s="27" t="str">
        <f>VLOOKUP($F441,mapping!$L$2:$P$92,4,0)</f>
        <v>Developing Asia</v>
      </c>
      <c r="L441" s="29">
        <f>$D441*VLOOKUP($E441,'Charts data'!$A$2:$B$11,2,0)*VLOOKUP($G441,'Charts data'!$A$14:$B$18,2,0)/IF('Charts data'!$E$3=1,I441,1)/IF('Charts data'!$E$4=1,J441,1)</f>
        <v>3561.5833374885137</v>
      </c>
    </row>
    <row r="442" spans="1:12" x14ac:dyDescent="0.25">
      <c r="A442" s="27" t="s">
        <v>661</v>
      </c>
      <c r="B442" s="27">
        <v>720000</v>
      </c>
      <c r="C442" s="27" t="s">
        <v>16</v>
      </c>
      <c r="D442" s="28">
        <f>B442*VLOOKUP(C442,tblXrate[],2,0)</f>
        <v>12821.700014958649</v>
      </c>
      <c r="E442" s="27" t="s">
        <v>19</v>
      </c>
      <c r="F442" s="27" t="s">
        <v>3</v>
      </c>
      <c r="G442" s="27" t="s">
        <v>2272</v>
      </c>
      <c r="H442" s="27"/>
      <c r="I442" s="27">
        <f>VLOOKUP(F442,mapping!$L$2:$P$92,2,0)</f>
        <v>0.34064763831408895</v>
      </c>
      <c r="J442" s="27">
        <f>VLOOKUP($F442,mapping!$L$2:$P$92,3,0)</f>
        <v>1388.78</v>
      </c>
      <c r="K442" s="27" t="str">
        <f>VLOOKUP($F442,mapping!$L$2:$P$92,4,0)</f>
        <v>Developing Asia</v>
      </c>
      <c r="L442" s="29">
        <f>$D442*VLOOKUP($E442,'Charts data'!$A$2:$B$11,2,0)*VLOOKUP($G442,'Charts data'!$A$14:$B$18,2,0)/IF('Charts data'!$E$3=1,I442,1)/IF('Charts data'!$E$4=1,J442,1)</f>
        <v>12821.700014958649</v>
      </c>
    </row>
    <row r="443" spans="1:12" x14ac:dyDescent="0.25">
      <c r="A443" s="27" t="s">
        <v>669</v>
      </c>
      <c r="B443" s="27">
        <v>600000</v>
      </c>
      <c r="C443" s="27" t="s">
        <v>16</v>
      </c>
      <c r="D443" s="28">
        <f>B443*VLOOKUP(C443,tblXrate[],2,0)</f>
        <v>10684.750012465542</v>
      </c>
      <c r="E443" s="27" t="s">
        <v>19</v>
      </c>
      <c r="F443" s="27" t="s">
        <v>3</v>
      </c>
      <c r="G443" s="27" t="s">
        <v>2271</v>
      </c>
      <c r="H443" s="27"/>
      <c r="I443" s="27">
        <f>VLOOKUP(F443,mapping!$L$2:$P$92,2,0)</f>
        <v>0.34064763831408895</v>
      </c>
      <c r="J443" s="27">
        <f>VLOOKUP($F443,mapping!$L$2:$P$92,3,0)</f>
        <v>1388.78</v>
      </c>
      <c r="K443" s="27" t="str">
        <f>VLOOKUP($F443,mapping!$L$2:$P$92,4,0)</f>
        <v>Developing Asia</v>
      </c>
      <c r="L443" s="29">
        <f>$D443*VLOOKUP($E443,'Charts data'!$A$2:$B$11,2,0)*VLOOKUP($G443,'Charts data'!$A$14:$B$18,2,0)/IF('Charts data'!$E$3=1,I443,1)/IF('Charts data'!$E$4=1,J443,1)</f>
        <v>10684.750012465542</v>
      </c>
    </row>
    <row r="444" spans="1:12" x14ac:dyDescent="0.25">
      <c r="A444" s="27" t="s">
        <v>671</v>
      </c>
      <c r="B444" s="27">
        <v>500000</v>
      </c>
      <c r="C444" s="27" t="s">
        <v>16</v>
      </c>
      <c r="D444" s="28">
        <f>B444*VLOOKUP(C444,tblXrate[],2,0)</f>
        <v>8903.9583437212841</v>
      </c>
      <c r="E444" s="27" t="s">
        <v>19</v>
      </c>
      <c r="F444" s="27" t="s">
        <v>3</v>
      </c>
      <c r="G444" s="27" t="s">
        <v>2272</v>
      </c>
      <c r="H444" s="27"/>
      <c r="I444" s="27">
        <f>VLOOKUP(F444,mapping!$L$2:$P$92,2,0)</f>
        <v>0.34064763831408895</v>
      </c>
      <c r="J444" s="27">
        <f>VLOOKUP($F444,mapping!$L$2:$P$92,3,0)</f>
        <v>1388.78</v>
      </c>
      <c r="K444" s="27" t="str">
        <f>VLOOKUP($F444,mapping!$L$2:$P$92,4,0)</f>
        <v>Developing Asia</v>
      </c>
      <c r="L444" s="29">
        <f>$D444*VLOOKUP($E444,'Charts data'!$A$2:$B$11,2,0)*VLOOKUP($G444,'Charts data'!$A$14:$B$18,2,0)/IF('Charts data'!$E$3=1,I444,1)/IF('Charts data'!$E$4=1,J444,1)</f>
        <v>8903.9583437212841</v>
      </c>
    </row>
    <row r="445" spans="1:12" x14ac:dyDescent="0.25">
      <c r="A445" s="27" t="s">
        <v>687</v>
      </c>
      <c r="B445" s="27">
        <v>600000</v>
      </c>
      <c r="C445" s="27" t="s">
        <v>16</v>
      </c>
      <c r="D445" s="28">
        <f>B445*VLOOKUP(C445,tblXrate[],2,0)</f>
        <v>10684.750012465542</v>
      </c>
      <c r="E445" s="27" t="s">
        <v>19</v>
      </c>
      <c r="F445" s="27" t="s">
        <v>3</v>
      </c>
      <c r="G445" s="27" t="s">
        <v>2271</v>
      </c>
      <c r="H445" s="27"/>
      <c r="I445" s="27">
        <f>VLOOKUP(F445,mapping!$L$2:$P$92,2,0)</f>
        <v>0.34064763831408895</v>
      </c>
      <c r="J445" s="27">
        <f>VLOOKUP($F445,mapping!$L$2:$P$92,3,0)</f>
        <v>1388.78</v>
      </c>
      <c r="K445" s="27" t="str">
        <f>VLOOKUP($F445,mapping!$L$2:$P$92,4,0)</f>
        <v>Developing Asia</v>
      </c>
      <c r="L445" s="29">
        <f>$D445*VLOOKUP($E445,'Charts data'!$A$2:$B$11,2,0)*VLOOKUP($G445,'Charts data'!$A$14:$B$18,2,0)/IF('Charts data'!$E$3=1,I445,1)/IF('Charts data'!$E$4=1,J445,1)</f>
        <v>10684.750012465542</v>
      </c>
    </row>
    <row r="446" spans="1:12" x14ac:dyDescent="0.25">
      <c r="A446" s="27" t="s">
        <v>702</v>
      </c>
      <c r="B446" s="27">
        <v>450000</v>
      </c>
      <c r="C446" s="27" t="s">
        <v>16</v>
      </c>
      <c r="D446" s="28">
        <f>B446*VLOOKUP(C446,tblXrate[],2,0)</f>
        <v>8013.5625093491553</v>
      </c>
      <c r="E446" s="27" t="s">
        <v>19</v>
      </c>
      <c r="F446" s="27" t="s">
        <v>3</v>
      </c>
      <c r="G446" s="27" t="s">
        <v>2273</v>
      </c>
      <c r="H446" s="27"/>
      <c r="I446" s="27">
        <f>VLOOKUP(F446,mapping!$L$2:$P$92,2,0)</f>
        <v>0.34064763831408895</v>
      </c>
      <c r="J446" s="27">
        <f>VLOOKUP($F446,mapping!$L$2:$P$92,3,0)</f>
        <v>1388.78</v>
      </c>
      <c r="K446" s="27" t="str">
        <f>VLOOKUP($F446,mapping!$L$2:$P$92,4,0)</f>
        <v>Developing Asia</v>
      </c>
      <c r="L446" s="29">
        <f>$D446*VLOOKUP($E446,'Charts data'!$A$2:$B$11,2,0)*VLOOKUP($G446,'Charts data'!$A$14:$B$18,2,0)/IF('Charts data'!$E$3=1,I446,1)/IF('Charts data'!$E$4=1,J446,1)</f>
        <v>8013.5625093491553</v>
      </c>
    </row>
    <row r="447" spans="1:12" x14ac:dyDescent="0.25">
      <c r="A447" s="27" t="s">
        <v>706</v>
      </c>
      <c r="B447" s="27">
        <v>500000</v>
      </c>
      <c r="C447" s="27" t="s">
        <v>16</v>
      </c>
      <c r="D447" s="28">
        <f>B447*VLOOKUP(C447,tblXrate[],2,0)</f>
        <v>8903.9583437212841</v>
      </c>
      <c r="E447" s="27" t="s">
        <v>7</v>
      </c>
      <c r="F447" s="27" t="s">
        <v>3</v>
      </c>
      <c r="G447" s="27" t="s">
        <v>2273</v>
      </c>
      <c r="H447" s="27"/>
      <c r="I447" s="27">
        <f>VLOOKUP(F447,mapping!$L$2:$P$92,2,0)</f>
        <v>0.34064763831408895</v>
      </c>
      <c r="J447" s="27">
        <f>VLOOKUP($F447,mapping!$L$2:$P$92,3,0)</f>
        <v>1388.78</v>
      </c>
      <c r="K447" s="27" t="str">
        <f>VLOOKUP($F447,mapping!$L$2:$P$92,4,0)</f>
        <v>Developing Asia</v>
      </c>
      <c r="L447" s="29">
        <f>$D447*VLOOKUP($E447,'Charts data'!$A$2:$B$11,2,0)*VLOOKUP($G447,'Charts data'!$A$14:$B$18,2,0)/IF('Charts data'!$E$3=1,I447,1)/IF('Charts data'!$E$4=1,J447,1)</f>
        <v>8903.9583437212841</v>
      </c>
    </row>
    <row r="448" spans="1:12" x14ac:dyDescent="0.25">
      <c r="A448" s="27" t="s">
        <v>755</v>
      </c>
      <c r="B448" s="27">
        <v>400000</v>
      </c>
      <c r="C448" s="27" t="s">
        <v>16</v>
      </c>
      <c r="D448" s="28">
        <f>B448*VLOOKUP(C448,tblXrate[],2,0)</f>
        <v>7123.1666749770275</v>
      </c>
      <c r="E448" s="27" t="s">
        <v>19</v>
      </c>
      <c r="F448" s="27" t="s">
        <v>3</v>
      </c>
      <c r="G448" s="27" t="s">
        <v>2274</v>
      </c>
      <c r="H448" s="27">
        <v>3</v>
      </c>
      <c r="I448" s="27">
        <f>VLOOKUP(F448,mapping!$L$2:$P$92,2,0)</f>
        <v>0.34064763831408895</v>
      </c>
      <c r="J448" s="27">
        <f>VLOOKUP($F448,mapping!$L$2:$P$92,3,0)</f>
        <v>1388.78</v>
      </c>
      <c r="K448" s="27" t="str">
        <f>VLOOKUP($F448,mapping!$L$2:$P$92,4,0)</f>
        <v>Developing Asia</v>
      </c>
      <c r="L448" s="29">
        <f>$D448*VLOOKUP($E448,'Charts data'!$A$2:$B$11,2,0)*VLOOKUP($G448,'Charts data'!$A$14:$B$18,2,0)/IF('Charts data'!$E$3=1,I448,1)/IF('Charts data'!$E$4=1,J448,1)</f>
        <v>7123.1666749770275</v>
      </c>
    </row>
    <row r="449" spans="1:12" x14ac:dyDescent="0.25">
      <c r="A449" s="27" t="s">
        <v>760</v>
      </c>
      <c r="B449" s="27">
        <v>240000</v>
      </c>
      <c r="C449" s="27" t="s">
        <v>16</v>
      </c>
      <c r="D449" s="28">
        <f>B449*VLOOKUP(C449,tblXrate[],2,0)</f>
        <v>4273.9000049862161</v>
      </c>
      <c r="E449" s="27" t="s">
        <v>7</v>
      </c>
      <c r="F449" s="27" t="s">
        <v>3</v>
      </c>
      <c r="G449" s="27" t="s">
        <v>2272</v>
      </c>
      <c r="H449" s="27">
        <v>5</v>
      </c>
      <c r="I449" s="27">
        <f>VLOOKUP(F449,mapping!$L$2:$P$92,2,0)</f>
        <v>0.34064763831408895</v>
      </c>
      <c r="J449" s="27">
        <f>VLOOKUP($F449,mapping!$L$2:$P$92,3,0)</f>
        <v>1388.78</v>
      </c>
      <c r="K449" s="27" t="str">
        <f>VLOOKUP($F449,mapping!$L$2:$P$92,4,0)</f>
        <v>Developing Asia</v>
      </c>
      <c r="L449" s="29">
        <f>$D449*VLOOKUP($E449,'Charts data'!$A$2:$B$11,2,0)*VLOOKUP($G449,'Charts data'!$A$14:$B$18,2,0)/IF('Charts data'!$E$3=1,I449,1)/IF('Charts data'!$E$4=1,J449,1)</f>
        <v>4273.9000049862161</v>
      </c>
    </row>
    <row r="450" spans="1:12" x14ac:dyDescent="0.25">
      <c r="A450" s="27" t="s">
        <v>766</v>
      </c>
      <c r="B450" s="27">
        <v>380000</v>
      </c>
      <c r="C450" s="27" t="s">
        <v>16</v>
      </c>
      <c r="D450" s="28">
        <f>B450*VLOOKUP(C450,tblXrate[],2,0)</f>
        <v>6767.0083412281756</v>
      </c>
      <c r="E450" s="27" t="s">
        <v>19</v>
      </c>
      <c r="F450" s="27" t="s">
        <v>3</v>
      </c>
      <c r="G450" s="27" t="s">
        <v>2271</v>
      </c>
      <c r="H450" s="27">
        <v>10</v>
      </c>
      <c r="I450" s="27">
        <f>VLOOKUP(F450,mapping!$L$2:$P$92,2,0)</f>
        <v>0.34064763831408895</v>
      </c>
      <c r="J450" s="27">
        <f>VLOOKUP($F450,mapping!$L$2:$P$92,3,0)</f>
        <v>1388.78</v>
      </c>
      <c r="K450" s="27" t="str">
        <f>VLOOKUP($F450,mapping!$L$2:$P$92,4,0)</f>
        <v>Developing Asia</v>
      </c>
      <c r="L450" s="29">
        <f>$D450*VLOOKUP($E450,'Charts data'!$A$2:$B$11,2,0)*VLOOKUP($G450,'Charts data'!$A$14:$B$18,2,0)/IF('Charts data'!$E$3=1,I450,1)/IF('Charts data'!$E$4=1,J450,1)</f>
        <v>6767.0083412281756</v>
      </c>
    </row>
    <row r="451" spans="1:12" x14ac:dyDescent="0.25">
      <c r="A451" s="27" t="s">
        <v>768</v>
      </c>
      <c r="B451" s="27">
        <v>420000</v>
      </c>
      <c r="C451" s="27" t="s">
        <v>16</v>
      </c>
      <c r="D451" s="28">
        <f>B451*VLOOKUP(C451,tblXrate[],2,0)</f>
        <v>7479.3250087258784</v>
      </c>
      <c r="E451" s="27" t="s">
        <v>7</v>
      </c>
      <c r="F451" s="27" t="s">
        <v>3</v>
      </c>
      <c r="G451" s="27" t="s">
        <v>2271</v>
      </c>
      <c r="H451" s="27">
        <v>3</v>
      </c>
      <c r="I451" s="27">
        <f>VLOOKUP(F451,mapping!$L$2:$P$92,2,0)</f>
        <v>0.34064763831408895</v>
      </c>
      <c r="J451" s="27">
        <f>VLOOKUP($F451,mapping!$L$2:$P$92,3,0)</f>
        <v>1388.78</v>
      </c>
      <c r="K451" s="27" t="str">
        <f>VLOOKUP($F451,mapping!$L$2:$P$92,4,0)</f>
        <v>Developing Asia</v>
      </c>
      <c r="L451" s="29">
        <f>$D451*VLOOKUP($E451,'Charts data'!$A$2:$B$11,2,0)*VLOOKUP($G451,'Charts data'!$A$14:$B$18,2,0)/IF('Charts data'!$E$3=1,I451,1)/IF('Charts data'!$E$4=1,J451,1)</f>
        <v>7479.3250087258784</v>
      </c>
    </row>
    <row r="452" spans="1:12" x14ac:dyDescent="0.25">
      <c r="A452" s="27" t="s">
        <v>771</v>
      </c>
      <c r="B452" s="27">
        <v>850000</v>
      </c>
      <c r="C452" s="27" t="s">
        <v>16</v>
      </c>
      <c r="D452" s="28">
        <f>B452*VLOOKUP(C452,tblXrate[],2,0)</f>
        <v>15136.729184326183</v>
      </c>
      <c r="E452" s="27" t="s">
        <v>7</v>
      </c>
      <c r="F452" s="27" t="s">
        <v>3</v>
      </c>
      <c r="G452" s="27" t="s">
        <v>2271</v>
      </c>
      <c r="H452" s="27">
        <v>6</v>
      </c>
      <c r="I452" s="27">
        <f>VLOOKUP(F452,mapping!$L$2:$P$92,2,0)</f>
        <v>0.34064763831408895</v>
      </c>
      <c r="J452" s="27">
        <f>VLOOKUP($F452,mapping!$L$2:$P$92,3,0)</f>
        <v>1388.78</v>
      </c>
      <c r="K452" s="27" t="str">
        <f>VLOOKUP($F452,mapping!$L$2:$P$92,4,0)</f>
        <v>Developing Asia</v>
      </c>
      <c r="L452" s="29">
        <f>$D452*VLOOKUP($E452,'Charts data'!$A$2:$B$11,2,0)*VLOOKUP($G452,'Charts data'!$A$14:$B$18,2,0)/IF('Charts data'!$E$3=1,I452,1)/IF('Charts data'!$E$4=1,J452,1)</f>
        <v>15136.729184326183</v>
      </c>
    </row>
    <row r="453" spans="1:12" x14ac:dyDescent="0.25">
      <c r="A453" s="27" t="s">
        <v>772</v>
      </c>
      <c r="B453" s="27">
        <v>1800000</v>
      </c>
      <c r="C453" s="27" t="s">
        <v>16</v>
      </c>
      <c r="D453" s="28">
        <f>B453*VLOOKUP(C453,tblXrate[],2,0)</f>
        <v>32054.250037396621</v>
      </c>
      <c r="E453" s="27" t="s">
        <v>19</v>
      </c>
      <c r="F453" s="27" t="s">
        <v>3</v>
      </c>
      <c r="G453" s="27" t="s">
        <v>2272</v>
      </c>
      <c r="H453" s="27">
        <v>10</v>
      </c>
      <c r="I453" s="27">
        <f>VLOOKUP(F453,mapping!$L$2:$P$92,2,0)</f>
        <v>0.34064763831408895</v>
      </c>
      <c r="J453" s="27">
        <f>VLOOKUP($F453,mapping!$L$2:$P$92,3,0)</f>
        <v>1388.78</v>
      </c>
      <c r="K453" s="27" t="str">
        <f>VLOOKUP($F453,mapping!$L$2:$P$92,4,0)</f>
        <v>Developing Asia</v>
      </c>
      <c r="L453" s="29">
        <f>$D453*VLOOKUP($E453,'Charts data'!$A$2:$B$11,2,0)*VLOOKUP($G453,'Charts data'!$A$14:$B$18,2,0)/IF('Charts data'!$E$3=1,I453,1)/IF('Charts data'!$E$4=1,J453,1)</f>
        <v>32054.250037396621</v>
      </c>
    </row>
    <row r="454" spans="1:12" x14ac:dyDescent="0.25">
      <c r="A454" s="27" t="s">
        <v>776</v>
      </c>
      <c r="B454" s="27">
        <v>160000</v>
      </c>
      <c r="C454" s="27" t="s">
        <v>16</v>
      </c>
      <c r="D454" s="28">
        <f>B454*VLOOKUP(C454,tblXrate[],2,0)</f>
        <v>2849.2666699908109</v>
      </c>
      <c r="E454" s="27" t="s">
        <v>2145</v>
      </c>
      <c r="F454" s="27" t="s">
        <v>3</v>
      </c>
      <c r="G454" s="27" t="s">
        <v>2273</v>
      </c>
      <c r="H454" s="27">
        <v>3</v>
      </c>
      <c r="I454" s="27">
        <f>VLOOKUP(F454,mapping!$L$2:$P$92,2,0)</f>
        <v>0.34064763831408895</v>
      </c>
      <c r="J454" s="27">
        <f>VLOOKUP($F454,mapping!$L$2:$P$92,3,0)</f>
        <v>1388.78</v>
      </c>
      <c r="K454" s="27" t="str">
        <f>VLOOKUP($F454,mapping!$L$2:$P$92,4,0)</f>
        <v>Developing Asia</v>
      </c>
      <c r="L454" s="29">
        <f>$D454*VLOOKUP($E454,'Charts data'!$A$2:$B$11,2,0)*VLOOKUP($G454,'Charts data'!$A$14:$B$18,2,0)/IF('Charts data'!$E$3=1,I454,1)/IF('Charts data'!$E$4=1,J454,1)</f>
        <v>2849.2666699908109</v>
      </c>
    </row>
    <row r="455" spans="1:12" x14ac:dyDescent="0.25">
      <c r="A455" s="27" t="s">
        <v>785</v>
      </c>
      <c r="B455" s="27">
        <v>720000</v>
      </c>
      <c r="C455" s="27" t="s">
        <v>16</v>
      </c>
      <c r="D455" s="28">
        <f>B455*VLOOKUP(C455,tblXrate[],2,0)</f>
        <v>12821.700014958649</v>
      </c>
      <c r="E455" s="27" t="s">
        <v>19</v>
      </c>
      <c r="F455" s="27" t="s">
        <v>3</v>
      </c>
      <c r="G455" s="27" t="s">
        <v>2271</v>
      </c>
      <c r="H455" s="27">
        <v>12</v>
      </c>
      <c r="I455" s="27">
        <f>VLOOKUP(F455,mapping!$L$2:$P$92,2,0)</f>
        <v>0.34064763831408895</v>
      </c>
      <c r="J455" s="27">
        <f>VLOOKUP($F455,mapping!$L$2:$P$92,3,0)</f>
        <v>1388.78</v>
      </c>
      <c r="K455" s="27" t="str">
        <f>VLOOKUP($F455,mapping!$L$2:$P$92,4,0)</f>
        <v>Developing Asia</v>
      </c>
      <c r="L455" s="29">
        <f>$D455*VLOOKUP($E455,'Charts data'!$A$2:$B$11,2,0)*VLOOKUP($G455,'Charts data'!$A$14:$B$18,2,0)/IF('Charts data'!$E$3=1,I455,1)/IF('Charts data'!$E$4=1,J455,1)</f>
        <v>12821.700014958649</v>
      </c>
    </row>
    <row r="456" spans="1:12" x14ac:dyDescent="0.25">
      <c r="A456" s="27" t="s">
        <v>791</v>
      </c>
      <c r="B456" s="27">
        <v>200000</v>
      </c>
      <c r="C456" s="27" t="s">
        <v>16</v>
      </c>
      <c r="D456" s="28">
        <f>B456*VLOOKUP(C456,tblXrate[],2,0)</f>
        <v>3561.5833374885137</v>
      </c>
      <c r="E456" s="27" t="s">
        <v>51</v>
      </c>
      <c r="F456" s="27" t="s">
        <v>3</v>
      </c>
      <c r="G456" s="27" t="s">
        <v>2271</v>
      </c>
      <c r="H456" s="27">
        <v>3</v>
      </c>
      <c r="I456" s="27">
        <f>VLOOKUP(F456,mapping!$L$2:$P$92,2,0)</f>
        <v>0.34064763831408895</v>
      </c>
      <c r="J456" s="27">
        <f>VLOOKUP($F456,mapping!$L$2:$P$92,3,0)</f>
        <v>1388.78</v>
      </c>
      <c r="K456" s="27" t="str">
        <f>VLOOKUP($F456,mapping!$L$2:$P$92,4,0)</f>
        <v>Developing Asia</v>
      </c>
      <c r="L456" s="29">
        <f>$D456*VLOOKUP($E456,'Charts data'!$A$2:$B$11,2,0)*VLOOKUP($G456,'Charts data'!$A$14:$B$18,2,0)/IF('Charts data'!$E$3=1,I456,1)/IF('Charts data'!$E$4=1,J456,1)</f>
        <v>3561.5833374885137</v>
      </c>
    </row>
    <row r="457" spans="1:12" x14ac:dyDescent="0.25">
      <c r="A457" s="27" t="s">
        <v>793</v>
      </c>
      <c r="B457" s="27">
        <v>600000</v>
      </c>
      <c r="C457" s="27" t="s">
        <v>16</v>
      </c>
      <c r="D457" s="28">
        <f>B457*VLOOKUP(C457,tblXrate[],2,0)</f>
        <v>10684.750012465542</v>
      </c>
      <c r="E457" s="27" t="s">
        <v>7</v>
      </c>
      <c r="F457" s="27" t="s">
        <v>3</v>
      </c>
      <c r="G457" s="27" t="s">
        <v>2272</v>
      </c>
      <c r="H457" s="27">
        <v>3</v>
      </c>
      <c r="I457" s="27">
        <f>VLOOKUP(F457,mapping!$L$2:$P$92,2,0)</f>
        <v>0.34064763831408895</v>
      </c>
      <c r="J457" s="27">
        <f>VLOOKUP($F457,mapping!$L$2:$P$92,3,0)</f>
        <v>1388.78</v>
      </c>
      <c r="K457" s="27" t="str">
        <f>VLOOKUP($F457,mapping!$L$2:$P$92,4,0)</f>
        <v>Developing Asia</v>
      </c>
      <c r="L457" s="29">
        <f>$D457*VLOOKUP($E457,'Charts data'!$A$2:$B$11,2,0)*VLOOKUP($G457,'Charts data'!$A$14:$B$18,2,0)/IF('Charts data'!$E$3=1,I457,1)/IF('Charts data'!$E$4=1,J457,1)</f>
        <v>10684.750012465542</v>
      </c>
    </row>
    <row r="458" spans="1:12" x14ac:dyDescent="0.25">
      <c r="A458" s="27" t="s">
        <v>794</v>
      </c>
      <c r="B458" s="27">
        <v>300000</v>
      </c>
      <c r="C458" s="27" t="s">
        <v>16</v>
      </c>
      <c r="D458" s="28">
        <f>B458*VLOOKUP(C458,tblXrate[],2,0)</f>
        <v>5342.3750062327708</v>
      </c>
      <c r="E458" s="27" t="s">
        <v>48</v>
      </c>
      <c r="F458" s="27" t="s">
        <v>3</v>
      </c>
      <c r="G458" s="27" t="s">
        <v>2273</v>
      </c>
      <c r="H458" s="27">
        <v>2</v>
      </c>
      <c r="I458" s="27">
        <f>VLOOKUP(F458,mapping!$L$2:$P$92,2,0)</f>
        <v>0.34064763831408895</v>
      </c>
      <c r="J458" s="27">
        <f>VLOOKUP($F458,mapping!$L$2:$P$92,3,0)</f>
        <v>1388.78</v>
      </c>
      <c r="K458" s="27" t="str">
        <f>VLOOKUP($F458,mapping!$L$2:$P$92,4,0)</f>
        <v>Developing Asia</v>
      </c>
      <c r="L458" s="29">
        <f>$D458*VLOOKUP($E458,'Charts data'!$A$2:$B$11,2,0)*VLOOKUP($G458,'Charts data'!$A$14:$B$18,2,0)/IF('Charts data'!$E$3=1,I458,1)/IF('Charts data'!$E$4=1,J458,1)</f>
        <v>5342.3750062327708</v>
      </c>
    </row>
    <row r="459" spans="1:12" x14ac:dyDescent="0.25">
      <c r="A459" s="27" t="s">
        <v>795</v>
      </c>
      <c r="B459" s="27">
        <v>4000000</v>
      </c>
      <c r="C459" s="27" t="s">
        <v>16</v>
      </c>
      <c r="D459" s="28">
        <f>B459*VLOOKUP(C459,tblXrate[],2,0)</f>
        <v>71231.666749770273</v>
      </c>
      <c r="E459" s="27" t="s">
        <v>19</v>
      </c>
      <c r="F459" s="27" t="s">
        <v>3</v>
      </c>
      <c r="G459" s="27" t="s">
        <v>2271</v>
      </c>
      <c r="H459" s="27">
        <v>1.5</v>
      </c>
      <c r="I459" s="27">
        <f>VLOOKUP(F459,mapping!$L$2:$P$92,2,0)</f>
        <v>0.34064763831408895</v>
      </c>
      <c r="J459" s="27">
        <f>VLOOKUP($F459,mapping!$L$2:$P$92,3,0)</f>
        <v>1388.78</v>
      </c>
      <c r="K459" s="27" t="str">
        <f>VLOOKUP($F459,mapping!$L$2:$P$92,4,0)</f>
        <v>Developing Asia</v>
      </c>
      <c r="L459" s="29">
        <f>$D459*VLOOKUP($E459,'Charts data'!$A$2:$B$11,2,0)*VLOOKUP($G459,'Charts data'!$A$14:$B$18,2,0)/IF('Charts data'!$E$3=1,I459,1)/IF('Charts data'!$E$4=1,J459,1)</f>
        <v>71231.666749770273</v>
      </c>
    </row>
    <row r="460" spans="1:12" x14ac:dyDescent="0.25">
      <c r="A460" s="27" t="s">
        <v>796</v>
      </c>
      <c r="B460" s="27">
        <v>4500000</v>
      </c>
      <c r="C460" s="27" t="s">
        <v>16</v>
      </c>
      <c r="D460" s="28">
        <f>B460*VLOOKUP(C460,tblXrate[],2,0)</f>
        <v>80135.625093491559</v>
      </c>
      <c r="E460" s="27" t="s">
        <v>2147</v>
      </c>
      <c r="F460" s="27" t="s">
        <v>3</v>
      </c>
      <c r="G460" s="27" t="s">
        <v>2274</v>
      </c>
      <c r="H460" s="27">
        <v>6</v>
      </c>
      <c r="I460" s="27">
        <f>VLOOKUP(F460,mapping!$L$2:$P$92,2,0)</f>
        <v>0.34064763831408895</v>
      </c>
      <c r="J460" s="27">
        <f>VLOOKUP($F460,mapping!$L$2:$P$92,3,0)</f>
        <v>1388.78</v>
      </c>
      <c r="K460" s="27" t="str">
        <f>VLOOKUP($F460,mapping!$L$2:$P$92,4,0)</f>
        <v>Developing Asia</v>
      </c>
      <c r="L460" s="29">
        <f>$D460*VLOOKUP($E460,'Charts data'!$A$2:$B$11,2,0)*VLOOKUP($G460,'Charts data'!$A$14:$B$18,2,0)/IF('Charts data'!$E$3=1,I460,1)/IF('Charts data'!$E$4=1,J460,1)</f>
        <v>80135.625093491559</v>
      </c>
    </row>
    <row r="461" spans="1:12" x14ac:dyDescent="0.25">
      <c r="A461" s="27" t="s">
        <v>799</v>
      </c>
      <c r="B461" s="27">
        <v>300000</v>
      </c>
      <c r="C461" s="27" t="s">
        <v>16</v>
      </c>
      <c r="D461" s="28">
        <f>B461*VLOOKUP(C461,tblXrate[],2,0)</f>
        <v>5342.3750062327708</v>
      </c>
      <c r="E461" s="27" t="s">
        <v>2145</v>
      </c>
      <c r="F461" s="27" t="s">
        <v>3</v>
      </c>
      <c r="G461" s="27" t="s">
        <v>2271</v>
      </c>
      <c r="H461" s="27">
        <v>1</v>
      </c>
      <c r="I461" s="27">
        <f>VLOOKUP(F461,mapping!$L$2:$P$92,2,0)</f>
        <v>0.34064763831408895</v>
      </c>
      <c r="J461" s="27">
        <f>VLOOKUP($F461,mapping!$L$2:$P$92,3,0)</f>
        <v>1388.78</v>
      </c>
      <c r="K461" s="27" t="str">
        <f>VLOOKUP($F461,mapping!$L$2:$P$92,4,0)</f>
        <v>Developing Asia</v>
      </c>
      <c r="L461" s="29">
        <f>$D461*VLOOKUP($E461,'Charts data'!$A$2:$B$11,2,0)*VLOOKUP($G461,'Charts data'!$A$14:$B$18,2,0)/IF('Charts data'!$E$3=1,I461,1)/IF('Charts data'!$E$4=1,J461,1)</f>
        <v>5342.3750062327708</v>
      </c>
    </row>
    <row r="462" spans="1:12" x14ac:dyDescent="0.25">
      <c r="A462" s="27" t="s">
        <v>800</v>
      </c>
      <c r="B462" s="27">
        <v>400000</v>
      </c>
      <c r="C462" s="27" t="s">
        <v>16</v>
      </c>
      <c r="D462" s="28">
        <f>B462*VLOOKUP(C462,tblXrate[],2,0)</f>
        <v>7123.1666749770275</v>
      </c>
      <c r="E462" s="27" t="s">
        <v>19</v>
      </c>
      <c r="F462" s="27" t="s">
        <v>3</v>
      </c>
      <c r="G462" s="27" t="s">
        <v>2274</v>
      </c>
      <c r="H462" s="27">
        <v>5</v>
      </c>
      <c r="I462" s="27">
        <f>VLOOKUP(F462,mapping!$L$2:$P$92,2,0)</f>
        <v>0.34064763831408895</v>
      </c>
      <c r="J462" s="27">
        <f>VLOOKUP($F462,mapping!$L$2:$P$92,3,0)</f>
        <v>1388.78</v>
      </c>
      <c r="K462" s="27" t="str">
        <f>VLOOKUP($F462,mapping!$L$2:$P$92,4,0)</f>
        <v>Developing Asia</v>
      </c>
      <c r="L462" s="29">
        <f>$D462*VLOOKUP($E462,'Charts data'!$A$2:$B$11,2,0)*VLOOKUP($G462,'Charts data'!$A$14:$B$18,2,0)/IF('Charts data'!$E$3=1,I462,1)/IF('Charts data'!$E$4=1,J462,1)</f>
        <v>7123.1666749770275</v>
      </c>
    </row>
    <row r="463" spans="1:12" x14ac:dyDescent="0.25">
      <c r="A463" s="27" t="s">
        <v>801</v>
      </c>
      <c r="B463" s="27">
        <v>600000</v>
      </c>
      <c r="C463" s="27" t="s">
        <v>16</v>
      </c>
      <c r="D463" s="28">
        <f>B463*VLOOKUP(C463,tblXrate[],2,0)</f>
        <v>10684.750012465542</v>
      </c>
      <c r="E463" s="27" t="s">
        <v>19</v>
      </c>
      <c r="F463" s="27" t="s">
        <v>3</v>
      </c>
      <c r="G463" s="27" t="s">
        <v>2271</v>
      </c>
      <c r="H463" s="27">
        <v>11</v>
      </c>
      <c r="I463" s="27">
        <f>VLOOKUP(F463,mapping!$L$2:$P$92,2,0)</f>
        <v>0.34064763831408895</v>
      </c>
      <c r="J463" s="27">
        <f>VLOOKUP($F463,mapping!$L$2:$P$92,3,0)</f>
        <v>1388.78</v>
      </c>
      <c r="K463" s="27" t="str">
        <f>VLOOKUP($F463,mapping!$L$2:$P$92,4,0)</f>
        <v>Developing Asia</v>
      </c>
      <c r="L463" s="29">
        <f>$D463*VLOOKUP($E463,'Charts data'!$A$2:$B$11,2,0)*VLOOKUP($G463,'Charts data'!$A$14:$B$18,2,0)/IF('Charts data'!$E$3=1,I463,1)/IF('Charts data'!$E$4=1,J463,1)</f>
        <v>10684.750012465542</v>
      </c>
    </row>
    <row r="464" spans="1:12" x14ac:dyDescent="0.25">
      <c r="A464" s="27" t="s">
        <v>804</v>
      </c>
      <c r="B464" s="27">
        <v>150000</v>
      </c>
      <c r="C464" s="27" t="s">
        <v>16</v>
      </c>
      <c r="D464" s="28">
        <f>B464*VLOOKUP(C464,tblXrate[],2,0)</f>
        <v>2671.1875031163854</v>
      </c>
      <c r="E464" s="27" t="s">
        <v>19</v>
      </c>
      <c r="F464" s="27" t="s">
        <v>3</v>
      </c>
      <c r="G464" s="27" t="s">
        <v>2272</v>
      </c>
      <c r="H464" s="27">
        <v>5</v>
      </c>
      <c r="I464" s="27">
        <f>VLOOKUP(F464,mapping!$L$2:$P$92,2,0)</f>
        <v>0.34064763831408895</v>
      </c>
      <c r="J464" s="27">
        <f>VLOOKUP($F464,mapping!$L$2:$P$92,3,0)</f>
        <v>1388.78</v>
      </c>
      <c r="K464" s="27" t="str">
        <f>VLOOKUP($F464,mapping!$L$2:$P$92,4,0)</f>
        <v>Developing Asia</v>
      </c>
      <c r="L464" s="29">
        <f>$D464*VLOOKUP($E464,'Charts data'!$A$2:$B$11,2,0)*VLOOKUP($G464,'Charts data'!$A$14:$B$18,2,0)/IF('Charts data'!$E$3=1,I464,1)/IF('Charts data'!$E$4=1,J464,1)</f>
        <v>2671.1875031163854</v>
      </c>
    </row>
    <row r="465" spans="1:12" x14ac:dyDescent="0.25">
      <c r="A465" s="27" t="s">
        <v>805</v>
      </c>
      <c r="B465" s="27">
        <v>800000</v>
      </c>
      <c r="C465" s="27" t="s">
        <v>16</v>
      </c>
      <c r="D465" s="28">
        <f>B465*VLOOKUP(C465,tblXrate[],2,0)</f>
        <v>14246.333349954055</v>
      </c>
      <c r="E465" s="27" t="s">
        <v>48</v>
      </c>
      <c r="F465" s="27" t="s">
        <v>3</v>
      </c>
      <c r="G465" s="27" t="s">
        <v>2272</v>
      </c>
      <c r="H465" s="27">
        <v>3</v>
      </c>
      <c r="I465" s="27">
        <f>VLOOKUP(F465,mapping!$L$2:$P$92,2,0)</f>
        <v>0.34064763831408895</v>
      </c>
      <c r="J465" s="27">
        <f>VLOOKUP($F465,mapping!$L$2:$P$92,3,0)</f>
        <v>1388.78</v>
      </c>
      <c r="K465" s="27" t="str">
        <f>VLOOKUP($F465,mapping!$L$2:$P$92,4,0)</f>
        <v>Developing Asia</v>
      </c>
      <c r="L465" s="29">
        <f>$D465*VLOOKUP($E465,'Charts data'!$A$2:$B$11,2,0)*VLOOKUP($G465,'Charts data'!$A$14:$B$18,2,0)/IF('Charts data'!$E$3=1,I465,1)/IF('Charts data'!$E$4=1,J465,1)</f>
        <v>14246.333349954055</v>
      </c>
    </row>
    <row r="466" spans="1:12" x14ac:dyDescent="0.25">
      <c r="A466" s="27" t="s">
        <v>806</v>
      </c>
      <c r="B466" s="27">
        <v>480000</v>
      </c>
      <c r="C466" s="27" t="s">
        <v>16</v>
      </c>
      <c r="D466" s="28">
        <f>B466*VLOOKUP(C466,tblXrate[],2,0)</f>
        <v>8547.8000099724322</v>
      </c>
      <c r="E466" s="27" t="s">
        <v>2145</v>
      </c>
      <c r="F466" s="27" t="s">
        <v>3</v>
      </c>
      <c r="G466" s="27" t="s">
        <v>2274</v>
      </c>
      <c r="H466" s="27">
        <v>3</v>
      </c>
      <c r="I466" s="27">
        <f>VLOOKUP(F466,mapping!$L$2:$P$92,2,0)</f>
        <v>0.34064763831408895</v>
      </c>
      <c r="J466" s="27">
        <f>VLOOKUP($F466,mapping!$L$2:$P$92,3,0)</f>
        <v>1388.78</v>
      </c>
      <c r="K466" s="27" t="str">
        <f>VLOOKUP($F466,mapping!$L$2:$P$92,4,0)</f>
        <v>Developing Asia</v>
      </c>
      <c r="L466" s="29">
        <f>$D466*VLOOKUP($E466,'Charts data'!$A$2:$B$11,2,0)*VLOOKUP($G466,'Charts data'!$A$14:$B$18,2,0)/IF('Charts data'!$E$3=1,I466,1)/IF('Charts data'!$E$4=1,J466,1)</f>
        <v>8547.8000099724322</v>
      </c>
    </row>
    <row r="467" spans="1:12" x14ac:dyDescent="0.25">
      <c r="A467" s="27" t="s">
        <v>807</v>
      </c>
      <c r="B467" s="27">
        <v>432000</v>
      </c>
      <c r="C467" s="27" t="s">
        <v>16</v>
      </c>
      <c r="D467" s="28">
        <f>B467*VLOOKUP(C467,tblXrate[],2,0)</f>
        <v>7693.0200089751897</v>
      </c>
      <c r="E467" s="27" t="s">
        <v>19</v>
      </c>
      <c r="F467" s="27" t="s">
        <v>3</v>
      </c>
      <c r="G467" s="27" t="s">
        <v>2272</v>
      </c>
      <c r="H467" s="27">
        <v>5</v>
      </c>
      <c r="I467" s="27">
        <f>VLOOKUP(F467,mapping!$L$2:$P$92,2,0)</f>
        <v>0.34064763831408895</v>
      </c>
      <c r="J467" s="27">
        <f>VLOOKUP($F467,mapping!$L$2:$P$92,3,0)</f>
        <v>1388.78</v>
      </c>
      <c r="K467" s="27" t="str">
        <f>VLOOKUP($F467,mapping!$L$2:$P$92,4,0)</f>
        <v>Developing Asia</v>
      </c>
      <c r="L467" s="29">
        <f>$D467*VLOOKUP($E467,'Charts data'!$A$2:$B$11,2,0)*VLOOKUP($G467,'Charts data'!$A$14:$B$18,2,0)/IF('Charts data'!$E$3=1,I467,1)/IF('Charts data'!$E$4=1,J467,1)</f>
        <v>7693.0200089751897</v>
      </c>
    </row>
    <row r="468" spans="1:12" x14ac:dyDescent="0.25">
      <c r="A468" s="27" t="s">
        <v>810</v>
      </c>
      <c r="B468" s="27">
        <v>10500000</v>
      </c>
      <c r="C468" s="27" t="s">
        <v>16</v>
      </c>
      <c r="D468" s="28">
        <f>B468*VLOOKUP(C468,tblXrate[],2,0)</f>
        <v>186983.12521814698</v>
      </c>
      <c r="E468" s="27" t="s">
        <v>19</v>
      </c>
      <c r="F468" s="27" t="s">
        <v>3</v>
      </c>
      <c r="G468" s="27" t="s">
        <v>2272</v>
      </c>
      <c r="H468" s="27">
        <v>10</v>
      </c>
      <c r="I468" s="27">
        <f>VLOOKUP(F468,mapping!$L$2:$P$92,2,0)</f>
        <v>0.34064763831408895</v>
      </c>
      <c r="J468" s="27">
        <f>VLOOKUP($F468,mapping!$L$2:$P$92,3,0)</f>
        <v>1388.78</v>
      </c>
      <c r="K468" s="27" t="str">
        <f>VLOOKUP($F468,mapping!$L$2:$P$92,4,0)</f>
        <v>Developing Asia</v>
      </c>
      <c r="L468" s="29">
        <f>$D468*VLOOKUP($E468,'Charts data'!$A$2:$B$11,2,0)*VLOOKUP($G468,'Charts data'!$A$14:$B$18,2,0)/IF('Charts data'!$E$3=1,I468,1)/IF('Charts data'!$E$4=1,J468,1)</f>
        <v>186983.12521814698</v>
      </c>
    </row>
    <row r="469" spans="1:12" x14ac:dyDescent="0.25">
      <c r="A469" s="27" t="s">
        <v>814</v>
      </c>
      <c r="B469" s="27">
        <v>950000</v>
      </c>
      <c r="C469" s="27" t="s">
        <v>16</v>
      </c>
      <c r="D469" s="28">
        <f>B469*VLOOKUP(C469,tblXrate[],2,0)</f>
        <v>16917.52085307044</v>
      </c>
      <c r="E469" s="27" t="s">
        <v>19</v>
      </c>
      <c r="F469" s="27" t="s">
        <v>3</v>
      </c>
      <c r="G469" s="27" t="s">
        <v>2271</v>
      </c>
      <c r="H469" s="27">
        <v>3</v>
      </c>
      <c r="I469" s="27">
        <f>VLOOKUP(F469,mapping!$L$2:$P$92,2,0)</f>
        <v>0.34064763831408895</v>
      </c>
      <c r="J469" s="27">
        <f>VLOOKUP($F469,mapping!$L$2:$P$92,3,0)</f>
        <v>1388.78</v>
      </c>
      <c r="K469" s="27" t="str">
        <f>VLOOKUP($F469,mapping!$L$2:$P$92,4,0)</f>
        <v>Developing Asia</v>
      </c>
      <c r="L469" s="29">
        <f>$D469*VLOOKUP($E469,'Charts data'!$A$2:$B$11,2,0)*VLOOKUP($G469,'Charts data'!$A$14:$B$18,2,0)/IF('Charts data'!$E$3=1,I469,1)/IF('Charts data'!$E$4=1,J469,1)</f>
        <v>16917.52085307044</v>
      </c>
    </row>
    <row r="470" spans="1:12" x14ac:dyDescent="0.25">
      <c r="A470" s="27" t="s">
        <v>815</v>
      </c>
      <c r="B470" s="27">
        <v>165000</v>
      </c>
      <c r="C470" s="27" t="s">
        <v>16</v>
      </c>
      <c r="D470" s="28">
        <f>B470*VLOOKUP(C470,tblXrate[],2,0)</f>
        <v>2938.3062534280239</v>
      </c>
      <c r="E470" s="27" t="s">
        <v>19</v>
      </c>
      <c r="F470" s="27" t="s">
        <v>3</v>
      </c>
      <c r="G470" s="27" t="s">
        <v>2273</v>
      </c>
      <c r="H470" s="27">
        <v>11</v>
      </c>
      <c r="I470" s="27">
        <f>VLOOKUP(F470,mapping!$L$2:$P$92,2,0)</f>
        <v>0.34064763831408895</v>
      </c>
      <c r="J470" s="27">
        <f>VLOOKUP($F470,mapping!$L$2:$P$92,3,0)</f>
        <v>1388.78</v>
      </c>
      <c r="K470" s="27" t="str">
        <f>VLOOKUP($F470,mapping!$L$2:$P$92,4,0)</f>
        <v>Developing Asia</v>
      </c>
      <c r="L470" s="29">
        <f>$D470*VLOOKUP($E470,'Charts data'!$A$2:$B$11,2,0)*VLOOKUP($G470,'Charts data'!$A$14:$B$18,2,0)/IF('Charts data'!$E$3=1,I470,1)/IF('Charts data'!$E$4=1,J470,1)</f>
        <v>2938.3062534280239</v>
      </c>
    </row>
    <row r="471" spans="1:12" x14ac:dyDescent="0.25">
      <c r="A471" s="27" t="s">
        <v>818</v>
      </c>
      <c r="B471" s="27">
        <v>300000</v>
      </c>
      <c r="C471" s="27" t="s">
        <v>16</v>
      </c>
      <c r="D471" s="28">
        <f>B471*VLOOKUP(C471,tblXrate[],2,0)</f>
        <v>5342.3750062327708</v>
      </c>
      <c r="E471" s="27" t="s">
        <v>7</v>
      </c>
      <c r="F471" s="27" t="s">
        <v>3</v>
      </c>
      <c r="G471" s="27" t="s">
        <v>2271</v>
      </c>
      <c r="H471" s="27">
        <v>4.5</v>
      </c>
      <c r="I471" s="27">
        <f>VLOOKUP(F471,mapping!$L$2:$P$92,2,0)</f>
        <v>0.34064763831408895</v>
      </c>
      <c r="J471" s="27">
        <f>VLOOKUP($F471,mapping!$L$2:$P$92,3,0)</f>
        <v>1388.78</v>
      </c>
      <c r="K471" s="27" t="str">
        <f>VLOOKUP($F471,mapping!$L$2:$P$92,4,0)</f>
        <v>Developing Asia</v>
      </c>
      <c r="L471" s="29">
        <f>$D471*VLOOKUP($E471,'Charts data'!$A$2:$B$11,2,0)*VLOOKUP($G471,'Charts data'!$A$14:$B$18,2,0)/IF('Charts data'!$E$3=1,I471,1)/IF('Charts data'!$E$4=1,J471,1)</f>
        <v>5342.3750062327708</v>
      </c>
    </row>
    <row r="472" spans="1:12" x14ac:dyDescent="0.25">
      <c r="A472" s="27" t="s">
        <v>819</v>
      </c>
      <c r="B472" s="27">
        <v>200000</v>
      </c>
      <c r="C472" s="27" t="s">
        <v>16</v>
      </c>
      <c r="D472" s="28">
        <f>B472*VLOOKUP(C472,tblXrate[],2,0)</f>
        <v>3561.5833374885137</v>
      </c>
      <c r="E472" s="27" t="s">
        <v>2145</v>
      </c>
      <c r="F472" s="27" t="s">
        <v>3</v>
      </c>
      <c r="G472" s="27" t="s">
        <v>2273</v>
      </c>
      <c r="H472" s="27">
        <v>3</v>
      </c>
      <c r="I472" s="27">
        <f>VLOOKUP(F472,mapping!$L$2:$P$92,2,0)</f>
        <v>0.34064763831408895</v>
      </c>
      <c r="J472" s="27">
        <f>VLOOKUP($F472,mapping!$L$2:$P$92,3,0)</f>
        <v>1388.78</v>
      </c>
      <c r="K472" s="27" t="str">
        <f>VLOOKUP($F472,mapping!$L$2:$P$92,4,0)</f>
        <v>Developing Asia</v>
      </c>
      <c r="L472" s="29">
        <f>$D472*VLOOKUP($E472,'Charts data'!$A$2:$B$11,2,0)*VLOOKUP($G472,'Charts data'!$A$14:$B$18,2,0)/IF('Charts data'!$E$3=1,I472,1)/IF('Charts data'!$E$4=1,J472,1)</f>
        <v>3561.5833374885137</v>
      </c>
    </row>
    <row r="473" spans="1:12" x14ac:dyDescent="0.25">
      <c r="A473" s="27" t="s">
        <v>820</v>
      </c>
      <c r="B473" s="27">
        <v>480000</v>
      </c>
      <c r="C473" s="27" t="s">
        <v>16</v>
      </c>
      <c r="D473" s="28">
        <f>B473*VLOOKUP(C473,tblXrate[],2,0)</f>
        <v>8547.8000099724322</v>
      </c>
      <c r="E473" s="27" t="s">
        <v>19</v>
      </c>
      <c r="F473" s="27" t="s">
        <v>3</v>
      </c>
      <c r="G473" s="27" t="s">
        <v>2272</v>
      </c>
      <c r="H473" s="27">
        <v>8</v>
      </c>
      <c r="I473" s="27">
        <f>VLOOKUP(F473,mapping!$L$2:$P$92,2,0)</f>
        <v>0.34064763831408895</v>
      </c>
      <c r="J473" s="27">
        <f>VLOOKUP($F473,mapping!$L$2:$P$92,3,0)</f>
        <v>1388.78</v>
      </c>
      <c r="K473" s="27" t="str">
        <f>VLOOKUP($F473,mapping!$L$2:$P$92,4,0)</f>
        <v>Developing Asia</v>
      </c>
      <c r="L473" s="29">
        <f>$D473*VLOOKUP($E473,'Charts data'!$A$2:$B$11,2,0)*VLOOKUP($G473,'Charts data'!$A$14:$B$18,2,0)/IF('Charts data'!$E$3=1,I473,1)/IF('Charts data'!$E$4=1,J473,1)</f>
        <v>8547.8000099724322</v>
      </c>
    </row>
    <row r="474" spans="1:12" x14ac:dyDescent="0.25">
      <c r="A474" s="27" t="s">
        <v>822</v>
      </c>
      <c r="B474" s="27">
        <v>230000</v>
      </c>
      <c r="C474" s="27" t="s">
        <v>16</v>
      </c>
      <c r="D474" s="28">
        <f>B474*VLOOKUP(C474,tblXrate[],2,0)</f>
        <v>4095.8208381117906</v>
      </c>
      <c r="E474" s="27" t="s">
        <v>2145</v>
      </c>
      <c r="F474" s="27" t="s">
        <v>3</v>
      </c>
      <c r="G474" s="27" t="s">
        <v>2273</v>
      </c>
      <c r="H474" s="27">
        <v>3</v>
      </c>
      <c r="I474" s="27">
        <f>VLOOKUP(F474,mapping!$L$2:$P$92,2,0)</f>
        <v>0.34064763831408895</v>
      </c>
      <c r="J474" s="27">
        <f>VLOOKUP($F474,mapping!$L$2:$P$92,3,0)</f>
        <v>1388.78</v>
      </c>
      <c r="K474" s="27" t="str">
        <f>VLOOKUP($F474,mapping!$L$2:$P$92,4,0)</f>
        <v>Developing Asia</v>
      </c>
      <c r="L474" s="29">
        <f>$D474*VLOOKUP($E474,'Charts data'!$A$2:$B$11,2,0)*VLOOKUP($G474,'Charts data'!$A$14:$B$18,2,0)/IF('Charts data'!$E$3=1,I474,1)/IF('Charts data'!$E$4=1,J474,1)</f>
        <v>4095.8208381117906</v>
      </c>
    </row>
    <row r="475" spans="1:12" x14ac:dyDescent="0.25">
      <c r="A475" s="27" t="s">
        <v>830</v>
      </c>
      <c r="B475" s="27">
        <v>325000</v>
      </c>
      <c r="C475" s="27" t="s">
        <v>16</v>
      </c>
      <c r="D475" s="28">
        <f>B475*VLOOKUP(C475,tblXrate[],2,0)</f>
        <v>5787.5729234188348</v>
      </c>
      <c r="E475" s="27" t="s">
        <v>2145</v>
      </c>
      <c r="F475" s="27" t="s">
        <v>3</v>
      </c>
      <c r="G475" s="27" t="s">
        <v>2273</v>
      </c>
      <c r="H475" s="27">
        <v>4.5</v>
      </c>
      <c r="I475" s="27">
        <f>VLOOKUP(F475,mapping!$L$2:$P$92,2,0)</f>
        <v>0.34064763831408895</v>
      </c>
      <c r="J475" s="27">
        <f>VLOOKUP($F475,mapping!$L$2:$P$92,3,0)</f>
        <v>1388.78</v>
      </c>
      <c r="K475" s="27" t="str">
        <f>VLOOKUP($F475,mapping!$L$2:$P$92,4,0)</f>
        <v>Developing Asia</v>
      </c>
      <c r="L475" s="29">
        <f>$D475*VLOOKUP($E475,'Charts data'!$A$2:$B$11,2,0)*VLOOKUP($G475,'Charts data'!$A$14:$B$18,2,0)/IF('Charts data'!$E$3=1,I475,1)/IF('Charts data'!$E$4=1,J475,1)</f>
        <v>5787.5729234188348</v>
      </c>
    </row>
    <row r="476" spans="1:12" x14ac:dyDescent="0.25">
      <c r="A476" s="27" t="s">
        <v>832</v>
      </c>
      <c r="B476" s="27">
        <v>250000</v>
      </c>
      <c r="C476" s="27" t="s">
        <v>16</v>
      </c>
      <c r="D476" s="28">
        <f>B476*VLOOKUP(C476,tblXrate[],2,0)</f>
        <v>4451.9791718606421</v>
      </c>
      <c r="E476" s="27" t="s">
        <v>19</v>
      </c>
      <c r="F476" s="27" t="s">
        <v>3</v>
      </c>
      <c r="G476" s="27" t="s">
        <v>2272</v>
      </c>
      <c r="H476" s="27">
        <v>5</v>
      </c>
      <c r="I476" s="27">
        <f>VLOOKUP(F476,mapping!$L$2:$P$92,2,0)</f>
        <v>0.34064763831408895</v>
      </c>
      <c r="J476" s="27">
        <f>VLOOKUP($F476,mapping!$L$2:$P$92,3,0)</f>
        <v>1388.78</v>
      </c>
      <c r="K476" s="27" t="str">
        <f>VLOOKUP($F476,mapping!$L$2:$P$92,4,0)</f>
        <v>Developing Asia</v>
      </c>
      <c r="L476" s="29">
        <f>$D476*VLOOKUP($E476,'Charts data'!$A$2:$B$11,2,0)*VLOOKUP($G476,'Charts data'!$A$14:$B$18,2,0)/IF('Charts data'!$E$3=1,I476,1)/IF('Charts data'!$E$4=1,J476,1)</f>
        <v>4451.9791718606421</v>
      </c>
    </row>
    <row r="477" spans="1:12" x14ac:dyDescent="0.25">
      <c r="A477" s="27" t="s">
        <v>833</v>
      </c>
      <c r="B477" s="27">
        <v>470000</v>
      </c>
      <c r="C477" s="27" t="s">
        <v>16</v>
      </c>
      <c r="D477" s="28">
        <f>B477*VLOOKUP(C477,tblXrate[],2,0)</f>
        <v>8369.7208430980063</v>
      </c>
      <c r="E477" s="27" t="s">
        <v>53</v>
      </c>
      <c r="F477" s="27" t="s">
        <v>3</v>
      </c>
      <c r="G477" s="27" t="s">
        <v>2273</v>
      </c>
      <c r="H477" s="27">
        <v>4</v>
      </c>
      <c r="I477" s="27">
        <f>VLOOKUP(F477,mapping!$L$2:$P$92,2,0)</f>
        <v>0.34064763831408895</v>
      </c>
      <c r="J477" s="27">
        <f>VLOOKUP($F477,mapping!$L$2:$P$92,3,0)</f>
        <v>1388.78</v>
      </c>
      <c r="K477" s="27" t="str">
        <f>VLOOKUP($F477,mapping!$L$2:$P$92,4,0)</f>
        <v>Developing Asia</v>
      </c>
      <c r="L477" s="29">
        <f>$D477*VLOOKUP($E477,'Charts data'!$A$2:$B$11,2,0)*VLOOKUP($G477,'Charts data'!$A$14:$B$18,2,0)/IF('Charts data'!$E$3=1,I477,1)/IF('Charts data'!$E$4=1,J477,1)</f>
        <v>8369.7208430980063</v>
      </c>
    </row>
    <row r="478" spans="1:12" x14ac:dyDescent="0.25">
      <c r="A478" s="27" t="s">
        <v>836</v>
      </c>
      <c r="B478" s="27">
        <v>220000</v>
      </c>
      <c r="C478" s="27" t="s">
        <v>16</v>
      </c>
      <c r="D478" s="28">
        <f>B478*VLOOKUP(C478,tblXrate[],2,0)</f>
        <v>3917.7416712373652</v>
      </c>
      <c r="E478" s="27" t="s">
        <v>7</v>
      </c>
      <c r="F478" s="27" t="s">
        <v>3</v>
      </c>
      <c r="G478" s="27" t="s">
        <v>2272</v>
      </c>
      <c r="H478" s="27">
        <v>3</v>
      </c>
      <c r="I478" s="27">
        <f>VLOOKUP(F478,mapping!$L$2:$P$92,2,0)</f>
        <v>0.34064763831408895</v>
      </c>
      <c r="J478" s="27">
        <f>VLOOKUP($F478,mapping!$L$2:$P$92,3,0)</f>
        <v>1388.78</v>
      </c>
      <c r="K478" s="27" t="str">
        <f>VLOOKUP($F478,mapping!$L$2:$P$92,4,0)</f>
        <v>Developing Asia</v>
      </c>
      <c r="L478" s="29">
        <f>$D478*VLOOKUP($E478,'Charts data'!$A$2:$B$11,2,0)*VLOOKUP($G478,'Charts data'!$A$14:$B$18,2,0)/IF('Charts data'!$E$3=1,I478,1)/IF('Charts data'!$E$4=1,J478,1)</f>
        <v>3917.7416712373652</v>
      </c>
    </row>
    <row r="479" spans="1:12" x14ac:dyDescent="0.25">
      <c r="A479" s="27" t="s">
        <v>838</v>
      </c>
      <c r="B479" s="27">
        <v>260000</v>
      </c>
      <c r="C479" s="27" t="s">
        <v>16</v>
      </c>
      <c r="D479" s="28">
        <f>B479*VLOOKUP(C479,tblXrate[],2,0)</f>
        <v>4630.058338735068</v>
      </c>
      <c r="E479" s="27" t="s">
        <v>7</v>
      </c>
      <c r="F479" s="27" t="s">
        <v>3</v>
      </c>
      <c r="G479" s="27" t="s">
        <v>2271</v>
      </c>
      <c r="H479" s="27">
        <v>2</v>
      </c>
      <c r="I479" s="27">
        <f>VLOOKUP(F479,mapping!$L$2:$P$92,2,0)</f>
        <v>0.34064763831408895</v>
      </c>
      <c r="J479" s="27">
        <f>VLOOKUP($F479,mapping!$L$2:$P$92,3,0)</f>
        <v>1388.78</v>
      </c>
      <c r="K479" s="27" t="str">
        <f>VLOOKUP($F479,mapping!$L$2:$P$92,4,0)</f>
        <v>Developing Asia</v>
      </c>
      <c r="L479" s="29">
        <f>$D479*VLOOKUP($E479,'Charts data'!$A$2:$B$11,2,0)*VLOOKUP($G479,'Charts data'!$A$14:$B$18,2,0)/IF('Charts data'!$E$3=1,I479,1)/IF('Charts data'!$E$4=1,J479,1)</f>
        <v>4630.058338735068</v>
      </c>
    </row>
    <row r="480" spans="1:12" x14ac:dyDescent="0.25">
      <c r="A480" s="27" t="s">
        <v>839</v>
      </c>
      <c r="B480" s="27">
        <v>120000</v>
      </c>
      <c r="C480" s="27" t="s">
        <v>16</v>
      </c>
      <c r="D480" s="28">
        <f>B480*VLOOKUP(C480,tblXrate[],2,0)</f>
        <v>2136.9500024931081</v>
      </c>
      <c r="E480" s="27" t="s">
        <v>7</v>
      </c>
      <c r="F480" s="27" t="s">
        <v>3</v>
      </c>
      <c r="G480" s="27" t="s">
        <v>2272</v>
      </c>
      <c r="H480" s="27">
        <v>3</v>
      </c>
      <c r="I480" s="27">
        <f>VLOOKUP(F480,mapping!$L$2:$P$92,2,0)</f>
        <v>0.34064763831408895</v>
      </c>
      <c r="J480" s="27">
        <f>VLOOKUP($F480,mapping!$L$2:$P$92,3,0)</f>
        <v>1388.78</v>
      </c>
      <c r="K480" s="27" t="str">
        <f>VLOOKUP($F480,mapping!$L$2:$P$92,4,0)</f>
        <v>Developing Asia</v>
      </c>
      <c r="L480" s="29">
        <f>$D480*VLOOKUP($E480,'Charts data'!$A$2:$B$11,2,0)*VLOOKUP($G480,'Charts data'!$A$14:$B$18,2,0)/IF('Charts data'!$E$3=1,I480,1)/IF('Charts data'!$E$4=1,J480,1)</f>
        <v>2136.9500024931081</v>
      </c>
    </row>
    <row r="481" spans="1:12" x14ac:dyDescent="0.25">
      <c r="A481" s="27" t="s">
        <v>841</v>
      </c>
      <c r="B481" s="27">
        <v>144000</v>
      </c>
      <c r="C481" s="27" t="s">
        <v>16</v>
      </c>
      <c r="D481" s="28">
        <f>B481*VLOOKUP(C481,tblXrate[],2,0)</f>
        <v>2564.3400029917298</v>
      </c>
      <c r="E481" s="27" t="s">
        <v>19</v>
      </c>
      <c r="F481" s="27" t="s">
        <v>3</v>
      </c>
      <c r="G481" s="27" t="s">
        <v>2272</v>
      </c>
      <c r="H481" s="27">
        <v>7</v>
      </c>
      <c r="I481" s="27">
        <f>VLOOKUP(F481,mapping!$L$2:$P$92,2,0)</f>
        <v>0.34064763831408895</v>
      </c>
      <c r="J481" s="27">
        <f>VLOOKUP($F481,mapping!$L$2:$P$92,3,0)</f>
        <v>1388.78</v>
      </c>
      <c r="K481" s="27" t="str">
        <f>VLOOKUP($F481,mapping!$L$2:$P$92,4,0)</f>
        <v>Developing Asia</v>
      </c>
      <c r="L481" s="29">
        <f>$D481*VLOOKUP($E481,'Charts data'!$A$2:$B$11,2,0)*VLOOKUP($G481,'Charts data'!$A$14:$B$18,2,0)/IF('Charts data'!$E$3=1,I481,1)/IF('Charts data'!$E$4=1,J481,1)</f>
        <v>2564.3400029917298</v>
      </c>
    </row>
    <row r="482" spans="1:12" x14ac:dyDescent="0.25">
      <c r="A482" s="27" t="s">
        <v>842</v>
      </c>
      <c r="B482" s="27">
        <v>1150000</v>
      </c>
      <c r="C482" s="27" t="s">
        <v>16</v>
      </c>
      <c r="D482" s="28">
        <f>B482*VLOOKUP(C482,tblXrate[],2,0)</f>
        <v>20479.104190558952</v>
      </c>
      <c r="E482" s="27" t="s">
        <v>19</v>
      </c>
      <c r="F482" s="27" t="s">
        <v>3</v>
      </c>
      <c r="G482" s="27" t="s">
        <v>2272</v>
      </c>
      <c r="H482" s="27">
        <v>7</v>
      </c>
      <c r="I482" s="27">
        <f>VLOOKUP(F482,mapping!$L$2:$P$92,2,0)</f>
        <v>0.34064763831408895</v>
      </c>
      <c r="J482" s="27">
        <f>VLOOKUP($F482,mapping!$L$2:$P$92,3,0)</f>
        <v>1388.78</v>
      </c>
      <c r="K482" s="27" t="str">
        <f>VLOOKUP($F482,mapping!$L$2:$P$92,4,0)</f>
        <v>Developing Asia</v>
      </c>
      <c r="L482" s="29">
        <f>$D482*VLOOKUP($E482,'Charts data'!$A$2:$B$11,2,0)*VLOOKUP($G482,'Charts data'!$A$14:$B$18,2,0)/IF('Charts data'!$E$3=1,I482,1)/IF('Charts data'!$E$4=1,J482,1)</f>
        <v>20479.104190558952</v>
      </c>
    </row>
    <row r="483" spans="1:12" x14ac:dyDescent="0.25">
      <c r="A483" s="27" t="s">
        <v>845</v>
      </c>
      <c r="B483" s="27">
        <v>300000</v>
      </c>
      <c r="C483" s="27" t="s">
        <v>16</v>
      </c>
      <c r="D483" s="28">
        <f>B483*VLOOKUP(C483,tblXrate[],2,0)</f>
        <v>5342.3750062327708</v>
      </c>
      <c r="E483" s="27" t="s">
        <v>19</v>
      </c>
      <c r="F483" s="27" t="s">
        <v>3</v>
      </c>
      <c r="G483" s="27" t="s">
        <v>2272</v>
      </c>
      <c r="H483" s="27">
        <v>3</v>
      </c>
      <c r="I483" s="27">
        <f>VLOOKUP(F483,mapping!$L$2:$P$92,2,0)</f>
        <v>0.34064763831408895</v>
      </c>
      <c r="J483" s="27">
        <f>VLOOKUP($F483,mapping!$L$2:$P$92,3,0)</f>
        <v>1388.78</v>
      </c>
      <c r="K483" s="27" t="str">
        <f>VLOOKUP($F483,mapping!$L$2:$P$92,4,0)</f>
        <v>Developing Asia</v>
      </c>
      <c r="L483" s="29">
        <f>$D483*VLOOKUP($E483,'Charts data'!$A$2:$B$11,2,0)*VLOOKUP($G483,'Charts data'!$A$14:$B$18,2,0)/IF('Charts data'!$E$3=1,I483,1)/IF('Charts data'!$E$4=1,J483,1)</f>
        <v>5342.3750062327708</v>
      </c>
    </row>
    <row r="484" spans="1:12" x14ac:dyDescent="0.25">
      <c r="A484" s="27" t="s">
        <v>846</v>
      </c>
      <c r="B484" s="27">
        <v>648000</v>
      </c>
      <c r="C484" s="27" t="s">
        <v>16</v>
      </c>
      <c r="D484" s="28">
        <f>B484*VLOOKUP(C484,tblXrate[],2,0)</f>
        <v>11539.530013462785</v>
      </c>
      <c r="E484" s="27" t="s">
        <v>7</v>
      </c>
      <c r="F484" s="27" t="s">
        <v>3</v>
      </c>
      <c r="G484" s="27" t="s">
        <v>2273</v>
      </c>
      <c r="H484" s="27">
        <v>2</v>
      </c>
      <c r="I484" s="27">
        <f>VLOOKUP(F484,mapping!$L$2:$P$92,2,0)</f>
        <v>0.34064763831408895</v>
      </c>
      <c r="J484" s="27">
        <f>VLOOKUP($F484,mapping!$L$2:$P$92,3,0)</f>
        <v>1388.78</v>
      </c>
      <c r="K484" s="27" t="str">
        <f>VLOOKUP($F484,mapping!$L$2:$P$92,4,0)</f>
        <v>Developing Asia</v>
      </c>
      <c r="L484" s="29">
        <f>$D484*VLOOKUP($E484,'Charts data'!$A$2:$B$11,2,0)*VLOOKUP($G484,'Charts data'!$A$14:$B$18,2,0)/IF('Charts data'!$E$3=1,I484,1)/IF('Charts data'!$E$4=1,J484,1)</f>
        <v>11539.530013462785</v>
      </c>
    </row>
    <row r="485" spans="1:12" x14ac:dyDescent="0.25">
      <c r="A485" s="27" t="s">
        <v>848</v>
      </c>
      <c r="B485" s="27">
        <v>380000</v>
      </c>
      <c r="C485" s="27" t="s">
        <v>16</v>
      </c>
      <c r="D485" s="28">
        <f>B485*VLOOKUP(C485,tblXrate[],2,0)</f>
        <v>6767.0083412281756</v>
      </c>
      <c r="E485" s="27" t="s">
        <v>2145</v>
      </c>
      <c r="F485" s="27" t="s">
        <v>3</v>
      </c>
      <c r="G485" s="27" t="s">
        <v>2272</v>
      </c>
      <c r="H485" s="27">
        <v>6</v>
      </c>
      <c r="I485" s="27">
        <f>VLOOKUP(F485,mapping!$L$2:$P$92,2,0)</f>
        <v>0.34064763831408895</v>
      </c>
      <c r="J485" s="27">
        <f>VLOOKUP($F485,mapping!$L$2:$P$92,3,0)</f>
        <v>1388.78</v>
      </c>
      <c r="K485" s="27" t="str">
        <f>VLOOKUP($F485,mapping!$L$2:$P$92,4,0)</f>
        <v>Developing Asia</v>
      </c>
      <c r="L485" s="29">
        <f>$D485*VLOOKUP($E485,'Charts data'!$A$2:$B$11,2,0)*VLOOKUP($G485,'Charts data'!$A$14:$B$18,2,0)/IF('Charts data'!$E$3=1,I485,1)/IF('Charts data'!$E$4=1,J485,1)</f>
        <v>6767.0083412281756</v>
      </c>
    </row>
    <row r="486" spans="1:12" x14ac:dyDescent="0.25">
      <c r="A486" s="27" t="s">
        <v>850</v>
      </c>
      <c r="B486" s="27">
        <v>250000</v>
      </c>
      <c r="C486" s="27" t="s">
        <v>16</v>
      </c>
      <c r="D486" s="28">
        <f>B486*VLOOKUP(C486,tblXrate[],2,0)</f>
        <v>4451.9791718606421</v>
      </c>
      <c r="E486" s="27" t="s">
        <v>2145</v>
      </c>
      <c r="F486" s="27" t="s">
        <v>3</v>
      </c>
      <c r="G486" s="27" t="s">
        <v>2273</v>
      </c>
      <c r="H486" s="27">
        <v>4</v>
      </c>
      <c r="I486" s="27">
        <f>VLOOKUP(F486,mapping!$L$2:$P$92,2,0)</f>
        <v>0.34064763831408895</v>
      </c>
      <c r="J486" s="27">
        <f>VLOOKUP($F486,mapping!$L$2:$P$92,3,0)</f>
        <v>1388.78</v>
      </c>
      <c r="K486" s="27" t="str">
        <f>VLOOKUP($F486,mapping!$L$2:$P$92,4,0)</f>
        <v>Developing Asia</v>
      </c>
      <c r="L486" s="29">
        <f>$D486*VLOOKUP($E486,'Charts data'!$A$2:$B$11,2,0)*VLOOKUP($G486,'Charts data'!$A$14:$B$18,2,0)/IF('Charts data'!$E$3=1,I486,1)/IF('Charts data'!$E$4=1,J486,1)</f>
        <v>4451.9791718606421</v>
      </c>
    </row>
    <row r="487" spans="1:12" x14ac:dyDescent="0.25">
      <c r="A487" s="27" t="s">
        <v>851</v>
      </c>
      <c r="B487" s="27">
        <v>150000</v>
      </c>
      <c r="C487" s="27" t="s">
        <v>16</v>
      </c>
      <c r="D487" s="28">
        <f>B487*VLOOKUP(C487,tblXrate[],2,0)</f>
        <v>2671.1875031163854</v>
      </c>
      <c r="E487" s="27" t="s">
        <v>2147</v>
      </c>
      <c r="F487" s="27" t="s">
        <v>3</v>
      </c>
      <c r="G487" s="27" t="s">
        <v>2271</v>
      </c>
      <c r="H487" s="27">
        <v>4.5</v>
      </c>
      <c r="I487" s="27">
        <f>VLOOKUP(F487,mapping!$L$2:$P$92,2,0)</f>
        <v>0.34064763831408895</v>
      </c>
      <c r="J487" s="27">
        <f>VLOOKUP($F487,mapping!$L$2:$P$92,3,0)</f>
        <v>1388.78</v>
      </c>
      <c r="K487" s="27" t="str">
        <f>VLOOKUP($F487,mapping!$L$2:$P$92,4,0)</f>
        <v>Developing Asia</v>
      </c>
      <c r="L487" s="29">
        <f>$D487*VLOOKUP($E487,'Charts data'!$A$2:$B$11,2,0)*VLOOKUP($G487,'Charts data'!$A$14:$B$18,2,0)/IF('Charts data'!$E$3=1,I487,1)/IF('Charts data'!$E$4=1,J487,1)</f>
        <v>2671.1875031163854</v>
      </c>
    </row>
    <row r="488" spans="1:12" x14ac:dyDescent="0.25">
      <c r="A488" s="27" t="s">
        <v>852</v>
      </c>
      <c r="B488" s="27">
        <v>278400</v>
      </c>
      <c r="C488" s="27" t="s">
        <v>16</v>
      </c>
      <c r="D488" s="28">
        <f>B488*VLOOKUP(C488,tblXrate[],2,0)</f>
        <v>4957.7240057840108</v>
      </c>
      <c r="E488" s="27" t="s">
        <v>19</v>
      </c>
      <c r="F488" s="27" t="s">
        <v>3</v>
      </c>
      <c r="G488" s="27" t="s">
        <v>2271</v>
      </c>
      <c r="H488" s="27">
        <v>5</v>
      </c>
      <c r="I488" s="27">
        <f>VLOOKUP(F488,mapping!$L$2:$P$92,2,0)</f>
        <v>0.34064763831408895</v>
      </c>
      <c r="J488" s="27">
        <f>VLOOKUP($F488,mapping!$L$2:$P$92,3,0)</f>
        <v>1388.78</v>
      </c>
      <c r="K488" s="27" t="str">
        <f>VLOOKUP($F488,mapping!$L$2:$P$92,4,0)</f>
        <v>Developing Asia</v>
      </c>
      <c r="L488" s="29">
        <f>$D488*VLOOKUP($E488,'Charts data'!$A$2:$B$11,2,0)*VLOOKUP($G488,'Charts data'!$A$14:$B$18,2,0)/IF('Charts data'!$E$3=1,I488,1)/IF('Charts data'!$E$4=1,J488,1)</f>
        <v>4957.7240057840108</v>
      </c>
    </row>
    <row r="489" spans="1:12" x14ac:dyDescent="0.25">
      <c r="A489" s="27" t="s">
        <v>853</v>
      </c>
      <c r="B489" s="27">
        <v>180000</v>
      </c>
      <c r="C489" s="27" t="s">
        <v>16</v>
      </c>
      <c r="D489" s="28">
        <f>B489*VLOOKUP(C489,tblXrate[],2,0)</f>
        <v>3205.4250037396623</v>
      </c>
      <c r="E489" s="27" t="s">
        <v>51</v>
      </c>
      <c r="F489" s="27" t="s">
        <v>3</v>
      </c>
      <c r="G489" s="27" t="s">
        <v>2272</v>
      </c>
      <c r="H489" s="27">
        <v>14</v>
      </c>
      <c r="I489" s="27">
        <f>VLOOKUP(F489,mapping!$L$2:$P$92,2,0)</f>
        <v>0.34064763831408895</v>
      </c>
      <c r="J489" s="27">
        <f>VLOOKUP($F489,mapping!$L$2:$P$92,3,0)</f>
        <v>1388.78</v>
      </c>
      <c r="K489" s="27" t="str">
        <f>VLOOKUP($F489,mapping!$L$2:$P$92,4,0)</f>
        <v>Developing Asia</v>
      </c>
      <c r="L489" s="29">
        <f>$D489*VLOOKUP($E489,'Charts data'!$A$2:$B$11,2,0)*VLOOKUP($G489,'Charts data'!$A$14:$B$18,2,0)/IF('Charts data'!$E$3=1,I489,1)/IF('Charts data'!$E$4=1,J489,1)</f>
        <v>3205.4250037396623</v>
      </c>
    </row>
    <row r="490" spans="1:12" x14ac:dyDescent="0.25">
      <c r="A490" s="27" t="s">
        <v>854</v>
      </c>
      <c r="B490" s="27">
        <v>800000</v>
      </c>
      <c r="C490" s="27" t="s">
        <v>16</v>
      </c>
      <c r="D490" s="28">
        <f>B490*VLOOKUP(C490,tblXrate[],2,0)</f>
        <v>14246.333349954055</v>
      </c>
      <c r="E490" s="27" t="s">
        <v>19</v>
      </c>
      <c r="F490" s="27" t="s">
        <v>3</v>
      </c>
      <c r="G490" s="27" t="s">
        <v>2271</v>
      </c>
      <c r="H490" s="27">
        <v>7</v>
      </c>
      <c r="I490" s="27">
        <f>VLOOKUP(F490,mapping!$L$2:$P$92,2,0)</f>
        <v>0.34064763831408895</v>
      </c>
      <c r="J490" s="27">
        <f>VLOOKUP($F490,mapping!$L$2:$P$92,3,0)</f>
        <v>1388.78</v>
      </c>
      <c r="K490" s="27" t="str">
        <f>VLOOKUP($F490,mapping!$L$2:$P$92,4,0)</f>
        <v>Developing Asia</v>
      </c>
      <c r="L490" s="29">
        <f>$D490*VLOOKUP($E490,'Charts data'!$A$2:$B$11,2,0)*VLOOKUP($G490,'Charts data'!$A$14:$B$18,2,0)/IF('Charts data'!$E$3=1,I490,1)/IF('Charts data'!$E$4=1,J490,1)</f>
        <v>14246.333349954055</v>
      </c>
    </row>
    <row r="491" spans="1:12" x14ac:dyDescent="0.25">
      <c r="A491" s="27" t="s">
        <v>855</v>
      </c>
      <c r="B491" s="27">
        <v>300000</v>
      </c>
      <c r="C491" s="27" t="s">
        <v>16</v>
      </c>
      <c r="D491" s="28">
        <f>B491*VLOOKUP(C491,tblXrate[],2,0)</f>
        <v>5342.3750062327708</v>
      </c>
      <c r="E491" s="27" t="s">
        <v>7</v>
      </c>
      <c r="F491" s="27" t="s">
        <v>3</v>
      </c>
      <c r="G491" s="27" t="s">
        <v>2273</v>
      </c>
      <c r="H491" s="27">
        <v>7</v>
      </c>
      <c r="I491" s="27">
        <f>VLOOKUP(F491,mapping!$L$2:$P$92,2,0)</f>
        <v>0.34064763831408895</v>
      </c>
      <c r="J491" s="27">
        <f>VLOOKUP($F491,mapping!$L$2:$P$92,3,0)</f>
        <v>1388.78</v>
      </c>
      <c r="K491" s="27" t="str">
        <f>VLOOKUP($F491,mapping!$L$2:$P$92,4,0)</f>
        <v>Developing Asia</v>
      </c>
      <c r="L491" s="29">
        <f>$D491*VLOOKUP($E491,'Charts data'!$A$2:$B$11,2,0)*VLOOKUP($G491,'Charts data'!$A$14:$B$18,2,0)/IF('Charts data'!$E$3=1,I491,1)/IF('Charts data'!$E$4=1,J491,1)</f>
        <v>5342.3750062327708</v>
      </c>
    </row>
    <row r="492" spans="1:12" x14ac:dyDescent="0.25">
      <c r="A492" s="27" t="s">
        <v>856</v>
      </c>
      <c r="B492" s="27">
        <v>370000</v>
      </c>
      <c r="C492" s="27" t="s">
        <v>16</v>
      </c>
      <c r="D492" s="28">
        <f>B492*VLOOKUP(C492,tblXrate[],2,0)</f>
        <v>6588.9291743537506</v>
      </c>
      <c r="E492" s="27" t="s">
        <v>7</v>
      </c>
      <c r="F492" s="27" t="s">
        <v>3</v>
      </c>
      <c r="G492" s="27" t="s">
        <v>2273</v>
      </c>
      <c r="H492" s="27">
        <v>2</v>
      </c>
      <c r="I492" s="27">
        <f>VLOOKUP(F492,mapping!$L$2:$P$92,2,0)</f>
        <v>0.34064763831408895</v>
      </c>
      <c r="J492" s="27">
        <f>VLOOKUP($F492,mapping!$L$2:$P$92,3,0)</f>
        <v>1388.78</v>
      </c>
      <c r="K492" s="27" t="str">
        <f>VLOOKUP($F492,mapping!$L$2:$P$92,4,0)</f>
        <v>Developing Asia</v>
      </c>
      <c r="L492" s="29">
        <f>$D492*VLOOKUP($E492,'Charts data'!$A$2:$B$11,2,0)*VLOOKUP($G492,'Charts data'!$A$14:$B$18,2,0)/IF('Charts data'!$E$3=1,I492,1)/IF('Charts data'!$E$4=1,J492,1)</f>
        <v>6588.9291743537506</v>
      </c>
    </row>
    <row r="493" spans="1:12" x14ac:dyDescent="0.25">
      <c r="A493" s="27" t="s">
        <v>857</v>
      </c>
      <c r="B493" s="27">
        <v>370000</v>
      </c>
      <c r="C493" s="27" t="s">
        <v>16</v>
      </c>
      <c r="D493" s="28">
        <f>B493*VLOOKUP(C493,tblXrate[],2,0)</f>
        <v>6588.9291743537506</v>
      </c>
      <c r="E493" s="27" t="s">
        <v>7</v>
      </c>
      <c r="F493" s="27" t="s">
        <v>3</v>
      </c>
      <c r="G493" s="27" t="s">
        <v>2273</v>
      </c>
      <c r="H493" s="27">
        <v>2</v>
      </c>
      <c r="I493" s="27">
        <f>VLOOKUP(F493,mapping!$L$2:$P$92,2,0)</f>
        <v>0.34064763831408895</v>
      </c>
      <c r="J493" s="27">
        <f>VLOOKUP($F493,mapping!$L$2:$P$92,3,0)</f>
        <v>1388.78</v>
      </c>
      <c r="K493" s="27" t="str">
        <f>VLOOKUP($F493,mapping!$L$2:$P$92,4,0)</f>
        <v>Developing Asia</v>
      </c>
      <c r="L493" s="29">
        <f>$D493*VLOOKUP($E493,'Charts data'!$A$2:$B$11,2,0)*VLOOKUP($G493,'Charts data'!$A$14:$B$18,2,0)/IF('Charts data'!$E$3=1,I493,1)/IF('Charts data'!$E$4=1,J493,1)</f>
        <v>6588.9291743537506</v>
      </c>
    </row>
    <row r="494" spans="1:12" x14ac:dyDescent="0.25">
      <c r="A494" s="27" t="s">
        <v>859</v>
      </c>
      <c r="B494" s="27">
        <v>720000</v>
      </c>
      <c r="C494" s="27" t="s">
        <v>16</v>
      </c>
      <c r="D494" s="28">
        <f>B494*VLOOKUP(C494,tblXrate[],2,0)</f>
        <v>12821.700014958649</v>
      </c>
      <c r="E494" s="27" t="s">
        <v>51</v>
      </c>
      <c r="F494" s="27" t="s">
        <v>3</v>
      </c>
      <c r="G494" s="27" t="s">
        <v>2271</v>
      </c>
      <c r="H494" s="27">
        <v>4</v>
      </c>
      <c r="I494" s="27">
        <f>VLOOKUP(F494,mapping!$L$2:$P$92,2,0)</f>
        <v>0.34064763831408895</v>
      </c>
      <c r="J494" s="27">
        <f>VLOOKUP($F494,mapping!$L$2:$P$92,3,0)</f>
        <v>1388.78</v>
      </c>
      <c r="K494" s="27" t="str">
        <f>VLOOKUP($F494,mapping!$L$2:$P$92,4,0)</f>
        <v>Developing Asia</v>
      </c>
      <c r="L494" s="29">
        <f>$D494*VLOOKUP($E494,'Charts data'!$A$2:$B$11,2,0)*VLOOKUP($G494,'Charts data'!$A$14:$B$18,2,0)/IF('Charts data'!$E$3=1,I494,1)/IF('Charts data'!$E$4=1,J494,1)</f>
        <v>12821.700014958649</v>
      </c>
    </row>
    <row r="495" spans="1:12" x14ac:dyDescent="0.25">
      <c r="A495" s="27" t="s">
        <v>860</v>
      </c>
      <c r="B495" s="27">
        <v>600000</v>
      </c>
      <c r="C495" s="27" t="s">
        <v>16</v>
      </c>
      <c r="D495" s="28">
        <f>B495*VLOOKUP(C495,tblXrate[],2,0)</f>
        <v>10684.750012465542</v>
      </c>
      <c r="E495" s="27" t="s">
        <v>19</v>
      </c>
      <c r="F495" s="27" t="s">
        <v>3</v>
      </c>
      <c r="G495" s="27" t="s">
        <v>2274</v>
      </c>
      <c r="H495" s="27">
        <v>2</v>
      </c>
      <c r="I495" s="27">
        <f>VLOOKUP(F495,mapping!$L$2:$P$92,2,0)</f>
        <v>0.34064763831408895</v>
      </c>
      <c r="J495" s="27">
        <f>VLOOKUP($F495,mapping!$L$2:$P$92,3,0)</f>
        <v>1388.78</v>
      </c>
      <c r="K495" s="27" t="str">
        <f>VLOOKUP($F495,mapping!$L$2:$P$92,4,0)</f>
        <v>Developing Asia</v>
      </c>
      <c r="L495" s="29">
        <f>$D495*VLOOKUP($E495,'Charts data'!$A$2:$B$11,2,0)*VLOOKUP($G495,'Charts data'!$A$14:$B$18,2,0)/IF('Charts data'!$E$3=1,I495,1)/IF('Charts data'!$E$4=1,J495,1)</f>
        <v>10684.750012465542</v>
      </c>
    </row>
    <row r="496" spans="1:12" x14ac:dyDescent="0.25">
      <c r="A496" s="27" t="s">
        <v>862</v>
      </c>
      <c r="B496" s="27">
        <v>120000</v>
      </c>
      <c r="C496" s="27" t="s">
        <v>16</v>
      </c>
      <c r="D496" s="28">
        <f>B496*VLOOKUP(C496,tblXrate[],2,0)</f>
        <v>2136.9500024931081</v>
      </c>
      <c r="E496" s="27" t="s">
        <v>7</v>
      </c>
      <c r="F496" s="27" t="s">
        <v>3</v>
      </c>
      <c r="G496" s="27" t="s">
        <v>2274</v>
      </c>
      <c r="H496" s="27">
        <v>0</v>
      </c>
      <c r="I496" s="27">
        <f>VLOOKUP(F496,mapping!$L$2:$P$92,2,0)</f>
        <v>0.34064763831408895</v>
      </c>
      <c r="J496" s="27">
        <f>VLOOKUP($F496,mapping!$L$2:$P$92,3,0)</f>
        <v>1388.78</v>
      </c>
      <c r="K496" s="27" t="str">
        <f>VLOOKUP($F496,mapping!$L$2:$P$92,4,0)</f>
        <v>Developing Asia</v>
      </c>
      <c r="L496" s="29">
        <f>$D496*VLOOKUP($E496,'Charts data'!$A$2:$B$11,2,0)*VLOOKUP($G496,'Charts data'!$A$14:$B$18,2,0)/IF('Charts data'!$E$3=1,I496,1)/IF('Charts data'!$E$4=1,J496,1)</f>
        <v>2136.9500024931081</v>
      </c>
    </row>
    <row r="497" spans="1:12" x14ac:dyDescent="0.25">
      <c r="A497" s="27" t="s">
        <v>863</v>
      </c>
      <c r="B497" s="27">
        <v>480000</v>
      </c>
      <c r="C497" s="27" t="s">
        <v>16</v>
      </c>
      <c r="D497" s="28">
        <f>B497*VLOOKUP(C497,tblXrate[],2,0)</f>
        <v>8547.8000099724322</v>
      </c>
      <c r="E497" s="27" t="s">
        <v>7</v>
      </c>
      <c r="F497" s="27" t="s">
        <v>3</v>
      </c>
      <c r="G497" s="27" t="s">
        <v>2271</v>
      </c>
      <c r="H497" s="27">
        <v>4</v>
      </c>
      <c r="I497" s="27">
        <f>VLOOKUP(F497,mapping!$L$2:$P$92,2,0)</f>
        <v>0.34064763831408895</v>
      </c>
      <c r="J497" s="27">
        <f>VLOOKUP($F497,mapping!$L$2:$P$92,3,0)</f>
        <v>1388.78</v>
      </c>
      <c r="K497" s="27" t="str">
        <f>VLOOKUP($F497,mapping!$L$2:$P$92,4,0)</f>
        <v>Developing Asia</v>
      </c>
      <c r="L497" s="29">
        <f>$D497*VLOOKUP($E497,'Charts data'!$A$2:$B$11,2,0)*VLOOKUP($G497,'Charts data'!$A$14:$B$18,2,0)/IF('Charts data'!$E$3=1,I497,1)/IF('Charts data'!$E$4=1,J497,1)</f>
        <v>8547.8000099724322</v>
      </c>
    </row>
    <row r="498" spans="1:12" x14ac:dyDescent="0.25">
      <c r="A498" s="27" t="s">
        <v>864</v>
      </c>
      <c r="B498" s="27">
        <v>450000</v>
      </c>
      <c r="C498" s="27" t="s">
        <v>16</v>
      </c>
      <c r="D498" s="28">
        <f>B498*VLOOKUP(C498,tblXrate[],2,0)</f>
        <v>8013.5625093491553</v>
      </c>
      <c r="E498" s="27" t="s">
        <v>7</v>
      </c>
      <c r="F498" s="27" t="s">
        <v>3</v>
      </c>
      <c r="G498" s="27" t="s">
        <v>2273</v>
      </c>
      <c r="H498" s="27">
        <v>8</v>
      </c>
      <c r="I498" s="27">
        <f>VLOOKUP(F498,mapping!$L$2:$P$92,2,0)</f>
        <v>0.34064763831408895</v>
      </c>
      <c r="J498" s="27">
        <f>VLOOKUP($F498,mapping!$L$2:$P$92,3,0)</f>
        <v>1388.78</v>
      </c>
      <c r="K498" s="27" t="str">
        <f>VLOOKUP($F498,mapping!$L$2:$P$92,4,0)</f>
        <v>Developing Asia</v>
      </c>
      <c r="L498" s="29">
        <f>$D498*VLOOKUP($E498,'Charts data'!$A$2:$B$11,2,0)*VLOOKUP($G498,'Charts data'!$A$14:$B$18,2,0)/IF('Charts data'!$E$3=1,I498,1)/IF('Charts data'!$E$4=1,J498,1)</f>
        <v>8013.5625093491553</v>
      </c>
    </row>
    <row r="499" spans="1:12" x14ac:dyDescent="0.25">
      <c r="A499" s="27" t="s">
        <v>865</v>
      </c>
      <c r="B499" s="27">
        <v>400000</v>
      </c>
      <c r="C499" s="27" t="s">
        <v>16</v>
      </c>
      <c r="D499" s="28">
        <f>B499*VLOOKUP(C499,tblXrate[],2,0)</f>
        <v>7123.1666749770275</v>
      </c>
      <c r="E499" s="27" t="s">
        <v>53</v>
      </c>
      <c r="F499" s="27" t="s">
        <v>3</v>
      </c>
      <c r="G499" s="27" t="s">
        <v>2271</v>
      </c>
      <c r="H499" s="27">
        <v>0</v>
      </c>
      <c r="I499" s="27">
        <f>VLOOKUP(F499,mapping!$L$2:$P$92,2,0)</f>
        <v>0.34064763831408895</v>
      </c>
      <c r="J499" s="27">
        <f>VLOOKUP($F499,mapping!$L$2:$P$92,3,0)</f>
        <v>1388.78</v>
      </c>
      <c r="K499" s="27" t="str">
        <f>VLOOKUP($F499,mapping!$L$2:$P$92,4,0)</f>
        <v>Developing Asia</v>
      </c>
      <c r="L499" s="29">
        <f>$D499*VLOOKUP($E499,'Charts data'!$A$2:$B$11,2,0)*VLOOKUP($G499,'Charts data'!$A$14:$B$18,2,0)/IF('Charts data'!$E$3=1,I499,1)/IF('Charts data'!$E$4=1,J499,1)</f>
        <v>7123.1666749770275</v>
      </c>
    </row>
    <row r="500" spans="1:12" x14ac:dyDescent="0.25">
      <c r="A500" s="27" t="s">
        <v>866</v>
      </c>
      <c r="B500" s="27">
        <v>2300000</v>
      </c>
      <c r="C500" s="27" t="s">
        <v>16</v>
      </c>
      <c r="D500" s="28">
        <f>B500*VLOOKUP(C500,tblXrate[],2,0)</f>
        <v>40958.208381117904</v>
      </c>
      <c r="E500" s="27" t="s">
        <v>7</v>
      </c>
      <c r="F500" s="27" t="s">
        <v>3</v>
      </c>
      <c r="G500" s="27" t="s">
        <v>2273</v>
      </c>
      <c r="H500" s="27">
        <v>5</v>
      </c>
      <c r="I500" s="27">
        <f>VLOOKUP(F500,mapping!$L$2:$P$92,2,0)</f>
        <v>0.34064763831408895</v>
      </c>
      <c r="J500" s="27">
        <f>VLOOKUP($F500,mapping!$L$2:$P$92,3,0)</f>
        <v>1388.78</v>
      </c>
      <c r="K500" s="27" t="str">
        <f>VLOOKUP($F500,mapping!$L$2:$P$92,4,0)</f>
        <v>Developing Asia</v>
      </c>
      <c r="L500" s="29">
        <f>$D500*VLOOKUP($E500,'Charts data'!$A$2:$B$11,2,0)*VLOOKUP($G500,'Charts data'!$A$14:$B$18,2,0)/IF('Charts data'!$E$3=1,I500,1)/IF('Charts data'!$E$4=1,J500,1)</f>
        <v>40958.208381117904</v>
      </c>
    </row>
    <row r="501" spans="1:12" x14ac:dyDescent="0.25">
      <c r="A501" s="27" t="s">
        <v>867</v>
      </c>
      <c r="B501" s="27">
        <v>636000</v>
      </c>
      <c r="C501" s="27" t="s">
        <v>16</v>
      </c>
      <c r="D501" s="28">
        <f>B501*VLOOKUP(C501,tblXrate[],2,0)</f>
        <v>11325.835013213473</v>
      </c>
      <c r="E501" s="27" t="s">
        <v>19</v>
      </c>
      <c r="F501" s="27" t="s">
        <v>3</v>
      </c>
      <c r="G501" s="27" t="s">
        <v>2271</v>
      </c>
      <c r="H501" s="27">
        <v>2</v>
      </c>
      <c r="I501" s="27">
        <f>VLOOKUP(F501,mapping!$L$2:$P$92,2,0)</f>
        <v>0.34064763831408895</v>
      </c>
      <c r="J501" s="27">
        <f>VLOOKUP($F501,mapping!$L$2:$P$92,3,0)</f>
        <v>1388.78</v>
      </c>
      <c r="K501" s="27" t="str">
        <f>VLOOKUP($F501,mapping!$L$2:$P$92,4,0)</f>
        <v>Developing Asia</v>
      </c>
      <c r="L501" s="29">
        <f>$D501*VLOOKUP($E501,'Charts data'!$A$2:$B$11,2,0)*VLOOKUP($G501,'Charts data'!$A$14:$B$18,2,0)/IF('Charts data'!$E$3=1,I501,1)/IF('Charts data'!$E$4=1,J501,1)</f>
        <v>11325.835013213473</v>
      </c>
    </row>
    <row r="502" spans="1:12" x14ac:dyDescent="0.25">
      <c r="A502" s="27" t="s">
        <v>870</v>
      </c>
      <c r="B502" s="27">
        <v>500000</v>
      </c>
      <c r="C502" s="27" t="s">
        <v>16</v>
      </c>
      <c r="D502" s="28">
        <f>B502*VLOOKUP(C502,tblXrate[],2,0)</f>
        <v>8903.9583437212841</v>
      </c>
      <c r="E502" s="27" t="s">
        <v>2145</v>
      </c>
      <c r="F502" s="27" t="s">
        <v>3</v>
      </c>
      <c r="G502" s="27" t="s">
        <v>2272</v>
      </c>
      <c r="H502" s="27">
        <v>1</v>
      </c>
      <c r="I502" s="27">
        <f>VLOOKUP(F502,mapping!$L$2:$P$92,2,0)</f>
        <v>0.34064763831408895</v>
      </c>
      <c r="J502" s="27">
        <f>VLOOKUP($F502,mapping!$L$2:$P$92,3,0)</f>
        <v>1388.78</v>
      </c>
      <c r="K502" s="27" t="str">
        <f>VLOOKUP($F502,mapping!$L$2:$P$92,4,0)</f>
        <v>Developing Asia</v>
      </c>
      <c r="L502" s="29">
        <f>$D502*VLOOKUP($E502,'Charts data'!$A$2:$B$11,2,0)*VLOOKUP($G502,'Charts data'!$A$14:$B$18,2,0)/IF('Charts data'!$E$3=1,I502,1)/IF('Charts data'!$E$4=1,J502,1)</f>
        <v>8903.9583437212841</v>
      </c>
    </row>
    <row r="503" spans="1:12" x14ac:dyDescent="0.25">
      <c r="A503" s="27" t="s">
        <v>871</v>
      </c>
      <c r="B503" s="27">
        <v>500000</v>
      </c>
      <c r="C503" s="27" t="s">
        <v>16</v>
      </c>
      <c r="D503" s="28">
        <f>B503*VLOOKUP(C503,tblXrate[],2,0)</f>
        <v>8903.9583437212841</v>
      </c>
      <c r="E503" s="27" t="s">
        <v>48</v>
      </c>
      <c r="F503" s="27" t="s">
        <v>3</v>
      </c>
      <c r="G503" s="27" t="s">
        <v>2273</v>
      </c>
      <c r="H503" s="27">
        <v>2</v>
      </c>
      <c r="I503" s="27">
        <f>VLOOKUP(F503,mapping!$L$2:$P$92,2,0)</f>
        <v>0.34064763831408895</v>
      </c>
      <c r="J503" s="27">
        <f>VLOOKUP($F503,mapping!$L$2:$P$92,3,0)</f>
        <v>1388.78</v>
      </c>
      <c r="K503" s="27" t="str">
        <f>VLOOKUP($F503,mapping!$L$2:$P$92,4,0)</f>
        <v>Developing Asia</v>
      </c>
      <c r="L503" s="29">
        <f>$D503*VLOOKUP($E503,'Charts data'!$A$2:$B$11,2,0)*VLOOKUP($G503,'Charts data'!$A$14:$B$18,2,0)/IF('Charts data'!$E$3=1,I503,1)/IF('Charts data'!$E$4=1,J503,1)</f>
        <v>8903.9583437212841</v>
      </c>
    </row>
    <row r="504" spans="1:12" x14ac:dyDescent="0.25">
      <c r="A504" s="27" t="s">
        <v>872</v>
      </c>
      <c r="B504" s="27">
        <v>720000</v>
      </c>
      <c r="C504" s="27" t="s">
        <v>16</v>
      </c>
      <c r="D504" s="28">
        <f>B504*VLOOKUP(C504,tblXrate[],2,0)</f>
        <v>12821.700014958649</v>
      </c>
      <c r="E504" s="27" t="s">
        <v>19</v>
      </c>
      <c r="F504" s="27" t="s">
        <v>3</v>
      </c>
      <c r="G504" s="27" t="s">
        <v>2273</v>
      </c>
      <c r="H504" s="27">
        <v>10</v>
      </c>
      <c r="I504" s="27">
        <f>VLOOKUP(F504,mapping!$L$2:$P$92,2,0)</f>
        <v>0.34064763831408895</v>
      </c>
      <c r="J504" s="27">
        <f>VLOOKUP($F504,mapping!$L$2:$P$92,3,0)</f>
        <v>1388.78</v>
      </c>
      <c r="K504" s="27" t="str">
        <f>VLOOKUP($F504,mapping!$L$2:$P$92,4,0)</f>
        <v>Developing Asia</v>
      </c>
      <c r="L504" s="29">
        <f>$D504*VLOOKUP($E504,'Charts data'!$A$2:$B$11,2,0)*VLOOKUP($G504,'Charts data'!$A$14:$B$18,2,0)/IF('Charts data'!$E$3=1,I504,1)/IF('Charts data'!$E$4=1,J504,1)</f>
        <v>12821.700014958649</v>
      </c>
    </row>
    <row r="505" spans="1:12" x14ac:dyDescent="0.25">
      <c r="A505" s="27" t="s">
        <v>873</v>
      </c>
      <c r="B505" s="27">
        <v>180000</v>
      </c>
      <c r="C505" s="27" t="s">
        <v>16</v>
      </c>
      <c r="D505" s="28">
        <f>B505*VLOOKUP(C505,tblXrate[],2,0)</f>
        <v>3205.4250037396623</v>
      </c>
      <c r="E505" s="27" t="s">
        <v>19</v>
      </c>
      <c r="F505" s="27" t="s">
        <v>3</v>
      </c>
      <c r="G505" s="27" t="s">
        <v>2273</v>
      </c>
      <c r="H505" s="27">
        <v>7</v>
      </c>
      <c r="I505" s="27">
        <f>VLOOKUP(F505,mapping!$L$2:$P$92,2,0)</f>
        <v>0.34064763831408895</v>
      </c>
      <c r="J505" s="27">
        <f>VLOOKUP($F505,mapping!$L$2:$P$92,3,0)</f>
        <v>1388.78</v>
      </c>
      <c r="K505" s="27" t="str">
        <f>VLOOKUP($F505,mapping!$L$2:$P$92,4,0)</f>
        <v>Developing Asia</v>
      </c>
      <c r="L505" s="29">
        <f>$D505*VLOOKUP($E505,'Charts data'!$A$2:$B$11,2,0)*VLOOKUP($G505,'Charts data'!$A$14:$B$18,2,0)/IF('Charts data'!$E$3=1,I505,1)/IF('Charts data'!$E$4=1,J505,1)</f>
        <v>3205.4250037396623</v>
      </c>
    </row>
    <row r="506" spans="1:12" x14ac:dyDescent="0.25">
      <c r="A506" s="27" t="s">
        <v>874</v>
      </c>
      <c r="B506" s="27">
        <v>375000</v>
      </c>
      <c r="C506" s="27" t="s">
        <v>16</v>
      </c>
      <c r="D506" s="28">
        <f>B506*VLOOKUP(C506,tblXrate[],2,0)</f>
        <v>6677.9687577909626</v>
      </c>
      <c r="E506" s="27" t="s">
        <v>19</v>
      </c>
      <c r="F506" s="27" t="s">
        <v>3</v>
      </c>
      <c r="G506" s="27" t="s">
        <v>2272</v>
      </c>
      <c r="H506" s="27">
        <v>6</v>
      </c>
      <c r="I506" s="27">
        <f>VLOOKUP(F506,mapping!$L$2:$P$92,2,0)</f>
        <v>0.34064763831408895</v>
      </c>
      <c r="J506" s="27">
        <f>VLOOKUP($F506,mapping!$L$2:$P$92,3,0)</f>
        <v>1388.78</v>
      </c>
      <c r="K506" s="27" t="str">
        <f>VLOOKUP($F506,mapping!$L$2:$P$92,4,0)</f>
        <v>Developing Asia</v>
      </c>
      <c r="L506" s="29">
        <f>$D506*VLOOKUP($E506,'Charts data'!$A$2:$B$11,2,0)*VLOOKUP($G506,'Charts data'!$A$14:$B$18,2,0)/IF('Charts data'!$E$3=1,I506,1)/IF('Charts data'!$E$4=1,J506,1)</f>
        <v>6677.9687577909626</v>
      </c>
    </row>
    <row r="507" spans="1:12" x14ac:dyDescent="0.25">
      <c r="A507" s="27" t="s">
        <v>878</v>
      </c>
      <c r="B507" s="27">
        <v>400000</v>
      </c>
      <c r="C507" s="27" t="s">
        <v>16</v>
      </c>
      <c r="D507" s="28">
        <f>B507*VLOOKUP(C507,tblXrate[],2,0)</f>
        <v>7123.1666749770275</v>
      </c>
      <c r="E507" s="27" t="s">
        <v>2145</v>
      </c>
      <c r="F507" s="27" t="s">
        <v>3</v>
      </c>
      <c r="G507" s="27" t="s">
        <v>2273</v>
      </c>
      <c r="H507" s="27">
        <v>4</v>
      </c>
      <c r="I507" s="27">
        <f>VLOOKUP(F507,mapping!$L$2:$P$92,2,0)</f>
        <v>0.34064763831408895</v>
      </c>
      <c r="J507" s="27">
        <f>VLOOKUP($F507,mapping!$L$2:$P$92,3,0)</f>
        <v>1388.78</v>
      </c>
      <c r="K507" s="27" t="str">
        <f>VLOOKUP($F507,mapping!$L$2:$P$92,4,0)</f>
        <v>Developing Asia</v>
      </c>
      <c r="L507" s="29">
        <f>$D507*VLOOKUP($E507,'Charts data'!$A$2:$B$11,2,0)*VLOOKUP($G507,'Charts data'!$A$14:$B$18,2,0)/IF('Charts data'!$E$3=1,I507,1)/IF('Charts data'!$E$4=1,J507,1)</f>
        <v>7123.1666749770275</v>
      </c>
    </row>
    <row r="508" spans="1:12" x14ac:dyDescent="0.25">
      <c r="A508" s="27" t="s">
        <v>880</v>
      </c>
      <c r="B508" s="27">
        <v>250000</v>
      </c>
      <c r="C508" s="27" t="s">
        <v>16</v>
      </c>
      <c r="D508" s="28">
        <f>B508*VLOOKUP(C508,tblXrate[],2,0)</f>
        <v>4451.9791718606421</v>
      </c>
      <c r="E508" s="27" t="s">
        <v>19</v>
      </c>
      <c r="F508" s="27" t="s">
        <v>3</v>
      </c>
      <c r="G508" s="27" t="s">
        <v>2271</v>
      </c>
      <c r="H508" s="27">
        <v>6</v>
      </c>
      <c r="I508" s="27">
        <f>VLOOKUP(F508,mapping!$L$2:$P$92,2,0)</f>
        <v>0.34064763831408895</v>
      </c>
      <c r="J508" s="27">
        <f>VLOOKUP($F508,mapping!$L$2:$P$92,3,0)</f>
        <v>1388.78</v>
      </c>
      <c r="K508" s="27" t="str">
        <f>VLOOKUP($F508,mapping!$L$2:$P$92,4,0)</f>
        <v>Developing Asia</v>
      </c>
      <c r="L508" s="29">
        <f>$D508*VLOOKUP($E508,'Charts data'!$A$2:$B$11,2,0)*VLOOKUP($G508,'Charts data'!$A$14:$B$18,2,0)/IF('Charts data'!$E$3=1,I508,1)/IF('Charts data'!$E$4=1,J508,1)</f>
        <v>4451.9791718606421</v>
      </c>
    </row>
    <row r="509" spans="1:12" x14ac:dyDescent="0.25">
      <c r="A509" s="27" t="s">
        <v>882</v>
      </c>
      <c r="B509" s="27">
        <v>390000</v>
      </c>
      <c r="C509" s="27" t="s">
        <v>16</v>
      </c>
      <c r="D509" s="28">
        <f>B509*VLOOKUP(C509,tblXrate[],2,0)</f>
        <v>6945.0875081026015</v>
      </c>
      <c r="E509" s="27" t="s">
        <v>7</v>
      </c>
      <c r="F509" s="27" t="s">
        <v>3</v>
      </c>
      <c r="G509" s="27" t="s">
        <v>2271</v>
      </c>
      <c r="H509" s="27">
        <v>1</v>
      </c>
      <c r="I509" s="27">
        <f>VLOOKUP(F509,mapping!$L$2:$P$92,2,0)</f>
        <v>0.34064763831408895</v>
      </c>
      <c r="J509" s="27">
        <f>VLOOKUP($F509,mapping!$L$2:$P$92,3,0)</f>
        <v>1388.78</v>
      </c>
      <c r="K509" s="27" t="str">
        <f>VLOOKUP($F509,mapping!$L$2:$P$92,4,0)</f>
        <v>Developing Asia</v>
      </c>
      <c r="L509" s="29">
        <f>$D509*VLOOKUP($E509,'Charts data'!$A$2:$B$11,2,0)*VLOOKUP($G509,'Charts data'!$A$14:$B$18,2,0)/IF('Charts data'!$E$3=1,I509,1)/IF('Charts data'!$E$4=1,J509,1)</f>
        <v>6945.0875081026015</v>
      </c>
    </row>
    <row r="510" spans="1:12" x14ac:dyDescent="0.25">
      <c r="A510" s="27" t="s">
        <v>883</v>
      </c>
      <c r="B510" s="27">
        <v>600000</v>
      </c>
      <c r="C510" s="27" t="s">
        <v>16</v>
      </c>
      <c r="D510" s="28">
        <f>B510*VLOOKUP(C510,tblXrate[],2,0)</f>
        <v>10684.750012465542</v>
      </c>
      <c r="E510" s="27" t="s">
        <v>51</v>
      </c>
      <c r="F510" s="27" t="s">
        <v>3</v>
      </c>
      <c r="G510" s="27" t="s">
        <v>2273</v>
      </c>
      <c r="H510" s="27">
        <v>7</v>
      </c>
      <c r="I510" s="27">
        <f>VLOOKUP(F510,mapping!$L$2:$P$92,2,0)</f>
        <v>0.34064763831408895</v>
      </c>
      <c r="J510" s="27">
        <f>VLOOKUP($F510,mapping!$L$2:$P$92,3,0)</f>
        <v>1388.78</v>
      </c>
      <c r="K510" s="27" t="str">
        <f>VLOOKUP($F510,mapping!$L$2:$P$92,4,0)</f>
        <v>Developing Asia</v>
      </c>
      <c r="L510" s="29">
        <f>$D510*VLOOKUP($E510,'Charts data'!$A$2:$B$11,2,0)*VLOOKUP($G510,'Charts data'!$A$14:$B$18,2,0)/IF('Charts data'!$E$3=1,I510,1)/IF('Charts data'!$E$4=1,J510,1)</f>
        <v>10684.750012465542</v>
      </c>
    </row>
    <row r="511" spans="1:12" x14ac:dyDescent="0.25">
      <c r="A511" s="27" t="s">
        <v>884</v>
      </c>
      <c r="B511" s="27">
        <v>480000</v>
      </c>
      <c r="C511" s="27" t="s">
        <v>16</v>
      </c>
      <c r="D511" s="28">
        <f>B511*VLOOKUP(C511,tblXrate[],2,0)</f>
        <v>8547.8000099724322</v>
      </c>
      <c r="E511" s="27" t="s">
        <v>7</v>
      </c>
      <c r="F511" s="27" t="s">
        <v>3</v>
      </c>
      <c r="G511" s="27" t="s">
        <v>2272</v>
      </c>
      <c r="H511" s="27">
        <v>3.5</v>
      </c>
      <c r="I511" s="27">
        <f>VLOOKUP(F511,mapping!$L$2:$P$92,2,0)</f>
        <v>0.34064763831408895</v>
      </c>
      <c r="J511" s="27">
        <f>VLOOKUP($F511,mapping!$L$2:$P$92,3,0)</f>
        <v>1388.78</v>
      </c>
      <c r="K511" s="27" t="str">
        <f>VLOOKUP($F511,mapping!$L$2:$P$92,4,0)</f>
        <v>Developing Asia</v>
      </c>
      <c r="L511" s="29">
        <f>$D511*VLOOKUP($E511,'Charts data'!$A$2:$B$11,2,0)*VLOOKUP($G511,'Charts data'!$A$14:$B$18,2,0)/IF('Charts data'!$E$3=1,I511,1)/IF('Charts data'!$E$4=1,J511,1)</f>
        <v>8547.8000099724322</v>
      </c>
    </row>
    <row r="512" spans="1:12" x14ac:dyDescent="0.25">
      <c r="A512" s="27" t="s">
        <v>886</v>
      </c>
      <c r="B512" s="27">
        <v>1000000</v>
      </c>
      <c r="C512" s="27" t="s">
        <v>16</v>
      </c>
      <c r="D512" s="28">
        <f>B512*VLOOKUP(C512,tblXrate[],2,0)</f>
        <v>17807.916687442568</v>
      </c>
      <c r="E512" s="27" t="s">
        <v>7</v>
      </c>
      <c r="F512" s="27" t="s">
        <v>3</v>
      </c>
      <c r="G512" s="27" t="s">
        <v>2272</v>
      </c>
      <c r="H512" s="27">
        <v>12</v>
      </c>
      <c r="I512" s="27">
        <f>VLOOKUP(F512,mapping!$L$2:$P$92,2,0)</f>
        <v>0.34064763831408895</v>
      </c>
      <c r="J512" s="27">
        <f>VLOOKUP($F512,mapping!$L$2:$P$92,3,0)</f>
        <v>1388.78</v>
      </c>
      <c r="K512" s="27" t="str">
        <f>VLOOKUP($F512,mapping!$L$2:$P$92,4,0)</f>
        <v>Developing Asia</v>
      </c>
      <c r="L512" s="29">
        <f>$D512*VLOOKUP($E512,'Charts data'!$A$2:$B$11,2,0)*VLOOKUP($G512,'Charts data'!$A$14:$B$18,2,0)/IF('Charts data'!$E$3=1,I512,1)/IF('Charts data'!$E$4=1,J512,1)</f>
        <v>17807.916687442568</v>
      </c>
    </row>
    <row r="513" spans="1:12" x14ac:dyDescent="0.25">
      <c r="A513" s="27" t="s">
        <v>887</v>
      </c>
      <c r="B513" s="27">
        <v>180000</v>
      </c>
      <c r="C513" s="27" t="s">
        <v>16</v>
      </c>
      <c r="D513" s="28">
        <f>B513*VLOOKUP(C513,tblXrate[],2,0)</f>
        <v>3205.4250037396623</v>
      </c>
      <c r="E513" s="27" t="s">
        <v>51</v>
      </c>
      <c r="F513" s="27" t="s">
        <v>3</v>
      </c>
      <c r="G513" s="27" t="s">
        <v>2273</v>
      </c>
      <c r="H513" s="27">
        <v>4</v>
      </c>
      <c r="I513" s="27">
        <f>VLOOKUP(F513,mapping!$L$2:$P$92,2,0)</f>
        <v>0.34064763831408895</v>
      </c>
      <c r="J513" s="27">
        <f>VLOOKUP($F513,mapping!$L$2:$P$92,3,0)</f>
        <v>1388.78</v>
      </c>
      <c r="K513" s="27" t="str">
        <f>VLOOKUP($F513,mapping!$L$2:$P$92,4,0)</f>
        <v>Developing Asia</v>
      </c>
      <c r="L513" s="29">
        <f>$D513*VLOOKUP($E513,'Charts data'!$A$2:$B$11,2,0)*VLOOKUP($G513,'Charts data'!$A$14:$B$18,2,0)/IF('Charts data'!$E$3=1,I513,1)/IF('Charts data'!$E$4=1,J513,1)</f>
        <v>3205.4250037396623</v>
      </c>
    </row>
    <row r="514" spans="1:12" x14ac:dyDescent="0.25">
      <c r="A514" s="27" t="s">
        <v>889</v>
      </c>
      <c r="B514" s="27">
        <v>800000</v>
      </c>
      <c r="C514" s="27" t="s">
        <v>16</v>
      </c>
      <c r="D514" s="28">
        <f>B514*VLOOKUP(C514,tblXrate[],2,0)</f>
        <v>14246.333349954055</v>
      </c>
      <c r="E514" s="27" t="s">
        <v>19</v>
      </c>
      <c r="F514" s="27" t="s">
        <v>3</v>
      </c>
      <c r="G514" s="27" t="s">
        <v>2272</v>
      </c>
      <c r="H514" s="27">
        <v>13</v>
      </c>
      <c r="I514" s="27">
        <f>VLOOKUP(F514,mapping!$L$2:$P$92,2,0)</f>
        <v>0.34064763831408895</v>
      </c>
      <c r="J514" s="27">
        <f>VLOOKUP($F514,mapping!$L$2:$P$92,3,0)</f>
        <v>1388.78</v>
      </c>
      <c r="K514" s="27" t="str">
        <f>VLOOKUP($F514,mapping!$L$2:$P$92,4,0)</f>
        <v>Developing Asia</v>
      </c>
      <c r="L514" s="29">
        <f>$D514*VLOOKUP($E514,'Charts data'!$A$2:$B$11,2,0)*VLOOKUP($G514,'Charts data'!$A$14:$B$18,2,0)/IF('Charts data'!$E$3=1,I514,1)/IF('Charts data'!$E$4=1,J514,1)</f>
        <v>14246.333349954055</v>
      </c>
    </row>
    <row r="515" spans="1:12" x14ac:dyDescent="0.25">
      <c r="A515" s="27" t="s">
        <v>890</v>
      </c>
      <c r="B515" s="27">
        <v>600000</v>
      </c>
      <c r="C515" s="27" t="s">
        <v>16</v>
      </c>
      <c r="D515" s="28">
        <f>B515*VLOOKUP(C515,tblXrate[],2,0)</f>
        <v>10684.750012465542</v>
      </c>
      <c r="E515" s="27" t="s">
        <v>19</v>
      </c>
      <c r="F515" s="27" t="s">
        <v>3</v>
      </c>
      <c r="G515" s="27" t="s">
        <v>2272</v>
      </c>
      <c r="H515" s="27">
        <v>8</v>
      </c>
      <c r="I515" s="27">
        <f>VLOOKUP(F515,mapping!$L$2:$P$92,2,0)</f>
        <v>0.34064763831408895</v>
      </c>
      <c r="J515" s="27">
        <f>VLOOKUP($F515,mapping!$L$2:$P$92,3,0)</f>
        <v>1388.78</v>
      </c>
      <c r="K515" s="27" t="str">
        <f>VLOOKUP($F515,mapping!$L$2:$P$92,4,0)</f>
        <v>Developing Asia</v>
      </c>
      <c r="L515" s="29">
        <f>$D515*VLOOKUP($E515,'Charts data'!$A$2:$B$11,2,0)*VLOOKUP($G515,'Charts data'!$A$14:$B$18,2,0)/IF('Charts data'!$E$3=1,I515,1)/IF('Charts data'!$E$4=1,J515,1)</f>
        <v>10684.750012465542</v>
      </c>
    </row>
    <row r="516" spans="1:12" x14ac:dyDescent="0.25">
      <c r="A516" s="27" t="s">
        <v>893</v>
      </c>
      <c r="B516" s="27">
        <v>410000</v>
      </c>
      <c r="C516" s="27" t="s">
        <v>16</v>
      </c>
      <c r="D516" s="28">
        <f>B516*VLOOKUP(C516,tblXrate[],2,0)</f>
        <v>7301.2458418514525</v>
      </c>
      <c r="E516" s="27" t="s">
        <v>7</v>
      </c>
      <c r="F516" s="27" t="s">
        <v>3</v>
      </c>
      <c r="G516" s="27" t="s">
        <v>2273</v>
      </c>
      <c r="H516" s="27">
        <v>5</v>
      </c>
      <c r="I516" s="27">
        <f>VLOOKUP(F516,mapping!$L$2:$P$92,2,0)</f>
        <v>0.34064763831408895</v>
      </c>
      <c r="J516" s="27">
        <f>VLOOKUP($F516,mapping!$L$2:$P$92,3,0)</f>
        <v>1388.78</v>
      </c>
      <c r="K516" s="27" t="str">
        <f>VLOOKUP($F516,mapping!$L$2:$P$92,4,0)</f>
        <v>Developing Asia</v>
      </c>
      <c r="L516" s="29">
        <f>$D516*VLOOKUP($E516,'Charts data'!$A$2:$B$11,2,0)*VLOOKUP($G516,'Charts data'!$A$14:$B$18,2,0)/IF('Charts data'!$E$3=1,I516,1)/IF('Charts data'!$E$4=1,J516,1)</f>
        <v>7301.2458418514525</v>
      </c>
    </row>
    <row r="517" spans="1:12" x14ac:dyDescent="0.25">
      <c r="A517" s="27" t="s">
        <v>895</v>
      </c>
      <c r="B517" s="27">
        <v>600000</v>
      </c>
      <c r="C517" s="27" t="s">
        <v>16</v>
      </c>
      <c r="D517" s="28">
        <f>B517*VLOOKUP(C517,tblXrate[],2,0)</f>
        <v>10684.750012465542</v>
      </c>
      <c r="E517" s="27" t="s">
        <v>19</v>
      </c>
      <c r="F517" s="27" t="s">
        <v>3</v>
      </c>
      <c r="G517" s="27" t="s">
        <v>2271</v>
      </c>
      <c r="H517" s="27">
        <v>5</v>
      </c>
      <c r="I517" s="27">
        <f>VLOOKUP(F517,mapping!$L$2:$P$92,2,0)</f>
        <v>0.34064763831408895</v>
      </c>
      <c r="J517" s="27">
        <f>VLOOKUP($F517,mapping!$L$2:$P$92,3,0)</f>
        <v>1388.78</v>
      </c>
      <c r="K517" s="27" t="str">
        <f>VLOOKUP($F517,mapping!$L$2:$P$92,4,0)</f>
        <v>Developing Asia</v>
      </c>
      <c r="L517" s="29">
        <f>$D517*VLOOKUP($E517,'Charts data'!$A$2:$B$11,2,0)*VLOOKUP($G517,'Charts data'!$A$14:$B$18,2,0)/IF('Charts data'!$E$3=1,I517,1)/IF('Charts data'!$E$4=1,J517,1)</f>
        <v>10684.750012465542</v>
      </c>
    </row>
    <row r="518" spans="1:12" x14ac:dyDescent="0.25">
      <c r="A518" s="27" t="s">
        <v>905</v>
      </c>
      <c r="B518" s="27">
        <v>360000</v>
      </c>
      <c r="C518" s="27" t="s">
        <v>16</v>
      </c>
      <c r="D518" s="28">
        <f>B518*VLOOKUP(C518,tblXrate[],2,0)</f>
        <v>6410.8500074793246</v>
      </c>
      <c r="E518" s="27" t="s">
        <v>19</v>
      </c>
      <c r="F518" s="27" t="s">
        <v>3</v>
      </c>
      <c r="G518" s="27" t="s">
        <v>2273</v>
      </c>
      <c r="H518" s="27">
        <v>6</v>
      </c>
      <c r="I518" s="27">
        <f>VLOOKUP(F518,mapping!$L$2:$P$92,2,0)</f>
        <v>0.34064763831408895</v>
      </c>
      <c r="J518" s="27">
        <f>VLOOKUP($F518,mapping!$L$2:$P$92,3,0)</f>
        <v>1388.78</v>
      </c>
      <c r="K518" s="27" t="str">
        <f>VLOOKUP($F518,mapping!$L$2:$P$92,4,0)</f>
        <v>Developing Asia</v>
      </c>
      <c r="L518" s="29">
        <f>$D518*VLOOKUP($E518,'Charts data'!$A$2:$B$11,2,0)*VLOOKUP($G518,'Charts data'!$A$14:$B$18,2,0)/IF('Charts data'!$E$3=1,I518,1)/IF('Charts data'!$E$4=1,J518,1)</f>
        <v>6410.8500074793246</v>
      </c>
    </row>
    <row r="519" spans="1:12" x14ac:dyDescent="0.25">
      <c r="A519" s="27" t="s">
        <v>908</v>
      </c>
      <c r="B519" s="27">
        <v>240000</v>
      </c>
      <c r="C519" s="27" t="s">
        <v>16</v>
      </c>
      <c r="D519" s="28">
        <f>B519*VLOOKUP(C519,tblXrate[],2,0)</f>
        <v>4273.9000049862161</v>
      </c>
      <c r="E519" s="27" t="s">
        <v>51</v>
      </c>
      <c r="F519" s="27" t="s">
        <v>3</v>
      </c>
      <c r="G519" s="27" t="s">
        <v>2271</v>
      </c>
      <c r="H519" s="27">
        <v>8</v>
      </c>
      <c r="I519" s="27">
        <f>VLOOKUP(F519,mapping!$L$2:$P$92,2,0)</f>
        <v>0.34064763831408895</v>
      </c>
      <c r="J519" s="27">
        <f>VLOOKUP($F519,mapping!$L$2:$P$92,3,0)</f>
        <v>1388.78</v>
      </c>
      <c r="K519" s="27" t="str">
        <f>VLOOKUP($F519,mapping!$L$2:$P$92,4,0)</f>
        <v>Developing Asia</v>
      </c>
      <c r="L519" s="29">
        <f>$D519*VLOOKUP($E519,'Charts data'!$A$2:$B$11,2,0)*VLOOKUP($G519,'Charts data'!$A$14:$B$18,2,0)/IF('Charts data'!$E$3=1,I519,1)/IF('Charts data'!$E$4=1,J519,1)</f>
        <v>4273.9000049862161</v>
      </c>
    </row>
    <row r="520" spans="1:12" x14ac:dyDescent="0.25">
      <c r="A520" s="27" t="s">
        <v>912</v>
      </c>
      <c r="B520" s="27">
        <v>225000</v>
      </c>
      <c r="C520" s="27" t="s">
        <v>16</v>
      </c>
      <c r="D520" s="28">
        <f>B520*VLOOKUP(C520,tblXrate[],2,0)</f>
        <v>4006.7812546745777</v>
      </c>
      <c r="E520" s="27" t="s">
        <v>2145</v>
      </c>
      <c r="F520" s="27" t="s">
        <v>3</v>
      </c>
      <c r="G520" s="27" t="s">
        <v>2273</v>
      </c>
      <c r="H520" s="27">
        <v>5.5</v>
      </c>
      <c r="I520" s="27">
        <f>VLOOKUP(F520,mapping!$L$2:$P$92,2,0)</f>
        <v>0.34064763831408895</v>
      </c>
      <c r="J520" s="27">
        <f>VLOOKUP($F520,mapping!$L$2:$P$92,3,0)</f>
        <v>1388.78</v>
      </c>
      <c r="K520" s="27" t="str">
        <f>VLOOKUP($F520,mapping!$L$2:$P$92,4,0)</f>
        <v>Developing Asia</v>
      </c>
      <c r="L520" s="29">
        <f>$D520*VLOOKUP($E520,'Charts data'!$A$2:$B$11,2,0)*VLOOKUP($G520,'Charts data'!$A$14:$B$18,2,0)/IF('Charts data'!$E$3=1,I520,1)/IF('Charts data'!$E$4=1,J520,1)</f>
        <v>4006.7812546745777</v>
      </c>
    </row>
    <row r="521" spans="1:12" x14ac:dyDescent="0.25">
      <c r="A521" s="27" t="s">
        <v>914</v>
      </c>
      <c r="B521" s="27">
        <v>240000</v>
      </c>
      <c r="C521" s="27" t="s">
        <v>16</v>
      </c>
      <c r="D521" s="28">
        <f>B521*VLOOKUP(C521,tblXrate[],2,0)</f>
        <v>4273.9000049862161</v>
      </c>
      <c r="E521" s="27" t="s">
        <v>7</v>
      </c>
      <c r="F521" s="27" t="s">
        <v>3</v>
      </c>
      <c r="G521" s="27" t="s">
        <v>2272</v>
      </c>
      <c r="H521" s="27">
        <v>20</v>
      </c>
      <c r="I521" s="27">
        <f>VLOOKUP(F521,mapping!$L$2:$P$92,2,0)</f>
        <v>0.34064763831408895</v>
      </c>
      <c r="J521" s="27">
        <f>VLOOKUP($F521,mapping!$L$2:$P$92,3,0)</f>
        <v>1388.78</v>
      </c>
      <c r="K521" s="27" t="str">
        <f>VLOOKUP($F521,mapping!$L$2:$P$92,4,0)</f>
        <v>Developing Asia</v>
      </c>
      <c r="L521" s="29">
        <f>$D521*VLOOKUP($E521,'Charts data'!$A$2:$B$11,2,0)*VLOOKUP($G521,'Charts data'!$A$14:$B$18,2,0)/IF('Charts data'!$E$3=1,I521,1)/IF('Charts data'!$E$4=1,J521,1)</f>
        <v>4273.9000049862161</v>
      </c>
    </row>
    <row r="522" spans="1:12" x14ac:dyDescent="0.25">
      <c r="A522" s="27" t="s">
        <v>915</v>
      </c>
      <c r="B522" s="27">
        <v>700000</v>
      </c>
      <c r="C522" s="27" t="s">
        <v>16</v>
      </c>
      <c r="D522" s="28">
        <f>B522*VLOOKUP(C522,tblXrate[],2,0)</f>
        <v>12465.541681209797</v>
      </c>
      <c r="E522" s="27" t="s">
        <v>7</v>
      </c>
      <c r="F522" s="27" t="s">
        <v>3</v>
      </c>
      <c r="G522" s="27" t="s">
        <v>2273</v>
      </c>
      <c r="H522" s="27">
        <v>5</v>
      </c>
      <c r="I522" s="27">
        <f>VLOOKUP(F522,mapping!$L$2:$P$92,2,0)</f>
        <v>0.34064763831408895</v>
      </c>
      <c r="J522" s="27">
        <f>VLOOKUP($F522,mapping!$L$2:$P$92,3,0)</f>
        <v>1388.78</v>
      </c>
      <c r="K522" s="27" t="str">
        <f>VLOOKUP($F522,mapping!$L$2:$P$92,4,0)</f>
        <v>Developing Asia</v>
      </c>
      <c r="L522" s="29">
        <f>$D522*VLOOKUP($E522,'Charts data'!$A$2:$B$11,2,0)*VLOOKUP($G522,'Charts data'!$A$14:$B$18,2,0)/IF('Charts data'!$E$3=1,I522,1)/IF('Charts data'!$E$4=1,J522,1)</f>
        <v>12465.541681209797</v>
      </c>
    </row>
    <row r="523" spans="1:12" x14ac:dyDescent="0.25">
      <c r="A523" s="27" t="s">
        <v>920</v>
      </c>
      <c r="B523" s="27">
        <v>120000</v>
      </c>
      <c r="C523" s="27" t="s">
        <v>16</v>
      </c>
      <c r="D523" s="28">
        <f>B523*VLOOKUP(C523,tblXrate[],2,0)</f>
        <v>2136.9500024931081</v>
      </c>
      <c r="E523" s="27" t="s">
        <v>51</v>
      </c>
      <c r="F523" s="27" t="s">
        <v>3</v>
      </c>
      <c r="G523" s="27" t="s">
        <v>2272</v>
      </c>
      <c r="H523" s="27">
        <v>2</v>
      </c>
      <c r="I523" s="27">
        <f>VLOOKUP(F523,mapping!$L$2:$P$92,2,0)</f>
        <v>0.34064763831408895</v>
      </c>
      <c r="J523" s="27">
        <f>VLOOKUP($F523,mapping!$L$2:$P$92,3,0)</f>
        <v>1388.78</v>
      </c>
      <c r="K523" s="27" t="str">
        <f>VLOOKUP($F523,mapping!$L$2:$P$92,4,0)</f>
        <v>Developing Asia</v>
      </c>
      <c r="L523" s="29">
        <f>$D523*VLOOKUP($E523,'Charts data'!$A$2:$B$11,2,0)*VLOOKUP($G523,'Charts data'!$A$14:$B$18,2,0)/IF('Charts data'!$E$3=1,I523,1)/IF('Charts data'!$E$4=1,J523,1)</f>
        <v>2136.9500024931081</v>
      </c>
    </row>
    <row r="524" spans="1:12" x14ac:dyDescent="0.25">
      <c r="A524" s="27" t="s">
        <v>924</v>
      </c>
      <c r="B524" s="27">
        <v>1200000</v>
      </c>
      <c r="C524" s="27" t="s">
        <v>16</v>
      </c>
      <c r="D524" s="28">
        <f>B524*VLOOKUP(C524,tblXrate[],2,0)</f>
        <v>21369.500024931083</v>
      </c>
      <c r="E524" s="27" t="s">
        <v>19</v>
      </c>
      <c r="F524" s="27" t="s">
        <v>3</v>
      </c>
      <c r="G524" s="27" t="s">
        <v>2273</v>
      </c>
      <c r="H524" s="27">
        <v>14</v>
      </c>
      <c r="I524" s="27">
        <f>VLOOKUP(F524,mapping!$L$2:$P$92,2,0)</f>
        <v>0.34064763831408895</v>
      </c>
      <c r="J524" s="27">
        <f>VLOOKUP($F524,mapping!$L$2:$P$92,3,0)</f>
        <v>1388.78</v>
      </c>
      <c r="K524" s="27" t="str">
        <f>VLOOKUP($F524,mapping!$L$2:$P$92,4,0)</f>
        <v>Developing Asia</v>
      </c>
      <c r="L524" s="29">
        <f>$D524*VLOOKUP($E524,'Charts data'!$A$2:$B$11,2,0)*VLOOKUP($G524,'Charts data'!$A$14:$B$18,2,0)/IF('Charts data'!$E$3=1,I524,1)/IF('Charts data'!$E$4=1,J524,1)</f>
        <v>21369.500024931083</v>
      </c>
    </row>
    <row r="525" spans="1:12" x14ac:dyDescent="0.25">
      <c r="A525" s="27" t="s">
        <v>925</v>
      </c>
      <c r="B525" s="27">
        <v>205000</v>
      </c>
      <c r="C525" s="27" t="s">
        <v>16</v>
      </c>
      <c r="D525" s="28">
        <f>B525*VLOOKUP(C525,tblXrate[],2,0)</f>
        <v>3650.6229209257262</v>
      </c>
      <c r="E525" s="27" t="s">
        <v>51</v>
      </c>
      <c r="F525" s="27" t="s">
        <v>3</v>
      </c>
      <c r="G525" s="27" t="s">
        <v>2273</v>
      </c>
      <c r="H525" s="27">
        <v>10</v>
      </c>
      <c r="I525" s="27">
        <f>VLOOKUP(F525,mapping!$L$2:$P$92,2,0)</f>
        <v>0.34064763831408895</v>
      </c>
      <c r="J525" s="27">
        <f>VLOOKUP($F525,mapping!$L$2:$P$92,3,0)</f>
        <v>1388.78</v>
      </c>
      <c r="K525" s="27" t="str">
        <f>VLOOKUP($F525,mapping!$L$2:$P$92,4,0)</f>
        <v>Developing Asia</v>
      </c>
      <c r="L525" s="29">
        <f>$D525*VLOOKUP($E525,'Charts data'!$A$2:$B$11,2,0)*VLOOKUP($G525,'Charts data'!$A$14:$B$18,2,0)/IF('Charts data'!$E$3=1,I525,1)/IF('Charts data'!$E$4=1,J525,1)</f>
        <v>3650.6229209257262</v>
      </c>
    </row>
    <row r="526" spans="1:12" x14ac:dyDescent="0.25">
      <c r="A526" s="27" t="s">
        <v>927</v>
      </c>
      <c r="B526" s="27">
        <v>300000</v>
      </c>
      <c r="C526" s="27" t="s">
        <v>16</v>
      </c>
      <c r="D526" s="28">
        <f>B526*VLOOKUP(C526,tblXrate[],2,0)</f>
        <v>5342.3750062327708</v>
      </c>
      <c r="E526" s="27" t="s">
        <v>62</v>
      </c>
      <c r="F526" s="27" t="s">
        <v>3</v>
      </c>
      <c r="G526" s="27" t="s">
        <v>2273</v>
      </c>
      <c r="H526" s="27">
        <v>4</v>
      </c>
      <c r="I526" s="27">
        <f>VLOOKUP(F526,mapping!$L$2:$P$92,2,0)</f>
        <v>0.34064763831408895</v>
      </c>
      <c r="J526" s="27">
        <f>VLOOKUP($F526,mapping!$L$2:$P$92,3,0)</f>
        <v>1388.78</v>
      </c>
      <c r="K526" s="27" t="str">
        <f>VLOOKUP($F526,mapping!$L$2:$P$92,4,0)</f>
        <v>Developing Asia</v>
      </c>
      <c r="L526" s="29">
        <f>$D526*VLOOKUP($E526,'Charts data'!$A$2:$B$11,2,0)*VLOOKUP($G526,'Charts data'!$A$14:$B$18,2,0)/IF('Charts data'!$E$3=1,I526,1)/IF('Charts data'!$E$4=1,J526,1)</f>
        <v>5342.3750062327708</v>
      </c>
    </row>
    <row r="527" spans="1:12" x14ac:dyDescent="0.25">
      <c r="A527" s="27" t="s">
        <v>929</v>
      </c>
      <c r="B527" s="27">
        <v>220000</v>
      </c>
      <c r="C527" s="27" t="s">
        <v>16</v>
      </c>
      <c r="D527" s="28">
        <f>B527*VLOOKUP(C527,tblXrate[],2,0)</f>
        <v>3917.7416712373652</v>
      </c>
      <c r="E527" s="27" t="s">
        <v>48</v>
      </c>
      <c r="F527" s="27" t="s">
        <v>3</v>
      </c>
      <c r="G527" s="27" t="s">
        <v>2271</v>
      </c>
      <c r="H527" s="27">
        <v>2</v>
      </c>
      <c r="I527" s="27">
        <f>VLOOKUP(F527,mapping!$L$2:$P$92,2,0)</f>
        <v>0.34064763831408895</v>
      </c>
      <c r="J527" s="27">
        <f>VLOOKUP($F527,mapping!$L$2:$P$92,3,0)</f>
        <v>1388.78</v>
      </c>
      <c r="K527" s="27" t="str">
        <f>VLOOKUP($F527,mapping!$L$2:$P$92,4,0)</f>
        <v>Developing Asia</v>
      </c>
      <c r="L527" s="29">
        <f>$D527*VLOOKUP($E527,'Charts data'!$A$2:$B$11,2,0)*VLOOKUP($G527,'Charts data'!$A$14:$B$18,2,0)/IF('Charts data'!$E$3=1,I527,1)/IF('Charts data'!$E$4=1,J527,1)</f>
        <v>3917.7416712373652</v>
      </c>
    </row>
    <row r="528" spans="1:12" x14ac:dyDescent="0.25">
      <c r="A528" s="27" t="s">
        <v>933</v>
      </c>
      <c r="B528" s="27">
        <v>480000</v>
      </c>
      <c r="C528" s="27" t="s">
        <v>16</v>
      </c>
      <c r="D528" s="28">
        <f>B528*VLOOKUP(C528,tblXrate[],2,0)</f>
        <v>8547.8000099724322</v>
      </c>
      <c r="E528" s="27" t="s">
        <v>19</v>
      </c>
      <c r="F528" s="27" t="s">
        <v>3</v>
      </c>
      <c r="G528" s="27" t="s">
        <v>2271</v>
      </c>
      <c r="H528" s="27">
        <v>11</v>
      </c>
      <c r="I528" s="27">
        <f>VLOOKUP(F528,mapping!$L$2:$P$92,2,0)</f>
        <v>0.34064763831408895</v>
      </c>
      <c r="J528" s="27">
        <f>VLOOKUP($F528,mapping!$L$2:$P$92,3,0)</f>
        <v>1388.78</v>
      </c>
      <c r="K528" s="27" t="str">
        <f>VLOOKUP($F528,mapping!$L$2:$P$92,4,0)</f>
        <v>Developing Asia</v>
      </c>
      <c r="L528" s="29">
        <f>$D528*VLOOKUP($E528,'Charts data'!$A$2:$B$11,2,0)*VLOOKUP($G528,'Charts data'!$A$14:$B$18,2,0)/IF('Charts data'!$E$3=1,I528,1)/IF('Charts data'!$E$4=1,J528,1)</f>
        <v>8547.8000099724322</v>
      </c>
    </row>
    <row r="529" spans="1:12" x14ac:dyDescent="0.25">
      <c r="A529" s="27" t="s">
        <v>935</v>
      </c>
      <c r="B529" s="27">
        <v>570000</v>
      </c>
      <c r="C529" s="27" t="s">
        <v>16</v>
      </c>
      <c r="D529" s="28">
        <f>B529*VLOOKUP(C529,tblXrate[],2,0)</f>
        <v>10150.512511842264</v>
      </c>
      <c r="E529" s="27" t="s">
        <v>7</v>
      </c>
      <c r="F529" s="27" t="s">
        <v>3</v>
      </c>
      <c r="G529" s="27" t="s">
        <v>2273</v>
      </c>
      <c r="H529" s="27">
        <v>2.4</v>
      </c>
      <c r="I529" s="27">
        <f>VLOOKUP(F529,mapping!$L$2:$P$92,2,0)</f>
        <v>0.34064763831408895</v>
      </c>
      <c r="J529" s="27">
        <f>VLOOKUP($F529,mapping!$L$2:$P$92,3,0)</f>
        <v>1388.78</v>
      </c>
      <c r="K529" s="27" t="str">
        <f>VLOOKUP($F529,mapping!$L$2:$P$92,4,0)</f>
        <v>Developing Asia</v>
      </c>
      <c r="L529" s="29">
        <f>$D529*VLOOKUP($E529,'Charts data'!$A$2:$B$11,2,0)*VLOOKUP($G529,'Charts data'!$A$14:$B$18,2,0)/IF('Charts data'!$E$3=1,I529,1)/IF('Charts data'!$E$4=1,J529,1)</f>
        <v>10150.512511842264</v>
      </c>
    </row>
    <row r="530" spans="1:12" x14ac:dyDescent="0.25">
      <c r="A530" s="27" t="s">
        <v>936</v>
      </c>
      <c r="B530" s="27">
        <v>636000</v>
      </c>
      <c r="C530" s="27" t="s">
        <v>16</v>
      </c>
      <c r="D530" s="28">
        <f>B530*VLOOKUP(C530,tblXrate[],2,0)</f>
        <v>11325.835013213473</v>
      </c>
      <c r="E530" s="27" t="s">
        <v>19</v>
      </c>
      <c r="F530" s="27" t="s">
        <v>3</v>
      </c>
      <c r="G530" s="27" t="s">
        <v>2271</v>
      </c>
      <c r="H530" s="27">
        <v>7</v>
      </c>
      <c r="I530" s="27">
        <f>VLOOKUP(F530,mapping!$L$2:$P$92,2,0)</f>
        <v>0.34064763831408895</v>
      </c>
      <c r="J530" s="27">
        <f>VLOOKUP($F530,mapping!$L$2:$P$92,3,0)</f>
        <v>1388.78</v>
      </c>
      <c r="K530" s="27" t="str">
        <f>VLOOKUP($F530,mapping!$L$2:$P$92,4,0)</f>
        <v>Developing Asia</v>
      </c>
      <c r="L530" s="29">
        <f>$D530*VLOOKUP($E530,'Charts data'!$A$2:$B$11,2,0)*VLOOKUP($G530,'Charts data'!$A$14:$B$18,2,0)/IF('Charts data'!$E$3=1,I530,1)/IF('Charts data'!$E$4=1,J530,1)</f>
        <v>11325.835013213473</v>
      </c>
    </row>
    <row r="531" spans="1:12" x14ac:dyDescent="0.25">
      <c r="A531" s="27" t="s">
        <v>939</v>
      </c>
      <c r="B531" s="27">
        <v>2250000</v>
      </c>
      <c r="C531" s="27" t="s">
        <v>16</v>
      </c>
      <c r="D531" s="28">
        <f>B531*VLOOKUP(C531,tblXrate[],2,0)</f>
        <v>40067.812546745779</v>
      </c>
      <c r="E531" s="27" t="s">
        <v>51</v>
      </c>
      <c r="F531" s="27" t="s">
        <v>3</v>
      </c>
      <c r="G531" s="27" t="s">
        <v>2274</v>
      </c>
      <c r="H531" s="27">
        <v>5</v>
      </c>
      <c r="I531" s="27">
        <f>VLOOKUP(F531,mapping!$L$2:$P$92,2,0)</f>
        <v>0.34064763831408895</v>
      </c>
      <c r="J531" s="27">
        <f>VLOOKUP($F531,mapping!$L$2:$P$92,3,0)</f>
        <v>1388.78</v>
      </c>
      <c r="K531" s="27" t="str">
        <f>VLOOKUP($F531,mapping!$L$2:$P$92,4,0)</f>
        <v>Developing Asia</v>
      </c>
      <c r="L531" s="29">
        <f>$D531*VLOOKUP($E531,'Charts data'!$A$2:$B$11,2,0)*VLOOKUP($G531,'Charts data'!$A$14:$B$18,2,0)/IF('Charts data'!$E$3=1,I531,1)/IF('Charts data'!$E$4=1,J531,1)</f>
        <v>40067.812546745779</v>
      </c>
    </row>
    <row r="532" spans="1:12" x14ac:dyDescent="0.25">
      <c r="A532" s="27" t="s">
        <v>941</v>
      </c>
      <c r="B532" s="27">
        <v>240000</v>
      </c>
      <c r="C532" s="27" t="s">
        <v>16</v>
      </c>
      <c r="D532" s="28">
        <f>B532*VLOOKUP(C532,tblXrate[],2,0)</f>
        <v>4273.9000049862161</v>
      </c>
      <c r="E532" s="27" t="s">
        <v>7</v>
      </c>
      <c r="F532" s="27" t="s">
        <v>3</v>
      </c>
      <c r="G532" s="27" t="s">
        <v>2273</v>
      </c>
      <c r="H532" s="27">
        <v>4</v>
      </c>
      <c r="I532" s="27">
        <f>VLOOKUP(F532,mapping!$L$2:$P$92,2,0)</f>
        <v>0.34064763831408895</v>
      </c>
      <c r="J532" s="27">
        <f>VLOOKUP($F532,mapping!$L$2:$P$92,3,0)</f>
        <v>1388.78</v>
      </c>
      <c r="K532" s="27" t="str">
        <f>VLOOKUP($F532,mapping!$L$2:$P$92,4,0)</f>
        <v>Developing Asia</v>
      </c>
      <c r="L532" s="29">
        <f>$D532*VLOOKUP($E532,'Charts data'!$A$2:$B$11,2,0)*VLOOKUP($G532,'Charts data'!$A$14:$B$18,2,0)/IF('Charts data'!$E$3=1,I532,1)/IF('Charts data'!$E$4=1,J532,1)</f>
        <v>4273.9000049862161</v>
      </c>
    </row>
    <row r="533" spans="1:12" x14ac:dyDescent="0.25">
      <c r="A533" s="27" t="s">
        <v>942</v>
      </c>
      <c r="B533" s="27">
        <v>400000</v>
      </c>
      <c r="C533" s="27" t="s">
        <v>16</v>
      </c>
      <c r="D533" s="28">
        <f>B533*VLOOKUP(C533,tblXrate[],2,0)</f>
        <v>7123.1666749770275</v>
      </c>
      <c r="E533" s="27" t="s">
        <v>19</v>
      </c>
      <c r="F533" s="27" t="s">
        <v>3</v>
      </c>
      <c r="G533" s="27" t="s">
        <v>2271</v>
      </c>
      <c r="H533" s="27">
        <v>7</v>
      </c>
      <c r="I533" s="27">
        <f>VLOOKUP(F533,mapping!$L$2:$P$92,2,0)</f>
        <v>0.34064763831408895</v>
      </c>
      <c r="J533" s="27">
        <f>VLOOKUP($F533,mapping!$L$2:$P$92,3,0)</f>
        <v>1388.78</v>
      </c>
      <c r="K533" s="27" t="str">
        <f>VLOOKUP($F533,mapping!$L$2:$P$92,4,0)</f>
        <v>Developing Asia</v>
      </c>
      <c r="L533" s="29">
        <f>$D533*VLOOKUP($E533,'Charts data'!$A$2:$B$11,2,0)*VLOOKUP($G533,'Charts data'!$A$14:$B$18,2,0)/IF('Charts data'!$E$3=1,I533,1)/IF('Charts data'!$E$4=1,J533,1)</f>
        <v>7123.1666749770275</v>
      </c>
    </row>
    <row r="534" spans="1:12" x14ac:dyDescent="0.25">
      <c r="A534" s="27" t="s">
        <v>946</v>
      </c>
      <c r="B534" s="27">
        <v>450000</v>
      </c>
      <c r="C534" s="27" t="s">
        <v>16</v>
      </c>
      <c r="D534" s="28">
        <f>B534*VLOOKUP(C534,tblXrate[],2,0)</f>
        <v>8013.5625093491553</v>
      </c>
      <c r="E534" s="27" t="s">
        <v>19</v>
      </c>
      <c r="F534" s="27" t="s">
        <v>3</v>
      </c>
      <c r="G534" s="27" t="s">
        <v>2273</v>
      </c>
      <c r="H534" s="27">
        <v>1.5</v>
      </c>
      <c r="I534" s="27">
        <f>VLOOKUP(F534,mapping!$L$2:$P$92,2,0)</f>
        <v>0.34064763831408895</v>
      </c>
      <c r="J534" s="27">
        <f>VLOOKUP($F534,mapping!$L$2:$P$92,3,0)</f>
        <v>1388.78</v>
      </c>
      <c r="K534" s="27" t="str">
        <f>VLOOKUP($F534,mapping!$L$2:$P$92,4,0)</f>
        <v>Developing Asia</v>
      </c>
      <c r="L534" s="29">
        <f>$D534*VLOOKUP($E534,'Charts data'!$A$2:$B$11,2,0)*VLOOKUP($G534,'Charts data'!$A$14:$B$18,2,0)/IF('Charts data'!$E$3=1,I534,1)/IF('Charts data'!$E$4=1,J534,1)</f>
        <v>8013.5625093491553</v>
      </c>
    </row>
    <row r="535" spans="1:12" x14ac:dyDescent="0.25">
      <c r="A535" s="27" t="s">
        <v>948</v>
      </c>
      <c r="B535" s="27">
        <v>150000</v>
      </c>
      <c r="C535" s="27" t="s">
        <v>16</v>
      </c>
      <c r="D535" s="28">
        <f>B535*VLOOKUP(C535,tblXrate[],2,0)</f>
        <v>2671.1875031163854</v>
      </c>
      <c r="E535" s="27" t="s">
        <v>7</v>
      </c>
      <c r="F535" s="27" t="s">
        <v>3</v>
      </c>
      <c r="G535" s="27" t="s">
        <v>2271</v>
      </c>
      <c r="H535" s="27">
        <v>2</v>
      </c>
      <c r="I535" s="27">
        <f>VLOOKUP(F535,mapping!$L$2:$P$92,2,0)</f>
        <v>0.34064763831408895</v>
      </c>
      <c r="J535" s="27">
        <f>VLOOKUP($F535,mapping!$L$2:$P$92,3,0)</f>
        <v>1388.78</v>
      </c>
      <c r="K535" s="27" t="str">
        <f>VLOOKUP($F535,mapping!$L$2:$P$92,4,0)</f>
        <v>Developing Asia</v>
      </c>
      <c r="L535" s="29">
        <f>$D535*VLOOKUP($E535,'Charts data'!$A$2:$B$11,2,0)*VLOOKUP($G535,'Charts data'!$A$14:$B$18,2,0)/IF('Charts data'!$E$3=1,I535,1)/IF('Charts data'!$E$4=1,J535,1)</f>
        <v>2671.1875031163854</v>
      </c>
    </row>
    <row r="536" spans="1:12" x14ac:dyDescent="0.25">
      <c r="A536" s="27" t="s">
        <v>950</v>
      </c>
      <c r="B536" s="27">
        <v>1152000</v>
      </c>
      <c r="C536" s="27" t="s">
        <v>16</v>
      </c>
      <c r="D536" s="28">
        <f>B536*VLOOKUP(C536,tblXrate[],2,0)</f>
        <v>20514.720023933838</v>
      </c>
      <c r="E536" s="27" t="s">
        <v>51</v>
      </c>
      <c r="F536" s="27" t="s">
        <v>3</v>
      </c>
      <c r="G536" s="27" t="s">
        <v>2271</v>
      </c>
      <c r="H536" s="27">
        <v>6</v>
      </c>
      <c r="I536" s="27">
        <f>VLOOKUP(F536,mapping!$L$2:$P$92,2,0)</f>
        <v>0.34064763831408895</v>
      </c>
      <c r="J536" s="27">
        <f>VLOOKUP($F536,mapping!$L$2:$P$92,3,0)</f>
        <v>1388.78</v>
      </c>
      <c r="K536" s="27" t="str">
        <f>VLOOKUP($F536,mapping!$L$2:$P$92,4,0)</f>
        <v>Developing Asia</v>
      </c>
      <c r="L536" s="29">
        <f>$D536*VLOOKUP($E536,'Charts data'!$A$2:$B$11,2,0)*VLOOKUP($G536,'Charts data'!$A$14:$B$18,2,0)/IF('Charts data'!$E$3=1,I536,1)/IF('Charts data'!$E$4=1,J536,1)</f>
        <v>20514.720023933838</v>
      </c>
    </row>
    <row r="537" spans="1:12" x14ac:dyDescent="0.25">
      <c r="A537" s="27" t="s">
        <v>953</v>
      </c>
      <c r="B537" s="27">
        <v>377000</v>
      </c>
      <c r="C537" s="27" t="s">
        <v>16</v>
      </c>
      <c r="D537" s="28">
        <f>B537*VLOOKUP(C537,tblXrate[],2,0)</f>
        <v>6713.584591165848</v>
      </c>
      <c r="E537" s="27" t="s">
        <v>7</v>
      </c>
      <c r="F537" s="27" t="s">
        <v>3</v>
      </c>
      <c r="G537" s="27" t="s">
        <v>2274</v>
      </c>
      <c r="H537" s="27">
        <v>7</v>
      </c>
      <c r="I537" s="27">
        <f>VLOOKUP(F537,mapping!$L$2:$P$92,2,0)</f>
        <v>0.34064763831408895</v>
      </c>
      <c r="J537" s="27">
        <f>VLOOKUP($F537,mapping!$L$2:$P$92,3,0)</f>
        <v>1388.78</v>
      </c>
      <c r="K537" s="27" t="str">
        <f>VLOOKUP($F537,mapping!$L$2:$P$92,4,0)</f>
        <v>Developing Asia</v>
      </c>
      <c r="L537" s="29">
        <f>$D537*VLOOKUP($E537,'Charts data'!$A$2:$B$11,2,0)*VLOOKUP($G537,'Charts data'!$A$14:$B$18,2,0)/IF('Charts data'!$E$3=1,I537,1)/IF('Charts data'!$E$4=1,J537,1)</f>
        <v>6713.584591165848</v>
      </c>
    </row>
    <row r="538" spans="1:12" x14ac:dyDescent="0.25">
      <c r="A538" s="27" t="s">
        <v>956</v>
      </c>
      <c r="B538" s="27">
        <v>600000</v>
      </c>
      <c r="C538" s="27" t="s">
        <v>16</v>
      </c>
      <c r="D538" s="28">
        <f>B538*VLOOKUP(C538,tblXrate[],2,0)</f>
        <v>10684.750012465542</v>
      </c>
      <c r="E538" s="27" t="s">
        <v>7</v>
      </c>
      <c r="F538" s="27" t="s">
        <v>3</v>
      </c>
      <c r="G538" s="27" t="s">
        <v>2273</v>
      </c>
      <c r="H538" s="27">
        <v>4</v>
      </c>
      <c r="I538" s="27">
        <f>VLOOKUP(F538,mapping!$L$2:$P$92,2,0)</f>
        <v>0.34064763831408895</v>
      </c>
      <c r="J538" s="27">
        <f>VLOOKUP($F538,mapping!$L$2:$P$92,3,0)</f>
        <v>1388.78</v>
      </c>
      <c r="K538" s="27" t="str">
        <f>VLOOKUP($F538,mapping!$L$2:$P$92,4,0)</f>
        <v>Developing Asia</v>
      </c>
      <c r="L538" s="29">
        <f>$D538*VLOOKUP($E538,'Charts data'!$A$2:$B$11,2,0)*VLOOKUP($G538,'Charts data'!$A$14:$B$18,2,0)/IF('Charts data'!$E$3=1,I538,1)/IF('Charts data'!$E$4=1,J538,1)</f>
        <v>10684.750012465542</v>
      </c>
    </row>
    <row r="539" spans="1:12" x14ac:dyDescent="0.25">
      <c r="A539" s="27" t="s">
        <v>959</v>
      </c>
      <c r="B539" s="27">
        <v>850000</v>
      </c>
      <c r="C539" s="27" t="s">
        <v>16</v>
      </c>
      <c r="D539" s="28">
        <f>B539*VLOOKUP(C539,tblXrate[],2,0)</f>
        <v>15136.729184326183</v>
      </c>
      <c r="E539" s="27" t="s">
        <v>7</v>
      </c>
      <c r="F539" s="27" t="s">
        <v>3</v>
      </c>
      <c r="G539" s="27" t="s">
        <v>2271</v>
      </c>
      <c r="H539" s="27">
        <v>2</v>
      </c>
      <c r="I539" s="27">
        <f>VLOOKUP(F539,mapping!$L$2:$P$92,2,0)</f>
        <v>0.34064763831408895</v>
      </c>
      <c r="J539" s="27">
        <f>VLOOKUP($F539,mapping!$L$2:$P$92,3,0)</f>
        <v>1388.78</v>
      </c>
      <c r="K539" s="27" t="str">
        <f>VLOOKUP($F539,mapping!$L$2:$P$92,4,0)</f>
        <v>Developing Asia</v>
      </c>
      <c r="L539" s="29">
        <f>$D539*VLOOKUP($E539,'Charts data'!$A$2:$B$11,2,0)*VLOOKUP($G539,'Charts data'!$A$14:$B$18,2,0)/IF('Charts data'!$E$3=1,I539,1)/IF('Charts data'!$E$4=1,J539,1)</f>
        <v>15136.729184326183</v>
      </c>
    </row>
    <row r="540" spans="1:12" x14ac:dyDescent="0.25">
      <c r="A540" s="27" t="s">
        <v>961</v>
      </c>
      <c r="B540" s="27">
        <v>450000</v>
      </c>
      <c r="C540" s="27" t="s">
        <v>16</v>
      </c>
      <c r="D540" s="28">
        <f>B540*VLOOKUP(C540,tblXrate[],2,0)</f>
        <v>8013.5625093491553</v>
      </c>
      <c r="E540" s="27" t="s">
        <v>19</v>
      </c>
      <c r="F540" s="27" t="s">
        <v>3</v>
      </c>
      <c r="G540" s="27" t="s">
        <v>2271</v>
      </c>
      <c r="H540" s="27">
        <v>6</v>
      </c>
      <c r="I540" s="27">
        <f>VLOOKUP(F540,mapping!$L$2:$P$92,2,0)</f>
        <v>0.34064763831408895</v>
      </c>
      <c r="J540" s="27">
        <f>VLOOKUP($F540,mapping!$L$2:$P$92,3,0)</f>
        <v>1388.78</v>
      </c>
      <c r="K540" s="27" t="str">
        <f>VLOOKUP($F540,mapping!$L$2:$P$92,4,0)</f>
        <v>Developing Asia</v>
      </c>
      <c r="L540" s="29">
        <f>$D540*VLOOKUP($E540,'Charts data'!$A$2:$B$11,2,0)*VLOOKUP($G540,'Charts data'!$A$14:$B$18,2,0)/IF('Charts data'!$E$3=1,I540,1)/IF('Charts data'!$E$4=1,J540,1)</f>
        <v>8013.5625093491553</v>
      </c>
    </row>
    <row r="541" spans="1:12" x14ac:dyDescent="0.25">
      <c r="A541" s="27" t="s">
        <v>963</v>
      </c>
      <c r="B541" s="27">
        <v>170000</v>
      </c>
      <c r="C541" s="27" t="s">
        <v>16</v>
      </c>
      <c r="D541" s="28">
        <f>B541*VLOOKUP(C541,tblXrate[],2,0)</f>
        <v>3027.3458368652364</v>
      </c>
      <c r="E541" s="27" t="s">
        <v>2145</v>
      </c>
      <c r="F541" s="27" t="s">
        <v>3</v>
      </c>
      <c r="G541" s="27" t="s">
        <v>2271</v>
      </c>
      <c r="H541" s="27">
        <v>2</v>
      </c>
      <c r="I541" s="27">
        <f>VLOOKUP(F541,mapping!$L$2:$P$92,2,0)</f>
        <v>0.34064763831408895</v>
      </c>
      <c r="J541" s="27">
        <f>VLOOKUP($F541,mapping!$L$2:$P$92,3,0)</f>
        <v>1388.78</v>
      </c>
      <c r="K541" s="27" t="str">
        <f>VLOOKUP($F541,mapping!$L$2:$P$92,4,0)</f>
        <v>Developing Asia</v>
      </c>
      <c r="L541" s="29">
        <f>$D541*VLOOKUP($E541,'Charts data'!$A$2:$B$11,2,0)*VLOOKUP($G541,'Charts data'!$A$14:$B$18,2,0)/IF('Charts data'!$E$3=1,I541,1)/IF('Charts data'!$E$4=1,J541,1)</f>
        <v>3027.3458368652364</v>
      </c>
    </row>
    <row r="542" spans="1:12" x14ac:dyDescent="0.25">
      <c r="A542" s="27" t="s">
        <v>967</v>
      </c>
      <c r="B542" s="27">
        <v>240000</v>
      </c>
      <c r="C542" s="27" t="s">
        <v>16</v>
      </c>
      <c r="D542" s="28">
        <f>B542*VLOOKUP(C542,tblXrate[],2,0)</f>
        <v>4273.9000049862161</v>
      </c>
      <c r="E542" s="27" t="s">
        <v>19</v>
      </c>
      <c r="F542" s="27" t="s">
        <v>3</v>
      </c>
      <c r="G542" s="27" t="s">
        <v>2272</v>
      </c>
      <c r="H542" s="27">
        <v>3</v>
      </c>
      <c r="I542" s="27">
        <f>VLOOKUP(F542,mapping!$L$2:$P$92,2,0)</f>
        <v>0.34064763831408895</v>
      </c>
      <c r="J542" s="27">
        <f>VLOOKUP($F542,mapping!$L$2:$P$92,3,0)</f>
        <v>1388.78</v>
      </c>
      <c r="K542" s="27" t="str">
        <f>VLOOKUP($F542,mapping!$L$2:$P$92,4,0)</f>
        <v>Developing Asia</v>
      </c>
      <c r="L542" s="29">
        <f>$D542*VLOOKUP($E542,'Charts data'!$A$2:$B$11,2,0)*VLOOKUP($G542,'Charts data'!$A$14:$B$18,2,0)/IF('Charts data'!$E$3=1,I542,1)/IF('Charts data'!$E$4=1,J542,1)</f>
        <v>4273.9000049862161</v>
      </c>
    </row>
    <row r="543" spans="1:12" x14ac:dyDescent="0.25">
      <c r="A543" s="27" t="s">
        <v>968</v>
      </c>
      <c r="B543" s="27">
        <v>650000</v>
      </c>
      <c r="C543" s="27" t="s">
        <v>16</v>
      </c>
      <c r="D543" s="28">
        <f>B543*VLOOKUP(C543,tblXrate[],2,0)</f>
        <v>11575.14584683767</v>
      </c>
      <c r="E543" s="27" t="s">
        <v>19</v>
      </c>
      <c r="F543" s="27" t="s">
        <v>3</v>
      </c>
      <c r="G543" s="27" t="s">
        <v>2272</v>
      </c>
      <c r="H543" s="27">
        <v>5</v>
      </c>
      <c r="I543" s="27">
        <f>VLOOKUP(F543,mapping!$L$2:$P$92,2,0)</f>
        <v>0.34064763831408895</v>
      </c>
      <c r="J543" s="27">
        <f>VLOOKUP($F543,mapping!$L$2:$P$92,3,0)</f>
        <v>1388.78</v>
      </c>
      <c r="K543" s="27" t="str">
        <f>VLOOKUP($F543,mapping!$L$2:$P$92,4,0)</f>
        <v>Developing Asia</v>
      </c>
      <c r="L543" s="29">
        <f>$D543*VLOOKUP($E543,'Charts data'!$A$2:$B$11,2,0)*VLOOKUP($G543,'Charts data'!$A$14:$B$18,2,0)/IF('Charts data'!$E$3=1,I543,1)/IF('Charts data'!$E$4=1,J543,1)</f>
        <v>11575.14584683767</v>
      </c>
    </row>
    <row r="544" spans="1:12" x14ac:dyDescent="0.25">
      <c r="A544" s="27" t="s">
        <v>970</v>
      </c>
      <c r="B544" s="27">
        <v>516000</v>
      </c>
      <c r="C544" s="27" t="s">
        <v>16</v>
      </c>
      <c r="D544" s="28">
        <f>B544*VLOOKUP(C544,tblXrate[],2,0)</f>
        <v>9188.8850107203652</v>
      </c>
      <c r="E544" s="27" t="s">
        <v>19</v>
      </c>
      <c r="F544" s="27" t="s">
        <v>3</v>
      </c>
      <c r="G544" s="27" t="s">
        <v>2271</v>
      </c>
      <c r="H544" s="27">
        <v>0</v>
      </c>
      <c r="I544" s="27">
        <f>VLOOKUP(F544,mapping!$L$2:$P$92,2,0)</f>
        <v>0.34064763831408895</v>
      </c>
      <c r="J544" s="27">
        <f>VLOOKUP($F544,mapping!$L$2:$P$92,3,0)</f>
        <v>1388.78</v>
      </c>
      <c r="K544" s="27" t="str">
        <f>VLOOKUP($F544,mapping!$L$2:$P$92,4,0)</f>
        <v>Developing Asia</v>
      </c>
      <c r="L544" s="29">
        <f>$D544*VLOOKUP($E544,'Charts data'!$A$2:$B$11,2,0)*VLOOKUP($G544,'Charts data'!$A$14:$B$18,2,0)/IF('Charts data'!$E$3=1,I544,1)/IF('Charts data'!$E$4=1,J544,1)</f>
        <v>9188.8850107203652</v>
      </c>
    </row>
    <row r="545" spans="1:12" x14ac:dyDescent="0.25">
      <c r="A545" s="27" t="s">
        <v>971</v>
      </c>
      <c r="B545" s="27">
        <v>504000</v>
      </c>
      <c r="C545" s="27" t="s">
        <v>16</v>
      </c>
      <c r="D545" s="28">
        <f>B545*VLOOKUP(C545,tblXrate[],2,0)</f>
        <v>8975.1900104710548</v>
      </c>
      <c r="E545" s="27" t="s">
        <v>19</v>
      </c>
      <c r="F545" s="27" t="s">
        <v>3</v>
      </c>
      <c r="G545" s="27" t="s">
        <v>2273</v>
      </c>
      <c r="H545" s="27">
        <v>3</v>
      </c>
      <c r="I545" s="27">
        <f>VLOOKUP(F545,mapping!$L$2:$P$92,2,0)</f>
        <v>0.34064763831408895</v>
      </c>
      <c r="J545" s="27">
        <f>VLOOKUP($F545,mapping!$L$2:$P$92,3,0)</f>
        <v>1388.78</v>
      </c>
      <c r="K545" s="27" t="str">
        <f>VLOOKUP($F545,mapping!$L$2:$P$92,4,0)</f>
        <v>Developing Asia</v>
      </c>
      <c r="L545" s="29">
        <f>$D545*VLOOKUP($E545,'Charts data'!$A$2:$B$11,2,0)*VLOOKUP($G545,'Charts data'!$A$14:$B$18,2,0)/IF('Charts data'!$E$3=1,I545,1)/IF('Charts data'!$E$4=1,J545,1)</f>
        <v>8975.1900104710548</v>
      </c>
    </row>
    <row r="546" spans="1:12" x14ac:dyDescent="0.25">
      <c r="A546" s="27" t="s">
        <v>972</v>
      </c>
      <c r="B546" s="27">
        <v>144000</v>
      </c>
      <c r="C546" s="27" t="s">
        <v>16</v>
      </c>
      <c r="D546" s="28">
        <f>B546*VLOOKUP(C546,tblXrate[],2,0)</f>
        <v>2564.3400029917298</v>
      </c>
      <c r="E546" s="27" t="s">
        <v>7</v>
      </c>
      <c r="F546" s="27" t="s">
        <v>3</v>
      </c>
      <c r="G546" s="27" t="s">
        <v>2273</v>
      </c>
      <c r="H546" s="27">
        <v>1</v>
      </c>
      <c r="I546" s="27">
        <f>VLOOKUP(F546,mapping!$L$2:$P$92,2,0)</f>
        <v>0.34064763831408895</v>
      </c>
      <c r="J546" s="27">
        <f>VLOOKUP($F546,mapping!$L$2:$P$92,3,0)</f>
        <v>1388.78</v>
      </c>
      <c r="K546" s="27" t="str">
        <f>VLOOKUP($F546,mapping!$L$2:$P$92,4,0)</f>
        <v>Developing Asia</v>
      </c>
      <c r="L546" s="29">
        <f>$D546*VLOOKUP($E546,'Charts data'!$A$2:$B$11,2,0)*VLOOKUP($G546,'Charts data'!$A$14:$B$18,2,0)/IF('Charts data'!$E$3=1,I546,1)/IF('Charts data'!$E$4=1,J546,1)</f>
        <v>2564.3400029917298</v>
      </c>
    </row>
    <row r="547" spans="1:12" x14ac:dyDescent="0.25">
      <c r="A547" s="27" t="s">
        <v>976</v>
      </c>
      <c r="B547" s="27">
        <v>600000</v>
      </c>
      <c r="C547" s="27" t="s">
        <v>16</v>
      </c>
      <c r="D547" s="28">
        <f>B547*VLOOKUP(C547,tblXrate[],2,0)</f>
        <v>10684.750012465542</v>
      </c>
      <c r="E547" s="27" t="s">
        <v>7</v>
      </c>
      <c r="F547" s="27" t="s">
        <v>3</v>
      </c>
      <c r="G547" s="27" t="s">
        <v>2273</v>
      </c>
      <c r="H547" s="27">
        <v>5</v>
      </c>
      <c r="I547" s="27">
        <f>VLOOKUP(F547,mapping!$L$2:$P$92,2,0)</f>
        <v>0.34064763831408895</v>
      </c>
      <c r="J547" s="27">
        <f>VLOOKUP($F547,mapping!$L$2:$P$92,3,0)</f>
        <v>1388.78</v>
      </c>
      <c r="K547" s="27" t="str">
        <f>VLOOKUP($F547,mapping!$L$2:$P$92,4,0)</f>
        <v>Developing Asia</v>
      </c>
      <c r="L547" s="29">
        <f>$D547*VLOOKUP($E547,'Charts data'!$A$2:$B$11,2,0)*VLOOKUP($G547,'Charts data'!$A$14:$B$18,2,0)/IF('Charts data'!$E$3=1,I547,1)/IF('Charts data'!$E$4=1,J547,1)</f>
        <v>10684.750012465542</v>
      </c>
    </row>
    <row r="548" spans="1:12" x14ac:dyDescent="0.25">
      <c r="A548" s="27" t="s">
        <v>979</v>
      </c>
      <c r="B548" s="27">
        <v>1700000</v>
      </c>
      <c r="C548" s="27" t="s">
        <v>16</v>
      </c>
      <c r="D548" s="28">
        <f>B548*VLOOKUP(C548,tblXrate[],2,0)</f>
        <v>30273.458368652366</v>
      </c>
      <c r="E548" s="27" t="s">
        <v>19</v>
      </c>
      <c r="F548" s="27" t="s">
        <v>3</v>
      </c>
      <c r="G548" s="27" t="s">
        <v>2273</v>
      </c>
      <c r="H548" s="27">
        <v>1.1000000000000001</v>
      </c>
      <c r="I548" s="27">
        <f>VLOOKUP(F548,mapping!$L$2:$P$92,2,0)</f>
        <v>0.34064763831408895</v>
      </c>
      <c r="J548" s="27">
        <f>VLOOKUP($F548,mapping!$L$2:$P$92,3,0)</f>
        <v>1388.78</v>
      </c>
      <c r="K548" s="27" t="str">
        <f>VLOOKUP($F548,mapping!$L$2:$P$92,4,0)</f>
        <v>Developing Asia</v>
      </c>
      <c r="L548" s="29">
        <f>$D548*VLOOKUP($E548,'Charts data'!$A$2:$B$11,2,0)*VLOOKUP($G548,'Charts data'!$A$14:$B$18,2,0)/IF('Charts data'!$E$3=1,I548,1)/IF('Charts data'!$E$4=1,J548,1)</f>
        <v>30273.458368652366</v>
      </c>
    </row>
    <row r="549" spans="1:12" x14ac:dyDescent="0.25">
      <c r="A549" s="27" t="s">
        <v>981</v>
      </c>
      <c r="B549" s="27">
        <v>360000</v>
      </c>
      <c r="C549" s="27" t="s">
        <v>16</v>
      </c>
      <c r="D549" s="28">
        <f>B549*VLOOKUP(C549,tblXrate[],2,0)</f>
        <v>6410.8500074793246</v>
      </c>
      <c r="E549" s="27" t="s">
        <v>7</v>
      </c>
      <c r="F549" s="27" t="s">
        <v>3</v>
      </c>
      <c r="G549" s="27" t="s">
        <v>2273</v>
      </c>
      <c r="H549" s="27">
        <v>4</v>
      </c>
      <c r="I549" s="27">
        <f>VLOOKUP(F549,mapping!$L$2:$P$92,2,0)</f>
        <v>0.34064763831408895</v>
      </c>
      <c r="J549" s="27">
        <f>VLOOKUP($F549,mapping!$L$2:$P$92,3,0)</f>
        <v>1388.78</v>
      </c>
      <c r="K549" s="27" t="str">
        <f>VLOOKUP($F549,mapping!$L$2:$P$92,4,0)</f>
        <v>Developing Asia</v>
      </c>
      <c r="L549" s="29">
        <f>$D549*VLOOKUP($E549,'Charts data'!$A$2:$B$11,2,0)*VLOOKUP($G549,'Charts data'!$A$14:$B$18,2,0)/IF('Charts data'!$E$3=1,I549,1)/IF('Charts data'!$E$4=1,J549,1)</f>
        <v>6410.8500074793246</v>
      </c>
    </row>
    <row r="550" spans="1:12" x14ac:dyDescent="0.25">
      <c r="A550" s="27" t="s">
        <v>985</v>
      </c>
      <c r="B550" s="27">
        <v>550000</v>
      </c>
      <c r="C550" s="27" t="s">
        <v>16</v>
      </c>
      <c r="D550" s="28">
        <f>B550*VLOOKUP(C550,tblXrate[],2,0)</f>
        <v>9794.354178093412</v>
      </c>
      <c r="E550" s="27" t="s">
        <v>7</v>
      </c>
      <c r="F550" s="27" t="s">
        <v>3</v>
      </c>
      <c r="G550" s="27" t="s">
        <v>2271</v>
      </c>
      <c r="H550" s="27">
        <v>1</v>
      </c>
      <c r="I550" s="27">
        <f>VLOOKUP(F550,mapping!$L$2:$P$92,2,0)</f>
        <v>0.34064763831408895</v>
      </c>
      <c r="J550" s="27">
        <f>VLOOKUP($F550,mapping!$L$2:$P$92,3,0)</f>
        <v>1388.78</v>
      </c>
      <c r="K550" s="27" t="str">
        <f>VLOOKUP($F550,mapping!$L$2:$P$92,4,0)</f>
        <v>Developing Asia</v>
      </c>
      <c r="L550" s="29">
        <f>$D550*VLOOKUP($E550,'Charts data'!$A$2:$B$11,2,0)*VLOOKUP($G550,'Charts data'!$A$14:$B$18,2,0)/IF('Charts data'!$E$3=1,I550,1)/IF('Charts data'!$E$4=1,J550,1)</f>
        <v>9794.354178093412</v>
      </c>
    </row>
    <row r="551" spans="1:12" x14ac:dyDescent="0.25">
      <c r="A551" s="27" t="s">
        <v>988</v>
      </c>
      <c r="B551" s="27">
        <v>600000</v>
      </c>
      <c r="C551" s="27" t="s">
        <v>16</v>
      </c>
      <c r="D551" s="28">
        <f>B551*VLOOKUP(C551,tblXrate[],2,0)</f>
        <v>10684.750012465542</v>
      </c>
      <c r="E551" s="27" t="s">
        <v>19</v>
      </c>
      <c r="F551" s="27" t="s">
        <v>3</v>
      </c>
      <c r="G551" s="27" t="s">
        <v>2273</v>
      </c>
      <c r="H551" s="27">
        <v>20</v>
      </c>
      <c r="I551" s="27">
        <f>VLOOKUP(F551,mapping!$L$2:$P$92,2,0)</f>
        <v>0.34064763831408895</v>
      </c>
      <c r="J551" s="27">
        <f>VLOOKUP($F551,mapping!$L$2:$P$92,3,0)</f>
        <v>1388.78</v>
      </c>
      <c r="K551" s="27" t="str">
        <f>VLOOKUP($F551,mapping!$L$2:$P$92,4,0)</f>
        <v>Developing Asia</v>
      </c>
      <c r="L551" s="29">
        <f>$D551*VLOOKUP($E551,'Charts data'!$A$2:$B$11,2,0)*VLOOKUP($G551,'Charts data'!$A$14:$B$18,2,0)/IF('Charts data'!$E$3=1,I551,1)/IF('Charts data'!$E$4=1,J551,1)</f>
        <v>10684.750012465542</v>
      </c>
    </row>
    <row r="552" spans="1:12" x14ac:dyDescent="0.25">
      <c r="A552" s="27" t="s">
        <v>989</v>
      </c>
      <c r="B552" s="27">
        <v>600000</v>
      </c>
      <c r="C552" s="27" t="s">
        <v>16</v>
      </c>
      <c r="D552" s="28">
        <f>B552*VLOOKUP(C552,tblXrate[],2,0)</f>
        <v>10684.750012465542</v>
      </c>
      <c r="E552" s="27" t="s">
        <v>19</v>
      </c>
      <c r="F552" s="27" t="s">
        <v>3</v>
      </c>
      <c r="G552" s="27" t="s">
        <v>2272</v>
      </c>
      <c r="H552" s="27">
        <v>18</v>
      </c>
      <c r="I552" s="27">
        <f>VLOOKUP(F552,mapping!$L$2:$P$92,2,0)</f>
        <v>0.34064763831408895</v>
      </c>
      <c r="J552" s="27">
        <f>VLOOKUP($F552,mapping!$L$2:$P$92,3,0)</f>
        <v>1388.78</v>
      </c>
      <c r="K552" s="27" t="str">
        <f>VLOOKUP($F552,mapping!$L$2:$P$92,4,0)</f>
        <v>Developing Asia</v>
      </c>
      <c r="L552" s="29">
        <f>$D552*VLOOKUP($E552,'Charts data'!$A$2:$B$11,2,0)*VLOOKUP($G552,'Charts data'!$A$14:$B$18,2,0)/IF('Charts data'!$E$3=1,I552,1)/IF('Charts data'!$E$4=1,J552,1)</f>
        <v>10684.750012465542</v>
      </c>
    </row>
    <row r="553" spans="1:12" x14ac:dyDescent="0.25">
      <c r="A553" s="27" t="s">
        <v>990</v>
      </c>
      <c r="B553" s="27">
        <v>1000000</v>
      </c>
      <c r="C553" s="27" t="s">
        <v>16</v>
      </c>
      <c r="D553" s="28">
        <f>B553*VLOOKUP(C553,tblXrate[],2,0)</f>
        <v>17807.916687442568</v>
      </c>
      <c r="E553" s="27" t="s">
        <v>7</v>
      </c>
      <c r="F553" s="27" t="s">
        <v>3</v>
      </c>
      <c r="G553" s="27" t="s">
        <v>2271</v>
      </c>
      <c r="H553" s="27">
        <v>10</v>
      </c>
      <c r="I553" s="27">
        <f>VLOOKUP(F553,mapping!$L$2:$P$92,2,0)</f>
        <v>0.34064763831408895</v>
      </c>
      <c r="J553" s="27">
        <f>VLOOKUP($F553,mapping!$L$2:$P$92,3,0)</f>
        <v>1388.78</v>
      </c>
      <c r="K553" s="27" t="str">
        <f>VLOOKUP($F553,mapping!$L$2:$P$92,4,0)</f>
        <v>Developing Asia</v>
      </c>
      <c r="L553" s="29">
        <f>$D553*VLOOKUP($E553,'Charts data'!$A$2:$B$11,2,0)*VLOOKUP($G553,'Charts data'!$A$14:$B$18,2,0)/IF('Charts data'!$E$3=1,I553,1)/IF('Charts data'!$E$4=1,J553,1)</f>
        <v>17807.916687442568</v>
      </c>
    </row>
    <row r="554" spans="1:12" x14ac:dyDescent="0.25">
      <c r="A554" s="27" t="s">
        <v>992</v>
      </c>
      <c r="B554" s="27">
        <v>900000</v>
      </c>
      <c r="C554" s="27" t="s">
        <v>16</v>
      </c>
      <c r="D554" s="28">
        <f>B554*VLOOKUP(C554,tblXrate[],2,0)</f>
        <v>16027.125018698311</v>
      </c>
      <c r="E554" s="27" t="s">
        <v>19</v>
      </c>
      <c r="F554" s="27" t="s">
        <v>3</v>
      </c>
      <c r="G554" s="27" t="s">
        <v>2274</v>
      </c>
      <c r="H554" s="27">
        <v>9</v>
      </c>
      <c r="I554" s="27">
        <f>VLOOKUP(F554,mapping!$L$2:$P$92,2,0)</f>
        <v>0.34064763831408895</v>
      </c>
      <c r="J554" s="27">
        <f>VLOOKUP($F554,mapping!$L$2:$P$92,3,0)</f>
        <v>1388.78</v>
      </c>
      <c r="K554" s="27" t="str">
        <f>VLOOKUP($F554,mapping!$L$2:$P$92,4,0)</f>
        <v>Developing Asia</v>
      </c>
      <c r="L554" s="29">
        <f>$D554*VLOOKUP($E554,'Charts data'!$A$2:$B$11,2,0)*VLOOKUP($G554,'Charts data'!$A$14:$B$18,2,0)/IF('Charts data'!$E$3=1,I554,1)/IF('Charts data'!$E$4=1,J554,1)</f>
        <v>16027.125018698311</v>
      </c>
    </row>
    <row r="555" spans="1:12" x14ac:dyDescent="0.25">
      <c r="A555" s="27" t="s">
        <v>997</v>
      </c>
      <c r="B555" s="27">
        <v>1200000</v>
      </c>
      <c r="C555" s="27" t="s">
        <v>16</v>
      </c>
      <c r="D555" s="28">
        <f>B555*VLOOKUP(C555,tblXrate[],2,0)</f>
        <v>21369.500024931083</v>
      </c>
      <c r="E555" s="27" t="s">
        <v>19</v>
      </c>
      <c r="F555" s="27" t="s">
        <v>3</v>
      </c>
      <c r="G555" s="27" t="s">
        <v>2274</v>
      </c>
      <c r="H555" s="27">
        <v>18</v>
      </c>
      <c r="I555" s="27">
        <f>VLOOKUP(F555,mapping!$L$2:$P$92,2,0)</f>
        <v>0.34064763831408895</v>
      </c>
      <c r="J555" s="27">
        <f>VLOOKUP($F555,mapping!$L$2:$P$92,3,0)</f>
        <v>1388.78</v>
      </c>
      <c r="K555" s="27" t="str">
        <f>VLOOKUP($F555,mapping!$L$2:$P$92,4,0)</f>
        <v>Developing Asia</v>
      </c>
      <c r="L555" s="29">
        <f>$D555*VLOOKUP($E555,'Charts data'!$A$2:$B$11,2,0)*VLOOKUP($G555,'Charts data'!$A$14:$B$18,2,0)/IF('Charts data'!$E$3=1,I555,1)/IF('Charts data'!$E$4=1,J555,1)</f>
        <v>21369.500024931083</v>
      </c>
    </row>
    <row r="556" spans="1:12" x14ac:dyDescent="0.25">
      <c r="A556" s="27" t="s">
        <v>998</v>
      </c>
      <c r="B556" s="27">
        <v>200000</v>
      </c>
      <c r="C556" s="27" t="s">
        <v>16</v>
      </c>
      <c r="D556" s="28">
        <f>B556*VLOOKUP(C556,tblXrate[],2,0)</f>
        <v>3561.5833374885137</v>
      </c>
      <c r="E556" s="27" t="s">
        <v>2145</v>
      </c>
      <c r="F556" s="27" t="s">
        <v>3</v>
      </c>
      <c r="G556" s="27" t="s">
        <v>2271</v>
      </c>
      <c r="H556" s="27">
        <v>1</v>
      </c>
      <c r="I556" s="27">
        <f>VLOOKUP(F556,mapping!$L$2:$P$92,2,0)</f>
        <v>0.34064763831408895</v>
      </c>
      <c r="J556" s="27">
        <f>VLOOKUP($F556,mapping!$L$2:$P$92,3,0)</f>
        <v>1388.78</v>
      </c>
      <c r="K556" s="27" t="str">
        <f>VLOOKUP($F556,mapping!$L$2:$P$92,4,0)</f>
        <v>Developing Asia</v>
      </c>
      <c r="L556" s="29">
        <f>$D556*VLOOKUP($E556,'Charts data'!$A$2:$B$11,2,0)*VLOOKUP($G556,'Charts data'!$A$14:$B$18,2,0)/IF('Charts data'!$E$3=1,I556,1)/IF('Charts data'!$E$4=1,J556,1)</f>
        <v>3561.5833374885137</v>
      </c>
    </row>
    <row r="557" spans="1:12" x14ac:dyDescent="0.25">
      <c r="A557" s="27" t="s">
        <v>1000</v>
      </c>
      <c r="B557" s="27">
        <v>200000</v>
      </c>
      <c r="C557" s="27" t="s">
        <v>16</v>
      </c>
      <c r="D557" s="28">
        <f>B557*VLOOKUP(C557,tblXrate[],2,0)</f>
        <v>3561.5833374885137</v>
      </c>
      <c r="E557" s="27" t="s">
        <v>7</v>
      </c>
      <c r="F557" s="27" t="s">
        <v>3</v>
      </c>
      <c r="G557" s="27" t="s">
        <v>2271</v>
      </c>
      <c r="H557" s="27">
        <v>2</v>
      </c>
      <c r="I557" s="27">
        <f>VLOOKUP(F557,mapping!$L$2:$P$92,2,0)</f>
        <v>0.34064763831408895</v>
      </c>
      <c r="J557" s="27">
        <f>VLOOKUP($F557,mapping!$L$2:$P$92,3,0)</f>
        <v>1388.78</v>
      </c>
      <c r="K557" s="27" t="str">
        <f>VLOOKUP($F557,mapping!$L$2:$P$92,4,0)</f>
        <v>Developing Asia</v>
      </c>
      <c r="L557" s="29">
        <f>$D557*VLOOKUP($E557,'Charts data'!$A$2:$B$11,2,0)*VLOOKUP($G557,'Charts data'!$A$14:$B$18,2,0)/IF('Charts data'!$E$3=1,I557,1)/IF('Charts data'!$E$4=1,J557,1)</f>
        <v>3561.5833374885137</v>
      </c>
    </row>
    <row r="558" spans="1:12" x14ac:dyDescent="0.25">
      <c r="A558" s="27" t="s">
        <v>1002</v>
      </c>
      <c r="B558" s="27">
        <v>1000000</v>
      </c>
      <c r="C558" s="27" t="s">
        <v>16</v>
      </c>
      <c r="D558" s="28">
        <f>B558*VLOOKUP(C558,tblXrate[],2,0)</f>
        <v>17807.916687442568</v>
      </c>
      <c r="E558" s="27" t="s">
        <v>7</v>
      </c>
      <c r="F558" s="27" t="s">
        <v>3</v>
      </c>
      <c r="G558" s="27" t="s">
        <v>2271</v>
      </c>
      <c r="H558" s="27">
        <v>6.5</v>
      </c>
      <c r="I558" s="27">
        <f>VLOOKUP(F558,mapping!$L$2:$P$92,2,0)</f>
        <v>0.34064763831408895</v>
      </c>
      <c r="J558" s="27">
        <f>VLOOKUP($F558,mapping!$L$2:$P$92,3,0)</f>
        <v>1388.78</v>
      </c>
      <c r="K558" s="27" t="str">
        <f>VLOOKUP($F558,mapping!$L$2:$P$92,4,0)</f>
        <v>Developing Asia</v>
      </c>
      <c r="L558" s="29">
        <f>$D558*VLOOKUP($E558,'Charts data'!$A$2:$B$11,2,0)*VLOOKUP($G558,'Charts data'!$A$14:$B$18,2,0)/IF('Charts data'!$E$3=1,I558,1)/IF('Charts data'!$E$4=1,J558,1)</f>
        <v>17807.916687442568</v>
      </c>
    </row>
    <row r="559" spans="1:12" x14ac:dyDescent="0.25">
      <c r="A559" s="27" t="s">
        <v>1003</v>
      </c>
      <c r="B559" s="27">
        <v>650000</v>
      </c>
      <c r="C559" s="27" t="s">
        <v>16</v>
      </c>
      <c r="D559" s="28">
        <f>B559*VLOOKUP(C559,tblXrate[],2,0)</f>
        <v>11575.14584683767</v>
      </c>
      <c r="E559" s="27" t="s">
        <v>7</v>
      </c>
      <c r="F559" s="27" t="s">
        <v>3</v>
      </c>
      <c r="G559" s="27" t="s">
        <v>2273</v>
      </c>
      <c r="H559" s="27">
        <v>3.5</v>
      </c>
      <c r="I559" s="27">
        <f>VLOOKUP(F559,mapping!$L$2:$P$92,2,0)</f>
        <v>0.34064763831408895</v>
      </c>
      <c r="J559" s="27">
        <f>VLOOKUP($F559,mapping!$L$2:$P$92,3,0)</f>
        <v>1388.78</v>
      </c>
      <c r="K559" s="27" t="str">
        <f>VLOOKUP($F559,mapping!$L$2:$P$92,4,0)</f>
        <v>Developing Asia</v>
      </c>
      <c r="L559" s="29">
        <f>$D559*VLOOKUP($E559,'Charts data'!$A$2:$B$11,2,0)*VLOOKUP($G559,'Charts data'!$A$14:$B$18,2,0)/IF('Charts data'!$E$3=1,I559,1)/IF('Charts data'!$E$4=1,J559,1)</f>
        <v>11575.14584683767</v>
      </c>
    </row>
    <row r="560" spans="1:12" x14ac:dyDescent="0.25">
      <c r="A560" s="27" t="s">
        <v>1006</v>
      </c>
      <c r="B560" s="27">
        <v>550000</v>
      </c>
      <c r="C560" s="27" t="s">
        <v>16</v>
      </c>
      <c r="D560" s="28">
        <f>B560*VLOOKUP(C560,tblXrate[],2,0)</f>
        <v>9794.354178093412</v>
      </c>
      <c r="E560" s="27" t="s">
        <v>7</v>
      </c>
      <c r="F560" s="27" t="s">
        <v>3</v>
      </c>
      <c r="G560" s="27" t="s">
        <v>2271</v>
      </c>
      <c r="H560" s="27">
        <v>1</v>
      </c>
      <c r="I560" s="27">
        <f>VLOOKUP(F560,mapping!$L$2:$P$92,2,0)</f>
        <v>0.34064763831408895</v>
      </c>
      <c r="J560" s="27">
        <f>VLOOKUP($F560,mapping!$L$2:$P$92,3,0)</f>
        <v>1388.78</v>
      </c>
      <c r="K560" s="27" t="str">
        <f>VLOOKUP($F560,mapping!$L$2:$P$92,4,0)</f>
        <v>Developing Asia</v>
      </c>
      <c r="L560" s="29">
        <f>$D560*VLOOKUP($E560,'Charts data'!$A$2:$B$11,2,0)*VLOOKUP($G560,'Charts data'!$A$14:$B$18,2,0)/IF('Charts data'!$E$3=1,I560,1)/IF('Charts data'!$E$4=1,J560,1)</f>
        <v>9794.354178093412</v>
      </c>
    </row>
    <row r="561" spans="1:12" x14ac:dyDescent="0.25">
      <c r="A561" s="27" t="s">
        <v>1012</v>
      </c>
      <c r="B561" s="27">
        <v>540000</v>
      </c>
      <c r="C561" s="27" t="s">
        <v>16</v>
      </c>
      <c r="D561" s="28">
        <f>B561*VLOOKUP(C561,tblXrate[],2,0)</f>
        <v>9616.275011218986</v>
      </c>
      <c r="E561" s="27" t="s">
        <v>7</v>
      </c>
      <c r="F561" s="27" t="s">
        <v>3</v>
      </c>
      <c r="G561" s="27" t="s">
        <v>2273</v>
      </c>
      <c r="H561" s="27">
        <v>8</v>
      </c>
      <c r="I561" s="27">
        <f>VLOOKUP(F561,mapping!$L$2:$P$92,2,0)</f>
        <v>0.34064763831408895</v>
      </c>
      <c r="J561" s="27">
        <f>VLOOKUP($F561,mapping!$L$2:$P$92,3,0)</f>
        <v>1388.78</v>
      </c>
      <c r="K561" s="27" t="str">
        <f>VLOOKUP($F561,mapping!$L$2:$P$92,4,0)</f>
        <v>Developing Asia</v>
      </c>
      <c r="L561" s="29">
        <f>$D561*VLOOKUP($E561,'Charts data'!$A$2:$B$11,2,0)*VLOOKUP($G561,'Charts data'!$A$14:$B$18,2,0)/IF('Charts data'!$E$3=1,I561,1)/IF('Charts data'!$E$4=1,J561,1)</f>
        <v>9616.275011218986</v>
      </c>
    </row>
    <row r="562" spans="1:12" x14ac:dyDescent="0.25">
      <c r="A562" s="27" t="s">
        <v>1029</v>
      </c>
      <c r="B562" s="27">
        <v>144000</v>
      </c>
      <c r="C562" s="27" t="s">
        <v>16</v>
      </c>
      <c r="D562" s="28">
        <f>B562*VLOOKUP(C562,tblXrate[],2,0)</f>
        <v>2564.3400029917298</v>
      </c>
      <c r="E562" s="27" t="s">
        <v>7</v>
      </c>
      <c r="F562" s="27" t="s">
        <v>3</v>
      </c>
      <c r="G562" s="27" t="s">
        <v>2271</v>
      </c>
      <c r="H562" s="27">
        <v>1</v>
      </c>
      <c r="I562" s="27">
        <f>VLOOKUP(F562,mapping!$L$2:$P$92,2,0)</f>
        <v>0.34064763831408895</v>
      </c>
      <c r="J562" s="27">
        <f>VLOOKUP($F562,mapping!$L$2:$P$92,3,0)</f>
        <v>1388.78</v>
      </c>
      <c r="K562" s="27" t="str">
        <f>VLOOKUP($F562,mapping!$L$2:$P$92,4,0)</f>
        <v>Developing Asia</v>
      </c>
      <c r="L562" s="29">
        <f>$D562*VLOOKUP($E562,'Charts data'!$A$2:$B$11,2,0)*VLOOKUP($G562,'Charts data'!$A$14:$B$18,2,0)/IF('Charts data'!$E$3=1,I562,1)/IF('Charts data'!$E$4=1,J562,1)</f>
        <v>2564.3400029917298</v>
      </c>
    </row>
    <row r="563" spans="1:12" x14ac:dyDescent="0.25">
      <c r="A563" s="27" t="s">
        <v>1031</v>
      </c>
      <c r="B563" s="27">
        <v>300000</v>
      </c>
      <c r="C563" s="27" t="s">
        <v>16</v>
      </c>
      <c r="D563" s="28">
        <f>B563*VLOOKUP(C563,tblXrate[],2,0)</f>
        <v>5342.3750062327708</v>
      </c>
      <c r="E563" s="27" t="s">
        <v>7</v>
      </c>
      <c r="F563" s="27" t="s">
        <v>3</v>
      </c>
      <c r="G563" s="27" t="s">
        <v>2274</v>
      </c>
      <c r="H563" s="27">
        <v>10</v>
      </c>
      <c r="I563" s="27">
        <f>VLOOKUP(F563,mapping!$L$2:$P$92,2,0)</f>
        <v>0.34064763831408895</v>
      </c>
      <c r="J563" s="27">
        <f>VLOOKUP($F563,mapping!$L$2:$P$92,3,0)</f>
        <v>1388.78</v>
      </c>
      <c r="K563" s="27" t="str">
        <f>VLOOKUP($F563,mapping!$L$2:$P$92,4,0)</f>
        <v>Developing Asia</v>
      </c>
      <c r="L563" s="29">
        <f>$D563*VLOOKUP($E563,'Charts data'!$A$2:$B$11,2,0)*VLOOKUP($G563,'Charts data'!$A$14:$B$18,2,0)/IF('Charts data'!$E$3=1,I563,1)/IF('Charts data'!$E$4=1,J563,1)</f>
        <v>5342.3750062327708</v>
      </c>
    </row>
    <row r="564" spans="1:12" x14ac:dyDescent="0.25">
      <c r="A564" s="27" t="s">
        <v>1034</v>
      </c>
      <c r="B564" s="27">
        <v>720000</v>
      </c>
      <c r="C564" s="27" t="s">
        <v>16</v>
      </c>
      <c r="D564" s="28">
        <f>B564*VLOOKUP(C564,tblXrate[],2,0)</f>
        <v>12821.700014958649</v>
      </c>
      <c r="E564" s="27" t="s">
        <v>51</v>
      </c>
      <c r="F564" s="27" t="s">
        <v>3</v>
      </c>
      <c r="G564" s="27" t="s">
        <v>2271</v>
      </c>
      <c r="H564" s="27">
        <v>3</v>
      </c>
      <c r="I564" s="27">
        <f>VLOOKUP(F564,mapping!$L$2:$P$92,2,0)</f>
        <v>0.34064763831408895</v>
      </c>
      <c r="J564" s="27">
        <f>VLOOKUP($F564,mapping!$L$2:$P$92,3,0)</f>
        <v>1388.78</v>
      </c>
      <c r="K564" s="27" t="str">
        <f>VLOOKUP($F564,mapping!$L$2:$P$92,4,0)</f>
        <v>Developing Asia</v>
      </c>
      <c r="L564" s="29">
        <f>$D564*VLOOKUP($E564,'Charts data'!$A$2:$B$11,2,0)*VLOOKUP($G564,'Charts data'!$A$14:$B$18,2,0)/IF('Charts data'!$E$3=1,I564,1)/IF('Charts data'!$E$4=1,J564,1)</f>
        <v>12821.700014958649</v>
      </c>
    </row>
    <row r="565" spans="1:12" x14ac:dyDescent="0.25">
      <c r="A565" s="27" t="s">
        <v>1035</v>
      </c>
      <c r="B565" s="27">
        <v>600000</v>
      </c>
      <c r="C565" s="27" t="s">
        <v>16</v>
      </c>
      <c r="D565" s="28">
        <f>B565*VLOOKUP(C565,tblXrate[],2,0)</f>
        <v>10684.750012465542</v>
      </c>
      <c r="E565" s="27" t="s">
        <v>19</v>
      </c>
      <c r="F565" s="27" t="s">
        <v>3</v>
      </c>
      <c r="G565" s="27" t="s">
        <v>2273</v>
      </c>
      <c r="H565" s="27">
        <v>5</v>
      </c>
      <c r="I565" s="27">
        <f>VLOOKUP(F565,mapping!$L$2:$P$92,2,0)</f>
        <v>0.34064763831408895</v>
      </c>
      <c r="J565" s="27">
        <f>VLOOKUP($F565,mapping!$L$2:$P$92,3,0)</f>
        <v>1388.78</v>
      </c>
      <c r="K565" s="27" t="str">
        <f>VLOOKUP($F565,mapping!$L$2:$P$92,4,0)</f>
        <v>Developing Asia</v>
      </c>
      <c r="L565" s="29">
        <f>$D565*VLOOKUP($E565,'Charts data'!$A$2:$B$11,2,0)*VLOOKUP($G565,'Charts data'!$A$14:$B$18,2,0)/IF('Charts data'!$E$3=1,I565,1)/IF('Charts data'!$E$4=1,J565,1)</f>
        <v>10684.750012465542</v>
      </c>
    </row>
    <row r="566" spans="1:12" x14ac:dyDescent="0.25">
      <c r="A566" s="27" t="s">
        <v>1039</v>
      </c>
      <c r="B566" s="27">
        <v>400000</v>
      </c>
      <c r="C566" s="27" t="s">
        <v>16</v>
      </c>
      <c r="D566" s="28">
        <f>B566*VLOOKUP(C566,tblXrate[],2,0)</f>
        <v>7123.1666749770275</v>
      </c>
      <c r="E566" s="27" t="s">
        <v>48</v>
      </c>
      <c r="F566" s="27" t="s">
        <v>3</v>
      </c>
      <c r="G566" s="27" t="s">
        <v>2272</v>
      </c>
      <c r="H566" s="27">
        <v>6</v>
      </c>
      <c r="I566" s="27">
        <f>VLOOKUP(F566,mapping!$L$2:$P$92,2,0)</f>
        <v>0.34064763831408895</v>
      </c>
      <c r="J566" s="27">
        <f>VLOOKUP($F566,mapping!$L$2:$P$92,3,0)</f>
        <v>1388.78</v>
      </c>
      <c r="K566" s="27" t="str">
        <f>VLOOKUP($F566,mapping!$L$2:$P$92,4,0)</f>
        <v>Developing Asia</v>
      </c>
      <c r="L566" s="29">
        <f>$D566*VLOOKUP($E566,'Charts data'!$A$2:$B$11,2,0)*VLOOKUP($G566,'Charts data'!$A$14:$B$18,2,0)/IF('Charts data'!$E$3=1,I566,1)/IF('Charts data'!$E$4=1,J566,1)</f>
        <v>7123.1666749770275</v>
      </c>
    </row>
    <row r="567" spans="1:12" x14ac:dyDescent="0.25">
      <c r="A567" s="27" t="s">
        <v>1041</v>
      </c>
      <c r="B567" s="27">
        <v>500000</v>
      </c>
      <c r="C567" s="27" t="s">
        <v>16</v>
      </c>
      <c r="D567" s="28">
        <f>B567*VLOOKUP(C567,tblXrate[],2,0)</f>
        <v>8903.9583437212841</v>
      </c>
      <c r="E567" s="27" t="s">
        <v>19</v>
      </c>
      <c r="F567" s="27" t="s">
        <v>3</v>
      </c>
      <c r="G567" s="27" t="s">
        <v>2274</v>
      </c>
      <c r="H567" s="27">
        <v>5</v>
      </c>
      <c r="I567" s="27">
        <f>VLOOKUP(F567,mapping!$L$2:$P$92,2,0)</f>
        <v>0.34064763831408895</v>
      </c>
      <c r="J567" s="27">
        <f>VLOOKUP($F567,mapping!$L$2:$P$92,3,0)</f>
        <v>1388.78</v>
      </c>
      <c r="K567" s="27" t="str">
        <f>VLOOKUP($F567,mapping!$L$2:$P$92,4,0)</f>
        <v>Developing Asia</v>
      </c>
      <c r="L567" s="29">
        <f>$D567*VLOOKUP($E567,'Charts data'!$A$2:$B$11,2,0)*VLOOKUP($G567,'Charts data'!$A$14:$B$18,2,0)/IF('Charts data'!$E$3=1,I567,1)/IF('Charts data'!$E$4=1,J567,1)</f>
        <v>8903.9583437212841</v>
      </c>
    </row>
    <row r="568" spans="1:12" x14ac:dyDescent="0.25">
      <c r="A568" s="27" t="s">
        <v>1044</v>
      </c>
      <c r="B568" s="27">
        <v>400000</v>
      </c>
      <c r="C568" s="27" t="s">
        <v>16</v>
      </c>
      <c r="D568" s="28">
        <f>B568*VLOOKUP(C568,tblXrate[],2,0)</f>
        <v>7123.1666749770275</v>
      </c>
      <c r="E568" s="27" t="s">
        <v>51</v>
      </c>
      <c r="F568" s="27" t="s">
        <v>3</v>
      </c>
      <c r="G568" s="27" t="s">
        <v>2272</v>
      </c>
      <c r="H568" s="27">
        <v>8</v>
      </c>
      <c r="I568" s="27">
        <f>VLOOKUP(F568,mapping!$L$2:$P$92,2,0)</f>
        <v>0.34064763831408895</v>
      </c>
      <c r="J568" s="27">
        <f>VLOOKUP($F568,mapping!$L$2:$P$92,3,0)</f>
        <v>1388.78</v>
      </c>
      <c r="K568" s="27" t="str">
        <f>VLOOKUP($F568,mapping!$L$2:$P$92,4,0)</f>
        <v>Developing Asia</v>
      </c>
      <c r="L568" s="29">
        <f>$D568*VLOOKUP($E568,'Charts data'!$A$2:$B$11,2,0)*VLOOKUP($G568,'Charts data'!$A$14:$B$18,2,0)/IF('Charts data'!$E$3=1,I568,1)/IF('Charts data'!$E$4=1,J568,1)</f>
        <v>7123.1666749770275</v>
      </c>
    </row>
    <row r="569" spans="1:12" x14ac:dyDescent="0.25">
      <c r="A569" s="27" t="s">
        <v>1045</v>
      </c>
      <c r="B569" s="27">
        <v>2300000</v>
      </c>
      <c r="C569" s="27" t="s">
        <v>16</v>
      </c>
      <c r="D569" s="28">
        <f>B569*VLOOKUP(C569,tblXrate[],2,0)</f>
        <v>40958.208381117904</v>
      </c>
      <c r="E569" s="27" t="s">
        <v>19</v>
      </c>
      <c r="F569" s="27" t="s">
        <v>3</v>
      </c>
      <c r="G569" s="27" t="s">
        <v>2272</v>
      </c>
      <c r="H569" s="27">
        <v>8</v>
      </c>
      <c r="I569" s="27">
        <f>VLOOKUP(F569,mapping!$L$2:$P$92,2,0)</f>
        <v>0.34064763831408895</v>
      </c>
      <c r="J569" s="27">
        <f>VLOOKUP($F569,mapping!$L$2:$P$92,3,0)</f>
        <v>1388.78</v>
      </c>
      <c r="K569" s="27" t="str">
        <f>VLOOKUP($F569,mapping!$L$2:$P$92,4,0)</f>
        <v>Developing Asia</v>
      </c>
      <c r="L569" s="29">
        <f>$D569*VLOOKUP($E569,'Charts data'!$A$2:$B$11,2,0)*VLOOKUP($G569,'Charts data'!$A$14:$B$18,2,0)/IF('Charts data'!$E$3=1,I569,1)/IF('Charts data'!$E$4=1,J569,1)</f>
        <v>40958.208381117904</v>
      </c>
    </row>
    <row r="570" spans="1:12" x14ac:dyDescent="0.25">
      <c r="A570" s="27" t="s">
        <v>1046</v>
      </c>
      <c r="B570" s="27">
        <v>1200000</v>
      </c>
      <c r="C570" s="27" t="s">
        <v>16</v>
      </c>
      <c r="D570" s="28">
        <f>B570*VLOOKUP(C570,tblXrate[],2,0)</f>
        <v>21369.500024931083</v>
      </c>
      <c r="E570" s="27" t="s">
        <v>2147</v>
      </c>
      <c r="F570" s="27" t="s">
        <v>3</v>
      </c>
      <c r="G570" s="27" t="s">
        <v>2271</v>
      </c>
      <c r="H570" s="27">
        <v>17</v>
      </c>
      <c r="I570" s="27">
        <f>VLOOKUP(F570,mapping!$L$2:$P$92,2,0)</f>
        <v>0.34064763831408895</v>
      </c>
      <c r="J570" s="27">
        <f>VLOOKUP($F570,mapping!$L$2:$P$92,3,0)</f>
        <v>1388.78</v>
      </c>
      <c r="K570" s="27" t="str">
        <f>VLOOKUP($F570,mapping!$L$2:$P$92,4,0)</f>
        <v>Developing Asia</v>
      </c>
      <c r="L570" s="29">
        <f>$D570*VLOOKUP($E570,'Charts data'!$A$2:$B$11,2,0)*VLOOKUP($G570,'Charts data'!$A$14:$B$18,2,0)/IF('Charts data'!$E$3=1,I570,1)/IF('Charts data'!$E$4=1,J570,1)</f>
        <v>21369.500024931083</v>
      </c>
    </row>
    <row r="571" spans="1:12" x14ac:dyDescent="0.25">
      <c r="A571" s="27" t="s">
        <v>1047</v>
      </c>
      <c r="B571" s="27">
        <v>120000</v>
      </c>
      <c r="C571" s="27" t="s">
        <v>16</v>
      </c>
      <c r="D571" s="28">
        <f>B571*VLOOKUP(C571,tblXrate[],2,0)</f>
        <v>2136.9500024931081</v>
      </c>
      <c r="E571" s="27" t="s">
        <v>19</v>
      </c>
      <c r="F571" s="27" t="s">
        <v>3</v>
      </c>
      <c r="G571" s="27" t="s">
        <v>2271</v>
      </c>
      <c r="H571" s="27">
        <v>5</v>
      </c>
      <c r="I571" s="27">
        <f>VLOOKUP(F571,mapping!$L$2:$P$92,2,0)</f>
        <v>0.34064763831408895</v>
      </c>
      <c r="J571" s="27">
        <f>VLOOKUP($F571,mapping!$L$2:$P$92,3,0)</f>
        <v>1388.78</v>
      </c>
      <c r="K571" s="27" t="str">
        <f>VLOOKUP($F571,mapping!$L$2:$P$92,4,0)</f>
        <v>Developing Asia</v>
      </c>
      <c r="L571" s="29">
        <f>$D571*VLOOKUP($E571,'Charts data'!$A$2:$B$11,2,0)*VLOOKUP($G571,'Charts data'!$A$14:$B$18,2,0)/IF('Charts data'!$E$3=1,I571,1)/IF('Charts data'!$E$4=1,J571,1)</f>
        <v>2136.9500024931081</v>
      </c>
    </row>
    <row r="572" spans="1:12" x14ac:dyDescent="0.25">
      <c r="A572" s="27" t="s">
        <v>1048</v>
      </c>
      <c r="B572" s="27">
        <v>500000</v>
      </c>
      <c r="C572" s="27" t="s">
        <v>16</v>
      </c>
      <c r="D572" s="28">
        <f>B572*VLOOKUP(C572,tblXrate[],2,0)</f>
        <v>8903.9583437212841</v>
      </c>
      <c r="E572" s="27" t="s">
        <v>48</v>
      </c>
      <c r="F572" s="27" t="s">
        <v>3</v>
      </c>
      <c r="G572" s="27" t="s">
        <v>2272</v>
      </c>
      <c r="H572" s="27">
        <v>3</v>
      </c>
      <c r="I572" s="27">
        <f>VLOOKUP(F572,mapping!$L$2:$P$92,2,0)</f>
        <v>0.34064763831408895</v>
      </c>
      <c r="J572" s="27">
        <f>VLOOKUP($F572,mapping!$L$2:$P$92,3,0)</f>
        <v>1388.78</v>
      </c>
      <c r="K572" s="27" t="str">
        <f>VLOOKUP($F572,mapping!$L$2:$P$92,4,0)</f>
        <v>Developing Asia</v>
      </c>
      <c r="L572" s="29">
        <f>$D572*VLOOKUP($E572,'Charts data'!$A$2:$B$11,2,0)*VLOOKUP($G572,'Charts data'!$A$14:$B$18,2,0)/IF('Charts data'!$E$3=1,I572,1)/IF('Charts data'!$E$4=1,J572,1)</f>
        <v>8903.9583437212841</v>
      </c>
    </row>
    <row r="573" spans="1:12" x14ac:dyDescent="0.25">
      <c r="A573" s="27" t="s">
        <v>1049</v>
      </c>
      <c r="B573" s="27">
        <v>1000000</v>
      </c>
      <c r="C573" s="27" t="s">
        <v>16</v>
      </c>
      <c r="D573" s="28">
        <f>B573*VLOOKUP(C573,tblXrate[],2,0)</f>
        <v>17807.916687442568</v>
      </c>
      <c r="E573" s="27" t="s">
        <v>19</v>
      </c>
      <c r="F573" s="27" t="s">
        <v>3</v>
      </c>
      <c r="G573" s="27" t="s">
        <v>2271</v>
      </c>
      <c r="H573" s="27">
        <v>5</v>
      </c>
      <c r="I573" s="27">
        <f>VLOOKUP(F573,mapping!$L$2:$P$92,2,0)</f>
        <v>0.34064763831408895</v>
      </c>
      <c r="J573" s="27">
        <f>VLOOKUP($F573,mapping!$L$2:$P$92,3,0)</f>
        <v>1388.78</v>
      </c>
      <c r="K573" s="27" t="str">
        <f>VLOOKUP($F573,mapping!$L$2:$P$92,4,0)</f>
        <v>Developing Asia</v>
      </c>
      <c r="L573" s="29">
        <f>$D573*VLOOKUP($E573,'Charts data'!$A$2:$B$11,2,0)*VLOOKUP($G573,'Charts data'!$A$14:$B$18,2,0)/IF('Charts data'!$E$3=1,I573,1)/IF('Charts data'!$E$4=1,J573,1)</f>
        <v>17807.916687442568</v>
      </c>
    </row>
    <row r="574" spans="1:12" x14ac:dyDescent="0.25">
      <c r="A574" s="27" t="s">
        <v>1050</v>
      </c>
      <c r="B574" s="27">
        <v>850000</v>
      </c>
      <c r="C574" s="27" t="s">
        <v>16</v>
      </c>
      <c r="D574" s="28">
        <f>B574*VLOOKUP(C574,tblXrate[],2,0)</f>
        <v>15136.729184326183</v>
      </c>
      <c r="E574" s="27" t="s">
        <v>19</v>
      </c>
      <c r="F574" s="27" t="s">
        <v>3</v>
      </c>
      <c r="G574" s="27" t="s">
        <v>2272</v>
      </c>
      <c r="H574" s="27">
        <v>3</v>
      </c>
      <c r="I574" s="27">
        <f>VLOOKUP(F574,mapping!$L$2:$P$92,2,0)</f>
        <v>0.34064763831408895</v>
      </c>
      <c r="J574" s="27">
        <f>VLOOKUP($F574,mapping!$L$2:$P$92,3,0)</f>
        <v>1388.78</v>
      </c>
      <c r="K574" s="27" t="str">
        <f>VLOOKUP($F574,mapping!$L$2:$P$92,4,0)</f>
        <v>Developing Asia</v>
      </c>
      <c r="L574" s="29">
        <f>$D574*VLOOKUP($E574,'Charts data'!$A$2:$B$11,2,0)*VLOOKUP($G574,'Charts data'!$A$14:$B$18,2,0)/IF('Charts data'!$E$3=1,I574,1)/IF('Charts data'!$E$4=1,J574,1)</f>
        <v>15136.729184326183</v>
      </c>
    </row>
    <row r="575" spans="1:12" x14ac:dyDescent="0.25">
      <c r="A575" s="27" t="s">
        <v>1053</v>
      </c>
      <c r="B575" s="27">
        <v>180000</v>
      </c>
      <c r="C575" s="27" t="s">
        <v>16</v>
      </c>
      <c r="D575" s="28">
        <f>B575*VLOOKUP(C575,tblXrate[],2,0)</f>
        <v>3205.4250037396623</v>
      </c>
      <c r="E575" s="27" t="s">
        <v>7</v>
      </c>
      <c r="F575" s="27" t="s">
        <v>3</v>
      </c>
      <c r="G575" s="27" t="s">
        <v>2272</v>
      </c>
      <c r="H575" s="27">
        <v>3.5</v>
      </c>
      <c r="I575" s="27">
        <f>VLOOKUP(F575,mapping!$L$2:$P$92,2,0)</f>
        <v>0.34064763831408895</v>
      </c>
      <c r="J575" s="27">
        <f>VLOOKUP($F575,mapping!$L$2:$P$92,3,0)</f>
        <v>1388.78</v>
      </c>
      <c r="K575" s="27" t="str">
        <f>VLOOKUP($F575,mapping!$L$2:$P$92,4,0)</f>
        <v>Developing Asia</v>
      </c>
      <c r="L575" s="29">
        <f>$D575*VLOOKUP($E575,'Charts data'!$A$2:$B$11,2,0)*VLOOKUP($G575,'Charts data'!$A$14:$B$18,2,0)/IF('Charts data'!$E$3=1,I575,1)/IF('Charts data'!$E$4=1,J575,1)</f>
        <v>3205.4250037396623</v>
      </c>
    </row>
    <row r="576" spans="1:12" x14ac:dyDescent="0.25">
      <c r="A576" s="27" t="s">
        <v>1056</v>
      </c>
      <c r="B576" s="27">
        <v>600000</v>
      </c>
      <c r="C576" s="27" t="s">
        <v>16</v>
      </c>
      <c r="D576" s="28">
        <f>B576*VLOOKUP(C576,tblXrate[],2,0)</f>
        <v>10684.750012465542</v>
      </c>
      <c r="E576" s="27" t="s">
        <v>19</v>
      </c>
      <c r="F576" s="27" t="s">
        <v>3</v>
      </c>
      <c r="G576" s="27" t="s">
        <v>2273</v>
      </c>
      <c r="H576" s="27">
        <v>9</v>
      </c>
      <c r="I576" s="27">
        <f>VLOOKUP(F576,mapping!$L$2:$P$92,2,0)</f>
        <v>0.34064763831408895</v>
      </c>
      <c r="J576" s="27">
        <f>VLOOKUP($F576,mapping!$L$2:$P$92,3,0)</f>
        <v>1388.78</v>
      </c>
      <c r="K576" s="27" t="str">
        <f>VLOOKUP($F576,mapping!$L$2:$P$92,4,0)</f>
        <v>Developing Asia</v>
      </c>
      <c r="L576" s="29">
        <f>$D576*VLOOKUP($E576,'Charts data'!$A$2:$B$11,2,0)*VLOOKUP($G576,'Charts data'!$A$14:$B$18,2,0)/IF('Charts data'!$E$3=1,I576,1)/IF('Charts data'!$E$4=1,J576,1)</f>
        <v>10684.750012465542</v>
      </c>
    </row>
    <row r="577" spans="1:12" x14ac:dyDescent="0.25">
      <c r="A577" s="27" t="s">
        <v>1060</v>
      </c>
      <c r="B577" s="27">
        <v>1300000</v>
      </c>
      <c r="C577" s="27" t="s">
        <v>16</v>
      </c>
      <c r="D577" s="28">
        <f>B577*VLOOKUP(C577,tblXrate[],2,0)</f>
        <v>23150.291693675339</v>
      </c>
      <c r="E577" s="27" t="s">
        <v>19</v>
      </c>
      <c r="F577" s="27" t="s">
        <v>3</v>
      </c>
      <c r="G577" s="27" t="s">
        <v>2274</v>
      </c>
      <c r="H577" s="27">
        <v>3</v>
      </c>
      <c r="I577" s="27">
        <f>VLOOKUP(F577,mapping!$L$2:$P$92,2,0)</f>
        <v>0.34064763831408895</v>
      </c>
      <c r="J577" s="27">
        <f>VLOOKUP($F577,mapping!$L$2:$P$92,3,0)</f>
        <v>1388.78</v>
      </c>
      <c r="K577" s="27" t="str">
        <f>VLOOKUP($F577,mapping!$L$2:$P$92,4,0)</f>
        <v>Developing Asia</v>
      </c>
      <c r="L577" s="29">
        <f>$D577*VLOOKUP($E577,'Charts data'!$A$2:$B$11,2,0)*VLOOKUP($G577,'Charts data'!$A$14:$B$18,2,0)/IF('Charts data'!$E$3=1,I577,1)/IF('Charts data'!$E$4=1,J577,1)</f>
        <v>23150.291693675339</v>
      </c>
    </row>
    <row r="578" spans="1:12" x14ac:dyDescent="0.25">
      <c r="A578" s="27" t="s">
        <v>1061</v>
      </c>
      <c r="B578" s="27">
        <v>775000</v>
      </c>
      <c r="C578" s="27" t="s">
        <v>16</v>
      </c>
      <c r="D578" s="28">
        <f>B578*VLOOKUP(C578,tblXrate[],2,0)</f>
        <v>13801.135432767991</v>
      </c>
      <c r="E578" s="27" t="s">
        <v>7</v>
      </c>
      <c r="F578" s="27" t="s">
        <v>3</v>
      </c>
      <c r="G578" s="27" t="s">
        <v>2271</v>
      </c>
      <c r="H578" s="27">
        <v>2</v>
      </c>
      <c r="I578" s="27">
        <f>VLOOKUP(F578,mapping!$L$2:$P$92,2,0)</f>
        <v>0.34064763831408895</v>
      </c>
      <c r="J578" s="27">
        <f>VLOOKUP($F578,mapping!$L$2:$P$92,3,0)</f>
        <v>1388.78</v>
      </c>
      <c r="K578" s="27" t="str">
        <f>VLOOKUP($F578,mapping!$L$2:$P$92,4,0)</f>
        <v>Developing Asia</v>
      </c>
      <c r="L578" s="29">
        <f>$D578*VLOOKUP($E578,'Charts data'!$A$2:$B$11,2,0)*VLOOKUP($G578,'Charts data'!$A$14:$B$18,2,0)/IF('Charts data'!$E$3=1,I578,1)/IF('Charts data'!$E$4=1,J578,1)</f>
        <v>13801.135432767991</v>
      </c>
    </row>
    <row r="579" spans="1:12" x14ac:dyDescent="0.25">
      <c r="A579" s="27" t="s">
        <v>1062</v>
      </c>
      <c r="B579" s="27">
        <v>1050000</v>
      </c>
      <c r="C579" s="27" t="s">
        <v>16</v>
      </c>
      <c r="D579" s="28">
        <f>B579*VLOOKUP(C579,tblXrate[],2,0)</f>
        <v>18698.312521814696</v>
      </c>
      <c r="E579" s="27" t="s">
        <v>19</v>
      </c>
      <c r="F579" s="27" t="s">
        <v>3</v>
      </c>
      <c r="G579" s="27" t="s">
        <v>2273</v>
      </c>
      <c r="H579" s="27">
        <v>5</v>
      </c>
      <c r="I579" s="27">
        <f>VLOOKUP(F579,mapping!$L$2:$P$92,2,0)</f>
        <v>0.34064763831408895</v>
      </c>
      <c r="J579" s="27">
        <f>VLOOKUP($F579,mapping!$L$2:$P$92,3,0)</f>
        <v>1388.78</v>
      </c>
      <c r="K579" s="27" t="str">
        <f>VLOOKUP($F579,mapping!$L$2:$P$92,4,0)</f>
        <v>Developing Asia</v>
      </c>
      <c r="L579" s="29">
        <f>$D579*VLOOKUP($E579,'Charts data'!$A$2:$B$11,2,0)*VLOOKUP($G579,'Charts data'!$A$14:$B$18,2,0)/IF('Charts data'!$E$3=1,I579,1)/IF('Charts data'!$E$4=1,J579,1)</f>
        <v>18698.312521814696</v>
      </c>
    </row>
    <row r="580" spans="1:12" x14ac:dyDescent="0.25">
      <c r="A580" s="27" t="s">
        <v>1064</v>
      </c>
      <c r="B580" s="27">
        <v>486000</v>
      </c>
      <c r="C580" s="27" t="s">
        <v>16</v>
      </c>
      <c r="D580" s="28">
        <f>B580*VLOOKUP(C580,tblXrate[],2,0)</f>
        <v>8654.6475100970874</v>
      </c>
      <c r="E580" s="27" t="s">
        <v>19</v>
      </c>
      <c r="F580" s="27" t="s">
        <v>3</v>
      </c>
      <c r="G580" s="27" t="s">
        <v>2273</v>
      </c>
      <c r="H580" s="27">
        <v>6</v>
      </c>
      <c r="I580" s="27">
        <f>VLOOKUP(F580,mapping!$L$2:$P$92,2,0)</f>
        <v>0.34064763831408895</v>
      </c>
      <c r="J580" s="27">
        <f>VLOOKUP($F580,mapping!$L$2:$P$92,3,0)</f>
        <v>1388.78</v>
      </c>
      <c r="K580" s="27" t="str">
        <f>VLOOKUP($F580,mapping!$L$2:$P$92,4,0)</f>
        <v>Developing Asia</v>
      </c>
      <c r="L580" s="29">
        <f>$D580*VLOOKUP($E580,'Charts data'!$A$2:$B$11,2,0)*VLOOKUP($G580,'Charts data'!$A$14:$B$18,2,0)/IF('Charts data'!$E$3=1,I580,1)/IF('Charts data'!$E$4=1,J580,1)</f>
        <v>8654.6475100970874</v>
      </c>
    </row>
    <row r="581" spans="1:12" x14ac:dyDescent="0.25">
      <c r="A581" s="27" t="s">
        <v>1068</v>
      </c>
      <c r="B581" s="27">
        <v>300000</v>
      </c>
      <c r="C581" s="27" t="s">
        <v>16</v>
      </c>
      <c r="D581" s="28">
        <f>B581*VLOOKUP(C581,tblXrate[],2,0)</f>
        <v>5342.3750062327708</v>
      </c>
      <c r="E581" s="27" t="s">
        <v>7</v>
      </c>
      <c r="F581" s="27" t="s">
        <v>3</v>
      </c>
      <c r="G581" s="27" t="s">
        <v>2271</v>
      </c>
      <c r="H581" s="27">
        <v>0.5</v>
      </c>
      <c r="I581" s="27">
        <f>VLOOKUP(F581,mapping!$L$2:$P$92,2,0)</f>
        <v>0.34064763831408895</v>
      </c>
      <c r="J581" s="27">
        <f>VLOOKUP($F581,mapping!$L$2:$P$92,3,0)</f>
        <v>1388.78</v>
      </c>
      <c r="K581" s="27" t="str">
        <f>VLOOKUP($F581,mapping!$L$2:$P$92,4,0)</f>
        <v>Developing Asia</v>
      </c>
      <c r="L581" s="29">
        <f>$D581*VLOOKUP($E581,'Charts data'!$A$2:$B$11,2,0)*VLOOKUP($G581,'Charts data'!$A$14:$B$18,2,0)/IF('Charts data'!$E$3=1,I581,1)/IF('Charts data'!$E$4=1,J581,1)</f>
        <v>5342.3750062327708</v>
      </c>
    </row>
    <row r="582" spans="1:12" x14ac:dyDescent="0.25">
      <c r="A582" s="27" t="s">
        <v>1072</v>
      </c>
      <c r="B582" s="27">
        <v>144000</v>
      </c>
      <c r="C582" s="27" t="s">
        <v>16</v>
      </c>
      <c r="D582" s="28">
        <f>B582*VLOOKUP(C582,tblXrate[],2,0)</f>
        <v>2564.3400029917298</v>
      </c>
      <c r="E582" s="27" t="s">
        <v>62</v>
      </c>
      <c r="F582" s="27" t="s">
        <v>3</v>
      </c>
      <c r="G582" s="27" t="s">
        <v>2271</v>
      </c>
      <c r="H582" s="27">
        <v>4</v>
      </c>
      <c r="I582" s="27">
        <f>VLOOKUP(F582,mapping!$L$2:$P$92,2,0)</f>
        <v>0.34064763831408895</v>
      </c>
      <c r="J582" s="27">
        <f>VLOOKUP($F582,mapping!$L$2:$P$92,3,0)</f>
        <v>1388.78</v>
      </c>
      <c r="K582" s="27" t="str">
        <f>VLOOKUP($F582,mapping!$L$2:$P$92,4,0)</f>
        <v>Developing Asia</v>
      </c>
      <c r="L582" s="29">
        <f>$D582*VLOOKUP($E582,'Charts data'!$A$2:$B$11,2,0)*VLOOKUP($G582,'Charts data'!$A$14:$B$18,2,0)/IF('Charts data'!$E$3=1,I582,1)/IF('Charts data'!$E$4=1,J582,1)</f>
        <v>2564.3400029917298</v>
      </c>
    </row>
    <row r="583" spans="1:12" x14ac:dyDescent="0.25">
      <c r="A583" s="27" t="s">
        <v>1073</v>
      </c>
      <c r="B583" s="27">
        <v>180000</v>
      </c>
      <c r="C583" s="27" t="s">
        <v>16</v>
      </c>
      <c r="D583" s="28">
        <f>B583*VLOOKUP(C583,tblXrate[],2,0)</f>
        <v>3205.4250037396623</v>
      </c>
      <c r="E583" s="27" t="s">
        <v>2145</v>
      </c>
      <c r="F583" s="27" t="s">
        <v>3</v>
      </c>
      <c r="G583" s="27" t="s">
        <v>2273</v>
      </c>
      <c r="H583" s="27">
        <v>8</v>
      </c>
      <c r="I583" s="27">
        <f>VLOOKUP(F583,mapping!$L$2:$P$92,2,0)</f>
        <v>0.34064763831408895</v>
      </c>
      <c r="J583" s="27">
        <f>VLOOKUP($F583,mapping!$L$2:$P$92,3,0)</f>
        <v>1388.78</v>
      </c>
      <c r="K583" s="27" t="str">
        <f>VLOOKUP($F583,mapping!$L$2:$P$92,4,0)</f>
        <v>Developing Asia</v>
      </c>
      <c r="L583" s="29">
        <f>$D583*VLOOKUP($E583,'Charts data'!$A$2:$B$11,2,0)*VLOOKUP($G583,'Charts data'!$A$14:$B$18,2,0)/IF('Charts data'!$E$3=1,I583,1)/IF('Charts data'!$E$4=1,J583,1)</f>
        <v>3205.4250037396623</v>
      </c>
    </row>
    <row r="584" spans="1:12" x14ac:dyDescent="0.25">
      <c r="A584" s="27" t="s">
        <v>1074</v>
      </c>
      <c r="B584" s="27">
        <v>600000</v>
      </c>
      <c r="C584" s="27" t="s">
        <v>16</v>
      </c>
      <c r="D584" s="28">
        <f>B584*VLOOKUP(C584,tblXrate[],2,0)</f>
        <v>10684.750012465542</v>
      </c>
      <c r="E584" s="27" t="s">
        <v>7</v>
      </c>
      <c r="F584" s="27" t="s">
        <v>3</v>
      </c>
      <c r="G584" s="27" t="s">
        <v>2273</v>
      </c>
      <c r="H584" s="27">
        <v>8</v>
      </c>
      <c r="I584" s="27">
        <f>VLOOKUP(F584,mapping!$L$2:$P$92,2,0)</f>
        <v>0.34064763831408895</v>
      </c>
      <c r="J584" s="27">
        <f>VLOOKUP($F584,mapping!$L$2:$P$92,3,0)</f>
        <v>1388.78</v>
      </c>
      <c r="K584" s="27" t="str">
        <f>VLOOKUP($F584,mapping!$L$2:$P$92,4,0)</f>
        <v>Developing Asia</v>
      </c>
      <c r="L584" s="29">
        <f>$D584*VLOOKUP($E584,'Charts data'!$A$2:$B$11,2,0)*VLOOKUP($G584,'Charts data'!$A$14:$B$18,2,0)/IF('Charts data'!$E$3=1,I584,1)/IF('Charts data'!$E$4=1,J584,1)</f>
        <v>10684.750012465542</v>
      </c>
    </row>
    <row r="585" spans="1:12" x14ac:dyDescent="0.25">
      <c r="A585" s="27" t="s">
        <v>1076</v>
      </c>
      <c r="B585" s="27">
        <v>700000</v>
      </c>
      <c r="C585" s="27" t="s">
        <v>16</v>
      </c>
      <c r="D585" s="28">
        <f>B585*VLOOKUP(C585,tblXrate[],2,0)</f>
        <v>12465.541681209797</v>
      </c>
      <c r="E585" s="27" t="s">
        <v>19</v>
      </c>
      <c r="F585" s="27" t="s">
        <v>3</v>
      </c>
      <c r="G585" s="27" t="s">
        <v>2271</v>
      </c>
      <c r="H585" s="27">
        <v>3</v>
      </c>
      <c r="I585" s="27">
        <f>VLOOKUP(F585,mapping!$L$2:$P$92,2,0)</f>
        <v>0.34064763831408895</v>
      </c>
      <c r="J585" s="27">
        <f>VLOOKUP($F585,mapping!$L$2:$P$92,3,0)</f>
        <v>1388.78</v>
      </c>
      <c r="K585" s="27" t="str">
        <f>VLOOKUP($F585,mapping!$L$2:$P$92,4,0)</f>
        <v>Developing Asia</v>
      </c>
      <c r="L585" s="29">
        <f>$D585*VLOOKUP($E585,'Charts data'!$A$2:$B$11,2,0)*VLOOKUP($G585,'Charts data'!$A$14:$B$18,2,0)/IF('Charts data'!$E$3=1,I585,1)/IF('Charts data'!$E$4=1,J585,1)</f>
        <v>12465.541681209797</v>
      </c>
    </row>
    <row r="586" spans="1:12" x14ac:dyDescent="0.25">
      <c r="A586" s="27" t="s">
        <v>1084</v>
      </c>
      <c r="B586" s="27">
        <v>1000000</v>
      </c>
      <c r="C586" s="27" t="s">
        <v>16</v>
      </c>
      <c r="D586" s="28">
        <f>B586*VLOOKUP(C586,tblXrate[],2,0)</f>
        <v>17807.916687442568</v>
      </c>
      <c r="E586" s="27" t="s">
        <v>19</v>
      </c>
      <c r="F586" s="27" t="s">
        <v>3</v>
      </c>
      <c r="G586" s="27" t="s">
        <v>2273</v>
      </c>
      <c r="H586" s="27">
        <v>8</v>
      </c>
      <c r="I586" s="27">
        <f>VLOOKUP(F586,mapping!$L$2:$P$92,2,0)</f>
        <v>0.34064763831408895</v>
      </c>
      <c r="J586" s="27">
        <f>VLOOKUP($F586,mapping!$L$2:$P$92,3,0)</f>
        <v>1388.78</v>
      </c>
      <c r="K586" s="27" t="str">
        <f>VLOOKUP($F586,mapping!$L$2:$P$92,4,0)</f>
        <v>Developing Asia</v>
      </c>
      <c r="L586" s="29">
        <f>$D586*VLOOKUP($E586,'Charts data'!$A$2:$B$11,2,0)*VLOOKUP($G586,'Charts data'!$A$14:$B$18,2,0)/IF('Charts data'!$E$3=1,I586,1)/IF('Charts data'!$E$4=1,J586,1)</f>
        <v>17807.916687442568</v>
      </c>
    </row>
    <row r="587" spans="1:12" x14ac:dyDescent="0.25">
      <c r="A587" s="27" t="s">
        <v>1085</v>
      </c>
      <c r="B587" s="27">
        <v>700000</v>
      </c>
      <c r="C587" s="27" t="s">
        <v>16</v>
      </c>
      <c r="D587" s="28">
        <f>B587*VLOOKUP(C587,tblXrate[],2,0)</f>
        <v>12465.541681209797</v>
      </c>
      <c r="E587" s="27" t="s">
        <v>7</v>
      </c>
      <c r="F587" s="27" t="s">
        <v>3</v>
      </c>
      <c r="G587" s="27" t="s">
        <v>2273</v>
      </c>
      <c r="H587" s="27">
        <v>1</v>
      </c>
      <c r="I587" s="27">
        <f>VLOOKUP(F587,mapping!$L$2:$P$92,2,0)</f>
        <v>0.34064763831408895</v>
      </c>
      <c r="J587" s="27">
        <f>VLOOKUP($F587,mapping!$L$2:$P$92,3,0)</f>
        <v>1388.78</v>
      </c>
      <c r="K587" s="27" t="str">
        <f>VLOOKUP($F587,mapping!$L$2:$P$92,4,0)</f>
        <v>Developing Asia</v>
      </c>
      <c r="L587" s="29">
        <f>$D587*VLOOKUP($E587,'Charts data'!$A$2:$B$11,2,0)*VLOOKUP($G587,'Charts data'!$A$14:$B$18,2,0)/IF('Charts data'!$E$3=1,I587,1)/IF('Charts data'!$E$4=1,J587,1)</f>
        <v>12465.541681209797</v>
      </c>
    </row>
    <row r="588" spans="1:12" x14ac:dyDescent="0.25">
      <c r="A588" s="27" t="s">
        <v>1093</v>
      </c>
      <c r="B588" s="27">
        <v>480000</v>
      </c>
      <c r="C588" s="27" t="s">
        <v>16</v>
      </c>
      <c r="D588" s="28">
        <f>B588*VLOOKUP(C588,tblXrate[],2,0)</f>
        <v>8547.8000099724322</v>
      </c>
      <c r="E588" s="27" t="s">
        <v>19</v>
      </c>
      <c r="F588" s="27" t="s">
        <v>3</v>
      </c>
      <c r="G588" s="27" t="s">
        <v>2272</v>
      </c>
      <c r="H588" s="27">
        <v>2</v>
      </c>
      <c r="I588" s="27">
        <f>VLOOKUP(F588,mapping!$L$2:$P$92,2,0)</f>
        <v>0.34064763831408895</v>
      </c>
      <c r="J588" s="27">
        <f>VLOOKUP($F588,mapping!$L$2:$P$92,3,0)</f>
        <v>1388.78</v>
      </c>
      <c r="K588" s="27" t="str">
        <f>VLOOKUP($F588,mapping!$L$2:$P$92,4,0)</f>
        <v>Developing Asia</v>
      </c>
      <c r="L588" s="29">
        <f>$D588*VLOOKUP($E588,'Charts data'!$A$2:$B$11,2,0)*VLOOKUP($G588,'Charts data'!$A$14:$B$18,2,0)/IF('Charts data'!$E$3=1,I588,1)/IF('Charts data'!$E$4=1,J588,1)</f>
        <v>8547.8000099724322</v>
      </c>
    </row>
    <row r="589" spans="1:12" x14ac:dyDescent="0.25">
      <c r="A589" s="27" t="s">
        <v>1094</v>
      </c>
      <c r="B589" s="27">
        <v>600000</v>
      </c>
      <c r="C589" s="27" t="s">
        <v>16</v>
      </c>
      <c r="D589" s="28">
        <f>B589*VLOOKUP(C589,tblXrate[],2,0)</f>
        <v>10684.750012465542</v>
      </c>
      <c r="E589" s="27" t="s">
        <v>7</v>
      </c>
      <c r="F589" s="27" t="s">
        <v>3</v>
      </c>
      <c r="G589" s="27" t="s">
        <v>2271</v>
      </c>
      <c r="H589" s="27">
        <v>11</v>
      </c>
      <c r="I589" s="27">
        <f>VLOOKUP(F589,mapping!$L$2:$P$92,2,0)</f>
        <v>0.34064763831408895</v>
      </c>
      <c r="J589" s="27">
        <f>VLOOKUP($F589,mapping!$L$2:$P$92,3,0)</f>
        <v>1388.78</v>
      </c>
      <c r="K589" s="27" t="str">
        <f>VLOOKUP($F589,mapping!$L$2:$P$92,4,0)</f>
        <v>Developing Asia</v>
      </c>
      <c r="L589" s="29">
        <f>$D589*VLOOKUP($E589,'Charts data'!$A$2:$B$11,2,0)*VLOOKUP($G589,'Charts data'!$A$14:$B$18,2,0)/IF('Charts data'!$E$3=1,I589,1)/IF('Charts data'!$E$4=1,J589,1)</f>
        <v>10684.750012465542</v>
      </c>
    </row>
    <row r="590" spans="1:12" x14ac:dyDescent="0.25">
      <c r="A590" s="27" t="s">
        <v>1095</v>
      </c>
      <c r="B590" s="27">
        <v>600000</v>
      </c>
      <c r="C590" s="27" t="s">
        <v>16</v>
      </c>
      <c r="D590" s="28">
        <f>B590*VLOOKUP(C590,tblXrate[],2,0)</f>
        <v>10684.750012465542</v>
      </c>
      <c r="E590" s="27" t="s">
        <v>7</v>
      </c>
      <c r="F590" s="27" t="s">
        <v>3</v>
      </c>
      <c r="G590" s="27" t="s">
        <v>2272</v>
      </c>
      <c r="H590" s="27">
        <v>4</v>
      </c>
      <c r="I590" s="27">
        <f>VLOOKUP(F590,mapping!$L$2:$P$92,2,0)</f>
        <v>0.34064763831408895</v>
      </c>
      <c r="J590" s="27">
        <f>VLOOKUP($F590,mapping!$L$2:$P$92,3,0)</f>
        <v>1388.78</v>
      </c>
      <c r="K590" s="27" t="str">
        <f>VLOOKUP($F590,mapping!$L$2:$P$92,4,0)</f>
        <v>Developing Asia</v>
      </c>
      <c r="L590" s="29">
        <f>$D590*VLOOKUP($E590,'Charts data'!$A$2:$B$11,2,0)*VLOOKUP($G590,'Charts data'!$A$14:$B$18,2,0)/IF('Charts data'!$E$3=1,I590,1)/IF('Charts data'!$E$4=1,J590,1)</f>
        <v>10684.750012465542</v>
      </c>
    </row>
    <row r="591" spans="1:12" x14ac:dyDescent="0.25">
      <c r="A591" s="27" t="s">
        <v>1141</v>
      </c>
      <c r="B591" s="27">
        <v>204000</v>
      </c>
      <c r="C591" s="27" t="s">
        <v>16</v>
      </c>
      <c r="D591" s="28">
        <f>B591*VLOOKUP(C591,tblXrate[],2,0)</f>
        <v>3632.815004238284</v>
      </c>
      <c r="E591" s="27" t="s">
        <v>19</v>
      </c>
      <c r="F591" s="27" t="s">
        <v>3</v>
      </c>
      <c r="G591" s="27" t="s">
        <v>2271</v>
      </c>
      <c r="H591" s="27">
        <v>0</v>
      </c>
      <c r="I591" s="27">
        <f>VLOOKUP(F591,mapping!$L$2:$P$92,2,0)</f>
        <v>0.34064763831408895</v>
      </c>
      <c r="J591" s="27">
        <f>VLOOKUP($F591,mapping!$L$2:$P$92,3,0)</f>
        <v>1388.78</v>
      </c>
      <c r="K591" s="27" t="str">
        <f>VLOOKUP($F591,mapping!$L$2:$P$92,4,0)</f>
        <v>Developing Asia</v>
      </c>
      <c r="L591" s="29">
        <f>$D591*VLOOKUP($E591,'Charts data'!$A$2:$B$11,2,0)*VLOOKUP($G591,'Charts data'!$A$14:$B$18,2,0)/IF('Charts data'!$E$3=1,I591,1)/IF('Charts data'!$E$4=1,J591,1)</f>
        <v>3632.815004238284</v>
      </c>
    </row>
    <row r="592" spans="1:12" x14ac:dyDescent="0.25">
      <c r="A592" s="27" t="s">
        <v>1142</v>
      </c>
      <c r="B592" s="27">
        <v>1200000</v>
      </c>
      <c r="C592" s="27" t="s">
        <v>16</v>
      </c>
      <c r="D592" s="28">
        <f>B592*VLOOKUP(C592,tblXrate[],2,0)</f>
        <v>21369.500024931083</v>
      </c>
      <c r="E592" s="27" t="s">
        <v>53</v>
      </c>
      <c r="F592" s="27" t="s">
        <v>3</v>
      </c>
      <c r="G592" s="27" t="s">
        <v>2273</v>
      </c>
      <c r="H592" s="27">
        <v>6</v>
      </c>
      <c r="I592" s="27">
        <f>VLOOKUP(F592,mapping!$L$2:$P$92,2,0)</f>
        <v>0.34064763831408895</v>
      </c>
      <c r="J592" s="27">
        <f>VLOOKUP($F592,mapping!$L$2:$P$92,3,0)</f>
        <v>1388.78</v>
      </c>
      <c r="K592" s="27" t="str">
        <f>VLOOKUP($F592,mapping!$L$2:$P$92,4,0)</f>
        <v>Developing Asia</v>
      </c>
      <c r="L592" s="29">
        <f>$D592*VLOOKUP($E592,'Charts data'!$A$2:$B$11,2,0)*VLOOKUP($G592,'Charts data'!$A$14:$B$18,2,0)/IF('Charts data'!$E$3=1,I592,1)/IF('Charts data'!$E$4=1,J592,1)</f>
        <v>21369.500024931083</v>
      </c>
    </row>
    <row r="593" spans="1:12" x14ac:dyDescent="0.25">
      <c r="A593" s="27" t="s">
        <v>1143</v>
      </c>
      <c r="B593" s="27">
        <v>500000</v>
      </c>
      <c r="C593" s="27" t="s">
        <v>16</v>
      </c>
      <c r="D593" s="28">
        <f>B593*VLOOKUP(C593,tblXrate[],2,0)</f>
        <v>8903.9583437212841</v>
      </c>
      <c r="E593" s="27" t="s">
        <v>7</v>
      </c>
      <c r="F593" s="27" t="s">
        <v>3</v>
      </c>
      <c r="G593" s="27" t="s">
        <v>2271</v>
      </c>
      <c r="H593" s="27">
        <v>7</v>
      </c>
      <c r="I593" s="27">
        <f>VLOOKUP(F593,mapping!$L$2:$P$92,2,0)</f>
        <v>0.34064763831408895</v>
      </c>
      <c r="J593" s="27">
        <f>VLOOKUP($F593,mapping!$L$2:$P$92,3,0)</f>
        <v>1388.78</v>
      </c>
      <c r="K593" s="27" t="str">
        <f>VLOOKUP($F593,mapping!$L$2:$P$92,4,0)</f>
        <v>Developing Asia</v>
      </c>
      <c r="L593" s="29">
        <f>$D593*VLOOKUP($E593,'Charts data'!$A$2:$B$11,2,0)*VLOOKUP($G593,'Charts data'!$A$14:$B$18,2,0)/IF('Charts data'!$E$3=1,I593,1)/IF('Charts data'!$E$4=1,J593,1)</f>
        <v>8903.9583437212841</v>
      </c>
    </row>
    <row r="594" spans="1:12" x14ac:dyDescent="0.25">
      <c r="A594" s="27" t="s">
        <v>1146</v>
      </c>
      <c r="B594" s="27">
        <v>545000</v>
      </c>
      <c r="C594" s="27" t="s">
        <v>16</v>
      </c>
      <c r="D594" s="28">
        <f>B594*VLOOKUP(C594,tblXrate[],2,0)</f>
        <v>9705.3145946561999</v>
      </c>
      <c r="E594" s="27" t="s">
        <v>19</v>
      </c>
      <c r="F594" s="27" t="s">
        <v>3</v>
      </c>
      <c r="G594" s="27" t="s">
        <v>2272</v>
      </c>
      <c r="H594" s="27">
        <v>6</v>
      </c>
      <c r="I594" s="27">
        <f>VLOOKUP(F594,mapping!$L$2:$P$92,2,0)</f>
        <v>0.34064763831408895</v>
      </c>
      <c r="J594" s="27">
        <f>VLOOKUP($F594,mapping!$L$2:$P$92,3,0)</f>
        <v>1388.78</v>
      </c>
      <c r="K594" s="27" t="str">
        <f>VLOOKUP($F594,mapping!$L$2:$P$92,4,0)</f>
        <v>Developing Asia</v>
      </c>
      <c r="L594" s="29">
        <f>$D594*VLOOKUP($E594,'Charts data'!$A$2:$B$11,2,0)*VLOOKUP($G594,'Charts data'!$A$14:$B$18,2,0)/IF('Charts data'!$E$3=1,I594,1)/IF('Charts data'!$E$4=1,J594,1)</f>
        <v>9705.3145946561999</v>
      </c>
    </row>
    <row r="595" spans="1:12" x14ac:dyDescent="0.25">
      <c r="A595" s="27" t="s">
        <v>1147</v>
      </c>
      <c r="B595" s="27">
        <v>1000000</v>
      </c>
      <c r="C595" s="27" t="s">
        <v>16</v>
      </c>
      <c r="D595" s="28">
        <f>B595*VLOOKUP(C595,tblXrate[],2,0)</f>
        <v>17807.916687442568</v>
      </c>
      <c r="E595" s="27" t="s">
        <v>19</v>
      </c>
      <c r="F595" s="27" t="s">
        <v>3</v>
      </c>
      <c r="G595" s="27" t="s">
        <v>2273</v>
      </c>
      <c r="H595" s="27">
        <v>8</v>
      </c>
      <c r="I595" s="27">
        <f>VLOOKUP(F595,mapping!$L$2:$P$92,2,0)</f>
        <v>0.34064763831408895</v>
      </c>
      <c r="J595" s="27">
        <f>VLOOKUP($F595,mapping!$L$2:$P$92,3,0)</f>
        <v>1388.78</v>
      </c>
      <c r="K595" s="27" t="str">
        <f>VLOOKUP($F595,mapping!$L$2:$P$92,4,0)</f>
        <v>Developing Asia</v>
      </c>
      <c r="L595" s="29">
        <f>$D595*VLOOKUP($E595,'Charts data'!$A$2:$B$11,2,0)*VLOOKUP($G595,'Charts data'!$A$14:$B$18,2,0)/IF('Charts data'!$E$3=1,I595,1)/IF('Charts data'!$E$4=1,J595,1)</f>
        <v>17807.916687442568</v>
      </c>
    </row>
    <row r="596" spans="1:12" x14ac:dyDescent="0.25">
      <c r="A596" s="27" t="s">
        <v>1148</v>
      </c>
      <c r="B596" s="27">
        <v>180000</v>
      </c>
      <c r="C596" s="27" t="s">
        <v>16</v>
      </c>
      <c r="D596" s="28">
        <f>B596*VLOOKUP(C596,tblXrate[],2,0)</f>
        <v>3205.4250037396623</v>
      </c>
      <c r="E596" s="27" t="s">
        <v>7</v>
      </c>
      <c r="F596" s="27" t="s">
        <v>3</v>
      </c>
      <c r="G596" s="27" t="s">
        <v>2271</v>
      </c>
      <c r="H596" s="27">
        <v>10</v>
      </c>
      <c r="I596" s="27">
        <f>VLOOKUP(F596,mapping!$L$2:$P$92,2,0)</f>
        <v>0.34064763831408895</v>
      </c>
      <c r="J596" s="27">
        <f>VLOOKUP($F596,mapping!$L$2:$P$92,3,0)</f>
        <v>1388.78</v>
      </c>
      <c r="K596" s="27" t="str">
        <f>VLOOKUP($F596,mapping!$L$2:$P$92,4,0)</f>
        <v>Developing Asia</v>
      </c>
      <c r="L596" s="29">
        <f>$D596*VLOOKUP($E596,'Charts data'!$A$2:$B$11,2,0)*VLOOKUP($G596,'Charts data'!$A$14:$B$18,2,0)/IF('Charts data'!$E$3=1,I596,1)/IF('Charts data'!$E$4=1,J596,1)</f>
        <v>3205.4250037396623</v>
      </c>
    </row>
    <row r="597" spans="1:12" x14ac:dyDescent="0.25">
      <c r="A597" s="27" t="s">
        <v>1150</v>
      </c>
      <c r="B597" s="27">
        <v>700000</v>
      </c>
      <c r="C597" s="27" t="s">
        <v>16</v>
      </c>
      <c r="D597" s="28">
        <f>B597*VLOOKUP(C597,tblXrate[],2,0)</f>
        <v>12465.541681209797</v>
      </c>
      <c r="E597" s="27" t="s">
        <v>19</v>
      </c>
      <c r="F597" s="27" t="s">
        <v>3</v>
      </c>
      <c r="G597" s="27" t="s">
        <v>2272</v>
      </c>
      <c r="H597" s="27">
        <v>7</v>
      </c>
      <c r="I597" s="27">
        <f>VLOOKUP(F597,mapping!$L$2:$P$92,2,0)</f>
        <v>0.34064763831408895</v>
      </c>
      <c r="J597" s="27">
        <f>VLOOKUP($F597,mapping!$L$2:$P$92,3,0)</f>
        <v>1388.78</v>
      </c>
      <c r="K597" s="27" t="str">
        <f>VLOOKUP($F597,mapping!$L$2:$P$92,4,0)</f>
        <v>Developing Asia</v>
      </c>
      <c r="L597" s="29">
        <f>$D597*VLOOKUP($E597,'Charts data'!$A$2:$B$11,2,0)*VLOOKUP($G597,'Charts data'!$A$14:$B$18,2,0)/IF('Charts data'!$E$3=1,I597,1)/IF('Charts data'!$E$4=1,J597,1)</f>
        <v>12465.541681209797</v>
      </c>
    </row>
    <row r="598" spans="1:12" x14ac:dyDescent="0.25">
      <c r="A598" s="27" t="s">
        <v>1153</v>
      </c>
      <c r="B598" s="27">
        <v>650000</v>
      </c>
      <c r="C598" s="27" t="s">
        <v>16</v>
      </c>
      <c r="D598" s="28">
        <f>B598*VLOOKUP(C598,tblXrate[],2,0)</f>
        <v>11575.14584683767</v>
      </c>
      <c r="E598" s="27" t="s">
        <v>19</v>
      </c>
      <c r="F598" s="27" t="s">
        <v>3</v>
      </c>
      <c r="G598" s="27" t="s">
        <v>2272</v>
      </c>
      <c r="H598" s="27">
        <v>1</v>
      </c>
      <c r="I598" s="27">
        <f>VLOOKUP(F598,mapping!$L$2:$P$92,2,0)</f>
        <v>0.34064763831408895</v>
      </c>
      <c r="J598" s="27">
        <f>VLOOKUP($F598,mapping!$L$2:$P$92,3,0)</f>
        <v>1388.78</v>
      </c>
      <c r="K598" s="27" t="str">
        <f>VLOOKUP($F598,mapping!$L$2:$P$92,4,0)</f>
        <v>Developing Asia</v>
      </c>
      <c r="L598" s="29">
        <f>$D598*VLOOKUP($E598,'Charts data'!$A$2:$B$11,2,0)*VLOOKUP($G598,'Charts data'!$A$14:$B$18,2,0)/IF('Charts data'!$E$3=1,I598,1)/IF('Charts data'!$E$4=1,J598,1)</f>
        <v>11575.14584683767</v>
      </c>
    </row>
    <row r="599" spans="1:12" x14ac:dyDescent="0.25">
      <c r="A599" s="27" t="s">
        <v>1156</v>
      </c>
      <c r="B599" s="27">
        <v>350000</v>
      </c>
      <c r="C599" s="27" t="s">
        <v>16</v>
      </c>
      <c r="D599" s="28">
        <f>B599*VLOOKUP(C599,tblXrate[],2,0)</f>
        <v>6232.7708406048987</v>
      </c>
      <c r="E599" s="27" t="s">
        <v>7</v>
      </c>
      <c r="F599" s="27" t="s">
        <v>3</v>
      </c>
      <c r="G599" s="27" t="s">
        <v>2271</v>
      </c>
      <c r="H599" s="27">
        <v>2.5</v>
      </c>
      <c r="I599" s="27">
        <f>VLOOKUP(F599,mapping!$L$2:$P$92,2,0)</f>
        <v>0.34064763831408895</v>
      </c>
      <c r="J599" s="27">
        <f>VLOOKUP($F599,mapping!$L$2:$P$92,3,0)</f>
        <v>1388.78</v>
      </c>
      <c r="K599" s="27" t="str">
        <f>VLOOKUP($F599,mapping!$L$2:$P$92,4,0)</f>
        <v>Developing Asia</v>
      </c>
      <c r="L599" s="29">
        <f>$D599*VLOOKUP($E599,'Charts data'!$A$2:$B$11,2,0)*VLOOKUP($G599,'Charts data'!$A$14:$B$18,2,0)/IF('Charts data'!$E$3=1,I599,1)/IF('Charts data'!$E$4=1,J599,1)</f>
        <v>6232.7708406048987</v>
      </c>
    </row>
    <row r="600" spans="1:12" x14ac:dyDescent="0.25">
      <c r="A600" s="27" t="s">
        <v>1158</v>
      </c>
      <c r="B600" s="27">
        <v>640000</v>
      </c>
      <c r="C600" s="27" t="s">
        <v>16</v>
      </c>
      <c r="D600" s="28">
        <f>B600*VLOOKUP(C600,tblXrate[],2,0)</f>
        <v>11397.066679963244</v>
      </c>
      <c r="E600" s="27" t="s">
        <v>7</v>
      </c>
      <c r="F600" s="27" t="s">
        <v>3</v>
      </c>
      <c r="G600" s="27" t="s">
        <v>2273</v>
      </c>
      <c r="H600" s="27">
        <v>6</v>
      </c>
      <c r="I600" s="27">
        <f>VLOOKUP(F600,mapping!$L$2:$P$92,2,0)</f>
        <v>0.34064763831408895</v>
      </c>
      <c r="J600" s="27">
        <f>VLOOKUP($F600,mapping!$L$2:$P$92,3,0)</f>
        <v>1388.78</v>
      </c>
      <c r="K600" s="27" t="str">
        <f>VLOOKUP($F600,mapping!$L$2:$P$92,4,0)</f>
        <v>Developing Asia</v>
      </c>
      <c r="L600" s="29">
        <f>$D600*VLOOKUP($E600,'Charts data'!$A$2:$B$11,2,0)*VLOOKUP($G600,'Charts data'!$A$14:$B$18,2,0)/IF('Charts data'!$E$3=1,I600,1)/IF('Charts data'!$E$4=1,J600,1)</f>
        <v>11397.066679963244</v>
      </c>
    </row>
    <row r="601" spans="1:12" x14ac:dyDescent="0.25">
      <c r="A601" s="27" t="s">
        <v>1161</v>
      </c>
      <c r="B601" s="27">
        <v>365000</v>
      </c>
      <c r="C601" s="27" t="s">
        <v>16</v>
      </c>
      <c r="D601" s="28">
        <f>B601*VLOOKUP(C601,tblXrate[],2,0)</f>
        <v>6499.8895909165376</v>
      </c>
      <c r="E601" s="27" t="s">
        <v>7</v>
      </c>
      <c r="F601" s="27" t="s">
        <v>3</v>
      </c>
      <c r="G601" s="27" t="s">
        <v>2271</v>
      </c>
      <c r="H601" s="27">
        <v>3</v>
      </c>
      <c r="I601" s="27">
        <f>VLOOKUP(F601,mapping!$L$2:$P$92,2,0)</f>
        <v>0.34064763831408895</v>
      </c>
      <c r="J601" s="27">
        <f>VLOOKUP($F601,mapping!$L$2:$P$92,3,0)</f>
        <v>1388.78</v>
      </c>
      <c r="K601" s="27" t="str">
        <f>VLOOKUP($F601,mapping!$L$2:$P$92,4,0)</f>
        <v>Developing Asia</v>
      </c>
      <c r="L601" s="29">
        <f>$D601*VLOOKUP($E601,'Charts data'!$A$2:$B$11,2,0)*VLOOKUP($G601,'Charts data'!$A$14:$B$18,2,0)/IF('Charts data'!$E$3=1,I601,1)/IF('Charts data'!$E$4=1,J601,1)</f>
        <v>6499.8895909165376</v>
      </c>
    </row>
    <row r="602" spans="1:12" x14ac:dyDescent="0.25">
      <c r="A602" s="27" t="s">
        <v>1165</v>
      </c>
      <c r="B602" s="27">
        <v>450000</v>
      </c>
      <c r="C602" s="27" t="s">
        <v>16</v>
      </c>
      <c r="D602" s="28">
        <f>B602*VLOOKUP(C602,tblXrate[],2,0)</f>
        <v>8013.5625093491553</v>
      </c>
      <c r="E602" s="27" t="s">
        <v>19</v>
      </c>
      <c r="F602" s="27" t="s">
        <v>3</v>
      </c>
      <c r="G602" s="27" t="s">
        <v>2273</v>
      </c>
      <c r="H602" s="27">
        <v>15</v>
      </c>
      <c r="I602" s="27">
        <f>VLOOKUP(F602,mapping!$L$2:$P$92,2,0)</f>
        <v>0.34064763831408895</v>
      </c>
      <c r="J602" s="27">
        <f>VLOOKUP($F602,mapping!$L$2:$P$92,3,0)</f>
        <v>1388.78</v>
      </c>
      <c r="K602" s="27" t="str">
        <f>VLOOKUP($F602,mapping!$L$2:$P$92,4,0)</f>
        <v>Developing Asia</v>
      </c>
      <c r="L602" s="29">
        <f>$D602*VLOOKUP($E602,'Charts data'!$A$2:$B$11,2,0)*VLOOKUP($G602,'Charts data'!$A$14:$B$18,2,0)/IF('Charts data'!$E$3=1,I602,1)/IF('Charts data'!$E$4=1,J602,1)</f>
        <v>8013.5625093491553</v>
      </c>
    </row>
    <row r="603" spans="1:12" x14ac:dyDescent="0.25">
      <c r="A603" s="27" t="s">
        <v>1166</v>
      </c>
      <c r="B603" s="27">
        <v>570000</v>
      </c>
      <c r="C603" s="27" t="s">
        <v>16</v>
      </c>
      <c r="D603" s="28">
        <f>B603*VLOOKUP(C603,tblXrate[],2,0)</f>
        <v>10150.512511842264</v>
      </c>
      <c r="E603" s="27" t="s">
        <v>7</v>
      </c>
      <c r="F603" s="27" t="s">
        <v>3</v>
      </c>
      <c r="G603" s="27" t="s">
        <v>2271</v>
      </c>
      <c r="H603" s="27">
        <v>5</v>
      </c>
      <c r="I603" s="27">
        <f>VLOOKUP(F603,mapping!$L$2:$P$92,2,0)</f>
        <v>0.34064763831408895</v>
      </c>
      <c r="J603" s="27">
        <f>VLOOKUP($F603,mapping!$L$2:$P$92,3,0)</f>
        <v>1388.78</v>
      </c>
      <c r="K603" s="27" t="str">
        <f>VLOOKUP($F603,mapping!$L$2:$P$92,4,0)</f>
        <v>Developing Asia</v>
      </c>
      <c r="L603" s="29">
        <f>$D603*VLOOKUP($E603,'Charts data'!$A$2:$B$11,2,0)*VLOOKUP($G603,'Charts data'!$A$14:$B$18,2,0)/IF('Charts data'!$E$3=1,I603,1)/IF('Charts data'!$E$4=1,J603,1)</f>
        <v>10150.512511842264</v>
      </c>
    </row>
    <row r="604" spans="1:12" x14ac:dyDescent="0.25">
      <c r="A604" s="27" t="s">
        <v>1169</v>
      </c>
      <c r="B604" s="27">
        <v>612000</v>
      </c>
      <c r="C604" s="27" t="s">
        <v>16</v>
      </c>
      <c r="D604" s="28">
        <f>B604*VLOOKUP(C604,tblXrate[],2,0)</f>
        <v>10898.445012714852</v>
      </c>
      <c r="E604" s="27" t="s">
        <v>19</v>
      </c>
      <c r="F604" s="27" t="s">
        <v>3</v>
      </c>
      <c r="G604" s="27" t="s">
        <v>2272</v>
      </c>
      <c r="H604" s="27">
        <v>13</v>
      </c>
      <c r="I604" s="27">
        <f>VLOOKUP(F604,mapping!$L$2:$P$92,2,0)</f>
        <v>0.34064763831408895</v>
      </c>
      <c r="J604" s="27">
        <f>VLOOKUP($F604,mapping!$L$2:$P$92,3,0)</f>
        <v>1388.78</v>
      </c>
      <c r="K604" s="27" t="str">
        <f>VLOOKUP($F604,mapping!$L$2:$P$92,4,0)</f>
        <v>Developing Asia</v>
      </c>
      <c r="L604" s="29">
        <f>$D604*VLOOKUP($E604,'Charts data'!$A$2:$B$11,2,0)*VLOOKUP($G604,'Charts data'!$A$14:$B$18,2,0)/IF('Charts data'!$E$3=1,I604,1)/IF('Charts data'!$E$4=1,J604,1)</f>
        <v>10898.445012714852</v>
      </c>
    </row>
    <row r="605" spans="1:12" x14ac:dyDescent="0.25">
      <c r="A605" s="27" t="s">
        <v>1171</v>
      </c>
      <c r="B605" s="27">
        <v>120000</v>
      </c>
      <c r="C605" s="27" t="s">
        <v>16</v>
      </c>
      <c r="D605" s="28">
        <f>B605*VLOOKUP(C605,tblXrate[],2,0)</f>
        <v>2136.9500024931081</v>
      </c>
      <c r="E605" s="27" t="s">
        <v>7</v>
      </c>
      <c r="F605" s="27" t="s">
        <v>3</v>
      </c>
      <c r="G605" s="27" t="s">
        <v>2272</v>
      </c>
      <c r="H605" s="27">
        <v>3.5</v>
      </c>
      <c r="I605" s="27">
        <f>VLOOKUP(F605,mapping!$L$2:$P$92,2,0)</f>
        <v>0.34064763831408895</v>
      </c>
      <c r="J605" s="27">
        <f>VLOOKUP($F605,mapping!$L$2:$P$92,3,0)</f>
        <v>1388.78</v>
      </c>
      <c r="K605" s="27" t="str">
        <f>VLOOKUP($F605,mapping!$L$2:$P$92,4,0)</f>
        <v>Developing Asia</v>
      </c>
      <c r="L605" s="29">
        <f>$D605*VLOOKUP($E605,'Charts data'!$A$2:$B$11,2,0)*VLOOKUP($G605,'Charts data'!$A$14:$B$18,2,0)/IF('Charts data'!$E$3=1,I605,1)/IF('Charts data'!$E$4=1,J605,1)</f>
        <v>2136.9500024931081</v>
      </c>
    </row>
    <row r="606" spans="1:12" x14ac:dyDescent="0.25">
      <c r="A606" s="27" t="s">
        <v>1173</v>
      </c>
      <c r="B606" s="27">
        <v>400000</v>
      </c>
      <c r="C606" s="27" t="s">
        <v>16</v>
      </c>
      <c r="D606" s="28">
        <f>B606*VLOOKUP(C606,tblXrate[],2,0)</f>
        <v>7123.1666749770275</v>
      </c>
      <c r="E606" s="27" t="s">
        <v>19</v>
      </c>
      <c r="F606" s="27" t="s">
        <v>3</v>
      </c>
      <c r="G606" s="27" t="s">
        <v>2272</v>
      </c>
      <c r="H606" s="27">
        <v>5</v>
      </c>
      <c r="I606" s="27">
        <f>VLOOKUP(F606,mapping!$L$2:$P$92,2,0)</f>
        <v>0.34064763831408895</v>
      </c>
      <c r="J606" s="27">
        <f>VLOOKUP($F606,mapping!$L$2:$P$92,3,0)</f>
        <v>1388.78</v>
      </c>
      <c r="K606" s="27" t="str">
        <f>VLOOKUP($F606,mapping!$L$2:$P$92,4,0)</f>
        <v>Developing Asia</v>
      </c>
      <c r="L606" s="29">
        <f>$D606*VLOOKUP($E606,'Charts data'!$A$2:$B$11,2,0)*VLOOKUP($G606,'Charts data'!$A$14:$B$18,2,0)/IF('Charts data'!$E$3=1,I606,1)/IF('Charts data'!$E$4=1,J606,1)</f>
        <v>7123.1666749770275</v>
      </c>
    </row>
    <row r="607" spans="1:12" x14ac:dyDescent="0.25">
      <c r="A607" s="27" t="s">
        <v>1174</v>
      </c>
      <c r="B607" s="27">
        <v>300000</v>
      </c>
      <c r="C607" s="27" t="s">
        <v>16</v>
      </c>
      <c r="D607" s="28">
        <f>B607*VLOOKUP(C607,tblXrate[],2,0)</f>
        <v>5342.3750062327708</v>
      </c>
      <c r="E607" s="27" t="s">
        <v>51</v>
      </c>
      <c r="F607" s="27" t="s">
        <v>3</v>
      </c>
      <c r="G607" s="27" t="s">
        <v>2272</v>
      </c>
      <c r="H607" s="27">
        <v>5</v>
      </c>
      <c r="I607" s="27">
        <f>VLOOKUP(F607,mapping!$L$2:$P$92,2,0)</f>
        <v>0.34064763831408895</v>
      </c>
      <c r="J607" s="27">
        <f>VLOOKUP($F607,mapping!$L$2:$P$92,3,0)</f>
        <v>1388.78</v>
      </c>
      <c r="K607" s="27" t="str">
        <f>VLOOKUP($F607,mapping!$L$2:$P$92,4,0)</f>
        <v>Developing Asia</v>
      </c>
      <c r="L607" s="29">
        <f>$D607*VLOOKUP($E607,'Charts data'!$A$2:$B$11,2,0)*VLOOKUP($G607,'Charts data'!$A$14:$B$18,2,0)/IF('Charts data'!$E$3=1,I607,1)/IF('Charts data'!$E$4=1,J607,1)</f>
        <v>5342.3750062327708</v>
      </c>
    </row>
    <row r="608" spans="1:12" x14ac:dyDescent="0.25">
      <c r="A608" s="27" t="s">
        <v>1177</v>
      </c>
      <c r="B608" s="27">
        <v>420000</v>
      </c>
      <c r="C608" s="27" t="s">
        <v>16</v>
      </c>
      <c r="D608" s="28">
        <f>B608*VLOOKUP(C608,tblXrate[],2,0)</f>
        <v>7479.3250087258784</v>
      </c>
      <c r="E608" s="27" t="s">
        <v>7</v>
      </c>
      <c r="F608" s="27" t="s">
        <v>3</v>
      </c>
      <c r="G608" s="27" t="s">
        <v>2272</v>
      </c>
      <c r="H608" s="27">
        <v>10</v>
      </c>
      <c r="I608" s="27">
        <f>VLOOKUP(F608,mapping!$L$2:$P$92,2,0)</f>
        <v>0.34064763831408895</v>
      </c>
      <c r="J608" s="27">
        <f>VLOOKUP($F608,mapping!$L$2:$P$92,3,0)</f>
        <v>1388.78</v>
      </c>
      <c r="K608" s="27" t="str">
        <f>VLOOKUP($F608,mapping!$L$2:$P$92,4,0)</f>
        <v>Developing Asia</v>
      </c>
      <c r="L608" s="29">
        <f>$D608*VLOOKUP($E608,'Charts data'!$A$2:$B$11,2,0)*VLOOKUP($G608,'Charts data'!$A$14:$B$18,2,0)/IF('Charts data'!$E$3=1,I608,1)/IF('Charts data'!$E$4=1,J608,1)</f>
        <v>7479.3250087258784</v>
      </c>
    </row>
    <row r="609" spans="1:12" x14ac:dyDescent="0.25">
      <c r="A609" s="27" t="s">
        <v>1178</v>
      </c>
      <c r="B609" s="27">
        <v>210000</v>
      </c>
      <c r="C609" s="27" t="s">
        <v>16</v>
      </c>
      <c r="D609" s="28">
        <f>B609*VLOOKUP(C609,tblXrate[],2,0)</f>
        <v>3739.6625043629392</v>
      </c>
      <c r="E609" s="27" t="s">
        <v>2145</v>
      </c>
      <c r="F609" s="27" t="s">
        <v>3</v>
      </c>
      <c r="G609" s="27" t="s">
        <v>2273</v>
      </c>
      <c r="H609" s="27">
        <v>3.5</v>
      </c>
      <c r="I609" s="27">
        <f>VLOOKUP(F609,mapping!$L$2:$P$92,2,0)</f>
        <v>0.34064763831408895</v>
      </c>
      <c r="J609" s="27">
        <f>VLOOKUP($F609,mapping!$L$2:$P$92,3,0)</f>
        <v>1388.78</v>
      </c>
      <c r="K609" s="27" t="str">
        <f>VLOOKUP($F609,mapping!$L$2:$P$92,4,0)</f>
        <v>Developing Asia</v>
      </c>
      <c r="L609" s="29">
        <f>$D609*VLOOKUP($E609,'Charts data'!$A$2:$B$11,2,0)*VLOOKUP($G609,'Charts data'!$A$14:$B$18,2,0)/IF('Charts data'!$E$3=1,I609,1)/IF('Charts data'!$E$4=1,J609,1)</f>
        <v>3739.6625043629392</v>
      </c>
    </row>
    <row r="610" spans="1:12" x14ac:dyDescent="0.25">
      <c r="A610" s="27" t="s">
        <v>1183</v>
      </c>
      <c r="B610" s="27">
        <v>1000000</v>
      </c>
      <c r="C610" s="27" t="s">
        <v>16</v>
      </c>
      <c r="D610" s="28">
        <f>B610*VLOOKUP(C610,tblXrate[],2,0)</f>
        <v>17807.916687442568</v>
      </c>
      <c r="E610" s="27" t="s">
        <v>7</v>
      </c>
      <c r="F610" s="27" t="s">
        <v>3</v>
      </c>
      <c r="G610" s="27" t="s">
        <v>2274</v>
      </c>
      <c r="H610" s="27">
        <v>25</v>
      </c>
      <c r="I610" s="27">
        <f>VLOOKUP(F610,mapping!$L$2:$P$92,2,0)</f>
        <v>0.34064763831408895</v>
      </c>
      <c r="J610" s="27">
        <f>VLOOKUP($F610,mapping!$L$2:$P$92,3,0)</f>
        <v>1388.78</v>
      </c>
      <c r="K610" s="27" t="str">
        <f>VLOOKUP($F610,mapping!$L$2:$P$92,4,0)</f>
        <v>Developing Asia</v>
      </c>
      <c r="L610" s="29">
        <f>$D610*VLOOKUP($E610,'Charts data'!$A$2:$B$11,2,0)*VLOOKUP($G610,'Charts data'!$A$14:$B$18,2,0)/IF('Charts data'!$E$3=1,I610,1)/IF('Charts data'!$E$4=1,J610,1)</f>
        <v>17807.916687442568</v>
      </c>
    </row>
    <row r="611" spans="1:12" x14ac:dyDescent="0.25">
      <c r="A611" s="27" t="s">
        <v>1184</v>
      </c>
      <c r="B611" s="27">
        <v>600000</v>
      </c>
      <c r="C611" s="27" t="s">
        <v>16</v>
      </c>
      <c r="D611" s="28">
        <f>B611*VLOOKUP(C611,tblXrate[],2,0)</f>
        <v>10684.750012465542</v>
      </c>
      <c r="E611" s="27" t="s">
        <v>7</v>
      </c>
      <c r="F611" s="27" t="s">
        <v>3</v>
      </c>
      <c r="G611" s="27" t="s">
        <v>2273</v>
      </c>
      <c r="H611" s="27">
        <v>12</v>
      </c>
      <c r="I611" s="27">
        <f>VLOOKUP(F611,mapping!$L$2:$P$92,2,0)</f>
        <v>0.34064763831408895</v>
      </c>
      <c r="J611" s="27">
        <f>VLOOKUP($F611,mapping!$L$2:$P$92,3,0)</f>
        <v>1388.78</v>
      </c>
      <c r="K611" s="27" t="str">
        <f>VLOOKUP($F611,mapping!$L$2:$P$92,4,0)</f>
        <v>Developing Asia</v>
      </c>
      <c r="L611" s="29">
        <f>$D611*VLOOKUP($E611,'Charts data'!$A$2:$B$11,2,0)*VLOOKUP($G611,'Charts data'!$A$14:$B$18,2,0)/IF('Charts data'!$E$3=1,I611,1)/IF('Charts data'!$E$4=1,J611,1)</f>
        <v>10684.750012465542</v>
      </c>
    </row>
    <row r="612" spans="1:12" x14ac:dyDescent="0.25">
      <c r="A612" s="27" t="s">
        <v>1186</v>
      </c>
      <c r="B612" s="27">
        <v>476000</v>
      </c>
      <c r="C612" s="27" t="s">
        <v>16</v>
      </c>
      <c r="D612" s="28">
        <f>B612*VLOOKUP(C612,tblXrate[],2,0)</f>
        <v>8476.5683432226633</v>
      </c>
      <c r="E612" s="27" t="s">
        <v>2145</v>
      </c>
      <c r="F612" s="27" t="s">
        <v>3</v>
      </c>
      <c r="G612" s="27" t="s">
        <v>2271</v>
      </c>
      <c r="H612" s="27">
        <v>8</v>
      </c>
      <c r="I612" s="27">
        <f>VLOOKUP(F612,mapping!$L$2:$P$92,2,0)</f>
        <v>0.34064763831408895</v>
      </c>
      <c r="J612" s="27">
        <f>VLOOKUP($F612,mapping!$L$2:$P$92,3,0)</f>
        <v>1388.78</v>
      </c>
      <c r="K612" s="27" t="str">
        <f>VLOOKUP($F612,mapping!$L$2:$P$92,4,0)</f>
        <v>Developing Asia</v>
      </c>
      <c r="L612" s="29">
        <f>$D612*VLOOKUP($E612,'Charts data'!$A$2:$B$11,2,0)*VLOOKUP($G612,'Charts data'!$A$14:$B$18,2,0)/IF('Charts data'!$E$3=1,I612,1)/IF('Charts data'!$E$4=1,J612,1)</f>
        <v>8476.5683432226633</v>
      </c>
    </row>
    <row r="613" spans="1:12" x14ac:dyDescent="0.25">
      <c r="A613" s="27" t="s">
        <v>1188</v>
      </c>
      <c r="B613" s="27">
        <v>200000</v>
      </c>
      <c r="C613" s="27" t="s">
        <v>16</v>
      </c>
      <c r="D613" s="28">
        <f>B613*VLOOKUP(C613,tblXrate[],2,0)</f>
        <v>3561.5833374885137</v>
      </c>
      <c r="E613" s="27" t="s">
        <v>19</v>
      </c>
      <c r="F613" s="27" t="s">
        <v>3</v>
      </c>
      <c r="G613" s="27" t="s">
        <v>2273</v>
      </c>
      <c r="H613" s="27">
        <v>8</v>
      </c>
      <c r="I613" s="27">
        <f>VLOOKUP(F613,mapping!$L$2:$P$92,2,0)</f>
        <v>0.34064763831408895</v>
      </c>
      <c r="J613" s="27">
        <f>VLOOKUP($F613,mapping!$L$2:$P$92,3,0)</f>
        <v>1388.78</v>
      </c>
      <c r="K613" s="27" t="str">
        <f>VLOOKUP($F613,mapping!$L$2:$P$92,4,0)</f>
        <v>Developing Asia</v>
      </c>
      <c r="L613" s="29">
        <f>$D613*VLOOKUP($E613,'Charts data'!$A$2:$B$11,2,0)*VLOOKUP($G613,'Charts data'!$A$14:$B$18,2,0)/IF('Charts data'!$E$3=1,I613,1)/IF('Charts data'!$E$4=1,J613,1)</f>
        <v>3561.5833374885137</v>
      </c>
    </row>
    <row r="614" spans="1:12" x14ac:dyDescent="0.25">
      <c r="A614" s="27" t="s">
        <v>1189</v>
      </c>
      <c r="B614" s="27">
        <v>180000</v>
      </c>
      <c r="C614" s="27" t="s">
        <v>16</v>
      </c>
      <c r="D614" s="28">
        <f>B614*VLOOKUP(C614,tblXrate[],2,0)</f>
        <v>3205.4250037396623</v>
      </c>
      <c r="E614" s="27" t="s">
        <v>2145</v>
      </c>
      <c r="F614" s="27" t="s">
        <v>3</v>
      </c>
      <c r="G614" s="27" t="s">
        <v>2273</v>
      </c>
      <c r="H614" s="27">
        <v>4</v>
      </c>
      <c r="I614" s="27">
        <f>VLOOKUP(F614,mapping!$L$2:$P$92,2,0)</f>
        <v>0.34064763831408895</v>
      </c>
      <c r="J614" s="27">
        <f>VLOOKUP($F614,mapping!$L$2:$P$92,3,0)</f>
        <v>1388.78</v>
      </c>
      <c r="K614" s="27" t="str">
        <f>VLOOKUP($F614,mapping!$L$2:$P$92,4,0)</f>
        <v>Developing Asia</v>
      </c>
      <c r="L614" s="29">
        <f>$D614*VLOOKUP($E614,'Charts data'!$A$2:$B$11,2,0)*VLOOKUP($G614,'Charts data'!$A$14:$B$18,2,0)/IF('Charts data'!$E$3=1,I614,1)/IF('Charts data'!$E$4=1,J614,1)</f>
        <v>3205.4250037396623</v>
      </c>
    </row>
    <row r="615" spans="1:12" x14ac:dyDescent="0.25">
      <c r="A615" s="27" t="s">
        <v>1190</v>
      </c>
      <c r="B615" s="27">
        <v>252000</v>
      </c>
      <c r="C615" s="27" t="s">
        <v>16</v>
      </c>
      <c r="D615" s="28">
        <f>B615*VLOOKUP(C615,tblXrate[],2,0)</f>
        <v>4487.5950052355274</v>
      </c>
      <c r="E615" s="27" t="s">
        <v>51</v>
      </c>
      <c r="F615" s="27" t="s">
        <v>3</v>
      </c>
      <c r="G615" s="27" t="s">
        <v>2274</v>
      </c>
      <c r="H615" s="27">
        <v>5</v>
      </c>
      <c r="I615" s="27">
        <f>VLOOKUP(F615,mapping!$L$2:$P$92,2,0)</f>
        <v>0.34064763831408895</v>
      </c>
      <c r="J615" s="27">
        <f>VLOOKUP($F615,mapping!$L$2:$P$92,3,0)</f>
        <v>1388.78</v>
      </c>
      <c r="K615" s="27" t="str">
        <f>VLOOKUP($F615,mapping!$L$2:$P$92,4,0)</f>
        <v>Developing Asia</v>
      </c>
      <c r="L615" s="29">
        <f>$D615*VLOOKUP($E615,'Charts data'!$A$2:$B$11,2,0)*VLOOKUP($G615,'Charts data'!$A$14:$B$18,2,0)/IF('Charts data'!$E$3=1,I615,1)/IF('Charts data'!$E$4=1,J615,1)</f>
        <v>4487.5950052355274</v>
      </c>
    </row>
    <row r="616" spans="1:12" x14ac:dyDescent="0.25">
      <c r="A616" s="27" t="s">
        <v>1191</v>
      </c>
      <c r="B616" s="27">
        <v>700000</v>
      </c>
      <c r="C616" s="27" t="s">
        <v>16</v>
      </c>
      <c r="D616" s="28">
        <f>B616*VLOOKUP(C616,tblXrate[],2,0)</f>
        <v>12465.541681209797</v>
      </c>
      <c r="E616" s="27" t="s">
        <v>7</v>
      </c>
      <c r="F616" s="27" t="s">
        <v>3</v>
      </c>
      <c r="G616" s="27" t="s">
        <v>2271</v>
      </c>
      <c r="H616" s="27">
        <v>5</v>
      </c>
      <c r="I616" s="27">
        <f>VLOOKUP(F616,mapping!$L$2:$P$92,2,0)</f>
        <v>0.34064763831408895</v>
      </c>
      <c r="J616" s="27">
        <f>VLOOKUP($F616,mapping!$L$2:$P$92,3,0)</f>
        <v>1388.78</v>
      </c>
      <c r="K616" s="27" t="str">
        <f>VLOOKUP($F616,mapping!$L$2:$P$92,4,0)</f>
        <v>Developing Asia</v>
      </c>
      <c r="L616" s="29">
        <f>$D616*VLOOKUP($E616,'Charts data'!$A$2:$B$11,2,0)*VLOOKUP($G616,'Charts data'!$A$14:$B$18,2,0)/IF('Charts data'!$E$3=1,I616,1)/IF('Charts data'!$E$4=1,J616,1)</f>
        <v>12465.541681209797</v>
      </c>
    </row>
    <row r="617" spans="1:12" x14ac:dyDescent="0.25">
      <c r="A617" s="27" t="s">
        <v>1195</v>
      </c>
      <c r="B617" s="27">
        <v>1200000</v>
      </c>
      <c r="C617" s="27" t="s">
        <v>16</v>
      </c>
      <c r="D617" s="28">
        <f>B617*VLOOKUP(C617,tblXrate[],2,0)</f>
        <v>21369.500024931083</v>
      </c>
      <c r="E617" s="27" t="s">
        <v>19</v>
      </c>
      <c r="F617" s="27" t="s">
        <v>3</v>
      </c>
      <c r="G617" s="27" t="s">
        <v>2272</v>
      </c>
      <c r="H617" s="27">
        <v>2</v>
      </c>
      <c r="I617" s="27">
        <f>VLOOKUP(F617,mapping!$L$2:$P$92,2,0)</f>
        <v>0.34064763831408895</v>
      </c>
      <c r="J617" s="27">
        <f>VLOOKUP($F617,mapping!$L$2:$P$92,3,0)</f>
        <v>1388.78</v>
      </c>
      <c r="K617" s="27" t="str">
        <f>VLOOKUP($F617,mapping!$L$2:$P$92,4,0)</f>
        <v>Developing Asia</v>
      </c>
      <c r="L617" s="29">
        <f>$D617*VLOOKUP($E617,'Charts data'!$A$2:$B$11,2,0)*VLOOKUP($G617,'Charts data'!$A$14:$B$18,2,0)/IF('Charts data'!$E$3=1,I617,1)/IF('Charts data'!$E$4=1,J617,1)</f>
        <v>21369.500024931083</v>
      </c>
    </row>
    <row r="618" spans="1:12" x14ac:dyDescent="0.25">
      <c r="A618" s="27" t="s">
        <v>1202</v>
      </c>
      <c r="B618" s="27">
        <v>408000</v>
      </c>
      <c r="C618" s="27" t="s">
        <v>16</v>
      </c>
      <c r="D618" s="28">
        <f>B618*VLOOKUP(C618,tblXrate[],2,0)</f>
        <v>7265.630008476568</v>
      </c>
      <c r="E618" s="27" t="s">
        <v>51</v>
      </c>
      <c r="F618" s="27" t="s">
        <v>3</v>
      </c>
      <c r="G618" s="27" t="s">
        <v>2273</v>
      </c>
      <c r="H618" s="27">
        <v>5</v>
      </c>
      <c r="I618" s="27">
        <f>VLOOKUP(F618,mapping!$L$2:$P$92,2,0)</f>
        <v>0.34064763831408895</v>
      </c>
      <c r="J618" s="27">
        <f>VLOOKUP($F618,mapping!$L$2:$P$92,3,0)</f>
        <v>1388.78</v>
      </c>
      <c r="K618" s="27" t="str">
        <f>VLOOKUP($F618,mapping!$L$2:$P$92,4,0)</f>
        <v>Developing Asia</v>
      </c>
      <c r="L618" s="29">
        <f>$D618*VLOOKUP($E618,'Charts data'!$A$2:$B$11,2,0)*VLOOKUP($G618,'Charts data'!$A$14:$B$18,2,0)/IF('Charts data'!$E$3=1,I618,1)/IF('Charts data'!$E$4=1,J618,1)</f>
        <v>7265.630008476568</v>
      </c>
    </row>
    <row r="619" spans="1:12" x14ac:dyDescent="0.25">
      <c r="A619" s="27" t="s">
        <v>1204</v>
      </c>
      <c r="B619" s="27">
        <v>530000</v>
      </c>
      <c r="C619" s="27" t="s">
        <v>16</v>
      </c>
      <c r="D619" s="28">
        <f>B619*VLOOKUP(C619,tblXrate[],2,0)</f>
        <v>9438.1958443445619</v>
      </c>
      <c r="E619" s="27" t="s">
        <v>7</v>
      </c>
      <c r="F619" s="27" t="s">
        <v>3</v>
      </c>
      <c r="G619" s="27" t="s">
        <v>2272</v>
      </c>
      <c r="H619" s="27">
        <v>7</v>
      </c>
      <c r="I619" s="27">
        <f>VLOOKUP(F619,mapping!$L$2:$P$92,2,0)</f>
        <v>0.34064763831408895</v>
      </c>
      <c r="J619" s="27">
        <f>VLOOKUP($F619,mapping!$L$2:$P$92,3,0)</f>
        <v>1388.78</v>
      </c>
      <c r="K619" s="27" t="str">
        <f>VLOOKUP($F619,mapping!$L$2:$P$92,4,0)</f>
        <v>Developing Asia</v>
      </c>
      <c r="L619" s="29">
        <f>$D619*VLOOKUP($E619,'Charts data'!$A$2:$B$11,2,0)*VLOOKUP($G619,'Charts data'!$A$14:$B$18,2,0)/IF('Charts data'!$E$3=1,I619,1)/IF('Charts data'!$E$4=1,J619,1)</f>
        <v>9438.1958443445619</v>
      </c>
    </row>
    <row r="620" spans="1:12" x14ac:dyDescent="0.25">
      <c r="A620" s="27" t="s">
        <v>1206</v>
      </c>
      <c r="B620" s="27">
        <v>200000</v>
      </c>
      <c r="C620" s="27" t="s">
        <v>16</v>
      </c>
      <c r="D620" s="28">
        <f>B620*VLOOKUP(C620,tblXrate[],2,0)</f>
        <v>3561.5833374885137</v>
      </c>
      <c r="E620" s="27" t="s">
        <v>19</v>
      </c>
      <c r="F620" s="27" t="s">
        <v>3</v>
      </c>
      <c r="G620" s="27" t="s">
        <v>2272</v>
      </c>
      <c r="H620" s="27">
        <v>5</v>
      </c>
      <c r="I620" s="27">
        <f>VLOOKUP(F620,mapping!$L$2:$P$92,2,0)</f>
        <v>0.34064763831408895</v>
      </c>
      <c r="J620" s="27">
        <f>VLOOKUP($F620,mapping!$L$2:$P$92,3,0)</f>
        <v>1388.78</v>
      </c>
      <c r="K620" s="27" t="str">
        <f>VLOOKUP($F620,mapping!$L$2:$P$92,4,0)</f>
        <v>Developing Asia</v>
      </c>
      <c r="L620" s="29">
        <f>$D620*VLOOKUP($E620,'Charts data'!$A$2:$B$11,2,0)*VLOOKUP($G620,'Charts data'!$A$14:$B$18,2,0)/IF('Charts data'!$E$3=1,I620,1)/IF('Charts data'!$E$4=1,J620,1)</f>
        <v>3561.5833374885137</v>
      </c>
    </row>
    <row r="621" spans="1:12" x14ac:dyDescent="0.25">
      <c r="A621" s="27" t="s">
        <v>1207</v>
      </c>
      <c r="B621" s="27">
        <v>200000</v>
      </c>
      <c r="C621" s="27" t="s">
        <v>16</v>
      </c>
      <c r="D621" s="28">
        <f>B621*VLOOKUP(C621,tblXrate[],2,0)</f>
        <v>3561.5833374885137</v>
      </c>
      <c r="E621" s="27" t="s">
        <v>2145</v>
      </c>
      <c r="F621" s="27" t="s">
        <v>3</v>
      </c>
      <c r="G621" s="27" t="s">
        <v>2271</v>
      </c>
      <c r="H621" s="27">
        <v>3</v>
      </c>
      <c r="I621" s="27">
        <f>VLOOKUP(F621,mapping!$L$2:$P$92,2,0)</f>
        <v>0.34064763831408895</v>
      </c>
      <c r="J621" s="27">
        <f>VLOOKUP($F621,mapping!$L$2:$P$92,3,0)</f>
        <v>1388.78</v>
      </c>
      <c r="K621" s="27" t="str">
        <f>VLOOKUP($F621,mapping!$L$2:$P$92,4,0)</f>
        <v>Developing Asia</v>
      </c>
      <c r="L621" s="29">
        <f>$D621*VLOOKUP($E621,'Charts data'!$A$2:$B$11,2,0)*VLOOKUP($G621,'Charts data'!$A$14:$B$18,2,0)/IF('Charts data'!$E$3=1,I621,1)/IF('Charts data'!$E$4=1,J621,1)</f>
        <v>3561.5833374885137</v>
      </c>
    </row>
    <row r="622" spans="1:12" x14ac:dyDescent="0.25">
      <c r="A622" s="27" t="s">
        <v>1209</v>
      </c>
      <c r="B622" s="27">
        <v>1200000</v>
      </c>
      <c r="C622" s="27" t="s">
        <v>16</v>
      </c>
      <c r="D622" s="28">
        <f>B622*VLOOKUP(C622,tblXrate[],2,0)</f>
        <v>21369.500024931083</v>
      </c>
      <c r="E622" s="27" t="s">
        <v>7</v>
      </c>
      <c r="F622" s="27" t="s">
        <v>3</v>
      </c>
      <c r="G622" s="27" t="s">
        <v>2271</v>
      </c>
      <c r="H622" s="27">
        <v>7</v>
      </c>
      <c r="I622" s="27">
        <f>VLOOKUP(F622,mapping!$L$2:$P$92,2,0)</f>
        <v>0.34064763831408895</v>
      </c>
      <c r="J622" s="27">
        <f>VLOOKUP($F622,mapping!$L$2:$P$92,3,0)</f>
        <v>1388.78</v>
      </c>
      <c r="K622" s="27" t="str">
        <f>VLOOKUP($F622,mapping!$L$2:$P$92,4,0)</f>
        <v>Developing Asia</v>
      </c>
      <c r="L622" s="29">
        <f>$D622*VLOOKUP($E622,'Charts data'!$A$2:$B$11,2,0)*VLOOKUP($G622,'Charts data'!$A$14:$B$18,2,0)/IF('Charts data'!$E$3=1,I622,1)/IF('Charts data'!$E$4=1,J622,1)</f>
        <v>21369.500024931083</v>
      </c>
    </row>
    <row r="623" spans="1:12" x14ac:dyDescent="0.25">
      <c r="A623" s="27" t="s">
        <v>1210</v>
      </c>
      <c r="B623" s="27">
        <v>300000</v>
      </c>
      <c r="C623" s="27" t="s">
        <v>16</v>
      </c>
      <c r="D623" s="28">
        <f>B623*VLOOKUP(C623,tblXrate[],2,0)</f>
        <v>5342.3750062327708</v>
      </c>
      <c r="E623" s="27" t="s">
        <v>53</v>
      </c>
      <c r="F623" s="27" t="s">
        <v>3</v>
      </c>
      <c r="G623" s="27" t="s">
        <v>2272</v>
      </c>
      <c r="H623" s="27">
        <v>1</v>
      </c>
      <c r="I623" s="27">
        <f>VLOOKUP(F623,mapping!$L$2:$P$92,2,0)</f>
        <v>0.34064763831408895</v>
      </c>
      <c r="J623" s="27">
        <f>VLOOKUP($F623,mapping!$L$2:$P$92,3,0)</f>
        <v>1388.78</v>
      </c>
      <c r="K623" s="27" t="str">
        <f>VLOOKUP($F623,mapping!$L$2:$P$92,4,0)</f>
        <v>Developing Asia</v>
      </c>
      <c r="L623" s="29">
        <f>$D623*VLOOKUP($E623,'Charts data'!$A$2:$B$11,2,0)*VLOOKUP($G623,'Charts data'!$A$14:$B$18,2,0)/IF('Charts data'!$E$3=1,I623,1)/IF('Charts data'!$E$4=1,J623,1)</f>
        <v>5342.3750062327708</v>
      </c>
    </row>
    <row r="624" spans="1:12" x14ac:dyDescent="0.25">
      <c r="A624" s="27" t="s">
        <v>1212</v>
      </c>
      <c r="B624" s="27">
        <v>1600000</v>
      </c>
      <c r="C624" s="27" t="s">
        <v>16</v>
      </c>
      <c r="D624" s="28">
        <f>B624*VLOOKUP(C624,tblXrate[],2,0)</f>
        <v>28492.66669990811</v>
      </c>
      <c r="E624" s="27" t="s">
        <v>19</v>
      </c>
      <c r="F624" s="27" t="s">
        <v>3</v>
      </c>
      <c r="G624" s="27" t="s">
        <v>2273</v>
      </c>
      <c r="H624" s="27">
        <v>9</v>
      </c>
      <c r="I624" s="27">
        <f>VLOOKUP(F624,mapping!$L$2:$P$92,2,0)</f>
        <v>0.34064763831408895</v>
      </c>
      <c r="J624" s="27">
        <f>VLOOKUP($F624,mapping!$L$2:$P$92,3,0)</f>
        <v>1388.78</v>
      </c>
      <c r="K624" s="27" t="str">
        <f>VLOOKUP($F624,mapping!$L$2:$P$92,4,0)</f>
        <v>Developing Asia</v>
      </c>
      <c r="L624" s="29">
        <f>$D624*VLOOKUP($E624,'Charts data'!$A$2:$B$11,2,0)*VLOOKUP($G624,'Charts data'!$A$14:$B$18,2,0)/IF('Charts data'!$E$3=1,I624,1)/IF('Charts data'!$E$4=1,J624,1)</f>
        <v>28492.66669990811</v>
      </c>
    </row>
    <row r="625" spans="1:12" x14ac:dyDescent="0.25">
      <c r="A625" s="27" t="s">
        <v>1215</v>
      </c>
      <c r="B625" s="27">
        <v>438000</v>
      </c>
      <c r="C625" s="27" t="s">
        <v>16</v>
      </c>
      <c r="D625" s="28">
        <f>B625*VLOOKUP(C625,tblXrate[],2,0)</f>
        <v>7799.8675090998449</v>
      </c>
      <c r="E625" s="27" t="s">
        <v>7</v>
      </c>
      <c r="F625" s="27" t="s">
        <v>3</v>
      </c>
      <c r="G625" s="27" t="s">
        <v>2274</v>
      </c>
      <c r="H625" s="27">
        <v>10</v>
      </c>
      <c r="I625" s="27">
        <f>VLOOKUP(F625,mapping!$L$2:$P$92,2,0)</f>
        <v>0.34064763831408895</v>
      </c>
      <c r="J625" s="27">
        <f>VLOOKUP($F625,mapping!$L$2:$P$92,3,0)</f>
        <v>1388.78</v>
      </c>
      <c r="K625" s="27" t="str">
        <f>VLOOKUP($F625,mapping!$L$2:$P$92,4,0)</f>
        <v>Developing Asia</v>
      </c>
      <c r="L625" s="29">
        <f>$D625*VLOOKUP($E625,'Charts data'!$A$2:$B$11,2,0)*VLOOKUP($G625,'Charts data'!$A$14:$B$18,2,0)/IF('Charts data'!$E$3=1,I625,1)/IF('Charts data'!$E$4=1,J625,1)</f>
        <v>7799.8675090998449</v>
      </c>
    </row>
    <row r="626" spans="1:12" x14ac:dyDescent="0.25">
      <c r="A626" s="27" t="s">
        <v>1218</v>
      </c>
      <c r="B626" s="27">
        <v>250000</v>
      </c>
      <c r="C626" s="27" t="s">
        <v>16</v>
      </c>
      <c r="D626" s="28">
        <f>B626*VLOOKUP(C626,tblXrate[],2,0)</f>
        <v>4451.9791718606421</v>
      </c>
      <c r="E626" s="27" t="s">
        <v>2145</v>
      </c>
      <c r="F626" s="27" t="s">
        <v>3</v>
      </c>
      <c r="G626" s="27" t="s">
        <v>2273</v>
      </c>
      <c r="H626" s="27">
        <v>3.5</v>
      </c>
      <c r="I626" s="27">
        <f>VLOOKUP(F626,mapping!$L$2:$P$92,2,0)</f>
        <v>0.34064763831408895</v>
      </c>
      <c r="J626" s="27">
        <f>VLOOKUP($F626,mapping!$L$2:$P$92,3,0)</f>
        <v>1388.78</v>
      </c>
      <c r="K626" s="27" t="str">
        <f>VLOOKUP($F626,mapping!$L$2:$P$92,4,0)</f>
        <v>Developing Asia</v>
      </c>
      <c r="L626" s="29">
        <f>$D626*VLOOKUP($E626,'Charts data'!$A$2:$B$11,2,0)*VLOOKUP($G626,'Charts data'!$A$14:$B$18,2,0)/IF('Charts data'!$E$3=1,I626,1)/IF('Charts data'!$E$4=1,J626,1)</f>
        <v>4451.9791718606421</v>
      </c>
    </row>
    <row r="627" spans="1:12" x14ac:dyDescent="0.25">
      <c r="A627" s="27" t="s">
        <v>1221</v>
      </c>
      <c r="B627" s="27">
        <v>2500000</v>
      </c>
      <c r="C627" s="27" t="s">
        <v>16</v>
      </c>
      <c r="D627" s="28">
        <f>B627*VLOOKUP(C627,tblXrate[],2,0)</f>
        <v>44519.791718606422</v>
      </c>
      <c r="E627" s="27" t="s">
        <v>2147</v>
      </c>
      <c r="F627" s="27" t="s">
        <v>3</v>
      </c>
      <c r="G627" s="27" t="s">
        <v>2271</v>
      </c>
      <c r="H627" s="27">
        <v>9</v>
      </c>
      <c r="I627" s="27">
        <f>VLOOKUP(F627,mapping!$L$2:$P$92,2,0)</f>
        <v>0.34064763831408895</v>
      </c>
      <c r="J627" s="27">
        <f>VLOOKUP($F627,mapping!$L$2:$P$92,3,0)</f>
        <v>1388.78</v>
      </c>
      <c r="K627" s="27" t="str">
        <f>VLOOKUP($F627,mapping!$L$2:$P$92,4,0)</f>
        <v>Developing Asia</v>
      </c>
      <c r="L627" s="29">
        <f>$D627*VLOOKUP($E627,'Charts data'!$A$2:$B$11,2,0)*VLOOKUP($G627,'Charts data'!$A$14:$B$18,2,0)/IF('Charts data'!$E$3=1,I627,1)/IF('Charts data'!$E$4=1,J627,1)</f>
        <v>44519.791718606422</v>
      </c>
    </row>
    <row r="628" spans="1:12" x14ac:dyDescent="0.25">
      <c r="A628" s="27" t="s">
        <v>1222</v>
      </c>
      <c r="B628" s="27">
        <v>140000</v>
      </c>
      <c r="C628" s="27" t="s">
        <v>16</v>
      </c>
      <c r="D628" s="28">
        <f>B628*VLOOKUP(C628,tblXrate[],2,0)</f>
        <v>2493.1083362419595</v>
      </c>
      <c r="E628" s="27" t="s">
        <v>51</v>
      </c>
      <c r="F628" s="27" t="s">
        <v>3</v>
      </c>
      <c r="G628" s="27" t="s">
        <v>2271</v>
      </c>
      <c r="H628" s="27">
        <v>4</v>
      </c>
      <c r="I628" s="27">
        <f>VLOOKUP(F628,mapping!$L$2:$P$92,2,0)</f>
        <v>0.34064763831408895</v>
      </c>
      <c r="J628" s="27">
        <f>VLOOKUP($F628,mapping!$L$2:$P$92,3,0)</f>
        <v>1388.78</v>
      </c>
      <c r="K628" s="27" t="str">
        <f>VLOOKUP($F628,mapping!$L$2:$P$92,4,0)</f>
        <v>Developing Asia</v>
      </c>
      <c r="L628" s="29">
        <f>$D628*VLOOKUP($E628,'Charts data'!$A$2:$B$11,2,0)*VLOOKUP($G628,'Charts data'!$A$14:$B$18,2,0)/IF('Charts data'!$E$3=1,I628,1)/IF('Charts data'!$E$4=1,J628,1)</f>
        <v>2493.1083362419595</v>
      </c>
    </row>
    <row r="629" spans="1:12" x14ac:dyDescent="0.25">
      <c r="A629" s="27" t="s">
        <v>1224</v>
      </c>
      <c r="B629" s="27">
        <v>1200000</v>
      </c>
      <c r="C629" s="27" t="s">
        <v>16</v>
      </c>
      <c r="D629" s="28">
        <f>B629*VLOOKUP(C629,tblXrate[],2,0)</f>
        <v>21369.500024931083</v>
      </c>
      <c r="E629" s="27" t="s">
        <v>62</v>
      </c>
      <c r="F629" s="27" t="s">
        <v>3</v>
      </c>
      <c r="G629" s="27" t="s">
        <v>2271</v>
      </c>
      <c r="H629" s="27">
        <v>8</v>
      </c>
      <c r="I629" s="27">
        <f>VLOOKUP(F629,mapping!$L$2:$P$92,2,0)</f>
        <v>0.34064763831408895</v>
      </c>
      <c r="J629" s="27">
        <f>VLOOKUP($F629,mapping!$L$2:$P$92,3,0)</f>
        <v>1388.78</v>
      </c>
      <c r="K629" s="27" t="str">
        <f>VLOOKUP($F629,mapping!$L$2:$P$92,4,0)</f>
        <v>Developing Asia</v>
      </c>
      <c r="L629" s="29">
        <f>$D629*VLOOKUP($E629,'Charts data'!$A$2:$B$11,2,0)*VLOOKUP($G629,'Charts data'!$A$14:$B$18,2,0)/IF('Charts data'!$E$3=1,I629,1)/IF('Charts data'!$E$4=1,J629,1)</f>
        <v>21369.500024931083</v>
      </c>
    </row>
    <row r="630" spans="1:12" x14ac:dyDescent="0.25">
      <c r="A630" s="27" t="s">
        <v>1229</v>
      </c>
      <c r="B630" s="27">
        <v>240000</v>
      </c>
      <c r="C630" s="27" t="s">
        <v>16</v>
      </c>
      <c r="D630" s="28">
        <f>B630*VLOOKUP(C630,tblXrate[],2,0)</f>
        <v>4273.9000049862161</v>
      </c>
      <c r="E630" s="27" t="s">
        <v>7</v>
      </c>
      <c r="F630" s="27" t="s">
        <v>3</v>
      </c>
      <c r="G630" s="27" t="s">
        <v>2272</v>
      </c>
      <c r="H630" s="27">
        <v>3</v>
      </c>
      <c r="I630" s="27">
        <f>VLOOKUP(F630,mapping!$L$2:$P$92,2,0)</f>
        <v>0.34064763831408895</v>
      </c>
      <c r="J630" s="27">
        <f>VLOOKUP($F630,mapping!$L$2:$P$92,3,0)</f>
        <v>1388.78</v>
      </c>
      <c r="K630" s="27" t="str">
        <f>VLOOKUP($F630,mapping!$L$2:$P$92,4,0)</f>
        <v>Developing Asia</v>
      </c>
      <c r="L630" s="29">
        <f>$D630*VLOOKUP($E630,'Charts data'!$A$2:$B$11,2,0)*VLOOKUP($G630,'Charts data'!$A$14:$B$18,2,0)/IF('Charts data'!$E$3=1,I630,1)/IF('Charts data'!$E$4=1,J630,1)</f>
        <v>4273.9000049862161</v>
      </c>
    </row>
    <row r="631" spans="1:12" x14ac:dyDescent="0.25">
      <c r="A631" s="27" t="s">
        <v>1230</v>
      </c>
      <c r="B631" s="27">
        <v>250000</v>
      </c>
      <c r="C631" s="27" t="s">
        <v>16</v>
      </c>
      <c r="D631" s="28">
        <f>B631*VLOOKUP(C631,tblXrate[],2,0)</f>
        <v>4451.9791718606421</v>
      </c>
      <c r="E631" s="27" t="s">
        <v>2145</v>
      </c>
      <c r="F631" s="27" t="s">
        <v>3</v>
      </c>
      <c r="G631" s="27" t="s">
        <v>2272</v>
      </c>
      <c r="H631" s="27">
        <v>3</v>
      </c>
      <c r="I631" s="27">
        <f>VLOOKUP(F631,mapping!$L$2:$P$92,2,0)</f>
        <v>0.34064763831408895</v>
      </c>
      <c r="J631" s="27">
        <f>VLOOKUP($F631,mapping!$L$2:$P$92,3,0)</f>
        <v>1388.78</v>
      </c>
      <c r="K631" s="27" t="str">
        <f>VLOOKUP($F631,mapping!$L$2:$P$92,4,0)</f>
        <v>Developing Asia</v>
      </c>
      <c r="L631" s="29">
        <f>$D631*VLOOKUP($E631,'Charts data'!$A$2:$B$11,2,0)*VLOOKUP($G631,'Charts data'!$A$14:$B$18,2,0)/IF('Charts data'!$E$3=1,I631,1)/IF('Charts data'!$E$4=1,J631,1)</f>
        <v>4451.9791718606421</v>
      </c>
    </row>
    <row r="632" spans="1:12" x14ac:dyDescent="0.25">
      <c r="A632" s="27" t="s">
        <v>1231</v>
      </c>
      <c r="B632" s="27">
        <v>600000</v>
      </c>
      <c r="C632" s="27" t="s">
        <v>16</v>
      </c>
      <c r="D632" s="28">
        <f>B632*VLOOKUP(C632,tblXrate[],2,0)</f>
        <v>10684.750012465542</v>
      </c>
      <c r="E632" s="27" t="s">
        <v>7</v>
      </c>
      <c r="F632" s="27" t="s">
        <v>3</v>
      </c>
      <c r="G632" s="27" t="s">
        <v>2271</v>
      </c>
      <c r="H632" s="27">
        <v>10</v>
      </c>
      <c r="I632" s="27">
        <f>VLOOKUP(F632,mapping!$L$2:$P$92,2,0)</f>
        <v>0.34064763831408895</v>
      </c>
      <c r="J632" s="27">
        <f>VLOOKUP($F632,mapping!$L$2:$P$92,3,0)</f>
        <v>1388.78</v>
      </c>
      <c r="K632" s="27" t="str">
        <f>VLOOKUP($F632,mapping!$L$2:$P$92,4,0)</f>
        <v>Developing Asia</v>
      </c>
      <c r="L632" s="29">
        <f>$D632*VLOOKUP($E632,'Charts data'!$A$2:$B$11,2,0)*VLOOKUP($G632,'Charts data'!$A$14:$B$18,2,0)/IF('Charts data'!$E$3=1,I632,1)/IF('Charts data'!$E$4=1,J632,1)</f>
        <v>10684.750012465542</v>
      </c>
    </row>
    <row r="633" spans="1:12" x14ac:dyDescent="0.25">
      <c r="A633" s="27" t="s">
        <v>1235</v>
      </c>
      <c r="B633" s="27">
        <v>500000</v>
      </c>
      <c r="C633" s="27" t="s">
        <v>16</v>
      </c>
      <c r="D633" s="28">
        <f>B633*VLOOKUP(C633,tblXrate[],2,0)</f>
        <v>8903.9583437212841</v>
      </c>
      <c r="E633" s="27" t="s">
        <v>7</v>
      </c>
      <c r="F633" s="27" t="s">
        <v>3</v>
      </c>
      <c r="G633" s="27" t="s">
        <v>2272</v>
      </c>
      <c r="H633" s="27">
        <v>23</v>
      </c>
      <c r="I633" s="27">
        <f>VLOOKUP(F633,mapping!$L$2:$P$92,2,0)</f>
        <v>0.34064763831408895</v>
      </c>
      <c r="J633" s="27">
        <f>VLOOKUP($F633,mapping!$L$2:$P$92,3,0)</f>
        <v>1388.78</v>
      </c>
      <c r="K633" s="27" t="str">
        <f>VLOOKUP($F633,mapping!$L$2:$P$92,4,0)</f>
        <v>Developing Asia</v>
      </c>
      <c r="L633" s="29">
        <f>$D633*VLOOKUP($E633,'Charts data'!$A$2:$B$11,2,0)*VLOOKUP($G633,'Charts data'!$A$14:$B$18,2,0)/IF('Charts data'!$E$3=1,I633,1)/IF('Charts data'!$E$4=1,J633,1)</f>
        <v>8903.9583437212841</v>
      </c>
    </row>
    <row r="634" spans="1:12" x14ac:dyDescent="0.25">
      <c r="A634" s="27" t="s">
        <v>1239</v>
      </c>
      <c r="B634" s="27">
        <v>240000</v>
      </c>
      <c r="C634" s="27" t="s">
        <v>16</v>
      </c>
      <c r="D634" s="28">
        <f>B634*VLOOKUP(C634,tblXrate[],2,0)</f>
        <v>4273.9000049862161</v>
      </c>
      <c r="E634" s="27" t="s">
        <v>51</v>
      </c>
      <c r="F634" s="27" t="s">
        <v>3</v>
      </c>
      <c r="G634" s="27" t="s">
        <v>2273</v>
      </c>
      <c r="H634" s="27">
        <v>20</v>
      </c>
      <c r="I634" s="27">
        <f>VLOOKUP(F634,mapping!$L$2:$P$92,2,0)</f>
        <v>0.34064763831408895</v>
      </c>
      <c r="J634" s="27">
        <f>VLOOKUP($F634,mapping!$L$2:$P$92,3,0)</f>
        <v>1388.78</v>
      </c>
      <c r="K634" s="27" t="str">
        <f>VLOOKUP($F634,mapping!$L$2:$P$92,4,0)</f>
        <v>Developing Asia</v>
      </c>
      <c r="L634" s="29">
        <f>$D634*VLOOKUP($E634,'Charts data'!$A$2:$B$11,2,0)*VLOOKUP($G634,'Charts data'!$A$14:$B$18,2,0)/IF('Charts data'!$E$3=1,I634,1)/IF('Charts data'!$E$4=1,J634,1)</f>
        <v>4273.9000049862161</v>
      </c>
    </row>
    <row r="635" spans="1:12" x14ac:dyDescent="0.25">
      <c r="A635" s="27" t="s">
        <v>1249</v>
      </c>
      <c r="B635" s="27">
        <v>1200000</v>
      </c>
      <c r="C635" s="27" t="s">
        <v>16</v>
      </c>
      <c r="D635" s="28">
        <f>B635*VLOOKUP(C635,tblXrate[],2,0)</f>
        <v>21369.500024931083</v>
      </c>
      <c r="E635" s="27" t="s">
        <v>19</v>
      </c>
      <c r="F635" s="27" t="s">
        <v>3</v>
      </c>
      <c r="G635" s="27" t="s">
        <v>2272</v>
      </c>
      <c r="H635" s="27">
        <v>5</v>
      </c>
      <c r="I635" s="27">
        <f>VLOOKUP(F635,mapping!$L$2:$P$92,2,0)</f>
        <v>0.34064763831408895</v>
      </c>
      <c r="J635" s="27">
        <f>VLOOKUP($F635,mapping!$L$2:$P$92,3,0)</f>
        <v>1388.78</v>
      </c>
      <c r="K635" s="27" t="str">
        <f>VLOOKUP($F635,mapping!$L$2:$P$92,4,0)</f>
        <v>Developing Asia</v>
      </c>
      <c r="L635" s="29">
        <f>$D635*VLOOKUP($E635,'Charts data'!$A$2:$B$11,2,0)*VLOOKUP($G635,'Charts data'!$A$14:$B$18,2,0)/IF('Charts data'!$E$3=1,I635,1)/IF('Charts data'!$E$4=1,J635,1)</f>
        <v>21369.500024931083</v>
      </c>
    </row>
    <row r="636" spans="1:12" x14ac:dyDescent="0.25">
      <c r="A636" s="27" t="s">
        <v>1251</v>
      </c>
      <c r="B636" s="27">
        <v>180000</v>
      </c>
      <c r="C636" s="27" t="s">
        <v>16</v>
      </c>
      <c r="D636" s="28">
        <f>B636*VLOOKUP(C636,tblXrate[],2,0)</f>
        <v>3205.4250037396623</v>
      </c>
      <c r="E636" s="27" t="s">
        <v>7</v>
      </c>
      <c r="F636" s="27" t="s">
        <v>3</v>
      </c>
      <c r="G636" s="27" t="s">
        <v>2273</v>
      </c>
      <c r="H636" s="27">
        <v>3</v>
      </c>
      <c r="I636" s="27">
        <f>VLOOKUP(F636,mapping!$L$2:$P$92,2,0)</f>
        <v>0.34064763831408895</v>
      </c>
      <c r="J636" s="27">
        <f>VLOOKUP($F636,mapping!$L$2:$P$92,3,0)</f>
        <v>1388.78</v>
      </c>
      <c r="K636" s="27" t="str">
        <f>VLOOKUP($F636,mapping!$L$2:$P$92,4,0)</f>
        <v>Developing Asia</v>
      </c>
      <c r="L636" s="29">
        <f>$D636*VLOOKUP($E636,'Charts data'!$A$2:$B$11,2,0)*VLOOKUP($G636,'Charts data'!$A$14:$B$18,2,0)/IF('Charts data'!$E$3=1,I636,1)/IF('Charts data'!$E$4=1,J636,1)</f>
        <v>3205.4250037396623</v>
      </c>
    </row>
    <row r="637" spans="1:12" x14ac:dyDescent="0.25">
      <c r="A637" s="27" t="s">
        <v>1252</v>
      </c>
      <c r="B637" s="27">
        <v>600000</v>
      </c>
      <c r="C637" s="27" t="s">
        <v>16</v>
      </c>
      <c r="D637" s="28">
        <f>B637*VLOOKUP(C637,tblXrate[],2,0)</f>
        <v>10684.750012465542</v>
      </c>
      <c r="E637" s="27" t="s">
        <v>51</v>
      </c>
      <c r="F637" s="27" t="s">
        <v>3</v>
      </c>
      <c r="G637" s="27" t="s">
        <v>2272</v>
      </c>
      <c r="H637" s="27">
        <v>8</v>
      </c>
      <c r="I637" s="27">
        <f>VLOOKUP(F637,mapping!$L$2:$P$92,2,0)</f>
        <v>0.34064763831408895</v>
      </c>
      <c r="J637" s="27">
        <f>VLOOKUP($F637,mapping!$L$2:$P$92,3,0)</f>
        <v>1388.78</v>
      </c>
      <c r="K637" s="27" t="str">
        <f>VLOOKUP($F637,mapping!$L$2:$P$92,4,0)</f>
        <v>Developing Asia</v>
      </c>
      <c r="L637" s="29">
        <f>$D637*VLOOKUP($E637,'Charts data'!$A$2:$B$11,2,0)*VLOOKUP($G637,'Charts data'!$A$14:$B$18,2,0)/IF('Charts data'!$E$3=1,I637,1)/IF('Charts data'!$E$4=1,J637,1)</f>
        <v>10684.750012465542</v>
      </c>
    </row>
    <row r="638" spans="1:12" x14ac:dyDescent="0.25">
      <c r="A638" s="27" t="s">
        <v>1253</v>
      </c>
      <c r="B638" s="27">
        <v>300000</v>
      </c>
      <c r="C638" s="27" t="s">
        <v>16</v>
      </c>
      <c r="D638" s="28">
        <f>B638*VLOOKUP(C638,tblXrate[],2,0)</f>
        <v>5342.3750062327708</v>
      </c>
      <c r="E638" s="27" t="s">
        <v>7</v>
      </c>
      <c r="F638" s="27" t="s">
        <v>3</v>
      </c>
      <c r="G638" s="27" t="s">
        <v>2271</v>
      </c>
      <c r="H638" s="27">
        <v>5</v>
      </c>
      <c r="I638" s="27">
        <f>VLOOKUP(F638,mapping!$L$2:$P$92,2,0)</f>
        <v>0.34064763831408895</v>
      </c>
      <c r="J638" s="27">
        <f>VLOOKUP($F638,mapping!$L$2:$P$92,3,0)</f>
        <v>1388.78</v>
      </c>
      <c r="K638" s="27" t="str">
        <f>VLOOKUP($F638,mapping!$L$2:$P$92,4,0)</f>
        <v>Developing Asia</v>
      </c>
      <c r="L638" s="29">
        <f>$D638*VLOOKUP($E638,'Charts data'!$A$2:$B$11,2,0)*VLOOKUP($G638,'Charts data'!$A$14:$B$18,2,0)/IF('Charts data'!$E$3=1,I638,1)/IF('Charts data'!$E$4=1,J638,1)</f>
        <v>5342.3750062327708</v>
      </c>
    </row>
    <row r="639" spans="1:12" x14ac:dyDescent="0.25">
      <c r="A639" s="27" t="s">
        <v>1262</v>
      </c>
      <c r="B639" s="27">
        <v>252000</v>
      </c>
      <c r="C639" s="27" t="s">
        <v>16</v>
      </c>
      <c r="D639" s="28">
        <f>B639*VLOOKUP(C639,tblXrate[],2,0)</f>
        <v>4487.5950052355274</v>
      </c>
      <c r="E639" s="27" t="s">
        <v>19</v>
      </c>
      <c r="F639" s="27" t="s">
        <v>3</v>
      </c>
      <c r="G639" s="27" t="s">
        <v>2274</v>
      </c>
      <c r="H639" s="27">
        <v>16</v>
      </c>
      <c r="I639" s="27">
        <f>VLOOKUP(F639,mapping!$L$2:$P$92,2,0)</f>
        <v>0.34064763831408895</v>
      </c>
      <c r="J639" s="27">
        <f>VLOOKUP($F639,mapping!$L$2:$P$92,3,0)</f>
        <v>1388.78</v>
      </c>
      <c r="K639" s="27" t="str">
        <f>VLOOKUP($F639,mapping!$L$2:$P$92,4,0)</f>
        <v>Developing Asia</v>
      </c>
      <c r="L639" s="29">
        <f>$D639*VLOOKUP($E639,'Charts data'!$A$2:$B$11,2,0)*VLOOKUP($G639,'Charts data'!$A$14:$B$18,2,0)/IF('Charts data'!$E$3=1,I639,1)/IF('Charts data'!$E$4=1,J639,1)</f>
        <v>4487.5950052355274</v>
      </c>
    </row>
    <row r="640" spans="1:12" x14ac:dyDescent="0.25">
      <c r="A640" s="27" t="s">
        <v>1263</v>
      </c>
      <c r="B640" s="27">
        <v>242304</v>
      </c>
      <c r="C640" s="27" t="s">
        <v>16</v>
      </c>
      <c r="D640" s="28">
        <f>B640*VLOOKUP(C640,tblXrate[],2,0)</f>
        <v>4314.929445034084</v>
      </c>
      <c r="E640" s="27" t="s">
        <v>51</v>
      </c>
      <c r="F640" s="27" t="s">
        <v>3</v>
      </c>
      <c r="G640" s="27" t="s">
        <v>2271</v>
      </c>
      <c r="H640" s="27">
        <v>7</v>
      </c>
      <c r="I640" s="27">
        <f>VLOOKUP(F640,mapping!$L$2:$P$92,2,0)</f>
        <v>0.34064763831408895</v>
      </c>
      <c r="J640" s="27">
        <f>VLOOKUP($F640,mapping!$L$2:$P$92,3,0)</f>
        <v>1388.78</v>
      </c>
      <c r="K640" s="27" t="str">
        <f>VLOOKUP($F640,mapping!$L$2:$P$92,4,0)</f>
        <v>Developing Asia</v>
      </c>
      <c r="L640" s="29">
        <f>$D640*VLOOKUP($E640,'Charts data'!$A$2:$B$11,2,0)*VLOOKUP($G640,'Charts data'!$A$14:$B$18,2,0)/IF('Charts data'!$E$3=1,I640,1)/IF('Charts data'!$E$4=1,J640,1)</f>
        <v>4314.929445034084</v>
      </c>
    </row>
    <row r="641" spans="1:12" x14ac:dyDescent="0.25">
      <c r="A641" s="27" t="s">
        <v>1264</v>
      </c>
      <c r="B641" s="27">
        <v>210000</v>
      </c>
      <c r="C641" s="27" t="s">
        <v>16</v>
      </c>
      <c r="D641" s="28">
        <f>B641*VLOOKUP(C641,tblXrate[],2,0)</f>
        <v>3739.6625043629392</v>
      </c>
      <c r="E641" s="27" t="s">
        <v>7</v>
      </c>
      <c r="F641" s="27" t="s">
        <v>3</v>
      </c>
      <c r="G641" s="27" t="s">
        <v>2273</v>
      </c>
      <c r="H641" s="27">
        <v>1</v>
      </c>
      <c r="I641" s="27">
        <f>VLOOKUP(F641,mapping!$L$2:$P$92,2,0)</f>
        <v>0.34064763831408895</v>
      </c>
      <c r="J641" s="27">
        <f>VLOOKUP($F641,mapping!$L$2:$P$92,3,0)</f>
        <v>1388.78</v>
      </c>
      <c r="K641" s="27" t="str">
        <f>VLOOKUP($F641,mapping!$L$2:$P$92,4,0)</f>
        <v>Developing Asia</v>
      </c>
      <c r="L641" s="29">
        <f>$D641*VLOOKUP($E641,'Charts data'!$A$2:$B$11,2,0)*VLOOKUP($G641,'Charts data'!$A$14:$B$18,2,0)/IF('Charts data'!$E$3=1,I641,1)/IF('Charts data'!$E$4=1,J641,1)</f>
        <v>3739.6625043629392</v>
      </c>
    </row>
    <row r="642" spans="1:12" x14ac:dyDescent="0.25">
      <c r="A642" s="27" t="s">
        <v>1269</v>
      </c>
      <c r="B642" s="27">
        <v>900000</v>
      </c>
      <c r="C642" s="27" t="s">
        <v>16</v>
      </c>
      <c r="D642" s="28">
        <f>B642*VLOOKUP(C642,tblXrate[],2,0)</f>
        <v>16027.125018698311</v>
      </c>
      <c r="E642" s="27" t="s">
        <v>19</v>
      </c>
      <c r="F642" s="27" t="s">
        <v>3</v>
      </c>
      <c r="G642" s="27" t="s">
        <v>2271</v>
      </c>
      <c r="H642" s="27">
        <v>22</v>
      </c>
      <c r="I642" s="27">
        <f>VLOOKUP(F642,mapping!$L$2:$P$92,2,0)</f>
        <v>0.34064763831408895</v>
      </c>
      <c r="J642" s="27">
        <f>VLOOKUP($F642,mapping!$L$2:$P$92,3,0)</f>
        <v>1388.78</v>
      </c>
      <c r="K642" s="27" t="str">
        <f>VLOOKUP($F642,mapping!$L$2:$P$92,4,0)</f>
        <v>Developing Asia</v>
      </c>
      <c r="L642" s="29">
        <f>$D642*VLOOKUP($E642,'Charts data'!$A$2:$B$11,2,0)*VLOOKUP($G642,'Charts data'!$A$14:$B$18,2,0)/IF('Charts data'!$E$3=1,I642,1)/IF('Charts data'!$E$4=1,J642,1)</f>
        <v>16027.125018698311</v>
      </c>
    </row>
    <row r="643" spans="1:12" x14ac:dyDescent="0.25">
      <c r="A643" s="27" t="s">
        <v>1270</v>
      </c>
      <c r="B643" s="27">
        <v>400000</v>
      </c>
      <c r="C643" s="27" t="s">
        <v>16</v>
      </c>
      <c r="D643" s="28">
        <f>B643*VLOOKUP(C643,tblXrate[],2,0)</f>
        <v>7123.1666749770275</v>
      </c>
      <c r="E643" s="27" t="s">
        <v>2145</v>
      </c>
      <c r="F643" s="27" t="s">
        <v>3</v>
      </c>
      <c r="G643" s="27" t="s">
        <v>2271</v>
      </c>
      <c r="H643" s="27">
        <v>9</v>
      </c>
      <c r="I643" s="27">
        <f>VLOOKUP(F643,mapping!$L$2:$P$92,2,0)</f>
        <v>0.34064763831408895</v>
      </c>
      <c r="J643" s="27">
        <f>VLOOKUP($F643,mapping!$L$2:$P$92,3,0)</f>
        <v>1388.78</v>
      </c>
      <c r="K643" s="27" t="str">
        <f>VLOOKUP($F643,mapping!$L$2:$P$92,4,0)</f>
        <v>Developing Asia</v>
      </c>
      <c r="L643" s="29">
        <f>$D643*VLOOKUP($E643,'Charts data'!$A$2:$B$11,2,0)*VLOOKUP($G643,'Charts data'!$A$14:$B$18,2,0)/IF('Charts data'!$E$3=1,I643,1)/IF('Charts data'!$E$4=1,J643,1)</f>
        <v>7123.1666749770275</v>
      </c>
    </row>
    <row r="644" spans="1:12" x14ac:dyDescent="0.25">
      <c r="A644" s="27" t="s">
        <v>1271</v>
      </c>
      <c r="B644" s="27">
        <v>150252</v>
      </c>
      <c r="C644" s="27" t="s">
        <v>16</v>
      </c>
      <c r="D644" s="28">
        <f>B644*VLOOKUP(C644,tblXrate[],2,0)</f>
        <v>2675.675098121621</v>
      </c>
      <c r="E644" s="27" t="s">
        <v>19</v>
      </c>
      <c r="F644" s="27" t="s">
        <v>3</v>
      </c>
      <c r="G644" s="27" t="s">
        <v>2272</v>
      </c>
      <c r="H644" s="27">
        <v>5</v>
      </c>
      <c r="I644" s="27">
        <f>VLOOKUP(F644,mapping!$L$2:$P$92,2,0)</f>
        <v>0.34064763831408895</v>
      </c>
      <c r="J644" s="27">
        <f>VLOOKUP($F644,mapping!$L$2:$P$92,3,0)</f>
        <v>1388.78</v>
      </c>
      <c r="K644" s="27" t="str">
        <f>VLOOKUP($F644,mapping!$L$2:$P$92,4,0)</f>
        <v>Developing Asia</v>
      </c>
      <c r="L644" s="29">
        <f>$D644*VLOOKUP($E644,'Charts data'!$A$2:$B$11,2,0)*VLOOKUP($G644,'Charts data'!$A$14:$B$18,2,0)/IF('Charts data'!$E$3=1,I644,1)/IF('Charts data'!$E$4=1,J644,1)</f>
        <v>2675.675098121621</v>
      </c>
    </row>
    <row r="645" spans="1:12" x14ac:dyDescent="0.25">
      <c r="A645" s="27" t="s">
        <v>1274</v>
      </c>
      <c r="B645" s="27">
        <v>2400000</v>
      </c>
      <c r="C645" s="27" t="s">
        <v>16</v>
      </c>
      <c r="D645" s="28">
        <f>B645*VLOOKUP(C645,tblXrate[],2,0)</f>
        <v>42739.000049862167</v>
      </c>
      <c r="E645" s="27" t="s">
        <v>19</v>
      </c>
      <c r="F645" s="27" t="s">
        <v>3</v>
      </c>
      <c r="G645" s="27" t="s">
        <v>2273</v>
      </c>
      <c r="H645" s="27">
        <v>10</v>
      </c>
      <c r="I645" s="27">
        <f>VLOOKUP(F645,mapping!$L$2:$P$92,2,0)</f>
        <v>0.34064763831408895</v>
      </c>
      <c r="J645" s="27">
        <f>VLOOKUP($F645,mapping!$L$2:$P$92,3,0)</f>
        <v>1388.78</v>
      </c>
      <c r="K645" s="27" t="str">
        <f>VLOOKUP($F645,mapping!$L$2:$P$92,4,0)</f>
        <v>Developing Asia</v>
      </c>
      <c r="L645" s="29">
        <f>$D645*VLOOKUP($E645,'Charts data'!$A$2:$B$11,2,0)*VLOOKUP($G645,'Charts data'!$A$14:$B$18,2,0)/IF('Charts data'!$E$3=1,I645,1)/IF('Charts data'!$E$4=1,J645,1)</f>
        <v>42739.000049862167</v>
      </c>
    </row>
    <row r="646" spans="1:12" x14ac:dyDescent="0.25">
      <c r="A646" s="27" t="s">
        <v>1278</v>
      </c>
      <c r="B646" s="27">
        <v>400000</v>
      </c>
      <c r="C646" s="27" t="s">
        <v>16</v>
      </c>
      <c r="D646" s="28">
        <f>B646*VLOOKUP(C646,tblXrate[],2,0)</f>
        <v>7123.1666749770275</v>
      </c>
      <c r="E646" s="27" t="s">
        <v>48</v>
      </c>
      <c r="F646" s="27" t="s">
        <v>3</v>
      </c>
      <c r="G646" s="27" t="s">
        <v>2274</v>
      </c>
      <c r="H646" s="27">
        <v>2</v>
      </c>
      <c r="I646" s="27">
        <f>VLOOKUP(F646,mapping!$L$2:$P$92,2,0)</f>
        <v>0.34064763831408895</v>
      </c>
      <c r="J646" s="27">
        <f>VLOOKUP($F646,mapping!$L$2:$P$92,3,0)</f>
        <v>1388.78</v>
      </c>
      <c r="K646" s="27" t="str">
        <f>VLOOKUP($F646,mapping!$L$2:$P$92,4,0)</f>
        <v>Developing Asia</v>
      </c>
      <c r="L646" s="29">
        <f>$D646*VLOOKUP($E646,'Charts data'!$A$2:$B$11,2,0)*VLOOKUP($G646,'Charts data'!$A$14:$B$18,2,0)/IF('Charts data'!$E$3=1,I646,1)/IF('Charts data'!$E$4=1,J646,1)</f>
        <v>7123.1666749770275</v>
      </c>
    </row>
    <row r="647" spans="1:12" x14ac:dyDescent="0.25">
      <c r="A647" s="27" t="s">
        <v>1281</v>
      </c>
      <c r="B647" s="27">
        <v>200000</v>
      </c>
      <c r="C647" s="27" t="s">
        <v>16</v>
      </c>
      <c r="D647" s="28">
        <f>B647*VLOOKUP(C647,tblXrate[],2,0)</f>
        <v>3561.5833374885137</v>
      </c>
      <c r="E647" s="27" t="s">
        <v>2145</v>
      </c>
      <c r="F647" s="27" t="s">
        <v>3</v>
      </c>
      <c r="G647" s="27" t="s">
        <v>2273</v>
      </c>
      <c r="H647" s="27">
        <v>5</v>
      </c>
      <c r="I647" s="27">
        <f>VLOOKUP(F647,mapping!$L$2:$P$92,2,0)</f>
        <v>0.34064763831408895</v>
      </c>
      <c r="J647" s="27">
        <f>VLOOKUP($F647,mapping!$L$2:$P$92,3,0)</f>
        <v>1388.78</v>
      </c>
      <c r="K647" s="27" t="str">
        <f>VLOOKUP($F647,mapping!$L$2:$P$92,4,0)</f>
        <v>Developing Asia</v>
      </c>
      <c r="L647" s="29">
        <f>$D647*VLOOKUP($E647,'Charts data'!$A$2:$B$11,2,0)*VLOOKUP($G647,'Charts data'!$A$14:$B$18,2,0)/IF('Charts data'!$E$3=1,I647,1)/IF('Charts data'!$E$4=1,J647,1)</f>
        <v>3561.5833374885137</v>
      </c>
    </row>
    <row r="648" spans="1:12" x14ac:dyDescent="0.25">
      <c r="A648" s="27" t="s">
        <v>1285</v>
      </c>
      <c r="B648" s="27">
        <v>853000</v>
      </c>
      <c r="C648" s="27" t="s">
        <v>16</v>
      </c>
      <c r="D648" s="28">
        <f>B648*VLOOKUP(C648,tblXrate[],2,0)</f>
        <v>15190.15293438851</v>
      </c>
      <c r="E648" s="27" t="s">
        <v>7</v>
      </c>
      <c r="F648" s="27" t="s">
        <v>3</v>
      </c>
      <c r="G648" s="27" t="s">
        <v>2272</v>
      </c>
      <c r="H648" s="27">
        <v>6</v>
      </c>
      <c r="I648" s="27">
        <f>VLOOKUP(F648,mapping!$L$2:$P$92,2,0)</f>
        <v>0.34064763831408895</v>
      </c>
      <c r="J648" s="27">
        <f>VLOOKUP($F648,mapping!$L$2:$P$92,3,0)</f>
        <v>1388.78</v>
      </c>
      <c r="K648" s="27" t="str">
        <f>VLOOKUP($F648,mapping!$L$2:$P$92,4,0)</f>
        <v>Developing Asia</v>
      </c>
      <c r="L648" s="29">
        <f>$D648*VLOOKUP($E648,'Charts data'!$A$2:$B$11,2,0)*VLOOKUP($G648,'Charts data'!$A$14:$B$18,2,0)/IF('Charts data'!$E$3=1,I648,1)/IF('Charts data'!$E$4=1,J648,1)</f>
        <v>15190.15293438851</v>
      </c>
    </row>
    <row r="649" spans="1:12" x14ac:dyDescent="0.25">
      <c r="A649" s="27" t="s">
        <v>1295</v>
      </c>
      <c r="B649" s="27">
        <v>708000</v>
      </c>
      <c r="C649" s="27" t="s">
        <v>16</v>
      </c>
      <c r="D649" s="28">
        <f>B649*VLOOKUP(C649,tblXrate[],2,0)</f>
        <v>12608.005014709339</v>
      </c>
      <c r="E649" s="27" t="s">
        <v>19</v>
      </c>
      <c r="F649" s="27" t="s">
        <v>3</v>
      </c>
      <c r="G649" s="27" t="s">
        <v>2271</v>
      </c>
      <c r="H649" s="27">
        <v>5</v>
      </c>
      <c r="I649" s="27">
        <f>VLOOKUP(F649,mapping!$L$2:$P$92,2,0)</f>
        <v>0.34064763831408895</v>
      </c>
      <c r="J649" s="27">
        <f>VLOOKUP($F649,mapping!$L$2:$P$92,3,0)</f>
        <v>1388.78</v>
      </c>
      <c r="K649" s="27" t="str">
        <f>VLOOKUP($F649,mapping!$L$2:$P$92,4,0)</f>
        <v>Developing Asia</v>
      </c>
      <c r="L649" s="29">
        <f>$D649*VLOOKUP($E649,'Charts data'!$A$2:$B$11,2,0)*VLOOKUP($G649,'Charts data'!$A$14:$B$18,2,0)/IF('Charts data'!$E$3=1,I649,1)/IF('Charts data'!$E$4=1,J649,1)</f>
        <v>12608.005014709339</v>
      </c>
    </row>
    <row r="650" spans="1:12" x14ac:dyDescent="0.25">
      <c r="A650" s="27" t="s">
        <v>1299</v>
      </c>
      <c r="B650" s="27">
        <v>500000</v>
      </c>
      <c r="C650" s="27" t="s">
        <v>16</v>
      </c>
      <c r="D650" s="28">
        <f>B650*VLOOKUP(C650,tblXrate[],2,0)</f>
        <v>8903.9583437212841</v>
      </c>
      <c r="E650" s="27" t="s">
        <v>19</v>
      </c>
      <c r="F650" s="27" t="s">
        <v>3</v>
      </c>
      <c r="G650" s="27" t="s">
        <v>2274</v>
      </c>
      <c r="H650" s="27">
        <v>25</v>
      </c>
      <c r="I650" s="27">
        <f>VLOOKUP(F650,mapping!$L$2:$P$92,2,0)</f>
        <v>0.34064763831408895</v>
      </c>
      <c r="J650" s="27">
        <f>VLOOKUP($F650,mapping!$L$2:$P$92,3,0)</f>
        <v>1388.78</v>
      </c>
      <c r="K650" s="27" t="str">
        <f>VLOOKUP($F650,mapping!$L$2:$P$92,4,0)</f>
        <v>Developing Asia</v>
      </c>
      <c r="L650" s="29">
        <f>$D650*VLOOKUP($E650,'Charts data'!$A$2:$B$11,2,0)*VLOOKUP($G650,'Charts data'!$A$14:$B$18,2,0)/IF('Charts data'!$E$3=1,I650,1)/IF('Charts data'!$E$4=1,J650,1)</f>
        <v>8903.9583437212841</v>
      </c>
    </row>
    <row r="651" spans="1:12" x14ac:dyDescent="0.25">
      <c r="A651" s="27" t="s">
        <v>1310</v>
      </c>
      <c r="B651" s="27">
        <v>500000</v>
      </c>
      <c r="C651" s="27" t="s">
        <v>16</v>
      </c>
      <c r="D651" s="28">
        <f>B651*VLOOKUP(C651,tblXrate[],2,0)</f>
        <v>8903.9583437212841</v>
      </c>
      <c r="E651" s="27" t="s">
        <v>7</v>
      </c>
      <c r="F651" s="27" t="s">
        <v>3</v>
      </c>
      <c r="G651" s="27" t="s">
        <v>2271</v>
      </c>
      <c r="H651" s="27">
        <v>0.8</v>
      </c>
      <c r="I651" s="27">
        <f>VLOOKUP(F651,mapping!$L$2:$P$92,2,0)</f>
        <v>0.34064763831408895</v>
      </c>
      <c r="J651" s="27">
        <f>VLOOKUP($F651,mapping!$L$2:$P$92,3,0)</f>
        <v>1388.78</v>
      </c>
      <c r="K651" s="27" t="str">
        <f>VLOOKUP($F651,mapping!$L$2:$P$92,4,0)</f>
        <v>Developing Asia</v>
      </c>
      <c r="L651" s="29">
        <f>$D651*VLOOKUP($E651,'Charts data'!$A$2:$B$11,2,0)*VLOOKUP($G651,'Charts data'!$A$14:$B$18,2,0)/IF('Charts data'!$E$3=1,I651,1)/IF('Charts data'!$E$4=1,J651,1)</f>
        <v>8903.9583437212841</v>
      </c>
    </row>
    <row r="652" spans="1:12" x14ac:dyDescent="0.25">
      <c r="A652" s="27" t="s">
        <v>1315</v>
      </c>
      <c r="B652" s="27">
        <v>200000</v>
      </c>
      <c r="C652" s="27" t="s">
        <v>16</v>
      </c>
      <c r="D652" s="28">
        <f>B652*VLOOKUP(C652,tblXrate[],2,0)</f>
        <v>3561.5833374885137</v>
      </c>
      <c r="E652" s="27" t="s">
        <v>7</v>
      </c>
      <c r="F652" s="27" t="s">
        <v>3</v>
      </c>
      <c r="G652" s="27" t="s">
        <v>2274</v>
      </c>
      <c r="H652" s="27">
        <v>6</v>
      </c>
      <c r="I652" s="27">
        <f>VLOOKUP(F652,mapping!$L$2:$P$92,2,0)</f>
        <v>0.34064763831408895</v>
      </c>
      <c r="J652" s="27">
        <f>VLOOKUP($F652,mapping!$L$2:$P$92,3,0)</f>
        <v>1388.78</v>
      </c>
      <c r="K652" s="27" t="str">
        <f>VLOOKUP($F652,mapping!$L$2:$P$92,4,0)</f>
        <v>Developing Asia</v>
      </c>
      <c r="L652" s="29">
        <f>$D652*VLOOKUP($E652,'Charts data'!$A$2:$B$11,2,0)*VLOOKUP($G652,'Charts data'!$A$14:$B$18,2,0)/IF('Charts data'!$E$3=1,I652,1)/IF('Charts data'!$E$4=1,J652,1)</f>
        <v>3561.5833374885137</v>
      </c>
    </row>
    <row r="653" spans="1:12" x14ac:dyDescent="0.25">
      <c r="A653" s="27" t="s">
        <v>1316</v>
      </c>
      <c r="B653" s="27">
        <v>450000</v>
      </c>
      <c r="C653" s="27" t="s">
        <v>16</v>
      </c>
      <c r="D653" s="28">
        <f>B653*VLOOKUP(C653,tblXrate[],2,0)</f>
        <v>8013.5625093491553</v>
      </c>
      <c r="E653" s="27" t="s">
        <v>19</v>
      </c>
      <c r="F653" s="27" t="s">
        <v>3</v>
      </c>
      <c r="G653" s="27" t="s">
        <v>2271</v>
      </c>
      <c r="H653" s="27">
        <v>21</v>
      </c>
      <c r="I653" s="27">
        <f>VLOOKUP(F653,mapping!$L$2:$P$92,2,0)</f>
        <v>0.34064763831408895</v>
      </c>
      <c r="J653" s="27">
        <f>VLOOKUP($F653,mapping!$L$2:$P$92,3,0)</f>
        <v>1388.78</v>
      </c>
      <c r="K653" s="27" t="str">
        <f>VLOOKUP($F653,mapping!$L$2:$P$92,4,0)</f>
        <v>Developing Asia</v>
      </c>
      <c r="L653" s="29">
        <f>$D653*VLOOKUP($E653,'Charts data'!$A$2:$B$11,2,0)*VLOOKUP($G653,'Charts data'!$A$14:$B$18,2,0)/IF('Charts data'!$E$3=1,I653,1)/IF('Charts data'!$E$4=1,J653,1)</f>
        <v>8013.5625093491553</v>
      </c>
    </row>
    <row r="654" spans="1:12" x14ac:dyDescent="0.25">
      <c r="A654" s="27" t="s">
        <v>1321</v>
      </c>
      <c r="B654" s="27">
        <v>350000</v>
      </c>
      <c r="C654" s="27" t="s">
        <v>16</v>
      </c>
      <c r="D654" s="28">
        <f>B654*VLOOKUP(C654,tblXrate[],2,0)</f>
        <v>6232.7708406048987</v>
      </c>
      <c r="E654" s="27" t="s">
        <v>51</v>
      </c>
      <c r="F654" s="27" t="s">
        <v>3</v>
      </c>
      <c r="G654" s="27" t="s">
        <v>2272</v>
      </c>
      <c r="H654" s="27">
        <v>1.5</v>
      </c>
      <c r="I654" s="27">
        <f>VLOOKUP(F654,mapping!$L$2:$P$92,2,0)</f>
        <v>0.34064763831408895</v>
      </c>
      <c r="J654" s="27">
        <f>VLOOKUP($F654,mapping!$L$2:$P$92,3,0)</f>
        <v>1388.78</v>
      </c>
      <c r="K654" s="27" t="str">
        <f>VLOOKUP($F654,mapping!$L$2:$P$92,4,0)</f>
        <v>Developing Asia</v>
      </c>
      <c r="L654" s="29">
        <f>$D654*VLOOKUP($E654,'Charts data'!$A$2:$B$11,2,0)*VLOOKUP($G654,'Charts data'!$A$14:$B$18,2,0)/IF('Charts data'!$E$3=1,I654,1)/IF('Charts data'!$E$4=1,J654,1)</f>
        <v>6232.7708406048987</v>
      </c>
    </row>
    <row r="655" spans="1:12" x14ac:dyDescent="0.25">
      <c r="A655" s="27" t="s">
        <v>1332</v>
      </c>
      <c r="B655" s="27">
        <v>540000</v>
      </c>
      <c r="C655" s="27" t="s">
        <v>16</v>
      </c>
      <c r="D655" s="28">
        <f>B655*VLOOKUP(C655,tblXrate[],2,0)</f>
        <v>9616.275011218986</v>
      </c>
      <c r="E655" s="27" t="s">
        <v>7</v>
      </c>
      <c r="F655" s="27" t="s">
        <v>3</v>
      </c>
      <c r="G655" s="27" t="s">
        <v>2271</v>
      </c>
      <c r="H655" s="27">
        <v>7.9</v>
      </c>
      <c r="I655" s="27">
        <f>VLOOKUP(F655,mapping!$L$2:$P$92,2,0)</f>
        <v>0.34064763831408895</v>
      </c>
      <c r="J655" s="27">
        <f>VLOOKUP($F655,mapping!$L$2:$P$92,3,0)</f>
        <v>1388.78</v>
      </c>
      <c r="K655" s="27" t="str">
        <f>VLOOKUP($F655,mapping!$L$2:$P$92,4,0)</f>
        <v>Developing Asia</v>
      </c>
      <c r="L655" s="29">
        <f>$D655*VLOOKUP($E655,'Charts data'!$A$2:$B$11,2,0)*VLOOKUP($G655,'Charts data'!$A$14:$B$18,2,0)/IF('Charts data'!$E$3=1,I655,1)/IF('Charts data'!$E$4=1,J655,1)</f>
        <v>9616.275011218986</v>
      </c>
    </row>
    <row r="656" spans="1:12" x14ac:dyDescent="0.25">
      <c r="A656" s="27" t="s">
        <v>1339</v>
      </c>
      <c r="B656" s="27">
        <v>480000</v>
      </c>
      <c r="C656" s="27" t="s">
        <v>16</v>
      </c>
      <c r="D656" s="28">
        <f>B656*VLOOKUP(C656,tblXrate[],2,0)</f>
        <v>8547.8000099724322</v>
      </c>
      <c r="E656" s="27" t="s">
        <v>53</v>
      </c>
      <c r="F656" s="27" t="s">
        <v>3</v>
      </c>
      <c r="G656" s="27" t="s">
        <v>2273</v>
      </c>
      <c r="H656" s="27">
        <v>15</v>
      </c>
      <c r="I656" s="27">
        <f>VLOOKUP(F656,mapping!$L$2:$P$92,2,0)</f>
        <v>0.34064763831408895</v>
      </c>
      <c r="J656" s="27">
        <f>VLOOKUP($F656,mapping!$L$2:$P$92,3,0)</f>
        <v>1388.78</v>
      </c>
      <c r="K656" s="27" t="str">
        <f>VLOOKUP($F656,mapping!$L$2:$P$92,4,0)</f>
        <v>Developing Asia</v>
      </c>
      <c r="L656" s="29">
        <f>$D656*VLOOKUP($E656,'Charts data'!$A$2:$B$11,2,0)*VLOOKUP($G656,'Charts data'!$A$14:$B$18,2,0)/IF('Charts data'!$E$3=1,I656,1)/IF('Charts data'!$E$4=1,J656,1)</f>
        <v>8547.8000099724322</v>
      </c>
    </row>
    <row r="657" spans="1:12" x14ac:dyDescent="0.25">
      <c r="A657" s="27" t="s">
        <v>1340</v>
      </c>
      <c r="B657" s="27">
        <v>1100000</v>
      </c>
      <c r="C657" s="27" t="s">
        <v>16</v>
      </c>
      <c r="D657" s="28">
        <f>B657*VLOOKUP(C657,tblXrate[],2,0)</f>
        <v>19588.708356186824</v>
      </c>
      <c r="E657" s="27" t="s">
        <v>53</v>
      </c>
      <c r="F657" s="27" t="s">
        <v>3</v>
      </c>
      <c r="G657" s="27" t="s">
        <v>2273</v>
      </c>
      <c r="H657" s="27">
        <v>13</v>
      </c>
      <c r="I657" s="27">
        <f>VLOOKUP(F657,mapping!$L$2:$P$92,2,0)</f>
        <v>0.34064763831408895</v>
      </c>
      <c r="J657" s="27">
        <f>VLOOKUP($F657,mapping!$L$2:$P$92,3,0)</f>
        <v>1388.78</v>
      </c>
      <c r="K657" s="27" t="str">
        <f>VLOOKUP($F657,mapping!$L$2:$P$92,4,0)</f>
        <v>Developing Asia</v>
      </c>
      <c r="L657" s="29">
        <f>$D657*VLOOKUP($E657,'Charts data'!$A$2:$B$11,2,0)*VLOOKUP($G657,'Charts data'!$A$14:$B$18,2,0)/IF('Charts data'!$E$3=1,I657,1)/IF('Charts data'!$E$4=1,J657,1)</f>
        <v>19588.708356186824</v>
      </c>
    </row>
    <row r="658" spans="1:12" x14ac:dyDescent="0.25">
      <c r="A658" s="27" t="s">
        <v>1344</v>
      </c>
      <c r="B658" s="27">
        <v>250000</v>
      </c>
      <c r="C658" s="27" t="s">
        <v>16</v>
      </c>
      <c r="D658" s="28">
        <f>B658*VLOOKUP(C658,tblXrate[],2,0)</f>
        <v>4451.9791718606421</v>
      </c>
      <c r="E658" s="27" t="s">
        <v>19</v>
      </c>
      <c r="F658" s="27" t="s">
        <v>3</v>
      </c>
      <c r="G658" s="27" t="s">
        <v>2271</v>
      </c>
      <c r="H658" s="27">
        <v>1</v>
      </c>
      <c r="I658" s="27">
        <f>VLOOKUP(F658,mapping!$L$2:$P$92,2,0)</f>
        <v>0.34064763831408895</v>
      </c>
      <c r="J658" s="27">
        <f>VLOOKUP($F658,mapping!$L$2:$P$92,3,0)</f>
        <v>1388.78</v>
      </c>
      <c r="K658" s="27" t="str">
        <f>VLOOKUP($F658,mapping!$L$2:$P$92,4,0)</f>
        <v>Developing Asia</v>
      </c>
      <c r="L658" s="29">
        <f>$D658*VLOOKUP($E658,'Charts data'!$A$2:$B$11,2,0)*VLOOKUP($G658,'Charts data'!$A$14:$B$18,2,0)/IF('Charts data'!$E$3=1,I658,1)/IF('Charts data'!$E$4=1,J658,1)</f>
        <v>4451.9791718606421</v>
      </c>
    </row>
    <row r="659" spans="1:12" x14ac:dyDescent="0.25">
      <c r="A659" s="27" t="s">
        <v>1347</v>
      </c>
      <c r="B659" s="27">
        <v>900000</v>
      </c>
      <c r="C659" s="27" t="s">
        <v>16</v>
      </c>
      <c r="D659" s="28">
        <f>B659*VLOOKUP(C659,tblXrate[],2,0)</f>
        <v>16027.125018698311</v>
      </c>
      <c r="E659" s="27" t="s">
        <v>19</v>
      </c>
      <c r="F659" s="27" t="s">
        <v>3</v>
      </c>
      <c r="G659" s="27" t="s">
        <v>2274</v>
      </c>
      <c r="H659" s="27">
        <v>13</v>
      </c>
      <c r="I659" s="27">
        <f>VLOOKUP(F659,mapping!$L$2:$P$92,2,0)</f>
        <v>0.34064763831408895</v>
      </c>
      <c r="J659" s="27">
        <f>VLOOKUP($F659,mapping!$L$2:$P$92,3,0)</f>
        <v>1388.78</v>
      </c>
      <c r="K659" s="27" t="str">
        <f>VLOOKUP($F659,mapping!$L$2:$P$92,4,0)</f>
        <v>Developing Asia</v>
      </c>
      <c r="L659" s="29">
        <f>$D659*VLOOKUP($E659,'Charts data'!$A$2:$B$11,2,0)*VLOOKUP($G659,'Charts data'!$A$14:$B$18,2,0)/IF('Charts data'!$E$3=1,I659,1)/IF('Charts data'!$E$4=1,J659,1)</f>
        <v>16027.125018698311</v>
      </c>
    </row>
    <row r="660" spans="1:12" x14ac:dyDescent="0.25">
      <c r="A660" s="27" t="s">
        <v>1351</v>
      </c>
      <c r="B660" s="27">
        <v>500000</v>
      </c>
      <c r="C660" s="27" t="s">
        <v>16</v>
      </c>
      <c r="D660" s="28">
        <f>B660*VLOOKUP(C660,tblXrate[],2,0)</f>
        <v>8903.9583437212841</v>
      </c>
      <c r="E660" s="27" t="s">
        <v>53</v>
      </c>
      <c r="F660" s="27" t="s">
        <v>3</v>
      </c>
      <c r="G660" s="27" t="s">
        <v>2272</v>
      </c>
      <c r="H660" s="27">
        <v>3</v>
      </c>
      <c r="I660" s="27">
        <f>VLOOKUP(F660,mapping!$L$2:$P$92,2,0)</f>
        <v>0.34064763831408895</v>
      </c>
      <c r="J660" s="27">
        <f>VLOOKUP($F660,mapping!$L$2:$P$92,3,0)</f>
        <v>1388.78</v>
      </c>
      <c r="K660" s="27" t="str">
        <f>VLOOKUP($F660,mapping!$L$2:$P$92,4,0)</f>
        <v>Developing Asia</v>
      </c>
      <c r="L660" s="29">
        <f>$D660*VLOOKUP($E660,'Charts data'!$A$2:$B$11,2,0)*VLOOKUP($G660,'Charts data'!$A$14:$B$18,2,0)/IF('Charts data'!$E$3=1,I660,1)/IF('Charts data'!$E$4=1,J660,1)</f>
        <v>8903.9583437212841</v>
      </c>
    </row>
    <row r="661" spans="1:12" x14ac:dyDescent="0.25">
      <c r="A661" s="27" t="s">
        <v>1353</v>
      </c>
      <c r="B661" s="27">
        <v>2600000</v>
      </c>
      <c r="C661" s="27" t="s">
        <v>16</v>
      </c>
      <c r="D661" s="28">
        <f>B661*VLOOKUP(C661,tblXrate[],2,0)</f>
        <v>46300.583387350678</v>
      </c>
      <c r="E661" s="27" t="s">
        <v>19</v>
      </c>
      <c r="F661" s="27" t="s">
        <v>3</v>
      </c>
      <c r="G661" s="27" t="s">
        <v>2271</v>
      </c>
      <c r="H661" s="27">
        <v>4</v>
      </c>
      <c r="I661" s="27">
        <f>VLOOKUP(F661,mapping!$L$2:$P$92,2,0)</f>
        <v>0.34064763831408895</v>
      </c>
      <c r="J661" s="27">
        <f>VLOOKUP($F661,mapping!$L$2:$P$92,3,0)</f>
        <v>1388.78</v>
      </c>
      <c r="K661" s="27" t="str">
        <f>VLOOKUP($F661,mapping!$L$2:$P$92,4,0)</f>
        <v>Developing Asia</v>
      </c>
      <c r="L661" s="29">
        <f>$D661*VLOOKUP($E661,'Charts data'!$A$2:$B$11,2,0)*VLOOKUP($G661,'Charts data'!$A$14:$B$18,2,0)/IF('Charts data'!$E$3=1,I661,1)/IF('Charts data'!$E$4=1,J661,1)</f>
        <v>46300.583387350678</v>
      </c>
    </row>
    <row r="662" spans="1:12" x14ac:dyDescent="0.25">
      <c r="A662" s="27" t="s">
        <v>1354</v>
      </c>
      <c r="B662" s="27">
        <v>750000</v>
      </c>
      <c r="C662" s="27" t="s">
        <v>16</v>
      </c>
      <c r="D662" s="28">
        <f>B662*VLOOKUP(C662,tblXrate[],2,0)</f>
        <v>13355.937515581925</v>
      </c>
      <c r="E662" s="27" t="s">
        <v>19</v>
      </c>
      <c r="F662" s="27" t="s">
        <v>3</v>
      </c>
      <c r="G662" s="27" t="s">
        <v>2272</v>
      </c>
      <c r="H662" s="27">
        <v>3</v>
      </c>
      <c r="I662" s="27">
        <f>VLOOKUP(F662,mapping!$L$2:$P$92,2,0)</f>
        <v>0.34064763831408895</v>
      </c>
      <c r="J662" s="27">
        <f>VLOOKUP($F662,mapping!$L$2:$P$92,3,0)</f>
        <v>1388.78</v>
      </c>
      <c r="K662" s="27" t="str">
        <f>VLOOKUP($F662,mapping!$L$2:$P$92,4,0)</f>
        <v>Developing Asia</v>
      </c>
      <c r="L662" s="29">
        <f>$D662*VLOOKUP($E662,'Charts data'!$A$2:$B$11,2,0)*VLOOKUP($G662,'Charts data'!$A$14:$B$18,2,0)/IF('Charts data'!$E$3=1,I662,1)/IF('Charts data'!$E$4=1,J662,1)</f>
        <v>13355.937515581925</v>
      </c>
    </row>
    <row r="663" spans="1:12" x14ac:dyDescent="0.25">
      <c r="A663" s="27" t="s">
        <v>1359</v>
      </c>
      <c r="B663" s="27">
        <v>450000</v>
      </c>
      <c r="C663" s="27" t="s">
        <v>16</v>
      </c>
      <c r="D663" s="28">
        <f>B663*VLOOKUP(C663,tblXrate[],2,0)</f>
        <v>8013.5625093491553</v>
      </c>
      <c r="E663" s="27" t="s">
        <v>19</v>
      </c>
      <c r="F663" s="27" t="s">
        <v>3</v>
      </c>
      <c r="G663" s="27" t="s">
        <v>2273</v>
      </c>
      <c r="H663" s="27">
        <v>2</v>
      </c>
      <c r="I663" s="27">
        <f>VLOOKUP(F663,mapping!$L$2:$P$92,2,0)</f>
        <v>0.34064763831408895</v>
      </c>
      <c r="J663" s="27">
        <f>VLOOKUP($F663,mapping!$L$2:$P$92,3,0)</f>
        <v>1388.78</v>
      </c>
      <c r="K663" s="27" t="str">
        <f>VLOOKUP($F663,mapping!$L$2:$P$92,4,0)</f>
        <v>Developing Asia</v>
      </c>
      <c r="L663" s="29">
        <f>$D663*VLOOKUP($E663,'Charts data'!$A$2:$B$11,2,0)*VLOOKUP($G663,'Charts data'!$A$14:$B$18,2,0)/IF('Charts data'!$E$3=1,I663,1)/IF('Charts data'!$E$4=1,J663,1)</f>
        <v>8013.5625093491553</v>
      </c>
    </row>
    <row r="664" spans="1:12" x14ac:dyDescent="0.25">
      <c r="A664" s="27" t="s">
        <v>1360</v>
      </c>
      <c r="B664" s="27">
        <v>1000000</v>
      </c>
      <c r="C664" s="27" t="s">
        <v>16</v>
      </c>
      <c r="D664" s="28">
        <f>B664*VLOOKUP(C664,tblXrate[],2,0)</f>
        <v>17807.916687442568</v>
      </c>
      <c r="E664" s="27" t="s">
        <v>19</v>
      </c>
      <c r="F664" s="27" t="s">
        <v>3</v>
      </c>
      <c r="G664" s="27" t="s">
        <v>2271</v>
      </c>
      <c r="H664" s="27">
        <v>8.5</v>
      </c>
      <c r="I664" s="27">
        <f>VLOOKUP(F664,mapping!$L$2:$P$92,2,0)</f>
        <v>0.34064763831408895</v>
      </c>
      <c r="J664" s="27">
        <f>VLOOKUP($F664,mapping!$L$2:$P$92,3,0)</f>
        <v>1388.78</v>
      </c>
      <c r="K664" s="27" t="str">
        <f>VLOOKUP($F664,mapping!$L$2:$P$92,4,0)</f>
        <v>Developing Asia</v>
      </c>
      <c r="L664" s="29">
        <f>$D664*VLOOKUP($E664,'Charts data'!$A$2:$B$11,2,0)*VLOOKUP($G664,'Charts data'!$A$14:$B$18,2,0)/IF('Charts data'!$E$3=1,I664,1)/IF('Charts data'!$E$4=1,J664,1)</f>
        <v>17807.916687442568</v>
      </c>
    </row>
    <row r="665" spans="1:12" x14ac:dyDescent="0.25">
      <c r="A665" s="27" t="s">
        <v>1361</v>
      </c>
      <c r="B665" s="27">
        <v>700000</v>
      </c>
      <c r="C665" s="27" t="s">
        <v>16</v>
      </c>
      <c r="D665" s="28">
        <f>B665*VLOOKUP(C665,tblXrate[],2,0)</f>
        <v>12465.541681209797</v>
      </c>
      <c r="E665" s="27" t="s">
        <v>2145</v>
      </c>
      <c r="F665" s="27" t="s">
        <v>3</v>
      </c>
      <c r="G665" s="27" t="s">
        <v>2271</v>
      </c>
      <c r="H665" s="27">
        <v>6</v>
      </c>
      <c r="I665" s="27">
        <f>VLOOKUP(F665,mapping!$L$2:$P$92,2,0)</f>
        <v>0.34064763831408895</v>
      </c>
      <c r="J665" s="27">
        <f>VLOOKUP($F665,mapping!$L$2:$P$92,3,0)</f>
        <v>1388.78</v>
      </c>
      <c r="K665" s="27" t="str">
        <f>VLOOKUP($F665,mapping!$L$2:$P$92,4,0)</f>
        <v>Developing Asia</v>
      </c>
      <c r="L665" s="29">
        <f>$D665*VLOOKUP($E665,'Charts data'!$A$2:$B$11,2,0)*VLOOKUP($G665,'Charts data'!$A$14:$B$18,2,0)/IF('Charts data'!$E$3=1,I665,1)/IF('Charts data'!$E$4=1,J665,1)</f>
        <v>12465.541681209797</v>
      </c>
    </row>
    <row r="666" spans="1:12" x14ac:dyDescent="0.25">
      <c r="A666" s="27" t="s">
        <v>1366</v>
      </c>
      <c r="B666" s="27">
        <v>300000</v>
      </c>
      <c r="C666" s="27" t="s">
        <v>16</v>
      </c>
      <c r="D666" s="28">
        <f>B666*VLOOKUP(C666,tblXrate[],2,0)</f>
        <v>5342.3750062327708</v>
      </c>
      <c r="E666" s="27" t="s">
        <v>7</v>
      </c>
      <c r="F666" s="27" t="s">
        <v>3</v>
      </c>
      <c r="G666" s="27" t="s">
        <v>2271</v>
      </c>
      <c r="H666" s="27">
        <v>6</v>
      </c>
      <c r="I666" s="27">
        <f>VLOOKUP(F666,mapping!$L$2:$P$92,2,0)</f>
        <v>0.34064763831408895</v>
      </c>
      <c r="J666" s="27">
        <f>VLOOKUP($F666,mapping!$L$2:$P$92,3,0)</f>
        <v>1388.78</v>
      </c>
      <c r="K666" s="27" t="str">
        <f>VLOOKUP($F666,mapping!$L$2:$P$92,4,0)</f>
        <v>Developing Asia</v>
      </c>
      <c r="L666" s="29">
        <f>$D666*VLOOKUP($E666,'Charts data'!$A$2:$B$11,2,0)*VLOOKUP($G666,'Charts data'!$A$14:$B$18,2,0)/IF('Charts data'!$E$3=1,I666,1)/IF('Charts data'!$E$4=1,J666,1)</f>
        <v>5342.3750062327708</v>
      </c>
    </row>
    <row r="667" spans="1:12" x14ac:dyDescent="0.25">
      <c r="A667" s="27" t="s">
        <v>1370</v>
      </c>
      <c r="B667" s="27">
        <v>400000</v>
      </c>
      <c r="C667" s="27" t="s">
        <v>16</v>
      </c>
      <c r="D667" s="28">
        <f>B667*VLOOKUP(C667,tblXrate[],2,0)</f>
        <v>7123.1666749770275</v>
      </c>
      <c r="E667" s="27" t="s">
        <v>19</v>
      </c>
      <c r="F667" s="27" t="s">
        <v>3</v>
      </c>
      <c r="G667" s="27" t="s">
        <v>2271</v>
      </c>
      <c r="H667" s="27">
        <v>1</v>
      </c>
      <c r="I667" s="27">
        <f>VLOOKUP(F667,mapping!$L$2:$P$92,2,0)</f>
        <v>0.34064763831408895</v>
      </c>
      <c r="J667" s="27">
        <f>VLOOKUP($F667,mapping!$L$2:$P$92,3,0)</f>
        <v>1388.78</v>
      </c>
      <c r="K667" s="27" t="str">
        <f>VLOOKUP($F667,mapping!$L$2:$P$92,4,0)</f>
        <v>Developing Asia</v>
      </c>
      <c r="L667" s="29">
        <f>$D667*VLOOKUP($E667,'Charts data'!$A$2:$B$11,2,0)*VLOOKUP($G667,'Charts data'!$A$14:$B$18,2,0)/IF('Charts data'!$E$3=1,I667,1)/IF('Charts data'!$E$4=1,J667,1)</f>
        <v>7123.1666749770275</v>
      </c>
    </row>
    <row r="668" spans="1:12" x14ac:dyDescent="0.25">
      <c r="A668" s="27" t="s">
        <v>1412</v>
      </c>
      <c r="B668" s="27">
        <v>500000</v>
      </c>
      <c r="C668" s="27" t="s">
        <v>16</v>
      </c>
      <c r="D668" s="28">
        <f>B668*VLOOKUP(C668,tblXrate[],2,0)</f>
        <v>8903.9583437212841</v>
      </c>
      <c r="E668" s="27" t="s">
        <v>19</v>
      </c>
      <c r="F668" s="27" t="s">
        <v>3</v>
      </c>
      <c r="G668" s="27" t="s">
        <v>2272</v>
      </c>
      <c r="H668" s="27">
        <v>29</v>
      </c>
      <c r="I668" s="27">
        <f>VLOOKUP(F668,mapping!$L$2:$P$92,2,0)</f>
        <v>0.34064763831408895</v>
      </c>
      <c r="J668" s="27">
        <f>VLOOKUP($F668,mapping!$L$2:$P$92,3,0)</f>
        <v>1388.78</v>
      </c>
      <c r="K668" s="27" t="str">
        <f>VLOOKUP($F668,mapping!$L$2:$P$92,4,0)</f>
        <v>Developing Asia</v>
      </c>
      <c r="L668" s="29">
        <f>$D668*VLOOKUP($E668,'Charts data'!$A$2:$B$11,2,0)*VLOOKUP($G668,'Charts data'!$A$14:$B$18,2,0)/IF('Charts data'!$E$3=1,I668,1)/IF('Charts data'!$E$4=1,J668,1)</f>
        <v>8903.9583437212841</v>
      </c>
    </row>
    <row r="669" spans="1:12" x14ac:dyDescent="0.25">
      <c r="A669" s="27" t="s">
        <v>1415</v>
      </c>
      <c r="B669" s="27">
        <v>360000</v>
      </c>
      <c r="C669" s="27" t="s">
        <v>16</v>
      </c>
      <c r="D669" s="28">
        <f>B669*VLOOKUP(C669,tblXrate[],2,0)</f>
        <v>6410.8500074793246</v>
      </c>
      <c r="E669" s="27" t="s">
        <v>19</v>
      </c>
      <c r="F669" s="27" t="s">
        <v>3</v>
      </c>
      <c r="G669" s="27" t="s">
        <v>2273</v>
      </c>
      <c r="H669" s="27">
        <v>6</v>
      </c>
      <c r="I669" s="27">
        <f>VLOOKUP(F669,mapping!$L$2:$P$92,2,0)</f>
        <v>0.34064763831408895</v>
      </c>
      <c r="J669" s="27">
        <f>VLOOKUP($F669,mapping!$L$2:$P$92,3,0)</f>
        <v>1388.78</v>
      </c>
      <c r="K669" s="27" t="str">
        <f>VLOOKUP($F669,mapping!$L$2:$P$92,4,0)</f>
        <v>Developing Asia</v>
      </c>
      <c r="L669" s="29">
        <f>$D669*VLOOKUP($E669,'Charts data'!$A$2:$B$11,2,0)*VLOOKUP($G669,'Charts data'!$A$14:$B$18,2,0)/IF('Charts data'!$E$3=1,I669,1)/IF('Charts data'!$E$4=1,J669,1)</f>
        <v>6410.8500074793246</v>
      </c>
    </row>
    <row r="670" spans="1:12" x14ac:dyDescent="0.25">
      <c r="A670" s="27" t="s">
        <v>1418</v>
      </c>
      <c r="B670" s="27">
        <v>1000000</v>
      </c>
      <c r="C670" s="27" t="s">
        <v>16</v>
      </c>
      <c r="D670" s="28">
        <f>B670*VLOOKUP(C670,tblXrate[],2,0)</f>
        <v>17807.916687442568</v>
      </c>
      <c r="E670" s="27" t="s">
        <v>19</v>
      </c>
      <c r="F670" s="27" t="s">
        <v>3</v>
      </c>
      <c r="G670" s="27" t="s">
        <v>2272</v>
      </c>
      <c r="H670" s="27">
        <v>10</v>
      </c>
      <c r="I670" s="27">
        <f>VLOOKUP(F670,mapping!$L$2:$P$92,2,0)</f>
        <v>0.34064763831408895</v>
      </c>
      <c r="J670" s="27">
        <f>VLOOKUP($F670,mapping!$L$2:$P$92,3,0)</f>
        <v>1388.78</v>
      </c>
      <c r="K670" s="27" t="str">
        <f>VLOOKUP($F670,mapping!$L$2:$P$92,4,0)</f>
        <v>Developing Asia</v>
      </c>
      <c r="L670" s="29">
        <f>$D670*VLOOKUP($E670,'Charts data'!$A$2:$B$11,2,0)*VLOOKUP($G670,'Charts data'!$A$14:$B$18,2,0)/IF('Charts data'!$E$3=1,I670,1)/IF('Charts data'!$E$4=1,J670,1)</f>
        <v>17807.916687442568</v>
      </c>
    </row>
    <row r="671" spans="1:12" x14ac:dyDescent="0.25">
      <c r="A671" s="27" t="s">
        <v>1419</v>
      </c>
      <c r="B671" s="27">
        <v>900000</v>
      </c>
      <c r="C671" s="27" t="s">
        <v>16</v>
      </c>
      <c r="D671" s="28">
        <f>B671*VLOOKUP(C671,tblXrate[],2,0)</f>
        <v>16027.125018698311</v>
      </c>
      <c r="E671" s="27" t="s">
        <v>62</v>
      </c>
      <c r="F671" s="27" t="s">
        <v>3</v>
      </c>
      <c r="G671" s="27" t="s">
        <v>2273</v>
      </c>
      <c r="H671" s="27">
        <v>8</v>
      </c>
      <c r="I671" s="27">
        <f>VLOOKUP(F671,mapping!$L$2:$P$92,2,0)</f>
        <v>0.34064763831408895</v>
      </c>
      <c r="J671" s="27">
        <f>VLOOKUP($F671,mapping!$L$2:$P$92,3,0)</f>
        <v>1388.78</v>
      </c>
      <c r="K671" s="27" t="str">
        <f>VLOOKUP($F671,mapping!$L$2:$P$92,4,0)</f>
        <v>Developing Asia</v>
      </c>
      <c r="L671" s="29">
        <f>$D671*VLOOKUP($E671,'Charts data'!$A$2:$B$11,2,0)*VLOOKUP($G671,'Charts data'!$A$14:$B$18,2,0)/IF('Charts data'!$E$3=1,I671,1)/IF('Charts data'!$E$4=1,J671,1)</f>
        <v>16027.125018698311</v>
      </c>
    </row>
    <row r="672" spans="1:12" x14ac:dyDescent="0.25">
      <c r="A672" s="27" t="s">
        <v>1423</v>
      </c>
      <c r="B672" s="27">
        <v>300000</v>
      </c>
      <c r="C672" s="27" t="s">
        <v>16</v>
      </c>
      <c r="D672" s="28">
        <f>B672*VLOOKUP(C672,tblXrate[],2,0)</f>
        <v>5342.3750062327708</v>
      </c>
      <c r="E672" s="27" t="s">
        <v>2145</v>
      </c>
      <c r="F672" s="27" t="s">
        <v>3</v>
      </c>
      <c r="G672" s="27" t="s">
        <v>2272</v>
      </c>
      <c r="H672" s="27">
        <v>5</v>
      </c>
      <c r="I672" s="27">
        <f>VLOOKUP(F672,mapping!$L$2:$P$92,2,0)</f>
        <v>0.34064763831408895</v>
      </c>
      <c r="J672" s="27">
        <f>VLOOKUP($F672,mapping!$L$2:$P$92,3,0)</f>
        <v>1388.78</v>
      </c>
      <c r="K672" s="27" t="str">
        <f>VLOOKUP($F672,mapping!$L$2:$P$92,4,0)</f>
        <v>Developing Asia</v>
      </c>
      <c r="L672" s="29">
        <f>$D672*VLOOKUP($E672,'Charts data'!$A$2:$B$11,2,0)*VLOOKUP($G672,'Charts data'!$A$14:$B$18,2,0)/IF('Charts data'!$E$3=1,I672,1)/IF('Charts data'!$E$4=1,J672,1)</f>
        <v>5342.3750062327708</v>
      </c>
    </row>
    <row r="673" spans="1:12" x14ac:dyDescent="0.25">
      <c r="A673" s="27" t="s">
        <v>1424</v>
      </c>
      <c r="B673" s="27">
        <v>400000</v>
      </c>
      <c r="C673" s="27" t="s">
        <v>16</v>
      </c>
      <c r="D673" s="28">
        <f>B673*VLOOKUP(C673,tblXrate[],2,0)</f>
        <v>7123.1666749770275</v>
      </c>
      <c r="E673" s="27" t="s">
        <v>19</v>
      </c>
      <c r="F673" s="27" t="s">
        <v>3</v>
      </c>
      <c r="G673" s="27" t="s">
        <v>2273</v>
      </c>
      <c r="H673" s="27">
        <v>3</v>
      </c>
      <c r="I673" s="27">
        <f>VLOOKUP(F673,mapping!$L$2:$P$92,2,0)</f>
        <v>0.34064763831408895</v>
      </c>
      <c r="J673" s="27">
        <f>VLOOKUP($F673,mapping!$L$2:$P$92,3,0)</f>
        <v>1388.78</v>
      </c>
      <c r="K673" s="27" t="str">
        <f>VLOOKUP($F673,mapping!$L$2:$P$92,4,0)</f>
        <v>Developing Asia</v>
      </c>
      <c r="L673" s="29">
        <f>$D673*VLOOKUP($E673,'Charts data'!$A$2:$B$11,2,0)*VLOOKUP($G673,'Charts data'!$A$14:$B$18,2,0)/IF('Charts data'!$E$3=1,I673,1)/IF('Charts data'!$E$4=1,J673,1)</f>
        <v>7123.1666749770275</v>
      </c>
    </row>
    <row r="674" spans="1:12" x14ac:dyDescent="0.25">
      <c r="A674" s="27" t="s">
        <v>1432</v>
      </c>
      <c r="B674" s="27">
        <v>600000</v>
      </c>
      <c r="C674" s="27" t="s">
        <v>16</v>
      </c>
      <c r="D674" s="28">
        <f>B674*VLOOKUP(C674,tblXrate[],2,0)</f>
        <v>10684.750012465542</v>
      </c>
      <c r="E674" s="27" t="s">
        <v>19</v>
      </c>
      <c r="F674" s="27" t="s">
        <v>3</v>
      </c>
      <c r="G674" s="27" t="s">
        <v>2272</v>
      </c>
      <c r="H674" s="27">
        <v>2</v>
      </c>
      <c r="I674" s="27">
        <f>VLOOKUP(F674,mapping!$L$2:$P$92,2,0)</f>
        <v>0.34064763831408895</v>
      </c>
      <c r="J674" s="27">
        <f>VLOOKUP($F674,mapping!$L$2:$P$92,3,0)</f>
        <v>1388.78</v>
      </c>
      <c r="K674" s="27" t="str">
        <f>VLOOKUP($F674,mapping!$L$2:$P$92,4,0)</f>
        <v>Developing Asia</v>
      </c>
      <c r="L674" s="29">
        <f>$D674*VLOOKUP($E674,'Charts data'!$A$2:$B$11,2,0)*VLOOKUP($G674,'Charts data'!$A$14:$B$18,2,0)/IF('Charts data'!$E$3=1,I674,1)/IF('Charts data'!$E$4=1,J674,1)</f>
        <v>10684.750012465542</v>
      </c>
    </row>
    <row r="675" spans="1:12" x14ac:dyDescent="0.25">
      <c r="A675" s="27" t="s">
        <v>1433</v>
      </c>
      <c r="B675" s="27">
        <v>350000</v>
      </c>
      <c r="C675" s="27" t="s">
        <v>16</v>
      </c>
      <c r="D675" s="28">
        <f>B675*VLOOKUP(C675,tblXrate[],2,0)</f>
        <v>6232.7708406048987</v>
      </c>
      <c r="E675" s="27" t="s">
        <v>7</v>
      </c>
      <c r="F675" s="27" t="s">
        <v>3</v>
      </c>
      <c r="G675" s="27" t="s">
        <v>2271</v>
      </c>
      <c r="H675" s="27">
        <v>1.5</v>
      </c>
      <c r="I675" s="27">
        <f>VLOOKUP(F675,mapping!$L$2:$P$92,2,0)</f>
        <v>0.34064763831408895</v>
      </c>
      <c r="J675" s="27">
        <f>VLOOKUP($F675,mapping!$L$2:$P$92,3,0)</f>
        <v>1388.78</v>
      </c>
      <c r="K675" s="27" t="str">
        <f>VLOOKUP($F675,mapping!$L$2:$P$92,4,0)</f>
        <v>Developing Asia</v>
      </c>
      <c r="L675" s="29">
        <f>$D675*VLOOKUP($E675,'Charts data'!$A$2:$B$11,2,0)*VLOOKUP($G675,'Charts data'!$A$14:$B$18,2,0)/IF('Charts data'!$E$3=1,I675,1)/IF('Charts data'!$E$4=1,J675,1)</f>
        <v>6232.7708406048987</v>
      </c>
    </row>
    <row r="676" spans="1:12" x14ac:dyDescent="0.25">
      <c r="A676" s="27" t="s">
        <v>1436</v>
      </c>
      <c r="B676" s="27">
        <v>1500000</v>
      </c>
      <c r="C676" s="27" t="s">
        <v>16</v>
      </c>
      <c r="D676" s="28">
        <f>B676*VLOOKUP(C676,tblXrate[],2,0)</f>
        <v>26711.875031163851</v>
      </c>
      <c r="E676" s="27" t="s">
        <v>7</v>
      </c>
      <c r="F676" s="27" t="s">
        <v>3</v>
      </c>
      <c r="G676" s="27" t="s">
        <v>2271</v>
      </c>
      <c r="H676" s="27">
        <v>7</v>
      </c>
      <c r="I676" s="27">
        <f>VLOOKUP(F676,mapping!$L$2:$P$92,2,0)</f>
        <v>0.34064763831408895</v>
      </c>
      <c r="J676" s="27">
        <f>VLOOKUP($F676,mapping!$L$2:$P$92,3,0)</f>
        <v>1388.78</v>
      </c>
      <c r="K676" s="27" t="str">
        <f>VLOOKUP($F676,mapping!$L$2:$P$92,4,0)</f>
        <v>Developing Asia</v>
      </c>
      <c r="L676" s="29">
        <f>$D676*VLOOKUP($E676,'Charts data'!$A$2:$B$11,2,0)*VLOOKUP($G676,'Charts data'!$A$14:$B$18,2,0)/IF('Charts data'!$E$3=1,I676,1)/IF('Charts data'!$E$4=1,J676,1)</f>
        <v>26711.875031163851</v>
      </c>
    </row>
    <row r="677" spans="1:12" x14ac:dyDescent="0.25">
      <c r="A677" s="27" t="s">
        <v>1440</v>
      </c>
      <c r="B677" s="27">
        <v>575000</v>
      </c>
      <c r="C677" s="27" t="s">
        <v>16</v>
      </c>
      <c r="D677" s="28">
        <f>B677*VLOOKUP(C677,tblXrate[],2,0)</f>
        <v>10239.552095279476</v>
      </c>
      <c r="E677" s="27" t="s">
        <v>19</v>
      </c>
      <c r="F677" s="27" t="s">
        <v>3</v>
      </c>
      <c r="G677" s="27" t="s">
        <v>2272</v>
      </c>
      <c r="H677" s="27">
        <v>5</v>
      </c>
      <c r="I677" s="27">
        <f>VLOOKUP(F677,mapping!$L$2:$P$92,2,0)</f>
        <v>0.34064763831408895</v>
      </c>
      <c r="J677" s="27">
        <f>VLOOKUP($F677,mapping!$L$2:$P$92,3,0)</f>
        <v>1388.78</v>
      </c>
      <c r="K677" s="27" t="str">
        <f>VLOOKUP($F677,mapping!$L$2:$P$92,4,0)</f>
        <v>Developing Asia</v>
      </c>
      <c r="L677" s="29">
        <f>$D677*VLOOKUP($E677,'Charts data'!$A$2:$B$11,2,0)*VLOOKUP($G677,'Charts data'!$A$14:$B$18,2,0)/IF('Charts data'!$E$3=1,I677,1)/IF('Charts data'!$E$4=1,J677,1)</f>
        <v>10239.552095279476</v>
      </c>
    </row>
    <row r="678" spans="1:12" x14ac:dyDescent="0.25">
      <c r="A678" s="27" t="s">
        <v>1441</v>
      </c>
      <c r="B678" s="27">
        <v>500000</v>
      </c>
      <c r="C678" s="27" t="s">
        <v>16</v>
      </c>
      <c r="D678" s="28">
        <f>B678*VLOOKUP(C678,tblXrate[],2,0)</f>
        <v>8903.9583437212841</v>
      </c>
      <c r="E678" s="27" t="s">
        <v>48</v>
      </c>
      <c r="F678" s="27" t="s">
        <v>3</v>
      </c>
      <c r="G678" s="27" t="s">
        <v>2271</v>
      </c>
      <c r="H678" s="27">
        <v>2</v>
      </c>
      <c r="I678" s="27">
        <f>VLOOKUP(F678,mapping!$L$2:$P$92,2,0)</f>
        <v>0.34064763831408895</v>
      </c>
      <c r="J678" s="27">
        <f>VLOOKUP($F678,mapping!$L$2:$P$92,3,0)</f>
        <v>1388.78</v>
      </c>
      <c r="K678" s="27" t="str">
        <f>VLOOKUP($F678,mapping!$L$2:$P$92,4,0)</f>
        <v>Developing Asia</v>
      </c>
      <c r="L678" s="29">
        <f>$D678*VLOOKUP($E678,'Charts data'!$A$2:$B$11,2,0)*VLOOKUP($G678,'Charts data'!$A$14:$B$18,2,0)/IF('Charts data'!$E$3=1,I678,1)/IF('Charts data'!$E$4=1,J678,1)</f>
        <v>8903.9583437212841</v>
      </c>
    </row>
    <row r="679" spans="1:12" x14ac:dyDescent="0.25">
      <c r="A679" s="27" t="s">
        <v>1443</v>
      </c>
      <c r="B679" s="27">
        <v>210000</v>
      </c>
      <c r="C679" s="27" t="s">
        <v>16</v>
      </c>
      <c r="D679" s="28">
        <f>B679*VLOOKUP(C679,tblXrate[],2,0)</f>
        <v>3739.6625043629392</v>
      </c>
      <c r="E679" s="27" t="s">
        <v>2145</v>
      </c>
      <c r="F679" s="27" t="s">
        <v>3</v>
      </c>
      <c r="G679" s="27" t="s">
        <v>2274</v>
      </c>
      <c r="H679" s="27">
        <v>4.5</v>
      </c>
      <c r="I679" s="27">
        <f>VLOOKUP(F679,mapping!$L$2:$P$92,2,0)</f>
        <v>0.34064763831408895</v>
      </c>
      <c r="J679" s="27">
        <f>VLOOKUP($F679,mapping!$L$2:$P$92,3,0)</f>
        <v>1388.78</v>
      </c>
      <c r="K679" s="27" t="str">
        <f>VLOOKUP($F679,mapping!$L$2:$P$92,4,0)</f>
        <v>Developing Asia</v>
      </c>
      <c r="L679" s="29">
        <f>$D679*VLOOKUP($E679,'Charts data'!$A$2:$B$11,2,0)*VLOOKUP($G679,'Charts data'!$A$14:$B$18,2,0)/IF('Charts data'!$E$3=1,I679,1)/IF('Charts data'!$E$4=1,J679,1)</f>
        <v>3739.6625043629392</v>
      </c>
    </row>
    <row r="680" spans="1:12" x14ac:dyDescent="0.25">
      <c r="A680" s="27" t="s">
        <v>1445</v>
      </c>
      <c r="B680" s="27">
        <v>200000</v>
      </c>
      <c r="C680" s="27" t="s">
        <v>16</v>
      </c>
      <c r="D680" s="28">
        <f>B680*VLOOKUP(C680,tblXrate[],2,0)</f>
        <v>3561.5833374885137</v>
      </c>
      <c r="E680" s="27" t="s">
        <v>2145</v>
      </c>
      <c r="F680" s="27" t="s">
        <v>3</v>
      </c>
      <c r="G680" s="27" t="s">
        <v>2272</v>
      </c>
      <c r="H680" s="27">
        <v>3</v>
      </c>
      <c r="I680" s="27">
        <f>VLOOKUP(F680,mapping!$L$2:$P$92,2,0)</f>
        <v>0.34064763831408895</v>
      </c>
      <c r="J680" s="27">
        <f>VLOOKUP($F680,mapping!$L$2:$P$92,3,0)</f>
        <v>1388.78</v>
      </c>
      <c r="K680" s="27" t="str">
        <f>VLOOKUP($F680,mapping!$L$2:$P$92,4,0)</f>
        <v>Developing Asia</v>
      </c>
      <c r="L680" s="29">
        <f>$D680*VLOOKUP($E680,'Charts data'!$A$2:$B$11,2,0)*VLOOKUP($G680,'Charts data'!$A$14:$B$18,2,0)/IF('Charts data'!$E$3=1,I680,1)/IF('Charts data'!$E$4=1,J680,1)</f>
        <v>3561.5833374885137</v>
      </c>
    </row>
    <row r="681" spans="1:12" x14ac:dyDescent="0.25">
      <c r="A681" s="27" t="s">
        <v>1446</v>
      </c>
      <c r="B681" s="27">
        <v>360000</v>
      </c>
      <c r="C681" s="27" t="s">
        <v>16</v>
      </c>
      <c r="D681" s="28">
        <f>B681*VLOOKUP(C681,tblXrate[],2,0)</f>
        <v>6410.8500074793246</v>
      </c>
      <c r="E681" s="27" t="s">
        <v>7</v>
      </c>
      <c r="F681" s="27" t="s">
        <v>3</v>
      </c>
      <c r="G681" s="27" t="s">
        <v>2273</v>
      </c>
      <c r="H681" s="27">
        <v>6</v>
      </c>
      <c r="I681" s="27">
        <f>VLOOKUP(F681,mapping!$L$2:$P$92,2,0)</f>
        <v>0.34064763831408895</v>
      </c>
      <c r="J681" s="27">
        <f>VLOOKUP($F681,mapping!$L$2:$P$92,3,0)</f>
        <v>1388.78</v>
      </c>
      <c r="K681" s="27" t="str">
        <f>VLOOKUP($F681,mapping!$L$2:$P$92,4,0)</f>
        <v>Developing Asia</v>
      </c>
      <c r="L681" s="29">
        <f>$D681*VLOOKUP($E681,'Charts data'!$A$2:$B$11,2,0)*VLOOKUP($G681,'Charts data'!$A$14:$B$18,2,0)/IF('Charts data'!$E$3=1,I681,1)/IF('Charts data'!$E$4=1,J681,1)</f>
        <v>6410.8500074793246</v>
      </c>
    </row>
    <row r="682" spans="1:12" x14ac:dyDescent="0.25">
      <c r="A682" s="27" t="s">
        <v>1450</v>
      </c>
      <c r="B682" s="27">
        <v>1200000</v>
      </c>
      <c r="C682" s="27" t="s">
        <v>16</v>
      </c>
      <c r="D682" s="28">
        <f>B682*VLOOKUP(C682,tblXrate[],2,0)</f>
        <v>21369.500024931083</v>
      </c>
      <c r="E682" s="27" t="s">
        <v>19</v>
      </c>
      <c r="F682" s="27" t="s">
        <v>3</v>
      </c>
      <c r="G682" s="27" t="s">
        <v>2271</v>
      </c>
      <c r="H682" s="27">
        <v>9</v>
      </c>
      <c r="I682" s="27">
        <f>VLOOKUP(F682,mapping!$L$2:$P$92,2,0)</f>
        <v>0.34064763831408895</v>
      </c>
      <c r="J682" s="27">
        <f>VLOOKUP($F682,mapping!$L$2:$P$92,3,0)</f>
        <v>1388.78</v>
      </c>
      <c r="K682" s="27" t="str">
        <f>VLOOKUP($F682,mapping!$L$2:$P$92,4,0)</f>
        <v>Developing Asia</v>
      </c>
      <c r="L682" s="29">
        <f>$D682*VLOOKUP($E682,'Charts data'!$A$2:$B$11,2,0)*VLOOKUP($G682,'Charts data'!$A$14:$B$18,2,0)/IF('Charts data'!$E$3=1,I682,1)/IF('Charts data'!$E$4=1,J682,1)</f>
        <v>21369.500024931083</v>
      </c>
    </row>
    <row r="683" spans="1:12" x14ac:dyDescent="0.25">
      <c r="A683" s="27" t="s">
        <v>1451</v>
      </c>
      <c r="B683" s="27">
        <v>600000</v>
      </c>
      <c r="C683" s="27" t="s">
        <v>16</v>
      </c>
      <c r="D683" s="28">
        <f>B683*VLOOKUP(C683,tblXrate[],2,0)</f>
        <v>10684.750012465542</v>
      </c>
      <c r="E683" s="27" t="s">
        <v>19</v>
      </c>
      <c r="F683" s="27" t="s">
        <v>3</v>
      </c>
      <c r="G683" s="27" t="s">
        <v>2272</v>
      </c>
      <c r="H683" s="27">
        <v>28</v>
      </c>
      <c r="I683" s="27">
        <f>VLOOKUP(F683,mapping!$L$2:$P$92,2,0)</f>
        <v>0.34064763831408895</v>
      </c>
      <c r="J683" s="27">
        <f>VLOOKUP($F683,mapping!$L$2:$P$92,3,0)</f>
        <v>1388.78</v>
      </c>
      <c r="K683" s="27" t="str">
        <f>VLOOKUP($F683,mapping!$L$2:$P$92,4,0)</f>
        <v>Developing Asia</v>
      </c>
      <c r="L683" s="29">
        <f>$D683*VLOOKUP($E683,'Charts data'!$A$2:$B$11,2,0)*VLOOKUP($G683,'Charts data'!$A$14:$B$18,2,0)/IF('Charts data'!$E$3=1,I683,1)/IF('Charts data'!$E$4=1,J683,1)</f>
        <v>10684.750012465542</v>
      </c>
    </row>
    <row r="684" spans="1:12" x14ac:dyDescent="0.25">
      <c r="A684" s="27" t="s">
        <v>1455</v>
      </c>
      <c r="B684" s="27">
        <v>314000</v>
      </c>
      <c r="C684" s="27" t="s">
        <v>16</v>
      </c>
      <c r="D684" s="28">
        <f>B684*VLOOKUP(C684,tblXrate[],2,0)</f>
        <v>5591.6858398569666</v>
      </c>
      <c r="E684" s="27" t="s">
        <v>19</v>
      </c>
      <c r="F684" s="27" t="s">
        <v>3</v>
      </c>
      <c r="G684" s="27" t="s">
        <v>2274</v>
      </c>
      <c r="H684" s="27">
        <v>0.1</v>
      </c>
      <c r="I684" s="27">
        <f>VLOOKUP(F684,mapping!$L$2:$P$92,2,0)</f>
        <v>0.34064763831408895</v>
      </c>
      <c r="J684" s="27">
        <f>VLOOKUP($F684,mapping!$L$2:$P$92,3,0)</f>
        <v>1388.78</v>
      </c>
      <c r="K684" s="27" t="str">
        <f>VLOOKUP($F684,mapping!$L$2:$P$92,4,0)</f>
        <v>Developing Asia</v>
      </c>
      <c r="L684" s="29">
        <f>$D684*VLOOKUP($E684,'Charts data'!$A$2:$B$11,2,0)*VLOOKUP($G684,'Charts data'!$A$14:$B$18,2,0)/IF('Charts data'!$E$3=1,I684,1)/IF('Charts data'!$E$4=1,J684,1)</f>
        <v>5591.6858398569666</v>
      </c>
    </row>
    <row r="685" spans="1:12" x14ac:dyDescent="0.25">
      <c r="A685" s="27" t="s">
        <v>1460</v>
      </c>
      <c r="B685" s="27">
        <v>660000</v>
      </c>
      <c r="C685" s="27" t="s">
        <v>16</v>
      </c>
      <c r="D685" s="28">
        <f>B685*VLOOKUP(C685,tblXrate[],2,0)</f>
        <v>11753.225013712095</v>
      </c>
      <c r="E685" s="27" t="s">
        <v>19</v>
      </c>
      <c r="F685" s="27" t="s">
        <v>3</v>
      </c>
      <c r="G685" s="27" t="s">
        <v>2273</v>
      </c>
      <c r="H685" s="27">
        <v>7</v>
      </c>
      <c r="I685" s="27">
        <f>VLOOKUP(F685,mapping!$L$2:$P$92,2,0)</f>
        <v>0.34064763831408895</v>
      </c>
      <c r="J685" s="27">
        <f>VLOOKUP($F685,mapping!$L$2:$P$92,3,0)</f>
        <v>1388.78</v>
      </c>
      <c r="K685" s="27" t="str">
        <f>VLOOKUP($F685,mapping!$L$2:$P$92,4,0)</f>
        <v>Developing Asia</v>
      </c>
      <c r="L685" s="29">
        <f>$D685*VLOOKUP($E685,'Charts data'!$A$2:$B$11,2,0)*VLOOKUP($G685,'Charts data'!$A$14:$B$18,2,0)/IF('Charts data'!$E$3=1,I685,1)/IF('Charts data'!$E$4=1,J685,1)</f>
        <v>11753.225013712095</v>
      </c>
    </row>
    <row r="686" spans="1:12" x14ac:dyDescent="0.25">
      <c r="A686" s="27" t="s">
        <v>1461</v>
      </c>
      <c r="B686" s="27">
        <v>204000</v>
      </c>
      <c r="C686" s="27" t="s">
        <v>16</v>
      </c>
      <c r="D686" s="28">
        <f>B686*VLOOKUP(C686,tblXrate[],2,0)</f>
        <v>3632.815004238284</v>
      </c>
      <c r="E686" s="27" t="s">
        <v>2145</v>
      </c>
      <c r="F686" s="27" t="s">
        <v>3</v>
      </c>
      <c r="G686" s="27" t="s">
        <v>2273</v>
      </c>
      <c r="H686" s="27">
        <v>2</v>
      </c>
      <c r="I686" s="27">
        <f>VLOOKUP(F686,mapping!$L$2:$P$92,2,0)</f>
        <v>0.34064763831408895</v>
      </c>
      <c r="J686" s="27">
        <f>VLOOKUP($F686,mapping!$L$2:$P$92,3,0)</f>
        <v>1388.78</v>
      </c>
      <c r="K686" s="27" t="str">
        <f>VLOOKUP($F686,mapping!$L$2:$P$92,4,0)</f>
        <v>Developing Asia</v>
      </c>
      <c r="L686" s="29">
        <f>$D686*VLOOKUP($E686,'Charts data'!$A$2:$B$11,2,0)*VLOOKUP($G686,'Charts data'!$A$14:$B$18,2,0)/IF('Charts data'!$E$3=1,I686,1)/IF('Charts data'!$E$4=1,J686,1)</f>
        <v>3632.815004238284</v>
      </c>
    </row>
    <row r="687" spans="1:12" x14ac:dyDescent="0.25">
      <c r="A687" s="27" t="s">
        <v>1465</v>
      </c>
      <c r="B687" s="27">
        <v>275000</v>
      </c>
      <c r="C687" s="27" t="s">
        <v>16</v>
      </c>
      <c r="D687" s="28">
        <f>B687*VLOOKUP(C687,tblXrate[],2,0)</f>
        <v>4897.177089046706</v>
      </c>
      <c r="E687" s="27" t="s">
        <v>19</v>
      </c>
      <c r="F687" s="27" t="s">
        <v>3</v>
      </c>
      <c r="G687" s="27" t="s">
        <v>2273</v>
      </c>
      <c r="H687" s="27">
        <v>4</v>
      </c>
      <c r="I687" s="27">
        <f>VLOOKUP(F687,mapping!$L$2:$P$92,2,0)</f>
        <v>0.34064763831408895</v>
      </c>
      <c r="J687" s="27">
        <f>VLOOKUP($F687,mapping!$L$2:$P$92,3,0)</f>
        <v>1388.78</v>
      </c>
      <c r="K687" s="27" t="str">
        <f>VLOOKUP($F687,mapping!$L$2:$P$92,4,0)</f>
        <v>Developing Asia</v>
      </c>
      <c r="L687" s="29">
        <f>$D687*VLOOKUP($E687,'Charts data'!$A$2:$B$11,2,0)*VLOOKUP($G687,'Charts data'!$A$14:$B$18,2,0)/IF('Charts data'!$E$3=1,I687,1)/IF('Charts data'!$E$4=1,J687,1)</f>
        <v>4897.177089046706</v>
      </c>
    </row>
    <row r="688" spans="1:12" x14ac:dyDescent="0.25">
      <c r="A688" s="27" t="s">
        <v>1468</v>
      </c>
      <c r="B688" s="27">
        <v>300000</v>
      </c>
      <c r="C688" s="27" t="s">
        <v>16</v>
      </c>
      <c r="D688" s="28">
        <f>B688*VLOOKUP(C688,tblXrate[],2,0)</f>
        <v>5342.3750062327708</v>
      </c>
      <c r="E688" s="27" t="s">
        <v>7</v>
      </c>
      <c r="F688" s="27" t="s">
        <v>3</v>
      </c>
      <c r="G688" s="27" t="s">
        <v>2273</v>
      </c>
      <c r="H688" s="27">
        <v>3</v>
      </c>
      <c r="I688" s="27">
        <f>VLOOKUP(F688,mapping!$L$2:$P$92,2,0)</f>
        <v>0.34064763831408895</v>
      </c>
      <c r="J688" s="27">
        <f>VLOOKUP($F688,mapping!$L$2:$P$92,3,0)</f>
        <v>1388.78</v>
      </c>
      <c r="K688" s="27" t="str">
        <f>VLOOKUP($F688,mapping!$L$2:$P$92,4,0)</f>
        <v>Developing Asia</v>
      </c>
      <c r="L688" s="29">
        <f>$D688*VLOOKUP($E688,'Charts data'!$A$2:$B$11,2,0)*VLOOKUP($G688,'Charts data'!$A$14:$B$18,2,0)/IF('Charts data'!$E$3=1,I688,1)/IF('Charts data'!$E$4=1,J688,1)</f>
        <v>5342.3750062327708</v>
      </c>
    </row>
    <row r="689" spans="1:12" x14ac:dyDescent="0.25">
      <c r="A689" s="27" t="s">
        <v>1469</v>
      </c>
      <c r="B689" s="27">
        <v>500000</v>
      </c>
      <c r="C689" s="27" t="s">
        <v>16</v>
      </c>
      <c r="D689" s="28">
        <f>B689*VLOOKUP(C689,tblXrate[],2,0)</f>
        <v>8903.9583437212841</v>
      </c>
      <c r="E689" s="27" t="s">
        <v>19</v>
      </c>
      <c r="F689" s="27" t="s">
        <v>3</v>
      </c>
      <c r="G689" s="27" t="s">
        <v>2272</v>
      </c>
      <c r="H689" s="27">
        <v>5</v>
      </c>
      <c r="I689" s="27">
        <f>VLOOKUP(F689,mapping!$L$2:$P$92,2,0)</f>
        <v>0.34064763831408895</v>
      </c>
      <c r="J689" s="27">
        <f>VLOOKUP($F689,mapping!$L$2:$P$92,3,0)</f>
        <v>1388.78</v>
      </c>
      <c r="K689" s="27" t="str">
        <f>VLOOKUP($F689,mapping!$L$2:$P$92,4,0)</f>
        <v>Developing Asia</v>
      </c>
      <c r="L689" s="29">
        <f>$D689*VLOOKUP($E689,'Charts data'!$A$2:$B$11,2,0)*VLOOKUP($G689,'Charts data'!$A$14:$B$18,2,0)/IF('Charts data'!$E$3=1,I689,1)/IF('Charts data'!$E$4=1,J689,1)</f>
        <v>8903.9583437212841</v>
      </c>
    </row>
    <row r="690" spans="1:12" x14ac:dyDescent="0.25">
      <c r="A690" s="27" t="s">
        <v>1471</v>
      </c>
      <c r="B690" s="27">
        <v>600000</v>
      </c>
      <c r="C690" s="27" t="s">
        <v>16</v>
      </c>
      <c r="D690" s="28">
        <f>B690*VLOOKUP(C690,tblXrate[],2,0)</f>
        <v>10684.750012465542</v>
      </c>
      <c r="E690" s="27" t="s">
        <v>19</v>
      </c>
      <c r="F690" s="27" t="s">
        <v>3</v>
      </c>
      <c r="G690" s="27" t="s">
        <v>2274</v>
      </c>
      <c r="H690" s="27">
        <v>7</v>
      </c>
      <c r="I690" s="27">
        <f>VLOOKUP(F690,mapping!$L$2:$P$92,2,0)</f>
        <v>0.34064763831408895</v>
      </c>
      <c r="J690" s="27">
        <f>VLOOKUP($F690,mapping!$L$2:$P$92,3,0)</f>
        <v>1388.78</v>
      </c>
      <c r="K690" s="27" t="str">
        <f>VLOOKUP($F690,mapping!$L$2:$P$92,4,0)</f>
        <v>Developing Asia</v>
      </c>
      <c r="L690" s="29">
        <f>$D690*VLOOKUP($E690,'Charts data'!$A$2:$B$11,2,0)*VLOOKUP($G690,'Charts data'!$A$14:$B$18,2,0)/IF('Charts data'!$E$3=1,I690,1)/IF('Charts data'!$E$4=1,J690,1)</f>
        <v>10684.750012465542</v>
      </c>
    </row>
    <row r="691" spans="1:12" x14ac:dyDescent="0.25">
      <c r="A691" s="27" t="s">
        <v>1472</v>
      </c>
      <c r="B691" s="27">
        <v>1200000</v>
      </c>
      <c r="C691" s="27" t="s">
        <v>16</v>
      </c>
      <c r="D691" s="28">
        <f>B691*VLOOKUP(C691,tblXrate[],2,0)</f>
        <v>21369.500024931083</v>
      </c>
      <c r="E691" s="27" t="s">
        <v>53</v>
      </c>
      <c r="F691" s="27" t="s">
        <v>3</v>
      </c>
      <c r="G691" s="27" t="s">
        <v>2272</v>
      </c>
      <c r="H691" s="27">
        <v>21</v>
      </c>
      <c r="I691" s="27">
        <f>VLOOKUP(F691,mapping!$L$2:$P$92,2,0)</f>
        <v>0.34064763831408895</v>
      </c>
      <c r="J691" s="27">
        <f>VLOOKUP($F691,mapping!$L$2:$P$92,3,0)</f>
        <v>1388.78</v>
      </c>
      <c r="K691" s="27" t="str">
        <f>VLOOKUP($F691,mapping!$L$2:$P$92,4,0)</f>
        <v>Developing Asia</v>
      </c>
      <c r="L691" s="29">
        <f>$D691*VLOOKUP($E691,'Charts data'!$A$2:$B$11,2,0)*VLOOKUP($G691,'Charts data'!$A$14:$B$18,2,0)/IF('Charts data'!$E$3=1,I691,1)/IF('Charts data'!$E$4=1,J691,1)</f>
        <v>21369.500024931083</v>
      </c>
    </row>
    <row r="692" spans="1:12" x14ac:dyDescent="0.25">
      <c r="A692" s="27" t="s">
        <v>1475</v>
      </c>
      <c r="B692" s="27">
        <v>1600000</v>
      </c>
      <c r="C692" s="27" t="s">
        <v>16</v>
      </c>
      <c r="D692" s="28">
        <f>B692*VLOOKUP(C692,tblXrate[],2,0)</f>
        <v>28492.66669990811</v>
      </c>
      <c r="E692" s="27" t="s">
        <v>7</v>
      </c>
      <c r="F692" s="27" t="s">
        <v>3</v>
      </c>
      <c r="G692" s="27" t="s">
        <v>2272</v>
      </c>
      <c r="H692" s="27">
        <v>4</v>
      </c>
      <c r="I692" s="27">
        <f>VLOOKUP(F692,mapping!$L$2:$P$92,2,0)</f>
        <v>0.34064763831408895</v>
      </c>
      <c r="J692" s="27">
        <f>VLOOKUP($F692,mapping!$L$2:$P$92,3,0)</f>
        <v>1388.78</v>
      </c>
      <c r="K692" s="27" t="str">
        <f>VLOOKUP($F692,mapping!$L$2:$P$92,4,0)</f>
        <v>Developing Asia</v>
      </c>
      <c r="L692" s="29">
        <f>$D692*VLOOKUP($E692,'Charts data'!$A$2:$B$11,2,0)*VLOOKUP($G692,'Charts data'!$A$14:$B$18,2,0)/IF('Charts data'!$E$3=1,I692,1)/IF('Charts data'!$E$4=1,J692,1)</f>
        <v>28492.66669990811</v>
      </c>
    </row>
    <row r="693" spans="1:12" x14ac:dyDescent="0.25">
      <c r="A693" s="27" t="s">
        <v>1490</v>
      </c>
      <c r="B693" s="27">
        <v>250000</v>
      </c>
      <c r="C693" s="27" t="s">
        <v>16</v>
      </c>
      <c r="D693" s="28">
        <f>B693*VLOOKUP(C693,tblXrate[],2,0)</f>
        <v>4451.9791718606421</v>
      </c>
      <c r="E693" s="27" t="s">
        <v>7</v>
      </c>
      <c r="F693" s="27" t="s">
        <v>3</v>
      </c>
      <c r="G693" s="27" t="s">
        <v>2273</v>
      </c>
      <c r="H693" s="27">
        <v>8</v>
      </c>
      <c r="I693" s="27">
        <f>VLOOKUP(F693,mapping!$L$2:$P$92,2,0)</f>
        <v>0.34064763831408895</v>
      </c>
      <c r="J693" s="27">
        <f>VLOOKUP($F693,mapping!$L$2:$P$92,3,0)</f>
        <v>1388.78</v>
      </c>
      <c r="K693" s="27" t="str">
        <f>VLOOKUP($F693,mapping!$L$2:$P$92,4,0)</f>
        <v>Developing Asia</v>
      </c>
      <c r="L693" s="29">
        <f>$D693*VLOOKUP($E693,'Charts data'!$A$2:$B$11,2,0)*VLOOKUP($G693,'Charts data'!$A$14:$B$18,2,0)/IF('Charts data'!$E$3=1,I693,1)/IF('Charts data'!$E$4=1,J693,1)</f>
        <v>4451.9791718606421</v>
      </c>
    </row>
    <row r="694" spans="1:12" x14ac:dyDescent="0.25">
      <c r="A694" s="27" t="s">
        <v>1493</v>
      </c>
      <c r="B694" s="27">
        <v>450000</v>
      </c>
      <c r="C694" s="27" t="s">
        <v>16</v>
      </c>
      <c r="D694" s="28">
        <f>B694*VLOOKUP(C694,tblXrate[],2,0)</f>
        <v>8013.5625093491553</v>
      </c>
      <c r="E694" s="27" t="s">
        <v>48</v>
      </c>
      <c r="F694" s="27" t="s">
        <v>3</v>
      </c>
      <c r="G694" s="27" t="s">
        <v>2274</v>
      </c>
      <c r="H694" s="27">
        <v>7</v>
      </c>
      <c r="I694" s="27">
        <f>VLOOKUP(F694,mapping!$L$2:$P$92,2,0)</f>
        <v>0.34064763831408895</v>
      </c>
      <c r="J694" s="27">
        <f>VLOOKUP($F694,mapping!$L$2:$P$92,3,0)</f>
        <v>1388.78</v>
      </c>
      <c r="K694" s="27" t="str">
        <f>VLOOKUP($F694,mapping!$L$2:$P$92,4,0)</f>
        <v>Developing Asia</v>
      </c>
      <c r="L694" s="29">
        <f>$D694*VLOOKUP($E694,'Charts data'!$A$2:$B$11,2,0)*VLOOKUP($G694,'Charts data'!$A$14:$B$18,2,0)/IF('Charts data'!$E$3=1,I694,1)/IF('Charts data'!$E$4=1,J694,1)</f>
        <v>8013.5625093491553</v>
      </c>
    </row>
    <row r="695" spans="1:12" x14ac:dyDescent="0.25">
      <c r="A695" s="27" t="s">
        <v>1496</v>
      </c>
      <c r="B695" s="27">
        <v>2210000</v>
      </c>
      <c r="C695" s="27" t="s">
        <v>16</v>
      </c>
      <c r="D695" s="28">
        <f>B695*VLOOKUP(C695,tblXrate[],2,0)</f>
        <v>39355.495879248076</v>
      </c>
      <c r="E695" s="27" t="s">
        <v>7</v>
      </c>
      <c r="F695" s="27" t="s">
        <v>3</v>
      </c>
      <c r="G695" s="27" t="s">
        <v>2274</v>
      </c>
      <c r="H695" s="27">
        <v>5.6</v>
      </c>
      <c r="I695" s="27">
        <f>VLOOKUP(F695,mapping!$L$2:$P$92,2,0)</f>
        <v>0.34064763831408895</v>
      </c>
      <c r="J695" s="27">
        <f>VLOOKUP($F695,mapping!$L$2:$P$92,3,0)</f>
        <v>1388.78</v>
      </c>
      <c r="K695" s="27" t="str">
        <f>VLOOKUP($F695,mapping!$L$2:$P$92,4,0)</f>
        <v>Developing Asia</v>
      </c>
      <c r="L695" s="29">
        <f>$D695*VLOOKUP($E695,'Charts data'!$A$2:$B$11,2,0)*VLOOKUP($G695,'Charts data'!$A$14:$B$18,2,0)/IF('Charts data'!$E$3=1,I695,1)/IF('Charts data'!$E$4=1,J695,1)</f>
        <v>39355.495879248076</v>
      </c>
    </row>
    <row r="696" spans="1:12" x14ac:dyDescent="0.25">
      <c r="A696" s="27" t="s">
        <v>1520</v>
      </c>
      <c r="B696" s="27">
        <v>250000</v>
      </c>
      <c r="C696" s="27" t="s">
        <v>16</v>
      </c>
      <c r="D696" s="28">
        <f>B696*VLOOKUP(C696,tblXrate[],2,0)</f>
        <v>4451.9791718606421</v>
      </c>
      <c r="E696" s="27" t="s">
        <v>19</v>
      </c>
      <c r="F696" s="27" t="s">
        <v>3</v>
      </c>
      <c r="G696" s="27" t="s">
        <v>2274</v>
      </c>
      <c r="H696" s="27">
        <v>15</v>
      </c>
      <c r="I696" s="27">
        <f>VLOOKUP(F696,mapping!$L$2:$P$92,2,0)</f>
        <v>0.34064763831408895</v>
      </c>
      <c r="J696" s="27">
        <f>VLOOKUP($F696,mapping!$L$2:$P$92,3,0)</f>
        <v>1388.78</v>
      </c>
      <c r="K696" s="27" t="str">
        <f>VLOOKUP($F696,mapping!$L$2:$P$92,4,0)</f>
        <v>Developing Asia</v>
      </c>
      <c r="L696" s="29">
        <f>$D696*VLOOKUP($E696,'Charts data'!$A$2:$B$11,2,0)*VLOOKUP($G696,'Charts data'!$A$14:$B$18,2,0)/IF('Charts data'!$E$3=1,I696,1)/IF('Charts data'!$E$4=1,J696,1)</f>
        <v>4451.9791718606421</v>
      </c>
    </row>
    <row r="697" spans="1:12" x14ac:dyDescent="0.25">
      <c r="A697" s="27" t="s">
        <v>1552</v>
      </c>
      <c r="B697" s="27">
        <v>750000</v>
      </c>
      <c r="C697" s="27" t="s">
        <v>16</v>
      </c>
      <c r="D697" s="28">
        <f>B697*VLOOKUP(C697,tblXrate[],2,0)</f>
        <v>13355.937515581925</v>
      </c>
      <c r="E697" s="27" t="s">
        <v>2147</v>
      </c>
      <c r="F697" s="27" t="s">
        <v>3</v>
      </c>
      <c r="G697" s="27" t="s">
        <v>2274</v>
      </c>
      <c r="H697" s="27">
        <v>1</v>
      </c>
      <c r="I697" s="27">
        <f>VLOOKUP(F697,mapping!$L$2:$P$92,2,0)</f>
        <v>0.34064763831408895</v>
      </c>
      <c r="J697" s="27">
        <f>VLOOKUP($F697,mapping!$L$2:$P$92,3,0)</f>
        <v>1388.78</v>
      </c>
      <c r="K697" s="27" t="str">
        <f>VLOOKUP($F697,mapping!$L$2:$P$92,4,0)</f>
        <v>Developing Asia</v>
      </c>
      <c r="L697" s="29">
        <f>$D697*VLOOKUP($E697,'Charts data'!$A$2:$B$11,2,0)*VLOOKUP($G697,'Charts data'!$A$14:$B$18,2,0)/IF('Charts data'!$E$3=1,I697,1)/IF('Charts data'!$E$4=1,J697,1)</f>
        <v>13355.937515581925</v>
      </c>
    </row>
    <row r="698" spans="1:12" x14ac:dyDescent="0.25">
      <c r="A698" s="27" t="s">
        <v>1565</v>
      </c>
      <c r="B698" s="27">
        <v>3250000</v>
      </c>
      <c r="C698" s="27" t="s">
        <v>16</v>
      </c>
      <c r="D698" s="28">
        <f>B698*VLOOKUP(C698,tblXrate[],2,0)</f>
        <v>57875.729234188344</v>
      </c>
      <c r="E698" s="27" t="s">
        <v>7</v>
      </c>
      <c r="F698" s="27" t="s">
        <v>3</v>
      </c>
      <c r="G698" s="27" t="s">
        <v>2271</v>
      </c>
      <c r="H698" s="27">
        <v>5.5</v>
      </c>
      <c r="I698" s="27">
        <f>VLOOKUP(F698,mapping!$L$2:$P$92,2,0)</f>
        <v>0.34064763831408895</v>
      </c>
      <c r="J698" s="27">
        <f>VLOOKUP($F698,mapping!$L$2:$P$92,3,0)</f>
        <v>1388.78</v>
      </c>
      <c r="K698" s="27" t="str">
        <f>VLOOKUP($F698,mapping!$L$2:$P$92,4,0)</f>
        <v>Developing Asia</v>
      </c>
      <c r="L698" s="29">
        <f>$D698*VLOOKUP($E698,'Charts data'!$A$2:$B$11,2,0)*VLOOKUP($G698,'Charts data'!$A$14:$B$18,2,0)/IF('Charts data'!$E$3=1,I698,1)/IF('Charts data'!$E$4=1,J698,1)</f>
        <v>57875.729234188344</v>
      </c>
    </row>
    <row r="699" spans="1:12" x14ac:dyDescent="0.25">
      <c r="A699" s="27" t="s">
        <v>1576</v>
      </c>
      <c r="B699" s="27">
        <v>300000</v>
      </c>
      <c r="C699" s="27" t="s">
        <v>16</v>
      </c>
      <c r="D699" s="28">
        <f>B699*VLOOKUP(C699,tblXrate[],2,0)</f>
        <v>5342.3750062327708</v>
      </c>
      <c r="E699" s="27" t="s">
        <v>51</v>
      </c>
      <c r="F699" s="27" t="s">
        <v>3</v>
      </c>
      <c r="G699" s="27" t="s">
        <v>2271</v>
      </c>
      <c r="H699" s="27">
        <v>4</v>
      </c>
      <c r="I699" s="27">
        <f>VLOOKUP(F699,mapping!$L$2:$P$92,2,0)</f>
        <v>0.34064763831408895</v>
      </c>
      <c r="J699" s="27">
        <f>VLOOKUP($F699,mapping!$L$2:$P$92,3,0)</f>
        <v>1388.78</v>
      </c>
      <c r="K699" s="27" t="str">
        <f>VLOOKUP($F699,mapping!$L$2:$P$92,4,0)</f>
        <v>Developing Asia</v>
      </c>
      <c r="L699" s="29">
        <f>$D699*VLOOKUP($E699,'Charts data'!$A$2:$B$11,2,0)*VLOOKUP($G699,'Charts data'!$A$14:$B$18,2,0)/IF('Charts data'!$E$3=1,I699,1)/IF('Charts data'!$E$4=1,J699,1)</f>
        <v>5342.3750062327708</v>
      </c>
    </row>
    <row r="700" spans="1:12" x14ac:dyDescent="0.25">
      <c r="A700" s="27" t="s">
        <v>1578</v>
      </c>
      <c r="B700" s="27">
        <v>480000</v>
      </c>
      <c r="C700" s="27" t="s">
        <v>16</v>
      </c>
      <c r="D700" s="28">
        <f>B700*VLOOKUP(C700,tblXrate[],2,0)</f>
        <v>8547.8000099724322</v>
      </c>
      <c r="E700" s="27" t="s">
        <v>7</v>
      </c>
      <c r="F700" s="27" t="s">
        <v>3</v>
      </c>
      <c r="G700" s="27" t="s">
        <v>2271</v>
      </c>
      <c r="H700" s="27">
        <v>7</v>
      </c>
      <c r="I700" s="27">
        <f>VLOOKUP(F700,mapping!$L$2:$P$92,2,0)</f>
        <v>0.34064763831408895</v>
      </c>
      <c r="J700" s="27">
        <f>VLOOKUP($F700,mapping!$L$2:$P$92,3,0)</f>
        <v>1388.78</v>
      </c>
      <c r="K700" s="27" t="str">
        <f>VLOOKUP($F700,mapping!$L$2:$P$92,4,0)</f>
        <v>Developing Asia</v>
      </c>
      <c r="L700" s="29">
        <f>$D700*VLOOKUP($E700,'Charts data'!$A$2:$B$11,2,0)*VLOOKUP($G700,'Charts data'!$A$14:$B$18,2,0)/IF('Charts data'!$E$3=1,I700,1)/IF('Charts data'!$E$4=1,J700,1)</f>
        <v>8547.8000099724322</v>
      </c>
    </row>
    <row r="701" spans="1:12" x14ac:dyDescent="0.25">
      <c r="A701" s="27" t="s">
        <v>1579</v>
      </c>
      <c r="B701" s="27">
        <v>900000</v>
      </c>
      <c r="C701" s="27" t="s">
        <v>16</v>
      </c>
      <c r="D701" s="28">
        <f>B701*VLOOKUP(C701,tblXrate[],2,0)</f>
        <v>16027.125018698311</v>
      </c>
      <c r="E701" s="27" t="s">
        <v>7</v>
      </c>
      <c r="F701" s="27" t="s">
        <v>3</v>
      </c>
      <c r="G701" s="27" t="s">
        <v>2271</v>
      </c>
      <c r="H701" s="27">
        <v>4</v>
      </c>
      <c r="I701" s="27">
        <f>VLOOKUP(F701,mapping!$L$2:$P$92,2,0)</f>
        <v>0.34064763831408895</v>
      </c>
      <c r="J701" s="27">
        <f>VLOOKUP($F701,mapping!$L$2:$P$92,3,0)</f>
        <v>1388.78</v>
      </c>
      <c r="K701" s="27" t="str">
        <f>VLOOKUP($F701,mapping!$L$2:$P$92,4,0)</f>
        <v>Developing Asia</v>
      </c>
      <c r="L701" s="29">
        <f>$D701*VLOOKUP($E701,'Charts data'!$A$2:$B$11,2,0)*VLOOKUP($G701,'Charts data'!$A$14:$B$18,2,0)/IF('Charts data'!$E$3=1,I701,1)/IF('Charts data'!$E$4=1,J701,1)</f>
        <v>16027.125018698311</v>
      </c>
    </row>
    <row r="702" spans="1:12" x14ac:dyDescent="0.25">
      <c r="A702" s="27" t="s">
        <v>1580</v>
      </c>
      <c r="B702" s="27">
        <v>600000</v>
      </c>
      <c r="C702" s="27" t="s">
        <v>16</v>
      </c>
      <c r="D702" s="28">
        <f>B702*VLOOKUP(C702,tblXrate[],2,0)</f>
        <v>10684.750012465542</v>
      </c>
      <c r="E702" s="27" t="s">
        <v>53</v>
      </c>
      <c r="F702" s="27" t="s">
        <v>3</v>
      </c>
      <c r="G702" s="27" t="s">
        <v>2272</v>
      </c>
      <c r="H702" s="27">
        <v>36</v>
      </c>
      <c r="I702" s="27">
        <f>VLOOKUP(F702,mapping!$L$2:$P$92,2,0)</f>
        <v>0.34064763831408895</v>
      </c>
      <c r="J702" s="27">
        <f>VLOOKUP($F702,mapping!$L$2:$P$92,3,0)</f>
        <v>1388.78</v>
      </c>
      <c r="K702" s="27" t="str">
        <f>VLOOKUP($F702,mapping!$L$2:$P$92,4,0)</f>
        <v>Developing Asia</v>
      </c>
      <c r="L702" s="29">
        <f>$D702*VLOOKUP($E702,'Charts data'!$A$2:$B$11,2,0)*VLOOKUP($G702,'Charts data'!$A$14:$B$18,2,0)/IF('Charts data'!$E$3=1,I702,1)/IF('Charts data'!$E$4=1,J702,1)</f>
        <v>10684.750012465542</v>
      </c>
    </row>
    <row r="703" spans="1:12" x14ac:dyDescent="0.25">
      <c r="A703" s="27" t="s">
        <v>1582</v>
      </c>
      <c r="B703" s="27">
        <v>500000</v>
      </c>
      <c r="C703" s="27" t="s">
        <v>16</v>
      </c>
      <c r="D703" s="28">
        <f>B703*VLOOKUP(C703,tblXrate[],2,0)</f>
        <v>8903.9583437212841</v>
      </c>
      <c r="E703" s="27" t="s">
        <v>19</v>
      </c>
      <c r="F703" s="27" t="s">
        <v>3</v>
      </c>
      <c r="G703" s="27" t="s">
        <v>2272</v>
      </c>
      <c r="H703" s="27">
        <v>0</v>
      </c>
      <c r="I703" s="27">
        <f>VLOOKUP(F703,mapping!$L$2:$P$92,2,0)</f>
        <v>0.34064763831408895</v>
      </c>
      <c r="J703" s="27">
        <f>VLOOKUP($F703,mapping!$L$2:$P$92,3,0)</f>
        <v>1388.78</v>
      </c>
      <c r="K703" s="27" t="str">
        <f>VLOOKUP($F703,mapping!$L$2:$P$92,4,0)</f>
        <v>Developing Asia</v>
      </c>
      <c r="L703" s="29">
        <f>$D703*VLOOKUP($E703,'Charts data'!$A$2:$B$11,2,0)*VLOOKUP($G703,'Charts data'!$A$14:$B$18,2,0)/IF('Charts data'!$E$3=1,I703,1)/IF('Charts data'!$E$4=1,J703,1)</f>
        <v>8903.9583437212841</v>
      </c>
    </row>
    <row r="704" spans="1:12" x14ac:dyDescent="0.25">
      <c r="A704" s="27" t="s">
        <v>1585</v>
      </c>
      <c r="B704" s="27">
        <v>1000000</v>
      </c>
      <c r="C704" s="27" t="s">
        <v>16</v>
      </c>
      <c r="D704" s="28">
        <f>B704*VLOOKUP(C704,tblXrate[],2,0)</f>
        <v>17807.916687442568</v>
      </c>
      <c r="E704" s="27" t="s">
        <v>19</v>
      </c>
      <c r="F704" s="27" t="s">
        <v>3</v>
      </c>
      <c r="G704" s="27" t="s">
        <v>2273</v>
      </c>
      <c r="H704" s="27">
        <v>6</v>
      </c>
      <c r="I704" s="27">
        <f>VLOOKUP(F704,mapping!$L$2:$P$92,2,0)</f>
        <v>0.34064763831408895</v>
      </c>
      <c r="J704" s="27">
        <f>VLOOKUP($F704,mapping!$L$2:$P$92,3,0)</f>
        <v>1388.78</v>
      </c>
      <c r="K704" s="27" t="str">
        <f>VLOOKUP($F704,mapping!$L$2:$P$92,4,0)</f>
        <v>Developing Asia</v>
      </c>
      <c r="L704" s="29">
        <f>$D704*VLOOKUP($E704,'Charts data'!$A$2:$B$11,2,0)*VLOOKUP($G704,'Charts data'!$A$14:$B$18,2,0)/IF('Charts data'!$E$3=1,I704,1)/IF('Charts data'!$E$4=1,J704,1)</f>
        <v>17807.916687442568</v>
      </c>
    </row>
    <row r="705" spans="1:12" x14ac:dyDescent="0.25">
      <c r="A705" s="27" t="s">
        <v>1590</v>
      </c>
      <c r="B705" s="27">
        <v>320000</v>
      </c>
      <c r="C705" s="27" t="s">
        <v>16</v>
      </c>
      <c r="D705" s="28">
        <f>B705*VLOOKUP(C705,tblXrate[],2,0)</f>
        <v>5698.5333399816218</v>
      </c>
      <c r="E705" s="27" t="s">
        <v>7</v>
      </c>
      <c r="F705" s="27" t="s">
        <v>3</v>
      </c>
      <c r="G705" s="27" t="s">
        <v>2272</v>
      </c>
      <c r="H705" s="27">
        <v>2</v>
      </c>
      <c r="I705" s="27">
        <f>VLOOKUP(F705,mapping!$L$2:$P$92,2,0)</f>
        <v>0.34064763831408895</v>
      </c>
      <c r="J705" s="27">
        <f>VLOOKUP($F705,mapping!$L$2:$P$92,3,0)</f>
        <v>1388.78</v>
      </c>
      <c r="K705" s="27" t="str">
        <f>VLOOKUP($F705,mapping!$L$2:$P$92,4,0)</f>
        <v>Developing Asia</v>
      </c>
      <c r="L705" s="29">
        <f>$D705*VLOOKUP($E705,'Charts data'!$A$2:$B$11,2,0)*VLOOKUP($G705,'Charts data'!$A$14:$B$18,2,0)/IF('Charts data'!$E$3=1,I705,1)/IF('Charts data'!$E$4=1,J705,1)</f>
        <v>5698.5333399816218</v>
      </c>
    </row>
    <row r="706" spans="1:12" x14ac:dyDescent="0.25">
      <c r="A706" s="27" t="s">
        <v>1591</v>
      </c>
      <c r="B706" s="27">
        <v>400000</v>
      </c>
      <c r="C706" s="27" t="s">
        <v>16</v>
      </c>
      <c r="D706" s="28">
        <f>B706*VLOOKUP(C706,tblXrate[],2,0)</f>
        <v>7123.1666749770275</v>
      </c>
      <c r="E706" s="27" t="s">
        <v>19</v>
      </c>
      <c r="F706" s="27" t="s">
        <v>3</v>
      </c>
      <c r="G706" s="27" t="s">
        <v>2271</v>
      </c>
      <c r="H706" s="27">
        <v>6</v>
      </c>
      <c r="I706" s="27">
        <f>VLOOKUP(F706,mapping!$L$2:$P$92,2,0)</f>
        <v>0.34064763831408895</v>
      </c>
      <c r="J706" s="27">
        <f>VLOOKUP($F706,mapping!$L$2:$P$92,3,0)</f>
        <v>1388.78</v>
      </c>
      <c r="K706" s="27" t="str">
        <f>VLOOKUP($F706,mapping!$L$2:$P$92,4,0)</f>
        <v>Developing Asia</v>
      </c>
      <c r="L706" s="29">
        <f>$D706*VLOOKUP($E706,'Charts data'!$A$2:$B$11,2,0)*VLOOKUP($G706,'Charts data'!$A$14:$B$18,2,0)/IF('Charts data'!$E$3=1,I706,1)/IF('Charts data'!$E$4=1,J706,1)</f>
        <v>7123.1666749770275</v>
      </c>
    </row>
    <row r="707" spans="1:12" x14ac:dyDescent="0.25">
      <c r="A707" s="27" t="s">
        <v>1592</v>
      </c>
      <c r="B707" s="27">
        <v>250000</v>
      </c>
      <c r="C707" s="27" t="s">
        <v>16</v>
      </c>
      <c r="D707" s="28">
        <f>B707*VLOOKUP(C707,tblXrate[],2,0)</f>
        <v>4451.9791718606421</v>
      </c>
      <c r="E707" s="27" t="s">
        <v>19</v>
      </c>
      <c r="F707" s="27" t="s">
        <v>3</v>
      </c>
      <c r="G707" s="27" t="s">
        <v>2272</v>
      </c>
      <c r="H707" s="27">
        <v>15</v>
      </c>
      <c r="I707" s="27">
        <f>VLOOKUP(F707,mapping!$L$2:$P$92,2,0)</f>
        <v>0.34064763831408895</v>
      </c>
      <c r="J707" s="27">
        <f>VLOOKUP($F707,mapping!$L$2:$P$92,3,0)</f>
        <v>1388.78</v>
      </c>
      <c r="K707" s="27" t="str">
        <f>VLOOKUP($F707,mapping!$L$2:$P$92,4,0)</f>
        <v>Developing Asia</v>
      </c>
      <c r="L707" s="29">
        <f>$D707*VLOOKUP($E707,'Charts data'!$A$2:$B$11,2,0)*VLOOKUP($G707,'Charts data'!$A$14:$B$18,2,0)/IF('Charts data'!$E$3=1,I707,1)/IF('Charts data'!$E$4=1,J707,1)</f>
        <v>4451.9791718606421</v>
      </c>
    </row>
    <row r="708" spans="1:12" x14ac:dyDescent="0.25">
      <c r="A708" s="27" t="s">
        <v>1593</v>
      </c>
      <c r="B708" s="27">
        <v>360000</v>
      </c>
      <c r="C708" s="27" t="s">
        <v>16</v>
      </c>
      <c r="D708" s="28">
        <f>B708*VLOOKUP(C708,tblXrate[],2,0)</f>
        <v>6410.8500074793246</v>
      </c>
      <c r="E708" s="27" t="s">
        <v>7</v>
      </c>
      <c r="F708" s="27" t="s">
        <v>3</v>
      </c>
      <c r="G708" s="27" t="s">
        <v>2272</v>
      </c>
      <c r="H708" s="27">
        <v>6</v>
      </c>
      <c r="I708" s="27">
        <f>VLOOKUP(F708,mapping!$L$2:$P$92,2,0)</f>
        <v>0.34064763831408895</v>
      </c>
      <c r="J708" s="27">
        <f>VLOOKUP($F708,mapping!$L$2:$P$92,3,0)</f>
        <v>1388.78</v>
      </c>
      <c r="K708" s="27" t="str">
        <f>VLOOKUP($F708,mapping!$L$2:$P$92,4,0)</f>
        <v>Developing Asia</v>
      </c>
      <c r="L708" s="29">
        <f>$D708*VLOOKUP($E708,'Charts data'!$A$2:$B$11,2,0)*VLOOKUP($G708,'Charts data'!$A$14:$B$18,2,0)/IF('Charts data'!$E$3=1,I708,1)/IF('Charts data'!$E$4=1,J708,1)</f>
        <v>6410.8500074793246</v>
      </c>
    </row>
    <row r="709" spans="1:12" x14ac:dyDescent="0.25">
      <c r="A709" s="27" t="s">
        <v>1594</v>
      </c>
      <c r="B709" s="27">
        <v>1150000</v>
      </c>
      <c r="C709" s="27" t="s">
        <v>16</v>
      </c>
      <c r="D709" s="28">
        <f>B709*VLOOKUP(C709,tblXrate[],2,0)</f>
        <v>20479.104190558952</v>
      </c>
      <c r="E709" s="27" t="s">
        <v>19</v>
      </c>
      <c r="F709" s="27" t="s">
        <v>3</v>
      </c>
      <c r="G709" s="27" t="s">
        <v>2273</v>
      </c>
      <c r="H709" s="27">
        <v>12</v>
      </c>
      <c r="I709" s="27">
        <f>VLOOKUP(F709,mapping!$L$2:$P$92,2,0)</f>
        <v>0.34064763831408895</v>
      </c>
      <c r="J709" s="27">
        <f>VLOOKUP($F709,mapping!$L$2:$P$92,3,0)</f>
        <v>1388.78</v>
      </c>
      <c r="K709" s="27" t="str">
        <f>VLOOKUP($F709,mapping!$L$2:$P$92,4,0)</f>
        <v>Developing Asia</v>
      </c>
      <c r="L709" s="29">
        <f>$D709*VLOOKUP($E709,'Charts data'!$A$2:$B$11,2,0)*VLOOKUP($G709,'Charts data'!$A$14:$B$18,2,0)/IF('Charts data'!$E$3=1,I709,1)/IF('Charts data'!$E$4=1,J709,1)</f>
        <v>20479.104190558952</v>
      </c>
    </row>
    <row r="710" spans="1:12" x14ac:dyDescent="0.25">
      <c r="A710" s="27" t="s">
        <v>1595</v>
      </c>
      <c r="B710" s="27">
        <v>620000</v>
      </c>
      <c r="C710" s="27" t="s">
        <v>16</v>
      </c>
      <c r="D710" s="28">
        <f>B710*VLOOKUP(C710,tblXrate[],2,0)</f>
        <v>11040.908346214392</v>
      </c>
      <c r="E710" s="27" t="s">
        <v>7</v>
      </c>
      <c r="F710" s="27" t="s">
        <v>3</v>
      </c>
      <c r="G710" s="27" t="s">
        <v>2274</v>
      </c>
      <c r="H710" s="27">
        <v>5</v>
      </c>
      <c r="I710" s="27">
        <f>VLOOKUP(F710,mapping!$L$2:$P$92,2,0)</f>
        <v>0.34064763831408895</v>
      </c>
      <c r="J710" s="27">
        <f>VLOOKUP($F710,mapping!$L$2:$P$92,3,0)</f>
        <v>1388.78</v>
      </c>
      <c r="K710" s="27" t="str">
        <f>VLOOKUP($F710,mapping!$L$2:$P$92,4,0)</f>
        <v>Developing Asia</v>
      </c>
      <c r="L710" s="29">
        <f>$D710*VLOOKUP($E710,'Charts data'!$A$2:$B$11,2,0)*VLOOKUP($G710,'Charts data'!$A$14:$B$18,2,0)/IF('Charts data'!$E$3=1,I710,1)/IF('Charts data'!$E$4=1,J710,1)</f>
        <v>11040.908346214392</v>
      </c>
    </row>
    <row r="711" spans="1:12" x14ac:dyDescent="0.25">
      <c r="A711" s="27" t="s">
        <v>1596</v>
      </c>
      <c r="B711" s="27">
        <v>1000000</v>
      </c>
      <c r="C711" s="27" t="s">
        <v>16</v>
      </c>
      <c r="D711" s="28">
        <f>B711*VLOOKUP(C711,tblXrate[],2,0)</f>
        <v>17807.916687442568</v>
      </c>
      <c r="E711" s="27" t="s">
        <v>23</v>
      </c>
      <c r="F711" s="27" t="s">
        <v>3</v>
      </c>
      <c r="G711" s="27" t="s">
        <v>2272</v>
      </c>
      <c r="H711" s="27">
        <v>7</v>
      </c>
      <c r="I711" s="27">
        <f>VLOOKUP(F711,mapping!$L$2:$P$92,2,0)</f>
        <v>0.34064763831408895</v>
      </c>
      <c r="J711" s="27">
        <f>VLOOKUP($F711,mapping!$L$2:$P$92,3,0)</f>
        <v>1388.78</v>
      </c>
      <c r="K711" s="27" t="str">
        <f>VLOOKUP($F711,mapping!$L$2:$P$92,4,0)</f>
        <v>Developing Asia</v>
      </c>
      <c r="L711" s="29">
        <f>$D711*VLOOKUP($E711,'Charts data'!$A$2:$B$11,2,0)*VLOOKUP($G711,'Charts data'!$A$14:$B$18,2,0)/IF('Charts data'!$E$3=1,I711,1)/IF('Charts data'!$E$4=1,J711,1)</f>
        <v>17807.916687442568</v>
      </c>
    </row>
    <row r="712" spans="1:12" x14ac:dyDescent="0.25">
      <c r="A712" s="27" t="s">
        <v>1597</v>
      </c>
      <c r="B712" s="27">
        <v>200000</v>
      </c>
      <c r="C712" s="27" t="s">
        <v>16</v>
      </c>
      <c r="D712" s="28">
        <f>B712*VLOOKUP(C712,tblXrate[],2,0)</f>
        <v>3561.5833374885137</v>
      </c>
      <c r="E712" s="27" t="s">
        <v>7</v>
      </c>
      <c r="F712" s="27" t="s">
        <v>3</v>
      </c>
      <c r="G712" s="27" t="s">
        <v>2271</v>
      </c>
      <c r="H712" s="27">
        <v>11</v>
      </c>
      <c r="I712" s="27">
        <f>VLOOKUP(F712,mapping!$L$2:$P$92,2,0)</f>
        <v>0.34064763831408895</v>
      </c>
      <c r="J712" s="27">
        <f>VLOOKUP($F712,mapping!$L$2:$P$92,3,0)</f>
        <v>1388.78</v>
      </c>
      <c r="K712" s="27" t="str">
        <f>VLOOKUP($F712,mapping!$L$2:$P$92,4,0)</f>
        <v>Developing Asia</v>
      </c>
      <c r="L712" s="29">
        <f>$D712*VLOOKUP($E712,'Charts data'!$A$2:$B$11,2,0)*VLOOKUP($G712,'Charts data'!$A$14:$B$18,2,0)/IF('Charts data'!$E$3=1,I712,1)/IF('Charts data'!$E$4=1,J712,1)</f>
        <v>3561.5833374885137</v>
      </c>
    </row>
    <row r="713" spans="1:12" x14ac:dyDescent="0.25">
      <c r="A713" s="27" t="s">
        <v>1601</v>
      </c>
      <c r="B713" s="27">
        <v>230000</v>
      </c>
      <c r="C713" s="27" t="s">
        <v>16</v>
      </c>
      <c r="D713" s="28">
        <f>B713*VLOOKUP(C713,tblXrate[],2,0)</f>
        <v>4095.8208381117906</v>
      </c>
      <c r="E713" s="27" t="s">
        <v>7</v>
      </c>
      <c r="F713" s="27" t="s">
        <v>3</v>
      </c>
      <c r="G713" s="27" t="s">
        <v>2271</v>
      </c>
      <c r="H713" s="27">
        <v>1.6</v>
      </c>
      <c r="I713" s="27">
        <f>VLOOKUP(F713,mapping!$L$2:$P$92,2,0)</f>
        <v>0.34064763831408895</v>
      </c>
      <c r="J713" s="27">
        <f>VLOOKUP($F713,mapping!$L$2:$P$92,3,0)</f>
        <v>1388.78</v>
      </c>
      <c r="K713" s="27" t="str">
        <f>VLOOKUP($F713,mapping!$L$2:$P$92,4,0)</f>
        <v>Developing Asia</v>
      </c>
      <c r="L713" s="29">
        <f>$D713*VLOOKUP($E713,'Charts data'!$A$2:$B$11,2,0)*VLOOKUP($G713,'Charts data'!$A$14:$B$18,2,0)/IF('Charts data'!$E$3=1,I713,1)/IF('Charts data'!$E$4=1,J713,1)</f>
        <v>4095.8208381117906</v>
      </c>
    </row>
    <row r="714" spans="1:12" x14ac:dyDescent="0.25">
      <c r="A714" s="27" t="s">
        <v>1605</v>
      </c>
      <c r="B714" s="27">
        <v>720000</v>
      </c>
      <c r="C714" s="27" t="s">
        <v>16</v>
      </c>
      <c r="D714" s="28">
        <f>B714*VLOOKUP(C714,tblXrate[],2,0)</f>
        <v>12821.700014958649</v>
      </c>
      <c r="E714" s="27" t="s">
        <v>7</v>
      </c>
      <c r="F714" s="27" t="s">
        <v>3</v>
      </c>
      <c r="G714" s="27" t="s">
        <v>2271</v>
      </c>
      <c r="H714" s="27">
        <v>3</v>
      </c>
      <c r="I714" s="27">
        <f>VLOOKUP(F714,mapping!$L$2:$P$92,2,0)</f>
        <v>0.34064763831408895</v>
      </c>
      <c r="J714" s="27">
        <f>VLOOKUP($F714,mapping!$L$2:$P$92,3,0)</f>
        <v>1388.78</v>
      </c>
      <c r="K714" s="27" t="str">
        <f>VLOOKUP($F714,mapping!$L$2:$P$92,4,0)</f>
        <v>Developing Asia</v>
      </c>
      <c r="L714" s="29">
        <f>$D714*VLOOKUP($E714,'Charts data'!$A$2:$B$11,2,0)*VLOOKUP($G714,'Charts data'!$A$14:$B$18,2,0)/IF('Charts data'!$E$3=1,I714,1)/IF('Charts data'!$E$4=1,J714,1)</f>
        <v>12821.700014958649</v>
      </c>
    </row>
    <row r="715" spans="1:12" x14ac:dyDescent="0.25">
      <c r="A715" s="27" t="s">
        <v>1630</v>
      </c>
      <c r="B715" s="27">
        <v>278000</v>
      </c>
      <c r="C715" s="27" t="s">
        <v>16</v>
      </c>
      <c r="D715" s="28">
        <f>B715*VLOOKUP(C715,tblXrate[],2,0)</f>
        <v>4950.6008391090336</v>
      </c>
      <c r="E715" s="27" t="s">
        <v>2145</v>
      </c>
      <c r="F715" s="27" t="s">
        <v>3</v>
      </c>
      <c r="G715" s="27" t="s">
        <v>2273</v>
      </c>
      <c r="H715" s="27">
        <v>8</v>
      </c>
      <c r="I715" s="27">
        <f>VLOOKUP(F715,mapping!$L$2:$P$92,2,0)</f>
        <v>0.34064763831408895</v>
      </c>
      <c r="J715" s="27">
        <f>VLOOKUP($F715,mapping!$L$2:$P$92,3,0)</f>
        <v>1388.78</v>
      </c>
      <c r="K715" s="27" t="str">
        <f>VLOOKUP($F715,mapping!$L$2:$P$92,4,0)</f>
        <v>Developing Asia</v>
      </c>
      <c r="L715" s="29">
        <f>$D715*VLOOKUP($E715,'Charts data'!$A$2:$B$11,2,0)*VLOOKUP($G715,'Charts data'!$A$14:$B$18,2,0)/IF('Charts data'!$E$3=1,I715,1)/IF('Charts data'!$E$4=1,J715,1)</f>
        <v>4950.6008391090336</v>
      </c>
    </row>
    <row r="716" spans="1:12" x14ac:dyDescent="0.25">
      <c r="A716" s="27" t="s">
        <v>1634</v>
      </c>
      <c r="B716" s="27">
        <v>650000</v>
      </c>
      <c r="C716" s="27" t="s">
        <v>16</v>
      </c>
      <c r="D716" s="28">
        <f>B716*VLOOKUP(C716,tblXrate[],2,0)</f>
        <v>11575.14584683767</v>
      </c>
      <c r="E716" s="27" t="s">
        <v>7</v>
      </c>
      <c r="F716" s="27" t="s">
        <v>3</v>
      </c>
      <c r="G716" s="27" t="s">
        <v>2271</v>
      </c>
      <c r="H716" s="27">
        <v>21</v>
      </c>
      <c r="I716" s="27">
        <f>VLOOKUP(F716,mapping!$L$2:$P$92,2,0)</f>
        <v>0.34064763831408895</v>
      </c>
      <c r="J716" s="27">
        <f>VLOOKUP($F716,mapping!$L$2:$P$92,3,0)</f>
        <v>1388.78</v>
      </c>
      <c r="K716" s="27" t="str">
        <f>VLOOKUP($F716,mapping!$L$2:$P$92,4,0)</f>
        <v>Developing Asia</v>
      </c>
      <c r="L716" s="29">
        <f>$D716*VLOOKUP($E716,'Charts data'!$A$2:$B$11,2,0)*VLOOKUP($G716,'Charts data'!$A$14:$B$18,2,0)/IF('Charts data'!$E$3=1,I716,1)/IF('Charts data'!$E$4=1,J716,1)</f>
        <v>11575.14584683767</v>
      </c>
    </row>
    <row r="717" spans="1:12" x14ac:dyDescent="0.25">
      <c r="A717" s="27" t="s">
        <v>1636</v>
      </c>
      <c r="B717" s="27">
        <v>4000000</v>
      </c>
      <c r="C717" s="27" t="s">
        <v>16</v>
      </c>
      <c r="D717" s="28">
        <f>B717*VLOOKUP(C717,tblXrate[],2,0)</f>
        <v>71231.666749770273</v>
      </c>
      <c r="E717" s="27" t="s">
        <v>23</v>
      </c>
      <c r="F717" s="27" t="s">
        <v>3</v>
      </c>
      <c r="G717" s="27" t="s">
        <v>2273</v>
      </c>
      <c r="H717" s="27">
        <v>5</v>
      </c>
      <c r="I717" s="27">
        <f>VLOOKUP(F717,mapping!$L$2:$P$92,2,0)</f>
        <v>0.34064763831408895</v>
      </c>
      <c r="J717" s="27">
        <f>VLOOKUP($F717,mapping!$L$2:$P$92,3,0)</f>
        <v>1388.78</v>
      </c>
      <c r="K717" s="27" t="str">
        <f>VLOOKUP($F717,mapping!$L$2:$P$92,4,0)</f>
        <v>Developing Asia</v>
      </c>
      <c r="L717" s="29">
        <f>$D717*VLOOKUP($E717,'Charts data'!$A$2:$B$11,2,0)*VLOOKUP($G717,'Charts data'!$A$14:$B$18,2,0)/IF('Charts data'!$E$3=1,I717,1)/IF('Charts data'!$E$4=1,J717,1)</f>
        <v>71231.666749770273</v>
      </c>
    </row>
    <row r="718" spans="1:12" x14ac:dyDescent="0.25">
      <c r="A718" s="27" t="s">
        <v>1639</v>
      </c>
      <c r="B718" s="27">
        <v>1500000</v>
      </c>
      <c r="C718" s="27" t="s">
        <v>16</v>
      </c>
      <c r="D718" s="28">
        <f>B718*VLOOKUP(C718,tblXrate[],2,0)</f>
        <v>26711.875031163851</v>
      </c>
      <c r="E718" s="27" t="s">
        <v>53</v>
      </c>
      <c r="F718" s="27" t="s">
        <v>3</v>
      </c>
      <c r="G718" s="27" t="s">
        <v>2271</v>
      </c>
      <c r="H718" s="27">
        <v>10</v>
      </c>
      <c r="I718" s="27">
        <f>VLOOKUP(F718,mapping!$L$2:$P$92,2,0)</f>
        <v>0.34064763831408895</v>
      </c>
      <c r="J718" s="27">
        <f>VLOOKUP($F718,mapping!$L$2:$P$92,3,0)</f>
        <v>1388.78</v>
      </c>
      <c r="K718" s="27" t="str">
        <f>VLOOKUP($F718,mapping!$L$2:$P$92,4,0)</f>
        <v>Developing Asia</v>
      </c>
      <c r="L718" s="29">
        <f>$D718*VLOOKUP($E718,'Charts data'!$A$2:$B$11,2,0)*VLOOKUP($G718,'Charts data'!$A$14:$B$18,2,0)/IF('Charts data'!$E$3=1,I718,1)/IF('Charts data'!$E$4=1,J718,1)</f>
        <v>26711.875031163851</v>
      </c>
    </row>
    <row r="719" spans="1:12" x14ac:dyDescent="0.25">
      <c r="A719" s="27" t="s">
        <v>1640</v>
      </c>
      <c r="B719" s="27">
        <v>536000</v>
      </c>
      <c r="C719" s="27" t="s">
        <v>16</v>
      </c>
      <c r="D719" s="28">
        <f>B719*VLOOKUP(C719,tblXrate[],2,0)</f>
        <v>9545.0433444692171</v>
      </c>
      <c r="E719" s="27" t="s">
        <v>19</v>
      </c>
      <c r="F719" s="27" t="s">
        <v>3</v>
      </c>
      <c r="G719" s="27" t="s">
        <v>2271</v>
      </c>
      <c r="H719" s="27">
        <v>4</v>
      </c>
      <c r="I719" s="27">
        <f>VLOOKUP(F719,mapping!$L$2:$P$92,2,0)</f>
        <v>0.34064763831408895</v>
      </c>
      <c r="J719" s="27">
        <f>VLOOKUP($F719,mapping!$L$2:$P$92,3,0)</f>
        <v>1388.78</v>
      </c>
      <c r="K719" s="27" t="str">
        <f>VLOOKUP($F719,mapping!$L$2:$P$92,4,0)</f>
        <v>Developing Asia</v>
      </c>
      <c r="L719" s="29">
        <f>$D719*VLOOKUP($E719,'Charts data'!$A$2:$B$11,2,0)*VLOOKUP($G719,'Charts data'!$A$14:$B$18,2,0)/IF('Charts data'!$E$3=1,I719,1)/IF('Charts data'!$E$4=1,J719,1)</f>
        <v>9545.0433444692171</v>
      </c>
    </row>
    <row r="720" spans="1:12" x14ac:dyDescent="0.25">
      <c r="A720" s="27" t="s">
        <v>1657</v>
      </c>
      <c r="B720" s="27">
        <v>500000</v>
      </c>
      <c r="C720" s="27" t="s">
        <v>16</v>
      </c>
      <c r="D720" s="28">
        <f>B720*VLOOKUP(C720,tblXrate[],2,0)</f>
        <v>8903.9583437212841</v>
      </c>
      <c r="E720" s="27" t="s">
        <v>7</v>
      </c>
      <c r="F720" s="27" t="s">
        <v>3</v>
      </c>
      <c r="G720" s="27" t="s">
        <v>2271</v>
      </c>
      <c r="H720" s="27">
        <v>8</v>
      </c>
      <c r="I720" s="27">
        <f>VLOOKUP(F720,mapping!$L$2:$P$92,2,0)</f>
        <v>0.34064763831408895</v>
      </c>
      <c r="J720" s="27">
        <f>VLOOKUP($F720,mapping!$L$2:$P$92,3,0)</f>
        <v>1388.78</v>
      </c>
      <c r="K720" s="27" t="str">
        <f>VLOOKUP($F720,mapping!$L$2:$P$92,4,0)</f>
        <v>Developing Asia</v>
      </c>
      <c r="L720" s="29">
        <f>$D720*VLOOKUP($E720,'Charts data'!$A$2:$B$11,2,0)*VLOOKUP($G720,'Charts data'!$A$14:$B$18,2,0)/IF('Charts data'!$E$3=1,I720,1)/IF('Charts data'!$E$4=1,J720,1)</f>
        <v>8903.9583437212841</v>
      </c>
    </row>
    <row r="721" spans="1:12" x14ac:dyDescent="0.25">
      <c r="A721" s="27" t="s">
        <v>1661</v>
      </c>
      <c r="B721" s="27">
        <v>200000</v>
      </c>
      <c r="C721" s="27" t="s">
        <v>16</v>
      </c>
      <c r="D721" s="28">
        <f>B721*VLOOKUP(C721,tblXrate[],2,0)</f>
        <v>3561.5833374885137</v>
      </c>
      <c r="E721" s="27" t="s">
        <v>51</v>
      </c>
      <c r="F721" s="27" t="s">
        <v>3</v>
      </c>
      <c r="G721" s="27" t="s">
        <v>2273</v>
      </c>
      <c r="H721" s="27">
        <v>3</v>
      </c>
      <c r="I721" s="27">
        <f>VLOOKUP(F721,mapping!$L$2:$P$92,2,0)</f>
        <v>0.34064763831408895</v>
      </c>
      <c r="J721" s="27">
        <f>VLOOKUP($F721,mapping!$L$2:$P$92,3,0)</f>
        <v>1388.78</v>
      </c>
      <c r="K721" s="27" t="str">
        <f>VLOOKUP($F721,mapping!$L$2:$P$92,4,0)</f>
        <v>Developing Asia</v>
      </c>
      <c r="L721" s="29">
        <f>$D721*VLOOKUP($E721,'Charts data'!$A$2:$B$11,2,0)*VLOOKUP($G721,'Charts data'!$A$14:$B$18,2,0)/IF('Charts data'!$E$3=1,I721,1)/IF('Charts data'!$E$4=1,J721,1)</f>
        <v>3561.5833374885137</v>
      </c>
    </row>
    <row r="722" spans="1:12" x14ac:dyDescent="0.25">
      <c r="A722" s="27" t="s">
        <v>1664</v>
      </c>
      <c r="B722" s="27">
        <v>380000</v>
      </c>
      <c r="C722" s="27" t="s">
        <v>16</v>
      </c>
      <c r="D722" s="28">
        <f>B722*VLOOKUP(C722,tblXrate[],2,0)</f>
        <v>6767.0083412281756</v>
      </c>
      <c r="E722" s="27" t="s">
        <v>7</v>
      </c>
      <c r="F722" s="27" t="s">
        <v>3</v>
      </c>
      <c r="G722" s="27" t="s">
        <v>2272</v>
      </c>
      <c r="H722" s="27">
        <v>6</v>
      </c>
      <c r="I722" s="27">
        <f>VLOOKUP(F722,mapping!$L$2:$P$92,2,0)</f>
        <v>0.34064763831408895</v>
      </c>
      <c r="J722" s="27">
        <f>VLOOKUP($F722,mapping!$L$2:$P$92,3,0)</f>
        <v>1388.78</v>
      </c>
      <c r="K722" s="27" t="str">
        <f>VLOOKUP($F722,mapping!$L$2:$P$92,4,0)</f>
        <v>Developing Asia</v>
      </c>
      <c r="L722" s="29">
        <f>$D722*VLOOKUP($E722,'Charts data'!$A$2:$B$11,2,0)*VLOOKUP($G722,'Charts data'!$A$14:$B$18,2,0)/IF('Charts data'!$E$3=1,I722,1)/IF('Charts data'!$E$4=1,J722,1)</f>
        <v>6767.0083412281756</v>
      </c>
    </row>
    <row r="723" spans="1:12" x14ac:dyDescent="0.25">
      <c r="A723" s="27" t="s">
        <v>1671</v>
      </c>
      <c r="B723" s="27">
        <v>180000</v>
      </c>
      <c r="C723" s="27" t="s">
        <v>16</v>
      </c>
      <c r="D723" s="28">
        <f>B723*VLOOKUP(C723,tblXrate[],2,0)</f>
        <v>3205.4250037396623</v>
      </c>
      <c r="E723" s="27" t="s">
        <v>19</v>
      </c>
      <c r="F723" s="27" t="s">
        <v>3</v>
      </c>
      <c r="G723" s="27" t="s">
        <v>2271</v>
      </c>
      <c r="H723" s="27">
        <v>5</v>
      </c>
      <c r="I723" s="27">
        <f>VLOOKUP(F723,mapping!$L$2:$P$92,2,0)</f>
        <v>0.34064763831408895</v>
      </c>
      <c r="J723" s="27">
        <f>VLOOKUP($F723,mapping!$L$2:$P$92,3,0)</f>
        <v>1388.78</v>
      </c>
      <c r="K723" s="27" t="str">
        <f>VLOOKUP($F723,mapping!$L$2:$P$92,4,0)</f>
        <v>Developing Asia</v>
      </c>
      <c r="L723" s="29">
        <f>$D723*VLOOKUP($E723,'Charts data'!$A$2:$B$11,2,0)*VLOOKUP($G723,'Charts data'!$A$14:$B$18,2,0)/IF('Charts data'!$E$3=1,I723,1)/IF('Charts data'!$E$4=1,J723,1)</f>
        <v>3205.4250037396623</v>
      </c>
    </row>
    <row r="724" spans="1:12" x14ac:dyDescent="0.25">
      <c r="A724" s="27" t="s">
        <v>1675</v>
      </c>
      <c r="B724" s="27">
        <v>1000000</v>
      </c>
      <c r="C724" s="27" t="s">
        <v>16</v>
      </c>
      <c r="D724" s="28">
        <f>B724*VLOOKUP(C724,tblXrate[],2,0)</f>
        <v>17807.916687442568</v>
      </c>
      <c r="E724" s="27" t="s">
        <v>7</v>
      </c>
      <c r="F724" s="27" t="s">
        <v>3</v>
      </c>
      <c r="G724" s="27" t="s">
        <v>2273</v>
      </c>
      <c r="H724" s="27">
        <v>10</v>
      </c>
      <c r="I724" s="27">
        <f>VLOOKUP(F724,mapping!$L$2:$P$92,2,0)</f>
        <v>0.34064763831408895</v>
      </c>
      <c r="J724" s="27">
        <f>VLOOKUP($F724,mapping!$L$2:$P$92,3,0)</f>
        <v>1388.78</v>
      </c>
      <c r="K724" s="27" t="str">
        <f>VLOOKUP($F724,mapping!$L$2:$P$92,4,0)</f>
        <v>Developing Asia</v>
      </c>
      <c r="L724" s="29">
        <f>$D724*VLOOKUP($E724,'Charts data'!$A$2:$B$11,2,0)*VLOOKUP($G724,'Charts data'!$A$14:$B$18,2,0)/IF('Charts data'!$E$3=1,I724,1)/IF('Charts data'!$E$4=1,J724,1)</f>
        <v>17807.916687442568</v>
      </c>
    </row>
    <row r="725" spans="1:12" x14ac:dyDescent="0.25">
      <c r="A725" s="27" t="s">
        <v>1689</v>
      </c>
      <c r="B725" s="27">
        <v>700000</v>
      </c>
      <c r="C725" s="27" t="s">
        <v>16</v>
      </c>
      <c r="D725" s="28">
        <f>B725*VLOOKUP(C725,tblXrate[],2,0)</f>
        <v>12465.541681209797</v>
      </c>
      <c r="E725" s="27" t="s">
        <v>19</v>
      </c>
      <c r="F725" s="27" t="s">
        <v>3</v>
      </c>
      <c r="G725" s="27" t="s">
        <v>2273</v>
      </c>
      <c r="H725" s="27">
        <v>30</v>
      </c>
      <c r="I725" s="27">
        <f>VLOOKUP(F725,mapping!$L$2:$P$92,2,0)</f>
        <v>0.34064763831408895</v>
      </c>
      <c r="J725" s="27">
        <f>VLOOKUP($F725,mapping!$L$2:$P$92,3,0)</f>
        <v>1388.78</v>
      </c>
      <c r="K725" s="27" t="str">
        <f>VLOOKUP($F725,mapping!$L$2:$P$92,4,0)</f>
        <v>Developing Asia</v>
      </c>
      <c r="L725" s="29">
        <f>$D725*VLOOKUP($E725,'Charts data'!$A$2:$B$11,2,0)*VLOOKUP($G725,'Charts data'!$A$14:$B$18,2,0)/IF('Charts data'!$E$3=1,I725,1)/IF('Charts data'!$E$4=1,J725,1)</f>
        <v>12465.541681209797</v>
      </c>
    </row>
    <row r="726" spans="1:12" x14ac:dyDescent="0.25">
      <c r="A726" s="27" t="s">
        <v>1695</v>
      </c>
      <c r="B726" s="27">
        <v>500000</v>
      </c>
      <c r="C726" s="27" t="s">
        <v>16</v>
      </c>
      <c r="D726" s="28">
        <f>B726*VLOOKUP(C726,tblXrate[],2,0)</f>
        <v>8903.9583437212841</v>
      </c>
      <c r="E726" s="27" t="s">
        <v>7</v>
      </c>
      <c r="F726" s="27" t="s">
        <v>3</v>
      </c>
      <c r="G726" s="27" t="s">
        <v>2271</v>
      </c>
      <c r="H726" s="27">
        <v>9</v>
      </c>
      <c r="I726" s="27">
        <f>VLOOKUP(F726,mapping!$L$2:$P$92,2,0)</f>
        <v>0.34064763831408895</v>
      </c>
      <c r="J726" s="27">
        <f>VLOOKUP($F726,mapping!$L$2:$P$92,3,0)</f>
        <v>1388.78</v>
      </c>
      <c r="K726" s="27" t="str">
        <f>VLOOKUP($F726,mapping!$L$2:$P$92,4,0)</f>
        <v>Developing Asia</v>
      </c>
      <c r="L726" s="29">
        <f>$D726*VLOOKUP($E726,'Charts data'!$A$2:$B$11,2,0)*VLOOKUP($G726,'Charts data'!$A$14:$B$18,2,0)/IF('Charts data'!$E$3=1,I726,1)/IF('Charts data'!$E$4=1,J726,1)</f>
        <v>8903.9583437212841</v>
      </c>
    </row>
    <row r="727" spans="1:12" x14ac:dyDescent="0.25">
      <c r="A727" s="27" t="s">
        <v>1697</v>
      </c>
      <c r="B727" s="27">
        <v>850000</v>
      </c>
      <c r="C727" s="27" t="s">
        <v>16</v>
      </c>
      <c r="D727" s="28">
        <f>B727*VLOOKUP(C727,tblXrate[],2,0)</f>
        <v>15136.729184326183</v>
      </c>
      <c r="E727" s="27" t="s">
        <v>7</v>
      </c>
      <c r="F727" s="27" t="s">
        <v>3</v>
      </c>
      <c r="G727" s="27" t="s">
        <v>2271</v>
      </c>
      <c r="H727" s="27">
        <v>5</v>
      </c>
      <c r="I727" s="27">
        <f>VLOOKUP(F727,mapping!$L$2:$P$92,2,0)</f>
        <v>0.34064763831408895</v>
      </c>
      <c r="J727" s="27">
        <f>VLOOKUP($F727,mapping!$L$2:$P$92,3,0)</f>
        <v>1388.78</v>
      </c>
      <c r="K727" s="27" t="str">
        <f>VLOOKUP($F727,mapping!$L$2:$P$92,4,0)</f>
        <v>Developing Asia</v>
      </c>
      <c r="L727" s="29">
        <f>$D727*VLOOKUP($E727,'Charts data'!$A$2:$B$11,2,0)*VLOOKUP($G727,'Charts data'!$A$14:$B$18,2,0)/IF('Charts data'!$E$3=1,I727,1)/IF('Charts data'!$E$4=1,J727,1)</f>
        <v>15136.729184326183</v>
      </c>
    </row>
    <row r="728" spans="1:12" x14ac:dyDescent="0.25">
      <c r="A728" s="27" t="s">
        <v>1708</v>
      </c>
      <c r="B728" s="27">
        <v>5650000</v>
      </c>
      <c r="C728" s="27" t="s">
        <v>16</v>
      </c>
      <c r="D728" s="28">
        <f>B728*VLOOKUP(C728,tblXrate[],2,0)</f>
        <v>100614.72928405051</v>
      </c>
      <c r="E728" s="27" t="s">
        <v>2145</v>
      </c>
      <c r="F728" s="27" t="s">
        <v>3</v>
      </c>
      <c r="G728" s="27" t="s">
        <v>2272</v>
      </c>
      <c r="H728" s="27">
        <v>6</v>
      </c>
      <c r="I728" s="27">
        <f>VLOOKUP(F728,mapping!$L$2:$P$92,2,0)</f>
        <v>0.34064763831408895</v>
      </c>
      <c r="J728" s="27">
        <f>VLOOKUP($F728,mapping!$L$2:$P$92,3,0)</f>
        <v>1388.78</v>
      </c>
      <c r="K728" s="27" t="str">
        <f>VLOOKUP($F728,mapping!$L$2:$P$92,4,0)</f>
        <v>Developing Asia</v>
      </c>
      <c r="L728" s="29">
        <f>$D728*VLOOKUP($E728,'Charts data'!$A$2:$B$11,2,0)*VLOOKUP($G728,'Charts data'!$A$14:$B$18,2,0)/IF('Charts data'!$E$3=1,I728,1)/IF('Charts data'!$E$4=1,J728,1)</f>
        <v>100614.72928405051</v>
      </c>
    </row>
    <row r="729" spans="1:12" x14ac:dyDescent="0.25">
      <c r="A729" s="27" t="s">
        <v>1711</v>
      </c>
      <c r="B729" s="27">
        <v>360000</v>
      </c>
      <c r="C729" s="27" t="s">
        <v>16</v>
      </c>
      <c r="D729" s="28">
        <f>B729*VLOOKUP(C729,tblXrate[],2,0)</f>
        <v>6410.8500074793246</v>
      </c>
      <c r="E729" s="27" t="s">
        <v>19</v>
      </c>
      <c r="F729" s="27" t="s">
        <v>3</v>
      </c>
      <c r="G729" s="27" t="s">
        <v>2272</v>
      </c>
      <c r="H729" s="27">
        <v>8</v>
      </c>
      <c r="I729" s="27">
        <f>VLOOKUP(F729,mapping!$L$2:$P$92,2,0)</f>
        <v>0.34064763831408895</v>
      </c>
      <c r="J729" s="27">
        <f>VLOOKUP($F729,mapping!$L$2:$P$92,3,0)</f>
        <v>1388.78</v>
      </c>
      <c r="K729" s="27" t="str">
        <f>VLOOKUP($F729,mapping!$L$2:$P$92,4,0)</f>
        <v>Developing Asia</v>
      </c>
      <c r="L729" s="29">
        <f>$D729*VLOOKUP($E729,'Charts data'!$A$2:$B$11,2,0)*VLOOKUP($G729,'Charts data'!$A$14:$B$18,2,0)/IF('Charts data'!$E$3=1,I729,1)/IF('Charts data'!$E$4=1,J729,1)</f>
        <v>6410.8500074793246</v>
      </c>
    </row>
    <row r="730" spans="1:12" x14ac:dyDescent="0.25">
      <c r="A730" s="27" t="s">
        <v>1713</v>
      </c>
      <c r="B730" s="27">
        <v>250000</v>
      </c>
      <c r="C730" s="27" t="s">
        <v>16</v>
      </c>
      <c r="D730" s="28">
        <f>B730*VLOOKUP(C730,tblXrate[],2,0)</f>
        <v>4451.9791718606421</v>
      </c>
      <c r="E730" s="27" t="s">
        <v>48</v>
      </c>
      <c r="F730" s="27" t="s">
        <v>3</v>
      </c>
      <c r="G730" s="27" t="s">
        <v>2271</v>
      </c>
      <c r="H730" s="27">
        <v>2.5</v>
      </c>
      <c r="I730" s="27">
        <f>VLOOKUP(F730,mapping!$L$2:$P$92,2,0)</f>
        <v>0.34064763831408895</v>
      </c>
      <c r="J730" s="27">
        <f>VLOOKUP($F730,mapping!$L$2:$P$92,3,0)</f>
        <v>1388.78</v>
      </c>
      <c r="K730" s="27" t="str">
        <f>VLOOKUP($F730,mapping!$L$2:$P$92,4,0)</f>
        <v>Developing Asia</v>
      </c>
      <c r="L730" s="29">
        <f>$D730*VLOOKUP($E730,'Charts data'!$A$2:$B$11,2,0)*VLOOKUP($G730,'Charts data'!$A$14:$B$18,2,0)/IF('Charts data'!$E$3=1,I730,1)/IF('Charts data'!$E$4=1,J730,1)</f>
        <v>4451.9791718606421</v>
      </c>
    </row>
    <row r="731" spans="1:12" x14ac:dyDescent="0.25">
      <c r="A731" s="27" t="s">
        <v>1715</v>
      </c>
      <c r="B731" s="27">
        <v>1700000</v>
      </c>
      <c r="C731" s="27" t="s">
        <v>16</v>
      </c>
      <c r="D731" s="28">
        <f>B731*VLOOKUP(C731,tblXrate[],2,0)</f>
        <v>30273.458368652366</v>
      </c>
      <c r="E731" s="27" t="s">
        <v>2147</v>
      </c>
      <c r="F731" s="27" t="s">
        <v>3</v>
      </c>
      <c r="G731" s="27" t="s">
        <v>2271</v>
      </c>
      <c r="H731" s="27">
        <v>6</v>
      </c>
      <c r="I731" s="27">
        <f>VLOOKUP(F731,mapping!$L$2:$P$92,2,0)</f>
        <v>0.34064763831408895</v>
      </c>
      <c r="J731" s="27">
        <f>VLOOKUP($F731,mapping!$L$2:$P$92,3,0)</f>
        <v>1388.78</v>
      </c>
      <c r="K731" s="27" t="str">
        <f>VLOOKUP($F731,mapping!$L$2:$P$92,4,0)</f>
        <v>Developing Asia</v>
      </c>
      <c r="L731" s="29">
        <f>$D731*VLOOKUP($E731,'Charts data'!$A$2:$B$11,2,0)*VLOOKUP($G731,'Charts data'!$A$14:$B$18,2,0)/IF('Charts data'!$E$3=1,I731,1)/IF('Charts data'!$E$4=1,J731,1)</f>
        <v>30273.458368652366</v>
      </c>
    </row>
    <row r="732" spans="1:12" x14ac:dyDescent="0.25">
      <c r="A732" s="27" t="s">
        <v>1718</v>
      </c>
      <c r="B732" s="27">
        <v>1000000</v>
      </c>
      <c r="C732" s="27" t="s">
        <v>16</v>
      </c>
      <c r="D732" s="28">
        <f>B732*VLOOKUP(C732,tblXrate[],2,0)</f>
        <v>17807.916687442568</v>
      </c>
      <c r="E732" s="27" t="s">
        <v>7</v>
      </c>
      <c r="F732" s="27" t="s">
        <v>3</v>
      </c>
      <c r="G732" s="27" t="s">
        <v>2273</v>
      </c>
      <c r="H732" s="27">
        <v>4</v>
      </c>
      <c r="I732" s="27">
        <f>VLOOKUP(F732,mapping!$L$2:$P$92,2,0)</f>
        <v>0.34064763831408895</v>
      </c>
      <c r="J732" s="27">
        <f>VLOOKUP($F732,mapping!$L$2:$P$92,3,0)</f>
        <v>1388.78</v>
      </c>
      <c r="K732" s="27" t="str">
        <f>VLOOKUP($F732,mapping!$L$2:$P$92,4,0)</f>
        <v>Developing Asia</v>
      </c>
      <c r="L732" s="29">
        <f>$D732*VLOOKUP($E732,'Charts data'!$A$2:$B$11,2,0)*VLOOKUP($G732,'Charts data'!$A$14:$B$18,2,0)/IF('Charts data'!$E$3=1,I732,1)/IF('Charts data'!$E$4=1,J732,1)</f>
        <v>17807.916687442568</v>
      </c>
    </row>
    <row r="733" spans="1:12" x14ac:dyDescent="0.25">
      <c r="A733" s="27" t="s">
        <v>1720</v>
      </c>
      <c r="B733" s="27">
        <v>650000</v>
      </c>
      <c r="C733" s="27" t="s">
        <v>16</v>
      </c>
      <c r="D733" s="28">
        <f>B733*VLOOKUP(C733,tblXrate[],2,0)</f>
        <v>11575.14584683767</v>
      </c>
      <c r="E733" s="27" t="s">
        <v>7</v>
      </c>
      <c r="F733" s="27" t="s">
        <v>3</v>
      </c>
      <c r="G733" s="27" t="s">
        <v>2271</v>
      </c>
      <c r="H733" s="27">
        <v>5</v>
      </c>
      <c r="I733" s="27">
        <f>VLOOKUP(F733,mapping!$L$2:$P$92,2,0)</f>
        <v>0.34064763831408895</v>
      </c>
      <c r="J733" s="27">
        <f>VLOOKUP($F733,mapping!$L$2:$P$92,3,0)</f>
        <v>1388.78</v>
      </c>
      <c r="K733" s="27" t="str">
        <f>VLOOKUP($F733,mapping!$L$2:$P$92,4,0)</f>
        <v>Developing Asia</v>
      </c>
      <c r="L733" s="29">
        <f>$D733*VLOOKUP($E733,'Charts data'!$A$2:$B$11,2,0)*VLOOKUP($G733,'Charts data'!$A$14:$B$18,2,0)/IF('Charts data'!$E$3=1,I733,1)/IF('Charts data'!$E$4=1,J733,1)</f>
        <v>11575.14584683767</v>
      </c>
    </row>
    <row r="734" spans="1:12" x14ac:dyDescent="0.25">
      <c r="A734" s="27" t="s">
        <v>1734</v>
      </c>
      <c r="B734" s="27">
        <v>1800000</v>
      </c>
      <c r="C734" s="27" t="s">
        <v>16</v>
      </c>
      <c r="D734" s="28">
        <f>B734*VLOOKUP(C734,tblXrate[],2,0)</f>
        <v>32054.250037396621</v>
      </c>
      <c r="E734" s="27" t="s">
        <v>7</v>
      </c>
      <c r="F734" s="27" t="s">
        <v>3</v>
      </c>
      <c r="G734" s="27" t="s">
        <v>2273</v>
      </c>
      <c r="H734" s="27">
        <v>1</v>
      </c>
      <c r="I734" s="27">
        <f>VLOOKUP(F734,mapping!$L$2:$P$92,2,0)</f>
        <v>0.34064763831408895</v>
      </c>
      <c r="J734" s="27">
        <f>VLOOKUP($F734,mapping!$L$2:$P$92,3,0)</f>
        <v>1388.78</v>
      </c>
      <c r="K734" s="27" t="str">
        <f>VLOOKUP($F734,mapping!$L$2:$P$92,4,0)</f>
        <v>Developing Asia</v>
      </c>
      <c r="L734" s="29">
        <f>$D734*VLOOKUP($E734,'Charts data'!$A$2:$B$11,2,0)*VLOOKUP($G734,'Charts data'!$A$14:$B$18,2,0)/IF('Charts data'!$E$3=1,I734,1)/IF('Charts data'!$E$4=1,J734,1)</f>
        <v>32054.250037396621</v>
      </c>
    </row>
    <row r="735" spans="1:12" x14ac:dyDescent="0.25">
      <c r="A735" s="27" t="s">
        <v>1748</v>
      </c>
      <c r="B735" s="27">
        <v>400000</v>
      </c>
      <c r="C735" s="27" t="s">
        <v>16</v>
      </c>
      <c r="D735" s="28">
        <f>B735*VLOOKUP(C735,tblXrate[],2,0)</f>
        <v>7123.1666749770275</v>
      </c>
      <c r="E735" s="27" t="s">
        <v>7</v>
      </c>
      <c r="F735" s="27" t="s">
        <v>3</v>
      </c>
      <c r="G735" s="27" t="s">
        <v>2274</v>
      </c>
      <c r="H735" s="27">
        <v>2.5</v>
      </c>
      <c r="I735" s="27">
        <f>VLOOKUP(F735,mapping!$L$2:$P$92,2,0)</f>
        <v>0.34064763831408895</v>
      </c>
      <c r="J735" s="27">
        <f>VLOOKUP($F735,mapping!$L$2:$P$92,3,0)</f>
        <v>1388.78</v>
      </c>
      <c r="K735" s="27" t="str">
        <f>VLOOKUP($F735,mapping!$L$2:$P$92,4,0)</f>
        <v>Developing Asia</v>
      </c>
      <c r="L735" s="29">
        <f>$D735*VLOOKUP($E735,'Charts data'!$A$2:$B$11,2,0)*VLOOKUP($G735,'Charts data'!$A$14:$B$18,2,0)/IF('Charts data'!$E$3=1,I735,1)/IF('Charts data'!$E$4=1,J735,1)</f>
        <v>7123.1666749770275</v>
      </c>
    </row>
    <row r="736" spans="1:12" x14ac:dyDescent="0.25">
      <c r="A736" s="27" t="s">
        <v>1750</v>
      </c>
      <c r="B736" s="27">
        <v>680000</v>
      </c>
      <c r="C736" s="27" t="s">
        <v>16</v>
      </c>
      <c r="D736" s="28">
        <f>B736*VLOOKUP(C736,tblXrate[],2,0)</f>
        <v>12109.383347460946</v>
      </c>
      <c r="E736" s="27" t="s">
        <v>19</v>
      </c>
      <c r="F736" s="27" t="s">
        <v>3</v>
      </c>
      <c r="G736" s="27" t="s">
        <v>2274</v>
      </c>
      <c r="H736" s="27">
        <v>2</v>
      </c>
      <c r="I736" s="27">
        <f>VLOOKUP(F736,mapping!$L$2:$P$92,2,0)</f>
        <v>0.34064763831408895</v>
      </c>
      <c r="J736" s="27">
        <f>VLOOKUP($F736,mapping!$L$2:$P$92,3,0)</f>
        <v>1388.78</v>
      </c>
      <c r="K736" s="27" t="str">
        <f>VLOOKUP($F736,mapping!$L$2:$P$92,4,0)</f>
        <v>Developing Asia</v>
      </c>
      <c r="L736" s="29">
        <f>$D736*VLOOKUP($E736,'Charts data'!$A$2:$B$11,2,0)*VLOOKUP($G736,'Charts data'!$A$14:$B$18,2,0)/IF('Charts data'!$E$3=1,I736,1)/IF('Charts data'!$E$4=1,J736,1)</f>
        <v>12109.383347460946</v>
      </c>
    </row>
    <row r="737" spans="1:12" x14ac:dyDescent="0.25">
      <c r="A737" s="27" t="s">
        <v>1753</v>
      </c>
      <c r="B737" s="27">
        <v>320000</v>
      </c>
      <c r="C737" s="27" t="s">
        <v>16</v>
      </c>
      <c r="D737" s="28">
        <f>B737*VLOOKUP(C737,tblXrate[],2,0)</f>
        <v>5698.5333399816218</v>
      </c>
      <c r="E737" s="27" t="s">
        <v>19</v>
      </c>
      <c r="F737" s="27" t="s">
        <v>3</v>
      </c>
      <c r="G737" s="27" t="s">
        <v>2271</v>
      </c>
      <c r="H737" s="27">
        <v>5</v>
      </c>
      <c r="I737" s="27">
        <f>VLOOKUP(F737,mapping!$L$2:$P$92,2,0)</f>
        <v>0.34064763831408895</v>
      </c>
      <c r="J737" s="27">
        <f>VLOOKUP($F737,mapping!$L$2:$P$92,3,0)</f>
        <v>1388.78</v>
      </c>
      <c r="K737" s="27" t="str">
        <f>VLOOKUP($F737,mapping!$L$2:$P$92,4,0)</f>
        <v>Developing Asia</v>
      </c>
      <c r="L737" s="29">
        <f>$D737*VLOOKUP($E737,'Charts data'!$A$2:$B$11,2,0)*VLOOKUP($G737,'Charts data'!$A$14:$B$18,2,0)/IF('Charts data'!$E$3=1,I737,1)/IF('Charts data'!$E$4=1,J737,1)</f>
        <v>5698.5333399816218</v>
      </c>
    </row>
    <row r="738" spans="1:12" x14ac:dyDescent="0.25">
      <c r="A738" s="27" t="s">
        <v>1757</v>
      </c>
      <c r="B738" s="27">
        <v>3700000</v>
      </c>
      <c r="C738" s="27" t="s">
        <v>16</v>
      </c>
      <c r="D738" s="28">
        <f>B738*VLOOKUP(C738,tblXrate[],2,0)</f>
        <v>65889.291743537498</v>
      </c>
      <c r="E738" s="27" t="s">
        <v>19</v>
      </c>
      <c r="F738" s="27" t="s">
        <v>3</v>
      </c>
      <c r="G738" s="27" t="s">
        <v>2273</v>
      </c>
      <c r="H738" s="27">
        <v>4</v>
      </c>
      <c r="I738" s="27">
        <f>VLOOKUP(F738,mapping!$L$2:$P$92,2,0)</f>
        <v>0.34064763831408895</v>
      </c>
      <c r="J738" s="27">
        <f>VLOOKUP($F738,mapping!$L$2:$P$92,3,0)</f>
        <v>1388.78</v>
      </c>
      <c r="K738" s="27" t="str">
        <f>VLOOKUP($F738,mapping!$L$2:$P$92,4,0)</f>
        <v>Developing Asia</v>
      </c>
      <c r="L738" s="29">
        <f>$D738*VLOOKUP($E738,'Charts data'!$A$2:$B$11,2,0)*VLOOKUP($G738,'Charts data'!$A$14:$B$18,2,0)/IF('Charts data'!$E$3=1,I738,1)/IF('Charts data'!$E$4=1,J738,1)</f>
        <v>65889.291743537498</v>
      </c>
    </row>
    <row r="739" spans="1:12" x14ac:dyDescent="0.25">
      <c r="A739" s="27" t="s">
        <v>1762</v>
      </c>
      <c r="B739" s="27">
        <v>1000000</v>
      </c>
      <c r="C739" s="27" t="s">
        <v>16</v>
      </c>
      <c r="D739" s="28">
        <f>B739*VLOOKUP(C739,tblXrate[],2,0)</f>
        <v>17807.916687442568</v>
      </c>
      <c r="E739" s="27" t="s">
        <v>19</v>
      </c>
      <c r="F739" s="27" t="s">
        <v>3</v>
      </c>
      <c r="G739" s="27" t="s">
        <v>2272</v>
      </c>
      <c r="H739" s="27">
        <v>13</v>
      </c>
      <c r="I739" s="27">
        <f>VLOOKUP(F739,mapping!$L$2:$P$92,2,0)</f>
        <v>0.34064763831408895</v>
      </c>
      <c r="J739" s="27">
        <f>VLOOKUP($F739,mapping!$L$2:$P$92,3,0)</f>
        <v>1388.78</v>
      </c>
      <c r="K739" s="27" t="str">
        <f>VLOOKUP($F739,mapping!$L$2:$P$92,4,0)</f>
        <v>Developing Asia</v>
      </c>
      <c r="L739" s="29">
        <f>$D739*VLOOKUP($E739,'Charts data'!$A$2:$B$11,2,0)*VLOOKUP($G739,'Charts data'!$A$14:$B$18,2,0)/IF('Charts data'!$E$3=1,I739,1)/IF('Charts data'!$E$4=1,J739,1)</f>
        <v>17807.916687442568</v>
      </c>
    </row>
    <row r="740" spans="1:12" x14ac:dyDescent="0.25">
      <c r="A740" s="27" t="s">
        <v>1768</v>
      </c>
      <c r="B740" s="27">
        <v>1000000</v>
      </c>
      <c r="C740" s="27" t="s">
        <v>16</v>
      </c>
      <c r="D740" s="28">
        <f>B740*VLOOKUP(C740,tblXrate[],2,0)</f>
        <v>17807.916687442568</v>
      </c>
      <c r="E740" s="27" t="s">
        <v>7</v>
      </c>
      <c r="F740" s="27" t="s">
        <v>3</v>
      </c>
      <c r="G740" s="27" t="s">
        <v>2273</v>
      </c>
      <c r="H740" s="27">
        <v>4</v>
      </c>
      <c r="I740" s="27">
        <f>VLOOKUP(F740,mapping!$L$2:$P$92,2,0)</f>
        <v>0.34064763831408895</v>
      </c>
      <c r="J740" s="27">
        <f>VLOOKUP($F740,mapping!$L$2:$P$92,3,0)</f>
        <v>1388.78</v>
      </c>
      <c r="K740" s="27" t="str">
        <f>VLOOKUP($F740,mapping!$L$2:$P$92,4,0)</f>
        <v>Developing Asia</v>
      </c>
      <c r="L740" s="29">
        <f>$D740*VLOOKUP($E740,'Charts data'!$A$2:$B$11,2,0)*VLOOKUP($G740,'Charts data'!$A$14:$B$18,2,0)/IF('Charts data'!$E$3=1,I740,1)/IF('Charts data'!$E$4=1,J740,1)</f>
        <v>17807.916687442568</v>
      </c>
    </row>
    <row r="741" spans="1:12" x14ac:dyDescent="0.25">
      <c r="A741" s="27" t="s">
        <v>1770</v>
      </c>
      <c r="B741" s="27">
        <v>125000</v>
      </c>
      <c r="C741" s="27" t="s">
        <v>16</v>
      </c>
      <c r="D741" s="28">
        <f>B741*VLOOKUP(C741,tblXrate[],2,0)</f>
        <v>2225.989585930321</v>
      </c>
      <c r="E741" s="27" t="s">
        <v>7</v>
      </c>
      <c r="F741" s="27" t="s">
        <v>3</v>
      </c>
      <c r="G741" s="27" t="s">
        <v>2272</v>
      </c>
      <c r="H741" s="27">
        <v>4</v>
      </c>
      <c r="I741" s="27">
        <f>VLOOKUP(F741,mapping!$L$2:$P$92,2,0)</f>
        <v>0.34064763831408895</v>
      </c>
      <c r="J741" s="27">
        <f>VLOOKUP($F741,mapping!$L$2:$P$92,3,0)</f>
        <v>1388.78</v>
      </c>
      <c r="K741" s="27" t="str">
        <f>VLOOKUP($F741,mapping!$L$2:$P$92,4,0)</f>
        <v>Developing Asia</v>
      </c>
      <c r="L741" s="29">
        <f>$D741*VLOOKUP($E741,'Charts data'!$A$2:$B$11,2,0)*VLOOKUP($G741,'Charts data'!$A$14:$B$18,2,0)/IF('Charts data'!$E$3=1,I741,1)/IF('Charts data'!$E$4=1,J741,1)</f>
        <v>2225.989585930321</v>
      </c>
    </row>
    <row r="742" spans="1:12" x14ac:dyDescent="0.25">
      <c r="A742" s="27" t="s">
        <v>1772</v>
      </c>
      <c r="B742" s="27">
        <v>340000</v>
      </c>
      <c r="C742" s="27" t="s">
        <v>16</v>
      </c>
      <c r="D742" s="28">
        <f>B742*VLOOKUP(C742,tblXrate[],2,0)</f>
        <v>6054.6916737304728</v>
      </c>
      <c r="E742" s="27" t="s">
        <v>19</v>
      </c>
      <c r="F742" s="27" t="s">
        <v>3</v>
      </c>
      <c r="G742" s="27" t="s">
        <v>2271</v>
      </c>
      <c r="H742" s="27">
        <v>5</v>
      </c>
      <c r="I742" s="27">
        <f>VLOOKUP(F742,mapping!$L$2:$P$92,2,0)</f>
        <v>0.34064763831408895</v>
      </c>
      <c r="J742" s="27">
        <f>VLOOKUP($F742,mapping!$L$2:$P$92,3,0)</f>
        <v>1388.78</v>
      </c>
      <c r="K742" s="27" t="str">
        <f>VLOOKUP($F742,mapping!$L$2:$P$92,4,0)</f>
        <v>Developing Asia</v>
      </c>
      <c r="L742" s="29">
        <f>$D742*VLOOKUP($E742,'Charts data'!$A$2:$B$11,2,0)*VLOOKUP($G742,'Charts data'!$A$14:$B$18,2,0)/IF('Charts data'!$E$3=1,I742,1)/IF('Charts data'!$E$4=1,J742,1)</f>
        <v>6054.6916737304728</v>
      </c>
    </row>
    <row r="743" spans="1:12" x14ac:dyDescent="0.25">
      <c r="A743" s="27" t="s">
        <v>1779</v>
      </c>
      <c r="B743" s="27">
        <v>300000</v>
      </c>
      <c r="C743" s="27" t="s">
        <v>16</v>
      </c>
      <c r="D743" s="28">
        <f>B743*VLOOKUP(C743,tblXrate[],2,0)</f>
        <v>5342.3750062327708</v>
      </c>
      <c r="E743" s="27" t="s">
        <v>7</v>
      </c>
      <c r="F743" s="27" t="s">
        <v>3</v>
      </c>
      <c r="G743" s="27" t="s">
        <v>2271</v>
      </c>
      <c r="H743" s="27">
        <v>8</v>
      </c>
      <c r="I743" s="27">
        <f>VLOOKUP(F743,mapping!$L$2:$P$92,2,0)</f>
        <v>0.34064763831408895</v>
      </c>
      <c r="J743" s="27">
        <f>VLOOKUP($F743,mapping!$L$2:$P$92,3,0)</f>
        <v>1388.78</v>
      </c>
      <c r="K743" s="27" t="str">
        <f>VLOOKUP($F743,mapping!$L$2:$P$92,4,0)</f>
        <v>Developing Asia</v>
      </c>
      <c r="L743" s="29">
        <f>$D743*VLOOKUP($E743,'Charts data'!$A$2:$B$11,2,0)*VLOOKUP($G743,'Charts data'!$A$14:$B$18,2,0)/IF('Charts data'!$E$3=1,I743,1)/IF('Charts data'!$E$4=1,J743,1)</f>
        <v>5342.3750062327708</v>
      </c>
    </row>
    <row r="744" spans="1:12" x14ac:dyDescent="0.25">
      <c r="A744" s="27" t="s">
        <v>1781</v>
      </c>
      <c r="B744" s="27">
        <v>240000</v>
      </c>
      <c r="C744" s="27" t="s">
        <v>16</v>
      </c>
      <c r="D744" s="28">
        <f>B744*VLOOKUP(C744,tblXrate[],2,0)</f>
        <v>4273.9000049862161</v>
      </c>
      <c r="E744" s="27" t="s">
        <v>62</v>
      </c>
      <c r="F744" s="27" t="s">
        <v>3</v>
      </c>
      <c r="G744" s="27" t="s">
        <v>2272</v>
      </c>
      <c r="H744" s="27">
        <v>15</v>
      </c>
      <c r="I744" s="27">
        <f>VLOOKUP(F744,mapping!$L$2:$P$92,2,0)</f>
        <v>0.34064763831408895</v>
      </c>
      <c r="J744" s="27">
        <f>VLOOKUP($F744,mapping!$L$2:$P$92,3,0)</f>
        <v>1388.78</v>
      </c>
      <c r="K744" s="27" t="str">
        <f>VLOOKUP($F744,mapping!$L$2:$P$92,4,0)</f>
        <v>Developing Asia</v>
      </c>
      <c r="L744" s="29">
        <f>$D744*VLOOKUP($E744,'Charts data'!$A$2:$B$11,2,0)*VLOOKUP($G744,'Charts data'!$A$14:$B$18,2,0)/IF('Charts data'!$E$3=1,I744,1)/IF('Charts data'!$E$4=1,J744,1)</f>
        <v>4273.9000049862161</v>
      </c>
    </row>
    <row r="745" spans="1:12" x14ac:dyDescent="0.25">
      <c r="A745" s="27" t="s">
        <v>1782</v>
      </c>
      <c r="B745" s="27">
        <v>500000</v>
      </c>
      <c r="C745" s="27" t="s">
        <v>16</v>
      </c>
      <c r="D745" s="28">
        <f>B745*VLOOKUP(C745,tblXrate[],2,0)</f>
        <v>8903.9583437212841</v>
      </c>
      <c r="E745" s="27" t="s">
        <v>19</v>
      </c>
      <c r="F745" s="27" t="s">
        <v>3</v>
      </c>
      <c r="G745" s="27" t="s">
        <v>2273</v>
      </c>
      <c r="H745" s="27">
        <v>20</v>
      </c>
      <c r="I745" s="27">
        <f>VLOOKUP(F745,mapping!$L$2:$P$92,2,0)</f>
        <v>0.34064763831408895</v>
      </c>
      <c r="J745" s="27">
        <f>VLOOKUP($F745,mapping!$L$2:$P$92,3,0)</f>
        <v>1388.78</v>
      </c>
      <c r="K745" s="27" t="str">
        <f>VLOOKUP($F745,mapping!$L$2:$P$92,4,0)</f>
        <v>Developing Asia</v>
      </c>
      <c r="L745" s="29">
        <f>$D745*VLOOKUP($E745,'Charts data'!$A$2:$B$11,2,0)*VLOOKUP($G745,'Charts data'!$A$14:$B$18,2,0)/IF('Charts data'!$E$3=1,I745,1)/IF('Charts data'!$E$4=1,J745,1)</f>
        <v>8903.9583437212841</v>
      </c>
    </row>
    <row r="746" spans="1:12" x14ac:dyDescent="0.25">
      <c r="A746" s="27" t="s">
        <v>1784</v>
      </c>
      <c r="B746" s="27">
        <v>320000</v>
      </c>
      <c r="C746" s="27" t="s">
        <v>16</v>
      </c>
      <c r="D746" s="28">
        <f>B746*VLOOKUP(C746,tblXrate[],2,0)</f>
        <v>5698.5333399816218</v>
      </c>
      <c r="E746" s="27" t="s">
        <v>7</v>
      </c>
      <c r="F746" s="27" t="s">
        <v>3</v>
      </c>
      <c r="G746" s="27" t="s">
        <v>2271</v>
      </c>
      <c r="H746" s="27">
        <v>2.5</v>
      </c>
      <c r="I746" s="27">
        <f>VLOOKUP(F746,mapping!$L$2:$P$92,2,0)</f>
        <v>0.34064763831408895</v>
      </c>
      <c r="J746" s="27">
        <f>VLOOKUP($F746,mapping!$L$2:$P$92,3,0)</f>
        <v>1388.78</v>
      </c>
      <c r="K746" s="27" t="str">
        <f>VLOOKUP($F746,mapping!$L$2:$P$92,4,0)</f>
        <v>Developing Asia</v>
      </c>
      <c r="L746" s="29">
        <f>$D746*VLOOKUP($E746,'Charts data'!$A$2:$B$11,2,0)*VLOOKUP($G746,'Charts data'!$A$14:$B$18,2,0)/IF('Charts data'!$E$3=1,I746,1)/IF('Charts data'!$E$4=1,J746,1)</f>
        <v>5698.5333399816218</v>
      </c>
    </row>
    <row r="747" spans="1:12" x14ac:dyDescent="0.25">
      <c r="A747" s="27" t="s">
        <v>1802</v>
      </c>
      <c r="B747" s="27">
        <v>192000</v>
      </c>
      <c r="C747" s="27" t="s">
        <v>16</v>
      </c>
      <c r="D747" s="28">
        <f>B747*VLOOKUP(C747,tblXrate[],2,0)</f>
        <v>3419.1200039889732</v>
      </c>
      <c r="E747" s="27" t="s">
        <v>7</v>
      </c>
      <c r="F747" s="27" t="s">
        <v>3</v>
      </c>
      <c r="G747" s="27" t="s">
        <v>2271</v>
      </c>
      <c r="H747" s="27">
        <v>5</v>
      </c>
      <c r="I747" s="27">
        <f>VLOOKUP(F747,mapping!$L$2:$P$92,2,0)</f>
        <v>0.34064763831408895</v>
      </c>
      <c r="J747" s="27">
        <f>VLOOKUP($F747,mapping!$L$2:$P$92,3,0)</f>
        <v>1388.78</v>
      </c>
      <c r="K747" s="27" t="str">
        <f>VLOOKUP($F747,mapping!$L$2:$P$92,4,0)</f>
        <v>Developing Asia</v>
      </c>
      <c r="L747" s="29">
        <f>$D747*VLOOKUP($E747,'Charts data'!$A$2:$B$11,2,0)*VLOOKUP($G747,'Charts data'!$A$14:$B$18,2,0)/IF('Charts data'!$E$3=1,I747,1)/IF('Charts data'!$E$4=1,J747,1)</f>
        <v>3419.1200039889732</v>
      </c>
    </row>
    <row r="748" spans="1:12" x14ac:dyDescent="0.25">
      <c r="A748" s="27" t="s">
        <v>1805</v>
      </c>
      <c r="B748" s="27">
        <v>450000</v>
      </c>
      <c r="C748" s="27" t="s">
        <v>16</v>
      </c>
      <c r="D748" s="28">
        <f>B748*VLOOKUP(C748,tblXrate[],2,0)</f>
        <v>8013.5625093491553</v>
      </c>
      <c r="E748" s="27" t="s">
        <v>2145</v>
      </c>
      <c r="F748" s="27" t="s">
        <v>3</v>
      </c>
      <c r="G748" s="27" t="s">
        <v>2273</v>
      </c>
      <c r="H748" s="27">
        <v>4</v>
      </c>
      <c r="I748" s="27">
        <f>VLOOKUP(F748,mapping!$L$2:$P$92,2,0)</f>
        <v>0.34064763831408895</v>
      </c>
      <c r="J748" s="27">
        <f>VLOOKUP($F748,mapping!$L$2:$P$92,3,0)</f>
        <v>1388.78</v>
      </c>
      <c r="K748" s="27" t="str">
        <f>VLOOKUP($F748,mapping!$L$2:$P$92,4,0)</f>
        <v>Developing Asia</v>
      </c>
      <c r="L748" s="29">
        <f>$D748*VLOOKUP($E748,'Charts data'!$A$2:$B$11,2,0)*VLOOKUP($G748,'Charts data'!$A$14:$B$18,2,0)/IF('Charts data'!$E$3=1,I748,1)/IF('Charts data'!$E$4=1,J748,1)</f>
        <v>8013.5625093491553</v>
      </c>
    </row>
    <row r="749" spans="1:12" x14ac:dyDescent="0.25">
      <c r="A749" s="27" t="s">
        <v>1806</v>
      </c>
      <c r="B749" s="27">
        <v>200000</v>
      </c>
      <c r="C749" s="27" t="s">
        <v>16</v>
      </c>
      <c r="D749" s="28">
        <f>B749*VLOOKUP(C749,tblXrate[],2,0)</f>
        <v>3561.5833374885137</v>
      </c>
      <c r="E749" s="27" t="s">
        <v>7</v>
      </c>
      <c r="F749" s="27" t="s">
        <v>3</v>
      </c>
      <c r="G749" s="27" t="s">
        <v>2274</v>
      </c>
      <c r="H749" s="27">
        <v>16</v>
      </c>
      <c r="I749" s="27">
        <f>VLOOKUP(F749,mapping!$L$2:$P$92,2,0)</f>
        <v>0.34064763831408895</v>
      </c>
      <c r="J749" s="27">
        <f>VLOOKUP($F749,mapping!$L$2:$P$92,3,0)</f>
        <v>1388.78</v>
      </c>
      <c r="K749" s="27" t="str">
        <f>VLOOKUP($F749,mapping!$L$2:$P$92,4,0)</f>
        <v>Developing Asia</v>
      </c>
      <c r="L749" s="29">
        <f>$D749*VLOOKUP($E749,'Charts data'!$A$2:$B$11,2,0)*VLOOKUP($G749,'Charts data'!$A$14:$B$18,2,0)/IF('Charts data'!$E$3=1,I749,1)/IF('Charts data'!$E$4=1,J749,1)</f>
        <v>3561.5833374885137</v>
      </c>
    </row>
    <row r="750" spans="1:12" x14ac:dyDescent="0.25">
      <c r="A750" s="27" t="s">
        <v>1821</v>
      </c>
      <c r="B750" s="27">
        <v>400000</v>
      </c>
      <c r="C750" s="27" t="s">
        <v>16</v>
      </c>
      <c r="D750" s="28">
        <f>B750*VLOOKUP(C750,tblXrate[],2,0)</f>
        <v>7123.1666749770275</v>
      </c>
      <c r="E750" s="27" t="s">
        <v>7</v>
      </c>
      <c r="F750" s="27" t="s">
        <v>3</v>
      </c>
      <c r="G750" s="27" t="s">
        <v>2271</v>
      </c>
      <c r="H750" s="27">
        <v>4</v>
      </c>
      <c r="I750" s="27">
        <f>VLOOKUP(F750,mapping!$L$2:$P$92,2,0)</f>
        <v>0.34064763831408895</v>
      </c>
      <c r="J750" s="27">
        <f>VLOOKUP($F750,mapping!$L$2:$P$92,3,0)</f>
        <v>1388.78</v>
      </c>
      <c r="K750" s="27" t="str">
        <f>VLOOKUP($F750,mapping!$L$2:$P$92,4,0)</f>
        <v>Developing Asia</v>
      </c>
      <c r="L750" s="29">
        <f>$D750*VLOOKUP($E750,'Charts data'!$A$2:$B$11,2,0)*VLOOKUP($G750,'Charts data'!$A$14:$B$18,2,0)/IF('Charts data'!$E$3=1,I750,1)/IF('Charts data'!$E$4=1,J750,1)</f>
        <v>7123.1666749770275</v>
      </c>
    </row>
    <row r="751" spans="1:12" x14ac:dyDescent="0.25">
      <c r="A751" s="27" t="s">
        <v>1833</v>
      </c>
      <c r="B751" s="27">
        <v>500000</v>
      </c>
      <c r="C751" s="27" t="s">
        <v>16</v>
      </c>
      <c r="D751" s="28">
        <f>B751*VLOOKUP(C751,tblXrate[],2,0)</f>
        <v>8903.9583437212841</v>
      </c>
      <c r="E751" s="27" t="s">
        <v>7</v>
      </c>
      <c r="F751" s="27" t="s">
        <v>3</v>
      </c>
      <c r="G751" s="27" t="s">
        <v>2271</v>
      </c>
      <c r="H751" s="27">
        <v>4</v>
      </c>
      <c r="I751" s="27">
        <f>VLOOKUP(F751,mapping!$L$2:$P$92,2,0)</f>
        <v>0.34064763831408895</v>
      </c>
      <c r="J751" s="27">
        <f>VLOOKUP($F751,mapping!$L$2:$P$92,3,0)</f>
        <v>1388.78</v>
      </c>
      <c r="K751" s="27" t="str">
        <f>VLOOKUP($F751,mapping!$L$2:$P$92,4,0)</f>
        <v>Developing Asia</v>
      </c>
      <c r="L751" s="29">
        <f>$D751*VLOOKUP($E751,'Charts data'!$A$2:$B$11,2,0)*VLOOKUP($G751,'Charts data'!$A$14:$B$18,2,0)/IF('Charts data'!$E$3=1,I751,1)/IF('Charts data'!$E$4=1,J751,1)</f>
        <v>8903.9583437212841</v>
      </c>
    </row>
    <row r="752" spans="1:12" x14ac:dyDescent="0.25">
      <c r="A752" s="27" t="s">
        <v>1834</v>
      </c>
      <c r="B752" s="27">
        <v>600000</v>
      </c>
      <c r="C752" s="27" t="s">
        <v>16</v>
      </c>
      <c r="D752" s="28">
        <f>B752*VLOOKUP(C752,tblXrate[],2,0)</f>
        <v>10684.750012465542</v>
      </c>
      <c r="E752" s="27" t="s">
        <v>7</v>
      </c>
      <c r="F752" s="27" t="s">
        <v>3</v>
      </c>
      <c r="G752" s="27" t="s">
        <v>2273</v>
      </c>
      <c r="H752" s="27">
        <v>5</v>
      </c>
      <c r="I752" s="27">
        <f>VLOOKUP(F752,mapping!$L$2:$P$92,2,0)</f>
        <v>0.34064763831408895</v>
      </c>
      <c r="J752" s="27">
        <f>VLOOKUP($F752,mapping!$L$2:$P$92,3,0)</f>
        <v>1388.78</v>
      </c>
      <c r="K752" s="27" t="str">
        <f>VLOOKUP($F752,mapping!$L$2:$P$92,4,0)</f>
        <v>Developing Asia</v>
      </c>
      <c r="L752" s="29">
        <f>$D752*VLOOKUP($E752,'Charts data'!$A$2:$B$11,2,0)*VLOOKUP($G752,'Charts data'!$A$14:$B$18,2,0)/IF('Charts data'!$E$3=1,I752,1)/IF('Charts data'!$E$4=1,J752,1)</f>
        <v>10684.750012465542</v>
      </c>
    </row>
    <row r="753" spans="1:12" x14ac:dyDescent="0.25">
      <c r="A753" s="27" t="s">
        <v>1836</v>
      </c>
      <c r="B753" s="27">
        <v>550000</v>
      </c>
      <c r="C753" s="27" t="s">
        <v>16</v>
      </c>
      <c r="D753" s="28">
        <f>B753*VLOOKUP(C753,tblXrate[],2,0)</f>
        <v>9794.354178093412</v>
      </c>
      <c r="E753" s="27" t="s">
        <v>19</v>
      </c>
      <c r="F753" s="27" t="s">
        <v>3</v>
      </c>
      <c r="G753" s="27" t="s">
        <v>2271</v>
      </c>
      <c r="H753" s="27">
        <v>13</v>
      </c>
      <c r="I753" s="27">
        <f>VLOOKUP(F753,mapping!$L$2:$P$92,2,0)</f>
        <v>0.34064763831408895</v>
      </c>
      <c r="J753" s="27">
        <f>VLOOKUP($F753,mapping!$L$2:$P$92,3,0)</f>
        <v>1388.78</v>
      </c>
      <c r="K753" s="27" t="str">
        <f>VLOOKUP($F753,mapping!$L$2:$P$92,4,0)</f>
        <v>Developing Asia</v>
      </c>
      <c r="L753" s="29">
        <f>$D753*VLOOKUP($E753,'Charts data'!$A$2:$B$11,2,0)*VLOOKUP($G753,'Charts data'!$A$14:$B$18,2,0)/IF('Charts data'!$E$3=1,I753,1)/IF('Charts data'!$E$4=1,J753,1)</f>
        <v>9794.354178093412</v>
      </c>
    </row>
    <row r="754" spans="1:12" x14ac:dyDescent="0.25">
      <c r="A754" s="27" t="s">
        <v>1838</v>
      </c>
      <c r="B754" s="27">
        <v>150000</v>
      </c>
      <c r="C754" s="27" t="s">
        <v>16</v>
      </c>
      <c r="D754" s="28">
        <f>B754*VLOOKUP(C754,tblXrate[],2,0)</f>
        <v>2671.1875031163854</v>
      </c>
      <c r="E754" s="27" t="s">
        <v>2145</v>
      </c>
      <c r="F754" s="27" t="s">
        <v>3</v>
      </c>
      <c r="G754" s="27" t="s">
        <v>2273</v>
      </c>
      <c r="H754" s="27">
        <v>3</v>
      </c>
      <c r="I754" s="27">
        <f>VLOOKUP(F754,mapping!$L$2:$P$92,2,0)</f>
        <v>0.34064763831408895</v>
      </c>
      <c r="J754" s="27">
        <f>VLOOKUP($F754,mapping!$L$2:$P$92,3,0)</f>
        <v>1388.78</v>
      </c>
      <c r="K754" s="27" t="str">
        <f>VLOOKUP($F754,mapping!$L$2:$P$92,4,0)</f>
        <v>Developing Asia</v>
      </c>
      <c r="L754" s="29">
        <f>$D754*VLOOKUP($E754,'Charts data'!$A$2:$B$11,2,0)*VLOOKUP($G754,'Charts data'!$A$14:$B$18,2,0)/IF('Charts data'!$E$3=1,I754,1)/IF('Charts data'!$E$4=1,J754,1)</f>
        <v>2671.1875031163854</v>
      </c>
    </row>
    <row r="755" spans="1:12" x14ac:dyDescent="0.25">
      <c r="A755" s="27" t="s">
        <v>1844</v>
      </c>
      <c r="B755" s="27">
        <v>500000</v>
      </c>
      <c r="C755" s="27" t="s">
        <v>16</v>
      </c>
      <c r="D755" s="28">
        <f>B755*VLOOKUP(C755,tblXrate[],2,0)</f>
        <v>8903.9583437212841</v>
      </c>
      <c r="E755" s="27" t="s">
        <v>7</v>
      </c>
      <c r="F755" s="27" t="s">
        <v>3</v>
      </c>
      <c r="G755" s="27" t="s">
        <v>2271</v>
      </c>
      <c r="H755" s="27">
        <v>2</v>
      </c>
      <c r="I755" s="27">
        <f>VLOOKUP(F755,mapping!$L$2:$P$92,2,0)</f>
        <v>0.34064763831408895</v>
      </c>
      <c r="J755" s="27">
        <f>VLOOKUP($F755,mapping!$L$2:$P$92,3,0)</f>
        <v>1388.78</v>
      </c>
      <c r="K755" s="27" t="str">
        <f>VLOOKUP($F755,mapping!$L$2:$P$92,4,0)</f>
        <v>Developing Asia</v>
      </c>
      <c r="L755" s="29">
        <f>$D755*VLOOKUP($E755,'Charts data'!$A$2:$B$11,2,0)*VLOOKUP($G755,'Charts data'!$A$14:$B$18,2,0)/IF('Charts data'!$E$3=1,I755,1)/IF('Charts data'!$E$4=1,J755,1)</f>
        <v>8903.9583437212841</v>
      </c>
    </row>
    <row r="756" spans="1:12" x14ac:dyDescent="0.25">
      <c r="A756" s="27" t="s">
        <v>1850</v>
      </c>
      <c r="B756" s="27">
        <v>421000</v>
      </c>
      <c r="C756" s="27" t="s">
        <v>16</v>
      </c>
      <c r="D756" s="28">
        <f>B756*VLOOKUP(C756,tblXrate[],2,0)</f>
        <v>7497.1329254133216</v>
      </c>
      <c r="E756" s="27" t="s">
        <v>7</v>
      </c>
      <c r="F756" s="27" t="s">
        <v>3</v>
      </c>
      <c r="G756" s="27" t="s">
        <v>2271</v>
      </c>
      <c r="H756" s="27">
        <v>4</v>
      </c>
      <c r="I756" s="27">
        <f>VLOOKUP(F756,mapping!$L$2:$P$92,2,0)</f>
        <v>0.34064763831408895</v>
      </c>
      <c r="J756" s="27">
        <f>VLOOKUP($F756,mapping!$L$2:$P$92,3,0)</f>
        <v>1388.78</v>
      </c>
      <c r="K756" s="27" t="str">
        <f>VLOOKUP($F756,mapping!$L$2:$P$92,4,0)</f>
        <v>Developing Asia</v>
      </c>
      <c r="L756" s="29">
        <f>$D756*VLOOKUP($E756,'Charts data'!$A$2:$B$11,2,0)*VLOOKUP($G756,'Charts data'!$A$14:$B$18,2,0)/IF('Charts data'!$E$3=1,I756,1)/IF('Charts data'!$E$4=1,J756,1)</f>
        <v>7497.1329254133216</v>
      </c>
    </row>
    <row r="757" spans="1:12" x14ac:dyDescent="0.25">
      <c r="A757" s="27" t="s">
        <v>1852</v>
      </c>
      <c r="B757" s="27">
        <v>360000</v>
      </c>
      <c r="C757" s="27" t="s">
        <v>16</v>
      </c>
      <c r="D757" s="28">
        <f>B757*VLOOKUP(C757,tblXrate[],2,0)</f>
        <v>6410.8500074793246</v>
      </c>
      <c r="E757" s="27" t="s">
        <v>53</v>
      </c>
      <c r="F757" s="27" t="s">
        <v>3</v>
      </c>
      <c r="G757" s="27" t="s">
        <v>2274</v>
      </c>
      <c r="H757" s="27">
        <v>2</v>
      </c>
      <c r="I757" s="27">
        <f>VLOOKUP(F757,mapping!$L$2:$P$92,2,0)</f>
        <v>0.34064763831408895</v>
      </c>
      <c r="J757" s="27">
        <f>VLOOKUP($F757,mapping!$L$2:$P$92,3,0)</f>
        <v>1388.78</v>
      </c>
      <c r="K757" s="27" t="str">
        <f>VLOOKUP($F757,mapping!$L$2:$P$92,4,0)</f>
        <v>Developing Asia</v>
      </c>
      <c r="L757" s="29">
        <f>$D757*VLOOKUP($E757,'Charts data'!$A$2:$B$11,2,0)*VLOOKUP($G757,'Charts data'!$A$14:$B$18,2,0)/IF('Charts data'!$E$3=1,I757,1)/IF('Charts data'!$E$4=1,J757,1)</f>
        <v>6410.8500074793246</v>
      </c>
    </row>
    <row r="758" spans="1:12" x14ac:dyDescent="0.25">
      <c r="A758" s="27" t="s">
        <v>1861</v>
      </c>
      <c r="B758" s="27">
        <v>258000</v>
      </c>
      <c r="C758" s="27" t="s">
        <v>16</v>
      </c>
      <c r="D758" s="28">
        <f>B758*VLOOKUP(C758,tblXrate[],2,0)</f>
        <v>4594.4425053601826</v>
      </c>
      <c r="E758" s="27" t="s">
        <v>7</v>
      </c>
      <c r="F758" s="27" t="s">
        <v>3</v>
      </c>
      <c r="G758" s="27" t="s">
        <v>2271</v>
      </c>
      <c r="H758" s="27">
        <v>4</v>
      </c>
      <c r="I758" s="27">
        <f>VLOOKUP(F758,mapping!$L$2:$P$92,2,0)</f>
        <v>0.34064763831408895</v>
      </c>
      <c r="J758" s="27">
        <f>VLOOKUP($F758,mapping!$L$2:$P$92,3,0)</f>
        <v>1388.78</v>
      </c>
      <c r="K758" s="27" t="str">
        <f>VLOOKUP($F758,mapping!$L$2:$P$92,4,0)</f>
        <v>Developing Asia</v>
      </c>
      <c r="L758" s="29">
        <f>$D758*VLOOKUP($E758,'Charts data'!$A$2:$B$11,2,0)*VLOOKUP($G758,'Charts data'!$A$14:$B$18,2,0)/IF('Charts data'!$E$3=1,I758,1)/IF('Charts data'!$E$4=1,J758,1)</f>
        <v>4594.4425053601826</v>
      </c>
    </row>
    <row r="759" spans="1:12" x14ac:dyDescent="0.25">
      <c r="A759" s="27" t="s">
        <v>1868</v>
      </c>
      <c r="B759" s="27">
        <v>950000</v>
      </c>
      <c r="C759" s="27" t="s">
        <v>16</v>
      </c>
      <c r="D759" s="28">
        <f>B759*VLOOKUP(C759,tblXrate[],2,0)</f>
        <v>16917.52085307044</v>
      </c>
      <c r="E759" s="27" t="s">
        <v>19</v>
      </c>
      <c r="F759" s="27" t="s">
        <v>3</v>
      </c>
      <c r="G759" s="27" t="s">
        <v>2272</v>
      </c>
      <c r="H759" s="27">
        <v>9</v>
      </c>
      <c r="I759" s="27">
        <f>VLOOKUP(F759,mapping!$L$2:$P$92,2,0)</f>
        <v>0.34064763831408895</v>
      </c>
      <c r="J759" s="27">
        <f>VLOOKUP($F759,mapping!$L$2:$P$92,3,0)</f>
        <v>1388.78</v>
      </c>
      <c r="K759" s="27" t="str">
        <f>VLOOKUP($F759,mapping!$L$2:$P$92,4,0)</f>
        <v>Developing Asia</v>
      </c>
      <c r="L759" s="29">
        <f>$D759*VLOOKUP($E759,'Charts data'!$A$2:$B$11,2,0)*VLOOKUP($G759,'Charts data'!$A$14:$B$18,2,0)/IF('Charts data'!$E$3=1,I759,1)/IF('Charts data'!$E$4=1,J759,1)</f>
        <v>16917.52085307044</v>
      </c>
    </row>
    <row r="760" spans="1:12" x14ac:dyDescent="0.25">
      <c r="A760" s="27" t="s">
        <v>1869</v>
      </c>
      <c r="B760" s="27">
        <v>180000</v>
      </c>
      <c r="C760" s="27" t="s">
        <v>16</v>
      </c>
      <c r="D760" s="28">
        <f>B760*VLOOKUP(C760,tblXrate[],2,0)</f>
        <v>3205.4250037396623</v>
      </c>
      <c r="E760" s="27" t="s">
        <v>2145</v>
      </c>
      <c r="F760" s="27" t="s">
        <v>3</v>
      </c>
      <c r="G760" s="27" t="s">
        <v>2271</v>
      </c>
      <c r="H760" s="27">
        <v>2</v>
      </c>
      <c r="I760" s="27">
        <f>VLOOKUP(F760,mapping!$L$2:$P$92,2,0)</f>
        <v>0.34064763831408895</v>
      </c>
      <c r="J760" s="27">
        <f>VLOOKUP($F760,mapping!$L$2:$P$92,3,0)</f>
        <v>1388.78</v>
      </c>
      <c r="K760" s="27" t="str">
        <f>VLOOKUP($F760,mapping!$L$2:$P$92,4,0)</f>
        <v>Developing Asia</v>
      </c>
      <c r="L760" s="29">
        <f>$D760*VLOOKUP($E760,'Charts data'!$A$2:$B$11,2,0)*VLOOKUP($G760,'Charts data'!$A$14:$B$18,2,0)/IF('Charts data'!$E$3=1,I760,1)/IF('Charts data'!$E$4=1,J760,1)</f>
        <v>3205.4250037396623</v>
      </c>
    </row>
    <row r="761" spans="1:12" x14ac:dyDescent="0.25">
      <c r="A761" s="27" t="s">
        <v>1872</v>
      </c>
      <c r="B761" s="27">
        <v>800000</v>
      </c>
      <c r="C761" s="27" t="s">
        <v>16</v>
      </c>
      <c r="D761" s="28">
        <f>B761*VLOOKUP(C761,tblXrate[],2,0)</f>
        <v>14246.333349954055</v>
      </c>
      <c r="E761" s="27" t="s">
        <v>19</v>
      </c>
      <c r="F761" s="27" t="s">
        <v>3</v>
      </c>
      <c r="G761" s="27" t="s">
        <v>2272</v>
      </c>
      <c r="H761" s="27">
        <v>0</v>
      </c>
      <c r="I761" s="27">
        <f>VLOOKUP(F761,mapping!$L$2:$P$92,2,0)</f>
        <v>0.34064763831408895</v>
      </c>
      <c r="J761" s="27">
        <f>VLOOKUP($F761,mapping!$L$2:$P$92,3,0)</f>
        <v>1388.78</v>
      </c>
      <c r="K761" s="27" t="str">
        <f>VLOOKUP($F761,mapping!$L$2:$P$92,4,0)</f>
        <v>Developing Asia</v>
      </c>
      <c r="L761" s="29">
        <f>$D761*VLOOKUP($E761,'Charts data'!$A$2:$B$11,2,0)*VLOOKUP($G761,'Charts data'!$A$14:$B$18,2,0)/IF('Charts data'!$E$3=1,I761,1)/IF('Charts data'!$E$4=1,J761,1)</f>
        <v>14246.333349954055</v>
      </c>
    </row>
    <row r="762" spans="1:12" x14ac:dyDescent="0.25">
      <c r="A762" s="27" t="s">
        <v>1873</v>
      </c>
      <c r="B762" s="27">
        <v>800000</v>
      </c>
      <c r="C762" s="27" t="s">
        <v>16</v>
      </c>
      <c r="D762" s="28">
        <f>B762*VLOOKUP(C762,tblXrate[],2,0)</f>
        <v>14246.333349954055</v>
      </c>
      <c r="E762" s="27" t="s">
        <v>19</v>
      </c>
      <c r="F762" s="27" t="s">
        <v>3</v>
      </c>
      <c r="G762" s="27" t="s">
        <v>2272</v>
      </c>
      <c r="H762" s="27">
        <v>0</v>
      </c>
      <c r="I762" s="27">
        <f>VLOOKUP(F762,mapping!$L$2:$P$92,2,0)</f>
        <v>0.34064763831408895</v>
      </c>
      <c r="J762" s="27">
        <f>VLOOKUP($F762,mapping!$L$2:$P$92,3,0)</f>
        <v>1388.78</v>
      </c>
      <c r="K762" s="27" t="str">
        <f>VLOOKUP($F762,mapping!$L$2:$P$92,4,0)</f>
        <v>Developing Asia</v>
      </c>
      <c r="L762" s="29">
        <f>$D762*VLOOKUP($E762,'Charts data'!$A$2:$B$11,2,0)*VLOOKUP($G762,'Charts data'!$A$14:$B$18,2,0)/IF('Charts data'!$E$3=1,I762,1)/IF('Charts data'!$E$4=1,J762,1)</f>
        <v>14246.333349954055</v>
      </c>
    </row>
    <row r="763" spans="1:12" x14ac:dyDescent="0.25">
      <c r="A763" s="27" t="s">
        <v>1875</v>
      </c>
      <c r="B763" s="27">
        <v>1230000</v>
      </c>
      <c r="C763" s="27" t="s">
        <v>16</v>
      </c>
      <c r="D763" s="28">
        <f>B763*VLOOKUP(C763,tblXrate[],2,0)</f>
        <v>21903.737525554359</v>
      </c>
      <c r="E763" s="27" t="s">
        <v>7</v>
      </c>
      <c r="F763" s="27" t="s">
        <v>3</v>
      </c>
      <c r="G763" s="27" t="s">
        <v>2273</v>
      </c>
      <c r="H763" s="27">
        <v>3</v>
      </c>
      <c r="I763" s="27">
        <f>VLOOKUP(F763,mapping!$L$2:$P$92,2,0)</f>
        <v>0.34064763831408895</v>
      </c>
      <c r="J763" s="27">
        <f>VLOOKUP($F763,mapping!$L$2:$P$92,3,0)</f>
        <v>1388.78</v>
      </c>
      <c r="K763" s="27" t="str">
        <f>VLOOKUP($F763,mapping!$L$2:$P$92,4,0)</f>
        <v>Developing Asia</v>
      </c>
      <c r="L763" s="29">
        <f>$D763*VLOOKUP($E763,'Charts data'!$A$2:$B$11,2,0)*VLOOKUP($G763,'Charts data'!$A$14:$B$18,2,0)/IF('Charts data'!$E$3=1,I763,1)/IF('Charts data'!$E$4=1,J763,1)</f>
        <v>21903.737525554359</v>
      </c>
    </row>
    <row r="764" spans="1:12" x14ac:dyDescent="0.25">
      <c r="A764" s="27" t="s">
        <v>1876</v>
      </c>
      <c r="B764" s="27">
        <v>1130000</v>
      </c>
      <c r="C764" s="27" t="s">
        <v>16</v>
      </c>
      <c r="D764" s="28">
        <f>B764*VLOOKUP(C764,tblXrate[],2,0)</f>
        <v>20122.945856810104</v>
      </c>
      <c r="E764" s="27" t="s">
        <v>7</v>
      </c>
      <c r="F764" s="27" t="s">
        <v>3</v>
      </c>
      <c r="G764" s="27" t="s">
        <v>2273</v>
      </c>
      <c r="H764" s="27">
        <v>3</v>
      </c>
      <c r="I764" s="27">
        <f>VLOOKUP(F764,mapping!$L$2:$P$92,2,0)</f>
        <v>0.34064763831408895</v>
      </c>
      <c r="J764" s="27">
        <f>VLOOKUP($F764,mapping!$L$2:$P$92,3,0)</f>
        <v>1388.78</v>
      </c>
      <c r="K764" s="27" t="str">
        <f>VLOOKUP($F764,mapping!$L$2:$P$92,4,0)</f>
        <v>Developing Asia</v>
      </c>
      <c r="L764" s="29">
        <f>$D764*VLOOKUP($E764,'Charts data'!$A$2:$B$11,2,0)*VLOOKUP($G764,'Charts data'!$A$14:$B$18,2,0)/IF('Charts data'!$E$3=1,I764,1)/IF('Charts data'!$E$4=1,J764,1)</f>
        <v>20122.945856810104</v>
      </c>
    </row>
    <row r="765" spans="1:12" x14ac:dyDescent="0.25">
      <c r="A765" s="27" t="s">
        <v>1889</v>
      </c>
      <c r="B765" s="27">
        <v>140000</v>
      </c>
      <c r="C765" s="27" t="s">
        <v>16</v>
      </c>
      <c r="D765" s="28">
        <f>B765*VLOOKUP(C765,tblXrate[],2,0)</f>
        <v>2493.1083362419595</v>
      </c>
      <c r="E765" s="27" t="s">
        <v>2146</v>
      </c>
      <c r="F765" s="27" t="s">
        <v>3</v>
      </c>
      <c r="G765" s="27" t="s">
        <v>2271</v>
      </c>
      <c r="H765" s="27">
        <v>5</v>
      </c>
      <c r="I765" s="27">
        <f>VLOOKUP(F765,mapping!$L$2:$P$92,2,0)</f>
        <v>0.34064763831408895</v>
      </c>
      <c r="J765" s="27">
        <f>VLOOKUP($F765,mapping!$L$2:$P$92,3,0)</f>
        <v>1388.78</v>
      </c>
      <c r="K765" s="27" t="str">
        <f>VLOOKUP($F765,mapping!$L$2:$P$92,4,0)</f>
        <v>Developing Asia</v>
      </c>
      <c r="L765" s="29">
        <f>$D765*VLOOKUP($E765,'Charts data'!$A$2:$B$11,2,0)*VLOOKUP($G765,'Charts data'!$A$14:$B$18,2,0)/IF('Charts data'!$E$3=1,I765,1)/IF('Charts data'!$E$4=1,J765,1)</f>
        <v>2493.1083362419595</v>
      </c>
    </row>
    <row r="766" spans="1:12" x14ac:dyDescent="0.25">
      <c r="A766" s="27" t="s">
        <v>1893</v>
      </c>
      <c r="B766" s="27">
        <v>500000</v>
      </c>
      <c r="C766" s="27" t="s">
        <v>16</v>
      </c>
      <c r="D766" s="28">
        <f>B766*VLOOKUP(C766,tblXrate[],2,0)</f>
        <v>8903.9583437212841</v>
      </c>
      <c r="E766" s="27" t="s">
        <v>7</v>
      </c>
      <c r="F766" s="27" t="s">
        <v>3</v>
      </c>
      <c r="G766" s="27" t="s">
        <v>2273</v>
      </c>
      <c r="H766" s="27">
        <v>0</v>
      </c>
      <c r="I766" s="27">
        <f>VLOOKUP(F766,mapping!$L$2:$P$92,2,0)</f>
        <v>0.34064763831408895</v>
      </c>
      <c r="J766" s="27">
        <f>VLOOKUP($F766,mapping!$L$2:$P$92,3,0)</f>
        <v>1388.78</v>
      </c>
      <c r="K766" s="27" t="str">
        <f>VLOOKUP($F766,mapping!$L$2:$P$92,4,0)</f>
        <v>Developing Asia</v>
      </c>
      <c r="L766" s="29">
        <f>$D766*VLOOKUP($E766,'Charts data'!$A$2:$B$11,2,0)*VLOOKUP($G766,'Charts data'!$A$14:$B$18,2,0)/IF('Charts data'!$E$3=1,I766,1)/IF('Charts data'!$E$4=1,J766,1)</f>
        <v>8903.9583437212841</v>
      </c>
    </row>
    <row r="767" spans="1:12" x14ac:dyDescent="0.25">
      <c r="A767" s="27" t="s">
        <v>1895</v>
      </c>
      <c r="B767" s="27">
        <v>1300000</v>
      </c>
      <c r="C767" s="27" t="s">
        <v>16</v>
      </c>
      <c r="D767" s="28">
        <f>B767*VLOOKUP(C767,tblXrate[],2,0)</f>
        <v>23150.291693675339</v>
      </c>
      <c r="E767" s="27" t="s">
        <v>19</v>
      </c>
      <c r="F767" s="27" t="s">
        <v>3</v>
      </c>
      <c r="G767" s="27" t="s">
        <v>2273</v>
      </c>
      <c r="H767" s="27">
        <v>9</v>
      </c>
      <c r="I767" s="27">
        <f>VLOOKUP(F767,mapping!$L$2:$P$92,2,0)</f>
        <v>0.34064763831408895</v>
      </c>
      <c r="J767" s="27">
        <f>VLOOKUP($F767,mapping!$L$2:$P$92,3,0)</f>
        <v>1388.78</v>
      </c>
      <c r="K767" s="27" t="str">
        <f>VLOOKUP($F767,mapping!$L$2:$P$92,4,0)</f>
        <v>Developing Asia</v>
      </c>
      <c r="L767" s="29">
        <f>$D767*VLOOKUP($E767,'Charts data'!$A$2:$B$11,2,0)*VLOOKUP($G767,'Charts data'!$A$14:$B$18,2,0)/IF('Charts data'!$E$3=1,I767,1)/IF('Charts data'!$E$4=1,J767,1)</f>
        <v>23150.291693675339</v>
      </c>
    </row>
    <row r="768" spans="1:12" x14ac:dyDescent="0.25">
      <c r="A768" s="27" t="s">
        <v>1901</v>
      </c>
      <c r="B768" s="27">
        <v>150000</v>
      </c>
      <c r="C768" s="27" t="s">
        <v>16</v>
      </c>
      <c r="D768" s="28">
        <f>B768*VLOOKUP(C768,tblXrate[],2,0)</f>
        <v>2671.1875031163854</v>
      </c>
      <c r="E768" s="27" t="s">
        <v>48</v>
      </c>
      <c r="F768" s="27" t="s">
        <v>3</v>
      </c>
      <c r="G768" s="27" t="s">
        <v>2272</v>
      </c>
      <c r="H768" s="27">
        <v>1</v>
      </c>
      <c r="I768" s="27">
        <f>VLOOKUP(F768,mapping!$L$2:$P$92,2,0)</f>
        <v>0.34064763831408895</v>
      </c>
      <c r="J768" s="27">
        <f>VLOOKUP($F768,mapping!$L$2:$P$92,3,0)</f>
        <v>1388.78</v>
      </c>
      <c r="K768" s="27" t="str">
        <f>VLOOKUP($F768,mapping!$L$2:$P$92,4,0)</f>
        <v>Developing Asia</v>
      </c>
      <c r="L768" s="29">
        <f>$D768*VLOOKUP($E768,'Charts data'!$A$2:$B$11,2,0)*VLOOKUP($G768,'Charts data'!$A$14:$B$18,2,0)/IF('Charts data'!$E$3=1,I768,1)/IF('Charts data'!$E$4=1,J768,1)</f>
        <v>2671.1875031163854</v>
      </c>
    </row>
    <row r="769" spans="1:12" x14ac:dyDescent="0.25">
      <c r="A769" s="27" t="s">
        <v>1906</v>
      </c>
      <c r="B769" s="27">
        <v>480000</v>
      </c>
      <c r="C769" s="27" t="s">
        <v>16</v>
      </c>
      <c r="D769" s="28">
        <f>B769*VLOOKUP(C769,tblXrate[],2,0)</f>
        <v>8547.8000099724322</v>
      </c>
      <c r="E769" s="27" t="s">
        <v>7</v>
      </c>
      <c r="F769" s="27" t="s">
        <v>3</v>
      </c>
      <c r="G769" s="27" t="s">
        <v>2271</v>
      </c>
      <c r="H769" s="27">
        <v>1</v>
      </c>
      <c r="I769" s="27">
        <f>VLOOKUP(F769,mapping!$L$2:$P$92,2,0)</f>
        <v>0.34064763831408895</v>
      </c>
      <c r="J769" s="27">
        <f>VLOOKUP($F769,mapping!$L$2:$P$92,3,0)</f>
        <v>1388.78</v>
      </c>
      <c r="K769" s="27" t="str">
        <f>VLOOKUP($F769,mapping!$L$2:$P$92,4,0)</f>
        <v>Developing Asia</v>
      </c>
      <c r="L769" s="29">
        <f>$D769*VLOOKUP($E769,'Charts data'!$A$2:$B$11,2,0)*VLOOKUP($G769,'Charts data'!$A$14:$B$18,2,0)/IF('Charts data'!$E$3=1,I769,1)/IF('Charts data'!$E$4=1,J769,1)</f>
        <v>8547.8000099724322</v>
      </c>
    </row>
    <row r="770" spans="1:12" x14ac:dyDescent="0.25">
      <c r="A770" s="27" t="s">
        <v>1917</v>
      </c>
      <c r="B770" s="27">
        <v>400000</v>
      </c>
      <c r="C770" s="27" t="s">
        <v>16</v>
      </c>
      <c r="D770" s="28">
        <f>B770*VLOOKUP(C770,tblXrate[],2,0)</f>
        <v>7123.1666749770275</v>
      </c>
      <c r="E770" s="27" t="s">
        <v>7</v>
      </c>
      <c r="F770" s="27" t="s">
        <v>3</v>
      </c>
      <c r="G770" s="27" t="s">
        <v>2272</v>
      </c>
      <c r="H770" s="27">
        <v>3</v>
      </c>
      <c r="I770" s="27">
        <f>VLOOKUP(F770,mapping!$L$2:$P$92,2,0)</f>
        <v>0.34064763831408895</v>
      </c>
      <c r="J770" s="27">
        <f>VLOOKUP($F770,mapping!$L$2:$P$92,3,0)</f>
        <v>1388.78</v>
      </c>
      <c r="K770" s="27" t="str">
        <f>VLOOKUP($F770,mapping!$L$2:$P$92,4,0)</f>
        <v>Developing Asia</v>
      </c>
      <c r="L770" s="29">
        <f>$D770*VLOOKUP($E770,'Charts data'!$A$2:$B$11,2,0)*VLOOKUP($G770,'Charts data'!$A$14:$B$18,2,0)/IF('Charts data'!$E$3=1,I770,1)/IF('Charts data'!$E$4=1,J770,1)</f>
        <v>7123.1666749770275</v>
      </c>
    </row>
    <row r="771" spans="1:12" x14ac:dyDescent="0.25">
      <c r="A771" s="27" t="s">
        <v>1927</v>
      </c>
      <c r="B771" s="27">
        <v>560000</v>
      </c>
      <c r="C771" s="27" t="s">
        <v>16</v>
      </c>
      <c r="D771" s="28">
        <f>B771*VLOOKUP(C771,tblXrate[],2,0)</f>
        <v>9972.4333449678379</v>
      </c>
      <c r="E771" s="27" t="s">
        <v>19</v>
      </c>
      <c r="F771" s="27" t="s">
        <v>3</v>
      </c>
      <c r="G771" s="27" t="s">
        <v>2272</v>
      </c>
      <c r="H771" s="27">
        <v>4</v>
      </c>
      <c r="I771" s="27">
        <f>VLOOKUP(F771,mapping!$L$2:$P$92,2,0)</f>
        <v>0.34064763831408895</v>
      </c>
      <c r="J771" s="27">
        <f>VLOOKUP($F771,mapping!$L$2:$P$92,3,0)</f>
        <v>1388.78</v>
      </c>
      <c r="K771" s="27" t="str">
        <f>VLOOKUP($F771,mapping!$L$2:$P$92,4,0)</f>
        <v>Developing Asia</v>
      </c>
      <c r="L771" s="29">
        <f>$D771*VLOOKUP($E771,'Charts data'!$A$2:$B$11,2,0)*VLOOKUP($G771,'Charts data'!$A$14:$B$18,2,0)/IF('Charts data'!$E$3=1,I771,1)/IF('Charts data'!$E$4=1,J771,1)</f>
        <v>9972.4333449678379</v>
      </c>
    </row>
    <row r="772" spans="1:12" x14ac:dyDescent="0.25">
      <c r="A772" s="27" t="s">
        <v>1933</v>
      </c>
      <c r="B772" s="27">
        <v>280000</v>
      </c>
      <c r="C772" s="27" t="s">
        <v>16</v>
      </c>
      <c r="D772" s="28">
        <f>B772*VLOOKUP(C772,tblXrate[],2,0)</f>
        <v>4986.216672483919</v>
      </c>
      <c r="E772" s="27" t="s">
        <v>7</v>
      </c>
      <c r="F772" s="27" t="s">
        <v>3</v>
      </c>
      <c r="G772" s="27" t="s">
        <v>2273</v>
      </c>
      <c r="H772" s="27">
        <v>8</v>
      </c>
      <c r="I772" s="27">
        <f>VLOOKUP(F772,mapping!$L$2:$P$92,2,0)</f>
        <v>0.34064763831408895</v>
      </c>
      <c r="J772" s="27">
        <f>VLOOKUP($F772,mapping!$L$2:$P$92,3,0)</f>
        <v>1388.78</v>
      </c>
      <c r="K772" s="27" t="str">
        <f>VLOOKUP($F772,mapping!$L$2:$P$92,4,0)</f>
        <v>Developing Asia</v>
      </c>
      <c r="L772" s="29">
        <f>$D772*VLOOKUP($E772,'Charts data'!$A$2:$B$11,2,0)*VLOOKUP($G772,'Charts data'!$A$14:$B$18,2,0)/IF('Charts data'!$E$3=1,I772,1)/IF('Charts data'!$E$4=1,J772,1)</f>
        <v>4986.216672483919</v>
      </c>
    </row>
    <row r="773" spans="1:12" x14ac:dyDescent="0.25">
      <c r="A773" s="27" t="s">
        <v>1935</v>
      </c>
      <c r="B773" s="27">
        <v>450000</v>
      </c>
      <c r="C773" s="27" t="s">
        <v>16</v>
      </c>
      <c r="D773" s="28">
        <f>B773*VLOOKUP(C773,tblXrate[],2,0)</f>
        <v>8013.5625093491553</v>
      </c>
      <c r="E773" s="27" t="s">
        <v>2145</v>
      </c>
      <c r="F773" s="27" t="s">
        <v>3</v>
      </c>
      <c r="G773" s="27" t="s">
        <v>2271</v>
      </c>
      <c r="H773" s="27">
        <v>4</v>
      </c>
      <c r="I773" s="27">
        <f>VLOOKUP(F773,mapping!$L$2:$P$92,2,0)</f>
        <v>0.34064763831408895</v>
      </c>
      <c r="J773" s="27">
        <f>VLOOKUP($F773,mapping!$L$2:$P$92,3,0)</f>
        <v>1388.78</v>
      </c>
      <c r="K773" s="27" t="str">
        <f>VLOOKUP($F773,mapping!$L$2:$P$92,4,0)</f>
        <v>Developing Asia</v>
      </c>
      <c r="L773" s="29">
        <f>$D773*VLOOKUP($E773,'Charts data'!$A$2:$B$11,2,0)*VLOOKUP($G773,'Charts data'!$A$14:$B$18,2,0)/IF('Charts data'!$E$3=1,I773,1)/IF('Charts data'!$E$4=1,J773,1)</f>
        <v>8013.5625093491553</v>
      </c>
    </row>
    <row r="774" spans="1:12" x14ac:dyDescent="0.25">
      <c r="A774" s="27" t="s">
        <v>1948</v>
      </c>
      <c r="B774" s="27">
        <v>1000000</v>
      </c>
      <c r="C774" s="27" t="s">
        <v>16</v>
      </c>
      <c r="D774" s="28">
        <f>B774*VLOOKUP(C774,tblXrate[],2,0)</f>
        <v>17807.916687442568</v>
      </c>
      <c r="E774" s="27" t="s">
        <v>19</v>
      </c>
      <c r="F774" s="27" t="s">
        <v>3</v>
      </c>
      <c r="G774" s="27" t="s">
        <v>2272</v>
      </c>
      <c r="H774" s="27">
        <v>10</v>
      </c>
      <c r="I774" s="27">
        <f>VLOOKUP(F774,mapping!$L$2:$P$92,2,0)</f>
        <v>0.34064763831408895</v>
      </c>
      <c r="J774" s="27">
        <f>VLOOKUP($F774,mapping!$L$2:$P$92,3,0)</f>
        <v>1388.78</v>
      </c>
      <c r="K774" s="27" t="str">
        <f>VLOOKUP($F774,mapping!$L$2:$P$92,4,0)</f>
        <v>Developing Asia</v>
      </c>
      <c r="L774" s="29">
        <f>$D774*VLOOKUP($E774,'Charts data'!$A$2:$B$11,2,0)*VLOOKUP($G774,'Charts data'!$A$14:$B$18,2,0)/IF('Charts data'!$E$3=1,I774,1)/IF('Charts data'!$E$4=1,J774,1)</f>
        <v>17807.916687442568</v>
      </c>
    </row>
    <row r="775" spans="1:12" x14ac:dyDescent="0.25">
      <c r="A775" s="27" t="s">
        <v>1949</v>
      </c>
      <c r="B775" s="27">
        <v>900000</v>
      </c>
      <c r="C775" s="27" t="s">
        <v>16</v>
      </c>
      <c r="D775" s="28">
        <f>B775*VLOOKUP(C775,tblXrate[],2,0)</f>
        <v>16027.125018698311</v>
      </c>
      <c r="E775" s="27" t="s">
        <v>19</v>
      </c>
      <c r="F775" s="27" t="s">
        <v>3</v>
      </c>
      <c r="G775" s="27" t="s">
        <v>2272</v>
      </c>
      <c r="H775" s="27">
        <v>6</v>
      </c>
      <c r="I775" s="27">
        <f>VLOOKUP(F775,mapping!$L$2:$P$92,2,0)</f>
        <v>0.34064763831408895</v>
      </c>
      <c r="J775" s="27">
        <f>VLOOKUP($F775,mapping!$L$2:$P$92,3,0)</f>
        <v>1388.78</v>
      </c>
      <c r="K775" s="27" t="str">
        <f>VLOOKUP($F775,mapping!$L$2:$P$92,4,0)</f>
        <v>Developing Asia</v>
      </c>
      <c r="L775" s="29">
        <f>$D775*VLOOKUP($E775,'Charts data'!$A$2:$B$11,2,0)*VLOOKUP($G775,'Charts data'!$A$14:$B$18,2,0)/IF('Charts data'!$E$3=1,I775,1)/IF('Charts data'!$E$4=1,J775,1)</f>
        <v>16027.125018698311</v>
      </c>
    </row>
    <row r="776" spans="1:12" x14ac:dyDescent="0.25">
      <c r="A776" s="27" t="s">
        <v>1951</v>
      </c>
      <c r="B776" s="27">
        <v>1200000</v>
      </c>
      <c r="C776" s="27" t="s">
        <v>16</v>
      </c>
      <c r="D776" s="28">
        <f>B776*VLOOKUP(C776,tblXrate[],2,0)</f>
        <v>21369.500024931083</v>
      </c>
      <c r="E776" s="27" t="s">
        <v>19</v>
      </c>
      <c r="F776" s="27" t="s">
        <v>3</v>
      </c>
      <c r="G776" s="27" t="s">
        <v>2271</v>
      </c>
      <c r="H776" s="27">
        <v>7</v>
      </c>
      <c r="I776" s="27">
        <f>VLOOKUP(F776,mapping!$L$2:$P$92,2,0)</f>
        <v>0.34064763831408895</v>
      </c>
      <c r="J776" s="27">
        <f>VLOOKUP($F776,mapping!$L$2:$P$92,3,0)</f>
        <v>1388.78</v>
      </c>
      <c r="K776" s="27" t="str">
        <f>VLOOKUP($F776,mapping!$L$2:$P$92,4,0)</f>
        <v>Developing Asia</v>
      </c>
      <c r="L776" s="29">
        <f>$D776*VLOOKUP($E776,'Charts data'!$A$2:$B$11,2,0)*VLOOKUP($G776,'Charts data'!$A$14:$B$18,2,0)/IF('Charts data'!$E$3=1,I776,1)/IF('Charts data'!$E$4=1,J776,1)</f>
        <v>21369.500024931083</v>
      </c>
    </row>
    <row r="777" spans="1:12" x14ac:dyDescent="0.25">
      <c r="A777" s="27" t="s">
        <v>1952</v>
      </c>
      <c r="B777" s="27">
        <v>425000</v>
      </c>
      <c r="C777" s="27" t="s">
        <v>16</v>
      </c>
      <c r="D777" s="28">
        <f>B777*VLOOKUP(C777,tblXrate[],2,0)</f>
        <v>7568.3645921630914</v>
      </c>
      <c r="E777" s="27" t="s">
        <v>51</v>
      </c>
      <c r="F777" s="27" t="s">
        <v>3</v>
      </c>
      <c r="G777" s="27" t="s">
        <v>2272</v>
      </c>
      <c r="H777" s="27">
        <v>6</v>
      </c>
      <c r="I777" s="27">
        <f>VLOOKUP(F777,mapping!$L$2:$P$92,2,0)</f>
        <v>0.34064763831408895</v>
      </c>
      <c r="J777" s="27">
        <f>VLOOKUP($F777,mapping!$L$2:$P$92,3,0)</f>
        <v>1388.78</v>
      </c>
      <c r="K777" s="27" t="str">
        <f>VLOOKUP($F777,mapping!$L$2:$P$92,4,0)</f>
        <v>Developing Asia</v>
      </c>
      <c r="L777" s="29">
        <f>$D777*VLOOKUP($E777,'Charts data'!$A$2:$B$11,2,0)*VLOOKUP($G777,'Charts data'!$A$14:$B$18,2,0)/IF('Charts data'!$E$3=1,I777,1)/IF('Charts data'!$E$4=1,J777,1)</f>
        <v>7568.3645921630914</v>
      </c>
    </row>
    <row r="778" spans="1:12" x14ac:dyDescent="0.25">
      <c r="A778" s="27" t="s">
        <v>1973</v>
      </c>
      <c r="B778" s="27">
        <v>270000</v>
      </c>
      <c r="C778" s="27" t="s">
        <v>16</v>
      </c>
      <c r="D778" s="28">
        <f>B778*VLOOKUP(C778,tblXrate[],2,0)</f>
        <v>4808.137505609493</v>
      </c>
      <c r="E778" s="27" t="s">
        <v>19</v>
      </c>
      <c r="F778" s="27" t="s">
        <v>3</v>
      </c>
      <c r="G778" s="27" t="s">
        <v>2272</v>
      </c>
      <c r="H778" s="27">
        <v>5</v>
      </c>
      <c r="I778" s="27">
        <f>VLOOKUP(F778,mapping!$L$2:$P$92,2,0)</f>
        <v>0.34064763831408895</v>
      </c>
      <c r="J778" s="27">
        <f>VLOOKUP($F778,mapping!$L$2:$P$92,3,0)</f>
        <v>1388.78</v>
      </c>
      <c r="K778" s="27" t="str">
        <f>VLOOKUP($F778,mapping!$L$2:$P$92,4,0)</f>
        <v>Developing Asia</v>
      </c>
      <c r="L778" s="29">
        <f>$D778*VLOOKUP($E778,'Charts data'!$A$2:$B$11,2,0)*VLOOKUP($G778,'Charts data'!$A$14:$B$18,2,0)/IF('Charts data'!$E$3=1,I778,1)/IF('Charts data'!$E$4=1,J778,1)</f>
        <v>4808.137505609493</v>
      </c>
    </row>
    <row r="779" spans="1:12" x14ac:dyDescent="0.25">
      <c r="A779" s="27" t="s">
        <v>1974</v>
      </c>
      <c r="B779" s="27">
        <v>1400000</v>
      </c>
      <c r="C779" s="27" t="s">
        <v>16</v>
      </c>
      <c r="D779" s="28">
        <f>B779*VLOOKUP(C779,tblXrate[],2,0)</f>
        <v>24931.083362419595</v>
      </c>
      <c r="E779" s="27" t="s">
        <v>19</v>
      </c>
      <c r="F779" s="27" t="s">
        <v>3</v>
      </c>
      <c r="G779" s="27" t="s">
        <v>2271</v>
      </c>
      <c r="H779" s="27">
        <v>10</v>
      </c>
      <c r="I779" s="27">
        <f>VLOOKUP(F779,mapping!$L$2:$P$92,2,0)</f>
        <v>0.34064763831408895</v>
      </c>
      <c r="J779" s="27">
        <f>VLOOKUP($F779,mapping!$L$2:$P$92,3,0)</f>
        <v>1388.78</v>
      </c>
      <c r="K779" s="27" t="str">
        <f>VLOOKUP($F779,mapping!$L$2:$P$92,4,0)</f>
        <v>Developing Asia</v>
      </c>
      <c r="L779" s="29">
        <f>$D779*VLOOKUP($E779,'Charts data'!$A$2:$B$11,2,0)*VLOOKUP($G779,'Charts data'!$A$14:$B$18,2,0)/IF('Charts data'!$E$3=1,I779,1)/IF('Charts data'!$E$4=1,J779,1)</f>
        <v>24931.083362419595</v>
      </c>
    </row>
    <row r="780" spans="1:12" x14ac:dyDescent="0.25">
      <c r="A780" s="27" t="s">
        <v>1975</v>
      </c>
      <c r="B780" s="27">
        <v>700000</v>
      </c>
      <c r="C780" s="27" t="s">
        <v>16</v>
      </c>
      <c r="D780" s="28">
        <f>B780*VLOOKUP(C780,tblXrate[],2,0)</f>
        <v>12465.541681209797</v>
      </c>
      <c r="E780" s="27" t="s">
        <v>7</v>
      </c>
      <c r="F780" s="27" t="s">
        <v>3</v>
      </c>
      <c r="G780" s="27" t="s">
        <v>2272</v>
      </c>
      <c r="H780" s="27">
        <v>4</v>
      </c>
      <c r="I780" s="27">
        <f>VLOOKUP(F780,mapping!$L$2:$P$92,2,0)</f>
        <v>0.34064763831408895</v>
      </c>
      <c r="J780" s="27">
        <f>VLOOKUP($F780,mapping!$L$2:$P$92,3,0)</f>
        <v>1388.78</v>
      </c>
      <c r="K780" s="27" t="str">
        <f>VLOOKUP($F780,mapping!$L$2:$P$92,4,0)</f>
        <v>Developing Asia</v>
      </c>
      <c r="L780" s="29">
        <f>$D780*VLOOKUP($E780,'Charts data'!$A$2:$B$11,2,0)*VLOOKUP($G780,'Charts data'!$A$14:$B$18,2,0)/IF('Charts data'!$E$3=1,I780,1)/IF('Charts data'!$E$4=1,J780,1)</f>
        <v>12465.541681209797</v>
      </c>
    </row>
    <row r="781" spans="1:12" x14ac:dyDescent="0.25">
      <c r="A781" s="27" t="s">
        <v>1977</v>
      </c>
      <c r="B781" s="27">
        <v>1000000</v>
      </c>
      <c r="C781" s="27" t="s">
        <v>16</v>
      </c>
      <c r="D781" s="28">
        <f>B781*VLOOKUP(C781,tblXrate[],2,0)</f>
        <v>17807.916687442568</v>
      </c>
      <c r="E781" s="27" t="s">
        <v>19</v>
      </c>
      <c r="F781" s="27" t="s">
        <v>3</v>
      </c>
      <c r="G781" s="27" t="s">
        <v>2273</v>
      </c>
      <c r="H781" s="27">
        <v>10</v>
      </c>
      <c r="I781" s="27">
        <f>VLOOKUP(F781,mapping!$L$2:$P$92,2,0)</f>
        <v>0.34064763831408895</v>
      </c>
      <c r="J781" s="27">
        <f>VLOOKUP($F781,mapping!$L$2:$P$92,3,0)</f>
        <v>1388.78</v>
      </c>
      <c r="K781" s="27" t="str">
        <f>VLOOKUP($F781,mapping!$L$2:$P$92,4,0)</f>
        <v>Developing Asia</v>
      </c>
      <c r="L781" s="29">
        <f>$D781*VLOOKUP($E781,'Charts data'!$A$2:$B$11,2,0)*VLOOKUP($G781,'Charts data'!$A$14:$B$18,2,0)/IF('Charts data'!$E$3=1,I781,1)/IF('Charts data'!$E$4=1,J781,1)</f>
        <v>17807.916687442568</v>
      </c>
    </row>
    <row r="782" spans="1:12" x14ac:dyDescent="0.25">
      <c r="A782" s="27" t="s">
        <v>1988</v>
      </c>
      <c r="B782" s="27">
        <v>360000</v>
      </c>
      <c r="C782" s="27" t="s">
        <v>16</v>
      </c>
      <c r="D782" s="28">
        <f>B782*VLOOKUP(C782,tblXrate[],2,0)</f>
        <v>6410.8500074793246</v>
      </c>
      <c r="E782" s="27" t="s">
        <v>7</v>
      </c>
      <c r="F782" s="27" t="s">
        <v>3</v>
      </c>
      <c r="G782" s="27" t="s">
        <v>2273</v>
      </c>
      <c r="H782" s="27">
        <v>2</v>
      </c>
      <c r="I782" s="27">
        <f>VLOOKUP(F782,mapping!$L$2:$P$92,2,0)</f>
        <v>0.34064763831408895</v>
      </c>
      <c r="J782" s="27">
        <f>VLOOKUP($F782,mapping!$L$2:$P$92,3,0)</f>
        <v>1388.78</v>
      </c>
      <c r="K782" s="27" t="str">
        <f>VLOOKUP($F782,mapping!$L$2:$P$92,4,0)</f>
        <v>Developing Asia</v>
      </c>
      <c r="L782" s="29">
        <f>$D782*VLOOKUP($E782,'Charts data'!$A$2:$B$11,2,0)*VLOOKUP($G782,'Charts data'!$A$14:$B$18,2,0)/IF('Charts data'!$E$3=1,I782,1)/IF('Charts data'!$E$4=1,J782,1)</f>
        <v>6410.8500074793246</v>
      </c>
    </row>
    <row r="783" spans="1:12" x14ac:dyDescent="0.25">
      <c r="A783" s="27" t="s">
        <v>1989</v>
      </c>
      <c r="B783" s="27">
        <v>600000</v>
      </c>
      <c r="C783" s="27" t="s">
        <v>16</v>
      </c>
      <c r="D783" s="28">
        <f>B783*VLOOKUP(C783,tblXrate[],2,0)</f>
        <v>10684.750012465542</v>
      </c>
      <c r="E783" s="27" t="s">
        <v>19</v>
      </c>
      <c r="F783" s="27" t="s">
        <v>3</v>
      </c>
      <c r="G783" s="27" t="s">
        <v>2271</v>
      </c>
      <c r="H783" s="27">
        <v>12</v>
      </c>
      <c r="I783" s="27">
        <f>VLOOKUP(F783,mapping!$L$2:$P$92,2,0)</f>
        <v>0.34064763831408895</v>
      </c>
      <c r="J783" s="27">
        <f>VLOOKUP($F783,mapping!$L$2:$P$92,3,0)</f>
        <v>1388.78</v>
      </c>
      <c r="K783" s="27" t="str">
        <f>VLOOKUP($F783,mapping!$L$2:$P$92,4,0)</f>
        <v>Developing Asia</v>
      </c>
      <c r="L783" s="29">
        <f>$D783*VLOOKUP($E783,'Charts data'!$A$2:$B$11,2,0)*VLOOKUP($G783,'Charts data'!$A$14:$B$18,2,0)/IF('Charts data'!$E$3=1,I783,1)/IF('Charts data'!$E$4=1,J783,1)</f>
        <v>10684.750012465542</v>
      </c>
    </row>
    <row r="784" spans="1:12" x14ac:dyDescent="0.25">
      <c r="A784" s="27" t="s">
        <v>1991</v>
      </c>
      <c r="B784" s="27">
        <v>350000</v>
      </c>
      <c r="C784" s="27" t="s">
        <v>16</v>
      </c>
      <c r="D784" s="28">
        <f>B784*VLOOKUP(C784,tblXrate[],2,0)</f>
        <v>6232.7708406048987</v>
      </c>
      <c r="E784" s="27" t="s">
        <v>7</v>
      </c>
      <c r="F784" s="27" t="s">
        <v>3</v>
      </c>
      <c r="G784" s="27" t="s">
        <v>2271</v>
      </c>
      <c r="H784" s="27">
        <v>6</v>
      </c>
      <c r="I784" s="27">
        <f>VLOOKUP(F784,mapping!$L$2:$P$92,2,0)</f>
        <v>0.34064763831408895</v>
      </c>
      <c r="J784" s="27">
        <f>VLOOKUP($F784,mapping!$L$2:$P$92,3,0)</f>
        <v>1388.78</v>
      </c>
      <c r="K784" s="27" t="str">
        <f>VLOOKUP($F784,mapping!$L$2:$P$92,4,0)</f>
        <v>Developing Asia</v>
      </c>
      <c r="L784" s="29">
        <f>$D784*VLOOKUP($E784,'Charts data'!$A$2:$B$11,2,0)*VLOOKUP($G784,'Charts data'!$A$14:$B$18,2,0)/IF('Charts data'!$E$3=1,I784,1)/IF('Charts data'!$E$4=1,J784,1)</f>
        <v>6232.7708406048987</v>
      </c>
    </row>
    <row r="785" spans="1:12" x14ac:dyDescent="0.25">
      <c r="A785" s="27" t="s">
        <v>1992</v>
      </c>
      <c r="B785" s="27">
        <v>2342342</v>
      </c>
      <c r="C785" s="27" t="s">
        <v>16</v>
      </c>
      <c r="D785" s="28">
        <f>B785*VLOOKUP(C785,tblXrate[],2,0)</f>
        <v>41712.231189497601</v>
      </c>
      <c r="E785" s="27" t="s">
        <v>2146</v>
      </c>
      <c r="F785" s="27" t="s">
        <v>3</v>
      </c>
      <c r="G785" s="27" t="s">
        <v>2272</v>
      </c>
      <c r="H785" s="27">
        <v>12</v>
      </c>
      <c r="I785" s="27">
        <f>VLOOKUP(F785,mapping!$L$2:$P$92,2,0)</f>
        <v>0.34064763831408895</v>
      </c>
      <c r="J785" s="27">
        <f>VLOOKUP($F785,mapping!$L$2:$P$92,3,0)</f>
        <v>1388.78</v>
      </c>
      <c r="K785" s="27" t="str">
        <f>VLOOKUP($F785,mapping!$L$2:$P$92,4,0)</f>
        <v>Developing Asia</v>
      </c>
      <c r="L785" s="29">
        <f>$D785*VLOOKUP($E785,'Charts data'!$A$2:$B$11,2,0)*VLOOKUP($G785,'Charts data'!$A$14:$B$18,2,0)/IF('Charts data'!$E$3=1,I785,1)/IF('Charts data'!$E$4=1,J785,1)</f>
        <v>41712.231189497601</v>
      </c>
    </row>
    <row r="786" spans="1:12" x14ac:dyDescent="0.25">
      <c r="A786" s="27" t="s">
        <v>1993</v>
      </c>
      <c r="B786" s="27">
        <v>700000</v>
      </c>
      <c r="C786" s="27" t="s">
        <v>16</v>
      </c>
      <c r="D786" s="28">
        <f>B786*VLOOKUP(C786,tblXrate[],2,0)</f>
        <v>12465.541681209797</v>
      </c>
      <c r="E786" s="27" t="s">
        <v>19</v>
      </c>
      <c r="F786" s="27" t="s">
        <v>3</v>
      </c>
      <c r="G786" s="27" t="s">
        <v>2272</v>
      </c>
      <c r="H786" s="27">
        <v>9</v>
      </c>
      <c r="I786" s="27">
        <f>VLOOKUP(F786,mapping!$L$2:$P$92,2,0)</f>
        <v>0.34064763831408895</v>
      </c>
      <c r="J786" s="27">
        <f>VLOOKUP($F786,mapping!$L$2:$P$92,3,0)</f>
        <v>1388.78</v>
      </c>
      <c r="K786" s="27" t="str">
        <f>VLOOKUP($F786,mapping!$L$2:$P$92,4,0)</f>
        <v>Developing Asia</v>
      </c>
      <c r="L786" s="29">
        <f>$D786*VLOOKUP($E786,'Charts data'!$A$2:$B$11,2,0)*VLOOKUP($G786,'Charts data'!$A$14:$B$18,2,0)/IF('Charts data'!$E$3=1,I786,1)/IF('Charts data'!$E$4=1,J786,1)</f>
        <v>12465.541681209797</v>
      </c>
    </row>
    <row r="787" spans="1:12" x14ac:dyDescent="0.25">
      <c r="A787" s="27" t="s">
        <v>1995</v>
      </c>
      <c r="B787" s="27">
        <v>400000</v>
      </c>
      <c r="C787" s="27" t="s">
        <v>16</v>
      </c>
      <c r="D787" s="28">
        <f>B787*VLOOKUP(C787,tblXrate[],2,0)</f>
        <v>7123.1666749770275</v>
      </c>
      <c r="E787" s="27" t="s">
        <v>7</v>
      </c>
      <c r="F787" s="27" t="s">
        <v>3</v>
      </c>
      <c r="G787" s="27" t="s">
        <v>2274</v>
      </c>
      <c r="H787" s="27">
        <v>2</v>
      </c>
      <c r="I787" s="27">
        <f>VLOOKUP(F787,mapping!$L$2:$P$92,2,0)</f>
        <v>0.34064763831408895</v>
      </c>
      <c r="J787" s="27">
        <f>VLOOKUP($F787,mapping!$L$2:$P$92,3,0)</f>
        <v>1388.78</v>
      </c>
      <c r="K787" s="27" t="str">
        <f>VLOOKUP($F787,mapping!$L$2:$P$92,4,0)</f>
        <v>Developing Asia</v>
      </c>
      <c r="L787" s="29">
        <f>$D787*VLOOKUP($E787,'Charts data'!$A$2:$B$11,2,0)*VLOOKUP($G787,'Charts data'!$A$14:$B$18,2,0)/IF('Charts data'!$E$3=1,I787,1)/IF('Charts data'!$E$4=1,J787,1)</f>
        <v>7123.1666749770275</v>
      </c>
    </row>
    <row r="788" spans="1:12" x14ac:dyDescent="0.25">
      <c r="A788" s="27" t="s">
        <v>2006</v>
      </c>
      <c r="B788" s="27">
        <v>350000</v>
      </c>
      <c r="C788" s="27" t="s">
        <v>16</v>
      </c>
      <c r="D788" s="28">
        <f>B788*VLOOKUP(C788,tblXrate[],2,0)</f>
        <v>6232.7708406048987</v>
      </c>
      <c r="E788" s="27" t="s">
        <v>19</v>
      </c>
      <c r="F788" s="27" t="s">
        <v>3</v>
      </c>
      <c r="G788" s="27" t="s">
        <v>2272</v>
      </c>
      <c r="H788" s="27">
        <v>27</v>
      </c>
      <c r="I788" s="27">
        <f>VLOOKUP(F788,mapping!$L$2:$P$92,2,0)</f>
        <v>0.34064763831408895</v>
      </c>
      <c r="J788" s="27">
        <f>VLOOKUP($F788,mapping!$L$2:$P$92,3,0)</f>
        <v>1388.78</v>
      </c>
      <c r="K788" s="27" t="str">
        <f>VLOOKUP($F788,mapping!$L$2:$P$92,4,0)</f>
        <v>Developing Asia</v>
      </c>
      <c r="L788" s="29">
        <f>$D788*VLOOKUP($E788,'Charts data'!$A$2:$B$11,2,0)*VLOOKUP($G788,'Charts data'!$A$14:$B$18,2,0)/IF('Charts data'!$E$3=1,I788,1)/IF('Charts data'!$E$4=1,J788,1)</f>
        <v>6232.7708406048987</v>
      </c>
    </row>
    <row r="789" spans="1:12" x14ac:dyDescent="0.25">
      <c r="A789" s="27" t="s">
        <v>2015</v>
      </c>
      <c r="B789" s="27">
        <v>250000</v>
      </c>
      <c r="C789" s="27" t="s">
        <v>16</v>
      </c>
      <c r="D789" s="28">
        <f>B789*VLOOKUP(C789,tblXrate[],2,0)</f>
        <v>4451.9791718606421</v>
      </c>
      <c r="E789" s="27" t="s">
        <v>2145</v>
      </c>
      <c r="F789" s="27" t="s">
        <v>3</v>
      </c>
      <c r="G789" s="27" t="s">
        <v>2271</v>
      </c>
      <c r="H789" s="27">
        <v>3</v>
      </c>
      <c r="I789" s="27">
        <f>VLOOKUP(F789,mapping!$L$2:$P$92,2,0)</f>
        <v>0.34064763831408895</v>
      </c>
      <c r="J789" s="27">
        <f>VLOOKUP($F789,mapping!$L$2:$P$92,3,0)</f>
        <v>1388.78</v>
      </c>
      <c r="K789" s="27" t="str">
        <f>VLOOKUP($F789,mapping!$L$2:$P$92,4,0)</f>
        <v>Developing Asia</v>
      </c>
      <c r="L789" s="29">
        <f>$D789*VLOOKUP($E789,'Charts data'!$A$2:$B$11,2,0)*VLOOKUP($G789,'Charts data'!$A$14:$B$18,2,0)/IF('Charts data'!$E$3=1,I789,1)/IF('Charts data'!$E$4=1,J789,1)</f>
        <v>4451.9791718606421</v>
      </c>
    </row>
    <row r="790" spans="1:12" x14ac:dyDescent="0.25">
      <c r="A790" s="27" t="s">
        <v>2019</v>
      </c>
      <c r="B790" s="27">
        <v>750000</v>
      </c>
      <c r="C790" s="27" t="s">
        <v>16</v>
      </c>
      <c r="D790" s="28">
        <f>B790*VLOOKUP(C790,tblXrate[],2,0)</f>
        <v>13355.937515581925</v>
      </c>
      <c r="E790" s="27" t="s">
        <v>7</v>
      </c>
      <c r="F790" s="27" t="s">
        <v>3</v>
      </c>
      <c r="G790" s="27" t="s">
        <v>2271</v>
      </c>
      <c r="H790" s="27">
        <v>5</v>
      </c>
      <c r="I790" s="27">
        <f>VLOOKUP(F790,mapping!$L$2:$P$92,2,0)</f>
        <v>0.34064763831408895</v>
      </c>
      <c r="J790" s="27">
        <f>VLOOKUP($F790,mapping!$L$2:$P$92,3,0)</f>
        <v>1388.78</v>
      </c>
      <c r="K790" s="27" t="str">
        <f>VLOOKUP($F790,mapping!$L$2:$P$92,4,0)</f>
        <v>Developing Asia</v>
      </c>
      <c r="L790" s="29">
        <f>$D790*VLOOKUP($E790,'Charts data'!$A$2:$B$11,2,0)*VLOOKUP($G790,'Charts data'!$A$14:$B$18,2,0)/IF('Charts data'!$E$3=1,I790,1)/IF('Charts data'!$E$4=1,J790,1)</f>
        <v>13355.937515581925</v>
      </c>
    </row>
    <row r="791" spans="1:12" x14ac:dyDescent="0.25">
      <c r="A791" s="27" t="s">
        <v>2021</v>
      </c>
      <c r="B791" s="27">
        <v>420000</v>
      </c>
      <c r="C791" s="27" t="s">
        <v>16</v>
      </c>
      <c r="D791" s="28">
        <f>B791*VLOOKUP(C791,tblXrate[],2,0)</f>
        <v>7479.3250087258784</v>
      </c>
      <c r="E791" s="27" t="s">
        <v>7</v>
      </c>
      <c r="F791" s="27" t="s">
        <v>3</v>
      </c>
      <c r="G791" s="27" t="s">
        <v>2271</v>
      </c>
      <c r="H791" s="27">
        <v>2</v>
      </c>
      <c r="I791" s="27">
        <f>VLOOKUP(F791,mapping!$L$2:$P$92,2,0)</f>
        <v>0.34064763831408895</v>
      </c>
      <c r="J791" s="27">
        <f>VLOOKUP($F791,mapping!$L$2:$P$92,3,0)</f>
        <v>1388.78</v>
      </c>
      <c r="K791" s="27" t="str">
        <f>VLOOKUP($F791,mapping!$L$2:$P$92,4,0)</f>
        <v>Developing Asia</v>
      </c>
      <c r="L791" s="29">
        <f>$D791*VLOOKUP($E791,'Charts data'!$A$2:$B$11,2,0)*VLOOKUP($G791,'Charts data'!$A$14:$B$18,2,0)/IF('Charts data'!$E$3=1,I791,1)/IF('Charts data'!$E$4=1,J791,1)</f>
        <v>7479.3250087258784</v>
      </c>
    </row>
    <row r="792" spans="1:12" x14ac:dyDescent="0.25">
      <c r="A792" s="27" t="s">
        <v>2025</v>
      </c>
      <c r="B792" s="27">
        <v>276000</v>
      </c>
      <c r="C792" s="27" t="s">
        <v>16</v>
      </c>
      <c r="D792" s="28">
        <f>B792*VLOOKUP(C792,tblXrate[],2,0)</f>
        <v>4914.9850057341491</v>
      </c>
      <c r="E792" s="27" t="s">
        <v>2145</v>
      </c>
      <c r="F792" s="27" t="s">
        <v>3</v>
      </c>
      <c r="G792" s="27" t="s">
        <v>2273</v>
      </c>
      <c r="H792" s="27">
        <v>6</v>
      </c>
      <c r="I792" s="27">
        <f>VLOOKUP(F792,mapping!$L$2:$P$92,2,0)</f>
        <v>0.34064763831408895</v>
      </c>
      <c r="J792" s="27">
        <f>VLOOKUP($F792,mapping!$L$2:$P$92,3,0)</f>
        <v>1388.78</v>
      </c>
      <c r="K792" s="27" t="str">
        <f>VLOOKUP($F792,mapping!$L$2:$P$92,4,0)</f>
        <v>Developing Asia</v>
      </c>
      <c r="L792" s="29">
        <f>$D792*VLOOKUP($E792,'Charts data'!$A$2:$B$11,2,0)*VLOOKUP($G792,'Charts data'!$A$14:$B$18,2,0)/IF('Charts data'!$E$3=1,I792,1)/IF('Charts data'!$E$4=1,J792,1)</f>
        <v>4914.9850057341491</v>
      </c>
    </row>
    <row r="793" spans="1:12" x14ac:dyDescent="0.25">
      <c r="A793" s="27" t="s">
        <v>2027</v>
      </c>
      <c r="B793" s="27">
        <v>250000</v>
      </c>
      <c r="C793" s="27" t="s">
        <v>16</v>
      </c>
      <c r="D793" s="28">
        <f>B793*VLOOKUP(C793,tblXrate[],2,0)</f>
        <v>4451.9791718606421</v>
      </c>
      <c r="E793" s="27" t="s">
        <v>7</v>
      </c>
      <c r="F793" s="27" t="s">
        <v>3</v>
      </c>
      <c r="G793" s="27" t="s">
        <v>2295</v>
      </c>
      <c r="H793" s="27">
        <v>1.6</v>
      </c>
      <c r="I793" s="27">
        <f>VLOOKUP(F793,mapping!$L$2:$P$92,2,0)</f>
        <v>0.34064763831408895</v>
      </c>
      <c r="J793" s="27">
        <f>VLOOKUP($F793,mapping!$L$2:$P$92,3,0)</f>
        <v>1388.78</v>
      </c>
      <c r="K793" s="27" t="str">
        <f>VLOOKUP($F793,mapping!$L$2:$P$92,4,0)</f>
        <v>Developing Asia</v>
      </c>
      <c r="L793" s="29">
        <f>$D793*VLOOKUP($E793,'Charts data'!$A$2:$B$11,2,0)*VLOOKUP($G793,'Charts data'!$A$14:$B$18,2,0)/IF('Charts data'!$E$3=1,I793,1)/IF('Charts data'!$E$4=1,J793,1)</f>
        <v>4451.9791718606421</v>
      </c>
    </row>
    <row r="794" spans="1:12" x14ac:dyDescent="0.25">
      <c r="A794" s="27" t="s">
        <v>2034</v>
      </c>
      <c r="B794" s="27">
        <v>180000</v>
      </c>
      <c r="C794" s="27" t="s">
        <v>16</v>
      </c>
      <c r="D794" s="28">
        <f>B794*VLOOKUP(C794,tblXrate[],2,0)</f>
        <v>3205.4250037396623</v>
      </c>
      <c r="E794" s="27" t="s">
        <v>7</v>
      </c>
      <c r="F794" s="27" t="s">
        <v>3</v>
      </c>
      <c r="G794" s="27" t="s">
        <v>2271</v>
      </c>
      <c r="H794" s="27">
        <v>3</v>
      </c>
      <c r="I794" s="27">
        <f>VLOOKUP(F794,mapping!$L$2:$P$92,2,0)</f>
        <v>0.34064763831408895</v>
      </c>
      <c r="J794" s="27">
        <f>VLOOKUP($F794,mapping!$L$2:$P$92,3,0)</f>
        <v>1388.78</v>
      </c>
      <c r="K794" s="27" t="str">
        <f>VLOOKUP($F794,mapping!$L$2:$P$92,4,0)</f>
        <v>Developing Asia</v>
      </c>
      <c r="L794" s="29">
        <f>$D794*VLOOKUP($E794,'Charts data'!$A$2:$B$11,2,0)*VLOOKUP($G794,'Charts data'!$A$14:$B$18,2,0)/IF('Charts data'!$E$3=1,I794,1)/IF('Charts data'!$E$4=1,J794,1)</f>
        <v>3205.4250037396623</v>
      </c>
    </row>
    <row r="795" spans="1:12" x14ac:dyDescent="0.25">
      <c r="A795" s="27" t="s">
        <v>823</v>
      </c>
      <c r="B795" s="27">
        <v>276000</v>
      </c>
      <c r="C795" s="27" t="s">
        <v>16</v>
      </c>
      <c r="D795" s="28">
        <f>B795*VLOOKUP(C795,tblXrate[],2,0)</f>
        <v>4914.9850057341491</v>
      </c>
      <c r="E795" s="27" t="s">
        <v>19</v>
      </c>
      <c r="F795" s="27" t="s">
        <v>6</v>
      </c>
      <c r="G795" s="27" t="s">
        <v>2274</v>
      </c>
      <c r="H795" s="27">
        <v>3</v>
      </c>
      <c r="I795" s="27">
        <f>VLOOKUP(F795,mapping!$L$2:$P$92,2,0)</f>
        <v>0.65835867993475172</v>
      </c>
      <c r="J795" s="27">
        <f>VLOOKUP($F795,mapping!$L$2:$P$92,3,0)</f>
        <v>1201.1099999999999</v>
      </c>
      <c r="K795" s="27" t="str">
        <f>VLOOKUP($F795,mapping!$L$2:$P$92,4,0)</f>
        <v>Developing Asia</v>
      </c>
      <c r="L795" s="29">
        <f>$D795*VLOOKUP($E795,'Charts data'!$A$2:$B$11,2,0)*VLOOKUP($G795,'Charts data'!$A$14:$B$18,2,0)/IF('Charts data'!$E$3=1,I795,1)/IF('Charts data'!$E$4=1,J795,1)</f>
        <v>4914.9850057341491</v>
      </c>
    </row>
    <row r="796" spans="1:12" x14ac:dyDescent="0.25">
      <c r="A796" s="27" t="s">
        <v>1498</v>
      </c>
      <c r="B796" s="27">
        <v>4000000</v>
      </c>
      <c r="C796" s="27" t="s">
        <v>145</v>
      </c>
      <c r="D796" s="28">
        <f>B796*VLOOKUP(C796,tblXrate[],2,0)</f>
        <v>50694.322109187968</v>
      </c>
      <c r="E796" s="27" t="s">
        <v>7</v>
      </c>
      <c r="F796" s="27" t="s">
        <v>81</v>
      </c>
      <c r="G796" s="27" t="s">
        <v>2271</v>
      </c>
      <c r="H796" s="27">
        <v>8</v>
      </c>
      <c r="I796" s="27">
        <f>VLOOKUP(F796,mapping!$L$2:$P$92,2,0)</f>
        <v>1.3369613569856142</v>
      </c>
      <c r="J796" s="27">
        <f>VLOOKUP($F796,mapping!$L$2:$P$92,3,0)</f>
        <v>45920.3</v>
      </c>
      <c r="K796" s="27" t="str">
        <f>VLOOKUP($F796,mapping!$L$2:$P$92,4,0)</f>
        <v>Major Advanced Economies (G7)</v>
      </c>
      <c r="L796" s="29">
        <f>$D796*VLOOKUP($E796,'Charts data'!$A$2:$B$11,2,0)*VLOOKUP($G796,'Charts data'!$A$14:$B$18,2,0)/IF('Charts data'!$E$3=1,I796,1)/IF('Charts data'!$E$4=1,J796,1)</f>
        <v>50694.322109187968</v>
      </c>
    </row>
    <row r="797" spans="1:12" x14ac:dyDescent="0.25">
      <c r="A797" s="27" t="s">
        <v>1333</v>
      </c>
      <c r="B797" s="27">
        <v>4300000</v>
      </c>
      <c r="C797" s="27" t="s">
        <v>129</v>
      </c>
      <c r="D797" s="28">
        <f>B797*VLOOKUP(C797,tblXrate[],2,0)</f>
        <v>51497.005988023957</v>
      </c>
      <c r="E797" s="27" t="s">
        <v>19</v>
      </c>
      <c r="F797" s="27" t="s">
        <v>130</v>
      </c>
      <c r="G797" s="27" t="s">
        <v>2271</v>
      </c>
      <c r="H797" s="27">
        <v>9</v>
      </c>
      <c r="I797" s="27">
        <f>VLOOKUP(F797,mapping!$L$2:$P$92,2,0)</f>
        <v>0.50302994011976043</v>
      </c>
      <c r="J797" s="27">
        <f>VLOOKUP($F797,mapping!$L$2:$P$92,3,0)</f>
        <v>850.55499999999995</v>
      </c>
      <c r="K797" s="27" t="str">
        <f>VLOOKUP($F797,mapping!$L$2:$P$92,4,0)</f>
        <v>Sub-Saharan Africa</v>
      </c>
      <c r="L797" s="29">
        <f>$D797*VLOOKUP($E797,'Charts data'!$A$2:$B$11,2,0)*VLOOKUP($G797,'Charts data'!$A$14:$B$18,2,0)/IF('Charts data'!$E$3=1,I797,1)/IF('Charts data'!$E$4=1,J797,1)</f>
        <v>51497.005988023957</v>
      </c>
    </row>
    <row r="798" spans="1:12" x14ac:dyDescent="0.25">
      <c r="A798" s="27" t="s">
        <v>1157</v>
      </c>
      <c r="B798" s="27">
        <v>240000</v>
      </c>
      <c r="C798" s="27" t="s">
        <v>120</v>
      </c>
      <c r="D798" s="28">
        <f>B798*VLOOKUP(C798,tblXrate[],2,0)</f>
        <v>1805.7739622442759</v>
      </c>
      <c r="E798" s="27" t="s">
        <v>19</v>
      </c>
      <c r="F798" s="27" t="s">
        <v>87</v>
      </c>
      <c r="G798" s="27" t="s">
        <v>2271</v>
      </c>
      <c r="H798" s="27">
        <v>3</v>
      </c>
      <c r="I798" s="27">
        <f>VLOOKUP(F798,mapping!$L$2:$P$92,2,0)</f>
        <v>0.42199432686013522</v>
      </c>
      <c r="J798" s="27">
        <f>VLOOKUP($F798,mapping!$L$2:$P$92,3,0)</f>
        <v>2876.97</v>
      </c>
      <c r="K798" s="27" t="str">
        <f>VLOOKUP($F798,mapping!$L$2:$P$92,4,0)</f>
        <v>Developing Asia</v>
      </c>
      <c r="L798" s="29">
        <f>$D798*VLOOKUP($E798,'Charts data'!$A$2:$B$11,2,0)*VLOOKUP($G798,'Charts data'!$A$14:$B$18,2,0)/IF('Charts data'!$E$3=1,I798,1)/IF('Charts data'!$E$4=1,J798,1)</f>
        <v>1805.7739622442759</v>
      </c>
    </row>
    <row r="799" spans="1:12" x14ac:dyDescent="0.25">
      <c r="A799" s="27" t="s">
        <v>1703</v>
      </c>
      <c r="B799" s="27">
        <v>120000</v>
      </c>
      <c r="C799" s="27" t="s">
        <v>157</v>
      </c>
      <c r="D799" s="28">
        <f>B799*VLOOKUP(C799,tblXrate[],2,0)</f>
        <v>13745.704467353951</v>
      </c>
      <c r="E799" s="27" t="s">
        <v>62</v>
      </c>
      <c r="F799" s="27" t="s">
        <v>158</v>
      </c>
      <c r="G799" s="27" t="s">
        <v>2273</v>
      </c>
      <c r="H799" s="27">
        <v>8</v>
      </c>
      <c r="I799" s="27">
        <f>VLOOKUP(F799,mapping!$L$2:$P$92,2,0)</f>
        <v>0.56643757159221075</v>
      </c>
      <c r="J799" s="27">
        <f>VLOOKUP($F799,mapping!$L$2:$P$92,3,0)</f>
        <v>3083.25</v>
      </c>
      <c r="K799" s="27" t="str">
        <f>VLOOKUP($F799,mapping!$L$2:$P$92,4,0)</f>
        <v>Middle East and North Africa</v>
      </c>
      <c r="L799" s="29">
        <f>$D799*VLOOKUP($E799,'Charts data'!$A$2:$B$11,2,0)*VLOOKUP($G799,'Charts data'!$A$14:$B$18,2,0)/IF('Charts data'!$E$3=1,I799,1)/IF('Charts data'!$E$4=1,J799,1)</f>
        <v>13745.704467353951</v>
      </c>
    </row>
    <row r="800" spans="1:12" x14ac:dyDescent="0.25">
      <c r="A800" s="27" t="s">
        <v>1396</v>
      </c>
      <c r="B800" s="27">
        <v>9600000</v>
      </c>
      <c r="C800" s="27" t="s">
        <v>136</v>
      </c>
      <c r="D800" s="28">
        <f>B800*VLOOKUP(C800,tblXrate[],2,0)</f>
        <v>7261.724659606657</v>
      </c>
      <c r="E800" s="27" t="s">
        <v>7</v>
      </c>
      <c r="F800" s="27" t="s">
        <v>137</v>
      </c>
      <c r="G800" s="27" t="s">
        <v>2273</v>
      </c>
      <c r="H800" s="27">
        <v>2</v>
      </c>
      <c r="I800" s="27">
        <f>VLOOKUP(F800,mapping!$L$2:$P$92,2,0)</f>
        <v>0.61762481089258703</v>
      </c>
      <c r="J800" s="27">
        <f>VLOOKUP($F800,mapping!$L$2:$P$92,3,0)</f>
        <v>3042.19</v>
      </c>
      <c r="K800" s="27" t="str">
        <f>VLOOKUP($F800,mapping!$L$2:$P$92,4,0)</f>
        <v>Commonwealth of Independent States</v>
      </c>
      <c r="L800" s="29">
        <f>$D800*VLOOKUP($E800,'Charts data'!$A$2:$B$11,2,0)*VLOOKUP($G800,'Charts data'!$A$14:$B$18,2,0)/IF('Charts data'!$E$3=1,I800,1)/IF('Charts data'!$E$4=1,J800,1)</f>
        <v>7261.724659606657</v>
      </c>
    </row>
    <row r="801" spans="1:12" x14ac:dyDescent="0.25">
      <c r="A801" s="27" t="s">
        <v>1754</v>
      </c>
      <c r="B801" s="27">
        <v>288000</v>
      </c>
      <c r="C801" s="27" t="s">
        <v>2090</v>
      </c>
      <c r="D801" s="28">
        <f>B801*VLOOKUP(C801,tblXrate[],2,0)</f>
        <v>9376.2513877177607</v>
      </c>
      <c r="E801" s="27" t="s">
        <v>48</v>
      </c>
      <c r="F801" s="27" t="s">
        <v>160</v>
      </c>
      <c r="G801" s="27" t="s">
        <v>2271</v>
      </c>
      <c r="H801" s="27">
        <v>7</v>
      </c>
      <c r="I801" s="27">
        <f>VLOOKUP(F801,mapping!$L$2:$P$92,2,0)</f>
        <v>0.54851070618148901</v>
      </c>
      <c r="J801" s="27">
        <f>VLOOKUP($F801,mapping!$L$2:$P$92,3,0)</f>
        <v>8776.7800000000007</v>
      </c>
      <c r="K801" s="27" t="str">
        <f>VLOOKUP($F801,mapping!$L$2:$P$92,4,0)</f>
        <v>Sub-Saharan Africa</v>
      </c>
      <c r="L801" s="29">
        <f>$D801*VLOOKUP($E801,'Charts data'!$A$2:$B$11,2,0)*VLOOKUP($G801,'Charts data'!$A$14:$B$18,2,0)/IF('Charts data'!$E$3=1,I801,1)/IF('Charts data'!$E$4=1,J801,1)</f>
        <v>9376.2513877177607</v>
      </c>
    </row>
    <row r="802" spans="1:12" x14ac:dyDescent="0.25">
      <c r="A802" s="27" t="s">
        <v>482</v>
      </c>
      <c r="B802" s="27">
        <v>150000</v>
      </c>
      <c r="C802" s="27" t="s">
        <v>56</v>
      </c>
      <c r="D802" s="28">
        <f>B802*VLOOKUP(C802,tblXrate[],2,0)</f>
        <v>10956.982885192734</v>
      </c>
      <c r="E802" s="27" t="s">
        <v>7</v>
      </c>
      <c r="F802" s="27" t="s">
        <v>42</v>
      </c>
      <c r="G802" s="27" t="s">
        <v>2273</v>
      </c>
      <c r="H802" s="27"/>
      <c r="I802" s="27">
        <f>VLOOKUP(F802,mapping!$L$2:$P$92,2,0)</f>
        <v>0.63068393487169372</v>
      </c>
      <c r="J802" s="27">
        <f>VLOOKUP($F802,mapping!$L$2:$P$92,3,0)</f>
        <v>10153.299999999999</v>
      </c>
      <c r="K802" s="27" t="str">
        <f>VLOOKUP($F802,mapping!$L$2:$P$92,4,0)</f>
        <v>Latin America and the Caribbean</v>
      </c>
      <c r="L802" s="29">
        <f>$D802*VLOOKUP($E802,'Charts data'!$A$2:$B$11,2,0)*VLOOKUP($G802,'Charts data'!$A$14:$B$18,2,0)/IF('Charts data'!$E$3=1,I802,1)/IF('Charts data'!$E$4=1,J802,1)</f>
        <v>10956.982885192734</v>
      </c>
    </row>
    <row r="803" spans="1:12" x14ac:dyDescent="0.25">
      <c r="A803" s="27" t="s">
        <v>1144</v>
      </c>
      <c r="B803" s="27">
        <v>48000</v>
      </c>
      <c r="C803" s="27" t="s">
        <v>2088</v>
      </c>
      <c r="D803" s="28">
        <f>B803*VLOOKUP(C803,tblXrate[],2,0)</f>
        <v>15206.427249917633</v>
      </c>
      <c r="E803" s="27" t="s">
        <v>19</v>
      </c>
      <c r="F803" s="27" t="s">
        <v>116</v>
      </c>
      <c r="G803" s="27" t="s">
        <v>2271</v>
      </c>
      <c r="H803" s="27">
        <v>2</v>
      </c>
      <c r="I803" s="27">
        <f>VLOOKUP(F803,mapping!$L$2:$P$92,2,0)</f>
        <v>0.6038218820488126</v>
      </c>
      <c r="J803" s="27">
        <f>VLOOKUP($F803,mapping!$L$2:$P$92,3,0)</f>
        <v>9699.7000000000007</v>
      </c>
      <c r="K803" s="27" t="str">
        <f>VLOOKUP($F803,mapping!$L$2:$P$92,4,0)</f>
        <v>Developing Asia</v>
      </c>
      <c r="L803" s="29">
        <f>$D803*VLOOKUP($E803,'Charts data'!$A$2:$B$11,2,0)*VLOOKUP($G803,'Charts data'!$A$14:$B$18,2,0)/IF('Charts data'!$E$3=1,I803,1)/IF('Charts data'!$E$4=1,J803,1)</f>
        <v>15206.427249917633</v>
      </c>
    </row>
    <row r="804" spans="1:12" x14ac:dyDescent="0.25">
      <c r="A804" s="27" t="s">
        <v>1397</v>
      </c>
      <c r="B804" s="27">
        <v>36000</v>
      </c>
      <c r="C804" s="27" t="s">
        <v>2088</v>
      </c>
      <c r="D804" s="28">
        <f>B804*VLOOKUP(C804,tblXrate[],2,0)</f>
        <v>11404.820437438224</v>
      </c>
      <c r="E804" s="27" t="s">
        <v>48</v>
      </c>
      <c r="F804" s="27" t="s">
        <v>116</v>
      </c>
      <c r="G804" s="27" t="s">
        <v>2271</v>
      </c>
      <c r="H804" s="27">
        <v>2</v>
      </c>
      <c r="I804" s="27">
        <f>VLOOKUP(F804,mapping!$L$2:$P$92,2,0)</f>
        <v>0.6038218820488126</v>
      </c>
      <c r="J804" s="27">
        <f>VLOOKUP($F804,mapping!$L$2:$P$92,3,0)</f>
        <v>9699.7000000000007</v>
      </c>
      <c r="K804" s="27" t="str">
        <f>VLOOKUP($F804,mapping!$L$2:$P$92,4,0)</f>
        <v>Developing Asia</v>
      </c>
      <c r="L804" s="29">
        <f>$D804*VLOOKUP($E804,'Charts data'!$A$2:$B$11,2,0)*VLOOKUP($G804,'Charts data'!$A$14:$B$18,2,0)/IF('Charts data'!$E$3=1,I804,1)/IF('Charts data'!$E$4=1,J804,1)</f>
        <v>11404.820437438224</v>
      </c>
    </row>
    <row r="805" spans="1:12" x14ac:dyDescent="0.25">
      <c r="A805" s="27" t="s">
        <v>1413</v>
      </c>
      <c r="B805" s="27">
        <v>89500</v>
      </c>
      <c r="C805" s="27" t="s">
        <v>2088</v>
      </c>
      <c r="D805" s="28">
        <f>B805*VLOOKUP(C805,tblXrate[],2,0)</f>
        <v>28353.650809742252</v>
      </c>
      <c r="E805" s="27" t="s">
        <v>19</v>
      </c>
      <c r="F805" s="27" t="s">
        <v>116</v>
      </c>
      <c r="G805" s="27" t="s">
        <v>2272</v>
      </c>
      <c r="H805" s="27">
        <v>20</v>
      </c>
      <c r="I805" s="27">
        <f>VLOOKUP(F805,mapping!$L$2:$P$92,2,0)</f>
        <v>0.6038218820488126</v>
      </c>
      <c r="J805" s="27">
        <f>VLOOKUP($F805,mapping!$L$2:$P$92,3,0)</f>
        <v>9699.7000000000007</v>
      </c>
      <c r="K805" s="27" t="str">
        <f>VLOOKUP($F805,mapping!$L$2:$P$92,4,0)</f>
        <v>Developing Asia</v>
      </c>
      <c r="L805" s="29">
        <f>$D805*VLOOKUP($E805,'Charts data'!$A$2:$B$11,2,0)*VLOOKUP($G805,'Charts data'!$A$14:$B$18,2,0)/IF('Charts data'!$E$3=1,I805,1)/IF('Charts data'!$E$4=1,J805,1)</f>
        <v>28353.650809742252</v>
      </c>
    </row>
    <row r="806" spans="1:12" x14ac:dyDescent="0.25">
      <c r="A806" s="27" t="s">
        <v>1574</v>
      </c>
      <c r="B806" s="27">
        <v>60000</v>
      </c>
      <c r="C806" s="27" t="s">
        <v>2088</v>
      </c>
      <c r="D806" s="28">
        <f>B806*VLOOKUP(C806,tblXrate[],2,0)</f>
        <v>19008.034062397041</v>
      </c>
      <c r="E806" s="27" t="s">
        <v>19</v>
      </c>
      <c r="F806" s="27" t="s">
        <v>116</v>
      </c>
      <c r="G806" s="27" t="s">
        <v>2271</v>
      </c>
      <c r="H806" s="27">
        <v>3</v>
      </c>
      <c r="I806" s="27">
        <f>VLOOKUP(F806,mapping!$L$2:$P$92,2,0)</f>
        <v>0.6038218820488126</v>
      </c>
      <c r="J806" s="27">
        <f>VLOOKUP($F806,mapping!$L$2:$P$92,3,0)</f>
        <v>9699.7000000000007</v>
      </c>
      <c r="K806" s="27" t="str">
        <f>VLOOKUP($F806,mapping!$L$2:$P$92,4,0)</f>
        <v>Developing Asia</v>
      </c>
      <c r="L806" s="29">
        <f>$D806*VLOOKUP($E806,'Charts data'!$A$2:$B$11,2,0)*VLOOKUP($G806,'Charts data'!$A$14:$B$18,2,0)/IF('Charts data'!$E$3=1,I806,1)/IF('Charts data'!$E$4=1,J806,1)</f>
        <v>19008.034062397041</v>
      </c>
    </row>
    <row r="807" spans="1:12" x14ac:dyDescent="0.25">
      <c r="A807" s="27" t="s">
        <v>913</v>
      </c>
      <c r="B807" s="27">
        <v>1488000</v>
      </c>
      <c r="C807" s="27" t="s">
        <v>2132</v>
      </c>
      <c r="D807" s="28">
        <f>B807*VLOOKUP(C807,tblXrate[],2,0)</f>
        <v>9171.0323574730355</v>
      </c>
      <c r="E807" s="27" t="s">
        <v>19</v>
      </c>
      <c r="F807" s="27" t="s">
        <v>96</v>
      </c>
      <c r="G807" s="27" t="s">
        <v>2272</v>
      </c>
      <c r="H807" s="27">
        <v>5</v>
      </c>
      <c r="I807" s="27">
        <f>VLOOKUP(F807,mapping!$L$2:$P$92,2,0)</f>
        <v>0.54494915254237297</v>
      </c>
      <c r="J807" s="27">
        <f>VLOOKUP($F807,mapping!$L$2:$P$92,3,0)</f>
        <v>1490.06</v>
      </c>
      <c r="K807" s="27" t="str">
        <f>VLOOKUP($F807,mapping!$L$2:$P$92,4,0)</f>
        <v>Sub-Saharan Africa</v>
      </c>
      <c r="L807" s="29">
        <f>$D807*VLOOKUP($E807,'Charts data'!$A$2:$B$11,2,0)*VLOOKUP($G807,'Charts data'!$A$14:$B$18,2,0)/IF('Charts data'!$E$3=1,I807,1)/IF('Charts data'!$E$4=1,J807,1)</f>
        <v>9171.0323574730355</v>
      </c>
    </row>
    <row r="808" spans="1:12" x14ac:dyDescent="0.25">
      <c r="A808" s="27" t="s">
        <v>1103</v>
      </c>
      <c r="B808" s="27">
        <v>2000000</v>
      </c>
      <c r="C808" s="27" t="s">
        <v>2132</v>
      </c>
      <c r="D808" s="28">
        <f>B808*VLOOKUP(C808,tblXrate[],2,0)</f>
        <v>12326.656394453004</v>
      </c>
      <c r="E808" s="27" t="s">
        <v>19</v>
      </c>
      <c r="F808" s="27" t="s">
        <v>96</v>
      </c>
      <c r="G808" s="27" t="s">
        <v>2271</v>
      </c>
      <c r="H808" s="27">
        <v>5</v>
      </c>
      <c r="I808" s="27">
        <f>VLOOKUP(F808,mapping!$L$2:$P$92,2,0)</f>
        <v>0.54494915254237297</v>
      </c>
      <c r="J808" s="27">
        <f>VLOOKUP($F808,mapping!$L$2:$P$92,3,0)</f>
        <v>1490.06</v>
      </c>
      <c r="K808" s="27" t="str">
        <f>VLOOKUP($F808,mapping!$L$2:$P$92,4,0)</f>
        <v>Sub-Saharan Africa</v>
      </c>
      <c r="L808" s="29">
        <f>$D808*VLOOKUP($E808,'Charts data'!$A$2:$B$11,2,0)*VLOOKUP($G808,'Charts data'!$A$14:$B$18,2,0)/IF('Charts data'!$E$3=1,I808,1)/IF('Charts data'!$E$4=1,J808,1)</f>
        <v>12326.656394453004</v>
      </c>
    </row>
    <row r="809" spans="1:12" x14ac:dyDescent="0.25">
      <c r="A809" s="27" t="s">
        <v>1812</v>
      </c>
      <c r="B809" s="27">
        <v>400000</v>
      </c>
      <c r="C809" s="27" t="s">
        <v>164</v>
      </c>
      <c r="D809" s="28">
        <f>B809*VLOOKUP(C809,tblXrate[],2,0)</f>
        <v>67700.452577525488</v>
      </c>
      <c r="E809" s="27" t="s">
        <v>7</v>
      </c>
      <c r="F809" s="27" t="s">
        <v>74</v>
      </c>
      <c r="G809" s="27" t="s">
        <v>2273</v>
      </c>
      <c r="H809" s="27">
        <v>5</v>
      </c>
      <c r="I809" s="27">
        <f>VLOOKUP(F809,mapping!$L$2:$P$92,2,0)</f>
        <v>12.950451881080451</v>
      </c>
      <c r="J809" s="27">
        <f>VLOOKUP($F809,mapping!$L$2:$P$92,3,0)</f>
        <v>97254.6</v>
      </c>
      <c r="K809" s="27" t="str">
        <f>VLOOKUP($F809,mapping!$L$2:$P$92,4,0)</f>
        <v>Other Advanced Economies</v>
      </c>
      <c r="L809" s="29">
        <f>$D809*VLOOKUP($E809,'Charts data'!$A$2:$B$11,2,0)*VLOOKUP($G809,'Charts data'!$A$14:$B$18,2,0)/IF('Charts data'!$E$3=1,I809,1)/IF('Charts data'!$E$4=1,J809,1)</f>
        <v>67700.452577525488</v>
      </c>
    </row>
    <row r="810" spans="1:12" x14ac:dyDescent="0.25">
      <c r="A810" s="27" t="s">
        <v>728</v>
      </c>
      <c r="B810" s="27">
        <v>80000</v>
      </c>
      <c r="C810" s="27" t="s">
        <v>83</v>
      </c>
      <c r="D810" s="28">
        <f>B810*VLOOKUP(C810,tblXrate[],2,0)</f>
        <v>63807.047488395103</v>
      </c>
      <c r="E810" s="27" t="s">
        <v>7</v>
      </c>
      <c r="F810" s="27" t="s">
        <v>84</v>
      </c>
      <c r="G810" s="27" t="s">
        <v>2271</v>
      </c>
      <c r="H810" s="27">
        <v>23</v>
      </c>
      <c r="I810" s="27">
        <f>VLOOKUP(F810,mapping!$L$2:$P$92,2,0)</f>
        <v>1.3351624686946675</v>
      </c>
      <c r="J810" s="27">
        <f>VLOOKUP($F810,mapping!$L$2:$P$92,3,0)</f>
        <v>36648.199999999997</v>
      </c>
      <c r="K810" s="27" t="str">
        <f>VLOOKUP($F810,mapping!$L$2:$P$92,4,0)</f>
        <v>Other Advanced Economies</v>
      </c>
      <c r="L810" s="29">
        <f>$D810*VLOOKUP($E810,'Charts data'!$A$2:$B$11,2,0)*VLOOKUP($G810,'Charts data'!$A$14:$B$18,2,0)/IF('Charts data'!$E$3=1,I810,1)/IF('Charts data'!$E$4=1,J810,1)</f>
        <v>63807.047488395103</v>
      </c>
    </row>
    <row r="811" spans="1:12" x14ac:dyDescent="0.25">
      <c r="A811" s="27" t="s">
        <v>875</v>
      </c>
      <c r="B811" s="27">
        <v>85000</v>
      </c>
      <c r="C811" s="27" t="s">
        <v>83</v>
      </c>
      <c r="D811" s="28">
        <f>B811*VLOOKUP(C811,tblXrate[],2,0)</f>
        <v>67794.987956419791</v>
      </c>
      <c r="E811" s="27" t="s">
        <v>19</v>
      </c>
      <c r="F811" s="27" t="s">
        <v>84</v>
      </c>
      <c r="G811" s="27" t="s">
        <v>2271</v>
      </c>
      <c r="H811" s="27">
        <v>15</v>
      </c>
      <c r="I811" s="27">
        <f>VLOOKUP(F811,mapping!$L$2:$P$92,2,0)</f>
        <v>1.3351624686946675</v>
      </c>
      <c r="J811" s="27">
        <f>VLOOKUP($F811,mapping!$L$2:$P$92,3,0)</f>
        <v>36648.199999999997</v>
      </c>
      <c r="K811" s="27" t="str">
        <f>VLOOKUP($F811,mapping!$L$2:$P$92,4,0)</f>
        <v>Other Advanced Economies</v>
      </c>
      <c r="L811" s="29">
        <f>$D811*VLOOKUP($E811,'Charts data'!$A$2:$B$11,2,0)*VLOOKUP($G811,'Charts data'!$A$14:$B$18,2,0)/IF('Charts data'!$E$3=1,I811,1)/IF('Charts data'!$E$4=1,J811,1)</f>
        <v>67794.987956419791</v>
      </c>
    </row>
    <row r="812" spans="1:12" x14ac:dyDescent="0.25">
      <c r="A812" s="27" t="s">
        <v>1107</v>
      </c>
      <c r="B812" s="27">
        <v>75000</v>
      </c>
      <c r="C812" s="27" t="s">
        <v>83</v>
      </c>
      <c r="D812" s="28">
        <f>B812*VLOOKUP(C812,tblXrate[],2,0)</f>
        <v>59819.107020370408</v>
      </c>
      <c r="E812" s="27" t="s">
        <v>7</v>
      </c>
      <c r="F812" s="27" t="s">
        <v>84</v>
      </c>
      <c r="G812" s="27" t="s">
        <v>2271</v>
      </c>
      <c r="H812" s="27">
        <v>10</v>
      </c>
      <c r="I812" s="27">
        <f>VLOOKUP(F812,mapping!$L$2:$P$92,2,0)</f>
        <v>1.3351624686946675</v>
      </c>
      <c r="J812" s="27">
        <f>VLOOKUP($F812,mapping!$L$2:$P$92,3,0)</f>
        <v>36648.199999999997</v>
      </c>
      <c r="K812" s="27" t="str">
        <f>VLOOKUP($F812,mapping!$L$2:$P$92,4,0)</f>
        <v>Other Advanced Economies</v>
      </c>
      <c r="L812" s="29">
        <f>$D812*VLOOKUP($E812,'Charts data'!$A$2:$B$11,2,0)*VLOOKUP($G812,'Charts data'!$A$14:$B$18,2,0)/IF('Charts data'!$E$3=1,I812,1)/IF('Charts data'!$E$4=1,J812,1)</f>
        <v>59819.107020370408</v>
      </c>
    </row>
    <row r="813" spans="1:12" x14ac:dyDescent="0.25">
      <c r="A813" s="27" t="s">
        <v>1118</v>
      </c>
      <c r="B813" s="27">
        <v>95000</v>
      </c>
      <c r="C813" s="27" t="s">
        <v>83</v>
      </c>
      <c r="D813" s="28">
        <f>B813*VLOOKUP(C813,tblXrate[],2,0)</f>
        <v>75770.868892469181</v>
      </c>
      <c r="E813" s="27" t="s">
        <v>51</v>
      </c>
      <c r="F813" s="27" t="s">
        <v>84</v>
      </c>
      <c r="G813" s="27" t="s">
        <v>2271</v>
      </c>
      <c r="H813" s="27">
        <v>20</v>
      </c>
      <c r="I813" s="27">
        <f>VLOOKUP(F813,mapping!$L$2:$P$92,2,0)</f>
        <v>1.3351624686946675</v>
      </c>
      <c r="J813" s="27">
        <f>VLOOKUP($F813,mapping!$L$2:$P$92,3,0)</f>
        <v>36648.199999999997</v>
      </c>
      <c r="K813" s="27" t="str">
        <f>VLOOKUP($F813,mapping!$L$2:$P$92,4,0)</f>
        <v>Other Advanced Economies</v>
      </c>
      <c r="L813" s="29">
        <f>$D813*VLOOKUP($E813,'Charts data'!$A$2:$B$11,2,0)*VLOOKUP($G813,'Charts data'!$A$14:$B$18,2,0)/IF('Charts data'!$E$3=1,I813,1)/IF('Charts data'!$E$4=1,J813,1)</f>
        <v>75770.868892469181</v>
      </c>
    </row>
    <row r="814" spans="1:12" x14ac:dyDescent="0.25">
      <c r="A814" s="27" t="s">
        <v>1145</v>
      </c>
      <c r="B814" s="27">
        <v>180000</v>
      </c>
      <c r="C814" s="27" t="s">
        <v>83</v>
      </c>
      <c r="D814" s="28">
        <f>B814*VLOOKUP(C814,tblXrate[],2,0)</f>
        <v>143565.85684888897</v>
      </c>
      <c r="E814" s="27" t="s">
        <v>19</v>
      </c>
      <c r="F814" s="27" t="s">
        <v>84</v>
      </c>
      <c r="G814" s="27" t="s">
        <v>2271</v>
      </c>
      <c r="H814" s="27">
        <v>25</v>
      </c>
      <c r="I814" s="27">
        <f>VLOOKUP(F814,mapping!$L$2:$P$92,2,0)</f>
        <v>1.3351624686946675</v>
      </c>
      <c r="J814" s="27">
        <f>VLOOKUP($F814,mapping!$L$2:$P$92,3,0)</f>
        <v>36648.199999999997</v>
      </c>
      <c r="K814" s="27" t="str">
        <f>VLOOKUP($F814,mapping!$L$2:$P$92,4,0)</f>
        <v>Other Advanced Economies</v>
      </c>
      <c r="L814" s="29">
        <f>$D814*VLOOKUP($E814,'Charts data'!$A$2:$B$11,2,0)*VLOOKUP($G814,'Charts data'!$A$14:$B$18,2,0)/IF('Charts data'!$E$3=1,I814,1)/IF('Charts data'!$E$4=1,J814,1)</f>
        <v>143565.85684888897</v>
      </c>
    </row>
    <row r="815" spans="1:12" x14ac:dyDescent="0.25">
      <c r="A815" s="27" t="s">
        <v>1182</v>
      </c>
      <c r="B815" s="27">
        <v>55000</v>
      </c>
      <c r="C815" s="27" t="s">
        <v>83</v>
      </c>
      <c r="D815" s="28">
        <f>B815*VLOOKUP(C815,tblXrate[],2,0)</f>
        <v>43867.345148271634</v>
      </c>
      <c r="E815" s="27" t="s">
        <v>7</v>
      </c>
      <c r="F815" s="27" t="s">
        <v>84</v>
      </c>
      <c r="G815" s="27" t="s">
        <v>2273</v>
      </c>
      <c r="H815" s="27">
        <v>10</v>
      </c>
      <c r="I815" s="27">
        <f>VLOOKUP(F815,mapping!$L$2:$P$92,2,0)</f>
        <v>1.3351624686946675</v>
      </c>
      <c r="J815" s="27">
        <f>VLOOKUP($F815,mapping!$L$2:$P$92,3,0)</f>
        <v>36648.199999999997</v>
      </c>
      <c r="K815" s="27" t="str">
        <f>VLOOKUP($F815,mapping!$L$2:$P$92,4,0)</f>
        <v>Other Advanced Economies</v>
      </c>
      <c r="L815" s="29">
        <f>$D815*VLOOKUP($E815,'Charts data'!$A$2:$B$11,2,0)*VLOOKUP($G815,'Charts data'!$A$14:$B$18,2,0)/IF('Charts data'!$E$3=1,I815,1)/IF('Charts data'!$E$4=1,J815,1)</f>
        <v>43867.345148271634</v>
      </c>
    </row>
    <row r="816" spans="1:12" x14ac:dyDescent="0.25">
      <c r="A816" s="27" t="s">
        <v>1466</v>
      </c>
      <c r="B816" s="27">
        <v>80000</v>
      </c>
      <c r="C816" s="27" t="s">
        <v>83</v>
      </c>
      <c r="D816" s="28">
        <f>B816*VLOOKUP(C816,tblXrate[],2,0)</f>
        <v>63807.047488395103</v>
      </c>
      <c r="E816" s="27" t="s">
        <v>51</v>
      </c>
      <c r="F816" s="27" t="s">
        <v>84</v>
      </c>
      <c r="G816" s="27" t="s">
        <v>2273</v>
      </c>
      <c r="H816" s="27">
        <v>15</v>
      </c>
      <c r="I816" s="27">
        <f>VLOOKUP(F816,mapping!$L$2:$P$92,2,0)</f>
        <v>1.3351624686946675</v>
      </c>
      <c r="J816" s="27">
        <f>VLOOKUP($F816,mapping!$L$2:$P$92,3,0)</f>
        <v>36648.199999999997</v>
      </c>
      <c r="K816" s="27" t="str">
        <f>VLOOKUP($F816,mapping!$L$2:$P$92,4,0)</f>
        <v>Other Advanced Economies</v>
      </c>
      <c r="L816" s="29">
        <f>$D816*VLOOKUP($E816,'Charts data'!$A$2:$B$11,2,0)*VLOOKUP($G816,'Charts data'!$A$14:$B$18,2,0)/IF('Charts data'!$E$3=1,I816,1)/IF('Charts data'!$E$4=1,J816,1)</f>
        <v>63807.047488395103</v>
      </c>
    </row>
    <row r="817" spans="1:12" x14ac:dyDescent="0.25">
      <c r="A817" s="27" t="s">
        <v>1589</v>
      </c>
      <c r="B817" s="27">
        <v>50000</v>
      </c>
      <c r="C817" s="27" t="s">
        <v>83</v>
      </c>
      <c r="D817" s="28">
        <f>B817*VLOOKUP(C817,tblXrate[],2,0)</f>
        <v>39879.404680246938</v>
      </c>
      <c r="E817" s="27" t="s">
        <v>48</v>
      </c>
      <c r="F817" s="27" t="s">
        <v>84</v>
      </c>
      <c r="G817" s="27" t="s">
        <v>2271</v>
      </c>
      <c r="H817" s="27">
        <v>5</v>
      </c>
      <c r="I817" s="27">
        <f>VLOOKUP(F817,mapping!$L$2:$P$92,2,0)</f>
        <v>1.3351624686946675</v>
      </c>
      <c r="J817" s="27">
        <f>VLOOKUP($F817,mapping!$L$2:$P$92,3,0)</f>
        <v>36648.199999999997</v>
      </c>
      <c r="K817" s="27" t="str">
        <f>VLOOKUP($F817,mapping!$L$2:$P$92,4,0)</f>
        <v>Other Advanced Economies</v>
      </c>
      <c r="L817" s="29">
        <f>$D817*VLOOKUP($E817,'Charts data'!$A$2:$B$11,2,0)*VLOOKUP($G817,'Charts data'!$A$14:$B$18,2,0)/IF('Charts data'!$E$3=1,I817,1)/IF('Charts data'!$E$4=1,J817,1)</f>
        <v>39879.404680246938</v>
      </c>
    </row>
    <row r="818" spans="1:12" x14ac:dyDescent="0.25">
      <c r="A818" s="27" t="s">
        <v>1760</v>
      </c>
      <c r="B818" s="27">
        <v>75000</v>
      </c>
      <c r="C818" s="27" t="s">
        <v>83</v>
      </c>
      <c r="D818" s="28">
        <f>B818*VLOOKUP(C818,tblXrate[],2,0)</f>
        <v>59819.107020370408</v>
      </c>
      <c r="E818" s="27" t="s">
        <v>7</v>
      </c>
      <c r="F818" s="27" t="s">
        <v>84</v>
      </c>
      <c r="G818" s="27" t="s">
        <v>2272</v>
      </c>
      <c r="H818" s="27">
        <v>10</v>
      </c>
      <c r="I818" s="27">
        <f>VLOOKUP(F818,mapping!$L$2:$P$92,2,0)</f>
        <v>1.3351624686946675</v>
      </c>
      <c r="J818" s="27">
        <f>VLOOKUP($F818,mapping!$L$2:$P$92,3,0)</f>
        <v>36648.199999999997</v>
      </c>
      <c r="K818" s="27" t="str">
        <f>VLOOKUP($F818,mapping!$L$2:$P$92,4,0)</f>
        <v>Other Advanced Economies</v>
      </c>
      <c r="L818" s="29">
        <f>$D818*VLOOKUP($E818,'Charts data'!$A$2:$B$11,2,0)*VLOOKUP($G818,'Charts data'!$A$14:$B$18,2,0)/IF('Charts data'!$E$3=1,I818,1)/IF('Charts data'!$E$4=1,J818,1)</f>
        <v>59819.107020370408</v>
      </c>
    </row>
    <row r="819" spans="1:12" x14ac:dyDescent="0.25">
      <c r="A819" s="27" t="s">
        <v>1803</v>
      </c>
      <c r="B819" s="27">
        <v>110000</v>
      </c>
      <c r="C819" s="27" t="s">
        <v>83</v>
      </c>
      <c r="D819" s="28">
        <f>B819*VLOOKUP(C819,tblXrate[],2,0)</f>
        <v>87734.690296543267</v>
      </c>
      <c r="E819" s="27" t="s">
        <v>19</v>
      </c>
      <c r="F819" s="27" t="s">
        <v>84</v>
      </c>
      <c r="G819" s="27" t="s">
        <v>2271</v>
      </c>
      <c r="H819" s="27">
        <v>6</v>
      </c>
      <c r="I819" s="27">
        <f>VLOOKUP(F819,mapping!$L$2:$P$92,2,0)</f>
        <v>1.3351624686946675</v>
      </c>
      <c r="J819" s="27">
        <f>VLOOKUP($F819,mapping!$L$2:$P$92,3,0)</f>
        <v>36648.199999999997</v>
      </c>
      <c r="K819" s="27" t="str">
        <f>VLOOKUP($F819,mapping!$L$2:$P$92,4,0)</f>
        <v>Other Advanced Economies</v>
      </c>
      <c r="L819" s="29">
        <f>$D819*VLOOKUP($E819,'Charts data'!$A$2:$B$11,2,0)*VLOOKUP($G819,'Charts data'!$A$14:$B$18,2,0)/IF('Charts data'!$E$3=1,I819,1)/IF('Charts data'!$E$4=1,J819,1)</f>
        <v>87734.690296543267</v>
      </c>
    </row>
    <row r="820" spans="1:12" x14ac:dyDescent="0.25">
      <c r="A820" s="27" t="s">
        <v>1804</v>
      </c>
      <c r="B820" s="27">
        <v>71000</v>
      </c>
      <c r="C820" s="27" t="s">
        <v>83</v>
      </c>
      <c r="D820" s="28">
        <f>B820*VLOOKUP(C820,tblXrate[],2,0)</f>
        <v>56628.754645950656</v>
      </c>
      <c r="E820" s="27" t="s">
        <v>7</v>
      </c>
      <c r="F820" s="27" t="s">
        <v>84</v>
      </c>
      <c r="G820" s="27" t="s">
        <v>2273</v>
      </c>
      <c r="H820" s="27">
        <v>6</v>
      </c>
      <c r="I820" s="27">
        <f>VLOOKUP(F820,mapping!$L$2:$P$92,2,0)</f>
        <v>1.3351624686946675</v>
      </c>
      <c r="J820" s="27">
        <f>VLOOKUP($F820,mapping!$L$2:$P$92,3,0)</f>
        <v>36648.199999999997</v>
      </c>
      <c r="K820" s="27" t="str">
        <f>VLOOKUP($F820,mapping!$L$2:$P$92,4,0)</f>
        <v>Other Advanced Economies</v>
      </c>
      <c r="L820" s="29">
        <f>$D820*VLOOKUP($E820,'Charts data'!$A$2:$B$11,2,0)*VLOOKUP($G820,'Charts data'!$A$14:$B$18,2,0)/IF('Charts data'!$E$3=1,I820,1)/IF('Charts data'!$E$4=1,J820,1)</f>
        <v>56628.754645950656</v>
      </c>
    </row>
    <row r="821" spans="1:12" x14ac:dyDescent="0.25">
      <c r="A821" s="27" t="s">
        <v>1997</v>
      </c>
      <c r="B821" s="27">
        <v>75000</v>
      </c>
      <c r="C821" s="27" t="s">
        <v>83</v>
      </c>
      <c r="D821" s="28">
        <f>B821*VLOOKUP(C821,tblXrate[],2,0)</f>
        <v>59819.107020370408</v>
      </c>
      <c r="E821" s="27" t="s">
        <v>51</v>
      </c>
      <c r="F821" s="27" t="s">
        <v>84</v>
      </c>
      <c r="G821" s="27" t="s">
        <v>2271</v>
      </c>
      <c r="H821" s="27">
        <v>4</v>
      </c>
      <c r="I821" s="27">
        <f>VLOOKUP(F821,mapping!$L$2:$P$92,2,0)</f>
        <v>1.3351624686946675</v>
      </c>
      <c r="J821" s="27">
        <f>VLOOKUP($F821,mapping!$L$2:$P$92,3,0)</f>
        <v>36648.199999999997</v>
      </c>
      <c r="K821" s="27" t="str">
        <f>VLOOKUP($F821,mapping!$L$2:$P$92,4,0)</f>
        <v>Other Advanced Economies</v>
      </c>
      <c r="L821" s="29">
        <f>$D821*VLOOKUP($E821,'Charts data'!$A$2:$B$11,2,0)*VLOOKUP($G821,'Charts data'!$A$14:$B$18,2,0)/IF('Charts data'!$E$3=1,I821,1)/IF('Charts data'!$E$4=1,J821,1)</f>
        <v>59819.107020370408</v>
      </c>
    </row>
    <row r="822" spans="1:12" x14ac:dyDescent="0.25">
      <c r="A822" s="27" t="s">
        <v>442</v>
      </c>
      <c r="B822" s="27">
        <v>420000</v>
      </c>
      <c r="C822" s="27" t="s">
        <v>2100</v>
      </c>
      <c r="D822" s="28">
        <f>B822*VLOOKUP(C822,tblXrate[],2,0)</f>
        <v>9956.1219482708348</v>
      </c>
      <c r="E822" s="27" t="s">
        <v>19</v>
      </c>
      <c r="F822" s="27" t="s">
        <v>52</v>
      </c>
      <c r="G822" s="27" t="s">
        <v>2271</v>
      </c>
      <c r="H822" s="27"/>
      <c r="I822" s="27">
        <f>VLOOKUP(F822,mapping!$L$2:$P$92,2,0)</f>
        <v>0.59108547804793632</v>
      </c>
      <c r="J822" s="27">
        <f>VLOOKUP($F822,mapping!$L$2:$P$92,3,0)</f>
        <v>2223.44</v>
      </c>
      <c r="K822" s="27" t="str">
        <f>VLOOKUP($F822,mapping!$L$2:$P$92,4,0)</f>
        <v>Developing Asia</v>
      </c>
      <c r="L822" s="29">
        <f>$D822*VLOOKUP($E822,'Charts data'!$A$2:$B$11,2,0)*VLOOKUP($G822,'Charts data'!$A$14:$B$18,2,0)/IF('Charts data'!$E$3=1,I822,1)/IF('Charts data'!$E$4=1,J822,1)</f>
        <v>9956.1219482708348</v>
      </c>
    </row>
    <row r="823" spans="1:12" x14ac:dyDescent="0.25">
      <c r="A823" s="27" t="s">
        <v>494</v>
      </c>
      <c r="B823" s="27">
        <v>456000</v>
      </c>
      <c r="C823" s="27" t="s">
        <v>2100</v>
      </c>
      <c r="D823" s="28">
        <f>B823*VLOOKUP(C823,tblXrate[],2,0)</f>
        <v>10809.503829551191</v>
      </c>
      <c r="E823" s="27" t="s">
        <v>2145</v>
      </c>
      <c r="F823" s="27" t="s">
        <v>52</v>
      </c>
      <c r="G823" s="27" t="s">
        <v>2271</v>
      </c>
      <c r="H823" s="27"/>
      <c r="I823" s="27">
        <f>VLOOKUP(F823,mapping!$L$2:$P$92,2,0)</f>
        <v>0.59108547804793632</v>
      </c>
      <c r="J823" s="27">
        <f>VLOOKUP($F823,mapping!$L$2:$P$92,3,0)</f>
        <v>2223.44</v>
      </c>
      <c r="K823" s="27" t="str">
        <f>VLOOKUP($F823,mapping!$L$2:$P$92,4,0)</f>
        <v>Developing Asia</v>
      </c>
      <c r="L823" s="29">
        <f>$D823*VLOOKUP($E823,'Charts data'!$A$2:$B$11,2,0)*VLOOKUP($G823,'Charts data'!$A$14:$B$18,2,0)/IF('Charts data'!$E$3=1,I823,1)/IF('Charts data'!$E$4=1,J823,1)</f>
        <v>10809.503829551191</v>
      </c>
    </row>
    <row r="824" spans="1:12" x14ac:dyDescent="0.25">
      <c r="A824" s="27" t="s">
        <v>834</v>
      </c>
      <c r="B824" s="27">
        <v>720000</v>
      </c>
      <c r="C824" s="27" t="s">
        <v>2100</v>
      </c>
      <c r="D824" s="28">
        <f>B824*VLOOKUP(C824,tblXrate[],2,0)</f>
        <v>17067.637625607145</v>
      </c>
      <c r="E824" s="27" t="s">
        <v>19</v>
      </c>
      <c r="F824" s="27" t="s">
        <v>52</v>
      </c>
      <c r="G824" s="27" t="s">
        <v>2271</v>
      </c>
      <c r="H824" s="27">
        <v>9</v>
      </c>
      <c r="I824" s="27">
        <f>VLOOKUP(F824,mapping!$L$2:$P$92,2,0)</f>
        <v>0.59108547804793632</v>
      </c>
      <c r="J824" s="27">
        <f>VLOOKUP($F824,mapping!$L$2:$P$92,3,0)</f>
        <v>2223.44</v>
      </c>
      <c r="K824" s="27" t="str">
        <f>VLOOKUP($F824,mapping!$L$2:$P$92,4,0)</f>
        <v>Developing Asia</v>
      </c>
      <c r="L824" s="29">
        <f>$D824*VLOOKUP($E824,'Charts data'!$A$2:$B$11,2,0)*VLOOKUP($G824,'Charts data'!$A$14:$B$18,2,0)/IF('Charts data'!$E$3=1,I824,1)/IF('Charts data'!$E$4=1,J824,1)</f>
        <v>17067.637625607145</v>
      </c>
    </row>
    <row r="825" spans="1:12" x14ac:dyDescent="0.25">
      <c r="A825" s="27" t="s">
        <v>1051</v>
      </c>
      <c r="B825" s="27">
        <v>168000</v>
      </c>
      <c r="C825" s="27" t="s">
        <v>2100</v>
      </c>
      <c r="D825" s="28">
        <f>B825*VLOOKUP(C825,tblXrate[],2,0)</f>
        <v>3982.448779308334</v>
      </c>
      <c r="E825" s="27" t="s">
        <v>7</v>
      </c>
      <c r="F825" s="27" t="s">
        <v>52</v>
      </c>
      <c r="G825" s="27" t="s">
        <v>2271</v>
      </c>
      <c r="H825" s="27">
        <v>10</v>
      </c>
      <c r="I825" s="27">
        <f>VLOOKUP(F825,mapping!$L$2:$P$92,2,0)</f>
        <v>0.59108547804793632</v>
      </c>
      <c r="J825" s="27">
        <f>VLOOKUP($F825,mapping!$L$2:$P$92,3,0)</f>
        <v>2223.44</v>
      </c>
      <c r="K825" s="27" t="str">
        <f>VLOOKUP($F825,mapping!$L$2:$P$92,4,0)</f>
        <v>Developing Asia</v>
      </c>
      <c r="L825" s="29">
        <f>$D825*VLOOKUP($E825,'Charts data'!$A$2:$B$11,2,0)*VLOOKUP($G825,'Charts data'!$A$14:$B$18,2,0)/IF('Charts data'!$E$3=1,I825,1)/IF('Charts data'!$E$4=1,J825,1)</f>
        <v>3982.448779308334</v>
      </c>
    </row>
    <row r="826" spans="1:12" x14ac:dyDescent="0.25">
      <c r="A826" s="27" t="s">
        <v>1275</v>
      </c>
      <c r="B826" s="27">
        <v>216000</v>
      </c>
      <c r="C826" s="27" t="s">
        <v>2100</v>
      </c>
      <c r="D826" s="28">
        <f>B826*VLOOKUP(C826,tblXrate[],2,0)</f>
        <v>5120.2912876821438</v>
      </c>
      <c r="E826" s="27" t="s">
        <v>19</v>
      </c>
      <c r="F826" s="27" t="s">
        <v>52</v>
      </c>
      <c r="G826" s="27" t="s">
        <v>2271</v>
      </c>
      <c r="H826" s="27">
        <v>2</v>
      </c>
      <c r="I826" s="27">
        <f>VLOOKUP(F826,mapping!$L$2:$P$92,2,0)</f>
        <v>0.59108547804793632</v>
      </c>
      <c r="J826" s="27">
        <f>VLOOKUP($F826,mapping!$L$2:$P$92,3,0)</f>
        <v>2223.44</v>
      </c>
      <c r="K826" s="27" t="str">
        <f>VLOOKUP($F826,mapping!$L$2:$P$92,4,0)</f>
        <v>Developing Asia</v>
      </c>
      <c r="L826" s="29">
        <f>$D826*VLOOKUP($E826,'Charts data'!$A$2:$B$11,2,0)*VLOOKUP($G826,'Charts data'!$A$14:$B$18,2,0)/IF('Charts data'!$E$3=1,I826,1)/IF('Charts data'!$E$4=1,J826,1)</f>
        <v>5120.2912876821438</v>
      </c>
    </row>
    <row r="827" spans="1:12" x14ac:dyDescent="0.25">
      <c r="A827" s="27" t="s">
        <v>1701</v>
      </c>
      <c r="B827" s="27">
        <v>240000</v>
      </c>
      <c r="C827" s="27" t="s">
        <v>2100</v>
      </c>
      <c r="D827" s="28">
        <f>B827*VLOOKUP(C827,tblXrate[],2,0)</f>
        <v>5689.2125418690484</v>
      </c>
      <c r="E827" s="27" t="s">
        <v>19</v>
      </c>
      <c r="F827" s="27" t="s">
        <v>52</v>
      </c>
      <c r="G827" s="27" t="s">
        <v>2271</v>
      </c>
      <c r="H827" s="27">
        <v>15</v>
      </c>
      <c r="I827" s="27">
        <f>VLOOKUP(F827,mapping!$L$2:$P$92,2,0)</f>
        <v>0.59108547804793632</v>
      </c>
      <c r="J827" s="27">
        <f>VLOOKUP($F827,mapping!$L$2:$P$92,3,0)</f>
        <v>2223.44</v>
      </c>
      <c r="K827" s="27" t="str">
        <f>VLOOKUP($F827,mapping!$L$2:$P$92,4,0)</f>
        <v>Developing Asia</v>
      </c>
      <c r="L827" s="29">
        <f>$D827*VLOOKUP($E827,'Charts data'!$A$2:$B$11,2,0)*VLOOKUP($G827,'Charts data'!$A$14:$B$18,2,0)/IF('Charts data'!$E$3=1,I827,1)/IF('Charts data'!$E$4=1,J827,1)</f>
        <v>5689.2125418690484</v>
      </c>
    </row>
    <row r="828" spans="1:12" x14ac:dyDescent="0.25">
      <c r="A828" s="27" t="s">
        <v>184</v>
      </c>
      <c r="B828" s="27">
        <v>1152000</v>
      </c>
      <c r="C828" s="27" t="s">
        <v>13</v>
      </c>
      <c r="D828" s="28">
        <f>B828*VLOOKUP(C828,tblXrate[],2,0)</f>
        <v>12227.430201752599</v>
      </c>
      <c r="E828" s="27" t="s">
        <v>51</v>
      </c>
      <c r="F828" s="27" t="s">
        <v>6</v>
      </c>
      <c r="G828" s="27" t="s">
        <v>2273</v>
      </c>
      <c r="H828" s="27"/>
      <c r="I828" s="27">
        <f>VLOOKUP(F828,mapping!$L$2:$P$92,2,0)</f>
        <v>0.65835867993475172</v>
      </c>
      <c r="J828" s="27">
        <f>VLOOKUP($F828,mapping!$L$2:$P$92,3,0)</f>
        <v>1201.1099999999999</v>
      </c>
      <c r="K828" s="27" t="str">
        <f>VLOOKUP($F828,mapping!$L$2:$P$92,4,0)</f>
        <v>Developing Asia</v>
      </c>
      <c r="L828" s="29">
        <f>$D828*VLOOKUP($E828,'Charts data'!$A$2:$B$11,2,0)*VLOOKUP($G828,'Charts data'!$A$14:$B$18,2,0)/IF('Charts data'!$E$3=1,I828,1)/IF('Charts data'!$E$4=1,J828,1)</f>
        <v>12227.430201752599</v>
      </c>
    </row>
    <row r="829" spans="1:12" x14ac:dyDescent="0.25">
      <c r="A829" s="27" t="s">
        <v>700</v>
      </c>
      <c r="B829" s="27">
        <v>600000</v>
      </c>
      <c r="C829" s="27" t="s">
        <v>13</v>
      </c>
      <c r="D829" s="28">
        <f>B829*VLOOKUP(C829,tblXrate[],2,0)</f>
        <v>6368.453230079479</v>
      </c>
      <c r="E829" s="27" t="s">
        <v>53</v>
      </c>
      <c r="F829" s="27" t="s">
        <v>6</v>
      </c>
      <c r="G829" s="27" t="s">
        <v>2271</v>
      </c>
      <c r="H829" s="27"/>
      <c r="I829" s="27">
        <f>VLOOKUP(F829,mapping!$L$2:$P$92,2,0)</f>
        <v>0.65835867993475172</v>
      </c>
      <c r="J829" s="27">
        <f>VLOOKUP($F829,mapping!$L$2:$P$92,3,0)</f>
        <v>1201.1099999999999</v>
      </c>
      <c r="K829" s="27" t="str">
        <f>VLOOKUP($F829,mapping!$L$2:$P$92,4,0)</f>
        <v>Developing Asia</v>
      </c>
      <c r="L829" s="29">
        <f>$D829*VLOOKUP($E829,'Charts data'!$A$2:$B$11,2,0)*VLOOKUP($G829,'Charts data'!$A$14:$B$18,2,0)/IF('Charts data'!$E$3=1,I829,1)/IF('Charts data'!$E$4=1,J829,1)</f>
        <v>6368.453230079479</v>
      </c>
    </row>
    <row r="830" spans="1:12" x14ac:dyDescent="0.25">
      <c r="A830" s="27" t="s">
        <v>813</v>
      </c>
      <c r="B830" s="27">
        <v>200000</v>
      </c>
      <c r="C830" s="27" t="s">
        <v>13</v>
      </c>
      <c r="D830" s="28">
        <f>B830*VLOOKUP(C830,tblXrate[],2,0)</f>
        <v>2122.8177433598262</v>
      </c>
      <c r="E830" s="27" t="s">
        <v>51</v>
      </c>
      <c r="F830" s="27" t="s">
        <v>6</v>
      </c>
      <c r="G830" s="27" t="s">
        <v>2272</v>
      </c>
      <c r="H830" s="27">
        <v>2</v>
      </c>
      <c r="I830" s="27">
        <f>VLOOKUP(F830,mapping!$L$2:$P$92,2,0)</f>
        <v>0.65835867993475172</v>
      </c>
      <c r="J830" s="27">
        <f>VLOOKUP($F830,mapping!$L$2:$P$92,3,0)</f>
        <v>1201.1099999999999</v>
      </c>
      <c r="K830" s="27" t="str">
        <f>VLOOKUP($F830,mapping!$L$2:$P$92,4,0)</f>
        <v>Developing Asia</v>
      </c>
      <c r="L830" s="29">
        <f>$D830*VLOOKUP($E830,'Charts data'!$A$2:$B$11,2,0)*VLOOKUP($G830,'Charts data'!$A$14:$B$18,2,0)/IF('Charts data'!$E$3=1,I830,1)/IF('Charts data'!$E$4=1,J830,1)</f>
        <v>2122.8177433598262</v>
      </c>
    </row>
    <row r="831" spans="1:12" x14ac:dyDescent="0.25">
      <c r="A831" s="27" t="s">
        <v>877</v>
      </c>
      <c r="B831" s="27">
        <v>204000</v>
      </c>
      <c r="C831" s="27" t="s">
        <v>13</v>
      </c>
      <c r="D831" s="28">
        <f>B831*VLOOKUP(C831,tblXrate[],2,0)</f>
        <v>2165.2740982270229</v>
      </c>
      <c r="E831" s="27" t="s">
        <v>19</v>
      </c>
      <c r="F831" s="27" t="s">
        <v>6</v>
      </c>
      <c r="G831" s="27" t="s">
        <v>2273</v>
      </c>
      <c r="H831" s="27">
        <v>2</v>
      </c>
      <c r="I831" s="27">
        <f>VLOOKUP(F831,mapping!$L$2:$P$92,2,0)</f>
        <v>0.65835867993475172</v>
      </c>
      <c r="J831" s="27">
        <f>VLOOKUP($F831,mapping!$L$2:$P$92,3,0)</f>
        <v>1201.1099999999999</v>
      </c>
      <c r="K831" s="27" t="str">
        <f>VLOOKUP($F831,mapping!$L$2:$P$92,4,0)</f>
        <v>Developing Asia</v>
      </c>
      <c r="L831" s="29">
        <f>$D831*VLOOKUP($E831,'Charts data'!$A$2:$B$11,2,0)*VLOOKUP($G831,'Charts data'!$A$14:$B$18,2,0)/IF('Charts data'!$E$3=1,I831,1)/IF('Charts data'!$E$4=1,J831,1)</f>
        <v>2165.2740982270229</v>
      </c>
    </row>
    <row r="832" spans="1:12" x14ac:dyDescent="0.25">
      <c r="A832" s="27" t="s">
        <v>937</v>
      </c>
      <c r="B832" s="27">
        <v>180000</v>
      </c>
      <c r="C832" s="27" t="s">
        <v>13</v>
      </c>
      <c r="D832" s="28">
        <f>B832*VLOOKUP(C832,tblXrate[],2,0)</f>
        <v>1910.5359690238436</v>
      </c>
      <c r="E832" s="27" t="s">
        <v>2145</v>
      </c>
      <c r="F832" s="27" t="s">
        <v>6</v>
      </c>
      <c r="G832" s="27" t="s">
        <v>2273</v>
      </c>
      <c r="H832" s="27">
        <v>7</v>
      </c>
      <c r="I832" s="27">
        <f>VLOOKUP(F832,mapping!$L$2:$P$92,2,0)</f>
        <v>0.65835867993475172</v>
      </c>
      <c r="J832" s="27">
        <f>VLOOKUP($F832,mapping!$L$2:$P$92,3,0)</f>
        <v>1201.1099999999999</v>
      </c>
      <c r="K832" s="27" t="str">
        <f>VLOOKUP($F832,mapping!$L$2:$P$92,4,0)</f>
        <v>Developing Asia</v>
      </c>
      <c r="L832" s="29">
        <f>$D832*VLOOKUP($E832,'Charts data'!$A$2:$B$11,2,0)*VLOOKUP($G832,'Charts data'!$A$14:$B$18,2,0)/IF('Charts data'!$E$3=1,I832,1)/IF('Charts data'!$E$4=1,J832,1)</f>
        <v>1910.5359690238436</v>
      </c>
    </row>
    <row r="833" spans="1:12" x14ac:dyDescent="0.25">
      <c r="A833" s="27" t="s">
        <v>1036</v>
      </c>
      <c r="B833" s="27">
        <v>420000</v>
      </c>
      <c r="C833" s="27" t="s">
        <v>13</v>
      </c>
      <c r="D833" s="28">
        <f>B833*VLOOKUP(C833,tblXrate[],2,0)</f>
        <v>4457.9172610556352</v>
      </c>
      <c r="E833" s="27" t="s">
        <v>19</v>
      </c>
      <c r="F833" s="27" t="s">
        <v>6</v>
      </c>
      <c r="G833" s="27" t="s">
        <v>2273</v>
      </c>
      <c r="H833" s="27">
        <v>4</v>
      </c>
      <c r="I833" s="27">
        <f>VLOOKUP(F833,mapping!$L$2:$P$92,2,0)</f>
        <v>0.65835867993475172</v>
      </c>
      <c r="J833" s="27">
        <f>VLOOKUP($F833,mapping!$L$2:$P$92,3,0)</f>
        <v>1201.1099999999999</v>
      </c>
      <c r="K833" s="27" t="str">
        <f>VLOOKUP($F833,mapping!$L$2:$P$92,4,0)</f>
        <v>Developing Asia</v>
      </c>
      <c r="L833" s="29">
        <f>$D833*VLOOKUP($E833,'Charts data'!$A$2:$B$11,2,0)*VLOOKUP($G833,'Charts data'!$A$14:$B$18,2,0)/IF('Charts data'!$E$3=1,I833,1)/IF('Charts data'!$E$4=1,J833,1)</f>
        <v>4457.9172610556352</v>
      </c>
    </row>
    <row r="834" spans="1:12" x14ac:dyDescent="0.25">
      <c r="A834" s="27" t="s">
        <v>1168</v>
      </c>
      <c r="B834" s="27">
        <v>300000</v>
      </c>
      <c r="C834" s="27" t="s">
        <v>13</v>
      </c>
      <c r="D834" s="28">
        <f>B834*VLOOKUP(C834,tblXrate[],2,0)</f>
        <v>3184.2266150397395</v>
      </c>
      <c r="E834" s="27" t="s">
        <v>19</v>
      </c>
      <c r="F834" s="27" t="s">
        <v>6</v>
      </c>
      <c r="G834" s="27" t="s">
        <v>2271</v>
      </c>
      <c r="H834" s="27">
        <v>4</v>
      </c>
      <c r="I834" s="27">
        <f>VLOOKUP(F834,mapping!$L$2:$P$92,2,0)</f>
        <v>0.65835867993475172</v>
      </c>
      <c r="J834" s="27">
        <f>VLOOKUP($F834,mapping!$L$2:$P$92,3,0)</f>
        <v>1201.1099999999999</v>
      </c>
      <c r="K834" s="27" t="str">
        <f>VLOOKUP($F834,mapping!$L$2:$P$92,4,0)</f>
        <v>Developing Asia</v>
      </c>
      <c r="L834" s="29">
        <f>$D834*VLOOKUP($E834,'Charts data'!$A$2:$B$11,2,0)*VLOOKUP($G834,'Charts data'!$A$14:$B$18,2,0)/IF('Charts data'!$E$3=1,I834,1)/IF('Charts data'!$E$4=1,J834,1)</f>
        <v>3184.2266150397395</v>
      </c>
    </row>
    <row r="835" spans="1:12" x14ac:dyDescent="0.25">
      <c r="A835" s="27" t="s">
        <v>1176</v>
      </c>
      <c r="B835" s="27">
        <v>456000</v>
      </c>
      <c r="C835" s="27" t="s">
        <v>13</v>
      </c>
      <c r="D835" s="28">
        <f>B835*VLOOKUP(C835,tblXrate[],2,0)</f>
        <v>4840.0244548604041</v>
      </c>
      <c r="E835" s="27" t="s">
        <v>19</v>
      </c>
      <c r="F835" s="27" t="s">
        <v>6</v>
      </c>
      <c r="G835" s="27" t="s">
        <v>2271</v>
      </c>
      <c r="H835" s="27">
        <v>2</v>
      </c>
      <c r="I835" s="27">
        <f>VLOOKUP(F835,mapping!$L$2:$P$92,2,0)</f>
        <v>0.65835867993475172</v>
      </c>
      <c r="J835" s="27">
        <f>VLOOKUP($F835,mapping!$L$2:$P$92,3,0)</f>
        <v>1201.1099999999999</v>
      </c>
      <c r="K835" s="27" t="str">
        <f>VLOOKUP($F835,mapping!$L$2:$P$92,4,0)</f>
        <v>Developing Asia</v>
      </c>
      <c r="L835" s="29">
        <f>$D835*VLOOKUP($E835,'Charts data'!$A$2:$B$11,2,0)*VLOOKUP($G835,'Charts data'!$A$14:$B$18,2,0)/IF('Charts data'!$E$3=1,I835,1)/IF('Charts data'!$E$4=1,J835,1)</f>
        <v>4840.0244548604041</v>
      </c>
    </row>
    <row r="836" spans="1:12" x14ac:dyDescent="0.25">
      <c r="A836" s="27" t="s">
        <v>1292</v>
      </c>
      <c r="B836" s="27">
        <v>168000</v>
      </c>
      <c r="C836" s="27" t="s">
        <v>13</v>
      </c>
      <c r="D836" s="28">
        <f>B836*VLOOKUP(C836,tblXrate[],2,0)</f>
        <v>1783.166904422254</v>
      </c>
      <c r="E836" s="27" t="s">
        <v>51</v>
      </c>
      <c r="F836" s="27" t="s">
        <v>6</v>
      </c>
      <c r="G836" s="27" t="s">
        <v>2271</v>
      </c>
      <c r="H836" s="27">
        <v>10</v>
      </c>
      <c r="I836" s="27">
        <f>VLOOKUP(F836,mapping!$L$2:$P$92,2,0)</f>
        <v>0.65835867993475172</v>
      </c>
      <c r="J836" s="27">
        <f>VLOOKUP($F836,mapping!$L$2:$P$92,3,0)</f>
        <v>1201.1099999999999</v>
      </c>
      <c r="K836" s="27" t="str">
        <f>VLOOKUP($F836,mapping!$L$2:$P$92,4,0)</f>
        <v>Developing Asia</v>
      </c>
      <c r="L836" s="29">
        <f>$D836*VLOOKUP($E836,'Charts data'!$A$2:$B$11,2,0)*VLOOKUP($G836,'Charts data'!$A$14:$B$18,2,0)/IF('Charts data'!$E$3=1,I836,1)/IF('Charts data'!$E$4=1,J836,1)</f>
        <v>1783.166904422254</v>
      </c>
    </row>
    <row r="837" spans="1:12" x14ac:dyDescent="0.25">
      <c r="A837" s="27" t="s">
        <v>1327</v>
      </c>
      <c r="B837" s="27">
        <v>2000000</v>
      </c>
      <c r="C837" s="27" t="s">
        <v>13</v>
      </c>
      <c r="D837" s="28">
        <f>B837*VLOOKUP(C837,tblXrate[],2,0)</f>
        <v>21228.177433598263</v>
      </c>
      <c r="E837" s="27" t="s">
        <v>53</v>
      </c>
      <c r="F837" s="27" t="s">
        <v>6</v>
      </c>
      <c r="G837" s="27" t="s">
        <v>2273</v>
      </c>
      <c r="H837" s="27">
        <v>8</v>
      </c>
      <c r="I837" s="27">
        <f>VLOOKUP(F837,mapping!$L$2:$P$92,2,0)</f>
        <v>0.65835867993475172</v>
      </c>
      <c r="J837" s="27">
        <f>VLOOKUP($F837,mapping!$L$2:$P$92,3,0)</f>
        <v>1201.1099999999999</v>
      </c>
      <c r="K837" s="27" t="str">
        <f>VLOOKUP($F837,mapping!$L$2:$P$92,4,0)</f>
        <v>Developing Asia</v>
      </c>
      <c r="L837" s="29">
        <f>$D837*VLOOKUP($E837,'Charts data'!$A$2:$B$11,2,0)*VLOOKUP($G837,'Charts data'!$A$14:$B$18,2,0)/IF('Charts data'!$E$3=1,I837,1)/IF('Charts data'!$E$4=1,J837,1)</f>
        <v>21228.177433598263</v>
      </c>
    </row>
    <row r="838" spans="1:12" x14ac:dyDescent="0.25">
      <c r="A838" s="27" t="s">
        <v>1931</v>
      </c>
      <c r="B838" s="27">
        <v>1281600</v>
      </c>
      <c r="C838" s="27" t="s">
        <v>13</v>
      </c>
      <c r="D838" s="28">
        <f>B838*VLOOKUP(C838,tblXrate[],2,0)</f>
        <v>13603.016099449767</v>
      </c>
      <c r="E838" s="27" t="s">
        <v>19</v>
      </c>
      <c r="F838" s="27" t="s">
        <v>6</v>
      </c>
      <c r="G838" s="27" t="s">
        <v>2273</v>
      </c>
      <c r="H838" s="27">
        <v>8</v>
      </c>
      <c r="I838" s="27">
        <f>VLOOKUP(F838,mapping!$L$2:$P$92,2,0)</f>
        <v>0.65835867993475172</v>
      </c>
      <c r="J838" s="27">
        <f>VLOOKUP($F838,mapping!$L$2:$P$92,3,0)</f>
        <v>1201.1099999999999</v>
      </c>
      <c r="K838" s="27" t="str">
        <f>VLOOKUP($F838,mapping!$L$2:$P$92,4,0)</f>
        <v>Developing Asia</v>
      </c>
      <c r="L838" s="29">
        <f>$D838*VLOOKUP($E838,'Charts data'!$A$2:$B$11,2,0)*VLOOKUP($G838,'Charts data'!$A$14:$B$18,2,0)/IF('Charts data'!$E$3=1,I838,1)/IF('Charts data'!$E$4=1,J838,1)</f>
        <v>13603.016099449767</v>
      </c>
    </row>
    <row r="839" spans="1:12" x14ac:dyDescent="0.25">
      <c r="A839" s="27" t="s">
        <v>1329</v>
      </c>
      <c r="B839" s="27">
        <v>60000</v>
      </c>
      <c r="C839" s="27" t="s">
        <v>128</v>
      </c>
      <c r="D839" s="28">
        <f>B839*VLOOKUP(C839,tblXrate[],2,0)</f>
        <v>18018.883790212141</v>
      </c>
      <c r="E839" s="27" t="s">
        <v>7</v>
      </c>
      <c r="F839" s="27" t="s">
        <v>27</v>
      </c>
      <c r="G839" s="27" t="s">
        <v>2273</v>
      </c>
      <c r="H839" s="27">
        <v>10</v>
      </c>
      <c r="I839" s="27">
        <f>VLOOKUP(F839,mapping!$L$2:$P$92,2,0)</f>
        <v>2.5064980931304421</v>
      </c>
      <c r="J839" s="27">
        <f>VLOOKUP($F839,mapping!$L$2:$P$92,3,0)</f>
        <v>13539.84</v>
      </c>
      <c r="K839" s="27" t="str">
        <f>VLOOKUP($F839,mapping!$L$2:$P$92,4,0)</f>
        <v>Central and Eastern Europe</v>
      </c>
      <c r="L839" s="29">
        <f>$D839*VLOOKUP($E839,'Charts data'!$A$2:$B$11,2,0)*VLOOKUP($G839,'Charts data'!$A$14:$B$18,2,0)/IF('Charts data'!$E$3=1,I839,1)/IF('Charts data'!$E$4=1,J839,1)</f>
        <v>18018.883790212141</v>
      </c>
    </row>
    <row r="840" spans="1:12" x14ac:dyDescent="0.25">
      <c r="A840" s="27" t="s">
        <v>986</v>
      </c>
      <c r="B840" s="27">
        <v>65000</v>
      </c>
      <c r="C840" s="27" t="s">
        <v>101</v>
      </c>
      <c r="D840" s="28">
        <f>B840*VLOOKUP(C840,tblXrate[],2,0)</f>
        <v>18499.860539512854</v>
      </c>
      <c r="E840" s="27" t="s">
        <v>23</v>
      </c>
      <c r="F840" s="27" t="s">
        <v>26</v>
      </c>
      <c r="G840" s="27" t="s">
        <v>2271</v>
      </c>
      <c r="H840" s="27">
        <v>6</v>
      </c>
      <c r="I840" s="27">
        <f>VLOOKUP(F840,mapping!$L$2:$P$92,2,0)</f>
        <v>0.61647227582438224</v>
      </c>
      <c r="J840" s="27">
        <f>VLOOKUP($F840,mapping!$L$2:$P$92,3,0)</f>
        <v>8862.8700000000008</v>
      </c>
      <c r="K840" s="27" t="str">
        <f>VLOOKUP($F840,mapping!$L$2:$P$92,4,0)</f>
        <v>Central and Eastern Europe</v>
      </c>
      <c r="L840" s="29">
        <f>$D840*VLOOKUP($E840,'Charts data'!$A$2:$B$11,2,0)*VLOOKUP($G840,'Charts data'!$A$14:$B$18,2,0)/IF('Charts data'!$E$3=1,I840,1)/IF('Charts data'!$E$4=1,J840,1)</f>
        <v>18499.860539512854</v>
      </c>
    </row>
    <row r="841" spans="1:12" x14ac:dyDescent="0.25">
      <c r="A841" s="27" t="s">
        <v>1544</v>
      </c>
      <c r="B841" s="27">
        <v>216000</v>
      </c>
      <c r="C841" s="27" t="s">
        <v>2107</v>
      </c>
      <c r="D841" s="28">
        <f>B841*VLOOKUP(C841,tblXrate[],2,0)</f>
        <v>57600</v>
      </c>
      <c r="E841" s="27" t="s">
        <v>48</v>
      </c>
      <c r="F841" s="27" t="s">
        <v>38</v>
      </c>
      <c r="G841" s="27" t="s">
        <v>2271</v>
      </c>
      <c r="H841" s="27">
        <v>20</v>
      </c>
      <c r="I841" s="27">
        <f>VLOOKUP(F841,mapping!$L$2:$P$92,2,0)</f>
        <v>0.8448</v>
      </c>
      <c r="J841" s="27">
        <f>VLOOKUP($F841,mapping!$L$2:$P$92,3,0)</f>
        <v>20504.36</v>
      </c>
      <c r="K841" s="27" t="str">
        <f>VLOOKUP($F841,mapping!$L$2:$P$92,4,0)</f>
        <v>Middle East and North Africa</v>
      </c>
      <c r="L841" s="29">
        <f>$D841*VLOOKUP($E841,'Charts data'!$A$2:$B$11,2,0)*VLOOKUP($G841,'Charts data'!$A$14:$B$18,2,0)/IF('Charts data'!$E$3=1,I841,1)/IF('Charts data'!$E$4=1,J841,1)</f>
        <v>57600</v>
      </c>
    </row>
    <row r="842" spans="1:12" x14ac:dyDescent="0.25">
      <c r="A842" s="27" t="s">
        <v>1667</v>
      </c>
      <c r="B842" s="27">
        <v>320000</v>
      </c>
      <c r="C842" s="27" t="s">
        <v>2107</v>
      </c>
      <c r="D842" s="28">
        <f>B842*VLOOKUP(C842,tblXrate[],2,0)</f>
        <v>85333.333333333328</v>
      </c>
      <c r="E842" s="27" t="s">
        <v>19</v>
      </c>
      <c r="F842" s="27" t="s">
        <v>38</v>
      </c>
      <c r="G842" s="27" t="s">
        <v>2272</v>
      </c>
      <c r="H842" s="27">
        <v>15</v>
      </c>
      <c r="I842" s="27">
        <f>VLOOKUP(F842,mapping!$L$2:$P$92,2,0)</f>
        <v>0.8448</v>
      </c>
      <c r="J842" s="27">
        <f>VLOOKUP($F842,mapping!$L$2:$P$92,3,0)</f>
        <v>20504.36</v>
      </c>
      <c r="K842" s="27" t="str">
        <f>VLOOKUP($F842,mapping!$L$2:$P$92,4,0)</f>
        <v>Middle East and North Africa</v>
      </c>
      <c r="L842" s="29">
        <f>$D842*VLOOKUP($E842,'Charts data'!$A$2:$B$11,2,0)*VLOOKUP($G842,'Charts data'!$A$14:$B$18,2,0)/IF('Charts data'!$E$3=1,I842,1)/IF('Charts data'!$E$4=1,J842,1)</f>
        <v>85333.333333333328</v>
      </c>
    </row>
    <row r="843" spans="1:12" x14ac:dyDescent="0.25">
      <c r="A843" s="27" t="s">
        <v>528</v>
      </c>
      <c r="B843" s="27">
        <v>480000</v>
      </c>
      <c r="C843" s="27" t="s">
        <v>59</v>
      </c>
      <c r="D843" s="28">
        <f>B843*VLOOKUP(C843,tblXrate[],2,0)</f>
        <v>68954.520184280962</v>
      </c>
      <c r="E843" s="27" t="s">
        <v>53</v>
      </c>
      <c r="F843" s="27" t="s">
        <v>60</v>
      </c>
      <c r="G843" s="27" t="s">
        <v>2274</v>
      </c>
      <c r="H843" s="27"/>
      <c r="I843" s="27">
        <f>VLOOKUP(F843,mapping!$L$2:$P$92,2,0)</f>
        <v>1.3153074725151594</v>
      </c>
      <c r="J843" s="27">
        <f>VLOOKUP($F843,mapping!$L$2:$P$92,3,0)</f>
        <v>56956.31</v>
      </c>
      <c r="K843" s="27" t="str">
        <f>VLOOKUP($F843,mapping!$L$2:$P$92,4,0)</f>
        <v>Other Advanced Economies</v>
      </c>
      <c r="L843" s="29">
        <f>$D843*VLOOKUP($E843,'Charts data'!$A$2:$B$11,2,0)*VLOOKUP($G843,'Charts data'!$A$14:$B$18,2,0)/IF('Charts data'!$E$3=1,I843,1)/IF('Charts data'!$E$4=1,J843,1)</f>
        <v>68954.520184280962</v>
      </c>
    </row>
    <row r="844" spans="1:12" x14ac:dyDescent="0.25">
      <c r="A844" s="27" t="s">
        <v>1164</v>
      </c>
      <c r="B844" s="27">
        <v>92000</v>
      </c>
      <c r="C844" s="27" t="s">
        <v>122</v>
      </c>
      <c r="D844" s="28">
        <f>B844*VLOOKUP(C844,tblXrate[],2,0)</f>
        <v>72571.80269935554</v>
      </c>
      <c r="E844" s="27" t="s">
        <v>19</v>
      </c>
      <c r="F844" s="27" t="s">
        <v>44</v>
      </c>
      <c r="G844" s="27" t="s">
        <v>2273</v>
      </c>
      <c r="H844" s="27">
        <v>15</v>
      </c>
      <c r="I844" s="27">
        <f>VLOOKUP(F844,mapping!$L$2:$P$92,2,0)</f>
        <v>0.81879925219490268</v>
      </c>
      <c r="J844" s="27">
        <f>VLOOKUP($F844,mapping!$L$2:$P$92,3,0)</f>
        <v>49270.87</v>
      </c>
      <c r="K844" s="27" t="str">
        <f>VLOOKUP($F844,mapping!$L$2:$P$92,4,0)</f>
        <v>Newly Industrialized Asian Economies</v>
      </c>
      <c r="L844" s="29">
        <f>$D844*VLOOKUP($E844,'Charts data'!$A$2:$B$11,2,0)*VLOOKUP($G844,'Charts data'!$A$14:$B$18,2,0)/IF('Charts data'!$E$3=1,I844,1)/IF('Charts data'!$E$4=1,J844,1)</f>
        <v>72571.80269935554</v>
      </c>
    </row>
    <row r="845" spans="1:12" x14ac:dyDescent="0.25">
      <c r="A845" s="27" t="s">
        <v>1086</v>
      </c>
      <c r="B845" s="27">
        <v>20571</v>
      </c>
      <c r="C845" s="27" t="s">
        <v>2</v>
      </c>
      <c r="D845" s="28">
        <f>B845*VLOOKUP(C845,tblXrate[],2,0)</f>
        <v>20571</v>
      </c>
      <c r="E845" s="27" t="s">
        <v>2147</v>
      </c>
      <c r="F845" s="27" t="s">
        <v>113</v>
      </c>
      <c r="G845" s="27" t="s">
        <v>2271</v>
      </c>
      <c r="H845" s="27">
        <v>8</v>
      </c>
      <c r="I845" s="27">
        <f>VLOOKUP(F845,mapping!$L$2:$P$92,2,0)</f>
        <v>0.47374412721358866</v>
      </c>
      <c r="J845" s="27">
        <f>VLOOKUP($F845,mapping!$L$2:$P$92,3,0)</f>
        <v>3992.47</v>
      </c>
      <c r="K845" s="27" t="str">
        <f>VLOOKUP($F845,mapping!$L$2:$P$92,4,0)</f>
        <v>Central and Eastern Europe</v>
      </c>
      <c r="L845" s="29">
        <f>$D845*VLOOKUP($E845,'Charts data'!$A$2:$B$11,2,0)*VLOOKUP($G845,'Charts data'!$A$14:$B$18,2,0)/IF('Charts data'!$E$3=1,I845,1)/IF('Charts data'!$E$4=1,J845,1)</f>
        <v>20571</v>
      </c>
    </row>
    <row r="846" spans="1:12" x14ac:dyDescent="0.25">
      <c r="A846" s="27" t="s">
        <v>1324</v>
      </c>
      <c r="B846" s="27">
        <v>24000</v>
      </c>
      <c r="C846" s="27" t="s">
        <v>2</v>
      </c>
      <c r="D846" s="28">
        <f>B846*VLOOKUP(C846,tblXrate[],2,0)</f>
        <v>24000</v>
      </c>
      <c r="E846" s="27" t="s">
        <v>19</v>
      </c>
      <c r="F846" s="27" t="s">
        <v>127</v>
      </c>
      <c r="G846" s="27" t="s">
        <v>2271</v>
      </c>
      <c r="H846" s="27">
        <v>21</v>
      </c>
      <c r="I846" s="27">
        <f>VLOOKUP(F846,mapping!$L$2:$P$92,2,0)</f>
        <v>0.57159010223182793</v>
      </c>
      <c r="J846" s="27">
        <f>VLOOKUP($F846,mapping!$L$2:$P$92,3,0)</f>
        <v>10944.71</v>
      </c>
      <c r="K846" s="27" t="str">
        <f>VLOOKUP($F846,mapping!$L$2:$P$92,4,0)</f>
        <v>Latin America and the Caribbean</v>
      </c>
      <c r="L846" s="29">
        <f>$D846*VLOOKUP($E846,'Charts data'!$A$2:$B$11,2,0)*VLOOKUP($G846,'Charts data'!$A$14:$B$18,2,0)/IF('Charts data'!$E$3=1,I846,1)/IF('Charts data'!$E$4=1,J846,1)</f>
        <v>24000</v>
      </c>
    </row>
    <row r="847" spans="1:12" x14ac:dyDescent="0.25">
      <c r="A847" s="27" t="s">
        <v>1848</v>
      </c>
      <c r="B847" s="27">
        <v>6000</v>
      </c>
      <c r="C847" s="27" t="s">
        <v>2</v>
      </c>
      <c r="D847" s="28">
        <f>B847*VLOOKUP(C847,tblXrate[],2,0)</f>
        <v>6000</v>
      </c>
      <c r="E847" s="27" t="s">
        <v>2145</v>
      </c>
      <c r="F847" s="27" t="s">
        <v>165</v>
      </c>
      <c r="G847" s="27" t="s">
        <v>2273</v>
      </c>
      <c r="H847" s="27">
        <v>5</v>
      </c>
      <c r="I847" s="27">
        <f>VLOOKUP(F847,mapping!$L$2:$P$92,2,0)</f>
        <v>0.51570552734936292</v>
      </c>
      <c r="J847" s="27">
        <f>VLOOKUP($F847,mapping!$L$2:$P$92,3,0)</f>
        <v>3032.81</v>
      </c>
      <c r="K847" s="27" t="str">
        <f>VLOOKUP($F847,mapping!$L$2:$P$92,4,0)</f>
        <v>Commonwealth of Independent States</v>
      </c>
      <c r="L847" s="29">
        <f>$D847*VLOOKUP($E847,'Charts data'!$A$2:$B$11,2,0)*VLOOKUP($G847,'Charts data'!$A$14:$B$18,2,0)/IF('Charts data'!$E$3=1,I847,1)/IF('Charts data'!$E$4=1,J847,1)</f>
        <v>6000</v>
      </c>
    </row>
    <row r="848" spans="1:12" x14ac:dyDescent="0.25">
      <c r="A848" s="27" t="s">
        <v>726</v>
      </c>
      <c r="B848" s="27">
        <v>95000</v>
      </c>
      <c r="C848" s="27" t="s">
        <v>2</v>
      </c>
      <c r="D848" s="28">
        <f>B848*VLOOKUP(C848,tblXrate[],2,0)</f>
        <v>95000</v>
      </c>
      <c r="E848" s="27" t="s">
        <v>7</v>
      </c>
      <c r="F848" s="27" t="s">
        <v>29</v>
      </c>
      <c r="G848" s="27" t="s">
        <v>2272</v>
      </c>
      <c r="H848" s="27">
        <v>11</v>
      </c>
      <c r="I848" s="27">
        <f>VLOOKUP(F848,mapping!$L$2:$P$92,2,0)</f>
        <v>1.6083975281469567</v>
      </c>
      <c r="J848" s="27">
        <f>VLOOKUP($F848,mapping!$L$2:$P$92,3,0)</f>
        <v>65477.03</v>
      </c>
      <c r="K848" s="27" t="str">
        <f>VLOOKUP($F848,mapping!$L$2:$P$92,4,0)</f>
        <v>Other Advanced Economies</v>
      </c>
      <c r="L848" s="29">
        <f>$D848*VLOOKUP($E848,'Charts data'!$A$2:$B$11,2,0)*VLOOKUP($G848,'Charts data'!$A$14:$B$18,2,0)/IF('Charts data'!$E$3=1,I848,1)/IF('Charts data'!$E$4=1,J848,1)</f>
        <v>95000</v>
      </c>
    </row>
    <row r="849" spans="1:12" x14ac:dyDescent="0.25">
      <c r="A849" s="27" t="s">
        <v>879</v>
      </c>
      <c r="B849" s="27">
        <v>130000</v>
      </c>
      <c r="C849" s="27" t="s">
        <v>2</v>
      </c>
      <c r="D849" s="28">
        <f>B849*VLOOKUP(C849,tblXrate[],2,0)</f>
        <v>130000</v>
      </c>
      <c r="E849" s="27" t="s">
        <v>19</v>
      </c>
      <c r="F849" s="27" t="s">
        <v>29</v>
      </c>
      <c r="G849" s="27" t="s">
        <v>2271</v>
      </c>
      <c r="H849" s="27">
        <v>3</v>
      </c>
      <c r="I849" s="27">
        <f>VLOOKUP(F849,mapping!$L$2:$P$92,2,0)</f>
        <v>1.6083975281469567</v>
      </c>
      <c r="J849" s="27">
        <f>VLOOKUP($F849,mapping!$L$2:$P$92,3,0)</f>
        <v>65477.03</v>
      </c>
      <c r="K849" s="27" t="str">
        <f>VLOOKUP($F849,mapping!$L$2:$P$92,4,0)</f>
        <v>Other Advanced Economies</v>
      </c>
      <c r="L849" s="29">
        <f>$D849*VLOOKUP($E849,'Charts data'!$A$2:$B$11,2,0)*VLOOKUP($G849,'Charts data'!$A$14:$B$18,2,0)/IF('Charts data'!$E$3=1,I849,1)/IF('Charts data'!$E$4=1,J849,1)</f>
        <v>130000</v>
      </c>
    </row>
    <row r="850" spans="1:12" x14ac:dyDescent="0.25">
      <c r="A850" s="27" t="s">
        <v>938</v>
      </c>
      <c r="B850" s="27">
        <v>36000</v>
      </c>
      <c r="C850" s="27" t="s">
        <v>2</v>
      </c>
      <c r="D850" s="28">
        <f>B850*VLOOKUP(C850,tblXrate[],2,0)</f>
        <v>36000</v>
      </c>
      <c r="E850" s="27" t="s">
        <v>19</v>
      </c>
      <c r="F850" s="27" t="s">
        <v>29</v>
      </c>
      <c r="G850" s="27" t="s">
        <v>2272</v>
      </c>
      <c r="H850" s="27">
        <v>12</v>
      </c>
      <c r="I850" s="27">
        <f>VLOOKUP(F850,mapping!$L$2:$P$92,2,0)</f>
        <v>1.6083975281469567</v>
      </c>
      <c r="J850" s="27">
        <f>VLOOKUP($F850,mapping!$L$2:$P$92,3,0)</f>
        <v>65477.03</v>
      </c>
      <c r="K850" s="27" t="str">
        <f>VLOOKUP($F850,mapping!$L$2:$P$92,4,0)</f>
        <v>Other Advanced Economies</v>
      </c>
      <c r="L850" s="29">
        <f>$D850*VLOOKUP($E850,'Charts data'!$A$2:$B$11,2,0)*VLOOKUP($G850,'Charts data'!$A$14:$B$18,2,0)/IF('Charts data'!$E$3=1,I850,1)/IF('Charts data'!$E$4=1,J850,1)</f>
        <v>36000</v>
      </c>
    </row>
    <row r="851" spans="1:12" x14ac:dyDescent="0.25">
      <c r="A851" s="27" t="s">
        <v>1117</v>
      </c>
      <c r="B851" s="27">
        <v>45616</v>
      </c>
      <c r="C851" s="27" t="s">
        <v>2</v>
      </c>
      <c r="D851" s="28">
        <f>B851*VLOOKUP(C851,tblXrate[],2,0)</f>
        <v>45616</v>
      </c>
      <c r="E851" s="27" t="s">
        <v>7</v>
      </c>
      <c r="F851" s="27" t="s">
        <v>29</v>
      </c>
      <c r="G851" s="27" t="s">
        <v>2271</v>
      </c>
      <c r="H851" s="27">
        <v>1.5</v>
      </c>
      <c r="I851" s="27">
        <f>VLOOKUP(F851,mapping!$L$2:$P$92,2,0)</f>
        <v>1.6083975281469567</v>
      </c>
      <c r="J851" s="27">
        <f>VLOOKUP($F851,mapping!$L$2:$P$92,3,0)</f>
        <v>65477.03</v>
      </c>
      <c r="K851" s="27" t="str">
        <f>VLOOKUP($F851,mapping!$L$2:$P$92,4,0)</f>
        <v>Other Advanced Economies</v>
      </c>
      <c r="L851" s="29">
        <f>$D851*VLOOKUP($E851,'Charts data'!$A$2:$B$11,2,0)*VLOOKUP($G851,'Charts data'!$A$14:$B$18,2,0)/IF('Charts data'!$E$3=1,I851,1)/IF('Charts data'!$E$4=1,J851,1)</f>
        <v>45616</v>
      </c>
    </row>
    <row r="852" spans="1:12" x14ac:dyDescent="0.25">
      <c r="A852" s="27" t="s">
        <v>1120</v>
      </c>
      <c r="B852" s="27">
        <v>20000</v>
      </c>
      <c r="C852" s="27" t="s">
        <v>2</v>
      </c>
      <c r="D852" s="28">
        <f>B852*VLOOKUP(C852,tblXrate[],2,0)</f>
        <v>20000</v>
      </c>
      <c r="E852" s="27" t="s">
        <v>7</v>
      </c>
      <c r="F852" s="27" t="s">
        <v>29</v>
      </c>
      <c r="G852" s="27" t="s">
        <v>2272</v>
      </c>
      <c r="H852" s="27">
        <v>2</v>
      </c>
      <c r="I852" s="27">
        <f>VLOOKUP(F852,mapping!$L$2:$P$92,2,0)</f>
        <v>1.6083975281469567</v>
      </c>
      <c r="J852" s="27">
        <f>VLOOKUP($F852,mapping!$L$2:$P$92,3,0)</f>
        <v>65477.03</v>
      </c>
      <c r="K852" s="27" t="str">
        <f>VLOOKUP($F852,mapping!$L$2:$P$92,4,0)</f>
        <v>Other Advanced Economies</v>
      </c>
      <c r="L852" s="29">
        <f>$D852*VLOOKUP($E852,'Charts data'!$A$2:$B$11,2,0)*VLOOKUP($G852,'Charts data'!$A$14:$B$18,2,0)/IF('Charts data'!$E$3=1,I852,1)/IF('Charts data'!$E$4=1,J852,1)</f>
        <v>20000</v>
      </c>
    </row>
    <row r="853" spans="1:12" x14ac:dyDescent="0.25">
      <c r="A853" s="27" t="s">
        <v>1129</v>
      </c>
      <c r="B853" s="27">
        <v>85000</v>
      </c>
      <c r="C853" s="27" t="s">
        <v>2</v>
      </c>
      <c r="D853" s="28">
        <f>B853*VLOOKUP(C853,tblXrate[],2,0)</f>
        <v>85000</v>
      </c>
      <c r="E853" s="27" t="s">
        <v>2145</v>
      </c>
      <c r="F853" s="27" t="s">
        <v>29</v>
      </c>
      <c r="G853" s="27" t="s">
        <v>2271</v>
      </c>
      <c r="H853" s="27">
        <v>8</v>
      </c>
      <c r="I853" s="27">
        <f>VLOOKUP(F853,mapping!$L$2:$P$92,2,0)</f>
        <v>1.6083975281469567</v>
      </c>
      <c r="J853" s="27">
        <f>VLOOKUP($F853,mapping!$L$2:$P$92,3,0)</f>
        <v>65477.03</v>
      </c>
      <c r="K853" s="27" t="str">
        <f>VLOOKUP($F853,mapping!$L$2:$P$92,4,0)</f>
        <v>Other Advanced Economies</v>
      </c>
      <c r="L853" s="29">
        <f>$D853*VLOOKUP($E853,'Charts data'!$A$2:$B$11,2,0)*VLOOKUP($G853,'Charts data'!$A$14:$B$18,2,0)/IF('Charts data'!$E$3=1,I853,1)/IF('Charts data'!$E$4=1,J853,1)</f>
        <v>85000</v>
      </c>
    </row>
    <row r="854" spans="1:12" x14ac:dyDescent="0.25">
      <c r="A854" s="27" t="s">
        <v>1405</v>
      </c>
      <c r="B854" s="27">
        <v>43000</v>
      </c>
      <c r="C854" s="27" t="s">
        <v>2</v>
      </c>
      <c r="D854" s="28">
        <f>B854*VLOOKUP(C854,tblXrate[],2,0)</f>
        <v>43000</v>
      </c>
      <c r="E854" s="27" t="s">
        <v>19</v>
      </c>
      <c r="F854" s="27" t="s">
        <v>29</v>
      </c>
      <c r="G854" s="27" t="s">
        <v>2272</v>
      </c>
      <c r="H854" s="27">
        <v>4</v>
      </c>
      <c r="I854" s="27">
        <f>VLOOKUP(F854,mapping!$L$2:$P$92,2,0)</f>
        <v>1.6083975281469567</v>
      </c>
      <c r="J854" s="27">
        <f>VLOOKUP($F854,mapping!$L$2:$P$92,3,0)</f>
        <v>65477.03</v>
      </c>
      <c r="K854" s="27" t="str">
        <f>VLOOKUP($F854,mapping!$L$2:$P$92,4,0)</f>
        <v>Other Advanced Economies</v>
      </c>
      <c r="L854" s="29">
        <f>$D854*VLOOKUP($E854,'Charts data'!$A$2:$B$11,2,0)*VLOOKUP($G854,'Charts data'!$A$14:$B$18,2,0)/IF('Charts data'!$E$3=1,I854,1)/IF('Charts data'!$E$4=1,J854,1)</f>
        <v>43000</v>
      </c>
    </row>
    <row r="855" spans="1:12" x14ac:dyDescent="0.25">
      <c r="A855" s="27" t="s">
        <v>1756</v>
      </c>
      <c r="B855" s="27">
        <v>36000</v>
      </c>
      <c r="C855" s="27" t="s">
        <v>2</v>
      </c>
      <c r="D855" s="28">
        <f>B855*VLOOKUP(C855,tblXrate[],2,0)</f>
        <v>36000</v>
      </c>
      <c r="E855" s="27" t="s">
        <v>53</v>
      </c>
      <c r="F855" s="27" t="s">
        <v>161</v>
      </c>
      <c r="G855" s="27" t="s">
        <v>2271</v>
      </c>
      <c r="H855" s="27">
        <v>5</v>
      </c>
      <c r="I855" s="27">
        <f>VLOOKUP(F855,mapping!$L$2:$P$92,2,0)</f>
        <v>0.68517575140091702</v>
      </c>
      <c r="J855" s="27">
        <f>VLOOKUP($F855,mapping!$L$2:$P$92,3,0)</f>
        <v>6832.28</v>
      </c>
      <c r="K855" s="27" t="str">
        <f>VLOOKUP($F855,mapping!$L$2:$P$92,4,0)</f>
        <v>Commonwealth of Independent States</v>
      </c>
      <c r="L855" s="29">
        <f>$D855*VLOOKUP($E855,'Charts data'!$A$2:$B$11,2,0)*VLOOKUP($G855,'Charts data'!$A$14:$B$18,2,0)/IF('Charts data'!$E$3=1,I855,1)/IF('Charts data'!$E$4=1,J855,1)</f>
        <v>36000</v>
      </c>
    </row>
    <row r="856" spans="1:12" x14ac:dyDescent="0.25">
      <c r="A856" s="27" t="s">
        <v>1908</v>
      </c>
      <c r="B856" s="27">
        <v>3000</v>
      </c>
      <c r="C856" s="27" t="s">
        <v>2</v>
      </c>
      <c r="D856" s="28">
        <f>B856*VLOOKUP(C856,tblXrate[],2,0)</f>
        <v>3000</v>
      </c>
      <c r="E856" s="27" t="s">
        <v>7</v>
      </c>
      <c r="F856" s="27" t="s">
        <v>58</v>
      </c>
      <c r="G856" s="27" t="s">
        <v>2274</v>
      </c>
      <c r="H856" s="27">
        <v>12</v>
      </c>
      <c r="I856" s="27">
        <f>VLOOKUP(F856,mapping!$L$2:$P$92,2,0)</f>
        <v>0.36952170055507078</v>
      </c>
      <c r="J856" s="27">
        <f>VLOOKUP($F856,mapping!$L$2:$P$92,3,0)</f>
        <v>678.02800000000002</v>
      </c>
      <c r="K856" s="27" t="str">
        <f>VLOOKUP($F856,mapping!$L$2:$P$92,4,0)</f>
        <v>Developing Asia</v>
      </c>
      <c r="L856" s="29">
        <f>$D856*VLOOKUP($E856,'Charts data'!$A$2:$B$11,2,0)*VLOOKUP($G856,'Charts data'!$A$14:$B$18,2,0)/IF('Charts data'!$E$3=1,I856,1)/IF('Charts data'!$E$4=1,J856,1)</f>
        <v>3000</v>
      </c>
    </row>
    <row r="857" spans="1:12" x14ac:dyDescent="0.25">
      <c r="A857" s="27" t="s">
        <v>896</v>
      </c>
      <c r="B857" s="27">
        <v>4800</v>
      </c>
      <c r="C857" s="27" t="s">
        <v>2</v>
      </c>
      <c r="D857" s="28">
        <f>B857*VLOOKUP(C857,tblXrate[],2,0)</f>
        <v>4800</v>
      </c>
      <c r="E857" s="27" t="s">
        <v>7</v>
      </c>
      <c r="F857" s="27" t="s">
        <v>95</v>
      </c>
      <c r="G857" s="27" t="s">
        <v>2271</v>
      </c>
      <c r="H857" s="27">
        <v>2</v>
      </c>
      <c r="I857" s="27">
        <f>VLOOKUP(F857,mapping!$L$2:$P$92,2,0)</f>
        <v>0.32665732623366672</v>
      </c>
      <c r="J857" s="27">
        <f>VLOOKUP($F857,mapping!$L$2:$P$92,3,0)</f>
        <v>2121.17</v>
      </c>
      <c r="K857" s="27" t="str">
        <f>VLOOKUP($F857,mapping!$L$2:$P$92,4,0)</f>
        <v>Developing Asia</v>
      </c>
      <c r="L857" s="29">
        <f>$D857*VLOOKUP($E857,'Charts data'!$A$2:$B$11,2,0)*VLOOKUP($G857,'Charts data'!$A$14:$B$18,2,0)/IF('Charts data'!$E$3=1,I857,1)/IF('Charts data'!$E$4=1,J857,1)</f>
        <v>4800</v>
      </c>
    </row>
    <row r="858" spans="1:12" x14ac:dyDescent="0.25">
      <c r="A858" s="27" t="s">
        <v>1649</v>
      </c>
      <c r="B858" s="27">
        <v>9600</v>
      </c>
      <c r="C858" s="27" t="s">
        <v>2</v>
      </c>
      <c r="D858" s="28">
        <f>B858*VLOOKUP(C858,tblXrate[],2,0)</f>
        <v>9600</v>
      </c>
      <c r="E858" s="27" t="s">
        <v>7</v>
      </c>
      <c r="F858" s="27" t="s">
        <v>150</v>
      </c>
      <c r="G858" s="27" t="s">
        <v>2273</v>
      </c>
      <c r="H858" s="27">
        <v>2</v>
      </c>
      <c r="I858" s="27">
        <f>VLOOKUP(F858,mapping!$L$2:$P$92,2,0)</f>
        <v>0.47945402298850576</v>
      </c>
      <c r="J858" s="27">
        <f>VLOOKUP($F858,mapping!$L$2:$P$92,3,0)</f>
        <v>2314.83</v>
      </c>
      <c r="K858" s="27" t="str">
        <f>VLOOKUP($F858,mapping!$L$2:$P$92,4,0)</f>
        <v>Latin America and the Caribbean</v>
      </c>
      <c r="L858" s="29">
        <f>$D858*VLOOKUP($E858,'Charts data'!$A$2:$B$11,2,0)*VLOOKUP($G858,'Charts data'!$A$14:$B$18,2,0)/IF('Charts data'!$E$3=1,I858,1)/IF('Charts data'!$E$4=1,J858,1)</f>
        <v>9600</v>
      </c>
    </row>
    <row r="859" spans="1:12" x14ac:dyDescent="0.25">
      <c r="A859" s="27" t="s">
        <v>235</v>
      </c>
      <c r="B859" s="27">
        <v>61000</v>
      </c>
      <c r="C859" s="27" t="s">
        <v>2</v>
      </c>
      <c r="D859" s="28">
        <f>B859*VLOOKUP(C859,tblXrate[],2,0)</f>
        <v>61000</v>
      </c>
      <c r="E859" s="27" t="s">
        <v>19</v>
      </c>
      <c r="F859" s="27" t="s">
        <v>40</v>
      </c>
      <c r="G859" s="27" t="s">
        <v>2273</v>
      </c>
      <c r="H859" s="27"/>
      <c r="I859" s="27">
        <f>VLOOKUP(F859,mapping!$L$2:$P$92,2,0)</f>
        <v>0.89267178741955566</v>
      </c>
      <c r="J859" s="27">
        <f>VLOOKUP($F859,mapping!$L$2:$P$92,3,0)</f>
        <v>12788.56</v>
      </c>
      <c r="K859" s="27" t="str">
        <f>VLOOKUP($F859,mapping!$L$2:$P$92,4,0)</f>
        <v>Latin America and the Caribbean</v>
      </c>
      <c r="L859" s="29">
        <f>$D859*VLOOKUP($E859,'Charts data'!$A$2:$B$11,2,0)*VLOOKUP($G859,'Charts data'!$A$14:$B$18,2,0)/IF('Charts data'!$E$3=1,I859,1)/IF('Charts data'!$E$4=1,J859,1)</f>
        <v>61000</v>
      </c>
    </row>
    <row r="860" spans="1:12" x14ac:dyDescent="0.25">
      <c r="A860" s="27" t="s">
        <v>258</v>
      </c>
      <c r="B860" s="27">
        <v>31330</v>
      </c>
      <c r="C860" s="27" t="s">
        <v>2</v>
      </c>
      <c r="D860" s="28">
        <f>B860*VLOOKUP(C860,tblXrate[],2,0)</f>
        <v>31330</v>
      </c>
      <c r="E860" s="27" t="s">
        <v>7</v>
      </c>
      <c r="F860" s="27" t="s">
        <v>40</v>
      </c>
      <c r="G860" s="27" t="s">
        <v>2273</v>
      </c>
      <c r="H860" s="27"/>
      <c r="I860" s="27">
        <f>VLOOKUP(F860,mapping!$L$2:$P$92,2,0)</f>
        <v>0.89267178741955566</v>
      </c>
      <c r="J860" s="27">
        <f>VLOOKUP($F860,mapping!$L$2:$P$92,3,0)</f>
        <v>12788.56</v>
      </c>
      <c r="K860" s="27" t="str">
        <f>VLOOKUP($F860,mapping!$L$2:$P$92,4,0)</f>
        <v>Latin America and the Caribbean</v>
      </c>
      <c r="L860" s="29">
        <f>$D860*VLOOKUP($E860,'Charts data'!$A$2:$B$11,2,0)*VLOOKUP($G860,'Charts data'!$A$14:$B$18,2,0)/IF('Charts data'!$E$3=1,I860,1)/IF('Charts data'!$E$4=1,J860,1)</f>
        <v>31330</v>
      </c>
    </row>
    <row r="861" spans="1:12" x14ac:dyDescent="0.25">
      <c r="A861" s="27" t="s">
        <v>448</v>
      </c>
      <c r="B861" s="27">
        <v>14000</v>
      </c>
      <c r="C861" s="27" t="s">
        <v>2</v>
      </c>
      <c r="D861" s="28">
        <f>B861*VLOOKUP(C861,tblXrate[],2,0)</f>
        <v>14000</v>
      </c>
      <c r="E861" s="27" t="s">
        <v>7</v>
      </c>
      <c r="F861" s="27" t="s">
        <v>40</v>
      </c>
      <c r="G861" s="27" t="s">
        <v>2274</v>
      </c>
      <c r="H861" s="27"/>
      <c r="I861" s="27">
        <f>VLOOKUP(F861,mapping!$L$2:$P$92,2,0)</f>
        <v>0.89267178741955566</v>
      </c>
      <c r="J861" s="27">
        <f>VLOOKUP($F861,mapping!$L$2:$P$92,3,0)</f>
        <v>12788.56</v>
      </c>
      <c r="K861" s="27" t="str">
        <f>VLOOKUP($F861,mapping!$L$2:$P$92,4,0)</f>
        <v>Latin America and the Caribbean</v>
      </c>
      <c r="L861" s="29">
        <f>$D861*VLOOKUP($E861,'Charts data'!$A$2:$B$11,2,0)*VLOOKUP($G861,'Charts data'!$A$14:$B$18,2,0)/IF('Charts data'!$E$3=1,I861,1)/IF('Charts data'!$E$4=1,J861,1)</f>
        <v>14000</v>
      </c>
    </row>
    <row r="862" spans="1:12" x14ac:dyDescent="0.25">
      <c r="A862" s="27" t="s">
        <v>490</v>
      </c>
      <c r="B862" s="27">
        <v>4545</v>
      </c>
      <c r="C862" s="27" t="s">
        <v>2</v>
      </c>
      <c r="D862" s="28">
        <f>B862*VLOOKUP(C862,tblXrate[],2,0)</f>
        <v>4545</v>
      </c>
      <c r="E862" s="27" t="s">
        <v>7</v>
      </c>
      <c r="F862" s="27" t="s">
        <v>40</v>
      </c>
      <c r="G862" s="27" t="s">
        <v>2273</v>
      </c>
      <c r="H862" s="27"/>
      <c r="I862" s="27">
        <f>VLOOKUP(F862,mapping!$L$2:$P$92,2,0)</f>
        <v>0.89267178741955566</v>
      </c>
      <c r="J862" s="27">
        <f>VLOOKUP($F862,mapping!$L$2:$P$92,3,0)</f>
        <v>12788.56</v>
      </c>
      <c r="K862" s="27" t="str">
        <f>VLOOKUP($F862,mapping!$L$2:$P$92,4,0)</f>
        <v>Latin America and the Caribbean</v>
      </c>
      <c r="L862" s="29">
        <f>$D862*VLOOKUP($E862,'Charts data'!$A$2:$B$11,2,0)*VLOOKUP($G862,'Charts data'!$A$14:$B$18,2,0)/IF('Charts data'!$E$3=1,I862,1)/IF('Charts data'!$E$4=1,J862,1)</f>
        <v>4545</v>
      </c>
    </row>
    <row r="863" spans="1:12" x14ac:dyDescent="0.25">
      <c r="A863" s="27" t="s">
        <v>513</v>
      </c>
      <c r="B863" s="27">
        <v>11400</v>
      </c>
      <c r="C863" s="27" t="s">
        <v>2</v>
      </c>
      <c r="D863" s="28">
        <f>B863*VLOOKUP(C863,tblXrate[],2,0)</f>
        <v>11400</v>
      </c>
      <c r="E863" s="27" t="s">
        <v>53</v>
      </c>
      <c r="F863" s="27" t="s">
        <v>40</v>
      </c>
      <c r="G863" s="27" t="s">
        <v>2271</v>
      </c>
      <c r="H863" s="27"/>
      <c r="I863" s="27">
        <f>VLOOKUP(F863,mapping!$L$2:$P$92,2,0)</f>
        <v>0.89267178741955566</v>
      </c>
      <c r="J863" s="27">
        <f>VLOOKUP($F863,mapping!$L$2:$P$92,3,0)</f>
        <v>12788.56</v>
      </c>
      <c r="K863" s="27" t="str">
        <f>VLOOKUP($F863,mapping!$L$2:$P$92,4,0)</f>
        <v>Latin America and the Caribbean</v>
      </c>
      <c r="L863" s="29">
        <f>$D863*VLOOKUP($E863,'Charts data'!$A$2:$B$11,2,0)*VLOOKUP($G863,'Charts data'!$A$14:$B$18,2,0)/IF('Charts data'!$E$3=1,I863,1)/IF('Charts data'!$E$4=1,J863,1)</f>
        <v>11400</v>
      </c>
    </row>
    <row r="864" spans="1:12" x14ac:dyDescent="0.25">
      <c r="A864" s="27" t="s">
        <v>532</v>
      </c>
      <c r="B864" s="27">
        <v>35000</v>
      </c>
      <c r="C864" s="27" t="s">
        <v>2</v>
      </c>
      <c r="D864" s="28">
        <f>B864*VLOOKUP(C864,tblXrate[],2,0)</f>
        <v>35000</v>
      </c>
      <c r="E864" s="27" t="s">
        <v>7</v>
      </c>
      <c r="F864" s="27" t="s">
        <v>40</v>
      </c>
      <c r="G864" s="27" t="s">
        <v>2273</v>
      </c>
      <c r="H864" s="27"/>
      <c r="I864" s="27">
        <f>VLOOKUP(F864,mapping!$L$2:$P$92,2,0)</f>
        <v>0.89267178741955566</v>
      </c>
      <c r="J864" s="27">
        <f>VLOOKUP($F864,mapping!$L$2:$P$92,3,0)</f>
        <v>12788.56</v>
      </c>
      <c r="K864" s="27" t="str">
        <f>VLOOKUP($F864,mapping!$L$2:$P$92,4,0)</f>
        <v>Latin America and the Caribbean</v>
      </c>
      <c r="L864" s="29">
        <f>$D864*VLOOKUP($E864,'Charts data'!$A$2:$B$11,2,0)*VLOOKUP($G864,'Charts data'!$A$14:$B$18,2,0)/IF('Charts data'!$E$3=1,I864,1)/IF('Charts data'!$E$4=1,J864,1)</f>
        <v>35000</v>
      </c>
    </row>
    <row r="865" spans="1:12" x14ac:dyDescent="0.25">
      <c r="A865" s="27" t="s">
        <v>538</v>
      </c>
      <c r="B865" s="27">
        <v>220700</v>
      </c>
      <c r="C865" s="27" t="s">
        <v>2</v>
      </c>
      <c r="D865" s="28">
        <f>B865*VLOOKUP(C865,tblXrate[],2,0)</f>
        <v>220700</v>
      </c>
      <c r="E865" s="27" t="s">
        <v>53</v>
      </c>
      <c r="F865" s="27" t="s">
        <v>40</v>
      </c>
      <c r="G865" s="27" t="s">
        <v>2273</v>
      </c>
      <c r="H865" s="27"/>
      <c r="I865" s="27">
        <f>VLOOKUP(F865,mapping!$L$2:$P$92,2,0)</f>
        <v>0.89267178741955566</v>
      </c>
      <c r="J865" s="27">
        <f>VLOOKUP($F865,mapping!$L$2:$P$92,3,0)</f>
        <v>12788.56</v>
      </c>
      <c r="K865" s="27" t="str">
        <f>VLOOKUP($F865,mapping!$L$2:$P$92,4,0)</f>
        <v>Latin America and the Caribbean</v>
      </c>
      <c r="L865" s="29">
        <f>$D865*VLOOKUP($E865,'Charts data'!$A$2:$B$11,2,0)*VLOOKUP($G865,'Charts data'!$A$14:$B$18,2,0)/IF('Charts data'!$E$3=1,I865,1)/IF('Charts data'!$E$4=1,J865,1)</f>
        <v>220700</v>
      </c>
    </row>
    <row r="866" spans="1:12" x14ac:dyDescent="0.25">
      <c r="A866" s="27" t="s">
        <v>672</v>
      </c>
      <c r="B866" s="27">
        <v>12000</v>
      </c>
      <c r="C866" s="27" t="s">
        <v>2</v>
      </c>
      <c r="D866" s="28">
        <f>B866*VLOOKUP(C866,tblXrate[],2,0)</f>
        <v>12000</v>
      </c>
      <c r="E866" s="27" t="s">
        <v>7</v>
      </c>
      <c r="F866" s="27" t="s">
        <v>40</v>
      </c>
      <c r="G866" s="27" t="s">
        <v>2273</v>
      </c>
      <c r="H866" s="27"/>
      <c r="I866" s="27">
        <f>VLOOKUP(F866,mapping!$L$2:$P$92,2,0)</f>
        <v>0.89267178741955566</v>
      </c>
      <c r="J866" s="27">
        <f>VLOOKUP($F866,mapping!$L$2:$P$92,3,0)</f>
        <v>12788.56</v>
      </c>
      <c r="K866" s="27" t="str">
        <f>VLOOKUP($F866,mapping!$L$2:$P$92,4,0)</f>
        <v>Latin America and the Caribbean</v>
      </c>
      <c r="L866" s="29">
        <f>$D866*VLOOKUP($E866,'Charts data'!$A$2:$B$11,2,0)*VLOOKUP($G866,'Charts data'!$A$14:$B$18,2,0)/IF('Charts data'!$E$3=1,I866,1)/IF('Charts data'!$E$4=1,J866,1)</f>
        <v>12000</v>
      </c>
    </row>
    <row r="867" spans="1:12" x14ac:dyDescent="0.25">
      <c r="A867" s="27" t="s">
        <v>704</v>
      </c>
      <c r="B867" s="27">
        <v>18000</v>
      </c>
      <c r="C867" s="27" t="s">
        <v>2</v>
      </c>
      <c r="D867" s="28">
        <f>B867*VLOOKUP(C867,tblXrate[],2,0)</f>
        <v>18000</v>
      </c>
      <c r="E867" s="27" t="s">
        <v>48</v>
      </c>
      <c r="F867" s="27" t="s">
        <v>40</v>
      </c>
      <c r="G867" s="27" t="s">
        <v>2271</v>
      </c>
      <c r="H867" s="27"/>
      <c r="I867" s="27">
        <f>VLOOKUP(F867,mapping!$L$2:$P$92,2,0)</f>
        <v>0.89267178741955566</v>
      </c>
      <c r="J867" s="27">
        <f>VLOOKUP($F867,mapping!$L$2:$P$92,3,0)</f>
        <v>12788.56</v>
      </c>
      <c r="K867" s="27" t="str">
        <f>VLOOKUP($F867,mapping!$L$2:$P$92,4,0)</f>
        <v>Latin America and the Caribbean</v>
      </c>
      <c r="L867" s="29">
        <f>$D867*VLOOKUP($E867,'Charts data'!$A$2:$B$11,2,0)*VLOOKUP($G867,'Charts data'!$A$14:$B$18,2,0)/IF('Charts data'!$E$3=1,I867,1)/IF('Charts data'!$E$4=1,J867,1)</f>
        <v>18000</v>
      </c>
    </row>
    <row r="868" spans="1:12" x14ac:dyDescent="0.25">
      <c r="A868" s="27" t="s">
        <v>719</v>
      </c>
      <c r="B868" s="27">
        <v>15600</v>
      </c>
      <c r="C868" s="27" t="s">
        <v>2</v>
      </c>
      <c r="D868" s="28">
        <f>B868*VLOOKUP(C868,tblXrate[],2,0)</f>
        <v>15600</v>
      </c>
      <c r="E868" s="27" t="s">
        <v>62</v>
      </c>
      <c r="F868" s="27" t="s">
        <v>40</v>
      </c>
      <c r="G868" s="27" t="s">
        <v>2271</v>
      </c>
      <c r="H868" s="27">
        <v>20</v>
      </c>
      <c r="I868" s="27">
        <f>VLOOKUP(F868,mapping!$L$2:$P$92,2,0)</f>
        <v>0.89267178741955566</v>
      </c>
      <c r="J868" s="27">
        <f>VLOOKUP($F868,mapping!$L$2:$P$92,3,0)</f>
        <v>12788.56</v>
      </c>
      <c r="K868" s="27" t="str">
        <f>VLOOKUP($F868,mapping!$L$2:$P$92,4,0)</f>
        <v>Latin America and the Caribbean</v>
      </c>
      <c r="L868" s="29">
        <f>$D868*VLOOKUP($E868,'Charts data'!$A$2:$B$11,2,0)*VLOOKUP($G868,'Charts data'!$A$14:$B$18,2,0)/IF('Charts data'!$E$3=1,I868,1)/IF('Charts data'!$E$4=1,J868,1)</f>
        <v>15600</v>
      </c>
    </row>
    <row r="869" spans="1:12" x14ac:dyDescent="0.25">
      <c r="A869" s="27" t="s">
        <v>1392</v>
      </c>
      <c r="B869" s="27">
        <v>50700</v>
      </c>
      <c r="C869" s="27" t="s">
        <v>2</v>
      </c>
      <c r="D869" s="28">
        <f>B869*VLOOKUP(C869,tblXrate[],2,0)</f>
        <v>50700</v>
      </c>
      <c r="E869" s="27" t="s">
        <v>7</v>
      </c>
      <c r="F869" s="27" t="s">
        <v>40</v>
      </c>
      <c r="G869" s="27" t="s">
        <v>2274</v>
      </c>
      <c r="H869" s="27">
        <v>15</v>
      </c>
      <c r="I869" s="27">
        <f>VLOOKUP(F869,mapping!$L$2:$P$92,2,0)</f>
        <v>0.89267178741955566</v>
      </c>
      <c r="J869" s="27">
        <f>VLOOKUP($F869,mapping!$L$2:$P$92,3,0)</f>
        <v>12788.56</v>
      </c>
      <c r="K869" s="27" t="str">
        <f>VLOOKUP($F869,mapping!$L$2:$P$92,4,0)</f>
        <v>Latin America and the Caribbean</v>
      </c>
      <c r="L869" s="29">
        <f>$D869*VLOOKUP($E869,'Charts data'!$A$2:$B$11,2,0)*VLOOKUP($G869,'Charts data'!$A$14:$B$18,2,0)/IF('Charts data'!$E$3=1,I869,1)/IF('Charts data'!$E$4=1,J869,1)</f>
        <v>50700</v>
      </c>
    </row>
    <row r="870" spans="1:12" x14ac:dyDescent="0.25">
      <c r="A870" s="27" t="s">
        <v>1637</v>
      </c>
      <c r="B870" s="27">
        <v>10000</v>
      </c>
      <c r="C870" s="27" t="s">
        <v>2</v>
      </c>
      <c r="D870" s="28">
        <f>B870*VLOOKUP(C870,tblXrate[],2,0)</f>
        <v>10000</v>
      </c>
      <c r="E870" s="27" t="s">
        <v>7</v>
      </c>
      <c r="F870" s="27" t="s">
        <v>40</v>
      </c>
      <c r="G870" s="27" t="s">
        <v>2271</v>
      </c>
      <c r="H870" s="27">
        <v>1</v>
      </c>
      <c r="I870" s="27">
        <f>VLOOKUP(F870,mapping!$L$2:$P$92,2,0)</f>
        <v>0.89267178741955566</v>
      </c>
      <c r="J870" s="27">
        <f>VLOOKUP($F870,mapping!$L$2:$P$92,3,0)</f>
        <v>12788.56</v>
      </c>
      <c r="K870" s="27" t="str">
        <f>VLOOKUP($F870,mapping!$L$2:$P$92,4,0)</f>
        <v>Latin America and the Caribbean</v>
      </c>
      <c r="L870" s="29">
        <f>$D870*VLOOKUP($E870,'Charts data'!$A$2:$B$11,2,0)*VLOOKUP($G870,'Charts data'!$A$14:$B$18,2,0)/IF('Charts data'!$E$3=1,I870,1)/IF('Charts data'!$E$4=1,J870,1)</f>
        <v>10000</v>
      </c>
    </row>
    <row r="871" spans="1:12" x14ac:dyDescent="0.25">
      <c r="A871" s="27" t="s">
        <v>1743</v>
      </c>
      <c r="B871" s="27">
        <v>13000</v>
      </c>
      <c r="C871" s="27" t="s">
        <v>2</v>
      </c>
      <c r="D871" s="28">
        <f>B871*VLOOKUP(C871,tblXrate[],2,0)</f>
        <v>13000</v>
      </c>
      <c r="E871" s="27" t="s">
        <v>7</v>
      </c>
      <c r="F871" s="27" t="s">
        <v>40</v>
      </c>
      <c r="G871" s="27" t="s">
        <v>2273</v>
      </c>
      <c r="H871" s="27">
        <v>4</v>
      </c>
      <c r="I871" s="27">
        <f>VLOOKUP(F871,mapping!$L$2:$P$92,2,0)</f>
        <v>0.89267178741955566</v>
      </c>
      <c r="J871" s="27">
        <f>VLOOKUP($F871,mapping!$L$2:$P$92,3,0)</f>
        <v>12788.56</v>
      </c>
      <c r="K871" s="27" t="str">
        <f>VLOOKUP($F871,mapping!$L$2:$P$92,4,0)</f>
        <v>Latin America and the Caribbean</v>
      </c>
      <c r="L871" s="29">
        <f>$D871*VLOOKUP($E871,'Charts data'!$A$2:$B$11,2,0)*VLOOKUP($G871,'Charts data'!$A$14:$B$18,2,0)/IF('Charts data'!$E$3=1,I871,1)/IF('Charts data'!$E$4=1,J871,1)</f>
        <v>13000</v>
      </c>
    </row>
    <row r="872" spans="1:12" x14ac:dyDescent="0.25">
      <c r="A872" s="27" t="s">
        <v>1797</v>
      </c>
      <c r="B872" s="27">
        <v>30500</v>
      </c>
      <c r="C872" s="27" t="s">
        <v>2</v>
      </c>
      <c r="D872" s="28">
        <f>B872*VLOOKUP(C872,tblXrate[],2,0)</f>
        <v>30500</v>
      </c>
      <c r="E872" s="27" t="s">
        <v>7</v>
      </c>
      <c r="F872" s="27" t="s">
        <v>40</v>
      </c>
      <c r="G872" s="27" t="s">
        <v>2273</v>
      </c>
      <c r="H872" s="27">
        <v>8</v>
      </c>
      <c r="I872" s="27">
        <f>VLOOKUP(F872,mapping!$L$2:$P$92,2,0)</f>
        <v>0.89267178741955566</v>
      </c>
      <c r="J872" s="27">
        <f>VLOOKUP($F872,mapping!$L$2:$P$92,3,0)</f>
        <v>12788.56</v>
      </c>
      <c r="K872" s="27" t="str">
        <f>VLOOKUP($F872,mapping!$L$2:$P$92,4,0)</f>
        <v>Latin America and the Caribbean</v>
      </c>
      <c r="L872" s="29">
        <f>$D872*VLOOKUP($E872,'Charts data'!$A$2:$B$11,2,0)*VLOOKUP($G872,'Charts data'!$A$14:$B$18,2,0)/IF('Charts data'!$E$3=1,I872,1)/IF('Charts data'!$E$4=1,J872,1)</f>
        <v>30500</v>
      </c>
    </row>
    <row r="873" spans="1:12" x14ac:dyDescent="0.25">
      <c r="A873" s="27" t="s">
        <v>1866</v>
      </c>
      <c r="B873" s="27">
        <v>31200</v>
      </c>
      <c r="C873" s="27" t="s">
        <v>2</v>
      </c>
      <c r="D873" s="28">
        <f>B873*VLOOKUP(C873,tblXrate[],2,0)</f>
        <v>31200</v>
      </c>
      <c r="E873" s="27" t="s">
        <v>7</v>
      </c>
      <c r="F873" s="27" t="s">
        <v>40</v>
      </c>
      <c r="G873" s="27" t="s">
        <v>2271</v>
      </c>
      <c r="H873" s="27">
        <v>4</v>
      </c>
      <c r="I873" s="27">
        <f>VLOOKUP(F873,mapping!$L$2:$P$92,2,0)</f>
        <v>0.89267178741955566</v>
      </c>
      <c r="J873" s="27">
        <f>VLOOKUP($F873,mapping!$L$2:$P$92,3,0)</f>
        <v>12788.56</v>
      </c>
      <c r="K873" s="27" t="str">
        <f>VLOOKUP($F873,mapping!$L$2:$P$92,4,0)</f>
        <v>Latin America and the Caribbean</v>
      </c>
      <c r="L873" s="29">
        <f>$D873*VLOOKUP($E873,'Charts data'!$A$2:$B$11,2,0)*VLOOKUP($G873,'Charts data'!$A$14:$B$18,2,0)/IF('Charts data'!$E$3=1,I873,1)/IF('Charts data'!$E$4=1,J873,1)</f>
        <v>31200</v>
      </c>
    </row>
    <row r="874" spans="1:12" x14ac:dyDescent="0.25">
      <c r="A874" s="27" t="s">
        <v>1892</v>
      </c>
      <c r="B874" s="27">
        <v>80000</v>
      </c>
      <c r="C874" s="27" t="s">
        <v>2</v>
      </c>
      <c r="D874" s="28">
        <f>B874*VLOOKUP(C874,tblXrate[],2,0)</f>
        <v>80000</v>
      </c>
      <c r="E874" s="27" t="s">
        <v>48</v>
      </c>
      <c r="F874" s="27" t="s">
        <v>40</v>
      </c>
      <c r="G874" s="27" t="s">
        <v>2274</v>
      </c>
      <c r="H874" s="27">
        <v>9</v>
      </c>
      <c r="I874" s="27">
        <f>VLOOKUP(F874,mapping!$L$2:$P$92,2,0)</f>
        <v>0.89267178741955566</v>
      </c>
      <c r="J874" s="27">
        <f>VLOOKUP($F874,mapping!$L$2:$P$92,3,0)</f>
        <v>12788.56</v>
      </c>
      <c r="K874" s="27" t="str">
        <f>VLOOKUP($F874,mapping!$L$2:$P$92,4,0)</f>
        <v>Latin America and the Caribbean</v>
      </c>
      <c r="L874" s="29">
        <f>$D874*VLOOKUP($E874,'Charts data'!$A$2:$B$11,2,0)*VLOOKUP($G874,'Charts data'!$A$14:$B$18,2,0)/IF('Charts data'!$E$3=1,I874,1)/IF('Charts data'!$E$4=1,J874,1)</f>
        <v>80000</v>
      </c>
    </row>
    <row r="875" spans="1:12" x14ac:dyDescent="0.25">
      <c r="A875" s="27" t="s">
        <v>1968</v>
      </c>
      <c r="B875" s="27">
        <v>30000</v>
      </c>
      <c r="C875" s="27" t="s">
        <v>2</v>
      </c>
      <c r="D875" s="28">
        <f>B875*VLOOKUP(C875,tblXrate[],2,0)</f>
        <v>30000</v>
      </c>
      <c r="E875" s="27" t="s">
        <v>7</v>
      </c>
      <c r="F875" s="27" t="s">
        <v>40</v>
      </c>
      <c r="G875" s="27" t="s">
        <v>2272</v>
      </c>
      <c r="H875" s="27">
        <v>1</v>
      </c>
      <c r="I875" s="27">
        <f>VLOOKUP(F875,mapping!$L$2:$P$92,2,0)</f>
        <v>0.89267178741955566</v>
      </c>
      <c r="J875" s="27">
        <f>VLOOKUP($F875,mapping!$L$2:$P$92,3,0)</f>
        <v>12788.56</v>
      </c>
      <c r="K875" s="27" t="str">
        <f>VLOOKUP($F875,mapping!$L$2:$P$92,4,0)</f>
        <v>Latin America and the Caribbean</v>
      </c>
      <c r="L875" s="29">
        <f>$D875*VLOOKUP($E875,'Charts data'!$A$2:$B$11,2,0)*VLOOKUP($G875,'Charts data'!$A$14:$B$18,2,0)/IF('Charts data'!$E$3=1,I875,1)/IF('Charts data'!$E$4=1,J875,1)</f>
        <v>30000</v>
      </c>
    </row>
    <row r="876" spans="1:12" x14ac:dyDescent="0.25">
      <c r="A876" s="27" t="s">
        <v>1681</v>
      </c>
      <c r="B876" s="27">
        <v>14400</v>
      </c>
      <c r="C876" s="27" t="s">
        <v>2</v>
      </c>
      <c r="D876" s="28">
        <f>B876*VLOOKUP(C876,tblXrate[],2,0)</f>
        <v>14400</v>
      </c>
      <c r="E876" s="27" t="s">
        <v>7</v>
      </c>
      <c r="F876" s="27" t="s">
        <v>155</v>
      </c>
      <c r="G876" s="27" t="s">
        <v>2273</v>
      </c>
      <c r="H876" s="27">
        <v>15</v>
      </c>
      <c r="I876" s="27">
        <f>VLOOKUP(F876,mapping!$L$2:$P$92,2,0)</f>
        <v>0.48391706505923926</v>
      </c>
      <c r="J876" s="27">
        <f>VLOOKUP($F876,mapping!$L$2:$P$92,3,0)</f>
        <v>7201.88</v>
      </c>
      <c r="K876" s="27" t="str">
        <f>VLOOKUP($F876,mapping!$L$2:$P$92,4,0)</f>
        <v>Central and Eastern Europe</v>
      </c>
      <c r="L876" s="29">
        <f>$D876*VLOOKUP($E876,'Charts data'!$A$2:$B$11,2,0)*VLOOKUP($G876,'Charts data'!$A$14:$B$18,2,0)/IF('Charts data'!$E$3=1,I876,1)/IF('Charts data'!$E$4=1,J876,1)</f>
        <v>14400</v>
      </c>
    </row>
    <row r="877" spans="1:12" x14ac:dyDescent="0.25">
      <c r="A877" s="27" t="s">
        <v>849</v>
      </c>
      <c r="B877" s="27">
        <v>3000</v>
      </c>
      <c r="C877" s="27" t="s">
        <v>2</v>
      </c>
      <c r="D877" s="28">
        <f>B877*VLOOKUP(C877,tblXrate[],2,0)</f>
        <v>3000</v>
      </c>
      <c r="E877" s="27" t="s">
        <v>53</v>
      </c>
      <c r="F877" s="27" t="s">
        <v>91</v>
      </c>
      <c r="G877" s="27" t="s">
        <v>2272</v>
      </c>
      <c r="H877" s="27">
        <v>2</v>
      </c>
      <c r="I877" s="27">
        <f>VLOOKUP(F877,mapping!$L$2:$P$92,2,0)</f>
        <v>0.3787941534713764</v>
      </c>
      <c r="J877" s="27">
        <f>VLOOKUP($F877,mapping!$L$2:$P$92,3,0)</f>
        <v>851.529</v>
      </c>
      <c r="K877" s="27" t="str">
        <f>VLOOKUP($F877,mapping!$L$2:$P$92,4,0)</f>
        <v>Developing Asia</v>
      </c>
      <c r="L877" s="29">
        <f>$D877*VLOOKUP($E877,'Charts data'!$A$2:$B$11,2,0)*VLOOKUP($G877,'Charts data'!$A$14:$B$18,2,0)/IF('Charts data'!$E$3=1,I877,1)/IF('Charts data'!$E$4=1,J877,1)</f>
        <v>3000</v>
      </c>
    </row>
    <row r="878" spans="1:12" x14ac:dyDescent="0.25">
      <c r="A878" s="27" t="s">
        <v>249</v>
      </c>
      <c r="B878" s="27">
        <v>60000</v>
      </c>
      <c r="C878" s="27" t="s">
        <v>2</v>
      </c>
      <c r="D878" s="28">
        <f>B878*VLOOKUP(C878,tblXrate[],2,0)</f>
        <v>60000</v>
      </c>
      <c r="E878" s="27" t="s">
        <v>7</v>
      </c>
      <c r="F878" s="27" t="s">
        <v>31</v>
      </c>
      <c r="G878" s="27" t="s">
        <v>2274</v>
      </c>
      <c r="H878" s="27"/>
      <c r="I878" s="27">
        <f>VLOOKUP(F878,mapping!$L$2:$P$92,2,0)</f>
        <v>1.2105180348503324</v>
      </c>
      <c r="J878" s="27">
        <f>VLOOKUP($F878,mapping!$L$2:$P$92,3,0)</f>
        <v>50435.5</v>
      </c>
      <c r="K878" s="27" t="str">
        <f>VLOOKUP($F878,mapping!$L$2:$P$92,4,0)</f>
        <v>Major Advanced Economies (G7)</v>
      </c>
      <c r="L878" s="29">
        <f>$D878*VLOOKUP($E878,'Charts data'!$A$2:$B$11,2,0)*VLOOKUP($G878,'Charts data'!$A$14:$B$18,2,0)/IF('Charts data'!$E$3=1,I878,1)/IF('Charts data'!$E$4=1,J878,1)</f>
        <v>60000</v>
      </c>
    </row>
    <row r="879" spans="1:12" x14ac:dyDescent="0.25">
      <c r="A879" s="27" t="s">
        <v>332</v>
      </c>
      <c r="B879" s="27">
        <v>58000</v>
      </c>
      <c r="C879" s="27" t="s">
        <v>2</v>
      </c>
      <c r="D879" s="28">
        <f>B879*VLOOKUP(C879,tblXrate[],2,0)</f>
        <v>58000</v>
      </c>
      <c r="E879" s="27" t="s">
        <v>19</v>
      </c>
      <c r="F879" s="27" t="s">
        <v>31</v>
      </c>
      <c r="G879" s="27" t="s">
        <v>2274</v>
      </c>
      <c r="H879" s="27"/>
      <c r="I879" s="27">
        <f>VLOOKUP(F879,mapping!$L$2:$P$92,2,0)</f>
        <v>1.2105180348503324</v>
      </c>
      <c r="J879" s="27">
        <f>VLOOKUP($F879,mapping!$L$2:$P$92,3,0)</f>
        <v>50435.5</v>
      </c>
      <c r="K879" s="27" t="str">
        <f>VLOOKUP($F879,mapping!$L$2:$P$92,4,0)</f>
        <v>Major Advanced Economies (G7)</v>
      </c>
      <c r="L879" s="29">
        <f>$D879*VLOOKUP($E879,'Charts data'!$A$2:$B$11,2,0)*VLOOKUP($G879,'Charts data'!$A$14:$B$18,2,0)/IF('Charts data'!$E$3=1,I879,1)/IF('Charts data'!$E$4=1,J879,1)</f>
        <v>58000</v>
      </c>
    </row>
    <row r="880" spans="1:12" x14ac:dyDescent="0.25">
      <c r="A880" s="27" t="s">
        <v>352</v>
      </c>
      <c r="B880" s="27">
        <v>41406</v>
      </c>
      <c r="C880" s="27" t="s">
        <v>2</v>
      </c>
      <c r="D880" s="28">
        <f>B880*VLOOKUP(C880,tblXrate[],2,0)</f>
        <v>41406</v>
      </c>
      <c r="E880" s="27" t="s">
        <v>7</v>
      </c>
      <c r="F880" s="27" t="s">
        <v>31</v>
      </c>
      <c r="G880" s="27" t="s">
        <v>2274</v>
      </c>
      <c r="H880" s="27"/>
      <c r="I880" s="27">
        <f>VLOOKUP(F880,mapping!$L$2:$P$92,2,0)</f>
        <v>1.2105180348503324</v>
      </c>
      <c r="J880" s="27">
        <f>VLOOKUP($F880,mapping!$L$2:$P$92,3,0)</f>
        <v>50435.5</v>
      </c>
      <c r="K880" s="27" t="str">
        <f>VLOOKUP($F880,mapping!$L$2:$P$92,4,0)</f>
        <v>Major Advanced Economies (G7)</v>
      </c>
      <c r="L880" s="29">
        <f>$D880*VLOOKUP($E880,'Charts data'!$A$2:$B$11,2,0)*VLOOKUP($G880,'Charts data'!$A$14:$B$18,2,0)/IF('Charts data'!$E$3=1,I880,1)/IF('Charts data'!$E$4=1,J880,1)</f>
        <v>41406</v>
      </c>
    </row>
    <row r="881" spans="1:12" x14ac:dyDescent="0.25">
      <c r="A881" s="27" t="s">
        <v>1307</v>
      </c>
      <c r="B881" s="27">
        <v>50000</v>
      </c>
      <c r="C881" s="27" t="s">
        <v>2</v>
      </c>
      <c r="D881" s="28">
        <f>B881*VLOOKUP(C881,tblXrate[],2,0)</f>
        <v>50000</v>
      </c>
      <c r="E881" s="27" t="s">
        <v>19</v>
      </c>
      <c r="F881" s="27" t="s">
        <v>31</v>
      </c>
      <c r="G881" s="27" t="s">
        <v>2274</v>
      </c>
      <c r="H881" s="27">
        <v>5</v>
      </c>
      <c r="I881" s="27">
        <f>VLOOKUP(F881,mapping!$L$2:$P$92,2,0)</f>
        <v>1.2105180348503324</v>
      </c>
      <c r="J881" s="27">
        <f>VLOOKUP($F881,mapping!$L$2:$P$92,3,0)</f>
        <v>50435.5</v>
      </c>
      <c r="K881" s="27" t="str">
        <f>VLOOKUP($F881,mapping!$L$2:$P$92,4,0)</f>
        <v>Major Advanced Economies (G7)</v>
      </c>
      <c r="L881" s="29">
        <f>$D881*VLOOKUP($E881,'Charts data'!$A$2:$B$11,2,0)*VLOOKUP($G881,'Charts data'!$A$14:$B$18,2,0)/IF('Charts data'!$E$3=1,I881,1)/IF('Charts data'!$E$4=1,J881,1)</f>
        <v>50000</v>
      </c>
    </row>
    <row r="882" spans="1:12" x14ac:dyDescent="0.25">
      <c r="A882" s="27" t="s">
        <v>1513</v>
      </c>
      <c r="B882" s="27">
        <v>83000</v>
      </c>
      <c r="C882" s="27" t="s">
        <v>2</v>
      </c>
      <c r="D882" s="28">
        <f>B882*VLOOKUP(C882,tblXrate[],2,0)</f>
        <v>83000</v>
      </c>
      <c r="E882" s="27" t="s">
        <v>7</v>
      </c>
      <c r="F882" s="27" t="s">
        <v>31</v>
      </c>
      <c r="G882" s="27" t="s">
        <v>2271</v>
      </c>
      <c r="H882" s="27">
        <v>12</v>
      </c>
      <c r="I882" s="27">
        <f>VLOOKUP(F882,mapping!$L$2:$P$92,2,0)</f>
        <v>1.2105180348503324</v>
      </c>
      <c r="J882" s="27">
        <f>VLOOKUP($F882,mapping!$L$2:$P$92,3,0)</f>
        <v>50435.5</v>
      </c>
      <c r="K882" s="27" t="str">
        <f>VLOOKUP($F882,mapping!$L$2:$P$92,4,0)</f>
        <v>Major Advanced Economies (G7)</v>
      </c>
      <c r="L882" s="29">
        <f>$D882*VLOOKUP($E882,'Charts data'!$A$2:$B$11,2,0)*VLOOKUP($G882,'Charts data'!$A$14:$B$18,2,0)/IF('Charts data'!$E$3=1,I882,1)/IF('Charts data'!$E$4=1,J882,1)</f>
        <v>83000</v>
      </c>
    </row>
    <row r="883" spans="1:12" x14ac:dyDescent="0.25">
      <c r="A883" s="27" t="s">
        <v>1938</v>
      </c>
      <c r="B883" s="27">
        <v>20000</v>
      </c>
      <c r="C883" s="27" t="s">
        <v>2</v>
      </c>
      <c r="D883" s="28">
        <f>B883*VLOOKUP(C883,tblXrate[],2,0)</f>
        <v>20000</v>
      </c>
      <c r="E883" s="27" t="s">
        <v>7</v>
      </c>
      <c r="F883" s="27" t="s">
        <v>31</v>
      </c>
      <c r="G883" s="27" t="s">
        <v>2272</v>
      </c>
      <c r="H883" s="27">
        <v>2</v>
      </c>
      <c r="I883" s="27">
        <f>VLOOKUP(F883,mapping!$L$2:$P$92,2,0)</f>
        <v>1.2105180348503324</v>
      </c>
      <c r="J883" s="27">
        <f>VLOOKUP($F883,mapping!$L$2:$P$92,3,0)</f>
        <v>50435.5</v>
      </c>
      <c r="K883" s="27" t="str">
        <f>VLOOKUP($F883,mapping!$L$2:$P$92,4,0)</f>
        <v>Major Advanced Economies (G7)</v>
      </c>
      <c r="L883" s="29">
        <f>$D883*VLOOKUP($E883,'Charts data'!$A$2:$B$11,2,0)*VLOOKUP($G883,'Charts data'!$A$14:$B$18,2,0)/IF('Charts data'!$E$3=1,I883,1)/IF('Charts data'!$E$4=1,J883,1)</f>
        <v>20000</v>
      </c>
    </row>
    <row r="884" spans="1:12" x14ac:dyDescent="0.25">
      <c r="A884" s="27" t="s">
        <v>2009</v>
      </c>
      <c r="B884" s="27">
        <v>60000</v>
      </c>
      <c r="C884" s="27" t="s">
        <v>2</v>
      </c>
      <c r="D884" s="28">
        <f>B884*VLOOKUP(C884,tblXrate[],2,0)</f>
        <v>60000</v>
      </c>
      <c r="E884" s="27" t="s">
        <v>19</v>
      </c>
      <c r="F884" s="27" t="s">
        <v>31</v>
      </c>
      <c r="G884" s="27" t="s">
        <v>2272</v>
      </c>
      <c r="H884" s="27">
        <v>10</v>
      </c>
      <c r="I884" s="27">
        <f>VLOOKUP(F884,mapping!$L$2:$P$92,2,0)</f>
        <v>1.2105180348503324</v>
      </c>
      <c r="J884" s="27">
        <f>VLOOKUP($F884,mapping!$L$2:$P$92,3,0)</f>
        <v>50435.5</v>
      </c>
      <c r="K884" s="27" t="str">
        <f>VLOOKUP($F884,mapping!$L$2:$P$92,4,0)</f>
        <v>Major Advanced Economies (G7)</v>
      </c>
      <c r="L884" s="29">
        <f>$D884*VLOOKUP($E884,'Charts data'!$A$2:$B$11,2,0)*VLOOKUP($G884,'Charts data'!$A$14:$B$18,2,0)/IF('Charts data'!$E$3=1,I884,1)/IF('Charts data'!$E$4=1,J884,1)</f>
        <v>60000</v>
      </c>
    </row>
    <row r="885" spans="1:12" x14ac:dyDescent="0.25">
      <c r="A885" s="27" t="s">
        <v>1136</v>
      </c>
      <c r="B885" s="27">
        <v>19000</v>
      </c>
      <c r="C885" s="27" t="s">
        <v>2</v>
      </c>
      <c r="D885" s="28">
        <f>B885*VLOOKUP(C885,tblXrate[],2,0)</f>
        <v>19000</v>
      </c>
      <c r="E885" s="27" t="s">
        <v>7</v>
      </c>
      <c r="F885" s="27" t="s">
        <v>86</v>
      </c>
      <c r="G885" s="27" t="s">
        <v>2271</v>
      </c>
      <c r="H885" s="27">
        <v>6</v>
      </c>
      <c r="I885" s="27">
        <f>VLOOKUP(F885,mapping!$L$2:$P$92,2,0)</f>
        <v>0.65603820836955729</v>
      </c>
      <c r="J885" s="27">
        <f>VLOOKUP($F885,mapping!$L$2:$P$92,3,0)</f>
        <v>5413.57</v>
      </c>
      <c r="K885" s="27" t="str">
        <f>VLOOKUP($F885,mapping!$L$2:$P$92,4,0)</f>
        <v>Developing Asia</v>
      </c>
      <c r="L885" s="29">
        <f>$D885*VLOOKUP($E885,'Charts data'!$A$2:$B$11,2,0)*VLOOKUP($G885,'Charts data'!$A$14:$B$18,2,0)/IF('Charts data'!$E$3=1,I885,1)/IF('Charts data'!$E$4=1,J885,1)</f>
        <v>19000</v>
      </c>
    </row>
    <row r="886" spans="1:12" x14ac:dyDescent="0.25">
      <c r="A886" s="27" t="s">
        <v>289</v>
      </c>
      <c r="B886" s="27">
        <v>24000</v>
      </c>
      <c r="C886" s="27" t="s">
        <v>2</v>
      </c>
      <c r="D886" s="28">
        <f>B886*VLOOKUP(C886,tblXrate[],2,0)</f>
        <v>24000</v>
      </c>
      <c r="E886" s="27" t="s">
        <v>19</v>
      </c>
      <c r="F886" s="27" t="s">
        <v>46</v>
      </c>
      <c r="G886" s="27" t="s">
        <v>2273</v>
      </c>
      <c r="H886" s="27"/>
      <c r="I886" s="27">
        <f>VLOOKUP(F886,mapping!$L$2:$P$92,2,0)</f>
        <v>0.7389464286723284</v>
      </c>
      <c r="J886" s="27">
        <f>VLOOKUP($F886,mapping!$L$2:$P$92,3,0)</f>
        <v>7131.61</v>
      </c>
      <c r="K886" s="27" t="str">
        <f>VLOOKUP($F886,mapping!$L$2:$P$92,4,0)</f>
        <v>Latin America and the Caribbean</v>
      </c>
      <c r="L886" s="29">
        <f>$D886*VLOOKUP($E886,'Charts data'!$A$2:$B$11,2,0)*VLOOKUP($G886,'Charts data'!$A$14:$B$18,2,0)/IF('Charts data'!$E$3=1,I886,1)/IF('Charts data'!$E$4=1,J886,1)</f>
        <v>24000</v>
      </c>
    </row>
    <row r="887" spans="1:12" x14ac:dyDescent="0.25">
      <c r="A887" s="27" t="s">
        <v>600</v>
      </c>
      <c r="B887" s="27">
        <v>8500</v>
      </c>
      <c r="C887" s="27" t="s">
        <v>2</v>
      </c>
      <c r="D887" s="28">
        <f>B887*VLOOKUP(C887,tblXrate[],2,0)</f>
        <v>8500</v>
      </c>
      <c r="E887" s="27" t="s">
        <v>7</v>
      </c>
      <c r="F887" s="27" t="s">
        <v>46</v>
      </c>
      <c r="G887" s="27" t="s">
        <v>2274</v>
      </c>
      <c r="H887" s="27"/>
      <c r="I887" s="27">
        <f>VLOOKUP(F887,mapping!$L$2:$P$92,2,0)</f>
        <v>0.7389464286723284</v>
      </c>
      <c r="J887" s="27">
        <f>VLOOKUP($F887,mapping!$L$2:$P$92,3,0)</f>
        <v>7131.61</v>
      </c>
      <c r="K887" s="27" t="str">
        <f>VLOOKUP($F887,mapping!$L$2:$P$92,4,0)</f>
        <v>Latin America and the Caribbean</v>
      </c>
      <c r="L887" s="29">
        <f>$D887*VLOOKUP($E887,'Charts data'!$A$2:$B$11,2,0)*VLOOKUP($G887,'Charts data'!$A$14:$B$18,2,0)/IF('Charts data'!$E$3=1,I887,1)/IF('Charts data'!$E$4=1,J887,1)</f>
        <v>8500</v>
      </c>
    </row>
    <row r="888" spans="1:12" x14ac:dyDescent="0.25">
      <c r="A888" s="27" t="s">
        <v>994</v>
      </c>
      <c r="B888" s="27">
        <v>6000</v>
      </c>
      <c r="C888" s="27" t="s">
        <v>2</v>
      </c>
      <c r="D888" s="28">
        <f>B888*VLOOKUP(C888,tblXrate[],2,0)</f>
        <v>6000</v>
      </c>
      <c r="E888" s="27" t="s">
        <v>7</v>
      </c>
      <c r="F888" s="27" t="s">
        <v>46</v>
      </c>
      <c r="G888" s="27" t="s">
        <v>2274</v>
      </c>
      <c r="H888" s="27">
        <v>10</v>
      </c>
      <c r="I888" s="27">
        <f>VLOOKUP(F888,mapping!$L$2:$P$92,2,0)</f>
        <v>0.7389464286723284</v>
      </c>
      <c r="J888" s="27">
        <f>VLOOKUP($F888,mapping!$L$2:$P$92,3,0)</f>
        <v>7131.61</v>
      </c>
      <c r="K888" s="27" t="str">
        <f>VLOOKUP($F888,mapping!$L$2:$P$92,4,0)</f>
        <v>Latin America and the Caribbean</v>
      </c>
      <c r="L888" s="29">
        <f>$D888*VLOOKUP($E888,'Charts data'!$A$2:$B$11,2,0)*VLOOKUP($G888,'Charts data'!$A$14:$B$18,2,0)/IF('Charts data'!$E$3=1,I888,1)/IF('Charts data'!$E$4=1,J888,1)</f>
        <v>6000</v>
      </c>
    </row>
    <row r="889" spans="1:12" x14ac:dyDescent="0.25">
      <c r="A889" s="27" t="s">
        <v>1621</v>
      </c>
      <c r="B889" s="27">
        <v>7200</v>
      </c>
      <c r="C889" s="27" t="s">
        <v>2</v>
      </c>
      <c r="D889" s="28">
        <f>B889*VLOOKUP(C889,tblXrate[],2,0)</f>
        <v>7200</v>
      </c>
      <c r="E889" s="27" t="s">
        <v>62</v>
      </c>
      <c r="F889" s="27" t="s">
        <v>46</v>
      </c>
      <c r="G889" s="27" t="s">
        <v>2271</v>
      </c>
      <c r="H889" s="27">
        <v>8</v>
      </c>
      <c r="I889" s="27">
        <f>VLOOKUP(F889,mapping!$L$2:$P$92,2,0)</f>
        <v>0.7389464286723284</v>
      </c>
      <c r="J889" s="27">
        <f>VLOOKUP($F889,mapping!$L$2:$P$92,3,0)</f>
        <v>7131.61</v>
      </c>
      <c r="K889" s="27" t="str">
        <f>VLOOKUP($F889,mapping!$L$2:$P$92,4,0)</f>
        <v>Latin America and the Caribbean</v>
      </c>
      <c r="L889" s="29">
        <f>$D889*VLOOKUP($E889,'Charts data'!$A$2:$B$11,2,0)*VLOOKUP($G889,'Charts data'!$A$14:$B$18,2,0)/IF('Charts data'!$E$3=1,I889,1)/IF('Charts data'!$E$4=1,J889,1)</f>
        <v>7200</v>
      </c>
    </row>
    <row r="890" spans="1:12" x14ac:dyDescent="0.25">
      <c r="A890" s="27" t="s">
        <v>1980</v>
      </c>
      <c r="B890" s="27">
        <v>16110</v>
      </c>
      <c r="C890" s="27" t="s">
        <v>2</v>
      </c>
      <c r="D890" s="28">
        <f>B890*VLOOKUP(C890,tblXrate[],2,0)</f>
        <v>16110</v>
      </c>
      <c r="E890" s="27" t="s">
        <v>7</v>
      </c>
      <c r="F890" s="27" t="s">
        <v>46</v>
      </c>
      <c r="G890" s="27" t="s">
        <v>2273</v>
      </c>
      <c r="H890" s="27">
        <v>10</v>
      </c>
      <c r="I890" s="27">
        <f>VLOOKUP(F890,mapping!$L$2:$P$92,2,0)</f>
        <v>0.7389464286723284</v>
      </c>
      <c r="J890" s="27">
        <f>VLOOKUP($F890,mapping!$L$2:$P$92,3,0)</f>
        <v>7131.61</v>
      </c>
      <c r="K890" s="27" t="str">
        <f>VLOOKUP($F890,mapping!$L$2:$P$92,4,0)</f>
        <v>Latin America and the Caribbean</v>
      </c>
      <c r="L890" s="29">
        <f>$D890*VLOOKUP($E890,'Charts data'!$A$2:$B$11,2,0)*VLOOKUP($G890,'Charts data'!$A$14:$B$18,2,0)/IF('Charts data'!$E$3=1,I890,1)/IF('Charts data'!$E$4=1,J890,1)</f>
        <v>16110</v>
      </c>
    </row>
    <row r="891" spans="1:12" x14ac:dyDescent="0.25">
      <c r="A891" s="27" t="s">
        <v>176</v>
      </c>
      <c r="B891" s="27">
        <v>15000</v>
      </c>
      <c r="C891" s="27" t="s">
        <v>2</v>
      </c>
      <c r="D891" s="28">
        <f>B891*VLOOKUP(C891,tblXrate[],2,0)</f>
        <v>15000</v>
      </c>
      <c r="E891" s="27" t="s">
        <v>62</v>
      </c>
      <c r="F891" s="27" t="s">
        <v>99</v>
      </c>
      <c r="G891" s="27" t="s">
        <v>2273</v>
      </c>
      <c r="H891" s="27"/>
      <c r="I891" s="27">
        <f>VLOOKUP(F891,mapping!$L$2:$P$92,2,0)</f>
        <v>5.3953864173973578</v>
      </c>
      <c r="J891" s="27">
        <f>VLOOKUP($F891,mapping!$L$2:$P$92,3,0)</f>
        <v>14456.97</v>
      </c>
      <c r="K891" s="27" t="str">
        <f>VLOOKUP($F891,mapping!$L$2:$P$92,4,0)</f>
        <v>Central and Eastern Europe</v>
      </c>
      <c r="L891" s="29">
        <f>$D891*VLOOKUP($E891,'Charts data'!$A$2:$B$11,2,0)*VLOOKUP($G891,'Charts data'!$A$14:$B$18,2,0)/IF('Charts data'!$E$3=1,I891,1)/IF('Charts data'!$E$4=1,J891,1)</f>
        <v>15000</v>
      </c>
    </row>
    <row r="892" spans="1:12" x14ac:dyDescent="0.25">
      <c r="A892" s="27" t="s">
        <v>966</v>
      </c>
      <c r="B892" s="27">
        <v>24000</v>
      </c>
      <c r="C892" s="27" t="s">
        <v>2</v>
      </c>
      <c r="D892" s="28">
        <f>B892*VLOOKUP(C892,tblXrate[],2,0)</f>
        <v>24000</v>
      </c>
      <c r="E892" s="27" t="s">
        <v>19</v>
      </c>
      <c r="F892" s="27" t="s">
        <v>99</v>
      </c>
      <c r="G892" s="27" t="s">
        <v>2272</v>
      </c>
      <c r="H892" s="27">
        <v>5</v>
      </c>
      <c r="I892" s="27">
        <f>VLOOKUP(F892,mapping!$L$2:$P$92,2,0)</f>
        <v>5.3953864173973578</v>
      </c>
      <c r="J892" s="27">
        <f>VLOOKUP($F892,mapping!$L$2:$P$92,3,0)</f>
        <v>14456.97</v>
      </c>
      <c r="K892" s="27" t="str">
        <f>VLOOKUP($F892,mapping!$L$2:$P$92,4,0)</f>
        <v>Central and Eastern Europe</v>
      </c>
      <c r="L892" s="29">
        <f>$D892*VLOOKUP($E892,'Charts data'!$A$2:$B$11,2,0)*VLOOKUP($G892,'Charts data'!$A$14:$B$18,2,0)/IF('Charts data'!$E$3=1,I892,1)/IF('Charts data'!$E$4=1,J892,1)</f>
        <v>24000</v>
      </c>
    </row>
    <row r="893" spans="1:12" x14ac:dyDescent="0.25">
      <c r="A893" s="27" t="s">
        <v>1063</v>
      </c>
      <c r="B893" s="27">
        <v>36000</v>
      </c>
      <c r="C893" s="27" t="s">
        <v>2</v>
      </c>
      <c r="D893" s="28">
        <f>B893*VLOOKUP(C893,tblXrate[],2,0)</f>
        <v>36000</v>
      </c>
      <c r="E893" s="27" t="s">
        <v>62</v>
      </c>
      <c r="F893" s="27" t="s">
        <v>110</v>
      </c>
      <c r="G893" s="27" t="s">
        <v>2272</v>
      </c>
      <c r="H893" s="27">
        <v>9</v>
      </c>
      <c r="I893" s="27">
        <f>VLOOKUP(F893,mapping!$L$2:$P$92,2,0)</f>
        <v>0.6448127496189392</v>
      </c>
      <c r="J893" s="27">
        <f>VLOOKUP($F893,mapping!$L$2:$P$92,3,0)</f>
        <v>20443.97</v>
      </c>
      <c r="K893" s="27" t="str">
        <f>VLOOKUP($F893,mapping!$L$2:$P$92,4,0)</f>
        <v>Other Advanced Economies</v>
      </c>
      <c r="L893" s="29">
        <f>$D893*VLOOKUP($E893,'Charts data'!$A$2:$B$11,2,0)*VLOOKUP($G893,'Charts data'!$A$14:$B$18,2,0)/IF('Charts data'!$E$3=1,I893,1)/IF('Charts data'!$E$4=1,J893,1)</f>
        <v>36000</v>
      </c>
    </row>
    <row r="894" spans="1:12" x14ac:dyDescent="0.25">
      <c r="A894" s="27" t="s">
        <v>917</v>
      </c>
      <c r="B894" s="27">
        <v>20000</v>
      </c>
      <c r="C894" s="27" t="s">
        <v>2</v>
      </c>
      <c r="D894" s="28">
        <f>B894*VLOOKUP(C894,tblXrate[],2,0)</f>
        <v>20000</v>
      </c>
      <c r="E894" s="27" t="s">
        <v>53</v>
      </c>
      <c r="F894" s="27" t="s">
        <v>97</v>
      </c>
      <c r="G894" s="27" t="s">
        <v>2272</v>
      </c>
      <c r="H894" s="27">
        <v>15</v>
      </c>
      <c r="I894" s="27">
        <f>VLOOKUP(F894,mapping!$L$2:$P$92,2,0)</f>
        <v>1.4800306944010062</v>
      </c>
      <c r="J894" s="27">
        <f>VLOOKUP($F894,mapping!$L$2:$P$92,3,0)</f>
        <v>59928.1</v>
      </c>
      <c r="K894" s="27" t="str">
        <f>VLOOKUP($F894,mapping!$L$2:$P$92,4,0)</f>
        <v>Other Advanced Economies</v>
      </c>
      <c r="L894" s="29">
        <f>$D894*VLOOKUP($E894,'Charts data'!$A$2:$B$11,2,0)*VLOOKUP($G894,'Charts data'!$A$14:$B$18,2,0)/IF('Charts data'!$E$3=1,I894,1)/IF('Charts data'!$E$4=1,J894,1)</f>
        <v>20000</v>
      </c>
    </row>
    <row r="895" spans="1:12" x14ac:dyDescent="0.25">
      <c r="A895" s="27" t="s">
        <v>1758</v>
      </c>
      <c r="B895" s="27">
        <v>106000</v>
      </c>
      <c r="C895" s="27" t="s">
        <v>2</v>
      </c>
      <c r="D895" s="28">
        <f>B895*VLOOKUP(C895,tblXrate[],2,0)</f>
        <v>106000</v>
      </c>
      <c r="E895" s="27" t="s">
        <v>7</v>
      </c>
      <c r="F895" s="27" t="s">
        <v>97</v>
      </c>
      <c r="G895" s="27" t="s">
        <v>2274</v>
      </c>
      <c r="H895" s="27">
        <v>7</v>
      </c>
      <c r="I895" s="27">
        <f>VLOOKUP(F895,mapping!$L$2:$P$92,2,0)</f>
        <v>1.4800306944010062</v>
      </c>
      <c r="J895" s="27">
        <f>VLOOKUP($F895,mapping!$L$2:$P$92,3,0)</f>
        <v>59928.1</v>
      </c>
      <c r="K895" s="27" t="str">
        <f>VLOOKUP($F895,mapping!$L$2:$P$92,4,0)</f>
        <v>Other Advanced Economies</v>
      </c>
      <c r="L895" s="29">
        <f>$D895*VLOOKUP($E895,'Charts data'!$A$2:$B$11,2,0)*VLOOKUP($G895,'Charts data'!$A$14:$B$18,2,0)/IF('Charts data'!$E$3=1,I895,1)/IF('Charts data'!$E$4=1,J895,1)</f>
        <v>106000</v>
      </c>
    </row>
    <row r="896" spans="1:12" x14ac:dyDescent="0.25">
      <c r="A896" s="27" t="s">
        <v>598</v>
      </c>
      <c r="B896" s="27">
        <v>6629</v>
      </c>
      <c r="C896" s="27" t="s">
        <v>2</v>
      </c>
      <c r="D896" s="28">
        <f>B896*VLOOKUP(C896,tblXrate[],2,0)</f>
        <v>6629</v>
      </c>
      <c r="E896" s="27" t="s">
        <v>48</v>
      </c>
      <c r="F896" s="27" t="s">
        <v>68</v>
      </c>
      <c r="G896" s="27" t="s">
        <v>2273</v>
      </c>
      <c r="H896" s="27"/>
      <c r="I896" s="27">
        <f>VLOOKUP(F896,mapping!$L$2:$P$92,2,0)</f>
        <v>0.59255455712451854</v>
      </c>
      <c r="J896" s="27">
        <f>VLOOKUP($F896,mapping!$L$2:$P$92,3,0)</f>
        <v>5638.69</v>
      </c>
      <c r="K896" s="27" t="str">
        <f>VLOOKUP($F896,mapping!$L$2:$P$92,4,0)</f>
        <v>Latin America and the Caribbean</v>
      </c>
      <c r="L896" s="29">
        <f>$D896*VLOOKUP($E896,'Charts data'!$A$2:$B$11,2,0)*VLOOKUP($G896,'Charts data'!$A$14:$B$18,2,0)/IF('Charts data'!$E$3=1,I896,1)/IF('Charts data'!$E$4=1,J896,1)</f>
        <v>6629</v>
      </c>
    </row>
    <row r="897" spans="1:12" x14ac:dyDescent="0.25">
      <c r="A897" s="27" t="s">
        <v>638</v>
      </c>
      <c r="B897" s="27">
        <v>12000</v>
      </c>
      <c r="C897" s="27" t="s">
        <v>2</v>
      </c>
      <c r="D897" s="28">
        <f>B897*VLOOKUP(C897,tblXrate[],2,0)</f>
        <v>12000</v>
      </c>
      <c r="E897" s="27" t="s">
        <v>7</v>
      </c>
      <c r="F897" s="27" t="s">
        <v>72</v>
      </c>
      <c r="G897" s="27" t="s">
        <v>2273</v>
      </c>
      <c r="H897" s="27"/>
      <c r="I897" s="27">
        <f>VLOOKUP(F897,mapping!$L$2:$P$92,2,0)</f>
        <v>0.74318367181009048</v>
      </c>
      <c r="J897" s="27">
        <f>VLOOKUP($F897,mapping!$L$2:$P$92,3,0)</f>
        <v>16583.39</v>
      </c>
      <c r="K897" s="27" t="str">
        <f>VLOOKUP($F897,mapping!$L$2:$P$92,4,0)</f>
        <v>Euro Area</v>
      </c>
      <c r="L897" s="29">
        <f>$D897*VLOOKUP($E897,'Charts data'!$A$2:$B$11,2,0)*VLOOKUP($G897,'Charts data'!$A$14:$B$18,2,0)/IF('Charts data'!$E$3=1,I897,1)/IF('Charts data'!$E$4=1,J897,1)</f>
        <v>12000</v>
      </c>
    </row>
    <row r="898" spans="1:12" x14ac:dyDescent="0.25">
      <c r="A898" s="27" t="s">
        <v>1185</v>
      </c>
      <c r="B898" s="27">
        <v>60000</v>
      </c>
      <c r="C898" s="27" t="s">
        <v>2</v>
      </c>
      <c r="D898" s="28">
        <f>B898*VLOOKUP(C898,tblXrate[],2,0)</f>
        <v>60000</v>
      </c>
      <c r="E898" s="27" t="s">
        <v>53</v>
      </c>
      <c r="F898" s="27" t="s">
        <v>67</v>
      </c>
      <c r="G898" s="27" t="s">
        <v>2273</v>
      </c>
      <c r="H898" s="27">
        <v>5</v>
      </c>
      <c r="I898" s="27">
        <f>VLOOKUP(F898,mapping!$L$2:$P$92,2,0)</f>
        <v>1.2437210507727838</v>
      </c>
      <c r="J898" s="27">
        <f>VLOOKUP($F898,mapping!$L$2:$P$92,3,0)</f>
        <v>49349.52</v>
      </c>
      <c r="K898" s="27" t="str">
        <f>VLOOKUP($F898,mapping!$L$2:$P$92,4,0)</f>
        <v>Euro Area</v>
      </c>
      <c r="L898" s="29">
        <f>$D898*VLOOKUP($E898,'Charts data'!$A$2:$B$11,2,0)*VLOOKUP($G898,'Charts data'!$A$14:$B$18,2,0)/IF('Charts data'!$E$3=1,I898,1)/IF('Charts data'!$E$4=1,J898,1)</f>
        <v>60000</v>
      </c>
    </row>
    <row r="899" spans="1:12" x14ac:dyDescent="0.25">
      <c r="A899" s="27" t="s">
        <v>1105</v>
      </c>
      <c r="B899" s="27">
        <v>48000</v>
      </c>
      <c r="C899" s="27" t="s">
        <v>2</v>
      </c>
      <c r="D899" s="28">
        <f>B899*VLOOKUP(C899,tblXrate[],2,0)</f>
        <v>48000</v>
      </c>
      <c r="E899" s="27" t="s">
        <v>19</v>
      </c>
      <c r="F899" s="27" t="s">
        <v>33</v>
      </c>
      <c r="G899" s="27" t="s">
        <v>2271</v>
      </c>
      <c r="H899" s="27">
        <v>5</v>
      </c>
      <c r="I899" s="27">
        <f>VLOOKUP(F899,mapping!$L$2:$P$92,2,0)</f>
        <v>1.1433594950924471</v>
      </c>
      <c r="J899" s="27">
        <f>VLOOKUP($F899,mapping!$L$2:$P$92,3,0)</f>
        <v>44008.18</v>
      </c>
      <c r="K899" s="27" t="str">
        <f>VLOOKUP($F899,mapping!$L$2:$P$92,4,0)</f>
        <v>Major Advanced Economies (G7)</v>
      </c>
      <c r="L899" s="29">
        <f>$D899*VLOOKUP($E899,'Charts data'!$A$2:$B$11,2,0)*VLOOKUP($G899,'Charts data'!$A$14:$B$18,2,0)/IF('Charts data'!$E$3=1,I899,1)/IF('Charts data'!$E$4=1,J899,1)</f>
        <v>48000</v>
      </c>
    </row>
    <row r="900" spans="1:12" x14ac:dyDescent="0.25">
      <c r="A900" s="27" t="s">
        <v>222</v>
      </c>
      <c r="B900" s="27">
        <v>100000</v>
      </c>
      <c r="C900" s="27" t="s">
        <v>2</v>
      </c>
      <c r="D900" s="28">
        <f>B900*VLOOKUP(C900,tblXrate[],2,0)</f>
        <v>100000</v>
      </c>
      <c r="E900" s="27" t="s">
        <v>7</v>
      </c>
      <c r="F900" s="27" t="s">
        <v>10</v>
      </c>
      <c r="G900" s="27" t="s">
        <v>2273</v>
      </c>
      <c r="H900" s="27"/>
      <c r="I900" s="27">
        <f>VLOOKUP(F900,mapping!$L$2:$P$92,2,0)</f>
        <v>1.0544315343630344</v>
      </c>
      <c r="J900" s="27">
        <f>VLOOKUP($F900,mapping!$L$2:$P$92,3,0)</f>
        <v>43741.55</v>
      </c>
      <c r="K900" s="27" t="str">
        <f>VLOOKUP($F900,mapping!$L$2:$P$92,4,0)</f>
        <v>Major Advanced Economies (G7)</v>
      </c>
      <c r="L900" s="29">
        <f>$D900*VLOOKUP($E900,'Charts data'!$A$2:$B$11,2,0)*VLOOKUP($G900,'Charts data'!$A$14:$B$18,2,0)/IF('Charts data'!$E$3=1,I900,1)/IF('Charts data'!$E$4=1,J900,1)</f>
        <v>100000</v>
      </c>
    </row>
    <row r="901" spans="1:12" x14ac:dyDescent="0.25">
      <c r="A901" s="27" t="s">
        <v>1672</v>
      </c>
      <c r="B901" s="27">
        <v>45000</v>
      </c>
      <c r="C901" s="27" t="s">
        <v>2</v>
      </c>
      <c r="D901" s="28">
        <f>B901*VLOOKUP(C901,tblXrate[],2,0)</f>
        <v>45000</v>
      </c>
      <c r="E901" s="27" t="s">
        <v>19</v>
      </c>
      <c r="F901" s="27" t="s">
        <v>10</v>
      </c>
      <c r="G901" s="27" t="s">
        <v>2272</v>
      </c>
      <c r="H901" s="27">
        <v>5</v>
      </c>
      <c r="I901" s="27">
        <f>VLOOKUP(F901,mapping!$L$2:$P$92,2,0)</f>
        <v>1.0544315343630344</v>
      </c>
      <c r="J901" s="27">
        <f>VLOOKUP($F901,mapping!$L$2:$P$92,3,0)</f>
        <v>43741.55</v>
      </c>
      <c r="K901" s="27" t="str">
        <f>VLOOKUP($F901,mapping!$L$2:$P$92,4,0)</f>
        <v>Major Advanced Economies (G7)</v>
      </c>
      <c r="L901" s="29">
        <f>$D901*VLOOKUP($E901,'Charts data'!$A$2:$B$11,2,0)*VLOOKUP($G901,'Charts data'!$A$14:$B$18,2,0)/IF('Charts data'!$E$3=1,I901,1)/IF('Charts data'!$E$4=1,J901,1)</f>
        <v>45000</v>
      </c>
    </row>
    <row r="902" spans="1:12" x14ac:dyDescent="0.25">
      <c r="A902" s="27" t="s">
        <v>1717</v>
      </c>
      <c r="B902" s="27">
        <v>75000</v>
      </c>
      <c r="C902" s="27" t="s">
        <v>2</v>
      </c>
      <c r="D902" s="28">
        <f>B902*VLOOKUP(C902,tblXrate[],2,0)</f>
        <v>75000</v>
      </c>
      <c r="E902" s="27" t="s">
        <v>53</v>
      </c>
      <c r="F902" s="27" t="s">
        <v>10</v>
      </c>
      <c r="G902" s="27" t="s">
        <v>2272</v>
      </c>
      <c r="H902" s="27">
        <v>9</v>
      </c>
      <c r="I902" s="27">
        <f>VLOOKUP(F902,mapping!$L$2:$P$92,2,0)</f>
        <v>1.0544315343630344</v>
      </c>
      <c r="J902" s="27">
        <f>VLOOKUP($F902,mapping!$L$2:$P$92,3,0)</f>
        <v>43741.55</v>
      </c>
      <c r="K902" s="27" t="str">
        <f>VLOOKUP($F902,mapping!$L$2:$P$92,4,0)</f>
        <v>Major Advanced Economies (G7)</v>
      </c>
      <c r="L902" s="29">
        <f>$D902*VLOOKUP($E902,'Charts data'!$A$2:$B$11,2,0)*VLOOKUP($G902,'Charts data'!$A$14:$B$18,2,0)/IF('Charts data'!$E$3=1,I902,1)/IF('Charts data'!$E$4=1,J902,1)</f>
        <v>75000</v>
      </c>
    </row>
    <row r="903" spans="1:12" x14ac:dyDescent="0.25">
      <c r="A903" s="27" t="s">
        <v>1473</v>
      </c>
      <c r="B903" s="27">
        <v>18000</v>
      </c>
      <c r="C903" s="27" t="s">
        <v>2</v>
      </c>
      <c r="D903" s="28">
        <f>B903*VLOOKUP(C903,tblXrate[],2,0)</f>
        <v>18000</v>
      </c>
      <c r="E903" s="27" t="s">
        <v>19</v>
      </c>
      <c r="F903" s="27" t="s">
        <v>143</v>
      </c>
      <c r="G903" s="27" t="s">
        <v>2271</v>
      </c>
      <c r="H903" s="27">
        <v>12</v>
      </c>
      <c r="I903" s="27">
        <f>VLOOKUP(F903,mapping!$L$2:$P$92,2,0)</f>
        <v>0.39596273291925466</v>
      </c>
      <c r="J903" s="27">
        <f>VLOOKUP($F903,mapping!$L$2:$P$92,3,0)</f>
        <v>1528.86</v>
      </c>
      <c r="K903" s="27" t="str">
        <f>VLOOKUP($F903,mapping!$L$2:$P$92,4,0)</f>
        <v>Sub-Saharan Africa</v>
      </c>
      <c r="L903" s="29">
        <f>$D903*VLOOKUP($E903,'Charts data'!$A$2:$B$11,2,0)*VLOOKUP($G903,'Charts data'!$A$14:$B$18,2,0)/IF('Charts data'!$E$3=1,I903,1)/IF('Charts data'!$E$4=1,J903,1)</f>
        <v>18000</v>
      </c>
    </row>
    <row r="904" spans="1:12" x14ac:dyDescent="0.25">
      <c r="A904" s="27" t="s">
        <v>734</v>
      </c>
      <c r="B904" s="27">
        <v>6000</v>
      </c>
      <c r="C904" s="27" t="s">
        <v>2</v>
      </c>
      <c r="D904" s="28">
        <f>B904*VLOOKUP(C904,tblXrate[],2,0)</f>
        <v>6000</v>
      </c>
      <c r="E904" s="27" t="s">
        <v>19</v>
      </c>
      <c r="F904" s="27" t="s">
        <v>85</v>
      </c>
      <c r="G904" s="27" t="s">
        <v>2274</v>
      </c>
      <c r="H904" s="27">
        <v>20</v>
      </c>
      <c r="I904" s="27">
        <f>VLOOKUP(F904,mapping!$L$2:$P$92,2,0)</f>
        <v>0.43627768101517794</v>
      </c>
      <c r="J904" s="27">
        <f>VLOOKUP($F904,mapping!$L$2:$P$92,3,0)</f>
        <v>3202.22</v>
      </c>
      <c r="K904" s="27" t="str">
        <f>VLOOKUP($F904,mapping!$L$2:$P$92,4,0)</f>
        <v>Latin America and the Caribbean</v>
      </c>
      <c r="L904" s="29">
        <f>$D904*VLOOKUP($E904,'Charts data'!$A$2:$B$11,2,0)*VLOOKUP($G904,'Charts data'!$A$14:$B$18,2,0)/IF('Charts data'!$E$3=1,I904,1)/IF('Charts data'!$E$4=1,J904,1)</f>
        <v>6000</v>
      </c>
    </row>
    <row r="905" spans="1:12" x14ac:dyDescent="0.25">
      <c r="A905" s="27" t="s">
        <v>1946</v>
      </c>
      <c r="B905" s="27">
        <v>20000</v>
      </c>
      <c r="C905" s="27" t="s">
        <v>2</v>
      </c>
      <c r="D905" s="28">
        <f>B905*VLOOKUP(C905,tblXrate[],2,0)</f>
        <v>20000</v>
      </c>
      <c r="E905" s="27" t="s">
        <v>7</v>
      </c>
      <c r="F905" s="27" t="s">
        <v>167</v>
      </c>
      <c r="G905" s="27" t="s">
        <v>2274</v>
      </c>
      <c r="H905" s="27">
        <v>1</v>
      </c>
      <c r="I905" s="27">
        <f>VLOOKUP(F905,mapping!$L$2:$P$92,2,0)</f>
        <v>0.69520253541421517</v>
      </c>
      <c r="J905" s="27">
        <f>VLOOKUP($F905,mapping!$L$2:$P$92,3,0)</f>
        <v>34048.92</v>
      </c>
      <c r="K905" s="27" t="str">
        <f>VLOOKUP($F905,mapping!$L$2:$P$92,4,0)</f>
        <v>Newly Industrialized Asian Economies</v>
      </c>
      <c r="L905" s="29">
        <f>$D905*VLOOKUP($E905,'Charts data'!$A$2:$B$11,2,0)*VLOOKUP($G905,'Charts data'!$A$14:$B$18,2,0)/IF('Charts data'!$E$3=1,I905,1)/IF('Charts data'!$E$4=1,J905,1)</f>
        <v>20000</v>
      </c>
    </row>
    <row r="906" spans="1:12" x14ac:dyDescent="0.25">
      <c r="A906" s="27" t="s">
        <v>186</v>
      </c>
      <c r="B906" s="27">
        <v>14000</v>
      </c>
      <c r="C906" s="27" t="s">
        <v>2</v>
      </c>
      <c r="D906" s="28">
        <f>B906*VLOOKUP(C906,tblXrate[],2,0)</f>
        <v>14000</v>
      </c>
      <c r="E906" s="27" t="s">
        <v>48</v>
      </c>
      <c r="F906" s="27" t="s">
        <v>15</v>
      </c>
      <c r="G906" s="27" t="s">
        <v>2271</v>
      </c>
      <c r="H906" s="27"/>
      <c r="I906" s="27">
        <f>VLOOKUP(F906,mapping!$L$2:$P$92,2,0)</f>
        <v>182.82191286584327</v>
      </c>
      <c r="J906" s="27">
        <f>VLOOKUP($F906,mapping!$L$2:$P$92,3,0)</f>
        <v>14050.01</v>
      </c>
      <c r="K906" s="27" t="str">
        <f>VLOOKUP($F906,mapping!$L$2:$P$92,4,0)</f>
        <v>Central and Eastern Europe</v>
      </c>
      <c r="L906" s="29">
        <f>$D906*VLOOKUP($E906,'Charts data'!$A$2:$B$11,2,0)*VLOOKUP($G906,'Charts data'!$A$14:$B$18,2,0)/IF('Charts data'!$E$3=1,I906,1)/IF('Charts data'!$E$4=1,J906,1)</f>
        <v>14000</v>
      </c>
    </row>
    <row r="907" spans="1:12" x14ac:dyDescent="0.25">
      <c r="A907" s="27" t="s">
        <v>488</v>
      </c>
      <c r="B907" s="27">
        <v>40000</v>
      </c>
      <c r="C907" s="27" t="s">
        <v>2</v>
      </c>
      <c r="D907" s="28">
        <f>B907*VLOOKUP(C907,tblXrate[],2,0)</f>
        <v>40000</v>
      </c>
      <c r="E907" s="27" t="s">
        <v>19</v>
      </c>
      <c r="F907" s="27" t="s">
        <v>15</v>
      </c>
      <c r="G907" s="27" t="s">
        <v>2271</v>
      </c>
      <c r="H907" s="27"/>
      <c r="I907" s="27">
        <f>VLOOKUP(F907,mapping!$L$2:$P$92,2,0)</f>
        <v>182.82191286584327</v>
      </c>
      <c r="J907" s="27">
        <f>VLOOKUP($F907,mapping!$L$2:$P$92,3,0)</f>
        <v>14050.01</v>
      </c>
      <c r="K907" s="27" t="str">
        <f>VLOOKUP($F907,mapping!$L$2:$P$92,4,0)</f>
        <v>Central and Eastern Europe</v>
      </c>
      <c r="L907" s="29">
        <f>$D907*VLOOKUP($E907,'Charts data'!$A$2:$B$11,2,0)*VLOOKUP($G907,'Charts data'!$A$14:$B$18,2,0)/IF('Charts data'!$E$3=1,I907,1)/IF('Charts data'!$E$4=1,J907,1)</f>
        <v>40000</v>
      </c>
    </row>
    <row r="908" spans="1:12" x14ac:dyDescent="0.25">
      <c r="A908" s="27" t="s">
        <v>663</v>
      </c>
      <c r="B908" s="27">
        <v>23000</v>
      </c>
      <c r="C908" s="27" t="s">
        <v>2</v>
      </c>
      <c r="D908" s="28">
        <f>B908*VLOOKUP(C908,tblXrate[],2,0)</f>
        <v>23000</v>
      </c>
      <c r="E908" s="27" t="s">
        <v>19</v>
      </c>
      <c r="F908" s="27" t="s">
        <v>15</v>
      </c>
      <c r="G908" s="27" t="s">
        <v>2271</v>
      </c>
      <c r="H908" s="27"/>
      <c r="I908" s="27">
        <f>VLOOKUP(F908,mapping!$L$2:$P$92,2,0)</f>
        <v>182.82191286584327</v>
      </c>
      <c r="J908" s="27">
        <f>VLOOKUP($F908,mapping!$L$2:$P$92,3,0)</f>
        <v>14050.01</v>
      </c>
      <c r="K908" s="27" t="str">
        <f>VLOOKUP($F908,mapping!$L$2:$P$92,4,0)</f>
        <v>Central and Eastern Europe</v>
      </c>
      <c r="L908" s="29">
        <f>$D908*VLOOKUP($E908,'Charts data'!$A$2:$B$11,2,0)*VLOOKUP($G908,'Charts data'!$A$14:$B$18,2,0)/IF('Charts data'!$E$3=1,I908,1)/IF('Charts data'!$E$4=1,J908,1)</f>
        <v>23000</v>
      </c>
    </row>
    <row r="909" spans="1:12" x14ac:dyDescent="0.25">
      <c r="A909" s="27" t="s">
        <v>180</v>
      </c>
      <c r="B909" s="27">
        <v>41731</v>
      </c>
      <c r="C909" s="27" t="s">
        <v>2</v>
      </c>
      <c r="D909" s="28">
        <f>B909*VLOOKUP(C909,tblXrate[],2,0)</f>
        <v>41731</v>
      </c>
      <c r="E909" s="27" t="s">
        <v>7</v>
      </c>
      <c r="F909" s="27" t="s">
        <v>8</v>
      </c>
      <c r="G909" s="27" t="s">
        <v>2273</v>
      </c>
      <c r="H909" s="27"/>
      <c r="I909" s="27">
        <f>VLOOKUP(F909,mapping!$L$2:$P$92,2,0)</f>
        <v>1.0534736200550134</v>
      </c>
      <c r="J909" s="27">
        <f>VLOOKUP($F909,mapping!$L$2:$P$92,3,0)</f>
        <v>43088.2</v>
      </c>
      <c r="K909" s="27" t="str">
        <f>VLOOKUP($F909,mapping!$L$2:$P$92,4,0)</f>
        <v>Other Advanced Economies</v>
      </c>
      <c r="L909" s="29">
        <f>$D909*VLOOKUP($E909,'Charts data'!$A$2:$B$11,2,0)*VLOOKUP($G909,'Charts data'!$A$14:$B$18,2,0)/IF('Charts data'!$E$3=1,I909,1)/IF('Charts data'!$E$4=1,J909,1)</f>
        <v>41731</v>
      </c>
    </row>
    <row r="910" spans="1:12" x14ac:dyDescent="0.25">
      <c r="A910" s="27" t="s">
        <v>175</v>
      </c>
      <c r="B910" s="27">
        <v>5846</v>
      </c>
      <c r="C910" s="27" t="s">
        <v>2</v>
      </c>
      <c r="D910" s="28">
        <f>B910*VLOOKUP(C910,tblXrate[],2,0)</f>
        <v>5846</v>
      </c>
      <c r="E910" s="27" t="s">
        <v>7</v>
      </c>
      <c r="F910" s="27" t="s">
        <v>3</v>
      </c>
      <c r="G910" s="27" t="s">
        <v>2271</v>
      </c>
      <c r="H910" s="27"/>
      <c r="I910" s="27">
        <f>VLOOKUP(F910,mapping!$L$2:$P$92,2,0)</f>
        <v>0.34064763831408895</v>
      </c>
      <c r="J910" s="27">
        <f>VLOOKUP($F910,mapping!$L$2:$P$92,3,0)</f>
        <v>1388.78</v>
      </c>
      <c r="K910" s="27" t="str">
        <f>VLOOKUP($F910,mapping!$L$2:$P$92,4,0)</f>
        <v>Developing Asia</v>
      </c>
      <c r="L910" s="29">
        <f>$D910*VLOOKUP($E910,'Charts data'!$A$2:$B$11,2,0)*VLOOKUP($G910,'Charts data'!$A$14:$B$18,2,0)/IF('Charts data'!$E$3=1,I910,1)/IF('Charts data'!$E$4=1,J910,1)</f>
        <v>5846</v>
      </c>
    </row>
    <row r="911" spans="1:12" x14ac:dyDescent="0.25">
      <c r="A911" s="27" t="s">
        <v>194</v>
      </c>
      <c r="B911" s="27">
        <v>50000</v>
      </c>
      <c r="C911" s="27" t="s">
        <v>2</v>
      </c>
      <c r="D911" s="28">
        <f>B911*VLOOKUP(C911,tblXrate[],2,0)</f>
        <v>50000</v>
      </c>
      <c r="E911" s="27" t="s">
        <v>19</v>
      </c>
      <c r="F911" s="27" t="s">
        <v>3</v>
      </c>
      <c r="G911" s="27" t="s">
        <v>2274</v>
      </c>
      <c r="H911" s="27"/>
      <c r="I911" s="27">
        <f>VLOOKUP(F911,mapping!$L$2:$P$92,2,0)</f>
        <v>0.34064763831408895</v>
      </c>
      <c r="J911" s="27">
        <f>VLOOKUP($F911,mapping!$L$2:$P$92,3,0)</f>
        <v>1388.78</v>
      </c>
      <c r="K911" s="27" t="str">
        <f>VLOOKUP($F911,mapping!$L$2:$P$92,4,0)</f>
        <v>Developing Asia</v>
      </c>
      <c r="L911" s="29">
        <f>$D911*VLOOKUP($E911,'Charts data'!$A$2:$B$11,2,0)*VLOOKUP($G911,'Charts data'!$A$14:$B$18,2,0)/IF('Charts data'!$E$3=1,I911,1)/IF('Charts data'!$E$4=1,J911,1)</f>
        <v>50000</v>
      </c>
    </row>
    <row r="912" spans="1:12" x14ac:dyDescent="0.25">
      <c r="A912" s="27" t="s">
        <v>195</v>
      </c>
      <c r="B912" s="27">
        <v>13500</v>
      </c>
      <c r="C912" s="27" t="s">
        <v>2</v>
      </c>
      <c r="D912" s="28">
        <f>B912*VLOOKUP(C912,tblXrate[],2,0)</f>
        <v>13500</v>
      </c>
      <c r="E912" s="27" t="s">
        <v>19</v>
      </c>
      <c r="F912" s="27" t="s">
        <v>3</v>
      </c>
      <c r="G912" s="27" t="s">
        <v>2271</v>
      </c>
      <c r="H912" s="27"/>
      <c r="I912" s="27">
        <f>VLOOKUP(F912,mapping!$L$2:$P$92,2,0)</f>
        <v>0.34064763831408895</v>
      </c>
      <c r="J912" s="27">
        <f>VLOOKUP($F912,mapping!$L$2:$P$92,3,0)</f>
        <v>1388.78</v>
      </c>
      <c r="K912" s="27" t="str">
        <f>VLOOKUP($F912,mapping!$L$2:$P$92,4,0)</f>
        <v>Developing Asia</v>
      </c>
      <c r="L912" s="29">
        <f>$D912*VLOOKUP($E912,'Charts data'!$A$2:$B$11,2,0)*VLOOKUP($G912,'Charts data'!$A$14:$B$18,2,0)/IF('Charts data'!$E$3=1,I912,1)/IF('Charts data'!$E$4=1,J912,1)</f>
        <v>13500</v>
      </c>
    </row>
    <row r="913" spans="1:12" x14ac:dyDescent="0.25">
      <c r="A913" s="27" t="s">
        <v>214</v>
      </c>
      <c r="B913" s="27">
        <v>14500</v>
      </c>
      <c r="C913" s="27" t="s">
        <v>2</v>
      </c>
      <c r="D913" s="28">
        <f>B913*VLOOKUP(C913,tblXrate[],2,0)</f>
        <v>14500</v>
      </c>
      <c r="E913" s="27" t="s">
        <v>7</v>
      </c>
      <c r="F913" s="27" t="s">
        <v>3</v>
      </c>
      <c r="G913" s="27" t="s">
        <v>2271</v>
      </c>
      <c r="H913" s="27"/>
      <c r="I913" s="27">
        <f>VLOOKUP(F913,mapping!$L$2:$P$92,2,0)</f>
        <v>0.34064763831408895</v>
      </c>
      <c r="J913" s="27">
        <f>VLOOKUP($F913,mapping!$L$2:$P$92,3,0)</f>
        <v>1388.78</v>
      </c>
      <c r="K913" s="27" t="str">
        <f>VLOOKUP($F913,mapping!$L$2:$P$92,4,0)</f>
        <v>Developing Asia</v>
      </c>
      <c r="L913" s="29">
        <f>$D913*VLOOKUP($E913,'Charts data'!$A$2:$B$11,2,0)*VLOOKUP($G913,'Charts data'!$A$14:$B$18,2,0)/IF('Charts data'!$E$3=1,I913,1)/IF('Charts data'!$E$4=1,J913,1)</f>
        <v>14500</v>
      </c>
    </row>
    <row r="914" spans="1:12" x14ac:dyDescent="0.25">
      <c r="A914" s="27" t="s">
        <v>226</v>
      </c>
      <c r="B914" s="27">
        <v>4320</v>
      </c>
      <c r="C914" s="27" t="s">
        <v>2</v>
      </c>
      <c r="D914" s="28">
        <f>B914*VLOOKUP(C914,tblXrate[],2,0)</f>
        <v>4320</v>
      </c>
      <c r="E914" s="27" t="s">
        <v>51</v>
      </c>
      <c r="F914" s="27" t="s">
        <v>3</v>
      </c>
      <c r="G914" s="27" t="s">
        <v>2272</v>
      </c>
      <c r="H914" s="27"/>
      <c r="I914" s="27">
        <f>VLOOKUP(F914,mapping!$L$2:$P$92,2,0)</f>
        <v>0.34064763831408895</v>
      </c>
      <c r="J914" s="27">
        <f>VLOOKUP($F914,mapping!$L$2:$P$92,3,0)</f>
        <v>1388.78</v>
      </c>
      <c r="K914" s="27" t="str">
        <f>VLOOKUP($F914,mapping!$L$2:$P$92,4,0)</f>
        <v>Developing Asia</v>
      </c>
      <c r="L914" s="29">
        <f>$D914*VLOOKUP($E914,'Charts data'!$A$2:$B$11,2,0)*VLOOKUP($G914,'Charts data'!$A$14:$B$18,2,0)/IF('Charts data'!$E$3=1,I914,1)/IF('Charts data'!$E$4=1,J914,1)</f>
        <v>4320</v>
      </c>
    </row>
    <row r="915" spans="1:12" x14ac:dyDescent="0.25">
      <c r="A915" s="27" t="s">
        <v>228</v>
      </c>
      <c r="B915" s="27">
        <v>7500</v>
      </c>
      <c r="C915" s="27" t="s">
        <v>2</v>
      </c>
      <c r="D915" s="28">
        <f>B915*VLOOKUP(C915,tblXrate[],2,0)</f>
        <v>7500</v>
      </c>
      <c r="E915" s="27" t="s">
        <v>7</v>
      </c>
      <c r="F915" s="27" t="s">
        <v>3</v>
      </c>
      <c r="G915" s="27" t="s">
        <v>2271</v>
      </c>
      <c r="H915" s="27"/>
      <c r="I915" s="27">
        <f>VLOOKUP(F915,mapping!$L$2:$P$92,2,0)</f>
        <v>0.34064763831408895</v>
      </c>
      <c r="J915" s="27">
        <f>VLOOKUP($F915,mapping!$L$2:$P$92,3,0)</f>
        <v>1388.78</v>
      </c>
      <c r="K915" s="27" t="str">
        <f>VLOOKUP($F915,mapping!$L$2:$P$92,4,0)</f>
        <v>Developing Asia</v>
      </c>
      <c r="L915" s="29">
        <f>$D915*VLOOKUP($E915,'Charts data'!$A$2:$B$11,2,0)*VLOOKUP($G915,'Charts data'!$A$14:$B$18,2,0)/IF('Charts data'!$E$3=1,I915,1)/IF('Charts data'!$E$4=1,J915,1)</f>
        <v>7500</v>
      </c>
    </row>
    <row r="916" spans="1:12" x14ac:dyDescent="0.25">
      <c r="A916" s="27" t="s">
        <v>358</v>
      </c>
      <c r="B916" s="27">
        <v>13636</v>
      </c>
      <c r="C916" s="27" t="s">
        <v>2</v>
      </c>
      <c r="D916" s="28">
        <f>B916*VLOOKUP(C916,tblXrate[],2,0)</f>
        <v>13636</v>
      </c>
      <c r="E916" s="27" t="s">
        <v>19</v>
      </c>
      <c r="F916" s="27" t="s">
        <v>3</v>
      </c>
      <c r="G916" s="27" t="s">
        <v>2273</v>
      </c>
      <c r="H916" s="27"/>
      <c r="I916" s="27">
        <f>VLOOKUP(F916,mapping!$L$2:$P$92,2,0)</f>
        <v>0.34064763831408895</v>
      </c>
      <c r="J916" s="27">
        <f>VLOOKUP($F916,mapping!$L$2:$P$92,3,0)</f>
        <v>1388.78</v>
      </c>
      <c r="K916" s="27" t="str">
        <f>VLOOKUP($F916,mapping!$L$2:$P$92,4,0)</f>
        <v>Developing Asia</v>
      </c>
      <c r="L916" s="29">
        <f>$D916*VLOOKUP($E916,'Charts data'!$A$2:$B$11,2,0)*VLOOKUP($G916,'Charts data'!$A$14:$B$18,2,0)/IF('Charts data'!$E$3=1,I916,1)/IF('Charts data'!$E$4=1,J916,1)</f>
        <v>13636</v>
      </c>
    </row>
    <row r="917" spans="1:12" x14ac:dyDescent="0.25">
      <c r="A917" s="27" t="s">
        <v>416</v>
      </c>
      <c r="B917" s="27">
        <v>20000</v>
      </c>
      <c r="C917" s="27" t="s">
        <v>2</v>
      </c>
      <c r="D917" s="28">
        <f>B917*VLOOKUP(C917,tblXrate[],2,0)</f>
        <v>20000</v>
      </c>
      <c r="E917" s="27" t="s">
        <v>19</v>
      </c>
      <c r="F917" s="27" t="s">
        <v>3</v>
      </c>
      <c r="G917" s="27" t="s">
        <v>2271</v>
      </c>
      <c r="H917" s="27"/>
      <c r="I917" s="27">
        <f>VLOOKUP(F917,mapping!$L$2:$P$92,2,0)</f>
        <v>0.34064763831408895</v>
      </c>
      <c r="J917" s="27">
        <f>VLOOKUP($F917,mapping!$L$2:$P$92,3,0)</f>
        <v>1388.78</v>
      </c>
      <c r="K917" s="27" t="str">
        <f>VLOOKUP($F917,mapping!$L$2:$P$92,4,0)</f>
        <v>Developing Asia</v>
      </c>
      <c r="L917" s="29">
        <f>$D917*VLOOKUP($E917,'Charts data'!$A$2:$B$11,2,0)*VLOOKUP($G917,'Charts data'!$A$14:$B$18,2,0)/IF('Charts data'!$E$3=1,I917,1)/IF('Charts data'!$E$4=1,J917,1)</f>
        <v>20000</v>
      </c>
    </row>
    <row r="918" spans="1:12" x14ac:dyDescent="0.25">
      <c r="A918" s="27" t="s">
        <v>418</v>
      </c>
      <c r="B918" s="27">
        <v>25000</v>
      </c>
      <c r="C918" s="27" t="s">
        <v>2</v>
      </c>
      <c r="D918" s="28">
        <f>B918*VLOOKUP(C918,tblXrate[],2,0)</f>
        <v>25000</v>
      </c>
      <c r="E918" s="27" t="s">
        <v>19</v>
      </c>
      <c r="F918" s="27" t="s">
        <v>3</v>
      </c>
      <c r="G918" s="27" t="s">
        <v>2274</v>
      </c>
      <c r="H918" s="27"/>
      <c r="I918" s="27">
        <f>VLOOKUP(F918,mapping!$L$2:$P$92,2,0)</f>
        <v>0.34064763831408895</v>
      </c>
      <c r="J918" s="27">
        <f>VLOOKUP($F918,mapping!$L$2:$P$92,3,0)</f>
        <v>1388.78</v>
      </c>
      <c r="K918" s="27" t="str">
        <f>VLOOKUP($F918,mapping!$L$2:$P$92,4,0)</f>
        <v>Developing Asia</v>
      </c>
      <c r="L918" s="29">
        <f>$D918*VLOOKUP($E918,'Charts data'!$A$2:$B$11,2,0)*VLOOKUP($G918,'Charts data'!$A$14:$B$18,2,0)/IF('Charts data'!$E$3=1,I918,1)/IF('Charts data'!$E$4=1,J918,1)</f>
        <v>25000</v>
      </c>
    </row>
    <row r="919" spans="1:12" x14ac:dyDescent="0.25">
      <c r="A919" s="27" t="s">
        <v>445</v>
      </c>
      <c r="B919" s="27">
        <v>20000</v>
      </c>
      <c r="C919" s="27" t="s">
        <v>2</v>
      </c>
      <c r="D919" s="28">
        <f>B919*VLOOKUP(C919,tblXrate[],2,0)</f>
        <v>20000</v>
      </c>
      <c r="E919" s="27" t="s">
        <v>7</v>
      </c>
      <c r="F919" s="27" t="s">
        <v>3</v>
      </c>
      <c r="G919" s="27" t="s">
        <v>2273</v>
      </c>
      <c r="H919" s="27"/>
      <c r="I919" s="27">
        <f>VLOOKUP(F919,mapping!$L$2:$P$92,2,0)</f>
        <v>0.34064763831408895</v>
      </c>
      <c r="J919" s="27">
        <f>VLOOKUP($F919,mapping!$L$2:$P$92,3,0)</f>
        <v>1388.78</v>
      </c>
      <c r="K919" s="27" t="str">
        <f>VLOOKUP($F919,mapping!$L$2:$P$92,4,0)</f>
        <v>Developing Asia</v>
      </c>
      <c r="L919" s="29">
        <f>$D919*VLOOKUP($E919,'Charts data'!$A$2:$B$11,2,0)*VLOOKUP($G919,'Charts data'!$A$14:$B$18,2,0)/IF('Charts data'!$E$3=1,I919,1)/IF('Charts data'!$E$4=1,J919,1)</f>
        <v>20000</v>
      </c>
    </row>
    <row r="920" spans="1:12" x14ac:dyDescent="0.25">
      <c r="A920" s="27" t="s">
        <v>454</v>
      </c>
      <c r="B920" s="27">
        <v>22000</v>
      </c>
      <c r="C920" s="27" t="s">
        <v>2</v>
      </c>
      <c r="D920" s="28">
        <f>B920*VLOOKUP(C920,tblXrate[],2,0)</f>
        <v>22000</v>
      </c>
      <c r="E920" s="27" t="s">
        <v>2145</v>
      </c>
      <c r="F920" s="27" t="s">
        <v>3</v>
      </c>
      <c r="G920" s="27" t="s">
        <v>2273</v>
      </c>
      <c r="H920" s="27"/>
      <c r="I920" s="27">
        <f>VLOOKUP(F920,mapping!$L$2:$P$92,2,0)</f>
        <v>0.34064763831408895</v>
      </c>
      <c r="J920" s="27">
        <f>VLOOKUP($F920,mapping!$L$2:$P$92,3,0)</f>
        <v>1388.78</v>
      </c>
      <c r="K920" s="27" t="str">
        <f>VLOOKUP($F920,mapping!$L$2:$P$92,4,0)</f>
        <v>Developing Asia</v>
      </c>
      <c r="L920" s="29">
        <f>$D920*VLOOKUP($E920,'Charts data'!$A$2:$B$11,2,0)*VLOOKUP($G920,'Charts data'!$A$14:$B$18,2,0)/IF('Charts data'!$E$3=1,I920,1)/IF('Charts data'!$E$4=1,J920,1)</f>
        <v>22000</v>
      </c>
    </row>
    <row r="921" spans="1:12" x14ac:dyDescent="0.25">
      <c r="A921" s="27" t="s">
        <v>473</v>
      </c>
      <c r="B921" s="27">
        <v>12000</v>
      </c>
      <c r="C921" s="27" t="s">
        <v>2</v>
      </c>
      <c r="D921" s="28">
        <f>B921*VLOOKUP(C921,tblXrate[],2,0)</f>
        <v>12000</v>
      </c>
      <c r="E921" s="27" t="s">
        <v>7</v>
      </c>
      <c r="F921" s="27" t="s">
        <v>3</v>
      </c>
      <c r="G921" s="27" t="s">
        <v>2273</v>
      </c>
      <c r="H921" s="27"/>
      <c r="I921" s="27">
        <f>VLOOKUP(F921,mapping!$L$2:$P$92,2,0)</f>
        <v>0.34064763831408895</v>
      </c>
      <c r="J921" s="27">
        <f>VLOOKUP($F921,mapping!$L$2:$P$92,3,0)</f>
        <v>1388.78</v>
      </c>
      <c r="K921" s="27" t="str">
        <f>VLOOKUP($F921,mapping!$L$2:$P$92,4,0)</f>
        <v>Developing Asia</v>
      </c>
      <c r="L921" s="29">
        <f>$D921*VLOOKUP($E921,'Charts data'!$A$2:$B$11,2,0)*VLOOKUP($G921,'Charts data'!$A$14:$B$18,2,0)/IF('Charts data'!$E$3=1,I921,1)/IF('Charts data'!$E$4=1,J921,1)</f>
        <v>12000</v>
      </c>
    </row>
    <row r="922" spans="1:12" x14ac:dyDescent="0.25">
      <c r="A922" s="27" t="s">
        <v>508</v>
      </c>
      <c r="B922" s="27">
        <v>13000</v>
      </c>
      <c r="C922" s="27" t="s">
        <v>2</v>
      </c>
      <c r="D922" s="28">
        <f>B922*VLOOKUP(C922,tblXrate[],2,0)</f>
        <v>13000</v>
      </c>
      <c r="E922" s="27" t="s">
        <v>19</v>
      </c>
      <c r="F922" s="27" t="s">
        <v>3</v>
      </c>
      <c r="G922" s="27" t="s">
        <v>2273</v>
      </c>
      <c r="H922" s="27"/>
      <c r="I922" s="27">
        <f>VLOOKUP(F922,mapping!$L$2:$P$92,2,0)</f>
        <v>0.34064763831408895</v>
      </c>
      <c r="J922" s="27">
        <f>VLOOKUP($F922,mapping!$L$2:$P$92,3,0)</f>
        <v>1388.78</v>
      </c>
      <c r="K922" s="27" t="str">
        <f>VLOOKUP($F922,mapping!$L$2:$P$92,4,0)</f>
        <v>Developing Asia</v>
      </c>
      <c r="L922" s="29">
        <f>$D922*VLOOKUP($E922,'Charts data'!$A$2:$B$11,2,0)*VLOOKUP($G922,'Charts data'!$A$14:$B$18,2,0)/IF('Charts data'!$E$3=1,I922,1)/IF('Charts data'!$E$4=1,J922,1)</f>
        <v>13000</v>
      </c>
    </row>
    <row r="923" spans="1:12" x14ac:dyDescent="0.25">
      <c r="A923" s="27" t="s">
        <v>512</v>
      </c>
      <c r="B923" s="27">
        <v>3800</v>
      </c>
      <c r="C923" s="27" t="s">
        <v>2</v>
      </c>
      <c r="D923" s="28">
        <f>B923*VLOOKUP(C923,tblXrate[],2,0)</f>
        <v>3800</v>
      </c>
      <c r="E923" s="27" t="s">
        <v>2145</v>
      </c>
      <c r="F923" s="27" t="s">
        <v>3</v>
      </c>
      <c r="G923" s="27" t="s">
        <v>2271</v>
      </c>
      <c r="H923" s="27"/>
      <c r="I923" s="27">
        <f>VLOOKUP(F923,mapping!$L$2:$P$92,2,0)</f>
        <v>0.34064763831408895</v>
      </c>
      <c r="J923" s="27">
        <f>VLOOKUP($F923,mapping!$L$2:$P$92,3,0)</f>
        <v>1388.78</v>
      </c>
      <c r="K923" s="27" t="str">
        <f>VLOOKUP($F923,mapping!$L$2:$P$92,4,0)</f>
        <v>Developing Asia</v>
      </c>
      <c r="L923" s="29">
        <f>$D923*VLOOKUP($E923,'Charts data'!$A$2:$B$11,2,0)*VLOOKUP($G923,'Charts data'!$A$14:$B$18,2,0)/IF('Charts data'!$E$3=1,I923,1)/IF('Charts data'!$E$4=1,J923,1)</f>
        <v>3800</v>
      </c>
    </row>
    <row r="924" spans="1:12" x14ac:dyDescent="0.25">
      <c r="A924" s="27" t="s">
        <v>527</v>
      </c>
      <c r="B924" s="27">
        <v>25000</v>
      </c>
      <c r="C924" s="27" t="s">
        <v>2</v>
      </c>
      <c r="D924" s="28">
        <f>B924*VLOOKUP(C924,tblXrate[],2,0)</f>
        <v>25000</v>
      </c>
      <c r="E924" s="27" t="s">
        <v>19</v>
      </c>
      <c r="F924" s="27" t="s">
        <v>3</v>
      </c>
      <c r="G924" s="27" t="s">
        <v>2271</v>
      </c>
      <c r="H924" s="27"/>
      <c r="I924" s="27">
        <f>VLOOKUP(F924,mapping!$L$2:$P$92,2,0)</f>
        <v>0.34064763831408895</v>
      </c>
      <c r="J924" s="27">
        <f>VLOOKUP($F924,mapping!$L$2:$P$92,3,0)</f>
        <v>1388.78</v>
      </c>
      <c r="K924" s="27" t="str">
        <f>VLOOKUP($F924,mapping!$L$2:$P$92,4,0)</f>
        <v>Developing Asia</v>
      </c>
      <c r="L924" s="29">
        <f>$D924*VLOOKUP($E924,'Charts data'!$A$2:$B$11,2,0)*VLOOKUP($G924,'Charts data'!$A$14:$B$18,2,0)/IF('Charts data'!$E$3=1,I924,1)/IF('Charts data'!$E$4=1,J924,1)</f>
        <v>25000</v>
      </c>
    </row>
    <row r="925" spans="1:12" x14ac:dyDescent="0.25">
      <c r="A925" s="27" t="s">
        <v>535</v>
      </c>
      <c r="B925" s="27">
        <v>18000</v>
      </c>
      <c r="C925" s="27" t="s">
        <v>2</v>
      </c>
      <c r="D925" s="28">
        <f>B925*VLOOKUP(C925,tblXrate[],2,0)</f>
        <v>18000</v>
      </c>
      <c r="E925" s="27" t="s">
        <v>2147</v>
      </c>
      <c r="F925" s="27" t="s">
        <v>3</v>
      </c>
      <c r="G925" s="27" t="s">
        <v>2272</v>
      </c>
      <c r="H925" s="27"/>
      <c r="I925" s="27">
        <f>VLOOKUP(F925,mapping!$L$2:$P$92,2,0)</f>
        <v>0.34064763831408895</v>
      </c>
      <c r="J925" s="27">
        <f>VLOOKUP($F925,mapping!$L$2:$P$92,3,0)</f>
        <v>1388.78</v>
      </c>
      <c r="K925" s="27" t="str">
        <f>VLOOKUP($F925,mapping!$L$2:$P$92,4,0)</f>
        <v>Developing Asia</v>
      </c>
      <c r="L925" s="29">
        <f>$D925*VLOOKUP($E925,'Charts data'!$A$2:$B$11,2,0)*VLOOKUP($G925,'Charts data'!$A$14:$B$18,2,0)/IF('Charts data'!$E$3=1,I925,1)/IF('Charts data'!$E$4=1,J925,1)</f>
        <v>18000</v>
      </c>
    </row>
    <row r="926" spans="1:12" x14ac:dyDescent="0.25">
      <c r="A926" s="27" t="s">
        <v>566</v>
      </c>
      <c r="B926" s="27">
        <v>30000</v>
      </c>
      <c r="C926" s="27" t="s">
        <v>2</v>
      </c>
      <c r="D926" s="28">
        <f>B926*VLOOKUP(C926,tblXrate[],2,0)</f>
        <v>30000</v>
      </c>
      <c r="E926" s="27" t="s">
        <v>2147</v>
      </c>
      <c r="F926" s="27" t="s">
        <v>3</v>
      </c>
      <c r="G926" s="27" t="s">
        <v>2272</v>
      </c>
      <c r="H926" s="27"/>
      <c r="I926" s="27">
        <f>VLOOKUP(F926,mapping!$L$2:$P$92,2,0)</f>
        <v>0.34064763831408895</v>
      </c>
      <c r="J926" s="27">
        <f>VLOOKUP($F926,mapping!$L$2:$P$92,3,0)</f>
        <v>1388.78</v>
      </c>
      <c r="K926" s="27" t="str">
        <f>VLOOKUP($F926,mapping!$L$2:$P$92,4,0)</f>
        <v>Developing Asia</v>
      </c>
      <c r="L926" s="29">
        <f>$D926*VLOOKUP($E926,'Charts data'!$A$2:$B$11,2,0)*VLOOKUP($G926,'Charts data'!$A$14:$B$18,2,0)/IF('Charts data'!$E$3=1,I926,1)/IF('Charts data'!$E$4=1,J926,1)</f>
        <v>30000</v>
      </c>
    </row>
    <row r="927" spans="1:12" x14ac:dyDescent="0.25">
      <c r="A927" s="27" t="s">
        <v>612</v>
      </c>
      <c r="B927" s="27">
        <v>5000</v>
      </c>
      <c r="C927" s="27" t="s">
        <v>2</v>
      </c>
      <c r="D927" s="28">
        <f>B927*VLOOKUP(C927,tblXrate[],2,0)</f>
        <v>5000</v>
      </c>
      <c r="E927" s="27" t="s">
        <v>2145</v>
      </c>
      <c r="F927" s="27" t="s">
        <v>3</v>
      </c>
      <c r="G927" s="27" t="s">
        <v>2271</v>
      </c>
      <c r="H927" s="27"/>
      <c r="I927" s="27">
        <f>VLOOKUP(F927,mapping!$L$2:$P$92,2,0)</f>
        <v>0.34064763831408895</v>
      </c>
      <c r="J927" s="27">
        <f>VLOOKUP($F927,mapping!$L$2:$P$92,3,0)</f>
        <v>1388.78</v>
      </c>
      <c r="K927" s="27" t="str">
        <f>VLOOKUP($F927,mapping!$L$2:$P$92,4,0)</f>
        <v>Developing Asia</v>
      </c>
      <c r="L927" s="29">
        <f>$D927*VLOOKUP($E927,'Charts data'!$A$2:$B$11,2,0)*VLOOKUP($G927,'Charts data'!$A$14:$B$18,2,0)/IF('Charts data'!$E$3=1,I927,1)/IF('Charts data'!$E$4=1,J927,1)</f>
        <v>5000</v>
      </c>
    </row>
    <row r="928" spans="1:12" x14ac:dyDescent="0.25">
      <c r="A928" s="27" t="s">
        <v>637</v>
      </c>
      <c r="B928" s="27">
        <v>20000</v>
      </c>
      <c r="C928" s="27" t="s">
        <v>2</v>
      </c>
      <c r="D928" s="28">
        <f>B928*VLOOKUP(C928,tblXrate[],2,0)</f>
        <v>20000</v>
      </c>
      <c r="E928" s="27" t="s">
        <v>23</v>
      </c>
      <c r="F928" s="27" t="s">
        <v>3</v>
      </c>
      <c r="G928" s="27" t="s">
        <v>2271</v>
      </c>
      <c r="H928" s="27"/>
      <c r="I928" s="27">
        <f>VLOOKUP(F928,mapping!$L$2:$P$92,2,0)</f>
        <v>0.34064763831408895</v>
      </c>
      <c r="J928" s="27">
        <f>VLOOKUP($F928,mapping!$L$2:$P$92,3,0)</f>
        <v>1388.78</v>
      </c>
      <c r="K928" s="27" t="str">
        <f>VLOOKUP($F928,mapping!$L$2:$P$92,4,0)</f>
        <v>Developing Asia</v>
      </c>
      <c r="L928" s="29">
        <f>$D928*VLOOKUP($E928,'Charts data'!$A$2:$B$11,2,0)*VLOOKUP($G928,'Charts data'!$A$14:$B$18,2,0)/IF('Charts data'!$E$3=1,I928,1)/IF('Charts data'!$E$4=1,J928,1)</f>
        <v>20000</v>
      </c>
    </row>
    <row r="929" spans="1:12" x14ac:dyDescent="0.25">
      <c r="A929" s="27" t="s">
        <v>652</v>
      </c>
      <c r="B929" s="27">
        <v>20000</v>
      </c>
      <c r="C929" s="27" t="s">
        <v>2</v>
      </c>
      <c r="D929" s="28">
        <f>B929*VLOOKUP(C929,tblXrate[],2,0)</f>
        <v>20000</v>
      </c>
      <c r="E929" s="27" t="s">
        <v>53</v>
      </c>
      <c r="F929" s="27" t="s">
        <v>3</v>
      </c>
      <c r="G929" s="27" t="s">
        <v>2272</v>
      </c>
      <c r="H929" s="27"/>
      <c r="I929" s="27">
        <f>VLOOKUP(F929,mapping!$L$2:$P$92,2,0)</f>
        <v>0.34064763831408895</v>
      </c>
      <c r="J929" s="27">
        <f>VLOOKUP($F929,mapping!$L$2:$P$92,3,0)</f>
        <v>1388.78</v>
      </c>
      <c r="K929" s="27" t="str">
        <f>VLOOKUP($F929,mapping!$L$2:$P$92,4,0)</f>
        <v>Developing Asia</v>
      </c>
      <c r="L929" s="29">
        <f>$D929*VLOOKUP($E929,'Charts data'!$A$2:$B$11,2,0)*VLOOKUP($G929,'Charts data'!$A$14:$B$18,2,0)/IF('Charts data'!$E$3=1,I929,1)/IF('Charts data'!$E$4=1,J929,1)</f>
        <v>20000</v>
      </c>
    </row>
    <row r="930" spans="1:12" x14ac:dyDescent="0.25">
      <c r="A930" s="27" t="s">
        <v>653</v>
      </c>
      <c r="B930" s="27">
        <v>6000</v>
      </c>
      <c r="C930" s="27" t="s">
        <v>2</v>
      </c>
      <c r="D930" s="28">
        <f>B930*VLOOKUP(C930,tblXrate[],2,0)</f>
        <v>6000</v>
      </c>
      <c r="E930" s="27" t="s">
        <v>2145</v>
      </c>
      <c r="F930" s="27" t="s">
        <v>3</v>
      </c>
      <c r="G930" s="27" t="s">
        <v>2273</v>
      </c>
      <c r="H930" s="27"/>
      <c r="I930" s="27">
        <f>VLOOKUP(F930,mapping!$L$2:$P$92,2,0)</f>
        <v>0.34064763831408895</v>
      </c>
      <c r="J930" s="27">
        <f>VLOOKUP($F930,mapping!$L$2:$P$92,3,0)</f>
        <v>1388.78</v>
      </c>
      <c r="K930" s="27" t="str">
        <f>VLOOKUP($F930,mapping!$L$2:$P$92,4,0)</f>
        <v>Developing Asia</v>
      </c>
      <c r="L930" s="29">
        <f>$D930*VLOOKUP($E930,'Charts data'!$A$2:$B$11,2,0)*VLOOKUP($G930,'Charts data'!$A$14:$B$18,2,0)/IF('Charts data'!$E$3=1,I930,1)/IF('Charts data'!$E$4=1,J930,1)</f>
        <v>6000</v>
      </c>
    </row>
    <row r="931" spans="1:12" x14ac:dyDescent="0.25">
      <c r="A931" s="27" t="s">
        <v>670</v>
      </c>
      <c r="B931" s="27">
        <v>8400</v>
      </c>
      <c r="C931" s="27" t="s">
        <v>2</v>
      </c>
      <c r="D931" s="28">
        <f>B931*VLOOKUP(C931,tblXrate[],2,0)</f>
        <v>8400</v>
      </c>
      <c r="E931" s="27" t="s">
        <v>19</v>
      </c>
      <c r="F931" s="27" t="s">
        <v>3</v>
      </c>
      <c r="G931" s="27" t="s">
        <v>2271</v>
      </c>
      <c r="H931" s="27"/>
      <c r="I931" s="27">
        <f>VLOOKUP(F931,mapping!$L$2:$P$92,2,0)</f>
        <v>0.34064763831408895</v>
      </c>
      <c r="J931" s="27">
        <f>VLOOKUP($F931,mapping!$L$2:$P$92,3,0)</f>
        <v>1388.78</v>
      </c>
      <c r="K931" s="27" t="str">
        <f>VLOOKUP($F931,mapping!$L$2:$P$92,4,0)</f>
        <v>Developing Asia</v>
      </c>
      <c r="L931" s="29">
        <f>$D931*VLOOKUP($E931,'Charts data'!$A$2:$B$11,2,0)*VLOOKUP($G931,'Charts data'!$A$14:$B$18,2,0)/IF('Charts data'!$E$3=1,I931,1)/IF('Charts data'!$E$4=1,J931,1)</f>
        <v>8400</v>
      </c>
    </row>
    <row r="932" spans="1:12" x14ac:dyDescent="0.25">
      <c r="A932" s="27" t="s">
        <v>682</v>
      </c>
      <c r="B932" s="27">
        <v>15000</v>
      </c>
      <c r="C932" s="27" t="s">
        <v>2</v>
      </c>
      <c r="D932" s="28">
        <f>B932*VLOOKUP(C932,tblXrate[],2,0)</f>
        <v>15000</v>
      </c>
      <c r="E932" s="27" t="s">
        <v>19</v>
      </c>
      <c r="F932" s="27" t="s">
        <v>3</v>
      </c>
      <c r="G932" s="27" t="s">
        <v>2271</v>
      </c>
      <c r="H932" s="27"/>
      <c r="I932" s="27">
        <f>VLOOKUP(F932,mapping!$L$2:$P$92,2,0)</f>
        <v>0.34064763831408895</v>
      </c>
      <c r="J932" s="27">
        <f>VLOOKUP($F932,mapping!$L$2:$P$92,3,0)</f>
        <v>1388.78</v>
      </c>
      <c r="K932" s="27" t="str">
        <f>VLOOKUP($F932,mapping!$L$2:$P$92,4,0)</f>
        <v>Developing Asia</v>
      </c>
      <c r="L932" s="29">
        <f>$D932*VLOOKUP($E932,'Charts data'!$A$2:$B$11,2,0)*VLOOKUP($G932,'Charts data'!$A$14:$B$18,2,0)/IF('Charts data'!$E$3=1,I932,1)/IF('Charts data'!$E$4=1,J932,1)</f>
        <v>15000</v>
      </c>
    </row>
    <row r="933" spans="1:12" x14ac:dyDescent="0.25">
      <c r="A933" s="27" t="s">
        <v>733</v>
      </c>
      <c r="B933" s="27">
        <v>4285</v>
      </c>
      <c r="C933" s="27" t="s">
        <v>2</v>
      </c>
      <c r="D933" s="28">
        <f>B933*VLOOKUP(C933,tblXrate[],2,0)</f>
        <v>4285</v>
      </c>
      <c r="E933" s="27" t="s">
        <v>7</v>
      </c>
      <c r="F933" s="27" t="s">
        <v>3</v>
      </c>
      <c r="G933" s="27" t="s">
        <v>2273</v>
      </c>
      <c r="H933" s="27">
        <v>6</v>
      </c>
      <c r="I933" s="27">
        <f>VLOOKUP(F933,mapping!$L$2:$P$92,2,0)</f>
        <v>0.34064763831408895</v>
      </c>
      <c r="J933" s="27">
        <f>VLOOKUP($F933,mapping!$L$2:$P$92,3,0)</f>
        <v>1388.78</v>
      </c>
      <c r="K933" s="27" t="str">
        <f>VLOOKUP($F933,mapping!$L$2:$P$92,4,0)</f>
        <v>Developing Asia</v>
      </c>
      <c r="L933" s="29">
        <f>$D933*VLOOKUP($E933,'Charts data'!$A$2:$B$11,2,0)*VLOOKUP($G933,'Charts data'!$A$14:$B$18,2,0)/IF('Charts data'!$E$3=1,I933,1)/IF('Charts data'!$E$4=1,J933,1)</f>
        <v>4285</v>
      </c>
    </row>
    <row r="934" spans="1:12" x14ac:dyDescent="0.25">
      <c r="A934" s="27" t="s">
        <v>756</v>
      </c>
      <c r="B934" s="27">
        <v>50000</v>
      </c>
      <c r="C934" s="27" t="s">
        <v>2</v>
      </c>
      <c r="D934" s="28">
        <f>B934*VLOOKUP(C934,tblXrate[],2,0)</f>
        <v>50000</v>
      </c>
      <c r="E934" s="27" t="s">
        <v>19</v>
      </c>
      <c r="F934" s="27" t="s">
        <v>3</v>
      </c>
      <c r="G934" s="27" t="s">
        <v>2274</v>
      </c>
      <c r="H934" s="27">
        <v>25</v>
      </c>
      <c r="I934" s="27">
        <f>VLOOKUP(F934,mapping!$L$2:$P$92,2,0)</f>
        <v>0.34064763831408895</v>
      </c>
      <c r="J934" s="27">
        <f>VLOOKUP($F934,mapping!$L$2:$P$92,3,0)</f>
        <v>1388.78</v>
      </c>
      <c r="K934" s="27" t="str">
        <f>VLOOKUP($F934,mapping!$L$2:$P$92,4,0)</f>
        <v>Developing Asia</v>
      </c>
      <c r="L934" s="29">
        <f>$D934*VLOOKUP($E934,'Charts data'!$A$2:$B$11,2,0)*VLOOKUP($G934,'Charts data'!$A$14:$B$18,2,0)/IF('Charts data'!$E$3=1,I934,1)/IF('Charts data'!$E$4=1,J934,1)</f>
        <v>50000</v>
      </c>
    </row>
    <row r="935" spans="1:12" x14ac:dyDescent="0.25">
      <c r="A935" s="27" t="s">
        <v>761</v>
      </c>
      <c r="B935" s="27">
        <v>50000</v>
      </c>
      <c r="C935" s="27" t="s">
        <v>2</v>
      </c>
      <c r="D935" s="28">
        <f>B935*VLOOKUP(C935,tblXrate[],2,0)</f>
        <v>50000</v>
      </c>
      <c r="E935" s="27" t="s">
        <v>19</v>
      </c>
      <c r="F935" s="27" t="s">
        <v>3</v>
      </c>
      <c r="G935" s="27" t="s">
        <v>2274</v>
      </c>
      <c r="H935" s="27">
        <v>10</v>
      </c>
      <c r="I935" s="27">
        <f>VLOOKUP(F935,mapping!$L$2:$P$92,2,0)</f>
        <v>0.34064763831408895</v>
      </c>
      <c r="J935" s="27">
        <f>VLOOKUP($F935,mapping!$L$2:$P$92,3,0)</f>
        <v>1388.78</v>
      </c>
      <c r="K935" s="27" t="str">
        <f>VLOOKUP($F935,mapping!$L$2:$P$92,4,0)</f>
        <v>Developing Asia</v>
      </c>
      <c r="L935" s="29">
        <f>$D935*VLOOKUP($E935,'Charts data'!$A$2:$B$11,2,0)*VLOOKUP($G935,'Charts data'!$A$14:$B$18,2,0)/IF('Charts data'!$E$3=1,I935,1)/IF('Charts data'!$E$4=1,J935,1)</f>
        <v>50000</v>
      </c>
    </row>
    <row r="936" spans="1:12" x14ac:dyDescent="0.25">
      <c r="A936" s="27" t="s">
        <v>774</v>
      </c>
      <c r="B936" s="27">
        <v>21000</v>
      </c>
      <c r="C936" s="27" t="s">
        <v>2</v>
      </c>
      <c r="D936" s="28">
        <f>B936*VLOOKUP(C936,tblXrate[],2,0)</f>
        <v>21000</v>
      </c>
      <c r="E936" s="27" t="s">
        <v>19</v>
      </c>
      <c r="F936" s="27" t="s">
        <v>3</v>
      </c>
      <c r="G936" s="27" t="s">
        <v>2273</v>
      </c>
      <c r="H936" s="27">
        <v>23</v>
      </c>
      <c r="I936" s="27">
        <f>VLOOKUP(F936,mapping!$L$2:$P$92,2,0)</f>
        <v>0.34064763831408895</v>
      </c>
      <c r="J936" s="27">
        <f>VLOOKUP($F936,mapping!$L$2:$P$92,3,0)</f>
        <v>1388.78</v>
      </c>
      <c r="K936" s="27" t="str">
        <f>VLOOKUP($F936,mapping!$L$2:$P$92,4,0)</f>
        <v>Developing Asia</v>
      </c>
      <c r="L936" s="29">
        <f>$D936*VLOOKUP($E936,'Charts data'!$A$2:$B$11,2,0)*VLOOKUP($G936,'Charts data'!$A$14:$B$18,2,0)/IF('Charts data'!$E$3=1,I936,1)/IF('Charts data'!$E$4=1,J936,1)</f>
        <v>21000</v>
      </c>
    </row>
    <row r="937" spans="1:12" x14ac:dyDescent="0.25">
      <c r="A937" s="27" t="s">
        <v>777</v>
      </c>
      <c r="B937" s="27">
        <v>8400</v>
      </c>
      <c r="C937" s="27" t="s">
        <v>2</v>
      </c>
      <c r="D937" s="28">
        <f>B937*VLOOKUP(C937,tblXrate[],2,0)</f>
        <v>8400</v>
      </c>
      <c r="E937" s="27" t="s">
        <v>19</v>
      </c>
      <c r="F937" s="27" t="s">
        <v>3</v>
      </c>
      <c r="G937" s="27" t="s">
        <v>2273</v>
      </c>
      <c r="H937" s="27">
        <v>26</v>
      </c>
      <c r="I937" s="27">
        <f>VLOOKUP(F937,mapping!$L$2:$P$92,2,0)</f>
        <v>0.34064763831408895</v>
      </c>
      <c r="J937" s="27">
        <f>VLOOKUP($F937,mapping!$L$2:$P$92,3,0)</f>
        <v>1388.78</v>
      </c>
      <c r="K937" s="27" t="str">
        <f>VLOOKUP($F937,mapping!$L$2:$P$92,4,0)</f>
        <v>Developing Asia</v>
      </c>
      <c r="L937" s="29">
        <f>$D937*VLOOKUP($E937,'Charts data'!$A$2:$B$11,2,0)*VLOOKUP($G937,'Charts data'!$A$14:$B$18,2,0)/IF('Charts data'!$E$3=1,I937,1)/IF('Charts data'!$E$4=1,J937,1)</f>
        <v>8400</v>
      </c>
    </row>
    <row r="938" spans="1:12" x14ac:dyDescent="0.25">
      <c r="A938" s="27" t="s">
        <v>780</v>
      </c>
      <c r="B938" s="27">
        <v>4000</v>
      </c>
      <c r="C938" s="27" t="s">
        <v>2</v>
      </c>
      <c r="D938" s="28">
        <f>B938*VLOOKUP(C938,tblXrate[],2,0)</f>
        <v>4000</v>
      </c>
      <c r="E938" s="27" t="s">
        <v>2145</v>
      </c>
      <c r="F938" s="27" t="s">
        <v>3</v>
      </c>
      <c r="G938" s="27" t="s">
        <v>2273</v>
      </c>
      <c r="H938" s="27">
        <v>6</v>
      </c>
      <c r="I938" s="27">
        <f>VLOOKUP(F938,mapping!$L$2:$P$92,2,0)</f>
        <v>0.34064763831408895</v>
      </c>
      <c r="J938" s="27">
        <f>VLOOKUP($F938,mapping!$L$2:$P$92,3,0)</f>
        <v>1388.78</v>
      </c>
      <c r="K938" s="27" t="str">
        <f>VLOOKUP($F938,mapping!$L$2:$P$92,4,0)</f>
        <v>Developing Asia</v>
      </c>
      <c r="L938" s="29">
        <f>$D938*VLOOKUP($E938,'Charts data'!$A$2:$B$11,2,0)*VLOOKUP($G938,'Charts data'!$A$14:$B$18,2,0)/IF('Charts data'!$E$3=1,I938,1)/IF('Charts data'!$E$4=1,J938,1)</f>
        <v>4000</v>
      </c>
    </row>
    <row r="939" spans="1:12" x14ac:dyDescent="0.25">
      <c r="A939" s="27" t="s">
        <v>784</v>
      </c>
      <c r="B939" s="27">
        <v>4200</v>
      </c>
      <c r="C939" s="27" t="s">
        <v>2</v>
      </c>
      <c r="D939" s="28">
        <f>B939*VLOOKUP(C939,tblXrate[],2,0)</f>
        <v>4200</v>
      </c>
      <c r="E939" s="27" t="s">
        <v>2145</v>
      </c>
      <c r="F939" s="27" t="s">
        <v>3</v>
      </c>
      <c r="G939" s="27" t="s">
        <v>2273</v>
      </c>
      <c r="H939" s="27">
        <v>4</v>
      </c>
      <c r="I939" s="27">
        <f>VLOOKUP(F939,mapping!$L$2:$P$92,2,0)</f>
        <v>0.34064763831408895</v>
      </c>
      <c r="J939" s="27">
        <f>VLOOKUP($F939,mapping!$L$2:$P$92,3,0)</f>
        <v>1388.78</v>
      </c>
      <c r="K939" s="27" t="str">
        <f>VLOOKUP($F939,mapping!$L$2:$P$92,4,0)</f>
        <v>Developing Asia</v>
      </c>
      <c r="L939" s="29">
        <f>$D939*VLOOKUP($E939,'Charts data'!$A$2:$B$11,2,0)*VLOOKUP($G939,'Charts data'!$A$14:$B$18,2,0)/IF('Charts data'!$E$3=1,I939,1)/IF('Charts data'!$E$4=1,J939,1)</f>
        <v>4200</v>
      </c>
    </row>
    <row r="940" spans="1:12" x14ac:dyDescent="0.25">
      <c r="A940" s="27" t="s">
        <v>802</v>
      </c>
      <c r="B940" s="27">
        <v>4000</v>
      </c>
      <c r="C940" s="27" t="s">
        <v>2</v>
      </c>
      <c r="D940" s="28">
        <f>B940*VLOOKUP(C940,tblXrate[],2,0)</f>
        <v>4000</v>
      </c>
      <c r="E940" s="27" t="s">
        <v>2145</v>
      </c>
      <c r="F940" s="27" t="s">
        <v>3</v>
      </c>
      <c r="G940" s="27" t="s">
        <v>2273</v>
      </c>
      <c r="H940" s="27">
        <v>4</v>
      </c>
      <c r="I940" s="27">
        <f>VLOOKUP(F940,mapping!$L$2:$P$92,2,0)</f>
        <v>0.34064763831408895</v>
      </c>
      <c r="J940" s="27">
        <f>VLOOKUP($F940,mapping!$L$2:$P$92,3,0)</f>
        <v>1388.78</v>
      </c>
      <c r="K940" s="27" t="str">
        <f>VLOOKUP($F940,mapping!$L$2:$P$92,4,0)</f>
        <v>Developing Asia</v>
      </c>
      <c r="L940" s="29">
        <f>$D940*VLOOKUP($E940,'Charts data'!$A$2:$B$11,2,0)*VLOOKUP($G940,'Charts data'!$A$14:$B$18,2,0)/IF('Charts data'!$E$3=1,I940,1)/IF('Charts data'!$E$4=1,J940,1)</f>
        <v>4000</v>
      </c>
    </row>
    <row r="941" spans="1:12" x14ac:dyDescent="0.25">
      <c r="A941" s="27" t="s">
        <v>808</v>
      </c>
      <c r="B941" s="27">
        <v>4000</v>
      </c>
      <c r="C941" s="27" t="s">
        <v>2</v>
      </c>
      <c r="D941" s="28">
        <f>B941*VLOOKUP(C941,tblXrate[],2,0)</f>
        <v>4000</v>
      </c>
      <c r="E941" s="27" t="s">
        <v>19</v>
      </c>
      <c r="F941" s="27" t="s">
        <v>3</v>
      </c>
      <c r="G941" s="27" t="s">
        <v>2273</v>
      </c>
      <c r="H941" s="27">
        <v>8</v>
      </c>
      <c r="I941" s="27">
        <f>VLOOKUP(F941,mapping!$L$2:$P$92,2,0)</f>
        <v>0.34064763831408895</v>
      </c>
      <c r="J941" s="27">
        <f>VLOOKUP($F941,mapping!$L$2:$P$92,3,0)</f>
        <v>1388.78</v>
      </c>
      <c r="K941" s="27" t="str">
        <f>VLOOKUP($F941,mapping!$L$2:$P$92,4,0)</f>
        <v>Developing Asia</v>
      </c>
      <c r="L941" s="29">
        <f>$D941*VLOOKUP($E941,'Charts data'!$A$2:$B$11,2,0)*VLOOKUP($G941,'Charts data'!$A$14:$B$18,2,0)/IF('Charts data'!$E$3=1,I941,1)/IF('Charts data'!$E$4=1,J941,1)</f>
        <v>4000</v>
      </c>
    </row>
    <row r="942" spans="1:12" x14ac:dyDescent="0.25">
      <c r="A942" s="27" t="s">
        <v>809</v>
      </c>
      <c r="B942" s="27">
        <v>5400</v>
      </c>
      <c r="C942" s="27" t="s">
        <v>2</v>
      </c>
      <c r="D942" s="28">
        <f>B942*VLOOKUP(C942,tblXrate[],2,0)</f>
        <v>5400</v>
      </c>
      <c r="E942" s="27" t="s">
        <v>19</v>
      </c>
      <c r="F942" s="27" t="s">
        <v>3</v>
      </c>
      <c r="G942" s="27" t="s">
        <v>2273</v>
      </c>
      <c r="H942" s="27">
        <v>3</v>
      </c>
      <c r="I942" s="27">
        <f>VLOOKUP(F942,mapping!$L$2:$P$92,2,0)</f>
        <v>0.34064763831408895</v>
      </c>
      <c r="J942" s="27">
        <f>VLOOKUP($F942,mapping!$L$2:$P$92,3,0)</f>
        <v>1388.78</v>
      </c>
      <c r="K942" s="27" t="str">
        <f>VLOOKUP($F942,mapping!$L$2:$P$92,4,0)</f>
        <v>Developing Asia</v>
      </c>
      <c r="L942" s="29">
        <f>$D942*VLOOKUP($E942,'Charts data'!$A$2:$B$11,2,0)*VLOOKUP($G942,'Charts data'!$A$14:$B$18,2,0)/IF('Charts data'!$E$3=1,I942,1)/IF('Charts data'!$E$4=1,J942,1)</f>
        <v>5400</v>
      </c>
    </row>
    <row r="943" spans="1:12" x14ac:dyDescent="0.25">
      <c r="A943" s="27" t="s">
        <v>811</v>
      </c>
      <c r="B943" s="27">
        <v>21500</v>
      </c>
      <c r="C943" s="27" t="s">
        <v>2</v>
      </c>
      <c r="D943" s="28">
        <f>B943*VLOOKUP(C943,tblXrate[],2,0)</f>
        <v>21500</v>
      </c>
      <c r="E943" s="27" t="s">
        <v>7</v>
      </c>
      <c r="F943" s="27" t="s">
        <v>3</v>
      </c>
      <c r="G943" s="27" t="s">
        <v>2271</v>
      </c>
      <c r="H943" s="27">
        <v>9</v>
      </c>
      <c r="I943" s="27">
        <f>VLOOKUP(F943,mapping!$L$2:$P$92,2,0)</f>
        <v>0.34064763831408895</v>
      </c>
      <c r="J943" s="27">
        <f>VLOOKUP($F943,mapping!$L$2:$P$92,3,0)</f>
        <v>1388.78</v>
      </c>
      <c r="K943" s="27" t="str">
        <f>VLOOKUP($F943,mapping!$L$2:$P$92,4,0)</f>
        <v>Developing Asia</v>
      </c>
      <c r="L943" s="29">
        <f>$D943*VLOOKUP($E943,'Charts data'!$A$2:$B$11,2,0)*VLOOKUP($G943,'Charts data'!$A$14:$B$18,2,0)/IF('Charts data'!$E$3=1,I943,1)/IF('Charts data'!$E$4=1,J943,1)</f>
        <v>21500</v>
      </c>
    </row>
    <row r="944" spans="1:12" x14ac:dyDescent="0.25">
      <c r="A944" s="27" t="s">
        <v>812</v>
      </c>
      <c r="B944" s="27">
        <v>15000</v>
      </c>
      <c r="C944" s="27" t="s">
        <v>2</v>
      </c>
      <c r="D944" s="28">
        <f>B944*VLOOKUP(C944,tblXrate[],2,0)</f>
        <v>15000</v>
      </c>
      <c r="E944" s="27" t="s">
        <v>2145</v>
      </c>
      <c r="F944" s="27" t="s">
        <v>3</v>
      </c>
      <c r="G944" s="27" t="s">
        <v>2273</v>
      </c>
      <c r="H944" s="27">
        <v>2</v>
      </c>
      <c r="I944" s="27">
        <f>VLOOKUP(F944,mapping!$L$2:$P$92,2,0)</f>
        <v>0.34064763831408895</v>
      </c>
      <c r="J944" s="27">
        <f>VLOOKUP($F944,mapping!$L$2:$P$92,3,0)</f>
        <v>1388.78</v>
      </c>
      <c r="K944" s="27" t="str">
        <f>VLOOKUP($F944,mapping!$L$2:$P$92,4,0)</f>
        <v>Developing Asia</v>
      </c>
      <c r="L944" s="29">
        <f>$D944*VLOOKUP($E944,'Charts data'!$A$2:$B$11,2,0)*VLOOKUP($G944,'Charts data'!$A$14:$B$18,2,0)/IF('Charts data'!$E$3=1,I944,1)/IF('Charts data'!$E$4=1,J944,1)</f>
        <v>15000</v>
      </c>
    </row>
    <row r="945" spans="1:12" x14ac:dyDescent="0.25">
      <c r="A945" s="27" t="s">
        <v>817</v>
      </c>
      <c r="B945" s="27">
        <v>37000</v>
      </c>
      <c r="C945" s="27" t="s">
        <v>2</v>
      </c>
      <c r="D945" s="28">
        <f>B945*VLOOKUP(C945,tblXrate[],2,0)</f>
        <v>37000</v>
      </c>
      <c r="E945" s="27" t="s">
        <v>48</v>
      </c>
      <c r="F945" s="27" t="s">
        <v>3</v>
      </c>
      <c r="G945" s="27" t="s">
        <v>2271</v>
      </c>
      <c r="H945" s="27">
        <v>10</v>
      </c>
      <c r="I945" s="27">
        <f>VLOOKUP(F945,mapping!$L$2:$P$92,2,0)</f>
        <v>0.34064763831408895</v>
      </c>
      <c r="J945" s="27">
        <f>VLOOKUP($F945,mapping!$L$2:$P$92,3,0)</f>
        <v>1388.78</v>
      </c>
      <c r="K945" s="27" t="str">
        <f>VLOOKUP($F945,mapping!$L$2:$P$92,4,0)</f>
        <v>Developing Asia</v>
      </c>
      <c r="L945" s="29">
        <f>$D945*VLOOKUP($E945,'Charts data'!$A$2:$B$11,2,0)*VLOOKUP($G945,'Charts data'!$A$14:$B$18,2,0)/IF('Charts data'!$E$3=1,I945,1)/IF('Charts data'!$E$4=1,J945,1)</f>
        <v>37000</v>
      </c>
    </row>
    <row r="946" spans="1:12" x14ac:dyDescent="0.25">
      <c r="A946" s="27" t="s">
        <v>821</v>
      </c>
      <c r="B946" s="27">
        <v>5800</v>
      </c>
      <c r="C946" s="27" t="s">
        <v>2</v>
      </c>
      <c r="D946" s="28">
        <f>B946*VLOOKUP(C946,tblXrate[],2,0)</f>
        <v>5800</v>
      </c>
      <c r="E946" s="27" t="s">
        <v>19</v>
      </c>
      <c r="F946" s="27" t="s">
        <v>3</v>
      </c>
      <c r="G946" s="27" t="s">
        <v>2273</v>
      </c>
      <c r="H946" s="27">
        <v>8</v>
      </c>
      <c r="I946" s="27">
        <f>VLOOKUP(F946,mapping!$L$2:$P$92,2,0)</f>
        <v>0.34064763831408895</v>
      </c>
      <c r="J946" s="27">
        <f>VLOOKUP($F946,mapping!$L$2:$P$92,3,0)</f>
        <v>1388.78</v>
      </c>
      <c r="K946" s="27" t="str">
        <f>VLOOKUP($F946,mapping!$L$2:$P$92,4,0)</f>
        <v>Developing Asia</v>
      </c>
      <c r="L946" s="29">
        <f>$D946*VLOOKUP($E946,'Charts data'!$A$2:$B$11,2,0)*VLOOKUP($G946,'Charts data'!$A$14:$B$18,2,0)/IF('Charts data'!$E$3=1,I946,1)/IF('Charts data'!$E$4=1,J946,1)</f>
        <v>5800</v>
      </c>
    </row>
    <row r="947" spans="1:12" x14ac:dyDescent="0.25">
      <c r="A947" s="27" t="s">
        <v>826</v>
      </c>
      <c r="B947" s="27">
        <v>8738</v>
      </c>
      <c r="C947" s="27" t="s">
        <v>2</v>
      </c>
      <c r="D947" s="28">
        <f>B947*VLOOKUP(C947,tblXrate[],2,0)</f>
        <v>8738</v>
      </c>
      <c r="E947" s="27" t="s">
        <v>19</v>
      </c>
      <c r="F947" s="27" t="s">
        <v>3</v>
      </c>
      <c r="G947" s="27" t="s">
        <v>2273</v>
      </c>
      <c r="H947" s="27">
        <v>7.3</v>
      </c>
      <c r="I947" s="27">
        <f>VLOOKUP(F947,mapping!$L$2:$P$92,2,0)</f>
        <v>0.34064763831408895</v>
      </c>
      <c r="J947" s="27">
        <f>VLOOKUP($F947,mapping!$L$2:$P$92,3,0)</f>
        <v>1388.78</v>
      </c>
      <c r="K947" s="27" t="str">
        <f>VLOOKUP($F947,mapping!$L$2:$P$92,4,0)</f>
        <v>Developing Asia</v>
      </c>
      <c r="L947" s="29">
        <f>$D947*VLOOKUP($E947,'Charts data'!$A$2:$B$11,2,0)*VLOOKUP($G947,'Charts data'!$A$14:$B$18,2,0)/IF('Charts data'!$E$3=1,I947,1)/IF('Charts data'!$E$4=1,J947,1)</f>
        <v>8738</v>
      </c>
    </row>
    <row r="948" spans="1:12" x14ac:dyDescent="0.25">
      <c r="A948" s="27" t="s">
        <v>829</v>
      </c>
      <c r="B948" s="27">
        <v>10200</v>
      </c>
      <c r="C948" s="27" t="s">
        <v>2</v>
      </c>
      <c r="D948" s="28">
        <f>B948*VLOOKUP(C948,tblXrate[],2,0)</f>
        <v>10200</v>
      </c>
      <c r="E948" s="27" t="s">
        <v>7</v>
      </c>
      <c r="F948" s="27" t="s">
        <v>3</v>
      </c>
      <c r="G948" s="27" t="s">
        <v>2271</v>
      </c>
      <c r="H948" s="27">
        <v>4.5</v>
      </c>
      <c r="I948" s="27">
        <f>VLOOKUP(F948,mapping!$L$2:$P$92,2,0)</f>
        <v>0.34064763831408895</v>
      </c>
      <c r="J948" s="27">
        <f>VLOOKUP($F948,mapping!$L$2:$P$92,3,0)</f>
        <v>1388.78</v>
      </c>
      <c r="K948" s="27" t="str">
        <f>VLOOKUP($F948,mapping!$L$2:$P$92,4,0)</f>
        <v>Developing Asia</v>
      </c>
      <c r="L948" s="29">
        <f>$D948*VLOOKUP($E948,'Charts data'!$A$2:$B$11,2,0)*VLOOKUP($G948,'Charts data'!$A$14:$B$18,2,0)/IF('Charts data'!$E$3=1,I948,1)/IF('Charts data'!$E$4=1,J948,1)</f>
        <v>10200</v>
      </c>
    </row>
    <row r="949" spans="1:12" x14ac:dyDescent="0.25">
      <c r="A949" s="27" t="s">
        <v>840</v>
      </c>
      <c r="B949" s="27">
        <v>13000</v>
      </c>
      <c r="C949" s="27" t="s">
        <v>2</v>
      </c>
      <c r="D949" s="28">
        <f>B949*VLOOKUP(C949,tblXrate[],2,0)</f>
        <v>13000</v>
      </c>
      <c r="E949" s="27" t="s">
        <v>7</v>
      </c>
      <c r="F949" s="27" t="s">
        <v>3</v>
      </c>
      <c r="G949" s="27" t="s">
        <v>2274</v>
      </c>
      <c r="H949" s="27">
        <v>4</v>
      </c>
      <c r="I949" s="27">
        <f>VLOOKUP(F949,mapping!$L$2:$P$92,2,0)</f>
        <v>0.34064763831408895</v>
      </c>
      <c r="J949" s="27">
        <f>VLOOKUP($F949,mapping!$L$2:$P$92,3,0)</f>
        <v>1388.78</v>
      </c>
      <c r="K949" s="27" t="str">
        <f>VLOOKUP($F949,mapping!$L$2:$P$92,4,0)</f>
        <v>Developing Asia</v>
      </c>
      <c r="L949" s="29">
        <f>$D949*VLOOKUP($E949,'Charts data'!$A$2:$B$11,2,0)*VLOOKUP($G949,'Charts data'!$A$14:$B$18,2,0)/IF('Charts data'!$E$3=1,I949,1)/IF('Charts data'!$E$4=1,J949,1)</f>
        <v>13000</v>
      </c>
    </row>
    <row r="950" spans="1:12" x14ac:dyDescent="0.25">
      <c r="A950" s="27" t="s">
        <v>844</v>
      </c>
      <c r="B950" s="27">
        <v>50000</v>
      </c>
      <c r="C950" s="27" t="s">
        <v>2</v>
      </c>
      <c r="D950" s="28">
        <f>B950*VLOOKUP(C950,tblXrate[],2,0)</f>
        <v>50000</v>
      </c>
      <c r="E950" s="27" t="s">
        <v>19</v>
      </c>
      <c r="F950" s="27" t="s">
        <v>3</v>
      </c>
      <c r="G950" s="27" t="s">
        <v>2272</v>
      </c>
      <c r="H950" s="27">
        <v>20</v>
      </c>
      <c r="I950" s="27">
        <f>VLOOKUP(F950,mapping!$L$2:$P$92,2,0)</f>
        <v>0.34064763831408895</v>
      </c>
      <c r="J950" s="27">
        <f>VLOOKUP($F950,mapping!$L$2:$P$92,3,0)</f>
        <v>1388.78</v>
      </c>
      <c r="K950" s="27" t="str">
        <f>VLOOKUP($F950,mapping!$L$2:$P$92,4,0)</f>
        <v>Developing Asia</v>
      </c>
      <c r="L950" s="29">
        <f>$D950*VLOOKUP($E950,'Charts data'!$A$2:$B$11,2,0)*VLOOKUP($G950,'Charts data'!$A$14:$B$18,2,0)/IF('Charts data'!$E$3=1,I950,1)/IF('Charts data'!$E$4=1,J950,1)</f>
        <v>50000</v>
      </c>
    </row>
    <row r="951" spans="1:12" x14ac:dyDescent="0.25">
      <c r="A951" s="27" t="s">
        <v>847</v>
      </c>
      <c r="B951" s="27">
        <v>7000</v>
      </c>
      <c r="C951" s="27" t="s">
        <v>2</v>
      </c>
      <c r="D951" s="28">
        <f>B951*VLOOKUP(C951,tblXrate[],2,0)</f>
        <v>7000</v>
      </c>
      <c r="E951" s="27" t="s">
        <v>19</v>
      </c>
      <c r="F951" s="27" t="s">
        <v>3</v>
      </c>
      <c r="G951" s="27" t="s">
        <v>2271</v>
      </c>
      <c r="H951" s="27">
        <v>23</v>
      </c>
      <c r="I951" s="27">
        <f>VLOOKUP(F951,mapping!$L$2:$P$92,2,0)</f>
        <v>0.34064763831408895</v>
      </c>
      <c r="J951" s="27">
        <f>VLOOKUP($F951,mapping!$L$2:$P$92,3,0)</f>
        <v>1388.78</v>
      </c>
      <c r="K951" s="27" t="str">
        <f>VLOOKUP($F951,mapping!$L$2:$P$92,4,0)</f>
        <v>Developing Asia</v>
      </c>
      <c r="L951" s="29">
        <f>$D951*VLOOKUP($E951,'Charts data'!$A$2:$B$11,2,0)*VLOOKUP($G951,'Charts data'!$A$14:$B$18,2,0)/IF('Charts data'!$E$3=1,I951,1)/IF('Charts data'!$E$4=1,J951,1)</f>
        <v>7000</v>
      </c>
    </row>
    <row r="952" spans="1:12" x14ac:dyDescent="0.25">
      <c r="A952" s="27" t="s">
        <v>861</v>
      </c>
      <c r="B952" s="27">
        <v>10000</v>
      </c>
      <c r="C952" s="27" t="s">
        <v>2</v>
      </c>
      <c r="D952" s="28">
        <f>B952*VLOOKUP(C952,tblXrate[],2,0)</f>
        <v>10000</v>
      </c>
      <c r="E952" s="27" t="s">
        <v>19</v>
      </c>
      <c r="F952" s="27" t="s">
        <v>3</v>
      </c>
      <c r="G952" s="27" t="s">
        <v>2271</v>
      </c>
      <c r="H952" s="27">
        <v>2</v>
      </c>
      <c r="I952" s="27">
        <f>VLOOKUP(F952,mapping!$L$2:$P$92,2,0)</f>
        <v>0.34064763831408895</v>
      </c>
      <c r="J952" s="27">
        <f>VLOOKUP($F952,mapping!$L$2:$P$92,3,0)</f>
        <v>1388.78</v>
      </c>
      <c r="K952" s="27" t="str">
        <f>VLOOKUP($F952,mapping!$L$2:$P$92,4,0)</f>
        <v>Developing Asia</v>
      </c>
      <c r="L952" s="29">
        <f>$D952*VLOOKUP($E952,'Charts data'!$A$2:$B$11,2,0)*VLOOKUP($G952,'Charts data'!$A$14:$B$18,2,0)/IF('Charts data'!$E$3=1,I952,1)/IF('Charts data'!$E$4=1,J952,1)</f>
        <v>10000</v>
      </c>
    </row>
    <row r="953" spans="1:12" x14ac:dyDescent="0.25">
      <c r="A953" s="27" t="s">
        <v>876</v>
      </c>
      <c r="B953" s="27">
        <v>31250</v>
      </c>
      <c r="C953" s="27" t="s">
        <v>2</v>
      </c>
      <c r="D953" s="28">
        <f>B953*VLOOKUP(C953,tblXrate[],2,0)</f>
        <v>31250</v>
      </c>
      <c r="E953" s="27" t="s">
        <v>19</v>
      </c>
      <c r="F953" s="27" t="s">
        <v>3</v>
      </c>
      <c r="G953" s="27" t="s">
        <v>2272</v>
      </c>
      <c r="H953" s="27">
        <v>6</v>
      </c>
      <c r="I953" s="27">
        <f>VLOOKUP(F953,mapping!$L$2:$P$92,2,0)</f>
        <v>0.34064763831408895</v>
      </c>
      <c r="J953" s="27">
        <f>VLOOKUP($F953,mapping!$L$2:$P$92,3,0)</f>
        <v>1388.78</v>
      </c>
      <c r="K953" s="27" t="str">
        <f>VLOOKUP($F953,mapping!$L$2:$P$92,4,0)</f>
        <v>Developing Asia</v>
      </c>
      <c r="L953" s="29">
        <f>$D953*VLOOKUP($E953,'Charts data'!$A$2:$B$11,2,0)*VLOOKUP($G953,'Charts data'!$A$14:$B$18,2,0)/IF('Charts data'!$E$3=1,I953,1)/IF('Charts data'!$E$4=1,J953,1)</f>
        <v>31250</v>
      </c>
    </row>
    <row r="954" spans="1:12" x14ac:dyDescent="0.25">
      <c r="A954" s="27" t="s">
        <v>885</v>
      </c>
      <c r="B954" s="27">
        <v>35000</v>
      </c>
      <c r="C954" s="27" t="s">
        <v>2</v>
      </c>
      <c r="D954" s="28">
        <f>B954*VLOOKUP(C954,tblXrate[],2,0)</f>
        <v>35000</v>
      </c>
      <c r="E954" s="27" t="s">
        <v>7</v>
      </c>
      <c r="F954" s="27" t="s">
        <v>3</v>
      </c>
      <c r="G954" s="27" t="s">
        <v>2271</v>
      </c>
      <c r="H954" s="27">
        <v>10</v>
      </c>
      <c r="I954" s="27">
        <f>VLOOKUP(F954,mapping!$L$2:$P$92,2,0)</f>
        <v>0.34064763831408895</v>
      </c>
      <c r="J954" s="27">
        <f>VLOOKUP($F954,mapping!$L$2:$P$92,3,0)</f>
        <v>1388.78</v>
      </c>
      <c r="K954" s="27" t="str">
        <f>VLOOKUP($F954,mapping!$L$2:$P$92,4,0)</f>
        <v>Developing Asia</v>
      </c>
      <c r="L954" s="29">
        <f>$D954*VLOOKUP($E954,'Charts data'!$A$2:$B$11,2,0)*VLOOKUP($G954,'Charts data'!$A$14:$B$18,2,0)/IF('Charts data'!$E$3=1,I954,1)/IF('Charts data'!$E$4=1,J954,1)</f>
        <v>35000</v>
      </c>
    </row>
    <row r="955" spans="1:12" x14ac:dyDescent="0.25">
      <c r="A955" s="27" t="s">
        <v>891</v>
      </c>
      <c r="B955" s="27">
        <v>40000</v>
      </c>
      <c r="C955" s="27" t="s">
        <v>2</v>
      </c>
      <c r="D955" s="28">
        <f>B955*VLOOKUP(C955,tblXrate[],2,0)</f>
        <v>40000</v>
      </c>
      <c r="E955" s="27" t="s">
        <v>19</v>
      </c>
      <c r="F955" s="27" t="s">
        <v>3</v>
      </c>
      <c r="G955" s="27" t="s">
        <v>2273</v>
      </c>
      <c r="H955" s="27">
        <v>15</v>
      </c>
      <c r="I955" s="27">
        <f>VLOOKUP(F955,mapping!$L$2:$P$92,2,0)</f>
        <v>0.34064763831408895</v>
      </c>
      <c r="J955" s="27">
        <f>VLOOKUP($F955,mapping!$L$2:$P$92,3,0)</f>
        <v>1388.78</v>
      </c>
      <c r="K955" s="27" t="str">
        <f>VLOOKUP($F955,mapping!$L$2:$P$92,4,0)</f>
        <v>Developing Asia</v>
      </c>
      <c r="L955" s="29">
        <f>$D955*VLOOKUP($E955,'Charts data'!$A$2:$B$11,2,0)*VLOOKUP($G955,'Charts data'!$A$14:$B$18,2,0)/IF('Charts data'!$E$3=1,I955,1)/IF('Charts data'!$E$4=1,J955,1)</f>
        <v>40000</v>
      </c>
    </row>
    <row r="956" spans="1:12" x14ac:dyDescent="0.25">
      <c r="A956" s="27" t="s">
        <v>898</v>
      </c>
      <c r="B956" s="27">
        <v>15000</v>
      </c>
      <c r="C956" s="27" t="s">
        <v>2</v>
      </c>
      <c r="D956" s="28">
        <f>B956*VLOOKUP(C956,tblXrate[],2,0)</f>
        <v>15000</v>
      </c>
      <c r="E956" s="27" t="s">
        <v>62</v>
      </c>
      <c r="F956" s="27" t="s">
        <v>3</v>
      </c>
      <c r="G956" s="27" t="s">
        <v>2272</v>
      </c>
      <c r="H956" s="27">
        <v>2</v>
      </c>
      <c r="I956" s="27">
        <f>VLOOKUP(F956,mapping!$L$2:$P$92,2,0)</f>
        <v>0.34064763831408895</v>
      </c>
      <c r="J956" s="27">
        <f>VLOOKUP($F956,mapping!$L$2:$P$92,3,0)</f>
        <v>1388.78</v>
      </c>
      <c r="K956" s="27" t="str">
        <f>VLOOKUP($F956,mapping!$L$2:$P$92,4,0)</f>
        <v>Developing Asia</v>
      </c>
      <c r="L956" s="29">
        <f>$D956*VLOOKUP($E956,'Charts data'!$A$2:$B$11,2,0)*VLOOKUP($G956,'Charts data'!$A$14:$B$18,2,0)/IF('Charts data'!$E$3=1,I956,1)/IF('Charts data'!$E$4=1,J956,1)</f>
        <v>15000</v>
      </c>
    </row>
    <row r="957" spans="1:12" x14ac:dyDescent="0.25">
      <c r="A957" s="27" t="s">
        <v>899</v>
      </c>
      <c r="B957" s="27">
        <v>10000</v>
      </c>
      <c r="C957" s="27" t="s">
        <v>2</v>
      </c>
      <c r="D957" s="28">
        <f>B957*VLOOKUP(C957,tblXrate[],2,0)</f>
        <v>10000</v>
      </c>
      <c r="E957" s="27" t="s">
        <v>7</v>
      </c>
      <c r="F957" s="27" t="s">
        <v>3</v>
      </c>
      <c r="G957" s="27" t="s">
        <v>2271</v>
      </c>
      <c r="H957" s="27">
        <v>12</v>
      </c>
      <c r="I957" s="27">
        <f>VLOOKUP(F957,mapping!$L$2:$P$92,2,0)</f>
        <v>0.34064763831408895</v>
      </c>
      <c r="J957" s="27">
        <f>VLOOKUP($F957,mapping!$L$2:$P$92,3,0)</f>
        <v>1388.78</v>
      </c>
      <c r="K957" s="27" t="str">
        <f>VLOOKUP($F957,mapping!$L$2:$P$92,4,0)</f>
        <v>Developing Asia</v>
      </c>
      <c r="L957" s="29">
        <f>$D957*VLOOKUP($E957,'Charts data'!$A$2:$B$11,2,0)*VLOOKUP($G957,'Charts data'!$A$14:$B$18,2,0)/IF('Charts data'!$E$3=1,I957,1)/IF('Charts data'!$E$4=1,J957,1)</f>
        <v>10000</v>
      </c>
    </row>
    <row r="958" spans="1:12" x14ac:dyDescent="0.25">
      <c r="A958" s="27" t="s">
        <v>903</v>
      </c>
      <c r="B958" s="27">
        <v>16000</v>
      </c>
      <c r="C958" s="27" t="s">
        <v>2</v>
      </c>
      <c r="D958" s="28">
        <f>B958*VLOOKUP(C958,tblXrate[],2,0)</f>
        <v>16000</v>
      </c>
      <c r="E958" s="27" t="s">
        <v>48</v>
      </c>
      <c r="F958" s="27" t="s">
        <v>3</v>
      </c>
      <c r="G958" s="27" t="s">
        <v>2272</v>
      </c>
      <c r="H958" s="27">
        <v>5</v>
      </c>
      <c r="I958" s="27">
        <f>VLOOKUP(F958,mapping!$L$2:$P$92,2,0)</f>
        <v>0.34064763831408895</v>
      </c>
      <c r="J958" s="27">
        <f>VLOOKUP($F958,mapping!$L$2:$P$92,3,0)</f>
        <v>1388.78</v>
      </c>
      <c r="K958" s="27" t="str">
        <f>VLOOKUP($F958,mapping!$L$2:$P$92,4,0)</f>
        <v>Developing Asia</v>
      </c>
      <c r="L958" s="29">
        <f>$D958*VLOOKUP($E958,'Charts data'!$A$2:$B$11,2,0)*VLOOKUP($G958,'Charts data'!$A$14:$B$18,2,0)/IF('Charts data'!$E$3=1,I958,1)/IF('Charts data'!$E$4=1,J958,1)</f>
        <v>16000</v>
      </c>
    </row>
    <row r="959" spans="1:12" x14ac:dyDescent="0.25">
      <c r="A959" s="27" t="s">
        <v>904</v>
      </c>
      <c r="B959" s="27">
        <v>6000</v>
      </c>
      <c r="C959" s="27" t="s">
        <v>2</v>
      </c>
      <c r="D959" s="28">
        <f>B959*VLOOKUP(C959,tblXrate[],2,0)</f>
        <v>6000</v>
      </c>
      <c r="E959" s="27" t="s">
        <v>19</v>
      </c>
      <c r="F959" s="27" t="s">
        <v>3</v>
      </c>
      <c r="G959" s="27" t="s">
        <v>2272</v>
      </c>
      <c r="H959" s="27">
        <v>6</v>
      </c>
      <c r="I959" s="27">
        <f>VLOOKUP(F959,mapping!$L$2:$P$92,2,0)</f>
        <v>0.34064763831408895</v>
      </c>
      <c r="J959" s="27">
        <f>VLOOKUP($F959,mapping!$L$2:$P$92,3,0)</f>
        <v>1388.78</v>
      </c>
      <c r="K959" s="27" t="str">
        <f>VLOOKUP($F959,mapping!$L$2:$P$92,4,0)</f>
        <v>Developing Asia</v>
      </c>
      <c r="L959" s="29">
        <f>$D959*VLOOKUP($E959,'Charts data'!$A$2:$B$11,2,0)*VLOOKUP($G959,'Charts data'!$A$14:$B$18,2,0)/IF('Charts data'!$E$3=1,I959,1)/IF('Charts data'!$E$4=1,J959,1)</f>
        <v>6000</v>
      </c>
    </row>
    <row r="960" spans="1:12" x14ac:dyDescent="0.25">
      <c r="A960" s="27" t="s">
        <v>907</v>
      </c>
      <c r="B960" s="27">
        <v>20000</v>
      </c>
      <c r="C960" s="27" t="s">
        <v>2</v>
      </c>
      <c r="D960" s="28">
        <f>B960*VLOOKUP(C960,tblXrate[],2,0)</f>
        <v>20000</v>
      </c>
      <c r="E960" s="27" t="s">
        <v>48</v>
      </c>
      <c r="F960" s="27" t="s">
        <v>3</v>
      </c>
      <c r="G960" s="27" t="s">
        <v>2274</v>
      </c>
      <c r="H960" s="27">
        <v>7</v>
      </c>
      <c r="I960" s="27">
        <f>VLOOKUP(F960,mapping!$L$2:$P$92,2,0)</f>
        <v>0.34064763831408895</v>
      </c>
      <c r="J960" s="27">
        <f>VLOOKUP($F960,mapping!$L$2:$P$92,3,0)</f>
        <v>1388.78</v>
      </c>
      <c r="K960" s="27" t="str">
        <f>VLOOKUP($F960,mapping!$L$2:$P$92,4,0)</f>
        <v>Developing Asia</v>
      </c>
      <c r="L960" s="29">
        <f>$D960*VLOOKUP($E960,'Charts data'!$A$2:$B$11,2,0)*VLOOKUP($G960,'Charts data'!$A$14:$B$18,2,0)/IF('Charts data'!$E$3=1,I960,1)/IF('Charts data'!$E$4=1,J960,1)</f>
        <v>20000</v>
      </c>
    </row>
    <row r="961" spans="1:12" x14ac:dyDescent="0.25">
      <c r="A961" s="27" t="s">
        <v>911</v>
      </c>
      <c r="B961" s="27">
        <v>8000</v>
      </c>
      <c r="C961" s="27" t="s">
        <v>2</v>
      </c>
      <c r="D961" s="28">
        <f>B961*VLOOKUP(C961,tblXrate[],2,0)</f>
        <v>8000</v>
      </c>
      <c r="E961" s="27" t="s">
        <v>7</v>
      </c>
      <c r="F961" s="27" t="s">
        <v>3</v>
      </c>
      <c r="G961" s="27" t="s">
        <v>2272</v>
      </c>
      <c r="H961" s="27">
        <v>6</v>
      </c>
      <c r="I961" s="27">
        <f>VLOOKUP(F961,mapping!$L$2:$P$92,2,0)</f>
        <v>0.34064763831408895</v>
      </c>
      <c r="J961" s="27">
        <f>VLOOKUP($F961,mapping!$L$2:$P$92,3,0)</f>
        <v>1388.78</v>
      </c>
      <c r="K961" s="27" t="str">
        <f>VLOOKUP($F961,mapping!$L$2:$P$92,4,0)</f>
        <v>Developing Asia</v>
      </c>
      <c r="L961" s="29">
        <f>$D961*VLOOKUP($E961,'Charts data'!$A$2:$B$11,2,0)*VLOOKUP($G961,'Charts data'!$A$14:$B$18,2,0)/IF('Charts data'!$E$3=1,I961,1)/IF('Charts data'!$E$4=1,J961,1)</f>
        <v>8000</v>
      </c>
    </row>
    <row r="962" spans="1:12" x14ac:dyDescent="0.25">
      <c r="A962" s="27" t="s">
        <v>916</v>
      </c>
      <c r="B962" s="27">
        <v>24000</v>
      </c>
      <c r="C962" s="27" t="s">
        <v>2</v>
      </c>
      <c r="D962" s="28">
        <f>B962*VLOOKUP(C962,tblXrate[],2,0)</f>
        <v>24000</v>
      </c>
      <c r="E962" s="27" t="s">
        <v>7</v>
      </c>
      <c r="F962" s="27" t="s">
        <v>3</v>
      </c>
      <c r="G962" s="27" t="s">
        <v>2272</v>
      </c>
      <c r="H962" s="27">
        <v>1</v>
      </c>
      <c r="I962" s="27">
        <f>VLOOKUP(F962,mapping!$L$2:$P$92,2,0)</f>
        <v>0.34064763831408895</v>
      </c>
      <c r="J962" s="27">
        <f>VLOOKUP($F962,mapping!$L$2:$P$92,3,0)</f>
        <v>1388.78</v>
      </c>
      <c r="K962" s="27" t="str">
        <f>VLOOKUP($F962,mapping!$L$2:$P$92,4,0)</f>
        <v>Developing Asia</v>
      </c>
      <c r="L962" s="29">
        <f>$D962*VLOOKUP($E962,'Charts data'!$A$2:$B$11,2,0)*VLOOKUP($G962,'Charts data'!$A$14:$B$18,2,0)/IF('Charts data'!$E$3=1,I962,1)/IF('Charts data'!$E$4=1,J962,1)</f>
        <v>24000</v>
      </c>
    </row>
    <row r="963" spans="1:12" x14ac:dyDescent="0.25">
      <c r="A963" s="27" t="s">
        <v>930</v>
      </c>
      <c r="B963" s="27">
        <v>13500</v>
      </c>
      <c r="C963" s="27" t="s">
        <v>2</v>
      </c>
      <c r="D963" s="28">
        <f>B963*VLOOKUP(C963,tblXrate[],2,0)</f>
        <v>13500</v>
      </c>
      <c r="E963" s="27" t="s">
        <v>2145</v>
      </c>
      <c r="F963" s="27" t="s">
        <v>3</v>
      </c>
      <c r="G963" s="27" t="s">
        <v>2273</v>
      </c>
      <c r="H963" s="27">
        <v>2.5</v>
      </c>
      <c r="I963" s="27">
        <f>VLOOKUP(F963,mapping!$L$2:$P$92,2,0)</f>
        <v>0.34064763831408895</v>
      </c>
      <c r="J963" s="27">
        <f>VLOOKUP($F963,mapping!$L$2:$P$92,3,0)</f>
        <v>1388.78</v>
      </c>
      <c r="K963" s="27" t="str">
        <f>VLOOKUP($F963,mapping!$L$2:$P$92,4,0)</f>
        <v>Developing Asia</v>
      </c>
      <c r="L963" s="29">
        <f>$D963*VLOOKUP($E963,'Charts data'!$A$2:$B$11,2,0)*VLOOKUP($G963,'Charts data'!$A$14:$B$18,2,0)/IF('Charts data'!$E$3=1,I963,1)/IF('Charts data'!$E$4=1,J963,1)</f>
        <v>13500</v>
      </c>
    </row>
    <row r="964" spans="1:12" x14ac:dyDescent="0.25">
      <c r="A964" s="27" t="s">
        <v>931</v>
      </c>
      <c r="B964" s="27">
        <v>45000</v>
      </c>
      <c r="C964" s="27" t="s">
        <v>2</v>
      </c>
      <c r="D964" s="28">
        <f>B964*VLOOKUP(C964,tblXrate[],2,0)</f>
        <v>45000</v>
      </c>
      <c r="E964" s="27" t="s">
        <v>19</v>
      </c>
      <c r="F964" s="27" t="s">
        <v>3</v>
      </c>
      <c r="G964" s="27" t="s">
        <v>2274</v>
      </c>
      <c r="H964" s="27">
        <v>15</v>
      </c>
      <c r="I964" s="27">
        <f>VLOOKUP(F964,mapping!$L$2:$P$92,2,0)</f>
        <v>0.34064763831408895</v>
      </c>
      <c r="J964" s="27">
        <f>VLOOKUP($F964,mapping!$L$2:$P$92,3,0)</f>
        <v>1388.78</v>
      </c>
      <c r="K964" s="27" t="str">
        <f>VLOOKUP($F964,mapping!$L$2:$P$92,4,0)</f>
        <v>Developing Asia</v>
      </c>
      <c r="L964" s="29">
        <f>$D964*VLOOKUP($E964,'Charts data'!$A$2:$B$11,2,0)*VLOOKUP($G964,'Charts data'!$A$14:$B$18,2,0)/IF('Charts data'!$E$3=1,I964,1)/IF('Charts data'!$E$4=1,J964,1)</f>
        <v>45000</v>
      </c>
    </row>
    <row r="965" spans="1:12" x14ac:dyDescent="0.25">
      <c r="A965" s="27" t="s">
        <v>940</v>
      </c>
      <c r="B965" s="27">
        <v>16000</v>
      </c>
      <c r="C965" s="27" t="s">
        <v>2</v>
      </c>
      <c r="D965" s="28">
        <f>B965*VLOOKUP(C965,tblXrate[],2,0)</f>
        <v>16000</v>
      </c>
      <c r="E965" s="27" t="s">
        <v>2145</v>
      </c>
      <c r="F965" s="27" t="s">
        <v>3</v>
      </c>
      <c r="G965" s="27" t="s">
        <v>2273</v>
      </c>
      <c r="H965" s="27">
        <v>1</v>
      </c>
      <c r="I965" s="27">
        <f>VLOOKUP(F965,mapping!$L$2:$P$92,2,0)</f>
        <v>0.34064763831408895</v>
      </c>
      <c r="J965" s="27">
        <f>VLOOKUP($F965,mapping!$L$2:$P$92,3,0)</f>
        <v>1388.78</v>
      </c>
      <c r="K965" s="27" t="str">
        <f>VLOOKUP($F965,mapping!$L$2:$P$92,4,0)</f>
        <v>Developing Asia</v>
      </c>
      <c r="L965" s="29">
        <f>$D965*VLOOKUP($E965,'Charts data'!$A$2:$B$11,2,0)*VLOOKUP($G965,'Charts data'!$A$14:$B$18,2,0)/IF('Charts data'!$E$3=1,I965,1)/IF('Charts data'!$E$4=1,J965,1)</f>
        <v>16000</v>
      </c>
    </row>
    <row r="966" spans="1:12" x14ac:dyDescent="0.25">
      <c r="A966" s="27" t="s">
        <v>943</v>
      </c>
      <c r="B966" s="27">
        <v>10000</v>
      </c>
      <c r="C966" s="27" t="s">
        <v>2</v>
      </c>
      <c r="D966" s="28">
        <f>B966*VLOOKUP(C966,tblXrate[],2,0)</f>
        <v>10000</v>
      </c>
      <c r="E966" s="27" t="s">
        <v>19</v>
      </c>
      <c r="F966" s="27" t="s">
        <v>3</v>
      </c>
      <c r="G966" s="27" t="s">
        <v>2274</v>
      </c>
      <c r="H966" s="27">
        <v>12</v>
      </c>
      <c r="I966" s="27">
        <f>VLOOKUP(F966,mapping!$L$2:$P$92,2,0)</f>
        <v>0.34064763831408895</v>
      </c>
      <c r="J966" s="27">
        <f>VLOOKUP($F966,mapping!$L$2:$P$92,3,0)</f>
        <v>1388.78</v>
      </c>
      <c r="K966" s="27" t="str">
        <f>VLOOKUP($F966,mapping!$L$2:$P$92,4,0)</f>
        <v>Developing Asia</v>
      </c>
      <c r="L966" s="29">
        <f>$D966*VLOOKUP($E966,'Charts data'!$A$2:$B$11,2,0)*VLOOKUP($G966,'Charts data'!$A$14:$B$18,2,0)/IF('Charts data'!$E$3=1,I966,1)/IF('Charts data'!$E$4=1,J966,1)</f>
        <v>10000</v>
      </c>
    </row>
    <row r="967" spans="1:12" x14ac:dyDescent="0.25">
      <c r="A967" s="27" t="s">
        <v>949</v>
      </c>
      <c r="B967" s="27">
        <v>96000</v>
      </c>
      <c r="C967" s="27" t="s">
        <v>2</v>
      </c>
      <c r="D967" s="28">
        <f>B967*VLOOKUP(C967,tblXrate[],2,0)</f>
        <v>96000</v>
      </c>
      <c r="E967" s="27" t="s">
        <v>2145</v>
      </c>
      <c r="F967" s="27" t="s">
        <v>3</v>
      </c>
      <c r="G967" s="27" t="s">
        <v>2273</v>
      </c>
      <c r="H967" s="27">
        <v>8</v>
      </c>
      <c r="I967" s="27">
        <f>VLOOKUP(F967,mapping!$L$2:$P$92,2,0)</f>
        <v>0.34064763831408895</v>
      </c>
      <c r="J967" s="27">
        <f>VLOOKUP($F967,mapping!$L$2:$P$92,3,0)</f>
        <v>1388.78</v>
      </c>
      <c r="K967" s="27" t="str">
        <f>VLOOKUP($F967,mapping!$L$2:$P$92,4,0)</f>
        <v>Developing Asia</v>
      </c>
      <c r="L967" s="29">
        <f>$D967*VLOOKUP($E967,'Charts data'!$A$2:$B$11,2,0)*VLOOKUP($G967,'Charts data'!$A$14:$B$18,2,0)/IF('Charts data'!$E$3=1,I967,1)/IF('Charts data'!$E$4=1,J967,1)</f>
        <v>96000</v>
      </c>
    </row>
    <row r="968" spans="1:12" x14ac:dyDescent="0.25">
      <c r="A968" s="27" t="s">
        <v>964</v>
      </c>
      <c r="B968" s="27">
        <v>13100</v>
      </c>
      <c r="C968" s="27" t="s">
        <v>2</v>
      </c>
      <c r="D968" s="28">
        <f>B968*VLOOKUP(C968,tblXrate[],2,0)</f>
        <v>13100</v>
      </c>
      <c r="E968" s="27" t="s">
        <v>51</v>
      </c>
      <c r="F968" s="27" t="s">
        <v>3</v>
      </c>
      <c r="G968" s="27" t="s">
        <v>2272</v>
      </c>
      <c r="H968" s="27">
        <v>5</v>
      </c>
      <c r="I968" s="27">
        <f>VLOOKUP(F968,mapping!$L$2:$P$92,2,0)</f>
        <v>0.34064763831408895</v>
      </c>
      <c r="J968" s="27">
        <f>VLOOKUP($F968,mapping!$L$2:$P$92,3,0)</f>
        <v>1388.78</v>
      </c>
      <c r="K968" s="27" t="str">
        <f>VLOOKUP($F968,mapping!$L$2:$P$92,4,0)</f>
        <v>Developing Asia</v>
      </c>
      <c r="L968" s="29">
        <f>$D968*VLOOKUP($E968,'Charts data'!$A$2:$B$11,2,0)*VLOOKUP($G968,'Charts data'!$A$14:$B$18,2,0)/IF('Charts data'!$E$3=1,I968,1)/IF('Charts data'!$E$4=1,J968,1)</f>
        <v>13100</v>
      </c>
    </row>
    <row r="969" spans="1:12" x14ac:dyDescent="0.25">
      <c r="A969" s="27" t="s">
        <v>974</v>
      </c>
      <c r="B969" s="27">
        <v>15500</v>
      </c>
      <c r="C969" s="27" t="s">
        <v>2</v>
      </c>
      <c r="D969" s="28">
        <f>B969*VLOOKUP(C969,tblXrate[],2,0)</f>
        <v>15500</v>
      </c>
      <c r="E969" s="27" t="s">
        <v>48</v>
      </c>
      <c r="F969" s="27" t="s">
        <v>3</v>
      </c>
      <c r="G969" s="27" t="s">
        <v>2274</v>
      </c>
      <c r="H969" s="27">
        <v>3</v>
      </c>
      <c r="I969" s="27">
        <f>VLOOKUP(F969,mapping!$L$2:$P$92,2,0)</f>
        <v>0.34064763831408895</v>
      </c>
      <c r="J969" s="27">
        <f>VLOOKUP($F969,mapping!$L$2:$P$92,3,0)</f>
        <v>1388.78</v>
      </c>
      <c r="K969" s="27" t="str">
        <f>VLOOKUP($F969,mapping!$L$2:$P$92,4,0)</f>
        <v>Developing Asia</v>
      </c>
      <c r="L969" s="29">
        <f>$D969*VLOOKUP($E969,'Charts data'!$A$2:$B$11,2,0)*VLOOKUP($G969,'Charts data'!$A$14:$B$18,2,0)/IF('Charts data'!$E$3=1,I969,1)/IF('Charts data'!$E$4=1,J969,1)</f>
        <v>15500</v>
      </c>
    </row>
    <row r="970" spans="1:12" x14ac:dyDescent="0.25">
      <c r="A970" s="27" t="s">
        <v>991</v>
      </c>
      <c r="B970" s="27">
        <v>13000</v>
      </c>
      <c r="C970" s="27" t="s">
        <v>2</v>
      </c>
      <c r="D970" s="28">
        <f>B970*VLOOKUP(C970,tblXrate[],2,0)</f>
        <v>13000</v>
      </c>
      <c r="E970" s="27" t="s">
        <v>7</v>
      </c>
      <c r="F970" s="27" t="s">
        <v>3</v>
      </c>
      <c r="G970" s="27" t="s">
        <v>2273</v>
      </c>
      <c r="H970" s="27">
        <v>6</v>
      </c>
      <c r="I970" s="27">
        <f>VLOOKUP(F970,mapping!$L$2:$P$92,2,0)</f>
        <v>0.34064763831408895</v>
      </c>
      <c r="J970" s="27">
        <f>VLOOKUP($F970,mapping!$L$2:$P$92,3,0)</f>
        <v>1388.78</v>
      </c>
      <c r="K970" s="27" t="str">
        <f>VLOOKUP($F970,mapping!$L$2:$P$92,4,0)</f>
        <v>Developing Asia</v>
      </c>
      <c r="L970" s="29">
        <f>$D970*VLOOKUP($E970,'Charts data'!$A$2:$B$11,2,0)*VLOOKUP($G970,'Charts data'!$A$14:$B$18,2,0)/IF('Charts data'!$E$3=1,I970,1)/IF('Charts data'!$E$4=1,J970,1)</f>
        <v>13000</v>
      </c>
    </row>
    <row r="971" spans="1:12" x14ac:dyDescent="0.25">
      <c r="A971" s="27" t="s">
        <v>995</v>
      </c>
      <c r="B971" s="27">
        <v>30000</v>
      </c>
      <c r="C971" s="27" t="s">
        <v>2</v>
      </c>
      <c r="D971" s="28">
        <f>B971*VLOOKUP(C971,tblXrate[],2,0)</f>
        <v>30000</v>
      </c>
      <c r="E971" s="27" t="s">
        <v>2145</v>
      </c>
      <c r="F971" s="27" t="s">
        <v>3</v>
      </c>
      <c r="G971" s="27" t="s">
        <v>2271</v>
      </c>
      <c r="H971" s="27">
        <v>2</v>
      </c>
      <c r="I971" s="27">
        <f>VLOOKUP(F971,mapping!$L$2:$P$92,2,0)</f>
        <v>0.34064763831408895</v>
      </c>
      <c r="J971" s="27">
        <f>VLOOKUP($F971,mapping!$L$2:$P$92,3,0)</f>
        <v>1388.78</v>
      </c>
      <c r="K971" s="27" t="str">
        <f>VLOOKUP($F971,mapping!$L$2:$P$92,4,0)</f>
        <v>Developing Asia</v>
      </c>
      <c r="L971" s="29">
        <f>$D971*VLOOKUP($E971,'Charts data'!$A$2:$B$11,2,0)*VLOOKUP($G971,'Charts data'!$A$14:$B$18,2,0)/IF('Charts data'!$E$3=1,I971,1)/IF('Charts data'!$E$4=1,J971,1)</f>
        <v>30000</v>
      </c>
    </row>
    <row r="972" spans="1:12" x14ac:dyDescent="0.25">
      <c r="A972" s="27" t="s">
        <v>999</v>
      </c>
      <c r="B972" s="27">
        <v>5000</v>
      </c>
      <c r="C972" s="27" t="s">
        <v>2</v>
      </c>
      <c r="D972" s="28">
        <f>B972*VLOOKUP(C972,tblXrate[],2,0)</f>
        <v>5000</v>
      </c>
      <c r="E972" s="27" t="s">
        <v>19</v>
      </c>
      <c r="F972" s="27" t="s">
        <v>3</v>
      </c>
      <c r="G972" s="27" t="s">
        <v>2271</v>
      </c>
      <c r="H972" s="27">
        <v>1</v>
      </c>
      <c r="I972" s="27">
        <f>VLOOKUP(F972,mapping!$L$2:$P$92,2,0)</f>
        <v>0.34064763831408895</v>
      </c>
      <c r="J972" s="27">
        <f>VLOOKUP($F972,mapping!$L$2:$P$92,3,0)</f>
        <v>1388.78</v>
      </c>
      <c r="K972" s="27" t="str">
        <f>VLOOKUP($F972,mapping!$L$2:$P$92,4,0)</f>
        <v>Developing Asia</v>
      </c>
      <c r="L972" s="29">
        <f>$D972*VLOOKUP($E972,'Charts data'!$A$2:$B$11,2,0)*VLOOKUP($G972,'Charts data'!$A$14:$B$18,2,0)/IF('Charts data'!$E$3=1,I972,1)/IF('Charts data'!$E$4=1,J972,1)</f>
        <v>5000</v>
      </c>
    </row>
    <row r="973" spans="1:12" x14ac:dyDescent="0.25">
      <c r="A973" s="27" t="s">
        <v>1054</v>
      </c>
      <c r="B973" s="27">
        <v>10000</v>
      </c>
      <c r="C973" s="27" t="s">
        <v>2</v>
      </c>
      <c r="D973" s="28">
        <f>B973*VLOOKUP(C973,tblXrate[],2,0)</f>
        <v>10000</v>
      </c>
      <c r="E973" s="27" t="s">
        <v>19</v>
      </c>
      <c r="F973" s="27" t="s">
        <v>3</v>
      </c>
      <c r="G973" s="27" t="s">
        <v>2271</v>
      </c>
      <c r="H973" s="27">
        <v>6</v>
      </c>
      <c r="I973" s="27">
        <f>VLOOKUP(F973,mapping!$L$2:$P$92,2,0)</f>
        <v>0.34064763831408895</v>
      </c>
      <c r="J973" s="27">
        <f>VLOOKUP($F973,mapping!$L$2:$P$92,3,0)</f>
        <v>1388.78</v>
      </c>
      <c r="K973" s="27" t="str">
        <f>VLOOKUP($F973,mapping!$L$2:$P$92,4,0)</f>
        <v>Developing Asia</v>
      </c>
      <c r="L973" s="29">
        <f>$D973*VLOOKUP($E973,'Charts data'!$A$2:$B$11,2,0)*VLOOKUP($G973,'Charts data'!$A$14:$B$18,2,0)/IF('Charts data'!$E$3=1,I973,1)/IF('Charts data'!$E$4=1,J973,1)</f>
        <v>10000</v>
      </c>
    </row>
    <row r="974" spans="1:12" x14ac:dyDescent="0.25">
      <c r="A974" s="27" t="s">
        <v>1057</v>
      </c>
      <c r="B974" s="27">
        <v>16350</v>
      </c>
      <c r="C974" s="27" t="s">
        <v>2</v>
      </c>
      <c r="D974" s="28">
        <f>B974*VLOOKUP(C974,tblXrate[],2,0)</f>
        <v>16350</v>
      </c>
      <c r="E974" s="27" t="s">
        <v>19</v>
      </c>
      <c r="F974" s="27" t="s">
        <v>3</v>
      </c>
      <c r="G974" s="27" t="s">
        <v>2271</v>
      </c>
      <c r="H974" s="27">
        <v>5</v>
      </c>
      <c r="I974" s="27">
        <f>VLOOKUP(F974,mapping!$L$2:$P$92,2,0)</f>
        <v>0.34064763831408895</v>
      </c>
      <c r="J974" s="27">
        <f>VLOOKUP($F974,mapping!$L$2:$P$92,3,0)</f>
        <v>1388.78</v>
      </c>
      <c r="K974" s="27" t="str">
        <f>VLOOKUP($F974,mapping!$L$2:$P$92,4,0)</f>
        <v>Developing Asia</v>
      </c>
      <c r="L974" s="29">
        <f>$D974*VLOOKUP($E974,'Charts data'!$A$2:$B$11,2,0)*VLOOKUP($G974,'Charts data'!$A$14:$B$18,2,0)/IF('Charts data'!$E$3=1,I974,1)/IF('Charts data'!$E$4=1,J974,1)</f>
        <v>16350</v>
      </c>
    </row>
    <row r="975" spans="1:12" x14ac:dyDescent="0.25">
      <c r="A975" s="27" t="s">
        <v>1079</v>
      </c>
      <c r="B975" s="27">
        <v>24000</v>
      </c>
      <c r="C975" s="27" t="s">
        <v>2</v>
      </c>
      <c r="D975" s="28">
        <f>B975*VLOOKUP(C975,tblXrate[],2,0)</f>
        <v>24000</v>
      </c>
      <c r="E975" s="27" t="s">
        <v>7</v>
      </c>
      <c r="F975" s="27" t="s">
        <v>3</v>
      </c>
      <c r="G975" s="27" t="s">
        <v>2271</v>
      </c>
      <c r="H975" s="27">
        <v>3</v>
      </c>
      <c r="I975" s="27">
        <f>VLOOKUP(F975,mapping!$L$2:$P$92,2,0)</f>
        <v>0.34064763831408895</v>
      </c>
      <c r="J975" s="27">
        <f>VLOOKUP($F975,mapping!$L$2:$P$92,3,0)</f>
        <v>1388.78</v>
      </c>
      <c r="K975" s="27" t="str">
        <f>VLOOKUP($F975,mapping!$L$2:$P$92,4,0)</f>
        <v>Developing Asia</v>
      </c>
      <c r="L975" s="29">
        <f>$D975*VLOOKUP($E975,'Charts data'!$A$2:$B$11,2,0)*VLOOKUP($G975,'Charts data'!$A$14:$B$18,2,0)/IF('Charts data'!$E$3=1,I975,1)/IF('Charts data'!$E$4=1,J975,1)</f>
        <v>24000</v>
      </c>
    </row>
    <row r="976" spans="1:12" x14ac:dyDescent="0.25">
      <c r="A976" s="27" t="s">
        <v>1090</v>
      </c>
      <c r="B976" s="27">
        <v>24000</v>
      </c>
      <c r="C976" s="27" t="s">
        <v>2</v>
      </c>
      <c r="D976" s="28">
        <f>B976*VLOOKUP(C976,tblXrate[],2,0)</f>
        <v>24000</v>
      </c>
      <c r="E976" s="27" t="s">
        <v>19</v>
      </c>
      <c r="F976" s="27" t="s">
        <v>3</v>
      </c>
      <c r="G976" s="27" t="s">
        <v>2271</v>
      </c>
      <c r="H976" s="27">
        <v>10</v>
      </c>
      <c r="I976" s="27">
        <f>VLOOKUP(F976,mapping!$L$2:$P$92,2,0)</f>
        <v>0.34064763831408895</v>
      </c>
      <c r="J976" s="27">
        <f>VLOOKUP($F976,mapping!$L$2:$P$92,3,0)</f>
        <v>1388.78</v>
      </c>
      <c r="K976" s="27" t="str">
        <f>VLOOKUP($F976,mapping!$L$2:$P$92,4,0)</f>
        <v>Developing Asia</v>
      </c>
      <c r="L976" s="29">
        <f>$D976*VLOOKUP($E976,'Charts data'!$A$2:$B$11,2,0)*VLOOKUP($G976,'Charts data'!$A$14:$B$18,2,0)/IF('Charts data'!$E$3=1,I976,1)/IF('Charts data'!$E$4=1,J976,1)</f>
        <v>24000</v>
      </c>
    </row>
    <row r="977" spans="1:12" x14ac:dyDescent="0.25">
      <c r="A977" s="27" t="s">
        <v>1104</v>
      </c>
      <c r="B977" s="27">
        <v>8000</v>
      </c>
      <c r="C977" s="27" t="s">
        <v>2</v>
      </c>
      <c r="D977" s="28">
        <f>B977*VLOOKUP(C977,tblXrate[],2,0)</f>
        <v>8000</v>
      </c>
      <c r="E977" s="27" t="s">
        <v>7</v>
      </c>
      <c r="F977" s="27" t="s">
        <v>3</v>
      </c>
      <c r="G977" s="27" t="s">
        <v>2274</v>
      </c>
      <c r="H977" s="27">
        <v>5</v>
      </c>
      <c r="I977" s="27">
        <f>VLOOKUP(F977,mapping!$L$2:$P$92,2,0)</f>
        <v>0.34064763831408895</v>
      </c>
      <c r="J977" s="27">
        <f>VLOOKUP($F977,mapping!$L$2:$P$92,3,0)</f>
        <v>1388.78</v>
      </c>
      <c r="K977" s="27" t="str">
        <f>VLOOKUP($F977,mapping!$L$2:$P$92,4,0)</f>
        <v>Developing Asia</v>
      </c>
      <c r="L977" s="29">
        <f>$D977*VLOOKUP($E977,'Charts data'!$A$2:$B$11,2,0)*VLOOKUP($G977,'Charts data'!$A$14:$B$18,2,0)/IF('Charts data'!$E$3=1,I977,1)/IF('Charts data'!$E$4=1,J977,1)</f>
        <v>8000</v>
      </c>
    </row>
    <row r="978" spans="1:12" x14ac:dyDescent="0.25">
      <c r="A978" s="27" t="s">
        <v>1112</v>
      </c>
      <c r="B978" s="27">
        <v>15000</v>
      </c>
      <c r="C978" s="27" t="s">
        <v>2</v>
      </c>
      <c r="D978" s="28">
        <f>B978*VLOOKUP(C978,tblXrate[],2,0)</f>
        <v>15000</v>
      </c>
      <c r="E978" s="27" t="s">
        <v>7</v>
      </c>
      <c r="F978" s="27" t="s">
        <v>3</v>
      </c>
      <c r="G978" s="27" t="s">
        <v>2272</v>
      </c>
      <c r="H978" s="27">
        <v>2</v>
      </c>
      <c r="I978" s="27">
        <f>VLOOKUP(F978,mapping!$L$2:$P$92,2,0)</f>
        <v>0.34064763831408895</v>
      </c>
      <c r="J978" s="27">
        <f>VLOOKUP($F978,mapping!$L$2:$P$92,3,0)</f>
        <v>1388.78</v>
      </c>
      <c r="K978" s="27" t="str">
        <f>VLOOKUP($F978,mapping!$L$2:$P$92,4,0)</f>
        <v>Developing Asia</v>
      </c>
      <c r="L978" s="29">
        <f>$D978*VLOOKUP($E978,'Charts data'!$A$2:$B$11,2,0)*VLOOKUP($G978,'Charts data'!$A$14:$B$18,2,0)/IF('Charts data'!$E$3=1,I978,1)/IF('Charts data'!$E$4=1,J978,1)</f>
        <v>15000</v>
      </c>
    </row>
    <row r="979" spans="1:12" x14ac:dyDescent="0.25">
      <c r="A979" s="27" t="s">
        <v>1154</v>
      </c>
      <c r="B979" s="27">
        <v>18000</v>
      </c>
      <c r="C979" s="27" t="s">
        <v>2</v>
      </c>
      <c r="D979" s="28">
        <f>B979*VLOOKUP(C979,tblXrate[],2,0)</f>
        <v>18000</v>
      </c>
      <c r="E979" s="27" t="s">
        <v>23</v>
      </c>
      <c r="F979" s="27" t="s">
        <v>3</v>
      </c>
      <c r="G979" s="27" t="s">
        <v>2273</v>
      </c>
      <c r="H979" s="27">
        <v>8</v>
      </c>
      <c r="I979" s="27">
        <f>VLOOKUP(F979,mapping!$L$2:$P$92,2,0)</f>
        <v>0.34064763831408895</v>
      </c>
      <c r="J979" s="27">
        <f>VLOOKUP($F979,mapping!$L$2:$P$92,3,0)</f>
        <v>1388.78</v>
      </c>
      <c r="K979" s="27" t="str">
        <f>VLOOKUP($F979,mapping!$L$2:$P$92,4,0)</f>
        <v>Developing Asia</v>
      </c>
      <c r="L979" s="29">
        <f>$D979*VLOOKUP($E979,'Charts data'!$A$2:$B$11,2,0)*VLOOKUP($G979,'Charts data'!$A$14:$B$18,2,0)/IF('Charts data'!$E$3=1,I979,1)/IF('Charts data'!$E$4=1,J979,1)</f>
        <v>18000</v>
      </c>
    </row>
    <row r="980" spans="1:12" x14ac:dyDescent="0.25">
      <c r="A980" s="27" t="s">
        <v>1159</v>
      </c>
      <c r="B980" s="27">
        <v>15000</v>
      </c>
      <c r="C980" s="27" t="s">
        <v>2</v>
      </c>
      <c r="D980" s="28">
        <f>B980*VLOOKUP(C980,tblXrate[],2,0)</f>
        <v>15000</v>
      </c>
      <c r="E980" s="27" t="s">
        <v>19</v>
      </c>
      <c r="F980" s="27" t="s">
        <v>3</v>
      </c>
      <c r="G980" s="27" t="s">
        <v>2271</v>
      </c>
      <c r="H980" s="27">
        <v>4</v>
      </c>
      <c r="I980" s="27">
        <f>VLOOKUP(F980,mapping!$L$2:$P$92,2,0)</f>
        <v>0.34064763831408895</v>
      </c>
      <c r="J980" s="27">
        <f>VLOOKUP($F980,mapping!$L$2:$P$92,3,0)</f>
        <v>1388.78</v>
      </c>
      <c r="K980" s="27" t="str">
        <f>VLOOKUP($F980,mapping!$L$2:$P$92,4,0)</f>
        <v>Developing Asia</v>
      </c>
      <c r="L980" s="29">
        <f>$D980*VLOOKUP($E980,'Charts data'!$A$2:$B$11,2,0)*VLOOKUP($G980,'Charts data'!$A$14:$B$18,2,0)/IF('Charts data'!$E$3=1,I980,1)/IF('Charts data'!$E$4=1,J980,1)</f>
        <v>15000</v>
      </c>
    </row>
    <row r="981" spans="1:12" x14ac:dyDescent="0.25">
      <c r="A981" s="27" t="s">
        <v>1163</v>
      </c>
      <c r="B981" s="27">
        <v>7265</v>
      </c>
      <c r="C981" s="27" t="s">
        <v>2</v>
      </c>
      <c r="D981" s="28">
        <f>B981*VLOOKUP(C981,tblXrate[],2,0)</f>
        <v>7265</v>
      </c>
      <c r="E981" s="27" t="s">
        <v>48</v>
      </c>
      <c r="F981" s="27" t="s">
        <v>3</v>
      </c>
      <c r="G981" s="27" t="s">
        <v>2271</v>
      </c>
      <c r="H981" s="27">
        <v>6</v>
      </c>
      <c r="I981" s="27">
        <f>VLOOKUP(F981,mapping!$L$2:$P$92,2,0)</f>
        <v>0.34064763831408895</v>
      </c>
      <c r="J981" s="27">
        <f>VLOOKUP($F981,mapping!$L$2:$P$92,3,0)</f>
        <v>1388.78</v>
      </c>
      <c r="K981" s="27" t="str">
        <f>VLOOKUP($F981,mapping!$L$2:$P$92,4,0)</f>
        <v>Developing Asia</v>
      </c>
      <c r="L981" s="29">
        <f>$D981*VLOOKUP($E981,'Charts data'!$A$2:$B$11,2,0)*VLOOKUP($G981,'Charts data'!$A$14:$B$18,2,0)/IF('Charts data'!$E$3=1,I981,1)/IF('Charts data'!$E$4=1,J981,1)</f>
        <v>7265</v>
      </c>
    </row>
    <row r="982" spans="1:12" x14ac:dyDescent="0.25">
      <c r="A982" s="27" t="s">
        <v>1175</v>
      </c>
      <c r="B982" s="27">
        <v>18000</v>
      </c>
      <c r="C982" s="27" t="s">
        <v>2</v>
      </c>
      <c r="D982" s="28">
        <f>B982*VLOOKUP(C982,tblXrate[],2,0)</f>
        <v>18000</v>
      </c>
      <c r="E982" s="27" t="s">
        <v>19</v>
      </c>
      <c r="F982" s="27" t="s">
        <v>3</v>
      </c>
      <c r="G982" s="27" t="s">
        <v>2272</v>
      </c>
      <c r="H982" s="27">
        <v>4.5999999999999996</v>
      </c>
      <c r="I982" s="27">
        <f>VLOOKUP(F982,mapping!$L$2:$P$92,2,0)</f>
        <v>0.34064763831408895</v>
      </c>
      <c r="J982" s="27">
        <f>VLOOKUP($F982,mapping!$L$2:$P$92,3,0)</f>
        <v>1388.78</v>
      </c>
      <c r="K982" s="27" t="str">
        <f>VLOOKUP($F982,mapping!$L$2:$P$92,4,0)</f>
        <v>Developing Asia</v>
      </c>
      <c r="L982" s="29">
        <f>$D982*VLOOKUP($E982,'Charts data'!$A$2:$B$11,2,0)*VLOOKUP($G982,'Charts data'!$A$14:$B$18,2,0)/IF('Charts data'!$E$3=1,I982,1)/IF('Charts data'!$E$4=1,J982,1)</f>
        <v>18000</v>
      </c>
    </row>
    <row r="983" spans="1:12" x14ac:dyDescent="0.25">
      <c r="A983" s="27" t="s">
        <v>1180</v>
      </c>
      <c r="B983" s="27">
        <v>28000</v>
      </c>
      <c r="C983" s="27" t="s">
        <v>2</v>
      </c>
      <c r="D983" s="28">
        <f>B983*VLOOKUP(C983,tblXrate[],2,0)</f>
        <v>28000</v>
      </c>
      <c r="E983" s="27" t="s">
        <v>2145</v>
      </c>
      <c r="F983" s="27" t="s">
        <v>3</v>
      </c>
      <c r="G983" s="27" t="s">
        <v>2272</v>
      </c>
      <c r="H983" s="27">
        <v>3</v>
      </c>
      <c r="I983" s="27">
        <f>VLOOKUP(F983,mapping!$L$2:$P$92,2,0)</f>
        <v>0.34064763831408895</v>
      </c>
      <c r="J983" s="27">
        <f>VLOOKUP($F983,mapping!$L$2:$P$92,3,0)</f>
        <v>1388.78</v>
      </c>
      <c r="K983" s="27" t="str">
        <f>VLOOKUP($F983,mapping!$L$2:$P$92,4,0)</f>
        <v>Developing Asia</v>
      </c>
      <c r="L983" s="29">
        <f>$D983*VLOOKUP($E983,'Charts data'!$A$2:$B$11,2,0)*VLOOKUP($G983,'Charts data'!$A$14:$B$18,2,0)/IF('Charts data'!$E$3=1,I983,1)/IF('Charts data'!$E$4=1,J983,1)</f>
        <v>28000</v>
      </c>
    </row>
    <row r="984" spans="1:12" x14ac:dyDescent="0.25">
      <c r="A984" s="27" t="s">
        <v>1181</v>
      </c>
      <c r="B984" s="27">
        <v>6000</v>
      </c>
      <c r="C984" s="27" t="s">
        <v>2</v>
      </c>
      <c r="D984" s="28">
        <f>B984*VLOOKUP(C984,tblXrate[],2,0)</f>
        <v>6000</v>
      </c>
      <c r="E984" s="27" t="s">
        <v>19</v>
      </c>
      <c r="F984" s="27" t="s">
        <v>3</v>
      </c>
      <c r="G984" s="27" t="s">
        <v>2271</v>
      </c>
      <c r="H984" s="27">
        <v>5</v>
      </c>
      <c r="I984" s="27">
        <f>VLOOKUP(F984,mapping!$L$2:$P$92,2,0)</f>
        <v>0.34064763831408895</v>
      </c>
      <c r="J984" s="27">
        <f>VLOOKUP($F984,mapping!$L$2:$P$92,3,0)</f>
        <v>1388.78</v>
      </c>
      <c r="K984" s="27" t="str">
        <f>VLOOKUP($F984,mapping!$L$2:$P$92,4,0)</f>
        <v>Developing Asia</v>
      </c>
      <c r="L984" s="29">
        <f>$D984*VLOOKUP($E984,'Charts data'!$A$2:$B$11,2,0)*VLOOKUP($G984,'Charts data'!$A$14:$B$18,2,0)/IF('Charts data'!$E$3=1,I984,1)/IF('Charts data'!$E$4=1,J984,1)</f>
        <v>6000</v>
      </c>
    </row>
    <row r="985" spans="1:12" x14ac:dyDescent="0.25">
      <c r="A985" s="27" t="s">
        <v>1187</v>
      </c>
      <c r="B985" s="27">
        <v>8700</v>
      </c>
      <c r="C985" s="27" t="s">
        <v>2</v>
      </c>
      <c r="D985" s="28">
        <f>B985*VLOOKUP(C985,tblXrate[],2,0)</f>
        <v>8700</v>
      </c>
      <c r="E985" s="27" t="s">
        <v>62</v>
      </c>
      <c r="F985" s="27" t="s">
        <v>3</v>
      </c>
      <c r="G985" s="27" t="s">
        <v>2272</v>
      </c>
      <c r="H985" s="27">
        <v>7</v>
      </c>
      <c r="I985" s="27">
        <f>VLOOKUP(F985,mapping!$L$2:$P$92,2,0)</f>
        <v>0.34064763831408895</v>
      </c>
      <c r="J985" s="27">
        <f>VLOOKUP($F985,mapping!$L$2:$P$92,3,0)</f>
        <v>1388.78</v>
      </c>
      <c r="K985" s="27" t="str">
        <f>VLOOKUP($F985,mapping!$L$2:$P$92,4,0)</f>
        <v>Developing Asia</v>
      </c>
      <c r="L985" s="29">
        <f>$D985*VLOOKUP($E985,'Charts data'!$A$2:$B$11,2,0)*VLOOKUP($G985,'Charts data'!$A$14:$B$18,2,0)/IF('Charts data'!$E$3=1,I985,1)/IF('Charts data'!$E$4=1,J985,1)</f>
        <v>8700</v>
      </c>
    </row>
    <row r="986" spans="1:12" x14ac:dyDescent="0.25">
      <c r="A986" s="27" t="s">
        <v>1199</v>
      </c>
      <c r="B986" s="27">
        <v>12000</v>
      </c>
      <c r="C986" s="27" t="s">
        <v>2</v>
      </c>
      <c r="D986" s="28">
        <f>B986*VLOOKUP(C986,tblXrate[],2,0)</f>
        <v>12000</v>
      </c>
      <c r="E986" s="27" t="s">
        <v>53</v>
      </c>
      <c r="F986" s="27" t="s">
        <v>3</v>
      </c>
      <c r="G986" s="27" t="s">
        <v>2272</v>
      </c>
      <c r="H986" s="27">
        <v>8</v>
      </c>
      <c r="I986" s="27">
        <f>VLOOKUP(F986,mapping!$L$2:$P$92,2,0)</f>
        <v>0.34064763831408895</v>
      </c>
      <c r="J986" s="27">
        <f>VLOOKUP($F986,mapping!$L$2:$P$92,3,0)</f>
        <v>1388.78</v>
      </c>
      <c r="K986" s="27" t="str">
        <f>VLOOKUP($F986,mapping!$L$2:$P$92,4,0)</f>
        <v>Developing Asia</v>
      </c>
      <c r="L986" s="29">
        <f>$D986*VLOOKUP($E986,'Charts data'!$A$2:$B$11,2,0)*VLOOKUP($G986,'Charts data'!$A$14:$B$18,2,0)/IF('Charts data'!$E$3=1,I986,1)/IF('Charts data'!$E$4=1,J986,1)</f>
        <v>12000</v>
      </c>
    </row>
    <row r="987" spans="1:12" x14ac:dyDescent="0.25">
      <c r="A987" s="27" t="s">
        <v>1208</v>
      </c>
      <c r="B987" s="27">
        <v>5100</v>
      </c>
      <c r="C987" s="27" t="s">
        <v>2</v>
      </c>
      <c r="D987" s="28">
        <f>B987*VLOOKUP(C987,tblXrate[],2,0)</f>
        <v>5100</v>
      </c>
      <c r="E987" s="27" t="s">
        <v>2145</v>
      </c>
      <c r="F987" s="27" t="s">
        <v>3</v>
      </c>
      <c r="G987" s="27" t="s">
        <v>2273</v>
      </c>
      <c r="H987" s="27">
        <v>8</v>
      </c>
      <c r="I987" s="27">
        <f>VLOOKUP(F987,mapping!$L$2:$P$92,2,0)</f>
        <v>0.34064763831408895</v>
      </c>
      <c r="J987" s="27">
        <f>VLOOKUP($F987,mapping!$L$2:$P$92,3,0)</f>
        <v>1388.78</v>
      </c>
      <c r="K987" s="27" t="str">
        <f>VLOOKUP($F987,mapping!$L$2:$P$92,4,0)</f>
        <v>Developing Asia</v>
      </c>
      <c r="L987" s="29">
        <f>$D987*VLOOKUP($E987,'Charts data'!$A$2:$B$11,2,0)*VLOOKUP($G987,'Charts data'!$A$14:$B$18,2,0)/IF('Charts data'!$E$3=1,I987,1)/IF('Charts data'!$E$4=1,J987,1)</f>
        <v>5100</v>
      </c>
    </row>
    <row r="988" spans="1:12" x14ac:dyDescent="0.25">
      <c r="A988" s="27" t="s">
        <v>1211</v>
      </c>
      <c r="B988" s="27">
        <v>50000</v>
      </c>
      <c r="C988" s="27" t="s">
        <v>2</v>
      </c>
      <c r="D988" s="28">
        <f>B988*VLOOKUP(C988,tblXrate[],2,0)</f>
        <v>50000</v>
      </c>
      <c r="E988" s="27" t="s">
        <v>2147</v>
      </c>
      <c r="F988" s="27" t="s">
        <v>3</v>
      </c>
      <c r="G988" s="27" t="s">
        <v>2274</v>
      </c>
      <c r="H988" s="27">
        <v>26</v>
      </c>
      <c r="I988" s="27">
        <f>VLOOKUP(F988,mapping!$L$2:$P$92,2,0)</f>
        <v>0.34064763831408895</v>
      </c>
      <c r="J988" s="27">
        <f>VLOOKUP($F988,mapping!$L$2:$P$92,3,0)</f>
        <v>1388.78</v>
      </c>
      <c r="K988" s="27" t="str">
        <f>VLOOKUP($F988,mapping!$L$2:$P$92,4,0)</f>
        <v>Developing Asia</v>
      </c>
      <c r="L988" s="29">
        <f>$D988*VLOOKUP($E988,'Charts data'!$A$2:$B$11,2,0)*VLOOKUP($G988,'Charts data'!$A$14:$B$18,2,0)/IF('Charts data'!$E$3=1,I988,1)/IF('Charts data'!$E$4=1,J988,1)</f>
        <v>50000</v>
      </c>
    </row>
    <row r="989" spans="1:12" x14ac:dyDescent="0.25">
      <c r="A989" s="27" t="s">
        <v>1214</v>
      </c>
      <c r="B989" s="27">
        <v>7000</v>
      </c>
      <c r="C989" s="27" t="s">
        <v>2</v>
      </c>
      <c r="D989" s="28">
        <f>B989*VLOOKUP(C989,tblXrate[],2,0)</f>
        <v>7000</v>
      </c>
      <c r="E989" s="27" t="s">
        <v>2145</v>
      </c>
      <c r="F989" s="27" t="s">
        <v>3</v>
      </c>
      <c r="G989" s="27" t="s">
        <v>2273</v>
      </c>
      <c r="H989" s="27">
        <v>5</v>
      </c>
      <c r="I989" s="27">
        <f>VLOOKUP(F989,mapping!$L$2:$P$92,2,0)</f>
        <v>0.34064763831408895</v>
      </c>
      <c r="J989" s="27">
        <f>VLOOKUP($F989,mapping!$L$2:$P$92,3,0)</f>
        <v>1388.78</v>
      </c>
      <c r="K989" s="27" t="str">
        <f>VLOOKUP($F989,mapping!$L$2:$P$92,4,0)</f>
        <v>Developing Asia</v>
      </c>
      <c r="L989" s="29">
        <f>$D989*VLOOKUP($E989,'Charts data'!$A$2:$B$11,2,0)*VLOOKUP($G989,'Charts data'!$A$14:$B$18,2,0)/IF('Charts data'!$E$3=1,I989,1)/IF('Charts data'!$E$4=1,J989,1)</f>
        <v>7000</v>
      </c>
    </row>
    <row r="990" spans="1:12" x14ac:dyDescent="0.25">
      <c r="A990" s="27" t="s">
        <v>1217</v>
      </c>
      <c r="B990" s="27">
        <v>6720</v>
      </c>
      <c r="C990" s="27" t="s">
        <v>2</v>
      </c>
      <c r="D990" s="28">
        <f>B990*VLOOKUP(C990,tblXrate[],2,0)</f>
        <v>6720</v>
      </c>
      <c r="E990" s="27" t="s">
        <v>2145</v>
      </c>
      <c r="F990" s="27" t="s">
        <v>3</v>
      </c>
      <c r="G990" s="27" t="s">
        <v>2271</v>
      </c>
      <c r="H990" s="27">
        <v>6</v>
      </c>
      <c r="I990" s="27">
        <f>VLOOKUP(F990,mapping!$L$2:$P$92,2,0)</f>
        <v>0.34064763831408895</v>
      </c>
      <c r="J990" s="27">
        <f>VLOOKUP($F990,mapping!$L$2:$P$92,3,0)</f>
        <v>1388.78</v>
      </c>
      <c r="K990" s="27" t="str">
        <f>VLOOKUP($F990,mapping!$L$2:$P$92,4,0)</f>
        <v>Developing Asia</v>
      </c>
      <c r="L990" s="29">
        <f>$D990*VLOOKUP($E990,'Charts data'!$A$2:$B$11,2,0)*VLOOKUP($G990,'Charts data'!$A$14:$B$18,2,0)/IF('Charts data'!$E$3=1,I990,1)/IF('Charts data'!$E$4=1,J990,1)</f>
        <v>6720</v>
      </c>
    </row>
    <row r="991" spans="1:12" x14ac:dyDescent="0.25">
      <c r="A991" s="27" t="s">
        <v>1220</v>
      </c>
      <c r="B991" s="27">
        <v>7200</v>
      </c>
      <c r="C991" s="27" t="s">
        <v>2</v>
      </c>
      <c r="D991" s="28">
        <f>B991*VLOOKUP(C991,tblXrate[],2,0)</f>
        <v>7200</v>
      </c>
      <c r="E991" s="27" t="s">
        <v>7</v>
      </c>
      <c r="F991" s="27" t="s">
        <v>3</v>
      </c>
      <c r="G991" s="27" t="s">
        <v>2273</v>
      </c>
      <c r="H991" s="27">
        <v>10</v>
      </c>
      <c r="I991" s="27">
        <f>VLOOKUP(F991,mapping!$L$2:$P$92,2,0)</f>
        <v>0.34064763831408895</v>
      </c>
      <c r="J991" s="27">
        <f>VLOOKUP($F991,mapping!$L$2:$P$92,3,0)</f>
        <v>1388.78</v>
      </c>
      <c r="K991" s="27" t="str">
        <f>VLOOKUP($F991,mapping!$L$2:$P$92,4,0)</f>
        <v>Developing Asia</v>
      </c>
      <c r="L991" s="29">
        <f>$D991*VLOOKUP($E991,'Charts data'!$A$2:$B$11,2,0)*VLOOKUP($G991,'Charts data'!$A$14:$B$18,2,0)/IF('Charts data'!$E$3=1,I991,1)/IF('Charts data'!$E$4=1,J991,1)</f>
        <v>7200</v>
      </c>
    </row>
    <row r="992" spans="1:12" x14ac:dyDescent="0.25">
      <c r="A992" s="27" t="s">
        <v>1228</v>
      </c>
      <c r="B992" s="27">
        <v>50000</v>
      </c>
      <c r="C992" s="27" t="s">
        <v>2</v>
      </c>
      <c r="D992" s="28">
        <f>B992*VLOOKUP(C992,tblXrate[],2,0)</f>
        <v>50000</v>
      </c>
      <c r="E992" s="27" t="s">
        <v>19</v>
      </c>
      <c r="F992" s="27" t="s">
        <v>3</v>
      </c>
      <c r="G992" s="27" t="s">
        <v>2272</v>
      </c>
      <c r="H992" s="27">
        <v>30</v>
      </c>
      <c r="I992" s="27">
        <f>VLOOKUP(F992,mapping!$L$2:$P$92,2,0)</f>
        <v>0.34064763831408895</v>
      </c>
      <c r="J992" s="27">
        <f>VLOOKUP($F992,mapping!$L$2:$P$92,3,0)</f>
        <v>1388.78</v>
      </c>
      <c r="K992" s="27" t="str">
        <f>VLOOKUP($F992,mapping!$L$2:$P$92,4,0)</f>
        <v>Developing Asia</v>
      </c>
      <c r="L992" s="29">
        <f>$D992*VLOOKUP($E992,'Charts data'!$A$2:$B$11,2,0)*VLOOKUP($G992,'Charts data'!$A$14:$B$18,2,0)/IF('Charts data'!$E$3=1,I992,1)/IF('Charts data'!$E$4=1,J992,1)</f>
        <v>50000</v>
      </c>
    </row>
    <row r="993" spans="1:12" x14ac:dyDescent="0.25">
      <c r="A993" s="27" t="s">
        <v>1234</v>
      </c>
      <c r="B993" s="27">
        <v>7960</v>
      </c>
      <c r="C993" s="27" t="s">
        <v>2</v>
      </c>
      <c r="D993" s="28">
        <f>B993*VLOOKUP(C993,tblXrate[],2,0)</f>
        <v>7960</v>
      </c>
      <c r="E993" s="27" t="s">
        <v>19</v>
      </c>
      <c r="F993" s="27" t="s">
        <v>3</v>
      </c>
      <c r="G993" s="27" t="s">
        <v>2271</v>
      </c>
      <c r="H993" s="27">
        <v>7</v>
      </c>
      <c r="I993" s="27">
        <f>VLOOKUP(F993,mapping!$L$2:$P$92,2,0)</f>
        <v>0.34064763831408895</v>
      </c>
      <c r="J993" s="27">
        <f>VLOOKUP($F993,mapping!$L$2:$P$92,3,0)</f>
        <v>1388.78</v>
      </c>
      <c r="K993" s="27" t="str">
        <f>VLOOKUP($F993,mapping!$L$2:$P$92,4,0)</f>
        <v>Developing Asia</v>
      </c>
      <c r="L993" s="29">
        <f>$D993*VLOOKUP($E993,'Charts data'!$A$2:$B$11,2,0)*VLOOKUP($G993,'Charts data'!$A$14:$B$18,2,0)/IF('Charts data'!$E$3=1,I993,1)/IF('Charts data'!$E$4=1,J993,1)</f>
        <v>7960</v>
      </c>
    </row>
    <row r="994" spans="1:12" x14ac:dyDescent="0.25">
      <c r="A994" s="27" t="s">
        <v>1260</v>
      </c>
      <c r="B994" s="27">
        <v>60000</v>
      </c>
      <c r="C994" s="27" t="s">
        <v>2</v>
      </c>
      <c r="D994" s="28">
        <f>B994*VLOOKUP(C994,tblXrate[],2,0)</f>
        <v>60000</v>
      </c>
      <c r="E994" s="27" t="s">
        <v>19</v>
      </c>
      <c r="F994" s="27" t="s">
        <v>3</v>
      </c>
      <c r="G994" s="27" t="s">
        <v>2273</v>
      </c>
      <c r="H994" s="27">
        <v>14</v>
      </c>
      <c r="I994" s="27">
        <f>VLOOKUP(F994,mapping!$L$2:$P$92,2,0)</f>
        <v>0.34064763831408895</v>
      </c>
      <c r="J994" s="27">
        <f>VLOOKUP($F994,mapping!$L$2:$P$92,3,0)</f>
        <v>1388.78</v>
      </c>
      <c r="K994" s="27" t="str">
        <f>VLOOKUP($F994,mapping!$L$2:$P$92,4,0)</f>
        <v>Developing Asia</v>
      </c>
      <c r="L994" s="29">
        <f>$D994*VLOOKUP($E994,'Charts data'!$A$2:$B$11,2,0)*VLOOKUP($G994,'Charts data'!$A$14:$B$18,2,0)/IF('Charts data'!$E$3=1,I994,1)/IF('Charts data'!$E$4=1,J994,1)</f>
        <v>60000</v>
      </c>
    </row>
    <row r="995" spans="1:12" x14ac:dyDescent="0.25">
      <c r="A995" s="27" t="s">
        <v>1279</v>
      </c>
      <c r="B995" s="27">
        <v>10000</v>
      </c>
      <c r="C995" s="27" t="s">
        <v>2</v>
      </c>
      <c r="D995" s="28">
        <f>B995*VLOOKUP(C995,tblXrate[],2,0)</f>
        <v>10000</v>
      </c>
      <c r="E995" s="27" t="s">
        <v>7</v>
      </c>
      <c r="F995" s="27" t="s">
        <v>3</v>
      </c>
      <c r="G995" s="27" t="s">
        <v>2272</v>
      </c>
      <c r="H995" s="27">
        <v>5</v>
      </c>
      <c r="I995" s="27">
        <f>VLOOKUP(F995,mapping!$L$2:$P$92,2,0)</f>
        <v>0.34064763831408895</v>
      </c>
      <c r="J995" s="27">
        <f>VLOOKUP($F995,mapping!$L$2:$P$92,3,0)</f>
        <v>1388.78</v>
      </c>
      <c r="K995" s="27" t="str">
        <f>VLOOKUP($F995,mapping!$L$2:$P$92,4,0)</f>
        <v>Developing Asia</v>
      </c>
      <c r="L995" s="29">
        <f>$D995*VLOOKUP($E995,'Charts data'!$A$2:$B$11,2,0)*VLOOKUP($G995,'Charts data'!$A$14:$B$18,2,0)/IF('Charts data'!$E$3=1,I995,1)/IF('Charts data'!$E$4=1,J995,1)</f>
        <v>10000</v>
      </c>
    </row>
    <row r="996" spans="1:12" x14ac:dyDescent="0.25">
      <c r="A996" s="27" t="s">
        <v>1284</v>
      </c>
      <c r="B996" s="27">
        <v>40000</v>
      </c>
      <c r="C996" s="27" t="s">
        <v>2</v>
      </c>
      <c r="D996" s="28">
        <f>B996*VLOOKUP(C996,tblXrate[],2,0)</f>
        <v>40000</v>
      </c>
      <c r="E996" s="27" t="s">
        <v>48</v>
      </c>
      <c r="F996" s="27" t="s">
        <v>3</v>
      </c>
      <c r="G996" s="27" t="s">
        <v>2272</v>
      </c>
      <c r="H996" s="27">
        <v>2</v>
      </c>
      <c r="I996" s="27">
        <f>VLOOKUP(F996,mapping!$L$2:$P$92,2,0)</f>
        <v>0.34064763831408895</v>
      </c>
      <c r="J996" s="27">
        <f>VLOOKUP($F996,mapping!$L$2:$P$92,3,0)</f>
        <v>1388.78</v>
      </c>
      <c r="K996" s="27" t="str">
        <f>VLOOKUP($F996,mapping!$L$2:$P$92,4,0)</f>
        <v>Developing Asia</v>
      </c>
      <c r="L996" s="29">
        <f>$D996*VLOOKUP($E996,'Charts data'!$A$2:$B$11,2,0)*VLOOKUP($G996,'Charts data'!$A$14:$B$18,2,0)/IF('Charts data'!$E$3=1,I996,1)/IF('Charts data'!$E$4=1,J996,1)</f>
        <v>40000</v>
      </c>
    </row>
    <row r="997" spans="1:12" x14ac:dyDescent="0.25">
      <c r="A997" s="27" t="s">
        <v>1298</v>
      </c>
      <c r="B997" s="27">
        <v>6000</v>
      </c>
      <c r="C997" s="27" t="s">
        <v>2</v>
      </c>
      <c r="D997" s="28">
        <f>B997*VLOOKUP(C997,tblXrate[],2,0)</f>
        <v>6000</v>
      </c>
      <c r="E997" s="27" t="s">
        <v>19</v>
      </c>
      <c r="F997" s="27" t="s">
        <v>3</v>
      </c>
      <c r="G997" s="27" t="s">
        <v>2271</v>
      </c>
      <c r="H997" s="27">
        <v>6</v>
      </c>
      <c r="I997" s="27">
        <f>VLOOKUP(F997,mapping!$L$2:$P$92,2,0)</f>
        <v>0.34064763831408895</v>
      </c>
      <c r="J997" s="27">
        <f>VLOOKUP($F997,mapping!$L$2:$P$92,3,0)</f>
        <v>1388.78</v>
      </c>
      <c r="K997" s="27" t="str">
        <f>VLOOKUP($F997,mapping!$L$2:$P$92,4,0)</f>
        <v>Developing Asia</v>
      </c>
      <c r="L997" s="29">
        <f>$D997*VLOOKUP($E997,'Charts data'!$A$2:$B$11,2,0)*VLOOKUP($G997,'Charts data'!$A$14:$B$18,2,0)/IF('Charts data'!$E$3=1,I997,1)/IF('Charts data'!$E$4=1,J997,1)</f>
        <v>6000</v>
      </c>
    </row>
    <row r="998" spans="1:12" x14ac:dyDescent="0.25">
      <c r="A998" s="27" t="s">
        <v>1301</v>
      </c>
      <c r="B998" s="27">
        <v>8600</v>
      </c>
      <c r="C998" s="27" t="s">
        <v>2</v>
      </c>
      <c r="D998" s="28">
        <f>B998*VLOOKUP(C998,tblXrate[],2,0)</f>
        <v>8600</v>
      </c>
      <c r="E998" s="27" t="s">
        <v>7</v>
      </c>
      <c r="F998" s="27" t="s">
        <v>3</v>
      </c>
      <c r="G998" s="27" t="s">
        <v>2271</v>
      </c>
      <c r="H998" s="27">
        <v>2</v>
      </c>
      <c r="I998" s="27">
        <f>VLOOKUP(F998,mapping!$L$2:$P$92,2,0)</f>
        <v>0.34064763831408895</v>
      </c>
      <c r="J998" s="27">
        <f>VLOOKUP($F998,mapping!$L$2:$P$92,3,0)</f>
        <v>1388.78</v>
      </c>
      <c r="K998" s="27" t="str">
        <f>VLOOKUP($F998,mapping!$L$2:$P$92,4,0)</f>
        <v>Developing Asia</v>
      </c>
      <c r="L998" s="29">
        <f>$D998*VLOOKUP($E998,'Charts data'!$A$2:$B$11,2,0)*VLOOKUP($G998,'Charts data'!$A$14:$B$18,2,0)/IF('Charts data'!$E$3=1,I998,1)/IF('Charts data'!$E$4=1,J998,1)</f>
        <v>8600</v>
      </c>
    </row>
    <row r="999" spans="1:12" x14ac:dyDescent="0.25">
      <c r="A999" s="27" t="s">
        <v>1330</v>
      </c>
      <c r="B999" s="27">
        <v>7200</v>
      </c>
      <c r="C999" s="27" t="s">
        <v>2</v>
      </c>
      <c r="D999" s="28">
        <f>B999*VLOOKUP(C999,tblXrate[],2,0)</f>
        <v>7200</v>
      </c>
      <c r="E999" s="27" t="s">
        <v>2145</v>
      </c>
      <c r="F999" s="27" t="s">
        <v>3</v>
      </c>
      <c r="G999" s="27" t="s">
        <v>2271</v>
      </c>
      <c r="H999" s="27">
        <v>7</v>
      </c>
      <c r="I999" s="27">
        <f>VLOOKUP(F999,mapping!$L$2:$P$92,2,0)</f>
        <v>0.34064763831408895</v>
      </c>
      <c r="J999" s="27">
        <f>VLOOKUP($F999,mapping!$L$2:$P$92,3,0)</f>
        <v>1388.78</v>
      </c>
      <c r="K999" s="27" t="str">
        <f>VLOOKUP($F999,mapping!$L$2:$P$92,4,0)</f>
        <v>Developing Asia</v>
      </c>
      <c r="L999" s="29">
        <f>$D999*VLOOKUP($E999,'Charts data'!$A$2:$B$11,2,0)*VLOOKUP($G999,'Charts data'!$A$14:$B$18,2,0)/IF('Charts data'!$E$3=1,I999,1)/IF('Charts data'!$E$4=1,J999,1)</f>
        <v>7200</v>
      </c>
    </row>
    <row r="1000" spans="1:12" x14ac:dyDescent="0.25">
      <c r="A1000" s="27" t="s">
        <v>1349</v>
      </c>
      <c r="B1000" s="27">
        <v>4800</v>
      </c>
      <c r="C1000" s="27" t="s">
        <v>2</v>
      </c>
      <c r="D1000" s="28">
        <f>B1000*VLOOKUP(C1000,tblXrate[],2,0)</f>
        <v>4800</v>
      </c>
      <c r="E1000" s="27" t="s">
        <v>7</v>
      </c>
      <c r="F1000" s="27" t="s">
        <v>3</v>
      </c>
      <c r="G1000" s="27" t="s">
        <v>2271</v>
      </c>
      <c r="H1000" s="27">
        <v>5</v>
      </c>
      <c r="I1000" s="27">
        <f>VLOOKUP(F1000,mapping!$L$2:$P$92,2,0)</f>
        <v>0.34064763831408895</v>
      </c>
      <c r="J1000" s="27">
        <f>VLOOKUP($F1000,mapping!$L$2:$P$92,3,0)</f>
        <v>1388.78</v>
      </c>
      <c r="K1000" s="27" t="str">
        <f>VLOOKUP($F1000,mapping!$L$2:$P$92,4,0)</f>
        <v>Developing Asia</v>
      </c>
      <c r="L1000" s="29">
        <f>$D1000*VLOOKUP($E1000,'Charts data'!$A$2:$B$11,2,0)*VLOOKUP($G1000,'Charts data'!$A$14:$B$18,2,0)/IF('Charts data'!$E$3=1,I1000,1)/IF('Charts data'!$E$4=1,J1000,1)</f>
        <v>4800</v>
      </c>
    </row>
    <row r="1001" spans="1:12" x14ac:dyDescent="0.25">
      <c r="A1001" s="27" t="s">
        <v>1365</v>
      </c>
      <c r="B1001" s="27">
        <v>9000</v>
      </c>
      <c r="C1001" s="27" t="s">
        <v>2</v>
      </c>
      <c r="D1001" s="28">
        <f>B1001*VLOOKUP(C1001,tblXrate[],2,0)</f>
        <v>9000</v>
      </c>
      <c r="E1001" s="27" t="s">
        <v>19</v>
      </c>
      <c r="F1001" s="27" t="s">
        <v>3</v>
      </c>
      <c r="G1001" s="27" t="s">
        <v>2271</v>
      </c>
      <c r="H1001" s="27">
        <v>1</v>
      </c>
      <c r="I1001" s="27">
        <f>VLOOKUP(F1001,mapping!$L$2:$P$92,2,0)</f>
        <v>0.34064763831408895</v>
      </c>
      <c r="J1001" s="27">
        <f>VLOOKUP($F1001,mapping!$L$2:$P$92,3,0)</f>
        <v>1388.78</v>
      </c>
      <c r="K1001" s="27" t="str">
        <f>VLOOKUP($F1001,mapping!$L$2:$P$92,4,0)</f>
        <v>Developing Asia</v>
      </c>
      <c r="L1001" s="29">
        <f>$D1001*VLOOKUP($E1001,'Charts data'!$A$2:$B$11,2,0)*VLOOKUP($G1001,'Charts data'!$A$14:$B$18,2,0)/IF('Charts data'!$E$3=1,I1001,1)/IF('Charts data'!$E$4=1,J1001,1)</f>
        <v>9000</v>
      </c>
    </row>
    <row r="1002" spans="1:12" x14ac:dyDescent="0.25">
      <c r="A1002" s="27" t="s">
        <v>1407</v>
      </c>
      <c r="B1002" s="27">
        <v>30000</v>
      </c>
      <c r="C1002" s="27" t="s">
        <v>2</v>
      </c>
      <c r="D1002" s="28">
        <f>B1002*VLOOKUP(C1002,tblXrate[],2,0)</f>
        <v>30000</v>
      </c>
      <c r="E1002" s="27" t="s">
        <v>19</v>
      </c>
      <c r="F1002" s="27" t="s">
        <v>3</v>
      </c>
      <c r="G1002" s="27" t="s">
        <v>2272</v>
      </c>
      <c r="H1002" s="27">
        <v>3</v>
      </c>
      <c r="I1002" s="27">
        <f>VLOOKUP(F1002,mapping!$L$2:$P$92,2,0)</f>
        <v>0.34064763831408895</v>
      </c>
      <c r="J1002" s="27">
        <f>VLOOKUP($F1002,mapping!$L$2:$P$92,3,0)</f>
        <v>1388.78</v>
      </c>
      <c r="K1002" s="27" t="str">
        <f>VLOOKUP($F1002,mapping!$L$2:$P$92,4,0)</f>
        <v>Developing Asia</v>
      </c>
      <c r="L1002" s="29">
        <f>$D1002*VLOOKUP($E1002,'Charts data'!$A$2:$B$11,2,0)*VLOOKUP($G1002,'Charts data'!$A$14:$B$18,2,0)/IF('Charts data'!$E$3=1,I1002,1)/IF('Charts data'!$E$4=1,J1002,1)</f>
        <v>30000</v>
      </c>
    </row>
    <row r="1003" spans="1:12" x14ac:dyDescent="0.25">
      <c r="A1003" s="27" t="s">
        <v>1414</v>
      </c>
      <c r="B1003" s="27">
        <v>11800</v>
      </c>
      <c r="C1003" s="27" t="s">
        <v>2</v>
      </c>
      <c r="D1003" s="28">
        <f>B1003*VLOOKUP(C1003,tblXrate[],2,0)</f>
        <v>11800</v>
      </c>
      <c r="E1003" s="27" t="s">
        <v>7</v>
      </c>
      <c r="F1003" s="27" t="s">
        <v>3</v>
      </c>
      <c r="G1003" s="27" t="s">
        <v>2271</v>
      </c>
      <c r="H1003" s="27">
        <v>10</v>
      </c>
      <c r="I1003" s="27">
        <f>VLOOKUP(F1003,mapping!$L$2:$P$92,2,0)</f>
        <v>0.34064763831408895</v>
      </c>
      <c r="J1003" s="27">
        <f>VLOOKUP($F1003,mapping!$L$2:$P$92,3,0)</f>
        <v>1388.78</v>
      </c>
      <c r="K1003" s="27" t="str">
        <f>VLOOKUP($F1003,mapping!$L$2:$P$92,4,0)</f>
        <v>Developing Asia</v>
      </c>
      <c r="L1003" s="29">
        <f>$D1003*VLOOKUP($E1003,'Charts data'!$A$2:$B$11,2,0)*VLOOKUP($G1003,'Charts data'!$A$14:$B$18,2,0)/IF('Charts data'!$E$3=1,I1003,1)/IF('Charts data'!$E$4=1,J1003,1)</f>
        <v>11800</v>
      </c>
    </row>
    <row r="1004" spans="1:12" x14ac:dyDescent="0.25">
      <c r="A1004" s="27" t="s">
        <v>1422</v>
      </c>
      <c r="B1004" s="27">
        <v>18000</v>
      </c>
      <c r="C1004" s="27" t="s">
        <v>2</v>
      </c>
      <c r="D1004" s="28">
        <f>B1004*VLOOKUP(C1004,tblXrate[],2,0)</f>
        <v>18000</v>
      </c>
      <c r="E1004" s="27" t="s">
        <v>19</v>
      </c>
      <c r="F1004" s="27" t="s">
        <v>3</v>
      </c>
      <c r="G1004" s="27" t="s">
        <v>2271</v>
      </c>
      <c r="H1004" s="27">
        <v>12</v>
      </c>
      <c r="I1004" s="27">
        <f>VLOOKUP(F1004,mapping!$L$2:$P$92,2,0)</f>
        <v>0.34064763831408895</v>
      </c>
      <c r="J1004" s="27">
        <f>VLOOKUP($F1004,mapping!$L$2:$P$92,3,0)</f>
        <v>1388.78</v>
      </c>
      <c r="K1004" s="27" t="str">
        <f>VLOOKUP($F1004,mapping!$L$2:$P$92,4,0)</f>
        <v>Developing Asia</v>
      </c>
      <c r="L1004" s="29">
        <f>$D1004*VLOOKUP($E1004,'Charts data'!$A$2:$B$11,2,0)*VLOOKUP($G1004,'Charts data'!$A$14:$B$18,2,0)/IF('Charts data'!$E$3=1,I1004,1)/IF('Charts data'!$E$4=1,J1004,1)</f>
        <v>18000</v>
      </c>
    </row>
    <row r="1005" spans="1:12" x14ac:dyDescent="0.25">
      <c r="A1005" s="27" t="s">
        <v>1426</v>
      </c>
      <c r="B1005" s="27">
        <v>14000</v>
      </c>
      <c r="C1005" s="27" t="s">
        <v>2</v>
      </c>
      <c r="D1005" s="28">
        <f>B1005*VLOOKUP(C1005,tblXrate[],2,0)</f>
        <v>14000</v>
      </c>
      <c r="E1005" s="27" t="s">
        <v>7</v>
      </c>
      <c r="F1005" s="27" t="s">
        <v>3</v>
      </c>
      <c r="G1005" s="27" t="s">
        <v>2271</v>
      </c>
      <c r="H1005" s="27">
        <v>12</v>
      </c>
      <c r="I1005" s="27">
        <f>VLOOKUP(F1005,mapping!$L$2:$P$92,2,0)</f>
        <v>0.34064763831408895</v>
      </c>
      <c r="J1005" s="27">
        <f>VLOOKUP($F1005,mapping!$L$2:$P$92,3,0)</f>
        <v>1388.78</v>
      </c>
      <c r="K1005" s="27" t="str">
        <f>VLOOKUP($F1005,mapping!$L$2:$P$92,4,0)</f>
        <v>Developing Asia</v>
      </c>
      <c r="L1005" s="29">
        <f>$D1005*VLOOKUP($E1005,'Charts data'!$A$2:$B$11,2,0)*VLOOKUP($G1005,'Charts data'!$A$14:$B$18,2,0)/IF('Charts data'!$E$3=1,I1005,1)/IF('Charts data'!$E$4=1,J1005,1)</f>
        <v>14000</v>
      </c>
    </row>
    <row r="1006" spans="1:12" x14ac:dyDescent="0.25">
      <c r="A1006" s="27" t="s">
        <v>1427</v>
      </c>
      <c r="B1006" s="27">
        <v>8000</v>
      </c>
      <c r="C1006" s="27" t="s">
        <v>2</v>
      </c>
      <c r="D1006" s="28">
        <f>B1006*VLOOKUP(C1006,tblXrate[],2,0)</f>
        <v>8000</v>
      </c>
      <c r="E1006" s="27" t="s">
        <v>7</v>
      </c>
      <c r="F1006" s="27" t="s">
        <v>3</v>
      </c>
      <c r="G1006" s="27" t="s">
        <v>2273</v>
      </c>
      <c r="H1006" s="27">
        <v>4</v>
      </c>
      <c r="I1006" s="27">
        <f>VLOOKUP(F1006,mapping!$L$2:$P$92,2,0)</f>
        <v>0.34064763831408895</v>
      </c>
      <c r="J1006" s="27">
        <f>VLOOKUP($F1006,mapping!$L$2:$P$92,3,0)</f>
        <v>1388.78</v>
      </c>
      <c r="K1006" s="27" t="str">
        <f>VLOOKUP($F1006,mapping!$L$2:$P$92,4,0)</f>
        <v>Developing Asia</v>
      </c>
      <c r="L1006" s="29">
        <f>$D1006*VLOOKUP($E1006,'Charts data'!$A$2:$B$11,2,0)*VLOOKUP($G1006,'Charts data'!$A$14:$B$18,2,0)/IF('Charts data'!$E$3=1,I1006,1)/IF('Charts data'!$E$4=1,J1006,1)</f>
        <v>8000</v>
      </c>
    </row>
    <row r="1007" spans="1:12" x14ac:dyDescent="0.25">
      <c r="A1007" s="27" t="s">
        <v>1448</v>
      </c>
      <c r="B1007" s="27">
        <v>13500</v>
      </c>
      <c r="C1007" s="27" t="s">
        <v>2</v>
      </c>
      <c r="D1007" s="28">
        <f>B1007*VLOOKUP(C1007,tblXrate[],2,0)</f>
        <v>13500</v>
      </c>
      <c r="E1007" s="27" t="s">
        <v>19</v>
      </c>
      <c r="F1007" s="27" t="s">
        <v>3</v>
      </c>
      <c r="G1007" s="27" t="s">
        <v>2272</v>
      </c>
      <c r="H1007" s="27">
        <v>20</v>
      </c>
      <c r="I1007" s="27">
        <f>VLOOKUP(F1007,mapping!$L$2:$P$92,2,0)</f>
        <v>0.34064763831408895</v>
      </c>
      <c r="J1007" s="27">
        <f>VLOOKUP($F1007,mapping!$L$2:$P$92,3,0)</f>
        <v>1388.78</v>
      </c>
      <c r="K1007" s="27" t="str">
        <f>VLOOKUP($F1007,mapping!$L$2:$P$92,4,0)</f>
        <v>Developing Asia</v>
      </c>
      <c r="L1007" s="29">
        <f>$D1007*VLOOKUP($E1007,'Charts data'!$A$2:$B$11,2,0)*VLOOKUP($G1007,'Charts data'!$A$14:$B$18,2,0)/IF('Charts data'!$E$3=1,I1007,1)/IF('Charts data'!$E$4=1,J1007,1)</f>
        <v>13500</v>
      </c>
    </row>
    <row r="1008" spans="1:12" x14ac:dyDescent="0.25">
      <c r="A1008" s="27" t="s">
        <v>1457</v>
      </c>
      <c r="B1008" s="27">
        <v>10000</v>
      </c>
      <c r="C1008" s="27" t="s">
        <v>2</v>
      </c>
      <c r="D1008" s="28">
        <f>B1008*VLOOKUP(C1008,tblXrate[],2,0)</f>
        <v>10000</v>
      </c>
      <c r="E1008" s="27" t="s">
        <v>2145</v>
      </c>
      <c r="F1008" s="27" t="s">
        <v>3</v>
      </c>
      <c r="G1008" s="27" t="s">
        <v>2274</v>
      </c>
      <c r="H1008" s="27">
        <v>0.5</v>
      </c>
      <c r="I1008" s="27">
        <f>VLOOKUP(F1008,mapping!$L$2:$P$92,2,0)</f>
        <v>0.34064763831408895</v>
      </c>
      <c r="J1008" s="27">
        <f>VLOOKUP($F1008,mapping!$L$2:$P$92,3,0)</f>
        <v>1388.78</v>
      </c>
      <c r="K1008" s="27" t="str">
        <f>VLOOKUP($F1008,mapping!$L$2:$P$92,4,0)</f>
        <v>Developing Asia</v>
      </c>
      <c r="L1008" s="29">
        <f>$D1008*VLOOKUP($E1008,'Charts data'!$A$2:$B$11,2,0)*VLOOKUP($G1008,'Charts data'!$A$14:$B$18,2,0)/IF('Charts data'!$E$3=1,I1008,1)/IF('Charts data'!$E$4=1,J1008,1)</f>
        <v>10000</v>
      </c>
    </row>
    <row r="1009" spans="1:12" x14ac:dyDescent="0.25">
      <c r="A1009" s="27" t="s">
        <v>1458</v>
      </c>
      <c r="B1009" s="27">
        <v>9000</v>
      </c>
      <c r="C1009" s="27" t="s">
        <v>2</v>
      </c>
      <c r="D1009" s="28">
        <f>B1009*VLOOKUP(C1009,tblXrate[],2,0)</f>
        <v>9000</v>
      </c>
      <c r="E1009" s="27" t="s">
        <v>7</v>
      </c>
      <c r="F1009" s="27" t="s">
        <v>3</v>
      </c>
      <c r="G1009" s="27" t="s">
        <v>2273</v>
      </c>
      <c r="H1009" s="27">
        <v>0.6</v>
      </c>
      <c r="I1009" s="27">
        <f>VLOOKUP(F1009,mapping!$L$2:$P$92,2,0)</f>
        <v>0.34064763831408895</v>
      </c>
      <c r="J1009" s="27">
        <f>VLOOKUP($F1009,mapping!$L$2:$P$92,3,0)</f>
        <v>1388.78</v>
      </c>
      <c r="K1009" s="27" t="str">
        <f>VLOOKUP($F1009,mapping!$L$2:$P$92,4,0)</f>
        <v>Developing Asia</v>
      </c>
      <c r="L1009" s="29">
        <f>$D1009*VLOOKUP($E1009,'Charts data'!$A$2:$B$11,2,0)*VLOOKUP($G1009,'Charts data'!$A$14:$B$18,2,0)/IF('Charts data'!$E$3=1,I1009,1)/IF('Charts data'!$E$4=1,J1009,1)</f>
        <v>9000</v>
      </c>
    </row>
    <row r="1010" spans="1:12" x14ac:dyDescent="0.25">
      <c r="A1010" s="27" t="s">
        <v>1459</v>
      </c>
      <c r="B1010" s="27">
        <v>9000</v>
      </c>
      <c r="C1010" s="27" t="s">
        <v>2</v>
      </c>
      <c r="D1010" s="28">
        <f>B1010*VLOOKUP(C1010,tblXrate[],2,0)</f>
        <v>9000</v>
      </c>
      <c r="E1010" s="27" t="s">
        <v>7</v>
      </c>
      <c r="F1010" s="27" t="s">
        <v>3</v>
      </c>
      <c r="G1010" s="27" t="s">
        <v>2271</v>
      </c>
      <c r="H1010" s="27">
        <v>1</v>
      </c>
      <c r="I1010" s="27">
        <f>VLOOKUP(F1010,mapping!$L$2:$P$92,2,0)</f>
        <v>0.34064763831408895</v>
      </c>
      <c r="J1010" s="27">
        <f>VLOOKUP($F1010,mapping!$L$2:$P$92,3,0)</f>
        <v>1388.78</v>
      </c>
      <c r="K1010" s="27" t="str">
        <f>VLOOKUP($F1010,mapping!$L$2:$P$92,4,0)</f>
        <v>Developing Asia</v>
      </c>
      <c r="L1010" s="29">
        <f>$D1010*VLOOKUP($E1010,'Charts data'!$A$2:$B$11,2,0)*VLOOKUP($G1010,'Charts data'!$A$14:$B$18,2,0)/IF('Charts data'!$E$3=1,I1010,1)/IF('Charts data'!$E$4=1,J1010,1)</f>
        <v>9000</v>
      </c>
    </row>
    <row r="1011" spans="1:12" x14ac:dyDescent="0.25">
      <c r="A1011" s="27" t="s">
        <v>1477</v>
      </c>
      <c r="B1011" s="27">
        <v>6600</v>
      </c>
      <c r="C1011" s="27" t="s">
        <v>2</v>
      </c>
      <c r="D1011" s="28">
        <f>B1011*VLOOKUP(C1011,tblXrate[],2,0)</f>
        <v>6600</v>
      </c>
      <c r="E1011" s="27" t="s">
        <v>2145</v>
      </c>
      <c r="F1011" s="27" t="s">
        <v>3</v>
      </c>
      <c r="G1011" s="27" t="s">
        <v>2272</v>
      </c>
      <c r="H1011" s="27">
        <v>6.4</v>
      </c>
      <c r="I1011" s="27">
        <f>VLOOKUP(F1011,mapping!$L$2:$P$92,2,0)</f>
        <v>0.34064763831408895</v>
      </c>
      <c r="J1011" s="27">
        <f>VLOOKUP($F1011,mapping!$L$2:$P$92,3,0)</f>
        <v>1388.78</v>
      </c>
      <c r="K1011" s="27" t="str">
        <f>VLOOKUP($F1011,mapping!$L$2:$P$92,4,0)</f>
        <v>Developing Asia</v>
      </c>
      <c r="L1011" s="29">
        <f>$D1011*VLOOKUP($E1011,'Charts data'!$A$2:$B$11,2,0)*VLOOKUP($G1011,'Charts data'!$A$14:$B$18,2,0)/IF('Charts data'!$E$3=1,I1011,1)/IF('Charts data'!$E$4=1,J1011,1)</f>
        <v>6600</v>
      </c>
    </row>
    <row r="1012" spans="1:12" x14ac:dyDescent="0.25">
      <c r="A1012" s="27" t="s">
        <v>1528</v>
      </c>
      <c r="B1012" s="27">
        <v>20000</v>
      </c>
      <c r="C1012" s="27" t="s">
        <v>2</v>
      </c>
      <c r="D1012" s="28">
        <f>B1012*VLOOKUP(C1012,tblXrate[],2,0)</f>
        <v>20000</v>
      </c>
      <c r="E1012" s="27" t="s">
        <v>23</v>
      </c>
      <c r="F1012" s="27" t="s">
        <v>3</v>
      </c>
      <c r="G1012" s="27" t="s">
        <v>2271</v>
      </c>
      <c r="H1012" s="27">
        <v>6</v>
      </c>
      <c r="I1012" s="27">
        <f>VLOOKUP(F1012,mapping!$L$2:$P$92,2,0)</f>
        <v>0.34064763831408895</v>
      </c>
      <c r="J1012" s="27">
        <f>VLOOKUP($F1012,mapping!$L$2:$P$92,3,0)</f>
        <v>1388.78</v>
      </c>
      <c r="K1012" s="27" t="str">
        <f>VLOOKUP($F1012,mapping!$L$2:$P$92,4,0)</f>
        <v>Developing Asia</v>
      </c>
      <c r="L1012" s="29">
        <f>$D1012*VLOOKUP($E1012,'Charts data'!$A$2:$B$11,2,0)*VLOOKUP($G1012,'Charts data'!$A$14:$B$18,2,0)/IF('Charts data'!$E$3=1,I1012,1)/IF('Charts data'!$E$4=1,J1012,1)</f>
        <v>20000</v>
      </c>
    </row>
    <row r="1013" spans="1:12" x14ac:dyDescent="0.25">
      <c r="A1013" s="27" t="s">
        <v>1562</v>
      </c>
      <c r="B1013" s="27">
        <v>14000</v>
      </c>
      <c r="C1013" s="27" t="s">
        <v>2</v>
      </c>
      <c r="D1013" s="28">
        <f>B1013*VLOOKUP(C1013,tblXrate[],2,0)</f>
        <v>14000</v>
      </c>
      <c r="E1013" s="27" t="s">
        <v>53</v>
      </c>
      <c r="F1013" s="27" t="s">
        <v>3</v>
      </c>
      <c r="G1013" s="27" t="s">
        <v>2271</v>
      </c>
      <c r="H1013" s="27">
        <v>3</v>
      </c>
      <c r="I1013" s="27">
        <f>VLOOKUP(F1013,mapping!$L$2:$P$92,2,0)</f>
        <v>0.34064763831408895</v>
      </c>
      <c r="J1013" s="27">
        <f>VLOOKUP($F1013,mapping!$L$2:$P$92,3,0)</f>
        <v>1388.78</v>
      </c>
      <c r="K1013" s="27" t="str">
        <f>VLOOKUP($F1013,mapping!$L$2:$P$92,4,0)</f>
        <v>Developing Asia</v>
      </c>
      <c r="L1013" s="29">
        <f>$D1013*VLOOKUP($E1013,'Charts data'!$A$2:$B$11,2,0)*VLOOKUP($G1013,'Charts data'!$A$14:$B$18,2,0)/IF('Charts data'!$E$3=1,I1013,1)/IF('Charts data'!$E$4=1,J1013,1)</f>
        <v>14000</v>
      </c>
    </row>
    <row r="1014" spans="1:12" x14ac:dyDescent="0.25">
      <c r="A1014" s="27" t="s">
        <v>1566</v>
      </c>
      <c r="B1014" s="27">
        <v>25000</v>
      </c>
      <c r="C1014" s="27" t="s">
        <v>2</v>
      </c>
      <c r="D1014" s="28">
        <f>B1014*VLOOKUP(C1014,tblXrate[],2,0)</f>
        <v>25000</v>
      </c>
      <c r="E1014" s="27" t="s">
        <v>51</v>
      </c>
      <c r="F1014" s="27" t="s">
        <v>3</v>
      </c>
      <c r="G1014" s="27" t="s">
        <v>2272</v>
      </c>
      <c r="H1014" s="27">
        <v>8</v>
      </c>
      <c r="I1014" s="27">
        <f>VLOOKUP(F1014,mapping!$L$2:$P$92,2,0)</f>
        <v>0.34064763831408895</v>
      </c>
      <c r="J1014" s="27">
        <f>VLOOKUP($F1014,mapping!$L$2:$P$92,3,0)</f>
        <v>1388.78</v>
      </c>
      <c r="K1014" s="27" t="str">
        <f>VLOOKUP($F1014,mapping!$L$2:$P$92,4,0)</f>
        <v>Developing Asia</v>
      </c>
      <c r="L1014" s="29">
        <f>$D1014*VLOOKUP($E1014,'Charts data'!$A$2:$B$11,2,0)*VLOOKUP($G1014,'Charts data'!$A$14:$B$18,2,0)/IF('Charts data'!$E$3=1,I1014,1)/IF('Charts data'!$E$4=1,J1014,1)</f>
        <v>25000</v>
      </c>
    </row>
    <row r="1015" spans="1:12" x14ac:dyDescent="0.25">
      <c r="A1015" s="27" t="s">
        <v>1575</v>
      </c>
      <c r="B1015" s="27">
        <v>4356</v>
      </c>
      <c r="C1015" s="27" t="s">
        <v>2</v>
      </c>
      <c r="D1015" s="28">
        <f>B1015*VLOOKUP(C1015,tblXrate[],2,0)</f>
        <v>4356</v>
      </c>
      <c r="E1015" s="27" t="s">
        <v>7</v>
      </c>
      <c r="F1015" s="27" t="s">
        <v>3</v>
      </c>
      <c r="G1015" s="27" t="s">
        <v>2271</v>
      </c>
      <c r="H1015" s="27">
        <v>5</v>
      </c>
      <c r="I1015" s="27">
        <f>VLOOKUP(F1015,mapping!$L$2:$P$92,2,0)</f>
        <v>0.34064763831408895</v>
      </c>
      <c r="J1015" s="27">
        <f>VLOOKUP($F1015,mapping!$L$2:$P$92,3,0)</f>
        <v>1388.78</v>
      </c>
      <c r="K1015" s="27" t="str">
        <f>VLOOKUP($F1015,mapping!$L$2:$P$92,4,0)</f>
        <v>Developing Asia</v>
      </c>
      <c r="L1015" s="29">
        <f>$D1015*VLOOKUP($E1015,'Charts data'!$A$2:$B$11,2,0)*VLOOKUP($G1015,'Charts data'!$A$14:$B$18,2,0)/IF('Charts data'!$E$3=1,I1015,1)/IF('Charts data'!$E$4=1,J1015,1)</f>
        <v>4356</v>
      </c>
    </row>
    <row r="1016" spans="1:12" x14ac:dyDescent="0.25">
      <c r="A1016" s="27" t="s">
        <v>1583</v>
      </c>
      <c r="B1016" s="27">
        <v>20000</v>
      </c>
      <c r="C1016" s="27" t="s">
        <v>2</v>
      </c>
      <c r="D1016" s="28">
        <f>B1016*VLOOKUP(C1016,tblXrate[],2,0)</f>
        <v>20000</v>
      </c>
      <c r="E1016" s="27" t="s">
        <v>19</v>
      </c>
      <c r="F1016" s="27" t="s">
        <v>3</v>
      </c>
      <c r="G1016" s="27" t="s">
        <v>2295</v>
      </c>
      <c r="H1016" s="27">
        <v>10</v>
      </c>
      <c r="I1016" s="27">
        <f>VLOOKUP(F1016,mapping!$L$2:$P$92,2,0)</f>
        <v>0.34064763831408895</v>
      </c>
      <c r="J1016" s="27">
        <f>VLOOKUP($F1016,mapping!$L$2:$P$92,3,0)</f>
        <v>1388.78</v>
      </c>
      <c r="K1016" s="27" t="str">
        <f>VLOOKUP($F1016,mapping!$L$2:$P$92,4,0)</f>
        <v>Developing Asia</v>
      </c>
      <c r="L1016" s="29">
        <f>$D1016*VLOOKUP($E1016,'Charts data'!$A$2:$B$11,2,0)*VLOOKUP($G1016,'Charts data'!$A$14:$B$18,2,0)/IF('Charts data'!$E$3=1,I1016,1)/IF('Charts data'!$E$4=1,J1016,1)</f>
        <v>20000</v>
      </c>
    </row>
    <row r="1017" spans="1:12" x14ac:dyDescent="0.25">
      <c r="A1017" s="27" t="s">
        <v>1606</v>
      </c>
      <c r="B1017" s="27">
        <v>4000</v>
      </c>
      <c r="C1017" s="27" t="s">
        <v>2</v>
      </c>
      <c r="D1017" s="28">
        <f>B1017*VLOOKUP(C1017,tblXrate[],2,0)</f>
        <v>4000</v>
      </c>
      <c r="E1017" s="27" t="s">
        <v>7</v>
      </c>
      <c r="F1017" s="27" t="s">
        <v>3</v>
      </c>
      <c r="G1017" s="27" t="s">
        <v>2273</v>
      </c>
      <c r="H1017" s="27">
        <v>6</v>
      </c>
      <c r="I1017" s="27">
        <f>VLOOKUP(F1017,mapping!$L$2:$P$92,2,0)</f>
        <v>0.34064763831408895</v>
      </c>
      <c r="J1017" s="27">
        <f>VLOOKUP($F1017,mapping!$L$2:$P$92,3,0)</f>
        <v>1388.78</v>
      </c>
      <c r="K1017" s="27" t="str">
        <f>VLOOKUP($F1017,mapping!$L$2:$P$92,4,0)</f>
        <v>Developing Asia</v>
      </c>
      <c r="L1017" s="29">
        <f>$D1017*VLOOKUP($E1017,'Charts data'!$A$2:$B$11,2,0)*VLOOKUP($G1017,'Charts data'!$A$14:$B$18,2,0)/IF('Charts data'!$E$3=1,I1017,1)/IF('Charts data'!$E$4=1,J1017,1)</f>
        <v>4000</v>
      </c>
    </row>
    <row r="1018" spans="1:12" x14ac:dyDescent="0.25">
      <c r="A1018" s="27" t="s">
        <v>1608</v>
      </c>
      <c r="B1018" s="27">
        <v>3200</v>
      </c>
      <c r="C1018" s="27" t="s">
        <v>2</v>
      </c>
      <c r="D1018" s="28">
        <f>B1018*VLOOKUP(C1018,tblXrate[],2,0)</f>
        <v>3200</v>
      </c>
      <c r="E1018" s="27" t="s">
        <v>19</v>
      </c>
      <c r="F1018" s="27" t="s">
        <v>3</v>
      </c>
      <c r="G1018" s="27" t="s">
        <v>2273</v>
      </c>
      <c r="H1018" s="27">
        <v>19</v>
      </c>
      <c r="I1018" s="27">
        <f>VLOOKUP(F1018,mapping!$L$2:$P$92,2,0)</f>
        <v>0.34064763831408895</v>
      </c>
      <c r="J1018" s="27">
        <f>VLOOKUP($F1018,mapping!$L$2:$P$92,3,0)</f>
        <v>1388.78</v>
      </c>
      <c r="K1018" s="27" t="str">
        <f>VLOOKUP($F1018,mapping!$L$2:$P$92,4,0)</f>
        <v>Developing Asia</v>
      </c>
      <c r="L1018" s="29">
        <f>$D1018*VLOOKUP($E1018,'Charts data'!$A$2:$B$11,2,0)*VLOOKUP($G1018,'Charts data'!$A$14:$B$18,2,0)/IF('Charts data'!$E$3=1,I1018,1)/IF('Charts data'!$E$4=1,J1018,1)</f>
        <v>3200</v>
      </c>
    </row>
    <row r="1019" spans="1:12" x14ac:dyDescent="0.25">
      <c r="A1019" s="27" t="s">
        <v>1614</v>
      </c>
      <c r="B1019" s="27">
        <v>25000</v>
      </c>
      <c r="C1019" s="27" t="s">
        <v>2</v>
      </c>
      <c r="D1019" s="28">
        <f>B1019*VLOOKUP(C1019,tblXrate[],2,0)</f>
        <v>25000</v>
      </c>
      <c r="E1019" s="27" t="s">
        <v>7</v>
      </c>
      <c r="F1019" s="27" t="s">
        <v>3</v>
      </c>
      <c r="G1019" s="27" t="s">
        <v>2273</v>
      </c>
      <c r="H1019" s="27">
        <v>4</v>
      </c>
      <c r="I1019" s="27">
        <f>VLOOKUP(F1019,mapping!$L$2:$P$92,2,0)</f>
        <v>0.34064763831408895</v>
      </c>
      <c r="J1019" s="27">
        <f>VLOOKUP($F1019,mapping!$L$2:$P$92,3,0)</f>
        <v>1388.78</v>
      </c>
      <c r="K1019" s="27" t="str">
        <f>VLOOKUP($F1019,mapping!$L$2:$P$92,4,0)</f>
        <v>Developing Asia</v>
      </c>
      <c r="L1019" s="29">
        <f>$D1019*VLOOKUP($E1019,'Charts data'!$A$2:$B$11,2,0)*VLOOKUP($G1019,'Charts data'!$A$14:$B$18,2,0)/IF('Charts data'!$E$3=1,I1019,1)/IF('Charts data'!$E$4=1,J1019,1)</f>
        <v>25000</v>
      </c>
    </row>
    <row r="1020" spans="1:12" x14ac:dyDescent="0.25">
      <c r="A1020" s="27" t="s">
        <v>1624</v>
      </c>
      <c r="B1020" s="27">
        <v>5000</v>
      </c>
      <c r="C1020" s="27" t="s">
        <v>2</v>
      </c>
      <c r="D1020" s="28">
        <f>B1020*VLOOKUP(C1020,tblXrate[],2,0)</f>
        <v>5000</v>
      </c>
      <c r="E1020" s="27" t="s">
        <v>19</v>
      </c>
      <c r="F1020" s="27" t="s">
        <v>3</v>
      </c>
      <c r="G1020" s="27" t="s">
        <v>2273</v>
      </c>
      <c r="H1020" s="27">
        <v>4</v>
      </c>
      <c r="I1020" s="27">
        <f>VLOOKUP(F1020,mapping!$L$2:$P$92,2,0)</f>
        <v>0.34064763831408895</v>
      </c>
      <c r="J1020" s="27">
        <f>VLOOKUP($F1020,mapping!$L$2:$P$92,3,0)</f>
        <v>1388.78</v>
      </c>
      <c r="K1020" s="27" t="str">
        <f>VLOOKUP($F1020,mapping!$L$2:$P$92,4,0)</f>
        <v>Developing Asia</v>
      </c>
      <c r="L1020" s="29">
        <f>$D1020*VLOOKUP($E1020,'Charts data'!$A$2:$B$11,2,0)*VLOOKUP($G1020,'Charts data'!$A$14:$B$18,2,0)/IF('Charts data'!$E$3=1,I1020,1)/IF('Charts data'!$E$4=1,J1020,1)</f>
        <v>5000</v>
      </c>
    </row>
    <row r="1021" spans="1:12" x14ac:dyDescent="0.25">
      <c r="A1021" s="27" t="s">
        <v>1633</v>
      </c>
      <c r="B1021" s="27">
        <v>18000</v>
      </c>
      <c r="C1021" s="27" t="s">
        <v>2</v>
      </c>
      <c r="D1021" s="28">
        <f>B1021*VLOOKUP(C1021,tblXrate[],2,0)</f>
        <v>18000</v>
      </c>
      <c r="E1021" s="27" t="s">
        <v>7</v>
      </c>
      <c r="F1021" s="27" t="s">
        <v>3</v>
      </c>
      <c r="G1021" s="27" t="s">
        <v>2273</v>
      </c>
      <c r="H1021" s="27">
        <v>6</v>
      </c>
      <c r="I1021" s="27">
        <f>VLOOKUP(F1021,mapping!$L$2:$P$92,2,0)</f>
        <v>0.34064763831408895</v>
      </c>
      <c r="J1021" s="27">
        <f>VLOOKUP($F1021,mapping!$L$2:$P$92,3,0)</f>
        <v>1388.78</v>
      </c>
      <c r="K1021" s="27" t="str">
        <f>VLOOKUP($F1021,mapping!$L$2:$P$92,4,0)</f>
        <v>Developing Asia</v>
      </c>
      <c r="L1021" s="29">
        <f>$D1021*VLOOKUP($E1021,'Charts data'!$A$2:$B$11,2,0)*VLOOKUP($G1021,'Charts data'!$A$14:$B$18,2,0)/IF('Charts data'!$E$3=1,I1021,1)/IF('Charts data'!$E$4=1,J1021,1)</f>
        <v>18000</v>
      </c>
    </row>
    <row r="1022" spans="1:12" x14ac:dyDescent="0.25">
      <c r="A1022" s="27" t="s">
        <v>1663</v>
      </c>
      <c r="B1022" s="27">
        <v>8000</v>
      </c>
      <c r="C1022" s="27" t="s">
        <v>2</v>
      </c>
      <c r="D1022" s="28">
        <f>B1022*VLOOKUP(C1022,tblXrate[],2,0)</f>
        <v>8000</v>
      </c>
      <c r="E1022" s="27" t="s">
        <v>2147</v>
      </c>
      <c r="F1022" s="27" t="s">
        <v>3</v>
      </c>
      <c r="G1022" s="27" t="s">
        <v>2271</v>
      </c>
      <c r="H1022" s="27">
        <v>18</v>
      </c>
      <c r="I1022" s="27">
        <f>VLOOKUP(F1022,mapping!$L$2:$P$92,2,0)</f>
        <v>0.34064763831408895</v>
      </c>
      <c r="J1022" s="27">
        <f>VLOOKUP($F1022,mapping!$L$2:$P$92,3,0)</f>
        <v>1388.78</v>
      </c>
      <c r="K1022" s="27" t="str">
        <f>VLOOKUP($F1022,mapping!$L$2:$P$92,4,0)</f>
        <v>Developing Asia</v>
      </c>
      <c r="L1022" s="29">
        <f>$D1022*VLOOKUP($E1022,'Charts data'!$A$2:$B$11,2,0)*VLOOKUP($G1022,'Charts data'!$A$14:$B$18,2,0)/IF('Charts data'!$E$3=1,I1022,1)/IF('Charts data'!$E$4=1,J1022,1)</f>
        <v>8000</v>
      </c>
    </row>
    <row r="1023" spans="1:12" x14ac:dyDescent="0.25">
      <c r="A1023" s="27" t="s">
        <v>1670</v>
      </c>
      <c r="B1023" s="27">
        <v>34000</v>
      </c>
      <c r="C1023" s="27" t="s">
        <v>2</v>
      </c>
      <c r="D1023" s="28">
        <f>B1023*VLOOKUP(C1023,tblXrate[],2,0)</f>
        <v>34000</v>
      </c>
      <c r="E1023" s="27" t="s">
        <v>7</v>
      </c>
      <c r="F1023" s="27" t="s">
        <v>3</v>
      </c>
      <c r="G1023" s="27" t="s">
        <v>2273</v>
      </c>
      <c r="H1023" s="27">
        <v>4</v>
      </c>
      <c r="I1023" s="27">
        <f>VLOOKUP(F1023,mapping!$L$2:$P$92,2,0)</f>
        <v>0.34064763831408895</v>
      </c>
      <c r="J1023" s="27">
        <f>VLOOKUP($F1023,mapping!$L$2:$P$92,3,0)</f>
        <v>1388.78</v>
      </c>
      <c r="K1023" s="27" t="str">
        <f>VLOOKUP($F1023,mapping!$L$2:$P$92,4,0)</f>
        <v>Developing Asia</v>
      </c>
      <c r="L1023" s="29">
        <f>$D1023*VLOOKUP($E1023,'Charts data'!$A$2:$B$11,2,0)*VLOOKUP($G1023,'Charts data'!$A$14:$B$18,2,0)/IF('Charts data'!$E$3=1,I1023,1)/IF('Charts data'!$E$4=1,J1023,1)</f>
        <v>34000</v>
      </c>
    </row>
    <row r="1024" spans="1:12" x14ac:dyDescent="0.25">
      <c r="A1024" s="27" t="s">
        <v>1691</v>
      </c>
      <c r="B1024" s="27">
        <v>30000</v>
      </c>
      <c r="C1024" s="27" t="s">
        <v>2</v>
      </c>
      <c r="D1024" s="28">
        <f>B1024*VLOOKUP(C1024,tblXrate[],2,0)</f>
        <v>30000</v>
      </c>
      <c r="E1024" s="27" t="s">
        <v>7</v>
      </c>
      <c r="F1024" s="27" t="s">
        <v>3</v>
      </c>
      <c r="G1024" s="27" t="s">
        <v>2273</v>
      </c>
      <c r="H1024" s="27">
        <v>4</v>
      </c>
      <c r="I1024" s="27">
        <f>VLOOKUP(F1024,mapping!$L$2:$P$92,2,0)</f>
        <v>0.34064763831408895</v>
      </c>
      <c r="J1024" s="27">
        <f>VLOOKUP($F1024,mapping!$L$2:$P$92,3,0)</f>
        <v>1388.78</v>
      </c>
      <c r="K1024" s="27" t="str">
        <f>VLOOKUP($F1024,mapping!$L$2:$P$92,4,0)</f>
        <v>Developing Asia</v>
      </c>
      <c r="L1024" s="29">
        <f>$D1024*VLOOKUP($E1024,'Charts data'!$A$2:$B$11,2,0)*VLOOKUP($G1024,'Charts data'!$A$14:$B$18,2,0)/IF('Charts data'!$E$3=1,I1024,1)/IF('Charts data'!$E$4=1,J1024,1)</f>
        <v>30000</v>
      </c>
    </row>
    <row r="1025" spans="1:12" x14ac:dyDescent="0.25">
      <c r="A1025" s="27" t="s">
        <v>1723</v>
      </c>
      <c r="B1025" s="27">
        <v>6000</v>
      </c>
      <c r="C1025" s="27" t="s">
        <v>2</v>
      </c>
      <c r="D1025" s="28">
        <f>B1025*VLOOKUP(C1025,tblXrate[],2,0)</f>
        <v>6000</v>
      </c>
      <c r="E1025" s="27" t="s">
        <v>7</v>
      </c>
      <c r="F1025" s="27" t="s">
        <v>3</v>
      </c>
      <c r="G1025" s="27" t="s">
        <v>2271</v>
      </c>
      <c r="H1025" s="27">
        <v>2</v>
      </c>
      <c r="I1025" s="27">
        <f>VLOOKUP(F1025,mapping!$L$2:$P$92,2,0)</f>
        <v>0.34064763831408895</v>
      </c>
      <c r="J1025" s="27">
        <f>VLOOKUP($F1025,mapping!$L$2:$P$92,3,0)</f>
        <v>1388.78</v>
      </c>
      <c r="K1025" s="27" t="str">
        <f>VLOOKUP($F1025,mapping!$L$2:$P$92,4,0)</f>
        <v>Developing Asia</v>
      </c>
      <c r="L1025" s="29">
        <f>$D1025*VLOOKUP($E1025,'Charts data'!$A$2:$B$11,2,0)*VLOOKUP($G1025,'Charts data'!$A$14:$B$18,2,0)/IF('Charts data'!$E$3=1,I1025,1)/IF('Charts data'!$E$4=1,J1025,1)</f>
        <v>6000</v>
      </c>
    </row>
    <row r="1026" spans="1:12" x14ac:dyDescent="0.25">
      <c r="A1026" s="27" t="s">
        <v>1724</v>
      </c>
      <c r="B1026" s="27">
        <v>10000</v>
      </c>
      <c r="C1026" s="27" t="s">
        <v>2</v>
      </c>
      <c r="D1026" s="28">
        <f>B1026*VLOOKUP(C1026,tblXrate[],2,0)</f>
        <v>10000</v>
      </c>
      <c r="E1026" s="27" t="s">
        <v>2145</v>
      </c>
      <c r="F1026" s="27" t="s">
        <v>3</v>
      </c>
      <c r="G1026" s="27" t="s">
        <v>2273</v>
      </c>
      <c r="H1026" s="27">
        <v>6</v>
      </c>
      <c r="I1026" s="27">
        <f>VLOOKUP(F1026,mapping!$L$2:$P$92,2,0)</f>
        <v>0.34064763831408895</v>
      </c>
      <c r="J1026" s="27">
        <f>VLOOKUP($F1026,mapping!$L$2:$P$92,3,0)</f>
        <v>1388.78</v>
      </c>
      <c r="K1026" s="27" t="str">
        <f>VLOOKUP($F1026,mapping!$L$2:$P$92,4,0)</f>
        <v>Developing Asia</v>
      </c>
      <c r="L1026" s="29">
        <f>$D1026*VLOOKUP($E1026,'Charts data'!$A$2:$B$11,2,0)*VLOOKUP($G1026,'Charts data'!$A$14:$B$18,2,0)/IF('Charts data'!$E$3=1,I1026,1)/IF('Charts data'!$E$4=1,J1026,1)</f>
        <v>10000</v>
      </c>
    </row>
    <row r="1027" spans="1:12" x14ac:dyDescent="0.25">
      <c r="A1027" s="27" t="s">
        <v>1726</v>
      </c>
      <c r="B1027" s="27">
        <v>10000</v>
      </c>
      <c r="C1027" s="27" t="s">
        <v>2</v>
      </c>
      <c r="D1027" s="28">
        <f>B1027*VLOOKUP(C1027,tblXrate[],2,0)</f>
        <v>10000</v>
      </c>
      <c r="E1027" s="27" t="s">
        <v>19</v>
      </c>
      <c r="F1027" s="27" t="s">
        <v>3</v>
      </c>
      <c r="G1027" s="27" t="s">
        <v>2273</v>
      </c>
      <c r="H1027" s="27">
        <v>12</v>
      </c>
      <c r="I1027" s="27">
        <f>VLOOKUP(F1027,mapping!$L$2:$P$92,2,0)</f>
        <v>0.34064763831408895</v>
      </c>
      <c r="J1027" s="27">
        <f>VLOOKUP($F1027,mapping!$L$2:$P$92,3,0)</f>
        <v>1388.78</v>
      </c>
      <c r="K1027" s="27" t="str">
        <f>VLOOKUP($F1027,mapping!$L$2:$P$92,4,0)</f>
        <v>Developing Asia</v>
      </c>
      <c r="L1027" s="29">
        <f>$D1027*VLOOKUP($E1027,'Charts data'!$A$2:$B$11,2,0)*VLOOKUP($G1027,'Charts data'!$A$14:$B$18,2,0)/IF('Charts data'!$E$3=1,I1027,1)/IF('Charts data'!$E$4=1,J1027,1)</f>
        <v>10000</v>
      </c>
    </row>
    <row r="1028" spans="1:12" x14ac:dyDescent="0.25">
      <c r="A1028" s="27" t="s">
        <v>1728</v>
      </c>
      <c r="B1028" s="27">
        <v>20000</v>
      </c>
      <c r="C1028" s="27" t="s">
        <v>2</v>
      </c>
      <c r="D1028" s="28">
        <f>B1028*VLOOKUP(C1028,tblXrate[],2,0)</f>
        <v>20000</v>
      </c>
      <c r="E1028" s="27" t="s">
        <v>19</v>
      </c>
      <c r="F1028" s="27" t="s">
        <v>3</v>
      </c>
      <c r="G1028" s="27" t="s">
        <v>2271</v>
      </c>
      <c r="H1028" s="27">
        <v>1</v>
      </c>
      <c r="I1028" s="27">
        <f>VLOOKUP(F1028,mapping!$L$2:$P$92,2,0)</f>
        <v>0.34064763831408895</v>
      </c>
      <c r="J1028" s="27">
        <f>VLOOKUP($F1028,mapping!$L$2:$P$92,3,0)</f>
        <v>1388.78</v>
      </c>
      <c r="K1028" s="27" t="str">
        <f>VLOOKUP($F1028,mapping!$L$2:$P$92,4,0)</f>
        <v>Developing Asia</v>
      </c>
      <c r="L1028" s="29">
        <f>$D1028*VLOOKUP($E1028,'Charts data'!$A$2:$B$11,2,0)*VLOOKUP($G1028,'Charts data'!$A$14:$B$18,2,0)/IF('Charts data'!$E$3=1,I1028,1)/IF('Charts data'!$E$4=1,J1028,1)</f>
        <v>20000</v>
      </c>
    </row>
    <row r="1029" spans="1:12" x14ac:dyDescent="0.25">
      <c r="A1029" s="27" t="s">
        <v>1744</v>
      </c>
      <c r="B1029" s="27">
        <v>15000</v>
      </c>
      <c r="C1029" s="27" t="s">
        <v>2</v>
      </c>
      <c r="D1029" s="28">
        <f>B1029*VLOOKUP(C1029,tblXrate[],2,0)</f>
        <v>15000</v>
      </c>
      <c r="E1029" s="27" t="s">
        <v>7</v>
      </c>
      <c r="F1029" s="27" t="s">
        <v>3</v>
      </c>
      <c r="G1029" s="27" t="s">
        <v>2271</v>
      </c>
      <c r="H1029" s="27">
        <v>5</v>
      </c>
      <c r="I1029" s="27">
        <f>VLOOKUP(F1029,mapping!$L$2:$P$92,2,0)</f>
        <v>0.34064763831408895</v>
      </c>
      <c r="J1029" s="27">
        <f>VLOOKUP($F1029,mapping!$L$2:$P$92,3,0)</f>
        <v>1388.78</v>
      </c>
      <c r="K1029" s="27" t="str">
        <f>VLOOKUP($F1029,mapping!$L$2:$P$92,4,0)</f>
        <v>Developing Asia</v>
      </c>
      <c r="L1029" s="29">
        <f>$D1029*VLOOKUP($E1029,'Charts data'!$A$2:$B$11,2,0)*VLOOKUP($G1029,'Charts data'!$A$14:$B$18,2,0)/IF('Charts data'!$E$3=1,I1029,1)/IF('Charts data'!$E$4=1,J1029,1)</f>
        <v>15000</v>
      </c>
    </row>
    <row r="1030" spans="1:12" x14ac:dyDescent="0.25">
      <c r="A1030" s="27" t="s">
        <v>1745</v>
      </c>
      <c r="B1030" s="27">
        <v>50000</v>
      </c>
      <c r="C1030" s="27" t="s">
        <v>2</v>
      </c>
      <c r="D1030" s="28">
        <f>B1030*VLOOKUP(C1030,tblXrate[],2,0)</f>
        <v>50000</v>
      </c>
      <c r="E1030" s="27" t="s">
        <v>2147</v>
      </c>
      <c r="F1030" s="27" t="s">
        <v>3</v>
      </c>
      <c r="G1030" s="27" t="s">
        <v>2274</v>
      </c>
      <c r="H1030" s="27">
        <v>8</v>
      </c>
      <c r="I1030" s="27">
        <f>VLOOKUP(F1030,mapping!$L$2:$P$92,2,0)</f>
        <v>0.34064763831408895</v>
      </c>
      <c r="J1030" s="27">
        <f>VLOOKUP($F1030,mapping!$L$2:$P$92,3,0)</f>
        <v>1388.78</v>
      </c>
      <c r="K1030" s="27" t="str">
        <f>VLOOKUP($F1030,mapping!$L$2:$P$92,4,0)</f>
        <v>Developing Asia</v>
      </c>
      <c r="L1030" s="29">
        <f>$D1030*VLOOKUP($E1030,'Charts data'!$A$2:$B$11,2,0)*VLOOKUP($G1030,'Charts data'!$A$14:$B$18,2,0)/IF('Charts data'!$E$3=1,I1030,1)/IF('Charts data'!$E$4=1,J1030,1)</f>
        <v>50000</v>
      </c>
    </row>
    <row r="1031" spans="1:12" x14ac:dyDescent="0.25">
      <c r="A1031" s="27" t="s">
        <v>1746</v>
      </c>
      <c r="B1031" s="27">
        <v>7000</v>
      </c>
      <c r="C1031" s="27" t="s">
        <v>2</v>
      </c>
      <c r="D1031" s="28">
        <f>B1031*VLOOKUP(C1031,tblXrate[],2,0)</f>
        <v>7000</v>
      </c>
      <c r="E1031" s="27" t="s">
        <v>2145</v>
      </c>
      <c r="F1031" s="27" t="s">
        <v>3</v>
      </c>
      <c r="G1031" s="27" t="s">
        <v>2271</v>
      </c>
      <c r="H1031" s="27">
        <v>1</v>
      </c>
      <c r="I1031" s="27">
        <f>VLOOKUP(F1031,mapping!$L$2:$P$92,2,0)</f>
        <v>0.34064763831408895</v>
      </c>
      <c r="J1031" s="27">
        <f>VLOOKUP($F1031,mapping!$L$2:$P$92,3,0)</f>
        <v>1388.78</v>
      </c>
      <c r="K1031" s="27" t="str">
        <f>VLOOKUP($F1031,mapping!$L$2:$P$92,4,0)</f>
        <v>Developing Asia</v>
      </c>
      <c r="L1031" s="29">
        <f>$D1031*VLOOKUP($E1031,'Charts data'!$A$2:$B$11,2,0)*VLOOKUP($G1031,'Charts data'!$A$14:$B$18,2,0)/IF('Charts data'!$E$3=1,I1031,1)/IF('Charts data'!$E$4=1,J1031,1)</f>
        <v>7000</v>
      </c>
    </row>
    <row r="1032" spans="1:12" x14ac:dyDescent="0.25">
      <c r="A1032" s="27" t="s">
        <v>1761</v>
      </c>
      <c r="B1032" s="27">
        <v>6545</v>
      </c>
      <c r="C1032" s="27" t="s">
        <v>2</v>
      </c>
      <c r="D1032" s="28">
        <f>B1032*VLOOKUP(C1032,tblXrate[],2,0)</f>
        <v>6545</v>
      </c>
      <c r="E1032" s="27" t="s">
        <v>19</v>
      </c>
      <c r="F1032" s="27" t="s">
        <v>3</v>
      </c>
      <c r="G1032" s="27" t="s">
        <v>2273</v>
      </c>
      <c r="H1032" s="27">
        <v>9</v>
      </c>
      <c r="I1032" s="27">
        <f>VLOOKUP(F1032,mapping!$L$2:$P$92,2,0)</f>
        <v>0.34064763831408895</v>
      </c>
      <c r="J1032" s="27">
        <f>VLOOKUP($F1032,mapping!$L$2:$P$92,3,0)</f>
        <v>1388.78</v>
      </c>
      <c r="K1032" s="27" t="str">
        <f>VLOOKUP($F1032,mapping!$L$2:$P$92,4,0)</f>
        <v>Developing Asia</v>
      </c>
      <c r="L1032" s="29">
        <f>$D1032*VLOOKUP($E1032,'Charts data'!$A$2:$B$11,2,0)*VLOOKUP($G1032,'Charts data'!$A$14:$B$18,2,0)/IF('Charts data'!$E$3=1,I1032,1)/IF('Charts data'!$E$4=1,J1032,1)</f>
        <v>6545</v>
      </c>
    </row>
    <row r="1033" spans="1:12" x14ac:dyDescent="0.25">
      <c r="A1033" s="27" t="s">
        <v>1769</v>
      </c>
      <c r="B1033" s="27">
        <v>12000</v>
      </c>
      <c r="C1033" s="27" t="s">
        <v>2</v>
      </c>
      <c r="D1033" s="28">
        <f>B1033*VLOOKUP(C1033,tblXrate[],2,0)</f>
        <v>12000</v>
      </c>
      <c r="E1033" s="27" t="s">
        <v>2145</v>
      </c>
      <c r="F1033" s="27" t="s">
        <v>3</v>
      </c>
      <c r="G1033" s="27" t="s">
        <v>2273</v>
      </c>
      <c r="H1033" s="27">
        <v>3</v>
      </c>
      <c r="I1033" s="27">
        <f>VLOOKUP(F1033,mapping!$L$2:$P$92,2,0)</f>
        <v>0.34064763831408895</v>
      </c>
      <c r="J1033" s="27">
        <f>VLOOKUP($F1033,mapping!$L$2:$P$92,3,0)</f>
        <v>1388.78</v>
      </c>
      <c r="K1033" s="27" t="str">
        <f>VLOOKUP($F1033,mapping!$L$2:$P$92,4,0)</f>
        <v>Developing Asia</v>
      </c>
      <c r="L1033" s="29">
        <f>$D1033*VLOOKUP($E1033,'Charts data'!$A$2:$B$11,2,0)*VLOOKUP($G1033,'Charts data'!$A$14:$B$18,2,0)/IF('Charts data'!$E$3=1,I1033,1)/IF('Charts data'!$E$4=1,J1033,1)</f>
        <v>12000</v>
      </c>
    </row>
    <row r="1034" spans="1:12" x14ac:dyDescent="0.25">
      <c r="A1034" s="27" t="s">
        <v>1773</v>
      </c>
      <c r="B1034" s="27">
        <v>3360</v>
      </c>
      <c r="C1034" s="27" t="s">
        <v>2</v>
      </c>
      <c r="D1034" s="28">
        <f>B1034*VLOOKUP(C1034,tblXrate[],2,0)</f>
        <v>3360</v>
      </c>
      <c r="E1034" s="27" t="s">
        <v>7</v>
      </c>
      <c r="F1034" s="27" t="s">
        <v>3</v>
      </c>
      <c r="G1034" s="27" t="s">
        <v>2274</v>
      </c>
      <c r="H1034" s="27">
        <v>3</v>
      </c>
      <c r="I1034" s="27">
        <f>VLOOKUP(F1034,mapping!$L$2:$P$92,2,0)</f>
        <v>0.34064763831408895</v>
      </c>
      <c r="J1034" s="27">
        <f>VLOOKUP($F1034,mapping!$L$2:$P$92,3,0)</f>
        <v>1388.78</v>
      </c>
      <c r="K1034" s="27" t="str">
        <f>VLOOKUP($F1034,mapping!$L$2:$P$92,4,0)</f>
        <v>Developing Asia</v>
      </c>
      <c r="L1034" s="29">
        <f>$D1034*VLOOKUP($E1034,'Charts data'!$A$2:$B$11,2,0)*VLOOKUP($G1034,'Charts data'!$A$14:$B$18,2,0)/IF('Charts data'!$E$3=1,I1034,1)/IF('Charts data'!$E$4=1,J1034,1)</f>
        <v>3360</v>
      </c>
    </row>
    <row r="1035" spans="1:12" x14ac:dyDescent="0.25">
      <c r="A1035" s="27" t="s">
        <v>1774</v>
      </c>
      <c r="B1035" s="27">
        <v>10000</v>
      </c>
      <c r="C1035" s="27" t="s">
        <v>2</v>
      </c>
      <c r="D1035" s="28">
        <f>B1035*VLOOKUP(C1035,tblXrate[],2,0)</f>
        <v>10000</v>
      </c>
      <c r="E1035" s="27" t="s">
        <v>2147</v>
      </c>
      <c r="F1035" s="27" t="s">
        <v>3</v>
      </c>
      <c r="G1035" s="27" t="s">
        <v>2273</v>
      </c>
      <c r="H1035" s="27">
        <v>1</v>
      </c>
      <c r="I1035" s="27">
        <f>VLOOKUP(F1035,mapping!$L$2:$P$92,2,0)</f>
        <v>0.34064763831408895</v>
      </c>
      <c r="J1035" s="27">
        <f>VLOOKUP($F1035,mapping!$L$2:$P$92,3,0)</f>
        <v>1388.78</v>
      </c>
      <c r="K1035" s="27" t="str">
        <f>VLOOKUP($F1035,mapping!$L$2:$P$92,4,0)</f>
        <v>Developing Asia</v>
      </c>
      <c r="L1035" s="29">
        <f>$D1035*VLOOKUP($E1035,'Charts data'!$A$2:$B$11,2,0)*VLOOKUP($G1035,'Charts data'!$A$14:$B$18,2,0)/IF('Charts data'!$E$3=1,I1035,1)/IF('Charts data'!$E$4=1,J1035,1)</f>
        <v>10000</v>
      </c>
    </row>
    <row r="1036" spans="1:12" x14ac:dyDescent="0.25">
      <c r="A1036" s="27" t="s">
        <v>1778</v>
      </c>
      <c r="B1036" s="27">
        <v>10000</v>
      </c>
      <c r="C1036" s="27" t="s">
        <v>2</v>
      </c>
      <c r="D1036" s="28">
        <f>B1036*VLOOKUP(C1036,tblXrate[],2,0)</f>
        <v>10000</v>
      </c>
      <c r="E1036" s="27" t="s">
        <v>2145</v>
      </c>
      <c r="F1036" s="27" t="s">
        <v>3</v>
      </c>
      <c r="G1036" s="27" t="s">
        <v>2273</v>
      </c>
      <c r="H1036" s="27">
        <v>2</v>
      </c>
      <c r="I1036" s="27">
        <f>VLOOKUP(F1036,mapping!$L$2:$P$92,2,0)</f>
        <v>0.34064763831408895</v>
      </c>
      <c r="J1036" s="27">
        <f>VLOOKUP($F1036,mapping!$L$2:$P$92,3,0)</f>
        <v>1388.78</v>
      </c>
      <c r="K1036" s="27" t="str">
        <f>VLOOKUP($F1036,mapping!$L$2:$P$92,4,0)</f>
        <v>Developing Asia</v>
      </c>
      <c r="L1036" s="29">
        <f>$D1036*VLOOKUP($E1036,'Charts data'!$A$2:$B$11,2,0)*VLOOKUP($G1036,'Charts data'!$A$14:$B$18,2,0)/IF('Charts data'!$E$3=1,I1036,1)/IF('Charts data'!$E$4=1,J1036,1)</f>
        <v>10000</v>
      </c>
    </row>
    <row r="1037" spans="1:12" x14ac:dyDescent="0.25">
      <c r="A1037" s="27" t="s">
        <v>1837</v>
      </c>
      <c r="B1037" s="27">
        <v>14400</v>
      </c>
      <c r="C1037" s="27" t="s">
        <v>2</v>
      </c>
      <c r="D1037" s="28">
        <f>B1037*VLOOKUP(C1037,tblXrate[],2,0)</f>
        <v>14400</v>
      </c>
      <c r="E1037" s="27" t="s">
        <v>48</v>
      </c>
      <c r="F1037" s="27" t="s">
        <v>3</v>
      </c>
      <c r="G1037" s="27" t="s">
        <v>2274</v>
      </c>
      <c r="H1037" s="27">
        <v>8</v>
      </c>
      <c r="I1037" s="27">
        <f>VLOOKUP(F1037,mapping!$L$2:$P$92,2,0)</f>
        <v>0.34064763831408895</v>
      </c>
      <c r="J1037" s="27">
        <f>VLOOKUP($F1037,mapping!$L$2:$P$92,3,0)</f>
        <v>1388.78</v>
      </c>
      <c r="K1037" s="27" t="str">
        <f>VLOOKUP($F1037,mapping!$L$2:$P$92,4,0)</f>
        <v>Developing Asia</v>
      </c>
      <c r="L1037" s="29">
        <f>$D1037*VLOOKUP($E1037,'Charts data'!$A$2:$B$11,2,0)*VLOOKUP($G1037,'Charts data'!$A$14:$B$18,2,0)/IF('Charts data'!$E$3=1,I1037,1)/IF('Charts data'!$E$4=1,J1037,1)</f>
        <v>14400</v>
      </c>
    </row>
    <row r="1038" spans="1:12" x14ac:dyDescent="0.25">
      <c r="A1038" s="27" t="s">
        <v>1839</v>
      </c>
      <c r="B1038" s="27">
        <v>22000</v>
      </c>
      <c r="C1038" s="27" t="s">
        <v>2</v>
      </c>
      <c r="D1038" s="28">
        <f>B1038*VLOOKUP(C1038,tblXrate[],2,0)</f>
        <v>22000</v>
      </c>
      <c r="E1038" s="27" t="s">
        <v>19</v>
      </c>
      <c r="F1038" s="27" t="s">
        <v>3</v>
      </c>
      <c r="G1038" s="27" t="s">
        <v>2273</v>
      </c>
      <c r="H1038" s="27">
        <v>6</v>
      </c>
      <c r="I1038" s="27">
        <f>VLOOKUP(F1038,mapping!$L$2:$P$92,2,0)</f>
        <v>0.34064763831408895</v>
      </c>
      <c r="J1038" s="27">
        <f>VLOOKUP($F1038,mapping!$L$2:$P$92,3,0)</f>
        <v>1388.78</v>
      </c>
      <c r="K1038" s="27" t="str">
        <f>VLOOKUP($F1038,mapping!$L$2:$P$92,4,0)</f>
        <v>Developing Asia</v>
      </c>
      <c r="L1038" s="29">
        <f>$D1038*VLOOKUP($E1038,'Charts data'!$A$2:$B$11,2,0)*VLOOKUP($G1038,'Charts data'!$A$14:$B$18,2,0)/IF('Charts data'!$E$3=1,I1038,1)/IF('Charts data'!$E$4=1,J1038,1)</f>
        <v>22000</v>
      </c>
    </row>
    <row r="1039" spans="1:12" x14ac:dyDescent="0.25">
      <c r="A1039" s="27" t="s">
        <v>1843</v>
      </c>
      <c r="B1039" s="27">
        <v>25000</v>
      </c>
      <c r="C1039" s="27" t="s">
        <v>2</v>
      </c>
      <c r="D1039" s="28">
        <f>B1039*VLOOKUP(C1039,tblXrate[],2,0)</f>
        <v>25000</v>
      </c>
      <c r="E1039" s="27" t="s">
        <v>7</v>
      </c>
      <c r="F1039" s="27" t="s">
        <v>3</v>
      </c>
      <c r="G1039" s="27" t="s">
        <v>2273</v>
      </c>
      <c r="H1039" s="27">
        <v>8</v>
      </c>
      <c r="I1039" s="27">
        <f>VLOOKUP(F1039,mapping!$L$2:$P$92,2,0)</f>
        <v>0.34064763831408895</v>
      </c>
      <c r="J1039" s="27">
        <f>VLOOKUP($F1039,mapping!$L$2:$P$92,3,0)</f>
        <v>1388.78</v>
      </c>
      <c r="K1039" s="27" t="str">
        <f>VLOOKUP($F1039,mapping!$L$2:$P$92,4,0)</f>
        <v>Developing Asia</v>
      </c>
      <c r="L1039" s="29">
        <f>$D1039*VLOOKUP($E1039,'Charts data'!$A$2:$B$11,2,0)*VLOOKUP($G1039,'Charts data'!$A$14:$B$18,2,0)/IF('Charts data'!$E$3=1,I1039,1)/IF('Charts data'!$E$4=1,J1039,1)</f>
        <v>25000</v>
      </c>
    </row>
    <row r="1040" spans="1:12" x14ac:dyDescent="0.25">
      <c r="A1040" s="27" t="s">
        <v>1851</v>
      </c>
      <c r="B1040" s="27">
        <v>10000</v>
      </c>
      <c r="C1040" s="27" t="s">
        <v>2</v>
      </c>
      <c r="D1040" s="28">
        <f>B1040*VLOOKUP(C1040,tblXrate[],2,0)</f>
        <v>10000</v>
      </c>
      <c r="E1040" s="27" t="s">
        <v>19</v>
      </c>
      <c r="F1040" s="27" t="s">
        <v>3</v>
      </c>
      <c r="G1040" s="27" t="s">
        <v>2271</v>
      </c>
      <c r="H1040" s="27">
        <v>11</v>
      </c>
      <c r="I1040" s="27">
        <f>VLOOKUP(F1040,mapping!$L$2:$P$92,2,0)</f>
        <v>0.34064763831408895</v>
      </c>
      <c r="J1040" s="27">
        <f>VLOOKUP($F1040,mapping!$L$2:$P$92,3,0)</f>
        <v>1388.78</v>
      </c>
      <c r="K1040" s="27" t="str">
        <f>VLOOKUP($F1040,mapping!$L$2:$P$92,4,0)</f>
        <v>Developing Asia</v>
      </c>
      <c r="L1040" s="29">
        <f>$D1040*VLOOKUP($E1040,'Charts data'!$A$2:$B$11,2,0)*VLOOKUP($G1040,'Charts data'!$A$14:$B$18,2,0)/IF('Charts data'!$E$3=1,I1040,1)/IF('Charts data'!$E$4=1,J1040,1)</f>
        <v>10000</v>
      </c>
    </row>
    <row r="1041" spans="1:12" x14ac:dyDescent="0.25">
      <c r="A1041" s="27" t="s">
        <v>1874</v>
      </c>
      <c r="B1041" s="27">
        <v>28995</v>
      </c>
      <c r="C1041" s="27" t="s">
        <v>2</v>
      </c>
      <c r="D1041" s="28">
        <f>B1041*VLOOKUP(C1041,tblXrate[],2,0)</f>
        <v>28995</v>
      </c>
      <c r="E1041" s="27" t="s">
        <v>19</v>
      </c>
      <c r="F1041" s="27" t="s">
        <v>3</v>
      </c>
      <c r="G1041" s="27" t="s">
        <v>2271</v>
      </c>
      <c r="H1041" s="27">
        <v>6</v>
      </c>
      <c r="I1041" s="27">
        <f>VLOOKUP(F1041,mapping!$L$2:$P$92,2,0)</f>
        <v>0.34064763831408895</v>
      </c>
      <c r="J1041" s="27">
        <f>VLOOKUP($F1041,mapping!$L$2:$P$92,3,0)</f>
        <v>1388.78</v>
      </c>
      <c r="K1041" s="27" t="str">
        <f>VLOOKUP($F1041,mapping!$L$2:$P$92,4,0)</f>
        <v>Developing Asia</v>
      </c>
      <c r="L1041" s="29">
        <f>$D1041*VLOOKUP($E1041,'Charts data'!$A$2:$B$11,2,0)*VLOOKUP($G1041,'Charts data'!$A$14:$B$18,2,0)/IF('Charts data'!$E$3=1,I1041,1)/IF('Charts data'!$E$4=1,J1041,1)</f>
        <v>28995</v>
      </c>
    </row>
    <row r="1042" spans="1:12" x14ac:dyDescent="0.25">
      <c r="A1042" s="27" t="s">
        <v>1887</v>
      </c>
      <c r="B1042" s="27">
        <v>5320</v>
      </c>
      <c r="C1042" s="27" t="s">
        <v>2</v>
      </c>
      <c r="D1042" s="28">
        <f>B1042*VLOOKUP(C1042,tblXrate[],2,0)</f>
        <v>5320</v>
      </c>
      <c r="E1042" s="27" t="s">
        <v>19</v>
      </c>
      <c r="F1042" s="27" t="s">
        <v>3</v>
      </c>
      <c r="G1042" s="27" t="s">
        <v>2272</v>
      </c>
      <c r="H1042" s="27">
        <v>5</v>
      </c>
      <c r="I1042" s="27">
        <f>VLOOKUP(F1042,mapping!$L$2:$P$92,2,0)</f>
        <v>0.34064763831408895</v>
      </c>
      <c r="J1042" s="27">
        <f>VLOOKUP($F1042,mapping!$L$2:$P$92,3,0)</f>
        <v>1388.78</v>
      </c>
      <c r="K1042" s="27" t="str">
        <f>VLOOKUP($F1042,mapping!$L$2:$P$92,4,0)</f>
        <v>Developing Asia</v>
      </c>
      <c r="L1042" s="29">
        <f>$D1042*VLOOKUP($E1042,'Charts data'!$A$2:$B$11,2,0)*VLOOKUP($G1042,'Charts data'!$A$14:$B$18,2,0)/IF('Charts data'!$E$3=1,I1042,1)/IF('Charts data'!$E$4=1,J1042,1)</f>
        <v>5320</v>
      </c>
    </row>
    <row r="1043" spans="1:12" x14ac:dyDescent="0.25">
      <c r="A1043" s="27" t="s">
        <v>1896</v>
      </c>
      <c r="B1043" s="27">
        <v>12000</v>
      </c>
      <c r="C1043" s="27" t="s">
        <v>2</v>
      </c>
      <c r="D1043" s="28">
        <f>B1043*VLOOKUP(C1043,tblXrate[],2,0)</f>
        <v>12000</v>
      </c>
      <c r="E1043" s="27" t="s">
        <v>48</v>
      </c>
      <c r="F1043" s="27" t="s">
        <v>3</v>
      </c>
      <c r="G1043" s="27" t="s">
        <v>2272</v>
      </c>
      <c r="H1043" s="27">
        <v>7</v>
      </c>
      <c r="I1043" s="27">
        <f>VLOOKUP(F1043,mapping!$L$2:$P$92,2,0)</f>
        <v>0.34064763831408895</v>
      </c>
      <c r="J1043" s="27">
        <f>VLOOKUP($F1043,mapping!$L$2:$P$92,3,0)</f>
        <v>1388.78</v>
      </c>
      <c r="K1043" s="27" t="str">
        <f>VLOOKUP($F1043,mapping!$L$2:$P$92,4,0)</f>
        <v>Developing Asia</v>
      </c>
      <c r="L1043" s="29">
        <f>$D1043*VLOOKUP($E1043,'Charts data'!$A$2:$B$11,2,0)*VLOOKUP($G1043,'Charts data'!$A$14:$B$18,2,0)/IF('Charts data'!$E$3=1,I1043,1)/IF('Charts data'!$E$4=1,J1043,1)</f>
        <v>12000</v>
      </c>
    </row>
    <row r="1044" spans="1:12" x14ac:dyDescent="0.25">
      <c r="A1044" s="27" t="s">
        <v>1907</v>
      </c>
      <c r="B1044" s="27">
        <v>2400</v>
      </c>
      <c r="C1044" s="27" t="s">
        <v>2</v>
      </c>
      <c r="D1044" s="28">
        <f>B1044*VLOOKUP(C1044,tblXrate[],2,0)</f>
        <v>2400</v>
      </c>
      <c r="E1044" s="27" t="s">
        <v>7</v>
      </c>
      <c r="F1044" s="27" t="s">
        <v>3</v>
      </c>
      <c r="G1044" s="27" t="s">
        <v>2272</v>
      </c>
      <c r="H1044" s="27">
        <v>3</v>
      </c>
      <c r="I1044" s="27">
        <f>VLOOKUP(F1044,mapping!$L$2:$P$92,2,0)</f>
        <v>0.34064763831408895</v>
      </c>
      <c r="J1044" s="27">
        <f>VLOOKUP($F1044,mapping!$L$2:$P$92,3,0)</f>
        <v>1388.78</v>
      </c>
      <c r="K1044" s="27" t="str">
        <f>VLOOKUP($F1044,mapping!$L$2:$P$92,4,0)</f>
        <v>Developing Asia</v>
      </c>
      <c r="L1044" s="29">
        <f>$D1044*VLOOKUP($E1044,'Charts data'!$A$2:$B$11,2,0)*VLOOKUP($G1044,'Charts data'!$A$14:$B$18,2,0)/IF('Charts data'!$E$3=1,I1044,1)/IF('Charts data'!$E$4=1,J1044,1)</f>
        <v>2400</v>
      </c>
    </row>
    <row r="1045" spans="1:12" x14ac:dyDescent="0.25">
      <c r="A1045" s="27" t="s">
        <v>1909</v>
      </c>
      <c r="B1045" s="27">
        <v>11000</v>
      </c>
      <c r="C1045" s="27" t="s">
        <v>2</v>
      </c>
      <c r="D1045" s="28">
        <f>B1045*VLOOKUP(C1045,tblXrate[],2,0)</f>
        <v>11000</v>
      </c>
      <c r="E1045" s="27" t="s">
        <v>7</v>
      </c>
      <c r="F1045" s="27" t="s">
        <v>3</v>
      </c>
      <c r="G1045" s="27" t="s">
        <v>2271</v>
      </c>
      <c r="H1045" s="27">
        <v>2</v>
      </c>
      <c r="I1045" s="27">
        <f>VLOOKUP(F1045,mapping!$L$2:$P$92,2,0)</f>
        <v>0.34064763831408895</v>
      </c>
      <c r="J1045" s="27">
        <f>VLOOKUP($F1045,mapping!$L$2:$P$92,3,0)</f>
        <v>1388.78</v>
      </c>
      <c r="K1045" s="27" t="str">
        <f>VLOOKUP($F1045,mapping!$L$2:$P$92,4,0)</f>
        <v>Developing Asia</v>
      </c>
      <c r="L1045" s="29">
        <f>$D1045*VLOOKUP($E1045,'Charts data'!$A$2:$B$11,2,0)*VLOOKUP($G1045,'Charts data'!$A$14:$B$18,2,0)/IF('Charts data'!$E$3=1,I1045,1)/IF('Charts data'!$E$4=1,J1045,1)</f>
        <v>11000</v>
      </c>
    </row>
    <row r="1046" spans="1:12" x14ac:dyDescent="0.25">
      <c r="A1046" s="27" t="s">
        <v>1911</v>
      </c>
      <c r="B1046" s="27">
        <v>3600</v>
      </c>
      <c r="C1046" s="27" t="s">
        <v>2</v>
      </c>
      <c r="D1046" s="28">
        <f>B1046*VLOOKUP(C1046,tblXrate[],2,0)</f>
        <v>3600</v>
      </c>
      <c r="E1046" s="27" t="s">
        <v>7</v>
      </c>
      <c r="F1046" s="27" t="s">
        <v>3</v>
      </c>
      <c r="G1046" s="27" t="s">
        <v>2271</v>
      </c>
      <c r="H1046" s="27">
        <v>1</v>
      </c>
      <c r="I1046" s="27">
        <f>VLOOKUP(F1046,mapping!$L$2:$P$92,2,0)</f>
        <v>0.34064763831408895</v>
      </c>
      <c r="J1046" s="27">
        <f>VLOOKUP($F1046,mapping!$L$2:$P$92,3,0)</f>
        <v>1388.78</v>
      </c>
      <c r="K1046" s="27" t="str">
        <f>VLOOKUP($F1046,mapping!$L$2:$P$92,4,0)</f>
        <v>Developing Asia</v>
      </c>
      <c r="L1046" s="29">
        <f>$D1046*VLOOKUP($E1046,'Charts data'!$A$2:$B$11,2,0)*VLOOKUP($G1046,'Charts data'!$A$14:$B$18,2,0)/IF('Charts data'!$E$3=1,I1046,1)/IF('Charts data'!$E$4=1,J1046,1)</f>
        <v>3600</v>
      </c>
    </row>
    <row r="1047" spans="1:12" x14ac:dyDescent="0.25">
      <c r="A1047" s="27" t="s">
        <v>1928</v>
      </c>
      <c r="B1047" s="27">
        <v>14000</v>
      </c>
      <c r="C1047" s="27" t="s">
        <v>2</v>
      </c>
      <c r="D1047" s="28">
        <f>B1047*VLOOKUP(C1047,tblXrate[],2,0)</f>
        <v>14000</v>
      </c>
      <c r="E1047" s="27" t="s">
        <v>19</v>
      </c>
      <c r="F1047" s="27" t="s">
        <v>3</v>
      </c>
      <c r="G1047" s="27" t="s">
        <v>2271</v>
      </c>
      <c r="H1047" s="27">
        <v>5</v>
      </c>
      <c r="I1047" s="27">
        <f>VLOOKUP(F1047,mapping!$L$2:$P$92,2,0)</f>
        <v>0.34064763831408895</v>
      </c>
      <c r="J1047" s="27">
        <f>VLOOKUP($F1047,mapping!$L$2:$P$92,3,0)</f>
        <v>1388.78</v>
      </c>
      <c r="K1047" s="27" t="str">
        <f>VLOOKUP($F1047,mapping!$L$2:$P$92,4,0)</f>
        <v>Developing Asia</v>
      </c>
      <c r="L1047" s="29">
        <f>$D1047*VLOOKUP($E1047,'Charts data'!$A$2:$B$11,2,0)*VLOOKUP($G1047,'Charts data'!$A$14:$B$18,2,0)/IF('Charts data'!$E$3=1,I1047,1)/IF('Charts data'!$E$4=1,J1047,1)</f>
        <v>14000</v>
      </c>
    </row>
    <row r="1048" spans="1:12" x14ac:dyDescent="0.25">
      <c r="A1048" s="27" t="s">
        <v>1934</v>
      </c>
      <c r="B1048" s="27">
        <v>4800</v>
      </c>
      <c r="C1048" s="27" t="s">
        <v>2</v>
      </c>
      <c r="D1048" s="28">
        <f>B1048*VLOOKUP(C1048,tblXrate[],2,0)</f>
        <v>4800</v>
      </c>
      <c r="E1048" s="27" t="s">
        <v>19</v>
      </c>
      <c r="F1048" s="27" t="s">
        <v>3</v>
      </c>
      <c r="G1048" s="27" t="s">
        <v>2273</v>
      </c>
      <c r="H1048" s="27">
        <v>3</v>
      </c>
      <c r="I1048" s="27">
        <f>VLOOKUP(F1048,mapping!$L$2:$P$92,2,0)</f>
        <v>0.34064763831408895</v>
      </c>
      <c r="J1048" s="27">
        <f>VLOOKUP($F1048,mapping!$L$2:$P$92,3,0)</f>
        <v>1388.78</v>
      </c>
      <c r="K1048" s="27" t="str">
        <f>VLOOKUP($F1048,mapping!$L$2:$P$92,4,0)</f>
        <v>Developing Asia</v>
      </c>
      <c r="L1048" s="29">
        <f>$D1048*VLOOKUP($E1048,'Charts data'!$A$2:$B$11,2,0)*VLOOKUP($G1048,'Charts data'!$A$14:$B$18,2,0)/IF('Charts data'!$E$3=1,I1048,1)/IF('Charts data'!$E$4=1,J1048,1)</f>
        <v>4800</v>
      </c>
    </row>
    <row r="1049" spans="1:12" x14ac:dyDescent="0.25">
      <c r="A1049" s="27" t="s">
        <v>1947</v>
      </c>
      <c r="B1049" s="27">
        <v>15000</v>
      </c>
      <c r="C1049" s="27" t="s">
        <v>2</v>
      </c>
      <c r="D1049" s="28">
        <f>B1049*VLOOKUP(C1049,tblXrate[],2,0)</f>
        <v>15000</v>
      </c>
      <c r="E1049" s="27" t="s">
        <v>7</v>
      </c>
      <c r="F1049" s="27" t="s">
        <v>3</v>
      </c>
      <c r="G1049" s="27" t="s">
        <v>2272</v>
      </c>
      <c r="H1049" s="27">
        <v>0.3</v>
      </c>
      <c r="I1049" s="27">
        <f>VLOOKUP(F1049,mapping!$L$2:$P$92,2,0)</f>
        <v>0.34064763831408895</v>
      </c>
      <c r="J1049" s="27">
        <f>VLOOKUP($F1049,mapping!$L$2:$P$92,3,0)</f>
        <v>1388.78</v>
      </c>
      <c r="K1049" s="27" t="str">
        <f>VLOOKUP($F1049,mapping!$L$2:$P$92,4,0)</f>
        <v>Developing Asia</v>
      </c>
      <c r="L1049" s="29">
        <f>$D1049*VLOOKUP($E1049,'Charts data'!$A$2:$B$11,2,0)*VLOOKUP($G1049,'Charts data'!$A$14:$B$18,2,0)/IF('Charts data'!$E$3=1,I1049,1)/IF('Charts data'!$E$4=1,J1049,1)</f>
        <v>15000</v>
      </c>
    </row>
    <row r="1050" spans="1:12" x14ac:dyDescent="0.25">
      <c r="A1050" s="27" t="s">
        <v>1960</v>
      </c>
      <c r="B1050" s="27">
        <v>6720</v>
      </c>
      <c r="C1050" s="27" t="s">
        <v>2</v>
      </c>
      <c r="D1050" s="28">
        <f>B1050*VLOOKUP(C1050,tblXrate[],2,0)</f>
        <v>6720</v>
      </c>
      <c r="E1050" s="27" t="s">
        <v>51</v>
      </c>
      <c r="F1050" s="27" t="s">
        <v>3</v>
      </c>
      <c r="G1050" s="27" t="s">
        <v>2271</v>
      </c>
      <c r="H1050" s="27">
        <v>5</v>
      </c>
      <c r="I1050" s="27">
        <f>VLOOKUP(F1050,mapping!$L$2:$P$92,2,0)</f>
        <v>0.34064763831408895</v>
      </c>
      <c r="J1050" s="27">
        <f>VLOOKUP($F1050,mapping!$L$2:$P$92,3,0)</f>
        <v>1388.78</v>
      </c>
      <c r="K1050" s="27" t="str">
        <f>VLOOKUP($F1050,mapping!$L$2:$P$92,4,0)</f>
        <v>Developing Asia</v>
      </c>
      <c r="L1050" s="29">
        <f>$D1050*VLOOKUP($E1050,'Charts data'!$A$2:$B$11,2,0)*VLOOKUP($G1050,'Charts data'!$A$14:$B$18,2,0)/IF('Charts data'!$E$3=1,I1050,1)/IF('Charts data'!$E$4=1,J1050,1)</f>
        <v>6720</v>
      </c>
    </row>
    <row r="1051" spans="1:12" x14ac:dyDescent="0.25">
      <c r="A1051" s="27" t="s">
        <v>1965</v>
      </c>
      <c r="B1051" s="27">
        <v>37500</v>
      </c>
      <c r="C1051" s="27" t="s">
        <v>2</v>
      </c>
      <c r="D1051" s="28">
        <f>B1051*VLOOKUP(C1051,tblXrate[],2,0)</f>
        <v>37500</v>
      </c>
      <c r="E1051" s="27" t="s">
        <v>53</v>
      </c>
      <c r="F1051" s="27" t="s">
        <v>3</v>
      </c>
      <c r="G1051" s="27" t="s">
        <v>2273</v>
      </c>
      <c r="H1051" s="27">
        <v>0</v>
      </c>
      <c r="I1051" s="27">
        <f>VLOOKUP(F1051,mapping!$L$2:$P$92,2,0)</f>
        <v>0.34064763831408895</v>
      </c>
      <c r="J1051" s="27">
        <f>VLOOKUP($F1051,mapping!$L$2:$P$92,3,0)</f>
        <v>1388.78</v>
      </c>
      <c r="K1051" s="27" t="str">
        <f>VLOOKUP($F1051,mapping!$L$2:$P$92,4,0)</f>
        <v>Developing Asia</v>
      </c>
      <c r="L1051" s="29">
        <f>$D1051*VLOOKUP($E1051,'Charts data'!$A$2:$B$11,2,0)*VLOOKUP($G1051,'Charts data'!$A$14:$B$18,2,0)/IF('Charts data'!$E$3=1,I1051,1)/IF('Charts data'!$E$4=1,J1051,1)</f>
        <v>37500</v>
      </c>
    </row>
    <row r="1052" spans="1:12" x14ac:dyDescent="0.25">
      <c r="A1052" s="27" t="s">
        <v>1979</v>
      </c>
      <c r="B1052" s="27">
        <v>11000</v>
      </c>
      <c r="C1052" s="27" t="s">
        <v>2</v>
      </c>
      <c r="D1052" s="28">
        <f>B1052*VLOOKUP(C1052,tblXrate[],2,0)</f>
        <v>11000</v>
      </c>
      <c r="E1052" s="27" t="s">
        <v>19</v>
      </c>
      <c r="F1052" s="27" t="s">
        <v>3</v>
      </c>
      <c r="G1052" s="27" t="s">
        <v>2273</v>
      </c>
      <c r="H1052" s="27">
        <v>8</v>
      </c>
      <c r="I1052" s="27">
        <f>VLOOKUP(F1052,mapping!$L$2:$P$92,2,0)</f>
        <v>0.34064763831408895</v>
      </c>
      <c r="J1052" s="27">
        <f>VLOOKUP($F1052,mapping!$L$2:$P$92,3,0)</f>
        <v>1388.78</v>
      </c>
      <c r="K1052" s="27" t="str">
        <f>VLOOKUP($F1052,mapping!$L$2:$P$92,4,0)</f>
        <v>Developing Asia</v>
      </c>
      <c r="L1052" s="29">
        <f>$D1052*VLOOKUP($E1052,'Charts data'!$A$2:$B$11,2,0)*VLOOKUP($G1052,'Charts data'!$A$14:$B$18,2,0)/IF('Charts data'!$E$3=1,I1052,1)/IF('Charts data'!$E$4=1,J1052,1)</f>
        <v>11000</v>
      </c>
    </row>
    <row r="1053" spans="1:12" x14ac:dyDescent="0.25">
      <c r="A1053" s="27" t="s">
        <v>1990</v>
      </c>
      <c r="B1053" s="27">
        <v>40000</v>
      </c>
      <c r="C1053" s="27" t="s">
        <v>2</v>
      </c>
      <c r="D1053" s="28">
        <f>B1053*VLOOKUP(C1053,tblXrate[],2,0)</f>
        <v>40000</v>
      </c>
      <c r="E1053" s="27" t="s">
        <v>19</v>
      </c>
      <c r="F1053" s="27" t="s">
        <v>3</v>
      </c>
      <c r="G1053" s="27" t="s">
        <v>2271</v>
      </c>
      <c r="H1053" s="27">
        <v>5</v>
      </c>
      <c r="I1053" s="27">
        <f>VLOOKUP(F1053,mapping!$L$2:$P$92,2,0)</f>
        <v>0.34064763831408895</v>
      </c>
      <c r="J1053" s="27">
        <f>VLOOKUP($F1053,mapping!$L$2:$P$92,3,0)</f>
        <v>1388.78</v>
      </c>
      <c r="K1053" s="27" t="str">
        <f>VLOOKUP($F1053,mapping!$L$2:$P$92,4,0)</f>
        <v>Developing Asia</v>
      </c>
      <c r="L1053" s="29">
        <f>$D1053*VLOOKUP($E1053,'Charts data'!$A$2:$B$11,2,0)*VLOOKUP($G1053,'Charts data'!$A$14:$B$18,2,0)/IF('Charts data'!$E$3=1,I1053,1)/IF('Charts data'!$E$4=1,J1053,1)</f>
        <v>40000</v>
      </c>
    </row>
    <row r="1054" spans="1:12" x14ac:dyDescent="0.25">
      <c r="A1054" s="27" t="s">
        <v>1998</v>
      </c>
      <c r="B1054" s="27">
        <v>25000</v>
      </c>
      <c r="C1054" s="27" t="s">
        <v>2</v>
      </c>
      <c r="D1054" s="28">
        <f>B1054*VLOOKUP(C1054,tblXrate[],2,0)</f>
        <v>25000</v>
      </c>
      <c r="E1054" s="27" t="s">
        <v>7</v>
      </c>
      <c r="F1054" s="27" t="s">
        <v>3</v>
      </c>
      <c r="G1054" s="27" t="s">
        <v>2273</v>
      </c>
      <c r="H1054" s="27">
        <v>1.5</v>
      </c>
      <c r="I1054" s="27">
        <f>VLOOKUP(F1054,mapping!$L$2:$P$92,2,0)</f>
        <v>0.34064763831408895</v>
      </c>
      <c r="J1054" s="27">
        <f>VLOOKUP($F1054,mapping!$L$2:$P$92,3,0)</f>
        <v>1388.78</v>
      </c>
      <c r="K1054" s="27" t="str">
        <f>VLOOKUP($F1054,mapping!$L$2:$P$92,4,0)</f>
        <v>Developing Asia</v>
      </c>
      <c r="L1054" s="29">
        <f>$D1054*VLOOKUP($E1054,'Charts data'!$A$2:$B$11,2,0)*VLOOKUP($G1054,'Charts data'!$A$14:$B$18,2,0)/IF('Charts data'!$E$3=1,I1054,1)/IF('Charts data'!$E$4=1,J1054,1)</f>
        <v>25000</v>
      </c>
    </row>
    <row r="1055" spans="1:12" x14ac:dyDescent="0.25">
      <c r="A1055" s="27" t="s">
        <v>1999</v>
      </c>
      <c r="B1055" s="27">
        <v>5000</v>
      </c>
      <c r="C1055" s="27" t="s">
        <v>2</v>
      </c>
      <c r="D1055" s="28">
        <f>B1055*VLOOKUP(C1055,tblXrate[],2,0)</f>
        <v>5000</v>
      </c>
      <c r="E1055" s="27" t="s">
        <v>7</v>
      </c>
      <c r="F1055" s="27" t="s">
        <v>3</v>
      </c>
      <c r="G1055" s="27" t="s">
        <v>2272</v>
      </c>
      <c r="H1055" s="27">
        <v>10</v>
      </c>
      <c r="I1055" s="27">
        <f>VLOOKUP(F1055,mapping!$L$2:$P$92,2,0)</f>
        <v>0.34064763831408895</v>
      </c>
      <c r="J1055" s="27">
        <f>VLOOKUP($F1055,mapping!$L$2:$P$92,3,0)</f>
        <v>1388.78</v>
      </c>
      <c r="K1055" s="27" t="str">
        <f>VLOOKUP($F1055,mapping!$L$2:$P$92,4,0)</f>
        <v>Developing Asia</v>
      </c>
      <c r="L1055" s="29">
        <f>$D1055*VLOOKUP($E1055,'Charts data'!$A$2:$B$11,2,0)*VLOOKUP($G1055,'Charts data'!$A$14:$B$18,2,0)/IF('Charts data'!$E$3=1,I1055,1)/IF('Charts data'!$E$4=1,J1055,1)</f>
        <v>5000</v>
      </c>
    </row>
    <row r="1056" spans="1:12" x14ac:dyDescent="0.25">
      <c r="A1056" s="27" t="s">
        <v>2004</v>
      </c>
      <c r="B1056" s="27">
        <v>5000</v>
      </c>
      <c r="C1056" s="27" t="s">
        <v>2</v>
      </c>
      <c r="D1056" s="28">
        <f>B1056*VLOOKUP(C1056,tblXrate[],2,0)</f>
        <v>5000</v>
      </c>
      <c r="E1056" s="27" t="s">
        <v>7</v>
      </c>
      <c r="F1056" s="27" t="s">
        <v>3</v>
      </c>
      <c r="G1056" s="27" t="s">
        <v>2273</v>
      </c>
      <c r="H1056" s="27">
        <v>2</v>
      </c>
      <c r="I1056" s="27">
        <f>VLOOKUP(F1056,mapping!$L$2:$P$92,2,0)</f>
        <v>0.34064763831408895</v>
      </c>
      <c r="J1056" s="27">
        <f>VLOOKUP($F1056,mapping!$L$2:$P$92,3,0)</f>
        <v>1388.78</v>
      </c>
      <c r="K1056" s="27" t="str">
        <f>VLOOKUP($F1056,mapping!$L$2:$P$92,4,0)</f>
        <v>Developing Asia</v>
      </c>
      <c r="L1056" s="29">
        <f>$D1056*VLOOKUP($E1056,'Charts data'!$A$2:$B$11,2,0)*VLOOKUP($G1056,'Charts data'!$A$14:$B$18,2,0)/IF('Charts data'!$E$3=1,I1056,1)/IF('Charts data'!$E$4=1,J1056,1)</f>
        <v>5000</v>
      </c>
    </row>
    <row r="1057" spans="1:12" x14ac:dyDescent="0.25">
      <c r="A1057" s="27" t="s">
        <v>2014</v>
      </c>
      <c r="B1057" s="27">
        <v>4000</v>
      </c>
      <c r="C1057" s="27" t="s">
        <v>2</v>
      </c>
      <c r="D1057" s="28">
        <f>B1057*VLOOKUP(C1057,tblXrate[],2,0)</f>
        <v>4000</v>
      </c>
      <c r="E1057" s="27" t="s">
        <v>7</v>
      </c>
      <c r="F1057" s="27" t="s">
        <v>3</v>
      </c>
      <c r="G1057" s="27" t="s">
        <v>2272</v>
      </c>
      <c r="H1057" s="27">
        <v>4</v>
      </c>
      <c r="I1057" s="27">
        <f>VLOOKUP(F1057,mapping!$L$2:$P$92,2,0)</f>
        <v>0.34064763831408895</v>
      </c>
      <c r="J1057" s="27">
        <f>VLOOKUP($F1057,mapping!$L$2:$P$92,3,0)</f>
        <v>1388.78</v>
      </c>
      <c r="K1057" s="27" t="str">
        <f>VLOOKUP($F1057,mapping!$L$2:$P$92,4,0)</f>
        <v>Developing Asia</v>
      </c>
      <c r="L1057" s="29">
        <f>$D1057*VLOOKUP($E1057,'Charts data'!$A$2:$B$11,2,0)*VLOOKUP($G1057,'Charts data'!$A$14:$B$18,2,0)/IF('Charts data'!$E$3=1,I1057,1)/IF('Charts data'!$E$4=1,J1057,1)</f>
        <v>4000</v>
      </c>
    </row>
    <row r="1058" spans="1:12" x14ac:dyDescent="0.25">
      <c r="A1058" s="27" t="s">
        <v>2020</v>
      </c>
      <c r="B1058" s="27">
        <v>25000</v>
      </c>
      <c r="C1058" s="27" t="s">
        <v>2</v>
      </c>
      <c r="D1058" s="28">
        <f>B1058*VLOOKUP(C1058,tblXrate[],2,0)</f>
        <v>25000</v>
      </c>
      <c r="E1058" s="27" t="s">
        <v>19</v>
      </c>
      <c r="F1058" s="27" t="s">
        <v>3</v>
      </c>
      <c r="G1058" s="27" t="s">
        <v>2271</v>
      </c>
      <c r="H1058" s="27">
        <v>10</v>
      </c>
      <c r="I1058" s="27">
        <f>VLOOKUP(F1058,mapping!$L$2:$P$92,2,0)</f>
        <v>0.34064763831408895</v>
      </c>
      <c r="J1058" s="27">
        <f>VLOOKUP($F1058,mapping!$L$2:$P$92,3,0)</f>
        <v>1388.78</v>
      </c>
      <c r="K1058" s="27" t="str">
        <f>VLOOKUP($F1058,mapping!$L$2:$P$92,4,0)</f>
        <v>Developing Asia</v>
      </c>
      <c r="L1058" s="29">
        <f>$D1058*VLOOKUP($E1058,'Charts data'!$A$2:$B$11,2,0)*VLOOKUP($G1058,'Charts data'!$A$14:$B$18,2,0)/IF('Charts data'!$E$3=1,I1058,1)/IF('Charts data'!$E$4=1,J1058,1)</f>
        <v>25000</v>
      </c>
    </row>
    <row r="1059" spans="1:12" x14ac:dyDescent="0.25">
      <c r="A1059" s="27" t="s">
        <v>2024</v>
      </c>
      <c r="B1059" s="27">
        <v>5000</v>
      </c>
      <c r="C1059" s="27" t="s">
        <v>2</v>
      </c>
      <c r="D1059" s="28">
        <f>B1059*VLOOKUP(C1059,tblXrate[],2,0)</f>
        <v>5000</v>
      </c>
      <c r="E1059" s="27" t="s">
        <v>2146</v>
      </c>
      <c r="F1059" s="27" t="s">
        <v>3</v>
      </c>
      <c r="G1059" s="27" t="s">
        <v>2271</v>
      </c>
      <c r="H1059" s="27">
        <v>3</v>
      </c>
      <c r="I1059" s="27">
        <f>VLOOKUP(F1059,mapping!$L$2:$P$92,2,0)</f>
        <v>0.34064763831408895</v>
      </c>
      <c r="J1059" s="27">
        <f>VLOOKUP($F1059,mapping!$L$2:$P$92,3,0)</f>
        <v>1388.78</v>
      </c>
      <c r="K1059" s="27" t="str">
        <f>VLOOKUP($F1059,mapping!$L$2:$P$92,4,0)</f>
        <v>Developing Asia</v>
      </c>
      <c r="L1059" s="29">
        <f>$D1059*VLOOKUP($E1059,'Charts data'!$A$2:$B$11,2,0)*VLOOKUP($G1059,'Charts data'!$A$14:$B$18,2,0)/IF('Charts data'!$E$3=1,I1059,1)/IF('Charts data'!$E$4=1,J1059,1)</f>
        <v>5000</v>
      </c>
    </row>
    <row r="1060" spans="1:12" x14ac:dyDescent="0.25">
      <c r="A1060" s="27" t="s">
        <v>2028</v>
      </c>
      <c r="B1060" s="27">
        <v>8400</v>
      </c>
      <c r="C1060" s="27" t="s">
        <v>2</v>
      </c>
      <c r="D1060" s="28">
        <f>B1060*VLOOKUP(C1060,tblXrate[],2,0)</f>
        <v>8400</v>
      </c>
      <c r="E1060" s="27" t="s">
        <v>2145</v>
      </c>
      <c r="F1060" s="27" t="s">
        <v>3</v>
      </c>
      <c r="G1060" s="27" t="s">
        <v>2273</v>
      </c>
      <c r="H1060" s="27">
        <v>6</v>
      </c>
      <c r="I1060" s="27">
        <f>VLOOKUP(F1060,mapping!$L$2:$P$92,2,0)</f>
        <v>0.34064763831408895</v>
      </c>
      <c r="J1060" s="27">
        <f>VLOOKUP($F1060,mapping!$L$2:$P$92,3,0)</f>
        <v>1388.78</v>
      </c>
      <c r="K1060" s="27" t="str">
        <f>VLOOKUP($F1060,mapping!$L$2:$P$92,4,0)</f>
        <v>Developing Asia</v>
      </c>
      <c r="L1060" s="29">
        <f>$D1060*VLOOKUP($E1060,'Charts data'!$A$2:$B$11,2,0)*VLOOKUP($G1060,'Charts data'!$A$14:$B$18,2,0)/IF('Charts data'!$E$3=1,I1060,1)/IF('Charts data'!$E$4=1,J1060,1)</f>
        <v>8400</v>
      </c>
    </row>
    <row r="1061" spans="1:12" x14ac:dyDescent="0.25">
      <c r="A1061" s="27" t="s">
        <v>2029</v>
      </c>
      <c r="B1061" s="27">
        <v>20000</v>
      </c>
      <c r="C1061" s="27" t="s">
        <v>2</v>
      </c>
      <c r="D1061" s="28">
        <f>B1061*VLOOKUP(C1061,tblXrate[],2,0)</f>
        <v>20000</v>
      </c>
      <c r="E1061" s="27" t="s">
        <v>19</v>
      </c>
      <c r="F1061" s="27" t="s">
        <v>3</v>
      </c>
      <c r="G1061" s="27" t="s">
        <v>2272</v>
      </c>
      <c r="H1061" s="27">
        <v>5</v>
      </c>
      <c r="I1061" s="27">
        <f>VLOOKUP(F1061,mapping!$L$2:$P$92,2,0)</f>
        <v>0.34064763831408895</v>
      </c>
      <c r="J1061" s="27">
        <f>VLOOKUP($F1061,mapping!$L$2:$P$92,3,0)</f>
        <v>1388.78</v>
      </c>
      <c r="K1061" s="27" t="str">
        <f>VLOOKUP($F1061,mapping!$L$2:$P$92,4,0)</f>
        <v>Developing Asia</v>
      </c>
      <c r="L1061" s="29">
        <f>$D1061*VLOOKUP($E1061,'Charts data'!$A$2:$B$11,2,0)*VLOOKUP($G1061,'Charts data'!$A$14:$B$18,2,0)/IF('Charts data'!$E$3=1,I1061,1)/IF('Charts data'!$E$4=1,J1061,1)</f>
        <v>20000</v>
      </c>
    </row>
    <row r="1062" spans="1:12" x14ac:dyDescent="0.25">
      <c r="A1062" s="27" t="s">
        <v>2037</v>
      </c>
      <c r="B1062" s="27">
        <v>21000</v>
      </c>
      <c r="C1062" s="27" t="s">
        <v>2</v>
      </c>
      <c r="D1062" s="28">
        <f>B1062*VLOOKUP(C1062,tblXrate[],2,0)</f>
        <v>21000</v>
      </c>
      <c r="E1062" s="27" t="s">
        <v>2146</v>
      </c>
      <c r="F1062" s="27" t="s">
        <v>3</v>
      </c>
      <c r="G1062" s="27" t="s">
        <v>2273</v>
      </c>
      <c r="H1062" s="27">
        <v>5</v>
      </c>
      <c r="I1062" s="27">
        <f>VLOOKUP(F1062,mapping!$L$2:$P$92,2,0)</f>
        <v>0.34064763831408895</v>
      </c>
      <c r="J1062" s="27">
        <f>VLOOKUP($F1062,mapping!$L$2:$P$92,3,0)</f>
        <v>1388.78</v>
      </c>
      <c r="K1062" s="27" t="str">
        <f>VLOOKUP($F1062,mapping!$L$2:$P$92,4,0)</f>
        <v>Developing Asia</v>
      </c>
      <c r="L1062" s="29">
        <f>$D1062*VLOOKUP($E1062,'Charts data'!$A$2:$B$11,2,0)*VLOOKUP($G1062,'Charts data'!$A$14:$B$18,2,0)/IF('Charts data'!$E$3=1,I1062,1)/IF('Charts data'!$E$4=1,J1062,1)</f>
        <v>21000</v>
      </c>
    </row>
    <row r="1063" spans="1:12" x14ac:dyDescent="0.25">
      <c r="A1063" s="27" t="s">
        <v>783</v>
      </c>
      <c r="B1063" s="27">
        <v>10000</v>
      </c>
      <c r="C1063" s="27" t="s">
        <v>2</v>
      </c>
      <c r="D1063" s="28">
        <f>B1063*VLOOKUP(C1063,tblXrate[],2,0)</f>
        <v>10000</v>
      </c>
      <c r="E1063" s="27" t="s">
        <v>19</v>
      </c>
      <c r="F1063" s="27" t="s">
        <v>88</v>
      </c>
      <c r="G1063" s="27" t="s">
        <v>2272</v>
      </c>
      <c r="H1063" s="27">
        <v>5</v>
      </c>
      <c r="I1063" s="27">
        <f>VLOOKUP(F1063,mapping!$L$2:$P$92,2,0)</f>
        <v>0.69928450487673943</v>
      </c>
      <c r="J1063" s="27">
        <f>VLOOKUP($F1063,mapping!$L$2:$P$92,3,0)</f>
        <v>3508.61</v>
      </c>
      <c r="K1063" s="27" t="str">
        <f>VLOOKUP($F1063,mapping!$L$2:$P$92,4,0)</f>
        <v>Developing Asia</v>
      </c>
      <c r="L1063" s="29">
        <f>$D1063*VLOOKUP($E1063,'Charts data'!$A$2:$B$11,2,0)*VLOOKUP($G1063,'Charts data'!$A$14:$B$18,2,0)/IF('Charts data'!$E$3=1,I1063,1)/IF('Charts data'!$E$4=1,J1063,1)</f>
        <v>10000</v>
      </c>
    </row>
    <row r="1064" spans="1:12" x14ac:dyDescent="0.25">
      <c r="A1064" s="27" t="s">
        <v>827</v>
      </c>
      <c r="B1064" s="27">
        <v>15000</v>
      </c>
      <c r="C1064" s="27" t="s">
        <v>2</v>
      </c>
      <c r="D1064" s="28">
        <f>B1064*VLOOKUP(C1064,tblXrate[],2,0)</f>
        <v>15000</v>
      </c>
      <c r="E1064" s="27" t="s">
        <v>7</v>
      </c>
      <c r="F1064" s="27" t="s">
        <v>88</v>
      </c>
      <c r="G1064" s="27" t="s">
        <v>2271</v>
      </c>
      <c r="H1064" s="27">
        <v>1</v>
      </c>
      <c r="I1064" s="27">
        <f>VLOOKUP(F1064,mapping!$L$2:$P$92,2,0)</f>
        <v>0.69928450487673943</v>
      </c>
      <c r="J1064" s="27">
        <f>VLOOKUP($F1064,mapping!$L$2:$P$92,3,0)</f>
        <v>3508.61</v>
      </c>
      <c r="K1064" s="27" t="str">
        <f>VLOOKUP($F1064,mapping!$L$2:$P$92,4,0)</f>
        <v>Developing Asia</v>
      </c>
      <c r="L1064" s="29">
        <f>$D1064*VLOOKUP($E1064,'Charts data'!$A$2:$B$11,2,0)*VLOOKUP($G1064,'Charts data'!$A$14:$B$18,2,0)/IF('Charts data'!$E$3=1,I1064,1)/IF('Charts data'!$E$4=1,J1064,1)</f>
        <v>15000</v>
      </c>
    </row>
    <row r="1065" spans="1:12" x14ac:dyDescent="0.25">
      <c r="A1065" s="27" t="s">
        <v>980</v>
      </c>
      <c r="B1065" s="27">
        <v>30000</v>
      </c>
      <c r="C1065" s="27" t="s">
        <v>2</v>
      </c>
      <c r="D1065" s="28">
        <f>B1065*VLOOKUP(C1065,tblXrate[],2,0)</f>
        <v>30000</v>
      </c>
      <c r="E1065" s="27" t="s">
        <v>62</v>
      </c>
      <c r="F1065" s="27" t="s">
        <v>88</v>
      </c>
      <c r="G1065" s="27" t="s">
        <v>2271</v>
      </c>
      <c r="H1065" s="27">
        <v>7</v>
      </c>
      <c r="I1065" s="27">
        <f>VLOOKUP(F1065,mapping!$L$2:$P$92,2,0)</f>
        <v>0.69928450487673943</v>
      </c>
      <c r="J1065" s="27">
        <f>VLOOKUP($F1065,mapping!$L$2:$P$92,3,0)</f>
        <v>3508.61</v>
      </c>
      <c r="K1065" s="27" t="str">
        <f>VLOOKUP($F1065,mapping!$L$2:$P$92,4,0)</f>
        <v>Developing Asia</v>
      </c>
      <c r="L1065" s="29">
        <f>$D1065*VLOOKUP($E1065,'Charts data'!$A$2:$B$11,2,0)*VLOOKUP($G1065,'Charts data'!$A$14:$B$18,2,0)/IF('Charts data'!$E$3=1,I1065,1)/IF('Charts data'!$E$4=1,J1065,1)</f>
        <v>30000</v>
      </c>
    </row>
    <row r="1066" spans="1:12" x14ac:dyDescent="0.25">
      <c r="A1066" s="27" t="s">
        <v>1018</v>
      </c>
      <c r="B1066" s="27">
        <v>98000</v>
      </c>
      <c r="C1066" s="27" t="s">
        <v>2</v>
      </c>
      <c r="D1066" s="28">
        <f>B1066*VLOOKUP(C1066,tblXrate[],2,0)</f>
        <v>98000</v>
      </c>
      <c r="E1066" s="27" t="s">
        <v>19</v>
      </c>
      <c r="F1066" s="27" t="s">
        <v>88</v>
      </c>
      <c r="G1066" s="27" t="s">
        <v>2272</v>
      </c>
      <c r="H1066" s="27">
        <v>14</v>
      </c>
      <c r="I1066" s="27">
        <f>VLOOKUP(F1066,mapping!$L$2:$P$92,2,0)</f>
        <v>0.69928450487673943</v>
      </c>
      <c r="J1066" s="27">
        <f>VLOOKUP($F1066,mapping!$L$2:$P$92,3,0)</f>
        <v>3508.61</v>
      </c>
      <c r="K1066" s="27" t="str">
        <f>VLOOKUP($F1066,mapping!$L$2:$P$92,4,0)</f>
        <v>Developing Asia</v>
      </c>
      <c r="L1066" s="29">
        <f>$D1066*VLOOKUP($E1066,'Charts data'!$A$2:$B$11,2,0)*VLOOKUP($G1066,'Charts data'!$A$14:$B$18,2,0)/IF('Charts data'!$E$3=1,I1066,1)/IF('Charts data'!$E$4=1,J1066,1)</f>
        <v>98000</v>
      </c>
    </row>
    <row r="1067" spans="1:12" x14ac:dyDescent="0.25">
      <c r="A1067" s="27" t="s">
        <v>1022</v>
      </c>
      <c r="B1067" s="27">
        <v>4500</v>
      </c>
      <c r="C1067" s="27" t="s">
        <v>2</v>
      </c>
      <c r="D1067" s="28">
        <f>B1067*VLOOKUP(C1067,tblXrate[],2,0)</f>
        <v>4500</v>
      </c>
      <c r="E1067" s="27" t="s">
        <v>7</v>
      </c>
      <c r="F1067" s="27" t="s">
        <v>88</v>
      </c>
      <c r="G1067" s="27" t="s">
        <v>2272</v>
      </c>
      <c r="H1067" s="27">
        <v>4</v>
      </c>
      <c r="I1067" s="27">
        <f>VLOOKUP(F1067,mapping!$L$2:$P$92,2,0)</f>
        <v>0.69928450487673943</v>
      </c>
      <c r="J1067" s="27">
        <f>VLOOKUP($F1067,mapping!$L$2:$P$92,3,0)</f>
        <v>3508.61</v>
      </c>
      <c r="K1067" s="27" t="str">
        <f>VLOOKUP($F1067,mapping!$L$2:$P$92,4,0)</f>
        <v>Developing Asia</v>
      </c>
      <c r="L1067" s="29">
        <f>$D1067*VLOOKUP($E1067,'Charts data'!$A$2:$B$11,2,0)*VLOOKUP($G1067,'Charts data'!$A$14:$B$18,2,0)/IF('Charts data'!$E$3=1,I1067,1)/IF('Charts data'!$E$4=1,J1067,1)</f>
        <v>4500</v>
      </c>
    </row>
    <row r="1068" spans="1:12" x14ac:dyDescent="0.25">
      <c r="A1068" s="27" t="s">
        <v>1752</v>
      </c>
      <c r="B1068" s="27">
        <v>60000</v>
      </c>
      <c r="C1068" s="27" t="s">
        <v>2</v>
      </c>
      <c r="D1068" s="28">
        <f>B1068*VLOOKUP(C1068,tblXrate[],2,0)</f>
        <v>60000</v>
      </c>
      <c r="E1068" s="27" t="s">
        <v>19</v>
      </c>
      <c r="F1068" s="27" t="s">
        <v>88</v>
      </c>
      <c r="G1068" s="27" t="s">
        <v>2272</v>
      </c>
      <c r="H1068" s="27">
        <v>16</v>
      </c>
      <c r="I1068" s="27">
        <f>VLOOKUP(F1068,mapping!$L$2:$P$92,2,0)</f>
        <v>0.69928450487673943</v>
      </c>
      <c r="J1068" s="27">
        <f>VLOOKUP($F1068,mapping!$L$2:$P$92,3,0)</f>
        <v>3508.61</v>
      </c>
      <c r="K1068" s="27" t="str">
        <f>VLOOKUP($F1068,mapping!$L$2:$P$92,4,0)</f>
        <v>Developing Asia</v>
      </c>
      <c r="L1068" s="29">
        <f>$D1068*VLOOKUP($E1068,'Charts data'!$A$2:$B$11,2,0)*VLOOKUP($G1068,'Charts data'!$A$14:$B$18,2,0)/IF('Charts data'!$E$3=1,I1068,1)/IF('Charts data'!$E$4=1,J1068,1)</f>
        <v>60000</v>
      </c>
    </row>
    <row r="1069" spans="1:12" x14ac:dyDescent="0.25">
      <c r="A1069" s="27" t="s">
        <v>1835</v>
      </c>
      <c r="B1069" s="27">
        <v>8400</v>
      </c>
      <c r="C1069" s="27" t="s">
        <v>2</v>
      </c>
      <c r="D1069" s="28">
        <f>B1069*VLOOKUP(C1069,tblXrate[],2,0)</f>
        <v>8400</v>
      </c>
      <c r="E1069" s="27" t="s">
        <v>7</v>
      </c>
      <c r="F1069" s="27" t="s">
        <v>88</v>
      </c>
      <c r="G1069" s="27" t="s">
        <v>2271</v>
      </c>
      <c r="H1069" s="27">
        <v>14</v>
      </c>
      <c r="I1069" s="27">
        <f>VLOOKUP(F1069,mapping!$L$2:$P$92,2,0)</f>
        <v>0.69928450487673943</v>
      </c>
      <c r="J1069" s="27">
        <f>VLOOKUP($F1069,mapping!$L$2:$P$92,3,0)</f>
        <v>3508.61</v>
      </c>
      <c r="K1069" s="27" t="str">
        <f>VLOOKUP($F1069,mapping!$L$2:$P$92,4,0)</f>
        <v>Developing Asia</v>
      </c>
      <c r="L1069" s="29">
        <f>$D1069*VLOOKUP($E1069,'Charts data'!$A$2:$B$11,2,0)*VLOOKUP($G1069,'Charts data'!$A$14:$B$18,2,0)/IF('Charts data'!$E$3=1,I1069,1)/IF('Charts data'!$E$4=1,J1069,1)</f>
        <v>8400</v>
      </c>
    </row>
    <row r="1070" spans="1:12" x14ac:dyDescent="0.25">
      <c r="A1070" s="27" t="s">
        <v>503</v>
      </c>
      <c r="B1070" s="27">
        <v>150000</v>
      </c>
      <c r="C1070" s="27" t="s">
        <v>2</v>
      </c>
      <c r="D1070" s="28">
        <f>B1070*VLOOKUP(C1070,tblXrate[],2,0)</f>
        <v>150000</v>
      </c>
      <c r="E1070" s="27" t="s">
        <v>19</v>
      </c>
      <c r="F1070" s="27" t="s">
        <v>57</v>
      </c>
      <c r="G1070" s="27" t="s">
        <v>2271</v>
      </c>
      <c r="H1070" s="27"/>
      <c r="I1070" s="27">
        <f>VLOOKUP(F1070,mapping!$L$2:$P$92,2,0)</f>
        <v>0.9554691883812878</v>
      </c>
      <c r="J1070" s="27">
        <f>VLOOKUP($F1070,mapping!$L$2:$P$92,3,0)</f>
        <v>31985.73</v>
      </c>
      <c r="K1070" s="27" t="str">
        <f>VLOOKUP($F1070,mapping!$L$2:$P$92,4,0)</f>
        <v>Other Advanced Economies</v>
      </c>
      <c r="L1070" s="29">
        <f>$D1070*VLOOKUP($E1070,'Charts data'!$A$2:$B$11,2,0)*VLOOKUP($G1070,'Charts data'!$A$14:$B$18,2,0)/IF('Charts data'!$E$3=1,I1070,1)/IF('Charts data'!$E$4=1,J1070,1)</f>
        <v>150000</v>
      </c>
    </row>
    <row r="1071" spans="1:12" x14ac:dyDescent="0.25">
      <c r="A1071" s="27" t="s">
        <v>679</v>
      </c>
      <c r="B1071" s="27">
        <v>57000</v>
      </c>
      <c r="C1071" s="27" t="s">
        <v>2</v>
      </c>
      <c r="D1071" s="28">
        <f>B1071*VLOOKUP(C1071,tblXrate[],2,0)</f>
        <v>57000</v>
      </c>
      <c r="E1071" s="27" t="s">
        <v>19</v>
      </c>
      <c r="F1071" s="27" t="s">
        <v>57</v>
      </c>
      <c r="G1071" s="27" t="s">
        <v>2271</v>
      </c>
      <c r="H1071" s="27"/>
      <c r="I1071" s="27">
        <f>VLOOKUP(F1071,mapping!$L$2:$P$92,2,0)</f>
        <v>0.9554691883812878</v>
      </c>
      <c r="J1071" s="27">
        <f>VLOOKUP($F1071,mapping!$L$2:$P$92,3,0)</f>
        <v>31985.73</v>
      </c>
      <c r="K1071" s="27" t="str">
        <f>VLOOKUP($F1071,mapping!$L$2:$P$92,4,0)</f>
        <v>Other Advanced Economies</v>
      </c>
      <c r="L1071" s="29">
        <f>$D1071*VLOOKUP($E1071,'Charts data'!$A$2:$B$11,2,0)*VLOOKUP($G1071,'Charts data'!$A$14:$B$18,2,0)/IF('Charts data'!$E$3=1,I1071,1)/IF('Charts data'!$E$4=1,J1071,1)</f>
        <v>57000</v>
      </c>
    </row>
    <row r="1072" spans="1:12" x14ac:dyDescent="0.25">
      <c r="A1072" s="27" t="s">
        <v>1193</v>
      </c>
      <c r="B1072" s="27">
        <v>55000</v>
      </c>
      <c r="C1072" s="27" t="s">
        <v>2</v>
      </c>
      <c r="D1072" s="28">
        <f>B1072*VLOOKUP(C1072,tblXrate[],2,0)</f>
        <v>55000</v>
      </c>
      <c r="E1072" s="27" t="s">
        <v>2145</v>
      </c>
      <c r="F1072" s="27" t="s">
        <v>57</v>
      </c>
      <c r="G1072" s="27" t="s">
        <v>2271</v>
      </c>
      <c r="H1072" s="27">
        <v>6</v>
      </c>
      <c r="I1072" s="27">
        <f>VLOOKUP(F1072,mapping!$L$2:$P$92,2,0)</f>
        <v>0.9554691883812878</v>
      </c>
      <c r="J1072" s="27">
        <f>VLOOKUP($F1072,mapping!$L$2:$P$92,3,0)</f>
        <v>31985.73</v>
      </c>
      <c r="K1072" s="27" t="str">
        <f>VLOOKUP($F1072,mapping!$L$2:$P$92,4,0)</f>
        <v>Other Advanced Economies</v>
      </c>
      <c r="L1072" s="29">
        <f>$D1072*VLOOKUP($E1072,'Charts data'!$A$2:$B$11,2,0)*VLOOKUP($G1072,'Charts data'!$A$14:$B$18,2,0)/IF('Charts data'!$E$3=1,I1072,1)/IF('Charts data'!$E$4=1,J1072,1)</f>
        <v>55000</v>
      </c>
    </row>
    <row r="1073" spans="1:12" x14ac:dyDescent="0.25">
      <c r="A1073" s="27" t="s">
        <v>1474</v>
      </c>
      <c r="B1073" s="27">
        <v>41000</v>
      </c>
      <c r="C1073" s="27" t="s">
        <v>2</v>
      </c>
      <c r="D1073" s="28">
        <f>B1073*VLOOKUP(C1073,tblXrate[],2,0)</f>
        <v>41000</v>
      </c>
      <c r="E1073" s="27" t="s">
        <v>19</v>
      </c>
      <c r="F1073" s="27" t="s">
        <v>57</v>
      </c>
      <c r="G1073" s="27" t="s">
        <v>2272</v>
      </c>
      <c r="H1073" s="27">
        <v>4</v>
      </c>
      <c r="I1073" s="27">
        <f>VLOOKUP(F1073,mapping!$L$2:$P$92,2,0)</f>
        <v>0.9554691883812878</v>
      </c>
      <c r="J1073" s="27">
        <f>VLOOKUP($F1073,mapping!$L$2:$P$92,3,0)</f>
        <v>31985.73</v>
      </c>
      <c r="K1073" s="27" t="str">
        <f>VLOOKUP($F1073,mapping!$L$2:$P$92,4,0)</f>
        <v>Other Advanced Economies</v>
      </c>
      <c r="L1073" s="29">
        <f>$D1073*VLOOKUP($E1073,'Charts data'!$A$2:$B$11,2,0)*VLOOKUP($G1073,'Charts data'!$A$14:$B$18,2,0)/IF('Charts data'!$E$3=1,I1073,1)/IF('Charts data'!$E$4=1,J1073,1)</f>
        <v>41000</v>
      </c>
    </row>
    <row r="1074" spans="1:12" x14ac:dyDescent="0.25">
      <c r="A1074" s="27" t="s">
        <v>1786</v>
      </c>
      <c r="B1074" s="27">
        <v>31200</v>
      </c>
      <c r="C1074" s="27" t="s">
        <v>2</v>
      </c>
      <c r="D1074" s="28">
        <f>B1074*VLOOKUP(C1074,tblXrate[],2,0)</f>
        <v>31200</v>
      </c>
      <c r="E1074" s="27" t="s">
        <v>2145</v>
      </c>
      <c r="F1074" s="27" t="s">
        <v>57</v>
      </c>
      <c r="G1074" s="27" t="s">
        <v>2273</v>
      </c>
      <c r="H1074" s="27">
        <v>11</v>
      </c>
      <c r="I1074" s="27">
        <f>VLOOKUP(F1074,mapping!$L$2:$P$92,2,0)</f>
        <v>0.9554691883812878</v>
      </c>
      <c r="J1074" s="27">
        <f>VLOOKUP($F1074,mapping!$L$2:$P$92,3,0)</f>
        <v>31985.73</v>
      </c>
      <c r="K1074" s="27" t="str">
        <f>VLOOKUP($F1074,mapping!$L$2:$P$92,4,0)</f>
        <v>Other Advanced Economies</v>
      </c>
      <c r="L1074" s="29">
        <f>$D1074*VLOOKUP($E1074,'Charts data'!$A$2:$B$11,2,0)*VLOOKUP($G1074,'Charts data'!$A$14:$B$18,2,0)/IF('Charts data'!$E$3=1,I1074,1)/IF('Charts data'!$E$4=1,J1074,1)</f>
        <v>31200</v>
      </c>
    </row>
    <row r="1075" spans="1:12" x14ac:dyDescent="0.25">
      <c r="A1075" s="27" t="s">
        <v>711</v>
      </c>
      <c r="B1075" s="27">
        <v>111000</v>
      </c>
      <c r="C1075" s="27" t="s">
        <v>2</v>
      </c>
      <c r="D1075" s="28">
        <f>B1075*VLOOKUP(C1075,tblXrate[],2,0)</f>
        <v>111000</v>
      </c>
      <c r="E1075" s="27" t="s">
        <v>7</v>
      </c>
      <c r="F1075" s="27" t="s">
        <v>81</v>
      </c>
      <c r="G1075" s="27" t="s">
        <v>2273</v>
      </c>
      <c r="H1075" s="27"/>
      <c r="I1075" s="27">
        <f>VLOOKUP(F1075,mapping!$L$2:$P$92,2,0)</f>
        <v>1.3369613569856142</v>
      </c>
      <c r="J1075" s="27">
        <f>VLOOKUP($F1075,mapping!$L$2:$P$92,3,0)</f>
        <v>45920.3</v>
      </c>
      <c r="K1075" s="27" t="str">
        <f>VLOOKUP($F1075,mapping!$L$2:$P$92,4,0)</f>
        <v>Major Advanced Economies (G7)</v>
      </c>
      <c r="L1075" s="29">
        <f>$D1075*VLOOKUP($E1075,'Charts data'!$A$2:$B$11,2,0)*VLOOKUP($G1075,'Charts data'!$A$14:$B$18,2,0)/IF('Charts data'!$E$3=1,I1075,1)/IF('Charts data'!$E$4=1,J1075,1)</f>
        <v>111000</v>
      </c>
    </row>
    <row r="1076" spans="1:12" x14ac:dyDescent="0.25">
      <c r="A1076" s="27" t="s">
        <v>1586</v>
      </c>
      <c r="B1076" s="27">
        <v>41000</v>
      </c>
      <c r="C1076" s="27" t="s">
        <v>2</v>
      </c>
      <c r="D1076" s="28">
        <f>B1076*VLOOKUP(C1076,tblXrate[],2,0)</f>
        <v>41000</v>
      </c>
      <c r="E1076" s="27" t="s">
        <v>7</v>
      </c>
      <c r="F1076" s="27" t="s">
        <v>81</v>
      </c>
      <c r="G1076" s="27" t="s">
        <v>2272</v>
      </c>
      <c r="H1076" s="27">
        <v>2</v>
      </c>
      <c r="I1076" s="27">
        <f>VLOOKUP(F1076,mapping!$L$2:$P$92,2,0)</f>
        <v>1.3369613569856142</v>
      </c>
      <c r="J1076" s="27">
        <f>VLOOKUP($F1076,mapping!$L$2:$P$92,3,0)</f>
        <v>45920.3</v>
      </c>
      <c r="K1076" s="27" t="str">
        <f>VLOOKUP($F1076,mapping!$L$2:$P$92,4,0)</f>
        <v>Major Advanced Economies (G7)</v>
      </c>
      <c r="L1076" s="29">
        <f>$D1076*VLOOKUP($E1076,'Charts data'!$A$2:$B$11,2,0)*VLOOKUP($G1076,'Charts data'!$A$14:$B$18,2,0)/IF('Charts data'!$E$3=1,I1076,1)/IF('Charts data'!$E$4=1,J1076,1)</f>
        <v>41000</v>
      </c>
    </row>
    <row r="1077" spans="1:12" x14ac:dyDescent="0.25">
      <c r="A1077" s="27" t="s">
        <v>1052</v>
      </c>
      <c r="B1077" s="27">
        <v>15600</v>
      </c>
      <c r="C1077" s="27" t="s">
        <v>2</v>
      </c>
      <c r="D1077" s="28">
        <f>B1077*VLOOKUP(C1077,tblXrate[],2,0)</f>
        <v>15600</v>
      </c>
      <c r="E1077" s="27" t="s">
        <v>62</v>
      </c>
      <c r="F1077" s="27" t="s">
        <v>123</v>
      </c>
      <c r="G1077" s="27" t="s">
        <v>2271</v>
      </c>
      <c r="H1077" s="27">
        <v>13</v>
      </c>
      <c r="I1077" s="27">
        <f>VLOOKUP(F1077,mapping!$L$2:$P$92,2,0)</f>
        <v>1.134574087329993</v>
      </c>
      <c r="J1077" s="27">
        <f>VLOOKUP($F1077,mapping!$L$2:$P$92,3,0)</f>
        <v>47982.43</v>
      </c>
      <c r="K1077" s="27" t="str">
        <f>VLOOKUP($F1077,mapping!$L$2:$P$92,4,0)</f>
        <v>Middle East and North Africa</v>
      </c>
      <c r="L1077" s="29">
        <f>$D1077*VLOOKUP($E1077,'Charts data'!$A$2:$B$11,2,0)*VLOOKUP($G1077,'Charts data'!$A$14:$B$18,2,0)/IF('Charts data'!$E$3=1,I1077,1)/IF('Charts data'!$E$4=1,J1077,1)</f>
        <v>15600</v>
      </c>
    </row>
    <row r="1078" spans="1:12" x14ac:dyDescent="0.25">
      <c r="A1078" s="27" t="s">
        <v>1179</v>
      </c>
      <c r="B1078" s="27">
        <v>42000</v>
      </c>
      <c r="C1078" s="27" t="s">
        <v>2</v>
      </c>
      <c r="D1078" s="28">
        <f>B1078*VLOOKUP(C1078,tblXrate[],2,0)</f>
        <v>42000</v>
      </c>
      <c r="E1078" s="27" t="s">
        <v>19</v>
      </c>
      <c r="F1078" s="27" t="s">
        <v>123</v>
      </c>
      <c r="G1078" s="27" t="s">
        <v>2273</v>
      </c>
      <c r="H1078" s="27">
        <v>5</v>
      </c>
      <c r="I1078" s="27">
        <f>VLOOKUP(F1078,mapping!$L$2:$P$92,2,0)</f>
        <v>1.134574087329993</v>
      </c>
      <c r="J1078" s="27">
        <f>VLOOKUP($F1078,mapping!$L$2:$P$92,3,0)</f>
        <v>47982.43</v>
      </c>
      <c r="K1078" s="27" t="str">
        <f>VLOOKUP($F1078,mapping!$L$2:$P$92,4,0)</f>
        <v>Middle East and North Africa</v>
      </c>
      <c r="L1078" s="29">
        <f>$D1078*VLOOKUP($E1078,'Charts data'!$A$2:$B$11,2,0)*VLOOKUP($G1078,'Charts data'!$A$14:$B$18,2,0)/IF('Charts data'!$E$3=1,I1078,1)/IF('Charts data'!$E$4=1,J1078,1)</f>
        <v>42000</v>
      </c>
    </row>
    <row r="1079" spans="1:12" x14ac:dyDescent="0.25">
      <c r="A1079" s="27" t="s">
        <v>1442</v>
      </c>
      <c r="B1079" s="27">
        <v>36000</v>
      </c>
      <c r="C1079" s="27" t="s">
        <v>2</v>
      </c>
      <c r="D1079" s="28">
        <f>B1079*VLOOKUP(C1079,tblXrate[],2,0)</f>
        <v>36000</v>
      </c>
      <c r="E1079" s="27" t="s">
        <v>7</v>
      </c>
      <c r="F1079" s="27" t="s">
        <v>123</v>
      </c>
      <c r="G1079" s="27" t="s">
        <v>2272</v>
      </c>
      <c r="H1079" s="27">
        <v>10</v>
      </c>
      <c r="I1079" s="27">
        <f>VLOOKUP(F1079,mapping!$L$2:$P$92,2,0)</f>
        <v>1.134574087329993</v>
      </c>
      <c r="J1079" s="27">
        <f>VLOOKUP($F1079,mapping!$L$2:$P$92,3,0)</f>
        <v>47982.43</v>
      </c>
      <c r="K1079" s="27" t="str">
        <f>VLOOKUP($F1079,mapping!$L$2:$P$92,4,0)</f>
        <v>Middle East and North Africa</v>
      </c>
      <c r="L1079" s="29">
        <f>$D1079*VLOOKUP($E1079,'Charts data'!$A$2:$B$11,2,0)*VLOOKUP($G1079,'Charts data'!$A$14:$B$18,2,0)/IF('Charts data'!$E$3=1,I1079,1)/IF('Charts data'!$E$4=1,J1079,1)</f>
        <v>36000</v>
      </c>
    </row>
    <row r="1080" spans="1:12" x14ac:dyDescent="0.25">
      <c r="A1080" s="27" t="s">
        <v>1620</v>
      </c>
      <c r="B1080" s="27">
        <v>50000</v>
      </c>
      <c r="C1080" s="27" t="s">
        <v>2</v>
      </c>
      <c r="D1080" s="28">
        <f>B1080*VLOOKUP(C1080,tblXrate[],2,0)</f>
        <v>50000</v>
      </c>
      <c r="E1080" s="27" t="s">
        <v>7</v>
      </c>
      <c r="F1080" s="27" t="s">
        <v>123</v>
      </c>
      <c r="G1080" s="27" t="s">
        <v>2271</v>
      </c>
      <c r="H1080" s="27">
        <v>13</v>
      </c>
      <c r="I1080" s="27">
        <f>VLOOKUP(F1080,mapping!$L$2:$P$92,2,0)</f>
        <v>1.134574087329993</v>
      </c>
      <c r="J1080" s="27">
        <f>VLOOKUP($F1080,mapping!$L$2:$P$92,3,0)</f>
        <v>47982.43</v>
      </c>
      <c r="K1080" s="27" t="str">
        <f>VLOOKUP($F1080,mapping!$L$2:$P$92,4,0)</f>
        <v>Middle East and North Africa</v>
      </c>
      <c r="L1080" s="29">
        <f>$D1080*VLOOKUP($E1080,'Charts data'!$A$2:$B$11,2,0)*VLOOKUP($G1080,'Charts data'!$A$14:$B$18,2,0)/IF('Charts data'!$E$3=1,I1080,1)/IF('Charts data'!$E$4=1,J1080,1)</f>
        <v>50000</v>
      </c>
    </row>
    <row r="1081" spans="1:12" x14ac:dyDescent="0.25">
      <c r="A1081" s="27" t="s">
        <v>1719</v>
      </c>
      <c r="B1081" s="27">
        <v>177600</v>
      </c>
      <c r="C1081" s="27" t="s">
        <v>2</v>
      </c>
      <c r="D1081" s="28">
        <f>B1081*VLOOKUP(C1081,tblXrate[],2,0)</f>
        <v>177600</v>
      </c>
      <c r="E1081" s="27" t="s">
        <v>51</v>
      </c>
      <c r="F1081" s="27" t="s">
        <v>159</v>
      </c>
      <c r="G1081" s="27" t="s">
        <v>2271</v>
      </c>
      <c r="H1081" s="27">
        <v>6</v>
      </c>
      <c r="I1081" s="27">
        <f>VLOOKUP(F1081,mapping!$L$2:$P$92,2,0)</f>
        <v>0.56556349363563152</v>
      </c>
      <c r="J1081" s="27">
        <f>VLOOKUP($F1081,mapping!$L$2:$P$92,3,0)</f>
        <v>1263.96</v>
      </c>
      <c r="K1081" s="27" t="str">
        <f>VLOOKUP($F1081,mapping!$L$2:$P$92,4,0)</f>
        <v>Sub-Saharan Africa</v>
      </c>
      <c r="L1081" s="29">
        <f>$D1081*VLOOKUP($E1081,'Charts data'!$A$2:$B$11,2,0)*VLOOKUP($G1081,'Charts data'!$A$14:$B$18,2,0)/IF('Charts data'!$E$3=1,I1081,1)/IF('Charts data'!$E$4=1,J1081,1)</f>
        <v>177600</v>
      </c>
    </row>
    <row r="1082" spans="1:12" x14ac:dyDescent="0.25">
      <c r="A1082" s="27" t="s">
        <v>1673</v>
      </c>
      <c r="B1082" s="27">
        <v>24864</v>
      </c>
      <c r="C1082" s="27" t="s">
        <v>2</v>
      </c>
      <c r="D1082" s="28">
        <f>B1082*VLOOKUP(C1082,tblXrate[],2,0)</f>
        <v>24864</v>
      </c>
      <c r="E1082" s="27" t="s">
        <v>19</v>
      </c>
      <c r="F1082" s="27" t="s">
        <v>154</v>
      </c>
      <c r="G1082" s="27" t="s">
        <v>2273</v>
      </c>
      <c r="H1082" s="27">
        <v>8</v>
      </c>
      <c r="I1082" s="27">
        <f>VLOOKUP(F1082,mapping!$L$2:$P$92,2,0)</f>
        <v>0.62305940799006421</v>
      </c>
      <c r="J1082" s="27">
        <f>VLOOKUP($F1082,mapping!$L$2:$P$92,3,0)</f>
        <v>5691.33</v>
      </c>
      <c r="K1082" s="27" t="str">
        <f>VLOOKUP($F1082,mapping!$L$2:$P$92,4,0)</f>
        <v>Middle East and North Africa</v>
      </c>
      <c r="L1082" s="29">
        <f>$D1082*VLOOKUP($E1082,'Charts data'!$A$2:$B$11,2,0)*VLOOKUP($G1082,'Charts data'!$A$14:$B$18,2,0)/IF('Charts data'!$E$3=1,I1082,1)/IF('Charts data'!$E$4=1,J1082,1)</f>
        <v>24864</v>
      </c>
    </row>
    <row r="1083" spans="1:12" x14ac:dyDescent="0.25">
      <c r="A1083" s="27" t="s">
        <v>868</v>
      </c>
      <c r="B1083" s="27">
        <v>15000</v>
      </c>
      <c r="C1083" s="27" t="s">
        <v>2</v>
      </c>
      <c r="D1083" s="28">
        <f>B1083*VLOOKUP(C1083,tblXrate[],2,0)</f>
        <v>15000</v>
      </c>
      <c r="E1083" s="27" t="s">
        <v>51</v>
      </c>
      <c r="F1083" s="27" t="s">
        <v>92</v>
      </c>
      <c r="G1083" s="27" t="s">
        <v>2271</v>
      </c>
      <c r="H1083" s="27">
        <v>2</v>
      </c>
      <c r="I1083" s="27">
        <f>VLOOKUP(F1083,mapping!$L$2:$P$92,2,0)</f>
        <v>0.63321412277216071</v>
      </c>
      <c r="J1083" s="27">
        <f>VLOOKUP($F1083,mapping!$L$2:$P$92,3,0)</f>
        <v>13075.41</v>
      </c>
      <c r="K1083" s="27" t="str">
        <f>VLOOKUP($F1083,mapping!$L$2:$P$92,4,0)</f>
        <v>Central and Eastern Europe</v>
      </c>
      <c r="L1083" s="29">
        <f>$D1083*VLOOKUP($E1083,'Charts data'!$A$2:$B$11,2,0)*VLOOKUP($G1083,'Charts data'!$A$14:$B$18,2,0)/IF('Charts data'!$E$3=1,I1083,1)/IF('Charts data'!$E$4=1,J1083,1)</f>
        <v>15000</v>
      </c>
    </row>
    <row r="1084" spans="1:12" x14ac:dyDescent="0.25">
      <c r="A1084" s="27" t="s">
        <v>1132</v>
      </c>
      <c r="B1084" s="27">
        <v>36000</v>
      </c>
      <c r="C1084" s="27" t="s">
        <v>2</v>
      </c>
      <c r="D1084" s="28">
        <f>B1084*VLOOKUP(C1084,tblXrate[],2,0)</f>
        <v>36000</v>
      </c>
      <c r="E1084" s="27" t="s">
        <v>19</v>
      </c>
      <c r="F1084" s="27" t="s">
        <v>116</v>
      </c>
      <c r="G1084" s="27" t="s">
        <v>2274</v>
      </c>
      <c r="H1084" s="27">
        <v>3</v>
      </c>
      <c r="I1084" s="27">
        <f>VLOOKUP(F1084,mapping!$L$2:$P$92,2,0)</f>
        <v>0.6038218820488126</v>
      </c>
      <c r="J1084" s="27">
        <f>VLOOKUP($F1084,mapping!$L$2:$P$92,3,0)</f>
        <v>9699.7000000000007</v>
      </c>
      <c r="K1084" s="27" t="str">
        <f>VLOOKUP($F1084,mapping!$L$2:$P$92,4,0)</f>
        <v>Developing Asia</v>
      </c>
      <c r="L1084" s="29">
        <f>$D1084*VLOOKUP($E1084,'Charts data'!$A$2:$B$11,2,0)*VLOOKUP($G1084,'Charts data'!$A$14:$B$18,2,0)/IF('Charts data'!$E$3=1,I1084,1)/IF('Charts data'!$E$4=1,J1084,1)</f>
        <v>36000</v>
      </c>
    </row>
    <row r="1085" spans="1:12" x14ac:dyDescent="0.25">
      <c r="A1085" s="27" t="s">
        <v>1411</v>
      </c>
      <c r="B1085" s="27">
        <v>35000</v>
      </c>
      <c r="C1085" s="27" t="s">
        <v>2</v>
      </c>
      <c r="D1085" s="28">
        <f>B1085*VLOOKUP(C1085,tblXrate[],2,0)</f>
        <v>35000</v>
      </c>
      <c r="E1085" s="27" t="s">
        <v>2147</v>
      </c>
      <c r="F1085" s="27" t="s">
        <v>116</v>
      </c>
      <c r="G1085" s="27" t="s">
        <v>2273</v>
      </c>
      <c r="H1085" s="27">
        <v>12</v>
      </c>
      <c r="I1085" s="27">
        <f>VLOOKUP(F1085,mapping!$L$2:$P$92,2,0)</f>
        <v>0.6038218820488126</v>
      </c>
      <c r="J1085" s="27">
        <f>VLOOKUP($F1085,mapping!$L$2:$P$92,3,0)</f>
        <v>9699.7000000000007</v>
      </c>
      <c r="K1085" s="27" t="str">
        <f>VLOOKUP($F1085,mapping!$L$2:$P$92,4,0)</f>
        <v>Developing Asia</v>
      </c>
      <c r="L1085" s="29">
        <f>$D1085*VLOOKUP($E1085,'Charts data'!$A$2:$B$11,2,0)*VLOOKUP($G1085,'Charts data'!$A$14:$B$18,2,0)/IF('Charts data'!$E$3=1,I1085,1)/IF('Charts data'!$E$4=1,J1085,1)</f>
        <v>35000</v>
      </c>
    </row>
    <row r="1086" spans="1:12" x14ac:dyDescent="0.25">
      <c r="A1086" s="27" t="s">
        <v>1660</v>
      </c>
      <c r="B1086" s="27">
        <v>12000</v>
      </c>
      <c r="C1086" s="27" t="s">
        <v>2</v>
      </c>
      <c r="D1086" s="28">
        <f>B1086*VLOOKUP(C1086,tblXrate[],2,0)</f>
        <v>12000</v>
      </c>
      <c r="E1086" s="27" t="s">
        <v>7</v>
      </c>
      <c r="F1086" s="27" t="s">
        <v>119</v>
      </c>
      <c r="G1086" s="27" t="s">
        <v>2272</v>
      </c>
      <c r="H1086" s="27">
        <v>0</v>
      </c>
      <c r="I1086" s="27">
        <f>VLOOKUP(F1086,mapping!$L$2:$P$92,2,0)</f>
        <v>0.6038218820488126</v>
      </c>
      <c r="J1086" s="27">
        <f>VLOOKUP($F1086,mapping!$L$2:$P$92,3,0)</f>
        <v>9699.7000000000007</v>
      </c>
      <c r="K1086" s="27" t="str">
        <f>VLOOKUP($F1086,mapping!$L$2:$P$92,4,0)</f>
        <v>Developing Asia</v>
      </c>
      <c r="L1086" s="29">
        <f>$D1086*VLOOKUP($E1086,'Charts data'!$A$2:$B$11,2,0)*VLOOKUP($G1086,'Charts data'!$A$14:$B$18,2,0)/IF('Charts data'!$E$3=1,I1086,1)/IF('Charts data'!$E$4=1,J1086,1)</f>
        <v>12000</v>
      </c>
    </row>
    <row r="1087" spans="1:12" x14ac:dyDescent="0.25">
      <c r="A1087" s="27" t="s">
        <v>1897</v>
      </c>
      <c r="B1087" s="27">
        <v>30000</v>
      </c>
      <c r="C1087" s="27" t="s">
        <v>2</v>
      </c>
      <c r="D1087" s="28">
        <f>B1087*VLOOKUP(C1087,tblXrate[],2,0)</f>
        <v>30000</v>
      </c>
      <c r="E1087" s="27" t="s">
        <v>7</v>
      </c>
      <c r="F1087" s="27" t="s">
        <v>116</v>
      </c>
      <c r="G1087" s="27" t="s">
        <v>2274</v>
      </c>
      <c r="H1087" s="27">
        <v>12</v>
      </c>
      <c r="I1087" s="27">
        <f>VLOOKUP(F1087,mapping!$L$2:$P$92,2,0)</f>
        <v>0.6038218820488126</v>
      </c>
      <c r="J1087" s="27">
        <f>VLOOKUP($F1087,mapping!$L$2:$P$92,3,0)</f>
        <v>9699.7000000000007</v>
      </c>
      <c r="K1087" s="27" t="str">
        <f>VLOOKUP($F1087,mapping!$L$2:$P$92,4,0)</f>
        <v>Developing Asia</v>
      </c>
      <c r="L1087" s="29">
        <f>$D1087*VLOOKUP($E1087,'Charts data'!$A$2:$B$11,2,0)*VLOOKUP($G1087,'Charts data'!$A$14:$B$18,2,0)/IF('Charts data'!$E$3=1,I1087,1)/IF('Charts data'!$E$4=1,J1087,1)</f>
        <v>30000</v>
      </c>
    </row>
    <row r="1088" spans="1:12" x14ac:dyDescent="0.25">
      <c r="A1088" s="27" t="s">
        <v>276</v>
      </c>
      <c r="B1088" s="27">
        <v>19200</v>
      </c>
      <c r="C1088" s="27" t="s">
        <v>2</v>
      </c>
      <c r="D1088" s="28">
        <f>B1088*VLOOKUP(C1088,tblXrate[],2,0)</f>
        <v>19200</v>
      </c>
      <c r="E1088" s="27" t="s">
        <v>7</v>
      </c>
      <c r="F1088" s="27" t="s">
        <v>42</v>
      </c>
      <c r="G1088" s="27" t="s">
        <v>2271</v>
      </c>
      <c r="H1088" s="27"/>
      <c r="I1088" s="27">
        <f>VLOOKUP(F1088,mapping!$L$2:$P$92,2,0)</f>
        <v>0.63068393487169372</v>
      </c>
      <c r="J1088" s="27">
        <f>VLOOKUP($F1088,mapping!$L$2:$P$92,3,0)</f>
        <v>10153.299999999999</v>
      </c>
      <c r="K1088" s="27" t="str">
        <f>VLOOKUP($F1088,mapping!$L$2:$P$92,4,0)</f>
        <v>Latin America and the Caribbean</v>
      </c>
      <c r="L1088" s="29">
        <f>$D1088*VLOOKUP($E1088,'Charts data'!$A$2:$B$11,2,0)*VLOOKUP($G1088,'Charts data'!$A$14:$B$18,2,0)/IF('Charts data'!$E$3=1,I1088,1)/IF('Charts data'!$E$4=1,J1088,1)</f>
        <v>19200</v>
      </c>
    </row>
    <row r="1089" spans="1:12" x14ac:dyDescent="0.25">
      <c r="A1089" s="27" t="s">
        <v>320</v>
      </c>
      <c r="B1089" s="27">
        <v>50000</v>
      </c>
      <c r="C1089" s="27" t="s">
        <v>2</v>
      </c>
      <c r="D1089" s="28">
        <f>B1089*VLOOKUP(C1089,tblXrate[],2,0)</f>
        <v>50000</v>
      </c>
      <c r="E1089" s="27" t="s">
        <v>7</v>
      </c>
      <c r="F1089" s="27" t="s">
        <v>42</v>
      </c>
      <c r="G1089" s="27" t="s">
        <v>2273</v>
      </c>
      <c r="H1089" s="27"/>
      <c r="I1089" s="27">
        <f>VLOOKUP(F1089,mapping!$L$2:$P$92,2,0)</f>
        <v>0.63068393487169372</v>
      </c>
      <c r="J1089" s="27">
        <f>VLOOKUP($F1089,mapping!$L$2:$P$92,3,0)</f>
        <v>10153.299999999999</v>
      </c>
      <c r="K1089" s="27" t="str">
        <f>VLOOKUP($F1089,mapping!$L$2:$P$92,4,0)</f>
        <v>Latin America and the Caribbean</v>
      </c>
      <c r="L1089" s="29">
        <f>$D1089*VLOOKUP($E1089,'Charts data'!$A$2:$B$11,2,0)*VLOOKUP($G1089,'Charts data'!$A$14:$B$18,2,0)/IF('Charts data'!$E$3=1,I1089,1)/IF('Charts data'!$E$4=1,J1089,1)</f>
        <v>50000</v>
      </c>
    </row>
    <row r="1090" spans="1:12" x14ac:dyDescent="0.25">
      <c r="A1090" s="27" t="s">
        <v>325</v>
      </c>
      <c r="B1090" s="27">
        <v>15500</v>
      </c>
      <c r="C1090" s="27" t="s">
        <v>2</v>
      </c>
      <c r="D1090" s="28">
        <f>B1090*VLOOKUP(C1090,tblXrate[],2,0)</f>
        <v>15500</v>
      </c>
      <c r="E1090" s="27" t="s">
        <v>51</v>
      </c>
      <c r="F1090" s="27" t="s">
        <v>42</v>
      </c>
      <c r="G1090" s="27" t="s">
        <v>2273</v>
      </c>
      <c r="H1090" s="27"/>
      <c r="I1090" s="27">
        <f>VLOOKUP(F1090,mapping!$L$2:$P$92,2,0)</f>
        <v>0.63068393487169372</v>
      </c>
      <c r="J1090" s="27">
        <f>VLOOKUP($F1090,mapping!$L$2:$P$92,3,0)</f>
        <v>10153.299999999999</v>
      </c>
      <c r="K1090" s="27" t="str">
        <f>VLOOKUP($F1090,mapping!$L$2:$P$92,4,0)</f>
        <v>Latin America and the Caribbean</v>
      </c>
      <c r="L1090" s="29">
        <f>$D1090*VLOOKUP($E1090,'Charts data'!$A$2:$B$11,2,0)*VLOOKUP($G1090,'Charts data'!$A$14:$B$18,2,0)/IF('Charts data'!$E$3=1,I1090,1)/IF('Charts data'!$E$4=1,J1090,1)</f>
        <v>15500</v>
      </c>
    </row>
    <row r="1091" spans="1:12" x14ac:dyDescent="0.25">
      <c r="A1091" s="27" t="s">
        <v>496</v>
      </c>
      <c r="B1091" s="27">
        <v>22000</v>
      </c>
      <c r="C1091" s="27" t="s">
        <v>2</v>
      </c>
      <c r="D1091" s="28">
        <f>B1091*VLOOKUP(C1091,tblXrate[],2,0)</f>
        <v>22000</v>
      </c>
      <c r="E1091" s="27" t="s">
        <v>19</v>
      </c>
      <c r="F1091" s="27" t="s">
        <v>42</v>
      </c>
      <c r="G1091" s="27" t="s">
        <v>2271</v>
      </c>
      <c r="H1091" s="27"/>
      <c r="I1091" s="27">
        <f>VLOOKUP(F1091,mapping!$L$2:$P$92,2,0)</f>
        <v>0.63068393487169372</v>
      </c>
      <c r="J1091" s="27">
        <f>VLOOKUP($F1091,mapping!$L$2:$P$92,3,0)</f>
        <v>10153.299999999999</v>
      </c>
      <c r="K1091" s="27" t="str">
        <f>VLOOKUP($F1091,mapping!$L$2:$P$92,4,0)</f>
        <v>Latin America and the Caribbean</v>
      </c>
      <c r="L1091" s="29">
        <f>$D1091*VLOOKUP($E1091,'Charts data'!$A$2:$B$11,2,0)*VLOOKUP($G1091,'Charts data'!$A$14:$B$18,2,0)/IF('Charts data'!$E$3=1,I1091,1)/IF('Charts data'!$E$4=1,J1091,1)</f>
        <v>22000</v>
      </c>
    </row>
    <row r="1092" spans="1:12" x14ac:dyDescent="0.25">
      <c r="A1092" s="27" t="s">
        <v>1043</v>
      </c>
      <c r="B1092" s="27">
        <v>100000</v>
      </c>
      <c r="C1092" s="27" t="s">
        <v>2</v>
      </c>
      <c r="D1092" s="28">
        <f>B1092*VLOOKUP(C1092,tblXrate[],2,0)</f>
        <v>100000</v>
      </c>
      <c r="E1092" s="27" t="s">
        <v>2147</v>
      </c>
      <c r="F1092" s="27" t="s">
        <v>42</v>
      </c>
      <c r="G1092" s="27" t="s">
        <v>2273</v>
      </c>
      <c r="H1092" s="27">
        <v>10</v>
      </c>
      <c r="I1092" s="27">
        <f>VLOOKUP(F1092,mapping!$L$2:$P$92,2,0)</f>
        <v>0.63068393487169372</v>
      </c>
      <c r="J1092" s="27">
        <f>VLOOKUP($F1092,mapping!$L$2:$P$92,3,0)</f>
        <v>10153.299999999999</v>
      </c>
      <c r="K1092" s="27" t="str">
        <f>VLOOKUP($F1092,mapping!$L$2:$P$92,4,0)</f>
        <v>Latin America and the Caribbean</v>
      </c>
      <c r="L1092" s="29">
        <f>$D1092*VLOOKUP($E1092,'Charts data'!$A$2:$B$11,2,0)*VLOOKUP($G1092,'Charts data'!$A$14:$B$18,2,0)/IF('Charts data'!$E$3=1,I1092,1)/IF('Charts data'!$E$4=1,J1092,1)</f>
        <v>100000</v>
      </c>
    </row>
    <row r="1093" spans="1:12" x14ac:dyDescent="0.25">
      <c r="A1093" s="27" t="s">
        <v>1300</v>
      </c>
      <c r="B1093" s="27">
        <v>30000</v>
      </c>
      <c r="C1093" s="27" t="s">
        <v>2</v>
      </c>
      <c r="D1093" s="28">
        <f>B1093*VLOOKUP(C1093,tblXrate[],2,0)</f>
        <v>30000</v>
      </c>
      <c r="E1093" s="27" t="s">
        <v>19</v>
      </c>
      <c r="F1093" s="27" t="s">
        <v>42</v>
      </c>
      <c r="G1093" s="27" t="s">
        <v>2273</v>
      </c>
      <c r="H1093" s="27">
        <v>17</v>
      </c>
      <c r="I1093" s="27">
        <f>VLOOKUP(F1093,mapping!$L$2:$P$92,2,0)</f>
        <v>0.63068393487169372</v>
      </c>
      <c r="J1093" s="27">
        <f>VLOOKUP($F1093,mapping!$L$2:$P$92,3,0)</f>
        <v>10153.299999999999</v>
      </c>
      <c r="K1093" s="27" t="str">
        <f>VLOOKUP($F1093,mapping!$L$2:$P$92,4,0)</f>
        <v>Latin America and the Caribbean</v>
      </c>
      <c r="L1093" s="29">
        <f>$D1093*VLOOKUP($E1093,'Charts data'!$A$2:$B$11,2,0)*VLOOKUP($G1093,'Charts data'!$A$14:$B$18,2,0)/IF('Charts data'!$E$3=1,I1093,1)/IF('Charts data'!$E$4=1,J1093,1)</f>
        <v>30000</v>
      </c>
    </row>
    <row r="1094" spans="1:12" x14ac:dyDescent="0.25">
      <c r="A1094" s="27" t="s">
        <v>1699</v>
      </c>
      <c r="B1094" s="27">
        <v>11000</v>
      </c>
      <c r="C1094" s="27" t="s">
        <v>2</v>
      </c>
      <c r="D1094" s="28">
        <f>B1094*VLOOKUP(C1094,tblXrate[],2,0)</f>
        <v>11000</v>
      </c>
      <c r="E1094" s="27" t="s">
        <v>19</v>
      </c>
      <c r="F1094" s="27" t="s">
        <v>42</v>
      </c>
      <c r="G1094" s="27" t="s">
        <v>2271</v>
      </c>
      <c r="H1094" s="27">
        <v>2</v>
      </c>
      <c r="I1094" s="27">
        <f>VLOOKUP(F1094,mapping!$L$2:$P$92,2,0)</f>
        <v>0.63068393487169372</v>
      </c>
      <c r="J1094" s="27">
        <f>VLOOKUP($F1094,mapping!$L$2:$P$92,3,0)</f>
        <v>10153.299999999999</v>
      </c>
      <c r="K1094" s="27" t="str">
        <f>VLOOKUP($F1094,mapping!$L$2:$P$92,4,0)</f>
        <v>Latin America and the Caribbean</v>
      </c>
      <c r="L1094" s="29">
        <f>$D1094*VLOOKUP($E1094,'Charts data'!$A$2:$B$11,2,0)*VLOOKUP($G1094,'Charts data'!$A$14:$B$18,2,0)/IF('Charts data'!$E$3=1,I1094,1)/IF('Charts data'!$E$4=1,J1094,1)</f>
        <v>11000</v>
      </c>
    </row>
    <row r="1095" spans="1:12" x14ac:dyDescent="0.25">
      <c r="A1095" s="27" t="s">
        <v>1702</v>
      </c>
      <c r="B1095" s="27">
        <v>17728</v>
      </c>
      <c r="C1095" s="27" t="s">
        <v>2</v>
      </c>
      <c r="D1095" s="28">
        <f>B1095*VLOOKUP(C1095,tblXrate[],2,0)</f>
        <v>17728</v>
      </c>
      <c r="E1095" s="27" t="s">
        <v>7</v>
      </c>
      <c r="F1095" s="27" t="s">
        <v>42</v>
      </c>
      <c r="G1095" s="27" t="s">
        <v>2271</v>
      </c>
      <c r="H1095" s="27">
        <v>3</v>
      </c>
      <c r="I1095" s="27">
        <f>VLOOKUP(F1095,mapping!$L$2:$P$92,2,0)</f>
        <v>0.63068393487169372</v>
      </c>
      <c r="J1095" s="27">
        <f>VLOOKUP($F1095,mapping!$L$2:$P$92,3,0)</f>
        <v>10153.299999999999</v>
      </c>
      <c r="K1095" s="27" t="str">
        <f>VLOOKUP($F1095,mapping!$L$2:$P$92,4,0)</f>
        <v>Latin America and the Caribbean</v>
      </c>
      <c r="L1095" s="29">
        <f>$D1095*VLOOKUP($E1095,'Charts data'!$A$2:$B$11,2,0)*VLOOKUP($G1095,'Charts data'!$A$14:$B$18,2,0)/IF('Charts data'!$E$3=1,I1095,1)/IF('Charts data'!$E$4=1,J1095,1)</f>
        <v>17728</v>
      </c>
    </row>
    <row r="1096" spans="1:12" x14ac:dyDescent="0.25">
      <c r="A1096" s="27" t="s">
        <v>1823</v>
      </c>
      <c r="B1096" s="27">
        <v>45000</v>
      </c>
      <c r="C1096" s="27" t="s">
        <v>2</v>
      </c>
      <c r="D1096" s="28">
        <f>B1096*VLOOKUP(C1096,tblXrate[],2,0)</f>
        <v>45000</v>
      </c>
      <c r="E1096" s="27" t="s">
        <v>2147</v>
      </c>
      <c r="F1096" s="27" t="s">
        <v>42</v>
      </c>
      <c r="G1096" s="27" t="s">
        <v>2271</v>
      </c>
      <c r="H1096" s="27">
        <v>5</v>
      </c>
      <c r="I1096" s="27">
        <f>VLOOKUP(F1096,mapping!$L$2:$P$92,2,0)</f>
        <v>0.63068393487169372</v>
      </c>
      <c r="J1096" s="27">
        <f>VLOOKUP($F1096,mapping!$L$2:$P$92,3,0)</f>
        <v>10153.299999999999</v>
      </c>
      <c r="K1096" s="27" t="str">
        <f>VLOOKUP($F1096,mapping!$L$2:$P$92,4,0)</f>
        <v>Latin America and the Caribbean</v>
      </c>
      <c r="L1096" s="29">
        <f>$D1096*VLOOKUP($E1096,'Charts data'!$A$2:$B$11,2,0)*VLOOKUP($G1096,'Charts data'!$A$14:$B$18,2,0)/IF('Charts data'!$E$3=1,I1096,1)/IF('Charts data'!$E$4=1,J1096,1)</f>
        <v>45000</v>
      </c>
    </row>
    <row r="1097" spans="1:12" x14ac:dyDescent="0.25">
      <c r="A1097" s="27" t="s">
        <v>1293</v>
      </c>
      <c r="B1097" s="27">
        <v>13500</v>
      </c>
      <c r="C1097" s="27" t="s">
        <v>2</v>
      </c>
      <c r="D1097" s="28">
        <f>B1097*VLOOKUP(C1097,tblXrate[],2,0)</f>
        <v>13500</v>
      </c>
      <c r="E1097" s="27" t="s">
        <v>19</v>
      </c>
      <c r="F1097" s="27" t="s">
        <v>125</v>
      </c>
      <c r="G1097" s="27" t="s">
        <v>2271</v>
      </c>
      <c r="H1097" s="27">
        <v>13</v>
      </c>
      <c r="I1097" s="27">
        <f>VLOOKUP(F1097,mapping!$L$2:$P$92,2,0)</f>
        <v>0.57803174474118157</v>
      </c>
      <c r="J1097" s="27">
        <f>VLOOKUP($F1097,mapping!$L$2:$P$92,3,0)</f>
        <v>7316.68</v>
      </c>
      <c r="K1097" s="27" t="str">
        <f>VLOOKUP($F1097,mapping!$L$2:$P$92,4,0)</f>
        <v>Central and Eastern Europe</v>
      </c>
      <c r="L1097" s="29">
        <f>$D1097*VLOOKUP($E1097,'Charts data'!$A$2:$B$11,2,0)*VLOOKUP($G1097,'Charts data'!$A$14:$B$18,2,0)/IF('Charts data'!$E$3=1,I1097,1)/IF('Charts data'!$E$4=1,J1097,1)</f>
        <v>13500</v>
      </c>
    </row>
    <row r="1098" spans="1:12" x14ac:dyDescent="0.25">
      <c r="A1098" s="27" t="s">
        <v>641</v>
      </c>
      <c r="B1098" s="27">
        <v>24000</v>
      </c>
      <c r="C1098" s="27" t="s">
        <v>2</v>
      </c>
      <c r="D1098" s="28">
        <f>B1098*VLOOKUP(C1098,tblXrate[],2,0)</f>
        <v>24000</v>
      </c>
      <c r="E1098" s="27" t="s">
        <v>48</v>
      </c>
      <c r="F1098" s="27" t="s">
        <v>2252</v>
      </c>
      <c r="G1098" s="27" t="s">
        <v>2272</v>
      </c>
      <c r="H1098" s="27"/>
      <c r="I1098" s="27">
        <f>VLOOKUP(F1098,mapping!$L$2:$P$92,2,0)</f>
        <v>0.56335740072202167</v>
      </c>
      <c r="J1098" s="27">
        <f>VLOOKUP($F1098,mapping!$L$2:$P$92,3,0)</f>
        <v>582.61099999999999</v>
      </c>
      <c r="K1098" s="27" t="str">
        <f>VLOOKUP($F1098,mapping!$L$2:$P$92,4,0)</f>
        <v>Sub-Saharan Africa</v>
      </c>
      <c r="L1098" s="29">
        <f>$D1098*VLOOKUP($E1098,'Charts data'!$A$2:$B$11,2,0)*VLOOKUP($G1098,'Charts data'!$A$14:$B$18,2,0)/IF('Charts data'!$E$3=1,I1098,1)/IF('Charts data'!$E$4=1,J1098,1)</f>
        <v>24000</v>
      </c>
    </row>
    <row r="1099" spans="1:12" x14ac:dyDescent="0.25">
      <c r="A1099" s="27" t="s">
        <v>1425</v>
      </c>
      <c r="B1099" s="27">
        <v>15000</v>
      </c>
      <c r="C1099" s="27" t="s">
        <v>2</v>
      </c>
      <c r="D1099" s="28">
        <f>B1099*VLOOKUP(C1099,tblXrate[],2,0)</f>
        <v>15000</v>
      </c>
      <c r="E1099" s="27" t="s">
        <v>19</v>
      </c>
      <c r="F1099" s="27" t="s">
        <v>139</v>
      </c>
      <c r="G1099" s="27" t="s">
        <v>2271</v>
      </c>
      <c r="H1099" s="27">
        <v>10</v>
      </c>
      <c r="I1099" s="27">
        <f>VLOOKUP(F1099,mapping!$L$2:$P$92,2,0)</f>
        <v>0.55529757785467126</v>
      </c>
      <c r="J1099" s="27">
        <f>VLOOKUP($F1099,mapping!$L$2:$P$92,3,0)</f>
        <v>831.91</v>
      </c>
      <c r="K1099" s="27" t="str">
        <f>VLOOKUP($F1099,mapping!$L$2:$P$92,4,0)</f>
        <v>Developing Asia</v>
      </c>
      <c r="L1099" s="29">
        <f>$D1099*VLOOKUP($E1099,'Charts data'!$A$2:$B$11,2,0)*VLOOKUP($G1099,'Charts data'!$A$14:$B$18,2,0)/IF('Charts data'!$E$3=1,I1099,1)/IF('Charts data'!$E$4=1,J1099,1)</f>
        <v>15000</v>
      </c>
    </row>
    <row r="1100" spans="1:12" x14ac:dyDescent="0.25">
      <c r="A1100" s="27" t="s">
        <v>1599</v>
      </c>
      <c r="B1100" s="27">
        <v>20400</v>
      </c>
      <c r="C1100" s="27" t="s">
        <v>2</v>
      </c>
      <c r="D1100" s="28">
        <f>B1100*VLOOKUP(C1100,tblXrate[],2,0)</f>
        <v>20400</v>
      </c>
      <c r="E1100" s="27" t="s">
        <v>19</v>
      </c>
      <c r="F1100" s="27" t="s">
        <v>139</v>
      </c>
      <c r="G1100" s="27" t="s">
        <v>2274</v>
      </c>
      <c r="H1100" s="27">
        <v>10</v>
      </c>
      <c r="I1100" s="27">
        <f>VLOOKUP(F1100,mapping!$L$2:$P$92,2,0)</f>
        <v>0.55529757785467126</v>
      </c>
      <c r="J1100" s="27">
        <f>VLOOKUP($F1100,mapping!$L$2:$P$92,3,0)</f>
        <v>831.91</v>
      </c>
      <c r="K1100" s="27" t="str">
        <f>VLOOKUP($F1100,mapping!$L$2:$P$92,4,0)</f>
        <v>Developing Asia</v>
      </c>
      <c r="L1100" s="29">
        <f>$D1100*VLOOKUP($E1100,'Charts data'!$A$2:$B$11,2,0)*VLOOKUP($G1100,'Charts data'!$A$14:$B$18,2,0)/IF('Charts data'!$E$3=1,I1100,1)/IF('Charts data'!$E$4=1,J1100,1)</f>
        <v>20400</v>
      </c>
    </row>
    <row r="1101" spans="1:12" x14ac:dyDescent="0.25">
      <c r="A1101" s="27" t="s">
        <v>696</v>
      </c>
      <c r="B1101" s="27">
        <v>120000</v>
      </c>
      <c r="C1101" s="27" t="s">
        <v>2</v>
      </c>
      <c r="D1101" s="28">
        <f>B1101*VLOOKUP(C1101,tblXrate[],2,0)</f>
        <v>120000</v>
      </c>
      <c r="E1101" s="27" t="s">
        <v>19</v>
      </c>
      <c r="F1101" s="27" t="s">
        <v>84</v>
      </c>
      <c r="G1101" s="27" t="s">
        <v>2272</v>
      </c>
      <c r="H1101" s="27"/>
      <c r="I1101" s="27">
        <f>VLOOKUP(F1101,mapping!$L$2:$P$92,2,0)</f>
        <v>1.3351624686946675</v>
      </c>
      <c r="J1101" s="27">
        <f>VLOOKUP($F1101,mapping!$L$2:$P$92,3,0)</f>
        <v>36648.199999999997</v>
      </c>
      <c r="K1101" s="27" t="str">
        <f>VLOOKUP($F1101,mapping!$L$2:$P$92,4,0)</f>
        <v>Other Advanced Economies</v>
      </c>
      <c r="L1101" s="29">
        <f>$D1101*VLOOKUP($E1101,'Charts data'!$A$2:$B$11,2,0)*VLOOKUP($G1101,'Charts data'!$A$14:$B$18,2,0)/IF('Charts data'!$E$3=1,I1101,1)/IF('Charts data'!$E$4=1,J1101,1)</f>
        <v>120000</v>
      </c>
    </row>
    <row r="1102" spans="1:12" x14ac:dyDescent="0.25">
      <c r="A1102" s="27" t="s">
        <v>1106</v>
      </c>
      <c r="B1102" s="27">
        <v>40000</v>
      </c>
      <c r="C1102" s="27" t="s">
        <v>2</v>
      </c>
      <c r="D1102" s="28">
        <f>B1102*VLOOKUP(C1102,tblXrate[],2,0)</f>
        <v>40000</v>
      </c>
      <c r="E1102" s="27" t="s">
        <v>7</v>
      </c>
      <c r="F1102" s="27" t="s">
        <v>84</v>
      </c>
      <c r="G1102" s="27" t="s">
        <v>2271</v>
      </c>
      <c r="H1102" s="27">
        <v>5</v>
      </c>
      <c r="I1102" s="27">
        <f>VLOOKUP(F1102,mapping!$L$2:$P$92,2,0)</f>
        <v>1.3351624686946675</v>
      </c>
      <c r="J1102" s="27">
        <f>VLOOKUP($F1102,mapping!$L$2:$P$92,3,0)</f>
        <v>36648.199999999997</v>
      </c>
      <c r="K1102" s="27" t="str">
        <f>VLOOKUP($F1102,mapping!$L$2:$P$92,4,0)</f>
        <v>Other Advanced Economies</v>
      </c>
      <c r="L1102" s="29">
        <f>$D1102*VLOOKUP($E1102,'Charts data'!$A$2:$B$11,2,0)*VLOOKUP($G1102,'Charts data'!$A$14:$B$18,2,0)/IF('Charts data'!$E$3=1,I1102,1)/IF('Charts data'!$E$4=1,J1102,1)</f>
        <v>40000</v>
      </c>
    </row>
    <row r="1103" spans="1:12" x14ac:dyDescent="0.25">
      <c r="A1103" s="27" t="s">
        <v>1385</v>
      </c>
      <c r="B1103" s="27">
        <v>72000</v>
      </c>
      <c r="C1103" s="27" t="s">
        <v>2</v>
      </c>
      <c r="D1103" s="28">
        <f>B1103*VLOOKUP(C1103,tblXrate[],2,0)</f>
        <v>72000</v>
      </c>
      <c r="E1103" s="27" t="s">
        <v>53</v>
      </c>
      <c r="F1103" s="27" t="s">
        <v>84</v>
      </c>
      <c r="G1103" s="27" t="s">
        <v>2272</v>
      </c>
      <c r="H1103" s="27">
        <v>10</v>
      </c>
      <c r="I1103" s="27">
        <f>VLOOKUP(F1103,mapping!$L$2:$P$92,2,0)</f>
        <v>1.3351624686946675</v>
      </c>
      <c r="J1103" s="27">
        <f>VLOOKUP($F1103,mapping!$L$2:$P$92,3,0)</f>
        <v>36648.199999999997</v>
      </c>
      <c r="K1103" s="27" t="str">
        <f>VLOOKUP($F1103,mapping!$L$2:$P$92,4,0)</f>
        <v>Other Advanced Economies</v>
      </c>
      <c r="L1103" s="29">
        <f>$D1103*VLOOKUP($E1103,'Charts data'!$A$2:$B$11,2,0)*VLOOKUP($G1103,'Charts data'!$A$14:$B$18,2,0)/IF('Charts data'!$E$3=1,I1103,1)/IF('Charts data'!$E$4=1,J1103,1)</f>
        <v>72000</v>
      </c>
    </row>
    <row r="1104" spans="1:12" x14ac:dyDescent="0.25">
      <c r="A1104" s="27" t="s">
        <v>1258</v>
      </c>
      <c r="B1104" s="27">
        <v>18987</v>
      </c>
      <c r="C1104" s="27" t="s">
        <v>2</v>
      </c>
      <c r="D1104" s="28">
        <f>B1104*VLOOKUP(C1104,tblXrate[],2,0)</f>
        <v>18987</v>
      </c>
      <c r="E1104" s="27" t="s">
        <v>7</v>
      </c>
      <c r="F1104" s="27" t="s">
        <v>96</v>
      </c>
      <c r="G1104" s="27" t="s">
        <v>2273</v>
      </c>
      <c r="H1104" s="27">
        <v>7</v>
      </c>
      <c r="I1104" s="27">
        <f>VLOOKUP(F1104,mapping!$L$2:$P$92,2,0)</f>
        <v>0.54494915254237297</v>
      </c>
      <c r="J1104" s="27">
        <f>VLOOKUP($F1104,mapping!$L$2:$P$92,3,0)</f>
        <v>1490.06</v>
      </c>
      <c r="K1104" s="27" t="str">
        <f>VLOOKUP($F1104,mapping!$L$2:$P$92,4,0)</f>
        <v>Sub-Saharan Africa</v>
      </c>
      <c r="L1104" s="29">
        <f>$D1104*VLOOKUP($E1104,'Charts data'!$A$2:$B$11,2,0)*VLOOKUP($G1104,'Charts data'!$A$14:$B$18,2,0)/IF('Charts data'!$E$3=1,I1104,1)/IF('Charts data'!$E$4=1,J1104,1)</f>
        <v>18987</v>
      </c>
    </row>
    <row r="1105" spans="1:12" x14ac:dyDescent="0.25">
      <c r="A1105" s="27" t="s">
        <v>645</v>
      </c>
      <c r="B1105" s="27">
        <v>110000</v>
      </c>
      <c r="C1105" s="27" t="s">
        <v>2</v>
      </c>
      <c r="D1105" s="28">
        <f>B1105*VLOOKUP(C1105,tblXrate[],2,0)</f>
        <v>110000</v>
      </c>
      <c r="E1105" s="27" t="s">
        <v>51</v>
      </c>
      <c r="F1105" s="27" t="s">
        <v>74</v>
      </c>
      <c r="G1105" s="27" t="s">
        <v>2272</v>
      </c>
      <c r="H1105" s="27"/>
      <c r="I1105" s="27">
        <f>VLOOKUP(F1105,mapping!$L$2:$P$92,2,0)</f>
        <v>12.950451881080451</v>
      </c>
      <c r="J1105" s="27">
        <f>VLOOKUP($F1105,mapping!$L$2:$P$92,3,0)</f>
        <v>97254.6</v>
      </c>
      <c r="K1105" s="27" t="str">
        <f>VLOOKUP($F1105,mapping!$L$2:$P$92,4,0)</f>
        <v>Other Advanced Economies</v>
      </c>
      <c r="L1105" s="29">
        <f>$D1105*VLOOKUP($E1105,'Charts data'!$A$2:$B$11,2,0)*VLOOKUP($G1105,'Charts data'!$A$14:$B$18,2,0)/IF('Charts data'!$E$3=1,I1105,1)/IF('Charts data'!$E$4=1,J1105,1)</f>
        <v>110000</v>
      </c>
    </row>
    <row r="1106" spans="1:12" x14ac:dyDescent="0.25">
      <c r="A1106" s="27" t="s">
        <v>657</v>
      </c>
      <c r="B1106" s="27">
        <v>108000</v>
      </c>
      <c r="C1106" s="27" t="s">
        <v>2</v>
      </c>
      <c r="D1106" s="28">
        <f>B1106*VLOOKUP(C1106,tblXrate[],2,0)</f>
        <v>108000</v>
      </c>
      <c r="E1106" s="27" t="s">
        <v>19</v>
      </c>
      <c r="F1106" s="27" t="s">
        <v>74</v>
      </c>
      <c r="G1106" s="27" t="s">
        <v>2271</v>
      </c>
      <c r="H1106" s="27"/>
      <c r="I1106" s="27">
        <f>VLOOKUP(F1106,mapping!$L$2:$P$92,2,0)</f>
        <v>12.950451881080451</v>
      </c>
      <c r="J1106" s="27">
        <f>VLOOKUP($F1106,mapping!$L$2:$P$92,3,0)</f>
        <v>97254.6</v>
      </c>
      <c r="K1106" s="27" t="str">
        <f>VLOOKUP($F1106,mapping!$L$2:$P$92,4,0)</f>
        <v>Other Advanced Economies</v>
      </c>
      <c r="L1106" s="29">
        <f>$D1106*VLOOKUP($E1106,'Charts data'!$A$2:$B$11,2,0)*VLOOKUP($G1106,'Charts data'!$A$14:$B$18,2,0)/IF('Charts data'!$E$3=1,I1106,1)/IF('Charts data'!$E$4=1,J1106,1)</f>
        <v>108000</v>
      </c>
    </row>
    <row r="1107" spans="1:12" x14ac:dyDescent="0.25">
      <c r="A1107" s="27" t="s">
        <v>1021</v>
      </c>
      <c r="B1107" s="27">
        <v>125000</v>
      </c>
      <c r="C1107" s="27" t="s">
        <v>2</v>
      </c>
      <c r="D1107" s="28">
        <f>B1107*VLOOKUP(C1107,tblXrate[],2,0)</f>
        <v>125000</v>
      </c>
      <c r="E1107" s="27" t="s">
        <v>19</v>
      </c>
      <c r="F1107" s="27" t="s">
        <v>74</v>
      </c>
      <c r="G1107" s="27" t="s">
        <v>2271</v>
      </c>
      <c r="H1107" s="27">
        <v>6</v>
      </c>
      <c r="I1107" s="27">
        <f>VLOOKUP(F1107,mapping!$L$2:$P$92,2,0)</f>
        <v>12.950451881080451</v>
      </c>
      <c r="J1107" s="27">
        <f>VLOOKUP($F1107,mapping!$L$2:$P$92,3,0)</f>
        <v>97254.6</v>
      </c>
      <c r="K1107" s="27" t="str">
        <f>VLOOKUP($F1107,mapping!$L$2:$P$92,4,0)</f>
        <v>Other Advanced Economies</v>
      </c>
      <c r="L1107" s="29">
        <f>$D1107*VLOOKUP($E1107,'Charts data'!$A$2:$B$11,2,0)*VLOOKUP($G1107,'Charts data'!$A$14:$B$18,2,0)/IF('Charts data'!$E$3=1,I1107,1)/IF('Charts data'!$E$4=1,J1107,1)</f>
        <v>125000</v>
      </c>
    </row>
    <row r="1108" spans="1:12" x14ac:dyDescent="0.25">
      <c r="A1108" s="27" t="s">
        <v>1371</v>
      </c>
      <c r="B1108" s="27">
        <v>100000</v>
      </c>
      <c r="C1108" s="27" t="s">
        <v>2</v>
      </c>
      <c r="D1108" s="28">
        <f>B1108*VLOOKUP(C1108,tblXrate[],2,0)</f>
        <v>100000</v>
      </c>
      <c r="E1108" s="27" t="s">
        <v>62</v>
      </c>
      <c r="F1108" s="27" t="s">
        <v>74</v>
      </c>
      <c r="G1108" s="27" t="s">
        <v>2271</v>
      </c>
      <c r="H1108" s="27">
        <v>12</v>
      </c>
      <c r="I1108" s="27">
        <f>VLOOKUP(F1108,mapping!$L$2:$P$92,2,0)</f>
        <v>12.950451881080451</v>
      </c>
      <c r="J1108" s="27">
        <f>VLOOKUP($F1108,mapping!$L$2:$P$92,3,0)</f>
        <v>97254.6</v>
      </c>
      <c r="K1108" s="27" t="str">
        <f>VLOOKUP($F1108,mapping!$L$2:$P$92,4,0)</f>
        <v>Other Advanced Economies</v>
      </c>
      <c r="L1108" s="29">
        <f>$D1108*VLOOKUP($E1108,'Charts data'!$A$2:$B$11,2,0)*VLOOKUP($G1108,'Charts data'!$A$14:$B$18,2,0)/IF('Charts data'!$E$3=1,I1108,1)/IF('Charts data'!$E$4=1,J1108,1)</f>
        <v>100000</v>
      </c>
    </row>
    <row r="1109" spans="1:12" x14ac:dyDescent="0.25">
      <c r="A1109" s="27" t="s">
        <v>1680</v>
      </c>
      <c r="B1109" s="27">
        <v>110000</v>
      </c>
      <c r="C1109" s="27" t="s">
        <v>2</v>
      </c>
      <c r="D1109" s="28">
        <f>B1109*VLOOKUP(C1109,tblXrate[],2,0)</f>
        <v>110000</v>
      </c>
      <c r="E1109" s="27" t="s">
        <v>62</v>
      </c>
      <c r="F1109" s="27" t="s">
        <v>74</v>
      </c>
      <c r="G1109" s="27" t="s">
        <v>2273</v>
      </c>
      <c r="H1109" s="27">
        <v>5</v>
      </c>
      <c r="I1109" s="27">
        <f>VLOOKUP(F1109,mapping!$L$2:$P$92,2,0)</f>
        <v>12.950451881080451</v>
      </c>
      <c r="J1109" s="27">
        <f>VLOOKUP($F1109,mapping!$L$2:$P$92,3,0)</f>
        <v>97254.6</v>
      </c>
      <c r="K1109" s="27" t="str">
        <f>VLOOKUP($F1109,mapping!$L$2:$P$92,4,0)</f>
        <v>Other Advanced Economies</v>
      </c>
      <c r="L1109" s="29">
        <f>$D1109*VLOOKUP($E1109,'Charts data'!$A$2:$B$11,2,0)*VLOOKUP($G1109,'Charts data'!$A$14:$B$18,2,0)/IF('Charts data'!$E$3=1,I1109,1)/IF('Charts data'!$E$4=1,J1109,1)</f>
        <v>110000</v>
      </c>
    </row>
    <row r="1110" spans="1:12" x14ac:dyDescent="0.25">
      <c r="A1110" s="27" t="s">
        <v>2036</v>
      </c>
      <c r="B1110" s="27">
        <v>100800</v>
      </c>
      <c r="C1110" s="27" t="s">
        <v>2</v>
      </c>
      <c r="D1110" s="28">
        <f>B1110*VLOOKUP(C1110,tblXrate[],2,0)</f>
        <v>100800</v>
      </c>
      <c r="E1110" s="27" t="s">
        <v>2147</v>
      </c>
      <c r="F1110" s="27" t="s">
        <v>173</v>
      </c>
      <c r="G1110" s="27" t="s">
        <v>2271</v>
      </c>
      <c r="H1110" s="27">
        <v>4</v>
      </c>
      <c r="I1110" s="27">
        <f>VLOOKUP(F1110,mapping!$L$2:$P$92,2,0)</f>
        <v>0.87906371911573478</v>
      </c>
      <c r="J1110" s="27">
        <f>VLOOKUP($F1110,mapping!$L$2:$P$92,3,0)</f>
        <v>23315.46</v>
      </c>
      <c r="K1110" s="27" t="str">
        <f>VLOOKUP($F1110,mapping!$L$2:$P$92,4,0)</f>
        <v>Middle East and North Africa</v>
      </c>
      <c r="L1110" s="29">
        <f>$D1110*VLOOKUP($E1110,'Charts data'!$A$2:$B$11,2,0)*VLOOKUP($G1110,'Charts data'!$A$14:$B$18,2,0)/IF('Charts data'!$E$3=1,I1110,1)/IF('Charts data'!$E$4=1,J1110,1)</f>
        <v>100800</v>
      </c>
    </row>
    <row r="1111" spans="1:12" x14ac:dyDescent="0.25">
      <c r="A1111" s="27" t="s">
        <v>178</v>
      </c>
      <c r="B1111" s="27">
        <v>48000</v>
      </c>
      <c r="C1111" s="27" t="s">
        <v>2</v>
      </c>
      <c r="D1111" s="28">
        <f>B1111*VLOOKUP(C1111,tblXrate[],2,0)</f>
        <v>48000</v>
      </c>
      <c r="E1111" s="27" t="s">
        <v>62</v>
      </c>
      <c r="F1111" s="27" t="s">
        <v>6</v>
      </c>
      <c r="G1111" s="27" t="s">
        <v>2272</v>
      </c>
      <c r="H1111" s="27"/>
      <c r="I1111" s="27">
        <f>VLOOKUP(F1111,mapping!$L$2:$P$92,2,0)</f>
        <v>0.65835867993475172</v>
      </c>
      <c r="J1111" s="27">
        <f>VLOOKUP($F1111,mapping!$L$2:$P$92,3,0)</f>
        <v>1201.1099999999999</v>
      </c>
      <c r="K1111" s="27" t="str">
        <f>VLOOKUP($F1111,mapping!$L$2:$P$92,4,0)</f>
        <v>Developing Asia</v>
      </c>
      <c r="L1111" s="29">
        <f>$D1111*VLOOKUP($E1111,'Charts data'!$A$2:$B$11,2,0)*VLOOKUP($G1111,'Charts data'!$A$14:$B$18,2,0)/IF('Charts data'!$E$3=1,I1111,1)/IF('Charts data'!$E$4=1,J1111,1)</f>
        <v>48000</v>
      </c>
    </row>
    <row r="1112" spans="1:12" x14ac:dyDescent="0.25">
      <c r="A1112" s="27" t="s">
        <v>300</v>
      </c>
      <c r="B1112" s="27">
        <v>12000</v>
      </c>
      <c r="C1112" s="27" t="s">
        <v>2</v>
      </c>
      <c r="D1112" s="28">
        <f>B1112*VLOOKUP(C1112,tblXrate[],2,0)</f>
        <v>12000</v>
      </c>
      <c r="E1112" s="27" t="s">
        <v>53</v>
      </c>
      <c r="F1112" s="27" t="s">
        <v>6</v>
      </c>
      <c r="G1112" s="27" t="s">
        <v>2274</v>
      </c>
      <c r="H1112" s="27"/>
      <c r="I1112" s="27">
        <f>VLOOKUP(F1112,mapping!$L$2:$P$92,2,0)</f>
        <v>0.65835867993475172</v>
      </c>
      <c r="J1112" s="27">
        <f>VLOOKUP($F1112,mapping!$L$2:$P$92,3,0)</f>
        <v>1201.1099999999999</v>
      </c>
      <c r="K1112" s="27" t="str">
        <f>VLOOKUP($F1112,mapping!$L$2:$P$92,4,0)</f>
        <v>Developing Asia</v>
      </c>
      <c r="L1112" s="29">
        <f>$D1112*VLOOKUP($E1112,'Charts data'!$A$2:$B$11,2,0)*VLOOKUP($G1112,'Charts data'!$A$14:$B$18,2,0)/IF('Charts data'!$E$3=1,I1112,1)/IF('Charts data'!$E$4=1,J1112,1)</f>
        <v>12000</v>
      </c>
    </row>
    <row r="1113" spans="1:12" x14ac:dyDescent="0.25">
      <c r="A1113" s="27" t="s">
        <v>816</v>
      </c>
      <c r="B1113" s="27">
        <v>16800</v>
      </c>
      <c r="C1113" s="27" t="s">
        <v>2</v>
      </c>
      <c r="D1113" s="28">
        <f>B1113*VLOOKUP(C1113,tblXrate[],2,0)</f>
        <v>16800</v>
      </c>
      <c r="E1113" s="27" t="s">
        <v>7</v>
      </c>
      <c r="F1113" s="27" t="s">
        <v>6</v>
      </c>
      <c r="G1113" s="27" t="s">
        <v>2271</v>
      </c>
      <c r="H1113" s="27">
        <v>12</v>
      </c>
      <c r="I1113" s="27">
        <f>VLOOKUP(F1113,mapping!$L$2:$P$92,2,0)</f>
        <v>0.65835867993475172</v>
      </c>
      <c r="J1113" s="27">
        <f>VLOOKUP($F1113,mapping!$L$2:$P$92,3,0)</f>
        <v>1201.1099999999999</v>
      </c>
      <c r="K1113" s="27" t="str">
        <f>VLOOKUP($F1113,mapping!$L$2:$P$92,4,0)</f>
        <v>Developing Asia</v>
      </c>
      <c r="L1113" s="29">
        <f>$D1113*VLOOKUP($E1113,'Charts data'!$A$2:$B$11,2,0)*VLOOKUP($G1113,'Charts data'!$A$14:$B$18,2,0)/IF('Charts data'!$E$3=1,I1113,1)/IF('Charts data'!$E$4=1,J1113,1)</f>
        <v>16800</v>
      </c>
    </row>
    <row r="1114" spans="1:12" x14ac:dyDescent="0.25">
      <c r="A1114" s="27" t="s">
        <v>892</v>
      </c>
      <c r="B1114" s="27">
        <v>5022</v>
      </c>
      <c r="C1114" s="27" t="s">
        <v>2</v>
      </c>
      <c r="D1114" s="28">
        <f>B1114*VLOOKUP(C1114,tblXrate[],2,0)</f>
        <v>5022</v>
      </c>
      <c r="E1114" s="27" t="s">
        <v>7</v>
      </c>
      <c r="F1114" s="27" t="s">
        <v>6</v>
      </c>
      <c r="G1114" s="27" t="s">
        <v>2271</v>
      </c>
      <c r="H1114" s="27">
        <v>15</v>
      </c>
      <c r="I1114" s="27">
        <f>VLOOKUP(F1114,mapping!$L$2:$P$92,2,0)</f>
        <v>0.65835867993475172</v>
      </c>
      <c r="J1114" s="27">
        <f>VLOOKUP($F1114,mapping!$L$2:$P$92,3,0)</f>
        <v>1201.1099999999999</v>
      </c>
      <c r="K1114" s="27" t="str">
        <f>VLOOKUP($F1114,mapping!$L$2:$P$92,4,0)</f>
        <v>Developing Asia</v>
      </c>
      <c r="L1114" s="29">
        <f>$D1114*VLOOKUP($E1114,'Charts data'!$A$2:$B$11,2,0)*VLOOKUP($G1114,'Charts data'!$A$14:$B$18,2,0)/IF('Charts data'!$E$3=1,I1114,1)/IF('Charts data'!$E$4=1,J1114,1)</f>
        <v>5022</v>
      </c>
    </row>
    <row r="1115" spans="1:12" x14ac:dyDescent="0.25">
      <c r="A1115" s="27" t="s">
        <v>1010</v>
      </c>
      <c r="B1115" s="27">
        <v>3000</v>
      </c>
      <c r="C1115" s="27" t="s">
        <v>2</v>
      </c>
      <c r="D1115" s="28">
        <f>B1115*VLOOKUP(C1115,tblXrate[],2,0)</f>
        <v>3000</v>
      </c>
      <c r="E1115" s="27" t="s">
        <v>7</v>
      </c>
      <c r="F1115" s="27" t="s">
        <v>6</v>
      </c>
      <c r="G1115" s="27" t="s">
        <v>2272</v>
      </c>
      <c r="H1115" s="27">
        <v>2</v>
      </c>
      <c r="I1115" s="27">
        <f>VLOOKUP(F1115,mapping!$L$2:$P$92,2,0)</f>
        <v>0.65835867993475172</v>
      </c>
      <c r="J1115" s="27">
        <f>VLOOKUP($F1115,mapping!$L$2:$P$92,3,0)</f>
        <v>1201.1099999999999</v>
      </c>
      <c r="K1115" s="27" t="str">
        <f>VLOOKUP($F1115,mapping!$L$2:$P$92,4,0)</f>
        <v>Developing Asia</v>
      </c>
      <c r="L1115" s="29">
        <f>$D1115*VLOOKUP($E1115,'Charts data'!$A$2:$B$11,2,0)*VLOOKUP($G1115,'Charts data'!$A$14:$B$18,2,0)/IF('Charts data'!$E$3=1,I1115,1)/IF('Charts data'!$E$4=1,J1115,1)</f>
        <v>3000</v>
      </c>
    </row>
    <row r="1116" spans="1:12" x14ac:dyDescent="0.25">
      <c r="A1116" s="27" t="s">
        <v>1087</v>
      </c>
      <c r="B1116" s="27">
        <v>3480</v>
      </c>
      <c r="C1116" s="27" t="s">
        <v>2</v>
      </c>
      <c r="D1116" s="28">
        <f>B1116*VLOOKUP(C1116,tblXrate[],2,0)</f>
        <v>3480</v>
      </c>
      <c r="E1116" s="27" t="s">
        <v>19</v>
      </c>
      <c r="F1116" s="27" t="s">
        <v>6</v>
      </c>
      <c r="G1116" s="27" t="s">
        <v>2273</v>
      </c>
      <c r="H1116" s="27">
        <v>6</v>
      </c>
      <c r="I1116" s="27">
        <f>VLOOKUP(F1116,mapping!$L$2:$P$92,2,0)</f>
        <v>0.65835867993475172</v>
      </c>
      <c r="J1116" s="27">
        <f>VLOOKUP($F1116,mapping!$L$2:$P$92,3,0)</f>
        <v>1201.1099999999999</v>
      </c>
      <c r="K1116" s="27" t="str">
        <f>VLOOKUP($F1116,mapping!$L$2:$P$92,4,0)</f>
        <v>Developing Asia</v>
      </c>
      <c r="L1116" s="29">
        <f>$D1116*VLOOKUP($E1116,'Charts data'!$A$2:$B$11,2,0)*VLOOKUP($G1116,'Charts data'!$A$14:$B$18,2,0)/IF('Charts data'!$E$3=1,I1116,1)/IF('Charts data'!$E$4=1,J1116,1)</f>
        <v>3480</v>
      </c>
    </row>
    <row r="1117" spans="1:12" x14ac:dyDescent="0.25">
      <c r="A1117" s="27" t="s">
        <v>1170</v>
      </c>
      <c r="B1117" s="27">
        <v>10800</v>
      </c>
      <c r="C1117" s="27" t="s">
        <v>2</v>
      </c>
      <c r="D1117" s="28">
        <f>B1117*VLOOKUP(C1117,tblXrate[],2,0)</f>
        <v>10800</v>
      </c>
      <c r="E1117" s="27" t="s">
        <v>19</v>
      </c>
      <c r="F1117" s="27" t="s">
        <v>6</v>
      </c>
      <c r="G1117" s="27" t="s">
        <v>2273</v>
      </c>
      <c r="H1117" s="27">
        <v>5</v>
      </c>
      <c r="I1117" s="27">
        <f>VLOOKUP(F1117,mapping!$L$2:$P$92,2,0)</f>
        <v>0.65835867993475172</v>
      </c>
      <c r="J1117" s="27">
        <f>VLOOKUP($F1117,mapping!$L$2:$P$92,3,0)</f>
        <v>1201.1099999999999</v>
      </c>
      <c r="K1117" s="27" t="str">
        <f>VLOOKUP($F1117,mapping!$L$2:$P$92,4,0)</f>
        <v>Developing Asia</v>
      </c>
      <c r="L1117" s="29">
        <f>$D1117*VLOOKUP($E1117,'Charts data'!$A$2:$B$11,2,0)*VLOOKUP($G1117,'Charts data'!$A$14:$B$18,2,0)/IF('Charts data'!$E$3=1,I1117,1)/IF('Charts data'!$E$4=1,J1117,1)</f>
        <v>10800</v>
      </c>
    </row>
    <row r="1118" spans="1:12" x14ac:dyDescent="0.25">
      <c r="A1118" s="27" t="s">
        <v>1192</v>
      </c>
      <c r="B1118" s="27">
        <v>2400</v>
      </c>
      <c r="C1118" s="27" t="s">
        <v>2</v>
      </c>
      <c r="D1118" s="28">
        <f>B1118*VLOOKUP(C1118,tblXrate[],2,0)</f>
        <v>2400</v>
      </c>
      <c r="E1118" s="27" t="s">
        <v>51</v>
      </c>
      <c r="F1118" s="27" t="s">
        <v>6</v>
      </c>
      <c r="G1118" s="27" t="s">
        <v>2272</v>
      </c>
      <c r="H1118" s="27">
        <v>15</v>
      </c>
      <c r="I1118" s="27">
        <f>VLOOKUP(F1118,mapping!$L$2:$P$92,2,0)</f>
        <v>0.65835867993475172</v>
      </c>
      <c r="J1118" s="27">
        <f>VLOOKUP($F1118,mapping!$L$2:$P$92,3,0)</f>
        <v>1201.1099999999999</v>
      </c>
      <c r="K1118" s="27" t="str">
        <f>VLOOKUP($F1118,mapping!$L$2:$P$92,4,0)</f>
        <v>Developing Asia</v>
      </c>
      <c r="L1118" s="29">
        <f>$D1118*VLOOKUP($E1118,'Charts data'!$A$2:$B$11,2,0)*VLOOKUP($G1118,'Charts data'!$A$14:$B$18,2,0)/IF('Charts data'!$E$3=1,I1118,1)/IF('Charts data'!$E$4=1,J1118,1)</f>
        <v>2400</v>
      </c>
    </row>
    <row r="1119" spans="1:12" x14ac:dyDescent="0.25">
      <c r="A1119" s="27" t="s">
        <v>1245</v>
      </c>
      <c r="B1119" s="27">
        <v>3500</v>
      </c>
      <c r="C1119" s="27" t="s">
        <v>2</v>
      </c>
      <c r="D1119" s="28">
        <f>B1119*VLOOKUP(C1119,tblXrate[],2,0)</f>
        <v>3500</v>
      </c>
      <c r="E1119" s="27" t="s">
        <v>19</v>
      </c>
      <c r="F1119" s="27" t="s">
        <v>6</v>
      </c>
      <c r="G1119" s="27" t="s">
        <v>2271</v>
      </c>
      <c r="H1119" s="27">
        <v>4</v>
      </c>
      <c r="I1119" s="27">
        <f>VLOOKUP(F1119,mapping!$L$2:$P$92,2,0)</f>
        <v>0.65835867993475172</v>
      </c>
      <c r="J1119" s="27">
        <f>VLOOKUP($F1119,mapping!$L$2:$P$92,3,0)</f>
        <v>1201.1099999999999</v>
      </c>
      <c r="K1119" s="27" t="str">
        <f>VLOOKUP($F1119,mapping!$L$2:$P$92,4,0)</f>
        <v>Developing Asia</v>
      </c>
      <c r="L1119" s="29">
        <f>$D1119*VLOOKUP($E1119,'Charts data'!$A$2:$B$11,2,0)*VLOOKUP($G1119,'Charts data'!$A$14:$B$18,2,0)/IF('Charts data'!$E$3=1,I1119,1)/IF('Charts data'!$E$4=1,J1119,1)</f>
        <v>3500</v>
      </c>
    </row>
    <row r="1120" spans="1:12" x14ac:dyDescent="0.25">
      <c r="A1120" s="27" t="s">
        <v>1311</v>
      </c>
      <c r="B1120" s="27">
        <v>8725</v>
      </c>
      <c r="C1120" s="27" t="s">
        <v>2</v>
      </c>
      <c r="D1120" s="28">
        <f>B1120*VLOOKUP(C1120,tblXrate[],2,0)</f>
        <v>8725</v>
      </c>
      <c r="E1120" s="27" t="s">
        <v>19</v>
      </c>
      <c r="F1120" s="27" t="s">
        <v>6</v>
      </c>
      <c r="G1120" s="27" t="s">
        <v>2272</v>
      </c>
      <c r="H1120" s="27">
        <v>18</v>
      </c>
      <c r="I1120" s="27">
        <f>VLOOKUP(F1120,mapping!$L$2:$P$92,2,0)</f>
        <v>0.65835867993475172</v>
      </c>
      <c r="J1120" s="27">
        <f>VLOOKUP($F1120,mapping!$L$2:$P$92,3,0)</f>
        <v>1201.1099999999999</v>
      </c>
      <c r="K1120" s="27" t="str">
        <f>VLOOKUP($F1120,mapping!$L$2:$P$92,4,0)</f>
        <v>Developing Asia</v>
      </c>
      <c r="L1120" s="29">
        <f>$D1120*VLOOKUP($E1120,'Charts data'!$A$2:$B$11,2,0)*VLOOKUP($G1120,'Charts data'!$A$14:$B$18,2,0)/IF('Charts data'!$E$3=1,I1120,1)/IF('Charts data'!$E$4=1,J1120,1)</f>
        <v>8725</v>
      </c>
    </row>
    <row r="1121" spans="1:12" x14ac:dyDescent="0.25">
      <c r="A1121" s="27" t="s">
        <v>1367</v>
      </c>
      <c r="B1121" s="27">
        <v>40000</v>
      </c>
      <c r="C1121" s="27" t="s">
        <v>2</v>
      </c>
      <c r="D1121" s="28">
        <f>B1121*VLOOKUP(C1121,tblXrate[],2,0)</f>
        <v>40000</v>
      </c>
      <c r="E1121" s="27" t="s">
        <v>19</v>
      </c>
      <c r="F1121" s="27" t="s">
        <v>6</v>
      </c>
      <c r="G1121" s="27" t="s">
        <v>2271</v>
      </c>
      <c r="H1121" s="27">
        <v>15</v>
      </c>
      <c r="I1121" s="27">
        <f>VLOOKUP(F1121,mapping!$L$2:$P$92,2,0)</f>
        <v>0.65835867993475172</v>
      </c>
      <c r="J1121" s="27">
        <f>VLOOKUP($F1121,mapping!$L$2:$P$92,3,0)</f>
        <v>1201.1099999999999</v>
      </c>
      <c r="K1121" s="27" t="str">
        <f>VLOOKUP($F1121,mapping!$L$2:$P$92,4,0)</f>
        <v>Developing Asia</v>
      </c>
      <c r="L1121" s="29">
        <f>$D1121*VLOOKUP($E1121,'Charts data'!$A$2:$B$11,2,0)*VLOOKUP($G1121,'Charts data'!$A$14:$B$18,2,0)/IF('Charts data'!$E$3=1,I1121,1)/IF('Charts data'!$E$4=1,J1121,1)</f>
        <v>40000</v>
      </c>
    </row>
    <row r="1122" spans="1:12" x14ac:dyDescent="0.25">
      <c r="A1122" s="27" t="s">
        <v>1430</v>
      </c>
      <c r="B1122" s="27">
        <v>12000</v>
      </c>
      <c r="C1122" s="27" t="s">
        <v>2</v>
      </c>
      <c r="D1122" s="28">
        <f>B1122*VLOOKUP(C1122,tblXrate[],2,0)</f>
        <v>12000</v>
      </c>
      <c r="E1122" s="27" t="s">
        <v>53</v>
      </c>
      <c r="F1122" s="27" t="s">
        <v>6</v>
      </c>
      <c r="G1122" s="27" t="s">
        <v>2271</v>
      </c>
      <c r="H1122" s="27">
        <v>1</v>
      </c>
      <c r="I1122" s="27">
        <f>VLOOKUP(F1122,mapping!$L$2:$P$92,2,0)</f>
        <v>0.65835867993475172</v>
      </c>
      <c r="J1122" s="27">
        <f>VLOOKUP($F1122,mapping!$L$2:$P$92,3,0)</f>
        <v>1201.1099999999999</v>
      </c>
      <c r="K1122" s="27" t="str">
        <f>VLOOKUP($F1122,mapping!$L$2:$P$92,4,0)</f>
        <v>Developing Asia</v>
      </c>
      <c r="L1122" s="29">
        <f>$D1122*VLOOKUP($E1122,'Charts data'!$A$2:$B$11,2,0)*VLOOKUP($G1122,'Charts data'!$A$14:$B$18,2,0)/IF('Charts data'!$E$3=1,I1122,1)/IF('Charts data'!$E$4=1,J1122,1)</f>
        <v>12000</v>
      </c>
    </row>
    <row r="1123" spans="1:12" x14ac:dyDescent="0.25">
      <c r="A1123" s="27" t="s">
        <v>1434</v>
      </c>
      <c r="B1123" s="27">
        <v>45000</v>
      </c>
      <c r="C1123" s="27" t="s">
        <v>2</v>
      </c>
      <c r="D1123" s="28">
        <f>B1123*VLOOKUP(C1123,tblXrate[],2,0)</f>
        <v>45000</v>
      </c>
      <c r="E1123" s="27" t="s">
        <v>7</v>
      </c>
      <c r="F1123" s="27" t="s">
        <v>6</v>
      </c>
      <c r="G1123" s="27" t="s">
        <v>2273</v>
      </c>
      <c r="H1123" s="27">
        <v>8</v>
      </c>
      <c r="I1123" s="27">
        <f>VLOOKUP(F1123,mapping!$L$2:$P$92,2,0)</f>
        <v>0.65835867993475172</v>
      </c>
      <c r="J1123" s="27">
        <f>VLOOKUP($F1123,mapping!$L$2:$P$92,3,0)</f>
        <v>1201.1099999999999</v>
      </c>
      <c r="K1123" s="27" t="str">
        <f>VLOOKUP($F1123,mapping!$L$2:$P$92,4,0)</f>
        <v>Developing Asia</v>
      </c>
      <c r="L1123" s="29">
        <f>$D1123*VLOOKUP($E1123,'Charts data'!$A$2:$B$11,2,0)*VLOOKUP($G1123,'Charts data'!$A$14:$B$18,2,0)/IF('Charts data'!$E$3=1,I1123,1)/IF('Charts data'!$E$4=1,J1123,1)</f>
        <v>45000</v>
      </c>
    </row>
    <row r="1124" spans="1:12" x14ac:dyDescent="0.25">
      <c r="A1124" s="27" t="s">
        <v>1480</v>
      </c>
      <c r="B1124" s="27">
        <v>5300</v>
      </c>
      <c r="C1124" s="27" t="s">
        <v>2</v>
      </c>
      <c r="D1124" s="28">
        <f>B1124*VLOOKUP(C1124,tblXrate[],2,0)</f>
        <v>5300</v>
      </c>
      <c r="E1124" s="27" t="s">
        <v>19</v>
      </c>
      <c r="F1124" s="27" t="s">
        <v>6</v>
      </c>
      <c r="G1124" s="27" t="s">
        <v>2271</v>
      </c>
      <c r="H1124" s="27">
        <v>5</v>
      </c>
      <c r="I1124" s="27">
        <f>VLOOKUP(F1124,mapping!$L$2:$P$92,2,0)</f>
        <v>0.65835867993475172</v>
      </c>
      <c r="J1124" s="27">
        <f>VLOOKUP($F1124,mapping!$L$2:$P$92,3,0)</f>
        <v>1201.1099999999999</v>
      </c>
      <c r="K1124" s="27" t="str">
        <f>VLOOKUP($F1124,mapping!$L$2:$P$92,4,0)</f>
        <v>Developing Asia</v>
      </c>
      <c r="L1124" s="29">
        <f>$D1124*VLOOKUP($E1124,'Charts data'!$A$2:$B$11,2,0)*VLOOKUP($G1124,'Charts data'!$A$14:$B$18,2,0)/IF('Charts data'!$E$3=1,I1124,1)/IF('Charts data'!$E$4=1,J1124,1)</f>
        <v>5300</v>
      </c>
    </row>
    <row r="1125" spans="1:12" x14ac:dyDescent="0.25">
      <c r="A1125" s="27" t="s">
        <v>1669</v>
      </c>
      <c r="B1125" s="27">
        <v>30000</v>
      </c>
      <c r="C1125" s="27" t="s">
        <v>2</v>
      </c>
      <c r="D1125" s="28">
        <f>B1125*VLOOKUP(C1125,tblXrate[],2,0)</f>
        <v>30000</v>
      </c>
      <c r="E1125" s="27" t="s">
        <v>19</v>
      </c>
      <c r="F1125" s="27" t="s">
        <v>6</v>
      </c>
      <c r="G1125" s="27" t="s">
        <v>2271</v>
      </c>
      <c r="H1125" s="27">
        <v>5</v>
      </c>
      <c r="I1125" s="27">
        <f>VLOOKUP(F1125,mapping!$L$2:$P$92,2,0)</f>
        <v>0.65835867993475172</v>
      </c>
      <c r="J1125" s="27">
        <f>VLOOKUP($F1125,mapping!$L$2:$P$92,3,0)</f>
        <v>1201.1099999999999</v>
      </c>
      <c r="K1125" s="27" t="str">
        <f>VLOOKUP($F1125,mapping!$L$2:$P$92,4,0)</f>
        <v>Developing Asia</v>
      </c>
      <c r="L1125" s="29">
        <f>$D1125*VLOOKUP($E1125,'Charts data'!$A$2:$B$11,2,0)*VLOOKUP($G1125,'Charts data'!$A$14:$B$18,2,0)/IF('Charts data'!$E$3=1,I1125,1)/IF('Charts data'!$E$4=1,J1125,1)</f>
        <v>30000</v>
      </c>
    </row>
    <row r="1126" spans="1:12" x14ac:dyDescent="0.25">
      <c r="A1126" s="27" t="s">
        <v>1714</v>
      </c>
      <c r="B1126" s="27">
        <v>4500</v>
      </c>
      <c r="C1126" s="27" t="s">
        <v>2</v>
      </c>
      <c r="D1126" s="28">
        <f>B1126*VLOOKUP(C1126,tblXrate[],2,0)</f>
        <v>4500</v>
      </c>
      <c r="E1126" s="27" t="s">
        <v>7</v>
      </c>
      <c r="F1126" s="27" t="s">
        <v>6</v>
      </c>
      <c r="G1126" s="27" t="s">
        <v>2271</v>
      </c>
      <c r="H1126" s="27">
        <v>6</v>
      </c>
      <c r="I1126" s="27">
        <f>VLOOKUP(F1126,mapping!$L$2:$P$92,2,0)</f>
        <v>0.65835867993475172</v>
      </c>
      <c r="J1126" s="27">
        <f>VLOOKUP($F1126,mapping!$L$2:$P$92,3,0)</f>
        <v>1201.1099999999999</v>
      </c>
      <c r="K1126" s="27" t="str">
        <f>VLOOKUP($F1126,mapping!$L$2:$P$92,4,0)</f>
        <v>Developing Asia</v>
      </c>
      <c r="L1126" s="29">
        <f>$D1126*VLOOKUP($E1126,'Charts data'!$A$2:$B$11,2,0)*VLOOKUP($G1126,'Charts data'!$A$14:$B$18,2,0)/IF('Charts data'!$E$3=1,I1126,1)/IF('Charts data'!$E$4=1,J1126,1)</f>
        <v>4500</v>
      </c>
    </row>
    <row r="1127" spans="1:12" x14ac:dyDescent="0.25">
      <c r="A1127" s="27" t="s">
        <v>1767</v>
      </c>
      <c r="B1127" s="27">
        <v>15000</v>
      </c>
      <c r="C1127" s="27" t="s">
        <v>2</v>
      </c>
      <c r="D1127" s="28">
        <f>B1127*VLOOKUP(C1127,tblXrate[],2,0)</f>
        <v>15000</v>
      </c>
      <c r="E1127" s="27" t="s">
        <v>7</v>
      </c>
      <c r="F1127" s="27" t="s">
        <v>6</v>
      </c>
      <c r="G1127" s="27" t="s">
        <v>2271</v>
      </c>
      <c r="H1127" s="27">
        <v>5</v>
      </c>
      <c r="I1127" s="27">
        <f>VLOOKUP(F1127,mapping!$L$2:$P$92,2,0)</f>
        <v>0.65835867993475172</v>
      </c>
      <c r="J1127" s="27">
        <f>VLOOKUP($F1127,mapping!$L$2:$P$92,3,0)</f>
        <v>1201.1099999999999</v>
      </c>
      <c r="K1127" s="27" t="str">
        <f>VLOOKUP($F1127,mapping!$L$2:$P$92,4,0)</f>
        <v>Developing Asia</v>
      </c>
      <c r="L1127" s="29">
        <f>$D1127*VLOOKUP($E1127,'Charts data'!$A$2:$B$11,2,0)*VLOOKUP($G1127,'Charts data'!$A$14:$B$18,2,0)/IF('Charts data'!$E$3=1,I1127,1)/IF('Charts data'!$E$4=1,J1127,1)</f>
        <v>15000</v>
      </c>
    </row>
    <row r="1128" spans="1:12" x14ac:dyDescent="0.25">
      <c r="A1128" s="27" t="s">
        <v>253</v>
      </c>
      <c r="B1128" s="27">
        <v>26000</v>
      </c>
      <c r="C1128" s="27" t="s">
        <v>2</v>
      </c>
      <c r="D1128" s="28">
        <f>B1128*VLOOKUP(C1128,tblXrate[],2,0)</f>
        <v>26000</v>
      </c>
      <c r="E1128" s="27" t="s">
        <v>7</v>
      </c>
      <c r="F1128" s="27" t="s">
        <v>39</v>
      </c>
      <c r="G1128" s="27" t="s">
        <v>2273</v>
      </c>
      <c r="H1128" s="27"/>
      <c r="I1128" s="27">
        <f>VLOOKUP(F1128,mapping!$L$2:$P$92,2,0)</f>
        <v>0.76732126115093102</v>
      </c>
      <c r="J1128" s="27">
        <f>VLOOKUP($F1128,mapping!$L$2:$P$92,3,0)</f>
        <v>8514.2199999999993</v>
      </c>
      <c r="K1128" s="27" t="str">
        <f>VLOOKUP($F1128,mapping!$L$2:$P$92,4,0)</f>
        <v>Latin America and the Caribbean</v>
      </c>
      <c r="L1128" s="29">
        <f>$D1128*VLOOKUP($E1128,'Charts data'!$A$2:$B$11,2,0)*VLOOKUP($G1128,'Charts data'!$A$14:$B$18,2,0)/IF('Charts data'!$E$3=1,I1128,1)/IF('Charts data'!$E$4=1,J1128,1)</f>
        <v>26000</v>
      </c>
    </row>
    <row r="1129" spans="1:12" x14ac:dyDescent="0.25">
      <c r="A1129" s="27" t="s">
        <v>1162</v>
      </c>
      <c r="B1129" s="27">
        <v>20000</v>
      </c>
      <c r="C1129" s="27" t="s">
        <v>2</v>
      </c>
      <c r="D1129" s="28">
        <f>B1129*VLOOKUP(C1129,tblXrate[],2,0)</f>
        <v>20000</v>
      </c>
      <c r="E1129" s="27" t="s">
        <v>2145</v>
      </c>
      <c r="F1129" s="27" t="s">
        <v>121</v>
      </c>
      <c r="G1129" s="27" t="s">
        <v>2273</v>
      </c>
      <c r="H1129" s="27">
        <v>6</v>
      </c>
      <c r="I1129" s="27">
        <f>VLOOKUP(F1129,mapping!$L$2:$P$92,2,0)</f>
        <v>0.6031955555555556</v>
      </c>
      <c r="J1129" s="27">
        <f>VLOOKUP($F1129,mapping!$L$2:$P$92,3,0)</f>
        <v>3251.91</v>
      </c>
      <c r="K1129" s="27" t="str">
        <f>VLOOKUP($F1129,mapping!$L$2:$P$92,4,0)</f>
        <v>Latin America and the Caribbean</v>
      </c>
      <c r="L1129" s="29">
        <f>$D1129*VLOOKUP($E1129,'Charts data'!$A$2:$B$11,2,0)*VLOOKUP($G1129,'Charts data'!$A$14:$B$18,2,0)/IF('Charts data'!$E$3=1,I1129,1)/IF('Charts data'!$E$4=1,J1129,1)</f>
        <v>20000</v>
      </c>
    </row>
    <row r="1130" spans="1:12" x14ac:dyDescent="0.25">
      <c r="A1130" s="27" t="s">
        <v>1696</v>
      </c>
      <c r="B1130" s="27">
        <v>15840</v>
      </c>
      <c r="C1130" s="27" t="s">
        <v>2</v>
      </c>
      <c r="D1130" s="28">
        <f>B1130*VLOOKUP(C1130,tblXrate[],2,0)</f>
        <v>15840</v>
      </c>
      <c r="E1130" s="27" t="s">
        <v>7</v>
      </c>
      <c r="F1130" s="27" t="s">
        <v>156</v>
      </c>
      <c r="G1130" s="27" t="s">
        <v>2273</v>
      </c>
      <c r="H1130" s="27">
        <v>8</v>
      </c>
      <c r="I1130" s="27">
        <f>VLOOKUP(F1130,mapping!$L$2:$P$92,2,0)</f>
        <v>0.60563909774436087</v>
      </c>
      <c r="J1130" s="27">
        <f>VLOOKUP($F1130,mapping!$L$2:$P$92,3,0)</f>
        <v>5781.58</v>
      </c>
      <c r="K1130" s="27" t="str">
        <f>VLOOKUP($F1130,mapping!$L$2:$P$92,4,0)</f>
        <v>Latin America and the Caribbean</v>
      </c>
      <c r="L1130" s="29">
        <f>$D1130*VLOOKUP($E1130,'Charts data'!$A$2:$B$11,2,0)*VLOOKUP($G1130,'Charts data'!$A$14:$B$18,2,0)/IF('Charts data'!$E$3=1,I1130,1)/IF('Charts data'!$E$4=1,J1130,1)</f>
        <v>15840</v>
      </c>
    </row>
    <row r="1131" spans="1:12" x14ac:dyDescent="0.25">
      <c r="A1131" s="27" t="s">
        <v>926</v>
      </c>
      <c r="B1131" s="27">
        <v>19068</v>
      </c>
      <c r="C1131" s="27" t="s">
        <v>2</v>
      </c>
      <c r="D1131" s="28">
        <f>B1131*VLOOKUP(C1131,tblXrate[],2,0)</f>
        <v>19068</v>
      </c>
      <c r="E1131" s="27" t="s">
        <v>51</v>
      </c>
      <c r="F1131" s="27" t="s">
        <v>52</v>
      </c>
      <c r="G1131" s="27" t="s">
        <v>2273</v>
      </c>
      <c r="H1131" s="27">
        <v>20</v>
      </c>
      <c r="I1131" s="27">
        <f>VLOOKUP(F1131,mapping!$L$2:$P$92,2,0)</f>
        <v>0.59108547804793632</v>
      </c>
      <c r="J1131" s="27">
        <f>VLOOKUP($F1131,mapping!$L$2:$P$92,3,0)</f>
        <v>2223.44</v>
      </c>
      <c r="K1131" s="27" t="str">
        <f>VLOOKUP($F1131,mapping!$L$2:$P$92,4,0)</f>
        <v>Developing Asia</v>
      </c>
      <c r="L1131" s="29">
        <f>$D1131*VLOOKUP($E1131,'Charts data'!$A$2:$B$11,2,0)*VLOOKUP($G1131,'Charts data'!$A$14:$B$18,2,0)/IF('Charts data'!$E$3=1,I1131,1)/IF('Charts data'!$E$4=1,J1131,1)</f>
        <v>19068</v>
      </c>
    </row>
    <row r="1132" spans="1:12" x14ac:dyDescent="0.25">
      <c r="A1132" s="27" t="s">
        <v>1088</v>
      </c>
      <c r="B1132" s="27">
        <v>18060</v>
      </c>
      <c r="C1132" s="27" t="s">
        <v>2</v>
      </c>
      <c r="D1132" s="28">
        <f>B1132*VLOOKUP(C1132,tblXrate[],2,0)</f>
        <v>18060</v>
      </c>
      <c r="E1132" s="27" t="s">
        <v>2145</v>
      </c>
      <c r="F1132" s="27" t="s">
        <v>52</v>
      </c>
      <c r="G1132" s="27" t="s">
        <v>2271</v>
      </c>
      <c r="H1132" s="27">
        <v>12</v>
      </c>
      <c r="I1132" s="27">
        <f>VLOOKUP(F1132,mapping!$L$2:$P$92,2,0)</f>
        <v>0.59108547804793632</v>
      </c>
      <c r="J1132" s="27">
        <f>VLOOKUP($F1132,mapping!$L$2:$P$92,3,0)</f>
        <v>2223.44</v>
      </c>
      <c r="K1132" s="27" t="str">
        <f>VLOOKUP($F1132,mapping!$L$2:$P$92,4,0)</f>
        <v>Developing Asia</v>
      </c>
      <c r="L1132" s="29">
        <f>$D1132*VLOOKUP($E1132,'Charts data'!$A$2:$B$11,2,0)*VLOOKUP($G1132,'Charts data'!$A$14:$B$18,2,0)/IF('Charts data'!$E$3=1,I1132,1)/IF('Charts data'!$E$4=1,J1132,1)</f>
        <v>18060</v>
      </c>
    </row>
    <row r="1133" spans="1:12" x14ac:dyDescent="0.25">
      <c r="A1133" s="27" t="s">
        <v>1428</v>
      </c>
      <c r="B1133" s="27">
        <v>12500</v>
      </c>
      <c r="C1133" s="27" t="s">
        <v>2</v>
      </c>
      <c r="D1133" s="28">
        <f>B1133*VLOOKUP(C1133,tblXrate[],2,0)</f>
        <v>12500</v>
      </c>
      <c r="E1133" s="27" t="s">
        <v>23</v>
      </c>
      <c r="F1133" s="27" t="s">
        <v>52</v>
      </c>
      <c r="G1133" s="27" t="s">
        <v>2272</v>
      </c>
      <c r="H1133" s="27">
        <v>7</v>
      </c>
      <c r="I1133" s="27">
        <f>VLOOKUP(F1133,mapping!$L$2:$P$92,2,0)</f>
        <v>0.59108547804793632</v>
      </c>
      <c r="J1133" s="27">
        <f>VLOOKUP($F1133,mapping!$L$2:$P$92,3,0)</f>
        <v>2223.44</v>
      </c>
      <c r="K1133" s="27" t="str">
        <f>VLOOKUP($F1133,mapping!$L$2:$P$92,4,0)</f>
        <v>Developing Asia</v>
      </c>
      <c r="L1133" s="29">
        <f>$D1133*VLOOKUP($E1133,'Charts data'!$A$2:$B$11,2,0)*VLOOKUP($G1133,'Charts data'!$A$14:$B$18,2,0)/IF('Charts data'!$E$3=1,I1133,1)/IF('Charts data'!$E$4=1,J1133,1)</f>
        <v>12500</v>
      </c>
    </row>
    <row r="1134" spans="1:12" x14ac:dyDescent="0.25">
      <c r="A1134" s="27" t="s">
        <v>1766</v>
      </c>
      <c r="B1134" s="27">
        <v>4019</v>
      </c>
      <c r="C1134" s="27" t="s">
        <v>2</v>
      </c>
      <c r="D1134" s="28">
        <f>B1134*VLOOKUP(C1134,tblXrate[],2,0)</f>
        <v>4019</v>
      </c>
      <c r="E1134" s="27" t="s">
        <v>23</v>
      </c>
      <c r="F1134" s="27" t="s">
        <v>52</v>
      </c>
      <c r="G1134" s="27" t="s">
        <v>2272</v>
      </c>
      <c r="H1134" s="27">
        <v>3</v>
      </c>
      <c r="I1134" s="27">
        <f>VLOOKUP(F1134,mapping!$L$2:$P$92,2,0)</f>
        <v>0.59108547804793632</v>
      </c>
      <c r="J1134" s="27">
        <f>VLOOKUP($F1134,mapping!$L$2:$P$92,3,0)</f>
        <v>2223.44</v>
      </c>
      <c r="K1134" s="27" t="str">
        <f>VLOOKUP($F1134,mapping!$L$2:$P$92,4,0)</f>
        <v>Developing Asia</v>
      </c>
      <c r="L1134" s="29">
        <f>$D1134*VLOOKUP($E1134,'Charts data'!$A$2:$B$11,2,0)*VLOOKUP($G1134,'Charts data'!$A$14:$B$18,2,0)/IF('Charts data'!$E$3=1,I1134,1)/IF('Charts data'!$E$4=1,J1134,1)</f>
        <v>4019</v>
      </c>
    </row>
    <row r="1135" spans="1:12" x14ac:dyDescent="0.25">
      <c r="A1135" s="27" t="s">
        <v>1771</v>
      </c>
      <c r="B1135" s="27">
        <v>86000</v>
      </c>
      <c r="C1135" s="27" t="s">
        <v>2</v>
      </c>
      <c r="D1135" s="28">
        <f>B1135*VLOOKUP(C1135,tblXrate[],2,0)</f>
        <v>86000</v>
      </c>
      <c r="E1135" s="27" t="s">
        <v>7</v>
      </c>
      <c r="F1135" s="27" t="s">
        <v>52</v>
      </c>
      <c r="G1135" s="27" t="s">
        <v>2273</v>
      </c>
      <c r="H1135" s="27">
        <v>3</v>
      </c>
      <c r="I1135" s="27">
        <f>VLOOKUP(F1135,mapping!$L$2:$P$92,2,0)</f>
        <v>0.59108547804793632</v>
      </c>
      <c r="J1135" s="27">
        <f>VLOOKUP($F1135,mapping!$L$2:$P$92,3,0)</f>
        <v>2223.44</v>
      </c>
      <c r="K1135" s="27" t="str">
        <f>VLOOKUP($F1135,mapping!$L$2:$P$92,4,0)</f>
        <v>Developing Asia</v>
      </c>
      <c r="L1135" s="29">
        <f>$D1135*VLOOKUP($E1135,'Charts data'!$A$2:$B$11,2,0)*VLOOKUP($G1135,'Charts data'!$A$14:$B$18,2,0)/IF('Charts data'!$E$3=1,I1135,1)/IF('Charts data'!$E$4=1,J1135,1)</f>
        <v>86000</v>
      </c>
    </row>
    <row r="1136" spans="1:12" x14ac:dyDescent="0.25">
      <c r="A1136" s="27" t="s">
        <v>207</v>
      </c>
      <c r="B1136" s="27">
        <v>19200</v>
      </c>
      <c r="C1136" s="27" t="s">
        <v>2</v>
      </c>
      <c r="D1136" s="28">
        <f>B1136*VLOOKUP(C1136,tblXrate[],2,0)</f>
        <v>19200</v>
      </c>
      <c r="E1136" s="27" t="s">
        <v>7</v>
      </c>
      <c r="F1136" s="27" t="s">
        <v>27</v>
      </c>
      <c r="G1136" s="27" t="s">
        <v>2272</v>
      </c>
      <c r="H1136" s="27"/>
      <c r="I1136" s="27">
        <f>VLOOKUP(F1136,mapping!$L$2:$P$92,2,0)</f>
        <v>2.5064980931304421</v>
      </c>
      <c r="J1136" s="27">
        <f>VLOOKUP($F1136,mapping!$L$2:$P$92,3,0)</f>
        <v>13539.84</v>
      </c>
      <c r="K1136" s="27" t="str">
        <f>VLOOKUP($F1136,mapping!$L$2:$P$92,4,0)</f>
        <v>Central and Eastern Europe</v>
      </c>
      <c r="L1136" s="29">
        <f>$D1136*VLOOKUP($E1136,'Charts data'!$A$2:$B$11,2,0)*VLOOKUP($G1136,'Charts data'!$A$14:$B$18,2,0)/IF('Charts data'!$E$3=1,I1136,1)/IF('Charts data'!$E$4=1,J1136,1)</f>
        <v>19200</v>
      </c>
    </row>
    <row r="1137" spans="1:12" x14ac:dyDescent="0.25">
      <c r="A1137" s="27" t="s">
        <v>415</v>
      </c>
      <c r="B1137" s="27">
        <v>96000</v>
      </c>
      <c r="C1137" s="27" t="s">
        <v>2</v>
      </c>
      <c r="D1137" s="28">
        <f>B1137*VLOOKUP(C1137,tblXrate[],2,0)</f>
        <v>96000</v>
      </c>
      <c r="E1137" s="27" t="s">
        <v>53</v>
      </c>
      <c r="F1137" s="27" t="s">
        <v>27</v>
      </c>
      <c r="G1137" s="27" t="s">
        <v>2272</v>
      </c>
      <c r="H1137" s="27"/>
      <c r="I1137" s="27">
        <f>VLOOKUP(F1137,mapping!$L$2:$P$92,2,0)</f>
        <v>2.5064980931304421</v>
      </c>
      <c r="J1137" s="27">
        <f>VLOOKUP($F1137,mapping!$L$2:$P$92,3,0)</f>
        <v>13539.84</v>
      </c>
      <c r="K1137" s="27" t="str">
        <f>VLOOKUP($F1137,mapping!$L$2:$P$92,4,0)</f>
        <v>Central and Eastern Europe</v>
      </c>
      <c r="L1137" s="29">
        <f>$D1137*VLOOKUP($E1137,'Charts data'!$A$2:$B$11,2,0)*VLOOKUP($G1137,'Charts data'!$A$14:$B$18,2,0)/IF('Charts data'!$E$3=1,I1137,1)/IF('Charts data'!$E$4=1,J1137,1)</f>
        <v>96000</v>
      </c>
    </row>
    <row r="1138" spans="1:12" x14ac:dyDescent="0.25">
      <c r="A1138" s="27" t="s">
        <v>1205</v>
      </c>
      <c r="B1138" s="27">
        <v>18000</v>
      </c>
      <c r="C1138" s="27" t="s">
        <v>2</v>
      </c>
      <c r="D1138" s="28">
        <f>B1138*VLOOKUP(C1138,tblXrate[],2,0)</f>
        <v>18000</v>
      </c>
      <c r="E1138" s="27" t="s">
        <v>7</v>
      </c>
      <c r="F1138" s="27" t="s">
        <v>27</v>
      </c>
      <c r="G1138" s="27" t="s">
        <v>2271</v>
      </c>
      <c r="H1138" s="27">
        <v>7</v>
      </c>
      <c r="I1138" s="27">
        <f>VLOOKUP(F1138,mapping!$L$2:$P$92,2,0)</f>
        <v>2.5064980931304421</v>
      </c>
      <c r="J1138" s="27">
        <f>VLOOKUP($F1138,mapping!$L$2:$P$92,3,0)</f>
        <v>13539.84</v>
      </c>
      <c r="K1138" s="27" t="str">
        <f>VLOOKUP($F1138,mapping!$L$2:$P$92,4,0)</f>
        <v>Central and Eastern Europe</v>
      </c>
      <c r="L1138" s="29">
        <f>$D1138*VLOOKUP($E1138,'Charts data'!$A$2:$B$11,2,0)*VLOOKUP($G1138,'Charts data'!$A$14:$B$18,2,0)/IF('Charts data'!$E$3=1,I1138,1)/IF('Charts data'!$E$4=1,J1138,1)</f>
        <v>18000</v>
      </c>
    </row>
    <row r="1139" spans="1:12" x14ac:dyDescent="0.25">
      <c r="A1139" s="27" t="s">
        <v>1317</v>
      </c>
      <c r="B1139" s="27">
        <v>28000</v>
      </c>
      <c r="C1139" s="27" t="s">
        <v>2</v>
      </c>
      <c r="D1139" s="28">
        <f>B1139*VLOOKUP(C1139,tblXrate[],2,0)</f>
        <v>28000</v>
      </c>
      <c r="E1139" s="27" t="s">
        <v>19</v>
      </c>
      <c r="F1139" s="27" t="s">
        <v>27</v>
      </c>
      <c r="G1139" s="27" t="s">
        <v>2271</v>
      </c>
      <c r="H1139" s="27">
        <v>5</v>
      </c>
      <c r="I1139" s="27">
        <f>VLOOKUP(F1139,mapping!$L$2:$P$92,2,0)</f>
        <v>2.5064980931304421</v>
      </c>
      <c r="J1139" s="27">
        <f>VLOOKUP($F1139,mapping!$L$2:$P$92,3,0)</f>
        <v>13539.84</v>
      </c>
      <c r="K1139" s="27" t="str">
        <f>VLOOKUP($F1139,mapping!$L$2:$P$92,4,0)</f>
        <v>Central and Eastern Europe</v>
      </c>
      <c r="L1139" s="29">
        <f>$D1139*VLOOKUP($E1139,'Charts data'!$A$2:$B$11,2,0)*VLOOKUP($G1139,'Charts data'!$A$14:$B$18,2,0)/IF('Charts data'!$E$3=1,I1139,1)/IF('Charts data'!$E$4=1,J1139,1)</f>
        <v>28000</v>
      </c>
    </row>
    <row r="1140" spans="1:12" x14ac:dyDescent="0.25">
      <c r="A1140" s="27" t="s">
        <v>183</v>
      </c>
      <c r="B1140" s="27">
        <v>44000</v>
      </c>
      <c r="C1140" s="27" t="s">
        <v>2</v>
      </c>
      <c r="D1140" s="28">
        <f>B1140*VLOOKUP(C1140,tblXrate[],2,0)</f>
        <v>44000</v>
      </c>
      <c r="E1140" s="27" t="s">
        <v>2147</v>
      </c>
      <c r="F1140" s="27" t="s">
        <v>12</v>
      </c>
      <c r="G1140" s="27" t="s">
        <v>2274</v>
      </c>
      <c r="H1140" s="27"/>
      <c r="I1140" s="27">
        <f>VLOOKUP(F1140,mapping!$L$2:$P$92,2,0)</f>
        <v>0.87657561290420927</v>
      </c>
      <c r="J1140" s="27">
        <f>VLOOKUP($F1140,mapping!$L$2:$P$92,3,0)</f>
        <v>22413.45</v>
      </c>
      <c r="K1140" s="27" t="str">
        <f>VLOOKUP($F1140,mapping!$L$2:$P$92,4,0)</f>
        <v>Euro Area</v>
      </c>
      <c r="L1140" s="29">
        <f>$D1140*VLOOKUP($E1140,'Charts data'!$A$2:$B$11,2,0)*VLOOKUP($G1140,'Charts data'!$A$14:$B$18,2,0)/IF('Charts data'!$E$3=1,I1140,1)/IF('Charts data'!$E$4=1,J1140,1)</f>
        <v>44000</v>
      </c>
    </row>
    <row r="1141" spans="1:12" x14ac:dyDescent="0.25">
      <c r="A1141" s="27" t="s">
        <v>1030</v>
      </c>
      <c r="B1141" s="27">
        <v>62000</v>
      </c>
      <c r="C1141" s="27" t="s">
        <v>2</v>
      </c>
      <c r="D1141" s="28">
        <f>B1141*VLOOKUP(C1141,tblXrate[],2,0)</f>
        <v>62000</v>
      </c>
      <c r="E1141" s="27" t="s">
        <v>19</v>
      </c>
      <c r="F1141" s="27" t="s">
        <v>106</v>
      </c>
      <c r="G1141" s="27" t="s">
        <v>2273</v>
      </c>
      <c r="H1141" s="27">
        <v>11</v>
      </c>
      <c r="I1141" s="27">
        <f>VLOOKUP(F1141,mapping!$L$2:$P$92,2,0)</f>
        <v>0.95521978021978016</v>
      </c>
      <c r="J1141" s="27">
        <f>VLOOKUP($F1141,mapping!$L$2:$P$92,3,0)</f>
        <v>98329.49</v>
      </c>
      <c r="K1141" s="27" t="str">
        <f>VLOOKUP($F1141,mapping!$L$2:$P$92,4,0)</f>
        <v>Middle East and North Africa</v>
      </c>
      <c r="L1141" s="29">
        <f>$D1141*VLOOKUP($E1141,'Charts data'!$A$2:$B$11,2,0)*VLOOKUP($G1141,'Charts data'!$A$14:$B$18,2,0)/IF('Charts data'!$E$3=1,I1141,1)/IF('Charts data'!$E$4=1,J1141,1)</f>
        <v>62000</v>
      </c>
    </row>
    <row r="1142" spans="1:12" x14ac:dyDescent="0.25">
      <c r="A1142" s="27" t="s">
        <v>1323</v>
      </c>
      <c r="B1142" s="27">
        <v>48000</v>
      </c>
      <c r="C1142" s="27" t="s">
        <v>2</v>
      </c>
      <c r="D1142" s="28">
        <f>B1142*VLOOKUP(C1142,tblXrate[],2,0)</f>
        <v>48000</v>
      </c>
      <c r="E1142" s="27" t="s">
        <v>62</v>
      </c>
      <c r="F1142" s="27" t="s">
        <v>106</v>
      </c>
      <c r="G1142" s="27" t="s">
        <v>2272</v>
      </c>
      <c r="H1142" s="27">
        <v>10</v>
      </c>
      <c r="I1142" s="27">
        <f>VLOOKUP(F1142,mapping!$L$2:$P$92,2,0)</f>
        <v>0.95521978021978016</v>
      </c>
      <c r="J1142" s="27">
        <f>VLOOKUP($F1142,mapping!$L$2:$P$92,3,0)</f>
        <v>98329.49</v>
      </c>
      <c r="K1142" s="27" t="str">
        <f>VLOOKUP($F1142,mapping!$L$2:$P$92,4,0)</f>
        <v>Middle East and North Africa</v>
      </c>
      <c r="L1142" s="29">
        <f>$D1142*VLOOKUP($E1142,'Charts data'!$A$2:$B$11,2,0)*VLOOKUP($G1142,'Charts data'!$A$14:$B$18,2,0)/IF('Charts data'!$E$3=1,I1142,1)/IF('Charts data'!$E$4=1,J1142,1)</f>
        <v>48000</v>
      </c>
    </row>
    <row r="1143" spans="1:12" x14ac:dyDescent="0.25">
      <c r="A1143" s="27" t="s">
        <v>1364</v>
      </c>
      <c r="B1143" s="27">
        <v>49200</v>
      </c>
      <c r="C1143" s="27" t="s">
        <v>2</v>
      </c>
      <c r="D1143" s="28">
        <f>B1143*VLOOKUP(C1143,tblXrate[],2,0)</f>
        <v>49200</v>
      </c>
      <c r="E1143" s="27" t="s">
        <v>51</v>
      </c>
      <c r="F1143" s="27" t="s">
        <v>106</v>
      </c>
      <c r="G1143" s="27" t="s">
        <v>2272</v>
      </c>
      <c r="H1143" s="27">
        <v>25</v>
      </c>
      <c r="I1143" s="27">
        <f>VLOOKUP(F1143,mapping!$L$2:$P$92,2,0)</f>
        <v>0.95521978021978016</v>
      </c>
      <c r="J1143" s="27">
        <f>VLOOKUP($F1143,mapping!$L$2:$P$92,3,0)</f>
        <v>98329.49</v>
      </c>
      <c r="K1143" s="27" t="str">
        <f>VLOOKUP($F1143,mapping!$L$2:$P$92,4,0)</f>
        <v>Middle East and North Africa</v>
      </c>
      <c r="L1143" s="29">
        <f>$D1143*VLOOKUP($E1143,'Charts data'!$A$2:$B$11,2,0)*VLOOKUP($G1143,'Charts data'!$A$14:$B$18,2,0)/IF('Charts data'!$E$3=1,I1143,1)/IF('Charts data'!$E$4=1,J1143,1)</f>
        <v>49200</v>
      </c>
    </row>
    <row r="1144" spans="1:12" x14ac:dyDescent="0.25">
      <c r="A1144" s="27" t="s">
        <v>630</v>
      </c>
      <c r="B1144" s="27">
        <v>5250</v>
      </c>
      <c r="C1144" s="27" t="s">
        <v>2</v>
      </c>
      <c r="D1144" s="28">
        <f>B1144*VLOOKUP(C1144,tblXrate[],2,0)</f>
        <v>5250</v>
      </c>
      <c r="E1144" s="27" t="s">
        <v>23</v>
      </c>
      <c r="F1144" s="27" t="s">
        <v>71</v>
      </c>
      <c r="G1144" s="27" t="s">
        <v>2271</v>
      </c>
      <c r="H1144" s="27"/>
      <c r="I1144" s="27">
        <f>VLOOKUP(F1144,mapping!$L$2:$P$92,2,0)</f>
        <v>0.60315326326081642</v>
      </c>
      <c r="J1144" s="27">
        <f>VLOOKUP($F1144,mapping!$L$2:$P$92,3,0)</f>
        <v>3210.3</v>
      </c>
      <c r="K1144" s="27" t="str">
        <f>VLOOKUP($F1144,mapping!$L$2:$P$92,4,0)</f>
        <v>Commonwealth of Independent States</v>
      </c>
      <c r="L1144" s="29">
        <f>$D1144*VLOOKUP($E1144,'Charts data'!$A$2:$B$11,2,0)*VLOOKUP($G1144,'Charts data'!$A$14:$B$18,2,0)/IF('Charts data'!$E$3=1,I1144,1)/IF('Charts data'!$E$4=1,J1144,1)</f>
        <v>5250</v>
      </c>
    </row>
    <row r="1145" spans="1:12" x14ac:dyDescent="0.25">
      <c r="A1145" s="27" t="s">
        <v>575</v>
      </c>
      <c r="B1145" s="27">
        <v>19200</v>
      </c>
      <c r="C1145" s="27" t="s">
        <v>2</v>
      </c>
      <c r="D1145" s="28">
        <f>B1145*VLOOKUP(C1145,tblXrate[],2,0)</f>
        <v>19200</v>
      </c>
      <c r="E1145" s="27" t="s">
        <v>19</v>
      </c>
      <c r="F1145" s="27" t="s">
        <v>26</v>
      </c>
      <c r="G1145" s="27" t="s">
        <v>2273</v>
      </c>
      <c r="H1145" s="27"/>
      <c r="I1145" s="27">
        <f>VLOOKUP(F1145,mapping!$L$2:$P$92,2,0)</f>
        <v>0.61647227582438224</v>
      </c>
      <c r="J1145" s="27">
        <f>VLOOKUP($F1145,mapping!$L$2:$P$92,3,0)</f>
        <v>8862.8700000000008</v>
      </c>
      <c r="K1145" s="27" t="str">
        <f>VLOOKUP($F1145,mapping!$L$2:$P$92,4,0)</f>
        <v>Central and Eastern Europe</v>
      </c>
      <c r="L1145" s="29">
        <f>$D1145*VLOOKUP($E1145,'Charts data'!$A$2:$B$11,2,0)*VLOOKUP($G1145,'Charts data'!$A$14:$B$18,2,0)/IF('Charts data'!$E$3=1,I1145,1)/IF('Charts data'!$E$4=1,J1145,1)</f>
        <v>19200</v>
      </c>
    </row>
    <row r="1146" spans="1:12" x14ac:dyDescent="0.25">
      <c r="A1146" s="27" t="s">
        <v>587</v>
      </c>
      <c r="B1146" s="27">
        <v>8500</v>
      </c>
      <c r="C1146" s="27" t="s">
        <v>2</v>
      </c>
      <c r="D1146" s="28">
        <f>B1146*VLOOKUP(C1146,tblXrate[],2,0)</f>
        <v>8500</v>
      </c>
      <c r="E1146" s="27" t="s">
        <v>51</v>
      </c>
      <c r="F1146" s="27" t="s">
        <v>26</v>
      </c>
      <c r="G1146" s="27" t="s">
        <v>2272</v>
      </c>
      <c r="H1146" s="27"/>
      <c r="I1146" s="27">
        <f>VLOOKUP(F1146,mapping!$L$2:$P$92,2,0)</f>
        <v>0.61647227582438224</v>
      </c>
      <c r="J1146" s="27">
        <f>VLOOKUP($F1146,mapping!$L$2:$P$92,3,0)</f>
        <v>8862.8700000000008</v>
      </c>
      <c r="K1146" s="27" t="str">
        <f>VLOOKUP($F1146,mapping!$L$2:$P$92,4,0)</f>
        <v>Central and Eastern Europe</v>
      </c>
      <c r="L1146" s="29">
        <f>$D1146*VLOOKUP($E1146,'Charts data'!$A$2:$B$11,2,0)*VLOOKUP($G1146,'Charts data'!$A$14:$B$18,2,0)/IF('Charts data'!$E$3=1,I1146,1)/IF('Charts data'!$E$4=1,J1146,1)</f>
        <v>8500</v>
      </c>
    </row>
    <row r="1147" spans="1:12" x14ac:dyDescent="0.25">
      <c r="A1147" s="27" t="s">
        <v>593</v>
      </c>
      <c r="B1147" s="27">
        <v>30000</v>
      </c>
      <c r="C1147" s="27" t="s">
        <v>2</v>
      </c>
      <c r="D1147" s="28">
        <f>B1147*VLOOKUP(C1147,tblXrate[],2,0)</f>
        <v>30000</v>
      </c>
      <c r="E1147" s="27" t="s">
        <v>2145</v>
      </c>
      <c r="F1147" s="27" t="s">
        <v>26</v>
      </c>
      <c r="G1147" s="27" t="s">
        <v>2274</v>
      </c>
      <c r="H1147" s="27"/>
      <c r="I1147" s="27">
        <f>VLOOKUP(F1147,mapping!$L$2:$P$92,2,0)</f>
        <v>0.61647227582438224</v>
      </c>
      <c r="J1147" s="27">
        <f>VLOOKUP($F1147,mapping!$L$2:$P$92,3,0)</f>
        <v>8862.8700000000008</v>
      </c>
      <c r="K1147" s="27" t="str">
        <f>VLOOKUP($F1147,mapping!$L$2:$P$92,4,0)</f>
        <v>Central and Eastern Europe</v>
      </c>
      <c r="L1147" s="29">
        <f>$D1147*VLOOKUP($E1147,'Charts data'!$A$2:$B$11,2,0)*VLOOKUP($G1147,'Charts data'!$A$14:$B$18,2,0)/IF('Charts data'!$E$3=1,I1147,1)/IF('Charts data'!$E$4=1,J1147,1)</f>
        <v>30000</v>
      </c>
    </row>
    <row r="1148" spans="1:12" x14ac:dyDescent="0.25">
      <c r="A1148" s="27" t="s">
        <v>618</v>
      </c>
      <c r="B1148" s="27">
        <v>7500</v>
      </c>
      <c r="C1148" s="27" t="s">
        <v>2</v>
      </c>
      <c r="D1148" s="28">
        <f>B1148*VLOOKUP(C1148,tblXrate[],2,0)</f>
        <v>7500</v>
      </c>
      <c r="E1148" s="27" t="s">
        <v>7</v>
      </c>
      <c r="F1148" s="27" t="s">
        <v>26</v>
      </c>
      <c r="G1148" s="27" t="s">
        <v>2273</v>
      </c>
      <c r="H1148" s="27"/>
      <c r="I1148" s="27">
        <f>VLOOKUP(F1148,mapping!$L$2:$P$92,2,0)</f>
        <v>0.61647227582438224</v>
      </c>
      <c r="J1148" s="27">
        <f>VLOOKUP($F1148,mapping!$L$2:$P$92,3,0)</f>
        <v>8862.8700000000008</v>
      </c>
      <c r="K1148" s="27" t="str">
        <f>VLOOKUP($F1148,mapping!$L$2:$P$92,4,0)</f>
        <v>Central and Eastern Europe</v>
      </c>
      <c r="L1148" s="29">
        <f>$D1148*VLOOKUP($E1148,'Charts data'!$A$2:$B$11,2,0)*VLOOKUP($G1148,'Charts data'!$A$14:$B$18,2,0)/IF('Charts data'!$E$3=1,I1148,1)/IF('Charts data'!$E$4=1,J1148,1)</f>
        <v>7500</v>
      </c>
    </row>
    <row r="1149" spans="1:12" x14ac:dyDescent="0.25">
      <c r="A1149" s="27" t="s">
        <v>1626</v>
      </c>
      <c r="B1149" s="27">
        <v>15000</v>
      </c>
      <c r="C1149" s="27" t="s">
        <v>2</v>
      </c>
      <c r="D1149" s="28">
        <f>B1149*VLOOKUP(C1149,tblXrate[],2,0)</f>
        <v>15000</v>
      </c>
      <c r="E1149" s="27" t="s">
        <v>19</v>
      </c>
      <c r="F1149" s="27" t="s">
        <v>26</v>
      </c>
      <c r="G1149" s="27" t="s">
        <v>2272</v>
      </c>
      <c r="H1149" s="27">
        <v>5</v>
      </c>
      <c r="I1149" s="27">
        <f>VLOOKUP(F1149,mapping!$L$2:$P$92,2,0)</f>
        <v>0.61647227582438224</v>
      </c>
      <c r="J1149" s="27">
        <f>VLOOKUP($F1149,mapping!$L$2:$P$92,3,0)</f>
        <v>8862.8700000000008</v>
      </c>
      <c r="K1149" s="27" t="str">
        <f>VLOOKUP($F1149,mapping!$L$2:$P$92,4,0)</f>
        <v>Central and Eastern Europe</v>
      </c>
      <c r="L1149" s="29">
        <f>$D1149*VLOOKUP($E1149,'Charts data'!$A$2:$B$11,2,0)*VLOOKUP($G1149,'Charts data'!$A$14:$B$18,2,0)/IF('Charts data'!$E$3=1,I1149,1)/IF('Charts data'!$E$4=1,J1149,1)</f>
        <v>15000</v>
      </c>
    </row>
    <row r="1150" spans="1:12" x14ac:dyDescent="0.25">
      <c r="A1150" s="27" t="s">
        <v>204</v>
      </c>
      <c r="B1150" s="27">
        <v>41000</v>
      </c>
      <c r="C1150" s="27" t="s">
        <v>2</v>
      </c>
      <c r="D1150" s="28">
        <f>B1150*VLOOKUP(C1150,tblXrate[],2,0)</f>
        <v>41000</v>
      </c>
      <c r="E1150" s="27" t="s">
        <v>19</v>
      </c>
      <c r="F1150" s="27" t="s">
        <v>22</v>
      </c>
      <c r="G1150" s="27" t="s">
        <v>2273</v>
      </c>
      <c r="H1150" s="27"/>
      <c r="I1150" s="27">
        <f>VLOOKUP(F1150,mapping!$L$2:$P$92,2,0)</f>
        <v>0.7009199343694118</v>
      </c>
      <c r="J1150" s="27">
        <f>VLOOKUP($F1150,mapping!$L$2:$P$92,3,0)</f>
        <v>12993.36</v>
      </c>
      <c r="K1150" s="27" t="str">
        <f>VLOOKUP($F1150,mapping!$L$2:$P$92,4,0)</f>
        <v>Commonwealth of Independent States</v>
      </c>
      <c r="L1150" s="29">
        <f>$D1150*VLOOKUP($E1150,'Charts data'!$A$2:$B$11,2,0)*VLOOKUP($G1150,'Charts data'!$A$14:$B$18,2,0)/IF('Charts data'!$E$3=1,I1150,1)/IF('Charts data'!$E$4=1,J1150,1)</f>
        <v>41000</v>
      </c>
    </row>
    <row r="1151" spans="1:12" x14ac:dyDescent="0.25">
      <c r="A1151" s="27" t="s">
        <v>450</v>
      </c>
      <c r="B1151" s="27">
        <v>36000</v>
      </c>
      <c r="C1151" s="27" t="s">
        <v>2</v>
      </c>
      <c r="D1151" s="28">
        <f>B1151*VLOOKUP(C1151,tblXrate[],2,0)</f>
        <v>36000</v>
      </c>
      <c r="E1151" s="27" t="s">
        <v>23</v>
      </c>
      <c r="F1151" s="27" t="s">
        <v>22</v>
      </c>
      <c r="G1151" s="27" t="s">
        <v>2271</v>
      </c>
      <c r="H1151" s="27"/>
      <c r="I1151" s="27">
        <f>VLOOKUP(F1151,mapping!$L$2:$P$92,2,0)</f>
        <v>0.7009199343694118</v>
      </c>
      <c r="J1151" s="27">
        <f>VLOOKUP($F1151,mapping!$L$2:$P$92,3,0)</f>
        <v>12993.36</v>
      </c>
      <c r="K1151" s="27" t="str">
        <f>VLOOKUP($F1151,mapping!$L$2:$P$92,4,0)</f>
        <v>Commonwealth of Independent States</v>
      </c>
      <c r="L1151" s="29">
        <f>$D1151*VLOOKUP($E1151,'Charts data'!$A$2:$B$11,2,0)*VLOOKUP($G1151,'Charts data'!$A$14:$B$18,2,0)/IF('Charts data'!$E$3=1,I1151,1)/IF('Charts data'!$E$4=1,J1151,1)</f>
        <v>36000</v>
      </c>
    </row>
    <row r="1152" spans="1:12" x14ac:dyDescent="0.25">
      <c r="A1152" s="27" t="s">
        <v>558</v>
      </c>
      <c r="B1152" s="27">
        <v>99147</v>
      </c>
      <c r="C1152" s="27" t="s">
        <v>2</v>
      </c>
      <c r="D1152" s="28">
        <f>B1152*VLOOKUP(C1152,tblXrate[],2,0)</f>
        <v>99147</v>
      </c>
      <c r="E1152" s="27" t="s">
        <v>23</v>
      </c>
      <c r="F1152" s="27" t="s">
        <v>22</v>
      </c>
      <c r="G1152" s="27" t="s">
        <v>2271</v>
      </c>
      <c r="H1152" s="27"/>
      <c r="I1152" s="27">
        <f>VLOOKUP(F1152,mapping!$L$2:$P$92,2,0)</f>
        <v>0.7009199343694118</v>
      </c>
      <c r="J1152" s="27">
        <f>VLOOKUP($F1152,mapping!$L$2:$P$92,3,0)</f>
        <v>12993.36</v>
      </c>
      <c r="K1152" s="27" t="str">
        <f>VLOOKUP($F1152,mapping!$L$2:$P$92,4,0)</f>
        <v>Commonwealth of Independent States</v>
      </c>
      <c r="L1152" s="29">
        <f>$D1152*VLOOKUP($E1152,'Charts data'!$A$2:$B$11,2,0)*VLOOKUP($G1152,'Charts data'!$A$14:$B$18,2,0)/IF('Charts data'!$E$3=1,I1152,1)/IF('Charts data'!$E$4=1,J1152,1)</f>
        <v>99147</v>
      </c>
    </row>
    <row r="1153" spans="1:12" x14ac:dyDescent="0.25">
      <c r="A1153" s="27" t="s">
        <v>580</v>
      </c>
      <c r="B1153" s="27">
        <v>35000</v>
      </c>
      <c r="C1153" s="27" t="s">
        <v>2</v>
      </c>
      <c r="D1153" s="28">
        <f>B1153*VLOOKUP(C1153,tblXrate[],2,0)</f>
        <v>35000</v>
      </c>
      <c r="E1153" s="27" t="s">
        <v>7</v>
      </c>
      <c r="F1153" s="27" t="s">
        <v>22</v>
      </c>
      <c r="G1153" s="27" t="s">
        <v>2271</v>
      </c>
      <c r="H1153" s="27"/>
      <c r="I1153" s="27">
        <f>VLOOKUP(F1153,mapping!$L$2:$P$92,2,0)</f>
        <v>0.7009199343694118</v>
      </c>
      <c r="J1153" s="27">
        <f>VLOOKUP($F1153,mapping!$L$2:$P$92,3,0)</f>
        <v>12993.36</v>
      </c>
      <c r="K1153" s="27" t="str">
        <f>VLOOKUP($F1153,mapping!$L$2:$P$92,4,0)</f>
        <v>Commonwealth of Independent States</v>
      </c>
      <c r="L1153" s="29">
        <f>$D1153*VLOOKUP($E1153,'Charts data'!$A$2:$B$11,2,0)*VLOOKUP($G1153,'Charts data'!$A$14:$B$18,2,0)/IF('Charts data'!$E$3=1,I1153,1)/IF('Charts data'!$E$4=1,J1153,1)</f>
        <v>35000</v>
      </c>
    </row>
    <row r="1154" spans="1:12" x14ac:dyDescent="0.25">
      <c r="A1154" s="27" t="s">
        <v>694</v>
      </c>
      <c r="B1154" s="27">
        <v>72000</v>
      </c>
      <c r="C1154" s="27" t="s">
        <v>2</v>
      </c>
      <c r="D1154" s="28">
        <f>B1154*VLOOKUP(C1154,tblXrate[],2,0)</f>
        <v>72000</v>
      </c>
      <c r="E1154" s="27" t="s">
        <v>7</v>
      </c>
      <c r="F1154" s="27" t="s">
        <v>22</v>
      </c>
      <c r="G1154" s="27" t="s">
        <v>2272</v>
      </c>
      <c r="H1154" s="27"/>
      <c r="I1154" s="27">
        <f>VLOOKUP(F1154,mapping!$L$2:$P$92,2,0)</f>
        <v>0.7009199343694118</v>
      </c>
      <c r="J1154" s="27">
        <f>VLOOKUP($F1154,mapping!$L$2:$P$92,3,0)</f>
        <v>12993.36</v>
      </c>
      <c r="K1154" s="27" t="str">
        <f>VLOOKUP($F1154,mapping!$L$2:$P$92,4,0)</f>
        <v>Commonwealth of Independent States</v>
      </c>
      <c r="L1154" s="29">
        <f>$D1154*VLOOKUP($E1154,'Charts data'!$A$2:$B$11,2,0)*VLOOKUP($G1154,'Charts data'!$A$14:$B$18,2,0)/IF('Charts data'!$E$3=1,I1154,1)/IF('Charts data'!$E$4=1,J1154,1)</f>
        <v>72000</v>
      </c>
    </row>
    <row r="1155" spans="1:12" x14ac:dyDescent="0.25">
      <c r="A1155" s="27" t="s">
        <v>751</v>
      </c>
      <c r="B1155" s="27">
        <v>36000</v>
      </c>
      <c r="C1155" s="27" t="s">
        <v>2</v>
      </c>
      <c r="D1155" s="28">
        <f>B1155*VLOOKUP(C1155,tblXrate[],2,0)</f>
        <v>36000</v>
      </c>
      <c r="E1155" s="27" t="s">
        <v>53</v>
      </c>
      <c r="F1155" s="27" t="s">
        <v>22</v>
      </c>
      <c r="G1155" s="27" t="s">
        <v>2273</v>
      </c>
      <c r="H1155" s="27">
        <v>10</v>
      </c>
      <c r="I1155" s="27">
        <f>VLOOKUP(F1155,mapping!$L$2:$P$92,2,0)</f>
        <v>0.7009199343694118</v>
      </c>
      <c r="J1155" s="27">
        <f>VLOOKUP($F1155,mapping!$L$2:$P$92,3,0)</f>
        <v>12993.36</v>
      </c>
      <c r="K1155" s="27" t="str">
        <f>VLOOKUP($F1155,mapping!$L$2:$P$92,4,0)</f>
        <v>Commonwealth of Independent States</v>
      </c>
      <c r="L1155" s="29">
        <f>$D1155*VLOOKUP($E1155,'Charts data'!$A$2:$B$11,2,0)*VLOOKUP($G1155,'Charts data'!$A$14:$B$18,2,0)/IF('Charts data'!$E$3=1,I1155,1)/IF('Charts data'!$E$4=1,J1155,1)</f>
        <v>36000</v>
      </c>
    </row>
    <row r="1156" spans="1:12" x14ac:dyDescent="0.25">
      <c r="A1156" s="27" t="s">
        <v>888</v>
      </c>
      <c r="B1156" s="27">
        <v>60000</v>
      </c>
      <c r="C1156" s="27" t="s">
        <v>2</v>
      </c>
      <c r="D1156" s="28">
        <f>B1156*VLOOKUP(C1156,tblXrate[],2,0)</f>
        <v>60000</v>
      </c>
      <c r="E1156" s="27" t="s">
        <v>19</v>
      </c>
      <c r="F1156" s="27" t="s">
        <v>22</v>
      </c>
      <c r="G1156" s="27" t="s">
        <v>2271</v>
      </c>
      <c r="H1156" s="27">
        <v>10</v>
      </c>
      <c r="I1156" s="27">
        <f>VLOOKUP(F1156,mapping!$L$2:$P$92,2,0)</f>
        <v>0.7009199343694118</v>
      </c>
      <c r="J1156" s="27">
        <f>VLOOKUP($F1156,mapping!$L$2:$P$92,3,0)</f>
        <v>12993.36</v>
      </c>
      <c r="K1156" s="27" t="str">
        <f>VLOOKUP($F1156,mapping!$L$2:$P$92,4,0)</f>
        <v>Commonwealth of Independent States</v>
      </c>
      <c r="L1156" s="29">
        <f>$D1156*VLOOKUP($E1156,'Charts data'!$A$2:$B$11,2,0)*VLOOKUP($G1156,'Charts data'!$A$14:$B$18,2,0)/IF('Charts data'!$E$3=1,I1156,1)/IF('Charts data'!$E$4=1,J1156,1)</f>
        <v>60000</v>
      </c>
    </row>
    <row r="1157" spans="1:12" x14ac:dyDescent="0.25">
      <c r="A1157" s="27" t="s">
        <v>1840</v>
      </c>
      <c r="B1157" s="27">
        <v>100000</v>
      </c>
      <c r="C1157" s="27" t="s">
        <v>2</v>
      </c>
      <c r="D1157" s="28">
        <f>B1157*VLOOKUP(C1157,tblXrate[],2,0)</f>
        <v>100000</v>
      </c>
      <c r="E1157" s="27" t="s">
        <v>7</v>
      </c>
      <c r="F1157" s="27" t="s">
        <v>22</v>
      </c>
      <c r="G1157" s="27" t="s">
        <v>2273</v>
      </c>
      <c r="H1157" s="27">
        <v>6</v>
      </c>
      <c r="I1157" s="27">
        <f>VLOOKUP(F1157,mapping!$L$2:$P$92,2,0)</f>
        <v>0.7009199343694118</v>
      </c>
      <c r="J1157" s="27">
        <f>VLOOKUP($F1157,mapping!$L$2:$P$92,3,0)</f>
        <v>12993.36</v>
      </c>
      <c r="K1157" s="27" t="str">
        <f>VLOOKUP($F1157,mapping!$L$2:$P$92,4,0)</f>
        <v>Commonwealth of Independent States</v>
      </c>
      <c r="L1157" s="29">
        <f>$D1157*VLOOKUP($E1157,'Charts data'!$A$2:$B$11,2,0)*VLOOKUP($G1157,'Charts data'!$A$14:$B$18,2,0)/IF('Charts data'!$E$3=1,I1157,1)/IF('Charts data'!$E$4=1,J1157,1)</f>
        <v>100000</v>
      </c>
    </row>
    <row r="1158" spans="1:12" x14ac:dyDescent="0.25">
      <c r="A1158" s="27" t="s">
        <v>1963</v>
      </c>
      <c r="B1158" s="27">
        <v>24000</v>
      </c>
      <c r="C1158" s="27" t="s">
        <v>2</v>
      </c>
      <c r="D1158" s="28">
        <f>B1158*VLOOKUP(C1158,tblXrate[],2,0)</f>
        <v>24000</v>
      </c>
      <c r="E1158" s="27" t="s">
        <v>62</v>
      </c>
      <c r="F1158" s="27" t="s">
        <v>22</v>
      </c>
      <c r="G1158" s="27" t="s">
        <v>2273</v>
      </c>
      <c r="H1158" s="27">
        <v>23</v>
      </c>
      <c r="I1158" s="27">
        <f>VLOOKUP(F1158,mapping!$L$2:$P$92,2,0)</f>
        <v>0.7009199343694118</v>
      </c>
      <c r="J1158" s="27">
        <f>VLOOKUP($F1158,mapping!$L$2:$P$92,3,0)</f>
        <v>12993.36</v>
      </c>
      <c r="K1158" s="27" t="str">
        <f>VLOOKUP($F1158,mapping!$L$2:$P$92,4,0)</f>
        <v>Commonwealth of Independent States</v>
      </c>
      <c r="L1158" s="29">
        <f>$D1158*VLOOKUP($E1158,'Charts data'!$A$2:$B$11,2,0)*VLOOKUP($G1158,'Charts data'!$A$14:$B$18,2,0)/IF('Charts data'!$E$3=1,I1158,1)/IF('Charts data'!$E$4=1,J1158,1)</f>
        <v>24000</v>
      </c>
    </row>
    <row r="1159" spans="1:12" x14ac:dyDescent="0.25">
      <c r="A1159" s="27" t="s">
        <v>251</v>
      </c>
      <c r="B1159" s="27">
        <v>18000</v>
      </c>
      <c r="C1159" s="27" t="s">
        <v>2</v>
      </c>
      <c r="D1159" s="28">
        <f>B1159*VLOOKUP(C1159,tblXrate[],2,0)</f>
        <v>18000</v>
      </c>
      <c r="E1159" s="27" t="s">
        <v>7</v>
      </c>
      <c r="F1159" s="27" t="s">
        <v>38</v>
      </c>
      <c r="G1159" s="27" t="s">
        <v>2273</v>
      </c>
      <c r="H1159" s="27"/>
      <c r="I1159" s="27">
        <f>VLOOKUP(F1159,mapping!$L$2:$P$92,2,0)</f>
        <v>0.8448</v>
      </c>
      <c r="J1159" s="27">
        <f>VLOOKUP($F1159,mapping!$L$2:$P$92,3,0)</f>
        <v>20504.36</v>
      </c>
      <c r="K1159" s="27" t="str">
        <f>VLOOKUP($F1159,mapping!$L$2:$P$92,4,0)</f>
        <v>Middle East and North Africa</v>
      </c>
      <c r="L1159" s="29">
        <f>$D1159*VLOOKUP($E1159,'Charts data'!$A$2:$B$11,2,0)*VLOOKUP($G1159,'Charts data'!$A$14:$B$18,2,0)/IF('Charts data'!$E$3=1,I1159,1)/IF('Charts data'!$E$4=1,J1159,1)</f>
        <v>18000</v>
      </c>
    </row>
    <row r="1160" spans="1:12" x14ac:dyDescent="0.25">
      <c r="A1160" s="27" t="s">
        <v>459</v>
      </c>
      <c r="B1160" s="27">
        <v>43200</v>
      </c>
      <c r="C1160" s="27" t="s">
        <v>2</v>
      </c>
      <c r="D1160" s="28">
        <f>B1160*VLOOKUP(C1160,tblXrate[],2,0)</f>
        <v>43200</v>
      </c>
      <c r="E1160" s="27" t="s">
        <v>19</v>
      </c>
      <c r="F1160" s="27" t="s">
        <v>38</v>
      </c>
      <c r="G1160" s="27" t="s">
        <v>2271</v>
      </c>
      <c r="H1160" s="27"/>
      <c r="I1160" s="27">
        <f>VLOOKUP(F1160,mapping!$L$2:$P$92,2,0)</f>
        <v>0.8448</v>
      </c>
      <c r="J1160" s="27">
        <f>VLOOKUP($F1160,mapping!$L$2:$P$92,3,0)</f>
        <v>20504.36</v>
      </c>
      <c r="K1160" s="27" t="str">
        <f>VLOOKUP($F1160,mapping!$L$2:$P$92,4,0)</f>
        <v>Middle East and North Africa</v>
      </c>
      <c r="L1160" s="29">
        <f>$D1160*VLOOKUP($E1160,'Charts data'!$A$2:$B$11,2,0)*VLOOKUP($G1160,'Charts data'!$A$14:$B$18,2,0)/IF('Charts data'!$E$3=1,I1160,1)/IF('Charts data'!$E$4=1,J1160,1)</f>
        <v>43200</v>
      </c>
    </row>
    <row r="1161" spans="1:12" x14ac:dyDescent="0.25">
      <c r="A1161" s="27" t="s">
        <v>824</v>
      </c>
      <c r="B1161" s="27">
        <v>24000</v>
      </c>
      <c r="C1161" s="27" t="s">
        <v>2</v>
      </c>
      <c r="D1161" s="28">
        <f>B1161*VLOOKUP(C1161,tblXrate[],2,0)</f>
        <v>24000</v>
      </c>
      <c r="E1161" s="27" t="s">
        <v>19</v>
      </c>
      <c r="F1161" s="27" t="s">
        <v>38</v>
      </c>
      <c r="G1161" s="27" t="s">
        <v>2271</v>
      </c>
      <c r="H1161" s="27">
        <v>12</v>
      </c>
      <c r="I1161" s="27">
        <f>VLOOKUP(F1161,mapping!$L$2:$P$92,2,0)</f>
        <v>0.8448</v>
      </c>
      <c r="J1161" s="27">
        <f>VLOOKUP($F1161,mapping!$L$2:$P$92,3,0)</f>
        <v>20504.36</v>
      </c>
      <c r="K1161" s="27" t="str">
        <f>VLOOKUP($F1161,mapping!$L$2:$P$92,4,0)</f>
        <v>Middle East and North Africa</v>
      </c>
      <c r="L1161" s="29">
        <f>$D1161*VLOOKUP($E1161,'Charts data'!$A$2:$B$11,2,0)*VLOOKUP($G1161,'Charts data'!$A$14:$B$18,2,0)/IF('Charts data'!$E$3=1,I1161,1)/IF('Charts data'!$E$4=1,J1161,1)</f>
        <v>24000</v>
      </c>
    </row>
    <row r="1162" spans="1:12" x14ac:dyDescent="0.25">
      <c r="A1162" s="27" t="s">
        <v>919</v>
      </c>
      <c r="B1162" s="27">
        <v>14960</v>
      </c>
      <c r="C1162" s="27" t="s">
        <v>2</v>
      </c>
      <c r="D1162" s="28">
        <f>B1162*VLOOKUP(C1162,tblXrate[],2,0)</f>
        <v>14960</v>
      </c>
      <c r="E1162" s="27" t="s">
        <v>62</v>
      </c>
      <c r="F1162" s="27" t="s">
        <v>38</v>
      </c>
      <c r="G1162" s="27" t="s">
        <v>2273</v>
      </c>
      <c r="H1162" s="27">
        <v>2</v>
      </c>
      <c r="I1162" s="27">
        <f>VLOOKUP(F1162,mapping!$L$2:$P$92,2,0)</f>
        <v>0.8448</v>
      </c>
      <c r="J1162" s="27">
        <f>VLOOKUP($F1162,mapping!$L$2:$P$92,3,0)</f>
        <v>20504.36</v>
      </c>
      <c r="K1162" s="27" t="str">
        <f>VLOOKUP($F1162,mapping!$L$2:$P$92,4,0)</f>
        <v>Middle East and North Africa</v>
      </c>
      <c r="L1162" s="29">
        <f>$D1162*VLOOKUP($E1162,'Charts data'!$A$2:$B$11,2,0)*VLOOKUP($G1162,'Charts data'!$A$14:$B$18,2,0)/IF('Charts data'!$E$3=1,I1162,1)/IF('Charts data'!$E$4=1,J1162,1)</f>
        <v>14960</v>
      </c>
    </row>
    <row r="1163" spans="1:12" x14ac:dyDescent="0.25">
      <c r="A1163" s="27" t="s">
        <v>1033</v>
      </c>
      <c r="B1163" s="27">
        <v>25560</v>
      </c>
      <c r="C1163" s="27" t="s">
        <v>2</v>
      </c>
      <c r="D1163" s="28">
        <f>B1163*VLOOKUP(C1163,tblXrate[],2,0)</f>
        <v>25560</v>
      </c>
      <c r="E1163" s="27" t="s">
        <v>19</v>
      </c>
      <c r="F1163" s="27" t="s">
        <v>38</v>
      </c>
      <c r="G1163" s="27" t="s">
        <v>2271</v>
      </c>
      <c r="H1163" s="27">
        <v>3</v>
      </c>
      <c r="I1163" s="27">
        <f>VLOOKUP(F1163,mapping!$L$2:$P$92,2,0)</f>
        <v>0.8448</v>
      </c>
      <c r="J1163" s="27">
        <f>VLOOKUP($F1163,mapping!$L$2:$P$92,3,0)</f>
        <v>20504.36</v>
      </c>
      <c r="K1163" s="27" t="str">
        <f>VLOOKUP($F1163,mapping!$L$2:$P$92,4,0)</f>
        <v>Middle East and North Africa</v>
      </c>
      <c r="L1163" s="29">
        <f>$D1163*VLOOKUP($E1163,'Charts data'!$A$2:$B$11,2,0)*VLOOKUP($G1163,'Charts data'!$A$14:$B$18,2,0)/IF('Charts data'!$E$3=1,I1163,1)/IF('Charts data'!$E$4=1,J1163,1)</f>
        <v>25560</v>
      </c>
    </row>
    <row r="1164" spans="1:12" x14ac:dyDescent="0.25">
      <c r="A1164" s="27" t="s">
        <v>1042</v>
      </c>
      <c r="B1164" s="27">
        <v>36500</v>
      </c>
      <c r="C1164" s="27" t="s">
        <v>2</v>
      </c>
      <c r="D1164" s="28">
        <f>B1164*VLOOKUP(C1164,tblXrate[],2,0)</f>
        <v>36500</v>
      </c>
      <c r="E1164" s="27" t="s">
        <v>51</v>
      </c>
      <c r="F1164" s="27" t="s">
        <v>38</v>
      </c>
      <c r="G1164" s="27" t="s">
        <v>2271</v>
      </c>
      <c r="H1164" s="27">
        <v>15</v>
      </c>
      <c r="I1164" s="27">
        <f>VLOOKUP(F1164,mapping!$L$2:$P$92,2,0)</f>
        <v>0.8448</v>
      </c>
      <c r="J1164" s="27">
        <f>VLOOKUP($F1164,mapping!$L$2:$P$92,3,0)</f>
        <v>20504.36</v>
      </c>
      <c r="K1164" s="27" t="str">
        <f>VLOOKUP($F1164,mapping!$L$2:$P$92,4,0)</f>
        <v>Middle East and North Africa</v>
      </c>
      <c r="L1164" s="29">
        <f>$D1164*VLOOKUP($E1164,'Charts data'!$A$2:$B$11,2,0)*VLOOKUP($G1164,'Charts data'!$A$14:$B$18,2,0)/IF('Charts data'!$E$3=1,I1164,1)/IF('Charts data'!$E$4=1,J1164,1)</f>
        <v>36500</v>
      </c>
    </row>
    <row r="1165" spans="1:12" x14ac:dyDescent="0.25">
      <c r="A1165" s="27" t="s">
        <v>1081</v>
      </c>
      <c r="B1165" s="27">
        <v>42000</v>
      </c>
      <c r="C1165" s="27" t="s">
        <v>2</v>
      </c>
      <c r="D1165" s="28">
        <f>B1165*VLOOKUP(C1165,tblXrate[],2,0)</f>
        <v>42000</v>
      </c>
      <c r="E1165" s="27" t="s">
        <v>62</v>
      </c>
      <c r="F1165" s="27" t="s">
        <v>38</v>
      </c>
      <c r="G1165" s="27" t="s">
        <v>2273</v>
      </c>
      <c r="H1165" s="27">
        <v>15</v>
      </c>
      <c r="I1165" s="27">
        <f>VLOOKUP(F1165,mapping!$L$2:$P$92,2,0)</f>
        <v>0.8448</v>
      </c>
      <c r="J1165" s="27">
        <f>VLOOKUP($F1165,mapping!$L$2:$P$92,3,0)</f>
        <v>20504.36</v>
      </c>
      <c r="K1165" s="27" t="str">
        <f>VLOOKUP($F1165,mapping!$L$2:$P$92,4,0)</f>
        <v>Middle East and North Africa</v>
      </c>
      <c r="L1165" s="29">
        <f>$D1165*VLOOKUP($E1165,'Charts data'!$A$2:$B$11,2,0)*VLOOKUP($G1165,'Charts data'!$A$14:$B$18,2,0)/IF('Charts data'!$E$3=1,I1165,1)/IF('Charts data'!$E$4=1,J1165,1)</f>
        <v>42000</v>
      </c>
    </row>
    <row r="1166" spans="1:12" x14ac:dyDescent="0.25">
      <c r="A1166" s="27" t="s">
        <v>1346</v>
      </c>
      <c r="B1166" s="27">
        <v>23000</v>
      </c>
      <c r="C1166" s="27" t="s">
        <v>2</v>
      </c>
      <c r="D1166" s="28">
        <f>B1166*VLOOKUP(C1166,tblXrate[],2,0)</f>
        <v>23000</v>
      </c>
      <c r="E1166" s="27" t="s">
        <v>51</v>
      </c>
      <c r="F1166" s="27" t="s">
        <v>38</v>
      </c>
      <c r="G1166" s="27" t="s">
        <v>2273</v>
      </c>
      <c r="H1166" s="27">
        <v>14</v>
      </c>
      <c r="I1166" s="27">
        <f>VLOOKUP(F1166,mapping!$L$2:$P$92,2,0)</f>
        <v>0.8448</v>
      </c>
      <c r="J1166" s="27">
        <f>VLOOKUP($F1166,mapping!$L$2:$P$92,3,0)</f>
        <v>20504.36</v>
      </c>
      <c r="K1166" s="27" t="str">
        <f>VLOOKUP($F1166,mapping!$L$2:$P$92,4,0)</f>
        <v>Middle East and North Africa</v>
      </c>
      <c r="L1166" s="29">
        <f>$D1166*VLOOKUP($E1166,'Charts data'!$A$2:$B$11,2,0)*VLOOKUP($G1166,'Charts data'!$A$14:$B$18,2,0)/IF('Charts data'!$E$3=1,I1166,1)/IF('Charts data'!$E$4=1,J1166,1)</f>
        <v>23000</v>
      </c>
    </row>
    <row r="1167" spans="1:12" x14ac:dyDescent="0.25">
      <c r="A1167" s="27" t="s">
        <v>1467</v>
      </c>
      <c r="B1167" s="27">
        <v>24000</v>
      </c>
      <c r="C1167" s="27" t="s">
        <v>2</v>
      </c>
      <c r="D1167" s="28">
        <f>B1167*VLOOKUP(C1167,tblXrate[],2,0)</f>
        <v>24000</v>
      </c>
      <c r="E1167" s="27" t="s">
        <v>19</v>
      </c>
      <c r="F1167" s="27" t="s">
        <v>38</v>
      </c>
      <c r="G1167" s="27" t="s">
        <v>2271</v>
      </c>
      <c r="H1167" s="27">
        <v>5</v>
      </c>
      <c r="I1167" s="27">
        <f>VLOOKUP(F1167,mapping!$L$2:$P$92,2,0)</f>
        <v>0.8448</v>
      </c>
      <c r="J1167" s="27">
        <f>VLOOKUP($F1167,mapping!$L$2:$P$92,3,0)</f>
        <v>20504.36</v>
      </c>
      <c r="K1167" s="27" t="str">
        <f>VLOOKUP($F1167,mapping!$L$2:$P$92,4,0)</f>
        <v>Middle East and North Africa</v>
      </c>
      <c r="L1167" s="29">
        <f>$D1167*VLOOKUP($E1167,'Charts data'!$A$2:$B$11,2,0)*VLOOKUP($G1167,'Charts data'!$A$14:$B$18,2,0)/IF('Charts data'!$E$3=1,I1167,1)/IF('Charts data'!$E$4=1,J1167,1)</f>
        <v>24000</v>
      </c>
    </row>
    <row r="1168" spans="1:12" x14ac:dyDescent="0.25">
      <c r="A1168" s="27" t="s">
        <v>380</v>
      </c>
      <c r="B1168" s="27">
        <v>27000</v>
      </c>
      <c r="C1168" s="27" t="s">
        <v>2</v>
      </c>
      <c r="D1168" s="28">
        <f>B1168*VLOOKUP(C1168,tblXrate[],2,0)</f>
        <v>27000</v>
      </c>
      <c r="E1168" s="27" t="s">
        <v>7</v>
      </c>
      <c r="F1168" s="27" t="s">
        <v>44</v>
      </c>
      <c r="G1168" s="27" t="s">
        <v>2273</v>
      </c>
      <c r="H1168" s="27"/>
      <c r="I1168" s="27">
        <f>VLOOKUP(F1168,mapping!$L$2:$P$92,2,0)</f>
        <v>0.81879925219490268</v>
      </c>
      <c r="J1168" s="27">
        <f>VLOOKUP($F1168,mapping!$L$2:$P$92,3,0)</f>
        <v>49270.87</v>
      </c>
      <c r="K1168" s="27" t="str">
        <f>VLOOKUP($F1168,mapping!$L$2:$P$92,4,0)</f>
        <v>Newly Industrialized Asian Economies</v>
      </c>
      <c r="L1168" s="29">
        <f>$D1168*VLOOKUP($E1168,'Charts data'!$A$2:$B$11,2,0)*VLOOKUP($G1168,'Charts data'!$A$14:$B$18,2,0)/IF('Charts data'!$E$3=1,I1168,1)/IF('Charts data'!$E$4=1,J1168,1)</f>
        <v>27000</v>
      </c>
    </row>
    <row r="1169" spans="1:12" x14ac:dyDescent="0.25">
      <c r="A1169" s="27" t="s">
        <v>431</v>
      </c>
      <c r="B1169" s="27">
        <v>27600</v>
      </c>
      <c r="C1169" s="27" t="s">
        <v>2</v>
      </c>
      <c r="D1169" s="28">
        <f>B1169*VLOOKUP(C1169,tblXrate[],2,0)</f>
        <v>27600</v>
      </c>
      <c r="E1169" s="27" t="s">
        <v>53</v>
      </c>
      <c r="F1169" s="27" t="s">
        <v>44</v>
      </c>
      <c r="G1169" s="27" t="s">
        <v>2273</v>
      </c>
      <c r="H1169" s="27"/>
      <c r="I1169" s="27">
        <f>VLOOKUP(F1169,mapping!$L$2:$P$92,2,0)</f>
        <v>0.81879925219490268</v>
      </c>
      <c r="J1169" s="27">
        <f>VLOOKUP($F1169,mapping!$L$2:$P$92,3,0)</f>
        <v>49270.87</v>
      </c>
      <c r="K1169" s="27" t="str">
        <f>VLOOKUP($F1169,mapping!$L$2:$P$92,4,0)</f>
        <v>Newly Industrialized Asian Economies</v>
      </c>
      <c r="L1169" s="29">
        <f>$D1169*VLOOKUP($E1169,'Charts data'!$A$2:$B$11,2,0)*VLOOKUP($G1169,'Charts data'!$A$14:$B$18,2,0)/IF('Charts data'!$E$3=1,I1169,1)/IF('Charts data'!$E$4=1,J1169,1)</f>
        <v>27600</v>
      </c>
    </row>
    <row r="1170" spans="1:12" x14ac:dyDescent="0.25">
      <c r="A1170" s="27" t="s">
        <v>928</v>
      </c>
      <c r="B1170" s="27">
        <v>48000</v>
      </c>
      <c r="C1170" s="27" t="s">
        <v>2</v>
      </c>
      <c r="D1170" s="28">
        <f>B1170*VLOOKUP(C1170,tblXrate[],2,0)</f>
        <v>48000</v>
      </c>
      <c r="E1170" s="27" t="s">
        <v>53</v>
      </c>
      <c r="F1170" s="27" t="s">
        <v>44</v>
      </c>
      <c r="G1170" s="27" t="s">
        <v>2273</v>
      </c>
      <c r="H1170" s="27">
        <v>3</v>
      </c>
      <c r="I1170" s="27">
        <f>VLOOKUP(F1170,mapping!$L$2:$P$92,2,0)</f>
        <v>0.81879925219490268</v>
      </c>
      <c r="J1170" s="27">
        <f>VLOOKUP($F1170,mapping!$L$2:$P$92,3,0)</f>
        <v>49270.87</v>
      </c>
      <c r="K1170" s="27" t="str">
        <f>VLOOKUP($F1170,mapping!$L$2:$P$92,4,0)</f>
        <v>Newly Industrialized Asian Economies</v>
      </c>
      <c r="L1170" s="29">
        <f>$D1170*VLOOKUP($E1170,'Charts data'!$A$2:$B$11,2,0)*VLOOKUP($G1170,'Charts data'!$A$14:$B$18,2,0)/IF('Charts data'!$E$3=1,I1170,1)/IF('Charts data'!$E$4=1,J1170,1)</f>
        <v>48000</v>
      </c>
    </row>
    <row r="1171" spans="1:12" x14ac:dyDescent="0.25">
      <c r="A1171" s="27" t="s">
        <v>1059</v>
      </c>
      <c r="B1171" s="27">
        <v>60000</v>
      </c>
      <c r="C1171" s="27" t="s">
        <v>2</v>
      </c>
      <c r="D1171" s="28">
        <f>B1171*VLOOKUP(C1171,tblXrate[],2,0)</f>
        <v>60000</v>
      </c>
      <c r="E1171" s="27" t="s">
        <v>51</v>
      </c>
      <c r="F1171" s="27" t="s">
        <v>44</v>
      </c>
      <c r="G1171" s="27" t="s">
        <v>2273</v>
      </c>
      <c r="H1171" s="27">
        <v>10</v>
      </c>
      <c r="I1171" s="27">
        <f>VLOOKUP(F1171,mapping!$L$2:$P$92,2,0)</f>
        <v>0.81879925219490268</v>
      </c>
      <c r="J1171" s="27">
        <f>VLOOKUP($F1171,mapping!$L$2:$P$92,3,0)</f>
        <v>49270.87</v>
      </c>
      <c r="K1171" s="27" t="str">
        <f>VLOOKUP($F1171,mapping!$L$2:$P$92,4,0)</f>
        <v>Newly Industrialized Asian Economies</v>
      </c>
      <c r="L1171" s="29">
        <f>$D1171*VLOOKUP($E1171,'Charts data'!$A$2:$B$11,2,0)*VLOOKUP($G1171,'Charts data'!$A$14:$B$18,2,0)/IF('Charts data'!$E$3=1,I1171,1)/IF('Charts data'!$E$4=1,J1171,1)</f>
        <v>60000</v>
      </c>
    </row>
    <row r="1172" spans="1:12" x14ac:dyDescent="0.25">
      <c r="A1172" s="27" t="s">
        <v>1083</v>
      </c>
      <c r="B1172" s="27">
        <v>60000</v>
      </c>
      <c r="C1172" s="27" t="s">
        <v>2</v>
      </c>
      <c r="D1172" s="28">
        <f>B1172*VLOOKUP(C1172,tblXrate[],2,0)</f>
        <v>60000</v>
      </c>
      <c r="E1172" s="27" t="s">
        <v>53</v>
      </c>
      <c r="F1172" s="27" t="s">
        <v>44</v>
      </c>
      <c r="G1172" s="27" t="s">
        <v>2271</v>
      </c>
      <c r="H1172" s="27">
        <v>5</v>
      </c>
      <c r="I1172" s="27">
        <f>VLOOKUP(F1172,mapping!$L$2:$P$92,2,0)</f>
        <v>0.81879925219490268</v>
      </c>
      <c r="J1172" s="27">
        <f>VLOOKUP($F1172,mapping!$L$2:$P$92,3,0)</f>
        <v>49270.87</v>
      </c>
      <c r="K1172" s="27" t="str">
        <f>VLOOKUP($F1172,mapping!$L$2:$P$92,4,0)</f>
        <v>Newly Industrialized Asian Economies</v>
      </c>
      <c r="L1172" s="29">
        <f>$D1172*VLOOKUP($E1172,'Charts data'!$A$2:$B$11,2,0)*VLOOKUP($G1172,'Charts data'!$A$14:$B$18,2,0)/IF('Charts data'!$E$3=1,I1172,1)/IF('Charts data'!$E$4=1,J1172,1)</f>
        <v>60000</v>
      </c>
    </row>
    <row r="1173" spans="1:12" x14ac:dyDescent="0.25">
      <c r="A1173" s="27" t="s">
        <v>1172</v>
      </c>
      <c r="B1173" s="27">
        <v>45000</v>
      </c>
      <c r="C1173" s="27" t="s">
        <v>2</v>
      </c>
      <c r="D1173" s="28">
        <f>B1173*VLOOKUP(C1173,tblXrate[],2,0)</f>
        <v>45000</v>
      </c>
      <c r="E1173" s="27" t="s">
        <v>48</v>
      </c>
      <c r="F1173" s="27" t="s">
        <v>44</v>
      </c>
      <c r="G1173" s="27" t="s">
        <v>2272</v>
      </c>
      <c r="H1173" s="27">
        <v>4</v>
      </c>
      <c r="I1173" s="27">
        <f>VLOOKUP(F1173,mapping!$L$2:$P$92,2,0)</f>
        <v>0.81879925219490268</v>
      </c>
      <c r="J1173" s="27">
        <f>VLOOKUP($F1173,mapping!$L$2:$P$92,3,0)</f>
        <v>49270.87</v>
      </c>
      <c r="K1173" s="27" t="str">
        <f>VLOOKUP($F1173,mapping!$L$2:$P$92,4,0)</f>
        <v>Newly Industrialized Asian Economies</v>
      </c>
      <c r="L1173" s="29">
        <f>$D1173*VLOOKUP($E1173,'Charts data'!$A$2:$B$11,2,0)*VLOOKUP($G1173,'Charts data'!$A$14:$B$18,2,0)/IF('Charts data'!$E$3=1,I1173,1)/IF('Charts data'!$E$4=1,J1173,1)</f>
        <v>45000</v>
      </c>
    </row>
    <row r="1174" spans="1:12" x14ac:dyDescent="0.25">
      <c r="A1174" s="27" t="s">
        <v>1322</v>
      </c>
      <c r="B1174" s="27">
        <v>50000</v>
      </c>
      <c r="C1174" s="27" t="s">
        <v>2</v>
      </c>
      <c r="D1174" s="28">
        <f>B1174*VLOOKUP(C1174,tblXrate[],2,0)</f>
        <v>50000</v>
      </c>
      <c r="E1174" s="27" t="s">
        <v>48</v>
      </c>
      <c r="F1174" s="27" t="s">
        <v>44</v>
      </c>
      <c r="G1174" s="27" t="s">
        <v>2272</v>
      </c>
      <c r="H1174" s="27">
        <v>25</v>
      </c>
      <c r="I1174" s="27">
        <f>VLOOKUP(F1174,mapping!$L$2:$P$92,2,0)</f>
        <v>0.81879925219490268</v>
      </c>
      <c r="J1174" s="27">
        <f>VLOOKUP($F1174,mapping!$L$2:$P$92,3,0)</f>
        <v>49270.87</v>
      </c>
      <c r="K1174" s="27" t="str">
        <f>VLOOKUP($F1174,mapping!$L$2:$P$92,4,0)</f>
        <v>Newly Industrialized Asian Economies</v>
      </c>
      <c r="L1174" s="29">
        <f>$D1174*VLOOKUP($E1174,'Charts data'!$A$2:$B$11,2,0)*VLOOKUP($G1174,'Charts data'!$A$14:$B$18,2,0)/IF('Charts data'!$E$3=1,I1174,1)/IF('Charts data'!$E$4=1,J1174,1)</f>
        <v>50000</v>
      </c>
    </row>
    <row r="1175" spans="1:12" x14ac:dyDescent="0.25">
      <c r="A1175" s="27" t="s">
        <v>1362</v>
      </c>
      <c r="B1175" s="27">
        <v>80000</v>
      </c>
      <c r="C1175" s="27" t="s">
        <v>2</v>
      </c>
      <c r="D1175" s="28">
        <f>B1175*VLOOKUP(C1175,tblXrate[],2,0)</f>
        <v>80000</v>
      </c>
      <c r="E1175" s="27" t="s">
        <v>7</v>
      </c>
      <c r="F1175" s="27" t="s">
        <v>44</v>
      </c>
      <c r="G1175" s="27" t="s">
        <v>2274</v>
      </c>
      <c r="H1175" s="27">
        <v>6</v>
      </c>
      <c r="I1175" s="27">
        <f>VLOOKUP(F1175,mapping!$L$2:$P$92,2,0)</f>
        <v>0.81879925219490268</v>
      </c>
      <c r="J1175" s="27">
        <f>VLOOKUP($F1175,mapping!$L$2:$P$92,3,0)</f>
        <v>49270.87</v>
      </c>
      <c r="K1175" s="27" t="str">
        <f>VLOOKUP($F1175,mapping!$L$2:$P$92,4,0)</f>
        <v>Newly Industrialized Asian Economies</v>
      </c>
      <c r="L1175" s="29">
        <f>$D1175*VLOOKUP($E1175,'Charts data'!$A$2:$B$11,2,0)*VLOOKUP($G1175,'Charts data'!$A$14:$B$18,2,0)/IF('Charts data'!$E$3=1,I1175,1)/IF('Charts data'!$E$4=1,J1175,1)</f>
        <v>80000</v>
      </c>
    </row>
    <row r="1176" spans="1:12" x14ac:dyDescent="0.25">
      <c r="A1176" s="27" t="s">
        <v>1398</v>
      </c>
      <c r="B1176" s="27">
        <v>120000</v>
      </c>
      <c r="C1176" s="27" t="s">
        <v>2</v>
      </c>
      <c r="D1176" s="28">
        <f>B1176*VLOOKUP(C1176,tblXrate[],2,0)</f>
        <v>120000</v>
      </c>
      <c r="E1176" s="27" t="s">
        <v>53</v>
      </c>
      <c r="F1176" s="27" t="s">
        <v>44</v>
      </c>
      <c r="G1176" s="27" t="s">
        <v>2274</v>
      </c>
      <c r="H1176" s="27">
        <v>5</v>
      </c>
      <c r="I1176" s="27">
        <f>VLOOKUP(F1176,mapping!$L$2:$P$92,2,0)</f>
        <v>0.81879925219490268</v>
      </c>
      <c r="J1176" s="27">
        <f>VLOOKUP($F1176,mapping!$L$2:$P$92,3,0)</f>
        <v>49270.87</v>
      </c>
      <c r="K1176" s="27" t="str">
        <f>VLOOKUP($F1176,mapping!$L$2:$P$92,4,0)</f>
        <v>Newly Industrialized Asian Economies</v>
      </c>
      <c r="L1176" s="29">
        <f>$D1176*VLOOKUP($E1176,'Charts data'!$A$2:$B$11,2,0)*VLOOKUP($G1176,'Charts data'!$A$14:$B$18,2,0)/IF('Charts data'!$E$3=1,I1176,1)/IF('Charts data'!$E$4=1,J1176,1)</f>
        <v>120000</v>
      </c>
    </row>
    <row r="1177" spans="1:12" x14ac:dyDescent="0.25">
      <c r="A1177" s="27" t="s">
        <v>1913</v>
      </c>
      <c r="B1177" s="27">
        <v>33600</v>
      </c>
      <c r="C1177" s="27" t="s">
        <v>2</v>
      </c>
      <c r="D1177" s="28">
        <f>B1177*VLOOKUP(C1177,tblXrate[],2,0)</f>
        <v>33600</v>
      </c>
      <c r="E1177" s="27" t="s">
        <v>7</v>
      </c>
      <c r="F1177" s="27" t="s">
        <v>44</v>
      </c>
      <c r="G1177" s="27" t="s">
        <v>2273</v>
      </c>
      <c r="H1177" s="27">
        <v>2</v>
      </c>
      <c r="I1177" s="27">
        <f>VLOOKUP(F1177,mapping!$L$2:$P$92,2,0)</f>
        <v>0.81879925219490268</v>
      </c>
      <c r="J1177" s="27">
        <f>VLOOKUP($F1177,mapping!$L$2:$P$92,3,0)</f>
        <v>49270.87</v>
      </c>
      <c r="K1177" s="27" t="str">
        <f>VLOOKUP($F1177,mapping!$L$2:$P$92,4,0)</f>
        <v>Newly Industrialized Asian Economies</v>
      </c>
      <c r="L1177" s="29">
        <f>$D1177*VLOOKUP($E1177,'Charts data'!$A$2:$B$11,2,0)*VLOOKUP($G1177,'Charts data'!$A$14:$B$18,2,0)/IF('Charts data'!$E$3=1,I1177,1)/IF('Charts data'!$E$4=1,J1177,1)</f>
        <v>33600</v>
      </c>
    </row>
    <row r="1178" spans="1:12" x14ac:dyDescent="0.25">
      <c r="A1178" s="27" t="s">
        <v>1914</v>
      </c>
      <c r="B1178" s="27">
        <v>33600</v>
      </c>
      <c r="C1178" s="27" t="s">
        <v>2</v>
      </c>
      <c r="D1178" s="28">
        <f>B1178*VLOOKUP(C1178,tblXrate[],2,0)</f>
        <v>33600</v>
      </c>
      <c r="E1178" s="27" t="s">
        <v>7</v>
      </c>
      <c r="F1178" s="27" t="s">
        <v>44</v>
      </c>
      <c r="G1178" s="27" t="s">
        <v>2273</v>
      </c>
      <c r="H1178" s="27">
        <v>2</v>
      </c>
      <c r="I1178" s="27">
        <f>VLOOKUP(F1178,mapping!$L$2:$P$92,2,0)</f>
        <v>0.81879925219490268</v>
      </c>
      <c r="J1178" s="27">
        <f>VLOOKUP($F1178,mapping!$L$2:$P$92,3,0)</f>
        <v>49270.87</v>
      </c>
      <c r="K1178" s="27" t="str">
        <f>VLOOKUP($F1178,mapping!$L$2:$P$92,4,0)</f>
        <v>Newly Industrialized Asian Economies</v>
      </c>
      <c r="L1178" s="29">
        <f>$D1178*VLOOKUP($E1178,'Charts data'!$A$2:$B$11,2,0)*VLOOKUP($G1178,'Charts data'!$A$14:$B$18,2,0)/IF('Charts data'!$E$3=1,I1178,1)/IF('Charts data'!$E$4=1,J1178,1)</f>
        <v>33600</v>
      </c>
    </row>
    <row r="1179" spans="1:12" x14ac:dyDescent="0.25">
      <c r="A1179" s="27" t="s">
        <v>1961</v>
      </c>
      <c r="B1179" s="27">
        <v>20640</v>
      </c>
      <c r="C1179" s="27" t="s">
        <v>2</v>
      </c>
      <c r="D1179" s="28">
        <f>B1179*VLOOKUP(C1179,tblXrate[],2,0)</f>
        <v>20640</v>
      </c>
      <c r="E1179" s="27" t="s">
        <v>19</v>
      </c>
      <c r="F1179" s="27" t="s">
        <v>44</v>
      </c>
      <c r="G1179" s="27" t="s">
        <v>2271</v>
      </c>
      <c r="H1179" s="27">
        <v>3</v>
      </c>
      <c r="I1179" s="27">
        <f>VLOOKUP(F1179,mapping!$L$2:$P$92,2,0)</f>
        <v>0.81879925219490268</v>
      </c>
      <c r="J1179" s="27">
        <f>VLOOKUP($F1179,mapping!$L$2:$P$92,3,0)</f>
        <v>49270.87</v>
      </c>
      <c r="K1179" s="27" t="str">
        <f>VLOOKUP($F1179,mapping!$L$2:$P$92,4,0)</f>
        <v>Newly Industrialized Asian Economies</v>
      </c>
      <c r="L1179" s="29">
        <f>$D1179*VLOOKUP($E1179,'Charts data'!$A$2:$B$11,2,0)*VLOOKUP($G1179,'Charts data'!$A$14:$B$18,2,0)/IF('Charts data'!$E$3=1,I1179,1)/IF('Charts data'!$E$4=1,J1179,1)</f>
        <v>20640</v>
      </c>
    </row>
    <row r="1180" spans="1:12" x14ac:dyDescent="0.25">
      <c r="A1180" s="27" t="s">
        <v>1788</v>
      </c>
      <c r="B1180" s="27">
        <v>13000</v>
      </c>
      <c r="C1180" s="27" t="s">
        <v>2</v>
      </c>
      <c r="D1180" s="28">
        <f>B1180*VLOOKUP(C1180,tblXrate[],2,0)</f>
        <v>13000</v>
      </c>
      <c r="E1180" s="27" t="s">
        <v>7</v>
      </c>
      <c r="F1180" s="27" t="s">
        <v>162</v>
      </c>
      <c r="G1180" s="27" t="s">
        <v>2273</v>
      </c>
      <c r="H1180" s="27">
        <v>6</v>
      </c>
      <c r="I1180" s="27">
        <f>VLOOKUP(F1180,mapping!$L$2:$P$92,2,0)</f>
        <v>0.69109729481143467</v>
      </c>
      <c r="J1180" s="27">
        <f>VLOOKUP($F1180,mapping!$L$2:$P$92,3,0)</f>
        <v>17643.54</v>
      </c>
      <c r="K1180" s="27" t="str">
        <f>VLOOKUP($F1180,mapping!$L$2:$P$92,4,0)</f>
        <v>Euro Area</v>
      </c>
      <c r="L1180" s="29">
        <f>$D1180*VLOOKUP($E1180,'Charts data'!$A$2:$B$11,2,0)*VLOOKUP($G1180,'Charts data'!$A$14:$B$18,2,0)/IF('Charts data'!$E$3=1,I1180,1)/IF('Charts data'!$E$4=1,J1180,1)</f>
        <v>13000</v>
      </c>
    </row>
    <row r="1181" spans="1:12" x14ac:dyDescent="0.25">
      <c r="A1181" s="27" t="s">
        <v>192</v>
      </c>
      <c r="B1181" s="27">
        <v>45000</v>
      </c>
      <c r="C1181" s="27" t="s">
        <v>2</v>
      </c>
      <c r="D1181" s="28">
        <f>B1181*VLOOKUP(C1181,tblXrate[],2,0)</f>
        <v>45000</v>
      </c>
      <c r="E1181" s="27" t="s">
        <v>2145</v>
      </c>
      <c r="F1181" s="27" t="s">
        <v>18</v>
      </c>
      <c r="G1181" s="27" t="s">
        <v>2273</v>
      </c>
      <c r="H1181" s="27"/>
      <c r="I1181" s="27">
        <f>VLOOKUP(F1181,mapping!$L$2:$P$92,2,0)</f>
        <v>0.65008693022904218</v>
      </c>
      <c r="J1181" s="27">
        <f>VLOOKUP($F1181,mapping!$L$2:$P$92,3,0)</f>
        <v>8066.15</v>
      </c>
      <c r="K1181" s="27" t="str">
        <f>VLOOKUP($F1181,mapping!$L$2:$P$92,4,0)</f>
        <v>Sub-Saharan Africa</v>
      </c>
      <c r="L1181" s="29">
        <f>$D1181*VLOOKUP($E1181,'Charts data'!$A$2:$B$11,2,0)*VLOOKUP($G1181,'Charts data'!$A$14:$B$18,2,0)/IF('Charts data'!$E$3=1,I1181,1)/IF('Charts data'!$E$4=1,J1181,1)</f>
        <v>45000</v>
      </c>
    </row>
    <row r="1182" spans="1:12" x14ac:dyDescent="0.25">
      <c r="A1182" s="27" t="s">
        <v>242</v>
      </c>
      <c r="B1182" s="27">
        <v>100000</v>
      </c>
      <c r="C1182" s="27" t="s">
        <v>2</v>
      </c>
      <c r="D1182" s="28">
        <f>B1182*VLOOKUP(C1182,tblXrate[],2,0)</f>
        <v>100000</v>
      </c>
      <c r="E1182" s="27" t="s">
        <v>19</v>
      </c>
      <c r="F1182" s="27" t="s">
        <v>18</v>
      </c>
      <c r="G1182" s="27" t="s">
        <v>2271</v>
      </c>
      <c r="H1182" s="27"/>
      <c r="I1182" s="27">
        <f>VLOOKUP(F1182,mapping!$L$2:$P$92,2,0)</f>
        <v>0.65008693022904218</v>
      </c>
      <c r="J1182" s="27">
        <f>VLOOKUP($F1182,mapping!$L$2:$P$92,3,0)</f>
        <v>8066.15</v>
      </c>
      <c r="K1182" s="27" t="str">
        <f>VLOOKUP($F1182,mapping!$L$2:$P$92,4,0)</f>
        <v>Sub-Saharan Africa</v>
      </c>
      <c r="L1182" s="29">
        <f>$D1182*VLOOKUP($E1182,'Charts data'!$A$2:$B$11,2,0)*VLOOKUP($G1182,'Charts data'!$A$14:$B$18,2,0)/IF('Charts data'!$E$3=1,I1182,1)/IF('Charts data'!$E$4=1,J1182,1)</f>
        <v>100000</v>
      </c>
    </row>
    <row r="1183" spans="1:12" x14ac:dyDescent="0.25">
      <c r="A1183" s="27" t="s">
        <v>555</v>
      </c>
      <c r="B1183" s="27">
        <v>12000</v>
      </c>
      <c r="C1183" s="27" t="s">
        <v>2</v>
      </c>
      <c r="D1183" s="28">
        <f>B1183*VLOOKUP(C1183,tblXrate[],2,0)</f>
        <v>12000</v>
      </c>
      <c r="E1183" s="27" t="s">
        <v>2145</v>
      </c>
      <c r="F1183" s="27" t="s">
        <v>18</v>
      </c>
      <c r="G1183" s="27" t="s">
        <v>2271</v>
      </c>
      <c r="H1183" s="27"/>
      <c r="I1183" s="27">
        <f>VLOOKUP(F1183,mapping!$L$2:$P$92,2,0)</f>
        <v>0.65008693022904218</v>
      </c>
      <c r="J1183" s="27">
        <f>VLOOKUP($F1183,mapping!$L$2:$P$92,3,0)</f>
        <v>8066.15</v>
      </c>
      <c r="K1183" s="27" t="str">
        <f>VLOOKUP($F1183,mapping!$L$2:$P$92,4,0)</f>
        <v>Sub-Saharan Africa</v>
      </c>
      <c r="L1183" s="29">
        <f>$D1183*VLOOKUP($E1183,'Charts data'!$A$2:$B$11,2,0)*VLOOKUP($G1183,'Charts data'!$A$14:$B$18,2,0)/IF('Charts data'!$E$3=1,I1183,1)/IF('Charts data'!$E$4=1,J1183,1)</f>
        <v>12000</v>
      </c>
    </row>
    <row r="1184" spans="1:12" x14ac:dyDescent="0.25">
      <c r="A1184" s="27" t="s">
        <v>881</v>
      </c>
      <c r="B1184" s="27">
        <v>9600</v>
      </c>
      <c r="C1184" s="27" t="s">
        <v>2</v>
      </c>
      <c r="D1184" s="28">
        <f>B1184*VLOOKUP(C1184,tblXrate[],2,0)</f>
        <v>9600</v>
      </c>
      <c r="E1184" s="27" t="s">
        <v>7</v>
      </c>
      <c r="F1184" s="27" t="s">
        <v>18</v>
      </c>
      <c r="G1184" s="27" t="s">
        <v>2271</v>
      </c>
      <c r="H1184" s="27">
        <v>2</v>
      </c>
      <c r="I1184" s="27">
        <f>VLOOKUP(F1184,mapping!$L$2:$P$92,2,0)</f>
        <v>0.65008693022904218</v>
      </c>
      <c r="J1184" s="27">
        <f>VLOOKUP($F1184,mapping!$L$2:$P$92,3,0)</f>
        <v>8066.15</v>
      </c>
      <c r="K1184" s="27" t="str">
        <f>VLOOKUP($F1184,mapping!$L$2:$P$92,4,0)</f>
        <v>Sub-Saharan Africa</v>
      </c>
      <c r="L1184" s="29">
        <f>$D1184*VLOOKUP($E1184,'Charts data'!$A$2:$B$11,2,0)*VLOOKUP($G1184,'Charts data'!$A$14:$B$18,2,0)/IF('Charts data'!$E$3=1,I1184,1)/IF('Charts data'!$E$4=1,J1184,1)</f>
        <v>9600</v>
      </c>
    </row>
    <row r="1185" spans="1:12" x14ac:dyDescent="0.25">
      <c r="A1185" s="27" t="s">
        <v>1037</v>
      </c>
      <c r="B1185" s="27">
        <v>125000</v>
      </c>
      <c r="C1185" s="27" t="s">
        <v>2</v>
      </c>
      <c r="D1185" s="28">
        <f>B1185*VLOOKUP(C1185,tblXrate[],2,0)</f>
        <v>125000</v>
      </c>
      <c r="E1185" s="27" t="s">
        <v>2147</v>
      </c>
      <c r="F1185" s="27" t="s">
        <v>18</v>
      </c>
      <c r="G1185" s="27" t="s">
        <v>2271</v>
      </c>
      <c r="H1185" s="27">
        <v>20</v>
      </c>
      <c r="I1185" s="27">
        <f>VLOOKUP(F1185,mapping!$L$2:$P$92,2,0)</f>
        <v>0.65008693022904218</v>
      </c>
      <c r="J1185" s="27">
        <f>VLOOKUP($F1185,mapping!$L$2:$P$92,3,0)</f>
        <v>8066.15</v>
      </c>
      <c r="K1185" s="27" t="str">
        <f>VLOOKUP($F1185,mapping!$L$2:$P$92,4,0)</f>
        <v>Sub-Saharan Africa</v>
      </c>
      <c r="L1185" s="29">
        <f>$D1185*VLOOKUP($E1185,'Charts data'!$A$2:$B$11,2,0)*VLOOKUP($G1185,'Charts data'!$A$14:$B$18,2,0)/IF('Charts data'!$E$3=1,I1185,1)/IF('Charts data'!$E$4=1,J1185,1)</f>
        <v>125000</v>
      </c>
    </row>
    <row r="1186" spans="1:12" x14ac:dyDescent="0.25">
      <c r="A1186" s="27" t="s">
        <v>1456</v>
      </c>
      <c r="B1186" s="27">
        <v>82000</v>
      </c>
      <c r="C1186" s="27" t="s">
        <v>2</v>
      </c>
      <c r="D1186" s="28">
        <f>B1186*VLOOKUP(C1186,tblXrate[],2,0)</f>
        <v>82000</v>
      </c>
      <c r="E1186" s="27" t="s">
        <v>53</v>
      </c>
      <c r="F1186" s="27" t="s">
        <v>18</v>
      </c>
      <c r="G1186" s="27" t="s">
        <v>2271</v>
      </c>
      <c r="H1186" s="27">
        <v>10</v>
      </c>
      <c r="I1186" s="27">
        <f>VLOOKUP(F1186,mapping!$L$2:$P$92,2,0)</f>
        <v>0.65008693022904218</v>
      </c>
      <c r="J1186" s="27">
        <f>VLOOKUP($F1186,mapping!$L$2:$P$92,3,0)</f>
        <v>8066.15</v>
      </c>
      <c r="K1186" s="27" t="str">
        <f>VLOOKUP($F1186,mapping!$L$2:$P$92,4,0)</f>
        <v>Sub-Saharan Africa</v>
      </c>
      <c r="L1186" s="29">
        <f>$D1186*VLOOKUP($E1186,'Charts data'!$A$2:$B$11,2,0)*VLOOKUP($G1186,'Charts data'!$A$14:$B$18,2,0)/IF('Charts data'!$E$3=1,I1186,1)/IF('Charts data'!$E$4=1,J1186,1)</f>
        <v>82000</v>
      </c>
    </row>
    <row r="1187" spans="1:12" x14ac:dyDescent="0.25">
      <c r="A1187" s="27" t="s">
        <v>1519</v>
      </c>
      <c r="B1187" s="27">
        <v>39000</v>
      </c>
      <c r="C1187" s="27" t="s">
        <v>2</v>
      </c>
      <c r="D1187" s="28">
        <f>B1187*VLOOKUP(C1187,tblXrate[],2,0)</f>
        <v>39000</v>
      </c>
      <c r="E1187" s="27" t="s">
        <v>19</v>
      </c>
      <c r="F1187" s="27" t="s">
        <v>18</v>
      </c>
      <c r="G1187" s="27" t="s">
        <v>2273</v>
      </c>
      <c r="H1187" s="27">
        <v>6</v>
      </c>
      <c r="I1187" s="27">
        <f>VLOOKUP(F1187,mapping!$L$2:$P$92,2,0)</f>
        <v>0.65008693022904218</v>
      </c>
      <c r="J1187" s="27">
        <f>VLOOKUP($F1187,mapping!$L$2:$P$92,3,0)</f>
        <v>8066.15</v>
      </c>
      <c r="K1187" s="27" t="str">
        <f>VLOOKUP($F1187,mapping!$L$2:$P$92,4,0)</f>
        <v>Sub-Saharan Africa</v>
      </c>
      <c r="L1187" s="29">
        <f>$D1187*VLOOKUP($E1187,'Charts data'!$A$2:$B$11,2,0)*VLOOKUP($G1187,'Charts data'!$A$14:$B$18,2,0)/IF('Charts data'!$E$3=1,I1187,1)/IF('Charts data'!$E$4=1,J1187,1)</f>
        <v>39000</v>
      </c>
    </row>
    <row r="1188" spans="1:12" x14ac:dyDescent="0.25">
      <c r="A1188" s="27" t="s">
        <v>1985</v>
      </c>
      <c r="B1188" s="27">
        <v>38666</v>
      </c>
      <c r="C1188" s="27" t="s">
        <v>2</v>
      </c>
      <c r="D1188" s="28">
        <f>B1188*VLOOKUP(C1188,tblXrate[],2,0)</f>
        <v>38666</v>
      </c>
      <c r="E1188" s="27" t="s">
        <v>23</v>
      </c>
      <c r="F1188" s="27" t="s">
        <v>18</v>
      </c>
      <c r="G1188" s="27" t="s">
        <v>2273</v>
      </c>
      <c r="H1188" s="27">
        <v>10</v>
      </c>
      <c r="I1188" s="27">
        <f>VLOOKUP(F1188,mapping!$L$2:$P$92,2,0)</f>
        <v>0.65008693022904218</v>
      </c>
      <c r="J1188" s="27">
        <f>VLOOKUP($F1188,mapping!$L$2:$P$92,3,0)</f>
        <v>8066.15</v>
      </c>
      <c r="K1188" s="27" t="str">
        <f>VLOOKUP($F1188,mapping!$L$2:$P$92,4,0)</f>
        <v>Sub-Saharan Africa</v>
      </c>
      <c r="L1188" s="29">
        <f>$D1188*VLOOKUP($E1188,'Charts data'!$A$2:$B$11,2,0)*VLOOKUP($G1188,'Charts data'!$A$14:$B$18,2,0)/IF('Charts data'!$E$3=1,I1188,1)/IF('Charts data'!$E$4=1,J1188,1)</f>
        <v>38666</v>
      </c>
    </row>
    <row r="1189" spans="1:12" x14ac:dyDescent="0.25">
      <c r="A1189" s="27" t="s">
        <v>2035</v>
      </c>
      <c r="B1189" s="27">
        <v>52500</v>
      </c>
      <c r="C1189" s="27" t="s">
        <v>2</v>
      </c>
      <c r="D1189" s="28">
        <f>B1189*VLOOKUP(C1189,tblXrate[],2,0)</f>
        <v>52500</v>
      </c>
      <c r="E1189" s="27" t="s">
        <v>7</v>
      </c>
      <c r="F1189" s="27" t="s">
        <v>18</v>
      </c>
      <c r="G1189" s="27" t="s">
        <v>2271</v>
      </c>
      <c r="H1189" s="27">
        <v>21</v>
      </c>
      <c r="I1189" s="27">
        <f>VLOOKUP(F1189,mapping!$L$2:$P$92,2,0)</f>
        <v>0.65008693022904218</v>
      </c>
      <c r="J1189" s="27">
        <f>VLOOKUP($F1189,mapping!$L$2:$P$92,3,0)</f>
        <v>8066.15</v>
      </c>
      <c r="K1189" s="27" t="str">
        <f>VLOOKUP($F1189,mapping!$L$2:$P$92,4,0)</f>
        <v>Sub-Saharan Africa</v>
      </c>
      <c r="L1189" s="29">
        <f>$D1189*VLOOKUP($E1189,'Charts data'!$A$2:$B$11,2,0)*VLOOKUP($G1189,'Charts data'!$A$14:$B$18,2,0)/IF('Charts data'!$E$3=1,I1189,1)/IF('Charts data'!$E$4=1,J1189,1)</f>
        <v>52500</v>
      </c>
    </row>
    <row r="1190" spans="1:12" x14ac:dyDescent="0.25">
      <c r="A1190" s="27" t="s">
        <v>1014</v>
      </c>
      <c r="B1190" s="27">
        <v>12000</v>
      </c>
      <c r="C1190" s="27" t="s">
        <v>2</v>
      </c>
      <c r="D1190" s="28">
        <f>B1190*VLOOKUP(C1190,tblXrate[],2,0)</f>
        <v>12000</v>
      </c>
      <c r="E1190" s="27" t="s">
        <v>53</v>
      </c>
      <c r="F1190" s="27" t="s">
        <v>76</v>
      </c>
      <c r="G1190" s="27" t="s">
        <v>2272</v>
      </c>
      <c r="H1190" s="27">
        <v>15</v>
      </c>
      <c r="I1190" s="27">
        <f>VLOOKUP(F1190,mapping!$L$2:$P$92,2,0)</f>
        <v>0.96423317419463028</v>
      </c>
      <c r="J1190" s="27">
        <f>VLOOKUP($F1190,mapping!$L$2:$P$92,3,0)</f>
        <v>32360.1</v>
      </c>
      <c r="K1190" s="27" t="str">
        <f>VLOOKUP($F1190,mapping!$L$2:$P$92,4,0)</f>
        <v>Euro Area</v>
      </c>
      <c r="L1190" s="29">
        <f>$D1190*VLOOKUP($E1190,'Charts data'!$A$2:$B$11,2,0)*VLOOKUP($G1190,'Charts data'!$A$14:$B$18,2,0)/IF('Charts data'!$E$3=1,I1190,1)/IF('Charts data'!$E$4=1,J1190,1)</f>
        <v>12000</v>
      </c>
    </row>
    <row r="1191" spans="1:12" x14ac:dyDescent="0.25">
      <c r="A1191" s="27" t="s">
        <v>770</v>
      </c>
      <c r="B1191" s="27">
        <v>13800</v>
      </c>
      <c r="C1191" s="27" t="s">
        <v>2</v>
      </c>
      <c r="D1191" s="28">
        <f>B1191*VLOOKUP(C1191,tblXrate[],2,0)</f>
        <v>13800</v>
      </c>
      <c r="E1191" s="27" t="s">
        <v>62</v>
      </c>
      <c r="F1191" s="27" t="s">
        <v>87</v>
      </c>
      <c r="G1191" s="27" t="s">
        <v>2271</v>
      </c>
      <c r="H1191" s="27">
        <v>20</v>
      </c>
      <c r="I1191" s="27">
        <f>VLOOKUP(F1191,mapping!$L$2:$P$92,2,0)</f>
        <v>0.42199432686013522</v>
      </c>
      <c r="J1191" s="27">
        <f>VLOOKUP($F1191,mapping!$L$2:$P$92,3,0)</f>
        <v>2876.97</v>
      </c>
      <c r="K1191" s="27" t="str">
        <f>VLOOKUP($F1191,mapping!$L$2:$P$92,4,0)</f>
        <v>Developing Asia</v>
      </c>
      <c r="L1191" s="29">
        <f>$D1191*VLOOKUP($E1191,'Charts data'!$A$2:$B$11,2,0)*VLOOKUP($G1191,'Charts data'!$A$14:$B$18,2,0)/IF('Charts data'!$E$3=1,I1191,1)/IF('Charts data'!$E$4=1,J1191,1)</f>
        <v>13800</v>
      </c>
    </row>
    <row r="1192" spans="1:12" x14ac:dyDescent="0.25">
      <c r="A1192" s="27" t="s">
        <v>910</v>
      </c>
      <c r="B1192" s="27">
        <v>11000</v>
      </c>
      <c r="C1192" s="27" t="s">
        <v>2</v>
      </c>
      <c r="D1192" s="28">
        <f>B1192*VLOOKUP(C1192,tblXrate[],2,0)</f>
        <v>11000</v>
      </c>
      <c r="E1192" s="27" t="s">
        <v>19</v>
      </c>
      <c r="F1192" s="27" t="s">
        <v>87</v>
      </c>
      <c r="G1192" s="27" t="s">
        <v>2273</v>
      </c>
      <c r="H1192" s="27">
        <v>4.5</v>
      </c>
      <c r="I1192" s="27">
        <f>VLOOKUP(F1192,mapping!$L$2:$P$92,2,0)</f>
        <v>0.42199432686013522</v>
      </c>
      <c r="J1192" s="27">
        <f>VLOOKUP($F1192,mapping!$L$2:$P$92,3,0)</f>
        <v>2876.97</v>
      </c>
      <c r="K1192" s="27" t="str">
        <f>VLOOKUP($F1192,mapping!$L$2:$P$92,4,0)</f>
        <v>Developing Asia</v>
      </c>
      <c r="L1192" s="29">
        <f>$D1192*VLOOKUP($E1192,'Charts data'!$A$2:$B$11,2,0)*VLOOKUP($G1192,'Charts data'!$A$14:$B$18,2,0)/IF('Charts data'!$E$3=1,I1192,1)/IF('Charts data'!$E$4=1,J1192,1)</f>
        <v>11000</v>
      </c>
    </row>
    <row r="1193" spans="1:12" x14ac:dyDescent="0.25">
      <c r="A1193" s="27" t="s">
        <v>1417</v>
      </c>
      <c r="B1193" s="27">
        <v>85000</v>
      </c>
      <c r="C1193" s="27" t="s">
        <v>2</v>
      </c>
      <c r="D1193" s="28">
        <f>B1193*VLOOKUP(C1193,tblXrate[],2,0)</f>
        <v>85000</v>
      </c>
      <c r="E1193" s="27" t="s">
        <v>19</v>
      </c>
      <c r="F1193" s="27" t="s">
        <v>87</v>
      </c>
      <c r="G1193" s="27" t="s">
        <v>2273</v>
      </c>
      <c r="H1193" s="27">
        <v>10</v>
      </c>
      <c r="I1193" s="27">
        <f>VLOOKUP(F1193,mapping!$L$2:$P$92,2,0)</f>
        <v>0.42199432686013522</v>
      </c>
      <c r="J1193" s="27">
        <f>VLOOKUP($F1193,mapping!$L$2:$P$92,3,0)</f>
        <v>2876.97</v>
      </c>
      <c r="K1193" s="27" t="str">
        <f>VLOOKUP($F1193,mapping!$L$2:$P$92,4,0)</f>
        <v>Developing Asia</v>
      </c>
      <c r="L1193" s="29">
        <f>$D1193*VLOOKUP($E1193,'Charts data'!$A$2:$B$11,2,0)*VLOOKUP($G1193,'Charts data'!$A$14:$B$18,2,0)/IF('Charts data'!$E$3=1,I1193,1)/IF('Charts data'!$E$4=1,J1193,1)</f>
        <v>85000</v>
      </c>
    </row>
    <row r="1194" spans="1:12" x14ac:dyDescent="0.25">
      <c r="A1194" s="27" t="s">
        <v>1449</v>
      </c>
      <c r="B1194" s="27">
        <v>3000</v>
      </c>
      <c r="C1194" s="27" t="s">
        <v>2</v>
      </c>
      <c r="D1194" s="28">
        <f>B1194*VLOOKUP(C1194,tblXrate[],2,0)</f>
        <v>3000</v>
      </c>
      <c r="E1194" s="27" t="s">
        <v>51</v>
      </c>
      <c r="F1194" s="27" t="s">
        <v>87</v>
      </c>
      <c r="G1194" s="27" t="s">
        <v>2271</v>
      </c>
      <c r="H1194" s="27">
        <v>2</v>
      </c>
      <c r="I1194" s="27">
        <f>VLOOKUP(F1194,mapping!$L$2:$P$92,2,0)</f>
        <v>0.42199432686013522</v>
      </c>
      <c r="J1194" s="27">
        <f>VLOOKUP($F1194,mapping!$L$2:$P$92,3,0)</f>
        <v>2876.97</v>
      </c>
      <c r="K1194" s="27" t="str">
        <f>VLOOKUP($F1194,mapping!$L$2:$P$92,4,0)</f>
        <v>Developing Asia</v>
      </c>
      <c r="L1194" s="29">
        <f>$D1194*VLOOKUP($E1194,'Charts data'!$A$2:$B$11,2,0)*VLOOKUP($G1194,'Charts data'!$A$14:$B$18,2,0)/IF('Charts data'!$E$3=1,I1194,1)/IF('Charts data'!$E$4=1,J1194,1)</f>
        <v>3000</v>
      </c>
    </row>
    <row r="1195" spans="1:12" x14ac:dyDescent="0.25">
      <c r="A1195" s="27" t="s">
        <v>1512</v>
      </c>
      <c r="B1195" s="27">
        <v>100000</v>
      </c>
      <c r="C1195" s="27" t="s">
        <v>2</v>
      </c>
      <c r="D1195" s="28">
        <f>B1195*VLOOKUP(C1195,tblXrate[],2,0)</f>
        <v>100000</v>
      </c>
      <c r="E1195" s="27" t="s">
        <v>2147</v>
      </c>
      <c r="F1195" s="27" t="s">
        <v>60</v>
      </c>
      <c r="G1195" s="27" t="s">
        <v>2272</v>
      </c>
      <c r="H1195" s="27">
        <v>20</v>
      </c>
      <c r="I1195" s="27">
        <f>VLOOKUP(F1195,mapping!$L$2:$P$92,2,0)</f>
        <v>1.3153074725151594</v>
      </c>
      <c r="J1195" s="27">
        <f>VLOOKUP($F1195,mapping!$L$2:$P$92,3,0)</f>
        <v>56956.31</v>
      </c>
      <c r="K1195" s="27" t="str">
        <f>VLOOKUP($F1195,mapping!$L$2:$P$92,4,0)</f>
        <v>Other Advanced Economies</v>
      </c>
      <c r="L1195" s="29">
        <f>$D1195*VLOOKUP($E1195,'Charts data'!$A$2:$B$11,2,0)*VLOOKUP($G1195,'Charts data'!$A$14:$B$18,2,0)/IF('Charts data'!$E$3=1,I1195,1)/IF('Charts data'!$E$4=1,J1195,1)</f>
        <v>100000</v>
      </c>
    </row>
    <row r="1196" spans="1:12" x14ac:dyDescent="0.25">
      <c r="A1196" s="27" t="s">
        <v>191</v>
      </c>
      <c r="B1196" s="27">
        <v>107000</v>
      </c>
      <c r="C1196" s="27" t="s">
        <v>2</v>
      </c>
      <c r="D1196" s="28">
        <f>B1196*VLOOKUP(C1196,tblXrate[],2,0)</f>
        <v>107000</v>
      </c>
      <c r="E1196" s="27" t="s">
        <v>19</v>
      </c>
      <c r="F1196" s="27" t="s">
        <v>17</v>
      </c>
      <c r="G1196" s="27" t="s">
        <v>2271</v>
      </c>
      <c r="H1196" s="27"/>
      <c r="I1196" s="27">
        <f>VLOOKUP(F1196,mapping!$L$2:$P$92,2,0)</f>
        <v>1.7581850283457086</v>
      </c>
      <c r="J1196" s="27">
        <f>VLOOKUP($F1196,mapping!$L$2:$P$92,3,0)</f>
        <v>81160.62</v>
      </c>
      <c r="K1196" s="27" t="str">
        <f>VLOOKUP($F1196,mapping!$L$2:$P$92,4,0)</f>
        <v>Other Advanced Economies</v>
      </c>
      <c r="L1196" s="29">
        <f>$D1196*VLOOKUP($E1196,'Charts data'!$A$2:$B$11,2,0)*VLOOKUP($G1196,'Charts data'!$A$14:$B$18,2,0)/IF('Charts data'!$E$3=1,I1196,1)/IF('Charts data'!$E$4=1,J1196,1)</f>
        <v>107000</v>
      </c>
    </row>
    <row r="1197" spans="1:12" x14ac:dyDescent="0.25">
      <c r="A1197" s="27" t="s">
        <v>337</v>
      </c>
      <c r="B1197" s="27">
        <v>145000</v>
      </c>
      <c r="C1197" s="27" t="s">
        <v>2</v>
      </c>
      <c r="D1197" s="28">
        <f>B1197*VLOOKUP(C1197,tblXrate[],2,0)</f>
        <v>145000</v>
      </c>
      <c r="E1197" s="27" t="s">
        <v>62</v>
      </c>
      <c r="F1197" s="27" t="s">
        <v>17</v>
      </c>
      <c r="G1197" s="27" t="s">
        <v>2273</v>
      </c>
      <c r="H1197" s="27"/>
      <c r="I1197" s="27">
        <f>VLOOKUP(F1197,mapping!$L$2:$P$92,2,0)</f>
        <v>1.7581850283457086</v>
      </c>
      <c r="J1197" s="27">
        <f>VLOOKUP($F1197,mapping!$L$2:$P$92,3,0)</f>
        <v>81160.62</v>
      </c>
      <c r="K1197" s="27" t="str">
        <f>VLOOKUP($F1197,mapping!$L$2:$P$92,4,0)</f>
        <v>Other Advanced Economies</v>
      </c>
      <c r="L1197" s="29">
        <f>$D1197*VLOOKUP($E1197,'Charts data'!$A$2:$B$11,2,0)*VLOOKUP($G1197,'Charts data'!$A$14:$B$18,2,0)/IF('Charts data'!$E$3=1,I1197,1)/IF('Charts data'!$E$4=1,J1197,1)</f>
        <v>145000</v>
      </c>
    </row>
    <row r="1198" spans="1:12" x14ac:dyDescent="0.25">
      <c r="A1198" s="27" t="s">
        <v>1108</v>
      </c>
      <c r="B1198" s="27">
        <v>150000</v>
      </c>
      <c r="C1198" s="27" t="s">
        <v>2</v>
      </c>
      <c r="D1198" s="28">
        <f>B1198*VLOOKUP(C1198,tblXrate[],2,0)</f>
        <v>150000</v>
      </c>
      <c r="E1198" s="27" t="s">
        <v>7</v>
      </c>
      <c r="F1198" s="27" t="s">
        <v>17</v>
      </c>
      <c r="G1198" s="27" t="s">
        <v>2274</v>
      </c>
      <c r="H1198" s="27">
        <v>20</v>
      </c>
      <c r="I1198" s="27">
        <f>VLOOKUP(F1198,mapping!$L$2:$P$92,2,0)</f>
        <v>1.7581850283457086</v>
      </c>
      <c r="J1198" s="27">
        <f>VLOOKUP($F1198,mapping!$L$2:$P$92,3,0)</f>
        <v>81160.62</v>
      </c>
      <c r="K1198" s="27" t="str">
        <f>VLOOKUP($F1198,mapping!$L$2:$P$92,4,0)</f>
        <v>Other Advanced Economies</v>
      </c>
      <c r="L1198" s="29">
        <f>$D1198*VLOOKUP($E1198,'Charts data'!$A$2:$B$11,2,0)*VLOOKUP($G1198,'Charts data'!$A$14:$B$18,2,0)/IF('Charts data'!$E$3=1,I1198,1)/IF('Charts data'!$E$4=1,J1198,1)</f>
        <v>150000</v>
      </c>
    </row>
    <row r="1199" spans="1:12" x14ac:dyDescent="0.25">
      <c r="A1199" s="27" t="s">
        <v>390</v>
      </c>
      <c r="B1199" s="27">
        <v>138000</v>
      </c>
      <c r="C1199" s="27" t="s">
        <v>2</v>
      </c>
      <c r="D1199" s="28">
        <f>B1199*VLOOKUP(C1199,tblXrate[],2,0)</f>
        <v>138000</v>
      </c>
      <c r="E1199" s="27" t="s">
        <v>48</v>
      </c>
      <c r="F1199" s="27" t="s">
        <v>50</v>
      </c>
      <c r="G1199" s="27" t="s">
        <v>2271</v>
      </c>
      <c r="H1199" s="27"/>
      <c r="I1199" s="27">
        <f>VLOOKUP(F1199,mapping!$L$2:$P$92,2,0)</f>
        <v>0.5557089932476833</v>
      </c>
      <c r="J1199" s="27">
        <f>VLOOKUP($F1199,mapping!$L$2:$P$92,3,0)</f>
        <v>5394.36</v>
      </c>
      <c r="K1199" s="27" t="str">
        <f>VLOOKUP($F1199,mapping!$L$2:$P$92,4,0)</f>
        <v>Developing Asia</v>
      </c>
      <c r="L1199" s="29">
        <f>$D1199*VLOOKUP($E1199,'Charts data'!$A$2:$B$11,2,0)*VLOOKUP($G1199,'Charts data'!$A$14:$B$18,2,0)/IF('Charts data'!$E$3=1,I1199,1)/IF('Charts data'!$E$4=1,J1199,1)</f>
        <v>138000</v>
      </c>
    </row>
    <row r="1200" spans="1:12" x14ac:dyDescent="0.25">
      <c r="A1200" s="27" t="s">
        <v>803</v>
      </c>
      <c r="B1200" s="27">
        <v>8000</v>
      </c>
      <c r="C1200" s="27" t="s">
        <v>2</v>
      </c>
      <c r="D1200" s="28">
        <f>B1200*VLOOKUP(C1200,tblXrate[],2,0)</f>
        <v>8000</v>
      </c>
      <c r="E1200" s="27" t="s">
        <v>19</v>
      </c>
      <c r="F1200" s="27" t="s">
        <v>50</v>
      </c>
      <c r="G1200" s="27" t="s">
        <v>2273</v>
      </c>
      <c r="H1200" s="27">
        <v>1</v>
      </c>
      <c r="I1200" s="27">
        <f>VLOOKUP(F1200,mapping!$L$2:$P$92,2,0)</f>
        <v>0.5557089932476833</v>
      </c>
      <c r="J1200" s="27">
        <f>VLOOKUP($F1200,mapping!$L$2:$P$92,3,0)</f>
        <v>5394.36</v>
      </c>
      <c r="K1200" s="27" t="str">
        <f>VLOOKUP($F1200,mapping!$L$2:$P$92,4,0)</f>
        <v>Developing Asia</v>
      </c>
      <c r="L1200" s="29">
        <f>$D1200*VLOOKUP($E1200,'Charts data'!$A$2:$B$11,2,0)*VLOOKUP($G1200,'Charts data'!$A$14:$B$18,2,0)/IF('Charts data'!$E$3=1,I1200,1)/IF('Charts data'!$E$4=1,J1200,1)</f>
        <v>8000</v>
      </c>
    </row>
    <row r="1201" spans="1:12" x14ac:dyDescent="0.25">
      <c r="A1201" s="27" t="s">
        <v>1791</v>
      </c>
      <c r="B1201" s="27">
        <v>11000</v>
      </c>
      <c r="C1201" s="27" t="s">
        <v>2</v>
      </c>
      <c r="D1201" s="28">
        <f>B1201*VLOOKUP(C1201,tblXrate[],2,0)</f>
        <v>11000</v>
      </c>
      <c r="E1201" s="27" t="s">
        <v>7</v>
      </c>
      <c r="F1201" s="27" t="s">
        <v>163</v>
      </c>
      <c r="G1201" s="27" t="s">
        <v>2271</v>
      </c>
      <c r="H1201" s="27">
        <v>8</v>
      </c>
      <c r="I1201" s="27">
        <f>VLOOKUP(F1201,mapping!$L$2:$P$92,2,0)</f>
        <v>0.40527993174232729</v>
      </c>
      <c r="J1201" s="27">
        <f>VLOOKUP($F1201,mapping!$L$2:$P$92,3,0)</f>
        <v>4351.18</v>
      </c>
      <c r="K1201" s="27" t="str">
        <f>VLOOKUP($F1201,mapping!$L$2:$P$92,4,0)</f>
        <v>Middle East and North Africa</v>
      </c>
      <c r="L1201" s="29">
        <f>$D1201*VLOOKUP($E1201,'Charts data'!$A$2:$B$11,2,0)*VLOOKUP($G1201,'Charts data'!$A$14:$B$18,2,0)/IF('Charts data'!$E$3=1,I1201,1)/IF('Charts data'!$E$4=1,J1201,1)</f>
        <v>11000</v>
      </c>
    </row>
    <row r="1202" spans="1:12" x14ac:dyDescent="0.25">
      <c r="A1202" s="27" t="s">
        <v>299</v>
      </c>
      <c r="B1202" s="27">
        <v>36000</v>
      </c>
      <c r="C1202" s="27" t="s">
        <v>2</v>
      </c>
      <c r="D1202" s="28">
        <f>B1202*VLOOKUP(C1202,tblXrate[],2,0)</f>
        <v>36000</v>
      </c>
      <c r="E1202" s="27" t="s">
        <v>51</v>
      </c>
      <c r="F1202" s="27" t="s">
        <v>47</v>
      </c>
      <c r="G1202" s="27" t="s">
        <v>2271</v>
      </c>
      <c r="H1202" s="27"/>
      <c r="I1202" s="27">
        <f>VLOOKUP(F1202,mapping!$L$2:$P$92,2,0)</f>
        <v>0.67708014065434363</v>
      </c>
      <c r="J1202" s="27">
        <f>VLOOKUP($F1202,mapping!$L$2:$P$92,3,0)</f>
        <v>10521.82</v>
      </c>
      <c r="K1202" s="27" t="str">
        <f>VLOOKUP($F1202,mapping!$L$2:$P$92,4,0)</f>
        <v>Central and Eastern Europe</v>
      </c>
      <c r="L1202" s="29">
        <f>$D1202*VLOOKUP($E1202,'Charts data'!$A$2:$B$11,2,0)*VLOOKUP($G1202,'Charts data'!$A$14:$B$18,2,0)/IF('Charts data'!$E$3=1,I1202,1)/IF('Charts data'!$E$4=1,J1202,1)</f>
        <v>36000</v>
      </c>
    </row>
    <row r="1203" spans="1:12" x14ac:dyDescent="0.25">
      <c r="A1203" s="27" t="s">
        <v>1609</v>
      </c>
      <c r="B1203" s="27">
        <v>60000</v>
      </c>
      <c r="C1203" s="27" t="s">
        <v>2</v>
      </c>
      <c r="D1203" s="28">
        <f>B1203*VLOOKUP(C1203,tblXrate[],2,0)</f>
        <v>60000</v>
      </c>
      <c r="E1203" s="27" t="s">
        <v>7</v>
      </c>
      <c r="F1203" s="27" t="s">
        <v>47</v>
      </c>
      <c r="G1203" s="27" t="s">
        <v>2272</v>
      </c>
      <c r="H1203" s="27">
        <v>10</v>
      </c>
      <c r="I1203" s="27">
        <f>VLOOKUP(F1203,mapping!$L$2:$P$92,2,0)</f>
        <v>0.67708014065434363</v>
      </c>
      <c r="J1203" s="27">
        <f>VLOOKUP($F1203,mapping!$L$2:$P$92,3,0)</f>
        <v>10521.82</v>
      </c>
      <c r="K1203" s="27" t="str">
        <f>VLOOKUP($F1203,mapping!$L$2:$P$92,4,0)</f>
        <v>Central and Eastern Europe</v>
      </c>
      <c r="L1203" s="29">
        <f>$D1203*VLOOKUP($E1203,'Charts data'!$A$2:$B$11,2,0)*VLOOKUP($G1203,'Charts data'!$A$14:$B$18,2,0)/IF('Charts data'!$E$3=1,I1203,1)/IF('Charts data'!$E$4=1,J1203,1)</f>
        <v>60000</v>
      </c>
    </row>
    <row r="1204" spans="1:12" x14ac:dyDescent="0.25">
      <c r="A1204" s="27" t="s">
        <v>246</v>
      </c>
      <c r="B1204" s="27">
        <v>33420</v>
      </c>
      <c r="C1204" s="27" t="s">
        <v>2</v>
      </c>
      <c r="D1204" s="28">
        <f>B1204*VLOOKUP(C1204,tblXrate[],2,0)</f>
        <v>33420</v>
      </c>
      <c r="E1204" s="27" t="s">
        <v>19</v>
      </c>
      <c r="F1204" s="27" t="s">
        <v>45</v>
      </c>
      <c r="G1204" s="27" t="s">
        <v>2273</v>
      </c>
      <c r="H1204" s="27"/>
      <c r="I1204" s="27">
        <f>VLOOKUP(F1204,mapping!$L$2:$P$92,2,0)</f>
        <v>1.3910401768336007</v>
      </c>
      <c r="J1204" s="27">
        <f>VLOOKUP($F1204,mapping!$L$2:$P$92,3,0)</f>
        <v>67007.98</v>
      </c>
      <c r="K1204" s="27" t="str">
        <f>VLOOKUP($F1204,mapping!$L$2:$P$92,4,0)</f>
        <v>Middle East and North Africa</v>
      </c>
      <c r="L1204" s="29">
        <f>$D1204*VLOOKUP($E1204,'Charts data'!$A$2:$B$11,2,0)*VLOOKUP($G1204,'Charts data'!$A$14:$B$18,2,0)/IF('Charts data'!$E$3=1,I1204,1)/IF('Charts data'!$E$4=1,J1204,1)</f>
        <v>33420</v>
      </c>
    </row>
    <row r="1205" spans="1:12" x14ac:dyDescent="0.25">
      <c r="A1205" s="27" t="s">
        <v>285</v>
      </c>
      <c r="B1205" s="27">
        <v>48000</v>
      </c>
      <c r="C1205" s="27" t="s">
        <v>2</v>
      </c>
      <c r="D1205" s="28">
        <f>B1205*VLOOKUP(C1205,tblXrate[],2,0)</f>
        <v>48000</v>
      </c>
      <c r="E1205" s="27" t="s">
        <v>19</v>
      </c>
      <c r="F1205" s="27" t="s">
        <v>45</v>
      </c>
      <c r="G1205" s="27" t="s">
        <v>2272</v>
      </c>
      <c r="H1205" s="27"/>
      <c r="I1205" s="27">
        <f>VLOOKUP(F1205,mapping!$L$2:$P$92,2,0)</f>
        <v>1.3910401768336007</v>
      </c>
      <c r="J1205" s="27">
        <f>VLOOKUP($F1205,mapping!$L$2:$P$92,3,0)</f>
        <v>67007.98</v>
      </c>
      <c r="K1205" s="27" t="str">
        <f>VLOOKUP($F1205,mapping!$L$2:$P$92,4,0)</f>
        <v>Middle East and North Africa</v>
      </c>
      <c r="L1205" s="29">
        <f>$D1205*VLOOKUP($E1205,'Charts data'!$A$2:$B$11,2,0)*VLOOKUP($G1205,'Charts data'!$A$14:$B$18,2,0)/IF('Charts data'!$E$3=1,I1205,1)/IF('Charts data'!$E$4=1,J1205,1)</f>
        <v>48000</v>
      </c>
    </row>
    <row r="1206" spans="1:12" x14ac:dyDescent="0.25">
      <c r="A1206" s="27" t="s">
        <v>287</v>
      </c>
      <c r="B1206" s="27">
        <v>85000</v>
      </c>
      <c r="C1206" s="27" t="s">
        <v>2</v>
      </c>
      <c r="D1206" s="28">
        <f>B1206*VLOOKUP(C1206,tblXrate[],2,0)</f>
        <v>85000</v>
      </c>
      <c r="E1206" s="27" t="s">
        <v>62</v>
      </c>
      <c r="F1206" s="27" t="s">
        <v>45</v>
      </c>
      <c r="G1206" s="27" t="s">
        <v>2271</v>
      </c>
      <c r="H1206" s="27"/>
      <c r="I1206" s="27">
        <f>VLOOKUP(F1206,mapping!$L$2:$P$92,2,0)</f>
        <v>1.3910401768336007</v>
      </c>
      <c r="J1206" s="27">
        <f>VLOOKUP($F1206,mapping!$L$2:$P$92,3,0)</f>
        <v>67007.98</v>
      </c>
      <c r="K1206" s="27" t="str">
        <f>VLOOKUP($F1206,mapping!$L$2:$P$92,4,0)</f>
        <v>Middle East and North Africa</v>
      </c>
      <c r="L1206" s="29">
        <f>$D1206*VLOOKUP($E1206,'Charts data'!$A$2:$B$11,2,0)*VLOOKUP($G1206,'Charts data'!$A$14:$B$18,2,0)/IF('Charts data'!$E$3=1,I1206,1)/IF('Charts data'!$E$4=1,J1206,1)</f>
        <v>85000</v>
      </c>
    </row>
    <row r="1207" spans="1:12" x14ac:dyDescent="0.25">
      <c r="A1207" s="27" t="s">
        <v>572</v>
      </c>
      <c r="B1207" s="27">
        <v>63586</v>
      </c>
      <c r="C1207" s="27" t="s">
        <v>2</v>
      </c>
      <c r="D1207" s="28">
        <f>B1207*VLOOKUP(C1207,tblXrate[],2,0)</f>
        <v>63586</v>
      </c>
      <c r="E1207" s="27" t="s">
        <v>19</v>
      </c>
      <c r="F1207" s="27" t="s">
        <v>45</v>
      </c>
      <c r="G1207" s="27" t="s">
        <v>2272</v>
      </c>
      <c r="H1207" s="27"/>
      <c r="I1207" s="27">
        <f>VLOOKUP(F1207,mapping!$L$2:$P$92,2,0)</f>
        <v>1.3910401768336007</v>
      </c>
      <c r="J1207" s="27">
        <f>VLOOKUP($F1207,mapping!$L$2:$P$92,3,0)</f>
        <v>67007.98</v>
      </c>
      <c r="K1207" s="27" t="str">
        <f>VLOOKUP($F1207,mapping!$L$2:$P$92,4,0)</f>
        <v>Middle East and North Africa</v>
      </c>
      <c r="L1207" s="29">
        <f>$D1207*VLOOKUP($E1207,'Charts data'!$A$2:$B$11,2,0)*VLOOKUP($G1207,'Charts data'!$A$14:$B$18,2,0)/IF('Charts data'!$E$3=1,I1207,1)/IF('Charts data'!$E$4=1,J1207,1)</f>
        <v>63586</v>
      </c>
    </row>
    <row r="1208" spans="1:12" x14ac:dyDescent="0.25">
      <c r="A1208" s="27" t="s">
        <v>667</v>
      </c>
      <c r="B1208" s="27">
        <v>55500</v>
      </c>
      <c r="C1208" s="27" t="s">
        <v>2</v>
      </c>
      <c r="D1208" s="28">
        <f>B1208*VLOOKUP(C1208,tblXrate[],2,0)</f>
        <v>55500</v>
      </c>
      <c r="E1208" s="27" t="s">
        <v>62</v>
      </c>
      <c r="F1208" s="27" t="s">
        <v>45</v>
      </c>
      <c r="G1208" s="27" t="s">
        <v>2271</v>
      </c>
      <c r="H1208" s="27"/>
      <c r="I1208" s="27">
        <f>VLOOKUP(F1208,mapping!$L$2:$P$92,2,0)</f>
        <v>1.3910401768336007</v>
      </c>
      <c r="J1208" s="27">
        <f>VLOOKUP($F1208,mapping!$L$2:$P$92,3,0)</f>
        <v>67007.98</v>
      </c>
      <c r="K1208" s="27" t="str">
        <f>VLOOKUP($F1208,mapping!$L$2:$P$92,4,0)</f>
        <v>Middle East and North Africa</v>
      </c>
      <c r="L1208" s="29">
        <f>$D1208*VLOOKUP($E1208,'Charts data'!$A$2:$B$11,2,0)*VLOOKUP($G1208,'Charts data'!$A$14:$B$18,2,0)/IF('Charts data'!$E$3=1,I1208,1)/IF('Charts data'!$E$4=1,J1208,1)</f>
        <v>55500</v>
      </c>
    </row>
    <row r="1209" spans="1:12" x14ac:dyDescent="0.25">
      <c r="A1209" s="27" t="s">
        <v>825</v>
      </c>
      <c r="B1209" s="27">
        <v>24000</v>
      </c>
      <c r="C1209" s="27" t="s">
        <v>2</v>
      </c>
      <c r="D1209" s="28">
        <f>B1209*VLOOKUP(C1209,tblXrate[],2,0)</f>
        <v>24000</v>
      </c>
      <c r="E1209" s="27" t="s">
        <v>51</v>
      </c>
      <c r="F1209" s="27" t="s">
        <v>45</v>
      </c>
      <c r="G1209" s="27" t="s">
        <v>2272</v>
      </c>
      <c r="H1209" s="27">
        <v>15</v>
      </c>
      <c r="I1209" s="27">
        <f>VLOOKUP(F1209,mapping!$L$2:$P$92,2,0)</f>
        <v>1.3910401768336007</v>
      </c>
      <c r="J1209" s="27">
        <f>VLOOKUP($F1209,mapping!$L$2:$P$92,3,0)</f>
        <v>67007.98</v>
      </c>
      <c r="K1209" s="27" t="str">
        <f>VLOOKUP($F1209,mapping!$L$2:$P$92,4,0)</f>
        <v>Middle East and North Africa</v>
      </c>
      <c r="L1209" s="29">
        <f>$D1209*VLOOKUP($E1209,'Charts data'!$A$2:$B$11,2,0)*VLOOKUP($G1209,'Charts data'!$A$14:$B$18,2,0)/IF('Charts data'!$E$3=1,I1209,1)/IF('Charts data'!$E$4=1,J1209,1)</f>
        <v>24000</v>
      </c>
    </row>
    <row r="1210" spans="1:12" x14ac:dyDescent="0.25">
      <c r="A1210" s="27" t="s">
        <v>828</v>
      </c>
      <c r="B1210" s="27">
        <v>56400</v>
      </c>
      <c r="C1210" s="27" t="s">
        <v>2</v>
      </c>
      <c r="D1210" s="28">
        <f>B1210*VLOOKUP(C1210,tblXrate[],2,0)</f>
        <v>56400</v>
      </c>
      <c r="E1210" s="27" t="s">
        <v>19</v>
      </c>
      <c r="F1210" s="27" t="s">
        <v>45</v>
      </c>
      <c r="G1210" s="27" t="s">
        <v>2272</v>
      </c>
      <c r="H1210" s="27">
        <v>6</v>
      </c>
      <c r="I1210" s="27">
        <f>VLOOKUP(F1210,mapping!$L$2:$P$92,2,0)</f>
        <v>1.3910401768336007</v>
      </c>
      <c r="J1210" s="27">
        <f>VLOOKUP($F1210,mapping!$L$2:$P$92,3,0)</f>
        <v>67007.98</v>
      </c>
      <c r="K1210" s="27" t="str">
        <f>VLOOKUP($F1210,mapping!$L$2:$P$92,4,0)</f>
        <v>Middle East and North Africa</v>
      </c>
      <c r="L1210" s="29">
        <f>$D1210*VLOOKUP($E1210,'Charts data'!$A$2:$B$11,2,0)*VLOOKUP($G1210,'Charts data'!$A$14:$B$18,2,0)/IF('Charts data'!$E$3=1,I1210,1)/IF('Charts data'!$E$4=1,J1210,1)</f>
        <v>56400</v>
      </c>
    </row>
    <row r="1211" spans="1:12" x14ac:dyDescent="0.25">
      <c r="A1211" s="27" t="s">
        <v>843</v>
      </c>
      <c r="B1211" s="27">
        <v>33500</v>
      </c>
      <c r="C1211" s="27" t="s">
        <v>2</v>
      </c>
      <c r="D1211" s="28">
        <f>B1211*VLOOKUP(C1211,tblXrate[],2,0)</f>
        <v>33500</v>
      </c>
      <c r="E1211" s="27" t="s">
        <v>51</v>
      </c>
      <c r="F1211" s="27" t="s">
        <v>45</v>
      </c>
      <c r="G1211" s="27" t="s">
        <v>2274</v>
      </c>
      <c r="H1211" s="27">
        <v>10</v>
      </c>
      <c r="I1211" s="27">
        <f>VLOOKUP(F1211,mapping!$L$2:$P$92,2,0)</f>
        <v>1.3910401768336007</v>
      </c>
      <c r="J1211" s="27">
        <f>VLOOKUP($F1211,mapping!$L$2:$P$92,3,0)</f>
        <v>67007.98</v>
      </c>
      <c r="K1211" s="27" t="str">
        <f>VLOOKUP($F1211,mapping!$L$2:$P$92,4,0)</f>
        <v>Middle East and North Africa</v>
      </c>
      <c r="L1211" s="29">
        <f>$D1211*VLOOKUP($E1211,'Charts data'!$A$2:$B$11,2,0)*VLOOKUP($G1211,'Charts data'!$A$14:$B$18,2,0)/IF('Charts data'!$E$3=1,I1211,1)/IF('Charts data'!$E$4=1,J1211,1)</f>
        <v>33500</v>
      </c>
    </row>
    <row r="1212" spans="1:12" x14ac:dyDescent="0.25">
      <c r="A1212" s="27" t="s">
        <v>869</v>
      </c>
      <c r="B1212" s="27">
        <v>12000</v>
      </c>
      <c r="C1212" s="27" t="s">
        <v>2</v>
      </c>
      <c r="D1212" s="28">
        <f>B1212*VLOOKUP(C1212,tblXrate[],2,0)</f>
        <v>12000</v>
      </c>
      <c r="E1212" s="27" t="s">
        <v>7</v>
      </c>
      <c r="F1212" s="27" t="s">
        <v>45</v>
      </c>
      <c r="G1212" s="27" t="s">
        <v>2271</v>
      </c>
      <c r="H1212" s="27">
        <v>12</v>
      </c>
      <c r="I1212" s="27">
        <f>VLOOKUP(F1212,mapping!$L$2:$P$92,2,0)</f>
        <v>1.3910401768336007</v>
      </c>
      <c r="J1212" s="27">
        <f>VLOOKUP($F1212,mapping!$L$2:$P$92,3,0)</f>
        <v>67007.98</v>
      </c>
      <c r="K1212" s="27" t="str">
        <f>VLOOKUP($F1212,mapping!$L$2:$P$92,4,0)</f>
        <v>Middle East and North Africa</v>
      </c>
      <c r="L1212" s="29">
        <f>$D1212*VLOOKUP($E1212,'Charts data'!$A$2:$B$11,2,0)*VLOOKUP($G1212,'Charts data'!$A$14:$B$18,2,0)/IF('Charts data'!$E$3=1,I1212,1)/IF('Charts data'!$E$4=1,J1212,1)</f>
        <v>12000</v>
      </c>
    </row>
    <row r="1213" spans="1:12" x14ac:dyDescent="0.25">
      <c r="A1213" s="27" t="s">
        <v>906</v>
      </c>
      <c r="B1213" s="27">
        <v>36000</v>
      </c>
      <c r="C1213" s="27" t="s">
        <v>2</v>
      </c>
      <c r="D1213" s="28">
        <f>B1213*VLOOKUP(C1213,tblXrate[],2,0)</f>
        <v>36000</v>
      </c>
      <c r="E1213" s="27" t="s">
        <v>48</v>
      </c>
      <c r="F1213" s="27" t="s">
        <v>45</v>
      </c>
      <c r="G1213" s="27" t="s">
        <v>2274</v>
      </c>
      <c r="H1213" s="27">
        <v>7</v>
      </c>
      <c r="I1213" s="27">
        <f>VLOOKUP(F1213,mapping!$L$2:$P$92,2,0)</f>
        <v>1.3910401768336007</v>
      </c>
      <c r="J1213" s="27">
        <f>VLOOKUP($F1213,mapping!$L$2:$P$92,3,0)</f>
        <v>67007.98</v>
      </c>
      <c r="K1213" s="27" t="str">
        <f>VLOOKUP($F1213,mapping!$L$2:$P$92,4,0)</f>
        <v>Middle East and North Africa</v>
      </c>
      <c r="L1213" s="29">
        <f>$D1213*VLOOKUP($E1213,'Charts data'!$A$2:$B$11,2,0)*VLOOKUP($G1213,'Charts data'!$A$14:$B$18,2,0)/IF('Charts data'!$E$3=1,I1213,1)/IF('Charts data'!$E$4=1,J1213,1)</f>
        <v>36000</v>
      </c>
    </row>
    <row r="1214" spans="1:12" x14ac:dyDescent="0.25">
      <c r="A1214" s="27" t="s">
        <v>965</v>
      </c>
      <c r="B1214" s="27">
        <v>60000</v>
      </c>
      <c r="C1214" s="27" t="s">
        <v>2</v>
      </c>
      <c r="D1214" s="28">
        <f>B1214*VLOOKUP(C1214,tblXrate[],2,0)</f>
        <v>60000</v>
      </c>
      <c r="E1214" s="27" t="s">
        <v>19</v>
      </c>
      <c r="F1214" s="27" t="s">
        <v>45</v>
      </c>
      <c r="G1214" s="27" t="s">
        <v>2272</v>
      </c>
      <c r="H1214" s="27">
        <v>15</v>
      </c>
      <c r="I1214" s="27">
        <f>VLOOKUP(F1214,mapping!$L$2:$P$92,2,0)</f>
        <v>1.3910401768336007</v>
      </c>
      <c r="J1214" s="27">
        <f>VLOOKUP($F1214,mapping!$L$2:$P$92,3,0)</f>
        <v>67007.98</v>
      </c>
      <c r="K1214" s="27" t="str">
        <f>VLOOKUP($F1214,mapping!$L$2:$P$92,4,0)</f>
        <v>Middle East and North Africa</v>
      </c>
      <c r="L1214" s="29">
        <f>$D1214*VLOOKUP($E1214,'Charts data'!$A$2:$B$11,2,0)*VLOOKUP($G1214,'Charts data'!$A$14:$B$18,2,0)/IF('Charts data'!$E$3=1,I1214,1)/IF('Charts data'!$E$4=1,J1214,1)</f>
        <v>60000</v>
      </c>
    </row>
    <row r="1215" spans="1:12" x14ac:dyDescent="0.25">
      <c r="A1215" s="27" t="s">
        <v>1027</v>
      </c>
      <c r="B1215" s="27">
        <v>26400</v>
      </c>
      <c r="C1215" s="27" t="s">
        <v>2</v>
      </c>
      <c r="D1215" s="28">
        <f>B1215*VLOOKUP(C1215,tblXrate[],2,0)</f>
        <v>26400</v>
      </c>
      <c r="E1215" s="27" t="s">
        <v>7</v>
      </c>
      <c r="F1215" s="27" t="s">
        <v>45</v>
      </c>
      <c r="G1215" s="27" t="s">
        <v>2273</v>
      </c>
      <c r="H1215" s="27">
        <v>6</v>
      </c>
      <c r="I1215" s="27">
        <f>VLOOKUP(F1215,mapping!$L$2:$P$92,2,0)</f>
        <v>1.3910401768336007</v>
      </c>
      <c r="J1215" s="27">
        <f>VLOOKUP($F1215,mapping!$L$2:$P$92,3,0)</f>
        <v>67007.98</v>
      </c>
      <c r="K1215" s="27" t="str">
        <f>VLOOKUP($F1215,mapping!$L$2:$P$92,4,0)</f>
        <v>Middle East and North Africa</v>
      </c>
      <c r="L1215" s="29">
        <f>$D1215*VLOOKUP($E1215,'Charts data'!$A$2:$B$11,2,0)*VLOOKUP($G1215,'Charts data'!$A$14:$B$18,2,0)/IF('Charts data'!$E$3=1,I1215,1)/IF('Charts data'!$E$4=1,J1215,1)</f>
        <v>26400</v>
      </c>
    </row>
    <row r="1216" spans="1:12" x14ac:dyDescent="0.25">
      <c r="A1216" s="27" t="s">
        <v>1028</v>
      </c>
      <c r="B1216" s="27">
        <v>12000</v>
      </c>
      <c r="C1216" s="27" t="s">
        <v>2</v>
      </c>
      <c r="D1216" s="28">
        <f>B1216*VLOOKUP(C1216,tblXrate[],2,0)</f>
        <v>12000</v>
      </c>
      <c r="E1216" s="27" t="s">
        <v>19</v>
      </c>
      <c r="F1216" s="27" t="s">
        <v>45</v>
      </c>
      <c r="G1216" s="27" t="s">
        <v>2273</v>
      </c>
      <c r="H1216" s="27">
        <v>18</v>
      </c>
      <c r="I1216" s="27">
        <f>VLOOKUP(F1216,mapping!$L$2:$P$92,2,0)</f>
        <v>1.3910401768336007</v>
      </c>
      <c r="J1216" s="27">
        <f>VLOOKUP($F1216,mapping!$L$2:$P$92,3,0)</f>
        <v>67007.98</v>
      </c>
      <c r="K1216" s="27" t="str">
        <f>VLOOKUP($F1216,mapping!$L$2:$P$92,4,0)</f>
        <v>Middle East and North Africa</v>
      </c>
      <c r="L1216" s="29">
        <f>$D1216*VLOOKUP($E1216,'Charts data'!$A$2:$B$11,2,0)*VLOOKUP($G1216,'Charts data'!$A$14:$B$18,2,0)/IF('Charts data'!$E$3=1,I1216,1)/IF('Charts data'!$E$4=1,J1216,1)</f>
        <v>12000</v>
      </c>
    </row>
    <row r="1217" spans="1:12" x14ac:dyDescent="0.25">
      <c r="A1217" s="27" t="s">
        <v>1098</v>
      </c>
      <c r="B1217" s="27">
        <v>36000</v>
      </c>
      <c r="C1217" s="27" t="s">
        <v>2</v>
      </c>
      <c r="D1217" s="28">
        <f>B1217*VLOOKUP(C1217,tblXrate[],2,0)</f>
        <v>36000</v>
      </c>
      <c r="E1217" s="27" t="s">
        <v>51</v>
      </c>
      <c r="F1217" s="27" t="s">
        <v>45</v>
      </c>
      <c r="G1217" s="27" t="s">
        <v>2271</v>
      </c>
      <c r="H1217" s="27">
        <v>4.5</v>
      </c>
      <c r="I1217" s="27">
        <f>VLOOKUP(F1217,mapping!$L$2:$P$92,2,0)</f>
        <v>1.3910401768336007</v>
      </c>
      <c r="J1217" s="27">
        <f>VLOOKUP($F1217,mapping!$L$2:$P$92,3,0)</f>
        <v>67007.98</v>
      </c>
      <c r="K1217" s="27" t="str">
        <f>VLOOKUP($F1217,mapping!$L$2:$P$92,4,0)</f>
        <v>Middle East and North Africa</v>
      </c>
      <c r="L1217" s="29">
        <f>$D1217*VLOOKUP($E1217,'Charts data'!$A$2:$B$11,2,0)*VLOOKUP($G1217,'Charts data'!$A$14:$B$18,2,0)/IF('Charts data'!$E$3=1,I1217,1)/IF('Charts data'!$E$4=1,J1217,1)</f>
        <v>36000</v>
      </c>
    </row>
    <row r="1218" spans="1:12" x14ac:dyDescent="0.25">
      <c r="A1218" s="27" t="s">
        <v>1581</v>
      </c>
      <c r="B1218" s="27">
        <v>30000</v>
      </c>
      <c r="C1218" s="27" t="s">
        <v>2</v>
      </c>
      <c r="D1218" s="28">
        <f>B1218*VLOOKUP(C1218,tblXrate[],2,0)</f>
        <v>30000</v>
      </c>
      <c r="E1218" s="27" t="s">
        <v>51</v>
      </c>
      <c r="F1218" s="27" t="s">
        <v>45</v>
      </c>
      <c r="G1218" s="27" t="s">
        <v>2271</v>
      </c>
      <c r="H1218" s="27">
        <v>8</v>
      </c>
      <c r="I1218" s="27">
        <f>VLOOKUP(F1218,mapping!$L$2:$P$92,2,0)</f>
        <v>1.3910401768336007</v>
      </c>
      <c r="J1218" s="27">
        <f>VLOOKUP($F1218,mapping!$L$2:$P$92,3,0)</f>
        <v>67007.98</v>
      </c>
      <c r="K1218" s="27" t="str">
        <f>VLOOKUP($F1218,mapping!$L$2:$P$92,4,0)</f>
        <v>Middle East and North Africa</v>
      </c>
      <c r="L1218" s="29">
        <f>$D1218*VLOOKUP($E1218,'Charts data'!$A$2:$B$11,2,0)*VLOOKUP($G1218,'Charts data'!$A$14:$B$18,2,0)/IF('Charts data'!$E$3=1,I1218,1)/IF('Charts data'!$E$4=1,J1218,1)</f>
        <v>30000</v>
      </c>
    </row>
    <row r="1219" spans="1:12" x14ac:dyDescent="0.25">
      <c r="A1219" s="27" t="s">
        <v>1888</v>
      </c>
      <c r="B1219" s="27">
        <v>18000</v>
      </c>
      <c r="C1219" s="27" t="s">
        <v>2</v>
      </c>
      <c r="D1219" s="28">
        <f>B1219*VLOOKUP(C1219,tblXrate[],2,0)</f>
        <v>18000</v>
      </c>
      <c r="E1219" s="27" t="s">
        <v>51</v>
      </c>
      <c r="F1219" s="27" t="s">
        <v>45</v>
      </c>
      <c r="G1219" s="27" t="s">
        <v>2273</v>
      </c>
      <c r="H1219" s="27">
        <v>3</v>
      </c>
      <c r="I1219" s="27">
        <f>VLOOKUP(F1219,mapping!$L$2:$P$92,2,0)</f>
        <v>1.3910401768336007</v>
      </c>
      <c r="J1219" s="27">
        <f>VLOOKUP($F1219,mapping!$L$2:$P$92,3,0)</f>
        <v>67007.98</v>
      </c>
      <c r="K1219" s="27" t="str">
        <f>VLOOKUP($F1219,mapping!$L$2:$P$92,4,0)</f>
        <v>Middle East and North Africa</v>
      </c>
      <c r="L1219" s="29">
        <f>$D1219*VLOOKUP($E1219,'Charts data'!$A$2:$B$11,2,0)*VLOOKUP($G1219,'Charts data'!$A$14:$B$18,2,0)/IF('Charts data'!$E$3=1,I1219,1)/IF('Charts data'!$E$4=1,J1219,1)</f>
        <v>18000</v>
      </c>
    </row>
    <row r="1220" spans="1:12" x14ac:dyDescent="0.25">
      <c r="A1220" s="27" t="s">
        <v>1959</v>
      </c>
      <c r="B1220" s="27">
        <v>60000</v>
      </c>
      <c r="C1220" s="27" t="s">
        <v>2</v>
      </c>
      <c r="D1220" s="28">
        <f>B1220*VLOOKUP(C1220,tblXrate[],2,0)</f>
        <v>60000</v>
      </c>
      <c r="E1220" s="27" t="s">
        <v>7</v>
      </c>
      <c r="F1220" s="27" t="s">
        <v>45</v>
      </c>
      <c r="G1220" s="27" t="s">
        <v>2271</v>
      </c>
      <c r="H1220" s="27">
        <v>5</v>
      </c>
      <c r="I1220" s="27">
        <f>VLOOKUP(F1220,mapping!$L$2:$P$92,2,0)</f>
        <v>1.3910401768336007</v>
      </c>
      <c r="J1220" s="27">
        <f>VLOOKUP($F1220,mapping!$L$2:$P$92,3,0)</f>
        <v>67007.98</v>
      </c>
      <c r="K1220" s="27" t="str">
        <f>VLOOKUP($F1220,mapping!$L$2:$P$92,4,0)</f>
        <v>Middle East and North Africa</v>
      </c>
      <c r="L1220" s="29">
        <f>$D1220*VLOOKUP($E1220,'Charts data'!$A$2:$B$11,2,0)*VLOOKUP($G1220,'Charts data'!$A$14:$B$18,2,0)/IF('Charts data'!$E$3=1,I1220,1)/IF('Charts data'!$E$4=1,J1220,1)</f>
        <v>60000</v>
      </c>
    </row>
    <row r="1221" spans="1:12" x14ac:dyDescent="0.25">
      <c r="A1221" s="27" t="s">
        <v>1996</v>
      </c>
      <c r="B1221" s="27">
        <v>100000</v>
      </c>
      <c r="C1221" s="27" t="s">
        <v>2</v>
      </c>
      <c r="D1221" s="28">
        <f>B1221*VLOOKUP(C1221,tblXrate[],2,0)</f>
        <v>100000</v>
      </c>
      <c r="E1221" s="27" t="s">
        <v>19</v>
      </c>
      <c r="F1221" s="27" t="s">
        <v>45</v>
      </c>
      <c r="G1221" s="27" t="s">
        <v>2273</v>
      </c>
      <c r="H1221" s="27">
        <v>15</v>
      </c>
      <c r="I1221" s="27">
        <f>VLOOKUP(F1221,mapping!$L$2:$P$92,2,0)</f>
        <v>1.3910401768336007</v>
      </c>
      <c r="J1221" s="27">
        <f>VLOOKUP($F1221,mapping!$L$2:$P$92,3,0)</f>
        <v>67007.98</v>
      </c>
      <c r="K1221" s="27" t="str">
        <f>VLOOKUP($F1221,mapping!$L$2:$P$92,4,0)</f>
        <v>Middle East and North Africa</v>
      </c>
      <c r="L1221" s="29">
        <f>$D1221*VLOOKUP($E1221,'Charts data'!$A$2:$B$11,2,0)*VLOOKUP($G1221,'Charts data'!$A$14:$B$18,2,0)/IF('Charts data'!$E$3=1,I1221,1)/IF('Charts data'!$E$4=1,J1221,1)</f>
        <v>100000</v>
      </c>
    </row>
    <row r="1222" spans="1:12" x14ac:dyDescent="0.25">
      <c r="A1222" s="27" t="s">
        <v>1437</v>
      </c>
      <c r="B1222" s="27">
        <v>100000</v>
      </c>
      <c r="C1222" s="27" t="s">
        <v>2</v>
      </c>
      <c r="D1222" s="28">
        <f>B1222*VLOOKUP(C1222,tblXrate[],2,0)</f>
        <v>100000</v>
      </c>
      <c r="E1222" s="27" t="s">
        <v>7</v>
      </c>
      <c r="F1222" s="27" t="s">
        <v>140</v>
      </c>
      <c r="G1222" s="27" t="s">
        <v>2271</v>
      </c>
      <c r="H1222" s="27">
        <v>17</v>
      </c>
      <c r="I1222" s="27">
        <f>VLOOKUP(F1222,mapping!$L$2:$P$92,2,0)</f>
        <v>0.34101295546558708</v>
      </c>
      <c r="J1222" s="27">
        <f>VLOOKUP($F1222,mapping!$L$2:$P$92,3,0)</f>
        <v>477.54500000000002</v>
      </c>
      <c r="K1222" s="27" t="str">
        <f>VLOOKUP($F1222,mapping!$L$2:$P$92,4,0)</f>
        <v>Sub-Saharan Africa</v>
      </c>
      <c r="L1222" s="29">
        <f>$D1222*VLOOKUP($E1222,'Charts data'!$A$2:$B$11,2,0)*VLOOKUP($G1222,'Charts data'!$A$14:$B$18,2,0)/IF('Charts data'!$E$3=1,I1222,1)/IF('Charts data'!$E$4=1,J1222,1)</f>
        <v>100000</v>
      </c>
    </row>
    <row r="1223" spans="1:12" x14ac:dyDescent="0.25">
      <c r="A1223" s="27" t="s">
        <v>260</v>
      </c>
      <c r="B1223" s="27">
        <v>81000</v>
      </c>
      <c r="C1223" s="27" t="s">
        <v>2</v>
      </c>
      <c r="D1223" s="28">
        <f>B1223*VLOOKUP(C1223,tblXrate[],2,0)</f>
        <v>81000</v>
      </c>
      <c r="E1223" s="27" t="s">
        <v>53</v>
      </c>
      <c r="F1223" s="27" t="s">
        <v>25</v>
      </c>
      <c r="G1223" s="27" t="s">
        <v>2271</v>
      </c>
      <c r="H1223" s="27"/>
      <c r="I1223" s="27">
        <f>VLOOKUP(F1223,mapping!$L$2:$P$92,2,0)</f>
        <v>1.0513109074688785</v>
      </c>
      <c r="J1223" s="27">
        <f>VLOOKUP($F1223,mapping!$L$2:$P$92,3,0)</f>
        <v>38592.1</v>
      </c>
      <c r="K1223" s="27" t="str">
        <f>VLOOKUP($F1223,mapping!$L$2:$P$92,4,0)</f>
        <v>Major Advanced Economies (G7)</v>
      </c>
      <c r="L1223" s="29">
        <f>$D1223*VLOOKUP($E1223,'Charts data'!$A$2:$B$11,2,0)*VLOOKUP($G1223,'Charts data'!$A$14:$B$18,2,0)/IF('Charts data'!$E$3=1,I1223,1)/IF('Charts data'!$E$4=1,J1223,1)</f>
        <v>81000</v>
      </c>
    </row>
    <row r="1224" spans="1:12" x14ac:dyDescent="0.25">
      <c r="A1224" s="27" t="s">
        <v>511</v>
      </c>
      <c r="B1224" s="27">
        <v>100000</v>
      </c>
      <c r="C1224" s="27" t="s">
        <v>2</v>
      </c>
      <c r="D1224" s="28">
        <f>B1224*VLOOKUP(C1224,tblXrate[],2,0)</f>
        <v>100000</v>
      </c>
      <c r="E1224" s="27" t="s">
        <v>7</v>
      </c>
      <c r="F1224" s="27" t="s">
        <v>25</v>
      </c>
      <c r="G1224" s="27" t="s">
        <v>2271</v>
      </c>
      <c r="H1224" s="27"/>
      <c r="I1224" s="27">
        <f>VLOOKUP(F1224,mapping!$L$2:$P$92,2,0)</f>
        <v>1.0513109074688785</v>
      </c>
      <c r="J1224" s="27">
        <f>VLOOKUP($F1224,mapping!$L$2:$P$92,3,0)</f>
        <v>38592.1</v>
      </c>
      <c r="K1224" s="27" t="str">
        <f>VLOOKUP($F1224,mapping!$L$2:$P$92,4,0)</f>
        <v>Major Advanced Economies (G7)</v>
      </c>
      <c r="L1224" s="29">
        <f>$D1224*VLOOKUP($E1224,'Charts data'!$A$2:$B$11,2,0)*VLOOKUP($G1224,'Charts data'!$A$14:$B$18,2,0)/IF('Charts data'!$E$3=1,I1224,1)/IF('Charts data'!$E$4=1,J1224,1)</f>
        <v>100000</v>
      </c>
    </row>
    <row r="1225" spans="1:12" x14ac:dyDescent="0.25">
      <c r="A1225" s="27" t="s">
        <v>523</v>
      </c>
      <c r="B1225" s="27">
        <v>170000</v>
      </c>
      <c r="C1225" s="27" t="s">
        <v>2</v>
      </c>
      <c r="D1225" s="28">
        <f>B1225*VLOOKUP(C1225,tblXrate[],2,0)</f>
        <v>170000</v>
      </c>
      <c r="E1225" s="27" t="s">
        <v>7</v>
      </c>
      <c r="F1225" s="27" t="s">
        <v>25</v>
      </c>
      <c r="G1225" s="27" t="s">
        <v>2295</v>
      </c>
      <c r="H1225" s="27"/>
      <c r="I1225" s="27">
        <f>VLOOKUP(F1225,mapping!$L$2:$P$92,2,0)</f>
        <v>1.0513109074688785</v>
      </c>
      <c r="J1225" s="27">
        <f>VLOOKUP($F1225,mapping!$L$2:$P$92,3,0)</f>
        <v>38592.1</v>
      </c>
      <c r="K1225" s="27" t="str">
        <f>VLOOKUP($F1225,mapping!$L$2:$P$92,4,0)</f>
        <v>Major Advanced Economies (G7)</v>
      </c>
      <c r="L1225" s="29">
        <f>$D1225*VLOOKUP($E1225,'Charts data'!$A$2:$B$11,2,0)*VLOOKUP($G1225,'Charts data'!$A$14:$B$18,2,0)/IF('Charts data'!$E$3=1,I1225,1)/IF('Charts data'!$E$4=1,J1225,1)</f>
        <v>170000</v>
      </c>
    </row>
    <row r="1226" spans="1:12" x14ac:dyDescent="0.25">
      <c r="A1226" s="27" t="s">
        <v>1267</v>
      </c>
      <c r="B1226" s="27">
        <v>19000</v>
      </c>
      <c r="C1226" s="27" t="s">
        <v>2</v>
      </c>
      <c r="D1226" s="28">
        <f>B1226*VLOOKUP(C1226,tblXrate[],2,0)</f>
        <v>19000</v>
      </c>
      <c r="E1226" s="27" t="s">
        <v>2145</v>
      </c>
      <c r="F1226" s="27" t="s">
        <v>25</v>
      </c>
      <c r="G1226" s="27" t="s">
        <v>2273</v>
      </c>
      <c r="H1226" s="27">
        <v>8</v>
      </c>
      <c r="I1226" s="27">
        <f>VLOOKUP(F1226,mapping!$L$2:$P$92,2,0)</f>
        <v>1.0513109074688785</v>
      </c>
      <c r="J1226" s="27">
        <f>VLOOKUP($F1226,mapping!$L$2:$P$92,3,0)</f>
        <v>38592.1</v>
      </c>
      <c r="K1226" s="27" t="str">
        <f>VLOOKUP($F1226,mapping!$L$2:$P$92,4,0)</f>
        <v>Major Advanced Economies (G7)</v>
      </c>
      <c r="L1226" s="29">
        <f>$D1226*VLOOKUP($E1226,'Charts data'!$A$2:$B$11,2,0)*VLOOKUP($G1226,'Charts data'!$A$14:$B$18,2,0)/IF('Charts data'!$E$3=1,I1226,1)/IF('Charts data'!$E$4=1,J1226,1)</f>
        <v>19000</v>
      </c>
    </row>
    <row r="1227" spans="1:12" x14ac:dyDescent="0.25">
      <c r="A1227" s="27" t="s">
        <v>1302</v>
      </c>
      <c r="B1227" s="27">
        <v>81600</v>
      </c>
      <c r="C1227" s="27" t="s">
        <v>2</v>
      </c>
      <c r="D1227" s="28">
        <f>B1227*VLOOKUP(C1227,tblXrate[],2,0)</f>
        <v>81600</v>
      </c>
      <c r="E1227" s="27" t="s">
        <v>7</v>
      </c>
      <c r="F1227" s="27" t="s">
        <v>25</v>
      </c>
      <c r="G1227" s="27" t="s">
        <v>2271</v>
      </c>
      <c r="H1227" s="27">
        <v>4</v>
      </c>
      <c r="I1227" s="27">
        <f>VLOOKUP(F1227,mapping!$L$2:$P$92,2,0)</f>
        <v>1.0513109074688785</v>
      </c>
      <c r="J1227" s="27">
        <f>VLOOKUP($F1227,mapping!$L$2:$P$92,3,0)</f>
        <v>38592.1</v>
      </c>
      <c r="K1227" s="27" t="str">
        <f>VLOOKUP($F1227,mapping!$L$2:$P$92,4,0)</f>
        <v>Major Advanced Economies (G7)</v>
      </c>
      <c r="L1227" s="29">
        <f>$D1227*VLOOKUP($E1227,'Charts data'!$A$2:$B$11,2,0)*VLOOKUP($G1227,'Charts data'!$A$14:$B$18,2,0)/IF('Charts data'!$E$3=1,I1227,1)/IF('Charts data'!$E$4=1,J1227,1)</f>
        <v>81600</v>
      </c>
    </row>
    <row r="1228" spans="1:12" x14ac:dyDescent="0.25">
      <c r="A1228" s="27" t="s">
        <v>1337</v>
      </c>
      <c r="B1228" s="27">
        <v>19000</v>
      </c>
      <c r="C1228" s="27" t="s">
        <v>2</v>
      </c>
      <c r="D1228" s="28">
        <f>B1228*VLOOKUP(C1228,tblXrate[],2,0)</f>
        <v>19000</v>
      </c>
      <c r="E1228" s="27" t="s">
        <v>51</v>
      </c>
      <c r="F1228" s="27" t="s">
        <v>25</v>
      </c>
      <c r="G1228" s="27" t="s">
        <v>2271</v>
      </c>
      <c r="H1228" s="27">
        <v>20</v>
      </c>
      <c r="I1228" s="27">
        <f>VLOOKUP(F1228,mapping!$L$2:$P$92,2,0)</f>
        <v>1.0513109074688785</v>
      </c>
      <c r="J1228" s="27">
        <f>VLOOKUP($F1228,mapping!$L$2:$P$92,3,0)</f>
        <v>38592.1</v>
      </c>
      <c r="K1228" s="27" t="str">
        <f>VLOOKUP($F1228,mapping!$L$2:$P$92,4,0)</f>
        <v>Major Advanced Economies (G7)</v>
      </c>
      <c r="L1228" s="29">
        <f>$D1228*VLOOKUP($E1228,'Charts data'!$A$2:$B$11,2,0)*VLOOKUP($G1228,'Charts data'!$A$14:$B$18,2,0)/IF('Charts data'!$E$3=1,I1228,1)/IF('Charts data'!$E$4=1,J1228,1)</f>
        <v>19000</v>
      </c>
    </row>
    <row r="1229" spans="1:12" x14ac:dyDescent="0.25">
      <c r="A1229" s="27" t="s">
        <v>182</v>
      </c>
      <c r="B1229" s="27">
        <v>12000</v>
      </c>
      <c r="C1229" s="27" t="s">
        <v>2</v>
      </c>
      <c r="D1229" s="28">
        <f>B1229*VLOOKUP(C1229,tblXrate[],2,0)</f>
        <v>12000</v>
      </c>
      <c r="E1229" s="27" t="s">
        <v>7</v>
      </c>
      <c r="F1229" s="27" t="s">
        <v>11</v>
      </c>
      <c r="G1229" s="27" t="s">
        <v>2273</v>
      </c>
      <c r="H1229" s="27"/>
      <c r="I1229" s="27">
        <f>VLOOKUP(F1229,mapping!$L$2:$P$92,2,0)</f>
        <v>0.49399380804953563</v>
      </c>
      <c r="J1229" s="27">
        <f>VLOOKUP($F1229,mapping!$L$2:$P$92,3,0)</f>
        <v>3621.22</v>
      </c>
      <c r="K1229" s="27" t="str">
        <f>VLOOKUP($F1229,mapping!$L$2:$P$92,4,0)</f>
        <v>Commonwealth of Independent States</v>
      </c>
      <c r="L1229" s="29">
        <f>$D1229*VLOOKUP($E1229,'Charts data'!$A$2:$B$11,2,0)*VLOOKUP($G1229,'Charts data'!$A$14:$B$18,2,0)/IF('Charts data'!$E$3=1,I1229,1)/IF('Charts data'!$E$4=1,J1229,1)</f>
        <v>12000</v>
      </c>
    </row>
    <row r="1230" spans="1:12" x14ac:dyDescent="0.25">
      <c r="A1230" s="27" t="s">
        <v>437</v>
      </c>
      <c r="B1230" s="27">
        <v>7600</v>
      </c>
      <c r="C1230" s="27" t="s">
        <v>2</v>
      </c>
      <c r="D1230" s="28">
        <f>B1230*VLOOKUP(C1230,tblXrate[],2,0)</f>
        <v>7600</v>
      </c>
      <c r="E1230" s="27" t="s">
        <v>23</v>
      </c>
      <c r="F1230" s="27" t="s">
        <v>11</v>
      </c>
      <c r="G1230" s="27" t="s">
        <v>2274</v>
      </c>
      <c r="H1230" s="27"/>
      <c r="I1230" s="27">
        <f>VLOOKUP(F1230,mapping!$L$2:$P$92,2,0)</f>
        <v>0.49399380804953563</v>
      </c>
      <c r="J1230" s="27">
        <f>VLOOKUP($F1230,mapping!$L$2:$P$92,3,0)</f>
        <v>3621.22</v>
      </c>
      <c r="K1230" s="27" t="str">
        <f>VLOOKUP($F1230,mapping!$L$2:$P$92,4,0)</f>
        <v>Commonwealth of Independent States</v>
      </c>
      <c r="L1230" s="29">
        <f>$D1230*VLOOKUP($E1230,'Charts data'!$A$2:$B$11,2,0)*VLOOKUP($G1230,'Charts data'!$A$14:$B$18,2,0)/IF('Charts data'!$E$3=1,I1230,1)/IF('Charts data'!$E$4=1,J1230,1)</f>
        <v>7600</v>
      </c>
    </row>
    <row r="1231" spans="1:12" x14ac:dyDescent="0.25">
      <c r="A1231" s="27" t="s">
        <v>549</v>
      </c>
      <c r="B1231" s="27">
        <v>15000</v>
      </c>
      <c r="C1231" s="27" t="s">
        <v>2</v>
      </c>
      <c r="D1231" s="28">
        <f>B1231*VLOOKUP(C1231,tblXrate[],2,0)</f>
        <v>15000</v>
      </c>
      <c r="E1231" s="27" t="s">
        <v>2145</v>
      </c>
      <c r="F1231" s="27" t="s">
        <v>11</v>
      </c>
      <c r="G1231" s="27" t="s">
        <v>2272</v>
      </c>
      <c r="H1231" s="27"/>
      <c r="I1231" s="27">
        <f>VLOOKUP(F1231,mapping!$L$2:$P$92,2,0)</f>
        <v>0.49399380804953563</v>
      </c>
      <c r="J1231" s="27">
        <f>VLOOKUP($F1231,mapping!$L$2:$P$92,3,0)</f>
        <v>3621.22</v>
      </c>
      <c r="K1231" s="27" t="str">
        <f>VLOOKUP($F1231,mapping!$L$2:$P$92,4,0)</f>
        <v>Commonwealth of Independent States</v>
      </c>
      <c r="L1231" s="29">
        <f>$D1231*VLOOKUP($E1231,'Charts data'!$A$2:$B$11,2,0)*VLOOKUP($G1231,'Charts data'!$A$14:$B$18,2,0)/IF('Charts data'!$E$3=1,I1231,1)/IF('Charts data'!$E$4=1,J1231,1)</f>
        <v>15000</v>
      </c>
    </row>
    <row r="1232" spans="1:12" x14ac:dyDescent="0.25">
      <c r="A1232" s="27" t="s">
        <v>978</v>
      </c>
      <c r="B1232" s="27">
        <v>12000</v>
      </c>
      <c r="C1232" s="27" t="s">
        <v>2</v>
      </c>
      <c r="D1232" s="28">
        <f>B1232*VLOOKUP(C1232,tblXrate[],2,0)</f>
        <v>12000</v>
      </c>
      <c r="E1232" s="27" t="s">
        <v>19</v>
      </c>
      <c r="F1232" s="27" t="s">
        <v>11</v>
      </c>
      <c r="G1232" s="27" t="s">
        <v>2271</v>
      </c>
      <c r="H1232" s="27">
        <v>5</v>
      </c>
      <c r="I1232" s="27">
        <f>VLOOKUP(F1232,mapping!$L$2:$P$92,2,0)</f>
        <v>0.49399380804953563</v>
      </c>
      <c r="J1232" s="27">
        <f>VLOOKUP($F1232,mapping!$L$2:$P$92,3,0)</f>
        <v>3621.22</v>
      </c>
      <c r="K1232" s="27" t="str">
        <f>VLOOKUP($F1232,mapping!$L$2:$P$92,4,0)</f>
        <v>Commonwealth of Independent States</v>
      </c>
      <c r="L1232" s="29">
        <f>$D1232*VLOOKUP($E1232,'Charts data'!$A$2:$B$11,2,0)*VLOOKUP($G1232,'Charts data'!$A$14:$B$18,2,0)/IF('Charts data'!$E$3=1,I1232,1)/IF('Charts data'!$E$4=1,J1232,1)</f>
        <v>12000</v>
      </c>
    </row>
    <row r="1233" spans="1:12" x14ac:dyDescent="0.25">
      <c r="A1233" s="27" t="s">
        <v>1013</v>
      </c>
      <c r="B1233" s="27">
        <v>35000</v>
      </c>
      <c r="C1233" s="27" t="s">
        <v>2</v>
      </c>
      <c r="D1233" s="28">
        <f>B1233*VLOOKUP(C1233,tblXrate[],2,0)</f>
        <v>35000</v>
      </c>
      <c r="E1233" s="27" t="s">
        <v>19</v>
      </c>
      <c r="F1233" s="27" t="s">
        <v>104</v>
      </c>
      <c r="G1233" s="27" t="s">
        <v>2273</v>
      </c>
      <c r="H1233" s="27">
        <v>10</v>
      </c>
      <c r="I1233" s="27">
        <f>VLOOKUP(F1233,mapping!$L$2:$P$92,2,0)</f>
        <v>0.82232018561484921</v>
      </c>
      <c r="J1233" s="27">
        <f>VLOOKUP($F1233,mapping!$L$2:$P$92,3,0)</f>
        <v>13914.33</v>
      </c>
      <c r="K1233" s="27" t="str">
        <f>VLOOKUP($F1233,mapping!$L$2:$P$92,4,0)</f>
        <v>Latin America and the Caribbean</v>
      </c>
      <c r="L1233" s="29">
        <f>$D1233*VLOOKUP($E1233,'Charts data'!$A$2:$B$11,2,0)*VLOOKUP($G1233,'Charts data'!$A$14:$B$18,2,0)/IF('Charts data'!$E$3=1,I1233,1)/IF('Charts data'!$E$4=1,J1233,1)</f>
        <v>35000</v>
      </c>
    </row>
    <row r="1234" spans="1:12" x14ac:dyDescent="0.25">
      <c r="A1234" s="27" t="s">
        <v>177</v>
      </c>
      <c r="B1234" s="27">
        <v>58000</v>
      </c>
      <c r="C1234" s="27" t="s">
        <v>2</v>
      </c>
      <c r="D1234" s="28">
        <f>B1234*VLOOKUP(C1234,tblXrate[],2,0)</f>
        <v>58000</v>
      </c>
      <c r="E1234" s="27" t="s">
        <v>7</v>
      </c>
      <c r="F1234" s="27" t="s">
        <v>5</v>
      </c>
      <c r="G1234" s="27" t="s">
        <v>2273</v>
      </c>
      <c r="H1234" s="27"/>
      <c r="I1234" s="27">
        <f>VLOOKUP(F1234,mapping!$L$2:$P$92,2,0)</f>
        <v>1</v>
      </c>
      <c r="J1234" s="27">
        <f>VLOOKUP($F1234,mapping!$L$2:$P$92,3,0)</f>
        <v>48386.69</v>
      </c>
      <c r="K1234" s="27" t="str">
        <f>VLOOKUP($F1234,mapping!$L$2:$P$92,4,0)</f>
        <v>Major Advanced Economies (G7)</v>
      </c>
      <c r="L1234" s="29">
        <f>$D1234*VLOOKUP($E1234,'Charts data'!$A$2:$B$11,2,0)*VLOOKUP($G1234,'Charts data'!$A$14:$B$18,2,0)/IF('Charts data'!$E$3=1,I1234,1)/IF('Charts data'!$E$4=1,J1234,1)</f>
        <v>58000</v>
      </c>
    </row>
    <row r="1235" spans="1:12" x14ac:dyDescent="0.25">
      <c r="A1235" s="27" t="s">
        <v>179</v>
      </c>
      <c r="B1235" s="27">
        <v>54000</v>
      </c>
      <c r="C1235" s="27" t="s">
        <v>2</v>
      </c>
      <c r="D1235" s="28">
        <f>B1235*VLOOKUP(C1235,tblXrate[],2,0)</f>
        <v>54000</v>
      </c>
      <c r="E1235" s="27" t="s">
        <v>48</v>
      </c>
      <c r="F1235" s="27" t="s">
        <v>5</v>
      </c>
      <c r="G1235" s="27" t="s">
        <v>2273</v>
      </c>
      <c r="H1235" s="27"/>
      <c r="I1235" s="27">
        <f>VLOOKUP(F1235,mapping!$L$2:$P$92,2,0)</f>
        <v>1</v>
      </c>
      <c r="J1235" s="27">
        <f>VLOOKUP($F1235,mapping!$L$2:$P$92,3,0)</f>
        <v>48386.69</v>
      </c>
      <c r="K1235" s="27" t="str">
        <f>VLOOKUP($F1235,mapping!$L$2:$P$92,4,0)</f>
        <v>Major Advanced Economies (G7)</v>
      </c>
      <c r="L1235" s="29">
        <f>$D1235*VLOOKUP($E1235,'Charts data'!$A$2:$B$11,2,0)*VLOOKUP($G1235,'Charts data'!$A$14:$B$18,2,0)/IF('Charts data'!$E$3=1,I1235,1)/IF('Charts data'!$E$4=1,J1235,1)</f>
        <v>54000</v>
      </c>
    </row>
    <row r="1236" spans="1:12" x14ac:dyDescent="0.25">
      <c r="A1236" s="27" t="s">
        <v>188</v>
      </c>
      <c r="B1236" s="27">
        <v>49000</v>
      </c>
      <c r="C1236" s="27" t="s">
        <v>2</v>
      </c>
      <c r="D1236" s="28">
        <f>B1236*VLOOKUP(C1236,tblXrate[],2,0)</f>
        <v>49000</v>
      </c>
      <c r="E1236" s="27" t="s">
        <v>7</v>
      </c>
      <c r="F1236" s="27" t="s">
        <v>5</v>
      </c>
      <c r="G1236" s="27" t="s">
        <v>2273</v>
      </c>
      <c r="H1236" s="27"/>
      <c r="I1236" s="27">
        <f>VLOOKUP(F1236,mapping!$L$2:$P$92,2,0)</f>
        <v>1</v>
      </c>
      <c r="J1236" s="27">
        <f>VLOOKUP($F1236,mapping!$L$2:$P$92,3,0)</f>
        <v>48386.69</v>
      </c>
      <c r="K1236" s="27" t="str">
        <f>VLOOKUP($F1236,mapping!$L$2:$P$92,4,0)</f>
        <v>Major Advanced Economies (G7)</v>
      </c>
      <c r="L1236" s="29">
        <f>$D1236*VLOOKUP($E1236,'Charts data'!$A$2:$B$11,2,0)*VLOOKUP($G1236,'Charts data'!$A$14:$B$18,2,0)/IF('Charts data'!$E$3=1,I1236,1)/IF('Charts data'!$E$4=1,J1236,1)</f>
        <v>49000</v>
      </c>
    </row>
    <row r="1237" spans="1:12" x14ac:dyDescent="0.25">
      <c r="A1237" s="27" t="s">
        <v>189</v>
      </c>
      <c r="B1237" s="27">
        <v>85000</v>
      </c>
      <c r="C1237" s="27" t="s">
        <v>2</v>
      </c>
      <c r="D1237" s="28">
        <f>B1237*VLOOKUP(C1237,tblXrate[],2,0)</f>
        <v>85000</v>
      </c>
      <c r="E1237" s="27" t="s">
        <v>48</v>
      </c>
      <c r="F1237" s="27" t="s">
        <v>5</v>
      </c>
      <c r="G1237" s="27" t="s">
        <v>2274</v>
      </c>
      <c r="H1237" s="27"/>
      <c r="I1237" s="27">
        <f>VLOOKUP(F1237,mapping!$L$2:$P$92,2,0)</f>
        <v>1</v>
      </c>
      <c r="J1237" s="27">
        <f>VLOOKUP($F1237,mapping!$L$2:$P$92,3,0)</f>
        <v>48386.69</v>
      </c>
      <c r="K1237" s="27" t="str">
        <f>VLOOKUP($F1237,mapping!$L$2:$P$92,4,0)</f>
        <v>Major Advanced Economies (G7)</v>
      </c>
      <c r="L1237" s="29">
        <f>$D1237*VLOOKUP($E1237,'Charts data'!$A$2:$B$11,2,0)*VLOOKUP($G1237,'Charts data'!$A$14:$B$18,2,0)/IF('Charts data'!$E$3=1,I1237,1)/IF('Charts data'!$E$4=1,J1237,1)</f>
        <v>85000</v>
      </c>
    </row>
    <row r="1238" spans="1:12" x14ac:dyDescent="0.25">
      <c r="A1238" s="27" t="s">
        <v>190</v>
      </c>
      <c r="B1238" s="27">
        <v>75000</v>
      </c>
      <c r="C1238" s="27" t="s">
        <v>2</v>
      </c>
      <c r="D1238" s="28">
        <f>B1238*VLOOKUP(C1238,tblXrate[],2,0)</f>
        <v>75000</v>
      </c>
      <c r="E1238" s="27" t="s">
        <v>48</v>
      </c>
      <c r="F1238" s="27" t="s">
        <v>5</v>
      </c>
      <c r="G1238" s="27" t="s">
        <v>2273</v>
      </c>
      <c r="H1238" s="27"/>
      <c r="I1238" s="27">
        <f>VLOOKUP(F1238,mapping!$L$2:$P$92,2,0)</f>
        <v>1</v>
      </c>
      <c r="J1238" s="27">
        <f>VLOOKUP($F1238,mapping!$L$2:$P$92,3,0)</f>
        <v>48386.69</v>
      </c>
      <c r="K1238" s="27" t="str">
        <f>VLOOKUP($F1238,mapping!$L$2:$P$92,4,0)</f>
        <v>Major Advanced Economies (G7)</v>
      </c>
      <c r="L1238" s="29">
        <f>$D1238*VLOOKUP($E1238,'Charts data'!$A$2:$B$11,2,0)*VLOOKUP($G1238,'Charts data'!$A$14:$B$18,2,0)/IF('Charts data'!$E$3=1,I1238,1)/IF('Charts data'!$E$4=1,J1238,1)</f>
        <v>75000</v>
      </c>
    </row>
    <row r="1239" spans="1:12" x14ac:dyDescent="0.25">
      <c r="A1239" s="27" t="s">
        <v>196</v>
      </c>
      <c r="B1239" s="27">
        <v>96000</v>
      </c>
      <c r="C1239" s="27" t="s">
        <v>2</v>
      </c>
      <c r="D1239" s="28">
        <f>B1239*VLOOKUP(C1239,tblXrate[],2,0)</f>
        <v>96000</v>
      </c>
      <c r="E1239" s="27" t="s">
        <v>7</v>
      </c>
      <c r="F1239" s="27" t="s">
        <v>5</v>
      </c>
      <c r="G1239" s="27" t="s">
        <v>2272</v>
      </c>
      <c r="H1239" s="27"/>
      <c r="I1239" s="27">
        <f>VLOOKUP(F1239,mapping!$L$2:$P$92,2,0)</f>
        <v>1</v>
      </c>
      <c r="J1239" s="27">
        <f>VLOOKUP($F1239,mapping!$L$2:$P$92,3,0)</f>
        <v>48386.69</v>
      </c>
      <c r="K1239" s="27" t="str">
        <f>VLOOKUP($F1239,mapping!$L$2:$P$92,4,0)</f>
        <v>Major Advanced Economies (G7)</v>
      </c>
      <c r="L1239" s="29">
        <f>$D1239*VLOOKUP($E1239,'Charts data'!$A$2:$B$11,2,0)*VLOOKUP($G1239,'Charts data'!$A$14:$B$18,2,0)/IF('Charts data'!$E$3=1,I1239,1)/IF('Charts data'!$E$4=1,J1239,1)</f>
        <v>96000</v>
      </c>
    </row>
    <row r="1240" spans="1:12" x14ac:dyDescent="0.25">
      <c r="A1240" s="27" t="s">
        <v>198</v>
      </c>
      <c r="B1240" s="27">
        <v>75000</v>
      </c>
      <c r="C1240" s="27" t="s">
        <v>2</v>
      </c>
      <c r="D1240" s="28">
        <f>B1240*VLOOKUP(C1240,tblXrate[],2,0)</f>
        <v>75000</v>
      </c>
      <c r="E1240" s="27" t="s">
        <v>2147</v>
      </c>
      <c r="F1240" s="27" t="s">
        <v>5</v>
      </c>
      <c r="G1240" s="27" t="s">
        <v>2271</v>
      </c>
      <c r="H1240" s="27"/>
      <c r="I1240" s="27">
        <f>VLOOKUP(F1240,mapping!$L$2:$P$92,2,0)</f>
        <v>1</v>
      </c>
      <c r="J1240" s="27">
        <f>VLOOKUP($F1240,mapping!$L$2:$P$92,3,0)</f>
        <v>48386.69</v>
      </c>
      <c r="K1240" s="27" t="str">
        <f>VLOOKUP($F1240,mapping!$L$2:$P$92,4,0)</f>
        <v>Major Advanced Economies (G7)</v>
      </c>
      <c r="L1240" s="29">
        <f>$D1240*VLOOKUP($E1240,'Charts data'!$A$2:$B$11,2,0)*VLOOKUP($G1240,'Charts data'!$A$14:$B$18,2,0)/IF('Charts data'!$E$3=1,I1240,1)/IF('Charts data'!$E$4=1,J1240,1)</f>
        <v>75000</v>
      </c>
    </row>
    <row r="1241" spans="1:12" x14ac:dyDescent="0.25">
      <c r="A1241" s="27" t="s">
        <v>199</v>
      </c>
      <c r="B1241" s="27">
        <v>40000</v>
      </c>
      <c r="C1241" s="27" t="s">
        <v>2</v>
      </c>
      <c r="D1241" s="28">
        <f>B1241*VLOOKUP(C1241,tblXrate[],2,0)</f>
        <v>40000</v>
      </c>
      <c r="E1241" s="27" t="s">
        <v>19</v>
      </c>
      <c r="F1241" s="27" t="s">
        <v>5</v>
      </c>
      <c r="G1241" s="27" t="s">
        <v>2272</v>
      </c>
      <c r="H1241" s="27"/>
      <c r="I1241" s="27">
        <f>VLOOKUP(F1241,mapping!$L$2:$P$92,2,0)</f>
        <v>1</v>
      </c>
      <c r="J1241" s="27">
        <f>VLOOKUP($F1241,mapping!$L$2:$P$92,3,0)</f>
        <v>48386.69</v>
      </c>
      <c r="K1241" s="27" t="str">
        <f>VLOOKUP($F1241,mapping!$L$2:$P$92,4,0)</f>
        <v>Major Advanced Economies (G7)</v>
      </c>
      <c r="L1241" s="29">
        <f>$D1241*VLOOKUP($E1241,'Charts data'!$A$2:$B$11,2,0)*VLOOKUP($G1241,'Charts data'!$A$14:$B$18,2,0)/IF('Charts data'!$E$3=1,I1241,1)/IF('Charts data'!$E$4=1,J1241,1)</f>
        <v>40000</v>
      </c>
    </row>
    <row r="1242" spans="1:12" x14ac:dyDescent="0.25">
      <c r="A1242" s="27" t="s">
        <v>200</v>
      </c>
      <c r="B1242" s="27">
        <v>60000</v>
      </c>
      <c r="C1242" s="27" t="s">
        <v>2</v>
      </c>
      <c r="D1242" s="28">
        <f>B1242*VLOOKUP(C1242,tblXrate[],2,0)</f>
        <v>60000</v>
      </c>
      <c r="E1242" s="27" t="s">
        <v>7</v>
      </c>
      <c r="F1242" s="27" t="s">
        <v>5</v>
      </c>
      <c r="G1242" s="27" t="s">
        <v>2273</v>
      </c>
      <c r="H1242" s="27"/>
      <c r="I1242" s="27">
        <f>VLOOKUP(F1242,mapping!$L$2:$P$92,2,0)</f>
        <v>1</v>
      </c>
      <c r="J1242" s="27">
        <f>VLOOKUP($F1242,mapping!$L$2:$P$92,3,0)</f>
        <v>48386.69</v>
      </c>
      <c r="K1242" s="27" t="str">
        <f>VLOOKUP($F1242,mapping!$L$2:$P$92,4,0)</f>
        <v>Major Advanced Economies (G7)</v>
      </c>
      <c r="L1242" s="29">
        <f>$D1242*VLOOKUP($E1242,'Charts data'!$A$2:$B$11,2,0)*VLOOKUP($G1242,'Charts data'!$A$14:$B$18,2,0)/IF('Charts data'!$E$3=1,I1242,1)/IF('Charts data'!$E$4=1,J1242,1)</f>
        <v>60000</v>
      </c>
    </row>
    <row r="1243" spans="1:12" x14ac:dyDescent="0.25">
      <c r="A1243" s="27" t="s">
        <v>209</v>
      </c>
      <c r="B1243" s="27">
        <v>150000</v>
      </c>
      <c r="C1243" s="27" t="s">
        <v>2</v>
      </c>
      <c r="D1243" s="28">
        <f>B1243*VLOOKUP(C1243,tblXrate[],2,0)</f>
        <v>150000</v>
      </c>
      <c r="E1243" s="27" t="s">
        <v>19</v>
      </c>
      <c r="F1243" s="27" t="s">
        <v>5</v>
      </c>
      <c r="G1243" s="27" t="s">
        <v>2272</v>
      </c>
      <c r="H1243" s="27"/>
      <c r="I1243" s="27">
        <f>VLOOKUP(F1243,mapping!$L$2:$P$92,2,0)</f>
        <v>1</v>
      </c>
      <c r="J1243" s="27">
        <f>VLOOKUP($F1243,mapping!$L$2:$P$92,3,0)</f>
        <v>48386.69</v>
      </c>
      <c r="K1243" s="27" t="str">
        <f>VLOOKUP($F1243,mapping!$L$2:$P$92,4,0)</f>
        <v>Major Advanced Economies (G7)</v>
      </c>
      <c r="L1243" s="29">
        <f>$D1243*VLOOKUP($E1243,'Charts data'!$A$2:$B$11,2,0)*VLOOKUP($G1243,'Charts data'!$A$14:$B$18,2,0)/IF('Charts data'!$E$3=1,I1243,1)/IF('Charts data'!$E$4=1,J1243,1)</f>
        <v>150000</v>
      </c>
    </row>
    <row r="1244" spans="1:12" x14ac:dyDescent="0.25">
      <c r="A1244" s="27" t="s">
        <v>210</v>
      </c>
      <c r="B1244" s="27">
        <v>69000</v>
      </c>
      <c r="C1244" s="27" t="s">
        <v>2</v>
      </c>
      <c r="D1244" s="28">
        <f>B1244*VLOOKUP(C1244,tblXrate[],2,0)</f>
        <v>69000</v>
      </c>
      <c r="E1244" s="27" t="s">
        <v>48</v>
      </c>
      <c r="F1244" s="27" t="s">
        <v>5</v>
      </c>
      <c r="G1244" s="27" t="s">
        <v>2271</v>
      </c>
      <c r="H1244" s="27"/>
      <c r="I1244" s="27">
        <f>VLOOKUP(F1244,mapping!$L$2:$P$92,2,0)</f>
        <v>1</v>
      </c>
      <c r="J1244" s="27">
        <f>VLOOKUP($F1244,mapping!$L$2:$P$92,3,0)</f>
        <v>48386.69</v>
      </c>
      <c r="K1244" s="27" t="str">
        <f>VLOOKUP($F1244,mapping!$L$2:$P$92,4,0)</f>
        <v>Major Advanced Economies (G7)</v>
      </c>
      <c r="L1244" s="29">
        <f>$D1244*VLOOKUP($E1244,'Charts data'!$A$2:$B$11,2,0)*VLOOKUP($G1244,'Charts data'!$A$14:$B$18,2,0)/IF('Charts data'!$E$3=1,I1244,1)/IF('Charts data'!$E$4=1,J1244,1)</f>
        <v>69000</v>
      </c>
    </row>
    <row r="1245" spans="1:12" x14ac:dyDescent="0.25">
      <c r="A1245" s="27" t="s">
        <v>211</v>
      </c>
      <c r="B1245" s="27">
        <v>30000</v>
      </c>
      <c r="C1245" s="27" t="s">
        <v>2</v>
      </c>
      <c r="D1245" s="28">
        <f>B1245*VLOOKUP(C1245,tblXrate[],2,0)</f>
        <v>30000</v>
      </c>
      <c r="E1245" s="27" t="s">
        <v>53</v>
      </c>
      <c r="F1245" s="27" t="s">
        <v>5</v>
      </c>
      <c r="G1245" s="27" t="s">
        <v>2272</v>
      </c>
      <c r="H1245" s="27"/>
      <c r="I1245" s="27">
        <f>VLOOKUP(F1245,mapping!$L$2:$P$92,2,0)</f>
        <v>1</v>
      </c>
      <c r="J1245" s="27">
        <f>VLOOKUP($F1245,mapping!$L$2:$P$92,3,0)</f>
        <v>48386.69</v>
      </c>
      <c r="K1245" s="27" t="str">
        <f>VLOOKUP($F1245,mapping!$L$2:$P$92,4,0)</f>
        <v>Major Advanced Economies (G7)</v>
      </c>
      <c r="L1245" s="29">
        <f>$D1245*VLOOKUP($E1245,'Charts data'!$A$2:$B$11,2,0)*VLOOKUP($G1245,'Charts data'!$A$14:$B$18,2,0)/IF('Charts data'!$E$3=1,I1245,1)/IF('Charts data'!$E$4=1,J1245,1)</f>
        <v>30000</v>
      </c>
    </row>
    <row r="1246" spans="1:12" x14ac:dyDescent="0.25">
      <c r="A1246" s="27" t="s">
        <v>216</v>
      </c>
      <c r="B1246" s="27">
        <v>58000</v>
      </c>
      <c r="C1246" s="27" t="s">
        <v>2</v>
      </c>
      <c r="D1246" s="28">
        <f>B1246*VLOOKUP(C1246,tblXrate[],2,0)</f>
        <v>58000</v>
      </c>
      <c r="E1246" s="27" t="s">
        <v>51</v>
      </c>
      <c r="F1246" s="27" t="s">
        <v>5</v>
      </c>
      <c r="G1246" s="27" t="s">
        <v>2271</v>
      </c>
      <c r="H1246" s="27"/>
      <c r="I1246" s="27">
        <f>VLOOKUP(F1246,mapping!$L$2:$P$92,2,0)</f>
        <v>1</v>
      </c>
      <c r="J1246" s="27">
        <f>VLOOKUP($F1246,mapping!$L$2:$P$92,3,0)</f>
        <v>48386.69</v>
      </c>
      <c r="K1246" s="27" t="str">
        <f>VLOOKUP($F1246,mapping!$L$2:$P$92,4,0)</f>
        <v>Major Advanced Economies (G7)</v>
      </c>
      <c r="L1246" s="29">
        <f>$D1246*VLOOKUP($E1246,'Charts data'!$A$2:$B$11,2,0)*VLOOKUP($G1246,'Charts data'!$A$14:$B$18,2,0)/IF('Charts data'!$E$3=1,I1246,1)/IF('Charts data'!$E$4=1,J1246,1)</f>
        <v>58000</v>
      </c>
    </row>
    <row r="1247" spans="1:12" x14ac:dyDescent="0.25">
      <c r="A1247" s="27" t="s">
        <v>217</v>
      </c>
      <c r="B1247" s="27">
        <v>90000</v>
      </c>
      <c r="C1247" s="27" t="s">
        <v>2</v>
      </c>
      <c r="D1247" s="28">
        <f>B1247*VLOOKUP(C1247,tblXrate[],2,0)</f>
        <v>90000</v>
      </c>
      <c r="E1247" s="27" t="s">
        <v>2146</v>
      </c>
      <c r="F1247" s="27" t="s">
        <v>5</v>
      </c>
      <c r="G1247" s="27" t="s">
        <v>2274</v>
      </c>
      <c r="H1247" s="27"/>
      <c r="I1247" s="27">
        <f>VLOOKUP(F1247,mapping!$L$2:$P$92,2,0)</f>
        <v>1</v>
      </c>
      <c r="J1247" s="27">
        <f>VLOOKUP($F1247,mapping!$L$2:$P$92,3,0)</f>
        <v>48386.69</v>
      </c>
      <c r="K1247" s="27" t="str">
        <f>VLOOKUP($F1247,mapping!$L$2:$P$92,4,0)</f>
        <v>Major Advanced Economies (G7)</v>
      </c>
      <c r="L1247" s="29">
        <f>$D1247*VLOOKUP($E1247,'Charts data'!$A$2:$B$11,2,0)*VLOOKUP($G1247,'Charts data'!$A$14:$B$18,2,0)/IF('Charts data'!$E$3=1,I1247,1)/IF('Charts data'!$E$4=1,J1247,1)</f>
        <v>90000</v>
      </c>
    </row>
    <row r="1248" spans="1:12" x14ac:dyDescent="0.25">
      <c r="A1248" s="27" t="s">
        <v>220</v>
      </c>
      <c r="B1248" s="27">
        <v>12000</v>
      </c>
      <c r="C1248" s="27" t="s">
        <v>2</v>
      </c>
      <c r="D1248" s="28">
        <f>B1248*VLOOKUP(C1248,tblXrate[],2,0)</f>
        <v>12000</v>
      </c>
      <c r="E1248" s="27" t="s">
        <v>53</v>
      </c>
      <c r="F1248" s="27" t="s">
        <v>5</v>
      </c>
      <c r="G1248" s="27" t="s">
        <v>2274</v>
      </c>
      <c r="H1248" s="27"/>
      <c r="I1248" s="27">
        <f>VLOOKUP(F1248,mapping!$L$2:$P$92,2,0)</f>
        <v>1</v>
      </c>
      <c r="J1248" s="27">
        <f>VLOOKUP($F1248,mapping!$L$2:$P$92,3,0)</f>
        <v>48386.69</v>
      </c>
      <c r="K1248" s="27" t="str">
        <f>VLOOKUP($F1248,mapping!$L$2:$P$92,4,0)</f>
        <v>Major Advanced Economies (G7)</v>
      </c>
      <c r="L1248" s="29">
        <f>$D1248*VLOOKUP($E1248,'Charts data'!$A$2:$B$11,2,0)*VLOOKUP($G1248,'Charts data'!$A$14:$B$18,2,0)/IF('Charts data'!$E$3=1,I1248,1)/IF('Charts data'!$E$4=1,J1248,1)</f>
        <v>12000</v>
      </c>
    </row>
    <row r="1249" spans="1:12" x14ac:dyDescent="0.25">
      <c r="A1249" s="27" t="s">
        <v>223</v>
      </c>
      <c r="B1249" s="27">
        <v>57000</v>
      </c>
      <c r="C1249" s="27" t="s">
        <v>2</v>
      </c>
      <c r="D1249" s="28">
        <f>B1249*VLOOKUP(C1249,tblXrate[],2,0)</f>
        <v>57000</v>
      </c>
      <c r="E1249" s="27" t="s">
        <v>51</v>
      </c>
      <c r="F1249" s="27" t="s">
        <v>5</v>
      </c>
      <c r="G1249" s="27" t="s">
        <v>2272</v>
      </c>
      <c r="H1249" s="27"/>
      <c r="I1249" s="27">
        <f>VLOOKUP(F1249,mapping!$L$2:$P$92,2,0)</f>
        <v>1</v>
      </c>
      <c r="J1249" s="27">
        <f>VLOOKUP($F1249,mapping!$L$2:$P$92,3,0)</f>
        <v>48386.69</v>
      </c>
      <c r="K1249" s="27" t="str">
        <f>VLOOKUP($F1249,mapping!$L$2:$P$92,4,0)</f>
        <v>Major Advanced Economies (G7)</v>
      </c>
      <c r="L1249" s="29">
        <f>$D1249*VLOOKUP($E1249,'Charts data'!$A$2:$B$11,2,0)*VLOOKUP($G1249,'Charts data'!$A$14:$B$18,2,0)/IF('Charts data'!$E$3=1,I1249,1)/IF('Charts data'!$E$4=1,J1249,1)</f>
        <v>57000</v>
      </c>
    </row>
    <row r="1250" spans="1:12" x14ac:dyDescent="0.25">
      <c r="A1250" s="27" t="s">
        <v>227</v>
      </c>
      <c r="B1250" s="27">
        <v>62000</v>
      </c>
      <c r="C1250" s="27" t="s">
        <v>2</v>
      </c>
      <c r="D1250" s="28">
        <f>B1250*VLOOKUP(C1250,tblXrate[],2,0)</f>
        <v>62000</v>
      </c>
      <c r="E1250" s="27" t="s">
        <v>7</v>
      </c>
      <c r="F1250" s="27" t="s">
        <v>5</v>
      </c>
      <c r="G1250" s="27" t="s">
        <v>2271</v>
      </c>
      <c r="H1250" s="27"/>
      <c r="I1250" s="27">
        <f>VLOOKUP(F1250,mapping!$L$2:$P$92,2,0)</f>
        <v>1</v>
      </c>
      <c r="J1250" s="27">
        <f>VLOOKUP($F1250,mapping!$L$2:$P$92,3,0)</f>
        <v>48386.69</v>
      </c>
      <c r="K1250" s="27" t="str">
        <f>VLOOKUP($F1250,mapping!$L$2:$P$92,4,0)</f>
        <v>Major Advanced Economies (G7)</v>
      </c>
      <c r="L1250" s="29">
        <f>$D1250*VLOOKUP($E1250,'Charts data'!$A$2:$B$11,2,0)*VLOOKUP($G1250,'Charts data'!$A$14:$B$18,2,0)/IF('Charts data'!$E$3=1,I1250,1)/IF('Charts data'!$E$4=1,J1250,1)</f>
        <v>62000</v>
      </c>
    </row>
    <row r="1251" spans="1:12" x14ac:dyDescent="0.25">
      <c r="A1251" s="27" t="s">
        <v>231</v>
      </c>
      <c r="B1251" s="27">
        <v>38000</v>
      </c>
      <c r="C1251" s="27" t="s">
        <v>2</v>
      </c>
      <c r="D1251" s="28">
        <f>B1251*VLOOKUP(C1251,tblXrate[],2,0)</f>
        <v>38000</v>
      </c>
      <c r="E1251" s="27" t="s">
        <v>7</v>
      </c>
      <c r="F1251" s="27" t="s">
        <v>5</v>
      </c>
      <c r="G1251" s="27" t="s">
        <v>2271</v>
      </c>
      <c r="H1251" s="27"/>
      <c r="I1251" s="27">
        <f>VLOOKUP(F1251,mapping!$L$2:$P$92,2,0)</f>
        <v>1</v>
      </c>
      <c r="J1251" s="27">
        <f>VLOOKUP($F1251,mapping!$L$2:$P$92,3,0)</f>
        <v>48386.69</v>
      </c>
      <c r="K1251" s="27" t="str">
        <f>VLOOKUP($F1251,mapping!$L$2:$P$92,4,0)</f>
        <v>Major Advanced Economies (G7)</v>
      </c>
      <c r="L1251" s="29">
        <f>$D1251*VLOOKUP($E1251,'Charts data'!$A$2:$B$11,2,0)*VLOOKUP($G1251,'Charts data'!$A$14:$B$18,2,0)/IF('Charts data'!$E$3=1,I1251,1)/IF('Charts data'!$E$4=1,J1251,1)</f>
        <v>38000</v>
      </c>
    </row>
    <row r="1252" spans="1:12" x14ac:dyDescent="0.25">
      <c r="A1252" s="27" t="s">
        <v>232</v>
      </c>
      <c r="B1252" s="27">
        <v>41000</v>
      </c>
      <c r="C1252" s="27" t="s">
        <v>2</v>
      </c>
      <c r="D1252" s="28">
        <f>B1252*VLOOKUP(C1252,tblXrate[],2,0)</f>
        <v>41000</v>
      </c>
      <c r="E1252" s="27" t="s">
        <v>23</v>
      </c>
      <c r="F1252" s="27" t="s">
        <v>5</v>
      </c>
      <c r="G1252" s="27" t="s">
        <v>2271</v>
      </c>
      <c r="H1252" s="27"/>
      <c r="I1252" s="27">
        <f>VLOOKUP(F1252,mapping!$L$2:$P$92,2,0)</f>
        <v>1</v>
      </c>
      <c r="J1252" s="27">
        <f>VLOOKUP($F1252,mapping!$L$2:$P$92,3,0)</f>
        <v>48386.69</v>
      </c>
      <c r="K1252" s="27" t="str">
        <f>VLOOKUP($F1252,mapping!$L$2:$P$92,4,0)</f>
        <v>Major Advanced Economies (G7)</v>
      </c>
      <c r="L1252" s="29">
        <f>$D1252*VLOOKUP($E1252,'Charts data'!$A$2:$B$11,2,0)*VLOOKUP($G1252,'Charts data'!$A$14:$B$18,2,0)/IF('Charts data'!$E$3=1,I1252,1)/IF('Charts data'!$E$4=1,J1252,1)</f>
        <v>41000</v>
      </c>
    </row>
    <row r="1253" spans="1:12" x14ac:dyDescent="0.25">
      <c r="A1253" s="27" t="s">
        <v>233</v>
      </c>
      <c r="B1253" s="27">
        <v>68000</v>
      </c>
      <c r="C1253" s="27" t="s">
        <v>2</v>
      </c>
      <c r="D1253" s="28">
        <f>B1253*VLOOKUP(C1253,tblXrate[],2,0)</f>
        <v>68000</v>
      </c>
      <c r="E1253" s="27" t="s">
        <v>7</v>
      </c>
      <c r="F1253" s="27" t="s">
        <v>5</v>
      </c>
      <c r="G1253" s="27" t="s">
        <v>2273</v>
      </c>
      <c r="H1253" s="27"/>
      <c r="I1253" s="27">
        <f>VLOOKUP(F1253,mapping!$L$2:$P$92,2,0)</f>
        <v>1</v>
      </c>
      <c r="J1253" s="27">
        <f>VLOOKUP($F1253,mapping!$L$2:$P$92,3,0)</f>
        <v>48386.69</v>
      </c>
      <c r="K1253" s="27" t="str">
        <f>VLOOKUP($F1253,mapping!$L$2:$P$92,4,0)</f>
        <v>Major Advanced Economies (G7)</v>
      </c>
      <c r="L1253" s="29">
        <f>$D1253*VLOOKUP($E1253,'Charts data'!$A$2:$B$11,2,0)*VLOOKUP($G1253,'Charts data'!$A$14:$B$18,2,0)/IF('Charts data'!$E$3=1,I1253,1)/IF('Charts data'!$E$4=1,J1253,1)</f>
        <v>68000</v>
      </c>
    </row>
    <row r="1254" spans="1:12" x14ac:dyDescent="0.25">
      <c r="A1254" s="27" t="s">
        <v>237</v>
      </c>
      <c r="B1254" s="27">
        <v>85000</v>
      </c>
      <c r="C1254" s="27" t="s">
        <v>2</v>
      </c>
      <c r="D1254" s="28">
        <f>B1254*VLOOKUP(C1254,tblXrate[],2,0)</f>
        <v>85000</v>
      </c>
      <c r="E1254" s="27" t="s">
        <v>19</v>
      </c>
      <c r="F1254" s="27" t="s">
        <v>5</v>
      </c>
      <c r="G1254" s="27" t="s">
        <v>2271</v>
      </c>
      <c r="H1254" s="27"/>
      <c r="I1254" s="27">
        <f>VLOOKUP(F1254,mapping!$L$2:$P$92,2,0)</f>
        <v>1</v>
      </c>
      <c r="J1254" s="27">
        <f>VLOOKUP($F1254,mapping!$L$2:$P$92,3,0)</f>
        <v>48386.69</v>
      </c>
      <c r="K1254" s="27" t="str">
        <f>VLOOKUP($F1254,mapping!$L$2:$P$92,4,0)</f>
        <v>Major Advanced Economies (G7)</v>
      </c>
      <c r="L1254" s="29">
        <f>$D1254*VLOOKUP($E1254,'Charts data'!$A$2:$B$11,2,0)*VLOOKUP($G1254,'Charts data'!$A$14:$B$18,2,0)/IF('Charts data'!$E$3=1,I1254,1)/IF('Charts data'!$E$4=1,J1254,1)</f>
        <v>85000</v>
      </c>
    </row>
    <row r="1255" spans="1:12" x14ac:dyDescent="0.25">
      <c r="A1255" s="27" t="s">
        <v>240</v>
      </c>
      <c r="B1255" s="27">
        <v>85087</v>
      </c>
      <c r="C1255" s="27" t="s">
        <v>2</v>
      </c>
      <c r="D1255" s="28">
        <f>B1255*VLOOKUP(C1255,tblXrate[],2,0)</f>
        <v>85087</v>
      </c>
      <c r="E1255" s="27" t="s">
        <v>7</v>
      </c>
      <c r="F1255" s="27" t="s">
        <v>5</v>
      </c>
      <c r="G1255" s="27" t="s">
        <v>2272</v>
      </c>
      <c r="H1255" s="27"/>
      <c r="I1255" s="27">
        <f>VLOOKUP(F1255,mapping!$L$2:$P$92,2,0)</f>
        <v>1</v>
      </c>
      <c r="J1255" s="27">
        <f>VLOOKUP($F1255,mapping!$L$2:$P$92,3,0)</f>
        <v>48386.69</v>
      </c>
      <c r="K1255" s="27" t="str">
        <f>VLOOKUP($F1255,mapping!$L$2:$P$92,4,0)</f>
        <v>Major Advanced Economies (G7)</v>
      </c>
      <c r="L1255" s="29">
        <f>$D1255*VLOOKUP($E1255,'Charts data'!$A$2:$B$11,2,0)*VLOOKUP($G1255,'Charts data'!$A$14:$B$18,2,0)/IF('Charts data'!$E$3=1,I1255,1)/IF('Charts data'!$E$4=1,J1255,1)</f>
        <v>85087</v>
      </c>
    </row>
    <row r="1256" spans="1:12" x14ac:dyDescent="0.25">
      <c r="A1256" s="27" t="s">
        <v>241</v>
      </c>
      <c r="B1256" s="27">
        <v>50000</v>
      </c>
      <c r="C1256" s="27" t="s">
        <v>2</v>
      </c>
      <c r="D1256" s="28">
        <f>B1256*VLOOKUP(C1256,tblXrate[],2,0)</f>
        <v>50000</v>
      </c>
      <c r="E1256" s="27" t="s">
        <v>7</v>
      </c>
      <c r="F1256" s="27" t="s">
        <v>5</v>
      </c>
      <c r="G1256" s="27" t="s">
        <v>2273</v>
      </c>
      <c r="H1256" s="27"/>
      <c r="I1256" s="27">
        <f>VLOOKUP(F1256,mapping!$L$2:$P$92,2,0)</f>
        <v>1</v>
      </c>
      <c r="J1256" s="27">
        <f>VLOOKUP($F1256,mapping!$L$2:$P$92,3,0)</f>
        <v>48386.69</v>
      </c>
      <c r="K1256" s="27" t="str">
        <f>VLOOKUP($F1256,mapping!$L$2:$P$92,4,0)</f>
        <v>Major Advanced Economies (G7)</v>
      </c>
      <c r="L1256" s="29">
        <f>$D1256*VLOOKUP($E1256,'Charts data'!$A$2:$B$11,2,0)*VLOOKUP($G1256,'Charts data'!$A$14:$B$18,2,0)/IF('Charts data'!$E$3=1,I1256,1)/IF('Charts data'!$E$4=1,J1256,1)</f>
        <v>50000</v>
      </c>
    </row>
    <row r="1257" spans="1:12" x14ac:dyDescent="0.25">
      <c r="A1257" s="27" t="s">
        <v>243</v>
      </c>
      <c r="B1257" s="27">
        <v>57000</v>
      </c>
      <c r="C1257" s="27" t="s">
        <v>2</v>
      </c>
      <c r="D1257" s="28">
        <f>B1257*VLOOKUP(C1257,tblXrate[],2,0)</f>
        <v>57000</v>
      </c>
      <c r="E1257" s="27" t="s">
        <v>7</v>
      </c>
      <c r="F1257" s="27" t="s">
        <v>5</v>
      </c>
      <c r="G1257" s="27" t="s">
        <v>2271</v>
      </c>
      <c r="H1257" s="27"/>
      <c r="I1257" s="27">
        <f>VLOOKUP(F1257,mapping!$L$2:$P$92,2,0)</f>
        <v>1</v>
      </c>
      <c r="J1257" s="27">
        <f>VLOOKUP($F1257,mapping!$L$2:$P$92,3,0)</f>
        <v>48386.69</v>
      </c>
      <c r="K1257" s="27" t="str">
        <f>VLOOKUP($F1257,mapping!$L$2:$P$92,4,0)</f>
        <v>Major Advanced Economies (G7)</v>
      </c>
      <c r="L1257" s="29">
        <f>$D1257*VLOOKUP($E1257,'Charts data'!$A$2:$B$11,2,0)*VLOOKUP($G1257,'Charts data'!$A$14:$B$18,2,0)/IF('Charts data'!$E$3=1,I1257,1)/IF('Charts data'!$E$4=1,J1257,1)</f>
        <v>57000</v>
      </c>
    </row>
    <row r="1258" spans="1:12" x14ac:dyDescent="0.25">
      <c r="A1258" s="27" t="s">
        <v>244</v>
      </c>
      <c r="B1258" s="27">
        <v>75000</v>
      </c>
      <c r="C1258" s="27" t="s">
        <v>2</v>
      </c>
      <c r="D1258" s="28">
        <f>B1258*VLOOKUP(C1258,tblXrate[],2,0)</f>
        <v>75000</v>
      </c>
      <c r="E1258" s="27" t="s">
        <v>19</v>
      </c>
      <c r="F1258" s="27" t="s">
        <v>5</v>
      </c>
      <c r="G1258" s="27" t="s">
        <v>2273</v>
      </c>
      <c r="H1258" s="27"/>
      <c r="I1258" s="27">
        <f>VLOOKUP(F1258,mapping!$L$2:$P$92,2,0)</f>
        <v>1</v>
      </c>
      <c r="J1258" s="27">
        <f>VLOOKUP($F1258,mapping!$L$2:$P$92,3,0)</f>
        <v>48386.69</v>
      </c>
      <c r="K1258" s="27" t="str">
        <f>VLOOKUP($F1258,mapping!$L$2:$P$92,4,0)</f>
        <v>Major Advanced Economies (G7)</v>
      </c>
      <c r="L1258" s="29">
        <f>$D1258*VLOOKUP($E1258,'Charts data'!$A$2:$B$11,2,0)*VLOOKUP($G1258,'Charts data'!$A$14:$B$18,2,0)/IF('Charts data'!$E$3=1,I1258,1)/IF('Charts data'!$E$4=1,J1258,1)</f>
        <v>75000</v>
      </c>
    </row>
    <row r="1259" spans="1:12" x14ac:dyDescent="0.25">
      <c r="A1259" s="27" t="s">
        <v>248</v>
      </c>
      <c r="B1259" s="27">
        <v>15000</v>
      </c>
      <c r="C1259" s="27" t="s">
        <v>2</v>
      </c>
      <c r="D1259" s="28">
        <f>B1259*VLOOKUP(C1259,tblXrate[],2,0)</f>
        <v>15000</v>
      </c>
      <c r="E1259" s="27" t="s">
        <v>53</v>
      </c>
      <c r="F1259" s="27" t="s">
        <v>5</v>
      </c>
      <c r="G1259" s="27" t="s">
        <v>2273</v>
      </c>
      <c r="H1259" s="27"/>
      <c r="I1259" s="27">
        <f>VLOOKUP(F1259,mapping!$L$2:$P$92,2,0)</f>
        <v>1</v>
      </c>
      <c r="J1259" s="27">
        <f>VLOOKUP($F1259,mapping!$L$2:$P$92,3,0)</f>
        <v>48386.69</v>
      </c>
      <c r="K1259" s="27" t="str">
        <f>VLOOKUP($F1259,mapping!$L$2:$P$92,4,0)</f>
        <v>Major Advanced Economies (G7)</v>
      </c>
      <c r="L1259" s="29">
        <f>$D1259*VLOOKUP($E1259,'Charts data'!$A$2:$B$11,2,0)*VLOOKUP($G1259,'Charts data'!$A$14:$B$18,2,0)/IF('Charts data'!$E$3=1,I1259,1)/IF('Charts data'!$E$4=1,J1259,1)</f>
        <v>15000</v>
      </c>
    </row>
    <row r="1260" spans="1:12" x14ac:dyDescent="0.25">
      <c r="A1260" s="27" t="s">
        <v>252</v>
      </c>
      <c r="B1260" s="27">
        <v>50000</v>
      </c>
      <c r="C1260" s="27" t="s">
        <v>2</v>
      </c>
      <c r="D1260" s="28">
        <f>B1260*VLOOKUP(C1260,tblXrate[],2,0)</f>
        <v>50000</v>
      </c>
      <c r="E1260" s="27" t="s">
        <v>19</v>
      </c>
      <c r="F1260" s="27" t="s">
        <v>5</v>
      </c>
      <c r="G1260" s="27" t="s">
        <v>2272</v>
      </c>
      <c r="H1260" s="27"/>
      <c r="I1260" s="27">
        <f>VLOOKUP(F1260,mapping!$L$2:$P$92,2,0)</f>
        <v>1</v>
      </c>
      <c r="J1260" s="27">
        <f>VLOOKUP($F1260,mapping!$L$2:$P$92,3,0)</f>
        <v>48386.69</v>
      </c>
      <c r="K1260" s="27" t="str">
        <f>VLOOKUP($F1260,mapping!$L$2:$P$92,4,0)</f>
        <v>Major Advanced Economies (G7)</v>
      </c>
      <c r="L1260" s="29">
        <f>$D1260*VLOOKUP($E1260,'Charts data'!$A$2:$B$11,2,0)*VLOOKUP($G1260,'Charts data'!$A$14:$B$18,2,0)/IF('Charts data'!$E$3=1,I1260,1)/IF('Charts data'!$E$4=1,J1260,1)</f>
        <v>50000</v>
      </c>
    </row>
    <row r="1261" spans="1:12" x14ac:dyDescent="0.25">
      <c r="A1261" s="27" t="s">
        <v>255</v>
      </c>
      <c r="B1261" s="27">
        <v>150000</v>
      </c>
      <c r="C1261" s="27" t="s">
        <v>2</v>
      </c>
      <c r="D1261" s="28">
        <f>B1261*VLOOKUP(C1261,tblXrate[],2,0)</f>
        <v>150000</v>
      </c>
      <c r="E1261" s="27" t="s">
        <v>2147</v>
      </c>
      <c r="F1261" s="27" t="s">
        <v>5</v>
      </c>
      <c r="G1261" s="27" t="s">
        <v>2273</v>
      </c>
      <c r="H1261" s="27"/>
      <c r="I1261" s="27">
        <f>VLOOKUP(F1261,mapping!$L$2:$P$92,2,0)</f>
        <v>1</v>
      </c>
      <c r="J1261" s="27">
        <f>VLOOKUP($F1261,mapping!$L$2:$P$92,3,0)</f>
        <v>48386.69</v>
      </c>
      <c r="K1261" s="27" t="str">
        <f>VLOOKUP($F1261,mapping!$L$2:$P$92,4,0)</f>
        <v>Major Advanced Economies (G7)</v>
      </c>
      <c r="L1261" s="29">
        <f>$D1261*VLOOKUP($E1261,'Charts data'!$A$2:$B$11,2,0)*VLOOKUP($G1261,'Charts data'!$A$14:$B$18,2,0)/IF('Charts data'!$E$3=1,I1261,1)/IF('Charts data'!$E$4=1,J1261,1)</f>
        <v>150000</v>
      </c>
    </row>
    <row r="1262" spans="1:12" x14ac:dyDescent="0.25">
      <c r="A1262" s="27" t="s">
        <v>256</v>
      </c>
      <c r="B1262" s="27">
        <v>120000</v>
      </c>
      <c r="C1262" s="27" t="s">
        <v>2</v>
      </c>
      <c r="D1262" s="28">
        <f>B1262*VLOOKUP(C1262,tblXrate[],2,0)</f>
        <v>120000</v>
      </c>
      <c r="E1262" s="27" t="s">
        <v>19</v>
      </c>
      <c r="F1262" s="27" t="s">
        <v>5</v>
      </c>
      <c r="G1262" s="27" t="s">
        <v>2271</v>
      </c>
      <c r="H1262" s="27"/>
      <c r="I1262" s="27">
        <f>VLOOKUP(F1262,mapping!$L$2:$P$92,2,0)</f>
        <v>1</v>
      </c>
      <c r="J1262" s="27">
        <f>VLOOKUP($F1262,mapping!$L$2:$P$92,3,0)</f>
        <v>48386.69</v>
      </c>
      <c r="K1262" s="27" t="str">
        <f>VLOOKUP($F1262,mapping!$L$2:$P$92,4,0)</f>
        <v>Major Advanced Economies (G7)</v>
      </c>
      <c r="L1262" s="29">
        <f>$D1262*VLOOKUP($E1262,'Charts data'!$A$2:$B$11,2,0)*VLOOKUP($G1262,'Charts data'!$A$14:$B$18,2,0)/IF('Charts data'!$E$3=1,I1262,1)/IF('Charts data'!$E$4=1,J1262,1)</f>
        <v>120000</v>
      </c>
    </row>
    <row r="1263" spans="1:12" x14ac:dyDescent="0.25">
      <c r="A1263" s="27" t="s">
        <v>259</v>
      </c>
      <c r="B1263" s="27">
        <v>110000</v>
      </c>
      <c r="C1263" s="27" t="s">
        <v>2</v>
      </c>
      <c r="D1263" s="28">
        <f>B1263*VLOOKUP(C1263,tblXrate[],2,0)</f>
        <v>110000</v>
      </c>
      <c r="E1263" s="27" t="s">
        <v>48</v>
      </c>
      <c r="F1263" s="27" t="s">
        <v>5</v>
      </c>
      <c r="G1263" s="27" t="s">
        <v>2272</v>
      </c>
      <c r="H1263" s="27"/>
      <c r="I1263" s="27">
        <f>VLOOKUP(F1263,mapping!$L$2:$P$92,2,0)</f>
        <v>1</v>
      </c>
      <c r="J1263" s="27">
        <f>VLOOKUP($F1263,mapping!$L$2:$P$92,3,0)</f>
        <v>48386.69</v>
      </c>
      <c r="K1263" s="27" t="str">
        <f>VLOOKUP($F1263,mapping!$L$2:$P$92,4,0)</f>
        <v>Major Advanced Economies (G7)</v>
      </c>
      <c r="L1263" s="29">
        <f>$D1263*VLOOKUP($E1263,'Charts data'!$A$2:$B$11,2,0)*VLOOKUP($G1263,'Charts data'!$A$14:$B$18,2,0)/IF('Charts data'!$E$3=1,I1263,1)/IF('Charts data'!$E$4=1,J1263,1)</f>
        <v>110000</v>
      </c>
    </row>
    <row r="1264" spans="1:12" x14ac:dyDescent="0.25">
      <c r="A1264" s="27" t="s">
        <v>261</v>
      </c>
      <c r="B1264" s="27">
        <v>40000</v>
      </c>
      <c r="C1264" s="27" t="s">
        <v>2</v>
      </c>
      <c r="D1264" s="28">
        <f>B1264*VLOOKUP(C1264,tblXrate[],2,0)</f>
        <v>40000</v>
      </c>
      <c r="E1264" s="27" t="s">
        <v>7</v>
      </c>
      <c r="F1264" s="27" t="s">
        <v>5</v>
      </c>
      <c r="G1264" s="27" t="s">
        <v>2271</v>
      </c>
      <c r="H1264" s="27"/>
      <c r="I1264" s="27">
        <f>VLOOKUP(F1264,mapping!$L$2:$P$92,2,0)</f>
        <v>1</v>
      </c>
      <c r="J1264" s="27">
        <f>VLOOKUP($F1264,mapping!$L$2:$P$92,3,0)</f>
        <v>48386.69</v>
      </c>
      <c r="K1264" s="27" t="str">
        <f>VLOOKUP($F1264,mapping!$L$2:$P$92,4,0)</f>
        <v>Major Advanced Economies (G7)</v>
      </c>
      <c r="L1264" s="29">
        <f>$D1264*VLOOKUP($E1264,'Charts data'!$A$2:$B$11,2,0)*VLOOKUP($G1264,'Charts data'!$A$14:$B$18,2,0)/IF('Charts data'!$E$3=1,I1264,1)/IF('Charts data'!$E$4=1,J1264,1)</f>
        <v>40000</v>
      </c>
    </row>
    <row r="1265" spans="1:12" x14ac:dyDescent="0.25">
      <c r="A1265" s="27" t="s">
        <v>263</v>
      </c>
      <c r="B1265" s="27">
        <v>125000</v>
      </c>
      <c r="C1265" s="27" t="s">
        <v>2</v>
      </c>
      <c r="D1265" s="28">
        <f>B1265*VLOOKUP(C1265,tblXrate[],2,0)</f>
        <v>125000</v>
      </c>
      <c r="E1265" s="27" t="s">
        <v>2147</v>
      </c>
      <c r="F1265" s="27" t="s">
        <v>5</v>
      </c>
      <c r="G1265" s="27" t="s">
        <v>2271</v>
      </c>
      <c r="H1265" s="27"/>
      <c r="I1265" s="27">
        <f>VLOOKUP(F1265,mapping!$L$2:$P$92,2,0)</f>
        <v>1</v>
      </c>
      <c r="J1265" s="27">
        <f>VLOOKUP($F1265,mapping!$L$2:$P$92,3,0)</f>
        <v>48386.69</v>
      </c>
      <c r="K1265" s="27" t="str">
        <f>VLOOKUP($F1265,mapping!$L$2:$P$92,4,0)</f>
        <v>Major Advanced Economies (G7)</v>
      </c>
      <c r="L1265" s="29">
        <f>$D1265*VLOOKUP($E1265,'Charts data'!$A$2:$B$11,2,0)*VLOOKUP($G1265,'Charts data'!$A$14:$B$18,2,0)/IF('Charts data'!$E$3=1,I1265,1)/IF('Charts data'!$E$4=1,J1265,1)</f>
        <v>125000</v>
      </c>
    </row>
    <row r="1266" spans="1:12" x14ac:dyDescent="0.25">
      <c r="A1266" s="27" t="s">
        <v>264</v>
      </c>
      <c r="B1266" s="27">
        <v>36000</v>
      </c>
      <c r="C1266" s="27" t="s">
        <v>2</v>
      </c>
      <c r="D1266" s="28">
        <f>B1266*VLOOKUP(C1266,tblXrate[],2,0)</f>
        <v>36000</v>
      </c>
      <c r="E1266" s="27" t="s">
        <v>19</v>
      </c>
      <c r="F1266" s="27" t="s">
        <v>5</v>
      </c>
      <c r="G1266" s="27" t="s">
        <v>2272</v>
      </c>
      <c r="H1266" s="27"/>
      <c r="I1266" s="27">
        <f>VLOOKUP(F1266,mapping!$L$2:$P$92,2,0)</f>
        <v>1</v>
      </c>
      <c r="J1266" s="27">
        <f>VLOOKUP($F1266,mapping!$L$2:$P$92,3,0)</f>
        <v>48386.69</v>
      </c>
      <c r="K1266" s="27" t="str">
        <f>VLOOKUP($F1266,mapping!$L$2:$P$92,4,0)</f>
        <v>Major Advanced Economies (G7)</v>
      </c>
      <c r="L1266" s="29">
        <f>$D1266*VLOOKUP($E1266,'Charts data'!$A$2:$B$11,2,0)*VLOOKUP($G1266,'Charts data'!$A$14:$B$18,2,0)/IF('Charts data'!$E$3=1,I1266,1)/IF('Charts data'!$E$4=1,J1266,1)</f>
        <v>36000</v>
      </c>
    </row>
    <row r="1267" spans="1:12" x14ac:dyDescent="0.25">
      <c r="A1267" s="27" t="s">
        <v>266</v>
      </c>
      <c r="B1267" s="27">
        <v>75000</v>
      </c>
      <c r="C1267" s="27" t="s">
        <v>2</v>
      </c>
      <c r="D1267" s="28">
        <f>B1267*VLOOKUP(C1267,tblXrate[],2,0)</f>
        <v>75000</v>
      </c>
      <c r="E1267" s="27" t="s">
        <v>7</v>
      </c>
      <c r="F1267" s="27" t="s">
        <v>5</v>
      </c>
      <c r="G1267" s="27" t="s">
        <v>2274</v>
      </c>
      <c r="H1267" s="27"/>
      <c r="I1267" s="27">
        <f>VLOOKUP(F1267,mapping!$L$2:$P$92,2,0)</f>
        <v>1</v>
      </c>
      <c r="J1267" s="27">
        <f>VLOOKUP($F1267,mapping!$L$2:$P$92,3,0)</f>
        <v>48386.69</v>
      </c>
      <c r="K1267" s="27" t="str">
        <f>VLOOKUP($F1267,mapping!$L$2:$P$92,4,0)</f>
        <v>Major Advanced Economies (G7)</v>
      </c>
      <c r="L1267" s="29">
        <f>$D1267*VLOOKUP($E1267,'Charts data'!$A$2:$B$11,2,0)*VLOOKUP($G1267,'Charts data'!$A$14:$B$18,2,0)/IF('Charts data'!$E$3=1,I1267,1)/IF('Charts data'!$E$4=1,J1267,1)</f>
        <v>75000</v>
      </c>
    </row>
    <row r="1268" spans="1:12" x14ac:dyDescent="0.25">
      <c r="A1268" s="27" t="s">
        <v>267</v>
      </c>
      <c r="B1268" s="27">
        <v>95000</v>
      </c>
      <c r="C1268" s="27" t="s">
        <v>2</v>
      </c>
      <c r="D1268" s="28">
        <f>B1268*VLOOKUP(C1268,tblXrate[],2,0)</f>
        <v>95000</v>
      </c>
      <c r="E1268" s="27" t="s">
        <v>2147</v>
      </c>
      <c r="F1268" s="27" t="s">
        <v>5</v>
      </c>
      <c r="G1268" s="27" t="s">
        <v>2271</v>
      </c>
      <c r="H1268" s="27"/>
      <c r="I1268" s="27">
        <f>VLOOKUP(F1268,mapping!$L$2:$P$92,2,0)</f>
        <v>1</v>
      </c>
      <c r="J1268" s="27">
        <f>VLOOKUP($F1268,mapping!$L$2:$P$92,3,0)</f>
        <v>48386.69</v>
      </c>
      <c r="K1268" s="27" t="str">
        <f>VLOOKUP($F1268,mapping!$L$2:$P$92,4,0)</f>
        <v>Major Advanced Economies (G7)</v>
      </c>
      <c r="L1268" s="29">
        <f>$D1268*VLOOKUP($E1268,'Charts data'!$A$2:$B$11,2,0)*VLOOKUP($G1268,'Charts data'!$A$14:$B$18,2,0)/IF('Charts data'!$E$3=1,I1268,1)/IF('Charts data'!$E$4=1,J1268,1)</f>
        <v>95000</v>
      </c>
    </row>
    <row r="1269" spans="1:12" x14ac:dyDescent="0.25">
      <c r="A1269" s="27" t="s">
        <v>268</v>
      </c>
      <c r="B1269" s="27">
        <v>24000</v>
      </c>
      <c r="C1269" s="27" t="s">
        <v>2</v>
      </c>
      <c r="D1269" s="28">
        <f>B1269*VLOOKUP(C1269,tblXrate[],2,0)</f>
        <v>24000</v>
      </c>
      <c r="E1269" s="27" t="s">
        <v>19</v>
      </c>
      <c r="F1269" s="27" t="s">
        <v>5</v>
      </c>
      <c r="G1269" s="27" t="s">
        <v>2272</v>
      </c>
      <c r="H1269" s="27"/>
      <c r="I1269" s="27">
        <f>VLOOKUP(F1269,mapping!$L$2:$P$92,2,0)</f>
        <v>1</v>
      </c>
      <c r="J1269" s="27">
        <f>VLOOKUP($F1269,mapping!$L$2:$P$92,3,0)</f>
        <v>48386.69</v>
      </c>
      <c r="K1269" s="27" t="str">
        <f>VLOOKUP($F1269,mapping!$L$2:$P$92,4,0)</f>
        <v>Major Advanced Economies (G7)</v>
      </c>
      <c r="L1269" s="29">
        <f>$D1269*VLOOKUP($E1269,'Charts data'!$A$2:$B$11,2,0)*VLOOKUP($G1269,'Charts data'!$A$14:$B$18,2,0)/IF('Charts data'!$E$3=1,I1269,1)/IF('Charts data'!$E$4=1,J1269,1)</f>
        <v>24000</v>
      </c>
    </row>
    <row r="1270" spans="1:12" x14ac:dyDescent="0.25">
      <c r="A1270" s="27" t="s">
        <v>269</v>
      </c>
      <c r="B1270" s="27">
        <v>91000</v>
      </c>
      <c r="C1270" s="27" t="s">
        <v>2</v>
      </c>
      <c r="D1270" s="28">
        <f>B1270*VLOOKUP(C1270,tblXrate[],2,0)</f>
        <v>91000</v>
      </c>
      <c r="E1270" s="27" t="s">
        <v>19</v>
      </c>
      <c r="F1270" s="27" t="s">
        <v>5</v>
      </c>
      <c r="G1270" s="27" t="s">
        <v>2274</v>
      </c>
      <c r="H1270" s="27"/>
      <c r="I1270" s="27">
        <f>VLOOKUP(F1270,mapping!$L$2:$P$92,2,0)</f>
        <v>1</v>
      </c>
      <c r="J1270" s="27">
        <f>VLOOKUP($F1270,mapping!$L$2:$P$92,3,0)</f>
        <v>48386.69</v>
      </c>
      <c r="K1270" s="27" t="str">
        <f>VLOOKUP($F1270,mapping!$L$2:$P$92,4,0)</f>
        <v>Major Advanced Economies (G7)</v>
      </c>
      <c r="L1270" s="29">
        <f>$D1270*VLOOKUP($E1270,'Charts data'!$A$2:$B$11,2,0)*VLOOKUP($G1270,'Charts data'!$A$14:$B$18,2,0)/IF('Charts data'!$E$3=1,I1270,1)/IF('Charts data'!$E$4=1,J1270,1)</f>
        <v>91000</v>
      </c>
    </row>
    <row r="1271" spans="1:12" x14ac:dyDescent="0.25">
      <c r="A1271" s="27" t="s">
        <v>270</v>
      </c>
      <c r="B1271" s="27">
        <v>40000</v>
      </c>
      <c r="C1271" s="27" t="s">
        <v>2</v>
      </c>
      <c r="D1271" s="28">
        <f>B1271*VLOOKUP(C1271,tblXrate[],2,0)</f>
        <v>40000</v>
      </c>
      <c r="E1271" s="27" t="s">
        <v>7</v>
      </c>
      <c r="F1271" s="27" t="s">
        <v>5</v>
      </c>
      <c r="G1271" s="27" t="s">
        <v>2271</v>
      </c>
      <c r="H1271" s="27"/>
      <c r="I1271" s="27">
        <f>VLOOKUP(F1271,mapping!$L$2:$P$92,2,0)</f>
        <v>1</v>
      </c>
      <c r="J1271" s="27">
        <f>VLOOKUP($F1271,mapping!$L$2:$P$92,3,0)</f>
        <v>48386.69</v>
      </c>
      <c r="K1271" s="27" t="str">
        <f>VLOOKUP($F1271,mapping!$L$2:$P$92,4,0)</f>
        <v>Major Advanced Economies (G7)</v>
      </c>
      <c r="L1271" s="29">
        <f>$D1271*VLOOKUP($E1271,'Charts data'!$A$2:$B$11,2,0)*VLOOKUP($G1271,'Charts data'!$A$14:$B$18,2,0)/IF('Charts data'!$E$3=1,I1271,1)/IF('Charts data'!$E$4=1,J1271,1)</f>
        <v>40000</v>
      </c>
    </row>
    <row r="1272" spans="1:12" x14ac:dyDescent="0.25">
      <c r="A1272" s="27" t="s">
        <v>271</v>
      </c>
      <c r="B1272" s="27">
        <v>57000</v>
      </c>
      <c r="C1272" s="27" t="s">
        <v>2</v>
      </c>
      <c r="D1272" s="28">
        <f>B1272*VLOOKUP(C1272,tblXrate[],2,0)</f>
        <v>57000</v>
      </c>
      <c r="E1272" s="27" t="s">
        <v>19</v>
      </c>
      <c r="F1272" s="27" t="s">
        <v>5</v>
      </c>
      <c r="G1272" s="27" t="s">
        <v>2271</v>
      </c>
      <c r="H1272" s="27"/>
      <c r="I1272" s="27">
        <f>VLOOKUP(F1272,mapping!$L$2:$P$92,2,0)</f>
        <v>1</v>
      </c>
      <c r="J1272" s="27">
        <f>VLOOKUP($F1272,mapping!$L$2:$P$92,3,0)</f>
        <v>48386.69</v>
      </c>
      <c r="K1272" s="27" t="str">
        <f>VLOOKUP($F1272,mapping!$L$2:$P$92,4,0)</f>
        <v>Major Advanced Economies (G7)</v>
      </c>
      <c r="L1272" s="29">
        <f>$D1272*VLOOKUP($E1272,'Charts data'!$A$2:$B$11,2,0)*VLOOKUP($G1272,'Charts data'!$A$14:$B$18,2,0)/IF('Charts data'!$E$3=1,I1272,1)/IF('Charts data'!$E$4=1,J1272,1)</f>
        <v>57000</v>
      </c>
    </row>
    <row r="1273" spans="1:12" x14ac:dyDescent="0.25">
      <c r="A1273" s="27" t="s">
        <v>272</v>
      </c>
      <c r="B1273" s="27">
        <v>74000</v>
      </c>
      <c r="C1273" s="27" t="s">
        <v>2</v>
      </c>
      <c r="D1273" s="28">
        <f>B1273*VLOOKUP(C1273,tblXrate[],2,0)</f>
        <v>74000</v>
      </c>
      <c r="E1273" s="27" t="s">
        <v>53</v>
      </c>
      <c r="F1273" s="27" t="s">
        <v>5</v>
      </c>
      <c r="G1273" s="27" t="s">
        <v>2271</v>
      </c>
      <c r="H1273" s="27"/>
      <c r="I1273" s="27">
        <f>VLOOKUP(F1273,mapping!$L$2:$P$92,2,0)</f>
        <v>1</v>
      </c>
      <c r="J1273" s="27">
        <f>VLOOKUP($F1273,mapping!$L$2:$P$92,3,0)</f>
        <v>48386.69</v>
      </c>
      <c r="K1273" s="27" t="str">
        <f>VLOOKUP($F1273,mapping!$L$2:$P$92,4,0)</f>
        <v>Major Advanced Economies (G7)</v>
      </c>
      <c r="L1273" s="29">
        <f>$D1273*VLOOKUP($E1273,'Charts data'!$A$2:$B$11,2,0)*VLOOKUP($G1273,'Charts data'!$A$14:$B$18,2,0)/IF('Charts data'!$E$3=1,I1273,1)/IF('Charts data'!$E$4=1,J1273,1)</f>
        <v>74000</v>
      </c>
    </row>
    <row r="1274" spans="1:12" x14ac:dyDescent="0.25">
      <c r="A1274" s="27" t="s">
        <v>273</v>
      </c>
      <c r="B1274" s="27">
        <v>80000</v>
      </c>
      <c r="C1274" s="27" t="s">
        <v>2</v>
      </c>
      <c r="D1274" s="28">
        <f>B1274*VLOOKUP(C1274,tblXrate[],2,0)</f>
        <v>80000</v>
      </c>
      <c r="E1274" s="27" t="s">
        <v>7</v>
      </c>
      <c r="F1274" s="27" t="s">
        <v>5</v>
      </c>
      <c r="G1274" s="27" t="s">
        <v>2271</v>
      </c>
      <c r="H1274" s="27"/>
      <c r="I1274" s="27">
        <f>VLOOKUP(F1274,mapping!$L$2:$P$92,2,0)</f>
        <v>1</v>
      </c>
      <c r="J1274" s="27">
        <f>VLOOKUP($F1274,mapping!$L$2:$P$92,3,0)</f>
        <v>48386.69</v>
      </c>
      <c r="K1274" s="27" t="str">
        <f>VLOOKUP($F1274,mapping!$L$2:$P$92,4,0)</f>
        <v>Major Advanced Economies (G7)</v>
      </c>
      <c r="L1274" s="29">
        <f>$D1274*VLOOKUP($E1274,'Charts data'!$A$2:$B$11,2,0)*VLOOKUP($G1274,'Charts data'!$A$14:$B$18,2,0)/IF('Charts data'!$E$3=1,I1274,1)/IF('Charts data'!$E$4=1,J1274,1)</f>
        <v>80000</v>
      </c>
    </row>
    <row r="1275" spans="1:12" x14ac:dyDescent="0.25">
      <c r="A1275" s="27" t="s">
        <v>274</v>
      </c>
      <c r="B1275" s="27">
        <v>90000</v>
      </c>
      <c r="C1275" s="27" t="s">
        <v>2</v>
      </c>
      <c r="D1275" s="28">
        <f>B1275*VLOOKUP(C1275,tblXrate[],2,0)</f>
        <v>90000</v>
      </c>
      <c r="E1275" s="27" t="s">
        <v>23</v>
      </c>
      <c r="F1275" s="27" t="s">
        <v>5</v>
      </c>
      <c r="G1275" s="27" t="s">
        <v>2271</v>
      </c>
      <c r="H1275" s="27"/>
      <c r="I1275" s="27">
        <f>VLOOKUP(F1275,mapping!$L$2:$P$92,2,0)</f>
        <v>1</v>
      </c>
      <c r="J1275" s="27">
        <f>VLOOKUP($F1275,mapping!$L$2:$P$92,3,0)</f>
        <v>48386.69</v>
      </c>
      <c r="K1275" s="27" t="str">
        <f>VLOOKUP($F1275,mapping!$L$2:$P$92,4,0)</f>
        <v>Major Advanced Economies (G7)</v>
      </c>
      <c r="L1275" s="29">
        <f>$D1275*VLOOKUP($E1275,'Charts data'!$A$2:$B$11,2,0)*VLOOKUP($G1275,'Charts data'!$A$14:$B$18,2,0)/IF('Charts data'!$E$3=1,I1275,1)/IF('Charts data'!$E$4=1,J1275,1)</f>
        <v>90000</v>
      </c>
    </row>
    <row r="1276" spans="1:12" x14ac:dyDescent="0.25">
      <c r="A1276" s="27" t="s">
        <v>275</v>
      </c>
      <c r="B1276" s="27">
        <v>52000</v>
      </c>
      <c r="C1276" s="27" t="s">
        <v>2</v>
      </c>
      <c r="D1276" s="28">
        <f>B1276*VLOOKUP(C1276,tblXrate[],2,0)</f>
        <v>52000</v>
      </c>
      <c r="E1276" s="27" t="s">
        <v>19</v>
      </c>
      <c r="F1276" s="27" t="s">
        <v>5</v>
      </c>
      <c r="G1276" s="27" t="s">
        <v>2271</v>
      </c>
      <c r="H1276" s="27"/>
      <c r="I1276" s="27">
        <f>VLOOKUP(F1276,mapping!$L$2:$P$92,2,0)</f>
        <v>1</v>
      </c>
      <c r="J1276" s="27">
        <f>VLOOKUP($F1276,mapping!$L$2:$P$92,3,0)</f>
        <v>48386.69</v>
      </c>
      <c r="K1276" s="27" t="str">
        <f>VLOOKUP($F1276,mapping!$L$2:$P$92,4,0)</f>
        <v>Major Advanced Economies (G7)</v>
      </c>
      <c r="L1276" s="29">
        <f>$D1276*VLOOKUP($E1276,'Charts data'!$A$2:$B$11,2,0)*VLOOKUP($G1276,'Charts data'!$A$14:$B$18,2,0)/IF('Charts data'!$E$3=1,I1276,1)/IF('Charts data'!$E$4=1,J1276,1)</f>
        <v>52000</v>
      </c>
    </row>
    <row r="1277" spans="1:12" x14ac:dyDescent="0.25">
      <c r="A1277" s="27" t="s">
        <v>277</v>
      </c>
      <c r="B1277" s="27">
        <v>36000</v>
      </c>
      <c r="C1277" s="27" t="s">
        <v>2</v>
      </c>
      <c r="D1277" s="28">
        <f>B1277*VLOOKUP(C1277,tblXrate[],2,0)</f>
        <v>36000</v>
      </c>
      <c r="E1277" s="27" t="s">
        <v>7</v>
      </c>
      <c r="F1277" s="27" t="s">
        <v>5</v>
      </c>
      <c r="G1277" s="27" t="s">
        <v>2271</v>
      </c>
      <c r="H1277" s="27"/>
      <c r="I1277" s="27">
        <f>VLOOKUP(F1277,mapping!$L$2:$P$92,2,0)</f>
        <v>1</v>
      </c>
      <c r="J1277" s="27">
        <f>VLOOKUP($F1277,mapping!$L$2:$P$92,3,0)</f>
        <v>48386.69</v>
      </c>
      <c r="K1277" s="27" t="str">
        <f>VLOOKUP($F1277,mapping!$L$2:$P$92,4,0)</f>
        <v>Major Advanced Economies (G7)</v>
      </c>
      <c r="L1277" s="29">
        <f>$D1277*VLOOKUP($E1277,'Charts data'!$A$2:$B$11,2,0)*VLOOKUP($G1277,'Charts data'!$A$14:$B$18,2,0)/IF('Charts data'!$E$3=1,I1277,1)/IF('Charts data'!$E$4=1,J1277,1)</f>
        <v>36000</v>
      </c>
    </row>
    <row r="1278" spans="1:12" x14ac:dyDescent="0.25">
      <c r="A1278" s="27" t="s">
        <v>278</v>
      </c>
      <c r="B1278" s="27">
        <v>57400</v>
      </c>
      <c r="C1278" s="27" t="s">
        <v>2</v>
      </c>
      <c r="D1278" s="28">
        <f>B1278*VLOOKUP(C1278,tblXrate[],2,0)</f>
        <v>57400</v>
      </c>
      <c r="E1278" s="27" t="s">
        <v>7</v>
      </c>
      <c r="F1278" s="27" t="s">
        <v>5</v>
      </c>
      <c r="G1278" s="27" t="s">
        <v>2271</v>
      </c>
      <c r="H1278" s="27"/>
      <c r="I1278" s="27">
        <f>VLOOKUP(F1278,mapping!$L$2:$P$92,2,0)</f>
        <v>1</v>
      </c>
      <c r="J1278" s="27">
        <f>VLOOKUP($F1278,mapping!$L$2:$P$92,3,0)</f>
        <v>48386.69</v>
      </c>
      <c r="K1278" s="27" t="str">
        <f>VLOOKUP($F1278,mapping!$L$2:$P$92,4,0)</f>
        <v>Major Advanced Economies (G7)</v>
      </c>
      <c r="L1278" s="29">
        <f>$D1278*VLOOKUP($E1278,'Charts data'!$A$2:$B$11,2,0)*VLOOKUP($G1278,'Charts data'!$A$14:$B$18,2,0)/IF('Charts data'!$E$3=1,I1278,1)/IF('Charts data'!$E$4=1,J1278,1)</f>
        <v>57400</v>
      </c>
    </row>
    <row r="1279" spans="1:12" x14ac:dyDescent="0.25">
      <c r="A1279" s="27" t="s">
        <v>279</v>
      </c>
      <c r="B1279" s="27">
        <v>66000</v>
      </c>
      <c r="C1279" s="27" t="s">
        <v>2</v>
      </c>
      <c r="D1279" s="28">
        <f>B1279*VLOOKUP(C1279,tblXrate[],2,0)</f>
        <v>66000</v>
      </c>
      <c r="E1279" s="27" t="s">
        <v>7</v>
      </c>
      <c r="F1279" s="27" t="s">
        <v>5</v>
      </c>
      <c r="G1279" s="27" t="s">
        <v>2272</v>
      </c>
      <c r="H1279" s="27"/>
      <c r="I1279" s="27">
        <f>VLOOKUP(F1279,mapping!$L$2:$P$92,2,0)</f>
        <v>1</v>
      </c>
      <c r="J1279" s="27">
        <f>VLOOKUP($F1279,mapping!$L$2:$P$92,3,0)</f>
        <v>48386.69</v>
      </c>
      <c r="K1279" s="27" t="str">
        <f>VLOOKUP($F1279,mapping!$L$2:$P$92,4,0)</f>
        <v>Major Advanced Economies (G7)</v>
      </c>
      <c r="L1279" s="29">
        <f>$D1279*VLOOKUP($E1279,'Charts data'!$A$2:$B$11,2,0)*VLOOKUP($G1279,'Charts data'!$A$14:$B$18,2,0)/IF('Charts data'!$E$3=1,I1279,1)/IF('Charts data'!$E$4=1,J1279,1)</f>
        <v>66000</v>
      </c>
    </row>
    <row r="1280" spans="1:12" x14ac:dyDescent="0.25">
      <c r="A1280" s="27" t="s">
        <v>281</v>
      </c>
      <c r="B1280" s="27">
        <v>85000</v>
      </c>
      <c r="C1280" s="27" t="s">
        <v>2</v>
      </c>
      <c r="D1280" s="28">
        <f>B1280*VLOOKUP(C1280,tblXrate[],2,0)</f>
        <v>85000</v>
      </c>
      <c r="E1280" s="27" t="s">
        <v>7</v>
      </c>
      <c r="F1280" s="27" t="s">
        <v>5</v>
      </c>
      <c r="G1280" s="27" t="s">
        <v>2271</v>
      </c>
      <c r="H1280" s="27"/>
      <c r="I1280" s="27">
        <f>VLOOKUP(F1280,mapping!$L$2:$P$92,2,0)</f>
        <v>1</v>
      </c>
      <c r="J1280" s="27">
        <f>VLOOKUP($F1280,mapping!$L$2:$P$92,3,0)</f>
        <v>48386.69</v>
      </c>
      <c r="K1280" s="27" t="str">
        <f>VLOOKUP($F1280,mapping!$L$2:$P$92,4,0)</f>
        <v>Major Advanced Economies (G7)</v>
      </c>
      <c r="L1280" s="29">
        <f>$D1280*VLOOKUP($E1280,'Charts data'!$A$2:$B$11,2,0)*VLOOKUP($G1280,'Charts data'!$A$14:$B$18,2,0)/IF('Charts data'!$E$3=1,I1280,1)/IF('Charts data'!$E$4=1,J1280,1)</f>
        <v>85000</v>
      </c>
    </row>
    <row r="1281" spans="1:12" x14ac:dyDescent="0.25">
      <c r="A1281" s="27" t="s">
        <v>282</v>
      </c>
      <c r="B1281" s="27">
        <v>50000</v>
      </c>
      <c r="C1281" s="27" t="s">
        <v>2</v>
      </c>
      <c r="D1281" s="28">
        <f>B1281*VLOOKUP(C1281,tblXrate[],2,0)</f>
        <v>50000</v>
      </c>
      <c r="E1281" s="27" t="s">
        <v>23</v>
      </c>
      <c r="F1281" s="27" t="s">
        <v>5</v>
      </c>
      <c r="G1281" s="27" t="s">
        <v>2271</v>
      </c>
      <c r="H1281" s="27"/>
      <c r="I1281" s="27">
        <f>VLOOKUP(F1281,mapping!$L$2:$P$92,2,0)</f>
        <v>1</v>
      </c>
      <c r="J1281" s="27">
        <f>VLOOKUP($F1281,mapping!$L$2:$P$92,3,0)</f>
        <v>48386.69</v>
      </c>
      <c r="K1281" s="27" t="str">
        <f>VLOOKUP($F1281,mapping!$L$2:$P$92,4,0)</f>
        <v>Major Advanced Economies (G7)</v>
      </c>
      <c r="L1281" s="29">
        <f>$D1281*VLOOKUP($E1281,'Charts data'!$A$2:$B$11,2,0)*VLOOKUP($G1281,'Charts data'!$A$14:$B$18,2,0)/IF('Charts data'!$E$3=1,I1281,1)/IF('Charts data'!$E$4=1,J1281,1)</f>
        <v>50000</v>
      </c>
    </row>
    <row r="1282" spans="1:12" x14ac:dyDescent="0.25">
      <c r="A1282" s="27" t="s">
        <v>283</v>
      </c>
      <c r="B1282" s="27">
        <v>58000</v>
      </c>
      <c r="C1282" s="27" t="s">
        <v>2</v>
      </c>
      <c r="D1282" s="28">
        <f>B1282*VLOOKUP(C1282,tblXrate[],2,0)</f>
        <v>58000</v>
      </c>
      <c r="E1282" s="27" t="s">
        <v>19</v>
      </c>
      <c r="F1282" s="27" t="s">
        <v>5</v>
      </c>
      <c r="G1282" s="27" t="s">
        <v>2271</v>
      </c>
      <c r="H1282" s="27"/>
      <c r="I1282" s="27">
        <f>VLOOKUP(F1282,mapping!$L$2:$P$92,2,0)</f>
        <v>1</v>
      </c>
      <c r="J1282" s="27">
        <f>VLOOKUP($F1282,mapping!$L$2:$P$92,3,0)</f>
        <v>48386.69</v>
      </c>
      <c r="K1282" s="27" t="str">
        <f>VLOOKUP($F1282,mapping!$L$2:$P$92,4,0)</f>
        <v>Major Advanced Economies (G7)</v>
      </c>
      <c r="L1282" s="29">
        <f>$D1282*VLOOKUP($E1282,'Charts data'!$A$2:$B$11,2,0)*VLOOKUP($G1282,'Charts data'!$A$14:$B$18,2,0)/IF('Charts data'!$E$3=1,I1282,1)/IF('Charts data'!$E$4=1,J1282,1)</f>
        <v>58000</v>
      </c>
    </row>
    <row r="1283" spans="1:12" x14ac:dyDescent="0.25">
      <c r="A1283" s="27" t="s">
        <v>284</v>
      </c>
      <c r="B1283" s="27">
        <v>37900</v>
      </c>
      <c r="C1283" s="27" t="s">
        <v>2</v>
      </c>
      <c r="D1283" s="28">
        <f>B1283*VLOOKUP(C1283,tblXrate[],2,0)</f>
        <v>37900</v>
      </c>
      <c r="E1283" s="27" t="s">
        <v>51</v>
      </c>
      <c r="F1283" s="27" t="s">
        <v>5</v>
      </c>
      <c r="G1283" s="27" t="s">
        <v>2273</v>
      </c>
      <c r="H1283" s="27"/>
      <c r="I1283" s="27">
        <f>VLOOKUP(F1283,mapping!$L$2:$P$92,2,0)</f>
        <v>1</v>
      </c>
      <c r="J1283" s="27">
        <f>VLOOKUP($F1283,mapping!$L$2:$P$92,3,0)</f>
        <v>48386.69</v>
      </c>
      <c r="K1283" s="27" t="str">
        <f>VLOOKUP($F1283,mapping!$L$2:$P$92,4,0)</f>
        <v>Major Advanced Economies (G7)</v>
      </c>
      <c r="L1283" s="29">
        <f>$D1283*VLOOKUP($E1283,'Charts data'!$A$2:$B$11,2,0)*VLOOKUP($G1283,'Charts data'!$A$14:$B$18,2,0)/IF('Charts data'!$E$3=1,I1283,1)/IF('Charts data'!$E$4=1,J1283,1)</f>
        <v>37900</v>
      </c>
    </row>
    <row r="1284" spans="1:12" x14ac:dyDescent="0.25">
      <c r="A1284" s="27" t="s">
        <v>286</v>
      </c>
      <c r="B1284" s="27">
        <v>67000</v>
      </c>
      <c r="C1284" s="27" t="s">
        <v>2</v>
      </c>
      <c r="D1284" s="28">
        <f>B1284*VLOOKUP(C1284,tblXrate[],2,0)</f>
        <v>67000</v>
      </c>
      <c r="E1284" s="27" t="s">
        <v>7</v>
      </c>
      <c r="F1284" s="27" t="s">
        <v>5</v>
      </c>
      <c r="G1284" s="27" t="s">
        <v>2271</v>
      </c>
      <c r="H1284" s="27"/>
      <c r="I1284" s="27">
        <f>VLOOKUP(F1284,mapping!$L$2:$P$92,2,0)</f>
        <v>1</v>
      </c>
      <c r="J1284" s="27">
        <f>VLOOKUP($F1284,mapping!$L$2:$P$92,3,0)</f>
        <v>48386.69</v>
      </c>
      <c r="K1284" s="27" t="str">
        <f>VLOOKUP($F1284,mapping!$L$2:$P$92,4,0)</f>
        <v>Major Advanced Economies (G7)</v>
      </c>
      <c r="L1284" s="29">
        <f>$D1284*VLOOKUP($E1284,'Charts data'!$A$2:$B$11,2,0)*VLOOKUP($G1284,'Charts data'!$A$14:$B$18,2,0)/IF('Charts data'!$E$3=1,I1284,1)/IF('Charts data'!$E$4=1,J1284,1)</f>
        <v>67000</v>
      </c>
    </row>
    <row r="1285" spans="1:12" x14ac:dyDescent="0.25">
      <c r="A1285" s="27" t="s">
        <v>288</v>
      </c>
      <c r="B1285" s="27">
        <v>56160</v>
      </c>
      <c r="C1285" s="27" t="s">
        <v>2</v>
      </c>
      <c r="D1285" s="28">
        <f>B1285*VLOOKUP(C1285,tblXrate[],2,0)</f>
        <v>56160</v>
      </c>
      <c r="E1285" s="27" t="s">
        <v>7</v>
      </c>
      <c r="F1285" s="27" t="s">
        <v>5</v>
      </c>
      <c r="G1285" s="27" t="s">
        <v>2271</v>
      </c>
      <c r="H1285" s="27"/>
      <c r="I1285" s="27">
        <f>VLOOKUP(F1285,mapping!$L$2:$P$92,2,0)</f>
        <v>1</v>
      </c>
      <c r="J1285" s="27">
        <f>VLOOKUP($F1285,mapping!$L$2:$P$92,3,0)</f>
        <v>48386.69</v>
      </c>
      <c r="K1285" s="27" t="str">
        <f>VLOOKUP($F1285,mapping!$L$2:$P$92,4,0)</f>
        <v>Major Advanced Economies (G7)</v>
      </c>
      <c r="L1285" s="29">
        <f>$D1285*VLOOKUP($E1285,'Charts data'!$A$2:$B$11,2,0)*VLOOKUP($G1285,'Charts data'!$A$14:$B$18,2,0)/IF('Charts data'!$E$3=1,I1285,1)/IF('Charts data'!$E$4=1,J1285,1)</f>
        <v>56160</v>
      </c>
    </row>
    <row r="1286" spans="1:12" x14ac:dyDescent="0.25">
      <c r="A1286" s="27" t="s">
        <v>290</v>
      </c>
      <c r="B1286" s="27">
        <v>52000</v>
      </c>
      <c r="C1286" s="27" t="s">
        <v>2</v>
      </c>
      <c r="D1286" s="28">
        <f>B1286*VLOOKUP(C1286,tblXrate[],2,0)</f>
        <v>52000</v>
      </c>
      <c r="E1286" s="27" t="s">
        <v>7</v>
      </c>
      <c r="F1286" s="27" t="s">
        <v>5</v>
      </c>
      <c r="G1286" s="27" t="s">
        <v>2295</v>
      </c>
      <c r="H1286" s="27"/>
      <c r="I1286" s="27">
        <f>VLOOKUP(F1286,mapping!$L$2:$P$92,2,0)</f>
        <v>1</v>
      </c>
      <c r="J1286" s="27">
        <f>VLOOKUP($F1286,mapping!$L$2:$P$92,3,0)</f>
        <v>48386.69</v>
      </c>
      <c r="K1286" s="27" t="str">
        <f>VLOOKUP($F1286,mapping!$L$2:$P$92,4,0)</f>
        <v>Major Advanced Economies (G7)</v>
      </c>
      <c r="L1286" s="29">
        <f>$D1286*VLOOKUP($E1286,'Charts data'!$A$2:$B$11,2,0)*VLOOKUP($G1286,'Charts data'!$A$14:$B$18,2,0)/IF('Charts data'!$E$3=1,I1286,1)/IF('Charts data'!$E$4=1,J1286,1)</f>
        <v>52000</v>
      </c>
    </row>
    <row r="1287" spans="1:12" x14ac:dyDescent="0.25">
      <c r="A1287" s="27" t="s">
        <v>292</v>
      </c>
      <c r="B1287" s="27">
        <v>70000</v>
      </c>
      <c r="C1287" s="27" t="s">
        <v>2</v>
      </c>
      <c r="D1287" s="28">
        <f>B1287*VLOOKUP(C1287,tblXrate[],2,0)</f>
        <v>70000</v>
      </c>
      <c r="E1287" s="27" t="s">
        <v>51</v>
      </c>
      <c r="F1287" s="27" t="s">
        <v>5</v>
      </c>
      <c r="G1287" s="27" t="s">
        <v>2273</v>
      </c>
      <c r="H1287" s="27"/>
      <c r="I1287" s="27">
        <f>VLOOKUP(F1287,mapping!$L$2:$P$92,2,0)</f>
        <v>1</v>
      </c>
      <c r="J1287" s="27">
        <f>VLOOKUP($F1287,mapping!$L$2:$P$92,3,0)</f>
        <v>48386.69</v>
      </c>
      <c r="K1287" s="27" t="str">
        <f>VLOOKUP($F1287,mapping!$L$2:$P$92,4,0)</f>
        <v>Major Advanced Economies (G7)</v>
      </c>
      <c r="L1287" s="29">
        <f>$D1287*VLOOKUP($E1287,'Charts data'!$A$2:$B$11,2,0)*VLOOKUP($G1287,'Charts data'!$A$14:$B$18,2,0)/IF('Charts data'!$E$3=1,I1287,1)/IF('Charts data'!$E$4=1,J1287,1)</f>
        <v>70000</v>
      </c>
    </row>
    <row r="1288" spans="1:12" x14ac:dyDescent="0.25">
      <c r="A1288" s="27" t="s">
        <v>293</v>
      </c>
      <c r="B1288" s="27">
        <v>50000</v>
      </c>
      <c r="C1288" s="27" t="s">
        <v>2</v>
      </c>
      <c r="D1288" s="28">
        <f>B1288*VLOOKUP(C1288,tblXrate[],2,0)</f>
        <v>50000</v>
      </c>
      <c r="E1288" s="27" t="s">
        <v>23</v>
      </c>
      <c r="F1288" s="27" t="s">
        <v>5</v>
      </c>
      <c r="G1288" s="27" t="s">
        <v>2271</v>
      </c>
      <c r="H1288" s="27"/>
      <c r="I1288" s="27">
        <f>VLOOKUP(F1288,mapping!$L$2:$P$92,2,0)</f>
        <v>1</v>
      </c>
      <c r="J1288" s="27">
        <f>VLOOKUP($F1288,mapping!$L$2:$P$92,3,0)</f>
        <v>48386.69</v>
      </c>
      <c r="K1288" s="27" t="str">
        <f>VLOOKUP($F1288,mapping!$L$2:$P$92,4,0)</f>
        <v>Major Advanced Economies (G7)</v>
      </c>
      <c r="L1288" s="29">
        <f>$D1288*VLOOKUP($E1288,'Charts data'!$A$2:$B$11,2,0)*VLOOKUP($G1288,'Charts data'!$A$14:$B$18,2,0)/IF('Charts data'!$E$3=1,I1288,1)/IF('Charts data'!$E$4=1,J1288,1)</f>
        <v>50000</v>
      </c>
    </row>
    <row r="1289" spans="1:12" x14ac:dyDescent="0.25">
      <c r="A1289" s="27" t="s">
        <v>295</v>
      </c>
      <c r="B1289" s="27">
        <v>80000</v>
      </c>
      <c r="C1289" s="27" t="s">
        <v>2</v>
      </c>
      <c r="D1289" s="28">
        <f>B1289*VLOOKUP(C1289,tblXrate[],2,0)</f>
        <v>80000</v>
      </c>
      <c r="E1289" s="27" t="s">
        <v>7</v>
      </c>
      <c r="F1289" s="27" t="s">
        <v>5</v>
      </c>
      <c r="G1289" s="27" t="s">
        <v>2271</v>
      </c>
      <c r="H1289" s="27"/>
      <c r="I1289" s="27">
        <f>VLOOKUP(F1289,mapping!$L$2:$P$92,2,0)</f>
        <v>1</v>
      </c>
      <c r="J1289" s="27">
        <f>VLOOKUP($F1289,mapping!$L$2:$P$92,3,0)</f>
        <v>48386.69</v>
      </c>
      <c r="K1289" s="27" t="str">
        <f>VLOOKUP($F1289,mapping!$L$2:$P$92,4,0)</f>
        <v>Major Advanced Economies (G7)</v>
      </c>
      <c r="L1289" s="29">
        <f>$D1289*VLOOKUP($E1289,'Charts data'!$A$2:$B$11,2,0)*VLOOKUP($G1289,'Charts data'!$A$14:$B$18,2,0)/IF('Charts data'!$E$3=1,I1289,1)/IF('Charts data'!$E$4=1,J1289,1)</f>
        <v>80000</v>
      </c>
    </row>
    <row r="1290" spans="1:12" x14ac:dyDescent="0.25">
      <c r="A1290" s="27" t="s">
        <v>296</v>
      </c>
      <c r="B1290" s="27">
        <v>128000</v>
      </c>
      <c r="C1290" s="27" t="s">
        <v>2</v>
      </c>
      <c r="D1290" s="28">
        <f>B1290*VLOOKUP(C1290,tblXrate[],2,0)</f>
        <v>128000</v>
      </c>
      <c r="E1290" s="27" t="s">
        <v>19</v>
      </c>
      <c r="F1290" s="27" t="s">
        <v>5</v>
      </c>
      <c r="G1290" s="27" t="s">
        <v>2273</v>
      </c>
      <c r="H1290" s="27"/>
      <c r="I1290" s="27">
        <f>VLOOKUP(F1290,mapping!$L$2:$P$92,2,0)</f>
        <v>1</v>
      </c>
      <c r="J1290" s="27">
        <f>VLOOKUP($F1290,mapping!$L$2:$P$92,3,0)</f>
        <v>48386.69</v>
      </c>
      <c r="K1290" s="27" t="str">
        <f>VLOOKUP($F1290,mapping!$L$2:$P$92,4,0)</f>
        <v>Major Advanced Economies (G7)</v>
      </c>
      <c r="L1290" s="29">
        <f>$D1290*VLOOKUP($E1290,'Charts data'!$A$2:$B$11,2,0)*VLOOKUP($G1290,'Charts data'!$A$14:$B$18,2,0)/IF('Charts data'!$E$3=1,I1290,1)/IF('Charts data'!$E$4=1,J1290,1)</f>
        <v>128000</v>
      </c>
    </row>
    <row r="1291" spans="1:12" x14ac:dyDescent="0.25">
      <c r="A1291" s="27" t="s">
        <v>297</v>
      </c>
      <c r="B1291" s="27">
        <v>44000</v>
      </c>
      <c r="C1291" s="27" t="s">
        <v>2</v>
      </c>
      <c r="D1291" s="28">
        <f>B1291*VLOOKUP(C1291,tblXrate[],2,0)</f>
        <v>44000</v>
      </c>
      <c r="E1291" s="27" t="s">
        <v>19</v>
      </c>
      <c r="F1291" s="27" t="s">
        <v>5</v>
      </c>
      <c r="G1291" s="27" t="s">
        <v>2274</v>
      </c>
      <c r="H1291" s="27"/>
      <c r="I1291" s="27">
        <f>VLOOKUP(F1291,mapping!$L$2:$P$92,2,0)</f>
        <v>1</v>
      </c>
      <c r="J1291" s="27">
        <f>VLOOKUP($F1291,mapping!$L$2:$P$92,3,0)</f>
        <v>48386.69</v>
      </c>
      <c r="K1291" s="27" t="str">
        <f>VLOOKUP($F1291,mapping!$L$2:$P$92,4,0)</f>
        <v>Major Advanced Economies (G7)</v>
      </c>
      <c r="L1291" s="29">
        <f>$D1291*VLOOKUP($E1291,'Charts data'!$A$2:$B$11,2,0)*VLOOKUP($G1291,'Charts data'!$A$14:$B$18,2,0)/IF('Charts data'!$E$3=1,I1291,1)/IF('Charts data'!$E$4=1,J1291,1)</f>
        <v>44000</v>
      </c>
    </row>
    <row r="1292" spans="1:12" x14ac:dyDescent="0.25">
      <c r="A1292" s="27" t="s">
        <v>298</v>
      </c>
      <c r="B1292" s="27">
        <v>65000</v>
      </c>
      <c r="C1292" s="27" t="s">
        <v>2</v>
      </c>
      <c r="D1292" s="28">
        <f>B1292*VLOOKUP(C1292,tblXrate[],2,0)</f>
        <v>65000</v>
      </c>
      <c r="E1292" s="27" t="s">
        <v>51</v>
      </c>
      <c r="F1292" s="27" t="s">
        <v>5</v>
      </c>
      <c r="G1292" s="27" t="s">
        <v>2273</v>
      </c>
      <c r="H1292" s="27"/>
      <c r="I1292" s="27">
        <f>VLOOKUP(F1292,mapping!$L$2:$P$92,2,0)</f>
        <v>1</v>
      </c>
      <c r="J1292" s="27">
        <f>VLOOKUP($F1292,mapping!$L$2:$P$92,3,0)</f>
        <v>48386.69</v>
      </c>
      <c r="K1292" s="27" t="str">
        <f>VLOOKUP($F1292,mapping!$L$2:$P$92,4,0)</f>
        <v>Major Advanced Economies (G7)</v>
      </c>
      <c r="L1292" s="29">
        <f>$D1292*VLOOKUP($E1292,'Charts data'!$A$2:$B$11,2,0)*VLOOKUP($G1292,'Charts data'!$A$14:$B$18,2,0)/IF('Charts data'!$E$3=1,I1292,1)/IF('Charts data'!$E$4=1,J1292,1)</f>
        <v>65000</v>
      </c>
    </row>
    <row r="1293" spans="1:12" x14ac:dyDescent="0.25">
      <c r="A1293" s="27" t="s">
        <v>302</v>
      </c>
      <c r="B1293" s="27">
        <v>45000</v>
      </c>
      <c r="C1293" s="27" t="s">
        <v>2</v>
      </c>
      <c r="D1293" s="28">
        <f>B1293*VLOOKUP(C1293,tblXrate[],2,0)</f>
        <v>45000</v>
      </c>
      <c r="E1293" s="27" t="s">
        <v>7</v>
      </c>
      <c r="F1293" s="27" t="s">
        <v>5</v>
      </c>
      <c r="G1293" s="27" t="s">
        <v>2271</v>
      </c>
      <c r="H1293" s="27"/>
      <c r="I1293" s="27">
        <f>VLOOKUP(F1293,mapping!$L$2:$P$92,2,0)</f>
        <v>1</v>
      </c>
      <c r="J1293" s="27">
        <f>VLOOKUP($F1293,mapping!$L$2:$P$92,3,0)</f>
        <v>48386.69</v>
      </c>
      <c r="K1293" s="27" t="str">
        <f>VLOOKUP($F1293,mapping!$L$2:$P$92,4,0)</f>
        <v>Major Advanced Economies (G7)</v>
      </c>
      <c r="L1293" s="29">
        <f>$D1293*VLOOKUP($E1293,'Charts data'!$A$2:$B$11,2,0)*VLOOKUP($G1293,'Charts data'!$A$14:$B$18,2,0)/IF('Charts data'!$E$3=1,I1293,1)/IF('Charts data'!$E$4=1,J1293,1)</f>
        <v>45000</v>
      </c>
    </row>
    <row r="1294" spans="1:12" x14ac:dyDescent="0.25">
      <c r="A1294" s="27" t="s">
        <v>303</v>
      </c>
      <c r="B1294" s="27">
        <v>54000</v>
      </c>
      <c r="C1294" s="27" t="s">
        <v>2</v>
      </c>
      <c r="D1294" s="28">
        <f>B1294*VLOOKUP(C1294,tblXrate[],2,0)</f>
        <v>54000</v>
      </c>
      <c r="E1294" s="27" t="s">
        <v>7</v>
      </c>
      <c r="F1294" s="27" t="s">
        <v>5</v>
      </c>
      <c r="G1294" s="27" t="s">
        <v>2272</v>
      </c>
      <c r="H1294" s="27"/>
      <c r="I1294" s="27">
        <f>VLOOKUP(F1294,mapping!$L$2:$P$92,2,0)</f>
        <v>1</v>
      </c>
      <c r="J1294" s="27">
        <f>VLOOKUP($F1294,mapping!$L$2:$P$92,3,0)</f>
        <v>48386.69</v>
      </c>
      <c r="K1294" s="27" t="str">
        <f>VLOOKUP($F1294,mapping!$L$2:$P$92,4,0)</f>
        <v>Major Advanced Economies (G7)</v>
      </c>
      <c r="L1294" s="29">
        <f>$D1294*VLOOKUP($E1294,'Charts data'!$A$2:$B$11,2,0)*VLOOKUP($G1294,'Charts data'!$A$14:$B$18,2,0)/IF('Charts data'!$E$3=1,I1294,1)/IF('Charts data'!$E$4=1,J1294,1)</f>
        <v>54000</v>
      </c>
    </row>
    <row r="1295" spans="1:12" x14ac:dyDescent="0.25">
      <c r="A1295" s="27" t="s">
        <v>305</v>
      </c>
      <c r="B1295" s="27">
        <v>71000</v>
      </c>
      <c r="C1295" s="27" t="s">
        <v>2</v>
      </c>
      <c r="D1295" s="28">
        <f>B1295*VLOOKUP(C1295,tblXrate[],2,0)</f>
        <v>71000</v>
      </c>
      <c r="E1295" s="27" t="s">
        <v>7</v>
      </c>
      <c r="F1295" s="27" t="s">
        <v>5</v>
      </c>
      <c r="G1295" s="27" t="s">
        <v>2271</v>
      </c>
      <c r="H1295" s="27"/>
      <c r="I1295" s="27">
        <f>VLOOKUP(F1295,mapping!$L$2:$P$92,2,0)</f>
        <v>1</v>
      </c>
      <c r="J1295" s="27">
        <f>VLOOKUP($F1295,mapping!$L$2:$P$92,3,0)</f>
        <v>48386.69</v>
      </c>
      <c r="K1295" s="27" t="str">
        <f>VLOOKUP($F1295,mapping!$L$2:$P$92,4,0)</f>
        <v>Major Advanced Economies (G7)</v>
      </c>
      <c r="L1295" s="29">
        <f>$D1295*VLOOKUP($E1295,'Charts data'!$A$2:$B$11,2,0)*VLOOKUP($G1295,'Charts data'!$A$14:$B$18,2,0)/IF('Charts data'!$E$3=1,I1295,1)/IF('Charts data'!$E$4=1,J1295,1)</f>
        <v>71000</v>
      </c>
    </row>
    <row r="1296" spans="1:12" x14ac:dyDescent="0.25">
      <c r="A1296" s="27" t="s">
        <v>309</v>
      </c>
      <c r="B1296" s="27">
        <v>40000</v>
      </c>
      <c r="C1296" s="27" t="s">
        <v>2</v>
      </c>
      <c r="D1296" s="28">
        <f>B1296*VLOOKUP(C1296,tblXrate[],2,0)</f>
        <v>40000</v>
      </c>
      <c r="E1296" s="27" t="s">
        <v>7</v>
      </c>
      <c r="F1296" s="27" t="s">
        <v>5</v>
      </c>
      <c r="G1296" s="27" t="s">
        <v>2271</v>
      </c>
      <c r="H1296" s="27"/>
      <c r="I1296" s="27">
        <f>VLOOKUP(F1296,mapping!$L$2:$P$92,2,0)</f>
        <v>1</v>
      </c>
      <c r="J1296" s="27">
        <f>VLOOKUP($F1296,mapping!$L$2:$P$92,3,0)</f>
        <v>48386.69</v>
      </c>
      <c r="K1296" s="27" t="str">
        <f>VLOOKUP($F1296,mapping!$L$2:$P$92,4,0)</f>
        <v>Major Advanced Economies (G7)</v>
      </c>
      <c r="L1296" s="29">
        <f>$D1296*VLOOKUP($E1296,'Charts data'!$A$2:$B$11,2,0)*VLOOKUP($G1296,'Charts data'!$A$14:$B$18,2,0)/IF('Charts data'!$E$3=1,I1296,1)/IF('Charts data'!$E$4=1,J1296,1)</f>
        <v>40000</v>
      </c>
    </row>
    <row r="1297" spans="1:12" x14ac:dyDescent="0.25">
      <c r="A1297" s="27" t="s">
        <v>312</v>
      </c>
      <c r="B1297" s="27">
        <v>53000</v>
      </c>
      <c r="C1297" s="27" t="s">
        <v>2</v>
      </c>
      <c r="D1297" s="28">
        <f>B1297*VLOOKUP(C1297,tblXrate[],2,0)</f>
        <v>53000</v>
      </c>
      <c r="E1297" s="27" t="s">
        <v>7</v>
      </c>
      <c r="F1297" s="27" t="s">
        <v>5</v>
      </c>
      <c r="G1297" s="27" t="s">
        <v>2271</v>
      </c>
      <c r="H1297" s="27"/>
      <c r="I1297" s="27">
        <f>VLOOKUP(F1297,mapping!$L$2:$P$92,2,0)</f>
        <v>1</v>
      </c>
      <c r="J1297" s="27">
        <f>VLOOKUP($F1297,mapping!$L$2:$P$92,3,0)</f>
        <v>48386.69</v>
      </c>
      <c r="K1297" s="27" t="str">
        <f>VLOOKUP($F1297,mapping!$L$2:$P$92,4,0)</f>
        <v>Major Advanced Economies (G7)</v>
      </c>
      <c r="L1297" s="29">
        <f>$D1297*VLOOKUP($E1297,'Charts data'!$A$2:$B$11,2,0)*VLOOKUP($G1297,'Charts data'!$A$14:$B$18,2,0)/IF('Charts data'!$E$3=1,I1297,1)/IF('Charts data'!$E$4=1,J1297,1)</f>
        <v>53000</v>
      </c>
    </row>
    <row r="1298" spans="1:12" x14ac:dyDescent="0.25">
      <c r="A1298" s="27" t="s">
        <v>313</v>
      </c>
      <c r="B1298" s="27">
        <v>104000</v>
      </c>
      <c r="C1298" s="27" t="s">
        <v>2</v>
      </c>
      <c r="D1298" s="28">
        <f>B1298*VLOOKUP(C1298,tblXrate[],2,0)</f>
        <v>104000</v>
      </c>
      <c r="E1298" s="27" t="s">
        <v>2147</v>
      </c>
      <c r="F1298" s="27" t="s">
        <v>5</v>
      </c>
      <c r="G1298" s="27" t="s">
        <v>2272</v>
      </c>
      <c r="H1298" s="27"/>
      <c r="I1298" s="27">
        <f>VLOOKUP(F1298,mapping!$L$2:$P$92,2,0)</f>
        <v>1</v>
      </c>
      <c r="J1298" s="27">
        <f>VLOOKUP($F1298,mapping!$L$2:$P$92,3,0)</f>
        <v>48386.69</v>
      </c>
      <c r="K1298" s="27" t="str">
        <f>VLOOKUP($F1298,mapping!$L$2:$P$92,4,0)</f>
        <v>Major Advanced Economies (G7)</v>
      </c>
      <c r="L1298" s="29">
        <f>$D1298*VLOOKUP($E1298,'Charts data'!$A$2:$B$11,2,0)*VLOOKUP($G1298,'Charts data'!$A$14:$B$18,2,0)/IF('Charts data'!$E$3=1,I1298,1)/IF('Charts data'!$E$4=1,J1298,1)</f>
        <v>104000</v>
      </c>
    </row>
    <row r="1299" spans="1:12" x14ac:dyDescent="0.25">
      <c r="A1299" s="27" t="s">
        <v>314</v>
      </c>
      <c r="B1299" s="27">
        <v>57000</v>
      </c>
      <c r="C1299" s="27" t="s">
        <v>2</v>
      </c>
      <c r="D1299" s="28">
        <f>B1299*VLOOKUP(C1299,tblXrate[],2,0)</f>
        <v>57000</v>
      </c>
      <c r="E1299" s="27" t="s">
        <v>48</v>
      </c>
      <c r="F1299" s="27" t="s">
        <v>5</v>
      </c>
      <c r="G1299" s="27" t="s">
        <v>2271</v>
      </c>
      <c r="H1299" s="27"/>
      <c r="I1299" s="27">
        <f>VLOOKUP(F1299,mapping!$L$2:$P$92,2,0)</f>
        <v>1</v>
      </c>
      <c r="J1299" s="27">
        <f>VLOOKUP($F1299,mapping!$L$2:$P$92,3,0)</f>
        <v>48386.69</v>
      </c>
      <c r="K1299" s="27" t="str">
        <f>VLOOKUP($F1299,mapping!$L$2:$P$92,4,0)</f>
        <v>Major Advanced Economies (G7)</v>
      </c>
      <c r="L1299" s="29">
        <f>$D1299*VLOOKUP($E1299,'Charts data'!$A$2:$B$11,2,0)*VLOOKUP($G1299,'Charts data'!$A$14:$B$18,2,0)/IF('Charts data'!$E$3=1,I1299,1)/IF('Charts data'!$E$4=1,J1299,1)</f>
        <v>57000</v>
      </c>
    </row>
    <row r="1300" spans="1:12" x14ac:dyDescent="0.25">
      <c r="A1300" s="27" t="s">
        <v>315</v>
      </c>
      <c r="B1300" s="27">
        <v>45000</v>
      </c>
      <c r="C1300" s="27" t="s">
        <v>2</v>
      </c>
      <c r="D1300" s="28">
        <f>B1300*VLOOKUP(C1300,tblXrate[],2,0)</f>
        <v>45000</v>
      </c>
      <c r="E1300" s="27" t="s">
        <v>7</v>
      </c>
      <c r="F1300" s="27" t="s">
        <v>5</v>
      </c>
      <c r="G1300" s="27" t="s">
        <v>2272</v>
      </c>
      <c r="H1300" s="27"/>
      <c r="I1300" s="27">
        <f>VLOOKUP(F1300,mapping!$L$2:$P$92,2,0)</f>
        <v>1</v>
      </c>
      <c r="J1300" s="27">
        <f>VLOOKUP($F1300,mapping!$L$2:$P$92,3,0)</f>
        <v>48386.69</v>
      </c>
      <c r="K1300" s="27" t="str">
        <f>VLOOKUP($F1300,mapping!$L$2:$P$92,4,0)</f>
        <v>Major Advanced Economies (G7)</v>
      </c>
      <c r="L1300" s="29">
        <f>$D1300*VLOOKUP($E1300,'Charts data'!$A$2:$B$11,2,0)*VLOOKUP($G1300,'Charts data'!$A$14:$B$18,2,0)/IF('Charts data'!$E$3=1,I1300,1)/IF('Charts data'!$E$4=1,J1300,1)</f>
        <v>45000</v>
      </c>
    </row>
    <row r="1301" spans="1:12" x14ac:dyDescent="0.25">
      <c r="A1301" s="27" t="s">
        <v>316</v>
      </c>
      <c r="B1301" s="27">
        <v>92000</v>
      </c>
      <c r="C1301" s="27" t="s">
        <v>2</v>
      </c>
      <c r="D1301" s="28">
        <f>B1301*VLOOKUP(C1301,tblXrate[],2,0)</f>
        <v>92000</v>
      </c>
      <c r="E1301" s="27" t="s">
        <v>7</v>
      </c>
      <c r="F1301" s="27" t="s">
        <v>5</v>
      </c>
      <c r="G1301" s="27" t="s">
        <v>2271</v>
      </c>
      <c r="H1301" s="27"/>
      <c r="I1301" s="27">
        <f>VLOOKUP(F1301,mapping!$L$2:$P$92,2,0)</f>
        <v>1</v>
      </c>
      <c r="J1301" s="27">
        <f>VLOOKUP($F1301,mapping!$L$2:$P$92,3,0)</f>
        <v>48386.69</v>
      </c>
      <c r="K1301" s="27" t="str">
        <f>VLOOKUP($F1301,mapping!$L$2:$P$92,4,0)</f>
        <v>Major Advanced Economies (G7)</v>
      </c>
      <c r="L1301" s="29">
        <f>$D1301*VLOOKUP($E1301,'Charts data'!$A$2:$B$11,2,0)*VLOOKUP($G1301,'Charts data'!$A$14:$B$18,2,0)/IF('Charts data'!$E$3=1,I1301,1)/IF('Charts data'!$E$4=1,J1301,1)</f>
        <v>92000</v>
      </c>
    </row>
    <row r="1302" spans="1:12" x14ac:dyDescent="0.25">
      <c r="A1302" s="27" t="s">
        <v>317</v>
      </c>
      <c r="B1302" s="27">
        <v>88000</v>
      </c>
      <c r="C1302" s="27" t="s">
        <v>2</v>
      </c>
      <c r="D1302" s="28">
        <f>B1302*VLOOKUP(C1302,tblXrate[],2,0)</f>
        <v>88000</v>
      </c>
      <c r="E1302" s="27" t="s">
        <v>19</v>
      </c>
      <c r="F1302" s="27" t="s">
        <v>5</v>
      </c>
      <c r="G1302" s="27" t="s">
        <v>2271</v>
      </c>
      <c r="H1302" s="27"/>
      <c r="I1302" s="27">
        <f>VLOOKUP(F1302,mapping!$L$2:$P$92,2,0)</f>
        <v>1</v>
      </c>
      <c r="J1302" s="27">
        <f>VLOOKUP($F1302,mapping!$L$2:$P$92,3,0)</f>
        <v>48386.69</v>
      </c>
      <c r="K1302" s="27" t="str">
        <f>VLOOKUP($F1302,mapping!$L$2:$P$92,4,0)</f>
        <v>Major Advanced Economies (G7)</v>
      </c>
      <c r="L1302" s="29">
        <f>$D1302*VLOOKUP($E1302,'Charts data'!$A$2:$B$11,2,0)*VLOOKUP($G1302,'Charts data'!$A$14:$B$18,2,0)/IF('Charts data'!$E$3=1,I1302,1)/IF('Charts data'!$E$4=1,J1302,1)</f>
        <v>88000</v>
      </c>
    </row>
    <row r="1303" spans="1:12" x14ac:dyDescent="0.25">
      <c r="A1303" s="27" t="s">
        <v>318</v>
      </c>
      <c r="B1303" s="27">
        <v>80000</v>
      </c>
      <c r="C1303" s="27" t="s">
        <v>2</v>
      </c>
      <c r="D1303" s="28">
        <f>B1303*VLOOKUP(C1303,tblXrate[],2,0)</f>
        <v>80000</v>
      </c>
      <c r="E1303" s="27" t="s">
        <v>7</v>
      </c>
      <c r="F1303" s="27" t="s">
        <v>5</v>
      </c>
      <c r="G1303" s="27" t="s">
        <v>2272</v>
      </c>
      <c r="H1303" s="27"/>
      <c r="I1303" s="27">
        <f>VLOOKUP(F1303,mapping!$L$2:$P$92,2,0)</f>
        <v>1</v>
      </c>
      <c r="J1303" s="27">
        <f>VLOOKUP($F1303,mapping!$L$2:$P$92,3,0)</f>
        <v>48386.69</v>
      </c>
      <c r="K1303" s="27" t="str">
        <f>VLOOKUP($F1303,mapping!$L$2:$P$92,4,0)</f>
        <v>Major Advanced Economies (G7)</v>
      </c>
      <c r="L1303" s="29">
        <f>$D1303*VLOOKUP($E1303,'Charts data'!$A$2:$B$11,2,0)*VLOOKUP($G1303,'Charts data'!$A$14:$B$18,2,0)/IF('Charts data'!$E$3=1,I1303,1)/IF('Charts data'!$E$4=1,J1303,1)</f>
        <v>80000</v>
      </c>
    </row>
    <row r="1304" spans="1:12" x14ac:dyDescent="0.25">
      <c r="A1304" s="27" t="s">
        <v>319</v>
      </c>
      <c r="B1304" s="27">
        <v>69000</v>
      </c>
      <c r="C1304" s="27" t="s">
        <v>2</v>
      </c>
      <c r="D1304" s="28">
        <f>B1304*VLOOKUP(C1304,tblXrate[],2,0)</f>
        <v>69000</v>
      </c>
      <c r="E1304" s="27" t="s">
        <v>53</v>
      </c>
      <c r="F1304" s="27" t="s">
        <v>5</v>
      </c>
      <c r="G1304" s="27" t="s">
        <v>2271</v>
      </c>
      <c r="H1304" s="27"/>
      <c r="I1304" s="27">
        <f>VLOOKUP(F1304,mapping!$L$2:$P$92,2,0)</f>
        <v>1</v>
      </c>
      <c r="J1304" s="27">
        <f>VLOOKUP($F1304,mapping!$L$2:$P$92,3,0)</f>
        <v>48386.69</v>
      </c>
      <c r="K1304" s="27" t="str">
        <f>VLOOKUP($F1304,mapping!$L$2:$P$92,4,0)</f>
        <v>Major Advanced Economies (G7)</v>
      </c>
      <c r="L1304" s="29">
        <f>$D1304*VLOOKUP($E1304,'Charts data'!$A$2:$B$11,2,0)*VLOOKUP($G1304,'Charts data'!$A$14:$B$18,2,0)/IF('Charts data'!$E$3=1,I1304,1)/IF('Charts data'!$E$4=1,J1304,1)</f>
        <v>69000</v>
      </c>
    </row>
    <row r="1305" spans="1:12" x14ac:dyDescent="0.25">
      <c r="A1305" s="27" t="s">
        <v>321</v>
      </c>
      <c r="B1305" s="27">
        <v>35000</v>
      </c>
      <c r="C1305" s="27" t="s">
        <v>2</v>
      </c>
      <c r="D1305" s="28">
        <f>B1305*VLOOKUP(C1305,tblXrate[],2,0)</f>
        <v>35000</v>
      </c>
      <c r="E1305" s="27" t="s">
        <v>19</v>
      </c>
      <c r="F1305" s="27" t="s">
        <v>5</v>
      </c>
      <c r="G1305" s="27" t="s">
        <v>2272</v>
      </c>
      <c r="H1305" s="27"/>
      <c r="I1305" s="27">
        <f>VLOOKUP(F1305,mapping!$L$2:$P$92,2,0)</f>
        <v>1</v>
      </c>
      <c r="J1305" s="27">
        <f>VLOOKUP($F1305,mapping!$L$2:$P$92,3,0)</f>
        <v>48386.69</v>
      </c>
      <c r="K1305" s="27" t="str">
        <f>VLOOKUP($F1305,mapping!$L$2:$P$92,4,0)</f>
        <v>Major Advanced Economies (G7)</v>
      </c>
      <c r="L1305" s="29">
        <f>$D1305*VLOOKUP($E1305,'Charts data'!$A$2:$B$11,2,0)*VLOOKUP($G1305,'Charts data'!$A$14:$B$18,2,0)/IF('Charts data'!$E$3=1,I1305,1)/IF('Charts data'!$E$4=1,J1305,1)</f>
        <v>35000</v>
      </c>
    </row>
    <row r="1306" spans="1:12" x14ac:dyDescent="0.25">
      <c r="A1306" s="27" t="s">
        <v>322</v>
      </c>
      <c r="B1306" s="27">
        <v>96000</v>
      </c>
      <c r="C1306" s="27" t="s">
        <v>2</v>
      </c>
      <c r="D1306" s="28">
        <f>B1306*VLOOKUP(C1306,tblXrate[],2,0)</f>
        <v>96000</v>
      </c>
      <c r="E1306" s="27" t="s">
        <v>7</v>
      </c>
      <c r="F1306" s="27" t="s">
        <v>5</v>
      </c>
      <c r="G1306" s="27" t="s">
        <v>2271</v>
      </c>
      <c r="H1306" s="27"/>
      <c r="I1306" s="27">
        <f>VLOOKUP(F1306,mapping!$L$2:$P$92,2,0)</f>
        <v>1</v>
      </c>
      <c r="J1306" s="27">
        <f>VLOOKUP($F1306,mapping!$L$2:$P$92,3,0)</f>
        <v>48386.69</v>
      </c>
      <c r="K1306" s="27" t="str">
        <f>VLOOKUP($F1306,mapping!$L$2:$P$92,4,0)</f>
        <v>Major Advanced Economies (G7)</v>
      </c>
      <c r="L1306" s="29">
        <f>$D1306*VLOOKUP($E1306,'Charts data'!$A$2:$B$11,2,0)*VLOOKUP($G1306,'Charts data'!$A$14:$B$18,2,0)/IF('Charts data'!$E$3=1,I1306,1)/IF('Charts data'!$E$4=1,J1306,1)</f>
        <v>96000</v>
      </c>
    </row>
    <row r="1307" spans="1:12" x14ac:dyDescent="0.25">
      <c r="A1307" s="27" t="s">
        <v>323</v>
      </c>
      <c r="B1307" s="27">
        <v>65000</v>
      </c>
      <c r="C1307" s="27" t="s">
        <v>2</v>
      </c>
      <c r="D1307" s="28">
        <f>B1307*VLOOKUP(C1307,tblXrate[],2,0)</f>
        <v>65000</v>
      </c>
      <c r="E1307" s="27" t="s">
        <v>51</v>
      </c>
      <c r="F1307" s="27" t="s">
        <v>5</v>
      </c>
      <c r="G1307" s="27" t="s">
        <v>2273</v>
      </c>
      <c r="H1307" s="27"/>
      <c r="I1307" s="27">
        <f>VLOOKUP(F1307,mapping!$L$2:$P$92,2,0)</f>
        <v>1</v>
      </c>
      <c r="J1307" s="27">
        <f>VLOOKUP($F1307,mapping!$L$2:$P$92,3,0)</f>
        <v>48386.69</v>
      </c>
      <c r="K1307" s="27" t="str">
        <f>VLOOKUP($F1307,mapping!$L$2:$P$92,4,0)</f>
        <v>Major Advanced Economies (G7)</v>
      </c>
      <c r="L1307" s="29">
        <f>$D1307*VLOOKUP($E1307,'Charts data'!$A$2:$B$11,2,0)*VLOOKUP($G1307,'Charts data'!$A$14:$B$18,2,0)/IF('Charts data'!$E$3=1,I1307,1)/IF('Charts data'!$E$4=1,J1307,1)</f>
        <v>65000</v>
      </c>
    </row>
    <row r="1308" spans="1:12" x14ac:dyDescent="0.25">
      <c r="A1308" s="27" t="s">
        <v>324</v>
      </c>
      <c r="B1308" s="27">
        <v>37440</v>
      </c>
      <c r="C1308" s="27" t="s">
        <v>2</v>
      </c>
      <c r="D1308" s="28">
        <f>B1308*VLOOKUP(C1308,tblXrate[],2,0)</f>
        <v>37440</v>
      </c>
      <c r="E1308" s="27" t="s">
        <v>7</v>
      </c>
      <c r="F1308" s="27" t="s">
        <v>5</v>
      </c>
      <c r="G1308" s="27" t="s">
        <v>2273</v>
      </c>
      <c r="H1308" s="27"/>
      <c r="I1308" s="27">
        <f>VLOOKUP(F1308,mapping!$L$2:$P$92,2,0)</f>
        <v>1</v>
      </c>
      <c r="J1308" s="27">
        <f>VLOOKUP($F1308,mapping!$L$2:$P$92,3,0)</f>
        <v>48386.69</v>
      </c>
      <c r="K1308" s="27" t="str">
        <f>VLOOKUP($F1308,mapping!$L$2:$P$92,4,0)</f>
        <v>Major Advanced Economies (G7)</v>
      </c>
      <c r="L1308" s="29">
        <f>$D1308*VLOOKUP($E1308,'Charts data'!$A$2:$B$11,2,0)*VLOOKUP($G1308,'Charts data'!$A$14:$B$18,2,0)/IF('Charts data'!$E$3=1,I1308,1)/IF('Charts data'!$E$4=1,J1308,1)</f>
        <v>37440</v>
      </c>
    </row>
    <row r="1309" spans="1:12" x14ac:dyDescent="0.25">
      <c r="A1309" s="27" t="s">
        <v>326</v>
      </c>
      <c r="B1309" s="27">
        <v>90000</v>
      </c>
      <c r="C1309" s="27" t="s">
        <v>2</v>
      </c>
      <c r="D1309" s="28">
        <f>B1309*VLOOKUP(C1309,tblXrate[],2,0)</f>
        <v>90000</v>
      </c>
      <c r="E1309" s="27" t="s">
        <v>7</v>
      </c>
      <c r="F1309" s="27" t="s">
        <v>5</v>
      </c>
      <c r="G1309" s="27" t="s">
        <v>2272</v>
      </c>
      <c r="H1309" s="27"/>
      <c r="I1309" s="27">
        <f>VLOOKUP(F1309,mapping!$L$2:$P$92,2,0)</f>
        <v>1</v>
      </c>
      <c r="J1309" s="27">
        <f>VLOOKUP($F1309,mapping!$L$2:$P$92,3,0)</f>
        <v>48386.69</v>
      </c>
      <c r="K1309" s="27" t="str">
        <f>VLOOKUP($F1309,mapping!$L$2:$P$92,4,0)</f>
        <v>Major Advanced Economies (G7)</v>
      </c>
      <c r="L1309" s="29">
        <f>$D1309*VLOOKUP($E1309,'Charts data'!$A$2:$B$11,2,0)*VLOOKUP($G1309,'Charts data'!$A$14:$B$18,2,0)/IF('Charts data'!$E$3=1,I1309,1)/IF('Charts data'!$E$4=1,J1309,1)</f>
        <v>90000</v>
      </c>
    </row>
    <row r="1310" spans="1:12" x14ac:dyDescent="0.25">
      <c r="A1310" s="27" t="s">
        <v>327</v>
      </c>
      <c r="B1310" s="27">
        <v>66500</v>
      </c>
      <c r="C1310" s="27" t="s">
        <v>2</v>
      </c>
      <c r="D1310" s="28">
        <f>B1310*VLOOKUP(C1310,tblXrate[],2,0)</f>
        <v>66500</v>
      </c>
      <c r="E1310" s="27" t="s">
        <v>7</v>
      </c>
      <c r="F1310" s="27" t="s">
        <v>5</v>
      </c>
      <c r="G1310" s="27" t="s">
        <v>2273</v>
      </c>
      <c r="H1310" s="27"/>
      <c r="I1310" s="27">
        <f>VLOOKUP(F1310,mapping!$L$2:$P$92,2,0)</f>
        <v>1</v>
      </c>
      <c r="J1310" s="27">
        <f>VLOOKUP($F1310,mapping!$L$2:$P$92,3,0)</f>
        <v>48386.69</v>
      </c>
      <c r="K1310" s="27" t="str">
        <f>VLOOKUP($F1310,mapping!$L$2:$P$92,4,0)</f>
        <v>Major Advanced Economies (G7)</v>
      </c>
      <c r="L1310" s="29">
        <f>$D1310*VLOOKUP($E1310,'Charts data'!$A$2:$B$11,2,0)*VLOOKUP($G1310,'Charts data'!$A$14:$B$18,2,0)/IF('Charts data'!$E$3=1,I1310,1)/IF('Charts data'!$E$4=1,J1310,1)</f>
        <v>66500</v>
      </c>
    </row>
    <row r="1311" spans="1:12" x14ac:dyDescent="0.25">
      <c r="A1311" s="27" t="s">
        <v>328</v>
      </c>
      <c r="B1311" s="27">
        <v>100000</v>
      </c>
      <c r="C1311" s="27" t="s">
        <v>2</v>
      </c>
      <c r="D1311" s="28">
        <f>B1311*VLOOKUP(C1311,tblXrate[],2,0)</f>
        <v>100000</v>
      </c>
      <c r="E1311" s="27" t="s">
        <v>51</v>
      </c>
      <c r="F1311" s="27" t="s">
        <v>5</v>
      </c>
      <c r="G1311" s="27" t="s">
        <v>2273</v>
      </c>
      <c r="H1311" s="27"/>
      <c r="I1311" s="27">
        <f>VLOOKUP(F1311,mapping!$L$2:$P$92,2,0)</f>
        <v>1</v>
      </c>
      <c r="J1311" s="27">
        <f>VLOOKUP($F1311,mapping!$L$2:$P$92,3,0)</f>
        <v>48386.69</v>
      </c>
      <c r="K1311" s="27" t="str">
        <f>VLOOKUP($F1311,mapping!$L$2:$P$92,4,0)</f>
        <v>Major Advanced Economies (G7)</v>
      </c>
      <c r="L1311" s="29">
        <f>$D1311*VLOOKUP($E1311,'Charts data'!$A$2:$B$11,2,0)*VLOOKUP($G1311,'Charts data'!$A$14:$B$18,2,0)/IF('Charts data'!$E$3=1,I1311,1)/IF('Charts data'!$E$4=1,J1311,1)</f>
        <v>100000</v>
      </c>
    </row>
    <row r="1312" spans="1:12" x14ac:dyDescent="0.25">
      <c r="A1312" s="27" t="s">
        <v>331</v>
      </c>
      <c r="B1312" s="27">
        <v>75000</v>
      </c>
      <c r="C1312" s="27" t="s">
        <v>2</v>
      </c>
      <c r="D1312" s="28">
        <f>B1312*VLOOKUP(C1312,tblXrate[],2,0)</f>
        <v>75000</v>
      </c>
      <c r="E1312" s="27" t="s">
        <v>7</v>
      </c>
      <c r="F1312" s="27" t="s">
        <v>5</v>
      </c>
      <c r="G1312" s="27" t="s">
        <v>2274</v>
      </c>
      <c r="H1312" s="27"/>
      <c r="I1312" s="27">
        <f>VLOOKUP(F1312,mapping!$L$2:$P$92,2,0)</f>
        <v>1</v>
      </c>
      <c r="J1312" s="27">
        <f>VLOOKUP($F1312,mapping!$L$2:$P$92,3,0)</f>
        <v>48386.69</v>
      </c>
      <c r="K1312" s="27" t="str">
        <f>VLOOKUP($F1312,mapping!$L$2:$P$92,4,0)</f>
        <v>Major Advanced Economies (G7)</v>
      </c>
      <c r="L1312" s="29">
        <f>$D1312*VLOOKUP($E1312,'Charts data'!$A$2:$B$11,2,0)*VLOOKUP($G1312,'Charts data'!$A$14:$B$18,2,0)/IF('Charts data'!$E$3=1,I1312,1)/IF('Charts data'!$E$4=1,J1312,1)</f>
        <v>75000</v>
      </c>
    </row>
    <row r="1313" spans="1:12" x14ac:dyDescent="0.25">
      <c r="A1313" s="27" t="s">
        <v>333</v>
      </c>
      <c r="B1313" s="27">
        <v>55000</v>
      </c>
      <c r="C1313" s="27" t="s">
        <v>2</v>
      </c>
      <c r="D1313" s="28">
        <f>B1313*VLOOKUP(C1313,tblXrate[],2,0)</f>
        <v>55000</v>
      </c>
      <c r="E1313" s="27" t="s">
        <v>19</v>
      </c>
      <c r="F1313" s="27" t="s">
        <v>5</v>
      </c>
      <c r="G1313" s="27" t="s">
        <v>2272</v>
      </c>
      <c r="H1313" s="27"/>
      <c r="I1313" s="27">
        <f>VLOOKUP(F1313,mapping!$L$2:$P$92,2,0)</f>
        <v>1</v>
      </c>
      <c r="J1313" s="27">
        <f>VLOOKUP($F1313,mapping!$L$2:$P$92,3,0)</f>
        <v>48386.69</v>
      </c>
      <c r="K1313" s="27" t="str">
        <f>VLOOKUP($F1313,mapping!$L$2:$P$92,4,0)</f>
        <v>Major Advanced Economies (G7)</v>
      </c>
      <c r="L1313" s="29">
        <f>$D1313*VLOOKUP($E1313,'Charts data'!$A$2:$B$11,2,0)*VLOOKUP($G1313,'Charts data'!$A$14:$B$18,2,0)/IF('Charts data'!$E$3=1,I1313,1)/IF('Charts data'!$E$4=1,J1313,1)</f>
        <v>55000</v>
      </c>
    </row>
    <row r="1314" spans="1:12" x14ac:dyDescent="0.25">
      <c r="A1314" s="27" t="s">
        <v>334</v>
      </c>
      <c r="B1314" s="27">
        <v>60000</v>
      </c>
      <c r="C1314" s="27" t="s">
        <v>2</v>
      </c>
      <c r="D1314" s="28">
        <f>B1314*VLOOKUP(C1314,tblXrate[],2,0)</f>
        <v>60000</v>
      </c>
      <c r="E1314" s="27" t="s">
        <v>7</v>
      </c>
      <c r="F1314" s="27" t="s">
        <v>5</v>
      </c>
      <c r="G1314" s="27" t="s">
        <v>2271</v>
      </c>
      <c r="H1314" s="27"/>
      <c r="I1314" s="27">
        <f>VLOOKUP(F1314,mapping!$L$2:$P$92,2,0)</f>
        <v>1</v>
      </c>
      <c r="J1314" s="27">
        <f>VLOOKUP($F1314,mapping!$L$2:$P$92,3,0)</f>
        <v>48386.69</v>
      </c>
      <c r="K1314" s="27" t="str">
        <f>VLOOKUP($F1314,mapping!$L$2:$P$92,4,0)</f>
        <v>Major Advanced Economies (G7)</v>
      </c>
      <c r="L1314" s="29">
        <f>$D1314*VLOOKUP($E1314,'Charts data'!$A$2:$B$11,2,0)*VLOOKUP($G1314,'Charts data'!$A$14:$B$18,2,0)/IF('Charts data'!$E$3=1,I1314,1)/IF('Charts data'!$E$4=1,J1314,1)</f>
        <v>60000</v>
      </c>
    </row>
    <row r="1315" spans="1:12" x14ac:dyDescent="0.25">
      <c r="A1315" s="27" t="s">
        <v>338</v>
      </c>
      <c r="B1315" s="27">
        <v>22880</v>
      </c>
      <c r="C1315" s="27" t="s">
        <v>2</v>
      </c>
      <c r="D1315" s="28">
        <f>B1315*VLOOKUP(C1315,tblXrate[],2,0)</f>
        <v>22880</v>
      </c>
      <c r="E1315" s="27" t="s">
        <v>51</v>
      </c>
      <c r="F1315" s="27" t="s">
        <v>5</v>
      </c>
      <c r="G1315" s="27" t="s">
        <v>2271</v>
      </c>
      <c r="H1315" s="27"/>
      <c r="I1315" s="27">
        <f>VLOOKUP(F1315,mapping!$L$2:$P$92,2,0)</f>
        <v>1</v>
      </c>
      <c r="J1315" s="27">
        <f>VLOOKUP($F1315,mapping!$L$2:$P$92,3,0)</f>
        <v>48386.69</v>
      </c>
      <c r="K1315" s="27" t="str">
        <f>VLOOKUP($F1315,mapping!$L$2:$P$92,4,0)</f>
        <v>Major Advanced Economies (G7)</v>
      </c>
      <c r="L1315" s="29">
        <f>$D1315*VLOOKUP($E1315,'Charts data'!$A$2:$B$11,2,0)*VLOOKUP($G1315,'Charts data'!$A$14:$B$18,2,0)/IF('Charts data'!$E$3=1,I1315,1)/IF('Charts data'!$E$4=1,J1315,1)</f>
        <v>22880</v>
      </c>
    </row>
    <row r="1316" spans="1:12" x14ac:dyDescent="0.25">
      <c r="A1316" s="27" t="s">
        <v>339</v>
      </c>
      <c r="B1316" s="27">
        <v>80000</v>
      </c>
      <c r="C1316" s="27" t="s">
        <v>2</v>
      </c>
      <c r="D1316" s="28">
        <f>B1316*VLOOKUP(C1316,tblXrate[],2,0)</f>
        <v>80000</v>
      </c>
      <c r="E1316" s="27" t="s">
        <v>53</v>
      </c>
      <c r="F1316" s="27" t="s">
        <v>5</v>
      </c>
      <c r="G1316" s="27" t="s">
        <v>2271</v>
      </c>
      <c r="H1316" s="27"/>
      <c r="I1316" s="27">
        <f>VLOOKUP(F1316,mapping!$L$2:$P$92,2,0)</f>
        <v>1</v>
      </c>
      <c r="J1316" s="27">
        <f>VLOOKUP($F1316,mapping!$L$2:$P$92,3,0)</f>
        <v>48386.69</v>
      </c>
      <c r="K1316" s="27" t="str">
        <f>VLOOKUP($F1316,mapping!$L$2:$P$92,4,0)</f>
        <v>Major Advanced Economies (G7)</v>
      </c>
      <c r="L1316" s="29">
        <f>$D1316*VLOOKUP($E1316,'Charts data'!$A$2:$B$11,2,0)*VLOOKUP($G1316,'Charts data'!$A$14:$B$18,2,0)/IF('Charts data'!$E$3=1,I1316,1)/IF('Charts data'!$E$4=1,J1316,1)</f>
        <v>80000</v>
      </c>
    </row>
    <row r="1317" spans="1:12" x14ac:dyDescent="0.25">
      <c r="A1317" s="27" t="s">
        <v>343</v>
      </c>
      <c r="B1317" s="27">
        <v>46584</v>
      </c>
      <c r="C1317" s="27" t="s">
        <v>2</v>
      </c>
      <c r="D1317" s="28">
        <f>B1317*VLOOKUP(C1317,tblXrate[],2,0)</f>
        <v>46584</v>
      </c>
      <c r="E1317" s="27" t="s">
        <v>7</v>
      </c>
      <c r="F1317" s="27" t="s">
        <v>5</v>
      </c>
      <c r="G1317" s="27" t="s">
        <v>2271</v>
      </c>
      <c r="H1317" s="27"/>
      <c r="I1317" s="27">
        <f>VLOOKUP(F1317,mapping!$L$2:$P$92,2,0)</f>
        <v>1</v>
      </c>
      <c r="J1317" s="27">
        <f>VLOOKUP($F1317,mapping!$L$2:$P$92,3,0)</f>
        <v>48386.69</v>
      </c>
      <c r="K1317" s="27" t="str">
        <f>VLOOKUP($F1317,mapping!$L$2:$P$92,4,0)</f>
        <v>Major Advanced Economies (G7)</v>
      </c>
      <c r="L1317" s="29">
        <f>$D1317*VLOOKUP($E1317,'Charts data'!$A$2:$B$11,2,0)*VLOOKUP($G1317,'Charts data'!$A$14:$B$18,2,0)/IF('Charts data'!$E$3=1,I1317,1)/IF('Charts data'!$E$4=1,J1317,1)</f>
        <v>46584</v>
      </c>
    </row>
    <row r="1318" spans="1:12" x14ac:dyDescent="0.25">
      <c r="A1318" s="27" t="s">
        <v>344</v>
      </c>
      <c r="B1318" s="27">
        <v>67000</v>
      </c>
      <c r="C1318" s="27" t="s">
        <v>2</v>
      </c>
      <c r="D1318" s="28">
        <f>B1318*VLOOKUP(C1318,tblXrate[],2,0)</f>
        <v>67000</v>
      </c>
      <c r="E1318" s="27" t="s">
        <v>7</v>
      </c>
      <c r="F1318" s="27" t="s">
        <v>5</v>
      </c>
      <c r="G1318" s="27" t="s">
        <v>2271</v>
      </c>
      <c r="H1318" s="27"/>
      <c r="I1318" s="27">
        <f>VLOOKUP(F1318,mapping!$L$2:$P$92,2,0)</f>
        <v>1</v>
      </c>
      <c r="J1318" s="27">
        <f>VLOOKUP($F1318,mapping!$L$2:$P$92,3,0)</f>
        <v>48386.69</v>
      </c>
      <c r="K1318" s="27" t="str">
        <f>VLOOKUP($F1318,mapping!$L$2:$P$92,4,0)</f>
        <v>Major Advanced Economies (G7)</v>
      </c>
      <c r="L1318" s="29">
        <f>$D1318*VLOOKUP($E1318,'Charts data'!$A$2:$B$11,2,0)*VLOOKUP($G1318,'Charts data'!$A$14:$B$18,2,0)/IF('Charts data'!$E$3=1,I1318,1)/IF('Charts data'!$E$4=1,J1318,1)</f>
        <v>67000</v>
      </c>
    </row>
    <row r="1319" spans="1:12" x14ac:dyDescent="0.25">
      <c r="A1319" s="27" t="s">
        <v>346</v>
      </c>
      <c r="B1319" s="27">
        <v>92000</v>
      </c>
      <c r="C1319" s="27" t="s">
        <v>2</v>
      </c>
      <c r="D1319" s="28">
        <f>B1319*VLOOKUP(C1319,tblXrate[],2,0)</f>
        <v>92000</v>
      </c>
      <c r="E1319" s="27" t="s">
        <v>48</v>
      </c>
      <c r="F1319" s="27" t="s">
        <v>5</v>
      </c>
      <c r="G1319" s="27" t="s">
        <v>2271</v>
      </c>
      <c r="H1319" s="27"/>
      <c r="I1319" s="27">
        <f>VLOOKUP(F1319,mapping!$L$2:$P$92,2,0)</f>
        <v>1</v>
      </c>
      <c r="J1319" s="27">
        <f>VLOOKUP($F1319,mapping!$L$2:$P$92,3,0)</f>
        <v>48386.69</v>
      </c>
      <c r="K1319" s="27" t="str">
        <f>VLOOKUP($F1319,mapping!$L$2:$P$92,4,0)</f>
        <v>Major Advanced Economies (G7)</v>
      </c>
      <c r="L1319" s="29">
        <f>$D1319*VLOOKUP($E1319,'Charts data'!$A$2:$B$11,2,0)*VLOOKUP($G1319,'Charts data'!$A$14:$B$18,2,0)/IF('Charts data'!$E$3=1,I1319,1)/IF('Charts data'!$E$4=1,J1319,1)</f>
        <v>92000</v>
      </c>
    </row>
    <row r="1320" spans="1:12" x14ac:dyDescent="0.25">
      <c r="A1320" s="27" t="s">
        <v>347</v>
      </c>
      <c r="B1320" s="27">
        <v>75000</v>
      </c>
      <c r="C1320" s="27" t="s">
        <v>2</v>
      </c>
      <c r="D1320" s="28">
        <f>B1320*VLOOKUP(C1320,tblXrate[],2,0)</f>
        <v>75000</v>
      </c>
      <c r="E1320" s="27" t="s">
        <v>23</v>
      </c>
      <c r="F1320" s="27" t="s">
        <v>5</v>
      </c>
      <c r="G1320" s="27" t="s">
        <v>2273</v>
      </c>
      <c r="H1320" s="27"/>
      <c r="I1320" s="27">
        <f>VLOOKUP(F1320,mapping!$L$2:$P$92,2,0)</f>
        <v>1</v>
      </c>
      <c r="J1320" s="27">
        <f>VLOOKUP($F1320,mapping!$L$2:$P$92,3,0)</f>
        <v>48386.69</v>
      </c>
      <c r="K1320" s="27" t="str">
        <f>VLOOKUP($F1320,mapping!$L$2:$P$92,4,0)</f>
        <v>Major Advanced Economies (G7)</v>
      </c>
      <c r="L1320" s="29">
        <f>$D1320*VLOOKUP($E1320,'Charts data'!$A$2:$B$11,2,0)*VLOOKUP($G1320,'Charts data'!$A$14:$B$18,2,0)/IF('Charts data'!$E$3=1,I1320,1)/IF('Charts data'!$E$4=1,J1320,1)</f>
        <v>75000</v>
      </c>
    </row>
    <row r="1321" spans="1:12" x14ac:dyDescent="0.25">
      <c r="A1321" s="27" t="s">
        <v>350</v>
      </c>
      <c r="B1321" s="27">
        <v>40000</v>
      </c>
      <c r="C1321" s="27" t="s">
        <v>2</v>
      </c>
      <c r="D1321" s="28">
        <f>B1321*VLOOKUP(C1321,tblXrate[],2,0)</f>
        <v>40000</v>
      </c>
      <c r="E1321" s="27" t="s">
        <v>7</v>
      </c>
      <c r="F1321" s="27" t="s">
        <v>5</v>
      </c>
      <c r="G1321" s="27" t="s">
        <v>2273</v>
      </c>
      <c r="H1321" s="27"/>
      <c r="I1321" s="27">
        <f>VLOOKUP(F1321,mapping!$L$2:$P$92,2,0)</f>
        <v>1</v>
      </c>
      <c r="J1321" s="27">
        <f>VLOOKUP($F1321,mapping!$L$2:$P$92,3,0)</f>
        <v>48386.69</v>
      </c>
      <c r="K1321" s="27" t="str">
        <f>VLOOKUP($F1321,mapping!$L$2:$P$92,4,0)</f>
        <v>Major Advanced Economies (G7)</v>
      </c>
      <c r="L1321" s="29">
        <f>$D1321*VLOOKUP($E1321,'Charts data'!$A$2:$B$11,2,0)*VLOOKUP($G1321,'Charts data'!$A$14:$B$18,2,0)/IF('Charts data'!$E$3=1,I1321,1)/IF('Charts data'!$E$4=1,J1321,1)</f>
        <v>40000</v>
      </c>
    </row>
    <row r="1322" spans="1:12" x14ac:dyDescent="0.25">
      <c r="A1322" s="27" t="s">
        <v>351</v>
      </c>
      <c r="B1322" s="27">
        <v>111680</v>
      </c>
      <c r="C1322" s="27" t="s">
        <v>2</v>
      </c>
      <c r="D1322" s="28">
        <f>B1322*VLOOKUP(C1322,tblXrate[],2,0)</f>
        <v>111680</v>
      </c>
      <c r="E1322" s="27" t="s">
        <v>7</v>
      </c>
      <c r="F1322" s="27" t="s">
        <v>5</v>
      </c>
      <c r="G1322" s="27" t="s">
        <v>2272</v>
      </c>
      <c r="H1322" s="27"/>
      <c r="I1322" s="27">
        <f>VLOOKUP(F1322,mapping!$L$2:$P$92,2,0)</f>
        <v>1</v>
      </c>
      <c r="J1322" s="27">
        <f>VLOOKUP($F1322,mapping!$L$2:$P$92,3,0)</f>
        <v>48386.69</v>
      </c>
      <c r="K1322" s="27" t="str">
        <f>VLOOKUP($F1322,mapping!$L$2:$P$92,4,0)</f>
        <v>Major Advanced Economies (G7)</v>
      </c>
      <c r="L1322" s="29">
        <f>$D1322*VLOOKUP($E1322,'Charts data'!$A$2:$B$11,2,0)*VLOOKUP($G1322,'Charts data'!$A$14:$B$18,2,0)/IF('Charts data'!$E$3=1,I1322,1)/IF('Charts data'!$E$4=1,J1322,1)</f>
        <v>111680</v>
      </c>
    </row>
    <row r="1323" spans="1:12" x14ac:dyDescent="0.25">
      <c r="A1323" s="27" t="s">
        <v>353</v>
      </c>
      <c r="B1323" s="27">
        <v>70000</v>
      </c>
      <c r="C1323" s="27" t="s">
        <v>2</v>
      </c>
      <c r="D1323" s="28">
        <f>B1323*VLOOKUP(C1323,tblXrate[],2,0)</f>
        <v>70000</v>
      </c>
      <c r="E1323" s="27" t="s">
        <v>19</v>
      </c>
      <c r="F1323" s="27" t="s">
        <v>5</v>
      </c>
      <c r="G1323" s="27" t="s">
        <v>2271</v>
      </c>
      <c r="H1323" s="27"/>
      <c r="I1323" s="27">
        <f>VLOOKUP(F1323,mapping!$L$2:$P$92,2,0)</f>
        <v>1</v>
      </c>
      <c r="J1323" s="27">
        <f>VLOOKUP($F1323,mapping!$L$2:$P$92,3,0)</f>
        <v>48386.69</v>
      </c>
      <c r="K1323" s="27" t="str">
        <f>VLOOKUP($F1323,mapping!$L$2:$P$92,4,0)</f>
        <v>Major Advanced Economies (G7)</v>
      </c>
      <c r="L1323" s="29">
        <f>$D1323*VLOOKUP($E1323,'Charts data'!$A$2:$B$11,2,0)*VLOOKUP($G1323,'Charts data'!$A$14:$B$18,2,0)/IF('Charts data'!$E$3=1,I1323,1)/IF('Charts data'!$E$4=1,J1323,1)</f>
        <v>70000</v>
      </c>
    </row>
    <row r="1324" spans="1:12" x14ac:dyDescent="0.25">
      <c r="A1324" s="27" t="s">
        <v>354</v>
      </c>
      <c r="B1324" s="27">
        <v>40700</v>
      </c>
      <c r="C1324" s="27" t="s">
        <v>2</v>
      </c>
      <c r="D1324" s="28">
        <f>B1324*VLOOKUP(C1324,tblXrate[],2,0)</f>
        <v>40700</v>
      </c>
      <c r="E1324" s="27" t="s">
        <v>7</v>
      </c>
      <c r="F1324" s="27" t="s">
        <v>5</v>
      </c>
      <c r="G1324" s="27" t="s">
        <v>2274</v>
      </c>
      <c r="H1324" s="27"/>
      <c r="I1324" s="27">
        <f>VLOOKUP(F1324,mapping!$L$2:$P$92,2,0)</f>
        <v>1</v>
      </c>
      <c r="J1324" s="27">
        <f>VLOOKUP($F1324,mapping!$L$2:$P$92,3,0)</f>
        <v>48386.69</v>
      </c>
      <c r="K1324" s="27" t="str">
        <f>VLOOKUP($F1324,mapping!$L$2:$P$92,4,0)</f>
        <v>Major Advanced Economies (G7)</v>
      </c>
      <c r="L1324" s="29">
        <f>$D1324*VLOOKUP($E1324,'Charts data'!$A$2:$B$11,2,0)*VLOOKUP($G1324,'Charts data'!$A$14:$B$18,2,0)/IF('Charts data'!$E$3=1,I1324,1)/IF('Charts data'!$E$4=1,J1324,1)</f>
        <v>40700</v>
      </c>
    </row>
    <row r="1325" spans="1:12" x14ac:dyDescent="0.25">
      <c r="A1325" s="27" t="s">
        <v>355</v>
      </c>
      <c r="B1325" s="27">
        <v>40000</v>
      </c>
      <c r="C1325" s="27" t="s">
        <v>2</v>
      </c>
      <c r="D1325" s="28">
        <f>B1325*VLOOKUP(C1325,tblXrate[],2,0)</f>
        <v>40000</v>
      </c>
      <c r="E1325" s="27" t="s">
        <v>7</v>
      </c>
      <c r="F1325" s="27" t="s">
        <v>5</v>
      </c>
      <c r="G1325" s="27" t="s">
        <v>2271</v>
      </c>
      <c r="H1325" s="27"/>
      <c r="I1325" s="27">
        <f>VLOOKUP(F1325,mapping!$L$2:$P$92,2,0)</f>
        <v>1</v>
      </c>
      <c r="J1325" s="27">
        <f>VLOOKUP($F1325,mapping!$L$2:$P$92,3,0)</f>
        <v>48386.69</v>
      </c>
      <c r="K1325" s="27" t="str">
        <f>VLOOKUP($F1325,mapping!$L$2:$P$92,4,0)</f>
        <v>Major Advanced Economies (G7)</v>
      </c>
      <c r="L1325" s="29">
        <f>$D1325*VLOOKUP($E1325,'Charts data'!$A$2:$B$11,2,0)*VLOOKUP($G1325,'Charts data'!$A$14:$B$18,2,0)/IF('Charts data'!$E$3=1,I1325,1)/IF('Charts data'!$E$4=1,J1325,1)</f>
        <v>40000</v>
      </c>
    </row>
    <row r="1326" spans="1:12" x14ac:dyDescent="0.25">
      <c r="A1326" s="27" t="s">
        <v>356</v>
      </c>
      <c r="B1326" s="27">
        <v>60000</v>
      </c>
      <c r="C1326" s="27" t="s">
        <v>2</v>
      </c>
      <c r="D1326" s="28">
        <f>B1326*VLOOKUP(C1326,tblXrate[],2,0)</f>
        <v>60000</v>
      </c>
      <c r="E1326" s="27" t="s">
        <v>51</v>
      </c>
      <c r="F1326" s="27" t="s">
        <v>5</v>
      </c>
      <c r="G1326" s="27" t="s">
        <v>2271</v>
      </c>
      <c r="H1326" s="27"/>
      <c r="I1326" s="27">
        <f>VLOOKUP(F1326,mapping!$L$2:$P$92,2,0)</f>
        <v>1</v>
      </c>
      <c r="J1326" s="27">
        <f>VLOOKUP($F1326,mapping!$L$2:$P$92,3,0)</f>
        <v>48386.69</v>
      </c>
      <c r="K1326" s="27" t="str">
        <f>VLOOKUP($F1326,mapping!$L$2:$P$92,4,0)</f>
        <v>Major Advanced Economies (G7)</v>
      </c>
      <c r="L1326" s="29">
        <f>$D1326*VLOOKUP($E1326,'Charts data'!$A$2:$B$11,2,0)*VLOOKUP($G1326,'Charts data'!$A$14:$B$18,2,0)/IF('Charts data'!$E$3=1,I1326,1)/IF('Charts data'!$E$4=1,J1326,1)</f>
        <v>60000</v>
      </c>
    </row>
    <row r="1327" spans="1:12" x14ac:dyDescent="0.25">
      <c r="A1327" s="27" t="s">
        <v>359</v>
      </c>
      <c r="B1327" s="27">
        <v>80000</v>
      </c>
      <c r="C1327" s="27" t="s">
        <v>2</v>
      </c>
      <c r="D1327" s="28">
        <f>B1327*VLOOKUP(C1327,tblXrate[],2,0)</f>
        <v>80000</v>
      </c>
      <c r="E1327" s="27" t="s">
        <v>19</v>
      </c>
      <c r="F1327" s="27" t="s">
        <v>5</v>
      </c>
      <c r="G1327" s="27" t="s">
        <v>2272</v>
      </c>
      <c r="H1327" s="27"/>
      <c r="I1327" s="27">
        <f>VLOOKUP(F1327,mapping!$L$2:$P$92,2,0)</f>
        <v>1</v>
      </c>
      <c r="J1327" s="27">
        <f>VLOOKUP($F1327,mapping!$L$2:$P$92,3,0)</f>
        <v>48386.69</v>
      </c>
      <c r="K1327" s="27" t="str">
        <f>VLOOKUP($F1327,mapping!$L$2:$P$92,4,0)</f>
        <v>Major Advanced Economies (G7)</v>
      </c>
      <c r="L1327" s="29">
        <f>$D1327*VLOOKUP($E1327,'Charts data'!$A$2:$B$11,2,0)*VLOOKUP($G1327,'Charts data'!$A$14:$B$18,2,0)/IF('Charts data'!$E$3=1,I1327,1)/IF('Charts data'!$E$4=1,J1327,1)</f>
        <v>80000</v>
      </c>
    </row>
    <row r="1328" spans="1:12" x14ac:dyDescent="0.25">
      <c r="A1328" s="27" t="s">
        <v>361</v>
      </c>
      <c r="B1328" s="27">
        <v>28000</v>
      </c>
      <c r="C1328" s="27" t="s">
        <v>2</v>
      </c>
      <c r="D1328" s="28">
        <f>B1328*VLOOKUP(C1328,tblXrate[],2,0)</f>
        <v>28000</v>
      </c>
      <c r="E1328" s="27" t="s">
        <v>7</v>
      </c>
      <c r="F1328" s="27" t="s">
        <v>5</v>
      </c>
      <c r="G1328" s="27" t="s">
        <v>2271</v>
      </c>
      <c r="H1328" s="27"/>
      <c r="I1328" s="27">
        <f>VLOOKUP(F1328,mapping!$L$2:$P$92,2,0)</f>
        <v>1</v>
      </c>
      <c r="J1328" s="27">
        <f>VLOOKUP($F1328,mapping!$L$2:$P$92,3,0)</f>
        <v>48386.69</v>
      </c>
      <c r="K1328" s="27" t="str">
        <f>VLOOKUP($F1328,mapping!$L$2:$P$92,4,0)</f>
        <v>Major Advanced Economies (G7)</v>
      </c>
      <c r="L1328" s="29">
        <f>$D1328*VLOOKUP($E1328,'Charts data'!$A$2:$B$11,2,0)*VLOOKUP($G1328,'Charts data'!$A$14:$B$18,2,0)/IF('Charts data'!$E$3=1,I1328,1)/IF('Charts data'!$E$4=1,J1328,1)</f>
        <v>28000</v>
      </c>
    </row>
    <row r="1329" spans="1:12" x14ac:dyDescent="0.25">
      <c r="A1329" s="27" t="s">
        <v>362</v>
      </c>
      <c r="B1329" s="27">
        <v>60000</v>
      </c>
      <c r="C1329" s="27" t="s">
        <v>2</v>
      </c>
      <c r="D1329" s="28">
        <f>B1329*VLOOKUP(C1329,tblXrate[],2,0)</f>
        <v>60000</v>
      </c>
      <c r="E1329" s="27" t="s">
        <v>7</v>
      </c>
      <c r="F1329" s="27" t="s">
        <v>5</v>
      </c>
      <c r="G1329" s="27" t="s">
        <v>2271</v>
      </c>
      <c r="H1329" s="27"/>
      <c r="I1329" s="27">
        <f>VLOOKUP(F1329,mapping!$L$2:$P$92,2,0)</f>
        <v>1</v>
      </c>
      <c r="J1329" s="27">
        <f>VLOOKUP($F1329,mapping!$L$2:$P$92,3,0)</f>
        <v>48386.69</v>
      </c>
      <c r="K1329" s="27" t="str">
        <f>VLOOKUP($F1329,mapping!$L$2:$P$92,4,0)</f>
        <v>Major Advanced Economies (G7)</v>
      </c>
      <c r="L1329" s="29">
        <f>$D1329*VLOOKUP($E1329,'Charts data'!$A$2:$B$11,2,0)*VLOOKUP($G1329,'Charts data'!$A$14:$B$18,2,0)/IF('Charts data'!$E$3=1,I1329,1)/IF('Charts data'!$E$4=1,J1329,1)</f>
        <v>60000</v>
      </c>
    </row>
    <row r="1330" spans="1:12" x14ac:dyDescent="0.25">
      <c r="A1330" s="27" t="s">
        <v>363</v>
      </c>
      <c r="B1330" s="27">
        <v>96000</v>
      </c>
      <c r="C1330" s="27" t="s">
        <v>2</v>
      </c>
      <c r="D1330" s="28">
        <f>B1330*VLOOKUP(C1330,tblXrate[],2,0)</f>
        <v>96000</v>
      </c>
      <c r="E1330" s="27" t="s">
        <v>23</v>
      </c>
      <c r="F1330" s="27" t="s">
        <v>5</v>
      </c>
      <c r="G1330" s="27" t="s">
        <v>2272</v>
      </c>
      <c r="H1330" s="27"/>
      <c r="I1330" s="27">
        <f>VLOOKUP(F1330,mapping!$L$2:$P$92,2,0)</f>
        <v>1</v>
      </c>
      <c r="J1330" s="27">
        <f>VLOOKUP($F1330,mapping!$L$2:$P$92,3,0)</f>
        <v>48386.69</v>
      </c>
      <c r="K1330" s="27" t="str">
        <f>VLOOKUP($F1330,mapping!$L$2:$P$92,4,0)</f>
        <v>Major Advanced Economies (G7)</v>
      </c>
      <c r="L1330" s="29">
        <f>$D1330*VLOOKUP($E1330,'Charts data'!$A$2:$B$11,2,0)*VLOOKUP($G1330,'Charts data'!$A$14:$B$18,2,0)/IF('Charts data'!$E$3=1,I1330,1)/IF('Charts data'!$E$4=1,J1330,1)</f>
        <v>96000</v>
      </c>
    </row>
    <row r="1331" spans="1:12" x14ac:dyDescent="0.25">
      <c r="A1331" s="27" t="s">
        <v>364</v>
      </c>
      <c r="B1331" s="27">
        <v>67000</v>
      </c>
      <c r="C1331" s="27" t="s">
        <v>2</v>
      </c>
      <c r="D1331" s="28">
        <f>B1331*VLOOKUP(C1331,tblXrate[],2,0)</f>
        <v>67000</v>
      </c>
      <c r="E1331" s="27" t="s">
        <v>7</v>
      </c>
      <c r="F1331" s="27" t="s">
        <v>5</v>
      </c>
      <c r="G1331" s="27" t="s">
        <v>2271</v>
      </c>
      <c r="H1331" s="27"/>
      <c r="I1331" s="27">
        <f>VLOOKUP(F1331,mapping!$L$2:$P$92,2,0)</f>
        <v>1</v>
      </c>
      <c r="J1331" s="27">
        <f>VLOOKUP($F1331,mapping!$L$2:$P$92,3,0)</f>
        <v>48386.69</v>
      </c>
      <c r="K1331" s="27" t="str">
        <f>VLOOKUP($F1331,mapping!$L$2:$P$92,4,0)</f>
        <v>Major Advanced Economies (G7)</v>
      </c>
      <c r="L1331" s="29">
        <f>$D1331*VLOOKUP($E1331,'Charts data'!$A$2:$B$11,2,0)*VLOOKUP($G1331,'Charts data'!$A$14:$B$18,2,0)/IF('Charts data'!$E$3=1,I1331,1)/IF('Charts data'!$E$4=1,J1331,1)</f>
        <v>67000</v>
      </c>
    </row>
    <row r="1332" spans="1:12" x14ac:dyDescent="0.25">
      <c r="A1332" s="27" t="s">
        <v>365</v>
      </c>
      <c r="B1332" s="27">
        <v>70000</v>
      </c>
      <c r="C1332" s="27" t="s">
        <v>2</v>
      </c>
      <c r="D1332" s="28">
        <f>B1332*VLOOKUP(C1332,tblXrate[],2,0)</f>
        <v>70000</v>
      </c>
      <c r="E1332" s="27" t="s">
        <v>7</v>
      </c>
      <c r="F1332" s="27" t="s">
        <v>5</v>
      </c>
      <c r="G1332" s="27" t="s">
        <v>2271</v>
      </c>
      <c r="H1332" s="27"/>
      <c r="I1332" s="27">
        <f>VLOOKUP(F1332,mapping!$L$2:$P$92,2,0)</f>
        <v>1</v>
      </c>
      <c r="J1332" s="27">
        <f>VLOOKUP($F1332,mapping!$L$2:$P$92,3,0)</f>
        <v>48386.69</v>
      </c>
      <c r="K1332" s="27" t="str">
        <f>VLOOKUP($F1332,mapping!$L$2:$P$92,4,0)</f>
        <v>Major Advanced Economies (G7)</v>
      </c>
      <c r="L1332" s="29">
        <f>$D1332*VLOOKUP($E1332,'Charts data'!$A$2:$B$11,2,0)*VLOOKUP($G1332,'Charts data'!$A$14:$B$18,2,0)/IF('Charts data'!$E$3=1,I1332,1)/IF('Charts data'!$E$4=1,J1332,1)</f>
        <v>70000</v>
      </c>
    </row>
    <row r="1333" spans="1:12" x14ac:dyDescent="0.25">
      <c r="A1333" s="27" t="s">
        <v>367</v>
      </c>
      <c r="B1333" s="27">
        <v>99000</v>
      </c>
      <c r="C1333" s="27" t="s">
        <v>2</v>
      </c>
      <c r="D1333" s="28">
        <f>B1333*VLOOKUP(C1333,tblXrate[],2,0)</f>
        <v>99000</v>
      </c>
      <c r="E1333" s="27" t="s">
        <v>62</v>
      </c>
      <c r="F1333" s="27" t="s">
        <v>5</v>
      </c>
      <c r="G1333" s="27" t="s">
        <v>2271</v>
      </c>
      <c r="H1333" s="27"/>
      <c r="I1333" s="27">
        <f>VLOOKUP(F1333,mapping!$L$2:$P$92,2,0)</f>
        <v>1</v>
      </c>
      <c r="J1333" s="27">
        <f>VLOOKUP($F1333,mapping!$L$2:$P$92,3,0)</f>
        <v>48386.69</v>
      </c>
      <c r="K1333" s="27" t="str">
        <f>VLOOKUP($F1333,mapping!$L$2:$P$92,4,0)</f>
        <v>Major Advanced Economies (G7)</v>
      </c>
      <c r="L1333" s="29">
        <f>$D1333*VLOOKUP($E1333,'Charts data'!$A$2:$B$11,2,0)*VLOOKUP($G1333,'Charts data'!$A$14:$B$18,2,0)/IF('Charts data'!$E$3=1,I1333,1)/IF('Charts data'!$E$4=1,J1333,1)</f>
        <v>99000</v>
      </c>
    </row>
    <row r="1334" spans="1:12" x14ac:dyDescent="0.25">
      <c r="A1334" s="27" t="s">
        <v>368</v>
      </c>
      <c r="B1334" s="27">
        <v>90000</v>
      </c>
      <c r="C1334" s="27" t="s">
        <v>2</v>
      </c>
      <c r="D1334" s="28">
        <f>B1334*VLOOKUP(C1334,tblXrate[],2,0)</f>
        <v>90000</v>
      </c>
      <c r="E1334" s="27" t="s">
        <v>19</v>
      </c>
      <c r="F1334" s="27" t="s">
        <v>5</v>
      </c>
      <c r="G1334" s="27" t="s">
        <v>2272</v>
      </c>
      <c r="H1334" s="27"/>
      <c r="I1334" s="27">
        <f>VLOOKUP(F1334,mapping!$L$2:$P$92,2,0)</f>
        <v>1</v>
      </c>
      <c r="J1334" s="27">
        <f>VLOOKUP($F1334,mapping!$L$2:$P$92,3,0)</f>
        <v>48386.69</v>
      </c>
      <c r="K1334" s="27" t="str">
        <f>VLOOKUP($F1334,mapping!$L$2:$P$92,4,0)</f>
        <v>Major Advanced Economies (G7)</v>
      </c>
      <c r="L1334" s="29">
        <f>$D1334*VLOOKUP($E1334,'Charts data'!$A$2:$B$11,2,0)*VLOOKUP($G1334,'Charts data'!$A$14:$B$18,2,0)/IF('Charts data'!$E$3=1,I1334,1)/IF('Charts data'!$E$4=1,J1334,1)</f>
        <v>90000</v>
      </c>
    </row>
    <row r="1335" spans="1:12" x14ac:dyDescent="0.25">
      <c r="A1335" s="27" t="s">
        <v>371</v>
      </c>
      <c r="B1335" s="27">
        <v>51000</v>
      </c>
      <c r="C1335" s="27" t="s">
        <v>2</v>
      </c>
      <c r="D1335" s="28">
        <f>B1335*VLOOKUP(C1335,tblXrate[],2,0)</f>
        <v>51000</v>
      </c>
      <c r="E1335" s="27" t="s">
        <v>19</v>
      </c>
      <c r="F1335" s="27" t="s">
        <v>5</v>
      </c>
      <c r="G1335" s="27" t="s">
        <v>2271</v>
      </c>
      <c r="H1335" s="27"/>
      <c r="I1335" s="27">
        <f>VLOOKUP(F1335,mapping!$L$2:$P$92,2,0)</f>
        <v>1</v>
      </c>
      <c r="J1335" s="27">
        <f>VLOOKUP($F1335,mapping!$L$2:$P$92,3,0)</f>
        <v>48386.69</v>
      </c>
      <c r="K1335" s="27" t="str">
        <f>VLOOKUP($F1335,mapping!$L$2:$P$92,4,0)</f>
        <v>Major Advanced Economies (G7)</v>
      </c>
      <c r="L1335" s="29">
        <f>$D1335*VLOOKUP($E1335,'Charts data'!$A$2:$B$11,2,0)*VLOOKUP($G1335,'Charts data'!$A$14:$B$18,2,0)/IF('Charts data'!$E$3=1,I1335,1)/IF('Charts data'!$E$4=1,J1335,1)</f>
        <v>51000</v>
      </c>
    </row>
    <row r="1336" spans="1:12" x14ac:dyDescent="0.25">
      <c r="A1336" s="27" t="s">
        <v>372</v>
      </c>
      <c r="B1336" s="27">
        <v>100000</v>
      </c>
      <c r="C1336" s="27" t="s">
        <v>2</v>
      </c>
      <c r="D1336" s="28">
        <f>B1336*VLOOKUP(C1336,tblXrate[],2,0)</f>
        <v>100000</v>
      </c>
      <c r="E1336" s="27" t="s">
        <v>19</v>
      </c>
      <c r="F1336" s="27" t="s">
        <v>5</v>
      </c>
      <c r="G1336" s="27" t="s">
        <v>2273</v>
      </c>
      <c r="H1336" s="27"/>
      <c r="I1336" s="27">
        <f>VLOOKUP(F1336,mapping!$L$2:$P$92,2,0)</f>
        <v>1</v>
      </c>
      <c r="J1336" s="27">
        <f>VLOOKUP($F1336,mapping!$L$2:$P$92,3,0)</f>
        <v>48386.69</v>
      </c>
      <c r="K1336" s="27" t="str">
        <f>VLOOKUP($F1336,mapping!$L$2:$P$92,4,0)</f>
        <v>Major Advanced Economies (G7)</v>
      </c>
      <c r="L1336" s="29">
        <f>$D1336*VLOOKUP($E1336,'Charts data'!$A$2:$B$11,2,0)*VLOOKUP($G1336,'Charts data'!$A$14:$B$18,2,0)/IF('Charts data'!$E$3=1,I1336,1)/IF('Charts data'!$E$4=1,J1336,1)</f>
        <v>100000</v>
      </c>
    </row>
    <row r="1337" spans="1:12" x14ac:dyDescent="0.25">
      <c r="A1337" s="27" t="s">
        <v>376</v>
      </c>
      <c r="B1337" s="27">
        <v>108160</v>
      </c>
      <c r="C1337" s="27" t="s">
        <v>2</v>
      </c>
      <c r="D1337" s="28">
        <f>B1337*VLOOKUP(C1337,tblXrate[],2,0)</f>
        <v>108160</v>
      </c>
      <c r="E1337" s="27" t="s">
        <v>7</v>
      </c>
      <c r="F1337" s="27" t="s">
        <v>5</v>
      </c>
      <c r="G1337" s="27" t="s">
        <v>2271</v>
      </c>
      <c r="H1337" s="27"/>
      <c r="I1337" s="27">
        <f>VLOOKUP(F1337,mapping!$L$2:$P$92,2,0)</f>
        <v>1</v>
      </c>
      <c r="J1337" s="27">
        <f>VLOOKUP($F1337,mapping!$L$2:$P$92,3,0)</f>
        <v>48386.69</v>
      </c>
      <c r="K1337" s="27" t="str">
        <f>VLOOKUP($F1337,mapping!$L$2:$P$92,4,0)</f>
        <v>Major Advanced Economies (G7)</v>
      </c>
      <c r="L1337" s="29">
        <f>$D1337*VLOOKUP($E1337,'Charts data'!$A$2:$B$11,2,0)*VLOOKUP($G1337,'Charts data'!$A$14:$B$18,2,0)/IF('Charts data'!$E$3=1,I1337,1)/IF('Charts data'!$E$4=1,J1337,1)</f>
        <v>108160</v>
      </c>
    </row>
    <row r="1338" spans="1:12" x14ac:dyDescent="0.25">
      <c r="A1338" s="27" t="s">
        <v>377</v>
      </c>
      <c r="B1338" s="27">
        <v>50000</v>
      </c>
      <c r="C1338" s="27" t="s">
        <v>2</v>
      </c>
      <c r="D1338" s="28">
        <f>B1338*VLOOKUP(C1338,tblXrate[],2,0)</f>
        <v>50000</v>
      </c>
      <c r="E1338" s="27" t="s">
        <v>19</v>
      </c>
      <c r="F1338" s="27" t="s">
        <v>5</v>
      </c>
      <c r="G1338" s="27" t="s">
        <v>2271</v>
      </c>
      <c r="H1338" s="27"/>
      <c r="I1338" s="27">
        <f>VLOOKUP(F1338,mapping!$L$2:$P$92,2,0)</f>
        <v>1</v>
      </c>
      <c r="J1338" s="27">
        <f>VLOOKUP($F1338,mapping!$L$2:$P$92,3,0)</f>
        <v>48386.69</v>
      </c>
      <c r="K1338" s="27" t="str">
        <f>VLOOKUP($F1338,mapping!$L$2:$P$92,4,0)</f>
        <v>Major Advanced Economies (G7)</v>
      </c>
      <c r="L1338" s="29">
        <f>$D1338*VLOOKUP($E1338,'Charts data'!$A$2:$B$11,2,0)*VLOOKUP($G1338,'Charts data'!$A$14:$B$18,2,0)/IF('Charts data'!$E$3=1,I1338,1)/IF('Charts data'!$E$4=1,J1338,1)</f>
        <v>50000</v>
      </c>
    </row>
    <row r="1339" spans="1:12" x14ac:dyDescent="0.25">
      <c r="A1339" s="27" t="s">
        <v>378</v>
      </c>
      <c r="B1339" s="27">
        <v>400000</v>
      </c>
      <c r="C1339" s="27" t="s">
        <v>2</v>
      </c>
      <c r="D1339" s="28">
        <f>B1339*VLOOKUP(C1339,tblXrate[],2,0)</f>
        <v>400000</v>
      </c>
      <c r="E1339" s="27" t="s">
        <v>19</v>
      </c>
      <c r="F1339" s="27" t="s">
        <v>5</v>
      </c>
      <c r="G1339" s="27" t="s">
        <v>2274</v>
      </c>
      <c r="H1339" s="27"/>
      <c r="I1339" s="27">
        <f>VLOOKUP(F1339,mapping!$L$2:$P$92,2,0)</f>
        <v>1</v>
      </c>
      <c r="J1339" s="27">
        <f>VLOOKUP($F1339,mapping!$L$2:$P$92,3,0)</f>
        <v>48386.69</v>
      </c>
      <c r="K1339" s="27" t="str">
        <f>VLOOKUP($F1339,mapping!$L$2:$P$92,4,0)</f>
        <v>Major Advanced Economies (G7)</v>
      </c>
      <c r="L1339" s="29">
        <f>$D1339*VLOOKUP($E1339,'Charts data'!$A$2:$B$11,2,0)*VLOOKUP($G1339,'Charts data'!$A$14:$B$18,2,0)/IF('Charts data'!$E$3=1,I1339,1)/IF('Charts data'!$E$4=1,J1339,1)</f>
        <v>400000</v>
      </c>
    </row>
    <row r="1340" spans="1:12" x14ac:dyDescent="0.25">
      <c r="A1340" s="27" t="s">
        <v>379</v>
      </c>
      <c r="B1340" s="27">
        <v>43000</v>
      </c>
      <c r="C1340" s="27" t="s">
        <v>2</v>
      </c>
      <c r="D1340" s="28">
        <f>B1340*VLOOKUP(C1340,tblXrate[],2,0)</f>
        <v>43000</v>
      </c>
      <c r="E1340" s="27" t="s">
        <v>7</v>
      </c>
      <c r="F1340" s="27" t="s">
        <v>5</v>
      </c>
      <c r="G1340" s="27" t="s">
        <v>2273</v>
      </c>
      <c r="H1340" s="27"/>
      <c r="I1340" s="27">
        <f>VLOOKUP(F1340,mapping!$L$2:$P$92,2,0)</f>
        <v>1</v>
      </c>
      <c r="J1340" s="27">
        <f>VLOOKUP($F1340,mapping!$L$2:$P$92,3,0)</f>
        <v>48386.69</v>
      </c>
      <c r="K1340" s="27" t="str">
        <f>VLOOKUP($F1340,mapping!$L$2:$P$92,4,0)</f>
        <v>Major Advanced Economies (G7)</v>
      </c>
      <c r="L1340" s="29">
        <f>$D1340*VLOOKUP($E1340,'Charts data'!$A$2:$B$11,2,0)*VLOOKUP($G1340,'Charts data'!$A$14:$B$18,2,0)/IF('Charts data'!$E$3=1,I1340,1)/IF('Charts data'!$E$4=1,J1340,1)</f>
        <v>43000</v>
      </c>
    </row>
    <row r="1341" spans="1:12" x14ac:dyDescent="0.25">
      <c r="A1341" s="27" t="s">
        <v>381</v>
      </c>
      <c r="B1341" s="27">
        <v>41000</v>
      </c>
      <c r="C1341" s="27" t="s">
        <v>2</v>
      </c>
      <c r="D1341" s="28">
        <f>B1341*VLOOKUP(C1341,tblXrate[],2,0)</f>
        <v>41000</v>
      </c>
      <c r="E1341" s="27" t="s">
        <v>19</v>
      </c>
      <c r="F1341" s="27" t="s">
        <v>5</v>
      </c>
      <c r="G1341" s="27" t="s">
        <v>2273</v>
      </c>
      <c r="H1341" s="27"/>
      <c r="I1341" s="27">
        <f>VLOOKUP(F1341,mapping!$L$2:$P$92,2,0)</f>
        <v>1</v>
      </c>
      <c r="J1341" s="27">
        <f>VLOOKUP($F1341,mapping!$L$2:$P$92,3,0)</f>
        <v>48386.69</v>
      </c>
      <c r="K1341" s="27" t="str">
        <f>VLOOKUP($F1341,mapping!$L$2:$P$92,4,0)</f>
        <v>Major Advanced Economies (G7)</v>
      </c>
      <c r="L1341" s="29">
        <f>$D1341*VLOOKUP($E1341,'Charts data'!$A$2:$B$11,2,0)*VLOOKUP($G1341,'Charts data'!$A$14:$B$18,2,0)/IF('Charts data'!$E$3=1,I1341,1)/IF('Charts data'!$E$4=1,J1341,1)</f>
        <v>41000</v>
      </c>
    </row>
    <row r="1342" spans="1:12" x14ac:dyDescent="0.25">
      <c r="A1342" s="27" t="s">
        <v>382</v>
      </c>
      <c r="B1342" s="27">
        <v>100000</v>
      </c>
      <c r="C1342" s="27" t="s">
        <v>2</v>
      </c>
      <c r="D1342" s="28">
        <f>B1342*VLOOKUP(C1342,tblXrate[],2,0)</f>
        <v>100000</v>
      </c>
      <c r="E1342" s="27" t="s">
        <v>2147</v>
      </c>
      <c r="F1342" s="27" t="s">
        <v>5</v>
      </c>
      <c r="G1342" s="27" t="s">
        <v>2271</v>
      </c>
      <c r="H1342" s="27"/>
      <c r="I1342" s="27">
        <f>VLOOKUP(F1342,mapping!$L$2:$P$92,2,0)</f>
        <v>1</v>
      </c>
      <c r="J1342" s="27">
        <f>VLOOKUP($F1342,mapping!$L$2:$P$92,3,0)</f>
        <v>48386.69</v>
      </c>
      <c r="K1342" s="27" t="str">
        <f>VLOOKUP($F1342,mapping!$L$2:$P$92,4,0)</f>
        <v>Major Advanced Economies (G7)</v>
      </c>
      <c r="L1342" s="29">
        <f>$D1342*VLOOKUP($E1342,'Charts data'!$A$2:$B$11,2,0)*VLOOKUP($G1342,'Charts data'!$A$14:$B$18,2,0)/IF('Charts data'!$E$3=1,I1342,1)/IF('Charts data'!$E$4=1,J1342,1)</f>
        <v>100000</v>
      </c>
    </row>
    <row r="1343" spans="1:12" x14ac:dyDescent="0.25">
      <c r="A1343" s="27" t="s">
        <v>383</v>
      </c>
      <c r="B1343" s="27">
        <v>42140</v>
      </c>
      <c r="C1343" s="27" t="s">
        <v>2</v>
      </c>
      <c r="D1343" s="28">
        <f>B1343*VLOOKUP(C1343,tblXrate[],2,0)</f>
        <v>42140</v>
      </c>
      <c r="E1343" s="27" t="s">
        <v>7</v>
      </c>
      <c r="F1343" s="27" t="s">
        <v>5</v>
      </c>
      <c r="G1343" s="27" t="s">
        <v>2271</v>
      </c>
      <c r="H1343" s="27"/>
      <c r="I1343" s="27">
        <f>VLOOKUP(F1343,mapping!$L$2:$P$92,2,0)</f>
        <v>1</v>
      </c>
      <c r="J1343" s="27">
        <f>VLOOKUP($F1343,mapping!$L$2:$P$92,3,0)</f>
        <v>48386.69</v>
      </c>
      <c r="K1343" s="27" t="str">
        <f>VLOOKUP($F1343,mapping!$L$2:$P$92,4,0)</f>
        <v>Major Advanced Economies (G7)</v>
      </c>
      <c r="L1343" s="29">
        <f>$D1343*VLOOKUP($E1343,'Charts data'!$A$2:$B$11,2,0)*VLOOKUP($G1343,'Charts data'!$A$14:$B$18,2,0)/IF('Charts data'!$E$3=1,I1343,1)/IF('Charts data'!$E$4=1,J1343,1)</f>
        <v>42140</v>
      </c>
    </row>
    <row r="1344" spans="1:12" x14ac:dyDescent="0.25">
      <c r="A1344" s="27" t="s">
        <v>384</v>
      </c>
      <c r="B1344" s="27">
        <v>80000</v>
      </c>
      <c r="C1344" s="27" t="s">
        <v>2</v>
      </c>
      <c r="D1344" s="28">
        <f>B1344*VLOOKUP(C1344,tblXrate[],2,0)</f>
        <v>80000</v>
      </c>
      <c r="E1344" s="27" t="s">
        <v>7</v>
      </c>
      <c r="F1344" s="27" t="s">
        <v>5</v>
      </c>
      <c r="G1344" s="27" t="s">
        <v>2271</v>
      </c>
      <c r="H1344" s="27"/>
      <c r="I1344" s="27">
        <f>VLOOKUP(F1344,mapping!$L$2:$P$92,2,0)</f>
        <v>1</v>
      </c>
      <c r="J1344" s="27">
        <f>VLOOKUP($F1344,mapping!$L$2:$P$92,3,0)</f>
        <v>48386.69</v>
      </c>
      <c r="K1344" s="27" t="str">
        <f>VLOOKUP($F1344,mapping!$L$2:$P$92,4,0)</f>
        <v>Major Advanced Economies (G7)</v>
      </c>
      <c r="L1344" s="29">
        <f>$D1344*VLOOKUP($E1344,'Charts data'!$A$2:$B$11,2,0)*VLOOKUP($G1344,'Charts data'!$A$14:$B$18,2,0)/IF('Charts data'!$E$3=1,I1344,1)/IF('Charts data'!$E$4=1,J1344,1)</f>
        <v>80000</v>
      </c>
    </row>
    <row r="1345" spans="1:12" x14ac:dyDescent="0.25">
      <c r="A1345" s="27" t="s">
        <v>385</v>
      </c>
      <c r="B1345" s="27">
        <v>41600</v>
      </c>
      <c r="C1345" s="27" t="s">
        <v>2</v>
      </c>
      <c r="D1345" s="28">
        <f>B1345*VLOOKUP(C1345,tblXrate[],2,0)</f>
        <v>41600</v>
      </c>
      <c r="E1345" s="27" t="s">
        <v>19</v>
      </c>
      <c r="F1345" s="27" t="s">
        <v>5</v>
      </c>
      <c r="G1345" s="27" t="s">
        <v>2271</v>
      </c>
      <c r="H1345" s="27"/>
      <c r="I1345" s="27">
        <f>VLOOKUP(F1345,mapping!$L$2:$P$92,2,0)</f>
        <v>1</v>
      </c>
      <c r="J1345" s="27">
        <f>VLOOKUP($F1345,mapping!$L$2:$P$92,3,0)</f>
        <v>48386.69</v>
      </c>
      <c r="K1345" s="27" t="str">
        <f>VLOOKUP($F1345,mapping!$L$2:$P$92,4,0)</f>
        <v>Major Advanced Economies (G7)</v>
      </c>
      <c r="L1345" s="29">
        <f>$D1345*VLOOKUP($E1345,'Charts data'!$A$2:$B$11,2,0)*VLOOKUP($G1345,'Charts data'!$A$14:$B$18,2,0)/IF('Charts data'!$E$3=1,I1345,1)/IF('Charts data'!$E$4=1,J1345,1)</f>
        <v>41600</v>
      </c>
    </row>
    <row r="1346" spans="1:12" x14ac:dyDescent="0.25">
      <c r="A1346" s="27" t="s">
        <v>386</v>
      </c>
      <c r="B1346" s="27">
        <v>45000</v>
      </c>
      <c r="C1346" s="27" t="s">
        <v>2</v>
      </c>
      <c r="D1346" s="28">
        <f>B1346*VLOOKUP(C1346,tblXrate[],2,0)</f>
        <v>45000</v>
      </c>
      <c r="E1346" s="27" t="s">
        <v>51</v>
      </c>
      <c r="F1346" s="27" t="s">
        <v>5</v>
      </c>
      <c r="G1346" s="27" t="s">
        <v>2272</v>
      </c>
      <c r="H1346" s="27"/>
      <c r="I1346" s="27">
        <f>VLOOKUP(F1346,mapping!$L$2:$P$92,2,0)</f>
        <v>1</v>
      </c>
      <c r="J1346" s="27">
        <f>VLOOKUP($F1346,mapping!$L$2:$P$92,3,0)</f>
        <v>48386.69</v>
      </c>
      <c r="K1346" s="27" t="str">
        <f>VLOOKUP($F1346,mapping!$L$2:$P$92,4,0)</f>
        <v>Major Advanced Economies (G7)</v>
      </c>
      <c r="L1346" s="29">
        <f>$D1346*VLOOKUP($E1346,'Charts data'!$A$2:$B$11,2,0)*VLOOKUP($G1346,'Charts data'!$A$14:$B$18,2,0)/IF('Charts data'!$E$3=1,I1346,1)/IF('Charts data'!$E$4=1,J1346,1)</f>
        <v>45000</v>
      </c>
    </row>
    <row r="1347" spans="1:12" x14ac:dyDescent="0.25">
      <c r="A1347" s="27" t="s">
        <v>389</v>
      </c>
      <c r="B1347" s="27">
        <v>72500</v>
      </c>
      <c r="C1347" s="27" t="s">
        <v>2</v>
      </c>
      <c r="D1347" s="28">
        <f>B1347*VLOOKUP(C1347,tblXrate[],2,0)</f>
        <v>72500</v>
      </c>
      <c r="E1347" s="27" t="s">
        <v>62</v>
      </c>
      <c r="F1347" s="27" t="s">
        <v>5</v>
      </c>
      <c r="G1347" s="27" t="s">
        <v>2271</v>
      </c>
      <c r="H1347" s="27"/>
      <c r="I1347" s="27">
        <f>VLOOKUP(F1347,mapping!$L$2:$P$92,2,0)</f>
        <v>1</v>
      </c>
      <c r="J1347" s="27">
        <f>VLOOKUP($F1347,mapping!$L$2:$P$92,3,0)</f>
        <v>48386.69</v>
      </c>
      <c r="K1347" s="27" t="str">
        <f>VLOOKUP($F1347,mapping!$L$2:$P$92,4,0)</f>
        <v>Major Advanced Economies (G7)</v>
      </c>
      <c r="L1347" s="29">
        <f>$D1347*VLOOKUP($E1347,'Charts data'!$A$2:$B$11,2,0)*VLOOKUP($G1347,'Charts data'!$A$14:$B$18,2,0)/IF('Charts data'!$E$3=1,I1347,1)/IF('Charts data'!$E$4=1,J1347,1)</f>
        <v>72500</v>
      </c>
    </row>
    <row r="1348" spans="1:12" x14ac:dyDescent="0.25">
      <c r="A1348" s="27" t="s">
        <v>392</v>
      </c>
      <c r="B1348" s="27">
        <v>80000</v>
      </c>
      <c r="C1348" s="27" t="s">
        <v>2</v>
      </c>
      <c r="D1348" s="28">
        <f>B1348*VLOOKUP(C1348,tblXrate[],2,0)</f>
        <v>80000</v>
      </c>
      <c r="E1348" s="27" t="s">
        <v>7</v>
      </c>
      <c r="F1348" s="27" t="s">
        <v>5</v>
      </c>
      <c r="G1348" s="27" t="s">
        <v>2271</v>
      </c>
      <c r="H1348" s="27"/>
      <c r="I1348" s="27">
        <f>VLOOKUP(F1348,mapping!$L$2:$P$92,2,0)</f>
        <v>1</v>
      </c>
      <c r="J1348" s="27">
        <f>VLOOKUP($F1348,mapping!$L$2:$P$92,3,0)</f>
        <v>48386.69</v>
      </c>
      <c r="K1348" s="27" t="str">
        <f>VLOOKUP($F1348,mapping!$L$2:$P$92,4,0)</f>
        <v>Major Advanced Economies (G7)</v>
      </c>
      <c r="L1348" s="29">
        <f>$D1348*VLOOKUP($E1348,'Charts data'!$A$2:$B$11,2,0)*VLOOKUP($G1348,'Charts data'!$A$14:$B$18,2,0)/IF('Charts data'!$E$3=1,I1348,1)/IF('Charts data'!$E$4=1,J1348,1)</f>
        <v>80000</v>
      </c>
    </row>
    <row r="1349" spans="1:12" x14ac:dyDescent="0.25">
      <c r="A1349" s="27" t="s">
        <v>393</v>
      </c>
      <c r="B1349" s="27">
        <v>50000</v>
      </c>
      <c r="C1349" s="27" t="s">
        <v>2</v>
      </c>
      <c r="D1349" s="28">
        <f>B1349*VLOOKUP(C1349,tblXrate[],2,0)</f>
        <v>50000</v>
      </c>
      <c r="E1349" s="27" t="s">
        <v>19</v>
      </c>
      <c r="F1349" s="27" t="s">
        <v>5</v>
      </c>
      <c r="G1349" s="27" t="s">
        <v>2271</v>
      </c>
      <c r="H1349" s="27"/>
      <c r="I1349" s="27">
        <f>VLOOKUP(F1349,mapping!$L$2:$P$92,2,0)</f>
        <v>1</v>
      </c>
      <c r="J1349" s="27">
        <f>VLOOKUP($F1349,mapping!$L$2:$P$92,3,0)</f>
        <v>48386.69</v>
      </c>
      <c r="K1349" s="27" t="str">
        <f>VLOOKUP($F1349,mapping!$L$2:$P$92,4,0)</f>
        <v>Major Advanced Economies (G7)</v>
      </c>
      <c r="L1349" s="29">
        <f>$D1349*VLOOKUP($E1349,'Charts data'!$A$2:$B$11,2,0)*VLOOKUP($G1349,'Charts data'!$A$14:$B$18,2,0)/IF('Charts data'!$E$3=1,I1349,1)/IF('Charts data'!$E$4=1,J1349,1)</f>
        <v>50000</v>
      </c>
    </row>
    <row r="1350" spans="1:12" x14ac:dyDescent="0.25">
      <c r="A1350" s="27" t="s">
        <v>397</v>
      </c>
      <c r="B1350" s="27">
        <v>65000</v>
      </c>
      <c r="C1350" s="27" t="s">
        <v>2</v>
      </c>
      <c r="D1350" s="28">
        <f>B1350*VLOOKUP(C1350,tblXrate[],2,0)</f>
        <v>65000</v>
      </c>
      <c r="E1350" s="27" t="s">
        <v>23</v>
      </c>
      <c r="F1350" s="27" t="s">
        <v>5</v>
      </c>
      <c r="G1350" s="27" t="s">
        <v>2272</v>
      </c>
      <c r="H1350" s="27"/>
      <c r="I1350" s="27">
        <f>VLOOKUP(F1350,mapping!$L$2:$P$92,2,0)</f>
        <v>1</v>
      </c>
      <c r="J1350" s="27">
        <f>VLOOKUP($F1350,mapping!$L$2:$P$92,3,0)</f>
        <v>48386.69</v>
      </c>
      <c r="K1350" s="27" t="str">
        <f>VLOOKUP($F1350,mapping!$L$2:$P$92,4,0)</f>
        <v>Major Advanced Economies (G7)</v>
      </c>
      <c r="L1350" s="29">
        <f>$D1350*VLOOKUP($E1350,'Charts data'!$A$2:$B$11,2,0)*VLOOKUP($G1350,'Charts data'!$A$14:$B$18,2,0)/IF('Charts data'!$E$3=1,I1350,1)/IF('Charts data'!$E$4=1,J1350,1)</f>
        <v>65000</v>
      </c>
    </row>
    <row r="1351" spans="1:12" x14ac:dyDescent="0.25">
      <c r="A1351" s="27" t="s">
        <v>398</v>
      </c>
      <c r="B1351" s="27">
        <v>114000</v>
      </c>
      <c r="C1351" s="27" t="s">
        <v>2</v>
      </c>
      <c r="D1351" s="28">
        <f>B1351*VLOOKUP(C1351,tblXrate[],2,0)</f>
        <v>114000</v>
      </c>
      <c r="E1351" s="27" t="s">
        <v>2147</v>
      </c>
      <c r="F1351" s="27" t="s">
        <v>5</v>
      </c>
      <c r="G1351" s="27" t="s">
        <v>2272</v>
      </c>
      <c r="H1351" s="27"/>
      <c r="I1351" s="27">
        <f>VLOOKUP(F1351,mapping!$L$2:$P$92,2,0)</f>
        <v>1</v>
      </c>
      <c r="J1351" s="27">
        <f>VLOOKUP($F1351,mapping!$L$2:$P$92,3,0)</f>
        <v>48386.69</v>
      </c>
      <c r="K1351" s="27" t="str">
        <f>VLOOKUP($F1351,mapping!$L$2:$P$92,4,0)</f>
        <v>Major Advanced Economies (G7)</v>
      </c>
      <c r="L1351" s="29">
        <f>$D1351*VLOOKUP($E1351,'Charts data'!$A$2:$B$11,2,0)*VLOOKUP($G1351,'Charts data'!$A$14:$B$18,2,0)/IF('Charts data'!$E$3=1,I1351,1)/IF('Charts data'!$E$4=1,J1351,1)</f>
        <v>114000</v>
      </c>
    </row>
    <row r="1352" spans="1:12" x14ac:dyDescent="0.25">
      <c r="A1352" s="27" t="s">
        <v>399</v>
      </c>
      <c r="B1352" s="27">
        <v>95000</v>
      </c>
      <c r="C1352" s="27" t="s">
        <v>2</v>
      </c>
      <c r="D1352" s="28">
        <f>B1352*VLOOKUP(C1352,tblXrate[],2,0)</f>
        <v>95000</v>
      </c>
      <c r="E1352" s="27" t="s">
        <v>2147</v>
      </c>
      <c r="F1352" s="27" t="s">
        <v>5</v>
      </c>
      <c r="G1352" s="27" t="s">
        <v>2271</v>
      </c>
      <c r="H1352" s="27"/>
      <c r="I1352" s="27">
        <f>VLOOKUP(F1352,mapping!$L$2:$P$92,2,0)</f>
        <v>1</v>
      </c>
      <c r="J1352" s="27">
        <f>VLOOKUP($F1352,mapping!$L$2:$P$92,3,0)</f>
        <v>48386.69</v>
      </c>
      <c r="K1352" s="27" t="str">
        <f>VLOOKUP($F1352,mapping!$L$2:$P$92,4,0)</f>
        <v>Major Advanced Economies (G7)</v>
      </c>
      <c r="L1352" s="29">
        <f>$D1352*VLOOKUP($E1352,'Charts data'!$A$2:$B$11,2,0)*VLOOKUP($G1352,'Charts data'!$A$14:$B$18,2,0)/IF('Charts data'!$E$3=1,I1352,1)/IF('Charts data'!$E$4=1,J1352,1)</f>
        <v>95000</v>
      </c>
    </row>
    <row r="1353" spans="1:12" x14ac:dyDescent="0.25">
      <c r="A1353" s="27" t="s">
        <v>400</v>
      </c>
      <c r="B1353" s="27">
        <v>52500</v>
      </c>
      <c r="C1353" s="27" t="s">
        <v>2</v>
      </c>
      <c r="D1353" s="28">
        <f>B1353*VLOOKUP(C1353,tblXrate[],2,0)</f>
        <v>52500</v>
      </c>
      <c r="E1353" s="27" t="s">
        <v>7</v>
      </c>
      <c r="F1353" s="27" t="s">
        <v>5</v>
      </c>
      <c r="G1353" s="27" t="s">
        <v>2271</v>
      </c>
      <c r="H1353" s="27"/>
      <c r="I1353" s="27">
        <f>VLOOKUP(F1353,mapping!$L$2:$P$92,2,0)</f>
        <v>1</v>
      </c>
      <c r="J1353" s="27">
        <f>VLOOKUP($F1353,mapping!$L$2:$P$92,3,0)</f>
        <v>48386.69</v>
      </c>
      <c r="K1353" s="27" t="str">
        <f>VLOOKUP($F1353,mapping!$L$2:$P$92,4,0)</f>
        <v>Major Advanced Economies (G7)</v>
      </c>
      <c r="L1353" s="29">
        <f>$D1353*VLOOKUP($E1353,'Charts data'!$A$2:$B$11,2,0)*VLOOKUP($G1353,'Charts data'!$A$14:$B$18,2,0)/IF('Charts data'!$E$3=1,I1353,1)/IF('Charts data'!$E$4=1,J1353,1)</f>
        <v>52500</v>
      </c>
    </row>
    <row r="1354" spans="1:12" x14ac:dyDescent="0.25">
      <c r="A1354" s="27" t="s">
        <v>402</v>
      </c>
      <c r="B1354" s="27">
        <v>60000</v>
      </c>
      <c r="C1354" s="27" t="s">
        <v>2</v>
      </c>
      <c r="D1354" s="28">
        <f>B1354*VLOOKUP(C1354,tblXrate[],2,0)</f>
        <v>60000</v>
      </c>
      <c r="E1354" s="27" t="s">
        <v>7</v>
      </c>
      <c r="F1354" s="27" t="s">
        <v>5</v>
      </c>
      <c r="G1354" s="27" t="s">
        <v>2271</v>
      </c>
      <c r="H1354" s="27"/>
      <c r="I1354" s="27">
        <f>VLOOKUP(F1354,mapping!$L$2:$P$92,2,0)</f>
        <v>1</v>
      </c>
      <c r="J1354" s="27">
        <f>VLOOKUP($F1354,mapping!$L$2:$P$92,3,0)</f>
        <v>48386.69</v>
      </c>
      <c r="K1354" s="27" t="str">
        <f>VLOOKUP($F1354,mapping!$L$2:$P$92,4,0)</f>
        <v>Major Advanced Economies (G7)</v>
      </c>
      <c r="L1354" s="29">
        <f>$D1354*VLOOKUP($E1354,'Charts data'!$A$2:$B$11,2,0)*VLOOKUP($G1354,'Charts data'!$A$14:$B$18,2,0)/IF('Charts data'!$E$3=1,I1354,1)/IF('Charts data'!$E$4=1,J1354,1)</f>
        <v>60000</v>
      </c>
    </row>
    <row r="1355" spans="1:12" x14ac:dyDescent="0.25">
      <c r="A1355" s="27" t="s">
        <v>403</v>
      </c>
      <c r="B1355" s="27">
        <v>65250</v>
      </c>
      <c r="C1355" s="27" t="s">
        <v>2</v>
      </c>
      <c r="D1355" s="28">
        <f>B1355*VLOOKUP(C1355,tblXrate[],2,0)</f>
        <v>65250</v>
      </c>
      <c r="E1355" s="27" t="s">
        <v>51</v>
      </c>
      <c r="F1355" s="27" t="s">
        <v>5</v>
      </c>
      <c r="G1355" s="27" t="s">
        <v>2271</v>
      </c>
      <c r="H1355" s="27"/>
      <c r="I1355" s="27">
        <f>VLOOKUP(F1355,mapping!$L$2:$P$92,2,0)</f>
        <v>1</v>
      </c>
      <c r="J1355" s="27">
        <f>VLOOKUP($F1355,mapping!$L$2:$P$92,3,0)</f>
        <v>48386.69</v>
      </c>
      <c r="K1355" s="27" t="str">
        <f>VLOOKUP($F1355,mapping!$L$2:$P$92,4,0)</f>
        <v>Major Advanced Economies (G7)</v>
      </c>
      <c r="L1355" s="29">
        <f>$D1355*VLOOKUP($E1355,'Charts data'!$A$2:$B$11,2,0)*VLOOKUP($G1355,'Charts data'!$A$14:$B$18,2,0)/IF('Charts data'!$E$3=1,I1355,1)/IF('Charts data'!$E$4=1,J1355,1)</f>
        <v>65250</v>
      </c>
    </row>
    <row r="1356" spans="1:12" x14ac:dyDescent="0.25">
      <c r="A1356" s="27" t="s">
        <v>407</v>
      </c>
      <c r="B1356" s="27">
        <v>73000</v>
      </c>
      <c r="C1356" s="27" t="s">
        <v>2</v>
      </c>
      <c r="D1356" s="28">
        <f>B1356*VLOOKUP(C1356,tblXrate[],2,0)</f>
        <v>73000</v>
      </c>
      <c r="E1356" s="27" t="s">
        <v>7</v>
      </c>
      <c r="F1356" s="27" t="s">
        <v>5</v>
      </c>
      <c r="G1356" s="27" t="s">
        <v>2271</v>
      </c>
      <c r="H1356" s="27"/>
      <c r="I1356" s="27">
        <f>VLOOKUP(F1356,mapping!$L$2:$P$92,2,0)</f>
        <v>1</v>
      </c>
      <c r="J1356" s="27">
        <f>VLOOKUP($F1356,mapping!$L$2:$P$92,3,0)</f>
        <v>48386.69</v>
      </c>
      <c r="K1356" s="27" t="str">
        <f>VLOOKUP($F1356,mapping!$L$2:$P$92,4,0)</f>
        <v>Major Advanced Economies (G7)</v>
      </c>
      <c r="L1356" s="29">
        <f>$D1356*VLOOKUP($E1356,'Charts data'!$A$2:$B$11,2,0)*VLOOKUP($G1356,'Charts data'!$A$14:$B$18,2,0)/IF('Charts data'!$E$3=1,I1356,1)/IF('Charts data'!$E$4=1,J1356,1)</f>
        <v>73000</v>
      </c>
    </row>
    <row r="1357" spans="1:12" x14ac:dyDescent="0.25">
      <c r="A1357" s="27" t="s">
        <v>408</v>
      </c>
      <c r="B1357" s="27">
        <v>50000</v>
      </c>
      <c r="C1357" s="27" t="s">
        <v>2</v>
      </c>
      <c r="D1357" s="28">
        <f>B1357*VLOOKUP(C1357,tblXrate[],2,0)</f>
        <v>50000</v>
      </c>
      <c r="E1357" s="27" t="s">
        <v>7</v>
      </c>
      <c r="F1357" s="27" t="s">
        <v>5</v>
      </c>
      <c r="G1357" s="27" t="s">
        <v>2273</v>
      </c>
      <c r="H1357" s="27"/>
      <c r="I1357" s="27">
        <f>VLOOKUP(F1357,mapping!$L$2:$P$92,2,0)</f>
        <v>1</v>
      </c>
      <c r="J1357" s="27">
        <f>VLOOKUP($F1357,mapping!$L$2:$P$92,3,0)</f>
        <v>48386.69</v>
      </c>
      <c r="K1357" s="27" t="str">
        <f>VLOOKUP($F1357,mapping!$L$2:$P$92,4,0)</f>
        <v>Major Advanced Economies (G7)</v>
      </c>
      <c r="L1357" s="29">
        <f>$D1357*VLOOKUP($E1357,'Charts data'!$A$2:$B$11,2,0)*VLOOKUP($G1357,'Charts data'!$A$14:$B$18,2,0)/IF('Charts data'!$E$3=1,I1357,1)/IF('Charts data'!$E$4=1,J1357,1)</f>
        <v>50000</v>
      </c>
    </row>
    <row r="1358" spans="1:12" x14ac:dyDescent="0.25">
      <c r="A1358" s="27" t="s">
        <v>409</v>
      </c>
      <c r="B1358" s="27">
        <v>79000</v>
      </c>
      <c r="C1358" s="27" t="s">
        <v>2</v>
      </c>
      <c r="D1358" s="28">
        <f>B1358*VLOOKUP(C1358,tblXrate[],2,0)</f>
        <v>79000</v>
      </c>
      <c r="E1358" s="27" t="s">
        <v>51</v>
      </c>
      <c r="F1358" s="27" t="s">
        <v>5</v>
      </c>
      <c r="G1358" s="27" t="s">
        <v>2272</v>
      </c>
      <c r="H1358" s="27"/>
      <c r="I1358" s="27">
        <f>VLOOKUP(F1358,mapping!$L$2:$P$92,2,0)</f>
        <v>1</v>
      </c>
      <c r="J1358" s="27">
        <f>VLOOKUP($F1358,mapping!$L$2:$P$92,3,0)</f>
        <v>48386.69</v>
      </c>
      <c r="K1358" s="27" t="str">
        <f>VLOOKUP($F1358,mapping!$L$2:$P$92,4,0)</f>
        <v>Major Advanced Economies (G7)</v>
      </c>
      <c r="L1358" s="29">
        <f>$D1358*VLOOKUP($E1358,'Charts data'!$A$2:$B$11,2,0)*VLOOKUP($G1358,'Charts data'!$A$14:$B$18,2,0)/IF('Charts data'!$E$3=1,I1358,1)/IF('Charts data'!$E$4=1,J1358,1)</f>
        <v>79000</v>
      </c>
    </row>
    <row r="1359" spans="1:12" x14ac:dyDescent="0.25">
      <c r="A1359" s="27" t="s">
        <v>410</v>
      </c>
      <c r="B1359" s="27">
        <v>90000</v>
      </c>
      <c r="C1359" s="27" t="s">
        <v>2</v>
      </c>
      <c r="D1359" s="28">
        <f>B1359*VLOOKUP(C1359,tblXrate[],2,0)</f>
        <v>90000</v>
      </c>
      <c r="E1359" s="27" t="s">
        <v>19</v>
      </c>
      <c r="F1359" s="27" t="s">
        <v>5</v>
      </c>
      <c r="G1359" s="27" t="s">
        <v>2271</v>
      </c>
      <c r="H1359" s="27"/>
      <c r="I1359" s="27">
        <f>VLOOKUP(F1359,mapping!$L$2:$P$92,2,0)</f>
        <v>1</v>
      </c>
      <c r="J1359" s="27">
        <f>VLOOKUP($F1359,mapping!$L$2:$P$92,3,0)</f>
        <v>48386.69</v>
      </c>
      <c r="K1359" s="27" t="str">
        <f>VLOOKUP($F1359,mapping!$L$2:$P$92,4,0)</f>
        <v>Major Advanced Economies (G7)</v>
      </c>
      <c r="L1359" s="29">
        <f>$D1359*VLOOKUP($E1359,'Charts data'!$A$2:$B$11,2,0)*VLOOKUP($G1359,'Charts data'!$A$14:$B$18,2,0)/IF('Charts data'!$E$3=1,I1359,1)/IF('Charts data'!$E$4=1,J1359,1)</f>
        <v>90000</v>
      </c>
    </row>
    <row r="1360" spans="1:12" x14ac:dyDescent="0.25">
      <c r="A1360" s="27" t="s">
        <v>411</v>
      </c>
      <c r="B1360" s="27">
        <v>70000</v>
      </c>
      <c r="C1360" s="27" t="s">
        <v>2</v>
      </c>
      <c r="D1360" s="28">
        <f>B1360*VLOOKUP(C1360,tblXrate[],2,0)</f>
        <v>70000</v>
      </c>
      <c r="E1360" s="27" t="s">
        <v>19</v>
      </c>
      <c r="F1360" s="27" t="s">
        <v>5</v>
      </c>
      <c r="G1360" s="27" t="s">
        <v>2272</v>
      </c>
      <c r="H1360" s="27"/>
      <c r="I1360" s="27">
        <f>VLOOKUP(F1360,mapping!$L$2:$P$92,2,0)</f>
        <v>1</v>
      </c>
      <c r="J1360" s="27">
        <f>VLOOKUP($F1360,mapping!$L$2:$P$92,3,0)</f>
        <v>48386.69</v>
      </c>
      <c r="K1360" s="27" t="str">
        <f>VLOOKUP($F1360,mapping!$L$2:$P$92,4,0)</f>
        <v>Major Advanced Economies (G7)</v>
      </c>
      <c r="L1360" s="29">
        <f>$D1360*VLOOKUP($E1360,'Charts data'!$A$2:$B$11,2,0)*VLOOKUP($G1360,'Charts data'!$A$14:$B$18,2,0)/IF('Charts data'!$E$3=1,I1360,1)/IF('Charts data'!$E$4=1,J1360,1)</f>
        <v>70000</v>
      </c>
    </row>
    <row r="1361" spans="1:12" x14ac:dyDescent="0.25">
      <c r="A1361" s="27" t="s">
        <v>413</v>
      </c>
      <c r="B1361" s="27">
        <v>80000</v>
      </c>
      <c r="C1361" s="27" t="s">
        <v>2</v>
      </c>
      <c r="D1361" s="28">
        <f>B1361*VLOOKUP(C1361,tblXrate[],2,0)</f>
        <v>80000</v>
      </c>
      <c r="E1361" s="27" t="s">
        <v>7</v>
      </c>
      <c r="F1361" s="27" t="s">
        <v>5</v>
      </c>
      <c r="G1361" s="27" t="s">
        <v>2271</v>
      </c>
      <c r="H1361" s="27"/>
      <c r="I1361" s="27">
        <f>VLOOKUP(F1361,mapping!$L$2:$P$92,2,0)</f>
        <v>1</v>
      </c>
      <c r="J1361" s="27">
        <f>VLOOKUP($F1361,mapping!$L$2:$P$92,3,0)</f>
        <v>48386.69</v>
      </c>
      <c r="K1361" s="27" t="str">
        <f>VLOOKUP($F1361,mapping!$L$2:$P$92,4,0)</f>
        <v>Major Advanced Economies (G7)</v>
      </c>
      <c r="L1361" s="29">
        <f>$D1361*VLOOKUP($E1361,'Charts data'!$A$2:$B$11,2,0)*VLOOKUP($G1361,'Charts data'!$A$14:$B$18,2,0)/IF('Charts data'!$E$3=1,I1361,1)/IF('Charts data'!$E$4=1,J1361,1)</f>
        <v>80000</v>
      </c>
    </row>
    <row r="1362" spans="1:12" x14ac:dyDescent="0.25">
      <c r="A1362" s="27" t="s">
        <v>414</v>
      </c>
      <c r="B1362" s="27">
        <v>140000</v>
      </c>
      <c r="C1362" s="27" t="s">
        <v>2</v>
      </c>
      <c r="D1362" s="28">
        <f>B1362*VLOOKUP(C1362,tblXrate[],2,0)</f>
        <v>140000</v>
      </c>
      <c r="E1362" s="27" t="s">
        <v>19</v>
      </c>
      <c r="F1362" s="27" t="s">
        <v>5</v>
      </c>
      <c r="G1362" s="27" t="s">
        <v>2271</v>
      </c>
      <c r="H1362" s="27"/>
      <c r="I1362" s="27">
        <f>VLOOKUP(F1362,mapping!$L$2:$P$92,2,0)</f>
        <v>1</v>
      </c>
      <c r="J1362" s="27">
        <f>VLOOKUP($F1362,mapping!$L$2:$P$92,3,0)</f>
        <v>48386.69</v>
      </c>
      <c r="K1362" s="27" t="str">
        <f>VLOOKUP($F1362,mapping!$L$2:$P$92,4,0)</f>
        <v>Major Advanced Economies (G7)</v>
      </c>
      <c r="L1362" s="29">
        <f>$D1362*VLOOKUP($E1362,'Charts data'!$A$2:$B$11,2,0)*VLOOKUP($G1362,'Charts data'!$A$14:$B$18,2,0)/IF('Charts data'!$E$3=1,I1362,1)/IF('Charts data'!$E$4=1,J1362,1)</f>
        <v>140000</v>
      </c>
    </row>
    <row r="1363" spans="1:12" x14ac:dyDescent="0.25">
      <c r="A1363" s="27" t="s">
        <v>417</v>
      </c>
      <c r="B1363" s="27">
        <v>47700</v>
      </c>
      <c r="C1363" s="27" t="s">
        <v>2</v>
      </c>
      <c r="D1363" s="28">
        <f>B1363*VLOOKUP(C1363,tblXrate[],2,0)</f>
        <v>47700</v>
      </c>
      <c r="E1363" s="27" t="s">
        <v>7</v>
      </c>
      <c r="F1363" s="27" t="s">
        <v>5</v>
      </c>
      <c r="G1363" s="27" t="s">
        <v>2271</v>
      </c>
      <c r="H1363" s="27"/>
      <c r="I1363" s="27">
        <f>VLOOKUP(F1363,mapping!$L$2:$P$92,2,0)</f>
        <v>1</v>
      </c>
      <c r="J1363" s="27">
        <f>VLOOKUP($F1363,mapping!$L$2:$P$92,3,0)</f>
        <v>48386.69</v>
      </c>
      <c r="K1363" s="27" t="str">
        <f>VLOOKUP($F1363,mapping!$L$2:$P$92,4,0)</f>
        <v>Major Advanced Economies (G7)</v>
      </c>
      <c r="L1363" s="29">
        <f>$D1363*VLOOKUP($E1363,'Charts data'!$A$2:$B$11,2,0)*VLOOKUP($G1363,'Charts data'!$A$14:$B$18,2,0)/IF('Charts data'!$E$3=1,I1363,1)/IF('Charts data'!$E$4=1,J1363,1)</f>
        <v>47700</v>
      </c>
    </row>
    <row r="1364" spans="1:12" x14ac:dyDescent="0.25">
      <c r="A1364" s="27" t="s">
        <v>419</v>
      </c>
      <c r="B1364" s="27">
        <v>52500</v>
      </c>
      <c r="C1364" s="27" t="s">
        <v>2</v>
      </c>
      <c r="D1364" s="28">
        <f>B1364*VLOOKUP(C1364,tblXrate[],2,0)</f>
        <v>52500</v>
      </c>
      <c r="E1364" s="27" t="s">
        <v>7</v>
      </c>
      <c r="F1364" s="27" t="s">
        <v>5</v>
      </c>
      <c r="G1364" s="27" t="s">
        <v>2271</v>
      </c>
      <c r="H1364" s="27"/>
      <c r="I1364" s="27">
        <f>VLOOKUP(F1364,mapping!$L$2:$P$92,2,0)</f>
        <v>1</v>
      </c>
      <c r="J1364" s="27">
        <f>VLOOKUP($F1364,mapping!$L$2:$P$92,3,0)</f>
        <v>48386.69</v>
      </c>
      <c r="K1364" s="27" t="str">
        <f>VLOOKUP($F1364,mapping!$L$2:$P$92,4,0)</f>
        <v>Major Advanced Economies (G7)</v>
      </c>
      <c r="L1364" s="29">
        <f>$D1364*VLOOKUP($E1364,'Charts data'!$A$2:$B$11,2,0)*VLOOKUP($G1364,'Charts data'!$A$14:$B$18,2,0)/IF('Charts data'!$E$3=1,I1364,1)/IF('Charts data'!$E$4=1,J1364,1)</f>
        <v>52500</v>
      </c>
    </row>
    <row r="1365" spans="1:12" x14ac:dyDescent="0.25">
      <c r="A1365" s="27" t="s">
        <v>420</v>
      </c>
      <c r="B1365" s="27">
        <v>40000</v>
      </c>
      <c r="C1365" s="27" t="s">
        <v>2</v>
      </c>
      <c r="D1365" s="28">
        <f>B1365*VLOOKUP(C1365,tblXrate[],2,0)</f>
        <v>40000</v>
      </c>
      <c r="E1365" s="27" t="s">
        <v>7</v>
      </c>
      <c r="F1365" s="27" t="s">
        <v>5</v>
      </c>
      <c r="G1365" s="27" t="s">
        <v>2273</v>
      </c>
      <c r="H1365" s="27"/>
      <c r="I1365" s="27">
        <f>VLOOKUP(F1365,mapping!$L$2:$P$92,2,0)</f>
        <v>1</v>
      </c>
      <c r="J1365" s="27">
        <f>VLOOKUP($F1365,mapping!$L$2:$P$92,3,0)</f>
        <v>48386.69</v>
      </c>
      <c r="K1365" s="27" t="str">
        <f>VLOOKUP($F1365,mapping!$L$2:$P$92,4,0)</f>
        <v>Major Advanced Economies (G7)</v>
      </c>
      <c r="L1365" s="29">
        <f>$D1365*VLOOKUP($E1365,'Charts data'!$A$2:$B$11,2,0)*VLOOKUP($G1365,'Charts data'!$A$14:$B$18,2,0)/IF('Charts data'!$E$3=1,I1365,1)/IF('Charts data'!$E$4=1,J1365,1)</f>
        <v>40000</v>
      </c>
    </row>
    <row r="1366" spans="1:12" x14ac:dyDescent="0.25">
      <c r="A1366" s="27" t="s">
        <v>421</v>
      </c>
      <c r="B1366" s="27">
        <v>31000</v>
      </c>
      <c r="C1366" s="27" t="s">
        <v>2</v>
      </c>
      <c r="D1366" s="28">
        <f>B1366*VLOOKUP(C1366,tblXrate[],2,0)</f>
        <v>31000</v>
      </c>
      <c r="E1366" s="27" t="s">
        <v>7</v>
      </c>
      <c r="F1366" s="27" t="s">
        <v>5</v>
      </c>
      <c r="G1366" s="27" t="s">
        <v>2271</v>
      </c>
      <c r="H1366" s="27"/>
      <c r="I1366" s="27">
        <f>VLOOKUP(F1366,mapping!$L$2:$P$92,2,0)</f>
        <v>1</v>
      </c>
      <c r="J1366" s="27">
        <f>VLOOKUP($F1366,mapping!$L$2:$P$92,3,0)</f>
        <v>48386.69</v>
      </c>
      <c r="K1366" s="27" t="str">
        <f>VLOOKUP($F1366,mapping!$L$2:$P$92,4,0)</f>
        <v>Major Advanced Economies (G7)</v>
      </c>
      <c r="L1366" s="29">
        <f>$D1366*VLOOKUP($E1366,'Charts data'!$A$2:$B$11,2,0)*VLOOKUP($G1366,'Charts data'!$A$14:$B$18,2,0)/IF('Charts data'!$E$3=1,I1366,1)/IF('Charts data'!$E$4=1,J1366,1)</f>
        <v>31000</v>
      </c>
    </row>
    <row r="1367" spans="1:12" x14ac:dyDescent="0.25">
      <c r="A1367" s="27" t="s">
        <v>423</v>
      </c>
      <c r="B1367" s="27">
        <v>130000</v>
      </c>
      <c r="C1367" s="27" t="s">
        <v>2</v>
      </c>
      <c r="D1367" s="28">
        <f>B1367*VLOOKUP(C1367,tblXrate[],2,0)</f>
        <v>130000</v>
      </c>
      <c r="E1367" s="27" t="s">
        <v>19</v>
      </c>
      <c r="F1367" s="27" t="s">
        <v>5</v>
      </c>
      <c r="G1367" s="27" t="s">
        <v>2271</v>
      </c>
      <c r="H1367" s="27"/>
      <c r="I1367" s="27">
        <f>VLOOKUP(F1367,mapping!$L$2:$P$92,2,0)</f>
        <v>1</v>
      </c>
      <c r="J1367" s="27">
        <f>VLOOKUP($F1367,mapping!$L$2:$P$92,3,0)</f>
        <v>48386.69</v>
      </c>
      <c r="K1367" s="27" t="str">
        <f>VLOOKUP($F1367,mapping!$L$2:$P$92,4,0)</f>
        <v>Major Advanced Economies (G7)</v>
      </c>
      <c r="L1367" s="29">
        <f>$D1367*VLOOKUP($E1367,'Charts data'!$A$2:$B$11,2,0)*VLOOKUP($G1367,'Charts data'!$A$14:$B$18,2,0)/IF('Charts data'!$E$3=1,I1367,1)/IF('Charts data'!$E$4=1,J1367,1)</f>
        <v>130000</v>
      </c>
    </row>
    <row r="1368" spans="1:12" x14ac:dyDescent="0.25">
      <c r="A1368" s="27" t="s">
        <v>425</v>
      </c>
      <c r="B1368" s="27">
        <v>51000</v>
      </c>
      <c r="C1368" s="27" t="s">
        <v>2</v>
      </c>
      <c r="D1368" s="28">
        <f>B1368*VLOOKUP(C1368,tblXrate[],2,0)</f>
        <v>51000</v>
      </c>
      <c r="E1368" s="27" t="s">
        <v>7</v>
      </c>
      <c r="F1368" s="27" t="s">
        <v>5</v>
      </c>
      <c r="G1368" s="27" t="s">
        <v>2272</v>
      </c>
      <c r="H1368" s="27"/>
      <c r="I1368" s="27">
        <f>VLOOKUP(F1368,mapping!$L$2:$P$92,2,0)</f>
        <v>1</v>
      </c>
      <c r="J1368" s="27">
        <f>VLOOKUP($F1368,mapping!$L$2:$P$92,3,0)</f>
        <v>48386.69</v>
      </c>
      <c r="K1368" s="27" t="str">
        <f>VLOOKUP($F1368,mapping!$L$2:$P$92,4,0)</f>
        <v>Major Advanced Economies (G7)</v>
      </c>
      <c r="L1368" s="29">
        <f>$D1368*VLOOKUP($E1368,'Charts data'!$A$2:$B$11,2,0)*VLOOKUP($G1368,'Charts data'!$A$14:$B$18,2,0)/IF('Charts data'!$E$3=1,I1368,1)/IF('Charts data'!$E$4=1,J1368,1)</f>
        <v>51000</v>
      </c>
    </row>
    <row r="1369" spans="1:12" x14ac:dyDescent="0.25">
      <c r="A1369" s="27" t="s">
        <v>429</v>
      </c>
      <c r="B1369" s="27">
        <v>73000</v>
      </c>
      <c r="C1369" s="27" t="s">
        <v>2</v>
      </c>
      <c r="D1369" s="28">
        <f>B1369*VLOOKUP(C1369,tblXrate[],2,0)</f>
        <v>73000</v>
      </c>
      <c r="E1369" s="27" t="s">
        <v>23</v>
      </c>
      <c r="F1369" s="27" t="s">
        <v>5</v>
      </c>
      <c r="G1369" s="27" t="s">
        <v>2271</v>
      </c>
      <c r="H1369" s="27"/>
      <c r="I1369" s="27">
        <f>VLOOKUP(F1369,mapping!$L$2:$P$92,2,0)</f>
        <v>1</v>
      </c>
      <c r="J1369" s="27">
        <f>VLOOKUP($F1369,mapping!$L$2:$P$92,3,0)</f>
        <v>48386.69</v>
      </c>
      <c r="K1369" s="27" t="str">
        <f>VLOOKUP($F1369,mapping!$L$2:$P$92,4,0)</f>
        <v>Major Advanced Economies (G7)</v>
      </c>
      <c r="L1369" s="29">
        <f>$D1369*VLOOKUP($E1369,'Charts data'!$A$2:$B$11,2,0)*VLOOKUP($G1369,'Charts data'!$A$14:$B$18,2,0)/IF('Charts data'!$E$3=1,I1369,1)/IF('Charts data'!$E$4=1,J1369,1)</f>
        <v>73000</v>
      </c>
    </row>
    <row r="1370" spans="1:12" x14ac:dyDescent="0.25">
      <c r="A1370" s="27" t="s">
        <v>430</v>
      </c>
      <c r="B1370" s="27">
        <v>62400</v>
      </c>
      <c r="C1370" s="27" t="s">
        <v>2</v>
      </c>
      <c r="D1370" s="28">
        <f>B1370*VLOOKUP(C1370,tblXrate[],2,0)</f>
        <v>62400</v>
      </c>
      <c r="E1370" s="27" t="s">
        <v>51</v>
      </c>
      <c r="F1370" s="27" t="s">
        <v>5</v>
      </c>
      <c r="G1370" s="27" t="s">
        <v>2273</v>
      </c>
      <c r="H1370" s="27"/>
      <c r="I1370" s="27">
        <f>VLOOKUP(F1370,mapping!$L$2:$P$92,2,0)</f>
        <v>1</v>
      </c>
      <c r="J1370" s="27">
        <f>VLOOKUP($F1370,mapping!$L$2:$P$92,3,0)</f>
        <v>48386.69</v>
      </c>
      <c r="K1370" s="27" t="str">
        <f>VLOOKUP($F1370,mapping!$L$2:$P$92,4,0)</f>
        <v>Major Advanced Economies (G7)</v>
      </c>
      <c r="L1370" s="29">
        <f>$D1370*VLOOKUP($E1370,'Charts data'!$A$2:$B$11,2,0)*VLOOKUP($G1370,'Charts data'!$A$14:$B$18,2,0)/IF('Charts data'!$E$3=1,I1370,1)/IF('Charts data'!$E$4=1,J1370,1)</f>
        <v>62400</v>
      </c>
    </row>
    <row r="1371" spans="1:12" x14ac:dyDescent="0.25">
      <c r="A1371" s="27" t="s">
        <v>432</v>
      </c>
      <c r="B1371" s="27">
        <v>54000</v>
      </c>
      <c r="C1371" s="27" t="s">
        <v>2</v>
      </c>
      <c r="D1371" s="28">
        <f>B1371*VLOOKUP(C1371,tblXrate[],2,0)</f>
        <v>54000</v>
      </c>
      <c r="E1371" s="27" t="s">
        <v>19</v>
      </c>
      <c r="F1371" s="27" t="s">
        <v>5</v>
      </c>
      <c r="G1371" s="27" t="s">
        <v>2273</v>
      </c>
      <c r="H1371" s="27"/>
      <c r="I1371" s="27">
        <f>VLOOKUP(F1371,mapping!$L$2:$P$92,2,0)</f>
        <v>1</v>
      </c>
      <c r="J1371" s="27">
        <f>VLOOKUP($F1371,mapping!$L$2:$P$92,3,0)</f>
        <v>48386.69</v>
      </c>
      <c r="K1371" s="27" t="str">
        <f>VLOOKUP($F1371,mapping!$L$2:$P$92,4,0)</f>
        <v>Major Advanced Economies (G7)</v>
      </c>
      <c r="L1371" s="29">
        <f>$D1371*VLOOKUP($E1371,'Charts data'!$A$2:$B$11,2,0)*VLOOKUP($G1371,'Charts data'!$A$14:$B$18,2,0)/IF('Charts data'!$E$3=1,I1371,1)/IF('Charts data'!$E$4=1,J1371,1)</f>
        <v>54000</v>
      </c>
    </row>
    <row r="1372" spans="1:12" x14ac:dyDescent="0.25">
      <c r="A1372" s="27" t="s">
        <v>434</v>
      </c>
      <c r="B1372" s="27">
        <v>77000</v>
      </c>
      <c r="C1372" s="27" t="s">
        <v>2</v>
      </c>
      <c r="D1372" s="28">
        <f>B1372*VLOOKUP(C1372,tblXrate[],2,0)</f>
        <v>77000</v>
      </c>
      <c r="E1372" s="27" t="s">
        <v>51</v>
      </c>
      <c r="F1372" s="27" t="s">
        <v>5</v>
      </c>
      <c r="G1372" s="27" t="s">
        <v>2271</v>
      </c>
      <c r="H1372" s="27"/>
      <c r="I1372" s="27">
        <f>VLOOKUP(F1372,mapping!$L$2:$P$92,2,0)</f>
        <v>1</v>
      </c>
      <c r="J1372" s="27">
        <f>VLOOKUP($F1372,mapping!$L$2:$P$92,3,0)</f>
        <v>48386.69</v>
      </c>
      <c r="K1372" s="27" t="str">
        <f>VLOOKUP($F1372,mapping!$L$2:$P$92,4,0)</f>
        <v>Major Advanced Economies (G7)</v>
      </c>
      <c r="L1372" s="29">
        <f>$D1372*VLOOKUP($E1372,'Charts data'!$A$2:$B$11,2,0)*VLOOKUP($G1372,'Charts data'!$A$14:$B$18,2,0)/IF('Charts data'!$E$3=1,I1372,1)/IF('Charts data'!$E$4=1,J1372,1)</f>
        <v>77000</v>
      </c>
    </row>
    <row r="1373" spans="1:12" x14ac:dyDescent="0.25">
      <c r="A1373" s="27" t="s">
        <v>435</v>
      </c>
      <c r="B1373" s="27">
        <v>76000</v>
      </c>
      <c r="C1373" s="27" t="s">
        <v>2</v>
      </c>
      <c r="D1373" s="28">
        <f>B1373*VLOOKUP(C1373,tblXrate[],2,0)</f>
        <v>76000</v>
      </c>
      <c r="E1373" s="27" t="s">
        <v>19</v>
      </c>
      <c r="F1373" s="27" t="s">
        <v>5</v>
      </c>
      <c r="G1373" s="27" t="s">
        <v>2273</v>
      </c>
      <c r="H1373" s="27"/>
      <c r="I1373" s="27">
        <f>VLOOKUP(F1373,mapping!$L$2:$P$92,2,0)</f>
        <v>1</v>
      </c>
      <c r="J1373" s="27">
        <f>VLOOKUP($F1373,mapping!$L$2:$P$92,3,0)</f>
        <v>48386.69</v>
      </c>
      <c r="K1373" s="27" t="str">
        <f>VLOOKUP($F1373,mapping!$L$2:$P$92,4,0)</f>
        <v>Major Advanced Economies (G7)</v>
      </c>
      <c r="L1373" s="29">
        <f>$D1373*VLOOKUP($E1373,'Charts data'!$A$2:$B$11,2,0)*VLOOKUP($G1373,'Charts data'!$A$14:$B$18,2,0)/IF('Charts data'!$E$3=1,I1373,1)/IF('Charts data'!$E$4=1,J1373,1)</f>
        <v>76000</v>
      </c>
    </row>
    <row r="1374" spans="1:12" x14ac:dyDescent="0.25">
      <c r="A1374" s="27" t="s">
        <v>436</v>
      </c>
      <c r="B1374" s="27">
        <v>103000</v>
      </c>
      <c r="C1374" s="27" t="s">
        <v>2</v>
      </c>
      <c r="D1374" s="28">
        <f>B1374*VLOOKUP(C1374,tblXrate[],2,0)</f>
        <v>103000</v>
      </c>
      <c r="E1374" s="27" t="s">
        <v>2147</v>
      </c>
      <c r="F1374" s="27" t="s">
        <v>5</v>
      </c>
      <c r="G1374" s="27" t="s">
        <v>2272</v>
      </c>
      <c r="H1374" s="27"/>
      <c r="I1374" s="27">
        <f>VLOOKUP(F1374,mapping!$L$2:$P$92,2,0)</f>
        <v>1</v>
      </c>
      <c r="J1374" s="27">
        <f>VLOOKUP($F1374,mapping!$L$2:$P$92,3,0)</f>
        <v>48386.69</v>
      </c>
      <c r="K1374" s="27" t="str">
        <f>VLOOKUP($F1374,mapping!$L$2:$P$92,4,0)</f>
        <v>Major Advanced Economies (G7)</v>
      </c>
      <c r="L1374" s="29">
        <f>$D1374*VLOOKUP($E1374,'Charts data'!$A$2:$B$11,2,0)*VLOOKUP($G1374,'Charts data'!$A$14:$B$18,2,0)/IF('Charts data'!$E$3=1,I1374,1)/IF('Charts data'!$E$4=1,J1374,1)</f>
        <v>103000</v>
      </c>
    </row>
    <row r="1375" spans="1:12" x14ac:dyDescent="0.25">
      <c r="A1375" s="27" t="s">
        <v>438</v>
      </c>
      <c r="B1375" s="27">
        <v>40000</v>
      </c>
      <c r="C1375" s="27" t="s">
        <v>2</v>
      </c>
      <c r="D1375" s="28">
        <f>B1375*VLOOKUP(C1375,tblXrate[],2,0)</f>
        <v>40000</v>
      </c>
      <c r="E1375" s="27" t="s">
        <v>7</v>
      </c>
      <c r="F1375" s="27" t="s">
        <v>5</v>
      </c>
      <c r="G1375" s="27" t="s">
        <v>2271</v>
      </c>
      <c r="H1375" s="27"/>
      <c r="I1375" s="27">
        <f>VLOOKUP(F1375,mapping!$L$2:$P$92,2,0)</f>
        <v>1</v>
      </c>
      <c r="J1375" s="27">
        <f>VLOOKUP($F1375,mapping!$L$2:$P$92,3,0)</f>
        <v>48386.69</v>
      </c>
      <c r="K1375" s="27" t="str">
        <f>VLOOKUP($F1375,mapping!$L$2:$P$92,4,0)</f>
        <v>Major Advanced Economies (G7)</v>
      </c>
      <c r="L1375" s="29">
        <f>$D1375*VLOOKUP($E1375,'Charts data'!$A$2:$B$11,2,0)*VLOOKUP($G1375,'Charts data'!$A$14:$B$18,2,0)/IF('Charts data'!$E$3=1,I1375,1)/IF('Charts data'!$E$4=1,J1375,1)</f>
        <v>40000</v>
      </c>
    </row>
    <row r="1376" spans="1:12" x14ac:dyDescent="0.25">
      <c r="A1376" s="27" t="s">
        <v>439</v>
      </c>
      <c r="B1376" s="27">
        <v>80000</v>
      </c>
      <c r="C1376" s="27" t="s">
        <v>2</v>
      </c>
      <c r="D1376" s="28">
        <f>B1376*VLOOKUP(C1376,tblXrate[],2,0)</f>
        <v>80000</v>
      </c>
      <c r="E1376" s="27" t="s">
        <v>2147</v>
      </c>
      <c r="F1376" s="27" t="s">
        <v>5</v>
      </c>
      <c r="G1376" s="27" t="s">
        <v>2272</v>
      </c>
      <c r="H1376" s="27"/>
      <c r="I1376" s="27">
        <f>VLOOKUP(F1376,mapping!$L$2:$P$92,2,0)</f>
        <v>1</v>
      </c>
      <c r="J1376" s="27">
        <f>VLOOKUP($F1376,mapping!$L$2:$P$92,3,0)</f>
        <v>48386.69</v>
      </c>
      <c r="K1376" s="27" t="str">
        <f>VLOOKUP($F1376,mapping!$L$2:$P$92,4,0)</f>
        <v>Major Advanced Economies (G7)</v>
      </c>
      <c r="L1376" s="29">
        <f>$D1376*VLOOKUP($E1376,'Charts data'!$A$2:$B$11,2,0)*VLOOKUP($G1376,'Charts data'!$A$14:$B$18,2,0)/IF('Charts data'!$E$3=1,I1376,1)/IF('Charts data'!$E$4=1,J1376,1)</f>
        <v>80000</v>
      </c>
    </row>
    <row r="1377" spans="1:12" x14ac:dyDescent="0.25">
      <c r="A1377" s="27" t="s">
        <v>440</v>
      </c>
      <c r="B1377" s="27">
        <v>55000</v>
      </c>
      <c r="C1377" s="27" t="s">
        <v>2</v>
      </c>
      <c r="D1377" s="28">
        <f>B1377*VLOOKUP(C1377,tblXrate[],2,0)</f>
        <v>55000</v>
      </c>
      <c r="E1377" s="27" t="s">
        <v>7</v>
      </c>
      <c r="F1377" s="27" t="s">
        <v>5</v>
      </c>
      <c r="G1377" s="27" t="s">
        <v>2273</v>
      </c>
      <c r="H1377" s="27"/>
      <c r="I1377" s="27">
        <f>VLOOKUP(F1377,mapping!$L$2:$P$92,2,0)</f>
        <v>1</v>
      </c>
      <c r="J1377" s="27">
        <f>VLOOKUP($F1377,mapping!$L$2:$P$92,3,0)</f>
        <v>48386.69</v>
      </c>
      <c r="K1377" s="27" t="str">
        <f>VLOOKUP($F1377,mapping!$L$2:$P$92,4,0)</f>
        <v>Major Advanced Economies (G7)</v>
      </c>
      <c r="L1377" s="29">
        <f>$D1377*VLOOKUP($E1377,'Charts data'!$A$2:$B$11,2,0)*VLOOKUP($G1377,'Charts data'!$A$14:$B$18,2,0)/IF('Charts data'!$E$3=1,I1377,1)/IF('Charts data'!$E$4=1,J1377,1)</f>
        <v>55000</v>
      </c>
    </row>
    <row r="1378" spans="1:12" x14ac:dyDescent="0.25">
      <c r="A1378" s="27" t="s">
        <v>441</v>
      </c>
      <c r="B1378" s="27">
        <v>99000</v>
      </c>
      <c r="C1378" s="27" t="s">
        <v>2</v>
      </c>
      <c r="D1378" s="28">
        <f>B1378*VLOOKUP(C1378,tblXrate[],2,0)</f>
        <v>99000</v>
      </c>
      <c r="E1378" s="27" t="s">
        <v>7</v>
      </c>
      <c r="F1378" s="27" t="s">
        <v>5</v>
      </c>
      <c r="G1378" s="27" t="s">
        <v>2272</v>
      </c>
      <c r="H1378" s="27"/>
      <c r="I1378" s="27">
        <f>VLOOKUP(F1378,mapping!$L$2:$P$92,2,0)</f>
        <v>1</v>
      </c>
      <c r="J1378" s="27">
        <f>VLOOKUP($F1378,mapping!$L$2:$P$92,3,0)</f>
        <v>48386.69</v>
      </c>
      <c r="K1378" s="27" t="str">
        <f>VLOOKUP($F1378,mapping!$L$2:$P$92,4,0)</f>
        <v>Major Advanced Economies (G7)</v>
      </c>
      <c r="L1378" s="29">
        <f>$D1378*VLOOKUP($E1378,'Charts data'!$A$2:$B$11,2,0)*VLOOKUP($G1378,'Charts data'!$A$14:$B$18,2,0)/IF('Charts data'!$E$3=1,I1378,1)/IF('Charts data'!$E$4=1,J1378,1)</f>
        <v>99000</v>
      </c>
    </row>
    <row r="1379" spans="1:12" x14ac:dyDescent="0.25">
      <c r="A1379" s="27" t="s">
        <v>443</v>
      </c>
      <c r="B1379" s="27">
        <v>75000</v>
      </c>
      <c r="C1379" s="27" t="s">
        <v>2</v>
      </c>
      <c r="D1379" s="28">
        <f>B1379*VLOOKUP(C1379,tblXrate[],2,0)</f>
        <v>75000</v>
      </c>
      <c r="E1379" s="27" t="s">
        <v>7</v>
      </c>
      <c r="F1379" s="27" t="s">
        <v>5</v>
      </c>
      <c r="G1379" s="27" t="s">
        <v>2271</v>
      </c>
      <c r="H1379" s="27"/>
      <c r="I1379" s="27">
        <f>VLOOKUP(F1379,mapping!$L$2:$P$92,2,0)</f>
        <v>1</v>
      </c>
      <c r="J1379" s="27">
        <f>VLOOKUP($F1379,mapping!$L$2:$P$92,3,0)</f>
        <v>48386.69</v>
      </c>
      <c r="K1379" s="27" t="str">
        <f>VLOOKUP($F1379,mapping!$L$2:$P$92,4,0)</f>
        <v>Major Advanced Economies (G7)</v>
      </c>
      <c r="L1379" s="29">
        <f>$D1379*VLOOKUP($E1379,'Charts data'!$A$2:$B$11,2,0)*VLOOKUP($G1379,'Charts data'!$A$14:$B$18,2,0)/IF('Charts data'!$E$3=1,I1379,1)/IF('Charts data'!$E$4=1,J1379,1)</f>
        <v>75000</v>
      </c>
    </row>
    <row r="1380" spans="1:12" x14ac:dyDescent="0.25">
      <c r="A1380" s="27" t="s">
        <v>444</v>
      </c>
      <c r="B1380" s="27">
        <v>80000</v>
      </c>
      <c r="C1380" s="27" t="s">
        <v>2</v>
      </c>
      <c r="D1380" s="28">
        <f>B1380*VLOOKUP(C1380,tblXrate[],2,0)</f>
        <v>80000</v>
      </c>
      <c r="E1380" s="27" t="s">
        <v>19</v>
      </c>
      <c r="F1380" s="27" t="s">
        <v>5</v>
      </c>
      <c r="G1380" s="27" t="s">
        <v>2272</v>
      </c>
      <c r="H1380" s="27"/>
      <c r="I1380" s="27">
        <f>VLOOKUP(F1380,mapping!$L$2:$P$92,2,0)</f>
        <v>1</v>
      </c>
      <c r="J1380" s="27">
        <f>VLOOKUP($F1380,mapping!$L$2:$P$92,3,0)</f>
        <v>48386.69</v>
      </c>
      <c r="K1380" s="27" t="str">
        <f>VLOOKUP($F1380,mapping!$L$2:$P$92,4,0)</f>
        <v>Major Advanced Economies (G7)</v>
      </c>
      <c r="L1380" s="29">
        <f>$D1380*VLOOKUP($E1380,'Charts data'!$A$2:$B$11,2,0)*VLOOKUP($G1380,'Charts data'!$A$14:$B$18,2,0)/IF('Charts data'!$E$3=1,I1380,1)/IF('Charts data'!$E$4=1,J1380,1)</f>
        <v>80000</v>
      </c>
    </row>
    <row r="1381" spans="1:12" x14ac:dyDescent="0.25">
      <c r="A1381" s="27" t="s">
        <v>446</v>
      </c>
      <c r="B1381" s="27">
        <v>40000</v>
      </c>
      <c r="C1381" s="27" t="s">
        <v>2</v>
      </c>
      <c r="D1381" s="28">
        <f>B1381*VLOOKUP(C1381,tblXrate[],2,0)</f>
        <v>40000</v>
      </c>
      <c r="E1381" s="27" t="s">
        <v>7</v>
      </c>
      <c r="F1381" s="27" t="s">
        <v>5</v>
      </c>
      <c r="G1381" s="27" t="s">
        <v>2273</v>
      </c>
      <c r="H1381" s="27"/>
      <c r="I1381" s="27">
        <f>VLOOKUP(F1381,mapping!$L$2:$P$92,2,0)</f>
        <v>1</v>
      </c>
      <c r="J1381" s="27">
        <f>VLOOKUP($F1381,mapping!$L$2:$P$92,3,0)</f>
        <v>48386.69</v>
      </c>
      <c r="K1381" s="27" t="str">
        <f>VLOOKUP($F1381,mapping!$L$2:$P$92,4,0)</f>
        <v>Major Advanced Economies (G7)</v>
      </c>
      <c r="L1381" s="29">
        <f>$D1381*VLOOKUP($E1381,'Charts data'!$A$2:$B$11,2,0)*VLOOKUP($G1381,'Charts data'!$A$14:$B$18,2,0)/IF('Charts data'!$E$3=1,I1381,1)/IF('Charts data'!$E$4=1,J1381,1)</f>
        <v>40000</v>
      </c>
    </row>
    <row r="1382" spans="1:12" x14ac:dyDescent="0.25">
      <c r="A1382" s="27" t="s">
        <v>447</v>
      </c>
      <c r="B1382" s="27">
        <v>46000</v>
      </c>
      <c r="C1382" s="27" t="s">
        <v>2</v>
      </c>
      <c r="D1382" s="28">
        <f>B1382*VLOOKUP(C1382,tblXrate[],2,0)</f>
        <v>46000</v>
      </c>
      <c r="E1382" s="27" t="s">
        <v>7</v>
      </c>
      <c r="F1382" s="27" t="s">
        <v>5</v>
      </c>
      <c r="G1382" s="27" t="s">
        <v>2273</v>
      </c>
      <c r="H1382" s="27"/>
      <c r="I1382" s="27">
        <f>VLOOKUP(F1382,mapping!$L$2:$P$92,2,0)</f>
        <v>1</v>
      </c>
      <c r="J1382" s="27">
        <f>VLOOKUP($F1382,mapping!$L$2:$P$92,3,0)</f>
        <v>48386.69</v>
      </c>
      <c r="K1382" s="27" t="str">
        <f>VLOOKUP($F1382,mapping!$L$2:$P$92,4,0)</f>
        <v>Major Advanced Economies (G7)</v>
      </c>
      <c r="L1382" s="29">
        <f>$D1382*VLOOKUP($E1382,'Charts data'!$A$2:$B$11,2,0)*VLOOKUP($G1382,'Charts data'!$A$14:$B$18,2,0)/IF('Charts data'!$E$3=1,I1382,1)/IF('Charts data'!$E$4=1,J1382,1)</f>
        <v>46000</v>
      </c>
    </row>
    <row r="1383" spans="1:12" x14ac:dyDescent="0.25">
      <c r="A1383" s="27" t="s">
        <v>449</v>
      </c>
      <c r="B1383" s="27">
        <v>70000</v>
      </c>
      <c r="C1383" s="27" t="s">
        <v>2</v>
      </c>
      <c r="D1383" s="28">
        <f>B1383*VLOOKUP(C1383,tblXrate[],2,0)</f>
        <v>70000</v>
      </c>
      <c r="E1383" s="27" t="s">
        <v>48</v>
      </c>
      <c r="F1383" s="27" t="s">
        <v>5</v>
      </c>
      <c r="G1383" s="27" t="s">
        <v>2273</v>
      </c>
      <c r="H1383" s="27"/>
      <c r="I1383" s="27">
        <f>VLOOKUP(F1383,mapping!$L$2:$P$92,2,0)</f>
        <v>1</v>
      </c>
      <c r="J1383" s="27">
        <f>VLOOKUP($F1383,mapping!$L$2:$P$92,3,0)</f>
        <v>48386.69</v>
      </c>
      <c r="K1383" s="27" t="str">
        <f>VLOOKUP($F1383,mapping!$L$2:$P$92,4,0)</f>
        <v>Major Advanced Economies (G7)</v>
      </c>
      <c r="L1383" s="29">
        <f>$D1383*VLOOKUP($E1383,'Charts data'!$A$2:$B$11,2,0)*VLOOKUP($G1383,'Charts data'!$A$14:$B$18,2,0)/IF('Charts data'!$E$3=1,I1383,1)/IF('Charts data'!$E$4=1,J1383,1)</f>
        <v>70000</v>
      </c>
    </row>
    <row r="1384" spans="1:12" x14ac:dyDescent="0.25">
      <c r="A1384" s="27" t="s">
        <v>451</v>
      </c>
      <c r="B1384" s="27">
        <v>15000</v>
      </c>
      <c r="C1384" s="27" t="s">
        <v>2</v>
      </c>
      <c r="D1384" s="28">
        <f>B1384*VLOOKUP(C1384,tblXrate[],2,0)</f>
        <v>15000</v>
      </c>
      <c r="E1384" s="27" t="s">
        <v>19</v>
      </c>
      <c r="F1384" s="27" t="s">
        <v>5</v>
      </c>
      <c r="G1384" s="27" t="s">
        <v>2272</v>
      </c>
      <c r="H1384" s="27"/>
      <c r="I1384" s="27">
        <f>VLOOKUP(F1384,mapping!$L$2:$P$92,2,0)</f>
        <v>1</v>
      </c>
      <c r="J1384" s="27">
        <f>VLOOKUP($F1384,mapping!$L$2:$P$92,3,0)</f>
        <v>48386.69</v>
      </c>
      <c r="K1384" s="27" t="str">
        <f>VLOOKUP($F1384,mapping!$L$2:$P$92,4,0)</f>
        <v>Major Advanced Economies (G7)</v>
      </c>
      <c r="L1384" s="29">
        <f>$D1384*VLOOKUP($E1384,'Charts data'!$A$2:$B$11,2,0)*VLOOKUP($G1384,'Charts data'!$A$14:$B$18,2,0)/IF('Charts data'!$E$3=1,I1384,1)/IF('Charts data'!$E$4=1,J1384,1)</f>
        <v>15000</v>
      </c>
    </row>
    <row r="1385" spans="1:12" x14ac:dyDescent="0.25">
      <c r="A1385" s="27" t="s">
        <v>455</v>
      </c>
      <c r="B1385" s="27">
        <v>68000</v>
      </c>
      <c r="C1385" s="27" t="s">
        <v>2</v>
      </c>
      <c r="D1385" s="28">
        <f>B1385*VLOOKUP(C1385,tblXrate[],2,0)</f>
        <v>68000</v>
      </c>
      <c r="E1385" s="27" t="s">
        <v>19</v>
      </c>
      <c r="F1385" s="27" t="s">
        <v>5</v>
      </c>
      <c r="G1385" s="27" t="s">
        <v>2273</v>
      </c>
      <c r="H1385" s="27"/>
      <c r="I1385" s="27">
        <f>VLOOKUP(F1385,mapping!$L$2:$P$92,2,0)</f>
        <v>1</v>
      </c>
      <c r="J1385" s="27">
        <f>VLOOKUP($F1385,mapping!$L$2:$P$92,3,0)</f>
        <v>48386.69</v>
      </c>
      <c r="K1385" s="27" t="str">
        <f>VLOOKUP($F1385,mapping!$L$2:$P$92,4,0)</f>
        <v>Major Advanced Economies (G7)</v>
      </c>
      <c r="L1385" s="29">
        <f>$D1385*VLOOKUP($E1385,'Charts data'!$A$2:$B$11,2,0)*VLOOKUP($G1385,'Charts data'!$A$14:$B$18,2,0)/IF('Charts data'!$E$3=1,I1385,1)/IF('Charts data'!$E$4=1,J1385,1)</f>
        <v>68000</v>
      </c>
    </row>
    <row r="1386" spans="1:12" x14ac:dyDescent="0.25">
      <c r="A1386" s="27" t="s">
        <v>456</v>
      </c>
      <c r="B1386" s="27">
        <v>97000</v>
      </c>
      <c r="C1386" s="27" t="s">
        <v>2</v>
      </c>
      <c r="D1386" s="28">
        <f>B1386*VLOOKUP(C1386,tblXrate[],2,0)</f>
        <v>97000</v>
      </c>
      <c r="E1386" s="27" t="s">
        <v>7</v>
      </c>
      <c r="F1386" s="27" t="s">
        <v>5</v>
      </c>
      <c r="G1386" s="27" t="s">
        <v>2273</v>
      </c>
      <c r="H1386" s="27"/>
      <c r="I1386" s="27">
        <f>VLOOKUP(F1386,mapping!$L$2:$P$92,2,0)</f>
        <v>1</v>
      </c>
      <c r="J1386" s="27">
        <f>VLOOKUP($F1386,mapping!$L$2:$P$92,3,0)</f>
        <v>48386.69</v>
      </c>
      <c r="K1386" s="27" t="str">
        <f>VLOOKUP($F1386,mapping!$L$2:$P$92,4,0)</f>
        <v>Major Advanced Economies (G7)</v>
      </c>
      <c r="L1386" s="29">
        <f>$D1386*VLOOKUP($E1386,'Charts data'!$A$2:$B$11,2,0)*VLOOKUP($G1386,'Charts data'!$A$14:$B$18,2,0)/IF('Charts data'!$E$3=1,I1386,1)/IF('Charts data'!$E$4=1,J1386,1)</f>
        <v>97000</v>
      </c>
    </row>
    <row r="1387" spans="1:12" x14ac:dyDescent="0.25">
      <c r="A1387" s="27" t="s">
        <v>458</v>
      </c>
      <c r="B1387" s="27">
        <v>65000</v>
      </c>
      <c r="C1387" s="27" t="s">
        <v>2</v>
      </c>
      <c r="D1387" s="28">
        <f>B1387*VLOOKUP(C1387,tblXrate[],2,0)</f>
        <v>65000</v>
      </c>
      <c r="E1387" s="27" t="s">
        <v>7</v>
      </c>
      <c r="F1387" s="27" t="s">
        <v>5</v>
      </c>
      <c r="G1387" s="27" t="s">
        <v>2271</v>
      </c>
      <c r="H1387" s="27"/>
      <c r="I1387" s="27">
        <f>VLOOKUP(F1387,mapping!$L$2:$P$92,2,0)</f>
        <v>1</v>
      </c>
      <c r="J1387" s="27">
        <f>VLOOKUP($F1387,mapping!$L$2:$P$92,3,0)</f>
        <v>48386.69</v>
      </c>
      <c r="K1387" s="27" t="str">
        <f>VLOOKUP($F1387,mapping!$L$2:$P$92,4,0)</f>
        <v>Major Advanced Economies (G7)</v>
      </c>
      <c r="L1387" s="29">
        <f>$D1387*VLOOKUP($E1387,'Charts data'!$A$2:$B$11,2,0)*VLOOKUP($G1387,'Charts data'!$A$14:$B$18,2,0)/IF('Charts data'!$E$3=1,I1387,1)/IF('Charts data'!$E$4=1,J1387,1)</f>
        <v>65000</v>
      </c>
    </row>
    <row r="1388" spans="1:12" x14ac:dyDescent="0.25">
      <c r="A1388" s="27" t="s">
        <v>461</v>
      </c>
      <c r="B1388" s="27">
        <v>50000</v>
      </c>
      <c r="C1388" s="27" t="s">
        <v>2</v>
      </c>
      <c r="D1388" s="28">
        <f>B1388*VLOOKUP(C1388,tblXrate[],2,0)</f>
        <v>50000</v>
      </c>
      <c r="E1388" s="27" t="s">
        <v>7</v>
      </c>
      <c r="F1388" s="27" t="s">
        <v>5</v>
      </c>
      <c r="G1388" s="27" t="s">
        <v>2273</v>
      </c>
      <c r="H1388" s="27"/>
      <c r="I1388" s="27">
        <f>VLOOKUP(F1388,mapping!$L$2:$P$92,2,0)</f>
        <v>1</v>
      </c>
      <c r="J1388" s="27">
        <f>VLOOKUP($F1388,mapping!$L$2:$P$92,3,0)</f>
        <v>48386.69</v>
      </c>
      <c r="K1388" s="27" t="str">
        <f>VLOOKUP($F1388,mapping!$L$2:$P$92,4,0)</f>
        <v>Major Advanced Economies (G7)</v>
      </c>
      <c r="L1388" s="29">
        <f>$D1388*VLOOKUP($E1388,'Charts data'!$A$2:$B$11,2,0)*VLOOKUP($G1388,'Charts data'!$A$14:$B$18,2,0)/IF('Charts data'!$E$3=1,I1388,1)/IF('Charts data'!$E$4=1,J1388,1)</f>
        <v>50000</v>
      </c>
    </row>
    <row r="1389" spans="1:12" x14ac:dyDescent="0.25">
      <c r="A1389" s="27" t="s">
        <v>462</v>
      </c>
      <c r="B1389" s="27">
        <v>45000</v>
      </c>
      <c r="C1389" s="27" t="s">
        <v>2</v>
      </c>
      <c r="D1389" s="28">
        <f>B1389*VLOOKUP(C1389,tblXrate[],2,0)</f>
        <v>45000</v>
      </c>
      <c r="E1389" s="27" t="s">
        <v>7</v>
      </c>
      <c r="F1389" s="27" t="s">
        <v>5</v>
      </c>
      <c r="G1389" s="27" t="s">
        <v>2271</v>
      </c>
      <c r="H1389" s="27"/>
      <c r="I1389" s="27">
        <f>VLOOKUP(F1389,mapping!$L$2:$P$92,2,0)</f>
        <v>1</v>
      </c>
      <c r="J1389" s="27">
        <f>VLOOKUP($F1389,mapping!$L$2:$P$92,3,0)</f>
        <v>48386.69</v>
      </c>
      <c r="K1389" s="27" t="str">
        <f>VLOOKUP($F1389,mapping!$L$2:$P$92,4,0)</f>
        <v>Major Advanced Economies (G7)</v>
      </c>
      <c r="L1389" s="29">
        <f>$D1389*VLOOKUP($E1389,'Charts data'!$A$2:$B$11,2,0)*VLOOKUP($G1389,'Charts data'!$A$14:$B$18,2,0)/IF('Charts data'!$E$3=1,I1389,1)/IF('Charts data'!$E$4=1,J1389,1)</f>
        <v>45000</v>
      </c>
    </row>
    <row r="1390" spans="1:12" x14ac:dyDescent="0.25">
      <c r="A1390" s="27" t="s">
        <v>464</v>
      </c>
      <c r="B1390" s="27">
        <v>60000</v>
      </c>
      <c r="C1390" s="27" t="s">
        <v>2</v>
      </c>
      <c r="D1390" s="28">
        <f>B1390*VLOOKUP(C1390,tblXrate[],2,0)</f>
        <v>60000</v>
      </c>
      <c r="E1390" s="27" t="s">
        <v>19</v>
      </c>
      <c r="F1390" s="27" t="s">
        <v>5</v>
      </c>
      <c r="G1390" s="27" t="s">
        <v>2273</v>
      </c>
      <c r="H1390" s="27"/>
      <c r="I1390" s="27">
        <f>VLOOKUP(F1390,mapping!$L$2:$P$92,2,0)</f>
        <v>1</v>
      </c>
      <c r="J1390" s="27">
        <f>VLOOKUP($F1390,mapping!$L$2:$P$92,3,0)</f>
        <v>48386.69</v>
      </c>
      <c r="K1390" s="27" t="str">
        <f>VLOOKUP($F1390,mapping!$L$2:$P$92,4,0)</f>
        <v>Major Advanced Economies (G7)</v>
      </c>
      <c r="L1390" s="29">
        <f>$D1390*VLOOKUP($E1390,'Charts data'!$A$2:$B$11,2,0)*VLOOKUP($G1390,'Charts data'!$A$14:$B$18,2,0)/IF('Charts data'!$E$3=1,I1390,1)/IF('Charts data'!$E$4=1,J1390,1)</f>
        <v>60000</v>
      </c>
    </row>
    <row r="1391" spans="1:12" x14ac:dyDescent="0.25">
      <c r="A1391" s="27" t="s">
        <v>465</v>
      </c>
      <c r="B1391" s="27">
        <v>31000</v>
      </c>
      <c r="C1391" s="27" t="s">
        <v>2</v>
      </c>
      <c r="D1391" s="28">
        <f>B1391*VLOOKUP(C1391,tblXrate[],2,0)</f>
        <v>31000</v>
      </c>
      <c r="E1391" s="27" t="s">
        <v>23</v>
      </c>
      <c r="F1391" s="27" t="s">
        <v>5</v>
      </c>
      <c r="G1391" s="27" t="s">
        <v>2272</v>
      </c>
      <c r="H1391" s="27"/>
      <c r="I1391" s="27">
        <f>VLOOKUP(F1391,mapping!$L$2:$P$92,2,0)</f>
        <v>1</v>
      </c>
      <c r="J1391" s="27">
        <f>VLOOKUP($F1391,mapping!$L$2:$P$92,3,0)</f>
        <v>48386.69</v>
      </c>
      <c r="K1391" s="27" t="str">
        <f>VLOOKUP($F1391,mapping!$L$2:$P$92,4,0)</f>
        <v>Major Advanced Economies (G7)</v>
      </c>
      <c r="L1391" s="29">
        <f>$D1391*VLOOKUP($E1391,'Charts data'!$A$2:$B$11,2,0)*VLOOKUP($G1391,'Charts data'!$A$14:$B$18,2,0)/IF('Charts data'!$E$3=1,I1391,1)/IF('Charts data'!$E$4=1,J1391,1)</f>
        <v>31000</v>
      </c>
    </row>
    <row r="1392" spans="1:12" x14ac:dyDescent="0.25">
      <c r="A1392" s="27" t="s">
        <v>466</v>
      </c>
      <c r="B1392" s="27">
        <v>75000</v>
      </c>
      <c r="C1392" s="27" t="s">
        <v>2</v>
      </c>
      <c r="D1392" s="28">
        <f>B1392*VLOOKUP(C1392,tblXrate[],2,0)</f>
        <v>75000</v>
      </c>
      <c r="E1392" s="27" t="s">
        <v>7</v>
      </c>
      <c r="F1392" s="27" t="s">
        <v>5</v>
      </c>
      <c r="G1392" s="27" t="s">
        <v>2271</v>
      </c>
      <c r="H1392" s="27"/>
      <c r="I1392" s="27">
        <f>VLOOKUP(F1392,mapping!$L$2:$P$92,2,0)</f>
        <v>1</v>
      </c>
      <c r="J1392" s="27">
        <f>VLOOKUP($F1392,mapping!$L$2:$P$92,3,0)</f>
        <v>48386.69</v>
      </c>
      <c r="K1392" s="27" t="str">
        <f>VLOOKUP($F1392,mapping!$L$2:$P$92,4,0)</f>
        <v>Major Advanced Economies (G7)</v>
      </c>
      <c r="L1392" s="29">
        <f>$D1392*VLOOKUP($E1392,'Charts data'!$A$2:$B$11,2,0)*VLOOKUP($G1392,'Charts data'!$A$14:$B$18,2,0)/IF('Charts data'!$E$3=1,I1392,1)/IF('Charts data'!$E$4=1,J1392,1)</f>
        <v>75000</v>
      </c>
    </row>
    <row r="1393" spans="1:12" x14ac:dyDescent="0.25">
      <c r="A1393" s="27" t="s">
        <v>467</v>
      </c>
      <c r="B1393" s="27">
        <v>16000</v>
      </c>
      <c r="C1393" s="27" t="s">
        <v>2</v>
      </c>
      <c r="D1393" s="28">
        <f>B1393*VLOOKUP(C1393,tblXrate[],2,0)</f>
        <v>16000</v>
      </c>
      <c r="E1393" s="27" t="s">
        <v>2147</v>
      </c>
      <c r="F1393" s="27" t="s">
        <v>5</v>
      </c>
      <c r="G1393" s="27" t="s">
        <v>2274</v>
      </c>
      <c r="H1393" s="27"/>
      <c r="I1393" s="27">
        <f>VLOOKUP(F1393,mapping!$L$2:$P$92,2,0)</f>
        <v>1</v>
      </c>
      <c r="J1393" s="27">
        <f>VLOOKUP($F1393,mapping!$L$2:$P$92,3,0)</f>
        <v>48386.69</v>
      </c>
      <c r="K1393" s="27" t="str">
        <f>VLOOKUP($F1393,mapping!$L$2:$P$92,4,0)</f>
        <v>Major Advanced Economies (G7)</v>
      </c>
      <c r="L1393" s="29">
        <f>$D1393*VLOOKUP($E1393,'Charts data'!$A$2:$B$11,2,0)*VLOOKUP($G1393,'Charts data'!$A$14:$B$18,2,0)/IF('Charts data'!$E$3=1,I1393,1)/IF('Charts data'!$E$4=1,J1393,1)</f>
        <v>16000</v>
      </c>
    </row>
    <row r="1394" spans="1:12" x14ac:dyDescent="0.25">
      <c r="A1394" s="27" t="s">
        <v>468</v>
      </c>
      <c r="B1394" s="27">
        <v>36000</v>
      </c>
      <c r="C1394" s="27" t="s">
        <v>2</v>
      </c>
      <c r="D1394" s="28">
        <f>B1394*VLOOKUP(C1394,tblXrate[],2,0)</f>
        <v>36000</v>
      </c>
      <c r="E1394" s="27" t="s">
        <v>7</v>
      </c>
      <c r="F1394" s="27" t="s">
        <v>5</v>
      </c>
      <c r="G1394" s="27" t="s">
        <v>2273</v>
      </c>
      <c r="H1394" s="27"/>
      <c r="I1394" s="27">
        <f>VLOOKUP(F1394,mapping!$L$2:$P$92,2,0)</f>
        <v>1</v>
      </c>
      <c r="J1394" s="27">
        <f>VLOOKUP($F1394,mapping!$L$2:$P$92,3,0)</f>
        <v>48386.69</v>
      </c>
      <c r="K1394" s="27" t="str">
        <f>VLOOKUP($F1394,mapping!$L$2:$P$92,4,0)</f>
        <v>Major Advanced Economies (G7)</v>
      </c>
      <c r="L1394" s="29">
        <f>$D1394*VLOOKUP($E1394,'Charts data'!$A$2:$B$11,2,0)*VLOOKUP($G1394,'Charts data'!$A$14:$B$18,2,0)/IF('Charts data'!$E$3=1,I1394,1)/IF('Charts data'!$E$4=1,J1394,1)</f>
        <v>36000</v>
      </c>
    </row>
    <row r="1395" spans="1:12" x14ac:dyDescent="0.25">
      <c r="A1395" s="27" t="s">
        <v>470</v>
      </c>
      <c r="B1395" s="27">
        <v>53000</v>
      </c>
      <c r="C1395" s="27" t="s">
        <v>2</v>
      </c>
      <c r="D1395" s="28">
        <f>B1395*VLOOKUP(C1395,tblXrate[],2,0)</f>
        <v>53000</v>
      </c>
      <c r="E1395" s="27" t="s">
        <v>7</v>
      </c>
      <c r="F1395" s="27" t="s">
        <v>5</v>
      </c>
      <c r="G1395" s="27" t="s">
        <v>2271</v>
      </c>
      <c r="H1395" s="27"/>
      <c r="I1395" s="27">
        <f>VLOOKUP(F1395,mapping!$L$2:$P$92,2,0)</f>
        <v>1</v>
      </c>
      <c r="J1395" s="27">
        <f>VLOOKUP($F1395,mapping!$L$2:$P$92,3,0)</f>
        <v>48386.69</v>
      </c>
      <c r="K1395" s="27" t="str">
        <f>VLOOKUP($F1395,mapping!$L$2:$P$92,4,0)</f>
        <v>Major Advanced Economies (G7)</v>
      </c>
      <c r="L1395" s="29">
        <f>$D1395*VLOOKUP($E1395,'Charts data'!$A$2:$B$11,2,0)*VLOOKUP($G1395,'Charts data'!$A$14:$B$18,2,0)/IF('Charts data'!$E$3=1,I1395,1)/IF('Charts data'!$E$4=1,J1395,1)</f>
        <v>53000</v>
      </c>
    </row>
    <row r="1396" spans="1:12" x14ac:dyDescent="0.25">
      <c r="A1396" s="27" t="s">
        <v>472</v>
      </c>
      <c r="B1396" s="27">
        <v>67000</v>
      </c>
      <c r="C1396" s="27" t="s">
        <v>2</v>
      </c>
      <c r="D1396" s="28">
        <f>B1396*VLOOKUP(C1396,tblXrate[],2,0)</f>
        <v>67000</v>
      </c>
      <c r="E1396" s="27" t="s">
        <v>7</v>
      </c>
      <c r="F1396" s="27" t="s">
        <v>5</v>
      </c>
      <c r="G1396" s="27" t="s">
        <v>2271</v>
      </c>
      <c r="H1396" s="27"/>
      <c r="I1396" s="27">
        <f>VLOOKUP(F1396,mapping!$L$2:$P$92,2,0)</f>
        <v>1</v>
      </c>
      <c r="J1396" s="27">
        <f>VLOOKUP($F1396,mapping!$L$2:$P$92,3,0)</f>
        <v>48386.69</v>
      </c>
      <c r="K1396" s="27" t="str">
        <f>VLOOKUP($F1396,mapping!$L$2:$P$92,4,0)</f>
        <v>Major Advanced Economies (G7)</v>
      </c>
      <c r="L1396" s="29">
        <f>$D1396*VLOOKUP($E1396,'Charts data'!$A$2:$B$11,2,0)*VLOOKUP($G1396,'Charts data'!$A$14:$B$18,2,0)/IF('Charts data'!$E$3=1,I1396,1)/IF('Charts data'!$E$4=1,J1396,1)</f>
        <v>67000</v>
      </c>
    </row>
    <row r="1397" spans="1:12" x14ac:dyDescent="0.25">
      <c r="A1397" s="27" t="s">
        <v>474</v>
      </c>
      <c r="B1397" s="27">
        <v>85000</v>
      </c>
      <c r="C1397" s="27" t="s">
        <v>2</v>
      </c>
      <c r="D1397" s="28">
        <f>B1397*VLOOKUP(C1397,tblXrate[],2,0)</f>
        <v>85000</v>
      </c>
      <c r="E1397" s="27" t="s">
        <v>62</v>
      </c>
      <c r="F1397" s="27" t="s">
        <v>5</v>
      </c>
      <c r="G1397" s="27" t="s">
        <v>2273</v>
      </c>
      <c r="H1397" s="27"/>
      <c r="I1397" s="27">
        <f>VLOOKUP(F1397,mapping!$L$2:$P$92,2,0)</f>
        <v>1</v>
      </c>
      <c r="J1397" s="27">
        <f>VLOOKUP($F1397,mapping!$L$2:$P$92,3,0)</f>
        <v>48386.69</v>
      </c>
      <c r="K1397" s="27" t="str">
        <f>VLOOKUP($F1397,mapping!$L$2:$P$92,4,0)</f>
        <v>Major Advanced Economies (G7)</v>
      </c>
      <c r="L1397" s="29">
        <f>$D1397*VLOOKUP($E1397,'Charts data'!$A$2:$B$11,2,0)*VLOOKUP($G1397,'Charts data'!$A$14:$B$18,2,0)/IF('Charts data'!$E$3=1,I1397,1)/IF('Charts data'!$E$4=1,J1397,1)</f>
        <v>85000</v>
      </c>
    </row>
    <row r="1398" spans="1:12" x14ac:dyDescent="0.25">
      <c r="A1398" s="27" t="s">
        <v>476</v>
      </c>
      <c r="B1398" s="27">
        <v>40000</v>
      </c>
      <c r="C1398" s="27" t="s">
        <v>2</v>
      </c>
      <c r="D1398" s="28">
        <f>B1398*VLOOKUP(C1398,tblXrate[],2,0)</f>
        <v>40000</v>
      </c>
      <c r="E1398" s="27" t="s">
        <v>19</v>
      </c>
      <c r="F1398" s="27" t="s">
        <v>5</v>
      </c>
      <c r="G1398" s="27" t="s">
        <v>2271</v>
      </c>
      <c r="H1398" s="27"/>
      <c r="I1398" s="27">
        <f>VLOOKUP(F1398,mapping!$L$2:$P$92,2,0)</f>
        <v>1</v>
      </c>
      <c r="J1398" s="27">
        <f>VLOOKUP($F1398,mapping!$L$2:$P$92,3,0)</f>
        <v>48386.69</v>
      </c>
      <c r="K1398" s="27" t="str">
        <f>VLOOKUP($F1398,mapping!$L$2:$P$92,4,0)</f>
        <v>Major Advanced Economies (G7)</v>
      </c>
      <c r="L1398" s="29">
        <f>$D1398*VLOOKUP($E1398,'Charts data'!$A$2:$B$11,2,0)*VLOOKUP($G1398,'Charts data'!$A$14:$B$18,2,0)/IF('Charts data'!$E$3=1,I1398,1)/IF('Charts data'!$E$4=1,J1398,1)</f>
        <v>40000</v>
      </c>
    </row>
    <row r="1399" spans="1:12" x14ac:dyDescent="0.25">
      <c r="A1399" s="27" t="s">
        <v>478</v>
      </c>
      <c r="B1399" s="27">
        <v>41000</v>
      </c>
      <c r="C1399" s="27" t="s">
        <v>2</v>
      </c>
      <c r="D1399" s="28">
        <f>B1399*VLOOKUP(C1399,tblXrate[],2,0)</f>
        <v>41000</v>
      </c>
      <c r="E1399" s="27" t="s">
        <v>7</v>
      </c>
      <c r="F1399" s="27" t="s">
        <v>5</v>
      </c>
      <c r="G1399" s="27" t="s">
        <v>2271</v>
      </c>
      <c r="H1399" s="27"/>
      <c r="I1399" s="27">
        <f>VLOOKUP(F1399,mapping!$L$2:$P$92,2,0)</f>
        <v>1</v>
      </c>
      <c r="J1399" s="27">
        <f>VLOOKUP($F1399,mapping!$L$2:$P$92,3,0)</f>
        <v>48386.69</v>
      </c>
      <c r="K1399" s="27" t="str">
        <f>VLOOKUP($F1399,mapping!$L$2:$P$92,4,0)</f>
        <v>Major Advanced Economies (G7)</v>
      </c>
      <c r="L1399" s="29">
        <f>$D1399*VLOOKUP($E1399,'Charts data'!$A$2:$B$11,2,0)*VLOOKUP($G1399,'Charts data'!$A$14:$B$18,2,0)/IF('Charts data'!$E$3=1,I1399,1)/IF('Charts data'!$E$4=1,J1399,1)</f>
        <v>41000</v>
      </c>
    </row>
    <row r="1400" spans="1:12" x14ac:dyDescent="0.25">
      <c r="A1400" s="27" t="s">
        <v>480</v>
      </c>
      <c r="B1400" s="27">
        <v>125000</v>
      </c>
      <c r="C1400" s="27" t="s">
        <v>2</v>
      </c>
      <c r="D1400" s="28">
        <f>B1400*VLOOKUP(C1400,tblXrate[],2,0)</f>
        <v>125000</v>
      </c>
      <c r="E1400" s="27" t="s">
        <v>19</v>
      </c>
      <c r="F1400" s="27" t="s">
        <v>5</v>
      </c>
      <c r="G1400" s="27" t="s">
        <v>2271</v>
      </c>
      <c r="H1400" s="27"/>
      <c r="I1400" s="27">
        <f>VLOOKUP(F1400,mapping!$L$2:$P$92,2,0)</f>
        <v>1</v>
      </c>
      <c r="J1400" s="27">
        <f>VLOOKUP($F1400,mapping!$L$2:$P$92,3,0)</f>
        <v>48386.69</v>
      </c>
      <c r="K1400" s="27" t="str">
        <f>VLOOKUP($F1400,mapping!$L$2:$P$92,4,0)</f>
        <v>Major Advanced Economies (G7)</v>
      </c>
      <c r="L1400" s="29">
        <f>$D1400*VLOOKUP($E1400,'Charts data'!$A$2:$B$11,2,0)*VLOOKUP($G1400,'Charts data'!$A$14:$B$18,2,0)/IF('Charts data'!$E$3=1,I1400,1)/IF('Charts data'!$E$4=1,J1400,1)</f>
        <v>125000</v>
      </c>
    </row>
    <row r="1401" spans="1:12" x14ac:dyDescent="0.25">
      <c r="A1401" s="27" t="s">
        <v>483</v>
      </c>
      <c r="B1401" s="27">
        <v>70000</v>
      </c>
      <c r="C1401" s="27" t="s">
        <v>2</v>
      </c>
      <c r="D1401" s="28">
        <f>B1401*VLOOKUP(C1401,tblXrate[],2,0)</f>
        <v>70000</v>
      </c>
      <c r="E1401" s="27" t="s">
        <v>7</v>
      </c>
      <c r="F1401" s="27" t="s">
        <v>5</v>
      </c>
      <c r="G1401" s="27" t="s">
        <v>2272</v>
      </c>
      <c r="H1401" s="27"/>
      <c r="I1401" s="27">
        <f>VLOOKUP(F1401,mapping!$L$2:$P$92,2,0)</f>
        <v>1</v>
      </c>
      <c r="J1401" s="27">
        <f>VLOOKUP($F1401,mapping!$L$2:$P$92,3,0)</f>
        <v>48386.69</v>
      </c>
      <c r="K1401" s="27" t="str">
        <f>VLOOKUP($F1401,mapping!$L$2:$P$92,4,0)</f>
        <v>Major Advanced Economies (G7)</v>
      </c>
      <c r="L1401" s="29">
        <f>$D1401*VLOOKUP($E1401,'Charts data'!$A$2:$B$11,2,0)*VLOOKUP($G1401,'Charts data'!$A$14:$B$18,2,0)/IF('Charts data'!$E$3=1,I1401,1)/IF('Charts data'!$E$4=1,J1401,1)</f>
        <v>70000</v>
      </c>
    </row>
    <row r="1402" spans="1:12" x14ac:dyDescent="0.25">
      <c r="A1402" s="27" t="s">
        <v>484</v>
      </c>
      <c r="B1402" s="27">
        <v>400000</v>
      </c>
      <c r="C1402" s="27" t="s">
        <v>2</v>
      </c>
      <c r="D1402" s="28">
        <f>B1402*VLOOKUP(C1402,tblXrate[],2,0)</f>
        <v>400000</v>
      </c>
      <c r="E1402" s="27" t="s">
        <v>23</v>
      </c>
      <c r="F1402" s="27" t="s">
        <v>5</v>
      </c>
      <c r="G1402" s="27" t="s">
        <v>2273</v>
      </c>
      <c r="H1402" s="27"/>
      <c r="I1402" s="27">
        <f>VLOOKUP(F1402,mapping!$L$2:$P$92,2,0)</f>
        <v>1</v>
      </c>
      <c r="J1402" s="27">
        <f>VLOOKUP($F1402,mapping!$L$2:$P$92,3,0)</f>
        <v>48386.69</v>
      </c>
      <c r="K1402" s="27" t="str">
        <f>VLOOKUP($F1402,mapping!$L$2:$P$92,4,0)</f>
        <v>Major Advanced Economies (G7)</v>
      </c>
      <c r="L1402" s="29">
        <f>$D1402*VLOOKUP($E1402,'Charts data'!$A$2:$B$11,2,0)*VLOOKUP($G1402,'Charts data'!$A$14:$B$18,2,0)/IF('Charts data'!$E$3=1,I1402,1)/IF('Charts data'!$E$4=1,J1402,1)</f>
        <v>400000</v>
      </c>
    </row>
    <row r="1403" spans="1:12" x14ac:dyDescent="0.25">
      <c r="A1403" s="27" t="s">
        <v>485</v>
      </c>
      <c r="B1403" s="27">
        <v>55000</v>
      </c>
      <c r="C1403" s="27" t="s">
        <v>2</v>
      </c>
      <c r="D1403" s="28">
        <f>B1403*VLOOKUP(C1403,tblXrate[],2,0)</f>
        <v>55000</v>
      </c>
      <c r="E1403" s="27" t="s">
        <v>7</v>
      </c>
      <c r="F1403" s="27" t="s">
        <v>5</v>
      </c>
      <c r="G1403" s="27" t="s">
        <v>2271</v>
      </c>
      <c r="H1403" s="27"/>
      <c r="I1403" s="27">
        <f>VLOOKUP(F1403,mapping!$L$2:$P$92,2,0)</f>
        <v>1</v>
      </c>
      <c r="J1403" s="27">
        <f>VLOOKUP($F1403,mapping!$L$2:$P$92,3,0)</f>
        <v>48386.69</v>
      </c>
      <c r="K1403" s="27" t="str">
        <f>VLOOKUP($F1403,mapping!$L$2:$P$92,4,0)</f>
        <v>Major Advanced Economies (G7)</v>
      </c>
      <c r="L1403" s="29">
        <f>$D1403*VLOOKUP($E1403,'Charts data'!$A$2:$B$11,2,0)*VLOOKUP($G1403,'Charts data'!$A$14:$B$18,2,0)/IF('Charts data'!$E$3=1,I1403,1)/IF('Charts data'!$E$4=1,J1403,1)</f>
        <v>55000</v>
      </c>
    </row>
    <row r="1404" spans="1:12" x14ac:dyDescent="0.25">
      <c r="A1404" s="27" t="s">
        <v>486</v>
      </c>
      <c r="B1404" s="27">
        <v>60000</v>
      </c>
      <c r="C1404" s="27" t="s">
        <v>2</v>
      </c>
      <c r="D1404" s="28">
        <f>B1404*VLOOKUP(C1404,tblXrate[],2,0)</f>
        <v>60000</v>
      </c>
      <c r="E1404" s="27" t="s">
        <v>7</v>
      </c>
      <c r="F1404" s="27" t="s">
        <v>5</v>
      </c>
      <c r="G1404" s="27" t="s">
        <v>2271</v>
      </c>
      <c r="H1404" s="27"/>
      <c r="I1404" s="27">
        <f>VLOOKUP(F1404,mapping!$L$2:$P$92,2,0)</f>
        <v>1</v>
      </c>
      <c r="J1404" s="27">
        <f>VLOOKUP($F1404,mapping!$L$2:$P$92,3,0)</f>
        <v>48386.69</v>
      </c>
      <c r="K1404" s="27" t="str">
        <f>VLOOKUP($F1404,mapping!$L$2:$P$92,4,0)</f>
        <v>Major Advanced Economies (G7)</v>
      </c>
      <c r="L1404" s="29">
        <f>$D1404*VLOOKUP($E1404,'Charts data'!$A$2:$B$11,2,0)*VLOOKUP($G1404,'Charts data'!$A$14:$B$18,2,0)/IF('Charts data'!$E$3=1,I1404,1)/IF('Charts data'!$E$4=1,J1404,1)</f>
        <v>60000</v>
      </c>
    </row>
    <row r="1405" spans="1:12" x14ac:dyDescent="0.25">
      <c r="A1405" s="27" t="s">
        <v>489</v>
      </c>
      <c r="B1405" s="27">
        <v>137500</v>
      </c>
      <c r="C1405" s="27" t="s">
        <v>2</v>
      </c>
      <c r="D1405" s="28">
        <f>B1405*VLOOKUP(C1405,tblXrate[],2,0)</f>
        <v>137500</v>
      </c>
      <c r="E1405" s="27" t="s">
        <v>7</v>
      </c>
      <c r="F1405" s="27" t="s">
        <v>5</v>
      </c>
      <c r="G1405" s="27" t="s">
        <v>2271</v>
      </c>
      <c r="H1405" s="27"/>
      <c r="I1405" s="27">
        <f>VLOOKUP(F1405,mapping!$L$2:$P$92,2,0)</f>
        <v>1</v>
      </c>
      <c r="J1405" s="27">
        <f>VLOOKUP($F1405,mapping!$L$2:$P$92,3,0)</f>
        <v>48386.69</v>
      </c>
      <c r="K1405" s="27" t="str">
        <f>VLOOKUP($F1405,mapping!$L$2:$P$92,4,0)</f>
        <v>Major Advanced Economies (G7)</v>
      </c>
      <c r="L1405" s="29">
        <f>$D1405*VLOOKUP($E1405,'Charts data'!$A$2:$B$11,2,0)*VLOOKUP($G1405,'Charts data'!$A$14:$B$18,2,0)/IF('Charts data'!$E$3=1,I1405,1)/IF('Charts data'!$E$4=1,J1405,1)</f>
        <v>137500</v>
      </c>
    </row>
    <row r="1406" spans="1:12" x14ac:dyDescent="0.25">
      <c r="A1406" s="27" t="s">
        <v>492</v>
      </c>
      <c r="B1406" s="27">
        <v>47000</v>
      </c>
      <c r="C1406" s="27" t="s">
        <v>2</v>
      </c>
      <c r="D1406" s="28">
        <f>B1406*VLOOKUP(C1406,tblXrate[],2,0)</f>
        <v>47000</v>
      </c>
      <c r="E1406" s="27" t="s">
        <v>23</v>
      </c>
      <c r="F1406" s="27" t="s">
        <v>5</v>
      </c>
      <c r="G1406" s="27" t="s">
        <v>2271</v>
      </c>
      <c r="H1406" s="27"/>
      <c r="I1406" s="27">
        <f>VLOOKUP(F1406,mapping!$L$2:$P$92,2,0)</f>
        <v>1</v>
      </c>
      <c r="J1406" s="27">
        <f>VLOOKUP($F1406,mapping!$L$2:$P$92,3,0)</f>
        <v>48386.69</v>
      </c>
      <c r="K1406" s="27" t="str">
        <f>VLOOKUP($F1406,mapping!$L$2:$P$92,4,0)</f>
        <v>Major Advanced Economies (G7)</v>
      </c>
      <c r="L1406" s="29">
        <f>$D1406*VLOOKUP($E1406,'Charts data'!$A$2:$B$11,2,0)*VLOOKUP($G1406,'Charts data'!$A$14:$B$18,2,0)/IF('Charts data'!$E$3=1,I1406,1)/IF('Charts data'!$E$4=1,J1406,1)</f>
        <v>47000</v>
      </c>
    </row>
    <row r="1407" spans="1:12" x14ac:dyDescent="0.25">
      <c r="A1407" s="27" t="s">
        <v>493</v>
      </c>
      <c r="B1407" s="27">
        <v>65000</v>
      </c>
      <c r="C1407" s="27" t="s">
        <v>2</v>
      </c>
      <c r="D1407" s="28">
        <f>B1407*VLOOKUP(C1407,tblXrate[],2,0)</f>
        <v>65000</v>
      </c>
      <c r="E1407" s="27" t="s">
        <v>7</v>
      </c>
      <c r="F1407" s="27" t="s">
        <v>5</v>
      </c>
      <c r="G1407" s="27" t="s">
        <v>2273</v>
      </c>
      <c r="H1407" s="27"/>
      <c r="I1407" s="27">
        <f>VLOOKUP(F1407,mapping!$L$2:$P$92,2,0)</f>
        <v>1</v>
      </c>
      <c r="J1407" s="27">
        <f>VLOOKUP($F1407,mapping!$L$2:$P$92,3,0)</f>
        <v>48386.69</v>
      </c>
      <c r="K1407" s="27" t="str">
        <f>VLOOKUP($F1407,mapping!$L$2:$P$92,4,0)</f>
        <v>Major Advanced Economies (G7)</v>
      </c>
      <c r="L1407" s="29">
        <f>$D1407*VLOOKUP($E1407,'Charts data'!$A$2:$B$11,2,0)*VLOOKUP($G1407,'Charts data'!$A$14:$B$18,2,0)/IF('Charts data'!$E$3=1,I1407,1)/IF('Charts data'!$E$4=1,J1407,1)</f>
        <v>65000</v>
      </c>
    </row>
    <row r="1408" spans="1:12" x14ac:dyDescent="0.25">
      <c r="A1408" s="27" t="s">
        <v>495</v>
      </c>
      <c r="B1408" s="27">
        <v>92000</v>
      </c>
      <c r="C1408" s="27" t="s">
        <v>2</v>
      </c>
      <c r="D1408" s="28">
        <f>B1408*VLOOKUP(C1408,tblXrate[],2,0)</f>
        <v>92000</v>
      </c>
      <c r="E1408" s="27" t="s">
        <v>19</v>
      </c>
      <c r="F1408" s="27" t="s">
        <v>5</v>
      </c>
      <c r="G1408" s="27" t="s">
        <v>2271</v>
      </c>
      <c r="H1408" s="27"/>
      <c r="I1408" s="27">
        <f>VLOOKUP(F1408,mapping!$L$2:$P$92,2,0)</f>
        <v>1</v>
      </c>
      <c r="J1408" s="27">
        <f>VLOOKUP($F1408,mapping!$L$2:$P$92,3,0)</f>
        <v>48386.69</v>
      </c>
      <c r="K1408" s="27" t="str">
        <f>VLOOKUP($F1408,mapping!$L$2:$P$92,4,0)</f>
        <v>Major Advanced Economies (G7)</v>
      </c>
      <c r="L1408" s="29">
        <f>$D1408*VLOOKUP($E1408,'Charts data'!$A$2:$B$11,2,0)*VLOOKUP($G1408,'Charts data'!$A$14:$B$18,2,0)/IF('Charts data'!$E$3=1,I1408,1)/IF('Charts data'!$E$4=1,J1408,1)</f>
        <v>92000</v>
      </c>
    </row>
    <row r="1409" spans="1:12" x14ac:dyDescent="0.25">
      <c r="A1409" s="27" t="s">
        <v>497</v>
      </c>
      <c r="B1409" s="27">
        <v>108000</v>
      </c>
      <c r="C1409" s="27" t="s">
        <v>2</v>
      </c>
      <c r="D1409" s="28">
        <f>B1409*VLOOKUP(C1409,tblXrate[],2,0)</f>
        <v>108000</v>
      </c>
      <c r="E1409" s="27" t="s">
        <v>19</v>
      </c>
      <c r="F1409" s="27" t="s">
        <v>5</v>
      </c>
      <c r="G1409" s="27" t="s">
        <v>2272</v>
      </c>
      <c r="H1409" s="27"/>
      <c r="I1409" s="27">
        <f>VLOOKUP(F1409,mapping!$L$2:$P$92,2,0)</f>
        <v>1</v>
      </c>
      <c r="J1409" s="27">
        <f>VLOOKUP($F1409,mapping!$L$2:$P$92,3,0)</f>
        <v>48386.69</v>
      </c>
      <c r="K1409" s="27" t="str">
        <f>VLOOKUP($F1409,mapping!$L$2:$P$92,4,0)</f>
        <v>Major Advanced Economies (G7)</v>
      </c>
      <c r="L1409" s="29">
        <f>$D1409*VLOOKUP($E1409,'Charts data'!$A$2:$B$11,2,0)*VLOOKUP($G1409,'Charts data'!$A$14:$B$18,2,0)/IF('Charts data'!$E$3=1,I1409,1)/IF('Charts data'!$E$4=1,J1409,1)</f>
        <v>108000</v>
      </c>
    </row>
    <row r="1410" spans="1:12" x14ac:dyDescent="0.25">
      <c r="A1410" s="27" t="s">
        <v>498</v>
      </c>
      <c r="B1410" s="27">
        <v>61000</v>
      </c>
      <c r="C1410" s="27" t="s">
        <v>2</v>
      </c>
      <c r="D1410" s="28">
        <f>B1410*VLOOKUP(C1410,tblXrate[],2,0)</f>
        <v>61000</v>
      </c>
      <c r="E1410" s="27" t="s">
        <v>7</v>
      </c>
      <c r="F1410" s="27" t="s">
        <v>5</v>
      </c>
      <c r="G1410" s="27" t="s">
        <v>2274</v>
      </c>
      <c r="H1410" s="27"/>
      <c r="I1410" s="27">
        <f>VLOOKUP(F1410,mapping!$L$2:$P$92,2,0)</f>
        <v>1</v>
      </c>
      <c r="J1410" s="27">
        <f>VLOOKUP($F1410,mapping!$L$2:$P$92,3,0)</f>
        <v>48386.69</v>
      </c>
      <c r="K1410" s="27" t="str">
        <f>VLOOKUP($F1410,mapping!$L$2:$P$92,4,0)</f>
        <v>Major Advanced Economies (G7)</v>
      </c>
      <c r="L1410" s="29">
        <f>$D1410*VLOOKUP($E1410,'Charts data'!$A$2:$B$11,2,0)*VLOOKUP($G1410,'Charts data'!$A$14:$B$18,2,0)/IF('Charts data'!$E$3=1,I1410,1)/IF('Charts data'!$E$4=1,J1410,1)</f>
        <v>61000</v>
      </c>
    </row>
    <row r="1411" spans="1:12" x14ac:dyDescent="0.25">
      <c r="A1411" s="27" t="s">
        <v>500</v>
      </c>
      <c r="B1411" s="27">
        <v>50000</v>
      </c>
      <c r="C1411" s="27" t="s">
        <v>2</v>
      </c>
      <c r="D1411" s="28">
        <f>B1411*VLOOKUP(C1411,tblXrate[],2,0)</f>
        <v>50000</v>
      </c>
      <c r="E1411" s="27" t="s">
        <v>7</v>
      </c>
      <c r="F1411" s="27" t="s">
        <v>5</v>
      </c>
      <c r="G1411" s="27" t="s">
        <v>2273</v>
      </c>
      <c r="H1411" s="27"/>
      <c r="I1411" s="27">
        <f>VLOOKUP(F1411,mapping!$L$2:$P$92,2,0)</f>
        <v>1</v>
      </c>
      <c r="J1411" s="27">
        <f>VLOOKUP($F1411,mapping!$L$2:$P$92,3,0)</f>
        <v>48386.69</v>
      </c>
      <c r="K1411" s="27" t="str">
        <f>VLOOKUP($F1411,mapping!$L$2:$P$92,4,0)</f>
        <v>Major Advanced Economies (G7)</v>
      </c>
      <c r="L1411" s="29">
        <f>$D1411*VLOOKUP($E1411,'Charts data'!$A$2:$B$11,2,0)*VLOOKUP($G1411,'Charts data'!$A$14:$B$18,2,0)/IF('Charts data'!$E$3=1,I1411,1)/IF('Charts data'!$E$4=1,J1411,1)</f>
        <v>50000</v>
      </c>
    </row>
    <row r="1412" spans="1:12" x14ac:dyDescent="0.25">
      <c r="A1412" s="27" t="s">
        <v>501</v>
      </c>
      <c r="B1412" s="27">
        <v>150000</v>
      </c>
      <c r="C1412" s="27" t="s">
        <v>2</v>
      </c>
      <c r="D1412" s="28">
        <f>B1412*VLOOKUP(C1412,tblXrate[],2,0)</f>
        <v>150000</v>
      </c>
      <c r="E1412" s="27" t="s">
        <v>51</v>
      </c>
      <c r="F1412" s="27" t="s">
        <v>5</v>
      </c>
      <c r="G1412" s="27" t="s">
        <v>2273</v>
      </c>
      <c r="H1412" s="27"/>
      <c r="I1412" s="27">
        <f>VLOOKUP(F1412,mapping!$L$2:$P$92,2,0)</f>
        <v>1</v>
      </c>
      <c r="J1412" s="27">
        <f>VLOOKUP($F1412,mapping!$L$2:$P$92,3,0)</f>
        <v>48386.69</v>
      </c>
      <c r="K1412" s="27" t="str">
        <f>VLOOKUP($F1412,mapping!$L$2:$P$92,4,0)</f>
        <v>Major Advanced Economies (G7)</v>
      </c>
      <c r="L1412" s="29">
        <f>$D1412*VLOOKUP($E1412,'Charts data'!$A$2:$B$11,2,0)*VLOOKUP($G1412,'Charts data'!$A$14:$B$18,2,0)/IF('Charts data'!$E$3=1,I1412,1)/IF('Charts data'!$E$4=1,J1412,1)</f>
        <v>150000</v>
      </c>
    </row>
    <row r="1413" spans="1:12" x14ac:dyDescent="0.25">
      <c r="A1413" s="27" t="s">
        <v>504</v>
      </c>
      <c r="B1413" s="27">
        <v>45000</v>
      </c>
      <c r="C1413" s="27" t="s">
        <v>2</v>
      </c>
      <c r="D1413" s="28">
        <f>B1413*VLOOKUP(C1413,tblXrate[],2,0)</f>
        <v>45000</v>
      </c>
      <c r="E1413" s="27" t="s">
        <v>23</v>
      </c>
      <c r="F1413" s="27" t="s">
        <v>5</v>
      </c>
      <c r="G1413" s="27" t="s">
        <v>2271</v>
      </c>
      <c r="H1413" s="27"/>
      <c r="I1413" s="27">
        <f>VLOOKUP(F1413,mapping!$L$2:$P$92,2,0)</f>
        <v>1</v>
      </c>
      <c r="J1413" s="27">
        <f>VLOOKUP($F1413,mapping!$L$2:$P$92,3,0)</f>
        <v>48386.69</v>
      </c>
      <c r="K1413" s="27" t="str">
        <f>VLOOKUP($F1413,mapping!$L$2:$P$92,4,0)</f>
        <v>Major Advanced Economies (G7)</v>
      </c>
      <c r="L1413" s="29">
        <f>$D1413*VLOOKUP($E1413,'Charts data'!$A$2:$B$11,2,0)*VLOOKUP($G1413,'Charts data'!$A$14:$B$18,2,0)/IF('Charts data'!$E$3=1,I1413,1)/IF('Charts data'!$E$4=1,J1413,1)</f>
        <v>45000</v>
      </c>
    </row>
    <row r="1414" spans="1:12" x14ac:dyDescent="0.25">
      <c r="A1414" s="27" t="s">
        <v>505</v>
      </c>
      <c r="B1414" s="27">
        <v>135000</v>
      </c>
      <c r="C1414" s="27" t="s">
        <v>2</v>
      </c>
      <c r="D1414" s="28">
        <f>B1414*VLOOKUP(C1414,tblXrate[],2,0)</f>
        <v>135000</v>
      </c>
      <c r="E1414" s="27" t="s">
        <v>19</v>
      </c>
      <c r="F1414" s="27" t="s">
        <v>5</v>
      </c>
      <c r="G1414" s="27" t="s">
        <v>2273</v>
      </c>
      <c r="H1414" s="27"/>
      <c r="I1414" s="27">
        <f>VLOOKUP(F1414,mapping!$L$2:$P$92,2,0)</f>
        <v>1</v>
      </c>
      <c r="J1414" s="27">
        <f>VLOOKUP($F1414,mapping!$L$2:$P$92,3,0)</f>
        <v>48386.69</v>
      </c>
      <c r="K1414" s="27" t="str">
        <f>VLOOKUP($F1414,mapping!$L$2:$P$92,4,0)</f>
        <v>Major Advanced Economies (G7)</v>
      </c>
      <c r="L1414" s="29">
        <f>$D1414*VLOOKUP($E1414,'Charts data'!$A$2:$B$11,2,0)*VLOOKUP($G1414,'Charts data'!$A$14:$B$18,2,0)/IF('Charts data'!$E$3=1,I1414,1)/IF('Charts data'!$E$4=1,J1414,1)</f>
        <v>135000</v>
      </c>
    </row>
    <row r="1415" spans="1:12" x14ac:dyDescent="0.25">
      <c r="A1415" s="27" t="s">
        <v>507</v>
      </c>
      <c r="B1415" s="27">
        <v>29000</v>
      </c>
      <c r="C1415" s="27" t="s">
        <v>2</v>
      </c>
      <c r="D1415" s="28">
        <f>B1415*VLOOKUP(C1415,tblXrate[],2,0)</f>
        <v>29000</v>
      </c>
      <c r="E1415" s="27" t="s">
        <v>19</v>
      </c>
      <c r="F1415" s="27" t="s">
        <v>5</v>
      </c>
      <c r="G1415" s="27" t="s">
        <v>2271</v>
      </c>
      <c r="H1415" s="27"/>
      <c r="I1415" s="27">
        <f>VLOOKUP(F1415,mapping!$L$2:$P$92,2,0)</f>
        <v>1</v>
      </c>
      <c r="J1415" s="27">
        <f>VLOOKUP($F1415,mapping!$L$2:$P$92,3,0)</f>
        <v>48386.69</v>
      </c>
      <c r="K1415" s="27" t="str">
        <f>VLOOKUP($F1415,mapping!$L$2:$P$92,4,0)</f>
        <v>Major Advanced Economies (G7)</v>
      </c>
      <c r="L1415" s="29">
        <f>$D1415*VLOOKUP($E1415,'Charts data'!$A$2:$B$11,2,0)*VLOOKUP($G1415,'Charts data'!$A$14:$B$18,2,0)/IF('Charts data'!$E$3=1,I1415,1)/IF('Charts data'!$E$4=1,J1415,1)</f>
        <v>29000</v>
      </c>
    </row>
    <row r="1416" spans="1:12" x14ac:dyDescent="0.25">
      <c r="A1416" s="27" t="s">
        <v>509</v>
      </c>
      <c r="B1416" s="27">
        <v>63000</v>
      </c>
      <c r="C1416" s="27" t="s">
        <v>2</v>
      </c>
      <c r="D1416" s="28">
        <f>B1416*VLOOKUP(C1416,tblXrate[],2,0)</f>
        <v>63000</v>
      </c>
      <c r="E1416" s="27" t="s">
        <v>7</v>
      </c>
      <c r="F1416" s="27" t="s">
        <v>5</v>
      </c>
      <c r="G1416" s="27" t="s">
        <v>2273</v>
      </c>
      <c r="H1416" s="27"/>
      <c r="I1416" s="27">
        <f>VLOOKUP(F1416,mapping!$L$2:$P$92,2,0)</f>
        <v>1</v>
      </c>
      <c r="J1416" s="27">
        <f>VLOOKUP($F1416,mapping!$L$2:$P$92,3,0)</f>
        <v>48386.69</v>
      </c>
      <c r="K1416" s="27" t="str">
        <f>VLOOKUP($F1416,mapping!$L$2:$P$92,4,0)</f>
        <v>Major Advanced Economies (G7)</v>
      </c>
      <c r="L1416" s="29">
        <f>$D1416*VLOOKUP($E1416,'Charts data'!$A$2:$B$11,2,0)*VLOOKUP($G1416,'Charts data'!$A$14:$B$18,2,0)/IF('Charts data'!$E$3=1,I1416,1)/IF('Charts data'!$E$4=1,J1416,1)</f>
        <v>63000</v>
      </c>
    </row>
    <row r="1417" spans="1:12" x14ac:dyDescent="0.25">
      <c r="A1417" s="27" t="s">
        <v>510</v>
      </c>
      <c r="B1417" s="27">
        <v>95000</v>
      </c>
      <c r="C1417" s="27" t="s">
        <v>2</v>
      </c>
      <c r="D1417" s="28">
        <f>B1417*VLOOKUP(C1417,tblXrate[],2,0)</f>
        <v>95000</v>
      </c>
      <c r="E1417" s="27" t="s">
        <v>7</v>
      </c>
      <c r="F1417" s="27" t="s">
        <v>5</v>
      </c>
      <c r="G1417" s="27" t="s">
        <v>2271</v>
      </c>
      <c r="H1417" s="27"/>
      <c r="I1417" s="27">
        <f>VLOOKUP(F1417,mapping!$L$2:$P$92,2,0)</f>
        <v>1</v>
      </c>
      <c r="J1417" s="27">
        <f>VLOOKUP($F1417,mapping!$L$2:$P$92,3,0)</f>
        <v>48386.69</v>
      </c>
      <c r="K1417" s="27" t="str">
        <f>VLOOKUP($F1417,mapping!$L$2:$P$92,4,0)</f>
        <v>Major Advanced Economies (G7)</v>
      </c>
      <c r="L1417" s="29">
        <f>$D1417*VLOOKUP($E1417,'Charts data'!$A$2:$B$11,2,0)*VLOOKUP($G1417,'Charts data'!$A$14:$B$18,2,0)/IF('Charts data'!$E$3=1,I1417,1)/IF('Charts data'!$E$4=1,J1417,1)</f>
        <v>95000</v>
      </c>
    </row>
    <row r="1418" spans="1:12" x14ac:dyDescent="0.25">
      <c r="A1418" s="27" t="s">
        <v>515</v>
      </c>
      <c r="B1418" s="27">
        <v>53000</v>
      </c>
      <c r="C1418" s="27" t="s">
        <v>2</v>
      </c>
      <c r="D1418" s="28">
        <f>B1418*VLOOKUP(C1418,tblXrate[],2,0)</f>
        <v>53000</v>
      </c>
      <c r="E1418" s="27" t="s">
        <v>19</v>
      </c>
      <c r="F1418" s="27" t="s">
        <v>5</v>
      </c>
      <c r="G1418" s="27" t="s">
        <v>2272</v>
      </c>
      <c r="H1418" s="27"/>
      <c r="I1418" s="27">
        <f>VLOOKUP(F1418,mapping!$L$2:$P$92,2,0)</f>
        <v>1</v>
      </c>
      <c r="J1418" s="27">
        <f>VLOOKUP($F1418,mapping!$L$2:$P$92,3,0)</f>
        <v>48386.69</v>
      </c>
      <c r="K1418" s="27" t="str">
        <f>VLOOKUP($F1418,mapping!$L$2:$P$92,4,0)</f>
        <v>Major Advanced Economies (G7)</v>
      </c>
      <c r="L1418" s="29">
        <f>$D1418*VLOOKUP($E1418,'Charts data'!$A$2:$B$11,2,0)*VLOOKUP($G1418,'Charts data'!$A$14:$B$18,2,0)/IF('Charts data'!$E$3=1,I1418,1)/IF('Charts data'!$E$4=1,J1418,1)</f>
        <v>53000</v>
      </c>
    </row>
    <row r="1419" spans="1:12" x14ac:dyDescent="0.25">
      <c r="A1419" s="27" t="s">
        <v>516</v>
      </c>
      <c r="B1419" s="27">
        <v>130000</v>
      </c>
      <c r="C1419" s="27" t="s">
        <v>2</v>
      </c>
      <c r="D1419" s="28">
        <f>B1419*VLOOKUP(C1419,tblXrate[],2,0)</f>
        <v>130000</v>
      </c>
      <c r="E1419" s="27" t="s">
        <v>48</v>
      </c>
      <c r="F1419" s="27" t="s">
        <v>5</v>
      </c>
      <c r="G1419" s="27" t="s">
        <v>2271</v>
      </c>
      <c r="H1419" s="27"/>
      <c r="I1419" s="27">
        <f>VLOOKUP(F1419,mapping!$L$2:$P$92,2,0)</f>
        <v>1</v>
      </c>
      <c r="J1419" s="27">
        <f>VLOOKUP($F1419,mapping!$L$2:$P$92,3,0)</f>
        <v>48386.69</v>
      </c>
      <c r="K1419" s="27" t="str">
        <f>VLOOKUP($F1419,mapping!$L$2:$P$92,4,0)</f>
        <v>Major Advanced Economies (G7)</v>
      </c>
      <c r="L1419" s="29">
        <f>$D1419*VLOOKUP($E1419,'Charts data'!$A$2:$B$11,2,0)*VLOOKUP($G1419,'Charts data'!$A$14:$B$18,2,0)/IF('Charts data'!$E$3=1,I1419,1)/IF('Charts data'!$E$4=1,J1419,1)</f>
        <v>130000</v>
      </c>
    </row>
    <row r="1420" spans="1:12" x14ac:dyDescent="0.25">
      <c r="A1420" s="27" t="s">
        <v>519</v>
      </c>
      <c r="B1420" s="27">
        <v>44200</v>
      </c>
      <c r="C1420" s="27" t="s">
        <v>2</v>
      </c>
      <c r="D1420" s="28">
        <f>B1420*VLOOKUP(C1420,tblXrate[],2,0)</f>
        <v>44200</v>
      </c>
      <c r="E1420" s="27" t="s">
        <v>7</v>
      </c>
      <c r="F1420" s="27" t="s">
        <v>5</v>
      </c>
      <c r="G1420" s="27" t="s">
        <v>2273</v>
      </c>
      <c r="H1420" s="27"/>
      <c r="I1420" s="27">
        <f>VLOOKUP(F1420,mapping!$L$2:$P$92,2,0)</f>
        <v>1</v>
      </c>
      <c r="J1420" s="27">
        <f>VLOOKUP($F1420,mapping!$L$2:$P$92,3,0)</f>
        <v>48386.69</v>
      </c>
      <c r="K1420" s="27" t="str">
        <f>VLOOKUP($F1420,mapping!$L$2:$P$92,4,0)</f>
        <v>Major Advanced Economies (G7)</v>
      </c>
      <c r="L1420" s="29">
        <f>$D1420*VLOOKUP($E1420,'Charts data'!$A$2:$B$11,2,0)*VLOOKUP($G1420,'Charts data'!$A$14:$B$18,2,0)/IF('Charts data'!$E$3=1,I1420,1)/IF('Charts data'!$E$4=1,J1420,1)</f>
        <v>44200</v>
      </c>
    </row>
    <row r="1421" spans="1:12" x14ac:dyDescent="0.25">
      <c r="A1421" s="27" t="s">
        <v>520</v>
      </c>
      <c r="B1421" s="27">
        <v>56000</v>
      </c>
      <c r="C1421" s="27" t="s">
        <v>2</v>
      </c>
      <c r="D1421" s="28">
        <f>B1421*VLOOKUP(C1421,tblXrate[],2,0)</f>
        <v>56000</v>
      </c>
      <c r="E1421" s="27" t="s">
        <v>19</v>
      </c>
      <c r="F1421" s="27" t="s">
        <v>5</v>
      </c>
      <c r="G1421" s="27" t="s">
        <v>2272</v>
      </c>
      <c r="H1421" s="27"/>
      <c r="I1421" s="27">
        <f>VLOOKUP(F1421,mapping!$L$2:$P$92,2,0)</f>
        <v>1</v>
      </c>
      <c r="J1421" s="27">
        <f>VLOOKUP($F1421,mapping!$L$2:$P$92,3,0)</f>
        <v>48386.69</v>
      </c>
      <c r="K1421" s="27" t="str">
        <f>VLOOKUP($F1421,mapping!$L$2:$P$92,4,0)</f>
        <v>Major Advanced Economies (G7)</v>
      </c>
      <c r="L1421" s="29">
        <f>$D1421*VLOOKUP($E1421,'Charts data'!$A$2:$B$11,2,0)*VLOOKUP($G1421,'Charts data'!$A$14:$B$18,2,0)/IF('Charts data'!$E$3=1,I1421,1)/IF('Charts data'!$E$4=1,J1421,1)</f>
        <v>56000</v>
      </c>
    </row>
    <row r="1422" spans="1:12" x14ac:dyDescent="0.25">
      <c r="A1422" s="27" t="s">
        <v>521</v>
      </c>
      <c r="B1422" s="27">
        <v>72500</v>
      </c>
      <c r="C1422" s="27" t="s">
        <v>2</v>
      </c>
      <c r="D1422" s="28">
        <f>B1422*VLOOKUP(C1422,tblXrate[],2,0)</f>
        <v>72500</v>
      </c>
      <c r="E1422" s="27" t="s">
        <v>48</v>
      </c>
      <c r="F1422" s="27" t="s">
        <v>5</v>
      </c>
      <c r="G1422" s="27" t="s">
        <v>2272</v>
      </c>
      <c r="H1422" s="27"/>
      <c r="I1422" s="27">
        <f>VLOOKUP(F1422,mapping!$L$2:$P$92,2,0)</f>
        <v>1</v>
      </c>
      <c r="J1422" s="27">
        <f>VLOOKUP($F1422,mapping!$L$2:$P$92,3,0)</f>
        <v>48386.69</v>
      </c>
      <c r="K1422" s="27" t="str">
        <f>VLOOKUP($F1422,mapping!$L$2:$P$92,4,0)</f>
        <v>Major Advanced Economies (G7)</v>
      </c>
      <c r="L1422" s="29">
        <f>$D1422*VLOOKUP($E1422,'Charts data'!$A$2:$B$11,2,0)*VLOOKUP($G1422,'Charts data'!$A$14:$B$18,2,0)/IF('Charts data'!$E$3=1,I1422,1)/IF('Charts data'!$E$4=1,J1422,1)</f>
        <v>72500</v>
      </c>
    </row>
    <row r="1423" spans="1:12" x14ac:dyDescent="0.25">
      <c r="A1423" s="27" t="s">
        <v>524</v>
      </c>
      <c r="B1423" s="27">
        <v>68000</v>
      </c>
      <c r="C1423" s="27" t="s">
        <v>2</v>
      </c>
      <c r="D1423" s="28">
        <f>B1423*VLOOKUP(C1423,tblXrate[],2,0)</f>
        <v>68000</v>
      </c>
      <c r="E1423" s="27" t="s">
        <v>19</v>
      </c>
      <c r="F1423" s="27" t="s">
        <v>5</v>
      </c>
      <c r="G1423" s="27" t="s">
        <v>2272</v>
      </c>
      <c r="H1423" s="27"/>
      <c r="I1423" s="27">
        <f>VLOOKUP(F1423,mapping!$L$2:$P$92,2,0)</f>
        <v>1</v>
      </c>
      <c r="J1423" s="27">
        <f>VLOOKUP($F1423,mapping!$L$2:$P$92,3,0)</f>
        <v>48386.69</v>
      </c>
      <c r="K1423" s="27" t="str">
        <f>VLOOKUP($F1423,mapping!$L$2:$P$92,4,0)</f>
        <v>Major Advanced Economies (G7)</v>
      </c>
      <c r="L1423" s="29">
        <f>$D1423*VLOOKUP($E1423,'Charts data'!$A$2:$B$11,2,0)*VLOOKUP($G1423,'Charts data'!$A$14:$B$18,2,0)/IF('Charts data'!$E$3=1,I1423,1)/IF('Charts data'!$E$4=1,J1423,1)</f>
        <v>68000</v>
      </c>
    </row>
    <row r="1424" spans="1:12" x14ac:dyDescent="0.25">
      <c r="A1424" s="27" t="s">
        <v>525</v>
      </c>
      <c r="B1424" s="27">
        <v>75000</v>
      </c>
      <c r="C1424" s="27" t="s">
        <v>2</v>
      </c>
      <c r="D1424" s="28">
        <f>B1424*VLOOKUP(C1424,tblXrate[],2,0)</f>
        <v>75000</v>
      </c>
      <c r="E1424" s="27" t="s">
        <v>7</v>
      </c>
      <c r="F1424" s="27" t="s">
        <v>5</v>
      </c>
      <c r="G1424" s="27" t="s">
        <v>2273</v>
      </c>
      <c r="H1424" s="27"/>
      <c r="I1424" s="27">
        <f>VLOOKUP(F1424,mapping!$L$2:$P$92,2,0)</f>
        <v>1</v>
      </c>
      <c r="J1424" s="27">
        <f>VLOOKUP($F1424,mapping!$L$2:$P$92,3,0)</f>
        <v>48386.69</v>
      </c>
      <c r="K1424" s="27" t="str">
        <f>VLOOKUP($F1424,mapping!$L$2:$P$92,4,0)</f>
        <v>Major Advanced Economies (G7)</v>
      </c>
      <c r="L1424" s="29">
        <f>$D1424*VLOOKUP($E1424,'Charts data'!$A$2:$B$11,2,0)*VLOOKUP($G1424,'Charts data'!$A$14:$B$18,2,0)/IF('Charts data'!$E$3=1,I1424,1)/IF('Charts data'!$E$4=1,J1424,1)</f>
        <v>75000</v>
      </c>
    </row>
    <row r="1425" spans="1:12" x14ac:dyDescent="0.25">
      <c r="A1425" s="27" t="s">
        <v>526</v>
      </c>
      <c r="B1425" s="27">
        <v>62500</v>
      </c>
      <c r="C1425" s="27" t="s">
        <v>2</v>
      </c>
      <c r="D1425" s="28">
        <f>B1425*VLOOKUP(C1425,tblXrate[],2,0)</f>
        <v>62500</v>
      </c>
      <c r="E1425" s="27" t="s">
        <v>2147</v>
      </c>
      <c r="F1425" s="27" t="s">
        <v>5</v>
      </c>
      <c r="G1425" s="27" t="s">
        <v>2273</v>
      </c>
      <c r="H1425" s="27"/>
      <c r="I1425" s="27">
        <f>VLOOKUP(F1425,mapping!$L$2:$P$92,2,0)</f>
        <v>1</v>
      </c>
      <c r="J1425" s="27">
        <f>VLOOKUP($F1425,mapping!$L$2:$P$92,3,0)</f>
        <v>48386.69</v>
      </c>
      <c r="K1425" s="27" t="str">
        <f>VLOOKUP($F1425,mapping!$L$2:$P$92,4,0)</f>
        <v>Major Advanced Economies (G7)</v>
      </c>
      <c r="L1425" s="29">
        <f>$D1425*VLOOKUP($E1425,'Charts data'!$A$2:$B$11,2,0)*VLOOKUP($G1425,'Charts data'!$A$14:$B$18,2,0)/IF('Charts data'!$E$3=1,I1425,1)/IF('Charts data'!$E$4=1,J1425,1)</f>
        <v>62500</v>
      </c>
    </row>
    <row r="1426" spans="1:12" x14ac:dyDescent="0.25">
      <c r="A1426" s="27" t="s">
        <v>529</v>
      </c>
      <c r="B1426" s="27">
        <v>85000</v>
      </c>
      <c r="C1426" s="27" t="s">
        <v>2</v>
      </c>
      <c r="D1426" s="28">
        <f>B1426*VLOOKUP(C1426,tblXrate[],2,0)</f>
        <v>85000</v>
      </c>
      <c r="E1426" s="27" t="s">
        <v>7</v>
      </c>
      <c r="F1426" s="27" t="s">
        <v>5</v>
      </c>
      <c r="G1426" s="27" t="s">
        <v>2271</v>
      </c>
      <c r="H1426" s="27"/>
      <c r="I1426" s="27">
        <f>VLOOKUP(F1426,mapping!$L$2:$P$92,2,0)</f>
        <v>1</v>
      </c>
      <c r="J1426" s="27">
        <f>VLOOKUP($F1426,mapping!$L$2:$P$92,3,0)</f>
        <v>48386.69</v>
      </c>
      <c r="K1426" s="27" t="str">
        <f>VLOOKUP($F1426,mapping!$L$2:$P$92,4,0)</f>
        <v>Major Advanced Economies (G7)</v>
      </c>
      <c r="L1426" s="29">
        <f>$D1426*VLOOKUP($E1426,'Charts data'!$A$2:$B$11,2,0)*VLOOKUP($G1426,'Charts data'!$A$14:$B$18,2,0)/IF('Charts data'!$E$3=1,I1426,1)/IF('Charts data'!$E$4=1,J1426,1)</f>
        <v>85000</v>
      </c>
    </row>
    <row r="1427" spans="1:12" x14ac:dyDescent="0.25">
      <c r="A1427" s="27" t="s">
        <v>531</v>
      </c>
      <c r="B1427" s="27">
        <v>89000</v>
      </c>
      <c r="C1427" s="27" t="s">
        <v>2</v>
      </c>
      <c r="D1427" s="28">
        <f>B1427*VLOOKUP(C1427,tblXrate[],2,0)</f>
        <v>89000</v>
      </c>
      <c r="E1427" s="27" t="s">
        <v>19</v>
      </c>
      <c r="F1427" s="27" t="s">
        <v>5</v>
      </c>
      <c r="G1427" s="27" t="s">
        <v>2271</v>
      </c>
      <c r="H1427" s="27"/>
      <c r="I1427" s="27">
        <f>VLOOKUP(F1427,mapping!$L$2:$P$92,2,0)</f>
        <v>1</v>
      </c>
      <c r="J1427" s="27">
        <f>VLOOKUP($F1427,mapping!$L$2:$P$92,3,0)</f>
        <v>48386.69</v>
      </c>
      <c r="K1427" s="27" t="str">
        <f>VLOOKUP($F1427,mapping!$L$2:$P$92,4,0)</f>
        <v>Major Advanced Economies (G7)</v>
      </c>
      <c r="L1427" s="29">
        <f>$D1427*VLOOKUP($E1427,'Charts data'!$A$2:$B$11,2,0)*VLOOKUP($G1427,'Charts data'!$A$14:$B$18,2,0)/IF('Charts data'!$E$3=1,I1427,1)/IF('Charts data'!$E$4=1,J1427,1)</f>
        <v>89000</v>
      </c>
    </row>
    <row r="1428" spans="1:12" x14ac:dyDescent="0.25">
      <c r="A1428" s="27" t="s">
        <v>533</v>
      </c>
      <c r="B1428" s="27">
        <v>47500</v>
      </c>
      <c r="C1428" s="27" t="s">
        <v>2</v>
      </c>
      <c r="D1428" s="28">
        <f>B1428*VLOOKUP(C1428,tblXrate[],2,0)</f>
        <v>47500</v>
      </c>
      <c r="E1428" s="27" t="s">
        <v>19</v>
      </c>
      <c r="F1428" s="27" t="s">
        <v>5</v>
      </c>
      <c r="G1428" s="27" t="s">
        <v>2273</v>
      </c>
      <c r="H1428" s="27"/>
      <c r="I1428" s="27">
        <f>VLOOKUP(F1428,mapping!$L$2:$P$92,2,0)</f>
        <v>1</v>
      </c>
      <c r="J1428" s="27">
        <f>VLOOKUP($F1428,mapping!$L$2:$P$92,3,0)</f>
        <v>48386.69</v>
      </c>
      <c r="K1428" s="27" t="str">
        <f>VLOOKUP($F1428,mapping!$L$2:$P$92,4,0)</f>
        <v>Major Advanced Economies (G7)</v>
      </c>
      <c r="L1428" s="29">
        <f>$D1428*VLOOKUP($E1428,'Charts data'!$A$2:$B$11,2,0)*VLOOKUP($G1428,'Charts data'!$A$14:$B$18,2,0)/IF('Charts data'!$E$3=1,I1428,1)/IF('Charts data'!$E$4=1,J1428,1)</f>
        <v>47500</v>
      </c>
    </row>
    <row r="1429" spans="1:12" x14ac:dyDescent="0.25">
      <c r="A1429" s="27" t="s">
        <v>534</v>
      </c>
      <c r="B1429" s="27">
        <v>130000</v>
      </c>
      <c r="C1429" s="27" t="s">
        <v>2</v>
      </c>
      <c r="D1429" s="28">
        <f>B1429*VLOOKUP(C1429,tblXrate[],2,0)</f>
        <v>130000</v>
      </c>
      <c r="E1429" s="27" t="s">
        <v>19</v>
      </c>
      <c r="F1429" s="27" t="s">
        <v>5</v>
      </c>
      <c r="G1429" s="27" t="s">
        <v>2272</v>
      </c>
      <c r="H1429" s="27"/>
      <c r="I1429" s="27">
        <f>VLOOKUP(F1429,mapping!$L$2:$P$92,2,0)</f>
        <v>1</v>
      </c>
      <c r="J1429" s="27">
        <f>VLOOKUP($F1429,mapping!$L$2:$P$92,3,0)</f>
        <v>48386.69</v>
      </c>
      <c r="K1429" s="27" t="str">
        <f>VLOOKUP($F1429,mapping!$L$2:$P$92,4,0)</f>
        <v>Major Advanced Economies (G7)</v>
      </c>
      <c r="L1429" s="29">
        <f>$D1429*VLOOKUP($E1429,'Charts data'!$A$2:$B$11,2,0)*VLOOKUP($G1429,'Charts data'!$A$14:$B$18,2,0)/IF('Charts data'!$E$3=1,I1429,1)/IF('Charts data'!$E$4=1,J1429,1)</f>
        <v>130000</v>
      </c>
    </row>
    <row r="1430" spans="1:12" x14ac:dyDescent="0.25">
      <c r="A1430" s="27" t="s">
        <v>537</v>
      </c>
      <c r="B1430" s="27">
        <v>41932</v>
      </c>
      <c r="C1430" s="27" t="s">
        <v>2</v>
      </c>
      <c r="D1430" s="28">
        <f>B1430*VLOOKUP(C1430,tblXrate[],2,0)</f>
        <v>41932</v>
      </c>
      <c r="E1430" s="27" t="s">
        <v>19</v>
      </c>
      <c r="F1430" s="27" t="s">
        <v>5</v>
      </c>
      <c r="G1430" s="27" t="s">
        <v>2272</v>
      </c>
      <c r="H1430" s="27"/>
      <c r="I1430" s="27">
        <f>VLOOKUP(F1430,mapping!$L$2:$P$92,2,0)</f>
        <v>1</v>
      </c>
      <c r="J1430" s="27">
        <f>VLOOKUP($F1430,mapping!$L$2:$P$92,3,0)</f>
        <v>48386.69</v>
      </c>
      <c r="K1430" s="27" t="str">
        <f>VLOOKUP($F1430,mapping!$L$2:$P$92,4,0)</f>
        <v>Major Advanced Economies (G7)</v>
      </c>
      <c r="L1430" s="29">
        <f>$D1430*VLOOKUP($E1430,'Charts data'!$A$2:$B$11,2,0)*VLOOKUP($G1430,'Charts data'!$A$14:$B$18,2,0)/IF('Charts data'!$E$3=1,I1430,1)/IF('Charts data'!$E$4=1,J1430,1)</f>
        <v>41932</v>
      </c>
    </row>
    <row r="1431" spans="1:12" x14ac:dyDescent="0.25">
      <c r="A1431" s="27" t="s">
        <v>539</v>
      </c>
      <c r="B1431" s="27">
        <v>194000</v>
      </c>
      <c r="C1431" s="27" t="s">
        <v>2</v>
      </c>
      <c r="D1431" s="28">
        <f>B1431*VLOOKUP(C1431,tblXrate[],2,0)</f>
        <v>194000</v>
      </c>
      <c r="E1431" s="27" t="s">
        <v>2147</v>
      </c>
      <c r="F1431" s="27" t="s">
        <v>5</v>
      </c>
      <c r="G1431" s="27" t="s">
        <v>2272</v>
      </c>
      <c r="H1431" s="27"/>
      <c r="I1431" s="27">
        <f>VLOOKUP(F1431,mapping!$L$2:$P$92,2,0)</f>
        <v>1</v>
      </c>
      <c r="J1431" s="27">
        <f>VLOOKUP($F1431,mapping!$L$2:$P$92,3,0)</f>
        <v>48386.69</v>
      </c>
      <c r="K1431" s="27" t="str">
        <f>VLOOKUP($F1431,mapping!$L$2:$P$92,4,0)</f>
        <v>Major Advanced Economies (G7)</v>
      </c>
      <c r="L1431" s="29">
        <f>$D1431*VLOOKUP($E1431,'Charts data'!$A$2:$B$11,2,0)*VLOOKUP($G1431,'Charts data'!$A$14:$B$18,2,0)/IF('Charts data'!$E$3=1,I1431,1)/IF('Charts data'!$E$4=1,J1431,1)</f>
        <v>194000</v>
      </c>
    </row>
    <row r="1432" spans="1:12" x14ac:dyDescent="0.25">
      <c r="A1432" s="27" t="s">
        <v>545</v>
      </c>
      <c r="B1432" s="27">
        <v>95000</v>
      </c>
      <c r="C1432" s="27" t="s">
        <v>2</v>
      </c>
      <c r="D1432" s="28">
        <f>B1432*VLOOKUP(C1432,tblXrate[],2,0)</f>
        <v>95000</v>
      </c>
      <c r="E1432" s="27" t="s">
        <v>7</v>
      </c>
      <c r="F1432" s="27" t="s">
        <v>5</v>
      </c>
      <c r="G1432" s="27" t="s">
        <v>2273</v>
      </c>
      <c r="H1432" s="27"/>
      <c r="I1432" s="27">
        <f>VLOOKUP(F1432,mapping!$L$2:$P$92,2,0)</f>
        <v>1</v>
      </c>
      <c r="J1432" s="27">
        <f>VLOOKUP($F1432,mapping!$L$2:$P$92,3,0)</f>
        <v>48386.69</v>
      </c>
      <c r="K1432" s="27" t="str">
        <f>VLOOKUP($F1432,mapping!$L$2:$P$92,4,0)</f>
        <v>Major Advanced Economies (G7)</v>
      </c>
      <c r="L1432" s="29">
        <f>$D1432*VLOOKUP($E1432,'Charts data'!$A$2:$B$11,2,0)*VLOOKUP($G1432,'Charts data'!$A$14:$B$18,2,0)/IF('Charts data'!$E$3=1,I1432,1)/IF('Charts data'!$E$4=1,J1432,1)</f>
        <v>95000</v>
      </c>
    </row>
    <row r="1433" spans="1:12" x14ac:dyDescent="0.25">
      <c r="A1433" s="27" t="s">
        <v>547</v>
      </c>
      <c r="B1433" s="27">
        <v>48000</v>
      </c>
      <c r="C1433" s="27" t="s">
        <v>2</v>
      </c>
      <c r="D1433" s="28">
        <f>B1433*VLOOKUP(C1433,tblXrate[],2,0)</f>
        <v>48000</v>
      </c>
      <c r="E1433" s="27" t="s">
        <v>7</v>
      </c>
      <c r="F1433" s="27" t="s">
        <v>5</v>
      </c>
      <c r="G1433" s="27" t="s">
        <v>2274</v>
      </c>
      <c r="H1433" s="27"/>
      <c r="I1433" s="27">
        <f>VLOOKUP(F1433,mapping!$L$2:$P$92,2,0)</f>
        <v>1</v>
      </c>
      <c r="J1433" s="27">
        <f>VLOOKUP($F1433,mapping!$L$2:$P$92,3,0)</f>
        <v>48386.69</v>
      </c>
      <c r="K1433" s="27" t="str">
        <f>VLOOKUP($F1433,mapping!$L$2:$P$92,4,0)</f>
        <v>Major Advanced Economies (G7)</v>
      </c>
      <c r="L1433" s="29">
        <f>$D1433*VLOOKUP($E1433,'Charts data'!$A$2:$B$11,2,0)*VLOOKUP($G1433,'Charts data'!$A$14:$B$18,2,0)/IF('Charts data'!$E$3=1,I1433,1)/IF('Charts data'!$E$4=1,J1433,1)</f>
        <v>48000</v>
      </c>
    </row>
    <row r="1434" spans="1:12" x14ac:dyDescent="0.25">
      <c r="A1434" s="27" t="s">
        <v>548</v>
      </c>
      <c r="B1434" s="27">
        <v>46000</v>
      </c>
      <c r="C1434" s="27" t="s">
        <v>2</v>
      </c>
      <c r="D1434" s="28">
        <f>B1434*VLOOKUP(C1434,tblXrate[],2,0)</f>
        <v>46000</v>
      </c>
      <c r="E1434" s="27" t="s">
        <v>7</v>
      </c>
      <c r="F1434" s="27" t="s">
        <v>5</v>
      </c>
      <c r="G1434" s="27" t="s">
        <v>2271</v>
      </c>
      <c r="H1434" s="27"/>
      <c r="I1434" s="27">
        <f>VLOOKUP(F1434,mapping!$L$2:$P$92,2,0)</f>
        <v>1</v>
      </c>
      <c r="J1434" s="27">
        <f>VLOOKUP($F1434,mapping!$L$2:$P$92,3,0)</f>
        <v>48386.69</v>
      </c>
      <c r="K1434" s="27" t="str">
        <f>VLOOKUP($F1434,mapping!$L$2:$P$92,4,0)</f>
        <v>Major Advanced Economies (G7)</v>
      </c>
      <c r="L1434" s="29">
        <f>$D1434*VLOOKUP($E1434,'Charts data'!$A$2:$B$11,2,0)*VLOOKUP($G1434,'Charts data'!$A$14:$B$18,2,0)/IF('Charts data'!$E$3=1,I1434,1)/IF('Charts data'!$E$4=1,J1434,1)</f>
        <v>46000</v>
      </c>
    </row>
    <row r="1435" spans="1:12" x14ac:dyDescent="0.25">
      <c r="A1435" s="27" t="s">
        <v>552</v>
      </c>
      <c r="B1435" s="27">
        <v>47000</v>
      </c>
      <c r="C1435" s="27" t="s">
        <v>2</v>
      </c>
      <c r="D1435" s="28">
        <f>B1435*VLOOKUP(C1435,tblXrate[],2,0)</f>
        <v>47000</v>
      </c>
      <c r="E1435" s="27" t="s">
        <v>19</v>
      </c>
      <c r="F1435" s="27" t="s">
        <v>5</v>
      </c>
      <c r="G1435" s="27" t="s">
        <v>2272</v>
      </c>
      <c r="H1435" s="27"/>
      <c r="I1435" s="27">
        <f>VLOOKUP(F1435,mapping!$L$2:$P$92,2,0)</f>
        <v>1</v>
      </c>
      <c r="J1435" s="27">
        <f>VLOOKUP($F1435,mapping!$L$2:$P$92,3,0)</f>
        <v>48386.69</v>
      </c>
      <c r="K1435" s="27" t="str">
        <f>VLOOKUP($F1435,mapping!$L$2:$P$92,4,0)</f>
        <v>Major Advanced Economies (G7)</v>
      </c>
      <c r="L1435" s="29">
        <f>$D1435*VLOOKUP($E1435,'Charts data'!$A$2:$B$11,2,0)*VLOOKUP($G1435,'Charts data'!$A$14:$B$18,2,0)/IF('Charts data'!$E$3=1,I1435,1)/IF('Charts data'!$E$4=1,J1435,1)</f>
        <v>47000</v>
      </c>
    </row>
    <row r="1436" spans="1:12" x14ac:dyDescent="0.25">
      <c r="A1436" s="27" t="s">
        <v>553</v>
      </c>
      <c r="B1436" s="27">
        <v>44000</v>
      </c>
      <c r="C1436" s="27" t="s">
        <v>2</v>
      </c>
      <c r="D1436" s="28">
        <f>B1436*VLOOKUP(C1436,tblXrate[],2,0)</f>
        <v>44000</v>
      </c>
      <c r="E1436" s="27" t="s">
        <v>7</v>
      </c>
      <c r="F1436" s="27" t="s">
        <v>5</v>
      </c>
      <c r="G1436" s="27" t="s">
        <v>2272</v>
      </c>
      <c r="H1436" s="27"/>
      <c r="I1436" s="27">
        <f>VLOOKUP(F1436,mapping!$L$2:$P$92,2,0)</f>
        <v>1</v>
      </c>
      <c r="J1436" s="27">
        <f>VLOOKUP($F1436,mapping!$L$2:$P$92,3,0)</f>
        <v>48386.69</v>
      </c>
      <c r="K1436" s="27" t="str">
        <f>VLOOKUP($F1436,mapping!$L$2:$P$92,4,0)</f>
        <v>Major Advanced Economies (G7)</v>
      </c>
      <c r="L1436" s="29">
        <f>$D1436*VLOOKUP($E1436,'Charts data'!$A$2:$B$11,2,0)*VLOOKUP($G1436,'Charts data'!$A$14:$B$18,2,0)/IF('Charts data'!$E$3=1,I1436,1)/IF('Charts data'!$E$4=1,J1436,1)</f>
        <v>44000</v>
      </c>
    </row>
    <row r="1437" spans="1:12" x14ac:dyDescent="0.25">
      <c r="A1437" s="27" t="s">
        <v>554</v>
      </c>
      <c r="B1437" s="27">
        <v>55000</v>
      </c>
      <c r="C1437" s="27" t="s">
        <v>2</v>
      </c>
      <c r="D1437" s="28">
        <f>B1437*VLOOKUP(C1437,tblXrate[],2,0)</f>
        <v>55000</v>
      </c>
      <c r="E1437" s="27" t="s">
        <v>51</v>
      </c>
      <c r="F1437" s="27" t="s">
        <v>5</v>
      </c>
      <c r="G1437" s="27" t="s">
        <v>2271</v>
      </c>
      <c r="H1437" s="27"/>
      <c r="I1437" s="27">
        <f>VLOOKUP(F1437,mapping!$L$2:$P$92,2,0)</f>
        <v>1</v>
      </c>
      <c r="J1437" s="27">
        <f>VLOOKUP($F1437,mapping!$L$2:$P$92,3,0)</f>
        <v>48386.69</v>
      </c>
      <c r="K1437" s="27" t="str">
        <f>VLOOKUP($F1437,mapping!$L$2:$P$92,4,0)</f>
        <v>Major Advanced Economies (G7)</v>
      </c>
      <c r="L1437" s="29">
        <f>$D1437*VLOOKUP($E1437,'Charts data'!$A$2:$B$11,2,0)*VLOOKUP($G1437,'Charts data'!$A$14:$B$18,2,0)/IF('Charts data'!$E$3=1,I1437,1)/IF('Charts data'!$E$4=1,J1437,1)</f>
        <v>55000</v>
      </c>
    </row>
    <row r="1438" spans="1:12" x14ac:dyDescent="0.25">
      <c r="A1438" s="27" t="s">
        <v>556</v>
      </c>
      <c r="B1438" s="27">
        <v>50000</v>
      </c>
      <c r="C1438" s="27" t="s">
        <v>2</v>
      </c>
      <c r="D1438" s="28">
        <f>B1438*VLOOKUP(C1438,tblXrate[],2,0)</f>
        <v>50000</v>
      </c>
      <c r="E1438" s="27" t="s">
        <v>19</v>
      </c>
      <c r="F1438" s="27" t="s">
        <v>5</v>
      </c>
      <c r="G1438" s="27" t="s">
        <v>2272</v>
      </c>
      <c r="H1438" s="27"/>
      <c r="I1438" s="27">
        <f>VLOOKUP(F1438,mapping!$L$2:$P$92,2,0)</f>
        <v>1</v>
      </c>
      <c r="J1438" s="27">
        <f>VLOOKUP($F1438,mapping!$L$2:$P$92,3,0)</f>
        <v>48386.69</v>
      </c>
      <c r="K1438" s="27" t="str">
        <f>VLOOKUP($F1438,mapping!$L$2:$P$92,4,0)</f>
        <v>Major Advanced Economies (G7)</v>
      </c>
      <c r="L1438" s="29">
        <f>$D1438*VLOOKUP($E1438,'Charts data'!$A$2:$B$11,2,0)*VLOOKUP($G1438,'Charts data'!$A$14:$B$18,2,0)/IF('Charts data'!$E$3=1,I1438,1)/IF('Charts data'!$E$4=1,J1438,1)</f>
        <v>50000</v>
      </c>
    </row>
    <row r="1439" spans="1:12" x14ac:dyDescent="0.25">
      <c r="A1439" s="27" t="s">
        <v>559</v>
      </c>
      <c r="B1439" s="27">
        <v>45880</v>
      </c>
      <c r="C1439" s="27" t="s">
        <v>2</v>
      </c>
      <c r="D1439" s="28">
        <f>B1439*VLOOKUP(C1439,tblXrate[],2,0)</f>
        <v>45880</v>
      </c>
      <c r="E1439" s="27" t="s">
        <v>19</v>
      </c>
      <c r="F1439" s="27" t="s">
        <v>5</v>
      </c>
      <c r="G1439" s="27" t="s">
        <v>2273</v>
      </c>
      <c r="H1439" s="27"/>
      <c r="I1439" s="27">
        <f>VLOOKUP(F1439,mapping!$L$2:$P$92,2,0)</f>
        <v>1</v>
      </c>
      <c r="J1439" s="27">
        <f>VLOOKUP($F1439,mapping!$L$2:$P$92,3,0)</f>
        <v>48386.69</v>
      </c>
      <c r="K1439" s="27" t="str">
        <f>VLOOKUP($F1439,mapping!$L$2:$P$92,4,0)</f>
        <v>Major Advanced Economies (G7)</v>
      </c>
      <c r="L1439" s="29">
        <f>$D1439*VLOOKUP($E1439,'Charts data'!$A$2:$B$11,2,0)*VLOOKUP($G1439,'Charts data'!$A$14:$B$18,2,0)/IF('Charts data'!$E$3=1,I1439,1)/IF('Charts data'!$E$4=1,J1439,1)</f>
        <v>45880</v>
      </c>
    </row>
    <row r="1440" spans="1:12" x14ac:dyDescent="0.25">
      <c r="A1440" s="27" t="s">
        <v>560</v>
      </c>
      <c r="B1440" s="27">
        <v>70000</v>
      </c>
      <c r="C1440" s="27" t="s">
        <v>2</v>
      </c>
      <c r="D1440" s="28">
        <f>B1440*VLOOKUP(C1440,tblXrate[],2,0)</f>
        <v>70000</v>
      </c>
      <c r="E1440" s="27" t="s">
        <v>19</v>
      </c>
      <c r="F1440" s="27" t="s">
        <v>5</v>
      </c>
      <c r="G1440" s="27" t="s">
        <v>2271</v>
      </c>
      <c r="H1440" s="27"/>
      <c r="I1440" s="27">
        <f>VLOOKUP(F1440,mapping!$L$2:$P$92,2,0)</f>
        <v>1</v>
      </c>
      <c r="J1440" s="27">
        <f>VLOOKUP($F1440,mapping!$L$2:$P$92,3,0)</f>
        <v>48386.69</v>
      </c>
      <c r="K1440" s="27" t="str">
        <f>VLOOKUP($F1440,mapping!$L$2:$P$92,4,0)</f>
        <v>Major Advanced Economies (G7)</v>
      </c>
      <c r="L1440" s="29">
        <f>$D1440*VLOOKUP($E1440,'Charts data'!$A$2:$B$11,2,0)*VLOOKUP($G1440,'Charts data'!$A$14:$B$18,2,0)/IF('Charts data'!$E$3=1,I1440,1)/IF('Charts data'!$E$4=1,J1440,1)</f>
        <v>70000</v>
      </c>
    </row>
    <row r="1441" spans="1:12" x14ac:dyDescent="0.25">
      <c r="A1441" s="27" t="s">
        <v>561</v>
      </c>
      <c r="B1441" s="27">
        <v>100000</v>
      </c>
      <c r="C1441" s="27" t="s">
        <v>2</v>
      </c>
      <c r="D1441" s="28">
        <f>B1441*VLOOKUP(C1441,tblXrate[],2,0)</f>
        <v>100000</v>
      </c>
      <c r="E1441" s="27" t="s">
        <v>7</v>
      </c>
      <c r="F1441" s="27" t="s">
        <v>5</v>
      </c>
      <c r="G1441" s="27" t="s">
        <v>2273</v>
      </c>
      <c r="H1441" s="27"/>
      <c r="I1441" s="27">
        <f>VLOOKUP(F1441,mapping!$L$2:$P$92,2,0)</f>
        <v>1</v>
      </c>
      <c r="J1441" s="27">
        <f>VLOOKUP($F1441,mapping!$L$2:$P$92,3,0)</f>
        <v>48386.69</v>
      </c>
      <c r="K1441" s="27" t="str">
        <f>VLOOKUP($F1441,mapping!$L$2:$P$92,4,0)</f>
        <v>Major Advanced Economies (G7)</v>
      </c>
      <c r="L1441" s="29">
        <f>$D1441*VLOOKUP($E1441,'Charts data'!$A$2:$B$11,2,0)*VLOOKUP($G1441,'Charts data'!$A$14:$B$18,2,0)/IF('Charts data'!$E$3=1,I1441,1)/IF('Charts data'!$E$4=1,J1441,1)</f>
        <v>100000</v>
      </c>
    </row>
    <row r="1442" spans="1:12" x14ac:dyDescent="0.25">
      <c r="A1442" s="27" t="s">
        <v>563</v>
      </c>
      <c r="B1442" s="27">
        <v>85000</v>
      </c>
      <c r="C1442" s="27" t="s">
        <v>2</v>
      </c>
      <c r="D1442" s="28">
        <f>B1442*VLOOKUP(C1442,tblXrate[],2,0)</f>
        <v>85000</v>
      </c>
      <c r="E1442" s="27" t="s">
        <v>48</v>
      </c>
      <c r="F1442" s="27" t="s">
        <v>5</v>
      </c>
      <c r="G1442" s="27" t="s">
        <v>2272</v>
      </c>
      <c r="H1442" s="27"/>
      <c r="I1442" s="27">
        <f>VLOOKUP(F1442,mapping!$L$2:$P$92,2,0)</f>
        <v>1</v>
      </c>
      <c r="J1442" s="27">
        <f>VLOOKUP($F1442,mapping!$L$2:$P$92,3,0)</f>
        <v>48386.69</v>
      </c>
      <c r="K1442" s="27" t="str">
        <f>VLOOKUP($F1442,mapping!$L$2:$P$92,4,0)</f>
        <v>Major Advanced Economies (G7)</v>
      </c>
      <c r="L1442" s="29">
        <f>$D1442*VLOOKUP($E1442,'Charts data'!$A$2:$B$11,2,0)*VLOOKUP($G1442,'Charts data'!$A$14:$B$18,2,0)/IF('Charts data'!$E$3=1,I1442,1)/IF('Charts data'!$E$4=1,J1442,1)</f>
        <v>85000</v>
      </c>
    </row>
    <row r="1443" spans="1:12" x14ac:dyDescent="0.25">
      <c r="A1443" s="27" t="s">
        <v>564</v>
      </c>
      <c r="B1443" s="27">
        <v>47000</v>
      </c>
      <c r="C1443" s="27" t="s">
        <v>2</v>
      </c>
      <c r="D1443" s="28">
        <f>B1443*VLOOKUP(C1443,tblXrate[],2,0)</f>
        <v>47000</v>
      </c>
      <c r="E1443" s="27" t="s">
        <v>19</v>
      </c>
      <c r="F1443" s="27" t="s">
        <v>5</v>
      </c>
      <c r="G1443" s="27" t="s">
        <v>2271</v>
      </c>
      <c r="H1443" s="27"/>
      <c r="I1443" s="27">
        <f>VLOOKUP(F1443,mapping!$L$2:$P$92,2,0)</f>
        <v>1</v>
      </c>
      <c r="J1443" s="27">
        <f>VLOOKUP($F1443,mapping!$L$2:$P$92,3,0)</f>
        <v>48386.69</v>
      </c>
      <c r="K1443" s="27" t="str">
        <f>VLOOKUP($F1443,mapping!$L$2:$P$92,4,0)</f>
        <v>Major Advanced Economies (G7)</v>
      </c>
      <c r="L1443" s="29">
        <f>$D1443*VLOOKUP($E1443,'Charts data'!$A$2:$B$11,2,0)*VLOOKUP($G1443,'Charts data'!$A$14:$B$18,2,0)/IF('Charts data'!$E$3=1,I1443,1)/IF('Charts data'!$E$4=1,J1443,1)</f>
        <v>47000</v>
      </c>
    </row>
    <row r="1444" spans="1:12" x14ac:dyDescent="0.25">
      <c r="A1444" s="27" t="s">
        <v>565</v>
      </c>
      <c r="B1444" s="27">
        <v>40000</v>
      </c>
      <c r="C1444" s="27" t="s">
        <v>2</v>
      </c>
      <c r="D1444" s="28">
        <f>B1444*VLOOKUP(C1444,tblXrate[],2,0)</f>
        <v>40000</v>
      </c>
      <c r="E1444" s="27" t="s">
        <v>19</v>
      </c>
      <c r="F1444" s="27" t="s">
        <v>5</v>
      </c>
      <c r="G1444" s="27" t="s">
        <v>2272</v>
      </c>
      <c r="H1444" s="27"/>
      <c r="I1444" s="27">
        <f>VLOOKUP(F1444,mapping!$L$2:$P$92,2,0)</f>
        <v>1</v>
      </c>
      <c r="J1444" s="27">
        <f>VLOOKUP($F1444,mapping!$L$2:$P$92,3,0)</f>
        <v>48386.69</v>
      </c>
      <c r="K1444" s="27" t="str">
        <f>VLOOKUP($F1444,mapping!$L$2:$P$92,4,0)</f>
        <v>Major Advanced Economies (G7)</v>
      </c>
      <c r="L1444" s="29">
        <f>$D1444*VLOOKUP($E1444,'Charts data'!$A$2:$B$11,2,0)*VLOOKUP($G1444,'Charts data'!$A$14:$B$18,2,0)/IF('Charts data'!$E$3=1,I1444,1)/IF('Charts data'!$E$4=1,J1444,1)</f>
        <v>40000</v>
      </c>
    </row>
    <row r="1445" spans="1:12" x14ac:dyDescent="0.25">
      <c r="A1445" s="27" t="s">
        <v>568</v>
      </c>
      <c r="B1445" s="27">
        <v>34000</v>
      </c>
      <c r="C1445" s="27" t="s">
        <v>2</v>
      </c>
      <c r="D1445" s="28">
        <f>B1445*VLOOKUP(C1445,tblXrate[],2,0)</f>
        <v>34000</v>
      </c>
      <c r="E1445" s="27" t="s">
        <v>7</v>
      </c>
      <c r="F1445" s="27" t="s">
        <v>5</v>
      </c>
      <c r="G1445" s="27" t="s">
        <v>2271</v>
      </c>
      <c r="H1445" s="27"/>
      <c r="I1445" s="27">
        <f>VLOOKUP(F1445,mapping!$L$2:$P$92,2,0)</f>
        <v>1</v>
      </c>
      <c r="J1445" s="27">
        <f>VLOOKUP($F1445,mapping!$L$2:$P$92,3,0)</f>
        <v>48386.69</v>
      </c>
      <c r="K1445" s="27" t="str">
        <f>VLOOKUP($F1445,mapping!$L$2:$P$92,4,0)</f>
        <v>Major Advanced Economies (G7)</v>
      </c>
      <c r="L1445" s="29">
        <f>$D1445*VLOOKUP($E1445,'Charts data'!$A$2:$B$11,2,0)*VLOOKUP($G1445,'Charts data'!$A$14:$B$18,2,0)/IF('Charts data'!$E$3=1,I1445,1)/IF('Charts data'!$E$4=1,J1445,1)</f>
        <v>34000</v>
      </c>
    </row>
    <row r="1446" spans="1:12" x14ac:dyDescent="0.25">
      <c r="A1446" s="27" t="s">
        <v>569</v>
      </c>
      <c r="B1446" s="27">
        <v>52000</v>
      </c>
      <c r="C1446" s="27" t="s">
        <v>2</v>
      </c>
      <c r="D1446" s="28">
        <f>B1446*VLOOKUP(C1446,tblXrate[],2,0)</f>
        <v>52000</v>
      </c>
      <c r="E1446" s="27" t="s">
        <v>7</v>
      </c>
      <c r="F1446" s="27" t="s">
        <v>5</v>
      </c>
      <c r="G1446" s="27" t="s">
        <v>2271</v>
      </c>
      <c r="H1446" s="27"/>
      <c r="I1446" s="27">
        <f>VLOOKUP(F1446,mapping!$L$2:$P$92,2,0)</f>
        <v>1</v>
      </c>
      <c r="J1446" s="27">
        <f>VLOOKUP($F1446,mapping!$L$2:$P$92,3,0)</f>
        <v>48386.69</v>
      </c>
      <c r="K1446" s="27" t="str">
        <f>VLOOKUP($F1446,mapping!$L$2:$P$92,4,0)</f>
        <v>Major Advanced Economies (G7)</v>
      </c>
      <c r="L1446" s="29">
        <f>$D1446*VLOOKUP($E1446,'Charts data'!$A$2:$B$11,2,0)*VLOOKUP($G1446,'Charts data'!$A$14:$B$18,2,0)/IF('Charts data'!$E$3=1,I1446,1)/IF('Charts data'!$E$4=1,J1446,1)</f>
        <v>52000</v>
      </c>
    </row>
    <row r="1447" spans="1:12" x14ac:dyDescent="0.25">
      <c r="A1447" s="27" t="s">
        <v>574</v>
      </c>
      <c r="B1447" s="27">
        <v>60000</v>
      </c>
      <c r="C1447" s="27" t="s">
        <v>2</v>
      </c>
      <c r="D1447" s="28">
        <f>B1447*VLOOKUP(C1447,tblXrate[],2,0)</f>
        <v>60000</v>
      </c>
      <c r="E1447" s="27" t="s">
        <v>7</v>
      </c>
      <c r="F1447" s="27" t="s">
        <v>5</v>
      </c>
      <c r="G1447" s="27" t="s">
        <v>2271</v>
      </c>
      <c r="H1447" s="27"/>
      <c r="I1447" s="27">
        <f>VLOOKUP(F1447,mapping!$L$2:$P$92,2,0)</f>
        <v>1</v>
      </c>
      <c r="J1447" s="27">
        <f>VLOOKUP($F1447,mapping!$L$2:$P$92,3,0)</f>
        <v>48386.69</v>
      </c>
      <c r="K1447" s="27" t="str">
        <f>VLOOKUP($F1447,mapping!$L$2:$P$92,4,0)</f>
        <v>Major Advanced Economies (G7)</v>
      </c>
      <c r="L1447" s="29">
        <f>$D1447*VLOOKUP($E1447,'Charts data'!$A$2:$B$11,2,0)*VLOOKUP($G1447,'Charts data'!$A$14:$B$18,2,0)/IF('Charts data'!$E$3=1,I1447,1)/IF('Charts data'!$E$4=1,J1447,1)</f>
        <v>60000</v>
      </c>
    </row>
    <row r="1448" spans="1:12" x14ac:dyDescent="0.25">
      <c r="A1448" s="27" t="s">
        <v>577</v>
      </c>
      <c r="B1448" s="27">
        <v>56000</v>
      </c>
      <c r="C1448" s="27" t="s">
        <v>2</v>
      </c>
      <c r="D1448" s="28">
        <f>B1448*VLOOKUP(C1448,tblXrate[],2,0)</f>
        <v>56000</v>
      </c>
      <c r="E1448" s="27" t="s">
        <v>7</v>
      </c>
      <c r="F1448" s="27" t="s">
        <v>5</v>
      </c>
      <c r="G1448" s="27" t="s">
        <v>2271</v>
      </c>
      <c r="H1448" s="27"/>
      <c r="I1448" s="27">
        <f>VLOOKUP(F1448,mapping!$L$2:$P$92,2,0)</f>
        <v>1</v>
      </c>
      <c r="J1448" s="27">
        <f>VLOOKUP($F1448,mapping!$L$2:$P$92,3,0)</f>
        <v>48386.69</v>
      </c>
      <c r="K1448" s="27" t="str">
        <f>VLOOKUP($F1448,mapping!$L$2:$P$92,4,0)</f>
        <v>Major Advanced Economies (G7)</v>
      </c>
      <c r="L1448" s="29">
        <f>$D1448*VLOOKUP($E1448,'Charts data'!$A$2:$B$11,2,0)*VLOOKUP($G1448,'Charts data'!$A$14:$B$18,2,0)/IF('Charts data'!$E$3=1,I1448,1)/IF('Charts data'!$E$4=1,J1448,1)</f>
        <v>56000</v>
      </c>
    </row>
    <row r="1449" spans="1:12" x14ac:dyDescent="0.25">
      <c r="A1449" s="27" t="s">
        <v>578</v>
      </c>
      <c r="B1449" s="27">
        <v>52000</v>
      </c>
      <c r="C1449" s="27" t="s">
        <v>2</v>
      </c>
      <c r="D1449" s="28">
        <f>B1449*VLOOKUP(C1449,tblXrate[],2,0)</f>
        <v>52000</v>
      </c>
      <c r="E1449" s="27" t="s">
        <v>51</v>
      </c>
      <c r="F1449" s="27" t="s">
        <v>5</v>
      </c>
      <c r="G1449" s="27" t="s">
        <v>2271</v>
      </c>
      <c r="H1449" s="27"/>
      <c r="I1449" s="27">
        <f>VLOOKUP(F1449,mapping!$L$2:$P$92,2,0)</f>
        <v>1</v>
      </c>
      <c r="J1449" s="27">
        <f>VLOOKUP($F1449,mapping!$L$2:$P$92,3,0)</f>
        <v>48386.69</v>
      </c>
      <c r="K1449" s="27" t="str">
        <f>VLOOKUP($F1449,mapping!$L$2:$P$92,4,0)</f>
        <v>Major Advanced Economies (G7)</v>
      </c>
      <c r="L1449" s="29">
        <f>$D1449*VLOOKUP($E1449,'Charts data'!$A$2:$B$11,2,0)*VLOOKUP($G1449,'Charts data'!$A$14:$B$18,2,0)/IF('Charts data'!$E$3=1,I1449,1)/IF('Charts data'!$E$4=1,J1449,1)</f>
        <v>52000</v>
      </c>
    </row>
    <row r="1450" spans="1:12" x14ac:dyDescent="0.25">
      <c r="A1450" s="27" t="s">
        <v>579</v>
      </c>
      <c r="B1450" s="27">
        <v>51613</v>
      </c>
      <c r="C1450" s="27" t="s">
        <v>2</v>
      </c>
      <c r="D1450" s="28">
        <f>B1450*VLOOKUP(C1450,tblXrate[],2,0)</f>
        <v>51613</v>
      </c>
      <c r="E1450" s="27" t="s">
        <v>7</v>
      </c>
      <c r="F1450" s="27" t="s">
        <v>5</v>
      </c>
      <c r="G1450" s="27" t="s">
        <v>2273</v>
      </c>
      <c r="H1450" s="27"/>
      <c r="I1450" s="27">
        <f>VLOOKUP(F1450,mapping!$L$2:$P$92,2,0)</f>
        <v>1</v>
      </c>
      <c r="J1450" s="27">
        <f>VLOOKUP($F1450,mapping!$L$2:$P$92,3,0)</f>
        <v>48386.69</v>
      </c>
      <c r="K1450" s="27" t="str">
        <f>VLOOKUP($F1450,mapping!$L$2:$P$92,4,0)</f>
        <v>Major Advanced Economies (G7)</v>
      </c>
      <c r="L1450" s="29">
        <f>$D1450*VLOOKUP($E1450,'Charts data'!$A$2:$B$11,2,0)*VLOOKUP($G1450,'Charts data'!$A$14:$B$18,2,0)/IF('Charts data'!$E$3=1,I1450,1)/IF('Charts data'!$E$4=1,J1450,1)</f>
        <v>51613</v>
      </c>
    </row>
    <row r="1451" spans="1:12" x14ac:dyDescent="0.25">
      <c r="A1451" s="27" t="s">
        <v>581</v>
      </c>
      <c r="B1451" s="27">
        <v>56000</v>
      </c>
      <c r="C1451" s="27" t="s">
        <v>2</v>
      </c>
      <c r="D1451" s="28">
        <f>B1451*VLOOKUP(C1451,tblXrate[],2,0)</f>
        <v>56000</v>
      </c>
      <c r="E1451" s="27" t="s">
        <v>19</v>
      </c>
      <c r="F1451" s="27" t="s">
        <v>5</v>
      </c>
      <c r="G1451" s="27" t="s">
        <v>2273</v>
      </c>
      <c r="H1451" s="27"/>
      <c r="I1451" s="27">
        <f>VLOOKUP(F1451,mapping!$L$2:$P$92,2,0)</f>
        <v>1</v>
      </c>
      <c r="J1451" s="27">
        <f>VLOOKUP($F1451,mapping!$L$2:$P$92,3,0)</f>
        <v>48386.69</v>
      </c>
      <c r="K1451" s="27" t="str">
        <f>VLOOKUP($F1451,mapping!$L$2:$P$92,4,0)</f>
        <v>Major Advanced Economies (G7)</v>
      </c>
      <c r="L1451" s="29">
        <f>$D1451*VLOOKUP($E1451,'Charts data'!$A$2:$B$11,2,0)*VLOOKUP($G1451,'Charts data'!$A$14:$B$18,2,0)/IF('Charts data'!$E$3=1,I1451,1)/IF('Charts data'!$E$4=1,J1451,1)</f>
        <v>56000</v>
      </c>
    </row>
    <row r="1452" spans="1:12" x14ac:dyDescent="0.25">
      <c r="A1452" s="27" t="s">
        <v>582</v>
      </c>
      <c r="B1452" s="27">
        <v>115000</v>
      </c>
      <c r="C1452" s="27" t="s">
        <v>2</v>
      </c>
      <c r="D1452" s="28">
        <f>B1452*VLOOKUP(C1452,tblXrate[],2,0)</f>
        <v>115000</v>
      </c>
      <c r="E1452" s="27" t="s">
        <v>53</v>
      </c>
      <c r="F1452" s="27" t="s">
        <v>5</v>
      </c>
      <c r="G1452" s="27" t="s">
        <v>2272</v>
      </c>
      <c r="H1452" s="27"/>
      <c r="I1452" s="27">
        <f>VLOOKUP(F1452,mapping!$L$2:$P$92,2,0)</f>
        <v>1</v>
      </c>
      <c r="J1452" s="27">
        <f>VLOOKUP($F1452,mapping!$L$2:$P$92,3,0)</f>
        <v>48386.69</v>
      </c>
      <c r="K1452" s="27" t="str">
        <f>VLOOKUP($F1452,mapping!$L$2:$P$92,4,0)</f>
        <v>Major Advanced Economies (G7)</v>
      </c>
      <c r="L1452" s="29">
        <f>$D1452*VLOOKUP($E1452,'Charts data'!$A$2:$B$11,2,0)*VLOOKUP($G1452,'Charts data'!$A$14:$B$18,2,0)/IF('Charts data'!$E$3=1,I1452,1)/IF('Charts data'!$E$4=1,J1452,1)</f>
        <v>115000</v>
      </c>
    </row>
    <row r="1453" spans="1:12" x14ac:dyDescent="0.25">
      <c r="A1453" s="27" t="s">
        <v>585</v>
      </c>
      <c r="B1453" s="27">
        <v>72000</v>
      </c>
      <c r="C1453" s="27" t="s">
        <v>2</v>
      </c>
      <c r="D1453" s="28">
        <f>B1453*VLOOKUP(C1453,tblXrate[],2,0)</f>
        <v>72000</v>
      </c>
      <c r="E1453" s="27" t="s">
        <v>2147</v>
      </c>
      <c r="F1453" s="27" t="s">
        <v>5</v>
      </c>
      <c r="G1453" s="27" t="s">
        <v>2271</v>
      </c>
      <c r="H1453" s="27"/>
      <c r="I1453" s="27">
        <f>VLOOKUP(F1453,mapping!$L$2:$P$92,2,0)</f>
        <v>1</v>
      </c>
      <c r="J1453" s="27">
        <f>VLOOKUP($F1453,mapping!$L$2:$P$92,3,0)</f>
        <v>48386.69</v>
      </c>
      <c r="K1453" s="27" t="str">
        <f>VLOOKUP($F1453,mapping!$L$2:$P$92,4,0)</f>
        <v>Major Advanced Economies (G7)</v>
      </c>
      <c r="L1453" s="29">
        <f>$D1453*VLOOKUP($E1453,'Charts data'!$A$2:$B$11,2,0)*VLOOKUP($G1453,'Charts data'!$A$14:$B$18,2,0)/IF('Charts data'!$E$3=1,I1453,1)/IF('Charts data'!$E$4=1,J1453,1)</f>
        <v>72000</v>
      </c>
    </row>
    <row r="1454" spans="1:12" x14ac:dyDescent="0.25">
      <c r="A1454" s="27" t="s">
        <v>586</v>
      </c>
      <c r="B1454" s="27">
        <v>90000</v>
      </c>
      <c r="C1454" s="27" t="s">
        <v>2</v>
      </c>
      <c r="D1454" s="28">
        <f>B1454*VLOOKUP(C1454,tblXrate[],2,0)</f>
        <v>90000</v>
      </c>
      <c r="E1454" s="27" t="s">
        <v>7</v>
      </c>
      <c r="F1454" s="27" t="s">
        <v>5</v>
      </c>
      <c r="G1454" s="27" t="s">
        <v>2273</v>
      </c>
      <c r="H1454" s="27"/>
      <c r="I1454" s="27">
        <f>VLOOKUP(F1454,mapping!$L$2:$P$92,2,0)</f>
        <v>1</v>
      </c>
      <c r="J1454" s="27">
        <f>VLOOKUP($F1454,mapping!$L$2:$P$92,3,0)</f>
        <v>48386.69</v>
      </c>
      <c r="K1454" s="27" t="str">
        <f>VLOOKUP($F1454,mapping!$L$2:$P$92,4,0)</f>
        <v>Major Advanced Economies (G7)</v>
      </c>
      <c r="L1454" s="29">
        <f>$D1454*VLOOKUP($E1454,'Charts data'!$A$2:$B$11,2,0)*VLOOKUP($G1454,'Charts data'!$A$14:$B$18,2,0)/IF('Charts data'!$E$3=1,I1454,1)/IF('Charts data'!$E$4=1,J1454,1)</f>
        <v>90000</v>
      </c>
    </row>
    <row r="1455" spans="1:12" x14ac:dyDescent="0.25">
      <c r="A1455" s="27" t="s">
        <v>589</v>
      </c>
      <c r="B1455" s="27">
        <v>250000</v>
      </c>
      <c r="C1455" s="27" t="s">
        <v>2</v>
      </c>
      <c r="D1455" s="28">
        <f>B1455*VLOOKUP(C1455,tblXrate[],2,0)</f>
        <v>250000</v>
      </c>
      <c r="E1455" s="27" t="s">
        <v>53</v>
      </c>
      <c r="F1455" s="27" t="s">
        <v>5</v>
      </c>
      <c r="G1455" s="27" t="s">
        <v>2273</v>
      </c>
      <c r="H1455" s="27"/>
      <c r="I1455" s="27">
        <f>VLOOKUP(F1455,mapping!$L$2:$P$92,2,0)</f>
        <v>1</v>
      </c>
      <c r="J1455" s="27">
        <f>VLOOKUP($F1455,mapping!$L$2:$P$92,3,0)</f>
        <v>48386.69</v>
      </c>
      <c r="K1455" s="27" t="str">
        <f>VLOOKUP($F1455,mapping!$L$2:$P$92,4,0)</f>
        <v>Major Advanced Economies (G7)</v>
      </c>
      <c r="L1455" s="29">
        <f>$D1455*VLOOKUP($E1455,'Charts data'!$A$2:$B$11,2,0)*VLOOKUP($G1455,'Charts data'!$A$14:$B$18,2,0)/IF('Charts data'!$E$3=1,I1455,1)/IF('Charts data'!$E$4=1,J1455,1)</f>
        <v>250000</v>
      </c>
    </row>
    <row r="1456" spans="1:12" x14ac:dyDescent="0.25">
      <c r="A1456" s="27" t="s">
        <v>592</v>
      </c>
      <c r="B1456" s="27">
        <v>30000</v>
      </c>
      <c r="C1456" s="27" t="s">
        <v>2</v>
      </c>
      <c r="D1456" s="28">
        <f>B1456*VLOOKUP(C1456,tblXrate[],2,0)</f>
        <v>30000</v>
      </c>
      <c r="E1456" s="27" t="s">
        <v>19</v>
      </c>
      <c r="F1456" s="27" t="s">
        <v>5</v>
      </c>
      <c r="G1456" s="27" t="s">
        <v>2272</v>
      </c>
      <c r="H1456" s="27"/>
      <c r="I1456" s="27">
        <f>VLOOKUP(F1456,mapping!$L$2:$P$92,2,0)</f>
        <v>1</v>
      </c>
      <c r="J1456" s="27">
        <f>VLOOKUP($F1456,mapping!$L$2:$P$92,3,0)</f>
        <v>48386.69</v>
      </c>
      <c r="K1456" s="27" t="str">
        <f>VLOOKUP($F1456,mapping!$L$2:$P$92,4,0)</f>
        <v>Major Advanced Economies (G7)</v>
      </c>
      <c r="L1456" s="29">
        <f>$D1456*VLOOKUP($E1456,'Charts data'!$A$2:$B$11,2,0)*VLOOKUP($G1456,'Charts data'!$A$14:$B$18,2,0)/IF('Charts data'!$E$3=1,I1456,1)/IF('Charts data'!$E$4=1,J1456,1)</f>
        <v>30000</v>
      </c>
    </row>
    <row r="1457" spans="1:12" x14ac:dyDescent="0.25">
      <c r="A1457" s="27" t="s">
        <v>594</v>
      </c>
      <c r="B1457" s="27">
        <v>24000</v>
      </c>
      <c r="C1457" s="27" t="s">
        <v>2</v>
      </c>
      <c r="D1457" s="28">
        <f>B1457*VLOOKUP(C1457,tblXrate[],2,0)</f>
        <v>24000</v>
      </c>
      <c r="E1457" s="27" t="s">
        <v>48</v>
      </c>
      <c r="F1457" s="27" t="s">
        <v>5</v>
      </c>
      <c r="G1457" s="27" t="s">
        <v>2274</v>
      </c>
      <c r="H1457" s="27"/>
      <c r="I1457" s="27">
        <f>VLOOKUP(F1457,mapping!$L$2:$P$92,2,0)</f>
        <v>1</v>
      </c>
      <c r="J1457" s="27">
        <f>VLOOKUP($F1457,mapping!$L$2:$P$92,3,0)</f>
        <v>48386.69</v>
      </c>
      <c r="K1457" s="27" t="str">
        <f>VLOOKUP($F1457,mapping!$L$2:$P$92,4,0)</f>
        <v>Major Advanced Economies (G7)</v>
      </c>
      <c r="L1457" s="29">
        <f>$D1457*VLOOKUP($E1457,'Charts data'!$A$2:$B$11,2,0)*VLOOKUP($G1457,'Charts data'!$A$14:$B$18,2,0)/IF('Charts data'!$E$3=1,I1457,1)/IF('Charts data'!$E$4=1,J1457,1)</f>
        <v>24000</v>
      </c>
    </row>
    <row r="1458" spans="1:12" x14ac:dyDescent="0.25">
      <c r="A1458" s="27" t="s">
        <v>595</v>
      </c>
      <c r="B1458" s="27">
        <v>60000</v>
      </c>
      <c r="C1458" s="27" t="s">
        <v>2</v>
      </c>
      <c r="D1458" s="28">
        <f>B1458*VLOOKUP(C1458,tblXrate[],2,0)</f>
        <v>60000</v>
      </c>
      <c r="E1458" s="27" t="s">
        <v>19</v>
      </c>
      <c r="F1458" s="27" t="s">
        <v>5</v>
      </c>
      <c r="G1458" s="27" t="s">
        <v>2271</v>
      </c>
      <c r="H1458" s="27"/>
      <c r="I1458" s="27">
        <f>VLOOKUP(F1458,mapping!$L$2:$P$92,2,0)</f>
        <v>1</v>
      </c>
      <c r="J1458" s="27">
        <f>VLOOKUP($F1458,mapping!$L$2:$P$92,3,0)</f>
        <v>48386.69</v>
      </c>
      <c r="K1458" s="27" t="str">
        <f>VLOOKUP($F1458,mapping!$L$2:$P$92,4,0)</f>
        <v>Major Advanced Economies (G7)</v>
      </c>
      <c r="L1458" s="29">
        <f>$D1458*VLOOKUP($E1458,'Charts data'!$A$2:$B$11,2,0)*VLOOKUP($G1458,'Charts data'!$A$14:$B$18,2,0)/IF('Charts data'!$E$3=1,I1458,1)/IF('Charts data'!$E$4=1,J1458,1)</f>
        <v>60000</v>
      </c>
    </row>
    <row r="1459" spans="1:12" x14ac:dyDescent="0.25">
      <c r="A1459" s="27" t="s">
        <v>596</v>
      </c>
      <c r="B1459" s="27">
        <v>76600</v>
      </c>
      <c r="C1459" s="27" t="s">
        <v>2</v>
      </c>
      <c r="D1459" s="28">
        <f>B1459*VLOOKUP(C1459,tblXrate[],2,0)</f>
        <v>76600</v>
      </c>
      <c r="E1459" s="27" t="s">
        <v>7</v>
      </c>
      <c r="F1459" s="27" t="s">
        <v>5</v>
      </c>
      <c r="G1459" s="27" t="s">
        <v>2272</v>
      </c>
      <c r="H1459" s="27"/>
      <c r="I1459" s="27">
        <f>VLOOKUP(F1459,mapping!$L$2:$P$92,2,0)</f>
        <v>1</v>
      </c>
      <c r="J1459" s="27">
        <f>VLOOKUP($F1459,mapping!$L$2:$P$92,3,0)</f>
        <v>48386.69</v>
      </c>
      <c r="K1459" s="27" t="str">
        <f>VLOOKUP($F1459,mapping!$L$2:$P$92,4,0)</f>
        <v>Major Advanced Economies (G7)</v>
      </c>
      <c r="L1459" s="29">
        <f>$D1459*VLOOKUP($E1459,'Charts data'!$A$2:$B$11,2,0)*VLOOKUP($G1459,'Charts data'!$A$14:$B$18,2,0)/IF('Charts data'!$E$3=1,I1459,1)/IF('Charts data'!$E$4=1,J1459,1)</f>
        <v>76600</v>
      </c>
    </row>
    <row r="1460" spans="1:12" x14ac:dyDescent="0.25">
      <c r="A1460" s="27" t="s">
        <v>599</v>
      </c>
      <c r="B1460" s="27">
        <v>90000</v>
      </c>
      <c r="C1460" s="27" t="s">
        <v>2</v>
      </c>
      <c r="D1460" s="28">
        <f>B1460*VLOOKUP(C1460,tblXrate[],2,0)</f>
        <v>90000</v>
      </c>
      <c r="E1460" s="27" t="s">
        <v>7</v>
      </c>
      <c r="F1460" s="27" t="s">
        <v>5</v>
      </c>
      <c r="G1460" s="27" t="s">
        <v>2274</v>
      </c>
      <c r="H1460" s="27"/>
      <c r="I1460" s="27">
        <f>VLOOKUP(F1460,mapping!$L$2:$P$92,2,0)</f>
        <v>1</v>
      </c>
      <c r="J1460" s="27">
        <f>VLOOKUP($F1460,mapping!$L$2:$P$92,3,0)</f>
        <v>48386.69</v>
      </c>
      <c r="K1460" s="27" t="str">
        <f>VLOOKUP($F1460,mapping!$L$2:$P$92,4,0)</f>
        <v>Major Advanced Economies (G7)</v>
      </c>
      <c r="L1460" s="29">
        <f>$D1460*VLOOKUP($E1460,'Charts data'!$A$2:$B$11,2,0)*VLOOKUP($G1460,'Charts data'!$A$14:$B$18,2,0)/IF('Charts data'!$E$3=1,I1460,1)/IF('Charts data'!$E$4=1,J1460,1)</f>
        <v>90000</v>
      </c>
    </row>
    <row r="1461" spans="1:12" x14ac:dyDescent="0.25">
      <c r="A1461" s="27" t="s">
        <v>601</v>
      </c>
      <c r="B1461" s="27">
        <v>75000</v>
      </c>
      <c r="C1461" s="27" t="s">
        <v>2</v>
      </c>
      <c r="D1461" s="28">
        <f>B1461*VLOOKUP(C1461,tblXrate[],2,0)</f>
        <v>75000</v>
      </c>
      <c r="E1461" s="27" t="s">
        <v>7</v>
      </c>
      <c r="F1461" s="27" t="s">
        <v>5</v>
      </c>
      <c r="G1461" s="27" t="s">
        <v>2271</v>
      </c>
      <c r="H1461" s="27"/>
      <c r="I1461" s="27">
        <f>VLOOKUP(F1461,mapping!$L$2:$P$92,2,0)</f>
        <v>1</v>
      </c>
      <c r="J1461" s="27">
        <f>VLOOKUP($F1461,mapping!$L$2:$P$92,3,0)</f>
        <v>48386.69</v>
      </c>
      <c r="K1461" s="27" t="str">
        <f>VLOOKUP($F1461,mapping!$L$2:$P$92,4,0)</f>
        <v>Major Advanced Economies (G7)</v>
      </c>
      <c r="L1461" s="29">
        <f>$D1461*VLOOKUP($E1461,'Charts data'!$A$2:$B$11,2,0)*VLOOKUP($G1461,'Charts data'!$A$14:$B$18,2,0)/IF('Charts data'!$E$3=1,I1461,1)/IF('Charts data'!$E$4=1,J1461,1)</f>
        <v>75000</v>
      </c>
    </row>
    <row r="1462" spans="1:12" x14ac:dyDescent="0.25">
      <c r="A1462" s="27" t="s">
        <v>602</v>
      </c>
      <c r="B1462" s="27">
        <v>72000</v>
      </c>
      <c r="C1462" s="27" t="s">
        <v>2</v>
      </c>
      <c r="D1462" s="28">
        <f>B1462*VLOOKUP(C1462,tblXrate[],2,0)</f>
        <v>72000</v>
      </c>
      <c r="E1462" s="27" t="s">
        <v>7</v>
      </c>
      <c r="F1462" s="27" t="s">
        <v>5</v>
      </c>
      <c r="G1462" s="27" t="s">
        <v>2272</v>
      </c>
      <c r="H1462" s="27"/>
      <c r="I1462" s="27">
        <f>VLOOKUP(F1462,mapping!$L$2:$P$92,2,0)</f>
        <v>1</v>
      </c>
      <c r="J1462" s="27">
        <f>VLOOKUP($F1462,mapping!$L$2:$P$92,3,0)</f>
        <v>48386.69</v>
      </c>
      <c r="K1462" s="27" t="str">
        <f>VLOOKUP($F1462,mapping!$L$2:$P$92,4,0)</f>
        <v>Major Advanced Economies (G7)</v>
      </c>
      <c r="L1462" s="29">
        <f>$D1462*VLOOKUP($E1462,'Charts data'!$A$2:$B$11,2,0)*VLOOKUP($G1462,'Charts data'!$A$14:$B$18,2,0)/IF('Charts data'!$E$3=1,I1462,1)/IF('Charts data'!$E$4=1,J1462,1)</f>
        <v>72000</v>
      </c>
    </row>
    <row r="1463" spans="1:12" x14ac:dyDescent="0.25">
      <c r="A1463" s="27" t="s">
        <v>603</v>
      </c>
      <c r="B1463" s="27">
        <v>65000</v>
      </c>
      <c r="C1463" s="27" t="s">
        <v>2</v>
      </c>
      <c r="D1463" s="28">
        <f>B1463*VLOOKUP(C1463,tblXrate[],2,0)</f>
        <v>65000</v>
      </c>
      <c r="E1463" s="27" t="s">
        <v>7</v>
      </c>
      <c r="F1463" s="27" t="s">
        <v>5</v>
      </c>
      <c r="G1463" s="27" t="s">
        <v>2271</v>
      </c>
      <c r="H1463" s="27"/>
      <c r="I1463" s="27">
        <f>VLOOKUP(F1463,mapping!$L$2:$P$92,2,0)</f>
        <v>1</v>
      </c>
      <c r="J1463" s="27">
        <f>VLOOKUP($F1463,mapping!$L$2:$P$92,3,0)</f>
        <v>48386.69</v>
      </c>
      <c r="K1463" s="27" t="str">
        <f>VLOOKUP($F1463,mapping!$L$2:$P$92,4,0)</f>
        <v>Major Advanced Economies (G7)</v>
      </c>
      <c r="L1463" s="29">
        <f>$D1463*VLOOKUP($E1463,'Charts data'!$A$2:$B$11,2,0)*VLOOKUP($G1463,'Charts data'!$A$14:$B$18,2,0)/IF('Charts data'!$E$3=1,I1463,1)/IF('Charts data'!$E$4=1,J1463,1)</f>
        <v>65000</v>
      </c>
    </row>
    <row r="1464" spans="1:12" x14ac:dyDescent="0.25">
      <c r="A1464" s="27" t="s">
        <v>604</v>
      </c>
      <c r="B1464" s="27">
        <v>120000</v>
      </c>
      <c r="C1464" s="27" t="s">
        <v>2</v>
      </c>
      <c r="D1464" s="28">
        <f>B1464*VLOOKUP(C1464,tblXrate[],2,0)</f>
        <v>120000</v>
      </c>
      <c r="E1464" s="27" t="s">
        <v>2147</v>
      </c>
      <c r="F1464" s="27" t="s">
        <v>5</v>
      </c>
      <c r="G1464" s="27" t="s">
        <v>2274</v>
      </c>
      <c r="H1464" s="27"/>
      <c r="I1464" s="27">
        <f>VLOOKUP(F1464,mapping!$L$2:$P$92,2,0)</f>
        <v>1</v>
      </c>
      <c r="J1464" s="27">
        <f>VLOOKUP($F1464,mapping!$L$2:$P$92,3,0)</f>
        <v>48386.69</v>
      </c>
      <c r="K1464" s="27" t="str">
        <f>VLOOKUP($F1464,mapping!$L$2:$P$92,4,0)</f>
        <v>Major Advanced Economies (G7)</v>
      </c>
      <c r="L1464" s="29">
        <f>$D1464*VLOOKUP($E1464,'Charts data'!$A$2:$B$11,2,0)*VLOOKUP($G1464,'Charts data'!$A$14:$B$18,2,0)/IF('Charts data'!$E$3=1,I1464,1)/IF('Charts data'!$E$4=1,J1464,1)</f>
        <v>120000</v>
      </c>
    </row>
    <row r="1465" spans="1:12" x14ac:dyDescent="0.25">
      <c r="A1465" s="27" t="s">
        <v>608</v>
      </c>
      <c r="B1465" s="27">
        <v>80000</v>
      </c>
      <c r="C1465" s="27" t="s">
        <v>2</v>
      </c>
      <c r="D1465" s="28">
        <f>B1465*VLOOKUP(C1465,tblXrate[],2,0)</f>
        <v>80000</v>
      </c>
      <c r="E1465" s="27" t="s">
        <v>7</v>
      </c>
      <c r="F1465" s="27" t="s">
        <v>5</v>
      </c>
      <c r="G1465" s="27" t="s">
        <v>2271</v>
      </c>
      <c r="H1465" s="27"/>
      <c r="I1465" s="27">
        <f>VLOOKUP(F1465,mapping!$L$2:$P$92,2,0)</f>
        <v>1</v>
      </c>
      <c r="J1465" s="27">
        <f>VLOOKUP($F1465,mapping!$L$2:$P$92,3,0)</f>
        <v>48386.69</v>
      </c>
      <c r="K1465" s="27" t="str">
        <f>VLOOKUP($F1465,mapping!$L$2:$P$92,4,0)</f>
        <v>Major Advanced Economies (G7)</v>
      </c>
      <c r="L1465" s="29">
        <f>$D1465*VLOOKUP($E1465,'Charts data'!$A$2:$B$11,2,0)*VLOOKUP($G1465,'Charts data'!$A$14:$B$18,2,0)/IF('Charts data'!$E$3=1,I1465,1)/IF('Charts data'!$E$4=1,J1465,1)</f>
        <v>80000</v>
      </c>
    </row>
    <row r="1466" spans="1:12" x14ac:dyDescent="0.25">
      <c r="A1466" s="27" t="s">
        <v>611</v>
      </c>
      <c r="B1466" s="27">
        <v>51000</v>
      </c>
      <c r="C1466" s="27" t="s">
        <v>2</v>
      </c>
      <c r="D1466" s="28">
        <f>B1466*VLOOKUP(C1466,tblXrate[],2,0)</f>
        <v>51000</v>
      </c>
      <c r="E1466" s="27" t="s">
        <v>19</v>
      </c>
      <c r="F1466" s="27" t="s">
        <v>5</v>
      </c>
      <c r="G1466" s="27" t="s">
        <v>2272</v>
      </c>
      <c r="H1466" s="27"/>
      <c r="I1466" s="27">
        <f>VLOOKUP(F1466,mapping!$L$2:$P$92,2,0)</f>
        <v>1</v>
      </c>
      <c r="J1466" s="27">
        <f>VLOOKUP($F1466,mapping!$L$2:$P$92,3,0)</f>
        <v>48386.69</v>
      </c>
      <c r="K1466" s="27" t="str">
        <f>VLOOKUP($F1466,mapping!$L$2:$P$92,4,0)</f>
        <v>Major Advanced Economies (G7)</v>
      </c>
      <c r="L1466" s="29">
        <f>$D1466*VLOOKUP($E1466,'Charts data'!$A$2:$B$11,2,0)*VLOOKUP($G1466,'Charts data'!$A$14:$B$18,2,0)/IF('Charts data'!$E$3=1,I1466,1)/IF('Charts data'!$E$4=1,J1466,1)</f>
        <v>51000</v>
      </c>
    </row>
    <row r="1467" spans="1:12" x14ac:dyDescent="0.25">
      <c r="A1467" s="27" t="s">
        <v>613</v>
      </c>
      <c r="B1467" s="27">
        <v>74000</v>
      </c>
      <c r="C1467" s="27" t="s">
        <v>2</v>
      </c>
      <c r="D1467" s="28">
        <f>B1467*VLOOKUP(C1467,tblXrate[],2,0)</f>
        <v>74000</v>
      </c>
      <c r="E1467" s="27" t="s">
        <v>48</v>
      </c>
      <c r="F1467" s="27" t="s">
        <v>5</v>
      </c>
      <c r="G1467" s="27" t="s">
        <v>2271</v>
      </c>
      <c r="H1467" s="27"/>
      <c r="I1467" s="27">
        <f>VLOOKUP(F1467,mapping!$L$2:$P$92,2,0)</f>
        <v>1</v>
      </c>
      <c r="J1467" s="27">
        <f>VLOOKUP($F1467,mapping!$L$2:$P$92,3,0)</f>
        <v>48386.69</v>
      </c>
      <c r="K1467" s="27" t="str">
        <f>VLOOKUP($F1467,mapping!$L$2:$P$92,4,0)</f>
        <v>Major Advanced Economies (G7)</v>
      </c>
      <c r="L1467" s="29">
        <f>$D1467*VLOOKUP($E1467,'Charts data'!$A$2:$B$11,2,0)*VLOOKUP($G1467,'Charts data'!$A$14:$B$18,2,0)/IF('Charts data'!$E$3=1,I1467,1)/IF('Charts data'!$E$4=1,J1467,1)</f>
        <v>74000</v>
      </c>
    </row>
    <row r="1468" spans="1:12" x14ac:dyDescent="0.25">
      <c r="A1468" s="27" t="s">
        <v>615</v>
      </c>
      <c r="B1468" s="27">
        <v>50000</v>
      </c>
      <c r="C1468" s="27" t="s">
        <v>2</v>
      </c>
      <c r="D1468" s="28">
        <f>B1468*VLOOKUP(C1468,tblXrate[],2,0)</f>
        <v>50000</v>
      </c>
      <c r="E1468" s="27" t="s">
        <v>7</v>
      </c>
      <c r="F1468" s="27" t="s">
        <v>5</v>
      </c>
      <c r="G1468" s="27" t="s">
        <v>2271</v>
      </c>
      <c r="H1468" s="27"/>
      <c r="I1468" s="27">
        <f>VLOOKUP(F1468,mapping!$L$2:$P$92,2,0)</f>
        <v>1</v>
      </c>
      <c r="J1468" s="27">
        <f>VLOOKUP($F1468,mapping!$L$2:$P$92,3,0)</f>
        <v>48386.69</v>
      </c>
      <c r="K1468" s="27" t="str">
        <f>VLOOKUP($F1468,mapping!$L$2:$P$92,4,0)</f>
        <v>Major Advanced Economies (G7)</v>
      </c>
      <c r="L1468" s="29">
        <f>$D1468*VLOOKUP($E1468,'Charts data'!$A$2:$B$11,2,0)*VLOOKUP($G1468,'Charts data'!$A$14:$B$18,2,0)/IF('Charts data'!$E$3=1,I1468,1)/IF('Charts data'!$E$4=1,J1468,1)</f>
        <v>50000</v>
      </c>
    </row>
    <row r="1469" spans="1:12" x14ac:dyDescent="0.25">
      <c r="A1469" s="27" t="s">
        <v>619</v>
      </c>
      <c r="B1469" s="27">
        <v>60000</v>
      </c>
      <c r="C1469" s="27" t="s">
        <v>2</v>
      </c>
      <c r="D1469" s="28">
        <f>B1469*VLOOKUP(C1469,tblXrate[],2,0)</f>
        <v>60000</v>
      </c>
      <c r="E1469" s="27" t="s">
        <v>7</v>
      </c>
      <c r="F1469" s="27" t="s">
        <v>5</v>
      </c>
      <c r="G1469" s="27" t="s">
        <v>2273</v>
      </c>
      <c r="H1469" s="27"/>
      <c r="I1469" s="27">
        <f>VLOOKUP(F1469,mapping!$L$2:$P$92,2,0)</f>
        <v>1</v>
      </c>
      <c r="J1469" s="27">
        <f>VLOOKUP($F1469,mapping!$L$2:$P$92,3,0)</f>
        <v>48386.69</v>
      </c>
      <c r="K1469" s="27" t="str">
        <f>VLOOKUP($F1469,mapping!$L$2:$P$92,4,0)</f>
        <v>Major Advanced Economies (G7)</v>
      </c>
      <c r="L1469" s="29">
        <f>$D1469*VLOOKUP($E1469,'Charts data'!$A$2:$B$11,2,0)*VLOOKUP($G1469,'Charts data'!$A$14:$B$18,2,0)/IF('Charts data'!$E$3=1,I1469,1)/IF('Charts data'!$E$4=1,J1469,1)</f>
        <v>60000</v>
      </c>
    </row>
    <row r="1470" spans="1:12" x14ac:dyDescent="0.25">
      <c r="A1470" s="27" t="s">
        <v>621</v>
      </c>
      <c r="B1470" s="27">
        <v>80000</v>
      </c>
      <c r="C1470" s="27" t="s">
        <v>2</v>
      </c>
      <c r="D1470" s="28">
        <f>B1470*VLOOKUP(C1470,tblXrate[],2,0)</f>
        <v>80000</v>
      </c>
      <c r="E1470" s="27" t="s">
        <v>19</v>
      </c>
      <c r="F1470" s="27" t="s">
        <v>5</v>
      </c>
      <c r="G1470" s="27" t="s">
        <v>2274</v>
      </c>
      <c r="H1470" s="27"/>
      <c r="I1470" s="27">
        <f>VLOOKUP(F1470,mapping!$L$2:$P$92,2,0)</f>
        <v>1</v>
      </c>
      <c r="J1470" s="27">
        <f>VLOOKUP($F1470,mapping!$L$2:$P$92,3,0)</f>
        <v>48386.69</v>
      </c>
      <c r="K1470" s="27" t="str">
        <f>VLOOKUP($F1470,mapping!$L$2:$P$92,4,0)</f>
        <v>Major Advanced Economies (G7)</v>
      </c>
      <c r="L1470" s="29">
        <f>$D1470*VLOOKUP($E1470,'Charts data'!$A$2:$B$11,2,0)*VLOOKUP($G1470,'Charts data'!$A$14:$B$18,2,0)/IF('Charts data'!$E$3=1,I1470,1)/IF('Charts data'!$E$4=1,J1470,1)</f>
        <v>80000</v>
      </c>
    </row>
    <row r="1471" spans="1:12" x14ac:dyDescent="0.25">
      <c r="A1471" s="27" t="s">
        <v>624</v>
      </c>
      <c r="B1471" s="27">
        <v>125000</v>
      </c>
      <c r="C1471" s="27" t="s">
        <v>2</v>
      </c>
      <c r="D1471" s="28">
        <f>B1471*VLOOKUP(C1471,tblXrate[],2,0)</f>
        <v>125000</v>
      </c>
      <c r="E1471" s="27" t="s">
        <v>19</v>
      </c>
      <c r="F1471" s="27" t="s">
        <v>5</v>
      </c>
      <c r="G1471" s="27" t="s">
        <v>2272</v>
      </c>
      <c r="H1471" s="27"/>
      <c r="I1471" s="27">
        <f>VLOOKUP(F1471,mapping!$L$2:$P$92,2,0)</f>
        <v>1</v>
      </c>
      <c r="J1471" s="27">
        <f>VLOOKUP($F1471,mapping!$L$2:$P$92,3,0)</f>
        <v>48386.69</v>
      </c>
      <c r="K1471" s="27" t="str">
        <f>VLOOKUP($F1471,mapping!$L$2:$P$92,4,0)</f>
        <v>Major Advanced Economies (G7)</v>
      </c>
      <c r="L1471" s="29">
        <f>$D1471*VLOOKUP($E1471,'Charts data'!$A$2:$B$11,2,0)*VLOOKUP($G1471,'Charts data'!$A$14:$B$18,2,0)/IF('Charts data'!$E$3=1,I1471,1)/IF('Charts data'!$E$4=1,J1471,1)</f>
        <v>125000</v>
      </c>
    </row>
    <row r="1472" spans="1:12" x14ac:dyDescent="0.25">
      <c r="A1472" s="27" t="s">
        <v>625</v>
      </c>
      <c r="B1472" s="27">
        <v>52000</v>
      </c>
      <c r="C1472" s="27" t="s">
        <v>2</v>
      </c>
      <c r="D1472" s="28">
        <f>B1472*VLOOKUP(C1472,tblXrate[],2,0)</f>
        <v>52000</v>
      </c>
      <c r="E1472" s="27" t="s">
        <v>7</v>
      </c>
      <c r="F1472" s="27" t="s">
        <v>5</v>
      </c>
      <c r="G1472" s="27" t="s">
        <v>2272</v>
      </c>
      <c r="H1472" s="27"/>
      <c r="I1472" s="27">
        <f>VLOOKUP(F1472,mapping!$L$2:$P$92,2,0)</f>
        <v>1</v>
      </c>
      <c r="J1472" s="27">
        <f>VLOOKUP($F1472,mapping!$L$2:$P$92,3,0)</f>
        <v>48386.69</v>
      </c>
      <c r="K1472" s="27" t="str">
        <f>VLOOKUP($F1472,mapping!$L$2:$P$92,4,0)</f>
        <v>Major Advanced Economies (G7)</v>
      </c>
      <c r="L1472" s="29">
        <f>$D1472*VLOOKUP($E1472,'Charts data'!$A$2:$B$11,2,0)*VLOOKUP($G1472,'Charts data'!$A$14:$B$18,2,0)/IF('Charts data'!$E$3=1,I1472,1)/IF('Charts data'!$E$4=1,J1472,1)</f>
        <v>52000</v>
      </c>
    </row>
    <row r="1473" spans="1:12" x14ac:dyDescent="0.25">
      <c r="A1473" s="27" t="s">
        <v>626</v>
      </c>
      <c r="B1473" s="27">
        <v>45000</v>
      </c>
      <c r="C1473" s="27" t="s">
        <v>2</v>
      </c>
      <c r="D1473" s="28">
        <f>B1473*VLOOKUP(C1473,tblXrate[],2,0)</f>
        <v>45000</v>
      </c>
      <c r="E1473" s="27" t="s">
        <v>7</v>
      </c>
      <c r="F1473" s="27" t="s">
        <v>5</v>
      </c>
      <c r="G1473" s="27" t="s">
        <v>2271</v>
      </c>
      <c r="H1473" s="27"/>
      <c r="I1473" s="27">
        <f>VLOOKUP(F1473,mapping!$L$2:$P$92,2,0)</f>
        <v>1</v>
      </c>
      <c r="J1473" s="27">
        <f>VLOOKUP($F1473,mapping!$L$2:$P$92,3,0)</f>
        <v>48386.69</v>
      </c>
      <c r="K1473" s="27" t="str">
        <f>VLOOKUP($F1473,mapping!$L$2:$P$92,4,0)</f>
        <v>Major Advanced Economies (G7)</v>
      </c>
      <c r="L1473" s="29">
        <f>$D1473*VLOOKUP($E1473,'Charts data'!$A$2:$B$11,2,0)*VLOOKUP($G1473,'Charts data'!$A$14:$B$18,2,0)/IF('Charts data'!$E$3=1,I1473,1)/IF('Charts data'!$E$4=1,J1473,1)</f>
        <v>45000</v>
      </c>
    </row>
    <row r="1474" spans="1:12" x14ac:dyDescent="0.25">
      <c r="A1474" s="27" t="s">
        <v>628</v>
      </c>
      <c r="B1474" s="27">
        <v>60000</v>
      </c>
      <c r="C1474" s="27" t="s">
        <v>2</v>
      </c>
      <c r="D1474" s="28">
        <f>B1474*VLOOKUP(C1474,tblXrate[],2,0)</f>
        <v>60000</v>
      </c>
      <c r="E1474" s="27" t="s">
        <v>19</v>
      </c>
      <c r="F1474" s="27" t="s">
        <v>5</v>
      </c>
      <c r="G1474" s="27" t="s">
        <v>2273</v>
      </c>
      <c r="H1474" s="27"/>
      <c r="I1474" s="27">
        <f>VLOOKUP(F1474,mapping!$L$2:$P$92,2,0)</f>
        <v>1</v>
      </c>
      <c r="J1474" s="27">
        <f>VLOOKUP($F1474,mapping!$L$2:$P$92,3,0)</f>
        <v>48386.69</v>
      </c>
      <c r="K1474" s="27" t="str">
        <f>VLOOKUP($F1474,mapping!$L$2:$P$92,4,0)</f>
        <v>Major Advanced Economies (G7)</v>
      </c>
      <c r="L1474" s="29">
        <f>$D1474*VLOOKUP($E1474,'Charts data'!$A$2:$B$11,2,0)*VLOOKUP($G1474,'Charts data'!$A$14:$B$18,2,0)/IF('Charts data'!$E$3=1,I1474,1)/IF('Charts data'!$E$4=1,J1474,1)</f>
        <v>60000</v>
      </c>
    </row>
    <row r="1475" spans="1:12" x14ac:dyDescent="0.25">
      <c r="A1475" s="27" t="s">
        <v>633</v>
      </c>
      <c r="B1475" s="27">
        <v>150000</v>
      </c>
      <c r="C1475" s="27" t="s">
        <v>2</v>
      </c>
      <c r="D1475" s="28">
        <f>B1475*VLOOKUP(C1475,tblXrate[],2,0)</f>
        <v>150000</v>
      </c>
      <c r="E1475" s="27" t="s">
        <v>2147</v>
      </c>
      <c r="F1475" s="27" t="s">
        <v>5</v>
      </c>
      <c r="G1475" s="27" t="s">
        <v>2272</v>
      </c>
      <c r="H1475" s="27"/>
      <c r="I1475" s="27">
        <f>VLOOKUP(F1475,mapping!$L$2:$P$92,2,0)</f>
        <v>1</v>
      </c>
      <c r="J1475" s="27">
        <f>VLOOKUP($F1475,mapping!$L$2:$P$92,3,0)</f>
        <v>48386.69</v>
      </c>
      <c r="K1475" s="27" t="str">
        <f>VLOOKUP($F1475,mapping!$L$2:$P$92,4,0)</f>
        <v>Major Advanced Economies (G7)</v>
      </c>
      <c r="L1475" s="29">
        <f>$D1475*VLOOKUP($E1475,'Charts data'!$A$2:$B$11,2,0)*VLOOKUP($G1475,'Charts data'!$A$14:$B$18,2,0)/IF('Charts data'!$E$3=1,I1475,1)/IF('Charts data'!$E$4=1,J1475,1)</f>
        <v>150000</v>
      </c>
    </row>
    <row r="1476" spans="1:12" x14ac:dyDescent="0.25">
      <c r="A1476" s="27" t="s">
        <v>634</v>
      </c>
      <c r="B1476" s="27">
        <v>50000</v>
      </c>
      <c r="C1476" s="27" t="s">
        <v>2</v>
      </c>
      <c r="D1476" s="28">
        <f>B1476*VLOOKUP(C1476,tblXrate[],2,0)</f>
        <v>50000</v>
      </c>
      <c r="E1476" s="27" t="s">
        <v>7</v>
      </c>
      <c r="F1476" s="27" t="s">
        <v>5</v>
      </c>
      <c r="G1476" s="27" t="s">
        <v>2271</v>
      </c>
      <c r="H1476" s="27"/>
      <c r="I1476" s="27">
        <f>VLOOKUP(F1476,mapping!$L$2:$P$92,2,0)</f>
        <v>1</v>
      </c>
      <c r="J1476" s="27">
        <f>VLOOKUP($F1476,mapping!$L$2:$P$92,3,0)</f>
        <v>48386.69</v>
      </c>
      <c r="K1476" s="27" t="str">
        <f>VLOOKUP($F1476,mapping!$L$2:$P$92,4,0)</f>
        <v>Major Advanced Economies (G7)</v>
      </c>
      <c r="L1476" s="29">
        <f>$D1476*VLOOKUP($E1476,'Charts data'!$A$2:$B$11,2,0)*VLOOKUP($G1476,'Charts data'!$A$14:$B$18,2,0)/IF('Charts data'!$E$3=1,I1476,1)/IF('Charts data'!$E$4=1,J1476,1)</f>
        <v>50000</v>
      </c>
    </row>
    <row r="1477" spans="1:12" x14ac:dyDescent="0.25">
      <c r="A1477" s="27" t="s">
        <v>635</v>
      </c>
      <c r="B1477" s="27">
        <v>70000</v>
      </c>
      <c r="C1477" s="27" t="s">
        <v>2</v>
      </c>
      <c r="D1477" s="28">
        <f>B1477*VLOOKUP(C1477,tblXrate[],2,0)</f>
        <v>70000</v>
      </c>
      <c r="E1477" s="27" t="s">
        <v>7</v>
      </c>
      <c r="F1477" s="27" t="s">
        <v>5</v>
      </c>
      <c r="G1477" s="27" t="s">
        <v>2271</v>
      </c>
      <c r="H1477" s="27"/>
      <c r="I1477" s="27">
        <f>VLOOKUP(F1477,mapping!$L$2:$P$92,2,0)</f>
        <v>1</v>
      </c>
      <c r="J1477" s="27">
        <f>VLOOKUP($F1477,mapping!$L$2:$P$92,3,0)</f>
        <v>48386.69</v>
      </c>
      <c r="K1477" s="27" t="str">
        <f>VLOOKUP($F1477,mapping!$L$2:$P$92,4,0)</f>
        <v>Major Advanced Economies (G7)</v>
      </c>
      <c r="L1477" s="29">
        <f>$D1477*VLOOKUP($E1477,'Charts data'!$A$2:$B$11,2,0)*VLOOKUP($G1477,'Charts data'!$A$14:$B$18,2,0)/IF('Charts data'!$E$3=1,I1477,1)/IF('Charts data'!$E$4=1,J1477,1)</f>
        <v>70000</v>
      </c>
    </row>
    <row r="1478" spans="1:12" x14ac:dyDescent="0.25">
      <c r="A1478" s="27" t="s">
        <v>640</v>
      </c>
      <c r="B1478" s="27">
        <v>30000</v>
      </c>
      <c r="C1478" s="27" t="s">
        <v>2</v>
      </c>
      <c r="D1478" s="28">
        <f>B1478*VLOOKUP(C1478,tblXrate[],2,0)</f>
        <v>30000</v>
      </c>
      <c r="E1478" s="27" t="s">
        <v>7</v>
      </c>
      <c r="F1478" s="27" t="s">
        <v>5</v>
      </c>
      <c r="G1478" s="27" t="s">
        <v>2295</v>
      </c>
      <c r="H1478" s="27"/>
      <c r="I1478" s="27">
        <f>VLOOKUP(F1478,mapping!$L$2:$P$92,2,0)</f>
        <v>1</v>
      </c>
      <c r="J1478" s="27">
        <f>VLOOKUP($F1478,mapping!$L$2:$P$92,3,0)</f>
        <v>48386.69</v>
      </c>
      <c r="K1478" s="27" t="str">
        <f>VLOOKUP($F1478,mapping!$L$2:$P$92,4,0)</f>
        <v>Major Advanced Economies (G7)</v>
      </c>
      <c r="L1478" s="29">
        <f>$D1478*VLOOKUP($E1478,'Charts data'!$A$2:$B$11,2,0)*VLOOKUP($G1478,'Charts data'!$A$14:$B$18,2,0)/IF('Charts data'!$E$3=1,I1478,1)/IF('Charts data'!$E$4=1,J1478,1)</f>
        <v>30000</v>
      </c>
    </row>
    <row r="1479" spans="1:12" x14ac:dyDescent="0.25">
      <c r="A1479" s="27" t="s">
        <v>642</v>
      </c>
      <c r="B1479" s="27">
        <v>92000</v>
      </c>
      <c r="C1479" s="27" t="s">
        <v>2</v>
      </c>
      <c r="D1479" s="28">
        <f>B1479*VLOOKUP(C1479,tblXrate[],2,0)</f>
        <v>92000</v>
      </c>
      <c r="E1479" s="27" t="s">
        <v>48</v>
      </c>
      <c r="F1479" s="27" t="s">
        <v>5</v>
      </c>
      <c r="G1479" s="27" t="s">
        <v>2274</v>
      </c>
      <c r="H1479" s="27"/>
      <c r="I1479" s="27">
        <f>VLOOKUP(F1479,mapping!$L$2:$P$92,2,0)</f>
        <v>1</v>
      </c>
      <c r="J1479" s="27">
        <f>VLOOKUP($F1479,mapping!$L$2:$P$92,3,0)</f>
        <v>48386.69</v>
      </c>
      <c r="K1479" s="27" t="str">
        <f>VLOOKUP($F1479,mapping!$L$2:$P$92,4,0)</f>
        <v>Major Advanced Economies (G7)</v>
      </c>
      <c r="L1479" s="29">
        <f>$D1479*VLOOKUP($E1479,'Charts data'!$A$2:$B$11,2,0)*VLOOKUP($G1479,'Charts data'!$A$14:$B$18,2,0)/IF('Charts data'!$E$3=1,I1479,1)/IF('Charts data'!$E$4=1,J1479,1)</f>
        <v>92000</v>
      </c>
    </row>
    <row r="1480" spans="1:12" x14ac:dyDescent="0.25">
      <c r="A1480" s="27" t="s">
        <v>643</v>
      </c>
      <c r="B1480" s="27">
        <v>52000</v>
      </c>
      <c r="C1480" s="27" t="s">
        <v>2</v>
      </c>
      <c r="D1480" s="28">
        <f>B1480*VLOOKUP(C1480,tblXrate[],2,0)</f>
        <v>52000</v>
      </c>
      <c r="E1480" s="27" t="s">
        <v>7</v>
      </c>
      <c r="F1480" s="27" t="s">
        <v>5</v>
      </c>
      <c r="G1480" s="27" t="s">
        <v>2271</v>
      </c>
      <c r="H1480" s="27"/>
      <c r="I1480" s="27">
        <f>VLOOKUP(F1480,mapping!$L$2:$P$92,2,0)</f>
        <v>1</v>
      </c>
      <c r="J1480" s="27">
        <f>VLOOKUP($F1480,mapping!$L$2:$P$92,3,0)</f>
        <v>48386.69</v>
      </c>
      <c r="K1480" s="27" t="str">
        <f>VLOOKUP($F1480,mapping!$L$2:$P$92,4,0)</f>
        <v>Major Advanced Economies (G7)</v>
      </c>
      <c r="L1480" s="29">
        <f>$D1480*VLOOKUP($E1480,'Charts data'!$A$2:$B$11,2,0)*VLOOKUP($G1480,'Charts data'!$A$14:$B$18,2,0)/IF('Charts data'!$E$3=1,I1480,1)/IF('Charts data'!$E$4=1,J1480,1)</f>
        <v>52000</v>
      </c>
    </row>
    <row r="1481" spans="1:12" x14ac:dyDescent="0.25">
      <c r="A1481" s="27" t="s">
        <v>644</v>
      </c>
      <c r="B1481" s="27">
        <v>169000</v>
      </c>
      <c r="C1481" s="27" t="s">
        <v>2</v>
      </c>
      <c r="D1481" s="28">
        <f>B1481*VLOOKUP(C1481,tblXrate[],2,0)</f>
        <v>169000</v>
      </c>
      <c r="E1481" s="27" t="s">
        <v>2147</v>
      </c>
      <c r="F1481" s="27" t="s">
        <v>5</v>
      </c>
      <c r="G1481" s="27" t="s">
        <v>2272</v>
      </c>
      <c r="H1481" s="27"/>
      <c r="I1481" s="27">
        <f>VLOOKUP(F1481,mapping!$L$2:$P$92,2,0)</f>
        <v>1</v>
      </c>
      <c r="J1481" s="27">
        <f>VLOOKUP($F1481,mapping!$L$2:$P$92,3,0)</f>
        <v>48386.69</v>
      </c>
      <c r="K1481" s="27" t="str">
        <f>VLOOKUP($F1481,mapping!$L$2:$P$92,4,0)</f>
        <v>Major Advanced Economies (G7)</v>
      </c>
      <c r="L1481" s="29">
        <f>$D1481*VLOOKUP($E1481,'Charts data'!$A$2:$B$11,2,0)*VLOOKUP($G1481,'Charts data'!$A$14:$B$18,2,0)/IF('Charts data'!$E$3=1,I1481,1)/IF('Charts data'!$E$4=1,J1481,1)</f>
        <v>169000</v>
      </c>
    </row>
    <row r="1482" spans="1:12" x14ac:dyDescent="0.25">
      <c r="A1482" s="27" t="s">
        <v>648</v>
      </c>
      <c r="B1482" s="27">
        <v>50000</v>
      </c>
      <c r="C1482" s="27" t="s">
        <v>2</v>
      </c>
      <c r="D1482" s="28">
        <f>B1482*VLOOKUP(C1482,tblXrate[],2,0)</f>
        <v>50000</v>
      </c>
      <c r="E1482" s="27" t="s">
        <v>7</v>
      </c>
      <c r="F1482" s="27" t="s">
        <v>5</v>
      </c>
      <c r="G1482" s="27" t="s">
        <v>2271</v>
      </c>
      <c r="H1482" s="27"/>
      <c r="I1482" s="27">
        <f>VLOOKUP(F1482,mapping!$L$2:$P$92,2,0)</f>
        <v>1</v>
      </c>
      <c r="J1482" s="27">
        <f>VLOOKUP($F1482,mapping!$L$2:$P$92,3,0)</f>
        <v>48386.69</v>
      </c>
      <c r="K1482" s="27" t="str">
        <f>VLOOKUP($F1482,mapping!$L$2:$P$92,4,0)</f>
        <v>Major Advanced Economies (G7)</v>
      </c>
      <c r="L1482" s="29">
        <f>$D1482*VLOOKUP($E1482,'Charts data'!$A$2:$B$11,2,0)*VLOOKUP($G1482,'Charts data'!$A$14:$B$18,2,0)/IF('Charts data'!$E$3=1,I1482,1)/IF('Charts data'!$E$4=1,J1482,1)</f>
        <v>50000</v>
      </c>
    </row>
    <row r="1483" spans="1:12" x14ac:dyDescent="0.25">
      <c r="A1483" s="27" t="s">
        <v>649</v>
      </c>
      <c r="B1483" s="27">
        <v>65000</v>
      </c>
      <c r="C1483" s="27" t="s">
        <v>2</v>
      </c>
      <c r="D1483" s="28">
        <f>B1483*VLOOKUP(C1483,tblXrate[],2,0)</f>
        <v>65000</v>
      </c>
      <c r="E1483" s="27" t="s">
        <v>7</v>
      </c>
      <c r="F1483" s="27" t="s">
        <v>5</v>
      </c>
      <c r="G1483" s="27" t="s">
        <v>2272</v>
      </c>
      <c r="H1483" s="27"/>
      <c r="I1483" s="27">
        <f>VLOOKUP(F1483,mapping!$L$2:$P$92,2,0)</f>
        <v>1</v>
      </c>
      <c r="J1483" s="27">
        <f>VLOOKUP($F1483,mapping!$L$2:$P$92,3,0)</f>
        <v>48386.69</v>
      </c>
      <c r="K1483" s="27" t="str">
        <f>VLOOKUP($F1483,mapping!$L$2:$P$92,4,0)</f>
        <v>Major Advanced Economies (G7)</v>
      </c>
      <c r="L1483" s="29">
        <f>$D1483*VLOOKUP($E1483,'Charts data'!$A$2:$B$11,2,0)*VLOOKUP($G1483,'Charts data'!$A$14:$B$18,2,0)/IF('Charts data'!$E$3=1,I1483,1)/IF('Charts data'!$E$4=1,J1483,1)</f>
        <v>65000</v>
      </c>
    </row>
    <row r="1484" spans="1:12" x14ac:dyDescent="0.25">
      <c r="A1484" s="27" t="s">
        <v>651</v>
      </c>
      <c r="B1484" s="27">
        <v>55000</v>
      </c>
      <c r="C1484" s="27" t="s">
        <v>2</v>
      </c>
      <c r="D1484" s="28">
        <f>B1484*VLOOKUP(C1484,tblXrate[],2,0)</f>
        <v>55000</v>
      </c>
      <c r="E1484" s="27" t="s">
        <v>7</v>
      </c>
      <c r="F1484" s="27" t="s">
        <v>5</v>
      </c>
      <c r="G1484" s="27" t="s">
        <v>2272</v>
      </c>
      <c r="H1484" s="27"/>
      <c r="I1484" s="27">
        <f>VLOOKUP(F1484,mapping!$L$2:$P$92,2,0)</f>
        <v>1</v>
      </c>
      <c r="J1484" s="27">
        <f>VLOOKUP($F1484,mapping!$L$2:$P$92,3,0)</f>
        <v>48386.69</v>
      </c>
      <c r="K1484" s="27" t="str">
        <f>VLOOKUP($F1484,mapping!$L$2:$P$92,4,0)</f>
        <v>Major Advanced Economies (G7)</v>
      </c>
      <c r="L1484" s="29">
        <f>$D1484*VLOOKUP($E1484,'Charts data'!$A$2:$B$11,2,0)*VLOOKUP($G1484,'Charts data'!$A$14:$B$18,2,0)/IF('Charts data'!$E$3=1,I1484,1)/IF('Charts data'!$E$4=1,J1484,1)</f>
        <v>55000</v>
      </c>
    </row>
    <row r="1485" spans="1:12" x14ac:dyDescent="0.25">
      <c r="A1485" s="27" t="s">
        <v>656</v>
      </c>
      <c r="B1485" s="27">
        <v>40000</v>
      </c>
      <c r="C1485" s="27" t="s">
        <v>2</v>
      </c>
      <c r="D1485" s="28">
        <f>B1485*VLOOKUP(C1485,tblXrate[],2,0)</f>
        <v>40000</v>
      </c>
      <c r="E1485" s="27" t="s">
        <v>7</v>
      </c>
      <c r="F1485" s="27" t="s">
        <v>5</v>
      </c>
      <c r="G1485" s="27" t="s">
        <v>2272</v>
      </c>
      <c r="H1485" s="27"/>
      <c r="I1485" s="27">
        <f>VLOOKUP(F1485,mapping!$L$2:$P$92,2,0)</f>
        <v>1</v>
      </c>
      <c r="J1485" s="27">
        <f>VLOOKUP($F1485,mapping!$L$2:$P$92,3,0)</f>
        <v>48386.69</v>
      </c>
      <c r="K1485" s="27" t="str">
        <f>VLOOKUP($F1485,mapping!$L$2:$P$92,4,0)</f>
        <v>Major Advanced Economies (G7)</v>
      </c>
      <c r="L1485" s="29">
        <f>$D1485*VLOOKUP($E1485,'Charts data'!$A$2:$B$11,2,0)*VLOOKUP($G1485,'Charts data'!$A$14:$B$18,2,0)/IF('Charts data'!$E$3=1,I1485,1)/IF('Charts data'!$E$4=1,J1485,1)</f>
        <v>40000</v>
      </c>
    </row>
    <row r="1486" spans="1:12" x14ac:dyDescent="0.25">
      <c r="A1486" s="27" t="s">
        <v>659</v>
      </c>
      <c r="B1486" s="27">
        <v>84000</v>
      </c>
      <c r="C1486" s="27" t="s">
        <v>2</v>
      </c>
      <c r="D1486" s="28">
        <f>B1486*VLOOKUP(C1486,tblXrate[],2,0)</f>
        <v>84000</v>
      </c>
      <c r="E1486" s="27" t="s">
        <v>7</v>
      </c>
      <c r="F1486" s="27" t="s">
        <v>5</v>
      </c>
      <c r="G1486" s="27" t="s">
        <v>2273</v>
      </c>
      <c r="H1486" s="27"/>
      <c r="I1486" s="27">
        <f>VLOOKUP(F1486,mapping!$L$2:$P$92,2,0)</f>
        <v>1</v>
      </c>
      <c r="J1486" s="27">
        <f>VLOOKUP($F1486,mapping!$L$2:$P$92,3,0)</f>
        <v>48386.69</v>
      </c>
      <c r="K1486" s="27" t="str">
        <f>VLOOKUP($F1486,mapping!$L$2:$P$92,4,0)</f>
        <v>Major Advanced Economies (G7)</v>
      </c>
      <c r="L1486" s="29">
        <f>$D1486*VLOOKUP($E1486,'Charts data'!$A$2:$B$11,2,0)*VLOOKUP($G1486,'Charts data'!$A$14:$B$18,2,0)/IF('Charts data'!$E$3=1,I1486,1)/IF('Charts data'!$E$4=1,J1486,1)</f>
        <v>84000</v>
      </c>
    </row>
    <row r="1487" spans="1:12" x14ac:dyDescent="0.25">
      <c r="A1487" s="27" t="s">
        <v>665</v>
      </c>
      <c r="B1487" s="27">
        <v>77000</v>
      </c>
      <c r="C1487" s="27" t="s">
        <v>2</v>
      </c>
      <c r="D1487" s="28">
        <f>B1487*VLOOKUP(C1487,tblXrate[],2,0)</f>
        <v>77000</v>
      </c>
      <c r="E1487" s="27" t="s">
        <v>7</v>
      </c>
      <c r="F1487" s="27" t="s">
        <v>5</v>
      </c>
      <c r="G1487" s="27" t="s">
        <v>2273</v>
      </c>
      <c r="H1487" s="27"/>
      <c r="I1487" s="27">
        <f>VLOOKUP(F1487,mapping!$L$2:$P$92,2,0)</f>
        <v>1</v>
      </c>
      <c r="J1487" s="27">
        <f>VLOOKUP($F1487,mapping!$L$2:$P$92,3,0)</f>
        <v>48386.69</v>
      </c>
      <c r="K1487" s="27" t="str">
        <f>VLOOKUP($F1487,mapping!$L$2:$P$92,4,0)</f>
        <v>Major Advanced Economies (G7)</v>
      </c>
      <c r="L1487" s="29">
        <f>$D1487*VLOOKUP($E1487,'Charts data'!$A$2:$B$11,2,0)*VLOOKUP($G1487,'Charts data'!$A$14:$B$18,2,0)/IF('Charts data'!$E$3=1,I1487,1)/IF('Charts data'!$E$4=1,J1487,1)</f>
        <v>77000</v>
      </c>
    </row>
    <row r="1488" spans="1:12" x14ac:dyDescent="0.25">
      <c r="A1488" s="27" t="s">
        <v>666</v>
      </c>
      <c r="B1488" s="27">
        <v>100000</v>
      </c>
      <c r="C1488" s="27" t="s">
        <v>2</v>
      </c>
      <c r="D1488" s="28">
        <f>B1488*VLOOKUP(C1488,tblXrate[],2,0)</f>
        <v>100000</v>
      </c>
      <c r="E1488" s="27" t="s">
        <v>7</v>
      </c>
      <c r="F1488" s="27" t="s">
        <v>5</v>
      </c>
      <c r="G1488" s="27" t="s">
        <v>2271</v>
      </c>
      <c r="H1488" s="27"/>
      <c r="I1488" s="27">
        <f>VLOOKUP(F1488,mapping!$L$2:$P$92,2,0)</f>
        <v>1</v>
      </c>
      <c r="J1488" s="27">
        <f>VLOOKUP($F1488,mapping!$L$2:$P$92,3,0)</f>
        <v>48386.69</v>
      </c>
      <c r="K1488" s="27" t="str">
        <f>VLOOKUP($F1488,mapping!$L$2:$P$92,4,0)</f>
        <v>Major Advanced Economies (G7)</v>
      </c>
      <c r="L1488" s="29">
        <f>$D1488*VLOOKUP($E1488,'Charts data'!$A$2:$B$11,2,0)*VLOOKUP($G1488,'Charts data'!$A$14:$B$18,2,0)/IF('Charts data'!$E$3=1,I1488,1)/IF('Charts data'!$E$4=1,J1488,1)</f>
        <v>100000</v>
      </c>
    </row>
    <row r="1489" spans="1:12" x14ac:dyDescent="0.25">
      <c r="A1489" s="27" t="s">
        <v>673</v>
      </c>
      <c r="B1489" s="27">
        <v>65000</v>
      </c>
      <c r="C1489" s="27" t="s">
        <v>2</v>
      </c>
      <c r="D1489" s="28">
        <f>B1489*VLOOKUP(C1489,tblXrate[],2,0)</f>
        <v>65000</v>
      </c>
      <c r="E1489" s="27" t="s">
        <v>19</v>
      </c>
      <c r="F1489" s="27" t="s">
        <v>5</v>
      </c>
      <c r="G1489" s="27" t="s">
        <v>2273</v>
      </c>
      <c r="H1489" s="27"/>
      <c r="I1489" s="27">
        <f>VLOOKUP(F1489,mapping!$L$2:$P$92,2,0)</f>
        <v>1</v>
      </c>
      <c r="J1489" s="27">
        <f>VLOOKUP($F1489,mapping!$L$2:$P$92,3,0)</f>
        <v>48386.69</v>
      </c>
      <c r="K1489" s="27" t="str">
        <f>VLOOKUP($F1489,mapping!$L$2:$P$92,4,0)</f>
        <v>Major Advanced Economies (G7)</v>
      </c>
      <c r="L1489" s="29">
        <f>$D1489*VLOOKUP($E1489,'Charts data'!$A$2:$B$11,2,0)*VLOOKUP($G1489,'Charts data'!$A$14:$B$18,2,0)/IF('Charts data'!$E$3=1,I1489,1)/IF('Charts data'!$E$4=1,J1489,1)</f>
        <v>65000</v>
      </c>
    </row>
    <row r="1490" spans="1:12" x14ac:dyDescent="0.25">
      <c r="A1490" s="27" t="s">
        <v>676</v>
      </c>
      <c r="B1490" s="27">
        <v>76000</v>
      </c>
      <c r="C1490" s="27" t="s">
        <v>2</v>
      </c>
      <c r="D1490" s="28">
        <f>B1490*VLOOKUP(C1490,tblXrate[],2,0)</f>
        <v>76000</v>
      </c>
      <c r="E1490" s="27" t="s">
        <v>19</v>
      </c>
      <c r="F1490" s="27" t="s">
        <v>5</v>
      </c>
      <c r="G1490" s="27" t="s">
        <v>2272</v>
      </c>
      <c r="H1490" s="27"/>
      <c r="I1490" s="27">
        <f>VLOOKUP(F1490,mapping!$L$2:$P$92,2,0)</f>
        <v>1</v>
      </c>
      <c r="J1490" s="27">
        <f>VLOOKUP($F1490,mapping!$L$2:$P$92,3,0)</f>
        <v>48386.69</v>
      </c>
      <c r="K1490" s="27" t="str">
        <f>VLOOKUP($F1490,mapping!$L$2:$P$92,4,0)</f>
        <v>Major Advanced Economies (G7)</v>
      </c>
      <c r="L1490" s="29">
        <f>$D1490*VLOOKUP($E1490,'Charts data'!$A$2:$B$11,2,0)*VLOOKUP($G1490,'Charts data'!$A$14:$B$18,2,0)/IF('Charts data'!$E$3=1,I1490,1)/IF('Charts data'!$E$4=1,J1490,1)</f>
        <v>76000</v>
      </c>
    </row>
    <row r="1491" spans="1:12" x14ac:dyDescent="0.25">
      <c r="A1491" s="27" t="s">
        <v>677</v>
      </c>
      <c r="B1491" s="27">
        <v>150000</v>
      </c>
      <c r="C1491" s="27" t="s">
        <v>2</v>
      </c>
      <c r="D1491" s="28">
        <f>B1491*VLOOKUP(C1491,tblXrate[],2,0)</f>
        <v>150000</v>
      </c>
      <c r="E1491" s="27" t="s">
        <v>53</v>
      </c>
      <c r="F1491" s="27" t="s">
        <v>5</v>
      </c>
      <c r="G1491" s="27" t="s">
        <v>2273</v>
      </c>
      <c r="H1491" s="27"/>
      <c r="I1491" s="27">
        <f>VLOOKUP(F1491,mapping!$L$2:$P$92,2,0)</f>
        <v>1</v>
      </c>
      <c r="J1491" s="27">
        <f>VLOOKUP($F1491,mapping!$L$2:$P$92,3,0)</f>
        <v>48386.69</v>
      </c>
      <c r="K1491" s="27" t="str">
        <f>VLOOKUP($F1491,mapping!$L$2:$P$92,4,0)</f>
        <v>Major Advanced Economies (G7)</v>
      </c>
      <c r="L1491" s="29">
        <f>$D1491*VLOOKUP($E1491,'Charts data'!$A$2:$B$11,2,0)*VLOOKUP($G1491,'Charts data'!$A$14:$B$18,2,0)/IF('Charts data'!$E$3=1,I1491,1)/IF('Charts data'!$E$4=1,J1491,1)</f>
        <v>150000</v>
      </c>
    </row>
    <row r="1492" spans="1:12" x14ac:dyDescent="0.25">
      <c r="A1492" s="27" t="s">
        <v>678</v>
      </c>
      <c r="B1492" s="27">
        <v>54000</v>
      </c>
      <c r="C1492" s="27" t="s">
        <v>2</v>
      </c>
      <c r="D1492" s="28">
        <f>B1492*VLOOKUP(C1492,tblXrate[],2,0)</f>
        <v>54000</v>
      </c>
      <c r="E1492" s="27" t="s">
        <v>7</v>
      </c>
      <c r="F1492" s="27" t="s">
        <v>5</v>
      </c>
      <c r="G1492" s="27" t="s">
        <v>2271</v>
      </c>
      <c r="H1492" s="27"/>
      <c r="I1492" s="27">
        <f>VLOOKUP(F1492,mapping!$L$2:$P$92,2,0)</f>
        <v>1</v>
      </c>
      <c r="J1492" s="27">
        <f>VLOOKUP($F1492,mapping!$L$2:$P$92,3,0)</f>
        <v>48386.69</v>
      </c>
      <c r="K1492" s="27" t="str">
        <f>VLOOKUP($F1492,mapping!$L$2:$P$92,4,0)</f>
        <v>Major Advanced Economies (G7)</v>
      </c>
      <c r="L1492" s="29">
        <f>$D1492*VLOOKUP($E1492,'Charts data'!$A$2:$B$11,2,0)*VLOOKUP($G1492,'Charts data'!$A$14:$B$18,2,0)/IF('Charts data'!$E$3=1,I1492,1)/IF('Charts data'!$E$4=1,J1492,1)</f>
        <v>54000</v>
      </c>
    </row>
    <row r="1493" spans="1:12" x14ac:dyDescent="0.25">
      <c r="A1493" s="27" t="s">
        <v>680</v>
      </c>
      <c r="B1493" s="27">
        <v>61000</v>
      </c>
      <c r="C1493" s="27" t="s">
        <v>2</v>
      </c>
      <c r="D1493" s="28">
        <f>B1493*VLOOKUP(C1493,tblXrate[],2,0)</f>
        <v>61000</v>
      </c>
      <c r="E1493" s="27" t="s">
        <v>51</v>
      </c>
      <c r="F1493" s="27" t="s">
        <v>5</v>
      </c>
      <c r="G1493" s="27" t="s">
        <v>2271</v>
      </c>
      <c r="H1493" s="27"/>
      <c r="I1493" s="27">
        <f>VLOOKUP(F1493,mapping!$L$2:$P$92,2,0)</f>
        <v>1</v>
      </c>
      <c r="J1493" s="27">
        <f>VLOOKUP($F1493,mapping!$L$2:$P$92,3,0)</f>
        <v>48386.69</v>
      </c>
      <c r="K1493" s="27" t="str">
        <f>VLOOKUP($F1493,mapping!$L$2:$P$92,4,0)</f>
        <v>Major Advanced Economies (G7)</v>
      </c>
      <c r="L1493" s="29">
        <f>$D1493*VLOOKUP($E1493,'Charts data'!$A$2:$B$11,2,0)*VLOOKUP($G1493,'Charts data'!$A$14:$B$18,2,0)/IF('Charts data'!$E$3=1,I1493,1)/IF('Charts data'!$E$4=1,J1493,1)</f>
        <v>61000</v>
      </c>
    </row>
    <row r="1494" spans="1:12" x14ac:dyDescent="0.25">
      <c r="A1494" s="27" t="s">
        <v>681</v>
      </c>
      <c r="B1494" s="27">
        <v>70000</v>
      </c>
      <c r="C1494" s="27" t="s">
        <v>2</v>
      </c>
      <c r="D1494" s="28">
        <f>B1494*VLOOKUP(C1494,tblXrate[],2,0)</f>
        <v>70000</v>
      </c>
      <c r="E1494" s="27" t="s">
        <v>7</v>
      </c>
      <c r="F1494" s="27" t="s">
        <v>5</v>
      </c>
      <c r="G1494" s="27" t="s">
        <v>2273</v>
      </c>
      <c r="H1494" s="27"/>
      <c r="I1494" s="27">
        <f>VLOOKUP(F1494,mapping!$L$2:$P$92,2,0)</f>
        <v>1</v>
      </c>
      <c r="J1494" s="27">
        <f>VLOOKUP($F1494,mapping!$L$2:$P$92,3,0)</f>
        <v>48386.69</v>
      </c>
      <c r="K1494" s="27" t="str">
        <f>VLOOKUP($F1494,mapping!$L$2:$P$92,4,0)</f>
        <v>Major Advanced Economies (G7)</v>
      </c>
      <c r="L1494" s="29">
        <f>$D1494*VLOOKUP($E1494,'Charts data'!$A$2:$B$11,2,0)*VLOOKUP($G1494,'Charts data'!$A$14:$B$18,2,0)/IF('Charts data'!$E$3=1,I1494,1)/IF('Charts data'!$E$4=1,J1494,1)</f>
        <v>70000</v>
      </c>
    </row>
    <row r="1495" spans="1:12" x14ac:dyDescent="0.25">
      <c r="A1495" s="27" t="s">
        <v>684</v>
      </c>
      <c r="B1495" s="27">
        <v>72600</v>
      </c>
      <c r="C1495" s="27" t="s">
        <v>2</v>
      </c>
      <c r="D1495" s="28">
        <f>B1495*VLOOKUP(C1495,tblXrate[],2,0)</f>
        <v>72600</v>
      </c>
      <c r="E1495" s="27" t="s">
        <v>19</v>
      </c>
      <c r="F1495" s="27" t="s">
        <v>5</v>
      </c>
      <c r="G1495" s="27" t="s">
        <v>2272</v>
      </c>
      <c r="H1495" s="27"/>
      <c r="I1495" s="27">
        <f>VLOOKUP(F1495,mapping!$L$2:$P$92,2,0)</f>
        <v>1</v>
      </c>
      <c r="J1495" s="27">
        <f>VLOOKUP($F1495,mapping!$L$2:$P$92,3,0)</f>
        <v>48386.69</v>
      </c>
      <c r="K1495" s="27" t="str">
        <f>VLOOKUP($F1495,mapping!$L$2:$P$92,4,0)</f>
        <v>Major Advanced Economies (G7)</v>
      </c>
      <c r="L1495" s="29">
        <f>$D1495*VLOOKUP($E1495,'Charts data'!$A$2:$B$11,2,0)*VLOOKUP($G1495,'Charts data'!$A$14:$B$18,2,0)/IF('Charts data'!$E$3=1,I1495,1)/IF('Charts data'!$E$4=1,J1495,1)</f>
        <v>72600</v>
      </c>
    </row>
    <row r="1496" spans="1:12" x14ac:dyDescent="0.25">
      <c r="A1496" s="27" t="s">
        <v>685</v>
      </c>
      <c r="B1496" s="27">
        <v>100000</v>
      </c>
      <c r="C1496" s="27" t="s">
        <v>2</v>
      </c>
      <c r="D1496" s="28">
        <f>B1496*VLOOKUP(C1496,tblXrate[],2,0)</f>
        <v>100000</v>
      </c>
      <c r="E1496" s="27" t="s">
        <v>2147</v>
      </c>
      <c r="F1496" s="27" t="s">
        <v>5</v>
      </c>
      <c r="G1496" s="27" t="s">
        <v>2272</v>
      </c>
      <c r="H1496" s="27"/>
      <c r="I1496" s="27">
        <f>VLOOKUP(F1496,mapping!$L$2:$P$92,2,0)</f>
        <v>1</v>
      </c>
      <c r="J1496" s="27">
        <f>VLOOKUP($F1496,mapping!$L$2:$P$92,3,0)</f>
        <v>48386.69</v>
      </c>
      <c r="K1496" s="27" t="str">
        <f>VLOOKUP($F1496,mapping!$L$2:$P$92,4,0)</f>
        <v>Major Advanced Economies (G7)</v>
      </c>
      <c r="L1496" s="29">
        <f>$D1496*VLOOKUP($E1496,'Charts data'!$A$2:$B$11,2,0)*VLOOKUP($G1496,'Charts data'!$A$14:$B$18,2,0)/IF('Charts data'!$E$3=1,I1496,1)/IF('Charts data'!$E$4=1,J1496,1)</f>
        <v>100000</v>
      </c>
    </row>
    <row r="1497" spans="1:12" x14ac:dyDescent="0.25">
      <c r="A1497" s="27" t="s">
        <v>686</v>
      </c>
      <c r="B1497" s="27">
        <v>104000</v>
      </c>
      <c r="C1497" s="27" t="s">
        <v>2</v>
      </c>
      <c r="D1497" s="28">
        <f>B1497*VLOOKUP(C1497,tblXrate[],2,0)</f>
        <v>104000</v>
      </c>
      <c r="E1497" s="27" t="s">
        <v>7</v>
      </c>
      <c r="F1497" s="27" t="s">
        <v>5</v>
      </c>
      <c r="G1497" s="27" t="s">
        <v>2271</v>
      </c>
      <c r="H1497" s="27"/>
      <c r="I1497" s="27">
        <f>VLOOKUP(F1497,mapping!$L$2:$P$92,2,0)</f>
        <v>1</v>
      </c>
      <c r="J1497" s="27">
        <f>VLOOKUP($F1497,mapping!$L$2:$P$92,3,0)</f>
        <v>48386.69</v>
      </c>
      <c r="K1497" s="27" t="str">
        <f>VLOOKUP($F1497,mapping!$L$2:$P$92,4,0)</f>
        <v>Major Advanced Economies (G7)</v>
      </c>
      <c r="L1497" s="29">
        <f>$D1497*VLOOKUP($E1497,'Charts data'!$A$2:$B$11,2,0)*VLOOKUP($G1497,'Charts data'!$A$14:$B$18,2,0)/IF('Charts data'!$E$3=1,I1497,1)/IF('Charts data'!$E$4=1,J1497,1)</f>
        <v>104000</v>
      </c>
    </row>
    <row r="1498" spans="1:12" x14ac:dyDescent="0.25">
      <c r="A1498" s="27" t="s">
        <v>688</v>
      </c>
      <c r="B1498" s="27">
        <v>200000</v>
      </c>
      <c r="C1498" s="27" t="s">
        <v>2</v>
      </c>
      <c r="D1498" s="28">
        <f>B1498*VLOOKUP(C1498,tblXrate[],2,0)</f>
        <v>200000</v>
      </c>
      <c r="E1498" s="27" t="s">
        <v>2147</v>
      </c>
      <c r="F1498" s="27" t="s">
        <v>5</v>
      </c>
      <c r="G1498" s="27" t="s">
        <v>2272</v>
      </c>
      <c r="H1498" s="27"/>
      <c r="I1498" s="27">
        <f>VLOOKUP(F1498,mapping!$L$2:$P$92,2,0)</f>
        <v>1</v>
      </c>
      <c r="J1498" s="27">
        <f>VLOOKUP($F1498,mapping!$L$2:$P$92,3,0)</f>
        <v>48386.69</v>
      </c>
      <c r="K1498" s="27" t="str">
        <f>VLOOKUP($F1498,mapping!$L$2:$P$92,4,0)</f>
        <v>Major Advanced Economies (G7)</v>
      </c>
      <c r="L1498" s="29">
        <f>$D1498*VLOOKUP($E1498,'Charts data'!$A$2:$B$11,2,0)*VLOOKUP($G1498,'Charts data'!$A$14:$B$18,2,0)/IF('Charts data'!$E$3=1,I1498,1)/IF('Charts data'!$E$4=1,J1498,1)</f>
        <v>200000</v>
      </c>
    </row>
    <row r="1499" spans="1:12" x14ac:dyDescent="0.25">
      <c r="A1499" s="27" t="s">
        <v>691</v>
      </c>
      <c r="B1499" s="27">
        <v>82300</v>
      </c>
      <c r="C1499" s="27" t="s">
        <v>2</v>
      </c>
      <c r="D1499" s="28">
        <f>B1499*VLOOKUP(C1499,tblXrate[],2,0)</f>
        <v>82300</v>
      </c>
      <c r="E1499" s="27" t="s">
        <v>19</v>
      </c>
      <c r="F1499" s="27" t="s">
        <v>5</v>
      </c>
      <c r="G1499" s="27" t="s">
        <v>2272</v>
      </c>
      <c r="H1499" s="27"/>
      <c r="I1499" s="27">
        <f>VLOOKUP(F1499,mapping!$L$2:$P$92,2,0)</f>
        <v>1</v>
      </c>
      <c r="J1499" s="27">
        <f>VLOOKUP($F1499,mapping!$L$2:$P$92,3,0)</f>
        <v>48386.69</v>
      </c>
      <c r="K1499" s="27" t="str">
        <f>VLOOKUP($F1499,mapping!$L$2:$P$92,4,0)</f>
        <v>Major Advanced Economies (G7)</v>
      </c>
      <c r="L1499" s="29">
        <f>$D1499*VLOOKUP($E1499,'Charts data'!$A$2:$B$11,2,0)*VLOOKUP($G1499,'Charts data'!$A$14:$B$18,2,0)/IF('Charts data'!$E$3=1,I1499,1)/IF('Charts data'!$E$4=1,J1499,1)</f>
        <v>82300</v>
      </c>
    </row>
    <row r="1500" spans="1:12" x14ac:dyDescent="0.25">
      <c r="A1500" s="27" t="s">
        <v>692</v>
      </c>
      <c r="B1500" s="27">
        <v>95000</v>
      </c>
      <c r="C1500" s="27" t="s">
        <v>2</v>
      </c>
      <c r="D1500" s="28">
        <f>B1500*VLOOKUP(C1500,tblXrate[],2,0)</f>
        <v>95000</v>
      </c>
      <c r="E1500" s="27" t="s">
        <v>53</v>
      </c>
      <c r="F1500" s="27" t="s">
        <v>5</v>
      </c>
      <c r="G1500" s="27" t="s">
        <v>2271</v>
      </c>
      <c r="H1500" s="27"/>
      <c r="I1500" s="27">
        <f>VLOOKUP(F1500,mapping!$L$2:$P$92,2,0)</f>
        <v>1</v>
      </c>
      <c r="J1500" s="27">
        <f>VLOOKUP($F1500,mapping!$L$2:$P$92,3,0)</f>
        <v>48386.69</v>
      </c>
      <c r="K1500" s="27" t="str">
        <f>VLOOKUP($F1500,mapping!$L$2:$P$92,4,0)</f>
        <v>Major Advanced Economies (G7)</v>
      </c>
      <c r="L1500" s="29">
        <f>$D1500*VLOOKUP($E1500,'Charts data'!$A$2:$B$11,2,0)*VLOOKUP($G1500,'Charts data'!$A$14:$B$18,2,0)/IF('Charts data'!$E$3=1,I1500,1)/IF('Charts data'!$E$4=1,J1500,1)</f>
        <v>95000</v>
      </c>
    </row>
    <row r="1501" spans="1:12" x14ac:dyDescent="0.25">
      <c r="A1501" s="27" t="s">
        <v>697</v>
      </c>
      <c r="B1501" s="27">
        <v>50000</v>
      </c>
      <c r="C1501" s="27" t="s">
        <v>2</v>
      </c>
      <c r="D1501" s="28">
        <f>B1501*VLOOKUP(C1501,tblXrate[],2,0)</f>
        <v>50000</v>
      </c>
      <c r="E1501" s="27" t="s">
        <v>7</v>
      </c>
      <c r="F1501" s="27" t="s">
        <v>5</v>
      </c>
      <c r="G1501" s="27" t="s">
        <v>2272</v>
      </c>
      <c r="H1501" s="27"/>
      <c r="I1501" s="27">
        <f>VLOOKUP(F1501,mapping!$L$2:$P$92,2,0)</f>
        <v>1</v>
      </c>
      <c r="J1501" s="27">
        <f>VLOOKUP($F1501,mapping!$L$2:$P$92,3,0)</f>
        <v>48386.69</v>
      </c>
      <c r="K1501" s="27" t="str">
        <f>VLOOKUP($F1501,mapping!$L$2:$P$92,4,0)</f>
        <v>Major Advanced Economies (G7)</v>
      </c>
      <c r="L1501" s="29">
        <f>$D1501*VLOOKUP($E1501,'Charts data'!$A$2:$B$11,2,0)*VLOOKUP($G1501,'Charts data'!$A$14:$B$18,2,0)/IF('Charts data'!$E$3=1,I1501,1)/IF('Charts data'!$E$4=1,J1501,1)</f>
        <v>50000</v>
      </c>
    </row>
    <row r="1502" spans="1:12" x14ac:dyDescent="0.25">
      <c r="A1502" s="27" t="s">
        <v>699</v>
      </c>
      <c r="B1502" s="27">
        <v>46000</v>
      </c>
      <c r="C1502" s="27" t="s">
        <v>2</v>
      </c>
      <c r="D1502" s="28">
        <f>B1502*VLOOKUP(C1502,tblXrate[],2,0)</f>
        <v>46000</v>
      </c>
      <c r="E1502" s="27" t="s">
        <v>7</v>
      </c>
      <c r="F1502" s="27" t="s">
        <v>5</v>
      </c>
      <c r="G1502" s="27" t="s">
        <v>2272</v>
      </c>
      <c r="H1502" s="27"/>
      <c r="I1502" s="27">
        <f>VLOOKUP(F1502,mapping!$L$2:$P$92,2,0)</f>
        <v>1</v>
      </c>
      <c r="J1502" s="27">
        <f>VLOOKUP($F1502,mapping!$L$2:$P$92,3,0)</f>
        <v>48386.69</v>
      </c>
      <c r="K1502" s="27" t="str">
        <f>VLOOKUP($F1502,mapping!$L$2:$P$92,4,0)</f>
        <v>Major Advanced Economies (G7)</v>
      </c>
      <c r="L1502" s="29">
        <f>$D1502*VLOOKUP($E1502,'Charts data'!$A$2:$B$11,2,0)*VLOOKUP($G1502,'Charts data'!$A$14:$B$18,2,0)/IF('Charts data'!$E$3=1,I1502,1)/IF('Charts data'!$E$4=1,J1502,1)</f>
        <v>46000</v>
      </c>
    </row>
    <row r="1503" spans="1:12" x14ac:dyDescent="0.25">
      <c r="A1503" s="27" t="s">
        <v>703</v>
      </c>
      <c r="B1503" s="27">
        <v>43000</v>
      </c>
      <c r="C1503" s="27" t="s">
        <v>2</v>
      </c>
      <c r="D1503" s="28">
        <f>B1503*VLOOKUP(C1503,tblXrate[],2,0)</f>
        <v>43000</v>
      </c>
      <c r="E1503" s="27" t="s">
        <v>51</v>
      </c>
      <c r="F1503" s="27" t="s">
        <v>5</v>
      </c>
      <c r="G1503" s="27" t="s">
        <v>2273</v>
      </c>
      <c r="H1503" s="27"/>
      <c r="I1503" s="27">
        <f>VLOOKUP(F1503,mapping!$L$2:$P$92,2,0)</f>
        <v>1</v>
      </c>
      <c r="J1503" s="27">
        <f>VLOOKUP($F1503,mapping!$L$2:$P$92,3,0)</f>
        <v>48386.69</v>
      </c>
      <c r="K1503" s="27" t="str">
        <f>VLOOKUP($F1503,mapping!$L$2:$P$92,4,0)</f>
        <v>Major Advanced Economies (G7)</v>
      </c>
      <c r="L1503" s="29">
        <f>$D1503*VLOOKUP($E1503,'Charts data'!$A$2:$B$11,2,0)*VLOOKUP($G1503,'Charts data'!$A$14:$B$18,2,0)/IF('Charts data'!$E$3=1,I1503,1)/IF('Charts data'!$E$4=1,J1503,1)</f>
        <v>43000</v>
      </c>
    </row>
    <row r="1504" spans="1:12" x14ac:dyDescent="0.25">
      <c r="A1504" s="27" t="s">
        <v>705</v>
      </c>
      <c r="B1504" s="27">
        <v>55000</v>
      </c>
      <c r="C1504" s="27" t="s">
        <v>2</v>
      </c>
      <c r="D1504" s="28">
        <f>B1504*VLOOKUP(C1504,tblXrate[],2,0)</f>
        <v>55000</v>
      </c>
      <c r="E1504" s="27" t="s">
        <v>7</v>
      </c>
      <c r="F1504" s="27" t="s">
        <v>5</v>
      </c>
      <c r="G1504" s="27" t="s">
        <v>2272</v>
      </c>
      <c r="H1504" s="27"/>
      <c r="I1504" s="27">
        <f>VLOOKUP(F1504,mapping!$L$2:$P$92,2,0)</f>
        <v>1</v>
      </c>
      <c r="J1504" s="27">
        <f>VLOOKUP($F1504,mapping!$L$2:$P$92,3,0)</f>
        <v>48386.69</v>
      </c>
      <c r="K1504" s="27" t="str">
        <f>VLOOKUP($F1504,mapping!$L$2:$P$92,4,0)</f>
        <v>Major Advanced Economies (G7)</v>
      </c>
      <c r="L1504" s="29">
        <f>$D1504*VLOOKUP($E1504,'Charts data'!$A$2:$B$11,2,0)*VLOOKUP($G1504,'Charts data'!$A$14:$B$18,2,0)/IF('Charts data'!$E$3=1,I1504,1)/IF('Charts data'!$E$4=1,J1504,1)</f>
        <v>55000</v>
      </c>
    </row>
    <row r="1505" spans="1:12" x14ac:dyDescent="0.25">
      <c r="A1505" s="27" t="s">
        <v>707</v>
      </c>
      <c r="B1505" s="27">
        <v>45000</v>
      </c>
      <c r="C1505" s="27" t="s">
        <v>2</v>
      </c>
      <c r="D1505" s="28">
        <f>B1505*VLOOKUP(C1505,tblXrate[],2,0)</f>
        <v>45000</v>
      </c>
      <c r="E1505" s="27" t="s">
        <v>2145</v>
      </c>
      <c r="F1505" s="27" t="s">
        <v>5</v>
      </c>
      <c r="G1505" s="27" t="s">
        <v>2273</v>
      </c>
      <c r="H1505" s="27"/>
      <c r="I1505" s="27">
        <f>VLOOKUP(F1505,mapping!$L$2:$P$92,2,0)</f>
        <v>1</v>
      </c>
      <c r="J1505" s="27">
        <f>VLOOKUP($F1505,mapping!$L$2:$P$92,3,0)</f>
        <v>48386.69</v>
      </c>
      <c r="K1505" s="27" t="str">
        <f>VLOOKUP($F1505,mapping!$L$2:$P$92,4,0)</f>
        <v>Major Advanced Economies (G7)</v>
      </c>
      <c r="L1505" s="29">
        <f>$D1505*VLOOKUP($E1505,'Charts data'!$A$2:$B$11,2,0)*VLOOKUP($G1505,'Charts data'!$A$14:$B$18,2,0)/IF('Charts data'!$E$3=1,I1505,1)/IF('Charts data'!$E$4=1,J1505,1)</f>
        <v>45000</v>
      </c>
    </row>
    <row r="1506" spans="1:12" x14ac:dyDescent="0.25">
      <c r="A1506" s="27" t="s">
        <v>708</v>
      </c>
      <c r="B1506" s="27">
        <v>50000</v>
      </c>
      <c r="C1506" s="27" t="s">
        <v>2</v>
      </c>
      <c r="D1506" s="28">
        <f>B1506*VLOOKUP(C1506,tblXrate[],2,0)</f>
        <v>50000</v>
      </c>
      <c r="E1506" s="27" t="s">
        <v>19</v>
      </c>
      <c r="F1506" s="27" t="s">
        <v>5</v>
      </c>
      <c r="G1506" s="27" t="s">
        <v>2271</v>
      </c>
      <c r="H1506" s="27"/>
      <c r="I1506" s="27">
        <f>VLOOKUP(F1506,mapping!$L$2:$P$92,2,0)</f>
        <v>1</v>
      </c>
      <c r="J1506" s="27">
        <f>VLOOKUP($F1506,mapping!$L$2:$P$92,3,0)</f>
        <v>48386.69</v>
      </c>
      <c r="K1506" s="27" t="str">
        <f>VLOOKUP($F1506,mapping!$L$2:$P$92,4,0)</f>
        <v>Major Advanced Economies (G7)</v>
      </c>
      <c r="L1506" s="29">
        <f>$D1506*VLOOKUP($E1506,'Charts data'!$A$2:$B$11,2,0)*VLOOKUP($G1506,'Charts data'!$A$14:$B$18,2,0)/IF('Charts data'!$E$3=1,I1506,1)/IF('Charts data'!$E$4=1,J1506,1)</f>
        <v>50000</v>
      </c>
    </row>
    <row r="1507" spans="1:12" x14ac:dyDescent="0.25">
      <c r="A1507" s="27" t="s">
        <v>709</v>
      </c>
      <c r="B1507" s="27">
        <v>80000</v>
      </c>
      <c r="C1507" s="27" t="s">
        <v>2</v>
      </c>
      <c r="D1507" s="28">
        <f>B1507*VLOOKUP(C1507,tblXrate[],2,0)</f>
        <v>80000</v>
      </c>
      <c r="E1507" s="27" t="s">
        <v>7</v>
      </c>
      <c r="F1507" s="27" t="s">
        <v>5</v>
      </c>
      <c r="G1507" s="27" t="s">
        <v>2273</v>
      </c>
      <c r="H1507" s="27"/>
      <c r="I1507" s="27">
        <f>VLOOKUP(F1507,mapping!$L$2:$P$92,2,0)</f>
        <v>1</v>
      </c>
      <c r="J1507" s="27">
        <f>VLOOKUP($F1507,mapping!$L$2:$P$92,3,0)</f>
        <v>48386.69</v>
      </c>
      <c r="K1507" s="27" t="str">
        <f>VLOOKUP($F1507,mapping!$L$2:$P$92,4,0)</f>
        <v>Major Advanced Economies (G7)</v>
      </c>
      <c r="L1507" s="29">
        <f>$D1507*VLOOKUP($E1507,'Charts data'!$A$2:$B$11,2,0)*VLOOKUP($G1507,'Charts data'!$A$14:$B$18,2,0)/IF('Charts data'!$E$3=1,I1507,1)/IF('Charts data'!$E$4=1,J1507,1)</f>
        <v>80000</v>
      </c>
    </row>
    <row r="1508" spans="1:12" x14ac:dyDescent="0.25">
      <c r="A1508" s="27" t="s">
        <v>710</v>
      </c>
      <c r="B1508" s="27">
        <v>67000</v>
      </c>
      <c r="C1508" s="27" t="s">
        <v>2</v>
      </c>
      <c r="D1508" s="28">
        <f>B1508*VLOOKUP(C1508,tblXrate[],2,0)</f>
        <v>67000</v>
      </c>
      <c r="E1508" s="27" t="s">
        <v>7</v>
      </c>
      <c r="F1508" s="27" t="s">
        <v>5</v>
      </c>
      <c r="G1508" s="27" t="s">
        <v>2271</v>
      </c>
      <c r="H1508" s="27"/>
      <c r="I1508" s="27">
        <f>VLOOKUP(F1508,mapping!$L$2:$P$92,2,0)</f>
        <v>1</v>
      </c>
      <c r="J1508" s="27">
        <f>VLOOKUP($F1508,mapping!$L$2:$P$92,3,0)</f>
        <v>48386.69</v>
      </c>
      <c r="K1508" s="27" t="str">
        <f>VLOOKUP($F1508,mapping!$L$2:$P$92,4,0)</f>
        <v>Major Advanced Economies (G7)</v>
      </c>
      <c r="L1508" s="29">
        <f>$D1508*VLOOKUP($E1508,'Charts data'!$A$2:$B$11,2,0)*VLOOKUP($G1508,'Charts data'!$A$14:$B$18,2,0)/IF('Charts data'!$E$3=1,I1508,1)/IF('Charts data'!$E$4=1,J1508,1)</f>
        <v>67000</v>
      </c>
    </row>
    <row r="1509" spans="1:12" x14ac:dyDescent="0.25">
      <c r="A1509" s="27" t="s">
        <v>712</v>
      </c>
      <c r="B1509" s="27">
        <v>120000</v>
      </c>
      <c r="C1509" s="27" t="s">
        <v>2</v>
      </c>
      <c r="D1509" s="28">
        <f>B1509*VLOOKUP(C1509,tblXrate[],2,0)</f>
        <v>120000</v>
      </c>
      <c r="E1509" s="27" t="s">
        <v>2147</v>
      </c>
      <c r="F1509" s="27" t="s">
        <v>5</v>
      </c>
      <c r="G1509" s="27" t="s">
        <v>2271</v>
      </c>
      <c r="H1509" s="27"/>
      <c r="I1509" s="27">
        <f>VLOOKUP(F1509,mapping!$L$2:$P$92,2,0)</f>
        <v>1</v>
      </c>
      <c r="J1509" s="27">
        <f>VLOOKUP($F1509,mapping!$L$2:$P$92,3,0)</f>
        <v>48386.69</v>
      </c>
      <c r="K1509" s="27" t="str">
        <f>VLOOKUP($F1509,mapping!$L$2:$P$92,4,0)</f>
        <v>Major Advanced Economies (G7)</v>
      </c>
      <c r="L1509" s="29">
        <f>$D1509*VLOOKUP($E1509,'Charts data'!$A$2:$B$11,2,0)*VLOOKUP($G1509,'Charts data'!$A$14:$B$18,2,0)/IF('Charts data'!$E$3=1,I1509,1)/IF('Charts data'!$E$4=1,J1509,1)</f>
        <v>120000</v>
      </c>
    </row>
    <row r="1510" spans="1:12" x14ac:dyDescent="0.25">
      <c r="A1510" s="27" t="s">
        <v>715</v>
      </c>
      <c r="B1510" s="27">
        <v>60000</v>
      </c>
      <c r="C1510" s="27" t="s">
        <v>2</v>
      </c>
      <c r="D1510" s="28">
        <f>B1510*VLOOKUP(C1510,tblXrate[],2,0)</f>
        <v>60000</v>
      </c>
      <c r="E1510" s="27" t="s">
        <v>23</v>
      </c>
      <c r="F1510" s="27" t="s">
        <v>5</v>
      </c>
      <c r="G1510" s="27" t="s">
        <v>2274</v>
      </c>
      <c r="H1510" s="27"/>
      <c r="I1510" s="27">
        <f>VLOOKUP(F1510,mapping!$L$2:$P$92,2,0)</f>
        <v>1</v>
      </c>
      <c r="J1510" s="27">
        <f>VLOOKUP($F1510,mapping!$L$2:$P$92,3,0)</f>
        <v>48386.69</v>
      </c>
      <c r="K1510" s="27" t="str">
        <f>VLOOKUP($F1510,mapping!$L$2:$P$92,4,0)</f>
        <v>Major Advanced Economies (G7)</v>
      </c>
      <c r="L1510" s="29">
        <f>$D1510*VLOOKUP($E1510,'Charts data'!$A$2:$B$11,2,0)*VLOOKUP($G1510,'Charts data'!$A$14:$B$18,2,0)/IF('Charts data'!$E$3=1,I1510,1)/IF('Charts data'!$E$4=1,J1510,1)</f>
        <v>60000</v>
      </c>
    </row>
    <row r="1511" spans="1:12" x14ac:dyDescent="0.25">
      <c r="A1511" s="27" t="s">
        <v>716</v>
      </c>
      <c r="B1511" s="27">
        <v>35000</v>
      </c>
      <c r="C1511" s="27" t="s">
        <v>2</v>
      </c>
      <c r="D1511" s="28">
        <f>B1511*VLOOKUP(C1511,tblXrate[],2,0)</f>
        <v>35000</v>
      </c>
      <c r="E1511" s="27" t="s">
        <v>7</v>
      </c>
      <c r="F1511" s="27" t="s">
        <v>5</v>
      </c>
      <c r="G1511" s="27" t="s">
        <v>2272</v>
      </c>
      <c r="H1511" s="27"/>
      <c r="I1511" s="27">
        <f>VLOOKUP(F1511,mapping!$L$2:$P$92,2,0)</f>
        <v>1</v>
      </c>
      <c r="J1511" s="27">
        <f>VLOOKUP($F1511,mapping!$L$2:$P$92,3,0)</f>
        <v>48386.69</v>
      </c>
      <c r="K1511" s="27" t="str">
        <f>VLOOKUP($F1511,mapping!$L$2:$P$92,4,0)</f>
        <v>Major Advanced Economies (G7)</v>
      </c>
      <c r="L1511" s="29">
        <f>$D1511*VLOOKUP($E1511,'Charts data'!$A$2:$B$11,2,0)*VLOOKUP($G1511,'Charts data'!$A$14:$B$18,2,0)/IF('Charts data'!$E$3=1,I1511,1)/IF('Charts data'!$E$4=1,J1511,1)</f>
        <v>35000</v>
      </c>
    </row>
    <row r="1512" spans="1:12" x14ac:dyDescent="0.25">
      <c r="A1512" s="27" t="s">
        <v>718</v>
      </c>
      <c r="B1512" s="27">
        <v>54000</v>
      </c>
      <c r="C1512" s="27" t="s">
        <v>2</v>
      </c>
      <c r="D1512" s="28">
        <f>B1512*VLOOKUP(C1512,tblXrate[],2,0)</f>
        <v>54000</v>
      </c>
      <c r="E1512" s="27" t="s">
        <v>23</v>
      </c>
      <c r="F1512" s="27" t="s">
        <v>5</v>
      </c>
      <c r="G1512" s="27" t="s">
        <v>2273</v>
      </c>
      <c r="H1512" s="27">
        <v>5</v>
      </c>
      <c r="I1512" s="27">
        <f>VLOOKUP(F1512,mapping!$L$2:$P$92,2,0)</f>
        <v>1</v>
      </c>
      <c r="J1512" s="27">
        <f>VLOOKUP($F1512,mapping!$L$2:$P$92,3,0)</f>
        <v>48386.69</v>
      </c>
      <c r="K1512" s="27" t="str">
        <f>VLOOKUP($F1512,mapping!$L$2:$P$92,4,0)</f>
        <v>Major Advanced Economies (G7)</v>
      </c>
      <c r="L1512" s="29">
        <f>$D1512*VLOOKUP($E1512,'Charts data'!$A$2:$B$11,2,0)*VLOOKUP($G1512,'Charts data'!$A$14:$B$18,2,0)/IF('Charts data'!$E$3=1,I1512,1)/IF('Charts data'!$E$4=1,J1512,1)</f>
        <v>54000</v>
      </c>
    </row>
    <row r="1513" spans="1:12" x14ac:dyDescent="0.25">
      <c r="A1513" s="27" t="s">
        <v>720</v>
      </c>
      <c r="B1513" s="27">
        <v>35000</v>
      </c>
      <c r="C1513" s="27" t="s">
        <v>2</v>
      </c>
      <c r="D1513" s="28">
        <f>B1513*VLOOKUP(C1513,tblXrate[],2,0)</f>
        <v>35000</v>
      </c>
      <c r="E1513" s="27" t="s">
        <v>7</v>
      </c>
      <c r="F1513" s="27" t="s">
        <v>5</v>
      </c>
      <c r="G1513" s="27" t="s">
        <v>2274</v>
      </c>
      <c r="H1513" s="27">
        <v>7</v>
      </c>
      <c r="I1513" s="27">
        <f>VLOOKUP(F1513,mapping!$L$2:$P$92,2,0)</f>
        <v>1</v>
      </c>
      <c r="J1513" s="27">
        <f>VLOOKUP($F1513,mapping!$L$2:$P$92,3,0)</f>
        <v>48386.69</v>
      </c>
      <c r="K1513" s="27" t="str">
        <f>VLOOKUP($F1513,mapping!$L$2:$P$92,4,0)</f>
        <v>Major Advanced Economies (G7)</v>
      </c>
      <c r="L1513" s="29">
        <f>$D1513*VLOOKUP($E1513,'Charts data'!$A$2:$B$11,2,0)*VLOOKUP($G1513,'Charts data'!$A$14:$B$18,2,0)/IF('Charts data'!$E$3=1,I1513,1)/IF('Charts data'!$E$4=1,J1513,1)</f>
        <v>35000</v>
      </c>
    </row>
    <row r="1514" spans="1:12" x14ac:dyDescent="0.25">
      <c r="A1514" s="27" t="s">
        <v>721</v>
      </c>
      <c r="B1514" s="27">
        <v>188000</v>
      </c>
      <c r="C1514" s="27" t="s">
        <v>2</v>
      </c>
      <c r="D1514" s="28">
        <f>B1514*VLOOKUP(C1514,tblXrate[],2,0)</f>
        <v>188000</v>
      </c>
      <c r="E1514" s="27" t="s">
        <v>2147</v>
      </c>
      <c r="F1514" s="27" t="s">
        <v>5</v>
      </c>
      <c r="G1514" s="27" t="s">
        <v>2274</v>
      </c>
      <c r="H1514" s="27">
        <v>20</v>
      </c>
      <c r="I1514" s="27">
        <f>VLOOKUP(F1514,mapping!$L$2:$P$92,2,0)</f>
        <v>1</v>
      </c>
      <c r="J1514" s="27">
        <f>VLOOKUP($F1514,mapping!$L$2:$P$92,3,0)</f>
        <v>48386.69</v>
      </c>
      <c r="K1514" s="27" t="str">
        <f>VLOOKUP($F1514,mapping!$L$2:$P$92,4,0)</f>
        <v>Major Advanced Economies (G7)</v>
      </c>
      <c r="L1514" s="29">
        <f>$D1514*VLOOKUP($E1514,'Charts data'!$A$2:$B$11,2,0)*VLOOKUP($G1514,'Charts data'!$A$14:$B$18,2,0)/IF('Charts data'!$E$3=1,I1514,1)/IF('Charts data'!$E$4=1,J1514,1)</f>
        <v>188000</v>
      </c>
    </row>
    <row r="1515" spans="1:12" x14ac:dyDescent="0.25">
      <c r="A1515" s="27" t="s">
        <v>722</v>
      </c>
      <c r="B1515" s="27">
        <v>27500</v>
      </c>
      <c r="C1515" s="27" t="s">
        <v>2</v>
      </c>
      <c r="D1515" s="28">
        <f>B1515*VLOOKUP(C1515,tblXrate[],2,0)</f>
        <v>27500</v>
      </c>
      <c r="E1515" s="27" t="s">
        <v>7</v>
      </c>
      <c r="F1515" s="27" t="s">
        <v>5</v>
      </c>
      <c r="G1515" s="27" t="s">
        <v>2273</v>
      </c>
      <c r="H1515" s="27">
        <v>1</v>
      </c>
      <c r="I1515" s="27">
        <f>VLOOKUP(F1515,mapping!$L$2:$P$92,2,0)</f>
        <v>1</v>
      </c>
      <c r="J1515" s="27">
        <f>VLOOKUP($F1515,mapping!$L$2:$P$92,3,0)</f>
        <v>48386.69</v>
      </c>
      <c r="K1515" s="27" t="str">
        <f>VLOOKUP($F1515,mapping!$L$2:$P$92,4,0)</f>
        <v>Major Advanced Economies (G7)</v>
      </c>
      <c r="L1515" s="29">
        <f>$D1515*VLOOKUP($E1515,'Charts data'!$A$2:$B$11,2,0)*VLOOKUP($G1515,'Charts data'!$A$14:$B$18,2,0)/IF('Charts data'!$E$3=1,I1515,1)/IF('Charts data'!$E$4=1,J1515,1)</f>
        <v>27500</v>
      </c>
    </row>
    <row r="1516" spans="1:12" x14ac:dyDescent="0.25">
      <c r="A1516" s="27" t="s">
        <v>723</v>
      </c>
      <c r="B1516" s="27">
        <v>140000</v>
      </c>
      <c r="C1516" s="27" t="s">
        <v>2</v>
      </c>
      <c r="D1516" s="28">
        <f>B1516*VLOOKUP(C1516,tblXrate[],2,0)</f>
        <v>140000</v>
      </c>
      <c r="E1516" s="27" t="s">
        <v>62</v>
      </c>
      <c r="F1516" s="27" t="s">
        <v>5</v>
      </c>
      <c r="G1516" s="27" t="s">
        <v>2272</v>
      </c>
      <c r="H1516" s="27">
        <v>10</v>
      </c>
      <c r="I1516" s="27">
        <f>VLOOKUP(F1516,mapping!$L$2:$P$92,2,0)</f>
        <v>1</v>
      </c>
      <c r="J1516" s="27">
        <f>VLOOKUP($F1516,mapping!$L$2:$P$92,3,0)</f>
        <v>48386.69</v>
      </c>
      <c r="K1516" s="27" t="str">
        <f>VLOOKUP($F1516,mapping!$L$2:$P$92,4,0)</f>
        <v>Major Advanced Economies (G7)</v>
      </c>
      <c r="L1516" s="29">
        <f>$D1516*VLOOKUP($E1516,'Charts data'!$A$2:$B$11,2,0)*VLOOKUP($G1516,'Charts data'!$A$14:$B$18,2,0)/IF('Charts data'!$E$3=1,I1516,1)/IF('Charts data'!$E$4=1,J1516,1)</f>
        <v>140000</v>
      </c>
    </row>
    <row r="1517" spans="1:12" x14ac:dyDescent="0.25">
      <c r="A1517" s="27" t="s">
        <v>725</v>
      </c>
      <c r="B1517" s="27">
        <v>45000</v>
      </c>
      <c r="C1517" s="27" t="s">
        <v>2</v>
      </c>
      <c r="D1517" s="28">
        <f>B1517*VLOOKUP(C1517,tblXrate[],2,0)</f>
        <v>45000</v>
      </c>
      <c r="E1517" s="27" t="s">
        <v>7</v>
      </c>
      <c r="F1517" s="27" t="s">
        <v>5</v>
      </c>
      <c r="G1517" s="27" t="s">
        <v>2271</v>
      </c>
      <c r="H1517" s="27">
        <v>2</v>
      </c>
      <c r="I1517" s="27">
        <f>VLOOKUP(F1517,mapping!$L$2:$P$92,2,0)</f>
        <v>1</v>
      </c>
      <c r="J1517" s="27">
        <f>VLOOKUP($F1517,mapping!$L$2:$P$92,3,0)</f>
        <v>48386.69</v>
      </c>
      <c r="K1517" s="27" t="str">
        <f>VLOOKUP($F1517,mapping!$L$2:$P$92,4,0)</f>
        <v>Major Advanced Economies (G7)</v>
      </c>
      <c r="L1517" s="29">
        <f>$D1517*VLOOKUP($E1517,'Charts data'!$A$2:$B$11,2,0)*VLOOKUP($G1517,'Charts data'!$A$14:$B$18,2,0)/IF('Charts data'!$E$3=1,I1517,1)/IF('Charts data'!$E$4=1,J1517,1)</f>
        <v>45000</v>
      </c>
    </row>
    <row r="1518" spans="1:12" x14ac:dyDescent="0.25">
      <c r="A1518" s="27" t="s">
        <v>729</v>
      </c>
      <c r="B1518" s="27">
        <v>38000</v>
      </c>
      <c r="C1518" s="27" t="s">
        <v>2</v>
      </c>
      <c r="D1518" s="28">
        <f>B1518*VLOOKUP(C1518,tblXrate[],2,0)</f>
        <v>38000</v>
      </c>
      <c r="E1518" s="27" t="s">
        <v>7</v>
      </c>
      <c r="F1518" s="27" t="s">
        <v>5</v>
      </c>
      <c r="G1518" s="27" t="s">
        <v>2273</v>
      </c>
      <c r="H1518" s="27">
        <v>11</v>
      </c>
      <c r="I1518" s="27">
        <f>VLOOKUP(F1518,mapping!$L$2:$P$92,2,0)</f>
        <v>1</v>
      </c>
      <c r="J1518" s="27">
        <f>VLOOKUP($F1518,mapping!$L$2:$P$92,3,0)</f>
        <v>48386.69</v>
      </c>
      <c r="K1518" s="27" t="str">
        <f>VLOOKUP($F1518,mapping!$L$2:$P$92,4,0)</f>
        <v>Major Advanced Economies (G7)</v>
      </c>
      <c r="L1518" s="29">
        <f>$D1518*VLOOKUP($E1518,'Charts data'!$A$2:$B$11,2,0)*VLOOKUP($G1518,'Charts data'!$A$14:$B$18,2,0)/IF('Charts data'!$E$3=1,I1518,1)/IF('Charts data'!$E$4=1,J1518,1)</f>
        <v>38000</v>
      </c>
    </row>
    <row r="1519" spans="1:12" x14ac:dyDescent="0.25">
      <c r="A1519" s="27" t="s">
        <v>730</v>
      </c>
      <c r="B1519" s="27">
        <v>90000</v>
      </c>
      <c r="C1519" s="27" t="s">
        <v>2</v>
      </c>
      <c r="D1519" s="28">
        <f>B1519*VLOOKUP(C1519,tblXrate[],2,0)</f>
        <v>90000</v>
      </c>
      <c r="E1519" s="27" t="s">
        <v>19</v>
      </c>
      <c r="F1519" s="27" t="s">
        <v>5</v>
      </c>
      <c r="G1519" s="27" t="s">
        <v>2271</v>
      </c>
      <c r="H1519" s="27">
        <v>6</v>
      </c>
      <c r="I1519" s="27">
        <f>VLOOKUP(F1519,mapping!$L$2:$P$92,2,0)</f>
        <v>1</v>
      </c>
      <c r="J1519" s="27">
        <f>VLOOKUP($F1519,mapping!$L$2:$P$92,3,0)</f>
        <v>48386.69</v>
      </c>
      <c r="K1519" s="27" t="str">
        <f>VLOOKUP($F1519,mapping!$L$2:$P$92,4,0)</f>
        <v>Major Advanced Economies (G7)</v>
      </c>
      <c r="L1519" s="29">
        <f>$D1519*VLOOKUP($E1519,'Charts data'!$A$2:$B$11,2,0)*VLOOKUP($G1519,'Charts data'!$A$14:$B$18,2,0)/IF('Charts data'!$E$3=1,I1519,1)/IF('Charts data'!$E$4=1,J1519,1)</f>
        <v>90000</v>
      </c>
    </row>
    <row r="1520" spans="1:12" x14ac:dyDescent="0.25">
      <c r="A1520" s="27" t="s">
        <v>736</v>
      </c>
      <c r="B1520" s="27">
        <v>90000</v>
      </c>
      <c r="C1520" s="27" t="s">
        <v>2</v>
      </c>
      <c r="D1520" s="28">
        <f>B1520*VLOOKUP(C1520,tblXrate[],2,0)</f>
        <v>90000</v>
      </c>
      <c r="E1520" s="27" t="s">
        <v>19</v>
      </c>
      <c r="F1520" s="27" t="s">
        <v>5</v>
      </c>
      <c r="G1520" s="27" t="s">
        <v>2272</v>
      </c>
      <c r="H1520" s="27">
        <v>15</v>
      </c>
      <c r="I1520" s="27">
        <f>VLOOKUP(F1520,mapping!$L$2:$P$92,2,0)</f>
        <v>1</v>
      </c>
      <c r="J1520" s="27">
        <f>VLOOKUP($F1520,mapping!$L$2:$P$92,3,0)</f>
        <v>48386.69</v>
      </c>
      <c r="K1520" s="27" t="str">
        <f>VLOOKUP($F1520,mapping!$L$2:$P$92,4,0)</f>
        <v>Major Advanced Economies (G7)</v>
      </c>
      <c r="L1520" s="29">
        <f>$D1520*VLOOKUP($E1520,'Charts data'!$A$2:$B$11,2,0)*VLOOKUP($G1520,'Charts data'!$A$14:$B$18,2,0)/IF('Charts data'!$E$3=1,I1520,1)/IF('Charts data'!$E$4=1,J1520,1)</f>
        <v>90000</v>
      </c>
    </row>
    <row r="1521" spans="1:12" x14ac:dyDescent="0.25">
      <c r="A1521" s="27" t="s">
        <v>737</v>
      </c>
      <c r="B1521" s="27">
        <v>150000</v>
      </c>
      <c r="C1521" s="27" t="s">
        <v>2</v>
      </c>
      <c r="D1521" s="28">
        <f>B1521*VLOOKUP(C1521,tblXrate[],2,0)</f>
        <v>150000</v>
      </c>
      <c r="E1521" s="27" t="s">
        <v>2147</v>
      </c>
      <c r="F1521" s="27" t="s">
        <v>5</v>
      </c>
      <c r="G1521" s="27" t="s">
        <v>2271</v>
      </c>
      <c r="H1521" s="27">
        <v>22</v>
      </c>
      <c r="I1521" s="27">
        <f>VLOOKUP(F1521,mapping!$L$2:$P$92,2,0)</f>
        <v>1</v>
      </c>
      <c r="J1521" s="27">
        <f>VLOOKUP($F1521,mapping!$L$2:$P$92,3,0)</f>
        <v>48386.69</v>
      </c>
      <c r="K1521" s="27" t="str">
        <f>VLOOKUP($F1521,mapping!$L$2:$P$92,4,0)</f>
        <v>Major Advanced Economies (G7)</v>
      </c>
      <c r="L1521" s="29">
        <f>$D1521*VLOOKUP($E1521,'Charts data'!$A$2:$B$11,2,0)*VLOOKUP($G1521,'Charts data'!$A$14:$B$18,2,0)/IF('Charts data'!$E$3=1,I1521,1)/IF('Charts data'!$E$4=1,J1521,1)</f>
        <v>150000</v>
      </c>
    </row>
    <row r="1522" spans="1:12" x14ac:dyDescent="0.25">
      <c r="A1522" s="27" t="s">
        <v>739</v>
      </c>
      <c r="B1522" s="27">
        <v>45000</v>
      </c>
      <c r="C1522" s="27" t="s">
        <v>2</v>
      </c>
      <c r="D1522" s="28">
        <f>B1522*VLOOKUP(C1522,tblXrate[],2,0)</f>
        <v>45000</v>
      </c>
      <c r="E1522" s="27" t="s">
        <v>7</v>
      </c>
      <c r="F1522" s="27" t="s">
        <v>5</v>
      </c>
      <c r="G1522" s="27" t="s">
        <v>2271</v>
      </c>
      <c r="H1522" s="27">
        <v>3</v>
      </c>
      <c r="I1522" s="27">
        <f>VLOOKUP(F1522,mapping!$L$2:$P$92,2,0)</f>
        <v>1</v>
      </c>
      <c r="J1522" s="27">
        <f>VLOOKUP($F1522,mapping!$L$2:$P$92,3,0)</f>
        <v>48386.69</v>
      </c>
      <c r="K1522" s="27" t="str">
        <f>VLOOKUP($F1522,mapping!$L$2:$P$92,4,0)</f>
        <v>Major Advanced Economies (G7)</v>
      </c>
      <c r="L1522" s="29">
        <f>$D1522*VLOOKUP($E1522,'Charts data'!$A$2:$B$11,2,0)*VLOOKUP($G1522,'Charts data'!$A$14:$B$18,2,0)/IF('Charts data'!$E$3=1,I1522,1)/IF('Charts data'!$E$4=1,J1522,1)</f>
        <v>45000</v>
      </c>
    </row>
    <row r="1523" spans="1:12" x14ac:dyDescent="0.25">
      <c r="A1523" s="27" t="s">
        <v>740</v>
      </c>
      <c r="B1523" s="27">
        <v>50000</v>
      </c>
      <c r="C1523" s="27" t="s">
        <v>2</v>
      </c>
      <c r="D1523" s="28">
        <f>B1523*VLOOKUP(C1523,tblXrate[],2,0)</f>
        <v>50000</v>
      </c>
      <c r="E1523" s="27" t="s">
        <v>23</v>
      </c>
      <c r="F1523" s="27" t="s">
        <v>5</v>
      </c>
      <c r="G1523" s="27" t="s">
        <v>2272</v>
      </c>
      <c r="H1523" s="27">
        <v>10</v>
      </c>
      <c r="I1523" s="27">
        <f>VLOOKUP(F1523,mapping!$L$2:$P$92,2,0)</f>
        <v>1</v>
      </c>
      <c r="J1523" s="27">
        <f>VLOOKUP($F1523,mapping!$L$2:$P$92,3,0)</f>
        <v>48386.69</v>
      </c>
      <c r="K1523" s="27" t="str">
        <f>VLOOKUP($F1523,mapping!$L$2:$P$92,4,0)</f>
        <v>Major Advanced Economies (G7)</v>
      </c>
      <c r="L1523" s="29">
        <f>$D1523*VLOOKUP($E1523,'Charts data'!$A$2:$B$11,2,0)*VLOOKUP($G1523,'Charts data'!$A$14:$B$18,2,0)/IF('Charts data'!$E$3=1,I1523,1)/IF('Charts data'!$E$4=1,J1523,1)</f>
        <v>50000</v>
      </c>
    </row>
    <row r="1524" spans="1:12" x14ac:dyDescent="0.25">
      <c r="A1524" s="27" t="s">
        <v>741</v>
      </c>
      <c r="B1524" s="27">
        <v>300000</v>
      </c>
      <c r="C1524" s="27" t="s">
        <v>2</v>
      </c>
      <c r="D1524" s="28">
        <f>B1524*VLOOKUP(C1524,tblXrate[],2,0)</f>
        <v>300000</v>
      </c>
      <c r="E1524" s="27" t="s">
        <v>2147</v>
      </c>
      <c r="F1524" s="27" t="s">
        <v>5</v>
      </c>
      <c r="G1524" s="27" t="s">
        <v>2272</v>
      </c>
      <c r="H1524" s="27">
        <v>30</v>
      </c>
      <c r="I1524" s="27">
        <f>VLOOKUP(F1524,mapping!$L$2:$P$92,2,0)</f>
        <v>1</v>
      </c>
      <c r="J1524" s="27">
        <f>VLOOKUP($F1524,mapping!$L$2:$P$92,3,0)</f>
        <v>48386.69</v>
      </c>
      <c r="K1524" s="27" t="str">
        <f>VLOOKUP($F1524,mapping!$L$2:$P$92,4,0)</f>
        <v>Major Advanced Economies (G7)</v>
      </c>
      <c r="L1524" s="29">
        <f>$D1524*VLOOKUP($E1524,'Charts data'!$A$2:$B$11,2,0)*VLOOKUP($G1524,'Charts data'!$A$14:$B$18,2,0)/IF('Charts data'!$E$3=1,I1524,1)/IF('Charts data'!$E$4=1,J1524,1)</f>
        <v>300000</v>
      </c>
    </row>
    <row r="1525" spans="1:12" x14ac:dyDescent="0.25">
      <c r="A1525" s="27" t="s">
        <v>743</v>
      </c>
      <c r="B1525" s="27">
        <v>115000</v>
      </c>
      <c r="C1525" s="27" t="s">
        <v>2</v>
      </c>
      <c r="D1525" s="28">
        <f>B1525*VLOOKUP(C1525,tblXrate[],2,0)</f>
        <v>115000</v>
      </c>
      <c r="E1525" s="27" t="s">
        <v>19</v>
      </c>
      <c r="F1525" s="27" t="s">
        <v>5</v>
      </c>
      <c r="G1525" s="27" t="s">
        <v>2271</v>
      </c>
      <c r="H1525" s="27">
        <v>15</v>
      </c>
      <c r="I1525" s="27">
        <f>VLOOKUP(F1525,mapping!$L$2:$P$92,2,0)</f>
        <v>1</v>
      </c>
      <c r="J1525" s="27">
        <f>VLOOKUP($F1525,mapping!$L$2:$P$92,3,0)</f>
        <v>48386.69</v>
      </c>
      <c r="K1525" s="27" t="str">
        <f>VLOOKUP($F1525,mapping!$L$2:$P$92,4,0)</f>
        <v>Major Advanced Economies (G7)</v>
      </c>
      <c r="L1525" s="29">
        <f>$D1525*VLOOKUP($E1525,'Charts data'!$A$2:$B$11,2,0)*VLOOKUP($G1525,'Charts data'!$A$14:$B$18,2,0)/IF('Charts data'!$E$3=1,I1525,1)/IF('Charts data'!$E$4=1,J1525,1)</f>
        <v>115000</v>
      </c>
    </row>
    <row r="1526" spans="1:12" x14ac:dyDescent="0.25">
      <c r="A1526" s="27" t="s">
        <v>744</v>
      </c>
      <c r="B1526" s="27">
        <v>70000</v>
      </c>
      <c r="C1526" s="27" t="s">
        <v>2</v>
      </c>
      <c r="D1526" s="28">
        <f>B1526*VLOOKUP(C1526,tblXrate[],2,0)</f>
        <v>70000</v>
      </c>
      <c r="E1526" s="27" t="s">
        <v>7</v>
      </c>
      <c r="F1526" s="27" t="s">
        <v>5</v>
      </c>
      <c r="G1526" s="27" t="s">
        <v>2271</v>
      </c>
      <c r="H1526" s="27">
        <v>3</v>
      </c>
      <c r="I1526" s="27">
        <f>VLOOKUP(F1526,mapping!$L$2:$P$92,2,0)</f>
        <v>1</v>
      </c>
      <c r="J1526" s="27">
        <f>VLOOKUP($F1526,mapping!$L$2:$P$92,3,0)</f>
        <v>48386.69</v>
      </c>
      <c r="K1526" s="27" t="str">
        <f>VLOOKUP($F1526,mapping!$L$2:$P$92,4,0)</f>
        <v>Major Advanced Economies (G7)</v>
      </c>
      <c r="L1526" s="29">
        <f>$D1526*VLOOKUP($E1526,'Charts data'!$A$2:$B$11,2,0)*VLOOKUP($G1526,'Charts data'!$A$14:$B$18,2,0)/IF('Charts data'!$E$3=1,I1526,1)/IF('Charts data'!$E$4=1,J1526,1)</f>
        <v>70000</v>
      </c>
    </row>
    <row r="1527" spans="1:12" x14ac:dyDescent="0.25">
      <c r="A1527" s="27" t="s">
        <v>746</v>
      </c>
      <c r="B1527" s="27">
        <v>75000</v>
      </c>
      <c r="C1527" s="27" t="s">
        <v>2</v>
      </c>
      <c r="D1527" s="28">
        <f>B1527*VLOOKUP(C1527,tblXrate[],2,0)</f>
        <v>75000</v>
      </c>
      <c r="E1527" s="27" t="s">
        <v>7</v>
      </c>
      <c r="F1527" s="27" t="s">
        <v>5</v>
      </c>
      <c r="G1527" s="27" t="s">
        <v>2272</v>
      </c>
      <c r="H1527" s="27">
        <v>25</v>
      </c>
      <c r="I1527" s="27">
        <f>VLOOKUP(F1527,mapping!$L$2:$P$92,2,0)</f>
        <v>1</v>
      </c>
      <c r="J1527" s="27">
        <f>VLOOKUP($F1527,mapping!$L$2:$P$92,3,0)</f>
        <v>48386.69</v>
      </c>
      <c r="K1527" s="27" t="str">
        <f>VLOOKUP($F1527,mapping!$L$2:$P$92,4,0)</f>
        <v>Major Advanced Economies (G7)</v>
      </c>
      <c r="L1527" s="29">
        <f>$D1527*VLOOKUP($E1527,'Charts data'!$A$2:$B$11,2,0)*VLOOKUP($G1527,'Charts data'!$A$14:$B$18,2,0)/IF('Charts data'!$E$3=1,I1527,1)/IF('Charts data'!$E$4=1,J1527,1)</f>
        <v>75000</v>
      </c>
    </row>
    <row r="1528" spans="1:12" x14ac:dyDescent="0.25">
      <c r="A1528" s="27" t="s">
        <v>747</v>
      </c>
      <c r="B1528" s="27">
        <v>40414</v>
      </c>
      <c r="C1528" s="27" t="s">
        <v>2</v>
      </c>
      <c r="D1528" s="28">
        <f>B1528*VLOOKUP(C1528,tblXrate[],2,0)</f>
        <v>40414</v>
      </c>
      <c r="E1528" s="27" t="s">
        <v>7</v>
      </c>
      <c r="F1528" s="27" t="s">
        <v>5</v>
      </c>
      <c r="G1528" s="27" t="s">
        <v>2271</v>
      </c>
      <c r="H1528" s="27">
        <v>8</v>
      </c>
      <c r="I1528" s="27">
        <f>VLOOKUP(F1528,mapping!$L$2:$P$92,2,0)</f>
        <v>1</v>
      </c>
      <c r="J1528" s="27">
        <f>VLOOKUP($F1528,mapping!$L$2:$P$92,3,0)</f>
        <v>48386.69</v>
      </c>
      <c r="K1528" s="27" t="str">
        <f>VLOOKUP($F1528,mapping!$L$2:$P$92,4,0)</f>
        <v>Major Advanced Economies (G7)</v>
      </c>
      <c r="L1528" s="29">
        <f>$D1528*VLOOKUP($E1528,'Charts data'!$A$2:$B$11,2,0)*VLOOKUP($G1528,'Charts data'!$A$14:$B$18,2,0)/IF('Charts data'!$E$3=1,I1528,1)/IF('Charts data'!$E$4=1,J1528,1)</f>
        <v>40414</v>
      </c>
    </row>
    <row r="1529" spans="1:12" x14ac:dyDescent="0.25">
      <c r="A1529" s="27" t="s">
        <v>748</v>
      </c>
      <c r="B1529" s="27">
        <v>65000</v>
      </c>
      <c r="C1529" s="27" t="s">
        <v>2</v>
      </c>
      <c r="D1529" s="28">
        <f>B1529*VLOOKUP(C1529,tblXrate[],2,0)</f>
        <v>65000</v>
      </c>
      <c r="E1529" s="27" t="s">
        <v>7</v>
      </c>
      <c r="F1529" s="27" t="s">
        <v>5</v>
      </c>
      <c r="G1529" s="27" t="s">
        <v>2271</v>
      </c>
      <c r="H1529" s="27">
        <v>3</v>
      </c>
      <c r="I1529" s="27">
        <f>VLOOKUP(F1529,mapping!$L$2:$P$92,2,0)</f>
        <v>1</v>
      </c>
      <c r="J1529" s="27">
        <f>VLOOKUP($F1529,mapping!$L$2:$P$92,3,0)</f>
        <v>48386.69</v>
      </c>
      <c r="K1529" s="27" t="str">
        <f>VLOOKUP($F1529,mapping!$L$2:$P$92,4,0)</f>
        <v>Major Advanced Economies (G7)</v>
      </c>
      <c r="L1529" s="29">
        <f>$D1529*VLOOKUP($E1529,'Charts data'!$A$2:$B$11,2,0)*VLOOKUP($G1529,'Charts data'!$A$14:$B$18,2,0)/IF('Charts data'!$E$3=1,I1529,1)/IF('Charts data'!$E$4=1,J1529,1)</f>
        <v>65000</v>
      </c>
    </row>
    <row r="1530" spans="1:12" x14ac:dyDescent="0.25">
      <c r="A1530" s="27" t="s">
        <v>749</v>
      </c>
      <c r="B1530" s="27">
        <v>120000</v>
      </c>
      <c r="C1530" s="27" t="s">
        <v>2</v>
      </c>
      <c r="D1530" s="28">
        <f>B1530*VLOOKUP(C1530,tblXrate[],2,0)</f>
        <v>120000</v>
      </c>
      <c r="E1530" s="27" t="s">
        <v>7</v>
      </c>
      <c r="F1530" s="27" t="s">
        <v>5</v>
      </c>
      <c r="G1530" s="27" t="s">
        <v>2273</v>
      </c>
      <c r="H1530" s="27">
        <v>7</v>
      </c>
      <c r="I1530" s="27">
        <f>VLOOKUP(F1530,mapping!$L$2:$P$92,2,0)</f>
        <v>1</v>
      </c>
      <c r="J1530" s="27">
        <f>VLOOKUP($F1530,mapping!$L$2:$P$92,3,0)</f>
        <v>48386.69</v>
      </c>
      <c r="K1530" s="27" t="str">
        <f>VLOOKUP($F1530,mapping!$L$2:$P$92,4,0)</f>
        <v>Major Advanced Economies (G7)</v>
      </c>
      <c r="L1530" s="29">
        <f>$D1530*VLOOKUP($E1530,'Charts data'!$A$2:$B$11,2,0)*VLOOKUP($G1530,'Charts data'!$A$14:$B$18,2,0)/IF('Charts data'!$E$3=1,I1530,1)/IF('Charts data'!$E$4=1,J1530,1)</f>
        <v>120000</v>
      </c>
    </row>
    <row r="1531" spans="1:12" x14ac:dyDescent="0.25">
      <c r="A1531" s="27" t="s">
        <v>753</v>
      </c>
      <c r="B1531" s="27">
        <v>108000</v>
      </c>
      <c r="C1531" s="27" t="s">
        <v>2</v>
      </c>
      <c r="D1531" s="28">
        <f>B1531*VLOOKUP(C1531,tblXrate[],2,0)</f>
        <v>108000</v>
      </c>
      <c r="E1531" s="27" t="s">
        <v>53</v>
      </c>
      <c r="F1531" s="27" t="s">
        <v>5</v>
      </c>
      <c r="G1531" s="27" t="s">
        <v>2272</v>
      </c>
      <c r="H1531" s="27">
        <v>7</v>
      </c>
      <c r="I1531" s="27">
        <f>VLOOKUP(F1531,mapping!$L$2:$P$92,2,0)</f>
        <v>1</v>
      </c>
      <c r="J1531" s="27">
        <f>VLOOKUP($F1531,mapping!$L$2:$P$92,3,0)</f>
        <v>48386.69</v>
      </c>
      <c r="K1531" s="27" t="str">
        <f>VLOOKUP($F1531,mapping!$L$2:$P$92,4,0)</f>
        <v>Major Advanced Economies (G7)</v>
      </c>
      <c r="L1531" s="29">
        <f>$D1531*VLOOKUP($E1531,'Charts data'!$A$2:$B$11,2,0)*VLOOKUP($G1531,'Charts data'!$A$14:$B$18,2,0)/IF('Charts data'!$E$3=1,I1531,1)/IF('Charts data'!$E$4=1,J1531,1)</f>
        <v>108000</v>
      </c>
    </row>
    <row r="1532" spans="1:12" x14ac:dyDescent="0.25">
      <c r="A1532" s="27" t="s">
        <v>754</v>
      </c>
      <c r="B1532" s="27">
        <v>75000</v>
      </c>
      <c r="C1532" s="27" t="s">
        <v>2</v>
      </c>
      <c r="D1532" s="28">
        <f>B1532*VLOOKUP(C1532,tblXrate[],2,0)</f>
        <v>75000</v>
      </c>
      <c r="E1532" s="27" t="s">
        <v>7</v>
      </c>
      <c r="F1532" s="27" t="s">
        <v>5</v>
      </c>
      <c r="G1532" s="27" t="s">
        <v>2271</v>
      </c>
      <c r="H1532" s="27">
        <v>5</v>
      </c>
      <c r="I1532" s="27">
        <f>VLOOKUP(F1532,mapping!$L$2:$P$92,2,0)</f>
        <v>1</v>
      </c>
      <c r="J1532" s="27">
        <f>VLOOKUP($F1532,mapping!$L$2:$P$92,3,0)</f>
        <v>48386.69</v>
      </c>
      <c r="K1532" s="27" t="str">
        <f>VLOOKUP($F1532,mapping!$L$2:$P$92,4,0)</f>
        <v>Major Advanced Economies (G7)</v>
      </c>
      <c r="L1532" s="29">
        <f>$D1532*VLOOKUP($E1532,'Charts data'!$A$2:$B$11,2,0)*VLOOKUP($G1532,'Charts data'!$A$14:$B$18,2,0)/IF('Charts data'!$E$3=1,I1532,1)/IF('Charts data'!$E$4=1,J1532,1)</f>
        <v>75000</v>
      </c>
    </row>
    <row r="1533" spans="1:12" x14ac:dyDescent="0.25">
      <c r="A1533" s="27" t="s">
        <v>757</v>
      </c>
      <c r="B1533" s="27">
        <v>45000</v>
      </c>
      <c r="C1533" s="27" t="s">
        <v>2</v>
      </c>
      <c r="D1533" s="28">
        <f>B1533*VLOOKUP(C1533,tblXrate[],2,0)</f>
        <v>45000</v>
      </c>
      <c r="E1533" s="27" t="s">
        <v>7</v>
      </c>
      <c r="F1533" s="27" t="s">
        <v>5</v>
      </c>
      <c r="G1533" s="27" t="s">
        <v>2271</v>
      </c>
      <c r="H1533" s="27">
        <v>15</v>
      </c>
      <c r="I1533" s="27">
        <f>VLOOKUP(F1533,mapping!$L$2:$P$92,2,0)</f>
        <v>1</v>
      </c>
      <c r="J1533" s="27">
        <f>VLOOKUP($F1533,mapping!$L$2:$P$92,3,0)</f>
        <v>48386.69</v>
      </c>
      <c r="K1533" s="27" t="str">
        <f>VLOOKUP($F1533,mapping!$L$2:$P$92,4,0)</f>
        <v>Major Advanced Economies (G7)</v>
      </c>
      <c r="L1533" s="29">
        <f>$D1533*VLOOKUP($E1533,'Charts data'!$A$2:$B$11,2,0)*VLOOKUP($G1533,'Charts data'!$A$14:$B$18,2,0)/IF('Charts data'!$E$3=1,I1533,1)/IF('Charts data'!$E$4=1,J1533,1)</f>
        <v>45000</v>
      </c>
    </row>
    <row r="1534" spans="1:12" x14ac:dyDescent="0.25">
      <c r="A1534" s="27" t="s">
        <v>758</v>
      </c>
      <c r="B1534" s="27">
        <v>45000</v>
      </c>
      <c r="C1534" s="27" t="s">
        <v>2</v>
      </c>
      <c r="D1534" s="28">
        <f>B1534*VLOOKUP(C1534,tblXrate[],2,0)</f>
        <v>45000</v>
      </c>
      <c r="E1534" s="27" t="s">
        <v>51</v>
      </c>
      <c r="F1534" s="27" t="s">
        <v>5</v>
      </c>
      <c r="G1534" s="27" t="s">
        <v>2271</v>
      </c>
      <c r="H1534" s="27">
        <v>7</v>
      </c>
      <c r="I1534" s="27">
        <f>VLOOKUP(F1534,mapping!$L$2:$P$92,2,0)</f>
        <v>1</v>
      </c>
      <c r="J1534" s="27">
        <f>VLOOKUP($F1534,mapping!$L$2:$P$92,3,0)</f>
        <v>48386.69</v>
      </c>
      <c r="K1534" s="27" t="str">
        <f>VLOOKUP($F1534,mapping!$L$2:$P$92,4,0)</f>
        <v>Major Advanced Economies (G7)</v>
      </c>
      <c r="L1534" s="29">
        <f>$D1534*VLOOKUP($E1534,'Charts data'!$A$2:$B$11,2,0)*VLOOKUP($G1534,'Charts data'!$A$14:$B$18,2,0)/IF('Charts data'!$E$3=1,I1534,1)/IF('Charts data'!$E$4=1,J1534,1)</f>
        <v>45000</v>
      </c>
    </row>
    <row r="1535" spans="1:12" x14ac:dyDescent="0.25">
      <c r="A1535" s="27" t="s">
        <v>759</v>
      </c>
      <c r="B1535" s="27">
        <v>90000</v>
      </c>
      <c r="C1535" s="27" t="s">
        <v>2</v>
      </c>
      <c r="D1535" s="28">
        <f>B1535*VLOOKUP(C1535,tblXrate[],2,0)</f>
        <v>90000</v>
      </c>
      <c r="E1535" s="27" t="s">
        <v>19</v>
      </c>
      <c r="F1535" s="27" t="s">
        <v>5</v>
      </c>
      <c r="G1535" s="27" t="s">
        <v>2272</v>
      </c>
      <c r="H1535" s="27">
        <v>20</v>
      </c>
      <c r="I1535" s="27">
        <f>VLOOKUP(F1535,mapping!$L$2:$P$92,2,0)</f>
        <v>1</v>
      </c>
      <c r="J1535" s="27">
        <f>VLOOKUP($F1535,mapping!$L$2:$P$92,3,0)</f>
        <v>48386.69</v>
      </c>
      <c r="K1535" s="27" t="str">
        <f>VLOOKUP($F1535,mapping!$L$2:$P$92,4,0)</f>
        <v>Major Advanced Economies (G7)</v>
      </c>
      <c r="L1535" s="29">
        <f>$D1535*VLOOKUP($E1535,'Charts data'!$A$2:$B$11,2,0)*VLOOKUP($G1535,'Charts data'!$A$14:$B$18,2,0)/IF('Charts data'!$E$3=1,I1535,1)/IF('Charts data'!$E$4=1,J1535,1)</f>
        <v>90000</v>
      </c>
    </row>
    <row r="1536" spans="1:12" x14ac:dyDescent="0.25">
      <c r="A1536" s="27" t="s">
        <v>762</v>
      </c>
      <c r="B1536" s="27">
        <v>65000</v>
      </c>
      <c r="C1536" s="27" t="s">
        <v>2</v>
      </c>
      <c r="D1536" s="28">
        <f>B1536*VLOOKUP(C1536,tblXrate[],2,0)</f>
        <v>65000</v>
      </c>
      <c r="E1536" s="27" t="s">
        <v>7</v>
      </c>
      <c r="F1536" s="27" t="s">
        <v>5</v>
      </c>
      <c r="G1536" s="27" t="s">
        <v>2272</v>
      </c>
      <c r="H1536" s="27">
        <v>17</v>
      </c>
      <c r="I1536" s="27">
        <f>VLOOKUP(F1536,mapping!$L$2:$P$92,2,0)</f>
        <v>1</v>
      </c>
      <c r="J1536" s="27">
        <f>VLOOKUP($F1536,mapping!$L$2:$P$92,3,0)</f>
        <v>48386.69</v>
      </c>
      <c r="K1536" s="27" t="str">
        <f>VLOOKUP($F1536,mapping!$L$2:$P$92,4,0)</f>
        <v>Major Advanced Economies (G7)</v>
      </c>
      <c r="L1536" s="29">
        <f>$D1536*VLOOKUP($E1536,'Charts data'!$A$2:$B$11,2,0)*VLOOKUP($G1536,'Charts data'!$A$14:$B$18,2,0)/IF('Charts data'!$E$3=1,I1536,1)/IF('Charts data'!$E$4=1,J1536,1)</f>
        <v>65000</v>
      </c>
    </row>
    <row r="1537" spans="1:12" x14ac:dyDescent="0.25">
      <c r="A1537" s="27" t="s">
        <v>763</v>
      </c>
      <c r="B1537" s="27">
        <v>70000</v>
      </c>
      <c r="C1537" s="27" t="s">
        <v>2</v>
      </c>
      <c r="D1537" s="28">
        <f>B1537*VLOOKUP(C1537,tblXrate[],2,0)</f>
        <v>70000</v>
      </c>
      <c r="E1537" s="27" t="s">
        <v>7</v>
      </c>
      <c r="F1537" s="27" t="s">
        <v>5</v>
      </c>
      <c r="G1537" s="27" t="s">
        <v>2272</v>
      </c>
      <c r="H1537" s="27">
        <v>18</v>
      </c>
      <c r="I1537" s="27">
        <f>VLOOKUP(F1537,mapping!$L$2:$P$92,2,0)</f>
        <v>1</v>
      </c>
      <c r="J1537" s="27">
        <f>VLOOKUP($F1537,mapping!$L$2:$P$92,3,0)</f>
        <v>48386.69</v>
      </c>
      <c r="K1537" s="27" t="str">
        <f>VLOOKUP($F1537,mapping!$L$2:$P$92,4,0)</f>
        <v>Major Advanced Economies (G7)</v>
      </c>
      <c r="L1537" s="29">
        <f>$D1537*VLOOKUP($E1537,'Charts data'!$A$2:$B$11,2,0)*VLOOKUP($G1537,'Charts data'!$A$14:$B$18,2,0)/IF('Charts data'!$E$3=1,I1537,1)/IF('Charts data'!$E$4=1,J1537,1)</f>
        <v>70000</v>
      </c>
    </row>
    <row r="1538" spans="1:12" x14ac:dyDescent="0.25">
      <c r="A1538" s="27" t="s">
        <v>764</v>
      </c>
      <c r="B1538" s="27">
        <v>160000</v>
      </c>
      <c r="C1538" s="27" t="s">
        <v>2</v>
      </c>
      <c r="D1538" s="28">
        <f>B1538*VLOOKUP(C1538,tblXrate[],2,0)</f>
        <v>160000</v>
      </c>
      <c r="E1538" s="27" t="s">
        <v>7</v>
      </c>
      <c r="F1538" s="27" t="s">
        <v>5</v>
      </c>
      <c r="G1538" s="27" t="s">
        <v>2271</v>
      </c>
      <c r="H1538" s="27">
        <v>5</v>
      </c>
      <c r="I1538" s="27">
        <f>VLOOKUP(F1538,mapping!$L$2:$P$92,2,0)</f>
        <v>1</v>
      </c>
      <c r="J1538" s="27">
        <f>VLOOKUP($F1538,mapping!$L$2:$P$92,3,0)</f>
        <v>48386.69</v>
      </c>
      <c r="K1538" s="27" t="str">
        <f>VLOOKUP($F1538,mapping!$L$2:$P$92,4,0)</f>
        <v>Major Advanced Economies (G7)</v>
      </c>
      <c r="L1538" s="29">
        <f>$D1538*VLOOKUP($E1538,'Charts data'!$A$2:$B$11,2,0)*VLOOKUP($G1538,'Charts data'!$A$14:$B$18,2,0)/IF('Charts data'!$E$3=1,I1538,1)/IF('Charts data'!$E$4=1,J1538,1)</f>
        <v>160000</v>
      </c>
    </row>
    <row r="1539" spans="1:12" x14ac:dyDescent="0.25">
      <c r="A1539" s="27" t="s">
        <v>767</v>
      </c>
      <c r="B1539" s="27">
        <v>30000</v>
      </c>
      <c r="C1539" s="27" t="s">
        <v>2</v>
      </c>
      <c r="D1539" s="28">
        <f>B1539*VLOOKUP(C1539,tblXrate[],2,0)</f>
        <v>30000</v>
      </c>
      <c r="E1539" s="27" t="s">
        <v>7</v>
      </c>
      <c r="F1539" s="27" t="s">
        <v>5</v>
      </c>
      <c r="G1539" s="27" t="s">
        <v>2272</v>
      </c>
      <c r="H1539" s="27">
        <v>8</v>
      </c>
      <c r="I1539" s="27">
        <f>VLOOKUP(F1539,mapping!$L$2:$P$92,2,0)</f>
        <v>1</v>
      </c>
      <c r="J1539" s="27">
        <f>VLOOKUP($F1539,mapping!$L$2:$P$92,3,0)</f>
        <v>48386.69</v>
      </c>
      <c r="K1539" s="27" t="str">
        <f>VLOOKUP($F1539,mapping!$L$2:$P$92,4,0)</f>
        <v>Major Advanced Economies (G7)</v>
      </c>
      <c r="L1539" s="29">
        <f>$D1539*VLOOKUP($E1539,'Charts data'!$A$2:$B$11,2,0)*VLOOKUP($G1539,'Charts data'!$A$14:$B$18,2,0)/IF('Charts data'!$E$3=1,I1539,1)/IF('Charts data'!$E$4=1,J1539,1)</f>
        <v>30000</v>
      </c>
    </row>
    <row r="1540" spans="1:12" x14ac:dyDescent="0.25">
      <c r="A1540" s="27" t="s">
        <v>769</v>
      </c>
      <c r="B1540" s="27">
        <v>61000</v>
      </c>
      <c r="C1540" s="27" t="s">
        <v>2</v>
      </c>
      <c r="D1540" s="28">
        <f>B1540*VLOOKUP(C1540,tblXrate[],2,0)</f>
        <v>61000</v>
      </c>
      <c r="E1540" s="27" t="s">
        <v>19</v>
      </c>
      <c r="F1540" s="27" t="s">
        <v>5</v>
      </c>
      <c r="G1540" s="27" t="s">
        <v>2271</v>
      </c>
      <c r="H1540" s="27">
        <v>5</v>
      </c>
      <c r="I1540" s="27">
        <f>VLOOKUP(F1540,mapping!$L$2:$P$92,2,0)</f>
        <v>1</v>
      </c>
      <c r="J1540" s="27">
        <f>VLOOKUP($F1540,mapping!$L$2:$P$92,3,0)</f>
        <v>48386.69</v>
      </c>
      <c r="K1540" s="27" t="str">
        <f>VLOOKUP($F1540,mapping!$L$2:$P$92,4,0)</f>
        <v>Major Advanced Economies (G7)</v>
      </c>
      <c r="L1540" s="29">
        <f>$D1540*VLOOKUP($E1540,'Charts data'!$A$2:$B$11,2,0)*VLOOKUP($G1540,'Charts data'!$A$14:$B$18,2,0)/IF('Charts data'!$E$3=1,I1540,1)/IF('Charts data'!$E$4=1,J1540,1)</f>
        <v>61000</v>
      </c>
    </row>
    <row r="1541" spans="1:12" x14ac:dyDescent="0.25">
      <c r="A1541" s="27" t="s">
        <v>773</v>
      </c>
      <c r="B1541" s="27">
        <v>80000</v>
      </c>
      <c r="C1541" s="27" t="s">
        <v>2</v>
      </c>
      <c r="D1541" s="28">
        <f>B1541*VLOOKUP(C1541,tblXrate[],2,0)</f>
        <v>80000</v>
      </c>
      <c r="E1541" s="27" t="s">
        <v>62</v>
      </c>
      <c r="F1541" s="27" t="s">
        <v>5</v>
      </c>
      <c r="G1541" s="27" t="s">
        <v>2271</v>
      </c>
      <c r="H1541" s="27">
        <v>15</v>
      </c>
      <c r="I1541" s="27">
        <f>VLOOKUP(F1541,mapping!$L$2:$P$92,2,0)</f>
        <v>1</v>
      </c>
      <c r="J1541" s="27">
        <f>VLOOKUP($F1541,mapping!$L$2:$P$92,3,0)</f>
        <v>48386.69</v>
      </c>
      <c r="K1541" s="27" t="str">
        <f>VLOOKUP($F1541,mapping!$L$2:$P$92,4,0)</f>
        <v>Major Advanced Economies (G7)</v>
      </c>
      <c r="L1541" s="29">
        <f>$D1541*VLOOKUP($E1541,'Charts data'!$A$2:$B$11,2,0)*VLOOKUP($G1541,'Charts data'!$A$14:$B$18,2,0)/IF('Charts data'!$E$3=1,I1541,1)/IF('Charts data'!$E$4=1,J1541,1)</f>
        <v>80000</v>
      </c>
    </row>
    <row r="1542" spans="1:12" x14ac:dyDescent="0.25">
      <c r="A1542" s="27" t="s">
        <v>779</v>
      </c>
      <c r="B1542" s="27">
        <v>50000</v>
      </c>
      <c r="C1542" s="27" t="s">
        <v>2</v>
      </c>
      <c r="D1542" s="28">
        <f>B1542*VLOOKUP(C1542,tblXrate[],2,0)</f>
        <v>50000</v>
      </c>
      <c r="E1542" s="27" t="s">
        <v>19</v>
      </c>
      <c r="F1542" s="27" t="s">
        <v>5</v>
      </c>
      <c r="G1542" s="27" t="s">
        <v>2271</v>
      </c>
      <c r="H1542" s="27">
        <v>20</v>
      </c>
      <c r="I1542" s="27">
        <f>VLOOKUP(F1542,mapping!$L$2:$P$92,2,0)</f>
        <v>1</v>
      </c>
      <c r="J1542" s="27">
        <f>VLOOKUP($F1542,mapping!$L$2:$P$92,3,0)</f>
        <v>48386.69</v>
      </c>
      <c r="K1542" s="27" t="str">
        <f>VLOOKUP($F1542,mapping!$L$2:$P$92,4,0)</f>
        <v>Major Advanced Economies (G7)</v>
      </c>
      <c r="L1542" s="29">
        <f>$D1542*VLOOKUP($E1542,'Charts data'!$A$2:$B$11,2,0)*VLOOKUP($G1542,'Charts data'!$A$14:$B$18,2,0)/IF('Charts data'!$E$3=1,I1542,1)/IF('Charts data'!$E$4=1,J1542,1)</f>
        <v>50000</v>
      </c>
    </row>
    <row r="1543" spans="1:12" x14ac:dyDescent="0.25">
      <c r="A1543" s="27" t="s">
        <v>782</v>
      </c>
      <c r="B1543" s="27">
        <v>95000</v>
      </c>
      <c r="C1543" s="27" t="s">
        <v>2</v>
      </c>
      <c r="D1543" s="28">
        <f>B1543*VLOOKUP(C1543,tblXrate[],2,0)</f>
        <v>95000</v>
      </c>
      <c r="E1543" s="27" t="s">
        <v>19</v>
      </c>
      <c r="F1543" s="27" t="s">
        <v>5</v>
      </c>
      <c r="G1543" s="27" t="s">
        <v>2274</v>
      </c>
      <c r="H1543" s="27">
        <v>10</v>
      </c>
      <c r="I1543" s="27">
        <f>VLOOKUP(F1543,mapping!$L$2:$P$92,2,0)</f>
        <v>1</v>
      </c>
      <c r="J1543" s="27">
        <f>VLOOKUP($F1543,mapping!$L$2:$P$92,3,0)</f>
        <v>48386.69</v>
      </c>
      <c r="K1543" s="27" t="str">
        <f>VLOOKUP($F1543,mapping!$L$2:$P$92,4,0)</f>
        <v>Major Advanced Economies (G7)</v>
      </c>
      <c r="L1543" s="29">
        <f>$D1543*VLOOKUP($E1543,'Charts data'!$A$2:$B$11,2,0)*VLOOKUP($G1543,'Charts data'!$A$14:$B$18,2,0)/IF('Charts data'!$E$3=1,I1543,1)/IF('Charts data'!$E$4=1,J1543,1)</f>
        <v>95000</v>
      </c>
    </row>
    <row r="1544" spans="1:12" x14ac:dyDescent="0.25">
      <c r="A1544" s="27" t="s">
        <v>786</v>
      </c>
      <c r="B1544" s="27">
        <v>39000</v>
      </c>
      <c r="C1544" s="27" t="s">
        <v>2</v>
      </c>
      <c r="D1544" s="28">
        <f>B1544*VLOOKUP(C1544,tblXrate[],2,0)</f>
        <v>39000</v>
      </c>
      <c r="E1544" s="27" t="s">
        <v>7</v>
      </c>
      <c r="F1544" s="27" t="s">
        <v>5</v>
      </c>
      <c r="G1544" s="27" t="s">
        <v>2273</v>
      </c>
      <c r="H1544" s="27">
        <v>3</v>
      </c>
      <c r="I1544" s="27">
        <f>VLOOKUP(F1544,mapping!$L$2:$P$92,2,0)</f>
        <v>1</v>
      </c>
      <c r="J1544" s="27">
        <f>VLOOKUP($F1544,mapping!$L$2:$P$92,3,0)</f>
        <v>48386.69</v>
      </c>
      <c r="K1544" s="27" t="str">
        <f>VLOOKUP($F1544,mapping!$L$2:$P$92,4,0)</f>
        <v>Major Advanced Economies (G7)</v>
      </c>
      <c r="L1544" s="29">
        <f>$D1544*VLOOKUP($E1544,'Charts data'!$A$2:$B$11,2,0)*VLOOKUP($G1544,'Charts data'!$A$14:$B$18,2,0)/IF('Charts data'!$E$3=1,I1544,1)/IF('Charts data'!$E$4=1,J1544,1)</f>
        <v>39000</v>
      </c>
    </row>
    <row r="1545" spans="1:12" x14ac:dyDescent="0.25">
      <c r="A1545" s="27" t="s">
        <v>787</v>
      </c>
      <c r="B1545" s="27">
        <v>60000</v>
      </c>
      <c r="C1545" s="27" t="s">
        <v>2</v>
      </c>
      <c r="D1545" s="28">
        <f>B1545*VLOOKUP(C1545,tblXrate[],2,0)</f>
        <v>60000</v>
      </c>
      <c r="E1545" s="27" t="s">
        <v>7</v>
      </c>
      <c r="F1545" s="27" t="s">
        <v>5</v>
      </c>
      <c r="G1545" s="27" t="s">
        <v>2271</v>
      </c>
      <c r="H1545" s="27">
        <v>12</v>
      </c>
      <c r="I1545" s="27">
        <f>VLOOKUP(F1545,mapping!$L$2:$P$92,2,0)</f>
        <v>1</v>
      </c>
      <c r="J1545" s="27">
        <f>VLOOKUP($F1545,mapping!$L$2:$P$92,3,0)</f>
        <v>48386.69</v>
      </c>
      <c r="K1545" s="27" t="str">
        <f>VLOOKUP($F1545,mapping!$L$2:$P$92,4,0)</f>
        <v>Major Advanced Economies (G7)</v>
      </c>
      <c r="L1545" s="29">
        <f>$D1545*VLOOKUP($E1545,'Charts data'!$A$2:$B$11,2,0)*VLOOKUP($G1545,'Charts data'!$A$14:$B$18,2,0)/IF('Charts data'!$E$3=1,I1545,1)/IF('Charts data'!$E$4=1,J1545,1)</f>
        <v>60000</v>
      </c>
    </row>
    <row r="1546" spans="1:12" x14ac:dyDescent="0.25">
      <c r="A1546" s="27" t="s">
        <v>789</v>
      </c>
      <c r="B1546" s="27">
        <v>125000</v>
      </c>
      <c r="C1546" s="27" t="s">
        <v>2</v>
      </c>
      <c r="D1546" s="28">
        <f>B1546*VLOOKUP(C1546,tblXrate[],2,0)</f>
        <v>125000</v>
      </c>
      <c r="E1546" s="27" t="s">
        <v>7</v>
      </c>
      <c r="F1546" s="27" t="s">
        <v>5</v>
      </c>
      <c r="G1546" s="27" t="s">
        <v>2272</v>
      </c>
      <c r="H1546" s="27">
        <v>20</v>
      </c>
      <c r="I1546" s="27">
        <f>VLOOKUP(F1546,mapping!$L$2:$P$92,2,0)</f>
        <v>1</v>
      </c>
      <c r="J1546" s="27">
        <f>VLOOKUP($F1546,mapping!$L$2:$P$92,3,0)</f>
        <v>48386.69</v>
      </c>
      <c r="K1546" s="27" t="str">
        <f>VLOOKUP($F1546,mapping!$L$2:$P$92,4,0)</f>
        <v>Major Advanced Economies (G7)</v>
      </c>
      <c r="L1546" s="29">
        <f>$D1546*VLOOKUP($E1546,'Charts data'!$A$2:$B$11,2,0)*VLOOKUP($G1546,'Charts data'!$A$14:$B$18,2,0)/IF('Charts data'!$E$3=1,I1546,1)/IF('Charts data'!$E$4=1,J1546,1)</f>
        <v>125000</v>
      </c>
    </row>
    <row r="1547" spans="1:12" x14ac:dyDescent="0.25">
      <c r="A1547" s="27" t="s">
        <v>792</v>
      </c>
      <c r="B1547" s="27">
        <v>80000</v>
      </c>
      <c r="C1547" s="27" t="s">
        <v>2</v>
      </c>
      <c r="D1547" s="28">
        <f>B1547*VLOOKUP(C1547,tblXrate[],2,0)</f>
        <v>80000</v>
      </c>
      <c r="E1547" s="27" t="s">
        <v>19</v>
      </c>
      <c r="F1547" s="27" t="s">
        <v>5</v>
      </c>
      <c r="G1547" s="27" t="s">
        <v>2271</v>
      </c>
      <c r="H1547" s="27">
        <v>8</v>
      </c>
      <c r="I1547" s="27">
        <f>VLOOKUP(F1547,mapping!$L$2:$P$92,2,0)</f>
        <v>1</v>
      </c>
      <c r="J1547" s="27">
        <f>VLOOKUP($F1547,mapping!$L$2:$P$92,3,0)</f>
        <v>48386.69</v>
      </c>
      <c r="K1547" s="27" t="str">
        <f>VLOOKUP($F1547,mapping!$L$2:$P$92,4,0)</f>
        <v>Major Advanced Economies (G7)</v>
      </c>
      <c r="L1547" s="29">
        <f>$D1547*VLOOKUP($E1547,'Charts data'!$A$2:$B$11,2,0)*VLOOKUP($G1547,'Charts data'!$A$14:$B$18,2,0)/IF('Charts data'!$E$3=1,I1547,1)/IF('Charts data'!$E$4=1,J1547,1)</f>
        <v>80000</v>
      </c>
    </row>
    <row r="1548" spans="1:12" x14ac:dyDescent="0.25">
      <c r="A1548" s="27" t="s">
        <v>798</v>
      </c>
      <c r="B1548" s="27">
        <v>53000</v>
      </c>
      <c r="C1548" s="27" t="s">
        <v>2</v>
      </c>
      <c r="D1548" s="28">
        <f>B1548*VLOOKUP(C1548,tblXrate[],2,0)</f>
        <v>53000</v>
      </c>
      <c r="E1548" s="27" t="s">
        <v>7</v>
      </c>
      <c r="F1548" s="27" t="s">
        <v>5</v>
      </c>
      <c r="G1548" s="27" t="s">
        <v>2271</v>
      </c>
      <c r="H1548" s="27">
        <v>30</v>
      </c>
      <c r="I1548" s="27">
        <f>VLOOKUP(F1548,mapping!$L$2:$P$92,2,0)</f>
        <v>1</v>
      </c>
      <c r="J1548" s="27">
        <f>VLOOKUP($F1548,mapping!$L$2:$P$92,3,0)</f>
        <v>48386.69</v>
      </c>
      <c r="K1548" s="27" t="str">
        <f>VLOOKUP($F1548,mapping!$L$2:$P$92,4,0)</f>
        <v>Major Advanced Economies (G7)</v>
      </c>
      <c r="L1548" s="29">
        <f>$D1548*VLOOKUP($E1548,'Charts data'!$A$2:$B$11,2,0)*VLOOKUP($G1548,'Charts data'!$A$14:$B$18,2,0)/IF('Charts data'!$E$3=1,I1548,1)/IF('Charts data'!$E$4=1,J1548,1)</f>
        <v>53000</v>
      </c>
    </row>
    <row r="1549" spans="1:12" x14ac:dyDescent="0.25">
      <c r="A1549" s="27" t="s">
        <v>831</v>
      </c>
      <c r="B1549" s="27">
        <v>105000</v>
      </c>
      <c r="C1549" s="27" t="s">
        <v>2</v>
      </c>
      <c r="D1549" s="28">
        <f>B1549*VLOOKUP(C1549,tblXrate[],2,0)</f>
        <v>105000</v>
      </c>
      <c r="E1549" s="27" t="s">
        <v>53</v>
      </c>
      <c r="F1549" s="27" t="s">
        <v>5</v>
      </c>
      <c r="G1549" s="27" t="s">
        <v>2272</v>
      </c>
      <c r="H1549" s="27">
        <v>15</v>
      </c>
      <c r="I1549" s="27">
        <f>VLOOKUP(F1549,mapping!$L$2:$P$92,2,0)</f>
        <v>1</v>
      </c>
      <c r="J1549" s="27">
        <f>VLOOKUP($F1549,mapping!$L$2:$P$92,3,0)</f>
        <v>48386.69</v>
      </c>
      <c r="K1549" s="27" t="str">
        <f>VLOOKUP($F1549,mapping!$L$2:$P$92,4,0)</f>
        <v>Major Advanced Economies (G7)</v>
      </c>
      <c r="L1549" s="29">
        <f>$D1549*VLOOKUP($E1549,'Charts data'!$A$2:$B$11,2,0)*VLOOKUP($G1549,'Charts data'!$A$14:$B$18,2,0)/IF('Charts data'!$E$3=1,I1549,1)/IF('Charts data'!$E$4=1,J1549,1)</f>
        <v>105000</v>
      </c>
    </row>
    <row r="1550" spans="1:12" x14ac:dyDescent="0.25">
      <c r="A1550" s="27" t="s">
        <v>837</v>
      </c>
      <c r="B1550" s="27">
        <v>52000</v>
      </c>
      <c r="C1550" s="27" t="s">
        <v>2</v>
      </c>
      <c r="D1550" s="28">
        <f>B1550*VLOOKUP(C1550,tblXrate[],2,0)</f>
        <v>52000</v>
      </c>
      <c r="E1550" s="27" t="s">
        <v>23</v>
      </c>
      <c r="F1550" s="27" t="s">
        <v>5</v>
      </c>
      <c r="G1550" s="27" t="s">
        <v>2271</v>
      </c>
      <c r="H1550" s="27">
        <v>18</v>
      </c>
      <c r="I1550" s="27">
        <f>VLOOKUP(F1550,mapping!$L$2:$P$92,2,0)</f>
        <v>1</v>
      </c>
      <c r="J1550" s="27">
        <f>VLOOKUP($F1550,mapping!$L$2:$P$92,3,0)</f>
        <v>48386.69</v>
      </c>
      <c r="K1550" s="27" t="str">
        <f>VLOOKUP($F1550,mapping!$L$2:$P$92,4,0)</f>
        <v>Major Advanced Economies (G7)</v>
      </c>
      <c r="L1550" s="29">
        <f>$D1550*VLOOKUP($E1550,'Charts data'!$A$2:$B$11,2,0)*VLOOKUP($G1550,'Charts data'!$A$14:$B$18,2,0)/IF('Charts data'!$E$3=1,I1550,1)/IF('Charts data'!$E$4=1,J1550,1)</f>
        <v>52000</v>
      </c>
    </row>
    <row r="1551" spans="1:12" x14ac:dyDescent="0.25">
      <c r="A1551" s="27" t="s">
        <v>858</v>
      </c>
      <c r="B1551" s="27">
        <v>35000</v>
      </c>
      <c r="C1551" s="27" t="s">
        <v>2</v>
      </c>
      <c r="D1551" s="28">
        <f>B1551*VLOOKUP(C1551,tblXrate[],2,0)</f>
        <v>35000</v>
      </c>
      <c r="E1551" s="27" t="s">
        <v>23</v>
      </c>
      <c r="F1551" s="27" t="s">
        <v>5</v>
      </c>
      <c r="G1551" s="27" t="s">
        <v>2271</v>
      </c>
      <c r="H1551" s="27">
        <v>10</v>
      </c>
      <c r="I1551" s="27">
        <f>VLOOKUP(F1551,mapping!$L$2:$P$92,2,0)</f>
        <v>1</v>
      </c>
      <c r="J1551" s="27">
        <f>VLOOKUP($F1551,mapping!$L$2:$P$92,3,0)</f>
        <v>48386.69</v>
      </c>
      <c r="K1551" s="27" t="str">
        <f>VLOOKUP($F1551,mapping!$L$2:$P$92,4,0)</f>
        <v>Major Advanced Economies (G7)</v>
      </c>
      <c r="L1551" s="29">
        <f>$D1551*VLOOKUP($E1551,'Charts data'!$A$2:$B$11,2,0)*VLOOKUP($G1551,'Charts data'!$A$14:$B$18,2,0)/IF('Charts data'!$E$3=1,I1551,1)/IF('Charts data'!$E$4=1,J1551,1)</f>
        <v>35000</v>
      </c>
    </row>
    <row r="1552" spans="1:12" x14ac:dyDescent="0.25">
      <c r="A1552" s="27" t="s">
        <v>918</v>
      </c>
      <c r="B1552" s="27">
        <v>62000</v>
      </c>
      <c r="C1552" s="27" t="s">
        <v>2</v>
      </c>
      <c r="D1552" s="28">
        <f>B1552*VLOOKUP(C1552,tblXrate[],2,0)</f>
        <v>62000</v>
      </c>
      <c r="E1552" s="27" t="s">
        <v>7</v>
      </c>
      <c r="F1552" s="27" t="s">
        <v>5</v>
      </c>
      <c r="G1552" s="27" t="s">
        <v>2272</v>
      </c>
      <c r="H1552" s="27">
        <v>20</v>
      </c>
      <c r="I1552" s="27">
        <f>VLOOKUP(F1552,mapping!$L$2:$P$92,2,0)</f>
        <v>1</v>
      </c>
      <c r="J1552" s="27">
        <f>VLOOKUP($F1552,mapping!$L$2:$P$92,3,0)</f>
        <v>48386.69</v>
      </c>
      <c r="K1552" s="27" t="str">
        <f>VLOOKUP($F1552,mapping!$L$2:$P$92,4,0)</f>
        <v>Major Advanced Economies (G7)</v>
      </c>
      <c r="L1552" s="29">
        <f>$D1552*VLOOKUP($E1552,'Charts data'!$A$2:$B$11,2,0)*VLOOKUP($G1552,'Charts data'!$A$14:$B$18,2,0)/IF('Charts data'!$E$3=1,I1552,1)/IF('Charts data'!$E$4=1,J1552,1)</f>
        <v>62000</v>
      </c>
    </row>
    <row r="1553" spans="1:12" x14ac:dyDescent="0.25">
      <c r="A1553" s="27" t="s">
        <v>921</v>
      </c>
      <c r="B1553" s="27">
        <v>30232</v>
      </c>
      <c r="C1553" s="27" t="s">
        <v>2</v>
      </c>
      <c r="D1553" s="28">
        <f>B1553*VLOOKUP(C1553,tblXrate[],2,0)</f>
        <v>30232</v>
      </c>
      <c r="E1553" s="27" t="s">
        <v>51</v>
      </c>
      <c r="F1553" s="27" t="s">
        <v>5</v>
      </c>
      <c r="G1553" s="27" t="s">
        <v>2272</v>
      </c>
      <c r="H1553" s="27">
        <v>5</v>
      </c>
      <c r="I1553" s="27">
        <f>VLOOKUP(F1553,mapping!$L$2:$P$92,2,0)</f>
        <v>1</v>
      </c>
      <c r="J1553" s="27">
        <f>VLOOKUP($F1553,mapping!$L$2:$P$92,3,0)</f>
        <v>48386.69</v>
      </c>
      <c r="K1553" s="27" t="str">
        <f>VLOOKUP($F1553,mapping!$L$2:$P$92,4,0)</f>
        <v>Major Advanced Economies (G7)</v>
      </c>
      <c r="L1553" s="29">
        <f>$D1553*VLOOKUP($E1553,'Charts data'!$A$2:$B$11,2,0)*VLOOKUP($G1553,'Charts data'!$A$14:$B$18,2,0)/IF('Charts data'!$E$3=1,I1553,1)/IF('Charts data'!$E$4=1,J1553,1)</f>
        <v>30232</v>
      </c>
    </row>
    <row r="1554" spans="1:12" x14ac:dyDescent="0.25">
      <c r="A1554" s="27" t="s">
        <v>922</v>
      </c>
      <c r="B1554" s="27">
        <v>41000</v>
      </c>
      <c r="C1554" s="27" t="s">
        <v>2</v>
      </c>
      <c r="D1554" s="28">
        <f>B1554*VLOOKUP(C1554,tblXrate[],2,0)</f>
        <v>41000</v>
      </c>
      <c r="E1554" s="27" t="s">
        <v>7</v>
      </c>
      <c r="F1554" s="27" t="s">
        <v>5</v>
      </c>
      <c r="G1554" s="27" t="s">
        <v>2273</v>
      </c>
      <c r="H1554" s="27">
        <v>4</v>
      </c>
      <c r="I1554" s="27">
        <f>VLOOKUP(F1554,mapping!$L$2:$P$92,2,0)</f>
        <v>1</v>
      </c>
      <c r="J1554" s="27">
        <f>VLOOKUP($F1554,mapping!$L$2:$P$92,3,0)</f>
        <v>48386.69</v>
      </c>
      <c r="K1554" s="27" t="str">
        <f>VLOOKUP($F1554,mapping!$L$2:$P$92,4,0)</f>
        <v>Major Advanced Economies (G7)</v>
      </c>
      <c r="L1554" s="29">
        <f>$D1554*VLOOKUP($E1554,'Charts data'!$A$2:$B$11,2,0)*VLOOKUP($G1554,'Charts data'!$A$14:$B$18,2,0)/IF('Charts data'!$E$3=1,I1554,1)/IF('Charts data'!$E$4=1,J1554,1)</f>
        <v>41000</v>
      </c>
    </row>
    <row r="1555" spans="1:12" x14ac:dyDescent="0.25">
      <c r="A1555" s="27" t="s">
        <v>945</v>
      </c>
      <c r="B1555" s="27">
        <v>65000</v>
      </c>
      <c r="C1555" s="27" t="s">
        <v>2</v>
      </c>
      <c r="D1555" s="28">
        <f>B1555*VLOOKUP(C1555,tblXrate[],2,0)</f>
        <v>65000</v>
      </c>
      <c r="E1555" s="27" t="s">
        <v>7</v>
      </c>
      <c r="F1555" s="27" t="s">
        <v>5</v>
      </c>
      <c r="G1555" s="27" t="s">
        <v>2272</v>
      </c>
      <c r="H1555" s="27">
        <v>10</v>
      </c>
      <c r="I1555" s="27">
        <f>VLOOKUP(F1555,mapping!$L$2:$P$92,2,0)</f>
        <v>1</v>
      </c>
      <c r="J1555" s="27">
        <f>VLOOKUP($F1555,mapping!$L$2:$P$92,3,0)</f>
        <v>48386.69</v>
      </c>
      <c r="K1555" s="27" t="str">
        <f>VLOOKUP($F1555,mapping!$L$2:$P$92,4,0)</f>
        <v>Major Advanced Economies (G7)</v>
      </c>
      <c r="L1555" s="29">
        <f>$D1555*VLOOKUP($E1555,'Charts data'!$A$2:$B$11,2,0)*VLOOKUP($G1555,'Charts data'!$A$14:$B$18,2,0)/IF('Charts data'!$E$3=1,I1555,1)/IF('Charts data'!$E$4=1,J1555,1)</f>
        <v>65000</v>
      </c>
    </row>
    <row r="1556" spans="1:12" x14ac:dyDescent="0.25">
      <c r="A1556" s="27" t="s">
        <v>955</v>
      </c>
      <c r="B1556" s="27">
        <v>48500</v>
      </c>
      <c r="C1556" s="27" t="s">
        <v>2</v>
      </c>
      <c r="D1556" s="28">
        <f>B1556*VLOOKUP(C1556,tblXrate[],2,0)</f>
        <v>48500</v>
      </c>
      <c r="E1556" s="27" t="s">
        <v>19</v>
      </c>
      <c r="F1556" s="27" t="s">
        <v>5</v>
      </c>
      <c r="G1556" s="27" t="s">
        <v>2272</v>
      </c>
      <c r="H1556" s="27">
        <v>10</v>
      </c>
      <c r="I1556" s="27">
        <f>VLOOKUP(F1556,mapping!$L$2:$P$92,2,0)</f>
        <v>1</v>
      </c>
      <c r="J1556" s="27">
        <f>VLOOKUP($F1556,mapping!$L$2:$P$92,3,0)</f>
        <v>48386.69</v>
      </c>
      <c r="K1556" s="27" t="str">
        <f>VLOOKUP($F1556,mapping!$L$2:$P$92,4,0)</f>
        <v>Major Advanced Economies (G7)</v>
      </c>
      <c r="L1556" s="29">
        <f>$D1556*VLOOKUP($E1556,'Charts data'!$A$2:$B$11,2,0)*VLOOKUP($G1556,'Charts data'!$A$14:$B$18,2,0)/IF('Charts data'!$E$3=1,I1556,1)/IF('Charts data'!$E$4=1,J1556,1)</f>
        <v>48500</v>
      </c>
    </row>
    <row r="1557" spans="1:12" x14ac:dyDescent="0.25">
      <c r="A1557" s="27" t="s">
        <v>957</v>
      </c>
      <c r="B1557" s="27">
        <v>33900</v>
      </c>
      <c r="C1557" s="27" t="s">
        <v>2</v>
      </c>
      <c r="D1557" s="28">
        <f>B1557*VLOOKUP(C1557,tblXrate[],2,0)</f>
        <v>33900</v>
      </c>
      <c r="E1557" s="27" t="s">
        <v>7</v>
      </c>
      <c r="F1557" s="27" t="s">
        <v>5</v>
      </c>
      <c r="G1557" s="27" t="s">
        <v>2272</v>
      </c>
      <c r="H1557" s="27">
        <v>10</v>
      </c>
      <c r="I1557" s="27">
        <f>VLOOKUP(F1557,mapping!$L$2:$P$92,2,0)</f>
        <v>1</v>
      </c>
      <c r="J1557" s="27">
        <f>VLOOKUP($F1557,mapping!$L$2:$P$92,3,0)</f>
        <v>48386.69</v>
      </c>
      <c r="K1557" s="27" t="str">
        <f>VLOOKUP($F1557,mapping!$L$2:$P$92,4,0)</f>
        <v>Major Advanced Economies (G7)</v>
      </c>
      <c r="L1557" s="29">
        <f>$D1557*VLOOKUP($E1557,'Charts data'!$A$2:$B$11,2,0)*VLOOKUP($G1557,'Charts data'!$A$14:$B$18,2,0)/IF('Charts data'!$E$3=1,I1557,1)/IF('Charts data'!$E$4=1,J1557,1)</f>
        <v>33900</v>
      </c>
    </row>
    <row r="1558" spans="1:12" x14ac:dyDescent="0.25">
      <c r="A1558" s="27" t="s">
        <v>960</v>
      </c>
      <c r="B1558" s="27">
        <v>85000</v>
      </c>
      <c r="C1558" s="27" t="s">
        <v>2</v>
      </c>
      <c r="D1558" s="28">
        <f>B1558*VLOOKUP(C1558,tblXrate[],2,0)</f>
        <v>85000</v>
      </c>
      <c r="E1558" s="27" t="s">
        <v>2147</v>
      </c>
      <c r="F1558" s="27" t="s">
        <v>5</v>
      </c>
      <c r="G1558" s="27" t="s">
        <v>2271</v>
      </c>
      <c r="H1558" s="27">
        <v>15</v>
      </c>
      <c r="I1558" s="27">
        <f>VLOOKUP(F1558,mapping!$L$2:$P$92,2,0)</f>
        <v>1</v>
      </c>
      <c r="J1558" s="27">
        <f>VLOOKUP($F1558,mapping!$L$2:$P$92,3,0)</f>
        <v>48386.69</v>
      </c>
      <c r="K1558" s="27" t="str">
        <f>VLOOKUP($F1558,mapping!$L$2:$P$92,4,0)</f>
        <v>Major Advanced Economies (G7)</v>
      </c>
      <c r="L1558" s="29">
        <f>$D1558*VLOOKUP($E1558,'Charts data'!$A$2:$B$11,2,0)*VLOOKUP($G1558,'Charts data'!$A$14:$B$18,2,0)/IF('Charts data'!$E$3=1,I1558,1)/IF('Charts data'!$E$4=1,J1558,1)</f>
        <v>85000</v>
      </c>
    </row>
    <row r="1559" spans="1:12" x14ac:dyDescent="0.25">
      <c r="A1559" s="27" t="s">
        <v>962</v>
      </c>
      <c r="B1559" s="27">
        <v>48000</v>
      </c>
      <c r="C1559" s="27" t="s">
        <v>2</v>
      </c>
      <c r="D1559" s="28">
        <f>B1559*VLOOKUP(C1559,tblXrate[],2,0)</f>
        <v>48000</v>
      </c>
      <c r="E1559" s="27" t="s">
        <v>19</v>
      </c>
      <c r="F1559" s="27" t="s">
        <v>5</v>
      </c>
      <c r="G1559" s="27" t="s">
        <v>2272</v>
      </c>
      <c r="H1559" s="27">
        <v>16</v>
      </c>
      <c r="I1559" s="27">
        <f>VLOOKUP(F1559,mapping!$L$2:$P$92,2,0)</f>
        <v>1</v>
      </c>
      <c r="J1559" s="27">
        <f>VLOOKUP($F1559,mapping!$L$2:$P$92,3,0)</f>
        <v>48386.69</v>
      </c>
      <c r="K1559" s="27" t="str">
        <f>VLOOKUP($F1559,mapping!$L$2:$P$92,4,0)</f>
        <v>Major Advanced Economies (G7)</v>
      </c>
      <c r="L1559" s="29">
        <f>$D1559*VLOOKUP($E1559,'Charts data'!$A$2:$B$11,2,0)*VLOOKUP($G1559,'Charts data'!$A$14:$B$18,2,0)/IF('Charts data'!$E$3=1,I1559,1)/IF('Charts data'!$E$4=1,J1559,1)</f>
        <v>48000</v>
      </c>
    </row>
    <row r="1560" spans="1:12" x14ac:dyDescent="0.25">
      <c r="A1560" s="27" t="s">
        <v>969</v>
      </c>
      <c r="B1560" s="27">
        <v>95000</v>
      </c>
      <c r="C1560" s="27" t="s">
        <v>2</v>
      </c>
      <c r="D1560" s="28">
        <f>B1560*VLOOKUP(C1560,tblXrate[],2,0)</f>
        <v>95000</v>
      </c>
      <c r="E1560" s="27" t="s">
        <v>7</v>
      </c>
      <c r="F1560" s="27" t="s">
        <v>5</v>
      </c>
      <c r="G1560" s="27" t="s">
        <v>2272</v>
      </c>
      <c r="H1560" s="27">
        <v>13</v>
      </c>
      <c r="I1560" s="27">
        <f>VLOOKUP(F1560,mapping!$L$2:$P$92,2,0)</f>
        <v>1</v>
      </c>
      <c r="J1560" s="27">
        <f>VLOOKUP($F1560,mapping!$L$2:$P$92,3,0)</f>
        <v>48386.69</v>
      </c>
      <c r="K1560" s="27" t="str">
        <f>VLOOKUP($F1560,mapping!$L$2:$P$92,4,0)</f>
        <v>Major Advanced Economies (G7)</v>
      </c>
      <c r="L1560" s="29">
        <f>$D1560*VLOOKUP($E1560,'Charts data'!$A$2:$B$11,2,0)*VLOOKUP($G1560,'Charts data'!$A$14:$B$18,2,0)/IF('Charts data'!$E$3=1,I1560,1)/IF('Charts data'!$E$4=1,J1560,1)</f>
        <v>95000</v>
      </c>
    </row>
    <row r="1561" spans="1:12" x14ac:dyDescent="0.25">
      <c r="A1561" s="27" t="s">
        <v>977</v>
      </c>
      <c r="B1561" s="27">
        <v>75000</v>
      </c>
      <c r="C1561" s="27" t="s">
        <v>2</v>
      </c>
      <c r="D1561" s="28">
        <f>B1561*VLOOKUP(C1561,tblXrate[],2,0)</f>
        <v>75000</v>
      </c>
      <c r="E1561" s="27" t="s">
        <v>7</v>
      </c>
      <c r="F1561" s="27" t="s">
        <v>5</v>
      </c>
      <c r="G1561" s="27" t="s">
        <v>2272</v>
      </c>
      <c r="H1561" s="27">
        <v>27</v>
      </c>
      <c r="I1561" s="27">
        <f>VLOOKUP(F1561,mapping!$L$2:$P$92,2,0)</f>
        <v>1</v>
      </c>
      <c r="J1561" s="27">
        <f>VLOOKUP($F1561,mapping!$L$2:$P$92,3,0)</f>
        <v>48386.69</v>
      </c>
      <c r="K1561" s="27" t="str">
        <f>VLOOKUP($F1561,mapping!$L$2:$P$92,4,0)</f>
        <v>Major Advanced Economies (G7)</v>
      </c>
      <c r="L1561" s="29">
        <f>$D1561*VLOOKUP($E1561,'Charts data'!$A$2:$B$11,2,0)*VLOOKUP($G1561,'Charts data'!$A$14:$B$18,2,0)/IF('Charts data'!$E$3=1,I1561,1)/IF('Charts data'!$E$4=1,J1561,1)</f>
        <v>75000</v>
      </c>
    </row>
    <row r="1562" spans="1:12" x14ac:dyDescent="0.25">
      <c r="A1562" s="27" t="s">
        <v>982</v>
      </c>
      <c r="B1562" s="27">
        <v>100000</v>
      </c>
      <c r="C1562" s="27" t="s">
        <v>2</v>
      </c>
      <c r="D1562" s="28">
        <f>B1562*VLOOKUP(C1562,tblXrate[],2,0)</f>
        <v>100000</v>
      </c>
      <c r="E1562" s="27" t="s">
        <v>2147</v>
      </c>
      <c r="F1562" s="27" t="s">
        <v>5</v>
      </c>
      <c r="G1562" s="27" t="s">
        <v>2271</v>
      </c>
      <c r="H1562" s="27">
        <v>10</v>
      </c>
      <c r="I1562" s="27">
        <f>VLOOKUP(F1562,mapping!$L$2:$P$92,2,0)</f>
        <v>1</v>
      </c>
      <c r="J1562" s="27">
        <f>VLOOKUP($F1562,mapping!$L$2:$P$92,3,0)</f>
        <v>48386.69</v>
      </c>
      <c r="K1562" s="27" t="str">
        <f>VLOOKUP($F1562,mapping!$L$2:$P$92,4,0)</f>
        <v>Major Advanced Economies (G7)</v>
      </c>
      <c r="L1562" s="29">
        <f>$D1562*VLOOKUP($E1562,'Charts data'!$A$2:$B$11,2,0)*VLOOKUP($G1562,'Charts data'!$A$14:$B$18,2,0)/IF('Charts data'!$E$3=1,I1562,1)/IF('Charts data'!$E$4=1,J1562,1)</f>
        <v>100000</v>
      </c>
    </row>
    <row r="1563" spans="1:12" x14ac:dyDescent="0.25">
      <c r="A1563" s="27" t="s">
        <v>984</v>
      </c>
      <c r="B1563" s="27">
        <v>40000</v>
      </c>
      <c r="C1563" s="27" t="s">
        <v>2</v>
      </c>
      <c r="D1563" s="28">
        <f>B1563*VLOOKUP(C1563,tblXrate[],2,0)</f>
        <v>40000</v>
      </c>
      <c r="E1563" s="27" t="s">
        <v>19</v>
      </c>
      <c r="F1563" s="27" t="s">
        <v>5</v>
      </c>
      <c r="G1563" s="27" t="s">
        <v>2272</v>
      </c>
      <c r="H1563" s="27">
        <v>20</v>
      </c>
      <c r="I1563" s="27">
        <f>VLOOKUP(F1563,mapping!$L$2:$P$92,2,0)</f>
        <v>1</v>
      </c>
      <c r="J1563" s="27">
        <f>VLOOKUP($F1563,mapping!$L$2:$P$92,3,0)</f>
        <v>48386.69</v>
      </c>
      <c r="K1563" s="27" t="str">
        <f>VLOOKUP($F1563,mapping!$L$2:$P$92,4,0)</f>
        <v>Major Advanced Economies (G7)</v>
      </c>
      <c r="L1563" s="29">
        <f>$D1563*VLOOKUP($E1563,'Charts data'!$A$2:$B$11,2,0)*VLOOKUP($G1563,'Charts data'!$A$14:$B$18,2,0)/IF('Charts data'!$E$3=1,I1563,1)/IF('Charts data'!$E$4=1,J1563,1)</f>
        <v>40000</v>
      </c>
    </row>
    <row r="1564" spans="1:12" x14ac:dyDescent="0.25">
      <c r="A1564" s="27" t="s">
        <v>993</v>
      </c>
      <c r="B1564" s="27">
        <v>85000</v>
      </c>
      <c r="C1564" s="27" t="s">
        <v>2</v>
      </c>
      <c r="D1564" s="28">
        <f>B1564*VLOOKUP(C1564,tblXrate[],2,0)</f>
        <v>85000</v>
      </c>
      <c r="E1564" s="27" t="s">
        <v>51</v>
      </c>
      <c r="F1564" s="27" t="s">
        <v>5</v>
      </c>
      <c r="G1564" s="27" t="s">
        <v>2273</v>
      </c>
      <c r="H1564" s="27">
        <v>1</v>
      </c>
      <c r="I1564" s="27">
        <f>VLOOKUP(F1564,mapping!$L$2:$P$92,2,0)</f>
        <v>1</v>
      </c>
      <c r="J1564" s="27">
        <f>VLOOKUP($F1564,mapping!$L$2:$P$92,3,0)</f>
        <v>48386.69</v>
      </c>
      <c r="K1564" s="27" t="str">
        <f>VLOOKUP($F1564,mapping!$L$2:$P$92,4,0)</f>
        <v>Major Advanced Economies (G7)</v>
      </c>
      <c r="L1564" s="29">
        <f>$D1564*VLOOKUP($E1564,'Charts data'!$A$2:$B$11,2,0)*VLOOKUP($G1564,'Charts data'!$A$14:$B$18,2,0)/IF('Charts data'!$E$3=1,I1564,1)/IF('Charts data'!$E$4=1,J1564,1)</f>
        <v>85000</v>
      </c>
    </row>
    <row r="1565" spans="1:12" x14ac:dyDescent="0.25">
      <c r="A1565" s="27" t="s">
        <v>1005</v>
      </c>
      <c r="B1565" s="27">
        <v>92500</v>
      </c>
      <c r="C1565" s="27" t="s">
        <v>2</v>
      </c>
      <c r="D1565" s="28">
        <f>B1565*VLOOKUP(C1565,tblXrate[],2,0)</f>
        <v>92500</v>
      </c>
      <c r="E1565" s="27" t="s">
        <v>7</v>
      </c>
      <c r="F1565" s="27" t="s">
        <v>5</v>
      </c>
      <c r="G1565" s="27" t="s">
        <v>2272</v>
      </c>
      <c r="H1565" s="27">
        <v>15</v>
      </c>
      <c r="I1565" s="27">
        <f>VLOOKUP(F1565,mapping!$L$2:$P$92,2,0)</f>
        <v>1</v>
      </c>
      <c r="J1565" s="27">
        <f>VLOOKUP($F1565,mapping!$L$2:$P$92,3,0)</f>
        <v>48386.69</v>
      </c>
      <c r="K1565" s="27" t="str">
        <f>VLOOKUP($F1565,mapping!$L$2:$P$92,4,0)</f>
        <v>Major Advanced Economies (G7)</v>
      </c>
      <c r="L1565" s="29">
        <f>$D1565*VLOOKUP($E1565,'Charts data'!$A$2:$B$11,2,0)*VLOOKUP($G1565,'Charts data'!$A$14:$B$18,2,0)/IF('Charts data'!$E$3=1,I1565,1)/IF('Charts data'!$E$4=1,J1565,1)</f>
        <v>92500</v>
      </c>
    </row>
    <row r="1566" spans="1:12" x14ac:dyDescent="0.25">
      <c r="A1566" s="27" t="s">
        <v>1007</v>
      </c>
      <c r="B1566" s="27">
        <v>32000</v>
      </c>
      <c r="C1566" s="27" t="s">
        <v>2</v>
      </c>
      <c r="D1566" s="28">
        <f>B1566*VLOOKUP(C1566,tblXrate[],2,0)</f>
        <v>32000</v>
      </c>
      <c r="E1566" s="27" t="s">
        <v>19</v>
      </c>
      <c r="F1566" s="27" t="s">
        <v>5</v>
      </c>
      <c r="G1566" s="27" t="s">
        <v>2271</v>
      </c>
      <c r="H1566" s="27">
        <v>1</v>
      </c>
      <c r="I1566" s="27">
        <f>VLOOKUP(F1566,mapping!$L$2:$P$92,2,0)</f>
        <v>1</v>
      </c>
      <c r="J1566" s="27">
        <f>VLOOKUP($F1566,mapping!$L$2:$P$92,3,0)</f>
        <v>48386.69</v>
      </c>
      <c r="K1566" s="27" t="str">
        <f>VLOOKUP($F1566,mapping!$L$2:$P$92,4,0)</f>
        <v>Major Advanced Economies (G7)</v>
      </c>
      <c r="L1566" s="29">
        <f>$D1566*VLOOKUP($E1566,'Charts data'!$A$2:$B$11,2,0)*VLOOKUP($G1566,'Charts data'!$A$14:$B$18,2,0)/IF('Charts data'!$E$3=1,I1566,1)/IF('Charts data'!$E$4=1,J1566,1)</f>
        <v>32000</v>
      </c>
    </row>
    <row r="1567" spans="1:12" x14ac:dyDescent="0.25">
      <c r="A1567" s="27" t="s">
        <v>1008</v>
      </c>
      <c r="B1567" s="27">
        <v>55000</v>
      </c>
      <c r="C1567" s="27" t="s">
        <v>2</v>
      </c>
      <c r="D1567" s="28">
        <f>B1567*VLOOKUP(C1567,tblXrate[],2,0)</f>
        <v>55000</v>
      </c>
      <c r="E1567" s="27" t="s">
        <v>7</v>
      </c>
      <c r="F1567" s="27" t="s">
        <v>5</v>
      </c>
      <c r="G1567" s="27" t="s">
        <v>2271</v>
      </c>
      <c r="H1567" s="27">
        <v>10</v>
      </c>
      <c r="I1567" s="27">
        <f>VLOOKUP(F1567,mapping!$L$2:$P$92,2,0)</f>
        <v>1</v>
      </c>
      <c r="J1567" s="27">
        <f>VLOOKUP($F1567,mapping!$L$2:$P$92,3,0)</f>
        <v>48386.69</v>
      </c>
      <c r="K1567" s="27" t="str">
        <f>VLOOKUP($F1567,mapping!$L$2:$P$92,4,0)</f>
        <v>Major Advanced Economies (G7)</v>
      </c>
      <c r="L1567" s="29">
        <f>$D1567*VLOOKUP($E1567,'Charts data'!$A$2:$B$11,2,0)*VLOOKUP($G1567,'Charts data'!$A$14:$B$18,2,0)/IF('Charts data'!$E$3=1,I1567,1)/IF('Charts data'!$E$4=1,J1567,1)</f>
        <v>55000</v>
      </c>
    </row>
    <row r="1568" spans="1:12" x14ac:dyDescent="0.25">
      <c r="A1568" s="27" t="s">
        <v>1009</v>
      </c>
      <c r="B1568" s="27">
        <v>40000</v>
      </c>
      <c r="C1568" s="27" t="s">
        <v>2</v>
      </c>
      <c r="D1568" s="28">
        <f>B1568*VLOOKUP(C1568,tblXrate[],2,0)</f>
        <v>40000</v>
      </c>
      <c r="E1568" s="27" t="s">
        <v>7</v>
      </c>
      <c r="F1568" s="27" t="s">
        <v>5</v>
      </c>
      <c r="G1568" s="27" t="s">
        <v>2273</v>
      </c>
      <c r="H1568" s="27">
        <v>4</v>
      </c>
      <c r="I1568" s="27">
        <f>VLOOKUP(F1568,mapping!$L$2:$P$92,2,0)</f>
        <v>1</v>
      </c>
      <c r="J1568" s="27">
        <f>VLOOKUP($F1568,mapping!$L$2:$P$92,3,0)</f>
        <v>48386.69</v>
      </c>
      <c r="K1568" s="27" t="str">
        <f>VLOOKUP($F1568,mapping!$L$2:$P$92,4,0)</f>
        <v>Major Advanced Economies (G7)</v>
      </c>
      <c r="L1568" s="29">
        <f>$D1568*VLOOKUP($E1568,'Charts data'!$A$2:$B$11,2,0)*VLOOKUP($G1568,'Charts data'!$A$14:$B$18,2,0)/IF('Charts data'!$E$3=1,I1568,1)/IF('Charts data'!$E$4=1,J1568,1)</f>
        <v>40000</v>
      </c>
    </row>
    <row r="1569" spans="1:12" x14ac:dyDescent="0.25">
      <c r="A1569" s="27" t="s">
        <v>1011</v>
      </c>
      <c r="B1569" s="27">
        <v>43600</v>
      </c>
      <c r="C1569" s="27" t="s">
        <v>2</v>
      </c>
      <c r="D1569" s="28">
        <f>B1569*VLOOKUP(C1569,tblXrate[],2,0)</f>
        <v>43600</v>
      </c>
      <c r="E1569" s="27" t="s">
        <v>7</v>
      </c>
      <c r="F1569" s="27" t="s">
        <v>5</v>
      </c>
      <c r="G1569" s="27" t="s">
        <v>2271</v>
      </c>
      <c r="H1569" s="27">
        <v>5</v>
      </c>
      <c r="I1569" s="27">
        <f>VLOOKUP(F1569,mapping!$L$2:$P$92,2,0)</f>
        <v>1</v>
      </c>
      <c r="J1569" s="27">
        <f>VLOOKUP($F1569,mapping!$L$2:$P$92,3,0)</f>
        <v>48386.69</v>
      </c>
      <c r="K1569" s="27" t="str">
        <f>VLOOKUP($F1569,mapping!$L$2:$P$92,4,0)</f>
        <v>Major Advanced Economies (G7)</v>
      </c>
      <c r="L1569" s="29">
        <f>$D1569*VLOOKUP($E1569,'Charts data'!$A$2:$B$11,2,0)*VLOOKUP($G1569,'Charts data'!$A$14:$B$18,2,0)/IF('Charts data'!$E$3=1,I1569,1)/IF('Charts data'!$E$4=1,J1569,1)</f>
        <v>43600</v>
      </c>
    </row>
    <row r="1570" spans="1:12" x14ac:dyDescent="0.25">
      <c r="A1570" s="27" t="s">
        <v>1016</v>
      </c>
      <c r="B1570" s="27">
        <v>65000</v>
      </c>
      <c r="C1570" s="27" t="s">
        <v>2</v>
      </c>
      <c r="D1570" s="28">
        <f>B1570*VLOOKUP(C1570,tblXrate[],2,0)</f>
        <v>65000</v>
      </c>
      <c r="E1570" s="27" t="s">
        <v>7</v>
      </c>
      <c r="F1570" s="27" t="s">
        <v>5</v>
      </c>
      <c r="G1570" s="27" t="s">
        <v>2274</v>
      </c>
      <c r="H1570" s="27">
        <v>8</v>
      </c>
      <c r="I1570" s="27">
        <f>VLOOKUP(F1570,mapping!$L$2:$P$92,2,0)</f>
        <v>1</v>
      </c>
      <c r="J1570" s="27">
        <f>VLOOKUP($F1570,mapping!$L$2:$P$92,3,0)</f>
        <v>48386.69</v>
      </c>
      <c r="K1570" s="27" t="str">
        <f>VLOOKUP($F1570,mapping!$L$2:$P$92,4,0)</f>
        <v>Major Advanced Economies (G7)</v>
      </c>
      <c r="L1570" s="29">
        <f>$D1570*VLOOKUP($E1570,'Charts data'!$A$2:$B$11,2,0)*VLOOKUP($G1570,'Charts data'!$A$14:$B$18,2,0)/IF('Charts data'!$E$3=1,I1570,1)/IF('Charts data'!$E$4=1,J1570,1)</f>
        <v>65000</v>
      </c>
    </row>
    <row r="1571" spans="1:12" x14ac:dyDescent="0.25">
      <c r="A1571" s="27" t="s">
        <v>1017</v>
      </c>
      <c r="B1571" s="27">
        <v>40000</v>
      </c>
      <c r="C1571" s="27" t="s">
        <v>2</v>
      </c>
      <c r="D1571" s="28">
        <f>B1571*VLOOKUP(C1571,tblXrate[],2,0)</f>
        <v>40000</v>
      </c>
      <c r="E1571" s="27" t="s">
        <v>7</v>
      </c>
      <c r="F1571" s="27" t="s">
        <v>5</v>
      </c>
      <c r="G1571" s="27" t="s">
        <v>2273</v>
      </c>
      <c r="H1571" s="27">
        <v>2</v>
      </c>
      <c r="I1571" s="27">
        <f>VLOOKUP(F1571,mapping!$L$2:$P$92,2,0)</f>
        <v>1</v>
      </c>
      <c r="J1571" s="27">
        <f>VLOOKUP($F1571,mapping!$L$2:$P$92,3,0)</f>
        <v>48386.69</v>
      </c>
      <c r="K1571" s="27" t="str">
        <f>VLOOKUP($F1571,mapping!$L$2:$P$92,4,0)</f>
        <v>Major Advanced Economies (G7)</v>
      </c>
      <c r="L1571" s="29">
        <f>$D1571*VLOOKUP($E1571,'Charts data'!$A$2:$B$11,2,0)*VLOOKUP($G1571,'Charts data'!$A$14:$B$18,2,0)/IF('Charts data'!$E$3=1,I1571,1)/IF('Charts data'!$E$4=1,J1571,1)</f>
        <v>40000</v>
      </c>
    </row>
    <row r="1572" spans="1:12" x14ac:dyDescent="0.25">
      <c r="A1572" s="27" t="s">
        <v>1019</v>
      </c>
      <c r="B1572" s="27">
        <v>50000</v>
      </c>
      <c r="C1572" s="27" t="s">
        <v>2</v>
      </c>
      <c r="D1572" s="28">
        <f>B1572*VLOOKUP(C1572,tblXrate[],2,0)</f>
        <v>50000</v>
      </c>
      <c r="E1572" s="27" t="s">
        <v>2147</v>
      </c>
      <c r="F1572" s="27" t="s">
        <v>5</v>
      </c>
      <c r="G1572" s="27" t="s">
        <v>2273</v>
      </c>
      <c r="H1572" s="27">
        <v>15</v>
      </c>
      <c r="I1572" s="27">
        <f>VLOOKUP(F1572,mapping!$L$2:$P$92,2,0)</f>
        <v>1</v>
      </c>
      <c r="J1572" s="27">
        <f>VLOOKUP($F1572,mapping!$L$2:$P$92,3,0)</f>
        <v>48386.69</v>
      </c>
      <c r="K1572" s="27" t="str">
        <f>VLOOKUP($F1572,mapping!$L$2:$P$92,4,0)</f>
        <v>Major Advanced Economies (G7)</v>
      </c>
      <c r="L1572" s="29">
        <f>$D1572*VLOOKUP($E1572,'Charts data'!$A$2:$B$11,2,0)*VLOOKUP($G1572,'Charts data'!$A$14:$B$18,2,0)/IF('Charts data'!$E$3=1,I1572,1)/IF('Charts data'!$E$4=1,J1572,1)</f>
        <v>50000</v>
      </c>
    </row>
    <row r="1573" spans="1:12" x14ac:dyDescent="0.25">
      <c r="A1573" s="27" t="s">
        <v>1020</v>
      </c>
      <c r="B1573" s="27">
        <v>135000</v>
      </c>
      <c r="C1573" s="27" t="s">
        <v>2</v>
      </c>
      <c r="D1573" s="28">
        <f>B1573*VLOOKUP(C1573,tblXrate[],2,0)</f>
        <v>135000</v>
      </c>
      <c r="E1573" s="27" t="s">
        <v>2147</v>
      </c>
      <c r="F1573" s="27" t="s">
        <v>5</v>
      </c>
      <c r="G1573" s="27" t="s">
        <v>2271</v>
      </c>
      <c r="H1573" s="27">
        <v>25</v>
      </c>
      <c r="I1573" s="27">
        <f>VLOOKUP(F1573,mapping!$L$2:$P$92,2,0)</f>
        <v>1</v>
      </c>
      <c r="J1573" s="27">
        <f>VLOOKUP($F1573,mapping!$L$2:$P$92,3,0)</f>
        <v>48386.69</v>
      </c>
      <c r="K1573" s="27" t="str">
        <f>VLOOKUP($F1573,mapping!$L$2:$P$92,4,0)</f>
        <v>Major Advanced Economies (G7)</v>
      </c>
      <c r="L1573" s="29">
        <f>$D1573*VLOOKUP($E1573,'Charts data'!$A$2:$B$11,2,0)*VLOOKUP($G1573,'Charts data'!$A$14:$B$18,2,0)/IF('Charts data'!$E$3=1,I1573,1)/IF('Charts data'!$E$4=1,J1573,1)</f>
        <v>135000</v>
      </c>
    </row>
    <row r="1574" spans="1:12" x14ac:dyDescent="0.25">
      <c r="A1574" s="27" t="s">
        <v>1023</v>
      </c>
      <c r="B1574" s="27">
        <v>115000</v>
      </c>
      <c r="C1574" s="27" t="s">
        <v>2</v>
      </c>
      <c r="D1574" s="28">
        <f>B1574*VLOOKUP(C1574,tblXrate[],2,0)</f>
        <v>115000</v>
      </c>
      <c r="E1574" s="27" t="s">
        <v>7</v>
      </c>
      <c r="F1574" s="27" t="s">
        <v>5</v>
      </c>
      <c r="G1574" s="27" t="s">
        <v>2271</v>
      </c>
      <c r="H1574" s="27">
        <v>10</v>
      </c>
      <c r="I1574" s="27">
        <f>VLOOKUP(F1574,mapping!$L$2:$P$92,2,0)</f>
        <v>1</v>
      </c>
      <c r="J1574" s="27">
        <f>VLOOKUP($F1574,mapping!$L$2:$P$92,3,0)</f>
        <v>48386.69</v>
      </c>
      <c r="K1574" s="27" t="str">
        <f>VLOOKUP($F1574,mapping!$L$2:$P$92,4,0)</f>
        <v>Major Advanced Economies (G7)</v>
      </c>
      <c r="L1574" s="29">
        <f>$D1574*VLOOKUP($E1574,'Charts data'!$A$2:$B$11,2,0)*VLOOKUP($G1574,'Charts data'!$A$14:$B$18,2,0)/IF('Charts data'!$E$3=1,I1574,1)/IF('Charts data'!$E$4=1,J1574,1)</f>
        <v>115000</v>
      </c>
    </row>
    <row r="1575" spans="1:12" x14ac:dyDescent="0.25">
      <c r="A1575" s="27" t="s">
        <v>1024</v>
      </c>
      <c r="B1575" s="27">
        <v>70000</v>
      </c>
      <c r="C1575" s="27" t="s">
        <v>2</v>
      </c>
      <c r="D1575" s="28">
        <f>B1575*VLOOKUP(C1575,tblXrate[],2,0)</f>
        <v>70000</v>
      </c>
      <c r="E1575" s="27" t="s">
        <v>7</v>
      </c>
      <c r="F1575" s="27" t="s">
        <v>5</v>
      </c>
      <c r="G1575" s="27" t="s">
        <v>2273</v>
      </c>
      <c r="H1575" s="27">
        <v>15</v>
      </c>
      <c r="I1575" s="27">
        <f>VLOOKUP(F1575,mapping!$L$2:$P$92,2,0)</f>
        <v>1</v>
      </c>
      <c r="J1575" s="27">
        <f>VLOOKUP($F1575,mapping!$L$2:$P$92,3,0)</f>
        <v>48386.69</v>
      </c>
      <c r="K1575" s="27" t="str">
        <f>VLOOKUP($F1575,mapping!$L$2:$P$92,4,0)</f>
        <v>Major Advanced Economies (G7)</v>
      </c>
      <c r="L1575" s="29">
        <f>$D1575*VLOOKUP($E1575,'Charts data'!$A$2:$B$11,2,0)*VLOOKUP($G1575,'Charts data'!$A$14:$B$18,2,0)/IF('Charts data'!$E$3=1,I1575,1)/IF('Charts data'!$E$4=1,J1575,1)</f>
        <v>70000</v>
      </c>
    </row>
    <row r="1576" spans="1:12" x14ac:dyDescent="0.25">
      <c r="A1576" s="27" t="s">
        <v>1025</v>
      </c>
      <c r="B1576" s="27">
        <v>60000</v>
      </c>
      <c r="C1576" s="27" t="s">
        <v>2</v>
      </c>
      <c r="D1576" s="28">
        <f>B1576*VLOOKUP(C1576,tblXrate[],2,0)</f>
        <v>60000</v>
      </c>
      <c r="E1576" s="27" t="s">
        <v>7</v>
      </c>
      <c r="F1576" s="27" t="s">
        <v>5</v>
      </c>
      <c r="G1576" s="27" t="s">
        <v>2272</v>
      </c>
      <c r="H1576" s="27">
        <v>8</v>
      </c>
      <c r="I1576" s="27">
        <f>VLOOKUP(F1576,mapping!$L$2:$P$92,2,0)</f>
        <v>1</v>
      </c>
      <c r="J1576" s="27">
        <f>VLOOKUP($F1576,mapping!$L$2:$P$92,3,0)</f>
        <v>48386.69</v>
      </c>
      <c r="K1576" s="27" t="str">
        <f>VLOOKUP($F1576,mapping!$L$2:$P$92,4,0)</f>
        <v>Major Advanced Economies (G7)</v>
      </c>
      <c r="L1576" s="29">
        <f>$D1576*VLOOKUP($E1576,'Charts data'!$A$2:$B$11,2,0)*VLOOKUP($G1576,'Charts data'!$A$14:$B$18,2,0)/IF('Charts data'!$E$3=1,I1576,1)/IF('Charts data'!$E$4=1,J1576,1)</f>
        <v>60000</v>
      </c>
    </row>
    <row r="1577" spans="1:12" x14ac:dyDescent="0.25">
      <c r="A1577" s="27" t="s">
        <v>1026</v>
      </c>
      <c r="B1577" s="27">
        <v>87456</v>
      </c>
      <c r="C1577" s="27" t="s">
        <v>2</v>
      </c>
      <c r="D1577" s="28">
        <f>B1577*VLOOKUP(C1577,tblXrate[],2,0)</f>
        <v>87456</v>
      </c>
      <c r="E1577" s="27" t="s">
        <v>19</v>
      </c>
      <c r="F1577" s="27" t="s">
        <v>5</v>
      </c>
      <c r="G1577" s="27" t="s">
        <v>2272</v>
      </c>
      <c r="H1577" s="27">
        <v>12</v>
      </c>
      <c r="I1577" s="27">
        <f>VLOOKUP(F1577,mapping!$L$2:$P$92,2,0)</f>
        <v>1</v>
      </c>
      <c r="J1577" s="27">
        <f>VLOOKUP($F1577,mapping!$L$2:$P$92,3,0)</f>
        <v>48386.69</v>
      </c>
      <c r="K1577" s="27" t="str">
        <f>VLOOKUP($F1577,mapping!$L$2:$P$92,4,0)</f>
        <v>Major Advanced Economies (G7)</v>
      </c>
      <c r="L1577" s="29">
        <f>$D1577*VLOOKUP($E1577,'Charts data'!$A$2:$B$11,2,0)*VLOOKUP($G1577,'Charts data'!$A$14:$B$18,2,0)/IF('Charts data'!$E$3=1,I1577,1)/IF('Charts data'!$E$4=1,J1577,1)</f>
        <v>87456</v>
      </c>
    </row>
    <row r="1578" spans="1:12" x14ac:dyDescent="0.25">
      <c r="A1578" s="27" t="s">
        <v>1038</v>
      </c>
      <c r="B1578" s="27">
        <v>43000</v>
      </c>
      <c r="C1578" s="27" t="s">
        <v>2</v>
      </c>
      <c r="D1578" s="28">
        <f>B1578*VLOOKUP(C1578,tblXrate[],2,0)</f>
        <v>43000</v>
      </c>
      <c r="E1578" s="27" t="s">
        <v>7</v>
      </c>
      <c r="F1578" s="27" t="s">
        <v>5</v>
      </c>
      <c r="G1578" s="27" t="s">
        <v>2271</v>
      </c>
      <c r="H1578" s="27">
        <v>1</v>
      </c>
      <c r="I1578" s="27">
        <f>VLOOKUP(F1578,mapping!$L$2:$P$92,2,0)</f>
        <v>1</v>
      </c>
      <c r="J1578" s="27">
        <f>VLOOKUP($F1578,mapping!$L$2:$P$92,3,0)</f>
        <v>48386.69</v>
      </c>
      <c r="K1578" s="27" t="str">
        <f>VLOOKUP($F1578,mapping!$L$2:$P$92,4,0)</f>
        <v>Major Advanced Economies (G7)</v>
      </c>
      <c r="L1578" s="29">
        <f>$D1578*VLOOKUP($E1578,'Charts data'!$A$2:$B$11,2,0)*VLOOKUP($G1578,'Charts data'!$A$14:$B$18,2,0)/IF('Charts data'!$E$3=1,I1578,1)/IF('Charts data'!$E$4=1,J1578,1)</f>
        <v>43000</v>
      </c>
    </row>
    <row r="1579" spans="1:12" x14ac:dyDescent="0.25">
      <c r="A1579" s="27" t="s">
        <v>1055</v>
      </c>
      <c r="B1579" s="27">
        <v>75010</v>
      </c>
      <c r="C1579" s="27" t="s">
        <v>2</v>
      </c>
      <c r="D1579" s="28">
        <f>B1579*VLOOKUP(C1579,tblXrate[],2,0)</f>
        <v>75010</v>
      </c>
      <c r="E1579" s="27" t="s">
        <v>7</v>
      </c>
      <c r="F1579" s="27" t="s">
        <v>5</v>
      </c>
      <c r="G1579" s="27" t="s">
        <v>2272</v>
      </c>
      <c r="H1579" s="27">
        <v>6</v>
      </c>
      <c r="I1579" s="27">
        <f>VLOOKUP(F1579,mapping!$L$2:$P$92,2,0)</f>
        <v>1</v>
      </c>
      <c r="J1579" s="27">
        <f>VLOOKUP($F1579,mapping!$L$2:$P$92,3,0)</f>
        <v>48386.69</v>
      </c>
      <c r="K1579" s="27" t="str">
        <f>VLOOKUP($F1579,mapping!$L$2:$P$92,4,0)</f>
        <v>Major Advanced Economies (G7)</v>
      </c>
      <c r="L1579" s="29">
        <f>$D1579*VLOOKUP($E1579,'Charts data'!$A$2:$B$11,2,0)*VLOOKUP($G1579,'Charts data'!$A$14:$B$18,2,0)/IF('Charts data'!$E$3=1,I1579,1)/IF('Charts data'!$E$4=1,J1579,1)</f>
        <v>75010</v>
      </c>
    </row>
    <row r="1580" spans="1:12" x14ac:dyDescent="0.25">
      <c r="A1580" s="27" t="s">
        <v>1075</v>
      </c>
      <c r="B1580" s="27">
        <v>150000</v>
      </c>
      <c r="C1580" s="27" t="s">
        <v>2</v>
      </c>
      <c r="D1580" s="28">
        <f>B1580*VLOOKUP(C1580,tblXrate[],2,0)</f>
        <v>150000</v>
      </c>
      <c r="E1580" s="27" t="s">
        <v>62</v>
      </c>
      <c r="F1580" s="27" t="s">
        <v>5</v>
      </c>
      <c r="G1580" s="27" t="s">
        <v>2271</v>
      </c>
      <c r="H1580" s="27">
        <v>25</v>
      </c>
      <c r="I1580" s="27">
        <f>VLOOKUP(F1580,mapping!$L$2:$P$92,2,0)</f>
        <v>1</v>
      </c>
      <c r="J1580" s="27">
        <f>VLOOKUP($F1580,mapping!$L$2:$P$92,3,0)</f>
        <v>48386.69</v>
      </c>
      <c r="K1580" s="27" t="str">
        <f>VLOOKUP($F1580,mapping!$L$2:$P$92,4,0)</f>
        <v>Major Advanced Economies (G7)</v>
      </c>
      <c r="L1580" s="29">
        <f>$D1580*VLOOKUP($E1580,'Charts data'!$A$2:$B$11,2,0)*VLOOKUP($G1580,'Charts data'!$A$14:$B$18,2,0)/IF('Charts data'!$E$3=1,I1580,1)/IF('Charts data'!$E$4=1,J1580,1)</f>
        <v>150000</v>
      </c>
    </row>
    <row r="1581" spans="1:12" x14ac:dyDescent="0.25">
      <c r="A1581" s="27" t="s">
        <v>1078</v>
      </c>
      <c r="B1581" s="27">
        <v>105000</v>
      </c>
      <c r="C1581" s="27" t="s">
        <v>2</v>
      </c>
      <c r="D1581" s="28">
        <f>B1581*VLOOKUP(C1581,tblXrate[],2,0)</f>
        <v>105000</v>
      </c>
      <c r="E1581" s="27" t="s">
        <v>7</v>
      </c>
      <c r="F1581" s="27" t="s">
        <v>5</v>
      </c>
      <c r="G1581" s="27" t="s">
        <v>2271</v>
      </c>
      <c r="H1581" s="27">
        <v>20</v>
      </c>
      <c r="I1581" s="27">
        <f>VLOOKUP(F1581,mapping!$L$2:$P$92,2,0)</f>
        <v>1</v>
      </c>
      <c r="J1581" s="27">
        <f>VLOOKUP($F1581,mapping!$L$2:$P$92,3,0)</f>
        <v>48386.69</v>
      </c>
      <c r="K1581" s="27" t="str">
        <f>VLOOKUP($F1581,mapping!$L$2:$P$92,4,0)</f>
        <v>Major Advanced Economies (G7)</v>
      </c>
      <c r="L1581" s="29">
        <f>$D1581*VLOOKUP($E1581,'Charts data'!$A$2:$B$11,2,0)*VLOOKUP($G1581,'Charts data'!$A$14:$B$18,2,0)/IF('Charts data'!$E$3=1,I1581,1)/IF('Charts data'!$E$4=1,J1581,1)</f>
        <v>105000</v>
      </c>
    </row>
    <row r="1582" spans="1:12" x14ac:dyDescent="0.25">
      <c r="A1582" s="27" t="s">
        <v>1092</v>
      </c>
      <c r="B1582" s="27">
        <v>70000</v>
      </c>
      <c r="C1582" s="27" t="s">
        <v>2</v>
      </c>
      <c r="D1582" s="28">
        <f>B1582*VLOOKUP(C1582,tblXrate[],2,0)</f>
        <v>70000</v>
      </c>
      <c r="E1582" s="27" t="s">
        <v>19</v>
      </c>
      <c r="F1582" s="27" t="s">
        <v>5</v>
      </c>
      <c r="G1582" s="27" t="s">
        <v>2271</v>
      </c>
      <c r="H1582" s="27">
        <v>4</v>
      </c>
      <c r="I1582" s="27">
        <f>VLOOKUP(F1582,mapping!$L$2:$P$92,2,0)</f>
        <v>1</v>
      </c>
      <c r="J1582" s="27">
        <f>VLOOKUP($F1582,mapping!$L$2:$P$92,3,0)</f>
        <v>48386.69</v>
      </c>
      <c r="K1582" s="27" t="str">
        <f>VLOOKUP($F1582,mapping!$L$2:$P$92,4,0)</f>
        <v>Major Advanced Economies (G7)</v>
      </c>
      <c r="L1582" s="29">
        <f>$D1582*VLOOKUP($E1582,'Charts data'!$A$2:$B$11,2,0)*VLOOKUP($G1582,'Charts data'!$A$14:$B$18,2,0)/IF('Charts data'!$E$3=1,I1582,1)/IF('Charts data'!$E$4=1,J1582,1)</f>
        <v>70000</v>
      </c>
    </row>
    <row r="1583" spans="1:12" x14ac:dyDescent="0.25">
      <c r="A1583" s="27" t="s">
        <v>1099</v>
      </c>
      <c r="B1583" s="27">
        <v>57000</v>
      </c>
      <c r="C1583" s="27" t="s">
        <v>2</v>
      </c>
      <c r="D1583" s="28">
        <f>B1583*VLOOKUP(C1583,tblXrate[],2,0)</f>
        <v>57000</v>
      </c>
      <c r="E1583" s="27" t="s">
        <v>48</v>
      </c>
      <c r="F1583" s="27" t="s">
        <v>5</v>
      </c>
      <c r="G1583" s="27" t="s">
        <v>2272</v>
      </c>
      <c r="H1583" s="27">
        <v>4</v>
      </c>
      <c r="I1583" s="27">
        <f>VLOOKUP(F1583,mapping!$L$2:$P$92,2,0)</f>
        <v>1</v>
      </c>
      <c r="J1583" s="27">
        <f>VLOOKUP($F1583,mapping!$L$2:$P$92,3,0)</f>
        <v>48386.69</v>
      </c>
      <c r="K1583" s="27" t="str">
        <f>VLOOKUP($F1583,mapping!$L$2:$P$92,4,0)</f>
        <v>Major Advanced Economies (G7)</v>
      </c>
      <c r="L1583" s="29">
        <f>$D1583*VLOOKUP($E1583,'Charts data'!$A$2:$B$11,2,0)*VLOOKUP($G1583,'Charts data'!$A$14:$B$18,2,0)/IF('Charts data'!$E$3=1,I1583,1)/IF('Charts data'!$E$4=1,J1583,1)</f>
        <v>57000</v>
      </c>
    </row>
    <row r="1584" spans="1:12" x14ac:dyDescent="0.25">
      <c r="A1584" s="27" t="s">
        <v>1100</v>
      </c>
      <c r="B1584" s="27">
        <v>135000</v>
      </c>
      <c r="C1584" s="27" t="s">
        <v>2</v>
      </c>
      <c r="D1584" s="28">
        <f>B1584*VLOOKUP(C1584,tblXrate[],2,0)</f>
        <v>135000</v>
      </c>
      <c r="E1584" s="27" t="s">
        <v>19</v>
      </c>
      <c r="F1584" s="27" t="s">
        <v>5</v>
      </c>
      <c r="G1584" s="27" t="s">
        <v>2273</v>
      </c>
      <c r="H1584" s="27">
        <v>15</v>
      </c>
      <c r="I1584" s="27">
        <f>VLOOKUP(F1584,mapping!$L$2:$P$92,2,0)</f>
        <v>1</v>
      </c>
      <c r="J1584" s="27">
        <f>VLOOKUP($F1584,mapping!$L$2:$P$92,3,0)</f>
        <v>48386.69</v>
      </c>
      <c r="K1584" s="27" t="str">
        <f>VLOOKUP($F1584,mapping!$L$2:$P$92,4,0)</f>
        <v>Major Advanced Economies (G7)</v>
      </c>
      <c r="L1584" s="29">
        <f>$D1584*VLOOKUP($E1584,'Charts data'!$A$2:$B$11,2,0)*VLOOKUP($G1584,'Charts data'!$A$14:$B$18,2,0)/IF('Charts data'!$E$3=1,I1584,1)/IF('Charts data'!$E$4=1,J1584,1)</f>
        <v>135000</v>
      </c>
    </row>
    <row r="1585" spans="1:12" x14ac:dyDescent="0.25">
      <c r="A1585" s="27" t="s">
        <v>1115</v>
      </c>
      <c r="B1585" s="27">
        <v>60000</v>
      </c>
      <c r="C1585" s="27" t="s">
        <v>2</v>
      </c>
      <c r="D1585" s="28">
        <f>B1585*VLOOKUP(C1585,tblXrate[],2,0)</f>
        <v>60000</v>
      </c>
      <c r="E1585" s="27" t="s">
        <v>19</v>
      </c>
      <c r="F1585" s="27" t="s">
        <v>5</v>
      </c>
      <c r="G1585" s="27" t="s">
        <v>2272</v>
      </c>
      <c r="H1585" s="27">
        <v>3</v>
      </c>
      <c r="I1585" s="27">
        <f>VLOOKUP(F1585,mapping!$L$2:$P$92,2,0)</f>
        <v>1</v>
      </c>
      <c r="J1585" s="27">
        <f>VLOOKUP($F1585,mapping!$L$2:$P$92,3,0)</f>
        <v>48386.69</v>
      </c>
      <c r="K1585" s="27" t="str">
        <f>VLOOKUP($F1585,mapping!$L$2:$P$92,4,0)</f>
        <v>Major Advanced Economies (G7)</v>
      </c>
      <c r="L1585" s="29">
        <f>$D1585*VLOOKUP($E1585,'Charts data'!$A$2:$B$11,2,0)*VLOOKUP($G1585,'Charts data'!$A$14:$B$18,2,0)/IF('Charts data'!$E$3=1,I1585,1)/IF('Charts data'!$E$4=1,J1585,1)</f>
        <v>60000</v>
      </c>
    </row>
    <row r="1586" spans="1:12" x14ac:dyDescent="0.25">
      <c r="A1586" s="27" t="s">
        <v>1126</v>
      </c>
      <c r="B1586" s="27">
        <v>260000</v>
      </c>
      <c r="C1586" s="27" t="s">
        <v>2</v>
      </c>
      <c r="D1586" s="28">
        <f>B1586*VLOOKUP(C1586,tblXrate[],2,0)</f>
        <v>260000</v>
      </c>
      <c r="E1586" s="27" t="s">
        <v>2147</v>
      </c>
      <c r="F1586" s="27" t="s">
        <v>5</v>
      </c>
      <c r="G1586" s="27" t="s">
        <v>2272</v>
      </c>
      <c r="H1586" s="27">
        <v>10</v>
      </c>
      <c r="I1586" s="27">
        <f>VLOOKUP(F1586,mapping!$L$2:$P$92,2,0)</f>
        <v>1</v>
      </c>
      <c r="J1586" s="27">
        <f>VLOOKUP($F1586,mapping!$L$2:$P$92,3,0)</f>
        <v>48386.69</v>
      </c>
      <c r="K1586" s="27" t="str">
        <f>VLOOKUP($F1586,mapping!$L$2:$P$92,4,0)</f>
        <v>Major Advanced Economies (G7)</v>
      </c>
      <c r="L1586" s="29">
        <f>$D1586*VLOOKUP($E1586,'Charts data'!$A$2:$B$11,2,0)*VLOOKUP($G1586,'Charts data'!$A$14:$B$18,2,0)/IF('Charts data'!$E$3=1,I1586,1)/IF('Charts data'!$E$4=1,J1586,1)</f>
        <v>260000</v>
      </c>
    </row>
    <row r="1587" spans="1:12" x14ac:dyDescent="0.25">
      <c r="A1587" s="27" t="s">
        <v>1135</v>
      </c>
      <c r="B1587" s="27">
        <v>125000</v>
      </c>
      <c r="C1587" s="27" t="s">
        <v>2</v>
      </c>
      <c r="D1587" s="28">
        <f>B1587*VLOOKUP(C1587,tblXrate[],2,0)</f>
        <v>125000</v>
      </c>
      <c r="E1587" s="27" t="s">
        <v>2147</v>
      </c>
      <c r="F1587" s="27" t="s">
        <v>5</v>
      </c>
      <c r="G1587" s="27" t="s">
        <v>2271</v>
      </c>
      <c r="H1587" s="27">
        <v>10</v>
      </c>
      <c r="I1587" s="27">
        <f>VLOOKUP(F1587,mapping!$L$2:$P$92,2,0)</f>
        <v>1</v>
      </c>
      <c r="J1587" s="27">
        <f>VLOOKUP($F1587,mapping!$L$2:$P$92,3,0)</f>
        <v>48386.69</v>
      </c>
      <c r="K1587" s="27" t="str">
        <f>VLOOKUP($F1587,mapping!$L$2:$P$92,4,0)</f>
        <v>Major Advanced Economies (G7)</v>
      </c>
      <c r="L1587" s="29">
        <f>$D1587*VLOOKUP($E1587,'Charts data'!$A$2:$B$11,2,0)*VLOOKUP($G1587,'Charts data'!$A$14:$B$18,2,0)/IF('Charts data'!$E$3=1,I1587,1)/IF('Charts data'!$E$4=1,J1587,1)</f>
        <v>125000</v>
      </c>
    </row>
    <row r="1588" spans="1:12" x14ac:dyDescent="0.25">
      <c r="A1588" s="27" t="s">
        <v>1149</v>
      </c>
      <c r="B1588" s="27">
        <v>45000</v>
      </c>
      <c r="C1588" s="27" t="s">
        <v>2</v>
      </c>
      <c r="D1588" s="28">
        <f>B1588*VLOOKUP(C1588,tblXrate[],2,0)</f>
        <v>45000</v>
      </c>
      <c r="E1588" s="27" t="s">
        <v>51</v>
      </c>
      <c r="F1588" s="27" t="s">
        <v>5</v>
      </c>
      <c r="G1588" s="27" t="s">
        <v>2273</v>
      </c>
      <c r="H1588" s="27">
        <v>3</v>
      </c>
      <c r="I1588" s="27">
        <f>VLOOKUP(F1588,mapping!$L$2:$P$92,2,0)</f>
        <v>1</v>
      </c>
      <c r="J1588" s="27">
        <f>VLOOKUP($F1588,mapping!$L$2:$P$92,3,0)</f>
        <v>48386.69</v>
      </c>
      <c r="K1588" s="27" t="str">
        <f>VLOOKUP($F1588,mapping!$L$2:$P$92,4,0)</f>
        <v>Major Advanced Economies (G7)</v>
      </c>
      <c r="L1588" s="29">
        <f>$D1588*VLOOKUP($E1588,'Charts data'!$A$2:$B$11,2,0)*VLOOKUP($G1588,'Charts data'!$A$14:$B$18,2,0)/IF('Charts data'!$E$3=1,I1588,1)/IF('Charts data'!$E$4=1,J1588,1)</f>
        <v>45000</v>
      </c>
    </row>
    <row r="1589" spans="1:12" x14ac:dyDescent="0.25">
      <c r="A1589" s="27" t="s">
        <v>1167</v>
      </c>
      <c r="B1589" s="27">
        <v>65000</v>
      </c>
      <c r="C1589" s="27" t="s">
        <v>2</v>
      </c>
      <c r="D1589" s="28">
        <f>B1589*VLOOKUP(C1589,tblXrate[],2,0)</f>
        <v>65000</v>
      </c>
      <c r="E1589" s="27" t="s">
        <v>62</v>
      </c>
      <c r="F1589" s="27" t="s">
        <v>5</v>
      </c>
      <c r="G1589" s="27" t="s">
        <v>2271</v>
      </c>
      <c r="H1589" s="27">
        <v>9</v>
      </c>
      <c r="I1589" s="27">
        <f>VLOOKUP(F1589,mapping!$L$2:$P$92,2,0)</f>
        <v>1</v>
      </c>
      <c r="J1589" s="27">
        <f>VLOOKUP($F1589,mapping!$L$2:$P$92,3,0)</f>
        <v>48386.69</v>
      </c>
      <c r="K1589" s="27" t="str">
        <f>VLOOKUP($F1589,mapping!$L$2:$P$92,4,0)</f>
        <v>Major Advanced Economies (G7)</v>
      </c>
      <c r="L1589" s="29">
        <f>$D1589*VLOOKUP($E1589,'Charts data'!$A$2:$B$11,2,0)*VLOOKUP($G1589,'Charts data'!$A$14:$B$18,2,0)/IF('Charts data'!$E$3=1,I1589,1)/IF('Charts data'!$E$4=1,J1589,1)</f>
        <v>65000</v>
      </c>
    </row>
    <row r="1590" spans="1:12" x14ac:dyDescent="0.25">
      <c r="A1590" s="27" t="s">
        <v>1277</v>
      </c>
      <c r="B1590" s="27">
        <v>90000</v>
      </c>
      <c r="C1590" s="27" t="s">
        <v>2</v>
      </c>
      <c r="D1590" s="28">
        <f>B1590*VLOOKUP(C1590,tblXrate[],2,0)</f>
        <v>90000</v>
      </c>
      <c r="E1590" s="27" t="s">
        <v>19</v>
      </c>
      <c r="F1590" s="27" t="s">
        <v>5</v>
      </c>
      <c r="G1590" s="27" t="s">
        <v>2271</v>
      </c>
      <c r="H1590" s="27">
        <v>5</v>
      </c>
      <c r="I1590" s="27">
        <f>VLOOKUP(F1590,mapping!$L$2:$P$92,2,0)</f>
        <v>1</v>
      </c>
      <c r="J1590" s="27">
        <f>VLOOKUP($F1590,mapping!$L$2:$P$92,3,0)</f>
        <v>48386.69</v>
      </c>
      <c r="K1590" s="27" t="str">
        <f>VLOOKUP($F1590,mapping!$L$2:$P$92,4,0)</f>
        <v>Major Advanced Economies (G7)</v>
      </c>
      <c r="L1590" s="29">
        <f>$D1590*VLOOKUP($E1590,'Charts data'!$A$2:$B$11,2,0)*VLOOKUP($G1590,'Charts data'!$A$14:$B$18,2,0)/IF('Charts data'!$E$3=1,I1590,1)/IF('Charts data'!$E$4=1,J1590,1)</f>
        <v>90000</v>
      </c>
    </row>
    <row r="1591" spans="1:12" x14ac:dyDescent="0.25">
      <c r="A1591" s="27" t="s">
        <v>1283</v>
      </c>
      <c r="B1591" s="27">
        <v>60000</v>
      </c>
      <c r="C1591" s="27" t="s">
        <v>2</v>
      </c>
      <c r="D1591" s="28">
        <f>B1591*VLOOKUP(C1591,tblXrate[],2,0)</f>
        <v>60000</v>
      </c>
      <c r="E1591" s="27" t="s">
        <v>7</v>
      </c>
      <c r="F1591" s="27" t="s">
        <v>5</v>
      </c>
      <c r="G1591" s="27" t="s">
        <v>2272</v>
      </c>
      <c r="H1591" s="27">
        <v>4</v>
      </c>
      <c r="I1591" s="27">
        <f>VLOOKUP(F1591,mapping!$L$2:$P$92,2,0)</f>
        <v>1</v>
      </c>
      <c r="J1591" s="27">
        <f>VLOOKUP($F1591,mapping!$L$2:$P$92,3,0)</f>
        <v>48386.69</v>
      </c>
      <c r="K1591" s="27" t="str">
        <f>VLOOKUP($F1591,mapping!$L$2:$P$92,4,0)</f>
        <v>Major Advanced Economies (G7)</v>
      </c>
      <c r="L1591" s="29">
        <f>$D1591*VLOOKUP($E1591,'Charts data'!$A$2:$B$11,2,0)*VLOOKUP($G1591,'Charts data'!$A$14:$B$18,2,0)/IF('Charts data'!$E$3=1,I1591,1)/IF('Charts data'!$E$4=1,J1591,1)</f>
        <v>60000</v>
      </c>
    </row>
    <row r="1592" spans="1:12" x14ac:dyDescent="0.25">
      <c r="A1592" s="27" t="s">
        <v>1290</v>
      </c>
      <c r="B1592" s="27">
        <v>35000</v>
      </c>
      <c r="C1592" s="27" t="s">
        <v>2</v>
      </c>
      <c r="D1592" s="28">
        <f>B1592*VLOOKUP(C1592,tblXrate[],2,0)</f>
        <v>35000</v>
      </c>
      <c r="E1592" s="27" t="s">
        <v>7</v>
      </c>
      <c r="F1592" s="27" t="s">
        <v>5</v>
      </c>
      <c r="G1592" s="27" t="s">
        <v>2273</v>
      </c>
      <c r="H1592" s="27">
        <v>20</v>
      </c>
      <c r="I1592" s="27">
        <f>VLOOKUP(F1592,mapping!$L$2:$P$92,2,0)</f>
        <v>1</v>
      </c>
      <c r="J1592" s="27">
        <f>VLOOKUP($F1592,mapping!$L$2:$P$92,3,0)</f>
        <v>48386.69</v>
      </c>
      <c r="K1592" s="27" t="str">
        <f>VLOOKUP($F1592,mapping!$L$2:$P$92,4,0)</f>
        <v>Major Advanced Economies (G7)</v>
      </c>
      <c r="L1592" s="29">
        <f>$D1592*VLOOKUP($E1592,'Charts data'!$A$2:$B$11,2,0)*VLOOKUP($G1592,'Charts data'!$A$14:$B$18,2,0)/IF('Charts data'!$E$3=1,I1592,1)/IF('Charts data'!$E$4=1,J1592,1)</f>
        <v>35000</v>
      </c>
    </row>
    <row r="1593" spans="1:12" x14ac:dyDescent="0.25">
      <c r="A1593" s="27" t="s">
        <v>1297</v>
      </c>
      <c r="B1593" s="27">
        <v>69000</v>
      </c>
      <c r="C1593" s="27" t="s">
        <v>2</v>
      </c>
      <c r="D1593" s="28">
        <f>B1593*VLOOKUP(C1593,tblXrate[],2,0)</f>
        <v>69000</v>
      </c>
      <c r="E1593" s="27" t="s">
        <v>7</v>
      </c>
      <c r="F1593" s="27" t="s">
        <v>5</v>
      </c>
      <c r="G1593" s="27" t="s">
        <v>2272</v>
      </c>
      <c r="H1593" s="27">
        <v>20</v>
      </c>
      <c r="I1593" s="27">
        <f>VLOOKUP(F1593,mapping!$L$2:$P$92,2,0)</f>
        <v>1</v>
      </c>
      <c r="J1593" s="27">
        <f>VLOOKUP($F1593,mapping!$L$2:$P$92,3,0)</f>
        <v>48386.69</v>
      </c>
      <c r="K1593" s="27" t="str">
        <f>VLOOKUP($F1593,mapping!$L$2:$P$92,4,0)</f>
        <v>Major Advanced Economies (G7)</v>
      </c>
      <c r="L1593" s="29">
        <f>$D1593*VLOOKUP($E1593,'Charts data'!$A$2:$B$11,2,0)*VLOOKUP($G1593,'Charts data'!$A$14:$B$18,2,0)/IF('Charts data'!$E$3=1,I1593,1)/IF('Charts data'!$E$4=1,J1593,1)</f>
        <v>69000</v>
      </c>
    </row>
    <row r="1594" spans="1:12" x14ac:dyDescent="0.25">
      <c r="A1594" s="27" t="s">
        <v>1305</v>
      </c>
      <c r="B1594" s="27">
        <v>75000</v>
      </c>
      <c r="C1594" s="27" t="s">
        <v>2</v>
      </c>
      <c r="D1594" s="28">
        <f>B1594*VLOOKUP(C1594,tblXrate[],2,0)</f>
        <v>75000</v>
      </c>
      <c r="E1594" s="27" t="s">
        <v>62</v>
      </c>
      <c r="F1594" s="27" t="s">
        <v>5</v>
      </c>
      <c r="G1594" s="27" t="s">
        <v>2272</v>
      </c>
      <c r="H1594" s="27">
        <v>20</v>
      </c>
      <c r="I1594" s="27">
        <f>VLOOKUP(F1594,mapping!$L$2:$P$92,2,0)</f>
        <v>1</v>
      </c>
      <c r="J1594" s="27">
        <f>VLOOKUP($F1594,mapping!$L$2:$P$92,3,0)</f>
        <v>48386.69</v>
      </c>
      <c r="K1594" s="27" t="str">
        <f>VLOOKUP($F1594,mapping!$L$2:$P$92,4,0)</f>
        <v>Major Advanced Economies (G7)</v>
      </c>
      <c r="L1594" s="29">
        <f>$D1594*VLOOKUP($E1594,'Charts data'!$A$2:$B$11,2,0)*VLOOKUP($G1594,'Charts data'!$A$14:$B$18,2,0)/IF('Charts data'!$E$3=1,I1594,1)/IF('Charts data'!$E$4=1,J1594,1)</f>
        <v>75000</v>
      </c>
    </row>
    <row r="1595" spans="1:12" x14ac:dyDescent="0.25">
      <c r="A1595" s="27" t="s">
        <v>1306</v>
      </c>
      <c r="B1595" s="27">
        <v>59000</v>
      </c>
      <c r="C1595" s="27" t="s">
        <v>2</v>
      </c>
      <c r="D1595" s="28">
        <f>B1595*VLOOKUP(C1595,tblXrate[],2,0)</f>
        <v>59000</v>
      </c>
      <c r="E1595" s="27" t="s">
        <v>7</v>
      </c>
      <c r="F1595" s="27" t="s">
        <v>5</v>
      </c>
      <c r="G1595" s="27" t="s">
        <v>2271</v>
      </c>
      <c r="H1595" s="27">
        <v>14</v>
      </c>
      <c r="I1595" s="27">
        <f>VLOOKUP(F1595,mapping!$L$2:$P$92,2,0)</f>
        <v>1</v>
      </c>
      <c r="J1595" s="27">
        <f>VLOOKUP($F1595,mapping!$L$2:$P$92,3,0)</f>
        <v>48386.69</v>
      </c>
      <c r="K1595" s="27" t="str">
        <f>VLOOKUP($F1595,mapping!$L$2:$P$92,4,0)</f>
        <v>Major Advanced Economies (G7)</v>
      </c>
      <c r="L1595" s="29">
        <f>$D1595*VLOOKUP($E1595,'Charts data'!$A$2:$B$11,2,0)*VLOOKUP($G1595,'Charts data'!$A$14:$B$18,2,0)/IF('Charts data'!$E$3=1,I1595,1)/IF('Charts data'!$E$4=1,J1595,1)</f>
        <v>59000</v>
      </c>
    </row>
    <row r="1596" spans="1:12" x14ac:dyDescent="0.25">
      <c r="A1596" s="27" t="s">
        <v>1320</v>
      </c>
      <c r="B1596" s="27">
        <v>27840</v>
      </c>
      <c r="C1596" s="27" t="s">
        <v>2</v>
      </c>
      <c r="D1596" s="28">
        <f>B1596*VLOOKUP(C1596,tblXrate[],2,0)</f>
        <v>27840</v>
      </c>
      <c r="E1596" s="27" t="s">
        <v>7</v>
      </c>
      <c r="F1596" s="27" t="s">
        <v>5</v>
      </c>
      <c r="G1596" s="27" t="s">
        <v>2272</v>
      </c>
      <c r="H1596" s="27">
        <v>1</v>
      </c>
      <c r="I1596" s="27">
        <f>VLOOKUP(F1596,mapping!$L$2:$P$92,2,0)</f>
        <v>1</v>
      </c>
      <c r="J1596" s="27">
        <f>VLOOKUP($F1596,mapping!$L$2:$P$92,3,0)</f>
        <v>48386.69</v>
      </c>
      <c r="K1596" s="27" t="str">
        <f>VLOOKUP($F1596,mapping!$L$2:$P$92,4,0)</f>
        <v>Major Advanced Economies (G7)</v>
      </c>
      <c r="L1596" s="29">
        <f>$D1596*VLOOKUP($E1596,'Charts data'!$A$2:$B$11,2,0)*VLOOKUP($G1596,'Charts data'!$A$14:$B$18,2,0)/IF('Charts data'!$E$3=1,I1596,1)/IF('Charts data'!$E$4=1,J1596,1)</f>
        <v>27840</v>
      </c>
    </row>
    <row r="1597" spans="1:12" x14ac:dyDescent="0.25">
      <c r="A1597" s="27" t="s">
        <v>1325</v>
      </c>
      <c r="B1597" s="27">
        <v>75000</v>
      </c>
      <c r="C1597" s="27" t="s">
        <v>2</v>
      </c>
      <c r="D1597" s="28">
        <f>B1597*VLOOKUP(C1597,tblXrate[],2,0)</f>
        <v>75000</v>
      </c>
      <c r="E1597" s="27" t="s">
        <v>7</v>
      </c>
      <c r="F1597" s="27" t="s">
        <v>5</v>
      </c>
      <c r="G1597" s="27" t="s">
        <v>2271</v>
      </c>
      <c r="H1597" s="27">
        <v>12</v>
      </c>
      <c r="I1597" s="27">
        <f>VLOOKUP(F1597,mapping!$L$2:$P$92,2,0)</f>
        <v>1</v>
      </c>
      <c r="J1597" s="27">
        <f>VLOOKUP($F1597,mapping!$L$2:$P$92,3,0)</f>
        <v>48386.69</v>
      </c>
      <c r="K1597" s="27" t="str">
        <f>VLOOKUP($F1597,mapping!$L$2:$P$92,4,0)</f>
        <v>Major Advanced Economies (G7)</v>
      </c>
      <c r="L1597" s="29">
        <f>$D1597*VLOOKUP($E1597,'Charts data'!$A$2:$B$11,2,0)*VLOOKUP($G1597,'Charts data'!$A$14:$B$18,2,0)/IF('Charts data'!$E$3=1,I1597,1)/IF('Charts data'!$E$4=1,J1597,1)</f>
        <v>75000</v>
      </c>
    </row>
    <row r="1598" spans="1:12" x14ac:dyDescent="0.25">
      <c r="A1598" s="27" t="s">
        <v>1328</v>
      </c>
      <c r="B1598" s="27">
        <v>60000</v>
      </c>
      <c r="C1598" s="27" t="s">
        <v>2</v>
      </c>
      <c r="D1598" s="28">
        <f>B1598*VLOOKUP(C1598,tblXrate[],2,0)</f>
        <v>60000</v>
      </c>
      <c r="E1598" s="27" t="s">
        <v>19</v>
      </c>
      <c r="F1598" s="27" t="s">
        <v>5</v>
      </c>
      <c r="G1598" s="27" t="s">
        <v>2272</v>
      </c>
      <c r="H1598" s="27">
        <v>10</v>
      </c>
      <c r="I1598" s="27">
        <f>VLOOKUP(F1598,mapping!$L$2:$P$92,2,0)</f>
        <v>1</v>
      </c>
      <c r="J1598" s="27">
        <f>VLOOKUP($F1598,mapping!$L$2:$P$92,3,0)</f>
        <v>48386.69</v>
      </c>
      <c r="K1598" s="27" t="str">
        <f>VLOOKUP($F1598,mapping!$L$2:$P$92,4,0)</f>
        <v>Major Advanced Economies (G7)</v>
      </c>
      <c r="L1598" s="29">
        <f>$D1598*VLOOKUP($E1598,'Charts data'!$A$2:$B$11,2,0)*VLOOKUP($G1598,'Charts data'!$A$14:$B$18,2,0)/IF('Charts data'!$E$3=1,I1598,1)/IF('Charts data'!$E$4=1,J1598,1)</f>
        <v>60000</v>
      </c>
    </row>
    <row r="1599" spans="1:12" x14ac:dyDescent="0.25">
      <c r="A1599" s="27" t="s">
        <v>1331</v>
      </c>
      <c r="B1599" s="27">
        <v>56000</v>
      </c>
      <c r="C1599" s="27" t="s">
        <v>2</v>
      </c>
      <c r="D1599" s="28">
        <f>B1599*VLOOKUP(C1599,tblXrate[],2,0)</f>
        <v>56000</v>
      </c>
      <c r="E1599" s="27" t="s">
        <v>7</v>
      </c>
      <c r="F1599" s="27" t="s">
        <v>5</v>
      </c>
      <c r="G1599" s="27" t="s">
        <v>2274</v>
      </c>
      <c r="H1599" s="27">
        <v>2</v>
      </c>
      <c r="I1599" s="27">
        <f>VLOOKUP(F1599,mapping!$L$2:$P$92,2,0)</f>
        <v>1</v>
      </c>
      <c r="J1599" s="27">
        <f>VLOOKUP($F1599,mapping!$L$2:$P$92,3,0)</f>
        <v>48386.69</v>
      </c>
      <c r="K1599" s="27" t="str">
        <f>VLOOKUP($F1599,mapping!$L$2:$P$92,4,0)</f>
        <v>Major Advanced Economies (G7)</v>
      </c>
      <c r="L1599" s="29">
        <f>$D1599*VLOOKUP($E1599,'Charts data'!$A$2:$B$11,2,0)*VLOOKUP($G1599,'Charts data'!$A$14:$B$18,2,0)/IF('Charts data'!$E$3=1,I1599,1)/IF('Charts data'!$E$4=1,J1599,1)</f>
        <v>56000</v>
      </c>
    </row>
    <row r="1600" spans="1:12" x14ac:dyDescent="0.25">
      <c r="A1600" s="27" t="s">
        <v>1335</v>
      </c>
      <c r="B1600" s="27">
        <v>88000</v>
      </c>
      <c r="C1600" s="27" t="s">
        <v>2</v>
      </c>
      <c r="D1600" s="28">
        <f>B1600*VLOOKUP(C1600,tblXrate[],2,0)</f>
        <v>88000</v>
      </c>
      <c r="E1600" s="27" t="s">
        <v>19</v>
      </c>
      <c r="F1600" s="27" t="s">
        <v>5</v>
      </c>
      <c r="G1600" s="27" t="s">
        <v>2271</v>
      </c>
      <c r="H1600" s="27">
        <v>2</v>
      </c>
      <c r="I1600" s="27">
        <f>VLOOKUP(F1600,mapping!$L$2:$P$92,2,0)</f>
        <v>1</v>
      </c>
      <c r="J1600" s="27">
        <f>VLOOKUP($F1600,mapping!$L$2:$P$92,3,0)</f>
        <v>48386.69</v>
      </c>
      <c r="K1600" s="27" t="str">
        <f>VLOOKUP($F1600,mapping!$L$2:$P$92,4,0)</f>
        <v>Major Advanced Economies (G7)</v>
      </c>
      <c r="L1600" s="29">
        <f>$D1600*VLOOKUP($E1600,'Charts data'!$A$2:$B$11,2,0)*VLOOKUP($G1600,'Charts data'!$A$14:$B$18,2,0)/IF('Charts data'!$E$3=1,I1600,1)/IF('Charts data'!$E$4=1,J1600,1)</f>
        <v>88000</v>
      </c>
    </row>
    <row r="1601" spans="1:12" x14ac:dyDescent="0.25">
      <c r="A1601" s="27" t="s">
        <v>1336</v>
      </c>
      <c r="B1601" s="27">
        <v>80000</v>
      </c>
      <c r="C1601" s="27" t="s">
        <v>2</v>
      </c>
      <c r="D1601" s="28">
        <f>B1601*VLOOKUP(C1601,tblXrate[],2,0)</f>
        <v>80000</v>
      </c>
      <c r="E1601" s="27" t="s">
        <v>7</v>
      </c>
      <c r="F1601" s="27" t="s">
        <v>5</v>
      </c>
      <c r="G1601" s="27" t="s">
        <v>2271</v>
      </c>
      <c r="H1601" s="27">
        <v>6</v>
      </c>
      <c r="I1601" s="27">
        <f>VLOOKUP(F1601,mapping!$L$2:$P$92,2,0)</f>
        <v>1</v>
      </c>
      <c r="J1601" s="27">
        <f>VLOOKUP($F1601,mapping!$L$2:$P$92,3,0)</f>
        <v>48386.69</v>
      </c>
      <c r="K1601" s="27" t="str">
        <f>VLOOKUP($F1601,mapping!$L$2:$P$92,4,0)</f>
        <v>Major Advanced Economies (G7)</v>
      </c>
      <c r="L1601" s="29">
        <f>$D1601*VLOOKUP($E1601,'Charts data'!$A$2:$B$11,2,0)*VLOOKUP($G1601,'Charts data'!$A$14:$B$18,2,0)/IF('Charts data'!$E$3=1,I1601,1)/IF('Charts data'!$E$4=1,J1601,1)</f>
        <v>80000</v>
      </c>
    </row>
    <row r="1602" spans="1:12" x14ac:dyDescent="0.25">
      <c r="A1602" s="27" t="s">
        <v>1341</v>
      </c>
      <c r="B1602" s="27">
        <v>61000</v>
      </c>
      <c r="C1602" s="27" t="s">
        <v>2</v>
      </c>
      <c r="D1602" s="28">
        <f>B1602*VLOOKUP(C1602,tblXrate[],2,0)</f>
        <v>61000</v>
      </c>
      <c r="E1602" s="27" t="s">
        <v>7</v>
      </c>
      <c r="F1602" s="27" t="s">
        <v>5</v>
      </c>
      <c r="G1602" s="27" t="s">
        <v>2271</v>
      </c>
      <c r="H1602" s="27">
        <v>1.5</v>
      </c>
      <c r="I1602" s="27">
        <f>VLOOKUP(F1602,mapping!$L$2:$P$92,2,0)</f>
        <v>1</v>
      </c>
      <c r="J1602" s="27">
        <f>VLOOKUP($F1602,mapping!$L$2:$P$92,3,0)</f>
        <v>48386.69</v>
      </c>
      <c r="K1602" s="27" t="str">
        <f>VLOOKUP($F1602,mapping!$L$2:$P$92,4,0)</f>
        <v>Major Advanced Economies (G7)</v>
      </c>
      <c r="L1602" s="29">
        <f>$D1602*VLOOKUP($E1602,'Charts data'!$A$2:$B$11,2,0)*VLOOKUP($G1602,'Charts data'!$A$14:$B$18,2,0)/IF('Charts data'!$E$3=1,I1602,1)/IF('Charts data'!$E$4=1,J1602,1)</f>
        <v>61000</v>
      </c>
    </row>
    <row r="1603" spans="1:12" x14ac:dyDescent="0.25">
      <c r="A1603" s="27" t="s">
        <v>1348</v>
      </c>
      <c r="B1603" s="27">
        <v>60000</v>
      </c>
      <c r="C1603" s="27" t="s">
        <v>2</v>
      </c>
      <c r="D1603" s="28">
        <f>B1603*VLOOKUP(C1603,tblXrate[],2,0)</f>
        <v>60000</v>
      </c>
      <c r="E1603" s="27" t="s">
        <v>48</v>
      </c>
      <c r="F1603" s="27" t="s">
        <v>5</v>
      </c>
      <c r="G1603" s="27" t="s">
        <v>2274</v>
      </c>
      <c r="H1603" s="27">
        <v>6</v>
      </c>
      <c r="I1603" s="27">
        <f>VLOOKUP(F1603,mapping!$L$2:$P$92,2,0)</f>
        <v>1</v>
      </c>
      <c r="J1603" s="27">
        <f>VLOOKUP($F1603,mapping!$L$2:$P$92,3,0)</f>
        <v>48386.69</v>
      </c>
      <c r="K1603" s="27" t="str">
        <f>VLOOKUP($F1603,mapping!$L$2:$P$92,4,0)</f>
        <v>Major Advanced Economies (G7)</v>
      </c>
      <c r="L1603" s="29">
        <f>$D1603*VLOOKUP($E1603,'Charts data'!$A$2:$B$11,2,0)*VLOOKUP($G1603,'Charts data'!$A$14:$B$18,2,0)/IF('Charts data'!$E$3=1,I1603,1)/IF('Charts data'!$E$4=1,J1603,1)</f>
        <v>60000</v>
      </c>
    </row>
    <row r="1604" spans="1:12" x14ac:dyDescent="0.25">
      <c r="A1604" s="27" t="s">
        <v>1352</v>
      </c>
      <c r="B1604" s="27">
        <v>60000</v>
      </c>
      <c r="C1604" s="27" t="s">
        <v>2</v>
      </c>
      <c r="D1604" s="28">
        <f>B1604*VLOOKUP(C1604,tblXrate[],2,0)</f>
        <v>60000</v>
      </c>
      <c r="E1604" s="27" t="s">
        <v>19</v>
      </c>
      <c r="F1604" s="27" t="s">
        <v>5</v>
      </c>
      <c r="G1604" s="27" t="s">
        <v>2271</v>
      </c>
      <c r="H1604" s="27">
        <v>12</v>
      </c>
      <c r="I1604" s="27">
        <f>VLOOKUP(F1604,mapping!$L$2:$P$92,2,0)</f>
        <v>1</v>
      </c>
      <c r="J1604" s="27">
        <f>VLOOKUP($F1604,mapping!$L$2:$P$92,3,0)</f>
        <v>48386.69</v>
      </c>
      <c r="K1604" s="27" t="str">
        <f>VLOOKUP($F1604,mapping!$L$2:$P$92,4,0)</f>
        <v>Major Advanced Economies (G7)</v>
      </c>
      <c r="L1604" s="29">
        <f>$D1604*VLOOKUP($E1604,'Charts data'!$A$2:$B$11,2,0)*VLOOKUP($G1604,'Charts data'!$A$14:$B$18,2,0)/IF('Charts data'!$E$3=1,I1604,1)/IF('Charts data'!$E$4=1,J1604,1)</f>
        <v>60000</v>
      </c>
    </row>
    <row r="1605" spans="1:12" x14ac:dyDescent="0.25">
      <c r="A1605" s="27" t="s">
        <v>1355</v>
      </c>
      <c r="B1605" s="27">
        <v>74000</v>
      </c>
      <c r="C1605" s="27" t="s">
        <v>2</v>
      </c>
      <c r="D1605" s="28">
        <f>B1605*VLOOKUP(C1605,tblXrate[],2,0)</f>
        <v>74000</v>
      </c>
      <c r="E1605" s="27" t="s">
        <v>23</v>
      </c>
      <c r="F1605" s="27" t="s">
        <v>5</v>
      </c>
      <c r="G1605" s="27" t="s">
        <v>2271</v>
      </c>
      <c r="H1605" s="27">
        <v>10</v>
      </c>
      <c r="I1605" s="27">
        <f>VLOOKUP(F1605,mapping!$L$2:$P$92,2,0)</f>
        <v>1</v>
      </c>
      <c r="J1605" s="27">
        <f>VLOOKUP($F1605,mapping!$L$2:$P$92,3,0)</f>
        <v>48386.69</v>
      </c>
      <c r="K1605" s="27" t="str">
        <f>VLOOKUP($F1605,mapping!$L$2:$P$92,4,0)</f>
        <v>Major Advanced Economies (G7)</v>
      </c>
      <c r="L1605" s="29">
        <f>$D1605*VLOOKUP($E1605,'Charts data'!$A$2:$B$11,2,0)*VLOOKUP($G1605,'Charts data'!$A$14:$B$18,2,0)/IF('Charts data'!$E$3=1,I1605,1)/IF('Charts data'!$E$4=1,J1605,1)</f>
        <v>74000</v>
      </c>
    </row>
    <row r="1606" spans="1:12" x14ac:dyDescent="0.25">
      <c r="A1606" s="27" t="s">
        <v>1356</v>
      </c>
      <c r="B1606" s="27">
        <v>95856</v>
      </c>
      <c r="C1606" s="27" t="s">
        <v>2</v>
      </c>
      <c r="D1606" s="28">
        <f>B1606*VLOOKUP(C1606,tblXrate[],2,0)</f>
        <v>95856</v>
      </c>
      <c r="E1606" s="27" t="s">
        <v>7</v>
      </c>
      <c r="F1606" s="27" t="s">
        <v>5</v>
      </c>
      <c r="G1606" s="27" t="s">
        <v>2272</v>
      </c>
      <c r="H1606" s="27">
        <v>13</v>
      </c>
      <c r="I1606" s="27">
        <f>VLOOKUP(F1606,mapping!$L$2:$P$92,2,0)</f>
        <v>1</v>
      </c>
      <c r="J1606" s="27">
        <f>VLOOKUP($F1606,mapping!$L$2:$P$92,3,0)</f>
        <v>48386.69</v>
      </c>
      <c r="K1606" s="27" t="str">
        <f>VLOOKUP($F1606,mapping!$L$2:$P$92,4,0)</f>
        <v>Major Advanced Economies (G7)</v>
      </c>
      <c r="L1606" s="29">
        <f>$D1606*VLOOKUP($E1606,'Charts data'!$A$2:$B$11,2,0)*VLOOKUP($G1606,'Charts data'!$A$14:$B$18,2,0)/IF('Charts data'!$E$3=1,I1606,1)/IF('Charts data'!$E$4=1,J1606,1)</f>
        <v>95856</v>
      </c>
    </row>
    <row r="1607" spans="1:12" x14ac:dyDescent="0.25">
      <c r="A1607" s="27" t="s">
        <v>1357</v>
      </c>
      <c r="B1607" s="27">
        <v>40000</v>
      </c>
      <c r="C1607" s="27" t="s">
        <v>2</v>
      </c>
      <c r="D1607" s="28">
        <f>B1607*VLOOKUP(C1607,tblXrate[],2,0)</f>
        <v>40000</v>
      </c>
      <c r="E1607" s="27" t="s">
        <v>51</v>
      </c>
      <c r="F1607" s="27" t="s">
        <v>5</v>
      </c>
      <c r="G1607" s="27" t="s">
        <v>2272</v>
      </c>
      <c r="H1607" s="27">
        <v>15</v>
      </c>
      <c r="I1607" s="27">
        <f>VLOOKUP(F1607,mapping!$L$2:$P$92,2,0)</f>
        <v>1</v>
      </c>
      <c r="J1607" s="27">
        <f>VLOOKUP($F1607,mapping!$L$2:$P$92,3,0)</f>
        <v>48386.69</v>
      </c>
      <c r="K1607" s="27" t="str">
        <f>VLOOKUP($F1607,mapping!$L$2:$P$92,4,0)</f>
        <v>Major Advanced Economies (G7)</v>
      </c>
      <c r="L1607" s="29">
        <f>$D1607*VLOOKUP($E1607,'Charts data'!$A$2:$B$11,2,0)*VLOOKUP($G1607,'Charts data'!$A$14:$B$18,2,0)/IF('Charts data'!$E$3=1,I1607,1)/IF('Charts data'!$E$4=1,J1607,1)</f>
        <v>40000</v>
      </c>
    </row>
    <row r="1608" spans="1:12" x14ac:dyDescent="0.25">
      <c r="A1608" s="27" t="s">
        <v>1358</v>
      </c>
      <c r="B1608" s="27">
        <v>90000</v>
      </c>
      <c r="C1608" s="27" t="s">
        <v>2</v>
      </c>
      <c r="D1608" s="28">
        <f>B1608*VLOOKUP(C1608,tblXrate[],2,0)</f>
        <v>90000</v>
      </c>
      <c r="E1608" s="27" t="s">
        <v>7</v>
      </c>
      <c r="F1608" s="27" t="s">
        <v>5</v>
      </c>
      <c r="G1608" s="27" t="s">
        <v>2271</v>
      </c>
      <c r="H1608" s="27">
        <v>30</v>
      </c>
      <c r="I1608" s="27">
        <f>VLOOKUP(F1608,mapping!$L$2:$P$92,2,0)</f>
        <v>1</v>
      </c>
      <c r="J1608" s="27">
        <f>VLOOKUP($F1608,mapping!$L$2:$P$92,3,0)</f>
        <v>48386.69</v>
      </c>
      <c r="K1608" s="27" t="str">
        <f>VLOOKUP($F1608,mapping!$L$2:$P$92,4,0)</f>
        <v>Major Advanced Economies (G7)</v>
      </c>
      <c r="L1608" s="29">
        <f>$D1608*VLOOKUP($E1608,'Charts data'!$A$2:$B$11,2,0)*VLOOKUP($G1608,'Charts data'!$A$14:$B$18,2,0)/IF('Charts data'!$E$3=1,I1608,1)/IF('Charts data'!$E$4=1,J1608,1)</f>
        <v>90000</v>
      </c>
    </row>
    <row r="1609" spans="1:12" x14ac:dyDescent="0.25">
      <c r="A1609" s="27" t="s">
        <v>1363</v>
      </c>
      <c r="B1609" s="27">
        <v>100000</v>
      </c>
      <c r="C1609" s="27" t="s">
        <v>2</v>
      </c>
      <c r="D1609" s="28">
        <f>B1609*VLOOKUP(C1609,tblXrate[],2,0)</f>
        <v>100000</v>
      </c>
      <c r="E1609" s="27" t="s">
        <v>19</v>
      </c>
      <c r="F1609" s="27" t="s">
        <v>5</v>
      </c>
      <c r="G1609" s="27" t="s">
        <v>2271</v>
      </c>
      <c r="H1609" s="27">
        <v>11</v>
      </c>
      <c r="I1609" s="27">
        <f>VLOOKUP(F1609,mapping!$L$2:$P$92,2,0)</f>
        <v>1</v>
      </c>
      <c r="J1609" s="27">
        <f>VLOOKUP($F1609,mapping!$L$2:$P$92,3,0)</f>
        <v>48386.69</v>
      </c>
      <c r="K1609" s="27" t="str">
        <f>VLOOKUP($F1609,mapping!$L$2:$P$92,4,0)</f>
        <v>Major Advanced Economies (G7)</v>
      </c>
      <c r="L1609" s="29">
        <f>$D1609*VLOOKUP($E1609,'Charts data'!$A$2:$B$11,2,0)*VLOOKUP($G1609,'Charts data'!$A$14:$B$18,2,0)/IF('Charts data'!$E$3=1,I1609,1)/IF('Charts data'!$E$4=1,J1609,1)</f>
        <v>100000</v>
      </c>
    </row>
    <row r="1610" spans="1:12" x14ac:dyDescent="0.25">
      <c r="A1610" s="27" t="s">
        <v>1380</v>
      </c>
      <c r="B1610" s="27">
        <v>56000</v>
      </c>
      <c r="C1610" s="27" t="s">
        <v>2</v>
      </c>
      <c r="D1610" s="28">
        <f>B1610*VLOOKUP(C1610,tblXrate[],2,0)</f>
        <v>56000</v>
      </c>
      <c r="E1610" s="27" t="s">
        <v>51</v>
      </c>
      <c r="F1610" s="27" t="s">
        <v>5</v>
      </c>
      <c r="G1610" s="27" t="s">
        <v>2271</v>
      </c>
      <c r="H1610" s="27">
        <v>1</v>
      </c>
      <c r="I1610" s="27">
        <f>VLOOKUP(F1610,mapping!$L$2:$P$92,2,0)</f>
        <v>1</v>
      </c>
      <c r="J1610" s="27">
        <f>VLOOKUP($F1610,mapping!$L$2:$P$92,3,0)</f>
        <v>48386.69</v>
      </c>
      <c r="K1610" s="27" t="str">
        <f>VLOOKUP($F1610,mapping!$L$2:$P$92,4,0)</f>
        <v>Major Advanced Economies (G7)</v>
      </c>
      <c r="L1610" s="29">
        <f>$D1610*VLOOKUP($E1610,'Charts data'!$A$2:$B$11,2,0)*VLOOKUP($G1610,'Charts data'!$A$14:$B$18,2,0)/IF('Charts data'!$E$3=1,I1610,1)/IF('Charts data'!$E$4=1,J1610,1)</f>
        <v>56000</v>
      </c>
    </row>
    <row r="1611" spans="1:12" x14ac:dyDescent="0.25">
      <c r="A1611" s="27" t="s">
        <v>1384</v>
      </c>
      <c r="B1611" s="27">
        <v>85000</v>
      </c>
      <c r="C1611" s="27" t="s">
        <v>2</v>
      </c>
      <c r="D1611" s="28">
        <f>B1611*VLOOKUP(C1611,tblXrate[],2,0)</f>
        <v>85000</v>
      </c>
      <c r="E1611" s="27" t="s">
        <v>7</v>
      </c>
      <c r="F1611" s="27" t="s">
        <v>5</v>
      </c>
      <c r="G1611" s="27" t="s">
        <v>2271</v>
      </c>
      <c r="H1611" s="27">
        <v>5</v>
      </c>
      <c r="I1611" s="27">
        <f>VLOOKUP(F1611,mapping!$L$2:$P$92,2,0)</f>
        <v>1</v>
      </c>
      <c r="J1611" s="27">
        <f>VLOOKUP($F1611,mapping!$L$2:$P$92,3,0)</f>
        <v>48386.69</v>
      </c>
      <c r="K1611" s="27" t="str">
        <f>VLOOKUP($F1611,mapping!$L$2:$P$92,4,0)</f>
        <v>Major Advanced Economies (G7)</v>
      </c>
      <c r="L1611" s="29">
        <f>$D1611*VLOOKUP($E1611,'Charts data'!$A$2:$B$11,2,0)*VLOOKUP($G1611,'Charts data'!$A$14:$B$18,2,0)/IF('Charts data'!$E$3=1,I1611,1)/IF('Charts data'!$E$4=1,J1611,1)</f>
        <v>85000</v>
      </c>
    </row>
    <row r="1612" spans="1:12" x14ac:dyDescent="0.25">
      <c r="A1612" s="27" t="s">
        <v>1386</v>
      </c>
      <c r="B1612" s="27">
        <v>55000</v>
      </c>
      <c r="C1612" s="27" t="s">
        <v>2</v>
      </c>
      <c r="D1612" s="28">
        <f>B1612*VLOOKUP(C1612,tblXrate[],2,0)</f>
        <v>55000</v>
      </c>
      <c r="E1612" s="27" t="s">
        <v>7</v>
      </c>
      <c r="F1612" s="27" t="s">
        <v>5</v>
      </c>
      <c r="G1612" s="27" t="s">
        <v>2274</v>
      </c>
      <c r="H1612" s="27">
        <v>7</v>
      </c>
      <c r="I1612" s="27">
        <f>VLOOKUP(F1612,mapping!$L$2:$P$92,2,0)</f>
        <v>1</v>
      </c>
      <c r="J1612" s="27">
        <f>VLOOKUP($F1612,mapping!$L$2:$P$92,3,0)</f>
        <v>48386.69</v>
      </c>
      <c r="K1612" s="27" t="str">
        <f>VLOOKUP($F1612,mapping!$L$2:$P$92,4,0)</f>
        <v>Major Advanced Economies (G7)</v>
      </c>
      <c r="L1612" s="29">
        <f>$D1612*VLOOKUP($E1612,'Charts data'!$A$2:$B$11,2,0)*VLOOKUP($G1612,'Charts data'!$A$14:$B$18,2,0)/IF('Charts data'!$E$3=1,I1612,1)/IF('Charts data'!$E$4=1,J1612,1)</f>
        <v>55000</v>
      </c>
    </row>
    <row r="1613" spans="1:12" x14ac:dyDescent="0.25">
      <c r="A1613" s="27" t="s">
        <v>1389</v>
      </c>
      <c r="B1613" s="27">
        <v>50846</v>
      </c>
      <c r="C1613" s="27" t="s">
        <v>2</v>
      </c>
      <c r="D1613" s="28">
        <f>B1613*VLOOKUP(C1613,tblXrate[],2,0)</f>
        <v>50846</v>
      </c>
      <c r="E1613" s="27" t="s">
        <v>7</v>
      </c>
      <c r="F1613" s="27" t="s">
        <v>5</v>
      </c>
      <c r="G1613" s="27" t="s">
        <v>2271</v>
      </c>
      <c r="H1613" s="27">
        <v>25</v>
      </c>
      <c r="I1613" s="27">
        <f>VLOOKUP(F1613,mapping!$L$2:$P$92,2,0)</f>
        <v>1</v>
      </c>
      <c r="J1613" s="27">
        <f>VLOOKUP($F1613,mapping!$L$2:$P$92,3,0)</f>
        <v>48386.69</v>
      </c>
      <c r="K1613" s="27" t="str">
        <f>VLOOKUP($F1613,mapping!$L$2:$P$92,4,0)</f>
        <v>Major Advanced Economies (G7)</v>
      </c>
      <c r="L1613" s="29">
        <f>$D1613*VLOOKUP($E1613,'Charts data'!$A$2:$B$11,2,0)*VLOOKUP($G1613,'Charts data'!$A$14:$B$18,2,0)/IF('Charts data'!$E$3=1,I1613,1)/IF('Charts data'!$E$4=1,J1613,1)</f>
        <v>50846</v>
      </c>
    </row>
    <row r="1614" spans="1:12" x14ac:dyDescent="0.25">
      <c r="A1614" s="27" t="s">
        <v>1390</v>
      </c>
      <c r="B1614" s="27">
        <v>63000</v>
      </c>
      <c r="C1614" s="27" t="s">
        <v>2</v>
      </c>
      <c r="D1614" s="28">
        <f>B1614*VLOOKUP(C1614,tblXrate[],2,0)</f>
        <v>63000</v>
      </c>
      <c r="E1614" s="27" t="s">
        <v>51</v>
      </c>
      <c r="F1614" s="27" t="s">
        <v>5</v>
      </c>
      <c r="G1614" s="27" t="s">
        <v>2273</v>
      </c>
      <c r="H1614" s="27">
        <v>16</v>
      </c>
      <c r="I1614" s="27">
        <f>VLOOKUP(F1614,mapping!$L$2:$P$92,2,0)</f>
        <v>1</v>
      </c>
      <c r="J1614" s="27">
        <f>VLOOKUP($F1614,mapping!$L$2:$P$92,3,0)</f>
        <v>48386.69</v>
      </c>
      <c r="K1614" s="27" t="str">
        <f>VLOOKUP($F1614,mapping!$L$2:$P$92,4,0)</f>
        <v>Major Advanced Economies (G7)</v>
      </c>
      <c r="L1614" s="29">
        <f>$D1614*VLOOKUP($E1614,'Charts data'!$A$2:$B$11,2,0)*VLOOKUP($G1614,'Charts data'!$A$14:$B$18,2,0)/IF('Charts data'!$E$3=1,I1614,1)/IF('Charts data'!$E$4=1,J1614,1)</f>
        <v>63000</v>
      </c>
    </row>
    <row r="1615" spans="1:12" x14ac:dyDescent="0.25">
      <c r="A1615" s="27" t="s">
        <v>1394</v>
      </c>
      <c r="B1615" s="27">
        <v>70000</v>
      </c>
      <c r="C1615" s="27" t="s">
        <v>2</v>
      </c>
      <c r="D1615" s="28">
        <f>B1615*VLOOKUP(C1615,tblXrate[],2,0)</f>
        <v>70000</v>
      </c>
      <c r="E1615" s="27" t="s">
        <v>7</v>
      </c>
      <c r="F1615" s="27" t="s">
        <v>5</v>
      </c>
      <c r="G1615" s="27" t="s">
        <v>2274</v>
      </c>
      <c r="H1615" s="27">
        <v>6</v>
      </c>
      <c r="I1615" s="27">
        <f>VLOOKUP(F1615,mapping!$L$2:$P$92,2,0)</f>
        <v>1</v>
      </c>
      <c r="J1615" s="27">
        <f>VLOOKUP($F1615,mapping!$L$2:$P$92,3,0)</f>
        <v>48386.69</v>
      </c>
      <c r="K1615" s="27" t="str">
        <f>VLOOKUP($F1615,mapping!$L$2:$P$92,4,0)</f>
        <v>Major Advanced Economies (G7)</v>
      </c>
      <c r="L1615" s="29">
        <f>$D1615*VLOOKUP($E1615,'Charts data'!$A$2:$B$11,2,0)*VLOOKUP($G1615,'Charts data'!$A$14:$B$18,2,0)/IF('Charts data'!$E$3=1,I1615,1)/IF('Charts data'!$E$4=1,J1615,1)</f>
        <v>70000</v>
      </c>
    </row>
    <row r="1616" spans="1:12" x14ac:dyDescent="0.25">
      <c r="A1616" s="27" t="s">
        <v>1401</v>
      </c>
      <c r="B1616" s="27">
        <v>40000</v>
      </c>
      <c r="C1616" s="27" t="s">
        <v>2</v>
      </c>
      <c r="D1616" s="28">
        <f>B1616*VLOOKUP(C1616,tblXrate[],2,0)</f>
        <v>40000</v>
      </c>
      <c r="E1616" s="27" t="s">
        <v>19</v>
      </c>
      <c r="F1616" s="27" t="s">
        <v>5</v>
      </c>
      <c r="G1616" s="27" t="s">
        <v>2272</v>
      </c>
      <c r="H1616" s="27">
        <v>18</v>
      </c>
      <c r="I1616" s="27">
        <f>VLOOKUP(F1616,mapping!$L$2:$P$92,2,0)</f>
        <v>1</v>
      </c>
      <c r="J1616" s="27">
        <f>VLOOKUP($F1616,mapping!$L$2:$P$92,3,0)</f>
        <v>48386.69</v>
      </c>
      <c r="K1616" s="27" t="str">
        <f>VLOOKUP($F1616,mapping!$L$2:$P$92,4,0)</f>
        <v>Major Advanced Economies (G7)</v>
      </c>
      <c r="L1616" s="29">
        <f>$D1616*VLOOKUP($E1616,'Charts data'!$A$2:$B$11,2,0)*VLOOKUP($G1616,'Charts data'!$A$14:$B$18,2,0)/IF('Charts data'!$E$3=1,I1616,1)/IF('Charts data'!$E$4=1,J1616,1)</f>
        <v>40000</v>
      </c>
    </row>
    <row r="1617" spans="1:12" x14ac:dyDescent="0.25">
      <c r="A1617" s="27" t="s">
        <v>1402</v>
      </c>
      <c r="B1617" s="27">
        <v>107000</v>
      </c>
      <c r="C1617" s="27" t="s">
        <v>2</v>
      </c>
      <c r="D1617" s="28">
        <f>B1617*VLOOKUP(C1617,tblXrate[],2,0)</f>
        <v>107000</v>
      </c>
      <c r="E1617" s="27" t="s">
        <v>51</v>
      </c>
      <c r="F1617" s="27" t="s">
        <v>5</v>
      </c>
      <c r="G1617" s="27" t="s">
        <v>2271</v>
      </c>
      <c r="H1617" s="27">
        <v>12</v>
      </c>
      <c r="I1617" s="27">
        <f>VLOOKUP(F1617,mapping!$L$2:$P$92,2,0)</f>
        <v>1</v>
      </c>
      <c r="J1617" s="27">
        <f>VLOOKUP($F1617,mapping!$L$2:$P$92,3,0)</f>
        <v>48386.69</v>
      </c>
      <c r="K1617" s="27" t="str">
        <f>VLOOKUP($F1617,mapping!$L$2:$P$92,4,0)</f>
        <v>Major Advanced Economies (G7)</v>
      </c>
      <c r="L1617" s="29">
        <f>$D1617*VLOOKUP($E1617,'Charts data'!$A$2:$B$11,2,0)*VLOOKUP($G1617,'Charts data'!$A$14:$B$18,2,0)/IF('Charts data'!$E$3=1,I1617,1)/IF('Charts data'!$E$4=1,J1617,1)</f>
        <v>107000</v>
      </c>
    </row>
    <row r="1618" spans="1:12" x14ac:dyDescent="0.25">
      <c r="A1618" s="27" t="s">
        <v>1403</v>
      </c>
      <c r="B1618" s="27">
        <v>82000</v>
      </c>
      <c r="C1618" s="27" t="s">
        <v>2</v>
      </c>
      <c r="D1618" s="28">
        <f>B1618*VLOOKUP(C1618,tblXrate[],2,0)</f>
        <v>82000</v>
      </c>
      <c r="E1618" s="27" t="s">
        <v>19</v>
      </c>
      <c r="F1618" s="27" t="s">
        <v>5</v>
      </c>
      <c r="G1618" s="27" t="s">
        <v>2271</v>
      </c>
      <c r="H1618" s="27">
        <v>10</v>
      </c>
      <c r="I1618" s="27">
        <f>VLOOKUP(F1618,mapping!$L$2:$P$92,2,0)</f>
        <v>1</v>
      </c>
      <c r="J1618" s="27">
        <f>VLOOKUP($F1618,mapping!$L$2:$P$92,3,0)</f>
        <v>48386.69</v>
      </c>
      <c r="K1618" s="27" t="str">
        <f>VLOOKUP($F1618,mapping!$L$2:$P$92,4,0)</f>
        <v>Major Advanced Economies (G7)</v>
      </c>
      <c r="L1618" s="29">
        <f>$D1618*VLOOKUP($E1618,'Charts data'!$A$2:$B$11,2,0)*VLOOKUP($G1618,'Charts data'!$A$14:$B$18,2,0)/IF('Charts data'!$E$3=1,I1618,1)/IF('Charts data'!$E$4=1,J1618,1)</f>
        <v>82000</v>
      </c>
    </row>
    <row r="1619" spans="1:12" x14ac:dyDescent="0.25">
      <c r="A1619" s="27" t="s">
        <v>1406</v>
      </c>
      <c r="B1619" s="27">
        <v>69000</v>
      </c>
      <c r="C1619" s="27" t="s">
        <v>2</v>
      </c>
      <c r="D1619" s="28">
        <f>B1619*VLOOKUP(C1619,tblXrate[],2,0)</f>
        <v>69000</v>
      </c>
      <c r="E1619" s="27" t="s">
        <v>62</v>
      </c>
      <c r="F1619" s="27" t="s">
        <v>5</v>
      </c>
      <c r="G1619" s="27" t="s">
        <v>2271</v>
      </c>
      <c r="H1619" s="27">
        <v>20</v>
      </c>
      <c r="I1619" s="27">
        <f>VLOOKUP(F1619,mapping!$L$2:$P$92,2,0)</f>
        <v>1</v>
      </c>
      <c r="J1619" s="27">
        <f>VLOOKUP($F1619,mapping!$L$2:$P$92,3,0)</f>
        <v>48386.69</v>
      </c>
      <c r="K1619" s="27" t="str">
        <f>VLOOKUP($F1619,mapping!$L$2:$P$92,4,0)</f>
        <v>Major Advanced Economies (G7)</v>
      </c>
      <c r="L1619" s="29">
        <f>$D1619*VLOOKUP($E1619,'Charts data'!$A$2:$B$11,2,0)*VLOOKUP($G1619,'Charts data'!$A$14:$B$18,2,0)/IF('Charts data'!$E$3=1,I1619,1)/IF('Charts data'!$E$4=1,J1619,1)</f>
        <v>69000</v>
      </c>
    </row>
    <row r="1620" spans="1:12" x14ac:dyDescent="0.25">
      <c r="A1620" s="27" t="s">
        <v>1409</v>
      </c>
      <c r="B1620" s="27">
        <v>70000</v>
      </c>
      <c r="C1620" s="27" t="s">
        <v>2</v>
      </c>
      <c r="D1620" s="28">
        <f>B1620*VLOOKUP(C1620,tblXrate[],2,0)</f>
        <v>70000</v>
      </c>
      <c r="E1620" s="27" t="s">
        <v>19</v>
      </c>
      <c r="F1620" s="27" t="s">
        <v>5</v>
      </c>
      <c r="G1620" s="27" t="s">
        <v>2271</v>
      </c>
      <c r="H1620" s="27">
        <v>8</v>
      </c>
      <c r="I1620" s="27">
        <f>VLOOKUP(F1620,mapping!$L$2:$P$92,2,0)</f>
        <v>1</v>
      </c>
      <c r="J1620" s="27">
        <f>VLOOKUP($F1620,mapping!$L$2:$P$92,3,0)</f>
        <v>48386.69</v>
      </c>
      <c r="K1620" s="27" t="str">
        <f>VLOOKUP($F1620,mapping!$L$2:$P$92,4,0)</f>
        <v>Major Advanced Economies (G7)</v>
      </c>
      <c r="L1620" s="29">
        <f>$D1620*VLOOKUP($E1620,'Charts data'!$A$2:$B$11,2,0)*VLOOKUP($G1620,'Charts data'!$A$14:$B$18,2,0)/IF('Charts data'!$E$3=1,I1620,1)/IF('Charts data'!$E$4=1,J1620,1)</f>
        <v>70000</v>
      </c>
    </row>
    <row r="1621" spans="1:12" x14ac:dyDescent="0.25">
      <c r="A1621" s="27" t="s">
        <v>1410</v>
      </c>
      <c r="B1621" s="27">
        <v>45000</v>
      </c>
      <c r="C1621" s="27" t="s">
        <v>2</v>
      </c>
      <c r="D1621" s="28">
        <f>B1621*VLOOKUP(C1621,tblXrate[],2,0)</f>
        <v>45000</v>
      </c>
      <c r="E1621" s="27" t="s">
        <v>7</v>
      </c>
      <c r="F1621" s="27" t="s">
        <v>5</v>
      </c>
      <c r="G1621" s="27" t="s">
        <v>2271</v>
      </c>
      <c r="H1621" s="27">
        <v>7</v>
      </c>
      <c r="I1621" s="27">
        <f>VLOOKUP(F1621,mapping!$L$2:$P$92,2,0)</f>
        <v>1</v>
      </c>
      <c r="J1621" s="27">
        <f>VLOOKUP($F1621,mapping!$L$2:$P$92,3,0)</f>
        <v>48386.69</v>
      </c>
      <c r="K1621" s="27" t="str">
        <f>VLOOKUP($F1621,mapping!$L$2:$P$92,4,0)</f>
        <v>Major Advanced Economies (G7)</v>
      </c>
      <c r="L1621" s="29">
        <f>$D1621*VLOOKUP($E1621,'Charts data'!$A$2:$B$11,2,0)*VLOOKUP($G1621,'Charts data'!$A$14:$B$18,2,0)/IF('Charts data'!$E$3=1,I1621,1)/IF('Charts data'!$E$4=1,J1621,1)</f>
        <v>45000</v>
      </c>
    </row>
    <row r="1622" spans="1:12" x14ac:dyDescent="0.25">
      <c r="A1622" s="27" t="s">
        <v>1416</v>
      </c>
      <c r="B1622" s="27">
        <v>50000</v>
      </c>
      <c r="C1622" s="27" t="s">
        <v>2</v>
      </c>
      <c r="D1622" s="28">
        <f>B1622*VLOOKUP(C1622,tblXrate[],2,0)</f>
        <v>50000</v>
      </c>
      <c r="E1622" s="27" t="s">
        <v>7</v>
      </c>
      <c r="F1622" s="27" t="s">
        <v>5</v>
      </c>
      <c r="G1622" s="27" t="s">
        <v>2271</v>
      </c>
      <c r="H1622" s="27">
        <v>3</v>
      </c>
      <c r="I1622" s="27">
        <f>VLOOKUP(F1622,mapping!$L$2:$P$92,2,0)</f>
        <v>1</v>
      </c>
      <c r="J1622" s="27">
        <f>VLOOKUP($F1622,mapping!$L$2:$P$92,3,0)</f>
        <v>48386.69</v>
      </c>
      <c r="K1622" s="27" t="str">
        <f>VLOOKUP($F1622,mapping!$L$2:$P$92,4,0)</f>
        <v>Major Advanced Economies (G7)</v>
      </c>
      <c r="L1622" s="29">
        <f>$D1622*VLOOKUP($E1622,'Charts data'!$A$2:$B$11,2,0)*VLOOKUP($G1622,'Charts data'!$A$14:$B$18,2,0)/IF('Charts data'!$E$3=1,I1622,1)/IF('Charts data'!$E$4=1,J1622,1)</f>
        <v>50000</v>
      </c>
    </row>
    <row r="1623" spans="1:12" x14ac:dyDescent="0.25">
      <c r="A1623" s="27" t="s">
        <v>1420</v>
      </c>
      <c r="B1623" s="27">
        <v>192000</v>
      </c>
      <c r="C1623" s="27" t="s">
        <v>2</v>
      </c>
      <c r="D1623" s="28">
        <f>B1623*VLOOKUP(C1623,tblXrate[],2,0)</f>
        <v>192000</v>
      </c>
      <c r="E1623" s="27" t="s">
        <v>2147</v>
      </c>
      <c r="F1623" s="27" t="s">
        <v>5</v>
      </c>
      <c r="G1623" s="27" t="s">
        <v>2273</v>
      </c>
      <c r="H1623" s="27">
        <v>27</v>
      </c>
      <c r="I1623" s="27">
        <f>VLOOKUP(F1623,mapping!$L$2:$P$92,2,0)</f>
        <v>1</v>
      </c>
      <c r="J1623" s="27">
        <f>VLOOKUP($F1623,mapping!$L$2:$P$92,3,0)</f>
        <v>48386.69</v>
      </c>
      <c r="K1623" s="27" t="str">
        <f>VLOOKUP($F1623,mapping!$L$2:$P$92,4,0)</f>
        <v>Major Advanced Economies (G7)</v>
      </c>
      <c r="L1623" s="29">
        <f>$D1623*VLOOKUP($E1623,'Charts data'!$A$2:$B$11,2,0)*VLOOKUP($G1623,'Charts data'!$A$14:$B$18,2,0)/IF('Charts data'!$E$3=1,I1623,1)/IF('Charts data'!$E$4=1,J1623,1)</f>
        <v>192000</v>
      </c>
    </row>
    <row r="1624" spans="1:12" x14ac:dyDescent="0.25">
      <c r="A1624" s="27" t="s">
        <v>1421</v>
      </c>
      <c r="B1624" s="27">
        <v>54000</v>
      </c>
      <c r="C1624" s="27" t="s">
        <v>2</v>
      </c>
      <c r="D1624" s="28">
        <f>B1624*VLOOKUP(C1624,tblXrate[],2,0)</f>
        <v>54000</v>
      </c>
      <c r="E1624" s="27" t="s">
        <v>7</v>
      </c>
      <c r="F1624" s="27" t="s">
        <v>5</v>
      </c>
      <c r="G1624" s="27" t="s">
        <v>2273</v>
      </c>
      <c r="H1624" s="27">
        <v>6</v>
      </c>
      <c r="I1624" s="27">
        <f>VLOOKUP(F1624,mapping!$L$2:$P$92,2,0)</f>
        <v>1</v>
      </c>
      <c r="J1624" s="27">
        <f>VLOOKUP($F1624,mapping!$L$2:$P$92,3,0)</f>
        <v>48386.69</v>
      </c>
      <c r="K1624" s="27" t="str">
        <f>VLOOKUP($F1624,mapping!$L$2:$P$92,4,0)</f>
        <v>Major Advanced Economies (G7)</v>
      </c>
      <c r="L1624" s="29">
        <f>$D1624*VLOOKUP($E1624,'Charts data'!$A$2:$B$11,2,0)*VLOOKUP($G1624,'Charts data'!$A$14:$B$18,2,0)/IF('Charts data'!$E$3=1,I1624,1)/IF('Charts data'!$E$4=1,J1624,1)</f>
        <v>54000</v>
      </c>
    </row>
    <row r="1625" spans="1:12" x14ac:dyDescent="0.25">
      <c r="A1625" s="27" t="s">
        <v>1429</v>
      </c>
      <c r="B1625" s="27">
        <v>140000</v>
      </c>
      <c r="C1625" s="27" t="s">
        <v>2</v>
      </c>
      <c r="D1625" s="28">
        <f>B1625*VLOOKUP(C1625,tblXrate[],2,0)</f>
        <v>140000</v>
      </c>
      <c r="E1625" s="27" t="s">
        <v>51</v>
      </c>
      <c r="F1625" s="27" t="s">
        <v>5</v>
      </c>
      <c r="G1625" s="27" t="s">
        <v>2271</v>
      </c>
      <c r="H1625" s="27">
        <v>12</v>
      </c>
      <c r="I1625" s="27">
        <f>VLOOKUP(F1625,mapping!$L$2:$P$92,2,0)</f>
        <v>1</v>
      </c>
      <c r="J1625" s="27">
        <f>VLOOKUP($F1625,mapping!$L$2:$P$92,3,0)</f>
        <v>48386.69</v>
      </c>
      <c r="K1625" s="27" t="str">
        <f>VLOOKUP($F1625,mapping!$L$2:$P$92,4,0)</f>
        <v>Major Advanced Economies (G7)</v>
      </c>
      <c r="L1625" s="29">
        <f>$D1625*VLOOKUP($E1625,'Charts data'!$A$2:$B$11,2,0)*VLOOKUP($G1625,'Charts data'!$A$14:$B$18,2,0)/IF('Charts data'!$E$3=1,I1625,1)/IF('Charts data'!$E$4=1,J1625,1)</f>
        <v>140000</v>
      </c>
    </row>
    <row r="1626" spans="1:12" x14ac:dyDescent="0.25">
      <c r="A1626" s="27" t="s">
        <v>1435</v>
      </c>
      <c r="B1626" s="27">
        <v>80000</v>
      </c>
      <c r="C1626" s="27" t="s">
        <v>2</v>
      </c>
      <c r="D1626" s="28">
        <f>B1626*VLOOKUP(C1626,tblXrate[],2,0)</f>
        <v>80000</v>
      </c>
      <c r="E1626" s="27" t="s">
        <v>19</v>
      </c>
      <c r="F1626" s="27" t="s">
        <v>5</v>
      </c>
      <c r="G1626" s="27" t="s">
        <v>2274</v>
      </c>
      <c r="H1626" s="27">
        <v>6</v>
      </c>
      <c r="I1626" s="27">
        <f>VLOOKUP(F1626,mapping!$L$2:$P$92,2,0)</f>
        <v>1</v>
      </c>
      <c r="J1626" s="27">
        <f>VLOOKUP($F1626,mapping!$L$2:$P$92,3,0)</f>
        <v>48386.69</v>
      </c>
      <c r="K1626" s="27" t="str">
        <f>VLOOKUP($F1626,mapping!$L$2:$P$92,4,0)</f>
        <v>Major Advanced Economies (G7)</v>
      </c>
      <c r="L1626" s="29">
        <f>$D1626*VLOOKUP($E1626,'Charts data'!$A$2:$B$11,2,0)*VLOOKUP($G1626,'Charts data'!$A$14:$B$18,2,0)/IF('Charts data'!$E$3=1,I1626,1)/IF('Charts data'!$E$4=1,J1626,1)</f>
        <v>80000</v>
      </c>
    </row>
    <row r="1627" spans="1:12" x14ac:dyDescent="0.25">
      <c r="A1627" s="27" t="s">
        <v>1476</v>
      </c>
      <c r="B1627" s="27">
        <v>49500</v>
      </c>
      <c r="C1627" s="27" t="s">
        <v>2</v>
      </c>
      <c r="D1627" s="28">
        <f>B1627*VLOOKUP(C1627,tblXrate[],2,0)</f>
        <v>49500</v>
      </c>
      <c r="E1627" s="27" t="s">
        <v>7</v>
      </c>
      <c r="F1627" s="27" t="s">
        <v>5</v>
      </c>
      <c r="G1627" s="27" t="s">
        <v>2271</v>
      </c>
      <c r="H1627" s="27">
        <v>4.5</v>
      </c>
      <c r="I1627" s="27">
        <f>VLOOKUP(F1627,mapping!$L$2:$P$92,2,0)</f>
        <v>1</v>
      </c>
      <c r="J1627" s="27">
        <f>VLOOKUP($F1627,mapping!$L$2:$P$92,3,0)</f>
        <v>48386.69</v>
      </c>
      <c r="K1627" s="27" t="str">
        <f>VLOOKUP($F1627,mapping!$L$2:$P$92,4,0)</f>
        <v>Major Advanced Economies (G7)</v>
      </c>
      <c r="L1627" s="29">
        <f>$D1627*VLOOKUP($E1627,'Charts data'!$A$2:$B$11,2,0)*VLOOKUP($G1627,'Charts data'!$A$14:$B$18,2,0)/IF('Charts data'!$E$3=1,I1627,1)/IF('Charts data'!$E$4=1,J1627,1)</f>
        <v>49500</v>
      </c>
    </row>
    <row r="1628" spans="1:12" x14ac:dyDescent="0.25">
      <c r="A1628" s="27" t="s">
        <v>1482</v>
      </c>
      <c r="B1628" s="27">
        <v>80000</v>
      </c>
      <c r="C1628" s="27" t="s">
        <v>2</v>
      </c>
      <c r="D1628" s="28">
        <f>B1628*VLOOKUP(C1628,tblXrate[],2,0)</f>
        <v>80000</v>
      </c>
      <c r="E1628" s="27" t="s">
        <v>7</v>
      </c>
      <c r="F1628" s="27" t="s">
        <v>5</v>
      </c>
      <c r="G1628" s="27" t="s">
        <v>2274</v>
      </c>
      <c r="H1628" s="27">
        <v>14</v>
      </c>
      <c r="I1628" s="27">
        <f>VLOOKUP(F1628,mapping!$L$2:$P$92,2,0)</f>
        <v>1</v>
      </c>
      <c r="J1628" s="27">
        <f>VLOOKUP($F1628,mapping!$L$2:$P$92,3,0)</f>
        <v>48386.69</v>
      </c>
      <c r="K1628" s="27" t="str">
        <f>VLOOKUP($F1628,mapping!$L$2:$P$92,4,0)</f>
        <v>Major Advanced Economies (G7)</v>
      </c>
      <c r="L1628" s="29">
        <f>$D1628*VLOOKUP($E1628,'Charts data'!$A$2:$B$11,2,0)*VLOOKUP($G1628,'Charts data'!$A$14:$B$18,2,0)/IF('Charts data'!$E$3=1,I1628,1)/IF('Charts data'!$E$4=1,J1628,1)</f>
        <v>80000</v>
      </c>
    </row>
    <row r="1629" spans="1:12" x14ac:dyDescent="0.25">
      <c r="A1629" s="27" t="s">
        <v>1485</v>
      </c>
      <c r="B1629" s="27">
        <v>125000</v>
      </c>
      <c r="C1629" s="27" t="s">
        <v>2</v>
      </c>
      <c r="D1629" s="28">
        <f>B1629*VLOOKUP(C1629,tblXrate[],2,0)</f>
        <v>125000</v>
      </c>
      <c r="E1629" s="27" t="s">
        <v>19</v>
      </c>
      <c r="F1629" s="27" t="s">
        <v>5</v>
      </c>
      <c r="G1629" s="27" t="s">
        <v>2271</v>
      </c>
      <c r="H1629" s="27">
        <v>2</v>
      </c>
      <c r="I1629" s="27">
        <f>VLOOKUP(F1629,mapping!$L$2:$P$92,2,0)</f>
        <v>1</v>
      </c>
      <c r="J1629" s="27">
        <f>VLOOKUP($F1629,mapping!$L$2:$P$92,3,0)</f>
        <v>48386.69</v>
      </c>
      <c r="K1629" s="27" t="str">
        <f>VLOOKUP($F1629,mapping!$L$2:$P$92,4,0)</f>
        <v>Major Advanced Economies (G7)</v>
      </c>
      <c r="L1629" s="29">
        <f>$D1629*VLOOKUP($E1629,'Charts data'!$A$2:$B$11,2,0)*VLOOKUP($G1629,'Charts data'!$A$14:$B$18,2,0)/IF('Charts data'!$E$3=1,I1629,1)/IF('Charts data'!$E$4=1,J1629,1)</f>
        <v>125000</v>
      </c>
    </row>
    <row r="1630" spans="1:12" x14ac:dyDescent="0.25">
      <c r="A1630" s="27" t="s">
        <v>1487</v>
      </c>
      <c r="B1630" s="27">
        <v>105000</v>
      </c>
      <c r="C1630" s="27" t="s">
        <v>2</v>
      </c>
      <c r="D1630" s="28">
        <f>B1630*VLOOKUP(C1630,tblXrate[],2,0)</f>
        <v>105000</v>
      </c>
      <c r="E1630" s="27" t="s">
        <v>2147</v>
      </c>
      <c r="F1630" s="27" t="s">
        <v>5</v>
      </c>
      <c r="G1630" s="27" t="s">
        <v>2274</v>
      </c>
      <c r="H1630" s="27">
        <v>15</v>
      </c>
      <c r="I1630" s="27">
        <f>VLOOKUP(F1630,mapping!$L$2:$P$92,2,0)</f>
        <v>1</v>
      </c>
      <c r="J1630" s="27">
        <f>VLOOKUP($F1630,mapping!$L$2:$P$92,3,0)</f>
        <v>48386.69</v>
      </c>
      <c r="K1630" s="27" t="str">
        <f>VLOOKUP($F1630,mapping!$L$2:$P$92,4,0)</f>
        <v>Major Advanced Economies (G7)</v>
      </c>
      <c r="L1630" s="29">
        <f>$D1630*VLOOKUP($E1630,'Charts data'!$A$2:$B$11,2,0)*VLOOKUP($G1630,'Charts data'!$A$14:$B$18,2,0)/IF('Charts data'!$E$3=1,I1630,1)/IF('Charts data'!$E$4=1,J1630,1)</f>
        <v>105000</v>
      </c>
    </row>
    <row r="1631" spans="1:12" x14ac:dyDescent="0.25">
      <c r="A1631" s="27" t="s">
        <v>1489</v>
      </c>
      <c r="B1631" s="27">
        <v>75000</v>
      </c>
      <c r="C1631" s="27" t="s">
        <v>2</v>
      </c>
      <c r="D1631" s="28">
        <f>B1631*VLOOKUP(C1631,tblXrate[],2,0)</f>
        <v>75000</v>
      </c>
      <c r="E1631" s="27" t="s">
        <v>7</v>
      </c>
      <c r="F1631" s="27" t="s">
        <v>5</v>
      </c>
      <c r="G1631" s="27" t="s">
        <v>2271</v>
      </c>
      <c r="H1631" s="27">
        <v>7</v>
      </c>
      <c r="I1631" s="27">
        <f>VLOOKUP(F1631,mapping!$L$2:$P$92,2,0)</f>
        <v>1</v>
      </c>
      <c r="J1631" s="27">
        <f>VLOOKUP($F1631,mapping!$L$2:$P$92,3,0)</f>
        <v>48386.69</v>
      </c>
      <c r="K1631" s="27" t="str">
        <f>VLOOKUP($F1631,mapping!$L$2:$P$92,4,0)</f>
        <v>Major Advanced Economies (G7)</v>
      </c>
      <c r="L1631" s="29">
        <f>$D1631*VLOOKUP($E1631,'Charts data'!$A$2:$B$11,2,0)*VLOOKUP($G1631,'Charts data'!$A$14:$B$18,2,0)/IF('Charts data'!$E$3=1,I1631,1)/IF('Charts data'!$E$4=1,J1631,1)</f>
        <v>75000</v>
      </c>
    </row>
    <row r="1632" spans="1:12" x14ac:dyDescent="0.25">
      <c r="A1632" s="27" t="s">
        <v>1491</v>
      </c>
      <c r="B1632" s="27">
        <v>110000</v>
      </c>
      <c r="C1632" s="27" t="s">
        <v>2</v>
      </c>
      <c r="D1632" s="28">
        <f>B1632*VLOOKUP(C1632,tblXrate[],2,0)</f>
        <v>110000</v>
      </c>
      <c r="E1632" s="27" t="s">
        <v>7</v>
      </c>
      <c r="F1632" s="27" t="s">
        <v>5</v>
      </c>
      <c r="G1632" s="27" t="s">
        <v>2274</v>
      </c>
      <c r="H1632" s="27">
        <v>10</v>
      </c>
      <c r="I1632" s="27">
        <f>VLOOKUP(F1632,mapping!$L$2:$P$92,2,0)</f>
        <v>1</v>
      </c>
      <c r="J1632" s="27">
        <f>VLOOKUP($F1632,mapping!$L$2:$P$92,3,0)</f>
        <v>48386.69</v>
      </c>
      <c r="K1632" s="27" t="str">
        <f>VLOOKUP($F1632,mapping!$L$2:$P$92,4,0)</f>
        <v>Major Advanced Economies (G7)</v>
      </c>
      <c r="L1632" s="29">
        <f>$D1632*VLOOKUP($E1632,'Charts data'!$A$2:$B$11,2,0)*VLOOKUP($G1632,'Charts data'!$A$14:$B$18,2,0)/IF('Charts data'!$E$3=1,I1632,1)/IF('Charts data'!$E$4=1,J1632,1)</f>
        <v>110000</v>
      </c>
    </row>
    <row r="1633" spans="1:12" x14ac:dyDescent="0.25">
      <c r="A1633" s="27" t="s">
        <v>1494</v>
      </c>
      <c r="B1633" s="27">
        <v>125000</v>
      </c>
      <c r="C1633" s="27" t="s">
        <v>2</v>
      </c>
      <c r="D1633" s="28">
        <f>B1633*VLOOKUP(C1633,tblXrate[],2,0)</f>
        <v>125000</v>
      </c>
      <c r="E1633" s="27" t="s">
        <v>19</v>
      </c>
      <c r="F1633" s="27" t="s">
        <v>5</v>
      </c>
      <c r="G1633" s="27" t="s">
        <v>2271</v>
      </c>
      <c r="H1633" s="27">
        <v>25</v>
      </c>
      <c r="I1633" s="27">
        <f>VLOOKUP(F1633,mapping!$L$2:$P$92,2,0)</f>
        <v>1</v>
      </c>
      <c r="J1633" s="27">
        <f>VLOOKUP($F1633,mapping!$L$2:$P$92,3,0)</f>
        <v>48386.69</v>
      </c>
      <c r="K1633" s="27" t="str">
        <f>VLOOKUP($F1633,mapping!$L$2:$P$92,4,0)</f>
        <v>Major Advanced Economies (G7)</v>
      </c>
      <c r="L1633" s="29">
        <f>$D1633*VLOOKUP($E1633,'Charts data'!$A$2:$B$11,2,0)*VLOOKUP($G1633,'Charts data'!$A$14:$B$18,2,0)/IF('Charts data'!$E$3=1,I1633,1)/IF('Charts data'!$E$4=1,J1633,1)</f>
        <v>125000</v>
      </c>
    </row>
    <row r="1634" spans="1:12" x14ac:dyDescent="0.25">
      <c r="A1634" s="27" t="s">
        <v>1495</v>
      </c>
      <c r="B1634" s="27">
        <v>60000</v>
      </c>
      <c r="C1634" s="27" t="s">
        <v>2</v>
      </c>
      <c r="D1634" s="28">
        <f>B1634*VLOOKUP(C1634,tblXrate[],2,0)</f>
        <v>60000</v>
      </c>
      <c r="E1634" s="27" t="s">
        <v>7</v>
      </c>
      <c r="F1634" s="27" t="s">
        <v>5</v>
      </c>
      <c r="G1634" s="27" t="s">
        <v>2273</v>
      </c>
      <c r="H1634" s="27">
        <v>12</v>
      </c>
      <c r="I1634" s="27">
        <f>VLOOKUP(F1634,mapping!$L$2:$P$92,2,0)</f>
        <v>1</v>
      </c>
      <c r="J1634" s="27">
        <f>VLOOKUP($F1634,mapping!$L$2:$P$92,3,0)</f>
        <v>48386.69</v>
      </c>
      <c r="K1634" s="27" t="str">
        <f>VLOOKUP($F1634,mapping!$L$2:$P$92,4,0)</f>
        <v>Major Advanced Economies (G7)</v>
      </c>
      <c r="L1634" s="29">
        <f>$D1634*VLOOKUP($E1634,'Charts data'!$A$2:$B$11,2,0)*VLOOKUP($G1634,'Charts data'!$A$14:$B$18,2,0)/IF('Charts data'!$E$3=1,I1634,1)/IF('Charts data'!$E$4=1,J1634,1)</f>
        <v>60000</v>
      </c>
    </row>
    <row r="1635" spans="1:12" x14ac:dyDescent="0.25">
      <c r="A1635" s="27" t="s">
        <v>1499</v>
      </c>
      <c r="B1635" s="27">
        <v>57500</v>
      </c>
      <c r="C1635" s="27" t="s">
        <v>2</v>
      </c>
      <c r="D1635" s="28">
        <f>B1635*VLOOKUP(C1635,tblXrate[],2,0)</f>
        <v>57500</v>
      </c>
      <c r="E1635" s="27" t="s">
        <v>19</v>
      </c>
      <c r="F1635" s="27" t="s">
        <v>5</v>
      </c>
      <c r="G1635" s="27" t="s">
        <v>2271</v>
      </c>
      <c r="H1635" s="27">
        <v>30</v>
      </c>
      <c r="I1635" s="27">
        <f>VLOOKUP(F1635,mapping!$L$2:$P$92,2,0)</f>
        <v>1</v>
      </c>
      <c r="J1635" s="27">
        <f>VLOOKUP($F1635,mapping!$L$2:$P$92,3,0)</f>
        <v>48386.69</v>
      </c>
      <c r="K1635" s="27" t="str">
        <f>VLOOKUP($F1635,mapping!$L$2:$P$92,4,0)</f>
        <v>Major Advanced Economies (G7)</v>
      </c>
      <c r="L1635" s="29">
        <f>$D1635*VLOOKUP($E1635,'Charts data'!$A$2:$B$11,2,0)*VLOOKUP($G1635,'Charts data'!$A$14:$B$18,2,0)/IF('Charts data'!$E$3=1,I1635,1)/IF('Charts data'!$E$4=1,J1635,1)</f>
        <v>57500</v>
      </c>
    </row>
    <row r="1636" spans="1:12" x14ac:dyDescent="0.25">
      <c r="A1636" s="27" t="s">
        <v>1501</v>
      </c>
      <c r="B1636" s="27">
        <v>80000</v>
      </c>
      <c r="C1636" s="27" t="s">
        <v>2</v>
      </c>
      <c r="D1636" s="28">
        <f>B1636*VLOOKUP(C1636,tblXrate[],2,0)</f>
        <v>80000</v>
      </c>
      <c r="E1636" s="27" t="s">
        <v>19</v>
      </c>
      <c r="F1636" s="27" t="s">
        <v>5</v>
      </c>
      <c r="G1636" s="27" t="s">
        <v>2271</v>
      </c>
      <c r="H1636" s="27">
        <v>10</v>
      </c>
      <c r="I1636" s="27">
        <f>VLOOKUP(F1636,mapping!$L$2:$P$92,2,0)</f>
        <v>1</v>
      </c>
      <c r="J1636" s="27">
        <f>VLOOKUP($F1636,mapping!$L$2:$P$92,3,0)</f>
        <v>48386.69</v>
      </c>
      <c r="K1636" s="27" t="str">
        <f>VLOOKUP($F1636,mapping!$L$2:$P$92,4,0)</f>
        <v>Major Advanced Economies (G7)</v>
      </c>
      <c r="L1636" s="29">
        <f>$D1636*VLOOKUP($E1636,'Charts data'!$A$2:$B$11,2,0)*VLOOKUP($G1636,'Charts data'!$A$14:$B$18,2,0)/IF('Charts data'!$E$3=1,I1636,1)/IF('Charts data'!$E$4=1,J1636,1)</f>
        <v>80000</v>
      </c>
    </row>
    <row r="1637" spans="1:12" x14ac:dyDescent="0.25">
      <c r="A1637" s="27" t="s">
        <v>1503</v>
      </c>
      <c r="B1637" s="27">
        <v>33000</v>
      </c>
      <c r="C1637" s="27" t="s">
        <v>2</v>
      </c>
      <c r="D1637" s="28">
        <f>B1637*VLOOKUP(C1637,tblXrate[],2,0)</f>
        <v>33000</v>
      </c>
      <c r="E1637" s="27" t="s">
        <v>62</v>
      </c>
      <c r="F1637" s="27" t="s">
        <v>5</v>
      </c>
      <c r="G1637" s="27" t="s">
        <v>2271</v>
      </c>
      <c r="H1637" s="27">
        <v>3</v>
      </c>
      <c r="I1637" s="27">
        <f>VLOOKUP(F1637,mapping!$L$2:$P$92,2,0)</f>
        <v>1</v>
      </c>
      <c r="J1637" s="27">
        <f>VLOOKUP($F1637,mapping!$L$2:$P$92,3,0)</f>
        <v>48386.69</v>
      </c>
      <c r="K1637" s="27" t="str">
        <f>VLOOKUP($F1637,mapping!$L$2:$P$92,4,0)</f>
        <v>Major Advanced Economies (G7)</v>
      </c>
      <c r="L1637" s="29">
        <f>$D1637*VLOOKUP($E1637,'Charts data'!$A$2:$B$11,2,0)*VLOOKUP($G1637,'Charts data'!$A$14:$B$18,2,0)/IF('Charts data'!$E$3=1,I1637,1)/IF('Charts data'!$E$4=1,J1637,1)</f>
        <v>33000</v>
      </c>
    </row>
    <row r="1638" spans="1:12" x14ac:dyDescent="0.25">
      <c r="A1638" s="27" t="s">
        <v>1504</v>
      </c>
      <c r="B1638" s="27">
        <v>100000</v>
      </c>
      <c r="C1638" s="27" t="s">
        <v>2</v>
      </c>
      <c r="D1638" s="28">
        <f>B1638*VLOOKUP(C1638,tblXrate[],2,0)</f>
        <v>100000</v>
      </c>
      <c r="E1638" s="27" t="s">
        <v>7</v>
      </c>
      <c r="F1638" s="27" t="s">
        <v>5</v>
      </c>
      <c r="G1638" s="27" t="s">
        <v>2271</v>
      </c>
      <c r="H1638" s="27">
        <v>1</v>
      </c>
      <c r="I1638" s="27">
        <f>VLOOKUP(F1638,mapping!$L$2:$P$92,2,0)</f>
        <v>1</v>
      </c>
      <c r="J1638" s="27">
        <f>VLOOKUP($F1638,mapping!$L$2:$P$92,3,0)</f>
        <v>48386.69</v>
      </c>
      <c r="K1638" s="27" t="str">
        <f>VLOOKUP($F1638,mapping!$L$2:$P$92,4,0)</f>
        <v>Major Advanced Economies (G7)</v>
      </c>
      <c r="L1638" s="29">
        <f>$D1638*VLOOKUP($E1638,'Charts data'!$A$2:$B$11,2,0)*VLOOKUP($G1638,'Charts data'!$A$14:$B$18,2,0)/IF('Charts data'!$E$3=1,I1638,1)/IF('Charts data'!$E$4=1,J1638,1)</f>
        <v>100000</v>
      </c>
    </row>
    <row r="1639" spans="1:12" x14ac:dyDescent="0.25">
      <c r="A1639" s="27" t="s">
        <v>1505</v>
      </c>
      <c r="B1639" s="27">
        <v>60000</v>
      </c>
      <c r="C1639" s="27" t="s">
        <v>2</v>
      </c>
      <c r="D1639" s="28">
        <f>B1639*VLOOKUP(C1639,tblXrate[],2,0)</f>
        <v>60000</v>
      </c>
      <c r="E1639" s="27" t="s">
        <v>19</v>
      </c>
      <c r="F1639" s="27" t="s">
        <v>5</v>
      </c>
      <c r="G1639" s="27" t="s">
        <v>2272</v>
      </c>
      <c r="H1639" s="27">
        <v>20</v>
      </c>
      <c r="I1639" s="27">
        <f>VLOOKUP(F1639,mapping!$L$2:$P$92,2,0)</f>
        <v>1</v>
      </c>
      <c r="J1639" s="27">
        <f>VLOOKUP($F1639,mapping!$L$2:$P$92,3,0)</f>
        <v>48386.69</v>
      </c>
      <c r="K1639" s="27" t="str">
        <f>VLOOKUP($F1639,mapping!$L$2:$P$92,4,0)</f>
        <v>Major Advanced Economies (G7)</v>
      </c>
      <c r="L1639" s="29">
        <f>$D1639*VLOOKUP($E1639,'Charts data'!$A$2:$B$11,2,0)*VLOOKUP($G1639,'Charts data'!$A$14:$B$18,2,0)/IF('Charts data'!$E$3=1,I1639,1)/IF('Charts data'!$E$4=1,J1639,1)</f>
        <v>60000</v>
      </c>
    </row>
    <row r="1640" spans="1:12" x14ac:dyDescent="0.25">
      <c r="A1640" s="27" t="s">
        <v>1506</v>
      </c>
      <c r="B1640" s="27">
        <v>95000</v>
      </c>
      <c r="C1640" s="27" t="s">
        <v>2</v>
      </c>
      <c r="D1640" s="28">
        <f>B1640*VLOOKUP(C1640,tblXrate[],2,0)</f>
        <v>95000</v>
      </c>
      <c r="E1640" s="27" t="s">
        <v>7</v>
      </c>
      <c r="F1640" s="27" t="s">
        <v>5</v>
      </c>
      <c r="G1640" s="27" t="s">
        <v>2272</v>
      </c>
      <c r="H1640" s="27">
        <v>7</v>
      </c>
      <c r="I1640" s="27">
        <f>VLOOKUP(F1640,mapping!$L$2:$P$92,2,0)</f>
        <v>1</v>
      </c>
      <c r="J1640" s="27">
        <f>VLOOKUP($F1640,mapping!$L$2:$P$92,3,0)</f>
        <v>48386.69</v>
      </c>
      <c r="K1640" s="27" t="str">
        <f>VLOOKUP($F1640,mapping!$L$2:$P$92,4,0)</f>
        <v>Major Advanced Economies (G7)</v>
      </c>
      <c r="L1640" s="29">
        <f>$D1640*VLOOKUP($E1640,'Charts data'!$A$2:$B$11,2,0)*VLOOKUP($G1640,'Charts data'!$A$14:$B$18,2,0)/IF('Charts data'!$E$3=1,I1640,1)/IF('Charts data'!$E$4=1,J1640,1)</f>
        <v>95000</v>
      </c>
    </row>
    <row r="1641" spans="1:12" x14ac:dyDescent="0.25">
      <c r="A1641" s="27" t="s">
        <v>1507</v>
      </c>
      <c r="B1641" s="27">
        <v>24000</v>
      </c>
      <c r="C1641" s="27" t="s">
        <v>2</v>
      </c>
      <c r="D1641" s="28">
        <f>B1641*VLOOKUP(C1641,tblXrate[],2,0)</f>
        <v>24000</v>
      </c>
      <c r="E1641" s="27" t="s">
        <v>7</v>
      </c>
      <c r="F1641" s="27" t="s">
        <v>5</v>
      </c>
      <c r="G1641" s="27" t="s">
        <v>2274</v>
      </c>
      <c r="H1641" s="27">
        <v>33</v>
      </c>
      <c r="I1641" s="27">
        <f>VLOOKUP(F1641,mapping!$L$2:$P$92,2,0)</f>
        <v>1</v>
      </c>
      <c r="J1641" s="27">
        <f>VLOOKUP($F1641,mapping!$L$2:$P$92,3,0)</f>
        <v>48386.69</v>
      </c>
      <c r="K1641" s="27" t="str">
        <f>VLOOKUP($F1641,mapping!$L$2:$P$92,4,0)</f>
        <v>Major Advanced Economies (G7)</v>
      </c>
      <c r="L1641" s="29">
        <f>$D1641*VLOOKUP($E1641,'Charts data'!$A$2:$B$11,2,0)*VLOOKUP($G1641,'Charts data'!$A$14:$B$18,2,0)/IF('Charts data'!$E$3=1,I1641,1)/IF('Charts data'!$E$4=1,J1641,1)</f>
        <v>24000</v>
      </c>
    </row>
    <row r="1642" spans="1:12" x14ac:dyDescent="0.25">
      <c r="A1642" s="27" t="s">
        <v>1508</v>
      </c>
      <c r="B1642" s="27">
        <v>50000</v>
      </c>
      <c r="C1642" s="27" t="s">
        <v>2</v>
      </c>
      <c r="D1642" s="28">
        <f>B1642*VLOOKUP(C1642,tblXrate[],2,0)</f>
        <v>50000</v>
      </c>
      <c r="E1642" s="27" t="s">
        <v>48</v>
      </c>
      <c r="F1642" s="27" t="s">
        <v>5</v>
      </c>
      <c r="G1642" s="27" t="s">
        <v>2271</v>
      </c>
      <c r="H1642" s="27">
        <v>0.5</v>
      </c>
      <c r="I1642" s="27">
        <f>VLOOKUP(F1642,mapping!$L$2:$P$92,2,0)</f>
        <v>1</v>
      </c>
      <c r="J1642" s="27">
        <f>VLOOKUP($F1642,mapping!$L$2:$P$92,3,0)</f>
        <v>48386.69</v>
      </c>
      <c r="K1642" s="27" t="str">
        <f>VLOOKUP($F1642,mapping!$L$2:$P$92,4,0)</f>
        <v>Major Advanced Economies (G7)</v>
      </c>
      <c r="L1642" s="29">
        <f>$D1642*VLOOKUP($E1642,'Charts data'!$A$2:$B$11,2,0)*VLOOKUP($G1642,'Charts data'!$A$14:$B$18,2,0)/IF('Charts data'!$E$3=1,I1642,1)/IF('Charts data'!$E$4=1,J1642,1)</f>
        <v>50000</v>
      </c>
    </row>
    <row r="1643" spans="1:12" x14ac:dyDescent="0.25">
      <c r="A1643" s="27" t="s">
        <v>1509</v>
      </c>
      <c r="B1643" s="27">
        <v>103000</v>
      </c>
      <c r="C1643" s="27" t="s">
        <v>2</v>
      </c>
      <c r="D1643" s="28">
        <f>B1643*VLOOKUP(C1643,tblXrate[],2,0)</f>
        <v>103000</v>
      </c>
      <c r="E1643" s="27" t="s">
        <v>62</v>
      </c>
      <c r="F1643" s="27" t="s">
        <v>5</v>
      </c>
      <c r="G1643" s="27" t="s">
        <v>2271</v>
      </c>
      <c r="H1643" s="27">
        <v>22</v>
      </c>
      <c r="I1643" s="27">
        <f>VLOOKUP(F1643,mapping!$L$2:$P$92,2,0)</f>
        <v>1</v>
      </c>
      <c r="J1643" s="27">
        <f>VLOOKUP($F1643,mapping!$L$2:$P$92,3,0)</f>
        <v>48386.69</v>
      </c>
      <c r="K1643" s="27" t="str">
        <f>VLOOKUP($F1643,mapping!$L$2:$P$92,4,0)</f>
        <v>Major Advanced Economies (G7)</v>
      </c>
      <c r="L1643" s="29">
        <f>$D1643*VLOOKUP($E1643,'Charts data'!$A$2:$B$11,2,0)*VLOOKUP($G1643,'Charts data'!$A$14:$B$18,2,0)/IF('Charts data'!$E$3=1,I1643,1)/IF('Charts data'!$E$4=1,J1643,1)</f>
        <v>103000</v>
      </c>
    </row>
    <row r="1644" spans="1:12" x14ac:dyDescent="0.25">
      <c r="A1644" s="27" t="s">
        <v>1510</v>
      </c>
      <c r="B1644" s="27">
        <v>36000</v>
      </c>
      <c r="C1644" s="27" t="s">
        <v>2</v>
      </c>
      <c r="D1644" s="28">
        <f>B1644*VLOOKUP(C1644,tblXrate[],2,0)</f>
        <v>36000</v>
      </c>
      <c r="E1644" s="27" t="s">
        <v>23</v>
      </c>
      <c r="F1644" s="27" t="s">
        <v>5</v>
      </c>
      <c r="G1644" s="27" t="s">
        <v>2273</v>
      </c>
      <c r="H1644" s="27">
        <v>8</v>
      </c>
      <c r="I1644" s="27">
        <f>VLOOKUP(F1644,mapping!$L$2:$P$92,2,0)</f>
        <v>1</v>
      </c>
      <c r="J1644" s="27">
        <f>VLOOKUP($F1644,mapping!$L$2:$P$92,3,0)</f>
        <v>48386.69</v>
      </c>
      <c r="K1644" s="27" t="str">
        <f>VLOOKUP($F1644,mapping!$L$2:$P$92,4,0)</f>
        <v>Major Advanced Economies (G7)</v>
      </c>
      <c r="L1644" s="29">
        <f>$D1644*VLOOKUP($E1644,'Charts data'!$A$2:$B$11,2,0)*VLOOKUP($G1644,'Charts data'!$A$14:$B$18,2,0)/IF('Charts data'!$E$3=1,I1644,1)/IF('Charts data'!$E$4=1,J1644,1)</f>
        <v>36000</v>
      </c>
    </row>
    <row r="1645" spans="1:12" x14ac:dyDescent="0.25">
      <c r="A1645" s="27" t="s">
        <v>1511</v>
      </c>
      <c r="B1645" s="27">
        <v>85000</v>
      </c>
      <c r="C1645" s="27" t="s">
        <v>2</v>
      </c>
      <c r="D1645" s="28">
        <f>B1645*VLOOKUP(C1645,tblXrate[],2,0)</f>
        <v>85000</v>
      </c>
      <c r="E1645" s="27" t="s">
        <v>7</v>
      </c>
      <c r="F1645" s="27" t="s">
        <v>5</v>
      </c>
      <c r="G1645" s="27" t="s">
        <v>2271</v>
      </c>
      <c r="H1645" s="27">
        <v>17</v>
      </c>
      <c r="I1645" s="27">
        <f>VLOOKUP(F1645,mapping!$L$2:$P$92,2,0)</f>
        <v>1</v>
      </c>
      <c r="J1645" s="27">
        <f>VLOOKUP($F1645,mapping!$L$2:$P$92,3,0)</f>
        <v>48386.69</v>
      </c>
      <c r="K1645" s="27" t="str">
        <f>VLOOKUP($F1645,mapping!$L$2:$P$92,4,0)</f>
        <v>Major Advanced Economies (G7)</v>
      </c>
      <c r="L1645" s="29">
        <f>$D1645*VLOOKUP($E1645,'Charts data'!$A$2:$B$11,2,0)*VLOOKUP($G1645,'Charts data'!$A$14:$B$18,2,0)/IF('Charts data'!$E$3=1,I1645,1)/IF('Charts data'!$E$4=1,J1645,1)</f>
        <v>85000</v>
      </c>
    </row>
    <row r="1646" spans="1:12" x14ac:dyDescent="0.25">
      <c r="A1646" s="27" t="s">
        <v>1514</v>
      </c>
      <c r="B1646" s="27">
        <v>85000</v>
      </c>
      <c r="C1646" s="27" t="s">
        <v>2</v>
      </c>
      <c r="D1646" s="28">
        <f>B1646*VLOOKUP(C1646,tblXrate[],2,0)</f>
        <v>85000</v>
      </c>
      <c r="E1646" s="27" t="s">
        <v>48</v>
      </c>
      <c r="F1646" s="27" t="s">
        <v>5</v>
      </c>
      <c r="G1646" s="27" t="s">
        <v>2272</v>
      </c>
      <c r="H1646" s="27">
        <v>25</v>
      </c>
      <c r="I1646" s="27">
        <f>VLOOKUP(F1646,mapping!$L$2:$P$92,2,0)</f>
        <v>1</v>
      </c>
      <c r="J1646" s="27">
        <f>VLOOKUP($F1646,mapping!$L$2:$P$92,3,0)</f>
        <v>48386.69</v>
      </c>
      <c r="K1646" s="27" t="str">
        <f>VLOOKUP($F1646,mapping!$L$2:$P$92,4,0)</f>
        <v>Major Advanced Economies (G7)</v>
      </c>
      <c r="L1646" s="29">
        <f>$D1646*VLOOKUP($E1646,'Charts data'!$A$2:$B$11,2,0)*VLOOKUP($G1646,'Charts data'!$A$14:$B$18,2,0)/IF('Charts data'!$E$3=1,I1646,1)/IF('Charts data'!$E$4=1,J1646,1)</f>
        <v>85000</v>
      </c>
    </row>
    <row r="1647" spans="1:12" x14ac:dyDescent="0.25">
      <c r="A1647" s="27" t="s">
        <v>1515</v>
      </c>
      <c r="B1647" s="27">
        <v>120000</v>
      </c>
      <c r="C1647" s="27" t="s">
        <v>2</v>
      </c>
      <c r="D1647" s="28">
        <f>B1647*VLOOKUP(C1647,tblXrate[],2,0)</f>
        <v>120000</v>
      </c>
      <c r="E1647" s="27" t="s">
        <v>19</v>
      </c>
      <c r="F1647" s="27" t="s">
        <v>5</v>
      </c>
      <c r="G1647" s="27" t="s">
        <v>2272</v>
      </c>
      <c r="H1647" s="27">
        <v>5</v>
      </c>
      <c r="I1647" s="27">
        <f>VLOOKUP(F1647,mapping!$L$2:$P$92,2,0)</f>
        <v>1</v>
      </c>
      <c r="J1647" s="27">
        <f>VLOOKUP($F1647,mapping!$L$2:$P$92,3,0)</f>
        <v>48386.69</v>
      </c>
      <c r="K1647" s="27" t="str">
        <f>VLOOKUP($F1647,mapping!$L$2:$P$92,4,0)</f>
        <v>Major Advanced Economies (G7)</v>
      </c>
      <c r="L1647" s="29">
        <f>$D1647*VLOOKUP($E1647,'Charts data'!$A$2:$B$11,2,0)*VLOOKUP($G1647,'Charts data'!$A$14:$B$18,2,0)/IF('Charts data'!$E$3=1,I1647,1)/IF('Charts data'!$E$4=1,J1647,1)</f>
        <v>120000</v>
      </c>
    </row>
    <row r="1648" spans="1:12" x14ac:dyDescent="0.25">
      <c r="A1648" s="27" t="s">
        <v>1516</v>
      </c>
      <c r="B1648" s="27">
        <v>69960</v>
      </c>
      <c r="C1648" s="27" t="s">
        <v>2</v>
      </c>
      <c r="D1648" s="28">
        <f>B1648*VLOOKUP(C1648,tblXrate[],2,0)</f>
        <v>69960</v>
      </c>
      <c r="E1648" s="27" t="s">
        <v>48</v>
      </c>
      <c r="F1648" s="27" t="s">
        <v>5</v>
      </c>
      <c r="G1648" s="27" t="s">
        <v>2272</v>
      </c>
      <c r="H1648" s="27">
        <v>22</v>
      </c>
      <c r="I1648" s="27">
        <f>VLOOKUP(F1648,mapping!$L$2:$P$92,2,0)</f>
        <v>1</v>
      </c>
      <c r="J1648" s="27">
        <f>VLOOKUP($F1648,mapping!$L$2:$P$92,3,0)</f>
        <v>48386.69</v>
      </c>
      <c r="K1648" s="27" t="str">
        <f>VLOOKUP($F1648,mapping!$L$2:$P$92,4,0)</f>
        <v>Major Advanced Economies (G7)</v>
      </c>
      <c r="L1648" s="29">
        <f>$D1648*VLOOKUP($E1648,'Charts data'!$A$2:$B$11,2,0)*VLOOKUP($G1648,'Charts data'!$A$14:$B$18,2,0)/IF('Charts data'!$E$3=1,I1648,1)/IF('Charts data'!$E$4=1,J1648,1)</f>
        <v>69960</v>
      </c>
    </row>
    <row r="1649" spans="1:12" x14ac:dyDescent="0.25">
      <c r="A1649" s="27" t="s">
        <v>1517</v>
      </c>
      <c r="B1649" s="27">
        <v>97000</v>
      </c>
      <c r="C1649" s="27" t="s">
        <v>2</v>
      </c>
      <c r="D1649" s="28">
        <f>B1649*VLOOKUP(C1649,tblXrate[],2,0)</f>
        <v>97000</v>
      </c>
      <c r="E1649" s="27" t="s">
        <v>19</v>
      </c>
      <c r="F1649" s="27" t="s">
        <v>5</v>
      </c>
      <c r="G1649" s="27" t="s">
        <v>2271</v>
      </c>
      <c r="H1649" s="27">
        <v>14</v>
      </c>
      <c r="I1649" s="27">
        <f>VLOOKUP(F1649,mapping!$L$2:$P$92,2,0)</f>
        <v>1</v>
      </c>
      <c r="J1649" s="27">
        <f>VLOOKUP($F1649,mapping!$L$2:$P$92,3,0)</f>
        <v>48386.69</v>
      </c>
      <c r="K1649" s="27" t="str">
        <f>VLOOKUP($F1649,mapping!$L$2:$P$92,4,0)</f>
        <v>Major Advanced Economies (G7)</v>
      </c>
      <c r="L1649" s="29">
        <f>$D1649*VLOOKUP($E1649,'Charts data'!$A$2:$B$11,2,0)*VLOOKUP($G1649,'Charts data'!$A$14:$B$18,2,0)/IF('Charts data'!$E$3=1,I1649,1)/IF('Charts data'!$E$4=1,J1649,1)</f>
        <v>97000</v>
      </c>
    </row>
    <row r="1650" spans="1:12" x14ac:dyDescent="0.25">
      <c r="A1650" s="27" t="s">
        <v>1521</v>
      </c>
      <c r="B1650" s="27">
        <v>62000</v>
      </c>
      <c r="C1650" s="27" t="s">
        <v>2</v>
      </c>
      <c r="D1650" s="28">
        <f>B1650*VLOOKUP(C1650,tblXrate[],2,0)</f>
        <v>62000</v>
      </c>
      <c r="E1650" s="27" t="s">
        <v>23</v>
      </c>
      <c r="F1650" s="27" t="s">
        <v>5</v>
      </c>
      <c r="G1650" s="27" t="s">
        <v>2273</v>
      </c>
      <c r="H1650" s="27">
        <v>25</v>
      </c>
      <c r="I1650" s="27">
        <f>VLOOKUP(F1650,mapping!$L$2:$P$92,2,0)</f>
        <v>1</v>
      </c>
      <c r="J1650" s="27">
        <f>VLOOKUP($F1650,mapping!$L$2:$P$92,3,0)</f>
        <v>48386.69</v>
      </c>
      <c r="K1650" s="27" t="str">
        <f>VLOOKUP($F1650,mapping!$L$2:$P$92,4,0)</f>
        <v>Major Advanced Economies (G7)</v>
      </c>
      <c r="L1650" s="29">
        <f>$D1650*VLOOKUP($E1650,'Charts data'!$A$2:$B$11,2,0)*VLOOKUP($G1650,'Charts data'!$A$14:$B$18,2,0)/IF('Charts data'!$E$3=1,I1650,1)/IF('Charts data'!$E$4=1,J1650,1)</f>
        <v>62000</v>
      </c>
    </row>
    <row r="1651" spans="1:12" x14ac:dyDescent="0.25">
      <c r="A1651" s="27" t="s">
        <v>1522</v>
      </c>
      <c r="B1651" s="27">
        <v>44000</v>
      </c>
      <c r="C1651" s="27" t="s">
        <v>2</v>
      </c>
      <c r="D1651" s="28">
        <f>B1651*VLOOKUP(C1651,tblXrate[],2,0)</f>
        <v>44000</v>
      </c>
      <c r="E1651" s="27" t="s">
        <v>48</v>
      </c>
      <c r="F1651" s="27" t="s">
        <v>5</v>
      </c>
      <c r="G1651" s="27" t="s">
        <v>2271</v>
      </c>
      <c r="H1651" s="27">
        <v>15</v>
      </c>
      <c r="I1651" s="27">
        <f>VLOOKUP(F1651,mapping!$L$2:$P$92,2,0)</f>
        <v>1</v>
      </c>
      <c r="J1651" s="27">
        <f>VLOOKUP($F1651,mapping!$L$2:$P$92,3,0)</f>
        <v>48386.69</v>
      </c>
      <c r="K1651" s="27" t="str">
        <f>VLOOKUP($F1651,mapping!$L$2:$P$92,4,0)</f>
        <v>Major Advanced Economies (G7)</v>
      </c>
      <c r="L1651" s="29">
        <f>$D1651*VLOOKUP($E1651,'Charts data'!$A$2:$B$11,2,0)*VLOOKUP($G1651,'Charts data'!$A$14:$B$18,2,0)/IF('Charts data'!$E$3=1,I1651,1)/IF('Charts data'!$E$4=1,J1651,1)</f>
        <v>44000</v>
      </c>
    </row>
    <row r="1652" spans="1:12" x14ac:dyDescent="0.25">
      <c r="A1652" s="27" t="s">
        <v>1523</v>
      </c>
      <c r="B1652" s="27">
        <v>150000</v>
      </c>
      <c r="C1652" s="27" t="s">
        <v>2</v>
      </c>
      <c r="D1652" s="28">
        <f>B1652*VLOOKUP(C1652,tblXrate[],2,0)</f>
        <v>150000</v>
      </c>
      <c r="E1652" s="27" t="s">
        <v>19</v>
      </c>
      <c r="F1652" s="27" t="s">
        <v>5</v>
      </c>
      <c r="G1652" s="27" t="s">
        <v>2272</v>
      </c>
      <c r="H1652" s="27">
        <v>30</v>
      </c>
      <c r="I1652" s="27">
        <f>VLOOKUP(F1652,mapping!$L$2:$P$92,2,0)</f>
        <v>1</v>
      </c>
      <c r="J1652" s="27">
        <f>VLOOKUP($F1652,mapping!$L$2:$P$92,3,0)</f>
        <v>48386.69</v>
      </c>
      <c r="K1652" s="27" t="str">
        <f>VLOOKUP($F1652,mapping!$L$2:$P$92,4,0)</f>
        <v>Major Advanced Economies (G7)</v>
      </c>
      <c r="L1652" s="29">
        <f>$D1652*VLOOKUP($E1652,'Charts data'!$A$2:$B$11,2,0)*VLOOKUP($G1652,'Charts data'!$A$14:$B$18,2,0)/IF('Charts data'!$E$3=1,I1652,1)/IF('Charts data'!$E$4=1,J1652,1)</f>
        <v>150000</v>
      </c>
    </row>
    <row r="1653" spans="1:12" x14ac:dyDescent="0.25">
      <c r="A1653" s="27" t="s">
        <v>1524</v>
      </c>
      <c r="B1653" s="27">
        <v>73500</v>
      </c>
      <c r="C1653" s="27" t="s">
        <v>2</v>
      </c>
      <c r="D1653" s="28">
        <f>B1653*VLOOKUP(C1653,tblXrate[],2,0)</f>
        <v>73500</v>
      </c>
      <c r="E1653" s="27" t="s">
        <v>7</v>
      </c>
      <c r="F1653" s="27" t="s">
        <v>5</v>
      </c>
      <c r="G1653" s="27" t="s">
        <v>2273</v>
      </c>
      <c r="H1653" s="27">
        <v>6</v>
      </c>
      <c r="I1653" s="27">
        <f>VLOOKUP(F1653,mapping!$L$2:$P$92,2,0)</f>
        <v>1</v>
      </c>
      <c r="J1653" s="27">
        <f>VLOOKUP($F1653,mapping!$L$2:$P$92,3,0)</f>
        <v>48386.69</v>
      </c>
      <c r="K1653" s="27" t="str">
        <f>VLOOKUP($F1653,mapping!$L$2:$P$92,4,0)</f>
        <v>Major Advanced Economies (G7)</v>
      </c>
      <c r="L1653" s="29">
        <f>$D1653*VLOOKUP($E1653,'Charts data'!$A$2:$B$11,2,0)*VLOOKUP($G1653,'Charts data'!$A$14:$B$18,2,0)/IF('Charts data'!$E$3=1,I1653,1)/IF('Charts data'!$E$4=1,J1653,1)</f>
        <v>73500</v>
      </c>
    </row>
    <row r="1654" spans="1:12" x14ac:dyDescent="0.25">
      <c r="A1654" s="27" t="s">
        <v>1525</v>
      </c>
      <c r="B1654" s="27">
        <v>77500</v>
      </c>
      <c r="C1654" s="27" t="s">
        <v>2</v>
      </c>
      <c r="D1654" s="28">
        <f>B1654*VLOOKUP(C1654,tblXrate[],2,0)</f>
        <v>77500</v>
      </c>
      <c r="E1654" s="27" t="s">
        <v>7</v>
      </c>
      <c r="F1654" s="27" t="s">
        <v>5</v>
      </c>
      <c r="G1654" s="27" t="s">
        <v>2271</v>
      </c>
      <c r="H1654" s="27">
        <v>7</v>
      </c>
      <c r="I1654" s="27">
        <f>VLOOKUP(F1654,mapping!$L$2:$P$92,2,0)</f>
        <v>1</v>
      </c>
      <c r="J1654" s="27">
        <f>VLOOKUP($F1654,mapping!$L$2:$P$92,3,0)</f>
        <v>48386.69</v>
      </c>
      <c r="K1654" s="27" t="str">
        <f>VLOOKUP($F1654,mapping!$L$2:$P$92,4,0)</f>
        <v>Major Advanced Economies (G7)</v>
      </c>
      <c r="L1654" s="29">
        <f>$D1654*VLOOKUP($E1654,'Charts data'!$A$2:$B$11,2,0)*VLOOKUP($G1654,'Charts data'!$A$14:$B$18,2,0)/IF('Charts data'!$E$3=1,I1654,1)/IF('Charts data'!$E$4=1,J1654,1)</f>
        <v>77500</v>
      </c>
    </row>
    <row r="1655" spans="1:12" x14ac:dyDescent="0.25">
      <c r="A1655" s="27" t="s">
        <v>1526</v>
      </c>
      <c r="B1655" s="27">
        <v>60800</v>
      </c>
      <c r="C1655" s="27" t="s">
        <v>2</v>
      </c>
      <c r="D1655" s="28">
        <f>B1655*VLOOKUP(C1655,tblXrate[],2,0)</f>
        <v>60800</v>
      </c>
      <c r="E1655" s="27" t="s">
        <v>7</v>
      </c>
      <c r="F1655" s="27" t="s">
        <v>5</v>
      </c>
      <c r="G1655" s="27" t="s">
        <v>2273</v>
      </c>
      <c r="H1655" s="27">
        <v>10</v>
      </c>
      <c r="I1655" s="27">
        <f>VLOOKUP(F1655,mapping!$L$2:$P$92,2,0)</f>
        <v>1</v>
      </c>
      <c r="J1655" s="27">
        <f>VLOOKUP($F1655,mapping!$L$2:$P$92,3,0)</f>
        <v>48386.69</v>
      </c>
      <c r="K1655" s="27" t="str">
        <f>VLOOKUP($F1655,mapping!$L$2:$P$92,4,0)</f>
        <v>Major Advanced Economies (G7)</v>
      </c>
      <c r="L1655" s="29">
        <f>$D1655*VLOOKUP($E1655,'Charts data'!$A$2:$B$11,2,0)*VLOOKUP($G1655,'Charts data'!$A$14:$B$18,2,0)/IF('Charts data'!$E$3=1,I1655,1)/IF('Charts data'!$E$4=1,J1655,1)</f>
        <v>60800</v>
      </c>
    </row>
    <row r="1656" spans="1:12" x14ac:dyDescent="0.25">
      <c r="A1656" s="27" t="s">
        <v>1527</v>
      </c>
      <c r="B1656" s="27">
        <v>136000</v>
      </c>
      <c r="C1656" s="27" t="s">
        <v>2</v>
      </c>
      <c r="D1656" s="28">
        <f>B1656*VLOOKUP(C1656,tblXrate[],2,0)</f>
        <v>136000</v>
      </c>
      <c r="E1656" s="27" t="s">
        <v>19</v>
      </c>
      <c r="F1656" s="27" t="s">
        <v>5</v>
      </c>
      <c r="G1656" s="27" t="s">
        <v>2271</v>
      </c>
      <c r="H1656" s="27">
        <v>10</v>
      </c>
      <c r="I1656" s="27">
        <f>VLOOKUP(F1656,mapping!$L$2:$P$92,2,0)</f>
        <v>1</v>
      </c>
      <c r="J1656" s="27">
        <f>VLOOKUP($F1656,mapping!$L$2:$P$92,3,0)</f>
        <v>48386.69</v>
      </c>
      <c r="K1656" s="27" t="str">
        <f>VLOOKUP($F1656,mapping!$L$2:$P$92,4,0)</f>
        <v>Major Advanced Economies (G7)</v>
      </c>
      <c r="L1656" s="29">
        <f>$D1656*VLOOKUP($E1656,'Charts data'!$A$2:$B$11,2,0)*VLOOKUP($G1656,'Charts data'!$A$14:$B$18,2,0)/IF('Charts data'!$E$3=1,I1656,1)/IF('Charts data'!$E$4=1,J1656,1)</f>
        <v>136000</v>
      </c>
    </row>
    <row r="1657" spans="1:12" x14ac:dyDescent="0.25">
      <c r="A1657" s="27" t="s">
        <v>1529</v>
      </c>
      <c r="B1657" s="27">
        <v>95000</v>
      </c>
      <c r="C1657" s="27" t="s">
        <v>2</v>
      </c>
      <c r="D1657" s="28">
        <f>B1657*VLOOKUP(C1657,tblXrate[],2,0)</f>
        <v>95000</v>
      </c>
      <c r="E1657" s="27" t="s">
        <v>48</v>
      </c>
      <c r="F1657" s="27" t="s">
        <v>5</v>
      </c>
      <c r="G1657" s="27" t="s">
        <v>2271</v>
      </c>
      <c r="H1657" s="27">
        <v>14</v>
      </c>
      <c r="I1657" s="27">
        <f>VLOOKUP(F1657,mapping!$L$2:$P$92,2,0)</f>
        <v>1</v>
      </c>
      <c r="J1657" s="27">
        <f>VLOOKUP($F1657,mapping!$L$2:$P$92,3,0)</f>
        <v>48386.69</v>
      </c>
      <c r="K1657" s="27" t="str">
        <f>VLOOKUP($F1657,mapping!$L$2:$P$92,4,0)</f>
        <v>Major Advanced Economies (G7)</v>
      </c>
      <c r="L1657" s="29">
        <f>$D1657*VLOOKUP($E1657,'Charts data'!$A$2:$B$11,2,0)*VLOOKUP($G1657,'Charts data'!$A$14:$B$18,2,0)/IF('Charts data'!$E$3=1,I1657,1)/IF('Charts data'!$E$4=1,J1657,1)</f>
        <v>95000</v>
      </c>
    </row>
    <row r="1658" spans="1:12" x14ac:dyDescent="0.25">
      <c r="A1658" s="27" t="s">
        <v>1530</v>
      </c>
      <c r="B1658" s="27">
        <v>130000</v>
      </c>
      <c r="C1658" s="27" t="s">
        <v>2</v>
      </c>
      <c r="D1658" s="28">
        <f>B1658*VLOOKUP(C1658,tblXrate[],2,0)</f>
        <v>130000</v>
      </c>
      <c r="E1658" s="27" t="s">
        <v>19</v>
      </c>
      <c r="F1658" s="27" t="s">
        <v>5</v>
      </c>
      <c r="G1658" s="27" t="s">
        <v>2274</v>
      </c>
      <c r="H1658" s="27">
        <v>25</v>
      </c>
      <c r="I1658" s="27">
        <f>VLOOKUP(F1658,mapping!$L$2:$P$92,2,0)</f>
        <v>1</v>
      </c>
      <c r="J1658" s="27">
        <f>VLOOKUP($F1658,mapping!$L$2:$P$92,3,0)</f>
        <v>48386.69</v>
      </c>
      <c r="K1658" s="27" t="str">
        <f>VLOOKUP($F1658,mapping!$L$2:$P$92,4,0)</f>
        <v>Major Advanced Economies (G7)</v>
      </c>
      <c r="L1658" s="29">
        <f>$D1658*VLOOKUP($E1658,'Charts data'!$A$2:$B$11,2,0)*VLOOKUP($G1658,'Charts data'!$A$14:$B$18,2,0)/IF('Charts data'!$E$3=1,I1658,1)/IF('Charts data'!$E$4=1,J1658,1)</f>
        <v>130000</v>
      </c>
    </row>
    <row r="1659" spans="1:12" x14ac:dyDescent="0.25">
      <c r="A1659" s="27" t="s">
        <v>1531</v>
      </c>
      <c r="B1659" s="27">
        <v>65000</v>
      </c>
      <c r="C1659" s="27" t="s">
        <v>2</v>
      </c>
      <c r="D1659" s="28">
        <f>B1659*VLOOKUP(C1659,tblXrate[],2,0)</f>
        <v>65000</v>
      </c>
      <c r="E1659" s="27" t="s">
        <v>7</v>
      </c>
      <c r="F1659" s="27" t="s">
        <v>5</v>
      </c>
      <c r="G1659" s="27" t="s">
        <v>2272</v>
      </c>
      <c r="H1659" s="27">
        <v>10</v>
      </c>
      <c r="I1659" s="27">
        <f>VLOOKUP(F1659,mapping!$L$2:$P$92,2,0)</f>
        <v>1</v>
      </c>
      <c r="J1659" s="27">
        <f>VLOOKUP($F1659,mapping!$L$2:$P$92,3,0)</f>
        <v>48386.69</v>
      </c>
      <c r="K1659" s="27" t="str">
        <f>VLOOKUP($F1659,mapping!$L$2:$P$92,4,0)</f>
        <v>Major Advanced Economies (G7)</v>
      </c>
      <c r="L1659" s="29">
        <f>$D1659*VLOOKUP($E1659,'Charts data'!$A$2:$B$11,2,0)*VLOOKUP($G1659,'Charts data'!$A$14:$B$18,2,0)/IF('Charts data'!$E$3=1,I1659,1)/IF('Charts data'!$E$4=1,J1659,1)</f>
        <v>65000</v>
      </c>
    </row>
    <row r="1660" spans="1:12" x14ac:dyDescent="0.25">
      <c r="A1660" s="27" t="s">
        <v>1532</v>
      </c>
      <c r="B1660" s="27">
        <v>80000</v>
      </c>
      <c r="C1660" s="27" t="s">
        <v>2</v>
      </c>
      <c r="D1660" s="28">
        <f>B1660*VLOOKUP(C1660,tblXrate[],2,0)</f>
        <v>80000</v>
      </c>
      <c r="E1660" s="27" t="s">
        <v>53</v>
      </c>
      <c r="F1660" s="27" t="s">
        <v>5</v>
      </c>
      <c r="G1660" s="27" t="s">
        <v>2272</v>
      </c>
      <c r="H1660" s="27">
        <v>8</v>
      </c>
      <c r="I1660" s="27">
        <f>VLOOKUP(F1660,mapping!$L$2:$P$92,2,0)</f>
        <v>1</v>
      </c>
      <c r="J1660" s="27">
        <f>VLOOKUP($F1660,mapping!$L$2:$P$92,3,0)</f>
        <v>48386.69</v>
      </c>
      <c r="K1660" s="27" t="str">
        <f>VLOOKUP($F1660,mapping!$L$2:$P$92,4,0)</f>
        <v>Major Advanced Economies (G7)</v>
      </c>
      <c r="L1660" s="29">
        <f>$D1660*VLOOKUP($E1660,'Charts data'!$A$2:$B$11,2,0)*VLOOKUP($G1660,'Charts data'!$A$14:$B$18,2,0)/IF('Charts data'!$E$3=1,I1660,1)/IF('Charts data'!$E$4=1,J1660,1)</f>
        <v>80000</v>
      </c>
    </row>
    <row r="1661" spans="1:12" x14ac:dyDescent="0.25">
      <c r="A1661" s="27" t="s">
        <v>1533</v>
      </c>
      <c r="B1661" s="27">
        <v>37000</v>
      </c>
      <c r="C1661" s="27" t="s">
        <v>2</v>
      </c>
      <c r="D1661" s="28">
        <f>B1661*VLOOKUP(C1661,tblXrate[],2,0)</f>
        <v>37000</v>
      </c>
      <c r="E1661" s="27" t="s">
        <v>2145</v>
      </c>
      <c r="F1661" s="27" t="s">
        <v>5</v>
      </c>
      <c r="G1661" s="27" t="s">
        <v>2272</v>
      </c>
      <c r="H1661" s="27">
        <v>30</v>
      </c>
      <c r="I1661" s="27">
        <f>VLOOKUP(F1661,mapping!$L$2:$P$92,2,0)</f>
        <v>1</v>
      </c>
      <c r="J1661" s="27">
        <f>VLOOKUP($F1661,mapping!$L$2:$P$92,3,0)</f>
        <v>48386.69</v>
      </c>
      <c r="K1661" s="27" t="str">
        <f>VLOOKUP($F1661,mapping!$L$2:$P$92,4,0)</f>
        <v>Major Advanced Economies (G7)</v>
      </c>
      <c r="L1661" s="29">
        <f>$D1661*VLOOKUP($E1661,'Charts data'!$A$2:$B$11,2,0)*VLOOKUP($G1661,'Charts data'!$A$14:$B$18,2,0)/IF('Charts data'!$E$3=1,I1661,1)/IF('Charts data'!$E$4=1,J1661,1)</f>
        <v>37000</v>
      </c>
    </row>
    <row r="1662" spans="1:12" x14ac:dyDescent="0.25">
      <c r="A1662" s="27" t="s">
        <v>1534</v>
      </c>
      <c r="B1662" s="27">
        <v>40000</v>
      </c>
      <c r="C1662" s="27" t="s">
        <v>2</v>
      </c>
      <c r="D1662" s="28">
        <f>B1662*VLOOKUP(C1662,tblXrate[],2,0)</f>
        <v>40000</v>
      </c>
      <c r="E1662" s="27" t="s">
        <v>19</v>
      </c>
      <c r="F1662" s="27" t="s">
        <v>5</v>
      </c>
      <c r="G1662" s="27" t="s">
        <v>2274</v>
      </c>
      <c r="H1662" s="27">
        <v>8</v>
      </c>
      <c r="I1662" s="27">
        <f>VLOOKUP(F1662,mapping!$L$2:$P$92,2,0)</f>
        <v>1</v>
      </c>
      <c r="J1662" s="27">
        <f>VLOOKUP($F1662,mapping!$L$2:$P$92,3,0)</f>
        <v>48386.69</v>
      </c>
      <c r="K1662" s="27" t="str">
        <f>VLOOKUP($F1662,mapping!$L$2:$P$92,4,0)</f>
        <v>Major Advanced Economies (G7)</v>
      </c>
      <c r="L1662" s="29">
        <f>$D1662*VLOOKUP($E1662,'Charts data'!$A$2:$B$11,2,0)*VLOOKUP($G1662,'Charts data'!$A$14:$B$18,2,0)/IF('Charts data'!$E$3=1,I1662,1)/IF('Charts data'!$E$4=1,J1662,1)</f>
        <v>40000</v>
      </c>
    </row>
    <row r="1663" spans="1:12" x14ac:dyDescent="0.25">
      <c r="A1663" s="27" t="s">
        <v>1535</v>
      </c>
      <c r="B1663" s="27">
        <v>49000</v>
      </c>
      <c r="C1663" s="27" t="s">
        <v>2</v>
      </c>
      <c r="D1663" s="28">
        <f>B1663*VLOOKUP(C1663,tblXrate[],2,0)</f>
        <v>49000</v>
      </c>
      <c r="E1663" s="27" t="s">
        <v>7</v>
      </c>
      <c r="F1663" s="27" t="s">
        <v>5</v>
      </c>
      <c r="G1663" s="27" t="s">
        <v>2271</v>
      </c>
      <c r="H1663" s="27">
        <v>10</v>
      </c>
      <c r="I1663" s="27">
        <f>VLOOKUP(F1663,mapping!$L$2:$P$92,2,0)</f>
        <v>1</v>
      </c>
      <c r="J1663" s="27">
        <f>VLOOKUP($F1663,mapping!$L$2:$P$92,3,0)</f>
        <v>48386.69</v>
      </c>
      <c r="K1663" s="27" t="str">
        <f>VLOOKUP($F1663,mapping!$L$2:$P$92,4,0)</f>
        <v>Major Advanced Economies (G7)</v>
      </c>
      <c r="L1663" s="29">
        <f>$D1663*VLOOKUP($E1663,'Charts data'!$A$2:$B$11,2,0)*VLOOKUP($G1663,'Charts data'!$A$14:$B$18,2,0)/IF('Charts data'!$E$3=1,I1663,1)/IF('Charts data'!$E$4=1,J1663,1)</f>
        <v>49000</v>
      </c>
    </row>
    <row r="1664" spans="1:12" x14ac:dyDescent="0.25">
      <c r="A1664" s="27" t="s">
        <v>1536</v>
      </c>
      <c r="B1664" s="27">
        <v>65000</v>
      </c>
      <c r="C1664" s="27" t="s">
        <v>2</v>
      </c>
      <c r="D1664" s="28">
        <f>B1664*VLOOKUP(C1664,tblXrate[],2,0)</f>
        <v>65000</v>
      </c>
      <c r="E1664" s="27" t="s">
        <v>7</v>
      </c>
      <c r="F1664" s="27" t="s">
        <v>5</v>
      </c>
      <c r="G1664" s="27" t="s">
        <v>2273</v>
      </c>
      <c r="H1664" s="27">
        <v>14</v>
      </c>
      <c r="I1664" s="27">
        <f>VLOOKUP(F1664,mapping!$L$2:$P$92,2,0)</f>
        <v>1</v>
      </c>
      <c r="J1664" s="27">
        <f>VLOOKUP($F1664,mapping!$L$2:$P$92,3,0)</f>
        <v>48386.69</v>
      </c>
      <c r="K1664" s="27" t="str">
        <f>VLOOKUP($F1664,mapping!$L$2:$P$92,4,0)</f>
        <v>Major Advanced Economies (G7)</v>
      </c>
      <c r="L1664" s="29">
        <f>$D1664*VLOOKUP($E1664,'Charts data'!$A$2:$B$11,2,0)*VLOOKUP($G1664,'Charts data'!$A$14:$B$18,2,0)/IF('Charts data'!$E$3=1,I1664,1)/IF('Charts data'!$E$4=1,J1664,1)</f>
        <v>65000</v>
      </c>
    </row>
    <row r="1665" spans="1:12" x14ac:dyDescent="0.25">
      <c r="A1665" s="27" t="s">
        <v>1537</v>
      </c>
      <c r="B1665" s="27">
        <v>55000</v>
      </c>
      <c r="C1665" s="27" t="s">
        <v>2</v>
      </c>
      <c r="D1665" s="28">
        <f>B1665*VLOOKUP(C1665,tblXrate[],2,0)</f>
        <v>55000</v>
      </c>
      <c r="E1665" s="27" t="s">
        <v>7</v>
      </c>
      <c r="F1665" s="27" t="s">
        <v>5</v>
      </c>
      <c r="G1665" s="27" t="s">
        <v>2273</v>
      </c>
      <c r="H1665" s="27">
        <v>1</v>
      </c>
      <c r="I1665" s="27">
        <f>VLOOKUP(F1665,mapping!$L$2:$P$92,2,0)</f>
        <v>1</v>
      </c>
      <c r="J1665" s="27">
        <f>VLOOKUP($F1665,mapping!$L$2:$P$92,3,0)</f>
        <v>48386.69</v>
      </c>
      <c r="K1665" s="27" t="str">
        <f>VLOOKUP($F1665,mapping!$L$2:$P$92,4,0)</f>
        <v>Major Advanced Economies (G7)</v>
      </c>
      <c r="L1665" s="29">
        <f>$D1665*VLOOKUP($E1665,'Charts data'!$A$2:$B$11,2,0)*VLOOKUP($G1665,'Charts data'!$A$14:$B$18,2,0)/IF('Charts data'!$E$3=1,I1665,1)/IF('Charts data'!$E$4=1,J1665,1)</f>
        <v>55000</v>
      </c>
    </row>
    <row r="1666" spans="1:12" x14ac:dyDescent="0.25">
      <c r="A1666" s="27" t="s">
        <v>1538</v>
      </c>
      <c r="B1666" s="27">
        <v>40000</v>
      </c>
      <c r="C1666" s="27" t="s">
        <v>2</v>
      </c>
      <c r="D1666" s="28">
        <f>B1666*VLOOKUP(C1666,tblXrate[],2,0)</f>
        <v>40000</v>
      </c>
      <c r="E1666" s="27" t="s">
        <v>19</v>
      </c>
      <c r="F1666" s="27" t="s">
        <v>5</v>
      </c>
      <c r="G1666" s="27" t="s">
        <v>2271</v>
      </c>
      <c r="H1666" s="27">
        <v>1</v>
      </c>
      <c r="I1666" s="27">
        <f>VLOOKUP(F1666,mapping!$L$2:$P$92,2,0)</f>
        <v>1</v>
      </c>
      <c r="J1666" s="27">
        <f>VLOOKUP($F1666,mapping!$L$2:$P$92,3,0)</f>
        <v>48386.69</v>
      </c>
      <c r="K1666" s="27" t="str">
        <f>VLOOKUP($F1666,mapping!$L$2:$P$92,4,0)</f>
        <v>Major Advanced Economies (G7)</v>
      </c>
      <c r="L1666" s="29">
        <f>$D1666*VLOOKUP($E1666,'Charts data'!$A$2:$B$11,2,0)*VLOOKUP($G1666,'Charts data'!$A$14:$B$18,2,0)/IF('Charts data'!$E$3=1,I1666,1)/IF('Charts data'!$E$4=1,J1666,1)</f>
        <v>40000</v>
      </c>
    </row>
    <row r="1667" spans="1:12" x14ac:dyDescent="0.25">
      <c r="A1667" s="27" t="s">
        <v>1539</v>
      </c>
      <c r="B1667" s="27">
        <v>60000</v>
      </c>
      <c r="C1667" s="27" t="s">
        <v>2</v>
      </c>
      <c r="D1667" s="28">
        <f>B1667*VLOOKUP(C1667,tblXrate[],2,0)</f>
        <v>60000</v>
      </c>
      <c r="E1667" s="27" t="s">
        <v>7</v>
      </c>
      <c r="F1667" s="27" t="s">
        <v>5</v>
      </c>
      <c r="G1667" s="27" t="s">
        <v>2271</v>
      </c>
      <c r="H1667" s="27">
        <v>15</v>
      </c>
      <c r="I1667" s="27">
        <f>VLOOKUP(F1667,mapping!$L$2:$P$92,2,0)</f>
        <v>1</v>
      </c>
      <c r="J1667" s="27">
        <f>VLOOKUP($F1667,mapping!$L$2:$P$92,3,0)</f>
        <v>48386.69</v>
      </c>
      <c r="K1667" s="27" t="str">
        <f>VLOOKUP($F1667,mapping!$L$2:$P$92,4,0)</f>
        <v>Major Advanced Economies (G7)</v>
      </c>
      <c r="L1667" s="29">
        <f>$D1667*VLOOKUP($E1667,'Charts data'!$A$2:$B$11,2,0)*VLOOKUP($G1667,'Charts data'!$A$14:$B$18,2,0)/IF('Charts data'!$E$3=1,I1667,1)/IF('Charts data'!$E$4=1,J1667,1)</f>
        <v>60000</v>
      </c>
    </row>
    <row r="1668" spans="1:12" x14ac:dyDescent="0.25">
      <c r="A1668" s="27" t="s">
        <v>1541</v>
      </c>
      <c r="B1668" s="27">
        <v>150000</v>
      </c>
      <c r="C1668" s="27" t="s">
        <v>2</v>
      </c>
      <c r="D1668" s="28">
        <f>B1668*VLOOKUP(C1668,tblXrate[],2,0)</f>
        <v>150000</v>
      </c>
      <c r="E1668" s="27" t="s">
        <v>7</v>
      </c>
      <c r="F1668" s="27" t="s">
        <v>5</v>
      </c>
      <c r="G1668" s="27" t="s">
        <v>2272</v>
      </c>
      <c r="H1668" s="27">
        <v>30</v>
      </c>
      <c r="I1668" s="27">
        <f>VLOOKUP(F1668,mapping!$L$2:$P$92,2,0)</f>
        <v>1</v>
      </c>
      <c r="J1668" s="27">
        <f>VLOOKUP($F1668,mapping!$L$2:$P$92,3,0)</f>
        <v>48386.69</v>
      </c>
      <c r="K1668" s="27" t="str">
        <f>VLOOKUP($F1668,mapping!$L$2:$P$92,4,0)</f>
        <v>Major Advanced Economies (G7)</v>
      </c>
      <c r="L1668" s="29">
        <f>$D1668*VLOOKUP($E1668,'Charts data'!$A$2:$B$11,2,0)*VLOOKUP($G1668,'Charts data'!$A$14:$B$18,2,0)/IF('Charts data'!$E$3=1,I1668,1)/IF('Charts data'!$E$4=1,J1668,1)</f>
        <v>150000</v>
      </c>
    </row>
    <row r="1669" spans="1:12" x14ac:dyDescent="0.25">
      <c r="A1669" s="27" t="s">
        <v>1542</v>
      </c>
      <c r="B1669" s="27">
        <v>88000</v>
      </c>
      <c r="C1669" s="27" t="s">
        <v>2</v>
      </c>
      <c r="D1669" s="28">
        <f>B1669*VLOOKUP(C1669,tblXrate[],2,0)</f>
        <v>88000</v>
      </c>
      <c r="E1669" s="27" t="s">
        <v>19</v>
      </c>
      <c r="F1669" s="27" t="s">
        <v>5</v>
      </c>
      <c r="G1669" s="27" t="s">
        <v>2271</v>
      </c>
      <c r="H1669" s="27">
        <v>21</v>
      </c>
      <c r="I1669" s="27">
        <f>VLOOKUP(F1669,mapping!$L$2:$P$92,2,0)</f>
        <v>1</v>
      </c>
      <c r="J1669" s="27">
        <f>VLOOKUP($F1669,mapping!$L$2:$P$92,3,0)</f>
        <v>48386.69</v>
      </c>
      <c r="K1669" s="27" t="str">
        <f>VLOOKUP($F1669,mapping!$L$2:$P$92,4,0)</f>
        <v>Major Advanced Economies (G7)</v>
      </c>
      <c r="L1669" s="29">
        <f>$D1669*VLOOKUP($E1669,'Charts data'!$A$2:$B$11,2,0)*VLOOKUP($G1669,'Charts data'!$A$14:$B$18,2,0)/IF('Charts data'!$E$3=1,I1669,1)/IF('Charts data'!$E$4=1,J1669,1)</f>
        <v>88000</v>
      </c>
    </row>
    <row r="1670" spans="1:12" x14ac:dyDescent="0.25">
      <c r="A1670" s="27" t="s">
        <v>1543</v>
      </c>
      <c r="B1670" s="27">
        <v>64500</v>
      </c>
      <c r="C1670" s="27" t="s">
        <v>2</v>
      </c>
      <c r="D1670" s="28">
        <f>B1670*VLOOKUP(C1670,tblXrate[],2,0)</f>
        <v>64500</v>
      </c>
      <c r="E1670" s="27" t="s">
        <v>7</v>
      </c>
      <c r="F1670" s="27" t="s">
        <v>5</v>
      </c>
      <c r="G1670" s="27" t="s">
        <v>2271</v>
      </c>
      <c r="H1670" s="27">
        <v>13</v>
      </c>
      <c r="I1670" s="27">
        <f>VLOOKUP(F1670,mapping!$L$2:$P$92,2,0)</f>
        <v>1</v>
      </c>
      <c r="J1670" s="27">
        <f>VLOOKUP($F1670,mapping!$L$2:$P$92,3,0)</f>
        <v>48386.69</v>
      </c>
      <c r="K1670" s="27" t="str">
        <f>VLOOKUP($F1670,mapping!$L$2:$P$92,4,0)</f>
        <v>Major Advanced Economies (G7)</v>
      </c>
      <c r="L1670" s="29">
        <f>$D1670*VLOOKUP($E1670,'Charts data'!$A$2:$B$11,2,0)*VLOOKUP($G1670,'Charts data'!$A$14:$B$18,2,0)/IF('Charts data'!$E$3=1,I1670,1)/IF('Charts data'!$E$4=1,J1670,1)</f>
        <v>64500</v>
      </c>
    </row>
    <row r="1671" spans="1:12" x14ac:dyDescent="0.25">
      <c r="A1671" s="27" t="s">
        <v>1545</v>
      </c>
      <c r="B1671" s="27">
        <v>50000</v>
      </c>
      <c r="C1671" s="27" t="s">
        <v>2</v>
      </c>
      <c r="D1671" s="28">
        <f>B1671*VLOOKUP(C1671,tblXrate[],2,0)</f>
        <v>50000</v>
      </c>
      <c r="E1671" s="27" t="s">
        <v>51</v>
      </c>
      <c r="F1671" s="27" t="s">
        <v>5</v>
      </c>
      <c r="G1671" s="27" t="s">
        <v>2271</v>
      </c>
      <c r="H1671" s="27">
        <v>15</v>
      </c>
      <c r="I1671" s="27">
        <f>VLOOKUP(F1671,mapping!$L$2:$P$92,2,0)</f>
        <v>1</v>
      </c>
      <c r="J1671" s="27">
        <f>VLOOKUP($F1671,mapping!$L$2:$P$92,3,0)</f>
        <v>48386.69</v>
      </c>
      <c r="K1671" s="27" t="str">
        <f>VLOOKUP($F1671,mapping!$L$2:$P$92,4,0)</f>
        <v>Major Advanced Economies (G7)</v>
      </c>
      <c r="L1671" s="29">
        <f>$D1671*VLOOKUP($E1671,'Charts data'!$A$2:$B$11,2,0)*VLOOKUP($G1671,'Charts data'!$A$14:$B$18,2,0)/IF('Charts data'!$E$3=1,I1671,1)/IF('Charts data'!$E$4=1,J1671,1)</f>
        <v>50000</v>
      </c>
    </row>
    <row r="1672" spans="1:12" x14ac:dyDescent="0.25">
      <c r="A1672" s="27" t="s">
        <v>1546</v>
      </c>
      <c r="B1672" s="27">
        <v>120000</v>
      </c>
      <c r="C1672" s="27" t="s">
        <v>2</v>
      </c>
      <c r="D1672" s="28">
        <f>B1672*VLOOKUP(C1672,tblXrate[],2,0)</f>
        <v>120000</v>
      </c>
      <c r="E1672" s="27" t="s">
        <v>19</v>
      </c>
      <c r="F1672" s="27" t="s">
        <v>5</v>
      </c>
      <c r="G1672" s="27" t="s">
        <v>2272</v>
      </c>
      <c r="H1672" s="27">
        <v>10</v>
      </c>
      <c r="I1672" s="27">
        <f>VLOOKUP(F1672,mapping!$L$2:$P$92,2,0)</f>
        <v>1</v>
      </c>
      <c r="J1672" s="27">
        <f>VLOOKUP($F1672,mapping!$L$2:$P$92,3,0)</f>
        <v>48386.69</v>
      </c>
      <c r="K1672" s="27" t="str">
        <f>VLOOKUP($F1672,mapping!$L$2:$P$92,4,0)</f>
        <v>Major Advanced Economies (G7)</v>
      </c>
      <c r="L1672" s="29">
        <f>$D1672*VLOOKUP($E1672,'Charts data'!$A$2:$B$11,2,0)*VLOOKUP($G1672,'Charts data'!$A$14:$B$18,2,0)/IF('Charts data'!$E$3=1,I1672,1)/IF('Charts data'!$E$4=1,J1672,1)</f>
        <v>120000</v>
      </c>
    </row>
    <row r="1673" spans="1:12" x14ac:dyDescent="0.25">
      <c r="A1673" s="27" t="s">
        <v>1547</v>
      </c>
      <c r="B1673" s="27">
        <v>107000</v>
      </c>
      <c r="C1673" s="27" t="s">
        <v>2</v>
      </c>
      <c r="D1673" s="28">
        <f>B1673*VLOOKUP(C1673,tblXrate[],2,0)</f>
        <v>107000</v>
      </c>
      <c r="E1673" s="27" t="s">
        <v>19</v>
      </c>
      <c r="F1673" s="27" t="s">
        <v>5</v>
      </c>
      <c r="G1673" s="27" t="s">
        <v>2273</v>
      </c>
      <c r="H1673" s="27">
        <v>29</v>
      </c>
      <c r="I1673" s="27">
        <f>VLOOKUP(F1673,mapping!$L$2:$P$92,2,0)</f>
        <v>1</v>
      </c>
      <c r="J1673" s="27">
        <f>VLOOKUP($F1673,mapping!$L$2:$P$92,3,0)</f>
        <v>48386.69</v>
      </c>
      <c r="K1673" s="27" t="str">
        <f>VLOOKUP($F1673,mapping!$L$2:$P$92,4,0)</f>
        <v>Major Advanced Economies (G7)</v>
      </c>
      <c r="L1673" s="29">
        <f>$D1673*VLOOKUP($E1673,'Charts data'!$A$2:$B$11,2,0)*VLOOKUP($G1673,'Charts data'!$A$14:$B$18,2,0)/IF('Charts data'!$E$3=1,I1673,1)/IF('Charts data'!$E$4=1,J1673,1)</f>
        <v>107000</v>
      </c>
    </row>
    <row r="1674" spans="1:12" x14ac:dyDescent="0.25">
      <c r="A1674" s="27" t="s">
        <v>1548</v>
      </c>
      <c r="B1674" s="27">
        <v>40000</v>
      </c>
      <c r="C1674" s="27" t="s">
        <v>2</v>
      </c>
      <c r="D1674" s="28">
        <f>B1674*VLOOKUP(C1674,tblXrate[],2,0)</f>
        <v>40000</v>
      </c>
      <c r="E1674" s="27" t="s">
        <v>7</v>
      </c>
      <c r="F1674" s="27" t="s">
        <v>5</v>
      </c>
      <c r="G1674" s="27" t="s">
        <v>2272</v>
      </c>
      <c r="H1674" s="27">
        <v>6</v>
      </c>
      <c r="I1674" s="27">
        <f>VLOOKUP(F1674,mapping!$L$2:$P$92,2,0)</f>
        <v>1</v>
      </c>
      <c r="J1674" s="27">
        <f>VLOOKUP($F1674,mapping!$L$2:$P$92,3,0)</f>
        <v>48386.69</v>
      </c>
      <c r="K1674" s="27" t="str">
        <f>VLOOKUP($F1674,mapping!$L$2:$P$92,4,0)</f>
        <v>Major Advanced Economies (G7)</v>
      </c>
      <c r="L1674" s="29">
        <f>$D1674*VLOOKUP($E1674,'Charts data'!$A$2:$B$11,2,0)*VLOOKUP($G1674,'Charts data'!$A$14:$B$18,2,0)/IF('Charts data'!$E$3=1,I1674,1)/IF('Charts data'!$E$4=1,J1674,1)</f>
        <v>40000</v>
      </c>
    </row>
    <row r="1675" spans="1:12" x14ac:dyDescent="0.25">
      <c r="A1675" s="27" t="s">
        <v>1549</v>
      </c>
      <c r="B1675" s="27">
        <v>81000</v>
      </c>
      <c r="C1675" s="27" t="s">
        <v>2</v>
      </c>
      <c r="D1675" s="28">
        <f>B1675*VLOOKUP(C1675,tblXrate[],2,0)</f>
        <v>81000</v>
      </c>
      <c r="E1675" s="27" t="s">
        <v>19</v>
      </c>
      <c r="F1675" s="27" t="s">
        <v>5</v>
      </c>
      <c r="G1675" s="27" t="s">
        <v>2274</v>
      </c>
      <c r="H1675" s="27">
        <v>12</v>
      </c>
      <c r="I1675" s="27">
        <f>VLOOKUP(F1675,mapping!$L$2:$P$92,2,0)</f>
        <v>1</v>
      </c>
      <c r="J1675" s="27">
        <f>VLOOKUP($F1675,mapping!$L$2:$P$92,3,0)</f>
        <v>48386.69</v>
      </c>
      <c r="K1675" s="27" t="str">
        <f>VLOOKUP($F1675,mapping!$L$2:$P$92,4,0)</f>
        <v>Major Advanced Economies (G7)</v>
      </c>
      <c r="L1675" s="29">
        <f>$D1675*VLOOKUP($E1675,'Charts data'!$A$2:$B$11,2,0)*VLOOKUP($G1675,'Charts data'!$A$14:$B$18,2,0)/IF('Charts data'!$E$3=1,I1675,1)/IF('Charts data'!$E$4=1,J1675,1)</f>
        <v>81000</v>
      </c>
    </row>
    <row r="1676" spans="1:12" x14ac:dyDescent="0.25">
      <c r="A1676" s="27" t="s">
        <v>1550</v>
      </c>
      <c r="B1676" s="27">
        <v>45000</v>
      </c>
      <c r="C1676" s="27" t="s">
        <v>2</v>
      </c>
      <c r="D1676" s="28">
        <f>B1676*VLOOKUP(C1676,tblXrate[],2,0)</f>
        <v>45000</v>
      </c>
      <c r="E1676" s="27" t="s">
        <v>23</v>
      </c>
      <c r="F1676" s="27" t="s">
        <v>5</v>
      </c>
      <c r="G1676" s="27" t="s">
        <v>2271</v>
      </c>
      <c r="H1676" s="27">
        <v>20</v>
      </c>
      <c r="I1676" s="27">
        <f>VLOOKUP(F1676,mapping!$L$2:$P$92,2,0)</f>
        <v>1</v>
      </c>
      <c r="J1676" s="27">
        <f>VLOOKUP($F1676,mapping!$L$2:$P$92,3,0)</f>
        <v>48386.69</v>
      </c>
      <c r="K1676" s="27" t="str">
        <f>VLOOKUP($F1676,mapping!$L$2:$P$92,4,0)</f>
        <v>Major Advanced Economies (G7)</v>
      </c>
      <c r="L1676" s="29">
        <f>$D1676*VLOOKUP($E1676,'Charts data'!$A$2:$B$11,2,0)*VLOOKUP($G1676,'Charts data'!$A$14:$B$18,2,0)/IF('Charts data'!$E$3=1,I1676,1)/IF('Charts data'!$E$4=1,J1676,1)</f>
        <v>45000</v>
      </c>
    </row>
    <row r="1677" spans="1:12" x14ac:dyDescent="0.25">
      <c r="A1677" s="27" t="s">
        <v>1551</v>
      </c>
      <c r="B1677" s="27">
        <v>49000</v>
      </c>
      <c r="C1677" s="27" t="s">
        <v>2</v>
      </c>
      <c r="D1677" s="28">
        <f>B1677*VLOOKUP(C1677,tblXrate[],2,0)</f>
        <v>49000</v>
      </c>
      <c r="E1677" s="27" t="s">
        <v>23</v>
      </c>
      <c r="F1677" s="27" t="s">
        <v>5</v>
      </c>
      <c r="G1677" s="27" t="s">
        <v>2271</v>
      </c>
      <c r="H1677" s="27">
        <v>5</v>
      </c>
      <c r="I1677" s="27">
        <f>VLOOKUP(F1677,mapping!$L$2:$P$92,2,0)</f>
        <v>1</v>
      </c>
      <c r="J1677" s="27">
        <f>VLOOKUP($F1677,mapping!$L$2:$P$92,3,0)</f>
        <v>48386.69</v>
      </c>
      <c r="K1677" s="27" t="str">
        <f>VLOOKUP($F1677,mapping!$L$2:$P$92,4,0)</f>
        <v>Major Advanced Economies (G7)</v>
      </c>
      <c r="L1677" s="29">
        <f>$D1677*VLOOKUP($E1677,'Charts data'!$A$2:$B$11,2,0)*VLOOKUP($G1677,'Charts data'!$A$14:$B$18,2,0)/IF('Charts data'!$E$3=1,I1677,1)/IF('Charts data'!$E$4=1,J1677,1)</f>
        <v>49000</v>
      </c>
    </row>
    <row r="1678" spans="1:12" x14ac:dyDescent="0.25">
      <c r="A1678" s="27" t="s">
        <v>1553</v>
      </c>
      <c r="B1678" s="27">
        <v>72000</v>
      </c>
      <c r="C1678" s="27" t="s">
        <v>2</v>
      </c>
      <c r="D1678" s="28">
        <f>B1678*VLOOKUP(C1678,tblXrate[],2,0)</f>
        <v>72000</v>
      </c>
      <c r="E1678" s="27" t="s">
        <v>19</v>
      </c>
      <c r="F1678" s="27" t="s">
        <v>5</v>
      </c>
      <c r="G1678" s="27" t="s">
        <v>2274</v>
      </c>
      <c r="H1678" s="27">
        <v>20</v>
      </c>
      <c r="I1678" s="27">
        <f>VLOOKUP(F1678,mapping!$L$2:$P$92,2,0)</f>
        <v>1</v>
      </c>
      <c r="J1678" s="27">
        <f>VLOOKUP($F1678,mapping!$L$2:$P$92,3,0)</f>
        <v>48386.69</v>
      </c>
      <c r="K1678" s="27" t="str">
        <f>VLOOKUP($F1678,mapping!$L$2:$P$92,4,0)</f>
        <v>Major Advanced Economies (G7)</v>
      </c>
      <c r="L1678" s="29">
        <f>$D1678*VLOOKUP($E1678,'Charts data'!$A$2:$B$11,2,0)*VLOOKUP($G1678,'Charts data'!$A$14:$B$18,2,0)/IF('Charts data'!$E$3=1,I1678,1)/IF('Charts data'!$E$4=1,J1678,1)</f>
        <v>72000</v>
      </c>
    </row>
    <row r="1679" spans="1:12" x14ac:dyDescent="0.25">
      <c r="A1679" s="27" t="s">
        <v>1554</v>
      </c>
      <c r="B1679" s="27">
        <v>50000</v>
      </c>
      <c r="C1679" s="27" t="s">
        <v>2</v>
      </c>
      <c r="D1679" s="28">
        <f>B1679*VLOOKUP(C1679,tblXrate[],2,0)</f>
        <v>50000</v>
      </c>
      <c r="E1679" s="27" t="s">
        <v>7</v>
      </c>
      <c r="F1679" s="27" t="s">
        <v>5</v>
      </c>
      <c r="G1679" s="27" t="s">
        <v>2271</v>
      </c>
      <c r="H1679" s="27">
        <v>7</v>
      </c>
      <c r="I1679" s="27">
        <f>VLOOKUP(F1679,mapping!$L$2:$P$92,2,0)</f>
        <v>1</v>
      </c>
      <c r="J1679" s="27">
        <f>VLOOKUP($F1679,mapping!$L$2:$P$92,3,0)</f>
        <v>48386.69</v>
      </c>
      <c r="K1679" s="27" t="str">
        <f>VLOOKUP($F1679,mapping!$L$2:$P$92,4,0)</f>
        <v>Major Advanced Economies (G7)</v>
      </c>
      <c r="L1679" s="29">
        <f>$D1679*VLOOKUP($E1679,'Charts data'!$A$2:$B$11,2,0)*VLOOKUP($G1679,'Charts data'!$A$14:$B$18,2,0)/IF('Charts data'!$E$3=1,I1679,1)/IF('Charts data'!$E$4=1,J1679,1)</f>
        <v>50000</v>
      </c>
    </row>
    <row r="1680" spans="1:12" x14ac:dyDescent="0.25">
      <c r="A1680" s="27" t="s">
        <v>1555</v>
      </c>
      <c r="B1680" s="27">
        <v>57678</v>
      </c>
      <c r="C1680" s="27" t="s">
        <v>2</v>
      </c>
      <c r="D1680" s="28">
        <f>B1680*VLOOKUP(C1680,tblXrate[],2,0)</f>
        <v>57678</v>
      </c>
      <c r="E1680" s="27" t="s">
        <v>7</v>
      </c>
      <c r="F1680" s="27" t="s">
        <v>5</v>
      </c>
      <c r="G1680" s="27" t="s">
        <v>2271</v>
      </c>
      <c r="H1680" s="27">
        <v>2</v>
      </c>
      <c r="I1680" s="27">
        <f>VLOOKUP(F1680,mapping!$L$2:$P$92,2,0)</f>
        <v>1</v>
      </c>
      <c r="J1680" s="27">
        <f>VLOOKUP($F1680,mapping!$L$2:$P$92,3,0)</f>
        <v>48386.69</v>
      </c>
      <c r="K1680" s="27" t="str">
        <f>VLOOKUP($F1680,mapping!$L$2:$P$92,4,0)</f>
        <v>Major Advanced Economies (G7)</v>
      </c>
      <c r="L1680" s="29">
        <f>$D1680*VLOOKUP($E1680,'Charts data'!$A$2:$B$11,2,0)*VLOOKUP($G1680,'Charts data'!$A$14:$B$18,2,0)/IF('Charts data'!$E$3=1,I1680,1)/IF('Charts data'!$E$4=1,J1680,1)</f>
        <v>57678</v>
      </c>
    </row>
    <row r="1681" spans="1:12" x14ac:dyDescent="0.25">
      <c r="A1681" s="27" t="s">
        <v>1556</v>
      </c>
      <c r="B1681" s="27">
        <v>80442</v>
      </c>
      <c r="C1681" s="27" t="s">
        <v>2</v>
      </c>
      <c r="D1681" s="28">
        <f>B1681*VLOOKUP(C1681,tblXrate[],2,0)</f>
        <v>80442</v>
      </c>
      <c r="E1681" s="27" t="s">
        <v>7</v>
      </c>
      <c r="F1681" s="27" t="s">
        <v>5</v>
      </c>
      <c r="G1681" s="27" t="s">
        <v>2271</v>
      </c>
      <c r="H1681" s="27">
        <v>16</v>
      </c>
      <c r="I1681" s="27">
        <f>VLOOKUP(F1681,mapping!$L$2:$P$92,2,0)</f>
        <v>1</v>
      </c>
      <c r="J1681" s="27">
        <f>VLOOKUP($F1681,mapping!$L$2:$P$92,3,0)</f>
        <v>48386.69</v>
      </c>
      <c r="K1681" s="27" t="str">
        <f>VLOOKUP($F1681,mapping!$L$2:$P$92,4,0)</f>
        <v>Major Advanced Economies (G7)</v>
      </c>
      <c r="L1681" s="29">
        <f>$D1681*VLOOKUP($E1681,'Charts data'!$A$2:$B$11,2,0)*VLOOKUP($G1681,'Charts data'!$A$14:$B$18,2,0)/IF('Charts data'!$E$3=1,I1681,1)/IF('Charts data'!$E$4=1,J1681,1)</f>
        <v>80442</v>
      </c>
    </row>
    <row r="1682" spans="1:12" x14ac:dyDescent="0.25">
      <c r="A1682" s="27" t="s">
        <v>1557</v>
      </c>
      <c r="B1682" s="27">
        <v>75000</v>
      </c>
      <c r="C1682" s="27" t="s">
        <v>2</v>
      </c>
      <c r="D1682" s="28">
        <f>B1682*VLOOKUP(C1682,tblXrate[],2,0)</f>
        <v>75000</v>
      </c>
      <c r="E1682" s="27" t="s">
        <v>19</v>
      </c>
      <c r="F1682" s="27" t="s">
        <v>5</v>
      </c>
      <c r="G1682" s="27" t="s">
        <v>2274</v>
      </c>
      <c r="H1682" s="27">
        <v>9</v>
      </c>
      <c r="I1682" s="27">
        <f>VLOOKUP(F1682,mapping!$L$2:$P$92,2,0)</f>
        <v>1</v>
      </c>
      <c r="J1682" s="27">
        <f>VLOOKUP($F1682,mapping!$L$2:$P$92,3,0)</f>
        <v>48386.69</v>
      </c>
      <c r="K1682" s="27" t="str">
        <f>VLOOKUP($F1682,mapping!$L$2:$P$92,4,0)</f>
        <v>Major Advanced Economies (G7)</v>
      </c>
      <c r="L1682" s="29">
        <f>$D1682*VLOOKUP($E1682,'Charts data'!$A$2:$B$11,2,0)*VLOOKUP($G1682,'Charts data'!$A$14:$B$18,2,0)/IF('Charts data'!$E$3=1,I1682,1)/IF('Charts data'!$E$4=1,J1682,1)</f>
        <v>75000</v>
      </c>
    </row>
    <row r="1683" spans="1:12" x14ac:dyDescent="0.25">
      <c r="A1683" s="27" t="s">
        <v>1558</v>
      </c>
      <c r="B1683" s="27">
        <v>61000</v>
      </c>
      <c r="C1683" s="27" t="s">
        <v>2</v>
      </c>
      <c r="D1683" s="28">
        <f>B1683*VLOOKUP(C1683,tblXrate[],2,0)</f>
        <v>61000</v>
      </c>
      <c r="E1683" s="27" t="s">
        <v>7</v>
      </c>
      <c r="F1683" s="27" t="s">
        <v>5</v>
      </c>
      <c r="G1683" s="27" t="s">
        <v>2271</v>
      </c>
      <c r="H1683" s="27">
        <v>12</v>
      </c>
      <c r="I1683" s="27">
        <f>VLOOKUP(F1683,mapping!$L$2:$P$92,2,0)</f>
        <v>1</v>
      </c>
      <c r="J1683" s="27">
        <f>VLOOKUP($F1683,mapping!$L$2:$P$92,3,0)</f>
        <v>48386.69</v>
      </c>
      <c r="K1683" s="27" t="str">
        <f>VLOOKUP($F1683,mapping!$L$2:$P$92,4,0)</f>
        <v>Major Advanced Economies (G7)</v>
      </c>
      <c r="L1683" s="29">
        <f>$D1683*VLOOKUP($E1683,'Charts data'!$A$2:$B$11,2,0)*VLOOKUP($G1683,'Charts data'!$A$14:$B$18,2,0)/IF('Charts data'!$E$3=1,I1683,1)/IF('Charts data'!$E$4=1,J1683,1)</f>
        <v>61000</v>
      </c>
    </row>
    <row r="1684" spans="1:12" x14ac:dyDescent="0.25">
      <c r="A1684" s="27" t="s">
        <v>1559</v>
      </c>
      <c r="B1684" s="27">
        <v>77000</v>
      </c>
      <c r="C1684" s="27" t="s">
        <v>2</v>
      </c>
      <c r="D1684" s="28">
        <f>B1684*VLOOKUP(C1684,tblXrate[],2,0)</f>
        <v>77000</v>
      </c>
      <c r="E1684" s="27" t="s">
        <v>48</v>
      </c>
      <c r="F1684" s="27" t="s">
        <v>5</v>
      </c>
      <c r="G1684" s="27" t="s">
        <v>2271</v>
      </c>
      <c r="H1684" s="27">
        <v>10</v>
      </c>
      <c r="I1684" s="27">
        <f>VLOOKUP(F1684,mapping!$L$2:$P$92,2,0)</f>
        <v>1</v>
      </c>
      <c r="J1684" s="27">
        <f>VLOOKUP($F1684,mapping!$L$2:$P$92,3,0)</f>
        <v>48386.69</v>
      </c>
      <c r="K1684" s="27" t="str">
        <f>VLOOKUP($F1684,mapping!$L$2:$P$92,4,0)</f>
        <v>Major Advanced Economies (G7)</v>
      </c>
      <c r="L1684" s="29">
        <f>$D1684*VLOOKUP($E1684,'Charts data'!$A$2:$B$11,2,0)*VLOOKUP($G1684,'Charts data'!$A$14:$B$18,2,0)/IF('Charts data'!$E$3=1,I1684,1)/IF('Charts data'!$E$4=1,J1684,1)</f>
        <v>77000</v>
      </c>
    </row>
    <row r="1685" spans="1:12" x14ac:dyDescent="0.25">
      <c r="A1685" s="27" t="s">
        <v>1560</v>
      </c>
      <c r="B1685" s="27">
        <v>92000</v>
      </c>
      <c r="C1685" s="27" t="s">
        <v>2</v>
      </c>
      <c r="D1685" s="28">
        <f>B1685*VLOOKUP(C1685,tblXrate[],2,0)</f>
        <v>92000</v>
      </c>
      <c r="E1685" s="27" t="s">
        <v>62</v>
      </c>
      <c r="F1685" s="27" t="s">
        <v>5</v>
      </c>
      <c r="G1685" s="27" t="s">
        <v>2272</v>
      </c>
      <c r="H1685" s="27">
        <v>9</v>
      </c>
      <c r="I1685" s="27">
        <f>VLOOKUP(F1685,mapping!$L$2:$P$92,2,0)</f>
        <v>1</v>
      </c>
      <c r="J1685" s="27">
        <f>VLOOKUP($F1685,mapping!$L$2:$P$92,3,0)</f>
        <v>48386.69</v>
      </c>
      <c r="K1685" s="27" t="str">
        <f>VLOOKUP($F1685,mapping!$L$2:$P$92,4,0)</f>
        <v>Major Advanced Economies (G7)</v>
      </c>
      <c r="L1685" s="29">
        <f>$D1685*VLOOKUP($E1685,'Charts data'!$A$2:$B$11,2,0)*VLOOKUP($G1685,'Charts data'!$A$14:$B$18,2,0)/IF('Charts data'!$E$3=1,I1685,1)/IF('Charts data'!$E$4=1,J1685,1)</f>
        <v>92000</v>
      </c>
    </row>
    <row r="1686" spans="1:12" x14ac:dyDescent="0.25">
      <c r="A1686" s="27" t="s">
        <v>1561</v>
      </c>
      <c r="B1686" s="27">
        <v>72000</v>
      </c>
      <c r="C1686" s="27" t="s">
        <v>2</v>
      </c>
      <c r="D1686" s="28">
        <f>B1686*VLOOKUP(C1686,tblXrate[],2,0)</f>
        <v>72000</v>
      </c>
      <c r="E1686" s="27" t="s">
        <v>7</v>
      </c>
      <c r="F1686" s="27" t="s">
        <v>5</v>
      </c>
      <c r="G1686" s="27" t="s">
        <v>2273</v>
      </c>
      <c r="H1686" s="27">
        <v>10</v>
      </c>
      <c r="I1686" s="27">
        <f>VLOOKUP(F1686,mapping!$L$2:$P$92,2,0)</f>
        <v>1</v>
      </c>
      <c r="J1686" s="27">
        <f>VLOOKUP($F1686,mapping!$L$2:$P$92,3,0)</f>
        <v>48386.69</v>
      </c>
      <c r="K1686" s="27" t="str">
        <f>VLOOKUP($F1686,mapping!$L$2:$P$92,4,0)</f>
        <v>Major Advanced Economies (G7)</v>
      </c>
      <c r="L1686" s="29">
        <f>$D1686*VLOOKUP($E1686,'Charts data'!$A$2:$B$11,2,0)*VLOOKUP($G1686,'Charts data'!$A$14:$B$18,2,0)/IF('Charts data'!$E$3=1,I1686,1)/IF('Charts data'!$E$4=1,J1686,1)</f>
        <v>72000</v>
      </c>
    </row>
    <row r="1687" spans="1:12" x14ac:dyDescent="0.25">
      <c r="A1687" s="27" t="s">
        <v>1563</v>
      </c>
      <c r="B1687" s="27">
        <v>111000</v>
      </c>
      <c r="C1687" s="27" t="s">
        <v>2</v>
      </c>
      <c r="D1687" s="28">
        <f>B1687*VLOOKUP(C1687,tblXrate[],2,0)</f>
        <v>111000</v>
      </c>
      <c r="E1687" s="27" t="s">
        <v>19</v>
      </c>
      <c r="F1687" s="27" t="s">
        <v>5</v>
      </c>
      <c r="G1687" s="27" t="s">
        <v>2272</v>
      </c>
      <c r="H1687" s="27">
        <v>10</v>
      </c>
      <c r="I1687" s="27">
        <f>VLOOKUP(F1687,mapping!$L$2:$P$92,2,0)</f>
        <v>1</v>
      </c>
      <c r="J1687" s="27">
        <f>VLOOKUP($F1687,mapping!$L$2:$P$92,3,0)</f>
        <v>48386.69</v>
      </c>
      <c r="K1687" s="27" t="str">
        <f>VLOOKUP($F1687,mapping!$L$2:$P$92,4,0)</f>
        <v>Major Advanced Economies (G7)</v>
      </c>
      <c r="L1687" s="29">
        <f>$D1687*VLOOKUP($E1687,'Charts data'!$A$2:$B$11,2,0)*VLOOKUP($G1687,'Charts data'!$A$14:$B$18,2,0)/IF('Charts data'!$E$3=1,I1687,1)/IF('Charts data'!$E$4=1,J1687,1)</f>
        <v>111000</v>
      </c>
    </row>
    <row r="1688" spans="1:12" x14ac:dyDescent="0.25">
      <c r="A1688" s="27" t="s">
        <v>1564</v>
      </c>
      <c r="B1688" s="27">
        <v>80000</v>
      </c>
      <c r="C1688" s="27" t="s">
        <v>2</v>
      </c>
      <c r="D1688" s="28">
        <f>B1688*VLOOKUP(C1688,tblXrate[],2,0)</f>
        <v>80000</v>
      </c>
      <c r="E1688" s="27" t="s">
        <v>7</v>
      </c>
      <c r="F1688" s="27" t="s">
        <v>5</v>
      </c>
      <c r="G1688" s="27" t="s">
        <v>2271</v>
      </c>
      <c r="H1688" s="27">
        <v>20</v>
      </c>
      <c r="I1688" s="27">
        <f>VLOOKUP(F1688,mapping!$L$2:$P$92,2,0)</f>
        <v>1</v>
      </c>
      <c r="J1688" s="27">
        <f>VLOOKUP($F1688,mapping!$L$2:$P$92,3,0)</f>
        <v>48386.69</v>
      </c>
      <c r="K1688" s="27" t="str">
        <f>VLOOKUP($F1688,mapping!$L$2:$P$92,4,0)</f>
        <v>Major Advanced Economies (G7)</v>
      </c>
      <c r="L1688" s="29">
        <f>$D1688*VLOOKUP($E1688,'Charts data'!$A$2:$B$11,2,0)*VLOOKUP($G1688,'Charts data'!$A$14:$B$18,2,0)/IF('Charts data'!$E$3=1,I1688,1)/IF('Charts data'!$E$4=1,J1688,1)</f>
        <v>80000</v>
      </c>
    </row>
    <row r="1689" spans="1:12" x14ac:dyDescent="0.25">
      <c r="A1689" s="27" t="s">
        <v>1567</v>
      </c>
      <c r="B1689" s="27">
        <v>24000</v>
      </c>
      <c r="C1689" s="27" t="s">
        <v>2</v>
      </c>
      <c r="D1689" s="28">
        <f>B1689*VLOOKUP(C1689,tblXrate[],2,0)</f>
        <v>24000</v>
      </c>
      <c r="E1689" s="27" t="s">
        <v>62</v>
      </c>
      <c r="F1689" s="27" t="s">
        <v>5</v>
      </c>
      <c r="G1689" s="27" t="s">
        <v>2274</v>
      </c>
      <c r="H1689" s="27">
        <v>2</v>
      </c>
      <c r="I1689" s="27">
        <f>VLOOKUP(F1689,mapping!$L$2:$P$92,2,0)</f>
        <v>1</v>
      </c>
      <c r="J1689" s="27">
        <f>VLOOKUP($F1689,mapping!$L$2:$P$92,3,0)</f>
        <v>48386.69</v>
      </c>
      <c r="K1689" s="27" t="str">
        <f>VLOOKUP($F1689,mapping!$L$2:$P$92,4,0)</f>
        <v>Major Advanced Economies (G7)</v>
      </c>
      <c r="L1689" s="29">
        <f>$D1689*VLOOKUP($E1689,'Charts data'!$A$2:$B$11,2,0)*VLOOKUP($G1689,'Charts data'!$A$14:$B$18,2,0)/IF('Charts data'!$E$3=1,I1689,1)/IF('Charts data'!$E$4=1,J1689,1)</f>
        <v>24000</v>
      </c>
    </row>
    <row r="1690" spans="1:12" x14ac:dyDescent="0.25">
      <c r="A1690" s="27" t="s">
        <v>1568</v>
      </c>
      <c r="B1690" s="27">
        <v>61000</v>
      </c>
      <c r="C1690" s="27" t="s">
        <v>2</v>
      </c>
      <c r="D1690" s="28">
        <f>B1690*VLOOKUP(C1690,tblXrate[],2,0)</f>
        <v>61000</v>
      </c>
      <c r="E1690" s="27" t="s">
        <v>19</v>
      </c>
      <c r="F1690" s="27" t="s">
        <v>5</v>
      </c>
      <c r="G1690" s="27" t="s">
        <v>2272</v>
      </c>
      <c r="H1690" s="27">
        <v>25</v>
      </c>
      <c r="I1690" s="27">
        <f>VLOOKUP(F1690,mapping!$L$2:$P$92,2,0)</f>
        <v>1</v>
      </c>
      <c r="J1690" s="27">
        <f>VLOOKUP($F1690,mapping!$L$2:$P$92,3,0)</f>
        <v>48386.69</v>
      </c>
      <c r="K1690" s="27" t="str">
        <f>VLOOKUP($F1690,mapping!$L$2:$P$92,4,0)</f>
        <v>Major Advanced Economies (G7)</v>
      </c>
      <c r="L1690" s="29">
        <f>$D1690*VLOOKUP($E1690,'Charts data'!$A$2:$B$11,2,0)*VLOOKUP($G1690,'Charts data'!$A$14:$B$18,2,0)/IF('Charts data'!$E$3=1,I1690,1)/IF('Charts data'!$E$4=1,J1690,1)</f>
        <v>61000</v>
      </c>
    </row>
    <row r="1691" spans="1:12" x14ac:dyDescent="0.25">
      <c r="A1691" s="27" t="s">
        <v>1571</v>
      </c>
      <c r="B1691" s="27">
        <v>96230</v>
      </c>
      <c r="C1691" s="27" t="s">
        <v>2</v>
      </c>
      <c r="D1691" s="28">
        <f>B1691*VLOOKUP(C1691,tblXrate[],2,0)</f>
        <v>96230</v>
      </c>
      <c r="E1691" s="27" t="s">
        <v>19</v>
      </c>
      <c r="F1691" s="27" t="s">
        <v>5</v>
      </c>
      <c r="G1691" s="27" t="s">
        <v>2271</v>
      </c>
      <c r="H1691" s="27">
        <v>18</v>
      </c>
      <c r="I1691" s="27">
        <f>VLOOKUP(F1691,mapping!$L$2:$P$92,2,0)</f>
        <v>1</v>
      </c>
      <c r="J1691" s="27">
        <f>VLOOKUP($F1691,mapping!$L$2:$P$92,3,0)</f>
        <v>48386.69</v>
      </c>
      <c r="K1691" s="27" t="str">
        <f>VLOOKUP($F1691,mapping!$L$2:$P$92,4,0)</f>
        <v>Major Advanced Economies (G7)</v>
      </c>
      <c r="L1691" s="29">
        <f>$D1691*VLOOKUP($E1691,'Charts data'!$A$2:$B$11,2,0)*VLOOKUP($G1691,'Charts data'!$A$14:$B$18,2,0)/IF('Charts data'!$E$3=1,I1691,1)/IF('Charts data'!$E$4=1,J1691,1)</f>
        <v>96230</v>
      </c>
    </row>
    <row r="1692" spans="1:12" x14ac:dyDescent="0.25">
      <c r="A1692" s="27" t="s">
        <v>1572</v>
      </c>
      <c r="B1692" s="27">
        <v>75000</v>
      </c>
      <c r="C1692" s="27" t="s">
        <v>2</v>
      </c>
      <c r="D1692" s="28">
        <f>B1692*VLOOKUP(C1692,tblXrate[],2,0)</f>
        <v>75000</v>
      </c>
      <c r="E1692" s="27" t="s">
        <v>7</v>
      </c>
      <c r="F1692" s="27" t="s">
        <v>5</v>
      </c>
      <c r="G1692" s="27" t="s">
        <v>2272</v>
      </c>
      <c r="H1692" s="27">
        <v>1.5</v>
      </c>
      <c r="I1692" s="27">
        <f>VLOOKUP(F1692,mapping!$L$2:$P$92,2,0)</f>
        <v>1</v>
      </c>
      <c r="J1692" s="27">
        <f>VLOOKUP($F1692,mapping!$L$2:$P$92,3,0)</f>
        <v>48386.69</v>
      </c>
      <c r="K1692" s="27" t="str">
        <f>VLOOKUP($F1692,mapping!$L$2:$P$92,4,0)</f>
        <v>Major Advanced Economies (G7)</v>
      </c>
      <c r="L1692" s="29">
        <f>$D1692*VLOOKUP($E1692,'Charts data'!$A$2:$B$11,2,0)*VLOOKUP($G1692,'Charts data'!$A$14:$B$18,2,0)/IF('Charts data'!$E$3=1,I1692,1)/IF('Charts data'!$E$4=1,J1692,1)</f>
        <v>75000</v>
      </c>
    </row>
    <row r="1693" spans="1:12" x14ac:dyDescent="0.25">
      <c r="A1693" s="27" t="s">
        <v>1573</v>
      </c>
      <c r="B1693" s="27">
        <v>102000</v>
      </c>
      <c r="C1693" s="27" t="s">
        <v>2</v>
      </c>
      <c r="D1693" s="28">
        <f>B1693*VLOOKUP(C1693,tblXrate[],2,0)</f>
        <v>102000</v>
      </c>
      <c r="E1693" s="27" t="s">
        <v>7</v>
      </c>
      <c r="F1693" s="27" t="s">
        <v>5</v>
      </c>
      <c r="G1693" s="27" t="s">
        <v>2271</v>
      </c>
      <c r="H1693" s="27">
        <v>5</v>
      </c>
      <c r="I1693" s="27">
        <f>VLOOKUP(F1693,mapping!$L$2:$P$92,2,0)</f>
        <v>1</v>
      </c>
      <c r="J1693" s="27">
        <f>VLOOKUP($F1693,mapping!$L$2:$P$92,3,0)</f>
        <v>48386.69</v>
      </c>
      <c r="K1693" s="27" t="str">
        <f>VLOOKUP($F1693,mapping!$L$2:$P$92,4,0)</f>
        <v>Major Advanced Economies (G7)</v>
      </c>
      <c r="L1693" s="29">
        <f>$D1693*VLOOKUP($E1693,'Charts data'!$A$2:$B$11,2,0)*VLOOKUP($G1693,'Charts data'!$A$14:$B$18,2,0)/IF('Charts data'!$E$3=1,I1693,1)/IF('Charts data'!$E$4=1,J1693,1)</f>
        <v>102000</v>
      </c>
    </row>
    <row r="1694" spans="1:12" x14ac:dyDescent="0.25">
      <c r="A1694" s="27" t="s">
        <v>1577</v>
      </c>
      <c r="B1694" s="27">
        <v>67000</v>
      </c>
      <c r="C1694" s="27" t="s">
        <v>2</v>
      </c>
      <c r="D1694" s="28">
        <f>B1694*VLOOKUP(C1694,tblXrate[],2,0)</f>
        <v>67000</v>
      </c>
      <c r="E1694" s="27" t="s">
        <v>19</v>
      </c>
      <c r="F1694" s="27" t="s">
        <v>5</v>
      </c>
      <c r="G1694" s="27" t="s">
        <v>2272</v>
      </c>
      <c r="H1694" s="27">
        <v>20</v>
      </c>
      <c r="I1694" s="27">
        <f>VLOOKUP(F1694,mapping!$L$2:$P$92,2,0)</f>
        <v>1</v>
      </c>
      <c r="J1694" s="27">
        <f>VLOOKUP($F1694,mapping!$L$2:$P$92,3,0)</f>
        <v>48386.69</v>
      </c>
      <c r="K1694" s="27" t="str">
        <f>VLOOKUP($F1694,mapping!$L$2:$P$92,4,0)</f>
        <v>Major Advanced Economies (G7)</v>
      </c>
      <c r="L1694" s="29">
        <f>$D1694*VLOOKUP($E1694,'Charts data'!$A$2:$B$11,2,0)*VLOOKUP($G1694,'Charts data'!$A$14:$B$18,2,0)/IF('Charts data'!$E$3=1,I1694,1)/IF('Charts data'!$E$4=1,J1694,1)</f>
        <v>67000</v>
      </c>
    </row>
    <row r="1695" spans="1:12" x14ac:dyDescent="0.25">
      <c r="A1695" s="27" t="s">
        <v>1587</v>
      </c>
      <c r="B1695" s="27">
        <v>60000</v>
      </c>
      <c r="C1695" s="27" t="s">
        <v>2</v>
      </c>
      <c r="D1695" s="28">
        <f>B1695*VLOOKUP(C1695,tblXrate[],2,0)</f>
        <v>60000</v>
      </c>
      <c r="E1695" s="27" t="s">
        <v>19</v>
      </c>
      <c r="F1695" s="27" t="s">
        <v>5</v>
      </c>
      <c r="G1695" s="27" t="s">
        <v>2272</v>
      </c>
      <c r="H1695" s="27">
        <v>4</v>
      </c>
      <c r="I1695" s="27">
        <f>VLOOKUP(F1695,mapping!$L$2:$P$92,2,0)</f>
        <v>1</v>
      </c>
      <c r="J1695" s="27">
        <f>VLOOKUP($F1695,mapping!$L$2:$P$92,3,0)</f>
        <v>48386.69</v>
      </c>
      <c r="K1695" s="27" t="str">
        <f>VLOOKUP($F1695,mapping!$L$2:$P$92,4,0)</f>
        <v>Major Advanced Economies (G7)</v>
      </c>
      <c r="L1695" s="29">
        <f>$D1695*VLOOKUP($E1695,'Charts data'!$A$2:$B$11,2,0)*VLOOKUP($G1695,'Charts data'!$A$14:$B$18,2,0)/IF('Charts data'!$E$3=1,I1695,1)/IF('Charts data'!$E$4=1,J1695,1)</f>
        <v>60000</v>
      </c>
    </row>
    <row r="1696" spans="1:12" x14ac:dyDescent="0.25">
      <c r="A1696" s="27" t="s">
        <v>1607</v>
      </c>
      <c r="B1696" s="27">
        <v>42000</v>
      </c>
      <c r="C1696" s="27" t="s">
        <v>2</v>
      </c>
      <c r="D1696" s="28">
        <f>B1696*VLOOKUP(C1696,tblXrate[],2,0)</f>
        <v>42000</v>
      </c>
      <c r="E1696" s="27" t="s">
        <v>7</v>
      </c>
      <c r="F1696" s="27" t="s">
        <v>5</v>
      </c>
      <c r="G1696" s="27" t="s">
        <v>2273</v>
      </c>
      <c r="H1696" s="27">
        <v>2</v>
      </c>
      <c r="I1696" s="27">
        <f>VLOOKUP(F1696,mapping!$L$2:$P$92,2,0)</f>
        <v>1</v>
      </c>
      <c r="J1696" s="27">
        <f>VLOOKUP($F1696,mapping!$L$2:$P$92,3,0)</f>
        <v>48386.69</v>
      </c>
      <c r="K1696" s="27" t="str">
        <f>VLOOKUP($F1696,mapping!$L$2:$P$92,4,0)</f>
        <v>Major Advanced Economies (G7)</v>
      </c>
      <c r="L1696" s="29">
        <f>$D1696*VLOOKUP($E1696,'Charts data'!$A$2:$B$11,2,0)*VLOOKUP($G1696,'Charts data'!$A$14:$B$18,2,0)/IF('Charts data'!$E$3=1,I1696,1)/IF('Charts data'!$E$4=1,J1696,1)</f>
        <v>42000</v>
      </c>
    </row>
    <row r="1697" spans="1:12" x14ac:dyDescent="0.25">
      <c r="A1697" s="27" t="s">
        <v>1610</v>
      </c>
      <c r="B1697" s="27">
        <v>85000</v>
      </c>
      <c r="C1697" s="27" t="s">
        <v>2</v>
      </c>
      <c r="D1697" s="28">
        <f>B1697*VLOOKUP(C1697,tblXrate[],2,0)</f>
        <v>85000</v>
      </c>
      <c r="E1697" s="27" t="s">
        <v>7</v>
      </c>
      <c r="F1697" s="27" t="s">
        <v>5</v>
      </c>
      <c r="G1697" s="27" t="s">
        <v>2271</v>
      </c>
      <c r="H1697" s="27">
        <v>9</v>
      </c>
      <c r="I1697" s="27">
        <f>VLOOKUP(F1697,mapping!$L$2:$P$92,2,0)</f>
        <v>1</v>
      </c>
      <c r="J1697" s="27">
        <f>VLOOKUP($F1697,mapping!$L$2:$P$92,3,0)</f>
        <v>48386.69</v>
      </c>
      <c r="K1697" s="27" t="str">
        <f>VLOOKUP($F1697,mapping!$L$2:$P$92,4,0)</f>
        <v>Major Advanced Economies (G7)</v>
      </c>
      <c r="L1697" s="29">
        <f>$D1697*VLOOKUP($E1697,'Charts data'!$A$2:$B$11,2,0)*VLOOKUP($G1697,'Charts data'!$A$14:$B$18,2,0)/IF('Charts data'!$E$3=1,I1697,1)/IF('Charts data'!$E$4=1,J1697,1)</f>
        <v>85000</v>
      </c>
    </row>
    <row r="1698" spans="1:12" x14ac:dyDescent="0.25">
      <c r="A1698" s="27" t="s">
        <v>1611</v>
      </c>
      <c r="B1698" s="27">
        <v>109000</v>
      </c>
      <c r="C1698" s="27" t="s">
        <v>2</v>
      </c>
      <c r="D1698" s="28">
        <f>B1698*VLOOKUP(C1698,tblXrate[],2,0)</f>
        <v>109000</v>
      </c>
      <c r="E1698" s="27" t="s">
        <v>19</v>
      </c>
      <c r="F1698" s="27" t="s">
        <v>5</v>
      </c>
      <c r="G1698" s="27" t="s">
        <v>2271</v>
      </c>
      <c r="H1698" s="27">
        <v>15</v>
      </c>
      <c r="I1698" s="27">
        <f>VLOOKUP(F1698,mapping!$L$2:$P$92,2,0)</f>
        <v>1</v>
      </c>
      <c r="J1698" s="27">
        <f>VLOOKUP($F1698,mapping!$L$2:$P$92,3,0)</f>
        <v>48386.69</v>
      </c>
      <c r="K1698" s="27" t="str">
        <f>VLOOKUP($F1698,mapping!$L$2:$P$92,4,0)</f>
        <v>Major Advanced Economies (G7)</v>
      </c>
      <c r="L1698" s="29">
        <f>$D1698*VLOOKUP($E1698,'Charts data'!$A$2:$B$11,2,0)*VLOOKUP($G1698,'Charts data'!$A$14:$B$18,2,0)/IF('Charts data'!$E$3=1,I1698,1)/IF('Charts data'!$E$4=1,J1698,1)</f>
        <v>109000</v>
      </c>
    </row>
    <row r="1699" spans="1:12" x14ac:dyDescent="0.25">
      <c r="A1699" s="27" t="s">
        <v>1613</v>
      </c>
      <c r="B1699" s="27">
        <v>77000</v>
      </c>
      <c r="C1699" s="27" t="s">
        <v>2</v>
      </c>
      <c r="D1699" s="28">
        <f>B1699*VLOOKUP(C1699,tblXrate[],2,0)</f>
        <v>77000</v>
      </c>
      <c r="E1699" s="27" t="s">
        <v>48</v>
      </c>
      <c r="F1699" s="27" t="s">
        <v>5</v>
      </c>
      <c r="G1699" s="27" t="s">
        <v>2272</v>
      </c>
      <c r="H1699" s="27">
        <v>13</v>
      </c>
      <c r="I1699" s="27">
        <f>VLOOKUP(F1699,mapping!$L$2:$P$92,2,0)</f>
        <v>1</v>
      </c>
      <c r="J1699" s="27">
        <f>VLOOKUP($F1699,mapping!$L$2:$P$92,3,0)</f>
        <v>48386.69</v>
      </c>
      <c r="K1699" s="27" t="str">
        <f>VLOOKUP($F1699,mapping!$L$2:$P$92,4,0)</f>
        <v>Major Advanced Economies (G7)</v>
      </c>
      <c r="L1699" s="29">
        <f>$D1699*VLOOKUP($E1699,'Charts data'!$A$2:$B$11,2,0)*VLOOKUP($G1699,'Charts data'!$A$14:$B$18,2,0)/IF('Charts data'!$E$3=1,I1699,1)/IF('Charts data'!$E$4=1,J1699,1)</f>
        <v>77000</v>
      </c>
    </row>
    <row r="1700" spans="1:12" x14ac:dyDescent="0.25">
      <c r="A1700" s="27" t="s">
        <v>1615</v>
      </c>
      <c r="B1700" s="27">
        <v>64000</v>
      </c>
      <c r="C1700" s="27" t="s">
        <v>2</v>
      </c>
      <c r="D1700" s="28">
        <f>B1700*VLOOKUP(C1700,tblXrate[],2,0)</f>
        <v>64000</v>
      </c>
      <c r="E1700" s="27" t="s">
        <v>19</v>
      </c>
      <c r="F1700" s="27" t="s">
        <v>5</v>
      </c>
      <c r="G1700" s="27" t="s">
        <v>2272</v>
      </c>
      <c r="H1700" s="27">
        <v>12</v>
      </c>
      <c r="I1700" s="27">
        <f>VLOOKUP(F1700,mapping!$L$2:$P$92,2,0)</f>
        <v>1</v>
      </c>
      <c r="J1700" s="27">
        <f>VLOOKUP($F1700,mapping!$L$2:$P$92,3,0)</f>
        <v>48386.69</v>
      </c>
      <c r="K1700" s="27" t="str">
        <f>VLOOKUP($F1700,mapping!$L$2:$P$92,4,0)</f>
        <v>Major Advanced Economies (G7)</v>
      </c>
      <c r="L1700" s="29">
        <f>$D1700*VLOOKUP($E1700,'Charts data'!$A$2:$B$11,2,0)*VLOOKUP($G1700,'Charts data'!$A$14:$B$18,2,0)/IF('Charts data'!$E$3=1,I1700,1)/IF('Charts data'!$E$4=1,J1700,1)</f>
        <v>64000</v>
      </c>
    </row>
    <row r="1701" spans="1:12" x14ac:dyDescent="0.25">
      <c r="A1701" s="27" t="s">
        <v>1617</v>
      </c>
      <c r="B1701" s="27">
        <v>76000</v>
      </c>
      <c r="C1701" s="27" t="s">
        <v>2</v>
      </c>
      <c r="D1701" s="28">
        <f>B1701*VLOOKUP(C1701,tblXrate[],2,0)</f>
        <v>76000</v>
      </c>
      <c r="E1701" s="27" t="s">
        <v>7</v>
      </c>
      <c r="F1701" s="27" t="s">
        <v>5</v>
      </c>
      <c r="G1701" s="27" t="s">
        <v>2273</v>
      </c>
      <c r="H1701" s="27">
        <v>10</v>
      </c>
      <c r="I1701" s="27">
        <f>VLOOKUP(F1701,mapping!$L$2:$P$92,2,0)</f>
        <v>1</v>
      </c>
      <c r="J1701" s="27">
        <f>VLOOKUP($F1701,mapping!$L$2:$P$92,3,0)</f>
        <v>48386.69</v>
      </c>
      <c r="K1701" s="27" t="str">
        <f>VLOOKUP($F1701,mapping!$L$2:$P$92,4,0)</f>
        <v>Major Advanced Economies (G7)</v>
      </c>
      <c r="L1701" s="29">
        <f>$D1701*VLOOKUP($E1701,'Charts data'!$A$2:$B$11,2,0)*VLOOKUP($G1701,'Charts data'!$A$14:$B$18,2,0)/IF('Charts data'!$E$3=1,I1701,1)/IF('Charts data'!$E$4=1,J1701,1)</f>
        <v>76000</v>
      </c>
    </row>
    <row r="1702" spans="1:12" x14ac:dyDescent="0.25">
      <c r="A1702" s="27" t="s">
        <v>1623</v>
      </c>
      <c r="B1702" s="27">
        <v>45000</v>
      </c>
      <c r="C1702" s="27" t="s">
        <v>2</v>
      </c>
      <c r="D1702" s="28">
        <f>B1702*VLOOKUP(C1702,tblXrate[],2,0)</f>
        <v>45000</v>
      </c>
      <c r="E1702" s="27" t="s">
        <v>23</v>
      </c>
      <c r="F1702" s="27" t="s">
        <v>5</v>
      </c>
      <c r="G1702" s="27" t="s">
        <v>2272</v>
      </c>
      <c r="H1702" s="27">
        <v>10</v>
      </c>
      <c r="I1702" s="27">
        <f>VLOOKUP(F1702,mapping!$L$2:$P$92,2,0)</f>
        <v>1</v>
      </c>
      <c r="J1702" s="27">
        <f>VLOOKUP($F1702,mapping!$L$2:$P$92,3,0)</f>
        <v>48386.69</v>
      </c>
      <c r="K1702" s="27" t="str">
        <f>VLOOKUP($F1702,mapping!$L$2:$P$92,4,0)</f>
        <v>Major Advanced Economies (G7)</v>
      </c>
      <c r="L1702" s="29">
        <f>$D1702*VLOOKUP($E1702,'Charts data'!$A$2:$B$11,2,0)*VLOOKUP($G1702,'Charts data'!$A$14:$B$18,2,0)/IF('Charts data'!$E$3=1,I1702,1)/IF('Charts data'!$E$4=1,J1702,1)</f>
        <v>45000</v>
      </c>
    </row>
    <row r="1703" spans="1:12" x14ac:dyDescent="0.25">
      <c r="A1703" s="27" t="s">
        <v>1628</v>
      </c>
      <c r="B1703" s="27">
        <v>61000</v>
      </c>
      <c r="C1703" s="27" t="s">
        <v>2</v>
      </c>
      <c r="D1703" s="28">
        <f>B1703*VLOOKUP(C1703,tblXrate[],2,0)</f>
        <v>61000</v>
      </c>
      <c r="E1703" s="27" t="s">
        <v>7</v>
      </c>
      <c r="F1703" s="27" t="s">
        <v>5</v>
      </c>
      <c r="G1703" s="27" t="s">
        <v>2271</v>
      </c>
      <c r="H1703" s="27">
        <v>5</v>
      </c>
      <c r="I1703" s="27">
        <f>VLOOKUP(F1703,mapping!$L$2:$P$92,2,0)</f>
        <v>1</v>
      </c>
      <c r="J1703" s="27">
        <f>VLOOKUP($F1703,mapping!$L$2:$P$92,3,0)</f>
        <v>48386.69</v>
      </c>
      <c r="K1703" s="27" t="str">
        <f>VLOOKUP($F1703,mapping!$L$2:$P$92,4,0)</f>
        <v>Major Advanced Economies (G7)</v>
      </c>
      <c r="L1703" s="29">
        <f>$D1703*VLOOKUP($E1703,'Charts data'!$A$2:$B$11,2,0)*VLOOKUP($G1703,'Charts data'!$A$14:$B$18,2,0)/IF('Charts data'!$E$3=1,I1703,1)/IF('Charts data'!$E$4=1,J1703,1)</f>
        <v>61000</v>
      </c>
    </row>
    <row r="1704" spans="1:12" x14ac:dyDescent="0.25">
      <c r="A1704" s="27" t="s">
        <v>1629</v>
      </c>
      <c r="B1704" s="27">
        <v>66000</v>
      </c>
      <c r="C1704" s="27" t="s">
        <v>2</v>
      </c>
      <c r="D1704" s="28">
        <f>B1704*VLOOKUP(C1704,tblXrate[],2,0)</f>
        <v>66000</v>
      </c>
      <c r="E1704" s="27" t="s">
        <v>7</v>
      </c>
      <c r="F1704" s="27" t="s">
        <v>5</v>
      </c>
      <c r="G1704" s="27" t="s">
        <v>2271</v>
      </c>
      <c r="H1704" s="27">
        <v>2</v>
      </c>
      <c r="I1704" s="27">
        <f>VLOOKUP(F1704,mapping!$L$2:$P$92,2,0)</f>
        <v>1</v>
      </c>
      <c r="J1704" s="27">
        <f>VLOOKUP($F1704,mapping!$L$2:$P$92,3,0)</f>
        <v>48386.69</v>
      </c>
      <c r="K1704" s="27" t="str">
        <f>VLOOKUP($F1704,mapping!$L$2:$P$92,4,0)</f>
        <v>Major Advanced Economies (G7)</v>
      </c>
      <c r="L1704" s="29">
        <f>$D1704*VLOOKUP($E1704,'Charts data'!$A$2:$B$11,2,0)*VLOOKUP($G1704,'Charts data'!$A$14:$B$18,2,0)/IF('Charts data'!$E$3=1,I1704,1)/IF('Charts data'!$E$4=1,J1704,1)</f>
        <v>66000</v>
      </c>
    </row>
    <row r="1705" spans="1:12" x14ac:dyDescent="0.25">
      <c r="A1705" s="27" t="s">
        <v>1631</v>
      </c>
      <c r="B1705" s="27">
        <v>55000</v>
      </c>
      <c r="C1705" s="27" t="s">
        <v>2</v>
      </c>
      <c r="D1705" s="28">
        <f>B1705*VLOOKUP(C1705,tblXrate[],2,0)</f>
        <v>55000</v>
      </c>
      <c r="E1705" s="27" t="s">
        <v>19</v>
      </c>
      <c r="F1705" s="27" t="s">
        <v>5</v>
      </c>
      <c r="G1705" s="27" t="s">
        <v>2272</v>
      </c>
      <c r="H1705" s="27">
        <v>14</v>
      </c>
      <c r="I1705" s="27">
        <f>VLOOKUP(F1705,mapping!$L$2:$P$92,2,0)</f>
        <v>1</v>
      </c>
      <c r="J1705" s="27">
        <f>VLOOKUP($F1705,mapping!$L$2:$P$92,3,0)</f>
        <v>48386.69</v>
      </c>
      <c r="K1705" s="27" t="str">
        <f>VLOOKUP($F1705,mapping!$L$2:$P$92,4,0)</f>
        <v>Major Advanced Economies (G7)</v>
      </c>
      <c r="L1705" s="29">
        <f>$D1705*VLOOKUP($E1705,'Charts data'!$A$2:$B$11,2,0)*VLOOKUP($G1705,'Charts data'!$A$14:$B$18,2,0)/IF('Charts data'!$E$3=1,I1705,1)/IF('Charts data'!$E$4=1,J1705,1)</f>
        <v>55000</v>
      </c>
    </row>
    <row r="1706" spans="1:12" x14ac:dyDescent="0.25">
      <c r="A1706" s="27" t="s">
        <v>1632</v>
      </c>
      <c r="B1706" s="27">
        <v>32000</v>
      </c>
      <c r="C1706" s="27" t="s">
        <v>2</v>
      </c>
      <c r="D1706" s="28">
        <f>B1706*VLOOKUP(C1706,tblXrate[],2,0)</f>
        <v>32000</v>
      </c>
      <c r="E1706" s="27" t="s">
        <v>2145</v>
      </c>
      <c r="F1706" s="27" t="s">
        <v>5</v>
      </c>
      <c r="G1706" s="27" t="s">
        <v>2271</v>
      </c>
      <c r="H1706" s="27">
        <v>10</v>
      </c>
      <c r="I1706" s="27">
        <f>VLOOKUP(F1706,mapping!$L$2:$P$92,2,0)</f>
        <v>1</v>
      </c>
      <c r="J1706" s="27">
        <f>VLOOKUP($F1706,mapping!$L$2:$P$92,3,0)</f>
        <v>48386.69</v>
      </c>
      <c r="K1706" s="27" t="str">
        <f>VLOOKUP($F1706,mapping!$L$2:$P$92,4,0)</f>
        <v>Major Advanced Economies (G7)</v>
      </c>
      <c r="L1706" s="29">
        <f>$D1706*VLOOKUP($E1706,'Charts data'!$A$2:$B$11,2,0)*VLOOKUP($G1706,'Charts data'!$A$14:$B$18,2,0)/IF('Charts data'!$E$3=1,I1706,1)/IF('Charts data'!$E$4=1,J1706,1)</f>
        <v>32000</v>
      </c>
    </row>
    <row r="1707" spans="1:12" x14ac:dyDescent="0.25">
      <c r="A1707" s="27" t="s">
        <v>1638</v>
      </c>
      <c r="B1707" s="27">
        <v>74300</v>
      </c>
      <c r="C1707" s="27" t="s">
        <v>2</v>
      </c>
      <c r="D1707" s="28">
        <f>B1707*VLOOKUP(C1707,tblXrate[],2,0)</f>
        <v>74300</v>
      </c>
      <c r="E1707" s="27" t="s">
        <v>7</v>
      </c>
      <c r="F1707" s="27" t="s">
        <v>5</v>
      </c>
      <c r="G1707" s="27" t="s">
        <v>2271</v>
      </c>
      <c r="H1707" s="27">
        <v>3</v>
      </c>
      <c r="I1707" s="27">
        <f>VLOOKUP(F1707,mapping!$L$2:$P$92,2,0)</f>
        <v>1</v>
      </c>
      <c r="J1707" s="27">
        <f>VLOOKUP($F1707,mapping!$L$2:$P$92,3,0)</f>
        <v>48386.69</v>
      </c>
      <c r="K1707" s="27" t="str">
        <f>VLOOKUP($F1707,mapping!$L$2:$P$92,4,0)</f>
        <v>Major Advanced Economies (G7)</v>
      </c>
      <c r="L1707" s="29">
        <f>$D1707*VLOOKUP($E1707,'Charts data'!$A$2:$B$11,2,0)*VLOOKUP($G1707,'Charts data'!$A$14:$B$18,2,0)/IF('Charts data'!$E$3=1,I1707,1)/IF('Charts data'!$E$4=1,J1707,1)</f>
        <v>74300</v>
      </c>
    </row>
    <row r="1708" spans="1:12" x14ac:dyDescent="0.25">
      <c r="A1708" s="27" t="s">
        <v>1641</v>
      </c>
      <c r="B1708" s="27">
        <v>95000</v>
      </c>
      <c r="C1708" s="27" t="s">
        <v>2</v>
      </c>
      <c r="D1708" s="28">
        <f>B1708*VLOOKUP(C1708,tblXrate[],2,0)</f>
        <v>95000</v>
      </c>
      <c r="E1708" s="27" t="s">
        <v>7</v>
      </c>
      <c r="F1708" s="27" t="s">
        <v>5</v>
      </c>
      <c r="G1708" s="27" t="s">
        <v>2271</v>
      </c>
      <c r="H1708" s="27">
        <v>15</v>
      </c>
      <c r="I1708" s="27">
        <f>VLOOKUP(F1708,mapping!$L$2:$P$92,2,0)</f>
        <v>1</v>
      </c>
      <c r="J1708" s="27">
        <f>VLOOKUP($F1708,mapping!$L$2:$P$92,3,0)</f>
        <v>48386.69</v>
      </c>
      <c r="K1708" s="27" t="str">
        <f>VLOOKUP($F1708,mapping!$L$2:$P$92,4,0)</f>
        <v>Major Advanced Economies (G7)</v>
      </c>
      <c r="L1708" s="29">
        <f>$D1708*VLOOKUP($E1708,'Charts data'!$A$2:$B$11,2,0)*VLOOKUP($G1708,'Charts data'!$A$14:$B$18,2,0)/IF('Charts data'!$E$3=1,I1708,1)/IF('Charts data'!$E$4=1,J1708,1)</f>
        <v>95000</v>
      </c>
    </row>
    <row r="1709" spans="1:12" x14ac:dyDescent="0.25">
      <c r="A1709" s="27" t="s">
        <v>1642</v>
      </c>
      <c r="B1709" s="27">
        <v>64300</v>
      </c>
      <c r="C1709" s="27" t="s">
        <v>2</v>
      </c>
      <c r="D1709" s="28">
        <f>B1709*VLOOKUP(C1709,tblXrate[],2,0)</f>
        <v>64300</v>
      </c>
      <c r="E1709" s="27" t="s">
        <v>51</v>
      </c>
      <c r="F1709" s="27" t="s">
        <v>5</v>
      </c>
      <c r="G1709" s="27" t="s">
        <v>2271</v>
      </c>
      <c r="H1709" s="27">
        <v>15</v>
      </c>
      <c r="I1709" s="27">
        <f>VLOOKUP(F1709,mapping!$L$2:$P$92,2,0)</f>
        <v>1</v>
      </c>
      <c r="J1709" s="27">
        <f>VLOOKUP($F1709,mapping!$L$2:$P$92,3,0)</f>
        <v>48386.69</v>
      </c>
      <c r="K1709" s="27" t="str">
        <f>VLOOKUP($F1709,mapping!$L$2:$P$92,4,0)</f>
        <v>Major Advanced Economies (G7)</v>
      </c>
      <c r="L1709" s="29">
        <f>$D1709*VLOOKUP($E1709,'Charts data'!$A$2:$B$11,2,0)*VLOOKUP($G1709,'Charts data'!$A$14:$B$18,2,0)/IF('Charts data'!$E$3=1,I1709,1)/IF('Charts data'!$E$4=1,J1709,1)</f>
        <v>64300</v>
      </c>
    </row>
    <row r="1710" spans="1:12" x14ac:dyDescent="0.25">
      <c r="A1710" s="27" t="s">
        <v>1643</v>
      </c>
      <c r="B1710" s="27">
        <v>250000</v>
      </c>
      <c r="C1710" s="27" t="s">
        <v>2</v>
      </c>
      <c r="D1710" s="28">
        <f>B1710*VLOOKUP(C1710,tblXrate[],2,0)</f>
        <v>250000</v>
      </c>
      <c r="E1710" s="27" t="s">
        <v>53</v>
      </c>
      <c r="F1710" s="27" t="s">
        <v>5</v>
      </c>
      <c r="G1710" s="27" t="s">
        <v>2273</v>
      </c>
      <c r="H1710" s="27">
        <v>20</v>
      </c>
      <c r="I1710" s="27">
        <f>VLOOKUP(F1710,mapping!$L$2:$P$92,2,0)</f>
        <v>1</v>
      </c>
      <c r="J1710" s="27">
        <f>VLOOKUP($F1710,mapping!$L$2:$P$92,3,0)</f>
        <v>48386.69</v>
      </c>
      <c r="K1710" s="27" t="str">
        <f>VLOOKUP($F1710,mapping!$L$2:$P$92,4,0)</f>
        <v>Major Advanced Economies (G7)</v>
      </c>
      <c r="L1710" s="29">
        <f>$D1710*VLOOKUP($E1710,'Charts data'!$A$2:$B$11,2,0)*VLOOKUP($G1710,'Charts data'!$A$14:$B$18,2,0)/IF('Charts data'!$E$3=1,I1710,1)/IF('Charts data'!$E$4=1,J1710,1)</f>
        <v>250000</v>
      </c>
    </row>
    <row r="1711" spans="1:12" x14ac:dyDescent="0.25">
      <c r="A1711" s="27" t="s">
        <v>1644</v>
      </c>
      <c r="B1711" s="27">
        <v>89000</v>
      </c>
      <c r="C1711" s="27" t="s">
        <v>2</v>
      </c>
      <c r="D1711" s="28">
        <f>B1711*VLOOKUP(C1711,tblXrate[],2,0)</f>
        <v>89000</v>
      </c>
      <c r="E1711" s="27" t="s">
        <v>19</v>
      </c>
      <c r="F1711" s="27" t="s">
        <v>5</v>
      </c>
      <c r="G1711" s="27" t="s">
        <v>2272</v>
      </c>
      <c r="H1711" s="27">
        <v>10</v>
      </c>
      <c r="I1711" s="27">
        <f>VLOOKUP(F1711,mapping!$L$2:$P$92,2,0)</f>
        <v>1</v>
      </c>
      <c r="J1711" s="27">
        <f>VLOOKUP($F1711,mapping!$L$2:$P$92,3,0)</f>
        <v>48386.69</v>
      </c>
      <c r="K1711" s="27" t="str">
        <f>VLOOKUP($F1711,mapping!$L$2:$P$92,4,0)</f>
        <v>Major Advanced Economies (G7)</v>
      </c>
      <c r="L1711" s="29">
        <f>$D1711*VLOOKUP($E1711,'Charts data'!$A$2:$B$11,2,0)*VLOOKUP($G1711,'Charts data'!$A$14:$B$18,2,0)/IF('Charts data'!$E$3=1,I1711,1)/IF('Charts data'!$E$4=1,J1711,1)</f>
        <v>89000</v>
      </c>
    </row>
    <row r="1712" spans="1:12" x14ac:dyDescent="0.25">
      <c r="A1712" s="27" t="s">
        <v>1645</v>
      </c>
      <c r="B1712" s="27">
        <v>75000</v>
      </c>
      <c r="C1712" s="27" t="s">
        <v>2</v>
      </c>
      <c r="D1712" s="28">
        <f>B1712*VLOOKUP(C1712,tblXrate[],2,0)</f>
        <v>75000</v>
      </c>
      <c r="E1712" s="27" t="s">
        <v>7</v>
      </c>
      <c r="F1712" s="27" t="s">
        <v>5</v>
      </c>
      <c r="G1712" s="27" t="s">
        <v>2273</v>
      </c>
      <c r="H1712" s="27">
        <v>1.5</v>
      </c>
      <c r="I1712" s="27">
        <f>VLOOKUP(F1712,mapping!$L$2:$P$92,2,0)</f>
        <v>1</v>
      </c>
      <c r="J1712" s="27">
        <f>VLOOKUP($F1712,mapping!$L$2:$P$92,3,0)</f>
        <v>48386.69</v>
      </c>
      <c r="K1712" s="27" t="str">
        <f>VLOOKUP($F1712,mapping!$L$2:$P$92,4,0)</f>
        <v>Major Advanced Economies (G7)</v>
      </c>
      <c r="L1712" s="29">
        <f>$D1712*VLOOKUP($E1712,'Charts data'!$A$2:$B$11,2,0)*VLOOKUP($G1712,'Charts data'!$A$14:$B$18,2,0)/IF('Charts data'!$E$3=1,I1712,1)/IF('Charts data'!$E$4=1,J1712,1)</f>
        <v>75000</v>
      </c>
    </row>
    <row r="1713" spans="1:12" x14ac:dyDescent="0.25">
      <c r="A1713" s="27" t="s">
        <v>1646</v>
      </c>
      <c r="B1713" s="27">
        <v>45000</v>
      </c>
      <c r="C1713" s="27" t="s">
        <v>2</v>
      </c>
      <c r="D1713" s="28">
        <f>B1713*VLOOKUP(C1713,tblXrate[],2,0)</f>
        <v>45000</v>
      </c>
      <c r="E1713" s="27" t="s">
        <v>7</v>
      </c>
      <c r="F1713" s="27" t="s">
        <v>5</v>
      </c>
      <c r="G1713" s="27" t="s">
        <v>2273</v>
      </c>
      <c r="H1713" s="27">
        <v>5</v>
      </c>
      <c r="I1713" s="27">
        <f>VLOOKUP(F1713,mapping!$L$2:$P$92,2,0)</f>
        <v>1</v>
      </c>
      <c r="J1713" s="27">
        <f>VLOOKUP($F1713,mapping!$L$2:$P$92,3,0)</f>
        <v>48386.69</v>
      </c>
      <c r="K1713" s="27" t="str">
        <f>VLOOKUP($F1713,mapping!$L$2:$P$92,4,0)</f>
        <v>Major Advanced Economies (G7)</v>
      </c>
      <c r="L1713" s="29">
        <f>$D1713*VLOOKUP($E1713,'Charts data'!$A$2:$B$11,2,0)*VLOOKUP($G1713,'Charts data'!$A$14:$B$18,2,0)/IF('Charts data'!$E$3=1,I1713,1)/IF('Charts data'!$E$4=1,J1713,1)</f>
        <v>45000</v>
      </c>
    </row>
    <row r="1714" spans="1:12" x14ac:dyDescent="0.25">
      <c r="A1714" s="27" t="s">
        <v>1647</v>
      </c>
      <c r="B1714" s="27">
        <v>127500</v>
      </c>
      <c r="C1714" s="27" t="s">
        <v>2</v>
      </c>
      <c r="D1714" s="28">
        <f>B1714*VLOOKUP(C1714,tblXrate[],2,0)</f>
        <v>127500</v>
      </c>
      <c r="E1714" s="27" t="s">
        <v>2147</v>
      </c>
      <c r="F1714" s="27" t="s">
        <v>5</v>
      </c>
      <c r="G1714" s="27" t="s">
        <v>2273</v>
      </c>
      <c r="H1714" s="27">
        <v>22</v>
      </c>
      <c r="I1714" s="27">
        <f>VLOOKUP(F1714,mapping!$L$2:$P$92,2,0)</f>
        <v>1</v>
      </c>
      <c r="J1714" s="27">
        <f>VLOOKUP($F1714,mapping!$L$2:$P$92,3,0)</f>
        <v>48386.69</v>
      </c>
      <c r="K1714" s="27" t="str">
        <f>VLOOKUP($F1714,mapping!$L$2:$P$92,4,0)</f>
        <v>Major Advanced Economies (G7)</v>
      </c>
      <c r="L1714" s="29">
        <f>$D1714*VLOOKUP($E1714,'Charts data'!$A$2:$B$11,2,0)*VLOOKUP($G1714,'Charts data'!$A$14:$B$18,2,0)/IF('Charts data'!$E$3=1,I1714,1)/IF('Charts data'!$E$4=1,J1714,1)</f>
        <v>127500</v>
      </c>
    </row>
    <row r="1715" spans="1:12" x14ac:dyDescent="0.25">
      <c r="A1715" s="27" t="s">
        <v>1648</v>
      </c>
      <c r="B1715" s="27">
        <v>170000</v>
      </c>
      <c r="C1715" s="27" t="s">
        <v>2</v>
      </c>
      <c r="D1715" s="28">
        <f>B1715*VLOOKUP(C1715,tblXrate[],2,0)</f>
        <v>170000</v>
      </c>
      <c r="E1715" s="27" t="s">
        <v>2147</v>
      </c>
      <c r="F1715" s="27" t="s">
        <v>5</v>
      </c>
      <c r="G1715" s="27" t="s">
        <v>2272</v>
      </c>
      <c r="H1715" s="27">
        <v>18</v>
      </c>
      <c r="I1715" s="27">
        <f>VLOOKUP(F1715,mapping!$L$2:$P$92,2,0)</f>
        <v>1</v>
      </c>
      <c r="J1715" s="27">
        <f>VLOOKUP($F1715,mapping!$L$2:$P$92,3,0)</f>
        <v>48386.69</v>
      </c>
      <c r="K1715" s="27" t="str">
        <f>VLOOKUP($F1715,mapping!$L$2:$P$92,4,0)</f>
        <v>Major Advanced Economies (G7)</v>
      </c>
      <c r="L1715" s="29">
        <f>$D1715*VLOOKUP($E1715,'Charts data'!$A$2:$B$11,2,0)*VLOOKUP($G1715,'Charts data'!$A$14:$B$18,2,0)/IF('Charts data'!$E$3=1,I1715,1)/IF('Charts data'!$E$4=1,J1715,1)</f>
        <v>170000</v>
      </c>
    </row>
    <row r="1716" spans="1:12" x14ac:dyDescent="0.25">
      <c r="A1716" s="27" t="s">
        <v>1650</v>
      </c>
      <c r="B1716" s="27">
        <v>62000</v>
      </c>
      <c r="C1716" s="27" t="s">
        <v>2</v>
      </c>
      <c r="D1716" s="28">
        <f>B1716*VLOOKUP(C1716,tblXrate[],2,0)</f>
        <v>62000</v>
      </c>
      <c r="E1716" s="27" t="s">
        <v>7</v>
      </c>
      <c r="F1716" s="27" t="s">
        <v>5</v>
      </c>
      <c r="G1716" s="27" t="s">
        <v>2273</v>
      </c>
      <c r="H1716" s="27">
        <v>27</v>
      </c>
      <c r="I1716" s="27">
        <f>VLOOKUP(F1716,mapping!$L$2:$P$92,2,0)</f>
        <v>1</v>
      </c>
      <c r="J1716" s="27">
        <f>VLOOKUP($F1716,mapping!$L$2:$P$92,3,0)</f>
        <v>48386.69</v>
      </c>
      <c r="K1716" s="27" t="str">
        <f>VLOOKUP($F1716,mapping!$L$2:$P$92,4,0)</f>
        <v>Major Advanced Economies (G7)</v>
      </c>
      <c r="L1716" s="29">
        <f>$D1716*VLOOKUP($E1716,'Charts data'!$A$2:$B$11,2,0)*VLOOKUP($G1716,'Charts data'!$A$14:$B$18,2,0)/IF('Charts data'!$E$3=1,I1716,1)/IF('Charts data'!$E$4=1,J1716,1)</f>
        <v>62000</v>
      </c>
    </row>
    <row r="1717" spans="1:12" x14ac:dyDescent="0.25">
      <c r="A1717" s="27" t="s">
        <v>1651</v>
      </c>
      <c r="B1717" s="27">
        <v>22000</v>
      </c>
      <c r="C1717" s="27" t="s">
        <v>2</v>
      </c>
      <c r="D1717" s="28">
        <f>B1717*VLOOKUP(C1717,tblXrate[],2,0)</f>
        <v>22000</v>
      </c>
      <c r="E1717" s="27" t="s">
        <v>19</v>
      </c>
      <c r="F1717" s="27" t="s">
        <v>5</v>
      </c>
      <c r="G1717" s="27" t="s">
        <v>2271</v>
      </c>
      <c r="H1717" s="27">
        <v>3</v>
      </c>
      <c r="I1717" s="27">
        <f>VLOOKUP(F1717,mapping!$L$2:$P$92,2,0)</f>
        <v>1</v>
      </c>
      <c r="J1717" s="27">
        <f>VLOOKUP($F1717,mapping!$L$2:$P$92,3,0)</f>
        <v>48386.69</v>
      </c>
      <c r="K1717" s="27" t="str">
        <f>VLOOKUP($F1717,mapping!$L$2:$P$92,4,0)</f>
        <v>Major Advanced Economies (G7)</v>
      </c>
      <c r="L1717" s="29">
        <f>$D1717*VLOOKUP($E1717,'Charts data'!$A$2:$B$11,2,0)*VLOOKUP($G1717,'Charts data'!$A$14:$B$18,2,0)/IF('Charts data'!$E$3=1,I1717,1)/IF('Charts data'!$E$4=1,J1717,1)</f>
        <v>22000</v>
      </c>
    </row>
    <row r="1718" spans="1:12" x14ac:dyDescent="0.25">
      <c r="A1718" s="27" t="s">
        <v>1652</v>
      </c>
      <c r="B1718" s="27">
        <v>45000</v>
      </c>
      <c r="C1718" s="27" t="s">
        <v>2</v>
      </c>
      <c r="D1718" s="28">
        <f>B1718*VLOOKUP(C1718,tblXrate[],2,0)</f>
        <v>45000</v>
      </c>
      <c r="E1718" s="27" t="s">
        <v>7</v>
      </c>
      <c r="F1718" s="27" t="s">
        <v>5</v>
      </c>
      <c r="G1718" s="27" t="s">
        <v>2271</v>
      </c>
      <c r="H1718" s="27">
        <v>8</v>
      </c>
      <c r="I1718" s="27">
        <f>VLOOKUP(F1718,mapping!$L$2:$P$92,2,0)</f>
        <v>1</v>
      </c>
      <c r="J1718" s="27">
        <f>VLOOKUP($F1718,mapping!$L$2:$P$92,3,0)</f>
        <v>48386.69</v>
      </c>
      <c r="K1718" s="27" t="str">
        <f>VLOOKUP($F1718,mapping!$L$2:$P$92,4,0)</f>
        <v>Major Advanced Economies (G7)</v>
      </c>
      <c r="L1718" s="29">
        <f>$D1718*VLOOKUP($E1718,'Charts data'!$A$2:$B$11,2,0)*VLOOKUP($G1718,'Charts data'!$A$14:$B$18,2,0)/IF('Charts data'!$E$3=1,I1718,1)/IF('Charts data'!$E$4=1,J1718,1)</f>
        <v>45000</v>
      </c>
    </row>
    <row r="1719" spans="1:12" x14ac:dyDescent="0.25">
      <c r="A1719" s="27" t="s">
        <v>1653</v>
      </c>
      <c r="B1719" s="27">
        <v>145000</v>
      </c>
      <c r="C1719" s="27" t="s">
        <v>2</v>
      </c>
      <c r="D1719" s="28">
        <f>B1719*VLOOKUP(C1719,tblXrate[],2,0)</f>
        <v>145000</v>
      </c>
      <c r="E1719" s="27" t="s">
        <v>7</v>
      </c>
      <c r="F1719" s="27" t="s">
        <v>5</v>
      </c>
      <c r="G1719" s="27" t="s">
        <v>2271</v>
      </c>
      <c r="H1719" s="27">
        <v>6</v>
      </c>
      <c r="I1719" s="27">
        <f>VLOOKUP(F1719,mapping!$L$2:$P$92,2,0)</f>
        <v>1</v>
      </c>
      <c r="J1719" s="27">
        <f>VLOOKUP($F1719,mapping!$L$2:$P$92,3,0)</f>
        <v>48386.69</v>
      </c>
      <c r="K1719" s="27" t="str">
        <f>VLOOKUP($F1719,mapping!$L$2:$P$92,4,0)</f>
        <v>Major Advanced Economies (G7)</v>
      </c>
      <c r="L1719" s="29">
        <f>$D1719*VLOOKUP($E1719,'Charts data'!$A$2:$B$11,2,0)*VLOOKUP($G1719,'Charts data'!$A$14:$B$18,2,0)/IF('Charts data'!$E$3=1,I1719,1)/IF('Charts data'!$E$4=1,J1719,1)</f>
        <v>145000</v>
      </c>
    </row>
    <row r="1720" spans="1:12" x14ac:dyDescent="0.25">
      <c r="A1720" s="27" t="s">
        <v>1654</v>
      </c>
      <c r="B1720" s="27">
        <v>89000</v>
      </c>
      <c r="C1720" s="27" t="s">
        <v>2</v>
      </c>
      <c r="D1720" s="28">
        <f>B1720*VLOOKUP(C1720,tblXrate[],2,0)</f>
        <v>89000</v>
      </c>
      <c r="E1720" s="27" t="s">
        <v>7</v>
      </c>
      <c r="F1720" s="27" t="s">
        <v>5</v>
      </c>
      <c r="G1720" s="27" t="s">
        <v>2273</v>
      </c>
      <c r="H1720" s="27">
        <v>14</v>
      </c>
      <c r="I1720" s="27">
        <f>VLOOKUP(F1720,mapping!$L$2:$P$92,2,0)</f>
        <v>1</v>
      </c>
      <c r="J1720" s="27">
        <f>VLOOKUP($F1720,mapping!$L$2:$P$92,3,0)</f>
        <v>48386.69</v>
      </c>
      <c r="K1720" s="27" t="str">
        <f>VLOOKUP($F1720,mapping!$L$2:$P$92,4,0)</f>
        <v>Major Advanced Economies (G7)</v>
      </c>
      <c r="L1720" s="29">
        <f>$D1720*VLOOKUP($E1720,'Charts data'!$A$2:$B$11,2,0)*VLOOKUP($G1720,'Charts data'!$A$14:$B$18,2,0)/IF('Charts data'!$E$3=1,I1720,1)/IF('Charts data'!$E$4=1,J1720,1)</f>
        <v>89000</v>
      </c>
    </row>
    <row r="1721" spans="1:12" x14ac:dyDescent="0.25">
      <c r="A1721" s="27" t="s">
        <v>1655</v>
      </c>
      <c r="B1721" s="27">
        <v>38000</v>
      </c>
      <c r="C1721" s="27" t="s">
        <v>2</v>
      </c>
      <c r="D1721" s="28">
        <f>B1721*VLOOKUP(C1721,tblXrate[],2,0)</f>
        <v>38000</v>
      </c>
      <c r="E1721" s="27" t="s">
        <v>51</v>
      </c>
      <c r="F1721" s="27" t="s">
        <v>5</v>
      </c>
      <c r="G1721" s="27" t="s">
        <v>2271</v>
      </c>
      <c r="H1721" s="27">
        <v>11</v>
      </c>
      <c r="I1721" s="27">
        <f>VLOOKUP(F1721,mapping!$L$2:$P$92,2,0)</f>
        <v>1</v>
      </c>
      <c r="J1721" s="27">
        <f>VLOOKUP($F1721,mapping!$L$2:$P$92,3,0)</f>
        <v>48386.69</v>
      </c>
      <c r="K1721" s="27" t="str">
        <f>VLOOKUP($F1721,mapping!$L$2:$P$92,4,0)</f>
        <v>Major Advanced Economies (G7)</v>
      </c>
      <c r="L1721" s="29">
        <f>$D1721*VLOOKUP($E1721,'Charts data'!$A$2:$B$11,2,0)*VLOOKUP($G1721,'Charts data'!$A$14:$B$18,2,0)/IF('Charts data'!$E$3=1,I1721,1)/IF('Charts data'!$E$4=1,J1721,1)</f>
        <v>38000</v>
      </c>
    </row>
    <row r="1722" spans="1:12" x14ac:dyDescent="0.25">
      <c r="A1722" s="27" t="s">
        <v>1659</v>
      </c>
      <c r="B1722" s="27">
        <v>105000</v>
      </c>
      <c r="C1722" s="27" t="s">
        <v>2</v>
      </c>
      <c r="D1722" s="28">
        <f>B1722*VLOOKUP(C1722,tblXrate[],2,0)</f>
        <v>105000</v>
      </c>
      <c r="E1722" s="27" t="s">
        <v>19</v>
      </c>
      <c r="F1722" s="27" t="s">
        <v>5</v>
      </c>
      <c r="G1722" s="27" t="s">
        <v>2274</v>
      </c>
      <c r="H1722" s="27">
        <v>30</v>
      </c>
      <c r="I1722" s="27">
        <f>VLOOKUP(F1722,mapping!$L$2:$P$92,2,0)</f>
        <v>1</v>
      </c>
      <c r="J1722" s="27">
        <f>VLOOKUP($F1722,mapping!$L$2:$P$92,3,0)</f>
        <v>48386.69</v>
      </c>
      <c r="K1722" s="27" t="str">
        <f>VLOOKUP($F1722,mapping!$L$2:$P$92,4,0)</f>
        <v>Major Advanced Economies (G7)</v>
      </c>
      <c r="L1722" s="29">
        <f>$D1722*VLOOKUP($E1722,'Charts data'!$A$2:$B$11,2,0)*VLOOKUP($G1722,'Charts data'!$A$14:$B$18,2,0)/IF('Charts data'!$E$3=1,I1722,1)/IF('Charts data'!$E$4=1,J1722,1)</f>
        <v>105000</v>
      </c>
    </row>
    <row r="1723" spans="1:12" x14ac:dyDescent="0.25">
      <c r="A1723" s="27" t="s">
        <v>1678</v>
      </c>
      <c r="B1723" s="27">
        <v>70970</v>
      </c>
      <c r="C1723" s="27" t="s">
        <v>2</v>
      </c>
      <c r="D1723" s="28">
        <f>B1723*VLOOKUP(C1723,tblXrate[],2,0)</f>
        <v>70970</v>
      </c>
      <c r="E1723" s="27" t="s">
        <v>7</v>
      </c>
      <c r="F1723" s="27" t="s">
        <v>5</v>
      </c>
      <c r="G1723" s="27" t="s">
        <v>2271</v>
      </c>
      <c r="H1723" s="27">
        <v>17</v>
      </c>
      <c r="I1723" s="27">
        <f>VLOOKUP(F1723,mapping!$L$2:$P$92,2,0)</f>
        <v>1</v>
      </c>
      <c r="J1723" s="27">
        <f>VLOOKUP($F1723,mapping!$L$2:$P$92,3,0)</f>
        <v>48386.69</v>
      </c>
      <c r="K1723" s="27" t="str">
        <f>VLOOKUP($F1723,mapping!$L$2:$P$92,4,0)</f>
        <v>Major Advanced Economies (G7)</v>
      </c>
      <c r="L1723" s="29">
        <f>$D1723*VLOOKUP($E1723,'Charts data'!$A$2:$B$11,2,0)*VLOOKUP($G1723,'Charts data'!$A$14:$B$18,2,0)/IF('Charts data'!$E$3=1,I1723,1)/IF('Charts data'!$E$4=1,J1723,1)</f>
        <v>70970</v>
      </c>
    </row>
    <row r="1724" spans="1:12" x14ac:dyDescent="0.25">
      <c r="A1724" s="27" t="s">
        <v>1682</v>
      </c>
      <c r="B1724" s="27">
        <v>125000</v>
      </c>
      <c r="C1724" s="27" t="s">
        <v>2</v>
      </c>
      <c r="D1724" s="28">
        <f>B1724*VLOOKUP(C1724,tblXrate[],2,0)</f>
        <v>125000</v>
      </c>
      <c r="E1724" s="27" t="s">
        <v>53</v>
      </c>
      <c r="F1724" s="27" t="s">
        <v>5</v>
      </c>
      <c r="G1724" s="27" t="s">
        <v>2273</v>
      </c>
      <c r="H1724" s="27">
        <v>8</v>
      </c>
      <c r="I1724" s="27">
        <f>VLOOKUP(F1724,mapping!$L$2:$P$92,2,0)</f>
        <v>1</v>
      </c>
      <c r="J1724" s="27">
        <f>VLOOKUP($F1724,mapping!$L$2:$P$92,3,0)</f>
        <v>48386.69</v>
      </c>
      <c r="K1724" s="27" t="str">
        <f>VLOOKUP($F1724,mapping!$L$2:$P$92,4,0)</f>
        <v>Major Advanced Economies (G7)</v>
      </c>
      <c r="L1724" s="29">
        <f>$D1724*VLOOKUP($E1724,'Charts data'!$A$2:$B$11,2,0)*VLOOKUP($G1724,'Charts data'!$A$14:$B$18,2,0)/IF('Charts data'!$E$3=1,I1724,1)/IF('Charts data'!$E$4=1,J1724,1)</f>
        <v>125000</v>
      </c>
    </row>
    <row r="1725" spans="1:12" x14ac:dyDescent="0.25">
      <c r="A1725" s="27" t="s">
        <v>1684</v>
      </c>
      <c r="B1725" s="27">
        <v>59000</v>
      </c>
      <c r="C1725" s="27" t="s">
        <v>2</v>
      </c>
      <c r="D1725" s="28">
        <f>B1725*VLOOKUP(C1725,tblXrate[],2,0)</f>
        <v>59000</v>
      </c>
      <c r="E1725" s="27" t="s">
        <v>19</v>
      </c>
      <c r="F1725" s="27" t="s">
        <v>5</v>
      </c>
      <c r="G1725" s="27" t="s">
        <v>2271</v>
      </c>
      <c r="H1725" s="27">
        <v>15</v>
      </c>
      <c r="I1725" s="27">
        <f>VLOOKUP(F1725,mapping!$L$2:$P$92,2,0)</f>
        <v>1</v>
      </c>
      <c r="J1725" s="27">
        <f>VLOOKUP($F1725,mapping!$L$2:$P$92,3,0)</f>
        <v>48386.69</v>
      </c>
      <c r="K1725" s="27" t="str">
        <f>VLOOKUP($F1725,mapping!$L$2:$P$92,4,0)</f>
        <v>Major Advanced Economies (G7)</v>
      </c>
      <c r="L1725" s="29">
        <f>$D1725*VLOOKUP($E1725,'Charts data'!$A$2:$B$11,2,0)*VLOOKUP($G1725,'Charts data'!$A$14:$B$18,2,0)/IF('Charts data'!$E$3=1,I1725,1)/IF('Charts data'!$E$4=1,J1725,1)</f>
        <v>59000</v>
      </c>
    </row>
    <row r="1726" spans="1:12" x14ac:dyDescent="0.25">
      <c r="A1726" s="27" t="s">
        <v>1685</v>
      </c>
      <c r="B1726" s="27">
        <v>71500</v>
      </c>
      <c r="C1726" s="27" t="s">
        <v>2</v>
      </c>
      <c r="D1726" s="28">
        <f>B1726*VLOOKUP(C1726,tblXrate[],2,0)</f>
        <v>71500</v>
      </c>
      <c r="E1726" s="27" t="s">
        <v>7</v>
      </c>
      <c r="F1726" s="27" t="s">
        <v>5</v>
      </c>
      <c r="G1726" s="27" t="s">
        <v>2271</v>
      </c>
      <c r="H1726" s="27">
        <v>5</v>
      </c>
      <c r="I1726" s="27">
        <f>VLOOKUP(F1726,mapping!$L$2:$P$92,2,0)</f>
        <v>1</v>
      </c>
      <c r="J1726" s="27">
        <f>VLOOKUP($F1726,mapping!$L$2:$P$92,3,0)</f>
        <v>48386.69</v>
      </c>
      <c r="K1726" s="27" t="str">
        <f>VLOOKUP($F1726,mapping!$L$2:$P$92,4,0)</f>
        <v>Major Advanced Economies (G7)</v>
      </c>
      <c r="L1726" s="29">
        <f>$D1726*VLOOKUP($E1726,'Charts data'!$A$2:$B$11,2,0)*VLOOKUP($G1726,'Charts data'!$A$14:$B$18,2,0)/IF('Charts data'!$E$3=1,I1726,1)/IF('Charts data'!$E$4=1,J1726,1)</f>
        <v>71500</v>
      </c>
    </row>
    <row r="1727" spans="1:12" x14ac:dyDescent="0.25">
      <c r="A1727" s="27" t="s">
        <v>1688</v>
      </c>
      <c r="B1727" s="27">
        <v>90000</v>
      </c>
      <c r="C1727" s="27" t="s">
        <v>2</v>
      </c>
      <c r="D1727" s="28">
        <f>B1727*VLOOKUP(C1727,tblXrate[],2,0)</f>
        <v>90000</v>
      </c>
      <c r="E1727" s="27" t="s">
        <v>19</v>
      </c>
      <c r="F1727" s="27" t="s">
        <v>5</v>
      </c>
      <c r="G1727" s="27" t="s">
        <v>2271</v>
      </c>
      <c r="H1727" s="27">
        <v>25</v>
      </c>
      <c r="I1727" s="27">
        <f>VLOOKUP(F1727,mapping!$L$2:$P$92,2,0)</f>
        <v>1</v>
      </c>
      <c r="J1727" s="27">
        <f>VLOOKUP($F1727,mapping!$L$2:$P$92,3,0)</f>
        <v>48386.69</v>
      </c>
      <c r="K1727" s="27" t="str">
        <f>VLOOKUP($F1727,mapping!$L$2:$P$92,4,0)</f>
        <v>Major Advanced Economies (G7)</v>
      </c>
      <c r="L1727" s="29">
        <f>$D1727*VLOOKUP($E1727,'Charts data'!$A$2:$B$11,2,0)*VLOOKUP($G1727,'Charts data'!$A$14:$B$18,2,0)/IF('Charts data'!$E$3=1,I1727,1)/IF('Charts data'!$E$4=1,J1727,1)</f>
        <v>90000</v>
      </c>
    </row>
    <row r="1728" spans="1:12" x14ac:dyDescent="0.25">
      <c r="A1728" s="27" t="s">
        <v>1690</v>
      </c>
      <c r="B1728" s="27">
        <v>40000</v>
      </c>
      <c r="C1728" s="27" t="s">
        <v>2</v>
      </c>
      <c r="D1728" s="28">
        <f>B1728*VLOOKUP(C1728,tblXrate[],2,0)</f>
        <v>40000</v>
      </c>
      <c r="E1728" s="27" t="s">
        <v>7</v>
      </c>
      <c r="F1728" s="27" t="s">
        <v>5</v>
      </c>
      <c r="G1728" s="27" t="s">
        <v>2271</v>
      </c>
      <c r="H1728" s="27">
        <v>8</v>
      </c>
      <c r="I1728" s="27">
        <f>VLOOKUP(F1728,mapping!$L$2:$P$92,2,0)</f>
        <v>1</v>
      </c>
      <c r="J1728" s="27">
        <f>VLOOKUP($F1728,mapping!$L$2:$P$92,3,0)</f>
        <v>48386.69</v>
      </c>
      <c r="K1728" s="27" t="str">
        <f>VLOOKUP($F1728,mapping!$L$2:$P$92,4,0)</f>
        <v>Major Advanced Economies (G7)</v>
      </c>
      <c r="L1728" s="29">
        <f>$D1728*VLOOKUP($E1728,'Charts data'!$A$2:$B$11,2,0)*VLOOKUP($G1728,'Charts data'!$A$14:$B$18,2,0)/IF('Charts data'!$E$3=1,I1728,1)/IF('Charts data'!$E$4=1,J1728,1)</f>
        <v>40000</v>
      </c>
    </row>
    <row r="1729" spans="1:12" x14ac:dyDescent="0.25">
      <c r="A1729" s="27" t="s">
        <v>1692</v>
      </c>
      <c r="B1729" s="27">
        <v>46325</v>
      </c>
      <c r="C1729" s="27" t="s">
        <v>2</v>
      </c>
      <c r="D1729" s="28">
        <f>B1729*VLOOKUP(C1729,tblXrate[],2,0)</f>
        <v>46325</v>
      </c>
      <c r="E1729" s="27" t="s">
        <v>62</v>
      </c>
      <c r="F1729" s="27" t="s">
        <v>5</v>
      </c>
      <c r="G1729" s="27" t="s">
        <v>2271</v>
      </c>
      <c r="H1729" s="27">
        <v>1</v>
      </c>
      <c r="I1729" s="27">
        <f>VLOOKUP(F1729,mapping!$L$2:$P$92,2,0)</f>
        <v>1</v>
      </c>
      <c r="J1729" s="27">
        <f>VLOOKUP($F1729,mapping!$L$2:$P$92,3,0)</f>
        <v>48386.69</v>
      </c>
      <c r="K1729" s="27" t="str">
        <f>VLOOKUP($F1729,mapping!$L$2:$P$92,4,0)</f>
        <v>Major Advanced Economies (G7)</v>
      </c>
      <c r="L1729" s="29">
        <f>$D1729*VLOOKUP($E1729,'Charts data'!$A$2:$B$11,2,0)*VLOOKUP($G1729,'Charts data'!$A$14:$B$18,2,0)/IF('Charts data'!$E$3=1,I1729,1)/IF('Charts data'!$E$4=1,J1729,1)</f>
        <v>46325</v>
      </c>
    </row>
    <row r="1730" spans="1:12" x14ac:dyDescent="0.25">
      <c r="A1730" s="27" t="s">
        <v>1693</v>
      </c>
      <c r="B1730" s="27">
        <v>15000</v>
      </c>
      <c r="C1730" s="27" t="s">
        <v>2</v>
      </c>
      <c r="D1730" s="28">
        <f>B1730*VLOOKUP(C1730,tblXrate[],2,0)</f>
        <v>15000</v>
      </c>
      <c r="E1730" s="27" t="s">
        <v>7</v>
      </c>
      <c r="F1730" s="27" t="s">
        <v>5</v>
      </c>
      <c r="G1730" s="27" t="s">
        <v>2273</v>
      </c>
      <c r="H1730" s="27">
        <v>8</v>
      </c>
      <c r="I1730" s="27">
        <f>VLOOKUP(F1730,mapping!$L$2:$P$92,2,0)</f>
        <v>1</v>
      </c>
      <c r="J1730" s="27">
        <f>VLOOKUP($F1730,mapping!$L$2:$P$92,3,0)</f>
        <v>48386.69</v>
      </c>
      <c r="K1730" s="27" t="str">
        <f>VLOOKUP($F1730,mapping!$L$2:$P$92,4,0)</f>
        <v>Major Advanced Economies (G7)</v>
      </c>
      <c r="L1730" s="29">
        <f>$D1730*VLOOKUP($E1730,'Charts data'!$A$2:$B$11,2,0)*VLOOKUP($G1730,'Charts data'!$A$14:$B$18,2,0)/IF('Charts data'!$E$3=1,I1730,1)/IF('Charts data'!$E$4=1,J1730,1)</f>
        <v>15000</v>
      </c>
    </row>
    <row r="1731" spans="1:12" x14ac:dyDescent="0.25">
      <c r="A1731" s="27" t="s">
        <v>1694</v>
      </c>
      <c r="B1731" s="27">
        <v>31200</v>
      </c>
      <c r="C1731" s="27" t="s">
        <v>2</v>
      </c>
      <c r="D1731" s="28">
        <f>B1731*VLOOKUP(C1731,tblXrate[],2,0)</f>
        <v>31200</v>
      </c>
      <c r="E1731" s="27" t="s">
        <v>7</v>
      </c>
      <c r="F1731" s="27" t="s">
        <v>5</v>
      </c>
      <c r="G1731" s="27" t="s">
        <v>2271</v>
      </c>
      <c r="H1731" s="27">
        <v>15</v>
      </c>
      <c r="I1731" s="27">
        <f>VLOOKUP(F1731,mapping!$L$2:$P$92,2,0)</f>
        <v>1</v>
      </c>
      <c r="J1731" s="27">
        <f>VLOOKUP($F1731,mapping!$L$2:$P$92,3,0)</f>
        <v>48386.69</v>
      </c>
      <c r="K1731" s="27" t="str">
        <f>VLOOKUP($F1731,mapping!$L$2:$P$92,4,0)</f>
        <v>Major Advanced Economies (G7)</v>
      </c>
      <c r="L1731" s="29">
        <f>$D1731*VLOOKUP($E1731,'Charts data'!$A$2:$B$11,2,0)*VLOOKUP($G1731,'Charts data'!$A$14:$B$18,2,0)/IF('Charts data'!$E$3=1,I1731,1)/IF('Charts data'!$E$4=1,J1731,1)</f>
        <v>31200</v>
      </c>
    </row>
    <row r="1732" spans="1:12" x14ac:dyDescent="0.25">
      <c r="A1732" s="27" t="s">
        <v>1698</v>
      </c>
      <c r="B1732" s="27">
        <v>41000</v>
      </c>
      <c r="C1732" s="27" t="s">
        <v>2</v>
      </c>
      <c r="D1732" s="28">
        <f>B1732*VLOOKUP(C1732,tblXrate[],2,0)</f>
        <v>41000</v>
      </c>
      <c r="E1732" s="27" t="s">
        <v>53</v>
      </c>
      <c r="F1732" s="27" t="s">
        <v>5</v>
      </c>
      <c r="G1732" s="27" t="s">
        <v>2271</v>
      </c>
      <c r="H1732" s="27">
        <v>10</v>
      </c>
      <c r="I1732" s="27">
        <f>VLOOKUP(F1732,mapping!$L$2:$P$92,2,0)</f>
        <v>1</v>
      </c>
      <c r="J1732" s="27">
        <f>VLOOKUP($F1732,mapping!$L$2:$P$92,3,0)</f>
        <v>48386.69</v>
      </c>
      <c r="K1732" s="27" t="str">
        <f>VLOOKUP($F1732,mapping!$L$2:$P$92,4,0)</f>
        <v>Major Advanced Economies (G7)</v>
      </c>
      <c r="L1732" s="29">
        <f>$D1732*VLOOKUP($E1732,'Charts data'!$A$2:$B$11,2,0)*VLOOKUP($G1732,'Charts data'!$A$14:$B$18,2,0)/IF('Charts data'!$E$3=1,I1732,1)/IF('Charts data'!$E$4=1,J1732,1)</f>
        <v>41000</v>
      </c>
    </row>
    <row r="1733" spans="1:12" x14ac:dyDescent="0.25">
      <c r="A1733" s="27" t="s">
        <v>1704</v>
      </c>
      <c r="B1733" s="27">
        <v>50000</v>
      </c>
      <c r="C1733" s="27" t="s">
        <v>2</v>
      </c>
      <c r="D1733" s="28">
        <f>B1733*VLOOKUP(C1733,tblXrate[],2,0)</f>
        <v>50000</v>
      </c>
      <c r="E1733" s="27" t="s">
        <v>51</v>
      </c>
      <c r="F1733" s="27" t="s">
        <v>5</v>
      </c>
      <c r="G1733" s="27" t="s">
        <v>2271</v>
      </c>
      <c r="H1733" s="27">
        <v>15</v>
      </c>
      <c r="I1733" s="27">
        <f>VLOOKUP(F1733,mapping!$L$2:$P$92,2,0)</f>
        <v>1</v>
      </c>
      <c r="J1733" s="27">
        <f>VLOOKUP($F1733,mapping!$L$2:$P$92,3,0)</f>
        <v>48386.69</v>
      </c>
      <c r="K1733" s="27" t="str">
        <f>VLOOKUP($F1733,mapping!$L$2:$P$92,4,0)</f>
        <v>Major Advanced Economies (G7)</v>
      </c>
      <c r="L1733" s="29">
        <f>$D1733*VLOOKUP($E1733,'Charts data'!$A$2:$B$11,2,0)*VLOOKUP($G1733,'Charts data'!$A$14:$B$18,2,0)/IF('Charts data'!$E$3=1,I1733,1)/IF('Charts data'!$E$4=1,J1733,1)</f>
        <v>50000</v>
      </c>
    </row>
    <row r="1734" spans="1:12" x14ac:dyDescent="0.25">
      <c r="A1734" s="27" t="s">
        <v>1706</v>
      </c>
      <c r="B1734" s="27">
        <v>85000</v>
      </c>
      <c r="C1734" s="27" t="s">
        <v>2</v>
      </c>
      <c r="D1734" s="28">
        <f>B1734*VLOOKUP(C1734,tblXrate[],2,0)</f>
        <v>85000</v>
      </c>
      <c r="E1734" s="27" t="s">
        <v>2145</v>
      </c>
      <c r="F1734" s="27" t="s">
        <v>5</v>
      </c>
      <c r="G1734" s="27" t="s">
        <v>2271</v>
      </c>
      <c r="H1734" s="27">
        <v>10</v>
      </c>
      <c r="I1734" s="27">
        <f>VLOOKUP(F1734,mapping!$L$2:$P$92,2,0)</f>
        <v>1</v>
      </c>
      <c r="J1734" s="27">
        <f>VLOOKUP($F1734,mapping!$L$2:$P$92,3,0)</f>
        <v>48386.69</v>
      </c>
      <c r="K1734" s="27" t="str">
        <f>VLOOKUP($F1734,mapping!$L$2:$P$92,4,0)</f>
        <v>Major Advanced Economies (G7)</v>
      </c>
      <c r="L1734" s="29">
        <f>$D1734*VLOOKUP($E1734,'Charts data'!$A$2:$B$11,2,0)*VLOOKUP($G1734,'Charts data'!$A$14:$B$18,2,0)/IF('Charts data'!$E$3=1,I1734,1)/IF('Charts data'!$E$4=1,J1734,1)</f>
        <v>85000</v>
      </c>
    </row>
    <row r="1735" spans="1:12" x14ac:dyDescent="0.25">
      <c r="A1735" s="27" t="s">
        <v>1712</v>
      </c>
      <c r="B1735" s="27">
        <v>44000</v>
      </c>
      <c r="C1735" s="27" t="s">
        <v>2</v>
      </c>
      <c r="D1735" s="28">
        <f>B1735*VLOOKUP(C1735,tblXrate[],2,0)</f>
        <v>44000</v>
      </c>
      <c r="E1735" s="27" t="s">
        <v>7</v>
      </c>
      <c r="F1735" s="27" t="s">
        <v>5</v>
      </c>
      <c r="G1735" s="27" t="s">
        <v>2271</v>
      </c>
      <c r="H1735" s="27">
        <v>3.5</v>
      </c>
      <c r="I1735" s="27">
        <f>VLOOKUP(F1735,mapping!$L$2:$P$92,2,0)</f>
        <v>1</v>
      </c>
      <c r="J1735" s="27">
        <f>VLOOKUP($F1735,mapping!$L$2:$P$92,3,0)</f>
        <v>48386.69</v>
      </c>
      <c r="K1735" s="27" t="str">
        <f>VLOOKUP($F1735,mapping!$L$2:$P$92,4,0)</f>
        <v>Major Advanced Economies (G7)</v>
      </c>
      <c r="L1735" s="29">
        <f>$D1735*VLOOKUP($E1735,'Charts data'!$A$2:$B$11,2,0)*VLOOKUP($G1735,'Charts data'!$A$14:$B$18,2,0)/IF('Charts data'!$E$3=1,I1735,1)/IF('Charts data'!$E$4=1,J1735,1)</f>
        <v>44000</v>
      </c>
    </row>
    <row r="1736" spans="1:12" x14ac:dyDescent="0.25">
      <c r="A1736" s="27" t="s">
        <v>1716</v>
      </c>
      <c r="B1736" s="27">
        <v>52000</v>
      </c>
      <c r="C1736" s="27" t="s">
        <v>2</v>
      </c>
      <c r="D1736" s="28">
        <f>B1736*VLOOKUP(C1736,tblXrate[],2,0)</f>
        <v>52000</v>
      </c>
      <c r="E1736" s="27" t="s">
        <v>7</v>
      </c>
      <c r="F1736" s="27" t="s">
        <v>5</v>
      </c>
      <c r="G1736" s="27" t="s">
        <v>2273</v>
      </c>
      <c r="H1736" s="27">
        <v>5</v>
      </c>
      <c r="I1736" s="27">
        <f>VLOOKUP(F1736,mapping!$L$2:$P$92,2,0)</f>
        <v>1</v>
      </c>
      <c r="J1736" s="27">
        <f>VLOOKUP($F1736,mapping!$L$2:$P$92,3,0)</f>
        <v>48386.69</v>
      </c>
      <c r="K1736" s="27" t="str">
        <f>VLOOKUP($F1736,mapping!$L$2:$P$92,4,0)</f>
        <v>Major Advanced Economies (G7)</v>
      </c>
      <c r="L1736" s="29">
        <f>$D1736*VLOOKUP($E1736,'Charts data'!$A$2:$B$11,2,0)*VLOOKUP($G1736,'Charts data'!$A$14:$B$18,2,0)/IF('Charts data'!$E$3=1,I1736,1)/IF('Charts data'!$E$4=1,J1736,1)</f>
        <v>52000</v>
      </c>
    </row>
    <row r="1737" spans="1:12" x14ac:dyDescent="0.25">
      <c r="A1737" s="27" t="s">
        <v>1725</v>
      </c>
      <c r="B1737" s="27">
        <v>50000</v>
      </c>
      <c r="C1737" s="27" t="s">
        <v>2</v>
      </c>
      <c r="D1737" s="28">
        <f>B1737*VLOOKUP(C1737,tblXrate[],2,0)</f>
        <v>50000</v>
      </c>
      <c r="E1737" s="27" t="s">
        <v>7</v>
      </c>
      <c r="F1737" s="27" t="s">
        <v>5</v>
      </c>
      <c r="G1737" s="27" t="s">
        <v>2273</v>
      </c>
      <c r="H1737" s="27">
        <v>2</v>
      </c>
      <c r="I1737" s="27">
        <f>VLOOKUP(F1737,mapping!$L$2:$P$92,2,0)</f>
        <v>1</v>
      </c>
      <c r="J1737" s="27">
        <f>VLOOKUP($F1737,mapping!$L$2:$P$92,3,0)</f>
        <v>48386.69</v>
      </c>
      <c r="K1737" s="27" t="str">
        <f>VLOOKUP($F1737,mapping!$L$2:$P$92,4,0)</f>
        <v>Major Advanced Economies (G7)</v>
      </c>
      <c r="L1737" s="29">
        <f>$D1737*VLOOKUP($E1737,'Charts data'!$A$2:$B$11,2,0)*VLOOKUP($G1737,'Charts data'!$A$14:$B$18,2,0)/IF('Charts data'!$E$3=1,I1737,1)/IF('Charts data'!$E$4=1,J1737,1)</f>
        <v>50000</v>
      </c>
    </row>
    <row r="1738" spans="1:12" x14ac:dyDescent="0.25">
      <c r="A1738" s="27" t="s">
        <v>1727</v>
      </c>
      <c r="B1738" s="27">
        <v>50000</v>
      </c>
      <c r="C1738" s="27" t="s">
        <v>2</v>
      </c>
      <c r="D1738" s="28">
        <f>B1738*VLOOKUP(C1738,tblXrate[],2,0)</f>
        <v>50000</v>
      </c>
      <c r="E1738" s="27" t="s">
        <v>7</v>
      </c>
      <c r="F1738" s="27" t="s">
        <v>5</v>
      </c>
      <c r="G1738" s="27" t="s">
        <v>2273</v>
      </c>
      <c r="H1738" s="27">
        <v>12</v>
      </c>
      <c r="I1738" s="27">
        <f>VLOOKUP(F1738,mapping!$L$2:$P$92,2,0)</f>
        <v>1</v>
      </c>
      <c r="J1738" s="27">
        <f>VLOOKUP($F1738,mapping!$L$2:$P$92,3,0)</f>
        <v>48386.69</v>
      </c>
      <c r="K1738" s="27" t="str">
        <f>VLOOKUP($F1738,mapping!$L$2:$P$92,4,0)</f>
        <v>Major Advanced Economies (G7)</v>
      </c>
      <c r="L1738" s="29">
        <f>$D1738*VLOOKUP($E1738,'Charts data'!$A$2:$B$11,2,0)*VLOOKUP($G1738,'Charts data'!$A$14:$B$18,2,0)/IF('Charts data'!$E$3=1,I1738,1)/IF('Charts data'!$E$4=1,J1738,1)</f>
        <v>50000</v>
      </c>
    </row>
    <row r="1739" spans="1:12" x14ac:dyDescent="0.25">
      <c r="A1739" s="27" t="s">
        <v>1732</v>
      </c>
      <c r="B1739" s="27">
        <v>55000</v>
      </c>
      <c r="C1739" s="27" t="s">
        <v>2</v>
      </c>
      <c r="D1739" s="28">
        <f>B1739*VLOOKUP(C1739,tblXrate[],2,0)</f>
        <v>55000</v>
      </c>
      <c r="E1739" s="27" t="s">
        <v>7</v>
      </c>
      <c r="F1739" s="27" t="s">
        <v>5</v>
      </c>
      <c r="G1739" s="27" t="s">
        <v>2271</v>
      </c>
      <c r="H1739" s="27">
        <v>2</v>
      </c>
      <c r="I1739" s="27">
        <f>VLOOKUP(F1739,mapping!$L$2:$P$92,2,0)</f>
        <v>1</v>
      </c>
      <c r="J1739" s="27">
        <f>VLOOKUP($F1739,mapping!$L$2:$P$92,3,0)</f>
        <v>48386.69</v>
      </c>
      <c r="K1739" s="27" t="str">
        <f>VLOOKUP($F1739,mapping!$L$2:$P$92,4,0)</f>
        <v>Major Advanced Economies (G7)</v>
      </c>
      <c r="L1739" s="29">
        <f>$D1739*VLOOKUP($E1739,'Charts data'!$A$2:$B$11,2,0)*VLOOKUP($G1739,'Charts data'!$A$14:$B$18,2,0)/IF('Charts data'!$E$3=1,I1739,1)/IF('Charts data'!$E$4=1,J1739,1)</f>
        <v>55000</v>
      </c>
    </row>
    <row r="1740" spans="1:12" x14ac:dyDescent="0.25">
      <c r="A1740" s="27" t="s">
        <v>1733</v>
      </c>
      <c r="B1740" s="27">
        <v>38000</v>
      </c>
      <c r="C1740" s="27" t="s">
        <v>2</v>
      </c>
      <c r="D1740" s="28">
        <f>B1740*VLOOKUP(C1740,tblXrate[],2,0)</f>
        <v>38000</v>
      </c>
      <c r="E1740" s="27" t="s">
        <v>7</v>
      </c>
      <c r="F1740" s="27" t="s">
        <v>5</v>
      </c>
      <c r="G1740" s="27" t="s">
        <v>2273</v>
      </c>
      <c r="H1740" s="27">
        <v>1</v>
      </c>
      <c r="I1740" s="27">
        <f>VLOOKUP(F1740,mapping!$L$2:$P$92,2,0)</f>
        <v>1</v>
      </c>
      <c r="J1740" s="27">
        <f>VLOOKUP($F1740,mapping!$L$2:$P$92,3,0)</f>
        <v>48386.69</v>
      </c>
      <c r="K1740" s="27" t="str">
        <f>VLOOKUP($F1740,mapping!$L$2:$P$92,4,0)</f>
        <v>Major Advanced Economies (G7)</v>
      </c>
      <c r="L1740" s="29">
        <f>$D1740*VLOOKUP($E1740,'Charts data'!$A$2:$B$11,2,0)*VLOOKUP($G1740,'Charts data'!$A$14:$B$18,2,0)/IF('Charts data'!$E$3=1,I1740,1)/IF('Charts data'!$E$4=1,J1740,1)</f>
        <v>38000</v>
      </c>
    </row>
    <row r="1741" spans="1:12" x14ac:dyDescent="0.25">
      <c r="A1741" s="27" t="s">
        <v>1735</v>
      </c>
      <c r="B1741" s="27">
        <v>35500</v>
      </c>
      <c r="C1741" s="27" t="s">
        <v>2</v>
      </c>
      <c r="D1741" s="28">
        <f>B1741*VLOOKUP(C1741,tblXrate[],2,0)</f>
        <v>35500</v>
      </c>
      <c r="E1741" s="27" t="s">
        <v>7</v>
      </c>
      <c r="F1741" s="27" t="s">
        <v>5</v>
      </c>
      <c r="G1741" s="27" t="s">
        <v>2271</v>
      </c>
      <c r="H1741" s="27">
        <v>20</v>
      </c>
      <c r="I1741" s="27">
        <f>VLOOKUP(F1741,mapping!$L$2:$P$92,2,0)</f>
        <v>1</v>
      </c>
      <c r="J1741" s="27">
        <f>VLOOKUP($F1741,mapping!$L$2:$P$92,3,0)</f>
        <v>48386.69</v>
      </c>
      <c r="K1741" s="27" t="str">
        <f>VLOOKUP($F1741,mapping!$L$2:$P$92,4,0)</f>
        <v>Major Advanced Economies (G7)</v>
      </c>
      <c r="L1741" s="29">
        <f>$D1741*VLOOKUP($E1741,'Charts data'!$A$2:$B$11,2,0)*VLOOKUP($G1741,'Charts data'!$A$14:$B$18,2,0)/IF('Charts data'!$E$3=1,I1741,1)/IF('Charts data'!$E$4=1,J1741,1)</f>
        <v>35500</v>
      </c>
    </row>
    <row r="1742" spans="1:12" x14ac:dyDescent="0.25">
      <c r="A1742" s="27" t="s">
        <v>1736</v>
      </c>
      <c r="B1742" s="27">
        <v>62000</v>
      </c>
      <c r="C1742" s="27" t="s">
        <v>2</v>
      </c>
      <c r="D1742" s="28">
        <f>B1742*VLOOKUP(C1742,tblXrate[],2,0)</f>
        <v>62000</v>
      </c>
      <c r="E1742" s="27" t="s">
        <v>7</v>
      </c>
      <c r="F1742" s="27" t="s">
        <v>5</v>
      </c>
      <c r="G1742" s="27" t="s">
        <v>2272</v>
      </c>
      <c r="H1742" s="27">
        <v>5</v>
      </c>
      <c r="I1742" s="27">
        <f>VLOOKUP(F1742,mapping!$L$2:$P$92,2,0)</f>
        <v>1</v>
      </c>
      <c r="J1742" s="27">
        <f>VLOOKUP($F1742,mapping!$L$2:$P$92,3,0)</f>
        <v>48386.69</v>
      </c>
      <c r="K1742" s="27" t="str">
        <f>VLOOKUP($F1742,mapping!$L$2:$P$92,4,0)</f>
        <v>Major Advanced Economies (G7)</v>
      </c>
      <c r="L1742" s="29">
        <f>$D1742*VLOOKUP($E1742,'Charts data'!$A$2:$B$11,2,0)*VLOOKUP($G1742,'Charts data'!$A$14:$B$18,2,0)/IF('Charts data'!$E$3=1,I1742,1)/IF('Charts data'!$E$4=1,J1742,1)</f>
        <v>62000</v>
      </c>
    </row>
    <row r="1743" spans="1:12" x14ac:dyDescent="0.25">
      <c r="A1743" s="27" t="s">
        <v>1738</v>
      </c>
      <c r="B1743" s="27">
        <v>60000</v>
      </c>
      <c r="C1743" s="27" t="s">
        <v>2</v>
      </c>
      <c r="D1743" s="28">
        <f>B1743*VLOOKUP(C1743,tblXrate[],2,0)</f>
        <v>60000</v>
      </c>
      <c r="E1743" s="27" t="s">
        <v>7</v>
      </c>
      <c r="F1743" s="27" t="s">
        <v>5</v>
      </c>
      <c r="G1743" s="27" t="s">
        <v>2272</v>
      </c>
      <c r="H1743" s="27">
        <v>1</v>
      </c>
      <c r="I1743" s="27">
        <f>VLOOKUP(F1743,mapping!$L$2:$P$92,2,0)</f>
        <v>1</v>
      </c>
      <c r="J1743" s="27">
        <f>VLOOKUP($F1743,mapping!$L$2:$P$92,3,0)</f>
        <v>48386.69</v>
      </c>
      <c r="K1743" s="27" t="str">
        <f>VLOOKUP($F1743,mapping!$L$2:$P$92,4,0)</f>
        <v>Major Advanced Economies (G7)</v>
      </c>
      <c r="L1743" s="29">
        <f>$D1743*VLOOKUP($E1743,'Charts data'!$A$2:$B$11,2,0)*VLOOKUP($G1743,'Charts data'!$A$14:$B$18,2,0)/IF('Charts data'!$E$3=1,I1743,1)/IF('Charts data'!$E$4=1,J1743,1)</f>
        <v>60000</v>
      </c>
    </row>
    <row r="1744" spans="1:12" x14ac:dyDescent="0.25">
      <c r="A1744" s="27" t="s">
        <v>1739</v>
      </c>
      <c r="B1744" s="27">
        <v>32884</v>
      </c>
      <c r="C1744" s="27" t="s">
        <v>2</v>
      </c>
      <c r="D1744" s="28">
        <f>B1744*VLOOKUP(C1744,tblXrate[],2,0)</f>
        <v>32884</v>
      </c>
      <c r="E1744" s="27" t="s">
        <v>7</v>
      </c>
      <c r="F1744" s="27" t="s">
        <v>5</v>
      </c>
      <c r="G1744" s="27" t="s">
        <v>2273</v>
      </c>
      <c r="H1744" s="27">
        <v>10</v>
      </c>
      <c r="I1744" s="27">
        <f>VLOOKUP(F1744,mapping!$L$2:$P$92,2,0)</f>
        <v>1</v>
      </c>
      <c r="J1744" s="27">
        <f>VLOOKUP($F1744,mapping!$L$2:$P$92,3,0)</f>
        <v>48386.69</v>
      </c>
      <c r="K1744" s="27" t="str">
        <f>VLOOKUP($F1744,mapping!$L$2:$P$92,4,0)</f>
        <v>Major Advanced Economies (G7)</v>
      </c>
      <c r="L1744" s="29">
        <f>$D1744*VLOOKUP($E1744,'Charts data'!$A$2:$B$11,2,0)*VLOOKUP($G1744,'Charts data'!$A$14:$B$18,2,0)/IF('Charts data'!$E$3=1,I1744,1)/IF('Charts data'!$E$4=1,J1744,1)</f>
        <v>32884</v>
      </c>
    </row>
    <row r="1745" spans="1:12" x14ac:dyDescent="0.25">
      <c r="A1745" s="27" t="s">
        <v>1740</v>
      </c>
      <c r="B1745" s="27">
        <v>42000</v>
      </c>
      <c r="C1745" s="27" t="s">
        <v>2</v>
      </c>
      <c r="D1745" s="28">
        <f>B1745*VLOOKUP(C1745,tblXrate[],2,0)</f>
        <v>42000</v>
      </c>
      <c r="E1745" s="27" t="s">
        <v>7</v>
      </c>
      <c r="F1745" s="27" t="s">
        <v>5</v>
      </c>
      <c r="G1745" s="27" t="s">
        <v>2271</v>
      </c>
      <c r="H1745" s="27">
        <v>2</v>
      </c>
      <c r="I1745" s="27">
        <f>VLOOKUP(F1745,mapping!$L$2:$P$92,2,0)</f>
        <v>1</v>
      </c>
      <c r="J1745" s="27">
        <f>VLOOKUP($F1745,mapping!$L$2:$P$92,3,0)</f>
        <v>48386.69</v>
      </c>
      <c r="K1745" s="27" t="str">
        <f>VLOOKUP($F1745,mapping!$L$2:$P$92,4,0)</f>
        <v>Major Advanced Economies (G7)</v>
      </c>
      <c r="L1745" s="29">
        <f>$D1745*VLOOKUP($E1745,'Charts data'!$A$2:$B$11,2,0)*VLOOKUP($G1745,'Charts data'!$A$14:$B$18,2,0)/IF('Charts data'!$E$3=1,I1745,1)/IF('Charts data'!$E$4=1,J1745,1)</f>
        <v>42000</v>
      </c>
    </row>
    <row r="1746" spans="1:12" x14ac:dyDescent="0.25">
      <c r="A1746" s="27" t="s">
        <v>1741</v>
      </c>
      <c r="B1746" s="27">
        <v>68000</v>
      </c>
      <c r="C1746" s="27" t="s">
        <v>2</v>
      </c>
      <c r="D1746" s="28">
        <f>B1746*VLOOKUP(C1746,tblXrate[],2,0)</f>
        <v>68000</v>
      </c>
      <c r="E1746" s="27" t="s">
        <v>7</v>
      </c>
      <c r="F1746" s="27" t="s">
        <v>5</v>
      </c>
      <c r="G1746" s="27" t="s">
        <v>2271</v>
      </c>
      <c r="H1746" s="27">
        <v>12</v>
      </c>
      <c r="I1746" s="27">
        <f>VLOOKUP(F1746,mapping!$L$2:$P$92,2,0)</f>
        <v>1</v>
      </c>
      <c r="J1746" s="27">
        <f>VLOOKUP($F1746,mapping!$L$2:$P$92,3,0)</f>
        <v>48386.69</v>
      </c>
      <c r="K1746" s="27" t="str">
        <f>VLOOKUP($F1746,mapping!$L$2:$P$92,4,0)</f>
        <v>Major Advanced Economies (G7)</v>
      </c>
      <c r="L1746" s="29">
        <f>$D1746*VLOOKUP($E1746,'Charts data'!$A$2:$B$11,2,0)*VLOOKUP($G1746,'Charts data'!$A$14:$B$18,2,0)/IF('Charts data'!$E$3=1,I1746,1)/IF('Charts data'!$E$4=1,J1746,1)</f>
        <v>68000</v>
      </c>
    </row>
    <row r="1747" spans="1:12" x14ac:dyDescent="0.25">
      <c r="A1747" s="27" t="s">
        <v>1742</v>
      </c>
      <c r="B1747" s="27">
        <v>85000</v>
      </c>
      <c r="C1747" s="27" t="s">
        <v>2</v>
      </c>
      <c r="D1747" s="28">
        <f>B1747*VLOOKUP(C1747,tblXrate[],2,0)</f>
        <v>85000</v>
      </c>
      <c r="E1747" s="27" t="s">
        <v>51</v>
      </c>
      <c r="F1747" s="27" t="s">
        <v>5</v>
      </c>
      <c r="G1747" s="27" t="s">
        <v>2272</v>
      </c>
      <c r="H1747" s="27">
        <v>8</v>
      </c>
      <c r="I1747" s="27">
        <f>VLOOKUP(F1747,mapping!$L$2:$P$92,2,0)</f>
        <v>1</v>
      </c>
      <c r="J1747" s="27">
        <f>VLOOKUP($F1747,mapping!$L$2:$P$92,3,0)</f>
        <v>48386.69</v>
      </c>
      <c r="K1747" s="27" t="str">
        <f>VLOOKUP($F1747,mapping!$L$2:$P$92,4,0)</f>
        <v>Major Advanced Economies (G7)</v>
      </c>
      <c r="L1747" s="29">
        <f>$D1747*VLOOKUP($E1747,'Charts data'!$A$2:$B$11,2,0)*VLOOKUP($G1747,'Charts data'!$A$14:$B$18,2,0)/IF('Charts data'!$E$3=1,I1747,1)/IF('Charts data'!$E$4=1,J1747,1)</f>
        <v>85000</v>
      </c>
    </row>
    <row r="1748" spans="1:12" x14ac:dyDescent="0.25">
      <c r="A1748" s="27" t="s">
        <v>1747</v>
      </c>
      <c r="B1748" s="27">
        <v>140000</v>
      </c>
      <c r="C1748" s="27" t="s">
        <v>2</v>
      </c>
      <c r="D1748" s="28">
        <f>B1748*VLOOKUP(C1748,tblXrate[],2,0)</f>
        <v>140000</v>
      </c>
      <c r="E1748" s="27" t="s">
        <v>19</v>
      </c>
      <c r="F1748" s="27" t="s">
        <v>5</v>
      </c>
      <c r="G1748" s="27" t="s">
        <v>2271</v>
      </c>
      <c r="H1748" s="27">
        <v>12</v>
      </c>
      <c r="I1748" s="27">
        <f>VLOOKUP(F1748,mapping!$L$2:$P$92,2,0)</f>
        <v>1</v>
      </c>
      <c r="J1748" s="27">
        <f>VLOOKUP($F1748,mapping!$L$2:$P$92,3,0)</f>
        <v>48386.69</v>
      </c>
      <c r="K1748" s="27" t="str">
        <f>VLOOKUP($F1748,mapping!$L$2:$P$92,4,0)</f>
        <v>Major Advanced Economies (G7)</v>
      </c>
      <c r="L1748" s="29">
        <f>$D1748*VLOOKUP($E1748,'Charts data'!$A$2:$B$11,2,0)*VLOOKUP($G1748,'Charts data'!$A$14:$B$18,2,0)/IF('Charts data'!$E$3=1,I1748,1)/IF('Charts data'!$E$4=1,J1748,1)</f>
        <v>140000</v>
      </c>
    </row>
    <row r="1749" spans="1:12" x14ac:dyDescent="0.25">
      <c r="A1749" s="27" t="s">
        <v>1751</v>
      </c>
      <c r="B1749" s="27">
        <v>55000</v>
      </c>
      <c r="C1749" s="27" t="s">
        <v>2</v>
      </c>
      <c r="D1749" s="28">
        <f>B1749*VLOOKUP(C1749,tblXrate[],2,0)</f>
        <v>55000</v>
      </c>
      <c r="E1749" s="27" t="s">
        <v>7</v>
      </c>
      <c r="F1749" s="27" t="s">
        <v>5</v>
      </c>
      <c r="G1749" s="27" t="s">
        <v>2271</v>
      </c>
      <c r="H1749" s="27">
        <v>1</v>
      </c>
      <c r="I1749" s="27">
        <f>VLOOKUP(F1749,mapping!$L$2:$P$92,2,0)</f>
        <v>1</v>
      </c>
      <c r="J1749" s="27">
        <f>VLOOKUP($F1749,mapping!$L$2:$P$92,3,0)</f>
        <v>48386.69</v>
      </c>
      <c r="K1749" s="27" t="str">
        <f>VLOOKUP($F1749,mapping!$L$2:$P$92,4,0)</f>
        <v>Major Advanced Economies (G7)</v>
      </c>
      <c r="L1749" s="29">
        <f>$D1749*VLOOKUP($E1749,'Charts data'!$A$2:$B$11,2,0)*VLOOKUP($G1749,'Charts data'!$A$14:$B$18,2,0)/IF('Charts data'!$E$3=1,I1749,1)/IF('Charts data'!$E$4=1,J1749,1)</f>
        <v>55000</v>
      </c>
    </row>
    <row r="1750" spans="1:12" x14ac:dyDescent="0.25">
      <c r="A1750" s="27" t="s">
        <v>1763</v>
      </c>
      <c r="B1750" s="27">
        <v>54000</v>
      </c>
      <c r="C1750" s="27" t="s">
        <v>2</v>
      </c>
      <c r="D1750" s="28">
        <f>B1750*VLOOKUP(C1750,tblXrate[],2,0)</f>
        <v>54000</v>
      </c>
      <c r="E1750" s="27" t="s">
        <v>2147</v>
      </c>
      <c r="F1750" s="27" t="s">
        <v>5</v>
      </c>
      <c r="G1750" s="27" t="s">
        <v>2271</v>
      </c>
      <c r="H1750" s="27">
        <v>10</v>
      </c>
      <c r="I1750" s="27">
        <f>VLOOKUP(F1750,mapping!$L$2:$P$92,2,0)</f>
        <v>1</v>
      </c>
      <c r="J1750" s="27">
        <f>VLOOKUP($F1750,mapping!$L$2:$P$92,3,0)</f>
        <v>48386.69</v>
      </c>
      <c r="K1750" s="27" t="str">
        <f>VLOOKUP($F1750,mapping!$L$2:$P$92,4,0)</f>
        <v>Major Advanced Economies (G7)</v>
      </c>
      <c r="L1750" s="29">
        <f>$D1750*VLOOKUP($E1750,'Charts data'!$A$2:$B$11,2,0)*VLOOKUP($G1750,'Charts data'!$A$14:$B$18,2,0)/IF('Charts data'!$E$3=1,I1750,1)/IF('Charts data'!$E$4=1,J1750,1)</f>
        <v>54000</v>
      </c>
    </row>
    <row r="1751" spans="1:12" x14ac:dyDescent="0.25">
      <c r="A1751" s="27" t="s">
        <v>1764</v>
      </c>
      <c r="B1751" s="27">
        <v>100000</v>
      </c>
      <c r="C1751" s="27" t="s">
        <v>2</v>
      </c>
      <c r="D1751" s="28">
        <f>B1751*VLOOKUP(C1751,tblXrate[],2,0)</f>
        <v>100000</v>
      </c>
      <c r="E1751" s="27" t="s">
        <v>53</v>
      </c>
      <c r="F1751" s="27" t="s">
        <v>5</v>
      </c>
      <c r="G1751" s="27" t="s">
        <v>2272</v>
      </c>
      <c r="H1751" s="27">
        <v>4</v>
      </c>
      <c r="I1751" s="27">
        <f>VLOOKUP(F1751,mapping!$L$2:$P$92,2,0)</f>
        <v>1</v>
      </c>
      <c r="J1751" s="27">
        <f>VLOOKUP($F1751,mapping!$L$2:$P$92,3,0)</f>
        <v>48386.69</v>
      </c>
      <c r="K1751" s="27" t="str">
        <f>VLOOKUP($F1751,mapping!$L$2:$P$92,4,0)</f>
        <v>Major Advanced Economies (G7)</v>
      </c>
      <c r="L1751" s="29">
        <f>$D1751*VLOOKUP($E1751,'Charts data'!$A$2:$B$11,2,0)*VLOOKUP($G1751,'Charts data'!$A$14:$B$18,2,0)/IF('Charts data'!$E$3=1,I1751,1)/IF('Charts data'!$E$4=1,J1751,1)</f>
        <v>100000</v>
      </c>
    </row>
    <row r="1752" spans="1:12" x14ac:dyDescent="0.25">
      <c r="A1752" s="27" t="s">
        <v>1775</v>
      </c>
      <c r="B1752" s="27">
        <v>70000</v>
      </c>
      <c r="C1752" s="27" t="s">
        <v>2</v>
      </c>
      <c r="D1752" s="28">
        <f>B1752*VLOOKUP(C1752,tblXrate[],2,0)</f>
        <v>70000</v>
      </c>
      <c r="E1752" s="27" t="s">
        <v>7</v>
      </c>
      <c r="F1752" s="27" t="s">
        <v>5</v>
      </c>
      <c r="G1752" s="27" t="s">
        <v>2271</v>
      </c>
      <c r="H1752" s="27">
        <v>9</v>
      </c>
      <c r="I1752" s="27">
        <f>VLOOKUP(F1752,mapping!$L$2:$P$92,2,0)</f>
        <v>1</v>
      </c>
      <c r="J1752" s="27">
        <f>VLOOKUP($F1752,mapping!$L$2:$P$92,3,0)</f>
        <v>48386.69</v>
      </c>
      <c r="K1752" s="27" t="str">
        <f>VLOOKUP($F1752,mapping!$L$2:$P$92,4,0)</f>
        <v>Major Advanced Economies (G7)</v>
      </c>
      <c r="L1752" s="29">
        <f>$D1752*VLOOKUP($E1752,'Charts data'!$A$2:$B$11,2,0)*VLOOKUP($G1752,'Charts data'!$A$14:$B$18,2,0)/IF('Charts data'!$E$3=1,I1752,1)/IF('Charts data'!$E$4=1,J1752,1)</f>
        <v>70000</v>
      </c>
    </row>
    <row r="1753" spans="1:12" x14ac:dyDescent="0.25">
      <c r="A1753" s="27" t="s">
        <v>1776</v>
      </c>
      <c r="B1753" s="27">
        <v>155000</v>
      </c>
      <c r="C1753" s="27" t="s">
        <v>2</v>
      </c>
      <c r="D1753" s="28">
        <f>B1753*VLOOKUP(C1753,tblXrate[],2,0)</f>
        <v>155000</v>
      </c>
      <c r="E1753" s="27" t="s">
        <v>19</v>
      </c>
      <c r="F1753" s="27" t="s">
        <v>5</v>
      </c>
      <c r="G1753" s="27" t="s">
        <v>2274</v>
      </c>
      <c r="H1753" s="27">
        <v>14</v>
      </c>
      <c r="I1753" s="27">
        <f>VLOOKUP(F1753,mapping!$L$2:$P$92,2,0)</f>
        <v>1</v>
      </c>
      <c r="J1753" s="27">
        <f>VLOOKUP($F1753,mapping!$L$2:$P$92,3,0)</f>
        <v>48386.69</v>
      </c>
      <c r="K1753" s="27" t="str">
        <f>VLOOKUP($F1753,mapping!$L$2:$P$92,4,0)</f>
        <v>Major Advanced Economies (G7)</v>
      </c>
      <c r="L1753" s="29">
        <f>$D1753*VLOOKUP($E1753,'Charts data'!$A$2:$B$11,2,0)*VLOOKUP($G1753,'Charts data'!$A$14:$B$18,2,0)/IF('Charts data'!$E$3=1,I1753,1)/IF('Charts data'!$E$4=1,J1753,1)</f>
        <v>155000</v>
      </c>
    </row>
    <row r="1754" spans="1:12" x14ac:dyDescent="0.25">
      <c r="A1754" s="27" t="s">
        <v>1777</v>
      </c>
      <c r="B1754" s="27">
        <v>225000</v>
      </c>
      <c r="C1754" s="27" t="s">
        <v>2</v>
      </c>
      <c r="D1754" s="28">
        <f>B1754*VLOOKUP(C1754,tblXrate[],2,0)</f>
        <v>225000</v>
      </c>
      <c r="E1754" s="27" t="s">
        <v>2147</v>
      </c>
      <c r="F1754" s="27" t="s">
        <v>5</v>
      </c>
      <c r="G1754" s="27" t="s">
        <v>2271</v>
      </c>
      <c r="H1754" s="27">
        <v>15</v>
      </c>
      <c r="I1754" s="27">
        <f>VLOOKUP(F1754,mapping!$L$2:$P$92,2,0)</f>
        <v>1</v>
      </c>
      <c r="J1754" s="27">
        <f>VLOOKUP($F1754,mapping!$L$2:$P$92,3,0)</f>
        <v>48386.69</v>
      </c>
      <c r="K1754" s="27" t="str">
        <f>VLOOKUP($F1754,mapping!$L$2:$P$92,4,0)</f>
        <v>Major Advanced Economies (G7)</v>
      </c>
      <c r="L1754" s="29">
        <f>$D1754*VLOOKUP($E1754,'Charts data'!$A$2:$B$11,2,0)*VLOOKUP($G1754,'Charts data'!$A$14:$B$18,2,0)/IF('Charts data'!$E$3=1,I1754,1)/IF('Charts data'!$E$4=1,J1754,1)</f>
        <v>225000</v>
      </c>
    </row>
    <row r="1755" spans="1:12" x14ac:dyDescent="0.25">
      <c r="A1755" s="27" t="s">
        <v>1789</v>
      </c>
      <c r="B1755" s="27">
        <v>92000</v>
      </c>
      <c r="C1755" s="27" t="s">
        <v>2</v>
      </c>
      <c r="D1755" s="28">
        <f>B1755*VLOOKUP(C1755,tblXrate[],2,0)</f>
        <v>92000</v>
      </c>
      <c r="E1755" s="27" t="s">
        <v>2145</v>
      </c>
      <c r="F1755" s="27" t="s">
        <v>5</v>
      </c>
      <c r="G1755" s="27" t="s">
        <v>2272</v>
      </c>
      <c r="H1755" s="27">
        <v>12</v>
      </c>
      <c r="I1755" s="27">
        <f>VLOOKUP(F1755,mapping!$L$2:$P$92,2,0)</f>
        <v>1</v>
      </c>
      <c r="J1755" s="27">
        <f>VLOOKUP($F1755,mapping!$L$2:$P$92,3,0)</f>
        <v>48386.69</v>
      </c>
      <c r="K1755" s="27" t="str">
        <f>VLOOKUP($F1755,mapping!$L$2:$P$92,4,0)</f>
        <v>Major Advanced Economies (G7)</v>
      </c>
      <c r="L1755" s="29">
        <f>$D1755*VLOOKUP($E1755,'Charts data'!$A$2:$B$11,2,0)*VLOOKUP($G1755,'Charts data'!$A$14:$B$18,2,0)/IF('Charts data'!$E$3=1,I1755,1)/IF('Charts data'!$E$4=1,J1755,1)</f>
        <v>92000</v>
      </c>
    </row>
    <row r="1756" spans="1:12" x14ac:dyDescent="0.25">
      <c r="A1756" s="27" t="s">
        <v>1790</v>
      </c>
      <c r="B1756" s="27">
        <v>85000</v>
      </c>
      <c r="C1756" s="27" t="s">
        <v>2</v>
      </c>
      <c r="D1756" s="28">
        <f>B1756*VLOOKUP(C1756,tblXrate[],2,0)</f>
        <v>85000</v>
      </c>
      <c r="E1756" s="27" t="s">
        <v>19</v>
      </c>
      <c r="F1756" s="27" t="s">
        <v>5</v>
      </c>
      <c r="G1756" s="27" t="s">
        <v>2273</v>
      </c>
      <c r="H1756" s="27">
        <v>10</v>
      </c>
      <c r="I1756" s="27">
        <f>VLOOKUP(F1756,mapping!$L$2:$P$92,2,0)</f>
        <v>1</v>
      </c>
      <c r="J1756" s="27">
        <f>VLOOKUP($F1756,mapping!$L$2:$P$92,3,0)</f>
        <v>48386.69</v>
      </c>
      <c r="K1756" s="27" t="str">
        <f>VLOOKUP($F1756,mapping!$L$2:$P$92,4,0)</f>
        <v>Major Advanced Economies (G7)</v>
      </c>
      <c r="L1756" s="29">
        <f>$D1756*VLOOKUP($E1756,'Charts data'!$A$2:$B$11,2,0)*VLOOKUP($G1756,'Charts data'!$A$14:$B$18,2,0)/IF('Charts data'!$E$3=1,I1756,1)/IF('Charts data'!$E$4=1,J1756,1)</f>
        <v>85000</v>
      </c>
    </row>
    <row r="1757" spans="1:12" x14ac:dyDescent="0.25">
      <c r="A1757" s="27" t="s">
        <v>1793</v>
      </c>
      <c r="B1757" s="27">
        <v>49000</v>
      </c>
      <c r="C1757" s="27" t="s">
        <v>2</v>
      </c>
      <c r="D1757" s="28">
        <f>B1757*VLOOKUP(C1757,tblXrate[],2,0)</f>
        <v>49000</v>
      </c>
      <c r="E1757" s="27" t="s">
        <v>7</v>
      </c>
      <c r="F1757" s="27" t="s">
        <v>5</v>
      </c>
      <c r="G1757" s="27" t="s">
        <v>2272</v>
      </c>
      <c r="H1757" s="27">
        <v>3</v>
      </c>
      <c r="I1757" s="27">
        <f>VLOOKUP(F1757,mapping!$L$2:$P$92,2,0)</f>
        <v>1</v>
      </c>
      <c r="J1757" s="27">
        <f>VLOOKUP($F1757,mapping!$L$2:$P$92,3,0)</f>
        <v>48386.69</v>
      </c>
      <c r="K1757" s="27" t="str">
        <f>VLOOKUP($F1757,mapping!$L$2:$P$92,4,0)</f>
        <v>Major Advanced Economies (G7)</v>
      </c>
      <c r="L1757" s="29">
        <f>$D1757*VLOOKUP($E1757,'Charts data'!$A$2:$B$11,2,0)*VLOOKUP($G1757,'Charts data'!$A$14:$B$18,2,0)/IF('Charts data'!$E$3=1,I1757,1)/IF('Charts data'!$E$4=1,J1757,1)</f>
        <v>49000</v>
      </c>
    </row>
    <row r="1758" spans="1:12" x14ac:dyDescent="0.25">
      <c r="A1758" s="27" t="s">
        <v>1794</v>
      </c>
      <c r="B1758" s="27">
        <v>59000</v>
      </c>
      <c r="C1758" s="27" t="s">
        <v>2</v>
      </c>
      <c r="D1758" s="28">
        <f>B1758*VLOOKUP(C1758,tblXrate[],2,0)</f>
        <v>59000</v>
      </c>
      <c r="E1758" s="27" t="s">
        <v>19</v>
      </c>
      <c r="F1758" s="27" t="s">
        <v>5</v>
      </c>
      <c r="G1758" s="27" t="s">
        <v>2274</v>
      </c>
      <c r="H1758" s="27">
        <v>3</v>
      </c>
      <c r="I1758" s="27">
        <f>VLOOKUP(F1758,mapping!$L$2:$P$92,2,0)</f>
        <v>1</v>
      </c>
      <c r="J1758" s="27">
        <f>VLOOKUP($F1758,mapping!$L$2:$P$92,3,0)</f>
        <v>48386.69</v>
      </c>
      <c r="K1758" s="27" t="str">
        <f>VLOOKUP($F1758,mapping!$L$2:$P$92,4,0)</f>
        <v>Major Advanced Economies (G7)</v>
      </c>
      <c r="L1758" s="29">
        <f>$D1758*VLOOKUP($E1758,'Charts data'!$A$2:$B$11,2,0)*VLOOKUP($G1758,'Charts data'!$A$14:$B$18,2,0)/IF('Charts data'!$E$3=1,I1758,1)/IF('Charts data'!$E$4=1,J1758,1)</f>
        <v>59000</v>
      </c>
    </row>
    <row r="1759" spans="1:12" x14ac:dyDescent="0.25">
      <c r="A1759" s="27" t="s">
        <v>1795</v>
      </c>
      <c r="B1759" s="27">
        <v>55000</v>
      </c>
      <c r="C1759" s="27" t="s">
        <v>2</v>
      </c>
      <c r="D1759" s="28">
        <f>B1759*VLOOKUP(C1759,tblXrate[],2,0)</f>
        <v>55000</v>
      </c>
      <c r="E1759" s="27" t="s">
        <v>7</v>
      </c>
      <c r="F1759" s="27" t="s">
        <v>5</v>
      </c>
      <c r="G1759" s="27" t="s">
        <v>2271</v>
      </c>
      <c r="H1759" s="27">
        <v>15</v>
      </c>
      <c r="I1759" s="27">
        <f>VLOOKUP(F1759,mapping!$L$2:$P$92,2,0)</f>
        <v>1</v>
      </c>
      <c r="J1759" s="27">
        <f>VLOOKUP($F1759,mapping!$L$2:$P$92,3,0)</f>
        <v>48386.69</v>
      </c>
      <c r="K1759" s="27" t="str">
        <f>VLOOKUP($F1759,mapping!$L$2:$P$92,4,0)</f>
        <v>Major Advanced Economies (G7)</v>
      </c>
      <c r="L1759" s="29">
        <f>$D1759*VLOOKUP($E1759,'Charts data'!$A$2:$B$11,2,0)*VLOOKUP($G1759,'Charts data'!$A$14:$B$18,2,0)/IF('Charts data'!$E$3=1,I1759,1)/IF('Charts data'!$E$4=1,J1759,1)</f>
        <v>55000</v>
      </c>
    </row>
    <row r="1760" spans="1:12" x14ac:dyDescent="0.25">
      <c r="A1760" s="27" t="s">
        <v>1796</v>
      </c>
      <c r="B1760" s="27">
        <v>75000</v>
      </c>
      <c r="C1760" s="27" t="s">
        <v>2</v>
      </c>
      <c r="D1760" s="28">
        <f>B1760*VLOOKUP(C1760,tblXrate[],2,0)</f>
        <v>75000</v>
      </c>
      <c r="E1760" s="27" t="s">
        <v>51</v>
      </c>
      <c r="F1760" s="27" t="s">
        <v>5</v>
      </c>
      <c r="G1760" s="27" t="s">
        <v>2271</v>
      </c>
      <c r="H1760" s="27">
        <v>10</v>
      </c>
      <c r="I1760" s="27">
        <f>VLOOKUP(F1760,mapping!$L$2:$P$92,2,0)</f>
        <v>1</v>
      </c>
      <c r="J1760" s="27">
        <f>VLOOKUP($F1760,mapping!$L$2:$P$92,3,0)</f>
        <v>48386.69</v>
      </c>
      <c r="K1760" s="27" t="str">
        <f>VLOOKUP($F1760,mapping!$L$2:$P$92,4,0)</f>
        <v>Major Advanced Economies (G7)</v>
      </c>
      <c r="L1760" s="29">
        <f>$D1760*VLOOKUP($E1760,'Charts data'!$A$2:$B$11,2,0)*VLOOKUP($G1760,'Charts data'!$A$14:$B$18,2,0)/IF('Charts data'!$E$3=1,I1760,1)/IF('Charts data'!$E$4=1,J1760,1)</f>
        <v>75000</v>
      </c>
    </row>
    <row r="1761" spans="1:12" x14ac:dyDescent="0.25">
      <c r="A1761" s="27" t="s">
        <v>1798</v>
      </c>
      <c r="B1761" s="27">
        <v>80000</v>
      </c>
      <c r="C1761" s="27" t="s">
        <v>2</v>
      </c>
      <c r="D1761" s="28">
        <f>B1761*VLOOKUP(C1761,tblXrate[],2,0)</f>
        <v>80000</v>
      </c>
      <c r="E1761" s="27" t="s">
        <v>23</v>
      </c>
      <c r="F1761" s="27" t="s">
        <v>5</v>
      </c>
      <c r="G1761" s="27" t="s">
        <v>2272</v>
      </c>
      <c r="H1761" s="27">
        <v>2</v>
      </c>
      <c r="I1761" s="27">
        <f>VLOOKUP(F1761,mapping!$L$2:$P$92,2,0)</f>
        <v>1</v>
      </c>
      <c r="J1761" s="27">
        <f>VLOOKUP($F1761,mapping!$L$2:$P$92,3,0)</f>
        <v>48386.69</v>
      </c>
      <c r="K1761" s="27" t="str">
        <f>VLOOKUP($F1761,mapping!$L$2:$P$92,4,0)</f>
        <v>Major Advanced Economies (G7)</v>
      </c>
      <c r="L1761" s="29">
        <f>$D1761*VLOOKUP($E1761,'Charts data'!$A$2:$B$11,2,0)*VLOOKUP($G1761,'Charts data'!$A$14:$B$18,2,0)/IF('Charts data'!$E$3=1,I1761,1)/IF('Charts data'!$E$4=1,J1761,1)</f>
        <v>80000</v>
      </c>
    </row>
    <row r="1762" spans="1:12" x14ac:dyDescent="0.25">
      <c r="A1762" s="27" t="s">
        <v>1799</v>
      </c>
      <c r="B1762" s="27">
        <v>12000</v>
      </c>
      <c r="C1762" s="27" t="s">
        <v>2</v>
      </c>
      <c r="D1762" s="28">
        <f>B1762*VLOOKUP(C1762,tblXrate[],2,0)</f>
        <v>12000</v>
      </c>
      <c r="E1762" s="27" t="s">
        <v>7</v>
      </c>
      <c r="F1762" s="27" t="s">
        <v>5</v>
      </c>
      <c r="G1762" s="27" t="s">
        <v>2272</v>
      </c>
      <c r="H1762" s="27">
        <v>1</v>
      </c>
      <c r="I1762" s="27">
        <f>VLOOKUP(F1762,mapping!$L$2:$P$92,2,0)</f>
        <v>1</v>
      </c>
      <c r="J1762" s="27">
        <f>VLOOKUP($F1762,mapping!$L$2:$P$92,3,0)</f>
        <v>48386.69</v>
      </c>
      <c r="K1762" s="27" t="str">
        <f>VLOOKUP($F1762,mapping!$L$2:$P$92,4,0)</f>
        <v>Major Advanced Economies (G7)</v>
      </c>
      <c r="L1762" s="29">
        <f>$D1762*VLOOKUP($E1762,'Charts data'!$A$2:$B$11,2,0)*VLOOKUP($G1762,'Charts data'!$A$14:$B$18,2,0)/IF('Charts data'!$E$3=1,I1762,1)/IF('Charts data'!$E$4=1,J1762,1)</f>
        <v>12000</v>
      </c>
    </row>
    <row r="1763" spans="1:12" x14ac:dyDescent="0.25">
      <c r="A1763" s="27" t="s">
        <v>1800</v>
      </c>
      <c r="B1763" s="27">
        <v>48500</v>
      </c>
      <c r="C1763" s="27" t="s">
        <v>2</v>
      </c>
      <c r="D1763" s="28">
        <f>B1763*VLOOKUP(C1763,tblXrate[],2,0)</f>
        <v>48500</v>
      </c>
      <c r="E1763" s="27" t="s">
        <v>7</v>
      </c>
      <c r="F1763" s="27" t="s">
        <v>5</v>
      </c>
      <c r="G1763" s="27" t="s">
        <v>2271</v>
      </c>
      <c r="H1763" s="27">
        <v>6</v>
      </c>
      <c r="I1763" s="27">
        <f>VLOOKUP(F1763,mapping!$L$2:$P$92,2,0)</f>
        <v>1</v>
      </c>
      <c r="J1763" s="27">
        <f>VLOOKUP($F1763,mapping!$L$2:$P$92,3,0)</f>
        <v>48386.69</v>
      </c>
      <c r="K1763" s="27" t="str">
        <f>VLOOKUP($F1763,mapping!$L$2:$P$92,4,0)</f>
        <v>Major Advanced Economies (G7)</v>
      </c>
      <c r="L1763" s="29">
        <f>$D1763*VLOOKUP($E1763,'Charts data'!$A$2:$B$11,2,0)*VLOOKUP($G1763,'Charts data'!$A$14:$B$18,2,0)/IF('Charts data'!$E$3=1,I1763,1)/IF('Charts data'!$E$4=1,J1763,1)</f>
        <v>48500</v>
      </c>
    </row>
    <row r="1764" spans="1:12" x14ac:dyDescent="0.25">
      <c r="A1764" s="27" t="s">
        <v>1807</v>
      </c>
      <c r="B1764" s="27">
        <v>62000</v>
      </c>
      <c r="C1764" s="27" t="s">
        <v>2</v>
      </c>
      <c r="D1764" s="28">
        <f>B1764*VLOOKUP(C1764,tblXrate[],2,0)</f>
        <v>62000</v>
      </c>
      <c r="E1764" s="27" t="s">
        <v>48</v>
      </c>
      <c r="F1764" s="27" t="s">
        <v>5</v>
      </c>
      <c r="G1764" s="27" t="s">
        <v>2272</v>
      </c>
      <c r="H1764" s="27">
        <v>12</v>
      </c>
      <c r="I1764" s="27">
        <f>VLOOKUP(F1764,mapping!$L$2:$P$92,2,0)</f>
        <v>1</v>
      </c>
      <c r="J1764" s="27">
        <f>VLOOKUP($F1764,mapping!$L$2:$P$92,3,0)</f>
        <v>48386.69</v>
      </c>
      <c r="K1764" s="27" t="str">
        <f>VLOOKUP($F1764,mapping!$L$2:$P$92,4,0)</f>
        <v>Major Advanced Economies (G7)</v>
      </c>
      <c r="L1764" s="29">
        <f>$D1764*VLOOKUP($E1764,'Charts data'!$A$2:$B$11,2,0)*VLOOKUP($G1764,'Charts data'!$A$14:$B$18,2,0)/IF('Charts data'!$E$3=1,I1764,1)/IF('Charts data'!$E$4=1,J1764,1)</f>
        <v>62000</v>
      </c>
    </row>
    <row r="1765" spans="1:12" x14ac:dyDescent="0.25">
      <c r="A1765" s="27" t="s">
        <v>1811</v>
      </c>
      <c r="B1765" s="27">
        <v>90000</v>
      </c>
      <c r="C1765" s="27" t="s">
        <v>2</v>
      </c>
      <c r="D1765" s="28">
        <f>B1765*VLOOKUP(C1765,tblXrate[],2,0)</f>
        <v>90000</v>
      </c>
      <c r="E1765" s="27" t="s">
        <v>7</v>
      </c>
      <c r="F1765" s="27" t="s">
        <v>5</v>
      </c>
      <c r="G1765" s="27" t="s">
        <v>2272</v>
      </c>
      <c r="H1765" s="27">
        <v>8</v>
      </c>
      <c r="I1765" s="27">
        <f>VLOOKUP(F1765,mapping!$L$2:$P$92,2,0)</f>
        <v>1</v>
      </c>
      <c r="J1765" s="27">
        <f>VLOOKUP($F1765,mapping!$L$2:$P$92,3,0)</f>
        <v>48386.69</v>
      </c>
      <c r="K1765" s="27" t="str">
        <f>VLOOKUP($F1765,mapping!$L$2:$P$92,4,0)</f>
        <v>Major Advanced Economies (G7)</v>
      </c>
      <c r="L1765" s="29">
        <f>$D1765*VLOOKUP($E1765,'Charts data'!$A$2:$B$11,2,0)*VLOOKUP($G1765,'Charts data'!$A$14:$B$18,2,0)/IF('Charts data'!$E$3=1,I1765,1)/IF('Charts data'!$E$4=1,J1765,1)</f>
        <v>90000</v>
      </c>
    </row>
    <row r="1766" spans="1:12" x14ac:dyDescent="0.25">
      <c r="A1766" s="27" t="s">
        <v>1813</v>
      </c>
      <c r="B1766" s="27">
        <v>85000</v>
      </c>
      <c r="C1766" s="27" t="s">
        <v>2</v>
      </c>
      <c r="D1766" s="28">
        <f>B1766*VLOOKUP(C1766,tblXrate[],2,0)</f>
        <v>85000</v>
      </c>
      <c r="E1766" s="27" t="s">
        <v>7</v>
      </c>
      <c r="F1766" s="27" t="s">
        <v>5</v>
      </c>
      <c r="G1766" s="27" t="s">
        <v>2271</v>
      </c>
      <c r="H1766" s="27">
        <v>12</v>
      </c>
      <c r="I1766" s="27">
        <f>VLOOKUP(F1766,mapping!$L$2:$P$92,2,0)</f>
        <v>1</v>
      </c>
      <c r="J1766" s="27">
        <f>VLOOKUP($F1766,mapping!$L$2:$P$92,3,0)</f>
        <v>48386.69</v>
      </c>
      <c r="K1766" s="27" t="str">
        <f>VLOOKUP($F1766,mapping!$L$2:$P$92,4,0)</f>
        <v>Major Advanced Economies (G7)</v>
      </c>
      <c r="L1766" s="29">
        <f>$D1766*VLOOKUP($E1766,'Charts data'!$A$2:$B$11,2,0)*VLOOKUP($G1766,'Charts data'!$A$14:$B$18,2,0)/IF('Charts data'!$E$3=1,I1766,1)/IF('Charts data'!$E$4=1,J1766,1)</f>
        <v>85000</v>
      </c>
    </row>
    <row r="1767" spans="1:12" x14ac:dyDescent="0.25">
      <c r="A1767" s="27" t="s">
        <v>1815</v>
      </c>
      <c r="B1767" s="27">
        <v>65000</v>
      </c>
      <c r="C1767" s="27" t="s">
        <v>2</v>
      </c>
      <c r="D1767" s="28">
        <f>B1767*VLOOKUP(C1767,tblXrate[],2,0)</f>
        <v>65000</v>
      </c>
      <c r="E1767" s="27" t="s">
        <v>7</v>
      </c>
      <c r="F1767" s="27" t="s">
        <v>5</v>
      </c>
      <c r="G1767" s="27" t="s">
        <v>2271</v>
      </c>
      <c r="H1767" s="27">
        <v>8</v>
      </c>
      <c r="I1767" s="27">
        <f>VLOOKUP(F1767,mapping!$L$2:$P$92,2,0)</f>
        <v>1</v>
      </c>
      <c r="J1767" s="27">
        <f>VLOOKUP($F1767,mapping!$L$2:$P$92,3,0)</f>
        <v>48386.69</v>
      </c>
      <c r="K1767" s="27" t="str">
        <f>VLOOKUP($F1767,mapping!$L$2:$P$92,4,0)</f>
        <v>Major Advanced Economies (G7)</v>
      </c>
      <c r="L1767" s="29">
        <f>$D1767*VLOOKUP($E1767,'Charts data'!$A$2:$B$11,2,0)*VLOOKUP($G1767,'Charts data'!$A$14:$B$18,2,0)/IF('Charts data'!$E$3=1,I1767,1)/IF('Charts data'!$E$4=1,J1767,1)</f>
        <v>65000</v>
      </c>
    </row>
    <row r="1768" spans="1:12" x14ac:dyDescent="0.25">
      <c r="A1768" s="27" t="s">
        <v>1816</v>
      </c>
      <c r="B1768" s="27">
        <v>75000</v>
      </c>
      <c r="C1768" s="27" t="s">
        <v>2</v>
      </c>
      <c r="D1768" s="28">
        <f>B1768*VLOOKUP(C1768,tblXrate[],2,0)</f>
        <v>75000</v>
      </c>
      <c r="E1768" s="27" t="s">
        <v>2147</v>
      </c>
      <c r="F1768" s="27" t="s">
        <v>5</v>
      </c>
      <c r="G1768" s="27" t="s">
        <v>2272</v>
      </c>
      <c r="H1768" s="27">
        <v>3</v>
      </c>
      <c r="I1768" s="27">
        <f>VLOOKUP(F1768,mapping!$L$2:$P$92,2,0)</f>
        <v>1</v>
      </c>
      <c r="J1768" s="27">
        <f>VLOOKUP($F1768,mapping!$L$2:$P$92,3,0)</f>
        <v>48386.69</v>
      </c>
      <c r="K1768" s="27" t="str">
        <f>VLOOKUP($F1768,mapping!$L$2:$P$92,4,0)</f>
        <v>Major Advanced Economies (G7)</v>
      </c>
      <c r="L1768" s="29">
        <f>$D1768*VLOOKUP($E1768,'Charts data'!$A$2:$B$11,2,0)*VLOOKUP($G1768,'Charts data'!$A$14:$B$18,2,0)/IF('Charts data'!$E$3=1,I1768,1)/IF('Charts data'!$E$4=1,J1768,1)</f>
        <v>75000</v>
      </c>
    </row>
    <row r="1769" spans="1:12" x14ac:dyDescent="0.25">
      <c r="A1769" s="27" t="s">
        <v>1817</v>
      </c>
      <c r="B1769" s="27">
        <v>92000</v>
      </c>
      <c r="C1769" s="27" t="s">
        <v>2</v>
      </c>
      <c r="D1769" s="28">
        <f>B1769*VLOOKUP(C1769,tblXrate[],2,0)</f>
        <v>92000</v>
      </c>
      <c r="E1769" s="27" t="s">
        <v>7</v>
      </c>
      <c r="F1769" s="27" t="s">
        <v>5</v>
      </c>
      <c r="G1769" s="27" t="s">
        <v>2271</v>
      </c>
      <c r="H1769" s="27">
        <v>9</v>
      </c>
      <c r="I1769" s="27">
        <f>VLOOKUP(F1769,mapping!$L$2:$P$92,2,0)</f>
        <v>1</v>
      </c>
      <c r="J1769" s="27">
        <f>VLOOKUP($F1769,mapping!$L$2:$P$92,3,0)</f>
        <v>48386.69</v>
      </c>
      <c r="K1769" s="27" t="str">
        <f>VLOOKUP($F1769,mapping!$L$2:$P$92,4,0)</f>
        <v>Major Advanced Economies (G7)</v>
      </c>
      <c r="L1769" s="29">
        <f>$D1769*VLOOKUP($E1769,'Charts data'!$A$2:$B$11,2,0)*VLOOKUP($G1769,'Charts data'!$A$14:$B$18,2,0)/IF('Charts data'!$E$3=1,I1769,1)/IF('Charts data'!$E$4=1,J1769,1)</f>
        <v>92000</v>
      </c>
    </row>
    <row r="1770" spans="1:12" x14ac:dyDescent="0.25">
      <c r="A1770" s="27" t="s">
        <v>1820</v>
      </c>
      <c r="B1770" s="27">
        <v>45000</v>
      </c>
      <c r="C1770" s="27" t="s">
        <v>2</v>
      </c>
      <c r="D1770" s="28">
        <f>B1770*VLOOKUP(C1770,tblXrate[],2,0)</f>
        <v>45000</v>
      </c>
      <c r="E1770" s="27" t="s">
        <v>7</v>
      </c>
      <c r="F1770" s="27" t="s">
        <v>5</v>
      </c>
      <c r="G1770" s="27" t="s">
        <v>2272</v>
      </c>
      <c r="H1770" s="27">
        <v>4</v>
      </c>
      <c r="I1770" s="27">
        <f>VLOOKUP(F1770,mapping!$L$2:$P$92,2,0)</f>
        <v>1</v>
      </c>
      <c r="J1770" s="27">
        <f>VLOOKUP($F1770,mapping!$L$2:$P$92,3,0)</f>
        <v>48386.69</v>
      </c>
      <c r="K1770" s="27" t="str">
        <f>VLOOKUP($F1770,mapping!$L$2:$P$92,4,0)</f>
        <v>Major Advanced Economies (G7)</v>
      </c>
      <c r="L1770" s="29">
        <f>$D1770*VLOOKUP($E1770,'Charts data'!$A$2:$B$11,2,0)*VLOOKUP($G1770,'Charts data'!$A$14:$B$18,2,0)/IF('Charts data'!$E$3=1,I1770,1)/IF('Charts data'!$E$4=1,J1770,1)</f>
        <v>45000</v>
      </c>
    </row>
    <row r="1771" spans="1:12" x14ac:dyDescent="0.25">
      <c r="A1771" s="27" t="s">
        <v>1824</v>
      </c>
      <c r="B1771" s="27">
        <v>60000</v>
      </c>
      <c r="C1771" s="27" t="s">
        <v>2</v>
      </c>
      <c r="D1771" s="28">
        <f>B1771*VLOOKUP(C1771,tblXrate[],2,0)</f>
        <v>60000</v>
      </c>
      <c r="E1771" s="27" t="s">
        <v>7</v>
      </c>
      <c r="F1771" s="27" t="s">
        <v>5</v>
      </c>
      <c r="G1771" s="27" t="s">
        <v>2273</v>
      </c>
      <c r="H1771" s="27">
        <v>1</v>
      </c>
      <c r="I1771" s="27">
        <f>VLOOKUP(F1771,mapping!$L$2:$P$92,2,0)</f>
        <v>1</v>
      </c>
      <c r="J1771" s="27">
        <f>VLOOKUP($F1771,mapping!$L$2:$P$92,3,0)</f>
        <v>48386.69</v>
      </c>
      <c r="K1771" s="27" t="str">
        <f>VLOOKUP($F1771,mapping!$L$2:$P$92,4,0)</f>
        <v>Major Advanced Economies (G7)</v>
      </c>
      <c r="L1771" s="29">
        <f>$D1771*VLOOKUP($E1771,'Charts data'!$A$2:$B$11,2,0)*VLOOKUP($G1771,'Charts data'!$A$14:$B$18,2,0)/IF('Charts data'!$E$3=1,I1771,1)/IF('Charts data'!$E$4=1,J1771,1)</f>
        <v>60000</v>
      </c>
    </row>
    <row r="1772" spans="1:12" x14ac:dyDescent="0.25">
      <c r="A1772" s="27" t="s">
        <v>1825</v>
      </c>
      <c r="B1772" s="27">
        <v>65000</v>
      </c>
      <c r="C1772" s="27" t="s">
        <v>2</v>
      </c>
      <c r="D1772" s="28">
        <f>B1772*VLOOKUP(C1772,tblXrate[],2,0)</f>
        <v>65000</v>
      </c>
      <c r="E1772" s="27" t="s">
        <v>7</v>
      </c>
      <c r="F1772" s="27" t="s">
        <v>5</v>
      </c>
      <c r="G1772" s="27" t="s">
        <v>2273</v>
      </c>
      <c r="H1772" s="27">
        <v>4</v>
      </c>
      <c r="I1772" s="27">
        <f>VLOOKUP(F1772,mapping!$L$2:$P$92,2,0)</f>
        <v>1</v>
      </c>
      <c r="J1772" s="27">
        <f>VLOOKUP($F1772,mapping!$L$2:$P$92,3,0)</f>
        <v>48386.69</v>
      </c>
      <c r="K1772" s="27" t="str">
        <f>VLOOKUP($F1772,mapping!$L$2:$P$92,4,0)</f>
        <v>Major Advanced Economies (G7)</v>
      </c>
      <c r="L1772" s="29">
        <f>$D1772*VLOOKUP($E1772,'Charts data'!$A$2:$B$11,2,0)*VLOOKUP($G1772,'Charts data'!$A$14:$B$18,2,0)/IF('Charts data'!$E$3=1,I1772,1)/IF('Charts data'!$E$4=1,J1772,1)</f>
        <v>65000</v>
      </c>
    </row>
    <row r="1773" spans="1:12" x14ac:dyDescent="0.25">
      <c r="A1773" s="27" t="s">
        <v>1826</v>
      </c>
      <c r="B1773" s="27">
        <v>73000</v>
      </c>
      <c r="C1773" s="27" t="s">
        <v>2</v>
      </c>
      <c r="D1773" s="28">
        <f>B1773*VLOOKUP(C1773,tblXrate[],2,0)</f>
        <v>73000</v>
      </c>
      <c r="E1773" s="27" t="s">
        <v>19</v>
      </c>
      <c r="F1773" s="27" t="s">
        <v>5</v>
      </c>
      <c r="G1773" s="27" t="s">
        <v>2272</v>
      </c>
      <c r="H1773" s="27">
        <v>6</v>
      </c>
      <c r="I1773" s="27">
        <f>VLOOKUP(F1773,mapping!$L$2:$P$92,2,0)</f>
        <v>1</v>
      </c>
      <c r="J1773" s="27">
        <f>VLOOKUP($F1773,mapping!$L$2:$P$92,3,0)</f>
        <v>48386.69</v>
      </c>
      <c r="K1773" s="27" t="str">
        <f>VLOOKUP($F1773,mapping!$L$2:$P$92,4,0)</f>
        <v>Major Advanced Economies (G7)</v>
      </c>
      <c r="L1773" s="29">
        <f>$D1773*VLOOKUP($E1773,'Charts data'!$A$2:$B$11,2,0)*VLOOKUP($G1773,'Charts data'!$A$14:$B$18,2,0)/IF('Charts data'!$E$3=1,I1773,1)/IF('Charts data'!$E$4=1,J1773,1)</f>
        <v>73000</v>
      </c>
    </row>
    <row r="1774" spans="1:12" x14ac:dyDescent="0.25">
      <c r="A1774" s="27" t="s">
        <v>1827</v>
      </c>
      <c r="B1774" s="27">
        <v>54000</v>
      </c>
      <c r="C1774" s="27" t="s">
        <v>2</v>
      </c>
      <c r="D1774" s="28">
        <f>B1774*VLOOKUP(C1774,tblXrate[],2,0)</f>
        <v>54000</v>
      </c>
      <c r="E1774" s="27" t="s">
        <v>7</v>
      </c>
      <c r="F1774" s="27" t="s">
        <v>5</v>
      </c>
      <c r="G1774" s="27" t="s">
        <v>2273</v>
      </c>
      <c r="H1774" s="27">
        <v>6</v>
      </c>
      <c r="I1774" s="27">
        <f>VLOOKUP(F1774,mapping!$L$2:$P$92,2,0)</f>
        <v>1</v>
      </c>
      <c r="J1774" s="27">
        <f>VLOOKUP($F1774,mapping!$L$2:$P$92,3,0)</f>
        <v>48386.69</v>
      </c>
      <c r="K1774" s="27" t="str">
        <f>VLOOKUP($F1774,mapping!$L$2:$P$92,4,0)</f>
        <v>Major Advanced Economies (G7)</v>
      </c>
      <c r="L1774" s="29">
        <f>$D1774*VLOOKUP($E1774,'Charts data'!$A$2:$B$11,2,0)*VLOOKUP($G1774,'Charts data'!$A$14:$B$18,2,0)/IF('Charts data'!$E$3=1,I1774,1)/IF('Charts data'!$E$4=1,J1774,1)</f>
        <v>54000</v>
      </c>
    </row>
    <row r="1775" spans="1:12" x14ac:dyDescent="0.25">
      <c r="A1775" s="27" t="s">
        <v>1828</v>
      </c>
      <c r="B1775" s="27">
        <v>81000</v>
      </c>
      <c r="C1775" s="27" t="s">
        <v>2</v>
      </c>
      <c r="D1775" s="28">
        <f>B1775*VLOOKUP(C1775,tblXrate[],2,0)</f>
        <v>81000</v>
      </c>
      <c r="E1775" s="27" t="s">
        <v>7</v>
      </c>
      <c r="F1775" s="27" t="s">
        <v>5</v>
      </c>
      <c r="G1775" s="27" t="s">
        <v>2271</v>
      </c>
      <c r="H1775" s="27">
        <v>6</v>
      </c>
      <c r="I1775" s="27">
        <f>VLOOKUP(F1775,mapping!$L$2:$P$92,2,0)</f>
        <v>1</v>
      </c>
      <c r="J1775" s="27">
        <f>VLOOKUP($F1775,mapping!$L$2:$P$92,3,0)</f>
        <v>48386.69</v>
      </c>
      <c r="K1775" s="27" t="str">
        <f>VLOOKUP($F1775,mapping!$L$2:$P$92,4,0)</f>
        <v>Major Advanced Economies (G7)</v>
      </c>
      <c r="L1775" s="29">
        <f>$D1775*VLOOKUP($E1775,'Charts data'!$A$2:$B$11,2,0)*VLOOKUP($G1775,'Charts data'!$A$14:$B$18,2,0)/IF('Charts data'!$E$3=1,I1775,1)/IF('Charts data'!$E$4=1,J1775,1)</f>
        <v>81000</v>
      </c>
    </row>
    <row r="1776" spans="1:12" x14ac:dyDescent="0.25">
      <c r="A1776" s="27" t="s">
        <v>1829</v>
      </c>
      <c r="B1776" s="27">
        <v>10000</v>
      </c>
      <c r="C1776" s="27" t="s">
        <v>2</v>
      </c>
      <c r="D1776" s="28">
        <f>B1776*VLOOKUP(C1776,tblXrate[],2,0)</f>
        <v>10000</v>
      </c>
      <c r="E1776" s="27" t="s">
        <v>7</v>
      </c>
      <c r="F1776" s="27" t="s">
        <v>5</v>
      </c>
      <c r="G1776" s="27" t="s">
        <v>2271</v>
      </c>
      <c r="H1776" s="27">
        <v>2</v>
      </c>
      <c r="I1776" s="27">
        <f>VLOOKUP(F1776,mapping!$L$2:$P$92,2,0)</f>
        <v>1</v>
      </c>
      <c r="J1776" s="27">
        <f>VLOOKUP($F1776,mapping!$L$2:$P$92,3,0)</f>
        <v>48386.69</v>
      </c>
      <c r="K1776" s="27" t="str">
        <f>VLOOKUP($F1776,mapping!$L$2:$P$92,4,0)</f>
        <v>Major Advanced Economies (G7)</v>
      </c>
      <c r="L1776" s="29">
        <f>$D1776*VLOOKUP($E1776,'Charts data'!$A$2:$B$11,2,0)*VLOOKUP($G1776,'Charts data'!$A$14:$B$18,2,0)/IF('Charts data'!$E$3=1,I1776,1)/IF('Charts data'!$E$4=1,J1776,1)</f>
        <v>10000</v>
      </c>
    </row>
    <row r="1777" spans="1:12" x14ac:dyDescent="0.25">
      <c r="A1777" s="27" t="s">
        <v>1830</v>
      </c>
      <c r="B1777" s="27">
        <v>42000</v>
      </c>
      <c r="C1777" s="27" t="s">
        <v>2</v>
      </c>
      <c r="D1777" s="28">
        <f>B1777*VLOOKUP(C1777,tblXrate[],2,0)</f>
        <v>42000</v>
      </c>
      <c r="E1777" s="27" t="s">
        <v>51</v>
      </c>
      <c r="F1777" s="27" t="s">
        <v>5</v>
      </c>
      <c r="G1777" s="27" t="s">
        <v>2271</v>
      </c>
      <c r="H1777" s="27">
        <v>1</v>
      </c>
      <c r="I1777" s="27">
        <f>VLOOKUP(F1777,mapping!$L$2:$P$92,2,0)</f>
        <v>1</v>
      </c>
      <c r="J1777" s="27">
        <f>VLOOKUP($F1777,mapping!$L$2:$P$92,3,0)</f>
        <v>48386.69</v>
      </c>
      <c r="K1777" s="27" t="str">
        <f>VLOOKUP($F1777,mapping!$L$2:$P$92,4,0)</f>
        <v>Major Advanced Economies (G7)</v>
      </c>
      <c r="L1777" s="29">
        <f>$D1777*VLOOKUP($E1777,'Charts data'!$A$2:$B$11,2,0)*VLOOKUP($G1777,'Charts data'!$A$14:$B$18,2,0)/IF('Charts data'!$E$3=1,I1777,1)/IF('Charts data'!$E$4=1,J1777,1)</f>
        <v>42000</v>
      </c>
    </row>
    <row r="1778" spans="1:12" x14ac:dyDescent="0.25">
      <c r="A1778" s="27" t="s">
        <v>1856</v>
      </c>
      <c r="B1778" s="27">
        <v>45000</v>
      </c>
      <c r="C1778" s="27" t="s">
        <v>2</v>
      </c>
      <c r="D1778" s="28">
        <f>B1778*VLOOKUP(C1778,tblXrate[],2,0)</f>
        <v>45000</v>
      </c>
      <c r="E1778" s="27" t="s">
        <v>7</v>
      </c>
      <c r="F1778" s="27" t="s">
        <v>5</v>
      </c>
      <c r="G1778" s="27" t="s">
        <v>2273</v>
      </c>
      <c r="H1778" s="27">
        <v>2</v>
      </c>
      <c r="I1778" s="27">
        <f>VLOOKUP(F1778,mapping!$L$2:$P$92,2,0)</f>
        <v>1</v>
      </c>
      <c r="J1778" s="27">
        <f>VLOOKUP($F1778,mapping!$L$2:$P$92,3,0)</f>
        <v>48386.69</v>
      </c>
      <c r="K1778" s="27" t="str">
        <f>VLOOKUP($F1778,mapping!$L$2:$P$92,4,0)</f>
        <v>Major Advanced Economies (G7)</v>
      </c>
      <c r="L1778" s="29">
        <f>$D1778*VLOOKUP($E1778,'Charts data'!$A$2:$B$11,2,0)*VLOOKUP($G1778,'Charts data'!$A$14:$B$18,2,0)/IF('Charts data'!$E$3=1,I1778,1)/IF('Charts data'!$E$4=1,J1778,1)</f>
        <v>45000</v>
      </c>
    </row>
    <row r="1779" spans="1:12" x14ac:dyDescent="0.25">
      <c r="A1779" s="27" t="s">
        <v>1857</v>
      </c>
      <c r="B1779" s="27">
        <v>36000</v>
      </c>
      <c r="C1779" s="27" t="s">
        <v>2</v>
      </c>
      <c r="D1779" s="28">
        <f>B1779*VLOOKUP(C1779,tblXrate[],2,0)</f>
        <v>36000</v>
      </c>
      <c r="E1779" s="27" t="s">
        <v>7</v>
      </c>
      <c r="F1779" s="27" t="s">
        <v>5</v>
      </c>
      <c r="G1779" s="27" t="s">
        <v>2271</v>
      </c>
      <c r="H1779" s="27">
        <v>4</v>
      </c>
      <c r="I1779" s="27">
        <f>VLOOKUP(F1779,mapping!$L$2:$P$92,2,0)</f>
        <v>1</v>
      </c>
      <c r="J1779" s="27">
        <f>VLOOKUP($F1779,mapping!$L$2:$P$92,3,0)</f>
        <v>48386.69</v>
      </c>
      <c r="K1779" s="27" t="str">
        <f>VLOOKUP($F1779,mapping!$L$2:$P$92,4,0)</f>
        <v>Major Advanced Economies (G7)</v>
      </c>
      <c r="L1779" s="29">
        <f>$D1779*VLOOKUP($E1779,'Charts data'!$A$2:$B$11,2,0)*VLOOKUP($G1779,'Charts data'!$A$14:$B$18,2,0)/IF('Charts data'!$E$3=1,I1779,1)/IF('Charts data'!$E$4=1,J1779,1)</f>
        <v>36000</v>
      </c>
    </row>
    <row r="1780" spans="1:12" x14ac:dyDescent="0.25">
      <c r="A1780" s="27" t="s">
        <v>1858</v>
      </c>
      <c r="B1780" s="27">
        <v>68000</v>
      </c>
      <c r="C1780" s="27" t="s">
        <v>2</v>
      </c>
      <c r="D1780" s="28">
        <f>B1780*VLOOKUP(C1780,tblXrate[],2,0)</f>
        <v>68000</v>
      </c>
      <c r="E1780" s="27" t="s">
        <v>7</v>
      </c>
      <c r="F1780" s="27" t="s">
        <v>5</v>
      </c>
      <c r="G1780" s="27" t="s">
        <v>2271</v>
      </c>
      <c r="H1780" s="27">
        <v>2.5</v>
      </c>
      <c r="I1780" s="27">
        <f>VLOOKUP(F1780,mapping!$L$2:$P$92,2,0)</f>
        <v>1</v>
      </c>
      <c r="J1780" s="27">
        <f>VLOOKUP($F1780,mapping!$L$2:$P$92,3,0)</f>
        <v>48386.69</v>
      </c>
      <c r="K1780" s="27" t="str">
        <f>VLOOKUP($F1780,mapping!$L$2:$P$92,4,0)</f>
        <v>Major Advanced Economies (G7)</v>
      </c>
      <c r="L1780" s="29">
        <f>$D1780*VLOOKUP($E1780,'Charts data'!$A$2:$B$11,2,0)*VLOOKUP($G1780,'Charts data'!$A$14:$B$18,2,0)/IF('Charts data'!$E$3=1,I1780,1)/IF('Charts data'!$E$4=1,J1780,1)</f>
        <v>68000</v>
      </c>
    </row>
    <row r="1781" spans="1:12" x14ac:dyDescent="0.25">
      <c r="A1781" s="27" t="s">
        <v>1859</v>
      </c>
      <c r="B1781" s="27">
        <v>75000</v>
      </c>
      <c r="C1781" s="27" t="s">
        <v>2</v>
      </c>
      <c r="D1781" s="28">
        <f>B1781*VLOOKUP(C1781,tblXrate[],2,0)</f>
        <v>75000</v>
      </c>
      <c r="E1781" s="27" t="s">
        <v>7</v>
      </c>
      <c r="F1781" s="27" t="s">
        <v>5</v>
      </c>
      <c r="G1781" s="27" t="s">
        <v>2273</v>
      </c>
      <c r="H1781" s="27">
        <v>5</v>
      </c>
      <c r="I1781" s="27">
        <f>VLOOKUP(F1781,mapping!$L$2:$P$92,2,0)</f>
        <v>1</v>
      </c>
      <c r="J1781" s="27">
        <f>VLOOKUP($F1781,mapping!$L$2:$P$92,3,0)</f>
        <v>48386.69</v>
      </c>
      <c r="K1781" s="27" t="str">
        <f>VLOOKUP($F1781,mapping!$L$2:$P$92,4,0)</f>
        <v>Major Advanced Economies (G7)</v>
      </c>
      <c r="L1781" s="29">
        <f>$D1781*VLOOKUP($E1781,'Charts data'!$A$2:$B$11,2,0)*VLOOKUP($G1781,'Charts data'!$A$14:$B$18,2,0)/IF('Charts data'!$E$3=1,I1781,1)/IF('Charts data'!$E$4=1,J1781,1)</f>
        <v>75000</v>
      </c>
    </row>
    <row r="1782" spans="1:12" x14ac:dyDescent="0.25">
      <c r="A1782" s="27" t="s">
        <v>1860</v>
      </c>
      <c r="B1782" s="27">
        <v>88000</v>
      </c>
      <c r="C1782" s="27" t="s">
        <v>2</v>
      </c>
      <c r="D1782" s="28">
        <f>B1782*VLOOKUP(C1782,tblXrate[],2,0)</f>
        <v>88000</v>
      </c>
      <c r="E1782" s="27" t="s">
        <v>7</v>
      </c>
      <c r="F1782" s="27" t="s">
        <v>5</v>
      </c>
      <c r="G1782" s="27" t="s">
        <v>2273</v>
      </c>
      <c r="H1782" s="27">
        <v>10</v>
      </c>
      <c r="I1782" s="27">
        <f>VLOOKUP(F1782,mapping!$L$2:$P$92,2,0)</f>
        <v>1</v>
      </c>
      <c r="J1782" s="27">
        <f>VLOOKUP($F1782,mapping!$L$2:$P$92,3,0)</f>
        <v>48386.69</v>
      </c>
      <c r="K1782" s="27" t="str">
        <f>VLOOKUP($F1782,mapping!$L$2:$P$92,4,0)</f>
        <v>Major Advanced Economies (G7)</v>
      </c>
      <c r="L1782" s="29">
        <f>$D1782*VLOOKUP($E1782,'Charts data'!$A$2:$B$11,2,0)*VLOOKUP($G1782,'Charts data'!$A$14:$B$18,2,0)/IF('Charts data'!$E$3=1,I1782,1)/IF('Charts data'!$E$4=1,J1782,1)</f>
        <v>88000</v>
      </c>
    </row>
    <row r="1783" spans="1:12" x14ac:dyDescent="0.25">
      <c r="A1783" s="27" t="s">
        <v>1862</v>
      </c>
      <c r="B1783" s="27">
        <v>69000</v>
      </c>
      <c r="C1783" s="27" t="s">
        <v>2</v>
      </c>
      <c r="D1783" s="28">
        <f>B1783*VLOOKUP(C1783,tblXrate[],2,0)</f>
        <v>69000</v>
      </c>
      <c r="E1783" s="27" t="s">
        <v>7</v>
      </c>
      <c r="F1783" s="27" t="s">
        <v>5</v>
      </c>
      <c r="G1783" s="27" t="s">
        <v>2273</v>
      </c>
      <c r="H1783" s="27">
        <v>15</v>
      </c>
      <c r="I1783" s="27">
        <f>VLOOKUP(F1783,mapping!$L$2:$P$92,2,0)</f>
        <v>1</v>
      </c>
      <c r="J1783" s="27">
        <f>VLOOKUP($F1783,mapping!$L$2:$P$92,3,0)</f>
        <v>48386.69</v>
      </c>
      <c r="K1783" s="27" t="str">
        <f>VLOOKUP($F1783,mapping!$L$2:$P$92,4,0)</f>
        <v>Major Advanced Economies (G7)</v>
      </c>
      <c r="L1783" s="29">
        <f>$D1783*VLOOKUP($E1783,'Charts data'!$A$2:$B$11,2,0)*VLOOKUP($G1783,'Charts data'!$A$14:$B$18,2,0)/IF('Charts data'!$E$3=1,I1783,1)/IF('Charts data'!$E$4=1,J1783,1)</f>
        <v>69000</v>
      </c>
    </row>
    <row r="1784" spans="1:12" x14ac:dyDescent="0.25">
      <c r="A1784" s="27" t="s">
        <v>1863</v>
      </c>
      <c r="B1784" s="27">
        <v>30000</v>
      </c>
      <c r="C1784" s="27" t="s">
        <v>2</v>
      </c>
      <c r="D1784" s="28">
        <f>B1784*VLOOKUP(C1784,tblXrate[],2,0)</f>
        <v>30000</v>
      </c>
      <c r="E1784" s="27" t="s">
        <v>19</v>
      </c>
      <c r="F1784" s="27" t="s">
        <v>5</v>
      </c>
      <c r="G1784" s="27" t="s">
        <v>2271</v>
      </c>
      <c r="H1784" s="27">
        <v>1</v>
      </c>
      <c r="I1784" s="27">
        <f>VLOOKUP(F1784,mapping!$L$2:$P$92,2,0)</f>
        <v>1</v>
      </c>
      <c r="J1784" s="27">
        <f>VLOOKUP($F1784,mapping!$L$2:$P$92,3,0)</f>
        <v>48386.69</v>
      </c>
      <c r="K1784" s="27" t="str">
        <f>VLOOKUP($F1784,mapping!$L$2:$P$92,4,0)</f>
        <v>Major Advanced Economies (G7)</v>
      </c>
      <c r="L1784" s="29">
        <f>$D1784*VLOOKUP($E1784,'Charts data'!$A$2:$B$11,2,0)*VLOOKUP($G1784,'Charts data'!$A$14:$B$18,2,0)/IF('Charts data'!$E$3=1,I1784,1)/IF('Charts data'!$E$4=1,J1784,1)</f>
        <v>30000</v>
      </c>
    </row>
    <row r="1785" spans="1:12" x14ac:dyDescent="0.25">
      <c r="A1785" s="27" t="s">
        <v>1864</v>
      </c>
      <c r="B1785" s="27">
        <v>80000</v>
      </c>
      <c r="C1785" s="27" t="s">
        <v>2</v>
      </c>
      <c r="D1785" s="28">
        <f>B1785*VLOOKUP(C1785,tblXrate[],2,0)</f>
        <v>80000</v>
      </c>
      <c r="E1785" s="27" t="s">
        <v>19</v>
      </c>
      <c r="F1785" s="27" t="s">
        <v>5</v>
      </c>
      <c r="G1785" s="27" t="s">
        <v>2271</v>
      </c>
      <c r="H1785" s="27">
        <v>7</v>
      </c>
      <c r="I1785" s="27">
        <f>VLOOKUP(F1785,mapping!$L$2:$P$92,2,0)</f>
        <v>1</v>
      </c>
      <c r="J1785" s="27">
        <f>VLOOKUP($F1785,mapping!$L$2:$P$92,3,0)</f>
        <v>48386.69</v>
      </c>
      <c r="K1785" s="27" t="str">
        <f>VLOOKUP($F1785,mapping!$L$2:$P$92,4,0)</f>
        <v>Major Advanced Economies (G7)</v>
      </c>
      <c r="L1785" s="29">
        <f>$D1785*VLOOKUP($E1785,'Charts data'!$A$2:$B$11,2,0)*VLOOKUP($G1785,'Charts data'!$A$14:$B$18,2,0)/IF('Charts data'!$E$3=1,I1785,1)/IF('Charts data'!$E$4=1,J1785,1)</f>
        <v>80000</v>
      </c>
    </row>
    <row r="1786" spans="1:12" x14ac:dyDescent="0.25">
      <c r="A1786" s="27" t="s">
        <v>1865</v>
      </c>
      <c r="B1786" s="27">
        <v>75000</v>
      </c>
      <c r="C1786" s="27" t="s">
        <v>2</v>
      </c>
      <c r="D1786" s="28">
        <f>B1786*VLOOKUP(C1786,tblXrate[],2,0)</f>
        <v>75000</v>
      </c>
      <c r="E1786" s="27" t="s">
        <v>51</v>
      </c>
      <c r="F1786" s="27" t="s">
        <v>5</v>
      </c>
      <c r="G1786" s="27" t="s">
        <v>2273</v>
      </c>
      <c r="H1786" s="27">
        <v>1</v>
      </c>
      <c r="I1786" s="27">
        <f>VLOOKUP(F1786,mapping!$L$2:$P$92,2,0)</f>
        <v>1</v>
      </c>
      <c r="J1786" s="27">
        <f>VLOOKUP($F1786,mapping!$L$2:$P$92,3,0)</f>
        <v>48386.69</v>
      </c>
      <c r="K1786" s="27" t="str">
        <f>VLOOKUP($F1786,mapping!$L$2:$P$92,4,0)</f>
        <v>Major Advanced Economies (G7)</v>
      </c>
      <c r="L1786" s="29">
        <f>$D1786*VLOOKUP($E1786,'Charts data'!$A$2:$B$11,2,0)*VLOOKUP($G1786,'Charts data'!$A$14:$B$18,2,0)/IF('Charts data'!$E$3=1,I1786,1)/IF('Charts data'!$E$4=1,J1786,1)</f>
        <v>75000</v>
      </c>
    </row>
    <row r="1787" spans="1:12" x14ac:dyDescent="0.25">
      <c r="A1787" s="27" t="s">
        <v>1867</v>
      </c>
      <c r="B1787" s="27">
        <v>85000</v>
      </c>
      <c r="C1787" s="27" t="s">
        <v>2</v>
      </c>
      <c r="D1787" s="28">
        <f>B1787*VLOOKUP(C1787,tblXrate[],2,0)</f>
        <v>85000</v>
      </c>
      <c r="E1787" s="27" t="s">
        <v>51</v>
      </c>
      <c r="F1787" s="27" t="s">
        <v>5</v>
      </c>
      <c r="G1787" s="27" t="s">
        <v>2271</v>
      </c>
      <c r="H1787" s="27">
        <v>20</v>
      </c>
      <c r="I1787" s="27">
        <f>VLOOKUP(F1787,mapping!$L$2:$P$92,2,0)</f>
        <v>1</v>
      </c>
      <c r="J1787" s="27">
        <f>VLOOKUP($F1787,mapping!$L$2:$P$92,3,0)</f>
        <v>48386.69</v>
      </c>
      <c r="K1787" s="27" t="str">
        <f>VLOOKUP($F1787,mapping!$L$2:$P$92,4,0)</f>
        <v>Major Advanced Economies (G7)</v>
      </c>
      <c r="L1787" s="29">
        <f>$D1787*VLOOKUP($E1787,'Charts data'!$A$2:$B$11,2,0)*VLOOKUP($G1787,'Charts data'!$A$14:$B$18,2,0)/IF('Charts data'!$E$3=1,I1787,1)/IF('Charts data'!$E$4=1,J1787,1)</f>
        <v>85000</v>
      </c>
    </row>
    <row r="1788" spans="1:12" x14ac:dyDescent="0.25">
      <c r="A1788" s="27" t="s">
        <v>1870</v>
      </c>
      <c r="B1788" s="27">
        <v>60000</v>
      </c>
      <c r="C1788" s="27" t="s">
        <v>2</v>
      </c>
      <c r="D1788" s="28">
        <f>B1788*VLOOKUP(C1788,tblXrate[],2,0)</f>
        <v>60000</v>
      </c>
      <c r="E1788" s="27" t="s">
        <v>19</v>
      </c>
      <c r="F1788" s="27" t="s">
        <v>5</v>
      </c>
      <c r="G1788" s="27" t="s">
        <v>2273</v>
      </c>
      <c r="H1788" s="27">
        <v>2</v>
      </c>
      <c r="I1788" s="27">
        <f>VLOOKUP(F1788,mapping!$L$2:$P$92,2,0)</f>
        <v>1</v>
      </c>
      <c r="J1788" s="27">
        <f>VLOOKUP($F1788,mapping!$L$2:$P$92,3,0)</f>
        <v>48386.69</v>
      </c>
      <c r="K1788" s="27" t="str">
        <f>VLOOKUP($F1788,mapping!$L$2:$P$92,4,0)</f>
        <v>Major Advanced Economies (G7)</v>
      </c>
      <c r="L1788" s="29">
        <f>$D1788*VLOOKUP($E1788,'Charts data'!$A$2:$B$11,2,0)*VLOOKUP($G1788,'Charts data'!$A$14:$B$18,2,0)/IF('Charts data'!$E$3=1,I1788,1)/IF('Charts data'!$E$4=1,J1788,1)</f>
        <v>60000</v>
      </c>
    </row>
    <row r="1789" spans="1:12" x14ac:dyDescent="0.25">
      <c r="A1789" s="27" t="s">
        <v>1871</v>
      </c>
      <c r="B1789" s="27">
        <v>60000</v>
      </c>
      <c r="C1789" s="27" t="s">
        <v>2</v>
      </c>
      <c r="D1789" s="28">
        <f>B1789*VLOOKUP(C1789,tblXrate[],2,0)</f>
        <v>60000</v>
      </c>
      <c r="E1789" s="27" t="s">
        <v>19</v>
      </c>
      <c r="F1789" s="27" t="s">
        <v>5</v>
      </c>
      <c r="G1789" s="27" t="s">
        <v>2273</v>
      </c>
      <c r="H1789" s="27">
        <v>2</v>
      </c>
      <c r="I1789" s="27">
        <f>VLOOKUP(F1789,mapping!$L$2:$P$92,2,0)</f>
        <v>1</v>
      </c>
      <c r="J1789" s="27">
        <f>VLOOKUP($F1789,mapping!$L$2:$P$92,3,0)</f>
        <v>48386.69</v>
      </c>
      <c r="K1789" s="27" t="str">
        <f>VLOOKUP($F1789,mapping!$L$2:$P$92,4,0)</f>
        <v>Major Advanced Economies (G7)</v>
      </c>
      <c r="L1789" s="29">
        <f>$D1789*VLOOKUP($E1789,'Charts data'!$A$2:$B$11,2,0)*VLOOKUP($G1789,'Charts data'!$A$14:$B$18,2,0)/IF('Charts data'!$E$3=1,I1789,1)/IF('Charts data'!$E$4=1,J1789,1)</f>
        <v>60000</v>
      </c>
    </row>
    <row r="1790" spans="1:12" x14ac:dyDescent="0.25">
      <c r="A1790" s="27" t="s">
        <v>1878</v>
      </c>
      <c r="B1790" s="27">
        <v>67000</v>
      </c>
      <c r="C1790" s="27" t="s">
        <v>2</v>
      </c>
      <c r="D1790" s="28">
        <f>B1790*VLOOKUP(C1790,tblXrate[],2,0)</f>
        <v>67000</v>
      </c>
      <c r="E1790" s="27" t="s">
        <v>19</v>
      </c>
      <c r="F1790" s="27" t="s">
        <v>5</v>
      </c>
      <c r="G1790" s="27" t="s">
        <v>2271</v>
      </c>
      <c r="H1790" s="27">
        <v>16</v>
      </c>
      <c r="I1790" s="27">
        <f>VLOOKUP(F1790,mapping!$L$2:$P$92,2,0)</f>
        <v>1</v>
      </c>
      <c r="J1790" s="27">
        <f>VLOOKUP($F1790,mapping!$L$2:$P$92,3,0)</f>
        <v>48386.69</v>
      </c>
      <c r="K1790" s="27" t="str">
        <f>VLOOKUP($F1790,mapping!$L$2:$P$92,4,0)</f>
        <v>Major Advanced Economies (G7)</v>
      </c>
      <c r="L1790" s="29">
        <f>$D1790*VLOOKUP($E1790,'Charts data'!$A$2:$B$11,2,0)*VLOOKUP($G1790,'Charts data'!$A$14:$B$18,2,0)/IF('Charts data'!$E$3=1,I1790,1)/IF('Charts data'!$E$4=1,J1790,1)</f>
        <v>67000</v>
      </c>
    </row>
    <row r="1791" spans="1:12" x14ac:dyDescent="0.25">
      <c r="A1791" s="27" t="s">
        <v>1879</v>
      </c>
      <c r="B1791" s="27">
        <v>30000</v>
      </c>
      <c r="C1791" s="27" t="s">
        <v>2</v>
      </c>
      <c r="D1791" s="28">
        <f>B1791*VLOOKUP(C1791,tblXrate[],2,0)</f>
        <v>30000</v>
      </c>
      <c r="E1791" s="27" t="s">
        <v>7</v>
      </c>
      <c r="F1791" s="27" t="s">
        <v>5</v>
      </c>
      <c r="G1791" s="27" t="s">
        <v>2272</v>
      </c>
      <c r="H1791" s="27">
        <v>4</v>
      </c>
      <c r="I1791" s="27">
        <f>VLOOKUP(F1791,mapping!$L$2:$P$92,2,0)</f>
        <v>1</v>
      </c>
      <c r="J1791" s="27">
        <f>VLOOKUP($F1791,mapping!$L$2:$P$92,3,0)</f>
        <v>48386.69</v>
      </c>
      <c r="K1791" s="27" t="str">
        <f>VLOOKUP($F1791,mapping!$L$2:$P$92,4,0)</f>
        <v>Major Advanced Economies (G7)</v>
      </c>
      <c r="L1791" s="29">
        <f>$D1791*VLOOKUP($E1791,'Charts data'!$A$2:$B$11,2,0)*VLOOKUP($G1791,'Charts data'!$A$14:$B$18,2,0)/IF('Charts data'!$E$3=1,I1791,1)/IF('Charts data'!$E$4=1,J1791,1)</f>
        <v>30000</v>
      </c>
    </row>
    <row r="1792" spans="1:12" x14ac:dyDescent="0.25">
      <c r="A1792" s="27" t="s">
        <v>1881</v>
      </c>
      <c r="B1792" s="27">
        <v>71500</v>
      </c>
      <c r="C1792" s="27" t="s">
        <v>2</v>
      </c>
      <c r="D1792" s="28">
        <f>B1792*VLOOKUP(C1792,tblXrate[],2,0)</f>
        <v>71500</v>
      </c>
      <c r="E1792" s="27" t="s">
        <v>19</v>
      </c>
      <c r="F1792" s="27" t="s">
        <v>5</v>
      </c>
      <c r="G1792" s="27" t="s">
        <v>2273</v>
      </c>
      <c r="H1792" s="27">
        <v>11</v>
      </c>
      <c r="I1792" s="27">
        <f>VLOOKUP(F1792,mapping!$L$2:$P$92,2,0)</f>
        <v>1</v>
      </c>
      <c r="J1792" s="27">
        <f>VLOOKUP($F1792,mapping!$L$2:$P$92,3,0)</f>
        <v>48386.69</v>
      </c>
      <c r="K1792" s="27" t="str">
        <f>VLOOKUP($F1792,mapping!$L$2:$P$92,4,0)</f>
        <v>Major Advanced Economies (G7)</v>
      </c>
      <c r="L1792" s="29">
        <f>$D1792*VLOOKUP($E1792,'Charts data'!$A$2:$B$11,2,0)*VLOOKUP($G1792,'Charts data'!$A$14:$B$18,2,0)/IF('Charts data'!$E$3=1,I1792,1)/IF('Charts data'!$E$4=1,J1792,1)</f>
        <v>71500</v>
      </c>
    </row>
    <row r="1793" spans="1:12" x14ac:dyDescent="0.25">
      <c r="A1793" s="27" t="s">
        <v>1882</v>
      </c>
      <c r="B1793" s="27">
        <v>67000</v>
      </c>
      <c r="C1793" s="27" t="s">
        <v>2</v>
      </c>
      <c r="D1793" s="28">
        <f>B1793*VLOOKUP(C1793,tblXrate[],2,0)</f>
        <v>67000</v>
      </c>
      <c r="E1793" s="27" t="s">
        <v>19</v>
      </c>
      <c r="F1793" s="27" t="s">
        <v>5</v>
      </c>
      <c r="G1793" s="27" t="s">
        <v>2295</v>
      </c>
      <c r="H1793" s="27">
        <v>6</v>
      </c>
      <c r="I1793" s="27">
        <f>VLOOKUP(F1793,mapping!$L$2:$P$92,2,0)</f>
        <v>1</v>
      </c>
      <c r="J1793" s="27">
        <f>VLOOKUP($F1793,mapping!$L$2:$P$92,3,0)</f>
        <v>48386.69</v>
      </c>
      <c r="K1793" s="27" t="str">
        <f>VLOOKUP($F1793,mapping!$L$2:$P$92,4,0)</f>
        <v>Major Advanced Economies (G7)</v>
      </c>
      <c r="L1793" s="29">
        <f>$D1793*VLOOKUP($E1793,'Charts data'!$A$2:$B$11,2,0)*VLOOKUP($G1793,'Charts data'!$A$14:$B$18,2,0)/IF('Charts data'!$E$3=1,I1793,1)/IF('Charts data'!$E$4=1,J1793,1)</f>
        <v>67000</v>
      </c>
    </row>
    <row r="1794" spans="1:12" x14ac:dyDescent="0.25">
      <c r="A1794" s="27" t="s">
        <v>1883</v>
      </c>
      <c r="B1794" s="27">
        <v>40000</v>
      </c>
      <c r="C1794" s="27" t="s">
        <v>2</v>
      </c>
      <c r="D1794" s="28">
        <f>B1794*VLOOKUP(C1794,tblXrate[],2,0)</f>
        <v>40000</v>
      </c>
      <c r="E1794" s="27" t="s">
        <v>7</v>
      </c>
      <c r="F1794" s="27" t="s">
        <v>5</v>
      </c>
      <c r="G1794" s="27" t="s">
        <v>2271</v>
      </c>
      <c r="H1794" s="27">
        <v>5</v>
      </c>
      <c r="I1794" s="27">
        <f>VLOOKUP(F1794,mapping!$L$2:$P$92,2,0)</f>
        <v>1</v>
      </c>
      <c r="J1794" s="27">
        <f>VLOOKUP($F1794,mapping!$L$2:$P$92,3,0)</f>
        <v>48386.69</v>
      </c>
      <c r="K1794" s="27" t="str">
        <f>VLOOKUP($F1794,mapping!$L$2:$P$92,4,0)</f>
        <v>Major Advanced Economies (G7)</v>
      </c>
      <c r="L1794" s="29">
        <f>$D1794*VLOOKUP($E1794,'Charts data'!$A$2:$B$11,2,0)*VLOOKUP($G1794,'Charts data'!$A$14:$B$18,2,0)/IF('Charts data'!$E$3=1,I1794,1)/IF('Charts data'!$E$4=1,J1794,1)</f>
        <v>40000</v>
      </c>
    </row>
    <row r="1795" spans="1:12" x14ac:dyDescent="0.25">
      <c r="A1795" s="27" t="s">
        <v>1884</v>
      </c>
      <c r="B1795" s="27">
        <v>65000</v>
      </c>
      <c r="C1795" s="27" t="s">
        <v>2</v>
      </c>
      <c r="D1795" s="28">
        <f>B1795*VLOOKUP(C1795,tblXrate[],2,0)</f>
        <v>65000</v>
      </c>
      <c r="E1795" s="27" t="s">
        <v>19</v>
      </c>
      <c r="F1795" s="27" t="s">
        <v>5</v>
      </c>
      <c r="G1795" s="27" t="s">
        <v>2271</v>
      </c>
      <c r="H1795" s="27">
        <v>2</v>
      </c>
      <c r="I1795" s="27">
        <f>VLOOKUP(F1795,mapping!$L$2:$P$92,2,0)</f>
        <v>1</v>
      </c>
      <c r="J1795" s="27">
        <f>VLOOKUP($F1795,mapping!$L$2:$P$92,3,0)</f>
        <v>48386.69</v>
      </c>
      <c r="K1795" s="27" t="str">
        <f>VLOOKUP($F1795,mapping!$L$2:$P$92,4,0)</f>
        <v>Major Advanced Economies (G7)</v>
      </c>
      <c r="L1795" s="29">
        <f>$D1795*VLOOKUP($E1795,'Charts data'!$A$2:$B$11,2,0)*VLOOKUP($G1795,'Charts data'!$A$14:$B$18,2,0)/IF('Charts data'!$E$3=1,I1795,1)/IF('Charts data'!$E$4=1,J1795,1)</f>
        <v>65000</v>
      </c>
    </row>
    <row r="1796" spans="1:12" x14ac:dyDescent="0.25">
      <c r="A1796" s="27" t="s">
        <v>1885</v>
      </c>
      <c r="B1796" s="27">
        <v>72000</v>
      </c>
      <c r="C1796" s="27" t="s">
        <v>2</v>
      </c>
      <c r="D1796" s="28">
        <f>B1796*VLOOKUP(C1796,tblXrate[],2,0)</f>
        <v>72000</v>
      </c>
      <c r="E1796" s="27" t="s">
        <v>53</v>
      </c>
      <c r="F1796" s="27" t="s">
        <v>5</v>
      </c>
      <c r="G1796" s="27" t="s">
        <v>2272</v>
      </c>
      <c r="H1796" s="27">
        <v>13</v>
      </c>
      <c r="I1796" s="27">
        <f>VLOOKUP(F1796,mapping!$L$2:$P$92,2,0)</f>
        <v>1</v>
      </c>
      <c r="J1796" s="27">
        <f>VLOOKUP($F1796,mapping!$L$2:$P$92,3,0)</f>
        <v>48386.69</v>
      </c>
      <c r="K1796" s="27" t="str">
        <f>VLOOKUP($F1796,mapping!$L$2:$P$92,4,0)</f>
        <v>Major Advanced Economies (G7)</v>
      </c>
      <c r="L1796" s="29">
        <f>$D1796*VLOOKUP($E1796,'Charts data'!$A$2:$B$11,2,0)*VLOOKUP($G1796,'Charts data'!$A$14:$B$18,2,0)/IF('Charts data'!$E$3=1,I1796,1)/IF('Charts data'!$E$4=1,J1796,1)</f>
        <v>72000</v>
      </c>
    </row>
    <row r="1797" spans="1:12" x14ac:dyDescent="0.25">
      <c r="A1797" s="27" t="s">
        <v>1886</v>
      </c>
      <c r="B1797" s="27">
        <v>52500</v>
      </c>
      <c r="C1797" s="27" t="s">
        <v>2</v>
      </c>
      <c r="D1797" s="28">
        <f>B1797*VLOOKUP(C1797,tblXrate[],2,0)</f>
        <v>52500</v>
      </c>
      <c r="E1797" s="27" t="s">
        <v>19</v>
      </c>
      <c r="F1797" s="27" t="s">
        <v>5</v>
      </c>
      <c r="G1797" s="27" t="s">
        <v>2273</v>
      </c>
      <c r="H1797" s="27">
        <v>3</v>
      </c>
      <c r="I1797" s="27">
        <f>VLOOKUP(F1797,mapping!$L$2:$P$92,2,0)</f>
        <v>1</v>
      </c>
      <c r="J1797" s="27">
        <f>VLOOKUP($F1797,mapping!$L$2:$P$92,3,0)</f>
        <v>48386.69</v>
      </c>
      <c r="K1797" s="27" t="str">
        <f>VLOOKUP($F1797,mapping!$L$2:$P$92,4,0)</f>
        <v>Major Advanced Economies (G7)</v>
      </c>
      <c r="L1797" s="29">
        <f>$D1797*VLOOKUP($E1797,'Charts data'!$A$2:$B$11,2,0)*VLOOKUP($G1797,'Charts data'!$A$14:$B$18,2,0)/IF('Charts data'!$E$3=1,I1797,1)/IF('Charts data'!$E$4=1,J1797,1)</f>
        <v>52500</v>
      </c>
    </row>
    <row r="1798" spans="1:12" x14ac:dyDescent="0.25">
      <c r="A1798" s="27" t="s">
        <v>1891</v>
      </c>
      <c r="B1798" s="27">
        <v>85000</v>
      </c>
      <c r="C1798" s="27" t="s">
        <v>2</v>
      </c>
      <c r="D1798" s="28">
        <f>B1798*VLOOKUP(C1798,tblXrate[],2,0)</f>
        <v>85000</v>
      </c>
      <c r="E1798" s="27" t="s">
        <v>19</v>
      </c>
      <c r="F1798" s="27" t="s">
        <v>5</v>
      </c>
      <c r="G1798" s="27" t="s">
        <v>2272</v>
      </c>
      <c r="H1798" s="27">
        <v>15</v>
      </c>
      <c r="I1798" s="27">
        <f>VLOOKUP(F1798,mapping!$L$2:$P$92,2,0)</f>
        <v>1</v>
      </c>
      <c r="J1798" s="27">
        <f>VLOOKUP($F1798,mapping!$L$2:$P$92,3,0)</f>
        <v>48386.69</v>
      </c>
      <c r="K1798" s="27" t="str">
        <f>VLOOKUP($F1798,mapping!$L$2:$P$92,4,0)</f>
        <v>Major Advanced Economies (G7)</v>
      </c>
      <c r="L1798" s="29">
        <f>$D1798*VLOOKUP($E1798,'Charts data'!$A$2:$B$11,2,0)*VLOOKUP($G1798,'Charts data'!$A$14:$B$18,2,0)/IF('Charts data'!$E$3=1,I1798,1)/IF('Charts data'!$E$4=1,J1798,1)</f>
        <v>85000</v>
      </c>
    </row>
    <row r="1799" spans="1:12" x14ac:dyDescent="0.25">
      <c r="A1799" s="27" t="s">
        <v>1894</v>
      </c>
      <c r="B1799" s="27">
        <v>125000</v>
      </c>
      <c r="C1799" s="27" t="s">
        <v>2</v>
      </c>
      <c r="D1799" s="28">
        <f>B1799*VLOOKUP(C1799,tblXrate[],2,0)</f>
        <v>125000</v>
      </c>
      <c r="E1799" s="27" t="s">
        <v>19</v>
      </c>
      <c r="F1799" s="27" t="s">
        <v>5</v>
      </c>
      <c r="G1799" s="27" t="s">
        <v>2273</v>
      </c>
      <c r="H1799" s="27">
        <v>10</v>
      </c>
      <c r="I1799" s="27">
        <f>VLOOKUP(F1799,mapping!$L$2:$P$92,2,0)</f>
        <v>1</v>
      </c>
      <c r="J1799" s="27">
        <f>VLOOKUP($F1799,mapping!$L$2:$P$92,3,0)</f>
        <v>48386.69</v>
      </c>
      <c r="K1799" s="27" t="str">
        <f>VLOOKUP($F1799,mapping!$L$2:$P$92,4,0)</f>
        <v>Major Advanced Economies (G7)</v>
      </c>
      <c r="L1799" s="29">
        <f>$D1799*VLOOKUP($E1799,'Charts data'!$A$2:$B$11,2,0)*VLOOKUP($G1799,'Charts data'!$A$14:$B$18,2,0)/IF('Charts data'!$E$3=1,I1799,1)/IF('Charts data'!$E$4=1,J1799,1)</f>
        <v>125000</v>
      </c>
    </row>
    <row r="1800" spans="1:12" x14ac:dyDescent="0.25">
      <c r="A1800" s="27" t="s">
        <v>1904</v>
      </c>
      <c r="B1800" s="27">
        <v>74461</v>
      </c>
      <c r="C1800" s="27" t="s">
        <v>2</v>
      </c>
      <c r="D1800" s="28">
        <f>B1800*VLOOKUP(C1800,tblXrate[],2,0)</f>
        <v>74461</v>
      </c>
      <c r="E1800" s="27" t="s">
        <v>2146</v>
      </c>
      <c r="F1800" s="27" t="s">
        <v>5</v>
      </c>
      <c r="G1800" s="27" t="s">
        <v>2274</v>
      </c>
      <c r="H1800" s="27">
        <v>9</v>
      </c>
      <c r="I1800" s="27">
        <f>VLOOKUP(F1800,mapping!$L$2:$P$92,2,0)</f>
        <v>1</v>
      </c>
      <c r="J1800" s="27">
        <f>VLOOKUP($F1800,mapping!$L$2:$P$92,3,0)</f>
        <v>48386.69</v>
      </c>
      <c r="K1800" s="27" t="str">
        <f>VLOOKUP($F1800,mapping!$L$2:$P$92,4,0)</f>
        <v>Major Advanced Economies (G7)</v>
      </c>
      <c r="L1800" s="29">
        <f>$D1800*VLOOKUP($E1800,'Charts data'!$A$2:$B$11,2,0)*VLOOKUP($G1800,'Charts data'!$A$14:$B$18,2,0)/IF('Charts data'!$E$3=1,I1800,1)/IF('Charts data'!$E$4=1,J1800,1)</f>
        <v>74461</v>
      </c>
    </row>
    <row r="1801" spans="1:12" x14ac:dyDescent="0.25">
      <c r="A1801" s="27" t="s">
        <v>1910</v>
      </c>
      <c r="B1801" s="27">
        <v>40000</v>
      </c>
      <c r="C1801" s="27" t="s">
        <v>2</v>
      </c>
      <c r="D1801" s="28">
        <f>B1801*VLOOKUP(C1801,tblXrate[],2,0)</f>
        <v>40000</v>
      </c>
      <c r="E1801" s="27" t="s">
        <v>7</v>
      </c>
      <c r="F1801" s="27" t="s">
        <v>5</v>
      </c>
      <c r="G1801" s="27" t="s">
        <v>2272</v>
      </c>
      <c r="H1801" s="27">
        <v>2</v>
      </c>
      <c r="I1801" s="27">
        <f>VLOOKUP(F1801,mapping!$L$2:$P$92,2,0)</f>
        <v>1</v>
      </c>
      <c r="J1801" s="27">
        <f>VLOOKUP($F1801,mapping!$L$2:$P$92,3,0)</f>
        <v>48386.69</v>
      </c>
      <c r="K1801" s="27" t="str">
        <f>VLOOKUP($F1801,mapping!$L$2:$P$92,4,0)</f>
        <v>Major Advanced Economies (G7)</v>
      </c>
      <c r="L1801" s="29">
        <f>$D1801*VLOOKUP($E1801,'Charts data'!$A$2:$B$11,2,0)*VLOOKUP($G1801,'Charts data'!$A$14:$B$18,2,0)/IF('Charts data'!$E$3=1,I1801,1)/IF('Charts data'!$E$4=1,J1801,1)</f>
        <v>40000</v>
      </c>
    </row>
    <row r="1802" spans="1:12" x14ac:dyDescent="0.25">
      <c r="A1802" s="27" t="s">
        <v>1912</v>
      </c>
      <c r="B1802" s="27">
        <v>56600</v>
      </c>
      <c r="C1802" s="27" t="s">
        <v>2</v>
      </c>
      <c r="D1802" s="28">
        <f>B1802*VLOOKUP(C1802,tblXrate[],2,0)</f>
        <v>56600</v>
      </c>
      <c r="E1802" s="27" t="s">
        <v>19</v>
      </c>
      <c r="F1802" s="27" t="s">
        <v>5</v>
      </c>
      <c r="G1802" s="27" t="s">
        <v>2271</v>
      </c>
      <c r="H1802" s="27">
        <v>12</v>
      </c>
      <c r="I1802" s="27">
        <f>VLOOKUP(F1802,mapping!$L$2:$P$92,2,0)</f>
        <v>1</v>
      </c>
      <c r="J1802" s="27">
        <f>VLOOKUP($F1802,mapping!$L$2:$P$92,3,0)</f>
        <v>48386.69</v>
      </c>
      <c r="K1802" s="27" t="str">
        <f>VLOOKUP($F1802,mapping!$L$2:$P$92,4,0)</f>
        <v>Major Advanced Economies (G7)</v>
      </c>
      <c r="L1802" s="29">
        <f>$D1802*VLOOKUP($E1802,'Charts data'!$A$2:$B$11,2,0)*VLOOKUP($G1802,'Charts data'!$A$14:$B$18,2,0)/IF('Charts data'!$E$3=1,I1802,1)/IF('Charts data'!$E$4=1,J1802,1)</f>
        <v>56600</v>
      </c>
    </row>
    <row r="1803" spans="1:12" x14ac:dyDescent="0.25">
      <c r="A1803" s="27" t="s">
        <v>1915</v>
      </c>
      <c r="B1803" s="27">
        <v>100000</v>
      </c>
      <c r="C1803" s="27" t="s">
        <v>2</v>
      </c>
      <c r="D1803" s="28">
        <f>B1803*VLOOKUP(C1803,tblXrate[],2,0)</f>
        <v>100000</v>
      </c>
      <c r="E1803" s="27" t="s">
        <v>7</v>
      </c>
      <c r="F1803" s="27" t="s">
        <v>5</v>
      </c>
      <c r="G1803" s="27" t="s">
        <v>2273</v>
      </c>
      <c r="H1803" s="27">
        <v>12</v>
      </c>
      <c r="I1803" s="27">
        <f>VLOOKUP(F1803,mapping!$L$2:$P$92,2,0)</f>
        <v>1</v>
      </c>
      <c r="J1803" s="27">
        <f>VLOOKUP($F1803,mapping!$L$2:$P$92,3,0)</f>
        <v>48386.69</v>
      </c>
      <c r="K1803" s="27" t="str">
        <f>VLOOKUP($F1803,mapping!$L$2:$P$92,4,0)</f>
        <v>Major Advanced Economies (G7)</v>
      </c>
      <c r="L1803" s="29">
        <f>$D1803*VLOOKUP($E1803,'Charts data'!$A$2:$B$11,2,0)*VLOOKUP($G1803,'Charts data'!$A$14:$B$18,2,0)/IF('Charts data'!$E$3=1,I1803,1)/IF('Charts data'!$E$4=1,J1803,1)</f>
        <v>100000</v>
      </c>
    </row>
    <row r="1804" spans="1:12" x14ac:dyDescent="0.25">
      <c r="A1804" s="27" t="s">
        <v>1918</v>
      </c>
      <c r="B1804" s="27">
        <v>65000</v>
      </c>
      <c r="C1804" s="27" t="s">
        <v>2</v>
      </c>
      <c r="D1804" s="28">
        <f>B1804*VLOOKUP(C1804,tblXrate[],2,0)</f>
        <v>65000</v>
      </c>
      <c r="E1804" s="27" t="s">
        <v>7</v>
      </c>
      <c r="F1804" s="27" t="s">
        <v>5</v>
      </c>
      <c r="G1804" s="27" t="s">
        <v>2271</v>
      </c>
      <c r="H1804" s="27">
        <v>14</v>
      </c>
      <c r="I1804" s="27">
        <f>VLOOKUP(F1804,mapping!$L$2:$P$92,2,0)</f>
        <v>1</v>
      </c>
      <c r="J1804" s="27">
        <f>VLOOKUP($F1804,mapping!$L$2:$P$92,3,0)</f>
        <v>48386.69</v>
      </c>
      <c r="K1804" s="27" t="str">
        <f>VLOOKUP($F1804,mapping!$L$2:$P$92,4,0)</f>
        <v>Major Advanced Economies (G7)</v>
      </c>
      <c r="L1804" s="29">
        <f>$D1804*VLOOKUP($E1804,'Charts data'!$A$2:$B$11,2,0)*VLOOKUP($G1804,'Charts data'!$A$14:$B$18,2,0)/IF('Charts data'!$E$3=1,I1804,1)/IF('Charts data'!$E$4=1,J1804,1)</f>
        <v>65000</v>
      </c>
    </row>
    <row r="1805" spans="1:12" x14ac:dyDescent="0.25">
      <c r="A1805" s="27" t="s">
        <v>1919</v>
      </c>
      <c r="B1805" s="27">
        <v>65000</v>
      </c>
      <c r="C1805" s="27" t="s">
        <v>2</v>
      </c>
      <c r="D1805" s="28">
        <f>B1805*VLOOKUP(C1805,tblXrate[],2,0)</f>
        <v>65000</v>
      </c>
      <c r="E1805" s="27" t="s">
        <v>7</v>
      </c>
      <c r="F1805" s="27" t="s">
        <v>5</v>
      </c>
      <c r="G1805" s="27" t="s">
        <v>2272</v>
      </c>
      <c r="H1805" s="27">
        <v>10</v>
      </c>
      <c r="I1805" s="27">
        <f>VLOOKUP(F1805,mapping!$L$2:$P$92,2,0)</f>
        <v>1</v>
      </c>
      <c r="J1805" s="27">
        <f>VLOOKUP($F1805,mapping!$L$2:$P$92,3,0)</f>
        <v>48386.69</v>
      </c>
      <c r="K1805" s="27" t="str">
        <f>VLOOKUP($F1805,mapping!$L$2:$P$92,4,0)</f>
        <v>Major Advanced Economies (G7)</v>
      </c>
      <c r="L1805" s="29">
        <f>$D1805*VLOOKUP($E1805,'Charts data'!$A$2:$B$11,2,0)*VLOOKUP($G1805,'Charts data'!$A$14:$B$18,2,0)/IF('Charts data'!$E$3=1,I1805,1)/IF('Charts data'!$E$4=1,J1805,1)</f>
        <v>65000</v>
      </c>
    </row>
    <row r="1806" spans="1:12" x14ac:dyDescent="0.25">
      <c r="A1806" s="27" t="s">
        <v>1920</v>
      </c>
      <c r="B1806" s="27">
        <v>65000</v>
      </c>
      <c r="C1806" s="27" t="s">
        <v>2</v>
      </c>
      <c r="D1806" s="28">
        <f>B1806*VLOOKUP(C1806,tblXrate[],2,0)</f>
        <v>65000</v>
      </c>
      <c r="E1806" s="27" t="s">
        <v>62</v>
      </c>
      <c r="F1806" s="27" t="s">
        <v>5</v>
      </c>
      <c r="G1806" s="27" t="s">
        <v>2272</v>
      </c>
      <c r="H1806" s="27">
        <v>13</v>
      </c>
      <c r="I1806" s="27">
        <f>VLOOKUP(F1806,mapping!$L$2:$P$92,2,0)</f>
        <v>1</v>
      </c>
      <c r="J1806" s="27">
        <f>VLOOKUP($F1806,mapping!$L$2:$P$92,3,0)</f>
        <v>48386.69</v>
      </c>
      <c r="K1806" s="27" t="str">
        <f>VLOOKUP($F1806,mapping!$L$2:$P$92,4,0)</f>
        <v>Major Advanced Economies (G7)</v>
      </c>
      <c r="L1806" s="29">
        <f>$D1806*VLOOKUP($E1806,'Charts data'!$A$2:$B$11,2,0)*VLOOKUP($G1806,'Charts data'!$A$14:$B$18,2,0)/IF('Charts data'!$E$3=1,I1806,1)/IF('Charts data'!$E$4=1,J1806,1)</f>
        <v>65000</v>
      </c>
    </row>
    <row r="1807" spans="1:12" x14ac:dyDescent="0.25">
      <c r="A1807" s="27" t="s">
        <v>1922</v>
      </c>
      <c r="B1807" s="27">
        <v>63000</v>
      </c>
      <c r="C1807" s="27" t="s">
        <v>2</v>
      </c>
      <c r="D1807" s="28">
        <f>B1807*VLOOKUP(C1807,tblXrate[],2,0)</f>
        <v>63000</v>
      </c>
      <c r="E1807" s="27" t="s">
        <v>7</v>
      </c>
      <c r="F1807" s="27" t="s">
        <v>5</v>
      </c>
      <c r="G1807" s="27" t="s">
        <v>2273</v>
      </c>
      <c r="H1807" s="27">
        <v>10</v>
      </c>
      <c r="I1807" s="27">
        <f>VLOOKUP(F1807,mapping!$L$2:$P$92,2,0)</f>
        <v>1</v>
      </c>
      <c r="J1807" s="27">
        <f>VLOOKUP($F1807,mapping!$L$2:$P$92,3,0)</f>
        <v>48386.69</v>
      </c>
      <c r="K1807" s="27" t="str">
        <f>VLOOKUP($F1807,mapping!$L$2:$P$92,4,0)</f>
        <v>Major Advanced Economies (G7)</v>
      </c>
      <c r="L1807" s="29">
        <f>$D1807*VLOOKUP($E1807,'Charts data'!$A$2:$B$11,2,0)*VLOOKUP($G1807,'Charts data'!$A$14:$B$18,2,0)/IF('Charts data'!$E$3=1,I1807,1)/IF('Charts data'!$E$4=1,J1807,1)</f>
        <v>63000</v>
      </c>
    </row>
    <row r="1808" spans="1:12" x14ac:dyDescent="0.25">
      <c r="A1808" s="27" t="s">
        <v>1923</v>
      </c>
      <c r="B1808" s="27">
        <v>87000</v>
      </c>
      <c r="C1808" s="27" t="s">
        <v>2</v>
      </c>
      <c r="D1808" s="28">
        <f>B1808*VLOOKUP(C1808,tblXrate[],2,0)</f>
        <v>87000</v>
      </c>
      <c r="E1808" s="27" t="s">
        <v>2146</v>
      </c>
      <c r="F1808" s="27" t="s">
        <v>5</v>
      </c>
      <c r="G1808" s="27" t="s">
        <v>2271</v>
      </c>
      <c r="H1808" s="27">
        <v>3</v>
      </c>
      <c r="I1808" s="27">
        <f>VLOOKUP(F1808,mapping!$L$2:$P$92,2,0)</f>
        <v>1</v>
      </c>
      <c r="J1808" s="27">
        <f>VLOOKUP($F1808,mapping!$L$2:$P$92,3,0)</f>
        <v>48386.69</v>
      </c>
      <c r="K1808" s="27" t="str">
        <f>VLOOKUP($F1808,mapping!$L$2:$P$92,4,0)</f>
        <v>Major Advanced Economies (G7)</v>
      </c>
      <c r="L1808" s="29">
        <f>$D1808*VLOOKUP($E1808,'Charts data'!$A$2:$B$11,2,0)*VLOOKUP($G1808,'Charts data'!$A$14:$B$18,2,0)/IF('Charts data'!$E$3=1,I1808,1)/IF('Charts data'!$E$4=1,J1808,1)</f>
        <v>87000</v>
      </c>
    </row>
    <row r="1809" spans="1:12" x14ac:dyDescent="0.25">
      <c r="A1809" s="27" t="s">
        <v>1924</v>
      </c>
      <c r="B1809" s="27">
        <v>45000</v>
      </c>
      <c r="C1809" s="27" t="s">
        <v>2</v>
      </c>
      <c r="D1809" s="28">
        <f>B1809*VLOOKUP(C1809,tblXrate[],2,0)</f>
        <v>45000</v>
      </c>
      <c r="E1809" s="27" t="s">
        <v>7</v>
      </c>
      <c r="F1809" s="27" t="s">
        <v>5</v>
      </c>
      <c r="G1809" s="27" t="s">
        <v>2271</v>
      </c>
      <c r="H1809" s="27">
        <v>4</v>
      </c>
      <c r="I1809" s="27">
        <f>VLOOKUP(F1809,mapping!$L$2:$P$92,2,0)</f>
        <v>1</v>
      </c>
      <c r="J1809" s="27">
        <f>VLOOKUP($F1809,mapping!$L$2:$P$92,3,0)</f>
        <v>48386.69</v>
      </c>
      <c r="K1809" s="27" t="str">
        <f>VLOOKUP($F1809,mapping!$L$2:$P$92,4,0)</f>
        <v>Major Advanced Economies (G7)</v>
      </c>
      <c r="L1809" s="29">
        <f>$D1809*VLOOKUP($E1809,'Charts data'!$A$2:$B$11,2,0)*VLOOKUP($G1809,'Charts data'!$A$14:$B$18,2,0)/IF('Charts data'!$E$3=1,I1809,1)/IF('Charts data'!$E$4=1,J1809,1)</f>
        <v>45000</v>
      </c>
    </row>
    <row r="1810" spans="1:12" x14ac:dyDescent="0.25">
      <c r="A1810" s="27" t="s">
        <v>1925</v>
      </c>
      <c r="B1810" s="27">
        <v>85000</v>
      </c>
      <c r="C1810" s="27" t="s">
        <v>2</v>
      </c>
      <c r="D1810" s="28">
        <f>B1810*VLOOKUP(C1810,tblXrate[],2,0)</f>
        <v>85000</v>
      </c>
      <c r="E1810" s="27" t="s">
        <v>7</v>
      </c>
      <c r="F1810" s="27" t="s">
        <v>5</v>
      </c>
      <c r="G1810" s="27" t="s">
        <v>2273</v>
      </c>
      <c r="H1810" s="27">
        <v>3</v>
      </c>
      <c r="I1810" s="27">
        <f>VLOOKUP(F1810,mapping!$L$2:$P$92,2,0)</f>
        <v>1</v>
      </c>
      <c r="J1810" s="27">
        <f>VLOOKUP($F1810,mapping!$L$2:$P$92,3,0)</f>
        <v>48386.69</v>
      </c>
      <c r="K1810" s="27" t="str">
        <f>VLOOKUP($F1810,mapping!$L$2:$P$92,4,0)</f>
        <v>Major Advanced Economies (G7)</v>
      </c>
      <c r="L1810" s="29">
        <f>$D1810*VLOOKUP($E1810,'Charts data'!$A$2:$B$11,2,0)*VLOOKUP($G1810,'Charts data'!$A$14:$B$18,2,0)/IF('Charts data'!$E$3=1,I1810,1)/IF('Charts data'!$E$4=1,J1810,1)</f>
        <v>85000</v>
      </c>
    </row>
    <row r="1811" spans="1:12" x14ac:dyDescent="0.25">
      <c r="A1811" s="27" t="s">
        <v>1936</v>
      </c>
      <c r="B1811" s="27">
        <v>80000</v>
      </c>
      <c r="C1811" s="27" t="s">
        <v>2</v>
      </c>
      <c r="D1811" s="28">
        <f>B1811*VLOOKUP(C1811,tblXrate[],2,0)</f>
        <v>80000</v>
      </c>
      <c r="E1811" s="27" t="s">
        <v>19</v>
      </c>
      <c r="F1811" s="27" t="s">
        <v>5</v>
      </c>
      <c r="G1811" s="27" t="s">
        <v>2271</v>
      </c>
      <c r="H1811" s="27">
        <v>2</v>
      </c>
      <c r="I1811" s="27">
        <f>VLOOKUP(F1811,mapping!$L$2:$P$92,2,0)</f>
        <v>1</v>
      </c>
      <c r="J1811" s="27">
        <f>VLOOKUP($F1811,mapping!$L$2:$P$92,3,0)</f>
        <v>48386.69</v>
      </c>
      <c r="K1811" s="27" t="str">
        <f>VLOOKUP($F1811,mapping!$L$2:$P$92,4,0)</f>
        <v>Major Advanced Economies (G7)</v>
      </c>
      <c r="L1811" s="29">
        <f>$D1811*VLOOKUP($E1811,'Charts data'!$A$2:$B$11,2,0)*VLOOKUP($G1811,'Charts data'!$A$14:$B$18,2,0)/IF('Charts data'!$E$3=1,I1811,1)/IF('Charts data'!$E$4=1,J1811,1)</f>
        <v>80000</v>
      </c>
    </row>
    <row r="1812" spans="1:12" x14ac:dyDescent="0.25">
      <c r="A1812" s="27" t="s">
        <v>1939</v>
      </c>
      <c r="B1812" s="27">
        <v>70000</v>
      </c>
      <c r="C1812" s="27" t="s">
        <v>2</v>
      </c>
      <c r="D1812" s="28">
        <f>B1812*VLOOKUP(C1812,tblXrate[],2,0)</f>
        <v>70000</v>
      </c>
      <c r="E1812" s="27" t="s">
        <v>7</v>
      </c>
      <c r="F1812" s="27" t="s">
        <v>5</v>
      </c>
      <c r="G1812" s="27" t="s">
        <v>2272</v>
      </c>
      <c r="H1812" s="27">
        <v>5</v>
      </c>
      <c r="I1812" s="27">
        <f>VLOOKUP(F1812,mapping!$L$2:$P$92,2,0)</f>
        <v>1</v>
      </c>
      <c r="J1812" s="27">
        <f>VLOOKUP($F1812,mapping!$L$2:$P$92,3,0)</f>
        <v>48386.69</v>
      </c>
      <c r="K1812" s="27" t="str">
        <f>VLOOKUP($F1812,mapping!$L$2:$P$92,4,0)</f>
        <v>Major Advanced Economies (G7)</v>
      </c>
      <c r="L1812" s="29">
        <f>$D1812*VLOOKUP($E1812,'Charts data'!$A$2:$B$11,2,0)*VLOOKUP($G1812,'Charts data'!$A$14:$B$18,2,0)/IF('Charts data'!$E$3=1,I1812,1)/IF('Charts data'!$E$4=1,J1812,1)</f>
        <v>70000</v>
      </c>
    </row>
    <row r="1813" spans="1:12" x14ac:dyDescent="0.25">
      <c r="A1813" s="27" t="s">
        <v>1940</v>
      </c>
      <c r="B1813" s="27">
        <v>214000</v>
      </c>
      <c r="C1813" s="27" t="s">
        <v>2</v>
      </c>
      <c r="D1813" s="28">
        <f>B1813*VLOOKUP(C1813,tblXrate[],2,0)</f>
        <v>214000</v>
      </c>
      <c r="E1813" s="27" t="s">
        <v>62</v>
      </c>
      <c r="F1813" s="27" t="s">
        <v>5</v>
      </c>
      <c r="G1813" s="27" t="s">
        <v>2273</v>
      </c>
      <c r="H1813" s="27">
        <v>20</v>
      </c>
      <c r="I1813" s="27">
        <f>VLOOKUP(F1813,mapping!$L$2:$P$92,2,0)</f>
        <v>1</v>
      </c>
      <c r="J1813" s="27">
        <f>VLOOKUP($F1813,mapping!$L$2:$P$92,3,0)</f>
        <v>48386.69</v>
      </c>
      <c r="K1813" s="27" t="str">
        <f>VLOOKUP($F1813,mapping!$L$2:$P$92,4,0)</f>
        <v>Major Advanced Economies (G7)</v>
      </c>
      <c r="L1813" s="29">
        <f>$D1813*VLOOKUP($E1813,'Charts data'!$A$2:$B$11,2,0)*VLOOKUP($G1813,'Charts data'!$A$14:$B$18,2,0)/IF('Charts data'!$E$3=1,I1813,1)/IF('Charts data'!$E$4=1,J1813,1)</f>
        <v>214000</v>
      </c>
    </row>
    <row r="1814" spans="1:12" x14ac:dyDescent="0.25">
      <c r="A1814" s="27" t="s">
        <v>1941</v>
      </c>
      <c r="B1814" s="27">
        <v>78000</v>
      </c>
      <c r="C1814" s="27" t="s">
        <v>2</v>
      </c>
      <c r="D1814" s="28">
        <f>B1814*VLOOKUP(C1814,tblXrate[],2,0)</f>
        <v>78000</v>
      </c>
      <c r="E1814" s="27" t="s">
        <v>48</v>
      </c>
      <c r="F1814" s="27" t="s">
        <v>5</v>
      </c>
      <c r="G1814" s="27" t="s">
        <v>2273</v>
      </c>
      <c r="H1814" s="27">
        <v>5</v>
      </c>
      <c r="I1814" s="27">
        <f>VLOOKUP(F1814,mapping!$L$2:$P$92,2,0)</f>
        <v>1</v>
      </c>
      <c r="J1814" s="27">
        <f>VLOOKUP($F1814,mapping!$L$2:$P$92,3,0)</f>
        <v>48386.69</v>
      </c>
      <c r="K1814" s="27" t="str">
        <f>VLOOKUP($F1814,mapping!$L$2:$P$92,4,0)</f>
        <v>Major Advanced Economies (G7)</v>
      </c>
      <c r="L1814" s="29">
        <f>$D1814*VLOOKUP($E1814,'Charts data'!$A$2:$B$11,2,0)*VLOOKUP($G1814,'Charts data'!$A$14:$B$18,2,0)/IF('Charts data'!$E$3=1,I1814,1)/IF('Charts data'!$E$4=1,J1814,1)</f>
        <v>78000</v>
      </c>
    </row>
    <row r="1815" spans="1:12" x14ac:dyDescent="0.25">
      <c r="A1815" s="27" t="s">
        <v>1942</v>
      </c>
      <c r="B1815" s="27">
        <v>42307</v>
      </c>
      <c r="C1815" s="27" t="s">
        <v>2</v>
      </c>
      <c r="D1815" s="28">
        <f>B1815*VLOOKUP(C1815,tblXrate[],2,0)</f>
        <v>42307</v>
      </c>
      <c r="E1815" s="27" t="s">
        <v>7</v>
      </c>
      <c r="F1815" s="27" t="s">
        <v>5</v>
      </c>
      <c r="G1815" s="27" t="s">
        <v>2272</v>
      </c>
      <c r="H1815" s="27">
        <v>25</v>
      </c>
      <c r="I1815" s="27">
        <f>VLOOKUP(F1815,mapping!$L$2:$P$92,2,0)</f>
        <v>1</v>
      </c>
      <c r="J1815" s="27">
        <f>VLOOKUP($F1815,mapping!$L$2:$P$92,3,0)</f>
        <v>48386.69</v>
      </c>
      <c r="K1815" s="27" t="str">
        <f>VLOOKUP($F1815,mapping!$L$2:$P$92,4,0)</f>
        <v>Major Advanced Economies (G7)</v>
      </c>
      <c r="L1815" s="29">
        <f>$D1815*VLOOKUP($E1815,'Charts data'!$A$2:$B$11,2,0)*VLOOKUP($G1815,'Charts data'!$A$14:$B$18,2,0)/IF('Charts data'!$E$3=1,I1815,1)/IF('Charts data'!$E$4=1,J1815,1)</f>
        <v>42307</v>
      </c>
    </row>
    <row r="1816" spans="1:12" x14ac:dyDescent="0.25">
      <c r="A1816" s="27" t="s">
        <v>1943</v>
      </c>
      <c r="B1816" s="27">
        <v>33250</v>
      </c>
      <c r="C1816" s="27" t="s">
        <v>2</v>
      </c>
      <c r="D1816" s="28">
        <f>B1816*VLOOKUP(C1816,tblXrate[],2,0)</f>
        <v>33250</v>
      </c>
      <c r="E1816" s="27" t="s">
        <v>19</v>
      </c>
      <c r="F1816" s="27" t="s">
        <v>5</v>
      </c>
      <c r="G1816" s="27" t="s">
        <v>2273</v>
      </c>
      <c r="H1816" s="27">
        <v>20</v>
      </c>
      <c r="I1816" s="27">
        <f>VLOOKUP(F1816,mapping!$L$2:$P$92,2,0)</f>
        <v>1</v>
      </c>
      <c r="J1816" s="27">
        <f>VLOOKUP($F1816,mapping!$L$2:$P$92,3,0)</f>
        <v>48386.69</v>
      </c>
      <c r="K1816" s="27" t="str">
        <f>VLOOKUP($F1816,mapping!$L$2:$P$92,4,0)</f>
        <v>Major Advanced Economies (G7)</v>
      </c>
      <c r="L1816" s="29">
        <f>$D1816*VLOOKUP($E1816,'Charts data'!$A$2:$B$11,2,0)*VLOOKUP($G1816,'Charts data'!$A$14:$B$18,2,0)/IF('Charts data'!$E$3=1,I1816,1)/IF('Charts data'!$E$4=1,J1816,1)</f>
        <v>33250</v>
      </c>
    </row>
    <row r="1817" spans="1:12" x14ac:dyDescent="0.25">
      <c r="A1817" s="27" t="s">
        <v>1945</v>
      </c>
      <c r="B1817" s="27">
        <v>120000</v>
      </c>
      <c r="C1817" s="27" t="s">
        <v>2</v>
      </c>
      <c r="D1817" s="28">
        <f>B1817*VLOOKUP(C1817,tblXrate[],2,0)</f>
        <v>120000</v>
      </c>
      <c r="E1817" s="27" t="s">
        <v>51</v>
      </c>
      <c r="F1817" s="27" t="s">
        <v>5</v>
      </c>
      <c r="G1817" s="27" t="s">
        <v>2271</v>
      </c>
      <c r="H1817" s="27">
        <v>20</v>
      </c>
      <c r="I1817" s="27">
        <f>VLOOKUP(F1817,mapping!$L$2:$P$92,2,0)</f>
        <v>1</v>
      </c>
      <c r="J1817" s="27">
        <f>VLOOKUP($F1817,mapping!$L$2:$P$92,3,0)</f>
        <v>48386.69</v>
      </c>
      <c r="K1817" s="27" t="str">
        <f>VLOOKUP($F1817,mapping!$L$2:$P$92,4,0)</f>
        <v>Major Advanced Economies (G7)</v>
      </c>
      <c r="L1817" s="29">
        <f>$D1817*VLOOKUP($E1817,'Charts data'!$A$2:$B$11,2,0)*VLOOKUP($G1817,'Charts data'!$A$14:$B$18,2,0)/IF('Charts data'!$E$3=1,I1817,1)/IF('Charts data'!$E$4=1,J1817,1)</f>
        <v>120000</v>
      </c>
    </row>
    <row r="1818" spans="1:12" x14ac:dyDescent="0.25">
      <c r="A1818" s="27" t="s">
        <v>1954</v>
      </c>
      <c r="B1818" s="27">
        <v>60000</v>
      </c>
      <c r="C1818" s="27" t="s">
        <v>2</v>
      </c>
      <c r="D1818" s="28">
        <f>B1818*VLOOKUP(C1818,tblXrate[],2,0)</f>
        <v>60000</v>
      </c>
      <c r="E1818" s="27" t="s">
        <v>7</v>
      </c>
      <c r="F1818" s="27" t="s">
        <v>5</v>
      </c>
      <c r="G1818" s="27" t="s">
        <v>2271</v>
      </c>
      <c r="H1818" s="27">
        <v>15</v>
      </c>
      <c r="I1818" s="27">
        <f>VLOOKUP(F1818,mapping!$L$2:$P$92,2,0)</f>
        <v>1</v>
      </c>
      <c r="J1818" s="27">
        <f>VLOOKUP($F1818,mapping!$L$2:$P$92,3,0)</f>
        <v>48386.69</v>
      </c>
      <c r="K1818" s="27" t="str">
        <f>VLOOKUP($F1818,mapping!$L$2:$P$92,4,0)</f>
        <v>Major Advanced Economies (G7)</v>
      </c>
      <c r="L1818" s="29">
        <f>$D1818*VLOOKUP($E1818,'Charts data'!$A$2:$B$11,2,0)*VLOOKUP($G1818,'Charts data'!$A$14:$B$18,2,0)/IF('Charts data'!$E$3=1,I1818,1)/IF('Charts data'!$E$4=1,J1818,1)</f>
        <v>60000</v>
      </c>
    </row>
    <row r="1819" spans="1:12" x14ac:dyDescent="0.25">
      <c r="A1819" s="27" t="s">
        <v>1955</v>
      </c>
      <c r="B1819" s="27">
        <v>57000</v>
      </c>
      <c r="C1819" s="27" t="s">
        <v>2</v>
      </c>
      <c r="D1819" s="28">
        <f>B1819*VLOOKUP(C1819,tblXrate[],2,0)</f>
        <v>57000</v>
      </c>
      <c r="E1819" s="27" t="s">
        <v>51</v>
      </c>
      <c r="F1819" s="27" t="s">
        <v>5</v>
      </c>
      <c r="G1819" s="27" t="s">
        <v>2271</v>
      </c>
      <c r="H1819" s="27">
        <v>9</v>
      </c>
      <c r="I1819" s="27">
        <f>VLOOKUP(F1819,mapping!$L$2:$P$92,2,0)</f>
        <v>1</v>
      </c>
      <c r="J1819" s="27">
        <f>VLOOKUP($F1819,mapping!$L$2:$P$92,3,0)</f>
        <v>48386.69</v>
      </c>
      <c r="K1819" s="27" t="str">
        <f>VLOOKUP($F1819,mapping!$L$2:$P$92,4,0)</f>
        <v>Major Advanced Economies (G7)</v>
      </c>
      <c r="L1819" s="29">
        <f>$D1819*VLOOKUP($E1819,'Charts data'!$A$2:$B$11,2,0)*VLOOKUP($G1819,'Charts data'!$A$14:$B$18,2,0)/IF('Charts data'!$E$3=1,I1819,1)/IF('Charts data'!$E$4=1,J1819,1)</f>
        <v>57000</v>
      </c>
    </row>
    <row r="1820" spans="1:12" x14ac:dyDescent="0.25">
      <c r="A1820" s="27" t="s">
        <v>1956</v>
      </c>
      <c r="B1820" s="27">
        <v>40000</v>
      </c>
      <c r="C1820" s="27" t="s">
        <v>2</v>
      </c>
      <c r="D1820" s="28">
        <f>B1820*VLOOKUP(C1820,tblXrate[],2,0)</f>
        <v>40000</v>
      </c>
      <c r="E1820" s="27" t="s">
        <v>7</v>
      </c>
      <c r="F1820" s="27" t="s">
        <v>5</v>
      </c>
      <c r="G1820" s="27" t="s">
        <v>2272</v>
      </c>
      <c r="H1820" s="27">
        <v>0</v>
      </c>
      <c r="I1820" s="27">
        <f>VLOOKUP(F1820,mapping!$L$2:$P$92,2,0)</f>
        <v>1</v>
      </c>
      <c r="J1820" s="27">
        <f>VLOOKUP($F1820,mapping!$L$2:$P$92,3,0)</f>
        <v>48386.69</v>
      </c>
      <c r="K1820" s="27" t="str">
        <f>VLOOKUP($F1820,mapping!$L$2:$P$92,4,0)</f>
        <v>Major Advanced Economies (G7)</v>
      </c>
      <c r="L1820" s="29">
        <f>$D1820*VLOOKUP($E1820,'Charts data'!$A$2:$B$11,2,0)*VLOOKUP($G1820,'Charts data'!$A$14:$B$18,2,0)/IF('Charts data'!$E$3=1,I1820,1)/IF('Charts data'!$E$4=1,J1820,1)</f>
        <v>40000</v>
      </c>
    </row>
    <row r="1821" spans="1:12" x14ac:dyDescent="0.25">
      <c r="A1821" s="27" t="s">
        <v>1957</v>
      </c>
      <c r="B1821" s="27">
        <v>80000</v>
      </c>
      <c r="C1821" s="27" t="s">
        <v>2</v>
      </c>
      <c r="D1821" s="28">
        <f>B1821*VLOOKUP(C1821,tblXrate[],2,0)</f>
        <v>80000</v>
      </c>
      <c r="E1821" s="27" t="s">
        <v>62</v>
      </c>
      <c r="F1821" s="27" t="s">
        <v>5</v>
      </c>
      <c r="G1821" s="27" t="s">
        <v>2271</v>
      </c>
      <c r="H1821" s="27">
        <v>9</v>
      </c>
      <c r="I1821" s="27">
        <f>VLOOKUP(F1821,mapping!$L$2:$P$92,2,0)</f>
        <v>1</v>
      </c>
      <c r="J1821" s="27">
        <f>VLOOKUP($F1821,mapping!$L$2:$P$92,3,0)</f>
        <v>48386.69</v>
      </c>
      <c r="K1821" s="27" t="str">
        <f>VLOOKUP($F1821,mapping!$L$2:$P$92,4,0)</f>
        <v>Major Advanced Economies (G7)</v>
      </c>
      <c r="L1821" s="29">
        <f>$D1821*VLOOKUP($E1821,'Charts data'!$A$2:$B$11,2,0)*VLOOKUP($G1821,'Charts data'!$A$14:$B$18,2,0)/IF('Charts data'!$E$3=1,I1821,1)/IF('Charts data'!$E$4=1,J1821,1)</f>
        <v>80000</v>
      </c>
    </row>
    <row r="1822" spans="1:12" x14ac:dyDescent="0.25">
      <c r="A1822" s="27" t="s">
        <v>1958</v>
      </c>
      <c r="B1822" s="27">
        <v>118000</v>
      </c>
      <c r="C1822" s="27" t="s">
        <v>2</v>
      </c>
      <c r="D1822" s="28">
        <f>B1822*VLOOKUP(C1822,tblXrate[],2,0)</f>
        <v>118000</v>
      </c>
      <c r="E1822" s="27" t="s">
        <v>2147</v>
      </c>
      <c r="F1822" s="27" t="s">
        <v>5</v>
      </c>
      <c r="G1822" s="27" t="s">
        <v>2271</v>
      </c>
      <c r="H1822" s="27">
        <v>6</v>
      </c>
      <c r="I1822" s="27">
        <f>VLOOKUP(F1822,mapping!$L$2:$P$92,2,0)</f>
        <v>1</v>
      </c>
      <c r="J1822" s="27">
        <f>VLOOKUP($F1822,mapping!$L$2:$P$92,3,0)</f>
        <v>48386.69</v>
      </c>
      <c r="K1822" s="27" t="str">
        <f>VLOOKUP($F1822,mapping!$L$2:$P$92,4,0)</f>
        <v>Major Advanced Economies (G7)</v>
      </c>
      <c r="L1822" s="29">
        <f>$D1822*VLOOKUP($E1822,'Charts data'!$A$2:$B$11,2,0)*VLOOKUP($G1822,'Charts data'!$A$14:$B$18,2,0)/IF('Charts data'!$E$3=1,I1822,1)/IF('Charts data'!$E$4=1,J1822,1)</f>
        <v>118000</v>
      </c>
    </row>
    <row r="1823" spans="1:12" x14ac:dyDescent="0.25">
      <c r="A1823" s="27" t="s">
        <v>1962</v>
      </c>
      <c r="B1823" s="27">
        <v>50000</v>
      </c>
      <c r="C1823" s="27" t="s">
        <v>2</v>
      </c>
      <c r="D1823" s="28">
        <f>B1823*VLOOKUP(C1823,tblXrate[],2,0)</f>
        <v>50000</v>
      </c>
      <c r="E1823" s="27" t="s">
        <v>7</v>
      </c>
      <c r="F1823" s="27" t="s">
        <v>5</v>
      </c>
      <c r="G1823" s="27" t="s">
        <v>2273</v>
      </c>
      <c r="H1823" s="27">
        <v>15</v>
      </c>
      <c r="I1823" s="27">
        <f>VLOOKUP(F1823,mapping!$L$2:$P$92,2,0)</f>
        <v>1</v>
      </c>
      <c r="J1823" s="27">
        <f>VLOOKUP($F1823,mapping!$L$2:$P$92,3,0)</f>
        <v>48386.69</v>
      </c>
      <c r="K1823" s="27" t="str">
        <f>VLOOKUP($F1823,mapping!$L$2:$P$92,4,0)</f>
        <v>Major Advanced Economies (G7)</v>
      </c>
      <c r="L1823" s="29">
        <f>$D1823*VLOOKUP($E1823,'Charts data'!$A$2:$B$11,2,0)*VLOOKUP($G1823,'Charts data'!$A$14:$B$18,2,0)/IF('Charts data'!$E$3=1,I1823,1)/IF('Charts data'!$E$4=1,J1823,1)</f>
        <v>50000</v>
      </c>
    </row>
    <row r="1824" spans="1:12" x14ac:dyDescent="0.25">
      <c r="A1824" s="27" t="s">
        <v>1964</v>
      </c>
      <c r="B1824" s="27">
        <v>60000</v>
      </c>
      <c r="C1824" s="27" t="s">
        <v>2</v>
      </c>
      <c r="D1824" s="28">
        <f>B1824*VLOOKUP(C1824,tblXrate[],2,0)</f>
        <v>60000</v>
      </c>
      <c r="E1824" s="27" t="s">
        <v>7</v>
      </c>
      <c r="F1824" s="27" t="s">
        <v>5</v>
      </c>
      <c r="G1824" s="27" t="s">
        <v>2272</v>
      </c>
      <c r="H1824" s="27">
        <v>3</v>
      </c>
      <c r="I1824" s="27">
        <f>VLOOKUP(F1824,mapping!$L$2:$P$92,2,0)</f>
        <v>1</v>
      </c>
      <c r="J1824" s="27">
        <f>VLOOKUP($F1824,mapping!$L$2:$P$92,3,0)</f>
        <v>48386.69</v>
      </c>
      <c r="K1824" s="27" t="str">
        <f>VLOOKUP($F1824,mapping!$L$2:$P$92,4,0)</f>
        <v>Major Advanced Economies (G7)</v>
      </c>
      <c r="L1824" s="29">
        <f>$D1824*VLOOKUP($E1824,'Charts data'!$A$2:$B$11,2,0)*VLOOKUP($G1824,'Charts data'!$A$14:$B$18,2,0)/IF('Charts data'!$E$3=1,I1824,1)/IF('Charts data'!$E$4=1,J1824,1)</f>
        <v>60000</v>
      </c>
    </row>
    <row r="1825" spans="1:12" x14ac:dyDescent="0.25">
      <c r="A1825" s="27" t="s">
        <v>1966</v>
      </c>
      <c r="B1825" s="27">
        <v>40000</v>
      </c>
      <c r="C1825" s="27" t="s">
        <v>2</v>
      </c>
      <c r="D1825" s="28">
        <f>B1825*VLOOKUP(C1825,tblXrate[],2,0)</f>
        <v>40000</v>
      </c>
      <c r="E1825" s="27" t="s">
        <v>23</v>
      </c>
      <c r="F1825" s="27" t="s">
        <v>5</v>
      </c>
      <c r="G1825" s="27" t="s">
        <v>2271</v>
      </c>
      <c r="H1825" s="27">
        <v>1</v>
      </c>
      <c r="I1825" s="27">
        <f>VLOOKUP(F1825,mapping!$L$2:$P$92,2,0)</f>
        <v>1</v>
      </c>
      <c r="J1825" s="27">
        <f>VLOOKUP($F1825,mapping!$L$2:$P$92,3,0)</f>
        <v>48386.69</v>
      </c>
      <c r="K1825" s="27" t="str">
        <f>VLOOKUP($F1825,mapping!$L$2:$P$92,4,0)</f>
        <v>Major Advanced Economies (G7)</v>
      </c>
      <c r="L1825" s="29">
        <f>$D1825*VLOOKUP($E1825,'Charts data'!$A$2:$B$11,2,0)*VLOOKUP($G1825,'Charts data'!$A$14:$B$18,2,0)/IF('Charts data'!$E$3=1,I1825,1)/IF('Charts data'!$E$4=1,J1825,1)</f>
        <v>40000</v>
      </c>
    </row>
    <row r="1826" spans="1:12" x14ac:dyDescent="0.25">
      <c r="A1826" s="27" t="s">
        <v>1967</v>
      </c>
      <c r="B1826" s="27">
        <v>85000</v>
      </c>
      <c r="C1826" s="27" t="s">
        <v>2</v>
      </c>
      <c r="D1826" s="28">
        <f>B1826*VLOOKUP(C1826,tblXrate[],2,0)</f>
        <v>85000</v>
      </c>
      <c r="E1826" s="27" t="s">
        <v>2147</v>
      </c>
      <c r="F1826" s="27" t="s">
        <v>5</v>
      </c>
      <c r="G1826" s="27" t="s">
        <v>2272</v>
      </c>
      <c r="H1826" s="27">
        <v>15</v>
      </c>
      <c r="I1826" s="27">
        <f>VLOOKUP(F1826,mapping!$L$2:$P$92,2,0)</f>
        <v>1</v>
      </c>
      <c r="J1826" s="27">
        <f>VLOOKUP($F1826,mapping!$L$2:$P$92,3,0)</f>
        <v>48386.69</v>
      </c>
      <c r="K1826" s="27" t="str">
        <f>VLOOKUP($F1826,mapping!$L$2:$P$92,4,0)</f>
        <v>Major Advanced Economies (G7)</v>
      </c>
      <c r="L1826" s="29">
        <f>$D1826*VLOOKUP($E1826,'Charts data'!$A$2:$B$11,2,0)*VLOOKUP($G1826,'Charts data'!$A$14:$B$18,2,0)/IF('Charts data'!$E$3=1,I1826,1)/IF('Charts data'!$E$4=1,J1826,1)</f>
        <v>85000</v>
      </c>
    </row>
    <row r="1827" spans="1:12" x14ac:dyDescent="0.25">
      <c r="A1827" s="27" t="s">
        <v>1970</v>
      </c>
      <c r="B1827" s="27">
        <v>29000</v>
      </c>
      <c r="C1827" s="27" t="s">
        <v>2</v>
      </c>
      <c r="D1827" s="28">
        <f>B1827*VLOOKUP(C1827,tblXrate[],2,0)</f>
        <v>29000</v>
      </c>
      <c r="E1827" s="27" t="s">
        <v>48</v>
      </c>
      <c r="F1827" s="27" t="s">
        <v>5</v>
      </c>
      <c r="G1827" s="27" t="s">
        <v>2273</v>
      </c>
      <c r="H1827" s="27">
        <v>1</v>
      </c>
      <c r="I1827" s="27">
        <f>VLOOKUP(F1827,mapping!$L$2:$P$92,2,0)</f>
        <v>1</v>
      </c>
      <c r="J1827" s="27">
        <f>VLOOKUP($F1827,mapping!$L$2:$P$92,3,0)</f>
        <v>48386.69</v>
      </c>
      <c r="K1827" s="27" t="str">
        <f>VLOOKUP($F1827,mapping!$L$2:$P$92,4,0)</f>
        <v>Major Advanced Economies (G7)</v>
      </c>
      <c r="L1827" s="29">
        <f>$D1827*VLOOKUP($E1827,'Charts data'!$A$2:$B$11,2,0)*VLOOKUP($G1827,'Charts data'!$A$14:$B$18,2,0)/IF('Charts data'!$E$3=1,I1827,1)/IF('Charts data'!$E$4=1,J1827,1)</f>
        <v>29000</v>
      </c>
    </row>
    <row r="1828" spans="1:12" x14ac:dyDescent="0.25">
      <c r="A1828" s="27" t="s">
        <v>1971</v>
      </c>
      <c r="B1828" s="27">
        <v>48000</v>
      </c>
      <c r="C1828" s="27" t="s">
        <v>2</v>
      </c>
      <c r="D1828" s="28">
        <f>B1828*VLOOKUP(C1828,tblXrate[],2,0)</f>
        <v>48000</v>
      </c>
      <c r="E1828" s="27" t="s">
        <v>51</v>
      </c>
      <c r="F1828" s="27" t="s">
        <v>5</v>
      </c>
      <c r="G1828" s="27" t="s">
        <v>2271</v>
      </c>
      <c r="H1828" s="27">
        <v>1</v>
      </c>
      <c r="I1828" s="27">
        <f>VLOOKUP(F1828,mapping!$L$2:$P$92,2,0)</f>
        <v>1</v>
      </c>
      <c r="J1828" s="27">
        <f>VLOOKUP($F1828,mapping!$L$2:$P$92,3,0)</f>
        <v>48386.69</v>
      </c>
      <c r="K1828" s="27" t="str">
        <f>VLOOKUP($F1828,mapping!$L$2:$P$92,4,0)</f>
        <v>Major Advanced Economies (G7)</v>
      </c>
      <c r="L1828" s="29">
        <f>$D1828*VLOOKUP($E1828,'Charts data'!$A$2:$B$11,2,0)*VLOOKUP($G1828,'Charts data'!$A$14:$B$18,2,0)/IF('Charts data'!$E$3=1,I1828,1)/IF('Charts data'!$E$4=1,J1828,1)</f>
        <v>48000</v>
      </c>
    </row>
    <row r="1829" spans="1:12" x14ac:dyDescent="0.25">
      <c r="A1829" s="27" t="s">
        <v>1972</v>
      </c>
      <c r="B1829" s="27">
        <v>48000</v>
      </c>
      <c r="C1829" s="27" t="s">
        <v>2</v>
      </c>
      <c r="D1829" s="28">
        <f>B1829*VLOOKUP(C1829,tblXrate[],2,0)</f>
        <v>48000</v>
      </c>
      <c r="E1829" s="27" t="s">
        <v>51</v>
      </c>
      <c r="F1829" s="27" t="s">
        <v>5</v>
      </c>
      <c r="G1829" s="27" t="s">
        <v>2271</v>
      </c>
      <c r="H1829" s="27">
        <v>1</v>
      </c>
      <c r="I1829" s="27">
        <f>VLOOKUP(F1829,mapping!$L$2:$P$92,2,0)</f>
        <v>1</v>
      </c>
      <c r="J1829" s="27">
        <f>VLOOKUP($F1829,mapping!$L$2:$P$92,3,0)</f>
        <v>48386.69</v>
      </c>
      <c r="K1829" s="27" t="str">
        <f>VLOOKUP($F1829,mapping!$L$2:$P$92,4,0)</f>
        <v>Major Advanced Economies (G7)</v>
      </c>
      <c r="L1829" s="29">
        <f>$D1829*VLOOKUP($E1829,'Charts data'!$A$2:$B$11,2,0)*VLOOKUP($G1829,'Charts data'!$A$14:$B$18,2,0)/IF('Charts data'!$E$3=1,I1829,1)/IF('Charts data'!$E$4=1,J1829,1)</f>
        <v>48000</v>
      </c>
    </row>
    <row r="1830" spans="1:12" x14ac:dyDescent="0.25">
      <c r="A1830" s="27" t="s">
        <v>1978</v>
      </c>
      <c r="B1830" s="27">
        <v>112000</v>
      </c>
      <c r="C1830" s="27" t="s">
        <v>2</v>
      </c>
      <c r="D1830" s="28">
        <f>B1830*VLOOKUP(C1830,tblXrate[],2,0)</f>
        <v>112000</v>
      </c>
      <c r="E1830" s="27" t="s">
        <v>19</v>
      </c>
      <c r="F1830" s="27" t="s">
        <v>5</v>
      </c>
      <c r="G1830" s="27" t="s">
        <v>2272</v>
      </c>
      <c r="H1830" s="27">
        <v>8</v>
      </c>
      <c r="I1830" s="27">
        <f>VLOOKUP(F1830,mapping!$L$2:$P$92,2,0)</f>
        <v>1</v>
      </c>
      <c r="J1830" s="27">
        <f>VLOOKUP($F1830,mapping!$L$2:$P$92,3,0)</f>
        <v>48386.69</v>
      </c>
      <c r="K1830" s="27" t="str">
        <f>VLOOKUP($F1830,mapping!$L$2:$P$92,4,0)</f>
        <v>Major Advanced Economies (G7)</v>
      </c>
      <c r="L1830" s="29">
        <f>$D1830*VLOOKUP($E1830,'Charts data'!$A$2:$B$11,2,0)*VLOOKUP($G1830,'Charts data'!$A$14:$B$18,2,0)/IF('Charts data'!$E$3=1,I1830,1)/IF('Charts data'!$E$4=1,J1830,1)</f>
        <v>112000</v>
      </c>
    </row>
    <row r="1831" spans="1:12" x14ac:dyDescent="0.25">
      <c r="A1831" s="27" t="s">
        <v>1981</v>
      </c>
      <c r="B1831" s="27">
        <v>72000</v>
      </c>
      <c r="C1831" s="27" t="s">
        <v>2</v>
      </c>
      <c r="D1831" s="28">
        <f>B1831*VLOOKUP(C1831,tblXrate[],2,0)</f>
        <v>72000</v>
      </c>
      <c r="E1831" s="27" t="s">
        <v>19</v>
      </c>
      <c r="F1831" s="27" t="s">
        <v>5</v>
      </c>
      <c r="G1831" s="27" t="s">
        <v>2271</v>
      </c>
      <c r="H1831" s="27">
        <v>10</v>
      </c>
      <c r="I1831" s="27">
        <f>VLOOKUP(F1831,mapping!$L$2:$P$92,2,0)</f>
        <v>1</v>
      </c>
      <c r="J1831" s="27">
        <f>VLOOKUP($F1831,mapping!$L$2:$P$92,3,0)</f>
        <v>48386.69</v>
      </c>
      <c r="K1831" s="27" t="str">
        <f>VLOOKUP($F1831,mapping!$L$2:$P$92,4,0)</f>
        <v>Major Advanced Economies (G7)</v>
      </c>
      <c r="L1831" s="29">
        <f>$D1831*VLOOKUP($E1831,'Charts data'!$A$2:$B$11,2,0)*VLOOKUP($G1831,'Charts data'!$A$14:$B$18,2,0)/IF('Charts data'!$E$3=1,I1831,1)/IF('Charts data'!$E$4=1,J1831,1)</f>
        <v>72000</v>
      </c>
    </row>
    <row r="1832" spans="1:12" x14ac:dyDescent="0.25">
      <c r="A1832" s="27" t="s">
        <v>1982</v>
      </c>
      <c r="B1832" s="27">
        <v>60000</v>
      </c>
      <c r="C1832" s="27" t="s">
        <v>2</v>
      </c>
      <c r="D1832" s="28">
        <f>B1832*VLOOKUP(C1832,tblXrate[],2,0)</f>
        <v>60000</v>
      </c>
      <c r="E1832" s="27" t="s">
        <v>7</v>
      </c>
      <c r="F1832" s="27" t="s">
        <v>5</v>
      </c>
      <c r="G1832" s="27" t="s">
        <v>2273</v>
      </c>
      <c r="H1832" s="27">
        <v>10</v>
      </c>
      <c r="I1832" s="27">
        <f>VLOOKUP(F1832,mapping!$L$2:$P$92,2,0)</f>
        <v>1</v>
      </c>
      <c r="J1832" s="27">
        <f>VLOOKUP($F1832,mapping!$L$2:$P$92,3,0)</f>
        <v>48386.69</v>
      </c>
      <c r="K1832" s="27" t="str">
        <f>VLOOKUP($F1832,mapping!$L$2:$P$92,4,0)</f>
        <v>Major Advanced Economies (G7)</v>
      </c>
      <c r="L1832" s="29">
        <f>$D1832*VLOOKUP($E1832,'Charts data'!$A$2:$B$11,2,0)*VLOOKUP($G1832,'Charts data'!$A$14:$B$18,2,0)/IF('Charts data'!$E$3=1,I1832,1)/IF('Charts data'!$E$4=1,J1832,1)</f>
        <v>60000</v>
      </c>
    </row>
    <row r="1833" spans="1:12" x14ac:dyDescent="0.25">
      <c r="A1833" s="27" t="s">
        <v>1983</v>
      </c>
      <c r="B1833" s="27">
        <v>67000</v>
      </c>
      <c r="C1833" s="27" t="s">
        <v>2</v>
      </c>
      <c r="D1833" s="28">
        <f>B1833*VLOOKUP(C1833,tblXrate[],2,0)</f>
        <v>67000</v>
      </c>
      <c r="E1833" s="27" t="s">
        <v>7</v>
      </c>
      <c r="F1833" s="27" t="s">
        <v>5</v>
      </c>
      <c r="G1833" s="27" t="s">
        <v>2271</v>
      </c>
      <c r="H1833" s="27">
        <v>6</v>
      </c>
      <c r="I1833" s="27">
        <f>VLOOKUP(F1833,mapping!$L$2:$P$92,2,0)</f>
        <v>1</v>
      </c>
      <c r="J1833" s="27">
        <f>VLOOKUP($F1833,mapping!$L$2:$P$92,3,0)</f>
        <v>48386.69</v>
      </c>
      <c r="K1833" s="27" t="str">
        <f>VLOOKUP($F1833,mapping!$L$2:$P$92,4,0)</f>
        <v>Major Advanced Economies (G7)</v>
      </c>
      <c r="L1833" s="29">
        <f>$D1833*VLOOKUP($E1833,'Charts data'!$A$2:$B$11,2,0)*VLOOKUP($G1833,'Charts data'!$A$14:$B$18,2,0)/IF('Charts data'!$E$3=1,I1833,1)/IF('Charts data'!$E$4=1,J1833,1)</f>
        <v>67000</v>
      </c>
    </row>
    <row r="1834" spans="1:12" x14ac:dyDescent="0.25">
      <c r="A1834" s="27" t="s">
        <v>1984</v>
      </c>
      <c r="B1834" s="27">
        <v>54000</v>
      </c>
      <c r="C1834" s="27" t="s">
        <v>2</v>
      </c>
      <c r="D1834" s="28">
        <f>B1834*VLOOKUP(C1834,tblXrate[],2,0)</f>
        <v>54000</v>
      </c>
      <c r="E1834" s="27" t="s">
        <v>7</v>
      </c>
      <c r="F1834" s="27" t="s">
        <v>5</v>
      </c>
      <c r="G1834" s="27" t="s">
        <v>2271</v>
      </c>
      <c r="H1834" s="27">
        <v>18</v>
      </c>
      <c r="I1834" s="27">
        <f>VLOOKUP(F1834,mapping!$L$2:$P$92,2,0)</f>
        <v>1</v>
      </c>
      <c r="J1834" s="27">
        <f>VLOOKUP($F1834,mapping!$L$2:$P$92,3,0)</f>
        <v>48386.69</v>
      </c>
      <c r="K1834" s="27" t="str">
        <f>VLOOKUP($F1834,mapping!$L$2:$P$92,4,0)</f>
        <v>Major Advanced Economies (G7)</v>
      </c>
      <c r="L1834" s="29">
        <f>$D1834*VLOOKUP($E1834,'Charts data'!$A$2:$B$11,2,0)*VLOOKUP($G1834,'Charts data'!$A$14:$B$18,2,0)/IF('Charts data'!$E$3=1,I1834,1)/IF('Charts data'!$E$4=1,J1834,1)</f>
        <v>54000</v>
      </c>
    </row>
    <row r="1835" spans="1:12" x14ac:dyDescent="0.25">
      <c r="A1835" s="27" t="s">
        <v>1986</v>
      </c>
      <c r="B1835" s="27">
        <v>63000</v>
      </c>
      <c r="C1835" s="27" t="s">
        <v>2</v>
      </c>
      <c r="D1835" s="28">
        <f>B1835*VLOOKUP(C1835,tblXrate[],2,0)</f>
        <v>63000</v>
      </c>
      <c r="E1835" s="27" t="s">
        <v>7</v>
      </c>
      <c r="F1835" s="27" t="s">
        <v>5</v>
      </c>
      <c r="G1835" s="27" t="s">
        <v>2271</v>
      </c>
      <c r="H1835" s="27">
        <v>6</v>
      </c>
      <c r="I1835" s="27">
        <f>VLOOKUP(F1835,mapping!$L$2:$P$92,2,0)</f>
        <v>1</v>
      </c>
      <c r="J1835" s="27">
        <f>VLOOKUP($F1835,mapping!$L$2:$P$92,3,0)</f>
        <v>48386.69</v>
      </c>
      <c r="K1835" s="27" t="str">
        <f>VLOOKUP($F1835,mapping!$L$2:$P$92,4,0)</f>
        <v>Major Advanced Economies (G7)</v>
      </c>
      <c r="L1835" s="29">
        <f>$D1835*VLOOKUP($E1835,'Charts data'!$A$2:$B$11,2,0)*VLOOKUP($G1835,'Charts data'!$A$14:$B$18,2,0)/IF('Charts data'!$E$3=1,I1835,1)/IF('Charts data'!$E$4=1,J1835,1)</f>
        <v>63000</v>
      </c>
    </row>
    <row r="1836" spans="1:12" x14ac:dyDescent="0.25">
      <c r="A1836" s="27" t="s">
        <v>1987</v>
      </c>
      <c r="B1836" s="27">
        <v>63000</v>
      </c>
      <c r="C1836" s="27" t="s">
        <v>2</v>
      </c>
      <c r="D1836" s="28">
        <f>B1836*VLOOKUP(C1836,tblXrate[],2,0)</f>
        <v>63000</v>
      </c>
      <c r="E1836" s="27" t="s">
        <v>7</v>
      </c>
      <c r="F1836" s="27" t="s">
        <v>5</v>
      </c>
      <c r="G1836" s="27" t="s">
        <v>2273</v>
      </c>
      <c r="H1836" s="27">
        <v>1</v>
      </c>
      <c r="I1836" s="27">
        <f>VLOOKUP(F1836,mapping!$L$2:$P$92,2,0)</f>
        <v>1</v>
      </c>
      <c r="J1836" s="27">
        <f>VLOOKUP($F1836,mapping!$L$2:$P$92,3,0)</f>
        <v>48386.69</v>
      </c>
      <c r="K1836" s="27" t="str">
        <f>VLOOKUP($F1836,mapping!$L$2:$P$92,4,0)</f>
        <v>Major Advanced Economies (G7)</v>
      </c>
      <c r="L1836" s="29">
        <f>$D1836*VLOOKUP($E1836,'Charts data'!$A$2:$B$11,2,0)*VLOOKUP($G1836,'Charts data'!$A$14:$B$18,2,0)/IF('Charts data'!$E$3=1,I1836,1)/IF('Charts data'!$E$4=1,J1836,1)</f>
        <v>63000</v>
      </c>
    </row>
    <row r="1837" spans="1:12" x14ac:dyDescent="0.25">
      <c r="A1837" s="27" t="s">
        <v>2003</v>
      </c>
      <c r="B1837" s="27">
        <v>46000</v>
      </c>
      <c r="C1837" s="27" t="s">
        <v>2</v>
      </c>
      <c r="D1837" s="28">
        <f>B1837*VLOOKUP(C1837,tblXrate[],2,0)</f>
        <v>46000</v>
      </c>
      <c r="E1837" s="27" t="s">
        <v>7</v>
      </c>
      <c r="F1837" s="27" t="s">
        <v>5</v>
      </c>
      <c r="G1837" s="27" t="s">
        <v>2273</v>
      </c>
      <c r="H1837" s="27">
        <v>1</v>
      </c>
      <c r="I1837" s="27">
        <f>VLOOKUP(F1837,mapping!$L$2:$P$92,2,0)</f>
        <v>1</v>
      </c>
      <c r="J1837" s="27">
        <f>VLOOKUP($F1837,mapping!$L$2:$P$92,3,0)</f>
        <v>48386.69</v>
      </c>
      <c r="K1837" s="27" t="str">
        <f>VLOOKUP($F1837,mapping!$L$2:$P$92,4,0)</f>
        <v>Major Advanced Economies (G7)</v>
      </c>
      <c r="L1837" s="29">
        <f>$D1837*VLOOKUP($E1837,'Charts data'!$A$2:$B$11,2,0)*VLOOKUP($G1837,'Charts data'!$A$14:$B$18,2,0)/IF('Charts data'!$E$3=1,I1837,1)/IF('Charts data'!$E$4=1,J1837,1)</f>
        <v>46000</v>
      </c>
    </row>
    <row r="1838" spans="1:12" x14ac:dyDescent="0.25">
      <c r="A1838" s="27" t="s">
        <v>2008</v>
      </c>
      <c r="B1838" s="27">
        <v>45000</v>
      </c>
      <c r="C1838" s="27" t="s">
        <v>2</v>
      </c>
      <c r="D1838" s="28">
        <f>B1838*VLOOKUP(C1838,tblXrate[],2,0)</f>
        <v>45000</v>
      </c>
      <c r="E1838" s="27" t="s">
        <v>51</v>
      </c>
      <c r="F1838" s="27" t="s">
        <v>5</v>
      </c>
      <c r="G1838" s="27" t="s">
        <v>2272</v>
      </c>
      <c r="H1838" s="27">
        <v>5</v>
      </c>
      <c r="I1838" s="27">
        <f>VLOOKUP(F1838,mapping!$L$2:$P$92,2,0)</f>
        <v>1</v>
      </c>
      <c r="J1838" s="27">
        <f>VLOOKUP($F1838,mapping!$L$2:$P$92,3,0)</f>
        <v>48386.69</v>
      </c>
      <c r="K1838" s="27" t="str">
        <f>VLOOKUP($F1838,mapping!$L$2:$P$92,4,0)</f>
        <v>Major Advanced Economies (G7)</v>
      </c>
      <c r="L1838" s="29">
        <f>$D1838*VLOOKUP($E1838,'Charts data'!$A$2:$B$11,2,0)*VLOOKUP($G1838,'Charts data'!$A$14:$B$18,2,0)/IF('Charts data'!$E$3=1,I1838,1)/IF('Charts data'!$E$4=1,J1838,1)</f>
        <v>45000</v>
      </c>
    </row>
    <row r="1839" spans="1:12" x14ac:dyDescent="0.25">
      <c r="A1839" s="27" t="s">
        <v>2010</v>
      </c>
      <c r="B1839" s="27">
        <v>43000</v>
      </c>
      <c r="C1839" s="27" t="s">
        <v>2</v>
      </c>
      <c r="D1839" s="28">
        <f>B1839*VLOOKUP(C1839,tblXrate[],2,0)</f>
        <v>43000</v>
      </c>
      <c r="E1839" s="27" t="s">
        <v>7</v>
      </c>
      <c r="F1839" s="27" t="s">
        <v>5</v>
      </c>
      <c r="G1839" s="27" t="s">
        <v>2271</v>
      </c>
      <c r="H1839" s="27">
        <v>5</v>
      </c>
      <c r="I1839" s="27">
        <f>VLOOKUP(F1839,mapping!$L$2:$P$92,2,0)</f>
        <v>1</v>
      </c>
      <c r="J1839" s="27">
        <f>VLOOKUP($F1839,mapping!$L$2:$P$92,3,0)</f>
        <v>48386.69</v>
      </c>
      <c r="K1839" s="27" t="str">
        <f>VLOOKUP($F1839,mapping!$L$2:$P$92,4,0)</f>
        <v>Major Advanced Economies (G7)</v>
      </c>
      <c r="L1839" s="29">
        <f>$D1839*VLOOKUP($E1839,'Charts data'!$A$2:$B$11,2,0)*VLOOKUP($G1839,'Charts data'!$A$14:$B$18,2,0)/IF('Charts data'!$E$3=1,I1839,1)/IF('Charts data'!$E$4=1,J1839,1)</f>
        <v>43000</v>
      </c>
    </row>
    <row r="1840" spans="1:12" x14ac:dyDescent="0.25">
      <c r="A1840" s="27" t="s">
        <v>2012</v>
      </c>
      <c r="B1840" s="27">
        <v>48000</v>
      </c>
      <c r="C1840" s="27" t="s">
        <v>2</v>
      </c>
      <c r="D1840" s="28">
        <f>B1840*VLOOKUP(C1840,tblXrate[],2,0)</f>
        <v>48000</v>
      </c>
      <c r="E1840" s="27" t="s">
        <v>7</v>
      </c>
      <c r="F1840" s="27" t="s">
        <v>5</v>
      </c>
      <c r="G1840" s="27" t="s">
        <v>2271</v>
      </c>
      <c r="H1840" s="27">
        <v>12</v>
      </c>
      <c r="I1840" s="27">
        <f>VLOOKUP(F1840,mapping!$L$2:$P$92,2,0)</f>
        <v>1</v>
      </c>
      <c r="J1840" s="27">
        <f>VLOOKUP($F1840,mapping!$L$2:$P$92,3,0)</f>
        <v>48386.69</v>
      </c>
      <c r="K1840" s="27" t="str">
        <f>VLOOKUP($F1840,mapping!$L$2:$P$92,4,0)</f>
        <v>Major Advanced Economies (G7)</v>
      </c>
      <c r="L1840" s="29">
        <f>$D1840*VLOOKUP($E1840,'Charts data'!$A$2:$B$11,2,0)*VLOOKUP($G1840,'Charts data'!$A$14:$B$18,2,0)/IF('Charts data'!$E$3=1,I1840,1)/IF('Charts data'!$E$4=1,J1840,1)</f>
        <v>48000</v>
      </c>
    </row>
    <row r="1841" spans="1:12" x14ac:dyDescent="0.25">
      <c r="A1841" s="27" t="s">
        <v>2022</v>
      </c>
      <c r="B1841" s="27">
        <v>62000</v>
      </c>
      <c r="C1841" s="27" t="s">
        <v>2</v>
      </c>
      <c r="D1841" s="28">
        <f>B1841*VLOOKUP(C1841,tblXrate[],2,0)</f>
        <v>62000</v>
      </c>
      <c r="E1841" s="27" t="s">
        <v>7</v>
      </c>
      <c r="F1841" s="27" t="s">
        <v>5</v>
      </c>
      <c r="G1841" s="27" t="s">
        <v>2271</v>
      </c>
      <c r="H1841" s="27">
        <v>4</v>
      </c>
      <c r="I1841" s="27">
        <f>VLOOKUP(F1841,mapping!$L$2:$P$92,2,0)</f>
        <v>1</v>
      </c>
      <c r="J1841" s="27">
        <f>VLOOKUP($F1841,mapping!$L$2:$P$92,3,0)</f>
        <v>48386.69</v>
      </c>
      <c r="K1841" s="27" t="str">
        <f>VLOOKUP($F1841,mapping!$L$2:$P$92,4,0)</f>
        <v>Major Advanced Economies (G7)</v>
      </c>
      <c r="L1841" s="29">
        <f>$D1841*VLOOKUP($E1841,'Charts data'!$A$2:$B$11,2,0)*VLOOKUP($G1841,'Charts data'!$A$14:$B$18,2,0)/IF('Charts data'!$E$3=1,I1841,1)/IF('Charts data'!$E$4=1,J1841,1)</f>
        <v>62000</v>
      </c>
    </row>
    <row r="1842" spans="1:12" x14ac:dyDescent="0.25">
      <c r="A1842" s="27" t="s">
        <v>2023</v>
      </c>
      <c r="B1842" s="27">
        <v>48000</v>
      </c>
      <c r="C1842" s="27" t="s">
        <v>2</v>
      </c>
      <c r="D1842" s="28">
        <f>B1842*VLOOKUP(C1842,tblXrate[],2,0)</f>
        <v>48000</v>
      </c>
      <c r="E1842" s="27" t="s">
        <v>7</v>
      </c>
      <c r="F1842" s="27" t="s">
        <v>5</v>
      </c>
      <c r="G1842" s="27" t="s">
        <v>2271</v>
      </c>
      <c r="H1842" s="27">
        <v>1</v>
      </c>
      <c r="I1842" s="27">
        <f>VLOOKUP(F1842,mapping!$L$2:$P$92,2,0)</f>
        <v>1</v>
      </c>
      <c r="J1842" s="27">
        <f>VLOOKUP($F1842,mapping!$L$2:$P$92,3,0)</f>
        <v>48386.69</v>
      </c>
      <c r="K1842" s="27" t="str">
        <f>VLOOKUP($F1842,mapping!$L$2:$P$92,4,0)</f>
        <v>Major Advanced Economies (G7)</v>
      </c>
      <c r="L1842" s="29">
        <f>$D1842*VLOOKUP($E1842,'Charts data'!$A$2:$B$11,2,0)*VLOOKUP($G1842,'Charts data'!$A$14:$B$18,2,0)/IF('Charts data'!$E$3=1,I1842,1)/IF('Charts data'!$E$4=1,J1842,1)</f>
        <v>48000</v>
      </c>
    </row>
    <row r="1843" spans="1:12" x14ac:dyDescent="0.25">
      <c r="A1843" s="27" t="s">
        <v>2026</v>
      </c>
      <c r="B1843" s="27">
        <v>75000</v>
      </c>
      <c r="C1843" s="27" t="s">
        <v>2</v>
      </c>
      <c r="D1843" s="28">
        <f>B1843*VLOOKUP(C1843,tblXrate[],2,0)</f>
        <v>75000</v>
      </c>
      <c r="E1843" s="27" t="s">
        <v>7</v>
      </c>
      <c r="F1843" s="27" t="s">
        <v>5</v>
      </c>
      <c r="G1843" s="27" t="s">
        <v>2274</v>
      </c>
      <c r="H1843" s="27">
        <v>3</v>
      </c>
      <c r="I1843" s="27">
        <f>VLOOKUP(F1843,mapping!$L$2:$P$92,2,0)</f>
        <v>1</v>
      </c>
      <c r="J1843" s="27">
        <f>VLOOKUP($F1843,mapping!$L$2:$P$92,3,0)</f>
        <v>48386.69</v>
      </c>
      <c r="K1843" s="27" t="str">
        <f>VLOOKUP($F1843,mapping!$L$2:$P$92,4,0)</f>
        <v>Major Advanced Economies (G7)</v>
      </c>
      <c r="L1843" s="29">
        <f>$D1843*VLOOKUP($E1843,'Charts data'!$A$2:$B$11,2,0)*VLOOKUP($G1843,'Charts data'!$A$14:$B$18,2,0)/IF('Charts data'!$E$3=1,I1843,1)/IF('Charts data'!$E$4=1,J1843,1)</f>
        <v>75000</v>
      </c>
    </row>
    <row r="1844" spans="1:12" x14ac:dyDescent="0.25">
      <c r="A1844" s="27" t="s">
        <v>2030</v>
      </c>
      <c r="B1844" s="27">
        <v>110000</v>
      </c>
      <c r="C1844" s="27" t="s">
        <v>2</v>
      </c>
      <c r="D1844" s="28">
        <f>B1844*VLOOKUP(C1844,tblXrate[],2,0)</f>
        <v>110000</v>
      </c>
      <c r="E1844" s="27" t="s">
        <v>2147</v>
      </c>
      <c r="F1844" s="27" t="s">
        <v>5</v>
      </c>
      <c r="G1844" s="27" t="s">
        <v>2271</v>
      </c>
      <c r="H1844" s="27">
        <v>10</v>
      </c>
      <c r="I1844" s="27">
        <f>VLOOKUP(F1844,mapping!$L$2:$P$92,2,0)</f>
        <v>1</v>
      </c>
      <c r="J1844" s="27">
        <f>VLOOKUP($F1844,mapping!$L$2:$P$92,3,0)</f>
        <v>48386.69</v>
      </c>
      <c r="K1844" s="27" t="str">
        <f>VLOOKUP($F1844,mapping!$L$2:$P$92,4,0)</f>
        <v>Major Advanced Economies (G7)</v>
      </c>
      <c r="L1844" s="29">
        <f>$D1844*VLOOKUP($E1844,'Charts data'!$A$2:$B$11,2,0)*VLOOKUP($G1844,'Charts data'!$A$14:$B$18,2,0)/IF('Charts data'!$E$3=1,I1844,1)/IF('Charts data'!$E$4=1,J1844,1)</f>
        <v>110000</v>
      </c>
    </row>
    <row r="1845" spans="1:12" x14ac:dyDescent="0.25">
      <c r="A1845" s="27" t="s">
        <v>2031</v>
      </c>
      <c r="B1845" s="27">
        <v>50000</v>
      </c>
      <c r="C1845" s="27" t="s">
        <v>2</v>
      </c>
      <c r="D1845" s="28">
        <f>B1845*VLOOKUP(C1845,tblXrate[],2,0)</f>
        <v>50000</v>
      </c>
      <c r="E1845" s="27" t="s">
        <v>7</v>
      </c>
      <c r="F1845" s="27" t="s">
        <v>5</v>
      </c>
      <c r="G1845" s="27" t="s">
        <v>2273</v>
      </c>
      <c r="H1845" s="27">
        <v>3.5</v>
      </c>
      <c r="I1845" s="27">
        <f>VLOOKUP(F1845,mapping!$L$2:$P$92,2,0)</f>
        <v>1</v>
      </c>
      <c r="J1845" s="27">
        <f>VLOOKUP($F1845,mapping!$L$2:$P$92,3,0)</f>
        <v>48386.69</v>
      </c>
      <c r="K1845" s="27" t="str">
        <f>VLOOKUP($F1845,mapping!$L$2:$P$92,4,0)</f>
        <v>Major Advanced Economies (G7)</v>
      </c>
      <c r="L1845" s="29">
        <f>$D1845*VLOOKUP($E1845,'Charts data'!$A$2:$B$11,2,0)*VLOOKUP($G1845,'Charts data'!$A$14:$B$18,2,0)/IF('Charts data'!$E$3=1,I1845,1)/IF('Charts data'!$E$4=1,J1845,1)</f>
        <v>50000</v>
      </c>
    </row>
    <row r="1846" spans="1:12" x14ac:dyDescent="0.25">
      <c r="A1846" s="27" t="s">
        <v>2032</v>
      </c>
      <c r="B1846" s="27">
        <v>46000</v>
      </c>
      <c r="C1846" s="27" t="s">
        <v>2</v>
      </c>
      <c r="D1846" s="28">
        <f>B1846*VLOOKUP(C1846,tblXrate[],2,0)</f>
        <v>46000</v>
      </c>
      <c r="E1846" s="27" t="s">
        <v>7</v>
      </c>
      <c r="F1846" s="27" t="s">
        <v>5</v>
      </c>
      <c r="G1846" s="27" t="s">
        <v>2271</v>
      </c>
      <c r="H1846" s="27">
        <v>8</v>
      </c>
      <c r="I1846" s="27">
        <f>VLOOKUP(F1846,mapping!$L$2:$P$92,2,0)</f>
        <v>1</v>
      </c>
      <c r="J1846" s="27">
        <f>VLOOKUP($F1846,mapping!$L$2:$P$92,3,0)</f>
        <v>48386.69</v>
      </c>
      <c r="K1846" s="27" t="str">
        <f>VLOOKUP($F1846,mapping!$L$2:$P$92,4,0)</f>
        <v>Major Advanced Economies (G7)</v>
      </c>
      <c r="L1846" s="29">
        <f>$D1846*VLOOKUP($E1846,'Charts data'!$A$2:$B$11,2,0)*VLOOKUP($G1846,'Charts data'!$A$14:$B$18,2,0)/IF('Charts data'!$E$3=1,I1846,1)/IF('Charts data'!$E$4=1,J1846,1)</f>
        <v>46000</v>
      </c>
    </row>
    <row r="1847" spans="1:12" x14ac:dyDescent="0.25">
      <c r="A1847" s="27" t="s">
        <v>2033</v>
      </c>
      <c r="B1847" s="27">
        <v>115000</v>
      </c>
      <c r="C1847" s="27" t="s">
        <v>2</v>
      </c>
      <c r="D1847" s="28">
        <f>B1847*VLOOKUP(C1847,tblXrate[],2,0)</f>
        <v>115000</v>
      </c>
      <c r="E1847" s="27" t="s">
        <v>7</v>
      </c>
      <c r="F1847" s="27" t="s">
        <v>5</v>
      </c>
      <c r="G1847" s="27" t="s">
        <v>2273</v>
      </c>
      <c r="H1847" s="27">
        <v>15</v>
      </c>
      <c r="I1847" s="27">
        <f>VLOOKUP(F1847,mapping!$L$2:$P$92,2,0)</f>
        <v>1</v>
      </c>
      <c r="J1847" s="27">
        <f>VLOOKUP($F1847,mapping!$L$2:$P$92,3,0)</f>
        <v>48386.69</v>
      </c>
      <c r="K1847" s="27" t="str">
        <f>VLOOKUP($F1847,mapping!$L$2:$P$92,4,0)</f>
        <v>Major Advanced Economies (G7)</v>
      </c>
      <c r="L1847" s="29">
        <f>$D1847*VLOOKUP($E1847,'Charts data'!$A$2:$B$11,2,0)*VLOOKUP($G1847,'Charts data'!$A$14:$B$18,2,0)/IF('Charts data'!$E$3=1,I1847,1)/IF('Charts data'!$E$4=1,J1847,1)</f>
        <v>115000</v>
      </c>
    </row>
    <row r="1848" spans="1:12" x14ac:dyDescent="0.25">
      <c r="A1848" s="27" t="s">
        <v>2038</v>
      </c>
      <c r="B1848" s="27">
        <v>40000</v>
      </c>
      <c r="C1848" s="27" t="s">
        <v>2</v>
      </c>
      <c r="D1848" s="28">
        <f>B1848*VLOOKUP(C1848,tblXrate[],2,0)</f>
        <v>40000</v>
      </c>
      <c r="E1848" s="27" t="s">
        <v>7</v>
      </c>
      <c r="F1848" s="27" t="s">
        <v>5</v>
      </c>
      <c r="G1848" s="27" t="s">
        <v>2274</v>
      </c>
      <c r="H1848" s="27">
        <v>3</v>
      </c>
      <c r="I1848" s="27">
        <f>VLOOKUP(F1848,mapping!$L$2:$P$92,2,0)</f>
        <v>1</v>
      </c>
      <c r="J1848" s="27">
        <f>VLOOKUP($F1848,mapping!$L$2:$P$92,3,0)</f>
        <v>48386.69</v>
      </c>
      <c r="K1848" s="27" t="str">
        <f>VLOOKUP($F1848,mapping!$L$2:$P$92,4,0)</f>
        <v>Major Advanced Economies (G7)</v>
      </c>
      <c r="L1848" s="29">
        <f>$D1848*VLOOKUP($E1848,'Charts data'!$A$2:$B$11,2,0)*VLOOKUP($G1848,'Charts data'!$A$14:$B$18,2,0)/IF('Charts data'!$E$3=1,I1848,1)/IF('Charts data'!$E$4=1,J1848,1)</f>
        <v>40000</v>
      </c>
    </row>
    <row r="1849" spans="1:12" x14ac:dyDescent="0.25">
      <c r="A1849" s="27" t="s">
        <v>2039</v>
      </c>
      <c r="B1849" s="27">
        <v>46359</v>
      </c>
      <c r="C1849" s="27" t="s">
        <v>2</v>
      </c>
      <c r="D1849" s="28">
        <f>B1849*VLOOKUP(C1849,tblXrate[],2,0)</f>
        <v>46359</v>
      </c>
      <c r="E1849" s="27" t="s">
        <v>7</v>
      </c>
      <c r="F1849" s="27" t="s">
        <v>5</v>
      </c>
      <c r="G1849" s="27" t="s">
        <v>2273</v>
      </c>
      <c r="H1849" s="27">
        <v>5</v>
      </c>
      <c r="I1849" s="27">
        <f>VLOOKUP(F1849,mapping!$L$2:$P$92,2,0)</f>
        <v>1</v>
      </c>
      <c r="J1849" s="27">
        <f>VLOOKUP($F1849,mapping!$L$2:$P$92,3,0)</f>
        <v>48386.69</v>
      </c>
      <c r="K1849" s="27" t="str">
        <f>VLOOKUP($F1849,mapping!$L$2:$P$92,4,0)</f>
        <v>Major Advanced Economies (G7)</v>
      </c>
      <c r="L1849" s="29">
        <f>$D1849*VLOOKUP($E1849,'Charts data'!$A$2:$B$11,2,0)*VLOOKUP($G1849,'Charts data'!$A$14:$B$18,2,0)/IF('Charts data'!$E$3=1,I1849,1)/IF('Charts data'!$E$4=1,J1849,1)</f>
        <v>46359</v>
      </c>
    </row>
    <row r="1850" spans="1:12" x14ac:dyDescent="0.25">
      <c r="A1850" s="27" t="s">
        <v>2040</v>
      </c>
      <c r="B1850" s="27">
        <v>70000</v>
      </c>
      <c r="C1850" s="27" t="s">
        <v>2</v>
      </c>
      <c r="D1850" s="28">
        <f>B1850*VLOOKUP(C1850,tblXrate[],2,0)</f>
        <v>70000</v>
      </c>
      <c r="E1850" s="27" t="s">
        <v>7</v>
      </c>
      <c r="F1850" s="27" t="s">
        <v>5</v>
      </c>
      <c r="G1850" s="27" t="s">
        <v>2271</v>
      </c>
      <c r="H1850" s="27">
        <v>10</v>
      </c>
      <c r="I1850" s="27">
        <f>VLOOKUP(F1850,mapping!$L$2:$P$92,2,0)</f>
        <v>1</v>
      </c>
      <c r="J1850" s="27">
        <f>VLOOKUP($F1850,mapping!$L$2:$P$92,3,0)</f>
        <v>48386.69</v>
      </c>
      <c r="K1850" s="27" t="str">
        <f>VLOOKUP($F1850,mapping!$L$2:$P$92,4,0)</f>
        <v>Major Advanced Economies (G7)</v>
      </c>
      <c r="L1850" s="29">
        <f>$D1850*VLOOKUP($E1850,'Charts data'!$A$2:$B$11,2,0)*VLOOKUP($G1850,'Charts data'!$A$14:$B$18,2,0)/IF('Charts data'!$E$3=1,I1850,1)/IF('Charts data'!$E$4=1,J1850,1)</f>
        <v>70000</v>
      </c>
    </row>
    <row r="1851" spans="1:12" x14ac:dyDescent="0.25">
      <c r="A1851" s="27" t="s">
        <v>1040</v>
      </c>
      <c r="B1851" s="27">
        <v>10000</v>
      </c>
      <c r="C1851" s="27" t="s">
        <v>2</v>
      </c>
      <c r="D1851" s="28">
        <f>B1851*VLOOKUP(C1851,tblXrate[],2,0)</f>
        <v>10000</v>
      </c>
      <c r="E1851" s="27" t="s">
        <v>51</v>
      </c>
      <c r="F1851" s="27" t="s">
        <v>151</v>
      </c>
      <c r="G1851" s="27" t="s">
        <v>2271</v>
      </c>
      <c r="H1851" s="27">
        <v>4</v>
      </c>
      <c r="I1851" s="27">
        <f>VLOOKUP(F1851,mapping!$L$2:$P$92,2,0)</f>
        <v>0.40490943938667939</v>
      </c>
      <c r="J1851" s="27">
        <f>VLOOKUP($F1851,mapping!$L$2:$P$92,3,0)</f>
        <v>1374.01</v>
      </c>
      <c r="K1851" s="27" t="str">
        <f>VLOOKUP($F1851,mapping!$L$2:$P$92,4,0)</f>
        <v>Developing Asia</v>
      </c>
      <c r="L1851" s="29">
        <f>$D1851*VLOOKUP($E1851,'Charts data'!$A$2:$B$11,2,0)*VLOOKUP($G1851,'Charts data'!$A$14:$B$18,2,0)/IF('Charts data'!$E$3=1,I1851,1)/IF('Charts data'!$E$4=1,J1851,1)</f>
        <v>10000</v>
      </c>
    </row>
    <row r="1852" spans="1:12" x14ac:dyDescent="0.25">
      <c r="A1852" s="27" t="s">
        <v>1658</v>
      </c>
      <c r="B1852" s="27">
        <v>10000</v>
      </c>
      <c r="C1852" s="27" t="s">
        <v>2</v>
      </c>
      <c r="D1852" s="28">
        <f>B1852*VLOOKUP(C1852,tblXrate[],2,0)</f>
        <v>10000</v>
      </c>
      <c r="E1852" s="27" t="s">
        <v>19</v>
      </c>
      <c r="F1852" s="27" t="s">
        <v>151</v>
      </c>
      <c r="G1852" s="27" t="s">
        <v>2272</v>
      </c>
      <c r="H1852" s="27">
        <v>8</v>
      </c>
      <c r="I1852" s="27">
        <f>VLOOKUP(F1852,mapping!$L$2:$P$92,2,0)</f>
        <v>0.40490943938667939</v>
      </c>
      <c r="J1852" s="27">
        <f>VLOOKUP($F1852,mapping!$L$2:$P$92,3,0)</f>
        <v>1374.01</v>
      </c>
      <c r="K1852" s="27" t="str">
        <f>VLOOKUP($F1852,mapping!$L$2:$P$92,4,0)</f>
        <v>Developing Asia</v>
      </c>
      <c r="L1852" s="29">
        <f>$D1852*VLOOKUP($E1852,'Charts data'!$A$2:$B$11,2,0)*VLOOKUP($G1852,'Charts data'!$A$14:$B$18,2,0)/IF('Charts data'!$E$3=1,I1852,1)/IF('Charts data'!$E$4=1,J1852,1)</f>
        <v>10000</v>
      </c>
    </row>
    <row r="1853" spans="1:12" x14ac:dyDescent="0.25">
      <c r="A1853" s="27" t="s">
        <v>1096</v>
      </c>
      <c r="B1853" s="27">
        <v>20000</v>
      </c>
      <c r="C1853" s="27" t="s">
        <v>2</v>
      </c>
      <c r="D1853" s="28">
        <f>B1853*VLOOKUP(C1853,tblXrate[],2,0)</f>
        <v>20000</v>
      </c>
      <c r="E1853" s="27" t="s">
        <v>51</v>
      </c>
      <c r="F1853" s="27" t="s">
        <v>114</v>
      </c>
      <c r="G1853" s="27" t="s">
        <v>2273</v>
      </c>
      <c r="H1853" s="27">
        <v>2</v>
      </c>
      <c r="I1853" s="27">
        <f>VLOOKUP(F1853,mapping!$L$2:$P$92,2,0)</f>
        <v>0.82520696324951637</v>
      </c>
      <c r="J1853" s="27">
        <f>VLOOKUP($F1853,mapping!$L$2:$P$92,3,0)</f>
        <v>1413.77</v>
      </c>
      <c r="K1853" s="27" t="str">
        <f>VLOOKUP($F1853,mapping!$L$2:$P$92,4,0)</f>
        <v>Sub-Saharan Africa</v>
      </c>
      <c r="L1853" s="29">
        <f>$D1853*VLOOKUP($E1853,'Charts data'!$A$2:$B$11,2,0)*VLOOKUP($G1853,'Charts data'!$A$14:$B$18,2,0)/IF('Charts data'!$E$3=1,I1853,1)/IF('Charts data'!$E$4=1,J1853,1)</f>
        <v>20000</v>
      </c>
    </row>
    <row r="1854" spans="1:12" x14ac:dyDescent="0.25">
      <c r="A1854" s="27" t="s">
        <v>1289</v>
      </c>
      <c r="B1854" s="27">
        <v>6000</v>
      </c>
      <c r="C1854" s="27" t="s">
        <v>2</v>
      </c>
      <c r="D1854" s="28">
        <f>B1854*VLOOKUP(C1854,tblXrate[],2,0)</f>
        <v>6000</v>
      </c>
      <c r="E1854" s="27" t="s">
        <v>51</v>
      </c>
      <c r="F1854" s="27" t="s">
        <v>114</v>
      </c>
      <c r="G1854" s="27" t="s">
        <v>2273</v>
      </c>
      <c r="H1854" s="27">
        <v>5</v>
      </c>
      <c r="I1854" s="27">
        <f>VLOOKUP(F1854,mapping!$L$2:$P$92,2,0)</f>
        <v>0.82520696324951637</v>
      </c>
      <c r="J1854" s="27">
        <f>VLOOKUP($F1854,mapping!$L$2:$P$92,3,0)</f>
        <v>1413.77</v>
      </c>
      <c r="K1854" s="27" t="str">
        <f>VLOOKUP($F1854,mapping!$L$2:$P$92,4,0)</f>
        <v>Sub-Saharan Africa</v>
      </c>
      <c r="L1854" s="29">
        <f>$D1854*VLOOKUP($E1854,'Charts data'!$A$2:$B$11,2,0)*VLOOKUP($G1854,'Charts data'!$A$14:$B$18,2,0)/IF('Charts data'!$E$3=1,I1854,1)/IF('Charts data'!$E$4=1,J1854,1)</f>
        <v>6000</v>
      </c>
    </row>
    <row r="1855" spans="1:12" x14ac:dyDescent="0.25">
      <c r="A1855" s="27" t="s">
        <v>1066</v>
      </c>
      <c r="B1855" s="27">
        <v>36400</v>
      </c>
      <c r="C1855" s="27" t="s">
        <v>2</v>
      </c>
      <c r="D1855" s="28">
        <f>B1855*VLOOKUP(C1855,tblXrate[],2,0)</f>
        <v>36400</v>
      </c>
      <c r="E1855" s="27" t="s">
        <v>7</v>
      </c>
      <c r="F1855" s="27" t="s">
        <v>111</v>
      </c>
      <c r="G1855" s="27" t="s">
        <v>2271</v>
      </c>
      <c r="H1855" s="27">
        <v>20</v>
      </c>
      <c r="I1855" s="27">
        <f>VLOOKUP(F1855,mapping!$L$2:$P$92,2,0)</f>
        <v>0.42055816523901629</v>
      </c>
      <c r="J1855" s="27">
        <f>VLOOKUP($F1855,mapping!$L$2:$P$92,3,0)</f>
        <v>741.375</v>
      </c>
      <c r="K1855" s="27" t="str">
        <f>VLOOKUP($F1855,mapping!$L$2:$P$92,4,0)</f>
        <v>Sub-Saharan Africa</v>
      </c>
      <c r="L1855" s="29">
        <f>$D1855*VLOOKUP($E1855,'Charts data'!$A$2:$B$11,2,0)*VLOOKUP($G1855,'Charts data'!$A$14:$B$18,2,0)/IF('Charts data'!$E$3=1,I1855,1)/IF('Charts data'!$E$4=1,J1855,1)</f>
        <v>36400</v>
      </c>
    </row>
    <row r="1856" spans="1:12" x14ac:dyDescent="0.25">
      <c r="A1856" s="27" t="s">
        <v>646</v>
      </c>
      <c r="B1856" s="27">
        <v>1080000</v>
      </c>
      <c r="C1856" s="27" t="s">
        <v>75</v>
      </c>
      <c r="D1856" s="28">
        <f>B1856*VLOOKUP(C1856,tblXrate[],2,0)</f>
        <v>131675.52225194403</v>
      </c>
      <c r="E1856" s="27" t="s">
        <v>19</v>
      </c>
      <c r="F1856" s="27" t="s">
        <v>18</v>
      </c>
      <c r="G1856" s="27" t="s">
        <v>2272</v>
      </c>
      <c r="H1856" s="27"/>
      <c r="I1856" s="27">
        <f>VLOOKUP(F1856,mapping!$L$2:$P$92,2,0)</f>
        <v>0.65008693022904218</v>
      </c>
      <c r="J1856" s="27">
        <f>VLOOKUP($F1856,mapping!$L$2:$P$92,3,0)</f>
        <v>8066.15</v>
      </c>
      <c r="K1856" s="27" t="str">
        <f>VLOOKUP($F1856,mapping!$L$2:$P$92,4,0)</f>
        <v>Sub-Saharan Africa</v>
      </c>
      <c r="L1856" s="29">
        <f>$D1856*VLOOKUP($E1856,'Charts data'!$A$2:$B$11,2,0)*VLOOKUP($G1856,'Charts data'!$A$14:$B$18,2,0)/IF('Charts data'!$E$3=1,I1856,1)/IF('Charts data'!$E$4=1,J1856,1)</f>
        <v>131675.52225194403</v>
      </c>
    </row>
    <row r="1857" spans="1:12" x14ac:dyDescent="0.25">
      <c r="A1857" s="27" t="s">
        <v>958</v>
      </c>
      <c r="B1857" s="27">
        <v>900000</v>
      </c>
      <c r="C1857" s="27" t="s">
        <v>75</v>
      </c>
      <c r="D1857" s="28">
        <f>B1857*VLOOKUP(C1857,tblXrate[],2,0)</f>
        <v>109729.60187662003</v>
      </c>
      <c r="E1857" s="27" t="s">
        <v>7</v>
      </c>
      <c r="F1857" s="27" t="s">
        <v>18</v>
      </c>
      <c r="G1857" s="27" t="s">
        <v>2273</v>
      </c>
      <c r="H1857" s="27">
        <v>40</v>
      </c>
      <c r="I1857" s="27">
        <f>VLOOKUP(F1857,mapping!$L$2:$P$92,2,0)</f>
        <v>0.65008693022904218</v>
      </c>
      <c r="J1857" s="27">
        <f>VLOOKUP($F1857,mapping!$L$2:$P$92,3,0)</f>
        <v>8066.15</v>
      </c>
      <c r="K1857" s="27" t="str">
        <f>VLOOKUP($F1857,mapping!$L$2:$P$92,4,0)</f>
        <v>Sub-Saharan Africa</v>
      </c>
      <c r="L1857" s="29">
        <f>$D1857*VLOOKUP($E1857,'Charts data'!$A$2:$B$11,2,0)*VLOOKUP($G1857,'Charts data'!$A$14:$B$18,2,0)/IF('Charts data'!$E$3=1,I1857,1)/IF('Charts data'!$E$4=1,J1857,1)</f>
        <v>109729.60187662003</v>
      </c>
    </row>
    <row r="1858" spans="1:12" x14ac:dyDescent="0.25">
      <c r="A1858" s="27" t="s">
        <v>1015</v>
      </c>
      <c r="B1858" s="27">
        <v>134000</v>
      </c>
      <c r="C1858" s="27" t="s">
        <v>75</v>
      </c>
      <c r="D1858" s="28">
        <f>B1858*VLOOKUP(C1858,tblXrate[],2,0)</f>
        <v>16337.518501630093</v>
      </c>
      <c r="E1858" s="27" t="s">
        <v>7</v>
      </c>
      <c r="F1858" s="27" t="s">
        <v>18</v>
      </c>
      <c r="G1858" s="27" t="s">
        <v>2271</v>
      </c>
      <c r="H1858" s="27">
        <v>2</v>
      </c>
      <c r="I1858" s="27">
        <f>VLOOKUP(F1858,mapping!$L$2:$P$92,2,0)</f>
        <v>0.65008693022904218</v>
      </c>
      <c r="J1858" s="27">
        <f>VLOOKUP($F1858,mapping!$L$2:$P$92,3,0)</f>
        <v>8066.15</v>
      </c>
      <c r="K1858" s="27" t="str">
        <f>VLOOKUP($F1858,mapping!$L$2:$P$92,4,0)</f>
        <v>Sub-Saharan Africa</v>
      </c>
      <c r="L1858" s="29">
        <f>$D1858*VLOOKUP($E1858,'Charts data'!$A$2:$B$11,2,0)*VLOOKUP($G1858,'Charts data'!$A$14:$B$18,2,0)/IF('Charts data'!$E$3=1,I1858,1)/IF('Charts data'!$E$4=1,J1858,1)</f>
        <v>16337.518501630093</v>
      </c>
    </row>
    <row r="1859" spans="1:12" x14ac:dyDescent="0.25">
      <c r="A1859" s="27" t="s">
        <v>1160</v>
      </c>
      <c r="B1859" s="27">
        <v>308500</v>
      </c>
      <c r="C1859" s="27" t="s">
        <v>75</v>
      </c>
      <c r="D1859" s="28">
        <f>B1859*VLOOKUP(C1859,tblXrate[],2,0)</f>
        <v>37612.869087708088</v>
      </c>
      <c r="E1859" s="27" t="s">
        <v>19</v>
      </c>
      <c r="F1859" s="27" t="s">
        <v>18</v>
      </c>
      <c r="G1859" s="27" t="s">
        <v>2273</v>
      </c>
      <c r="H1859" s="27">
        <v>3</v>
      </c>
      <c r="I1859" s="27">
        <f>VLOOKUP(F1859,mapping!$L$2:$P$92,2,0)</f>
        <v>0.65008693022904218</v>
      </c>
      <c r="J1859" s="27">
        <f>VLOOKUP($F1859,mapping!$L$2:$P$92,3,0)</f>
        <v>8066.15</v>
      </c>
      <c r="K1859" s="27" t="str">
        <f>VLOOKUP($F1859,mapping!$L$2:$P$92,4,0)</f>
        <v>Sub-Saharan Africa</v>
      </c>
      <c r="L1859" s="29">
        <f>$D1859*VLOOKUP($E1859,'Charts data'!$A$2:$B$11,2,0)*VLOOKUP($G1859,'Charts data'!$A$14:$B$18,2,0)/IF('Charts data'!$E$3=1,I1859,1)/IF('Charts data'!$E$4=1,J1859,1)</f>
        <v>37612.869087708088</v>
      </c>
    </row>
    <row r="1860" spans="1:12" x14ac:dyDescent="0.25">
      <c r="A1860" s="27" t="s">
        <v>1200</v>
      </c>
      <c r="B1860" s="27">
        <v>240000</v>
      </c>
      <c r="C1860" s="27" t="s">
        <v>75</v>
      </c>
      <c r="D1860" s="28">
        <f>B1860*VLOOKUP(C1860,tblXrate[],2,0)</f>
        <v>29261.227167098674</v>
      </c>
      <c r="E1860" s="27" t="s">
        <v>51</v>
      </c>
      <c r="F1860" s="27" t="s">
        <v>18</v>
      </c>
      <c r="G1860" s="27" t="s">
        <v>2272</v>
      </c>
      <c r="H1860" s="27">
        <v>20</v>
      </c>
      <c r="I1860" s="27">
        <f>VLOOKUP(F1860,mapping!$L$2:$P$92,2,0)</f>
        <v>0.65008693022904218</v>
      </c>
      <c r="J1860" s="27">
        <f>VLOOKUP($F1860,mapping!$L$2:$P$92,3,0)</f>
        <v>8066.15</v>
      </c>
      <c r="K1860" s="27" t="str">
        <f>VLOOKUP($F1860,mapping!$L$2:$P$92,4,0)</f>
        <v>Sub-Saharan Africa</v>
      </c>
      <c r="L1860" s="29">
        <f>$D1860*VLOOKUP($E1860,'Charts data'!$A$2:$B$11,2,0)*VLOOKUP($G1860,'Charts data'!$A$14:$B$18,2,0)/IF('Charts data'!$E$3=1,I1860,1)/IF('Charts data'!$E$4=1,J1860,1)</f>
        <v>29261.227167098674</v>
      </c>
    </row>
    <row r="1861" spans="1:12" x14ac:dyDescent="0.25">
      <c r="A1861" s="27" t="s">
        <v>1201</v>
      </c>
      <c r="B1861" s="27">
        <v>120000</v>
      </c>
      <c r="C1861" s="27" t="s">
        <v>75</v>
      </c>
      <c r="D1861" s="28">
        <f>B1861*VLOOKUP(C1861,tblXrate[],2,0)</f>
        <v>14630.613583549337</v>
      </c>
      <c r="E1861" s="27" t="s">
        <v>2147</v>
      </c>
      <c r="F1861" s="27" t="s">
        <v>18</v>
      </c>
      <c r="G1861" s="27" t="s">
        <v>2271</v>
      </c>
      <c r="H1861" s="27">
        <v>10</v>
      </c>
      <c r="I1861" s="27">
        <f>VLOOKUP(F1861,mapping!$L$2:$P$92,2,0)</f>
        <v>0.65008693022904218</v>
      </c>
      <c r="J1861" s="27">
        <f>VLOOKUP($F1861,mapping!$L$2:$P$92,3,0)</f>
        <v>8066.15</v>
      </c>
      <c r="K1861" s="27" t="str">
        <f>VLOOKUP($F1861,mapping!$L$2:$P$92,4,0)</f>
        <v>Sub-Saharan Africa</v>
      </c>
      <c r="L1861" s="29">
        <f>$D1861*VLOOKUP($E1861,'Charts data'!$A$2:$B$11,2,0)*VLOOKUP($G1861,'Charts data'!$A$14:$B$18,2,0)/IF('Charts data'!$E$3=1,I1861,1)/IF('Charts data'!$E$4=1,J1861,1)</f>
        <v>14630.613583549337</v>
      </c>
    </row>
    <row r="1862" spans="1:12" x14ac:dyDescent="0.25">
      <c r="A1862" s="27" t="s">
        <v>1255</v>
      </c>
      <c r="B1862" s="27">
        <v>100000</v>
      </c>
      <c r="C1862" s="27" t="s">
        <v>75</v>
      </c>
      <c r="D1862" s="28">
        <f>B1862*VLOOKUP(C1862,tblXrate[],2,0)</f>
        <v>12192.177986291113</v>
      </c>
      <c r="E1862" s="27" t="s">
        <v>19</v>
      </c>
      <c r="F1862" s="27" t="s">
        <v>18</v>
      </c>
      <c r="G1862" s="27" t="s">
        <v>2273</v>
      </c>
      <c r="H1862" s="27">
        <v>15</v>
      </c>
      <c r="I1862" s="27">
        <f>VLOOKUP(F1862,mapping!$L$2:$P$92,2,0)</f>
        <v>0.65008693022904218</v>
      </c>
      <c r="J1862" s="27">
        <f>VLOOKUP($F1862,mapping!$L$2:$P$92,3,0)</f>
        <v>8066.15</v>
      </c>
      <c r="K1862" s="27" t="str">
        <f>VLOOKUP($F1862,mapping!$L$2:$P$92,4,0)</f>
        <v>Sub-Saharan Africa</v>
      </c>
      <c r="L1862" s="29">
        <f>$D1862*VLOOKUP($E1862,'Charts data'!$A$2:$B$11,2,0)*VLOOKUP($G1862,'Charts data'!$A$14:$B$18,2,0)/IF('Charts data'!$E$3=1,I1862,1)/IF('Charts data'!$E$4=1,J1862,1)</f>
        <v>12192.177986291113</v>
      </c>
    </row>
    <row r="1863" spans="1:12" x14ac:dyDescent="0.25">
      <c r="A1863" s="27" t="s">
        <v>1296</v>
      </c>
      <c r="B1863" s="27">
        <v>366252</v>
      </c>
      <c r="C1863" s="27" t="s">
        <v>75</v>
      </c>
      <c r="D1863" s="28">
        <f>B1863*VLOOKUP(C1863,tblXrate[],2,0)</f>
        <v>44654.095718350931</v>
      </c>
      <c r="E1863" s="27" t="s">
        <v>51</v>
      </c>
      <c r="F1863" s="27" t="s">
        <v>18</v>
      </c>
      <c r="G1863" s="27" t="s">
        <v>2273</v>
      </c>
      <c r="H1863" s="27">
        <v>15</v>
      </c>
      <c r="I1863" s="27">
        <f>VLOOKUP(F1863,mapping!$L$2:$P$92,2,0)</f>
        <v>0.65008693022904218</v>
      </c>
      <c r="J1863" s="27">
        <f>VLOOKUP($F1863,mapping!$L$2:$P$92,3,0)</f>
        <v>8066.15</v>
      </c>
      <c r="K1863" s="27" t="str">
        <f>VLOOKUP($F1863,mapping!$L$2:$P$92,4,0)</f>
        <v>Sub-Saharan Africa</v>
      </c>
      <c r="L1863" s="29">
        <f>$D1863*VLOOKUP($E1863,'Charts data'!$A$2:$B$11,2,0)*VLOOKUP($G1863,'Charts data'!$A$14:$B$18,2,0)/IF('Charts data'!$E$3=1,I1863,1)/IF('Charts data'!$E$4=1,J1863,1)</f>
        <v>44654.095718350931</v>
      </c>
    </row>
    <row r="1864" spans="1:12" x14ac:dyDescent="0.25">
      <c r="A1864" s="27" t="s">
        <v>1588</v>
      </c>
      <c r="B1864" s="27">
        <v>264000</v>
      </c>
      <c r="C1864" s="27" t="s">
        <v>75</v>
      </c>
      <c r="D1864" s="28">
        <f>B1864*VLOOKUP(C1864,tblXrate[],2,0)</f>
        <v>32187.34988380854</v>
      </c>
      <c r="E1864" s="27" t="s">
        <v>7</v>
      </c>
      <c r="F1864" s="27" t="s">
        <v>18</v>
      </c>
      <c r="G1864" s="27" t="s">
        <v>2273</v>
      </c>
      <c r="H1864" s="27">
        <v>2</v>
      </c>
      <c r="I1864" s="27">
        <f>VLOOKUP(F1864,mapping!$L$2:$P$92,2,0)</f>
        <v>0.65008693022904218</v>
      </c>
      <c r="J1864" s="27">
        <f>VLOOKUP($F1864,mapping!$L$2:$P$92,3,0)</f>
        <v>8066.15</v>
      </c>
      <c r="K1864" s="27" t="str">
        <f>VLOOKUP($F1864,mapping!$L$2:$P$92,4,0)</f>
        <v>Sub-Saharan Africa</v>
      </c>
      <c r="L1864" s="29">
        <f>$D1864*VLOOKUP($E1864,'Charts data'!$A$2:$B$11,2,0)*VLOOKUP($G1864,'Charts data'!$A$14:$B$18,2,0)/IF('Charts data'!$E$3=1,I1864,1)/IF('Charts data'!$E$4=1,J1864,1)</f>
        <v>32187.34988380854</v>
      </c>
    </row>
    <row r="1865" spans="1:12" x14ac:dyDescent="0.25">
      <c r="A1865" s="27" t="s">
        <v>588</v>
      </c>
      <c r="B1865" s="27">
        <v>12000</v>
      </c>
      <c r="C1865" s="27" t="s">
        <v>2</v>
      </c>
      <c r="D1865" s="28">
        <v>48000</v>
      </c>
      <c r="E1865" s="27" t="s">
        <v>7</v>
      </c>
      <c r="F1865" s="27" t="s">
        <v>2220</v>
      </c>
      <c r="G1865" s="27" t="s">
        <v>2272</v>
      </c>
      <c r="H1865" s="27"/>
      <c r="I1865" s="27">
        <f>VLOOKUP(F1865,mapping!$L$2:$P$92,2,0)</f>
        <v>0.44990367346938775</v>
      </c>
      <c r="J1865" s="27">
        <f>VLOOKUP($F1865,mapping!$L$2:$P$92,3,0)</f>
        <v>6359.76</v>
      </c>
      <c r="K1865" s="27" t="str">
        <f>VLOOKUP($F1865,mapping!$L$2:$P$92,4,0)</f>
        <v>Middle East and North Africa</v>
      </c>
      <c r="L1865" s="29">
        <f>$D1865*VLOOKUP($E1865,'Charts data'!$A$2:$B$11,2,0)*VLOOKUP($G1865,'Charts data'!$A$14:$B$18,2,0)/IF('Charts data'!$E$3=1,I1865,1)/IF('Charts data'!$E$4=1,J1865,1)</f>
        <v>48000</v>
      </c>
    </row>
    <row r="1866" spans="1:12" x14ac:dyDescent="0.25">
      <c r="A1866" s="27" t="s">
        <v>1089</v>
      </c>
      <c r="B1866" s="27">
        <v>30000</v>
      </c>
      <c r="C1866" s="27" t="s">
        <v>2</v>
      </c>
      <c r="D1866" s="28">
        <v>5000</v>
      </c>
      <c r="E1866" s="27" t="s">
        <v>51</v>
      </c>
      <c r="F1866" s="27" t="s">
        <v>2220</v>
      </c>
      <c r="G1866" s="27" t="s">
        <v>2272</v>
      </c>
      <c r="H1866" s="27">
        <v>30</v>
      </c>
      <c r="I1866" s="27">
        <f>VLOOKUP(F1866,mapping!$L$2:$P$92,2,0)</f>
        <v>0.44990367346938775</v>
      </c>
      <c r="J1866" s="27">
        <f>VLOOKUP($F1866,mapping!$L$2:$P$92,3,0)</f>
        <v>6359.76</v>
      </c>
      <c r="K1866" s="27" t="str">
        <f>VLOOKUP($F1866,mapping!$L$2:$P$92,4,0)</f>
        <v>Middle East and North Africa</v>
      </c>
      <c r="L1866" s="29">
        <f>$D1866*VLOOKUP($E1866,'Charts data'!$A$2:$B$11,2,0)*VLOOKUP($G1866,'Charts data'!$A$14:$B$18,2,0)/IF('Charts data'!$E$3=1,I1866,1)/IF('Charts data'!$E$4=1,J1866,1)</f>
        <v>5000</v>
      </c>
    </row>
    <row r="1867" spans="1:12" x14ac:dyDescent="0.25">
      <c r="A1867" s="27" t="s">
        <v>1604</v>
      </c>
      <c r="B1867" s="27">
        <v>78000</v>
      </c>
      <c r="C1867" s="27" t="s">
        <v>75</v>
      </c>
      <c r="D1867" s="28">
        <f>B1867*VLOOKUP(C1867,tblXrate[],2,0)</f>
        <v>9509.8988293070688</v>
      </c>
      <c r="E1867" s="27" t="s">
        <v>62</v>
      </c>
      <c r="F1867" s="27" t="s">
        <v>18</v>
      </c>
      <c r="G1867" s="27" t="s">
        <v>2271</v>
      </c>
      <c r="H1867" s="27">
        <v>2</v>
      </c>
      <c r="I1867" s="27">
        <f>VLOOKUP(F1867,mapping!$L$2:$P$92,2,0)</f>
        <v>0.65008693022904218</v>
      </c>
      <c r="J1867" s="27">
        <f>VLOOKUP($F1867,mapping!$L$2:$P$92,3,0)</f>
        <v>8066.15</v>
      </c>
      <c r="K1867" s="27" t="str">
        <f>VLOOKUP($F1867,mapping!$L$2:$P$92,4,0)</f>
        <v>Sub-Saharan Africa</v>
      </c>
      <c r="L1867" s="29">
        <f>$D1867*VLOOKUP($E1867,'Charts data'!$A$2:$B$11,2,0)*VLOOKUP($G1867,'Charts data'!$A$14:$B$18,2,0)/IF('Charts data'!$E$3=1,I1867,1)/IF('Charts data'!$E$4=1,J1867,1)</f>
        <v>9509.8988293070688</v>
      </c>
    </row>
  </sheetData>
  <autoFilter ref="A1:L1867">
    <sortState ref="A2:L1865">
      <sortCondition ref="C1:C1865"/>
    </sortState>
  </autoFilter>
  <sortState ref="A2:L1865">
    <sortCondition ref="C1"/>
  </sortState>
  <conditionalFormatting sqref="D2:D1867">
    <cfRule type="expression" dxfId="9" priority="11">
      <formula>$D2="ERR"</formula>
    </cfRule>
  </conditionalFormatting>
  <conditionalFormatting sqref="A2:A1867 B1773:B1867 C2:C1867 E2:H1867">
    <cfRule type="expression" dxfId="8" priority="10">
      <formula>$F2="ERR"</formula>
    </cfRule>
  </conditionalFormatting>
  <conditionalFormatting sqref="B2 B1711:B1771 B1703:B1709 B1644:B1701 B1299:B1642 B1087:B1297 B1075:B1085 B1046:B1073 B870:B1044 B804:B868 B800:B802 B783:B798 B747:B781 B710:B745 B706:B708 B695:B704 B688:B693 B656:B686 B632:B654 B593:B630 B421:B591 B35:B40 B43 B45:B48 B51:B55 B57 B59:B75 B77:B87 B89:B97 B99 B101:B135 B137:B150 B152:B154 B156:B211 B213:B237 B239:B273 B275:B305 B307:B419">
    <cfRule type="expression" dxfId="7" priority="9">
      <formula>$F2="ERR"</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919"/>
  <sheetViews>
    <sheetView topLeftCell="A17" workbookViewId="0">
      <selection activeCell="A23" sqref="A23:A32"/>
    </sheetView>
  </sheetViews>
  <sheetFormatPr defaultRowHeight="15" x14ac:dyDescent="0.25"/>
  <cols>
    <col min="1" max="1" width="36.140625" bestFit="1" customWidth="1"/>
    <col min="2" max="2" width="8.42578125" bestFit="1" customWidth="1"/>
    <col min="3" max="3" width="10" bestFit="1" customWidth="1"/>
    <col min="4" max="4" width="11.5703125" bestFit="1" customWidth="1"/>
    <col min="5" max="6" width="10" bestFit="1" customWidth="1"/>
    <col min="7" max="7" width="11.5703125" bestFit="1" customWidth="1"/>
    <col min="8" max="8" width="11.5703125" customWidth="1"/>
    <col min="9" max="9" width="10" bestFit="1" customWidth="1"/>
    <col min="10" max="10" width="11.5703125" bestFit="1" customWidth="1"/>
    <col min="11" max="12" width="10" bestFit="1" customWidth="1"/>
    <col min="13" max="13" width="11.5703125" bestFit="1" customWidth="1"/>
  </cols>
  <sheetData>
    <row r="1" spans="1:5" x14ac:dyDescent="0.25">
      <c r="A1" s="17" t="s">
        <v>2144</v>
      </c>
      <c r="B1" s="17" t="s">
        <v>2275</v>
      </c>
    </row>
    <row r="2" spans="1:5" x14ac:dyDescent="0.25">
      <c r="A2" s="8" t="s">
        <v>51</v>
      </c>
      <c r="B2" t="b">
        <v>1</v>
      </c>
      <c r="D2" t="s">
        <v>2353</v>
      </c>
      <c r="E2">
        <v>1</v>
      </c>
    </row>
    <row r="3" spans="1:5" x14ac:dyDescent="0.25">
      <c r="A3" s="8" t="s">
        <v>7</v>
      </c>
      <c r="B3" t="b">
        <v>1</v>
      </c>
      <c r="D3" t="s">
        <v>2354</v>
      </c>
      <c r="E3">
        <f>IF(E2=2,1,0)</f>
        <v>0</v>
      </c>
    </row>
    <row r="4" spans="1:5" x14ac:dyDescent="0.25">
      <c r="A4" s="8" t="s">
        <v>53</v>
      </c>
      <c r="B4" t="b">
        <v>1</v>
      </c>
      <c r="D4" t="s">
        <v>2355</v>
      </c>
      <c r="E4">
        <f>IF(E2=3,1,0)</f>
        <v>0</v>
      </c>
    </row>
    <row r="5" spans="1:5" x14ac:dyDescent="0.25">
      <c r="A5" s="8" t="s">
        <v>62</v>
      </c>
      <c r="B5" t="b">
        <v>1</v>
      </c>
    </row>
    <row r="6" spans="1:5" x14ac:dyDescent="0.25">
      <c r="A6" s="8" t="s">
        <v>2147</v>
      </c>
      <c r="B6" t="b">
        <v>1</v>
      </c>
    </row>
    <row r="7" spans="1:5" x14ac:dyDescent="0.25">
      <c r="A7" s="8" t="s">
        <v>48</v>
      </c>
      <c r="B7" t="b">
        <v>1</v>
      </c>
    </row>
    <row r="8" spans="1:5" x14ac:dyDescent="0.25">
      <c r="A8" s="8" t="s">
        <v>19</v>
      </c>
      <c r="B8" t="b">
        <v>1</v>
      </c>
    </row>
    <row r="9" spans="1:5" x14ac:dyDescent="0.25">
      <c r="A9" s="8" t="s">
        <v>23</v>
      </c>
      <c r="B9" t="b">
        <v>1</v>
      </c>
    </row>
    <row r="10" spans="1:5" x14ac:dyDescent="0.25">
      <c r="A10" s="8" t="s">
        <v>2145</v>
      </c>
      <c r="B10" t="b">
        <v>1</v>
      </c>
    </row>
    <row r="11" spans="1:5" x14ac:dyDescent="0.25">
      <c r="A11" s="8" t="s">
        <v>2146</v>
      </c>
      <c r="B11" t="b">
        <v>1</v>
      </c>
    </row>
    <row r="12" spans="1:5" x14ac:dyDescent="0.25">
      <c r="A12" s="8"/>
    </row>
    <row r="13" spans="1:5" x14ac:dyDescent="0.25">
      <c r="A13" s="18" t="s">
        <v>2269</v>
      </c>
    </row>
    <row r="14" spans="1:5" x14ac:dyDescent="0.25">
      <c r="A14" s="8" t="s">
        <v>2295</v>
      </c>
      <c r="B14" t="b">
        <v>1</v>
      </c>
    </row>
    <row r="15" spans="1:5" x14ac:dyDescent="0.25">
      <c r="A15" s="8" t="s">
        <v>2274</v>
      </c>
      <c r="B15" t="b">
        <v>1</v>
      </c>
    </row>
    <row r="16" spans="1:5" x14ac:dyDescent="0.25">
      <c r="A16" s="8" t="s">
        <v>2272</v>
      </c>
      <c r="B16" t="b">
        <v>1</v>
      </c>
    </row>
    <row r="17" spans="1:16" x14ac:dyDescent="0.25">
      <c r="A17" s="8" t="s">
        <v>2271</v>
      </c>
      <c r="B17" t="b">
        <v>1</v>
      </c>
      <c r="P17" s="8"/>
    </row>
    <row r="18" spans="1:16" x14ac:dyDescent="0.25">
      <c r="A18" s="8" t="s">
        <v>2273</v>
      </c>
      <c r="B18" t="b">
        <v>1</v>
      </c>
      <c r="P18" s="8"/>
    </row>
    <row r="19" spans="1:16" x14ac:dyDescent="0.25">
      <c r="A19" s="8"/>
      <c r="P19" s="8"/>
    </row>
    <row r="20" spans="1:16" x14ac:dyDescent="0.25">
      <c r="A20" s="8" t="str">
        <f>CHOOSE(E2,"In   $","In PPP adjusted Dollars","As times of Per Capita GDP")</f>
        <v>In   $</v>
      </c>
      <c r="C20" s="59" t="s">
        <v>2283</v>
      </c>
      <c r="D20" s="59"/>
      <c r="E20" s="59"/>
      <c r="F20" s="59"/>
      <c r="G20" s="59"/>
      <c r="H20" s="59"/>
      <c r="I20" s="59" t="s">
        <v>2284</v>
      </c>
      <c r="J20" s="59"/>
      <c r="K20" s="59"/>
      <c r="L20" s="59"/>
      <c r="M20" s="59"/>
      <c r="N20" s="59"/>
      <c r="P20" s="8"/>
    </row>
    <row r="21" spans="1:16" x14ac:dyDescent="0.25">
      <c r="A21" s="18" t="s">
        <v>2155</v>
      </c>
      <c r="B21" s="17" t="s">
        <v>2281</v>
      </c>
      <c r="C21" s="19" t="s">
        <v>2276</v>
      </c>
      <c r="D21" s="19" t="s">
        <v>2277</v>
      </c>
      <c r="E21" s="19" t="s">
        <v>2278</v>
      </c>
      <c r="F21" s="19" t="s">
        <v>2279</v>
      </c>
      <c r="G21" s="19" t="s">
        <v>2280</v>
      </c>
      <c r="H21" s="19" t="s">
        <v>2292</v>
      </c>
      <c r="I21" s="19" t="s">
        <v>2285</v>
      </c>
      <c r="J21" s="19" t="s">
        <v>2286</v>
      </c>
      <c r="K21" s="19" t="s">
        <v>2287</v>
      </c>
      <c r="L21" s="19" t="s">
        <v>2288</v>
      </c>
      <c r="M21" s="19" t="s">
        <v>2278</v>
      </c>
      <c r="N21" s="19" t="s">
        <v>2292</v>
      </c>
      <c r="P21" s="8"/>
    </row>
    <row r="22" spans="1:16" x14ac:dyDescent="0.25">
      <c r="A22" s="21" t="s">
        <v>2282</v>
      </c>
      <c r="B22">
        <f>COUNTIFS('Cleaned Data'!$L$2:$L$1867,"&gt;"&amp;0)</f>
        <v>1866</v>
      </c>
      <c r="C22" s="23">
        <f t="array" ref="C22">PERCENTILE(IF('Cleaned Data'!$L$2:$L$1867&gt;0,'Cleaned Data'!$L$2:$L$1867,""),0.01)</f>
        <v>2564.3400029917298</v>
      </c>
      <c r="D22" s="23">
        <f>PERCENTILE(IF('Cleaned Data'!$L$2:$L$1867&gt;0,'Cleaned Data'!$L$2:$L$1867,""),0.99)</f>
        <v>189399.99999999965</v>
      </c>
      <c r="E22" s="23">
        <f t="array" ref="E22">AVERAGE(IF('Cleaned Data'!$L$2:$L$1867&gt;0,'Cleaned Data'!$L$2:$L$1867,""))</f>
        <v>49653.96880991901</v>
      </c>
      <c r="F22" s="23">
        <f t="array" ref="F22">QUARTILE(IF('Cleaned Data'!$L$2:$L$1867&gt;0,'Cleaned Data'!$L$2:$L$1867,""),1)</f>
        <v>12821.700014958649</v>
      </c>
      <c r="G22" s="23">
        <f t="array" ref="G22">QUARTILE(IF('Cleaned Data'!$L$2:$L$1867&gt;0,'Cleaned Data'!$L$2:$L$1867,""),3)</f>
        <v>70928.022243027779</v>
      </c>
      <c r="H22" s="23">
        <f>STDEV(IF('Cleaned Data'!$L$2:$L$1867&gt;0,'Cleaned Data'!$L$2:$L$1867,""))</f>
        <v>50473.274384309268</v>
      </c>
      <c r="I22" s="22">
        <f>IF($B22=0,0,C22)</f>
        <v>2564.3400029917298</v>
      </c>
      <c r="J22" s="22">
        <f>IF($B22=0,0,F22-C22)</f>
        <v>10257.360011966919</v>
      </c>
      <c r="K22" s="22">
        <f>IF($B22=0,0,G22-F22)</f>
        <v>58106.322228069126</v>
      </c>
      <c r="L22" s="22">
        <f>IF($B22=0,0,D22-G22)</f>
        <v>118471.97775697187</v>
      </c>
      <c r="M22" s="22">
        <f>IFERROR(E22,0)</f>
        <v>49653.96880991901</v>
      </c>
      <c r="N22" s="22">
        <f>IFERROR(H22,0)</f>
        <v>50473.274384309268</v>
      </c>
      <c r="P22" s="8"/>
    </row>
    <row r="23" spans="1:16" x14ac:dyDescent="0.25">
      <c r="A23" s="8" t="s">
        <v>2163</v>
      </c>
      <c r="B23">
        <f>COUNTIFS('Cleaned Data'!$K$2:$K$1867,A23,'Cleaned Data'!$L$2:$L$1867,"&gt;"&amp;0)</f>
        <v>861</v>
      </c>
      <c r="C23" s="23">
        <f t="array" ref="C23">PERCENTILE(IF(('Cleaned Data'!$K$2:$K$1867=$A23)*('Cleaned Data'!$L$2:$L$1867&gt;0),'Cleaned Data'!$L$2:$L$1867,""),0.01)</f>
        <v>19000</v>
      </c>
      <c r="D23" s="23">
        <f t="array" ref="D23">PERCENTILE(IF(('Cleaned Data'!$K$2:$K$1867=$A23)*('Cleaned Data'!$L$2:$L$1867&gt;0),'Cleaned Data'!$L$2:$L$1867,""),0.99)</f>
        <v>237008.00144385759</v>
      </c>
      <c r="E23" s="23">
        <f t="array" ref="E23">AVERAGE(IF(('Cleaned Data'!$K$2:$K$1867=$A23)*('Cleaned Data'!$L$2:$L$1867&gt;0),'Cleaned Data'!$L$2:$L$1867,""))</f>
        <v>72734.804088723322</v>
      </c>
      <c r="F23" s="23">
        <f t="array" ref="F23">QUARTILE(IF(('Cleaned Data'!$K$2:$K$1867=$A23)*('Cleaned Data'!$L$2:$L$1867&gt;0),'Cleaned Data'!$L$2:$L$1867,""),1)</f>
        <v>47700</v>
      </c>
      <c r="G23" s="23">
        <f t="array" ref="G23">QUARTILE(IF(('Cleaned Data'!$K$2:$K$1867=$A23)*('Cleaned Data'!$L$2:$L$1867&gt;0),'Cleaned Data'!$L$2:$L$1867,""),3)</f>
        <v>85000</v>
      </c>
      <c r="H23" s="23">
        <f t="array" ref="H23">STDEV(IF(('Cleaned Data'!$K$2:$K$1867=$A23)*('Cleaned Data'!$L$2:$L$1867&gt;0),'Cleaned Data'!$L$2:$L$1867,""))</f>
        <v>55481.142959802317</v>
      </c>
      <c r="I23" s="22">
        <f t="shared" ref="I23:I32" si="0">IF($B23=0,0,C23)</f>
        <v>19000</v>
      </c>
      <c r="J23" s="22">
        <f t="shared" ref="J23:J32" si="1">IF($B23=0,0,F23-C23)</f>
        <v>28700</v>
      </c>
      <c r="K23" s="22">
        <f t="shared" ref="K23:K32" si="2">IF($B23=0,0,G23-F23)</f>
        <v>37300</v>
      </c>
      <c r="L23" s="22">
        <f t="shared" ref="L23:L32" si="3">IF($B23=0,0,D23-G23)</f>
        <v>152008.00144385759</v>
      </c>
      <c r="M23" s="22">
        <f t="shared" ref="M23:M32" si="4">IFERROR(E23,0)</f>
        <v>72734.804088723322</v>
      </c>
      <c r="N23" s="22">
        <f t="shared" ref="N23:N32" si="5">IFERROR(H23,0)</f>
        <v>55481.142959802317</v>
      </c>
      <c r="P23" s="8" t="s">
        <v>2163</v>
      </c>
    </row>
    <row r="24" spans="1:16" x14ac:dyDescent="0.25">
      <c r="A24" s="8" t="s">
        <v>2165</v>
      </c>
      <c r="B24">
        <f>COUNTIFS('Cleaned Data'!$K$2:$K$1867,A24,'Cleaned Data'!$L$2:$L$1867,"&gt;"&amp;0)</f>
        <v>122</v>
      </c>
      <c r="C24" s="23">
        <f t="array" ref="C24">PERCENTILE(IF(('Cleaned Data'!$K$2:$K$1867=$A24)*('Cleaned Data'!$L$2:$L$1867&gt;0),'Cleaned Data'!$L$2:$L$1867,""),0.01)</f>
        <v>20511.982612580177</v>
      </c>
      <c r="D24" s="23">
        <f t="array" ref="D24">PERCENTILE(IF(('Cleaned Data'!$K$2:$K$1867=$A24)*('Cleaned Data'!$L$2:$L$1867&gt;0),'Cleaned Data'!$L$2:$L$1867,""),0.99)</f>
        <v>173384.64158844808</v>
      </c>
      <c r="E24" s="23">
        <f t="array" ref="E24">AVERAGE(IF(('Cleaned Data'!$K$2:$K$1867=$A24)*('Cleaned Data'!$L$2:$L$1867&gt;0),'Cleaned Data'!$L$2:$L$1867,""))</f>
        <v>89303.569381758454</v>
      </c>
      <c r="F24" s="23">
        <f t="array" ref="F24">QUARTILE(IF(('Cleaned Data'!$K$2:$K$1867=$A24)*('Cleaned Data'!$L$2:$L$1867&gt;0),'Cleaned Data'!$L$2:$L$1867,""),1)</f>
        <v>63807.047488395103</v>
      </c>
      <c r="G24" s="23">
        <f t="array" ref="G24">QUARTILE(IF(('Cleaned Data'!$K$2:$K$1867=$A24)*('Cleaned Data'!$L$2:$L$1867&gt;0),'Cleaned Data'!$L$2:$L$1867,""),3)</f>
        <v>107750</v>
      </c>
      <c r="H24" s="23">
        <f t="array" ref="H24">STDEV(IF(('Cleaned Data'!$K$2:$K$1867=$A24)*('Cleaned Data'!$L$2:$L$1867&gt;0),'Cleaned Data'!$L$2:$L$1867,""))</f>
        <v>36115.927680037057</v>
      </c>
      <c r="I24" s="22">
        <f t="shared" si="0"/>
        <v>20511.982612580177</v>
      </c>
      <c r="J24" s="22">
        <f t="shared" si="1"/>
        <v>43295.064875814925</v>
      </c>
      <c r="K24" s="22">
        <f t="shared" si="2"/>
        <v>43942.952511604897</v>
      </c>
      <c r="L24" s="22">
        <f t="shared" si="3"/>
        <v>65634.641588448081</v>
      </c>
      <c r="M24" s="22">
        <f t="shared" si="4"/>
        <v>89303.569381758454</v>
      </c>
      <c r="N24" s="22">
        <f t="shared" si="5"/>
        <v>36115.927680037057</v>
      </c>
      <c r="P24" s="8" t="s">
        <v>2165</v>
      </c>
    </row>
    <row r="25" spans="1:16" x14ac:dyDescent="0.25">
      <c r="A25" s="8" t="s">
        <v>2161</v>
      </c>
      <c r="B25">
        <f>COUNTIFS('Cleaned Data'!$K$2:$K$1867,A25,'Cleaned Data'!$L$2:$L$1867,"&gt;"&amp;0)</f>
        <v>62</v>
      </c>
      <c r="C25" s="23">
        <f t="array" ref="C25">PERCENTILE(IF(('Cleaned Data'!$K$2:$K$1867=$A25)*('Cleaned Data'!$L$2:$L$1867&gt;0),'Cleaned Data'!$L$2:$L$1867,""),0.01)</f>
        <v>12000</v>
      </c>
      <c r="D25" s="23">
        <f t="array" ref="D25">PERCENTILE(IF(('Cleaned Data'!$K$2:$K$1867=$A25)*('Cleaned Data'!$L$2:$L$1867&gt;0),'Cleaned Data'!$L$2:$L$1867,""),0.99)</f>
        <v>176585.52201983356</v>
      </c>
      <c r="E25" s="23">
        <f t="array" ref="E25">AVERAGE(IF(('Cleaned Data'!$K$2:$K$1867=$A25)*('Cleaned Data'!$L$2:$L$1867&gt;0),'Cleaned Data'!$L$2:$L$1867,""))</f>
        <v>54143.74204924611</v>
      </c>
      <c r="F25" s="23">
        <f t="array" ref="F25">QUARTILE(IF(('Cleaned Data'!$K$2:$K$1867=$A25)*('Cleaned Data'!$L$2:$L$1867&gt;0),'Cleaned Data'!$L$2:$L$1867,""),1)</f>
        <v>36682.78380088268</v>
      </c>
      <c r="G25" s="23">
        <f t="array" ref="G25">QUARTILE(IF(('Cleaned Data'!$K$2:$K$1867=$A25)*('Cleaned Data'!$L$2:$L$1867&gt;0),'Cleaned Data'!$L$2:$L$1867,""),3)</f>
        <v>63519.971949580387</v>
      </c>
      <c r="H25" s="23">
        <f t="array" ref="H25">STDEV(IF(('Cleaned Data'!$K$2:$K$1867=$A25)*('Cleaned Data'!$L$2:$L$1867&gt;0),'Cleaned Data'!$L$2:$L$1867,""))</f>
        <v>35606.582455995936</v>
      </c>
      <c r="I25" s="22">
        <f t="shared" si="0"/>
        <v>12000</v>
      </c>
      <c r="J25" s="22">
        <f t="shared" si="1"/>
        <v>24682.78380088268</v>
      </c>
      <c r="K25" s="22">
        <f t="shared" si="2"/>
        <v>26837.188148697707</v>
      </c>
      <c r="L25" s="22">
        <f t="shared" si="3"/>
        <v>113065.55007025317</v>
      </c>
      <c r="M25" s="22">
        <f t="shared" si="4"/>
        <v>54143.74204924611</v>
      </c>
      <c r="N25" s="22">
        <f t="shared" si="5"/>
        <v>35606.582455995936</v>
      </c>
      <c r="P25" s="8" t="s">
        <v>2161</v>
      </c>
    </row>
    <row r="26" spans="1:16" x14ac:dyDescent="0.25">
      <c r="A26" s="8" t="s">
        <v>2216</v>
      </c>
      <c r="B26">
        <f>COUNTIFS('Cleaned Data'!$K$2:$K$1867,A26,'Cleaned Data'!$L$2:$L$1867,"&gt;"&amp;0)</f>
        <v>48</v>
      </c>
      <c r="C26" s="23">
        <f t="array" ref="C26">PERCENTILE(IF(('Cleaned Data'!$K$2:$K$1867=$A26)*('Cleaned Data'!$L$2:$L$1867&gt;0),'Cleaned Data'!$L$2:$L$1867,""),0.01)</f>
        <v>6948.8858067624697</v>
      </c>
      <c r="D26" s="23">
        <f t="array" ref="D26">PERCENTILE(IF(('Cleaned Data'!$K$2:$K$1867=$A26)*('Cleaned Data'!$L$2:$L$1867&gt;0),'Cleaned Data'!$L$2:$L$1867,""),0.99)</f>
        <v>100424</v>
      </c>
      <c r="E26" s="23">
        <f t="array" ref="E26">AVERAGE(IF(('Cleaned Data'!$K$2:$K$1867=$A26)*('Cleaned Data'!$L$2:$L$1867&gt;0),'Cleaned Data'!$L$2:$L$1867,""))</f>
        <v>38878.029396235666</v>
      </c>
      <c r="F26" s="23">
        <f t="array" ref="F26">QUARTILE(IF(('Cleaned Data'!$K$2:$K$1867=$A26)*('Cleaned Data'!$L$2:$L$1867&gt;0),'Cleaned Data'!$L$2:$L$1867,""),1)</f>
        <v>23750</v>
      </c>
      <c r="G26" s="23">
        <f t="array" ref="G26">QUARTILE(IF(('Cleaned Data'!$K$2:$K$1867=$A26)*('Cleaned Data'!$L$2:$L$1867&gt;0),'Cleaned Data'!$L$2:$L$1867,""),3)</f>
        <v>51375</v>
      </c>
      <c r="H26" s="23">
        <f t="array" ref="H26">STDEV(IF(('Cleaned Data'!$K$2:$K$1867=$A26)*('Cleaned Data'!$L$2:$L$1867&gt;0),'Cleaned Data'!$L$2:$L$1867,""))</f>
        <v>23005.695992419263</v>
      </c>
      <c r="I26" s="22">
        <f t="shared" si="0"/>
        <v>6948.8858067624697</v>
      </c>
      <c r="J26" s="22">
        <f t="shared" si="1"/>
        <v>16801.114193237532</v>
      </c>
      <c r="K26" s="22">
        <f t="shared" si="2"/>
        <v>27625</v>
      </c>
      <c r="L26" s="22">
        <f t="shared" si="3"/>
        <v>49049</v>
      </c>
      <c r="M26" s="22">
        <f t="shared" si="4"/>
        <v>38878.029396235666</v>
      </c>
      <c r="N26" s="22">
        <f t="shared" si="5"/>
        <v>23005.695992419263</v>
      </c>
      <c r="P26" s="8" t="s">
        <v>2216</v>
      </c>
    </row>
    <row r="27" spans="1:16" x14ac:dyDescent="0.25">
      <c r="A27" s="8" t="s">
        <v>2167</v>
      </c>
      <c r="B27">
        <f>COUNTIFS('Cleaned Data'!$K$2:$K$1867,A27,'Cleaned Data'!$L$2:$L$1867,"&gt;"&amp;0)</f>
        <v>26</v>
      </c>
      <c r="C27" s="23">
        <f t="array" ref="C27">PERCENTILE(IF(('Cleaned Data'!$K$2:$K$1867=$A27)*('Cleaned Data'!$L$2:$L$1867&gt;0),'Cleaned Data'!$L$2:$L$1867,""),0.01)</f>
        <v>7750</v>
      </c>
      <c r="D27" s="23">
        <f t="array" ref="D27">PERCENTILE(IF(('Cleaned Data'!$K$2:$K$1867=$A27)*('Cleaned Data'!$L$2:$L$1867&gt;0),'Cleaned Data'!$L$2:$L$1867,""),0.99)</f>
        <v>94867.189901848935</v>
      </c>
      <c r="E27" s="23">
        <f t="array" ref="E27">AVERAGE(IF(('Cleaned Data'!$K$2:$K$1867=$A27)*('Cleaned Data'!$L$2:$L$1867&gt;0),'Cleaned Data'!$L$2:$L$1867,""))</f>
        <v>27595.516487152076</v>
      </c>
      <c r="F27" s="23">
        <f t="array" ref="F27">QUARTILE(IF(('Cleaned Data'!$K$2:$K$1867=$A27)*('Cleaned Data'!$L$2:$L$1867&gt;0),'Cleaned Data'!$L$2:$L$1867,""),1)</f>
        <v>15000</v>
      </c>
      <c r="G27" s="23">
        <f t="array" ref="G27">QUARTILE(IF(('Cleaned Data'!$K$2:$K$1867=$A27)*('Cleaned Data'!$L$2:$L$1867&gt;0),'Cleaned Data'!$L$2:$L$1867,""),3)</f>
        <v>29500</v>
      </c>
      <c r="H27" s="23">
        <f t="array" ref="H27">STDEV(IF(('Cleaned Data'!$K$2:$K$1867=$A27)*('Cleaned Data'!$L$2:$L$1867&gt;0),'Cleaned Data'!$L$2:$L$1867,""))</f>
        <v>22493.58426583041</v>
      </c>
      <c r="I27" s="22">
        <f t="shared" si="0"/>
        <v>7750</v>
      </c>
      <c r="J27" s="22">
        <f t="shared" si="1"/>
        <v>7250</v>
      </c>
      <c r="K27" s="22">
        <f t="shared" si="2"/>
        <v>14500</v>
      </c>
      <c r="L27" s="22">
        <f t="shared" si="3"/>
        <v>65367.189901848935</v>
      </c>
      <c r="M27" s="22">
        <f t="shared" si="4"/>
        <v>27595.516487152076</v>
      </c>
      <c r="N27" s="22">
        <f t="shared" si="5"/>
        <v>22493.58426583041</v>
      </c>
      <c r="P27" s="8" t="s">
        <v>2167</v>
      </c>
    </row>
    <row r="28" spans="1:16" x14ac:dyDescent="0.25">
      <c r="A28" s="8" t="s">
        <v>2172</v>
      </c>
      <c r="B28">
        <f>COUNTIFS('Cleaned Data'!$K$2:$K$1867,A28,'Cleaned Data'!$L$2:$L$1867,"&gt;"&amp;0)</f>
        <v>17</v>
      </c>
      <c r="C28" s="23">
        <f t="array" ref="C28">PERCENTILE(IF(('Cleaned Data'!$K$2:$K$1867=$A28)*('Cleaned Data'!$L$2:$L$1867&gt;0),'Cleaned Data'!$L$2:$L$1867,""),0.01)</f>
        <v>5370</v>
      </c>
      <c r="D28" s="23">
        <f t="array" ref="D28">PERCENTILE(IF(('Cleaned Data'!$K$2:$K$1867=$A28)*('Cleaned Data'!$L$2:$L$1867&gt;0),'Cleaned Data'!$L$2:$L$1867,""),0.99)</f>
        <v>99863.52</v>
      </c>
      <c r="E28" s="23">
        <f t="array" ref="E28">AVERAGE(IF(('Cleaned Data'!$K$2:$K$1867=$A28)*('Cleaned Data'!$L$2:$L$1867&gt;0),'Cleaned Data'!$L$2:$L$1867,""))</f>
        <v>35544.630862329795</v>
      </c>
      <c r="F28" s="23">
        <f t="array" ref="F28">QUARTILE(IF(('Cleaned Data'!$K$2:$K$1867=$A28)*('Cleaned Data'!$L$2:$L$1867&gt;0),'Cleaned Data'!$L$2:$L$1867,""),1)</f>
        <v>12000</v>
      </c>
      <c r="G28" s="23">
        <f t="array" ref="G28">QUARTILE(IF(('Cleaned Data'!$K$2:$K$1867=$A28)*('Cleaned Data'!$L$2:$L$1867&gt;0),'Cleaned Data'!$L$2:$L$1867,""),3)</f>
        <v>41000</v>
      </c>
      <c r="H28" s="23">
        <f t="array" ref="H28">STDEV(IF(('Cleaned Data'!$K$2:$K$1867=$A28)*('Cleaned Data'!$L$2:$L$1867&gt;0),'Cleaned Data'!$L$2:$L$1867,""))</f>
        <v>30815.001866647723</v>
      </c>
      <c r="I28" s="22">
        <f t="shared" si="0"/>
        <v>5370</v>
      </c>
      <c r="J28" s="22">
        <f t="shared" si="1"/>
        <v>6630</v>
      </c>
      <c r="K28" s="22">
        <f t="shared" si="2"/>
        <v>29000</v>
      </c>
      <c r="L28" s="22">
        <f t="shared" si="3"/>
        <v>58863.520000000004</v>
      </c>
      <c r="M28" s="22">
        <f t="shared" si="4"/>
        <v>35544.630862329795</v>
      </c>
      <c r="N28" s="22">
        <f t="shared" si="5"/>
        <v>30815.001866647723</v>
      </c>
      <c r="P28" s="8" t="s">
        <v>2172</v>
      </c>
    </row>
    <row r="29" spans="1:16" x14ac:dyDescent="0.25">
      <c r="A29" s="8" t="s">
        <v>2164</v>
      </c>
      <c r="B29">
        <f>COUNTIFS('Cleaned Data'!$K$2:$K$1867,A29,'Cleaned Data'!$L$2:$L$1867,"&gt;"&amp;0)</f>
        <v>14</v>
      </c>
      <c r="C29" s="23">
        <f t="array" ref="C29">PERCENTILE(IF(('Cleaned Data'!$K$2:$K$1867=$A29)*('Cleaned Data'!$L$2:$L$1867&gt;0),'Cleaned Data'!$L$2:$L$1867,""),0.01)</f>
        <v>20083.2</v>
      </c>
      <c r="D29" s="23">
        <f t="array" ref="D29">PERCENTILE(IF(('Cleaned Data'!$K$2:$K$1867=$A29)*('Cleaned Data'!$L$2:$L$1867&gt;0),'Cleaned Data'!$L$2:$L$1867,""),0.99)</f>
        <v>114799.99999999997</v>
      </c>
      <c r="E29" s="23">
        <f t="array" ref="E29">AVERAGE(IF(('Cleaned Data'!$K$2:$K$1867=$A29)*('Cleaned Data'!$L$2:$L$1867&gt;0),'Cleaned Data'!$L$2:$L$1867,""))</f>
        <v>49857.985907096823</v>
      </c>
      <c r="F29" s="23">
        <f t="array" ref="F29">QUARTILE(IF(('Cleaned Data'!$K$2:$K$1867=$A29)*('Cleaned Data'!$L$2:$L$1867&gt;0),'Cleaned Data'!$L$2:$L$1867,""),1)</f>
        <v>29100</v>
      </c>
      <c r="G29" s="23">
        <f t="array" ref="G29">QUARTILE(IF(('Cleaned Data'!$K$2:$K$1867=$A29)*('Cleaned Data'!$L$2:$L$1867&gt;0),'Cleaned Data'!$L$2:$L$1867,""),3)</f>
        <v>60000</v>
      </c>
      <c r="H29" s="23">
        <f t="array" ref="H29">STDEV(IF(('Cleaned Data'!$K$2:$K$1867=$A29)*('Cleaned Data'!$L$2:$L$1867&gt;0),'Cleaned Data'!$L$2:$L$1867,""))</f>
        <v>27552.597985925688</v>
      </c>
      <c r="I29" s="22">
        <f t="shared" si="0"/>
        <v>20083.2</v>
      </c>
      <c r="J29" s="22">
        <f t="shared" si="1"/>
        <v>9016.7999999999993</v>
      </c>
      <c r="K29" s="22">
        <f t="shared" si="2"/>
        <v>30900</v>
      </c>
      <c r="L29" s="22">
        <f t="shared" si="3"/>
        <v>54799.999999999971</v>
      </c>
      <c r="M29" s="22">
        <f t="shared" si="4"/>
        <v>49857.985907096823</v>
      </c>
      <c r="N29" s="22">
        <f t="shared" si="5"/>
        <v>27552.597985925688</v>
      </c>
      <c r="P29" s="8" t="s">
        <v>2164</v>
      </c>
    </row>
    <row r="30" spans="1:16" x14ac:dyDescent="0.25">
      <c r="A30" s="8" t="s">
        <v>2195</v>
      </c>
      <c r="B30">
        <f>COUNTIFS('Cleaned Data'!$K$2:$K$1867,A30,'Cleaned Data'!$L$2:$L$1867,"&gt;"&amp;0)</f>
        <v>46</v>
      </c>
      <c r="C30" s="23">
        <f t="array" ref="C30">PERCENTILE(IF(('Cleaned Data'!$K$2:$K$1867=$A30)*('Cleaned Data'!$L$2:$L$1867&gt;0),'Cleaned Data'!$L$2:$L$1867,""),0.01)</f>
        <v>5199.75</v>
      </c>
      <c r="D30" s="23">
        <f t="array" ref="D30">PERCENTILE(IF(('Cleaned Data'!$K$2:$K$1867=$A30)*('Cleaned Data'!$L$2:$L$1867&gt;0),'Cleaned Data'!$L$2:$L$1867,""),0.99)</f>
        <v>188112.95753136193</v>
      </c>
      <c r="E30" s="23">
        <f t="array" ref="E30">AVERAGE(IF(('Cleaned Data'!$K$2:$K$1867=$A30)*('Cleaned Data'!$L$2:$L$1867&gt;0),'Cleaned Data'!$L$2:$L$1867,""))</f>
        <v>32320.406053018876</v>
      </c>
      <c r="F30" s="23">
        <f t="array" ref="F30">QUARTILE(IF(('Cleaned Data'!$K$2:$K$1867=$A30)*('Cleaned Data'!$L$2:$L$1867&gt;0),'Cleaned Data'!$L$2:$L$1867,""),1)</f>
        <v>11550</v>
      </c>
      <c r="G30" s="23">
        <f t="array" ref="G30">QUARTILE(IF(('Cleaned Data'!$K$2:$K$1867=$A30)*('Cleaned Data'!$L$2:$L$1867&gt;0),'Cleaned Data'!$L$2:$L$1867,""),3)</f>
        <v>31297.5</v>
      </c>
      <c r="H30" s="23">
        <f t="array" ref="H30">STDEV(IF(('Cleaned Data'!$K$2:$K$1867=$A30)*('Cleaned Data'!$L$2:$L$1867&gt;0),'Cleaned Data'!$L$2:$L$1867,""))</f>
        <v>39131.414200291656</v>
      </c>
      <c r="I30" s="22">
        <f t="shared" si="0"/>
        <v>5199.75</v>
      </c>
      <c r="J30" s="22">
        <f t="shared" si="1"/>
        <v>6350.25</v>
      </c>
      <c r="K30" s="22">
        <f t="shared" si="2"/>
        <v>19747.5</v>
      </c>
      <c r="L30" s="22">
        <f t="shared" si="3"/>
        <v>156815.45753136193</v>
      </c>
      <c r="M30" s="22">
        <f t="shared" si="4"/>
        <v>32320.406053018876</v>
      </c>
      <c r="N30" s="22">
        <f t="shared" si="5"/>
        <v>39131.414200291656</v>
      </c>
      <c r="P30" s="8" t="s">
        <v>2195</v>
      </c>
    </row>
    <row r="31" spans="1:16" x14ac:dyDescent="0.25">
      <c r="A31" s="8" t="s">
        <v>2180</v>
      </c>
      <c r="B31">
        <f>COUNTIFS('Cleaned Data'!$K$2:$K$1867,A31,'Cleaned Data'!$L$2:$L$1867,"&gt;"&amp;0)</f>
        <v>638</v>
      </c>
      <c r="C31" s="23">
        <f t="array" ref="C31">PERCENTILE(IF(('Cleaned Data'!$K$2:$K$1867=$A31)*('Cleaned Data'!$L$2:$L$1867&gt;0),'Cleaned Data'!$L$2:$L$1867,""),0.01)</f>
        <v>2136.9500024931081</v>
      </c>
      <c r="D31" s="23">
        <f t="array" ref="D31">PERCENTILE(IF(('Cleaned Data'!$K$2:$K$1867=$A31)*('Cleaned Data'!$L$2:$L$1867&gt;0),'Cleaned Data'!$L$2:$L$1867,""),0.99)</f>
        <v>85630</v>
      </c>
      <c r="E31" s="23">
        <f t="array" ref="E31">AVERAGE(IF(('Cleaned Data'!$K$2:$K$1867=$A31)*('Cleaned Data'!$L$2:$L$1867&gt;0),'Cleaned Data'!$L$2:$L$1867,""))</f>
        <v>14070.8233458297</v>
      </c>
      <c r="F31" s="23">
        <f t="array" ref="F31">QUARTILE(IF(('Cleaned Data'!$K$2:$K$1867=$A31)*('Cleaned Data'!$L$2:$L$1867&gt;0),'Cleaned Data'!$L$2:$L$1867,""),1)</f>
        <v>5342.3750062327708</v>
      </c>
      <c r="G31" s="23">
        <f t="array" ref="G31">QUARTILE(IF(('Cleaned Data'!$K$2:$K$1867=$A31)*('Cleaned Data'!$L$2:$L$1867&gt;0),'Cleaned Data'!$L$2:$L$1867,""),3)</f>
        <v>16027.125018698311</v>
      </c>
      <c r="H31" s="23">
        <f t="array" ref="H31">STDEV(IF(('Cleaned Data'!$K$2:$K$1867=$A31)*('Cleaned Data'!$L$2:$L$1867&gt;0),'Cleaned Data'!$L$2:$L$1867,""))</f>
        <v>16899.361595115501</v>
      </c>
      <c r="I31" s="22">
        <f t="shared" si="0"/>
        <v>2136.9500024931081</v>
      </c>
      <c r="J31" s="22">
        <f t="shared" si="1"/>
        <v>3205.4250037396628</v>
      </c>
      <c r="K31" s="22">
        <f t="shared" si="2"/>
        <v>10684.75001246554</v>
      </c>
      <c r="L31" s="22">
        <f t="shared" si="3"/>
        <v>69602.874981301691</v>
      </c>
      <c r="M31" s="22">
        <f t="shared" si="4"/>
        <v>14070.8233458297</v>
      </c>
      <c r="N31" s="22">
        <f t="shared" si="5"/>
        <v>16899.361595115501</v>
      </c>
      <c r="P31" s="8" t="s">
        <v>2180</v>
      </c>
    </row>
    <row r="32" spans="1:16" x14ac:dyDescent="0.25">
      <c r="A32" s="8" t="s">
        <v>2228</v>
      </c>
      <c r="B32">
        <f>COUNTIFS('Cleaned Data'!$K$2:$K$1867,A32,'Cleaned Data'!$L$2:$L$1867,"&gt;"&amp;0)</f>
        <v>32</v>
      </c>
      <c r="C32" s="23">
        <f t="array" ref="C32">PERCENTILE(IF(('Cleaned Data'!$K$2:$K$1867=$A32)*('Cleaned Data'!$L$2:$L$1867&gt;0),'Cleaned Data'!$L$2:$L$1867,""),0.01)</f>
        <v>3898.1538461538462</v>
      </c>
      <c r="D32" s="23">
        <f t="array" ref="D32">PERCENTILE(IF(('Cleaned Data'!$K$2:$K$1867=$A32)*('Cleaned Data'!$L$2:$L$1867&gt;0),'Cleaned Data'!$L$2:$L$1867,""),0.99)</f>
        <v>163363.4118981027</v>
      </c>
      <c r="E32" s="23">
        <f t="array" ref="E32">AVERAGE(IF(('Cleaned Data'!$K$2:$K$1867=$A32)*('Cleaned Data'!$L$2:$L$1867&gt;0),'Cleaned Data'!$L$2:$L$1867,""))</f>
        <v>44620.895848994434</v>
      </c>
      <c r="F32" s="23">
        <f t="array" ref="F32">QUARTILE(IF(('Cleaned Data'!$K$2:$K$1867=$A32)*('Cleaned Data'!$L$2:$L$1867&gt;0),'Cleaned Data'!$L$2:$L$1867,""),1)</f>
        <v>12293.036792412531</v>
      </c>
      <c r="G32" s="23">
        <f t="array" ref="G32">QUARTILE(IF(('Cleaned Data'!$K$2:$K$1867=$A32)*('Cleaned Data'!$L$2:$L$1867&gt;0),'Cleaned Data'!$L$2:$L$1867,""),3)</f>
        <v>51747.754491017971</v>
      </c>
      <c r="H32" s="23">
        <f t="array" ref="H32">STDEV(IF(('Cleaned Data'!$K$2:$K$1867=$A32)*('Cleaned Data'!$L$2:$L$1867&gt;0),'Cleaned Data'!$L$2:$L$1867,""))</f>
        <v>43853.715178102662</v>
      </c>
      <c r="I32" s="22">
        <f t="shared" si="0"/>
        <v>3898.1538461538462</v>
      </c>
      <c r="J32" s="22">
        <f t="shared" si="1"/>
        <v>8394.8829462586855</v>
      </c>
      <c r="K32" s="22">
        <f t="shared" si="2"/>
        <v>39454.71769860544</v>
      </c>
      <c r="L32" s="22">
        <f t="shared" si="3"/>
        <v>111615.65740708473</v>
      </c>
      <c r="M32" s="22">
        <f t="shared" si="4"/>
        <v>44620.895848994434</v>
      </c>
      <c r="N32" s="22">
        <f t="shared" si="5"/>
        <v>43853.715178102662</v>
      </c>
      <c r="P32" s="8" t="s">
        <v>2228</v>
      </c>
    </row>
    <row r="34" spans="1:12" x14ac:dyDescent="0.25">
      <c r="A34" s="8" t="s">
        <v>2298</v>
      </c>
      <c r="B34" s="60" t="str">
        <f>Dashboard!AR19</f>
        <v>Developing Asia</v>
      </c>
      <c r="C34" s="60"/>
      <c r="D34" s="60"/>
      <c r="F34" s="60" t="s">
        <v>2282</v>
      </c>
      <c r="G34" s="60"/>
      <c r="H34" s="60"/>
      <c r="J34" s="60" t="s">
        <v>2284</v>
      </c>
      <c r="K34" s="60"/>
      <c r="L34" s="32"/>
    </row>
    <row r="35" spans="1:12" x14ac:dyDescent="0.25">
      <c r="A35" s="17" t="s">
        <v>2144</v>
      </c>
      <c r="B35" s="17" t="s">
        <v>2281</v>
      </c>
      <c r="C35" s="17" t="s">
        <v>2299</v>
      </c>
      <c r="D35" s="17" t="s">
        <v>2300</v>
      </c>
      <c r="F35" s="17" t="s">
        <v>2281</v>
      </c>
      <c r="G35" s="17" t="s">
        <v>2299</v>
      </c>
      <c r="H35" s="17" t="s">
        <v>2300</v>
      </c>
      <c r="J35" s="17" t="s">
        <v>2281</v>
      </c>
      <c r="K35" s="17" t="s">
        <v>2300</v>
      </c>
    </row>
    <row r="36" spans="1:12" x14ac:dyDescent="0.25">
      <c r="A36" s="8" t="s">
        <v>51</v>
      </c>
      <c r="B36">
        <f>COUNTIFS('Cleaned Data'!$E$2:$E$1867,A36,'Cleaned Data'!$K$2:$K$1867,$B$34,'Cleaned Data'!$L$2:$L$1867,"&gt;0")</f>
        <v>37</v>
      </c>
      <c r="C36" s="22">
        <f t="array" ref="C36">AVERAGE(IF(('Cleaned Data'!$E$2:$E$1867=A36)*('Cleaned Data'!$K$2:$K$1867=$B$34)*('Cleaned Data'!$L$2:$L$1867&gt;0),'Cleaned Data'!$L$2:$L$1867,""))</f>
        <v>10214.409994686601</v>
      </c>
      <c r="D36" s="22">
        <f>IF(B36=0,0,C36)</f>
        <v>10214.409994686601</v>
      </c>
      <c r="F36">
        <f>COUNTIFS('Cleaned Data'!$E$2:$E$1867,A36,'Cleaned Data'!$L$2:$L$1867,"&gt;0")</f>
        <v>134</v>
      </c>
      <c r="G36" s="22">
        <f t="array" ref="G36">AVERAGE(IF(('Cleaned Data'!$E$2:$E$1867=A36)*('Cleaned Data'!$L$2:$L$1867&gt;0),'Cleaned Data'!$L$2:$L$1867,""))</f>
        <v>53832.234914329638</v>
      </c>
      <c r="H36" s="22">
        <f>IF(F36=0,0,G36)</f>
        <v>53832.234914329638</v>
      </c>
      <c r="J36">
        <f>IF($B$34="Overall",F36,B36)</f>
        <v>37</v>
      </c>
      <c r="K36" s="22">
        <f>IF($B$34="Overall",H36,D36)</f>
        <v>10214.409994686601</v>
      </c>
    </row>
    <row r="37" spans="1:12" x14ac:dyDescent="0.25">
      <c r="A37" s="8" t="s">
        <v>7</v>
      </c>
      <c r="B37">
        <f>COUNTIFS('Cleaned Data'!$E$2:$E$1867,A37,'Cleaned Data'!$K$2:$K$1867,$B$34,'Cleaned Data'!$L$2:$L$1867,"&gt;0")</f>
        <v>207</v>
      </c>
      <c r="C37" s="22">
        <f t="array" ref="C37">AVERAGE(IF(('Cleaned Data'!$E$2:$E$1867=A37)*('Cleaned Data'!$K$2:$K$1867=$B$34)*('Cleaned Data'!$L$2:$L$1867&gt;0),'Cleaned Data'!$L$2:$L$1867,""))</f>
        <v>11728.099199793574</v>
      </c>
      <c r="D37" s="22">
        <f t="shared" ref="D37:D45" si="6">IF(B37=0,0,C37)</f>
        <v>11728.099199793574</v>
      </c>
      <c r="F37">
        <f>COUNTIFS('Cleaned Data'!$E$2:$E$1867,A37,'Cleaned Data'!$L$2:$L$1867,"&gt;0")</f>
        <v>739</v>
      </c>
      <c r="G37" s="22">
        <f t="array" ref="G37">AVERAGE(IF(('Cleaned Data'!$E$2:$E$1867=A37)*('Cleaned Data'!$L$2:$L$1867&gt;0),'Cleaned Data'!$L$2:$L$1867,""))</f>
        <v>46284.776106991536</v>
      </c>
      <c r="H37" s="22">
        <f t="shared" ref="H37:H45" si="7">IF(F37=0,0,G37)</f>
        <v>46284.776106991536</v>
      </c>
      <c r="J37">
        <f t="shared" ref="J37:J45" si="8">IF($B$34="Overall",F37,B37)</f>
        <v>207</v>
      </c>
      <c r="K37" s="22">
        <f t="shared" ref="K37:K45" si="9">IF($B$34="Overall",H37,D37)</f>
        <v>11728.099199793574</v>
      </c>
    </row>
    <row r="38" spans="1:12" x14ac:dyDescent="0.25">
      <c r="A38" s="8" t="s">
        <v>53</v>
      </c>
      <c r="B38">
        <f>COUNTIFS('Cleaned Data'!$E$2:$E$1867,A38,'Cleaned Data'!$K$2:$K$1867,$B$34,'Cleaned Data'!$L$2:$L$1867,"&gt;0")</f>
        <v>25</v>
      </c>
      <c r="C38" s="22">
        <f t="array" ref="C38">AVERAGE(IF(('Cleaned Data'!$E$2:$E$1867=A38)*('Cleaned Data'!$K$2:$K$1867=$B$34)*('Cleaned Data'!$L$2:$L$1867&gt;0),'Cleaned Data'!$L$2:$L$1867,""))</f>
        <v>13326.582002316944</v>
      </c>
      <c r="D38" s="22">
        <f t="shared" si="6"/>
        <v>13326.582002316944</v>
      </c>
      <c r="F38">
        <f>COUNTIFS('Cleaned Data'!$E$2:$E$1867,A38,'Cleaned Data'!$L$2:$L$1867,"&gt;0")</f>
        <v>89</v>
      </c>
      <c r="G38" s="22">
        <f t="array" ref="G38">AVERAGE(IF(('Cleaned Data'!$E$2:$E$1867=A38)*('Cleaned Data'!$L$2:$L$1867&gt;0),'Cleaned Data'!$L$2:$L$1867,""))</f>
        <v>63601.865055092807</v>
      </c>
      <c r="H38" s="22">
        <f t="shared" si="7"/>
        <v>63601.865055092807</v>
      </c>
      <c r="J38">
        <f t="shared" si="8"/>
        <v>25</v>
      </c>
      <c r="K38" s="22">
        <f t="shared" si="9"/>
        <v>13326.582002316944</v>
      </c>
    </row>
    <row r="39" spans="1:12" x14ac:dyDescent="0.25">
      <c r="A39" s="8" t="s">
        <v>62</v>
      </c>
      <c r="B39">
        <f>COUNTIFS('Cleaned Data'!$E$2:$E$1867,A39,'Cleaned Data'!$K$2:$K$1867,$B$34,'Cleaned Data'!$L$2:$L$1867,"&gt;0")</f>
        <v>10</v>
      </c>
      <c r="C39" s="22">
        <f t="array" ref="C39">AVERAGE(IF(('Cleaned Data'!$E$2:$E$1867=A39)*('Cleaned Data'!$K$2:$K$1867=$B$34)*('Cleaned Data'!$L$2:$L$1867&gt;0),'Cleaned Data'!$L$2:$L$1867,""))</f>
        <v>16507.72400578401</v>
      </c>
      <c r="D39" s="22">
        <f t="shared" si="6"/>
        <v>16507.72400578401</v>
      </c>
      <c r="F39">
        <f>COUNTIFS('Cleaned Data'!$E$2:$E$1867,A39,'Cleaned Data'!$L$2:$L$1867,"&gt;0")</f>
        <v>64</v>
      </c>
      <c r="G39" s="22">
        <f t="array" ref="G39">AVERAGE(IF(('Cleaned Data'!$E$2:$E$1867=A39)*('Cleaned Data'!$L$2:$L$1867&gt;0),'Cleaned Data'!$L$2:$L$1867,""))</f>
        <v>62608.678065602442</v>
      </c>
      <c r="H39" s="22">
        <f t="shared" si="7"/>
        <v>62608.678065602442</v>
      </c>
      <c r="J39">
        <f t="shared" si="8"/>
        <v>10</v>
      </c>
      <c r="K39" s="22">
        <f t="shared" si="9"/>
        <v>16507.72400578401</v>
      </c>
    </row>
    <row r="40" spans="1:12" x14ac:dyDescent="0.25">
      <c r="A40" s="8" t="s">
        <v>2147</v>
      </c>
      <c r="B40">
        <f>COUNTIFS('Cleaned Data'!$E$2:$E$1867,A40,'Cleaned Data'!$K$2:$K$1867,$B$34,'Cleaned Data'!$L$2:$L$1867,"&gt;0")</f>
        <v>14</v>
      </c>
      <c r="C40" s="22">
        <f t="array" ref="C40">AVERAGE(IF(('Cleaned Data'!$E$2:$E$1867=A40)*('Cleaned Data'!$K$2:$K$1867=$B$34)*('Cleaned Data'!$L$2:$L$1867&gt;0),'Cleaned Data'!$L$2:$L$1867,""))</f>
        <v>29112.273826738128</v>
      </c>
      <c r="D40" s="22">
        <f t="shared" si="6"/>
        <v>29112.273826738128</v>
      </c>
      <c r="F40">
        <f>COUNTIFS('Cleaned Data'!$E$2:$E$1867,A40,'Cleaned Data'!$L$2:$L$1867,"&gt;0")</f>
        <v>74</v>
      </c>
      <c r="G40" s="22">
        <f t="array" ref="G40">AVERAGE(IF(('Cleaned Data'!$E$2:$E$1867=A40)*('Cleaned Data'!$L$2:$L$1867&gt;0),'Cleaned Data'!$L$2:$L$1867,""))</f>
        <v>97296.495559453528</v>
      </c>
      <c r="H40" s="22">
        <f t="shared" si="7"/>
        <v>97296.495559453528</v>
      </c>
      <c r="J40">
        <f t="shared" si="8"/>
        <v>14</v>
      </c>
      <c r="K40" s="22">
        <f t="shared" si="9"/>
        <v>29112.273826738128</v>
      </c>
    </row>
    <row r="41" spans="1:12" x14ac:dyDescent="0.25">
      <c r="A41" s="8" t="s">
        <v>48</v>
      </c>
      <c r="B41">
        <f>COUNTIFS('Cleaned Data'!$E$2:$E$1867,A41,'Cleaned Data'!$K$2:$K$1867,$B$34,'Cleaned Data'!$L$2:$L$1867,"&gt;0")</f>
        <v>24</v>
      </c>
      <c r="C41" s="22">
        <f t="array" ref="C41">AVERAGE(IF(('Cleaned Data'!$E$2:$E$1867=A41)*('Cleaned Data'!$K$2:$K$1867=$B$34)*('Cleaned Data'!$L$2:$L$1867&gt;0),'Cleaned Data'!$L$2:$L$1867,""))</f>
        <v>17589.874294435689</v>
      </c>
      <c r="D41" s="22">
        <f t="shared" si="6"/>
        <v>17589.874294435689</v>
      </c>
      <c r="F41">
        <f>COUNTIFS('Cleaned Data'!$E$2:$E$1867,A41,'Cleaned Data'!$L$2:$L$1867,"&gt;0")</f>
        <v>74</v>
      </c>
      <c r="G41" s="22">
        <f t="array" ref="G41">AVERAGE(IF(('Cleaned Data'!$E$2:$E$1867=A41)*('Cleaned Data'!$L$2:$L$1867&gt;0),'Cleaned Data'!$L$2:$L$1867,""))</f>
        <v>51715.151424567128</v>
      </c>
      <c r="H41" s="22">
        <f t="shared" si="7"/>
        <v>51715.151424567128</v>
      </c>
      <c r="J41">
        <f t="shared" si="8"/>
        <v>24</v>
      </c>
      <c r="K41" s="22">
        <f t="shared" si="9"/>
        <v>17589.874294435689</v>
      </c>
    </row>
    <row r="42" spans="1:12" x14ac:dyDescent="0.25">
      <c r="A42" s="8" t="s">
        <v>19</v>
      </c>
      <c r="B42">
        <f>COUNTIFS('Cleaned Data'!$E$2:$E$1867,A42,'Cleaned Data'!$K$2:$K$1867,$B$34,'Cleaned Data'!$L$2:$L$1867,"&gt;0")</f>
        <v>246</v>
      </c>
      <c r="C42" s="22">
        <f t="array" ref="C42">AVERAGE(IF(('Cleaned Data'!$E$2:$E$1867=A42)*('Cleaned Data'!$K$2:$K$1867=$B$34)*('Cleaned Data'!$L$2:$L$1867&gt;0),'Cleaned Data'!$L$2:$L$1867,""))</f>
        <v>16072.053200371982</v>
      </c>
      <c r="D42" s="22">
        <f t="shared" si="6"/>
        <v>16072.053200371982</v>
      </c>
      <c r="F42">
        <f>COUNTIFS('Cleaned Data'!$E$2:$E$1867,A42,'Cleaned Data'!$L$2:$L$1867,"&gt;0")</f>
        <v>551</v>
      </c>
      <c r="G42" s="22">
        <f t="array" ref="G42">AVERAGE(IF(('Cleaned Data'!$E$2:$E$1867=A42)*('Cleaned Data'!$L$2:$L$1867&gt;0),'Cleaned Data'!$L$2:$L$1867,""))</f>
        <v>46361.471114539061</v>
      </c>
      <c r="H42" s="22">
        <f t="shared" si="7"/>
        <v>46361.471114539061</v>
      </c>
      <c r="J42">
        <f t="shared" si="8"/>
        <v>246</v>
      </c>
      <c r="K42" s="22">
        <f t="shared" si="9"/>
        <v>16072.053200371982</v>
      </c>
    </row>
    <row r="43" spans="1:12" x14ac:dyDescent="0.25">
      <c r="A43" s="8" t="s">
        <v>23</v>
      </c>
      <c r="B43">
        <f>COUNTIFS('Cleaned Data'!$E$2:$E$1867,A43,'Cleaned Data'!$K$2:$K$1867,$B$34,'Cleaned Data'!$L$2:$L$1867,"&gt;0")</f>
        <v>8</v>
      </c>
      <c r="C43" s="22">
        <f t="array" ref="C43">AVERAGE(IF(('Cleaned Data'!$E$2:$E$1867=A43)*('Cleaned Data'!$K$2:$K$1867=$B$34)*('Cleaned Data'!$L$2:$L$1867&gt;0),'Cleaned Data'!$L$2:$L$1867,""))</f>
        <v>21246.179180586521</v>
      </c>
      <c r="D43" s="22">
        <f t="shared" si="6"/>
        <v>21246.179180586521</v>
      </c>
      <c r="F43">
        <f>COUNTIFS('Cleaned Data'!$E$2:$E$1867,A43,'Cleaned Data'!$L$2:$L$1867,"&gt;0")</f>
        <v>51</v>
      </c>
      <c r="G43" s="22">
        <f t="array" ref="G43">AVERAGE(IF(('Cleaned Data'!$E$2:$E$1867=A43)*('Cleaned Data'!$L$2:$L$1867&gt;0),'Cleaned Data'!$L$2:$L$1867,""))</f>
        <v>59812.969274133815</v>
      </c>
      <c r="H43" s="22">
        <f t="shared" si="7"/>
        <v>59812.969274133815</v>
      </c>
      <c r="J43">
        <f t="shared" si="8"/>
        <v>8</v>
      </c>
      <c r="K43" s="22">
        <f t="shared" si="9"/>
        <v>21246.179180586521</v>
      </c>
    </row>
    <row r="44" spans="1:12" x14ac:dyDescent="0.25">
      <c r="A44" s="8" t="s">
        <v>2145</v>
      </c>
      <c r="B44">
        <f>COUNTIFS('Cleaned Data'!$E$2:$E$1867,A44,'Cleaned Data'!$K$2:$K$1867,$B$34,'Cleaned Data'!$L$2:$L$1867,"&gt;0")</f>
        <v>63</v>
      </c>
      <c r="C44" s="22">
        <f t="array" ref="C44">AVERAGE(IF(('Cleaned Data'!$E$2:$E$1867=A44)*('Cleaned Data'!$K$2:$K$1867=$B$34)*('Cleaned Data'!$L$2:$L$1867&gt;0),'Cleaned Data'!$L$2:$L$1867,""))</f>
        <v>10312.144816828057</v>
      </c>
      <c r="D44" s="22">
        <f t="shared" si="6"/>
        <v>10312.144816828057</v>
      </c>
      <c r="F44">
        <f>COUNTIFS('Cleaned Data'!$E$2:$E$1867,A44,'Cleaned Data'!$L$2:$L$1867,"&gt;0")</f>
        <v>83</v>
      </c>
      <c r="G44" s="22">
        <f t="array" ref="G44">AVERAGE(IF(('Cleaned Data'!$E$2:$E$1867=A44)*('Cleaned Data'!$L$2:$L$1867&gt;0),'Cleaned Data'!$L$2:$L$1867,""))</f>
        <v>19574.158532349131</v>
      </c>
      <c r="H44" s="22">
        <f t="shared" si="7"/>
        <v>19574.158532349131</v>
      </c>
      <c r="J44">
        <f t="shared" si="8"/>
        <v>63</v>
      </c>
      <c r="K44" s="22">
        <f t="shared" si="9"/>
        <v>10312.144816828057</v>
      </c>
    </row>
    <row r="45" spans="1:12" x14ac:dyDescent="0.25">
      <c r="A45" s="8" t="s">
        <v>2146</v>
      </c>
      <c r="B45">
        <f>COUNTIFS('Cleaned Data'!$E$2:$E$1867,A45,'Cleaned Data'!$K$2:$K$1867,$B$34,'Cleaned Data'!$L$2:$L$1867,"&gt;0")</f>
        <v>4</v>
      </c>
      <c r="C45" s="22">
        <f t="array" ref="C45">AVERAGE(IF(('Cleaned Data'!$E$2:$E$1867=A45)*('Cleaned Data'!$K$2:$K$1867=$B$34)*('Cleaned Data'!$L$2:$L$1867&gt;0),'Cleaned Data'!$L$2:$L$1867,""))</f>
        <v>17551.33488143489</v>
      </c>
      <c r="D45" s="22">
        <f t="shared" si="6"/>
        <v>17551.33488143489</v>
      </c>
      <c r="F45">
        <f>COUNTIFS('Cleaned Data'!$E$2:$E$1867,A45,'Cleaned Data'!$L$2:$L$1867,"&gt;0")</f>
        <v>7</v>
      </c>
      <c r="G45" s="22">
        <f t="array" ref="G45">AVERAGE(IF(('Cleaned Data'!$E$2:$E$1867=A45)*('Cleaned Data'!$L$2:$L$1867&gt;0),'Cleaned Data'!$L$2:$L$1867,""))</f>
        <v>45952.334217962794</v>
      </c>
      <c r="H45" s="22">
        <f t="shared" si="7"/>
        <v>45952.334217962794</v>
      </c>
      <c r="J45">
        <f t="shared" si="8"/>
        <v>4</v>
      </c>
      <c r="K45" s="22">
        <f t="shared" si="9"/>
        <v>17551.33488143489</v>
      </c>
    </row>
    <row r="46" spans="1:12" x14ac:dyDescent="0.25">
      <c r="A46" s="8"/>
    </row>
    <row r="47" spans="1:12" x14ac:dyDescent="0.25">
      <c r="A47" s="18" t="s">
        <v>2301</v>
      </c>
      <c r="B47" s="17" t="s">
        <v>2281</v>
      </c>
      <c r="C47" s="17" t="s">
        <v>2299</v>
      </c>
      <c r="D47" s="17" t="s">
        <v>2300</v>
      </c>
      <c r="F47" s="17" t="s">
        <v>2281</v>
      </c>
      <c r="G47" s="17" t="s">
        <v>2299</v>
      </c>
      <c r="H47" s="17" t="s">
        <v>2300</v>
      </c>
      <c r="J47" s="17" t="s">
        <v>2281</v>
      </c>
      <c r="K47" s="17" t="s">
        <v>2300</v>
      </c>
    </row>
    <row r="48" spans="1:12" x14ac:dyDescent="0.25">
      <c r="A48" s="8" t="s">
        <v>2295</v>
      </c>
      <c r="B48">
        <f>COUNTIFS('Cleaned Data'!$G$2:$G$1867,A48,'Cleaned Data'!$K$2:$K$1867,$B$34,'Cleaned Data'!$L$2:$L$1867,"&gt;0")</f>
        <v>2</v>
      </c>
      <c r="C48" s="22">
        <f t="array" ref="C48">AVERAGE(IF(('Cleaned Data'!$G$2:$G$1867=A48)*('Cleaned Data'!$K$2:$K$1867=$B$34)*('Cleaned Data'!$L$2:$L$1867&gt;0),'Cleaned Data'!$L$2:$L$1867,""))</f>
        <v>12225.989585930321</v>
      </c>
      <c r="D48" s="22">
        <f>IF(B48=0,0,C48)</f>
        <v>12225.989585930321</v>
      </c>
      <c r="F48">
        <f>COUNTIFS('Cleaned Data'!$G$2:$G$1867,A48,'Cleaned Data'!$L$2:$L$1867,"&gt;0")</f>
        <v>7</v>
      </c>
      <c r="G48" s="22">
        <f t="array" ref="G48">AVERAGE(IF(('Cleaned Data'!$G$2:$G$1867=A48)*('Cleaned Data'!$L$2:$L$1867&gt;0),'Cleaned Data'!$L$2:$L$1867,""))</f>
        <v>57493.381507668608</v>
      </c>
      <c r="H48" s="22">
        <f>IF(F48=0,0,G48)</f>
        <v>57493.381507668608</v>
      </c>
      <c r="J48">
        <f t="shared" ref="J48" si="10">IF($B$34="Overall",F48,B48)</f>
        <v>2</v>
      </c>
      <c r="K48" s="22">
        <f t="shared" ref="K48" si="11">IF($B$34="Overall",H48,D48)</f>
        <v>12225.989585930321</v>
      </c>
    </row>
    <row r="49" spans="1:11" x14ac:dyDescent="0.25">
      <c r="A49" s="8" t="s">
        <v>2274</v>
      </c>
      <c r="B49">
        <f>COUNTIFS('Cleaned Data'!$G$2:$G$1867,A49,'Cleaned Data'!$K$2:$K$1867,$B$34,'Cleaned Data'!$L$2:$L$1867,"&gt;0")</f>
        <v>69</v>
      </c>
      <c r="C49" s="22">
        <f t="array" ref="C49">AVERAGE(IF(('Cleaned Data'!$G$2:$G$1867=A49)*('Cleaned Data'!$K$2:$K$1867=$B$34)*('Cleaned Data'!$L$2:$L$1867&gt;0),'Cleaned Data'!$L$2:$L$1867,""))</f>
        <v>16684.005345857611</v>
      </c>
      <c r="D49" s="22">
        <f t="shared" ref="D49:D52" si="12">IF(B49=0,0,C49)</f>
        <v>16684.005345857611</v>
      </c>
      <c r="F49">
        <f>COUNTIFS('Cleaned Data'!$G$2:$G$1867,A49,'Cleaned Data'!$L$2:$L$1867,"&gt;0")</f>
        <v>171</v>
      </c>
      <c r="G49" s="22">
        <f t="array" ref="G49">AVERAGE(IF(('Cleaned Data'!$G$2:$G$1867=A49)*('Cleaned Data'!$L$2:$L$1867&gt;0),'Cleaned Data'!$L$2:$L$1867,""))</f>
        <v>50152.523594220394</v>
      </c>
      <c r="H49" s="22">
        <f t="shared" ref="H49:H52" si="13">IF(F49=0,0,G49)</f>
        <v>50152.523594220394</v>
      </c>
      <c r="J49">
        <f t="shared" ref="J49:J52" si="14">IF($B$34="Overall",F49,B49)</f>
        <v>69</v>
      </c>
      <c r="K49" s="22">
        <f t="shared" ref="K49:K52" si="15">IF($B$34="Overall",H49,D49)</f>
        <v>16684.005345857611</v>
      </c>
    </row>
    <row r="50" spans="1:11" x14ac:dyDescent="0.25">
      <c r="A50" s="8" t="s">
        <v>2272</v>
      </c>
      <c r="B50">
        <f>COUNTIFS('Cleaned Data'!$G$2:$G$1867,A50,'Cleaned Data'!$K$2:$K$1867,$B$34,'Cleaned Data'!$L$2:$L$1867,"&gt;0")</f>
        <v>152</v>
      </c>
      <c r="C50" s="22">
        <f t="array" ref="C50">AVERAGE(IF(('Cleaned Data'!$G$2:$G$1867=A50)*('Cleaned Data'!$K$2:$K$1867=$B$34)*('Cleaned Data'!$L$2:$L$1867&gt;0),'Cleaned Data'!$L$2:$L$1867,""))</f>
        <v>14809.011551061234</v>
      </c>
      <c r="D50" s="22">
        <f t="shared" si="12"/>
        <v>14809.011551061234</v>
      </c>
      <c r="F50">
        <f>COUNTIFS('Cleaned Data'!$G$2:$G$1867,A50,'Cleaned Data'!$L$2:$L$1867,"&gt;0")</f>
        <v>446</v>
      </c>
      <c r="G50" s="22">
        <f t="array" ref="G50">AVERAGE(IF(('Cleaned Data'!$G$2:$G$1867=A50)*('Cleaned Data'!$L$2:$L$1867&gt;0),'Cleaned Data'!$L$2:$L$1867,""))</f>
        <v>53273.22144688134</v>
      </c>
      <c r="H50" s="22">
        <f t="shared" si="13"/>
        <v>53273.22144688134</v>
      </c>
      <c r="J50">
        <f t="shared" si="14"/>
        <v>152</v>
      </c>
      <c r="K50" s="22">
        <f t="shared" si="15"/>
        <v>14809.011551061234</v>
      </c>
    </row>
    <row r="51" spans="1:11" x14ac:dyDescent="0.25">
      <c r="A51" s="8" t="s">
        <v>2271</v>
      </c>
      <c r="B51">
        <f>COUNTIFS('Cleaned Data'!$G$2:$G$1867,A51,'Cleaned Data'!$K$2:$K$1867,$B$34,'Cleaned Data'!$L$2:$L$1867,"&gt;0")</f>
        <v>237</v>
      </c>
      <c r="C51" s="22">
        <f t="array" ref="C51">AVERAGE(IF(('Cleaned Data'!$G$2:$G$1867=A51)*('Cleaned Data'!$K$2:$K$1867=$B$34)*('Cleaned Data'!$L$2:$L$1867&gt;0),'Cleaned Data'!$L$2:$L$1867,""))</f>
        <v>12903.769646168223</v>
      </c>
      <c r="D51" s="22">
        <f t="shared" si="12"/>
        <v>12903.769646168223</v>
      </c>
      <c r="F51">
        <f>COUNTIFS('Cleaned Data'!$G$2:$G$1867,A51,'Cleaned Data'!$L$2:$L$1867,"&gt;0")</f>
        <v>769</v>
      </c>
      <c r="G51" s="22">
        <f t="array" ref="G51">AVERAGE(IF(('Cleaned Data'!$G$2:$G$1867=A51)*('Cleaned Data'!$L$2:$L$1867&gt;0),'Cleaned Data'!$L$2:$L$1867,""))</f>
        <v>51048.687041213067</v>
      </c>
      <c r="H51" s="22">
        <f t="shared" si="13"/>
        <v>51048.687041213067</v>
      </c>
      <c r="J51">
        <f t="shared" si="14"/>
        <v>237</v>
      </c>
      <c r="K51" s="22">
        <f t="shared" si="15"/>
        <v>12903.769646168223</v>
      </c>
    </row>
    <row r="52" spans="1:11" x14ac:dyDescent="0.25">
      <c r="A52" s="8" t="s">
        <v>2273</v>
      </c>
      <c r="B52">
        <f>COUNTIFS('Cleaned Data'!$G$2:$G$1867,A52,'Cleaned Data'!$K$2:$K$1867,$B$34,'Cleaned Data'!$L$2:$L$1867,"&gt;0")</f>
        <v>178</v>
      </c>
      <c r="C52" s="22">
        <f t="array" ref="C52">AVERAGE(IF(('Cleaned Data'!$G$2:$G$1867=A52)*('Cleaned Data'!$K$2:$K$1867=$B$34)*('Cleaned Data'!$L$2:$L$1867&gt;0),'Cleaned Data'!$L$2:$L$1867,""))</f>
        <v>14002.099914045639</v>
      </c>
      <c r="D52" s="22">
        <f t="shared" si="12"/>
        <v>14002.099914045639</v>
      </c>
      <c r="F52">
        <f>COUNTIFS('Cleaned Data'!$G$2:$G$1867,A52,'Cleaned Data'!$L$2:$L$1867,"&gt;0")</f>
        <v>473</v>
      </c>
      <c r="G52" s="22">
        <f t="array" ref="G52">AVERAGE(IF(('Cleaned Data'!$G$2:$G$1867=A52)*('Cleaned Data'!$L$2:$L$1867&gt;0),'Cleaned Data'!$L$2:$L$1867,""))</f>
        <v>43677.533814252718</v>
      </c>
      <c r="H52" s="22">
        <f t="shared" si="13"/>
        <v>43677.533814252718</v>
      </c>
      <c r="J52">
        <f t="shared" si="14"/>
        <v>178</v>
      </c>
      <c r="K52" s="22">
        <f t="shared" si="15"/>
        <v>14002.099914045639</v>
      </c>
    </row>
    <row r="53" spans="1:11" x14ac:dyDescent="0.25">
      <c r="K53" s="22"/>
    </row>
    <row r="54" spans="1:11" x14ac:dyDescent="0.25">
      <c r="A54" s="8" t="s">
        <v>2304</v>
      </c>
    </row>
    <row r="55" spans="1:11" x14ac:dyDescent="0.25">
      <c r="A55" s="18" t="s">
        <v>2302</v>
      </c>
      <c r="B55" s="18" t="s">
        <v>2303</v>
      </c>
      <c r="C55" s="18" t="s">
        <v>2142</v>
      </c>
      <c r="D55" s="17" t="s">
        <v>2270</v>
      </c>
      <c r="F55" s="18" t="s">
        <v>2356</v>
      </c>
      <c r="G55" t="str">
        <f>CHOOSE(E2,"dollar salaries","PPP adjusted dollar salaries","Salaries as times of per capita GDP")</f>
        <v>dollar salaries</v>
      </c>
      <c r="H55" t="str">
        <f>CHOOSE(E2,"dollars","PPP adjusted dollars","times of per capita GDP")</f>
        <v>dollars</v>
      </c>
    </row>
    <row r="56" spans="1:11" x14ac:dyDescent="0.25">
      <c r="A56">
        <v>1</v>
      </c>
      <c r="B56">
        <f>IF('Cleaned Data'!L2&gt;0,1,0)*IF($B$34="Overall",1,IF('Cleaned Data'!K2=$B$34,1,0))*(IF('Cleaned Data'!H2&lt;&gt;"",1,0))</f>
        <v>0</v>
      </c>
      <c r="C56">
        <f>INDEX('Cleaned Data'!H:H,MATCH($A56,$B$56:$B$1919,0))</f>
        <v>6</v>
      </c>
      <c r="D56">
        <f>INDEX('Cleaned Data'!L:L,MATCH($A56,$B$56:$B$1919,0))</f>
        <v>148102.22862117883</v>
      </c>
      <c r="F56" t="s">
        <v>2357</v>
      </c>
      <c r="G56" s="40">
        <f ca="1">LINEST(OFFSET(D55,1,0,MAX(B56:B1919),1),OFFSET(C55,1,0,MAX(B56:B1919),1))</f>
        <v>460.90842801234652</v>
      </c>
    </row>
    <row r="57" spans="1:11" x14ac:dyDescent="0.25">
      <c r="A57">
        <v>2</v>
      </c>
      <c r="B57">
        <f>B56+IF('Cleaned Data'!L3&gt;0,1,0)*IF($B$34="Overall",1,IF('Cleaned Data'!K3=$B$34,1,0))*(IF('Cleaned Data'!H3&lt;&gt;"",1,0))</f>
        <v>0</v>
      </c>
      <c r="C57">
        <f>INDEX('Cleaned Data'!H:H,MATCH($A57,$B$56:$B$1919,0))</f>
        <v>3</v>
      </c>
      <c r="D57">
        <f>INDEX('Cleaned Data'!L:L,MATCH($A57,$B$56:$B$1919,0))</f>
        <v>39404.456801682099</v>
      </c>
      <c r="F57" t="s">
        <v>2358</v>
      </c>
      <c r="G57" s="40">
        <f ca="1">INTERCEPT(OFFSET(D55,1,0,MAX(B56:B1919),1),OFFSET(C55,1,0,MAX(B56:B1919),1))</f>
        <v>11375.812444634972</v>
      </c>
    </row>
    <row r="58" spans="1:11" x14ac:dyDescent="0.25">
      <c r="A58">
        <v>3</v>
      </c>
      <c r="B58">
        <f>B57+IF('Cleaned Data'!L4&gt;0,1,0)*IF($B$34="Overall",1,IF('Cleaned Data'!K4=$B$34,1,0))*(IF('Cleaned Data'!H4&lt;&gt;"",1,0))</f>
        <v>0</v>
      </c>
      <c r="C58">
        <f>INDEX('Cleaned Data'!H:H,MATCH($A58,$B$56:$B$1919,0))</f>
        <v>0</v>
      </c>
      <c r="D58">
        <f>INDEX('Cleaned Data'!L:L,MATCH($A58,$B$56:$B$1919,0))</f>
        <v>8903.9583437212841</v>
      </c>
      <c r="F58" t="s">
        <v>2359</v>
      </c>
      <c r="G58" s="41">
        <f ca="1">CORREL(OFFSET(D55,1,0,MAX(B56:B1919),1),OFFSET(C55,1,0,MAX(B56:B1919),1))^2</f>
        <v>2.0826051668083299E-2</v>
      </c>
    </row>
    <row r="59" spans="1:11" x14ac:dyDescent="0.25">
      <c r="A59">
        <v>4</v>
      </c>
      <c r="B59">
        <f>B58+IF('Cleaned Data'!L5&gt;0,1,0)*IF($B$34="Overall",1,IF('Cleaned Data'!K5=$B$34,1,0))*(IF('Cleaned Data'!H5&lt;&gt;"",1,0))</f>
        <v>0</v>
      </c>
      <c r="C59">
        <f>INDEX('Cleaned Data'!H:H,MATCH($A59,$B$56:$B$1919,0))</f>
        <v>3</v>
      </c>
      <c r="D59">
        <f>INDEX('Cleaned Data'!L:L,MATCH($A59,$B$56:$B$1919,0))</f>
        <v>7123.1666749770275</v>
      </c>
    </row>
    <row r="60" spans="1:11" x14ac:dyDescent="0.25">
      <c r="A60">
        <v>5</v>
      </c>
      <c r="B60">
        <f>B59+IF('Cleaned Data'!L6&gt;0,1,0)*IF($B$34="Overall",1,IF('Cleaned Data'!K6=$B$34,1,0))*(IF('Cleaned Data'!H6&lt;&gt;"",1,0))</f>
        <v>0</v>
      </c>
      <c r="C60">
        <f>INDEX('Cleaned Data'!H:H,MATCH($A60,$B$56:$B$1919,0))</f>
        <v>5</v>
      </c>
      <c r="D60">
        <f>INDEX('Cleaned Data'!L:L,MATCH($A60,$B$56:$B$1919,0))</f>
        <v>4273.9000049862161</v>
      </c>
      <c r="F60" t="s">
        <v>2363</v>
      </c>
      <c r="G60" t="str">
        <f ca="1">"Around "&amp;TEXT(G58*100,"0.00")&amp;"% of variation in "&amp;G55&amp;" is explained by years experience. On an average, one year of experience "&amp;IF(G56&gt;0,"increases","reduces")&amp;" "&amp;G55&amp;" by "&amp;TEXT(ABS(G56),"0.00")&amp;" "&amp;H55&amp;" in this region."</f>
        <v>Around 2.08% of variation in dollar salaries is explained by years experience. On an average, one year of experience increases dollar salaries by 460.91 dollars in this region.</v>
      </c>
    </row>
    <row r="61" spans="1:11" x14ac:dyDescent="0.25">
      <c r="A61">
        <v>6</v>
      </c>
      <c r="B61">
        <f>B60+IF('Cleaned Data'!L7&gt;0,1,0)*IF($B$34="Overall",1,IF('Cleaned Data'!K7=$B$34,1,0))*(IF('Cleaned Data'!H7&lt;&gt;"",1,0))</f>
        <v>0</v>
      </c>
      <c r="C61">
        <f>INDEX('Cleaned Data'!H:H,MATCH($A61,$B$56:$B$1919,0))</f>
        <v>10</v>
      </c>
      <c r="D61">
        <f>INDEX('Cleaned Data'!L:L,MATCH($A61,$B$56:$B$1919,0))</f>
        <v>6767.0083412281756</v>
      </c>
    </row>
    <row r="62" spans="1:11" x14ac:dyDescent="0.25">
      <c r="A62">
        <v>7</v>
      </c>
      <c r="B62">
        <f>B61+IF('Cleaned Data'!L8&gt;0,1,0)*IF($B$34="Overall",1,IF('Cleaned Data'!K8=$B$34,1,0))*(IF('Cleaned Data'!H8&lt;&gt;"",1,0))</f>
        <v>0</v>
      </c>
      <c r="C62">
        <f>INDEX('Cleaned Data'!H:H,MATCH($A62,$B$56:$B$1919,0))</f>
        <v>3</v>
      </c>
      <c r="D62">
        <f>INDEX('Cleaned Data'!L:L,MATCH($A62,$B$56:$B$1919,0))</f>
        <v>7479.3250087258784</v>
      </c>
    </row>
    <row r="63" spans="1:11" x14ac:dyDescent="0.25">
      <c r="A63">
        <v>8</v>
      </c>
      <c r="B63">
        <f>B62+IF('Cleaned Data'!L9&gt;0,1,0)*IF($B$34="Overall",1,IF('Cleaned Data'!K9=$B$34,1,0))*(IF('Cleaned Data'!H9&lt;&gt;"",1,0))</f>
        <v>0</v>
      </c>
      <c r="C63">
        <f>INDEX('Cleaned Data'!H:H,MATCH($A63,$B$56:$B$1919,0))</f>
        <v>6</v>
      </c>
      <c r="D63">
        <f>INDEX('Cleaned Data'!L:L,MATCH($A63,$B$56:$B$1919,0))</f>
        <v>15136.729184326183</v>
      </c>
    </row>
    <row r="64" spans="1:11" x14ac:dyDescent="0.25">
      <c r="A64">
        <v>9</v>
      </c>
      <c r="B64">
        <f>B63+IF('Cleaned Data'!L10&gt;0,1,0)*IF($B$34="Overall",1,IF('Cleaned Data'!K10=$B$34,1,0))*(IF('Cleaned Data'!H10&lt;&gt;"",1,0))</f>
        <v>0</v>
      </c>
      <c r="C64">
        <f>INDEX('Cleaned Data'!H:H,MATCH($A64,$B$56:$B$1919,0))</f>
        <v>10</v>
      </c>
      <c r="D64">
        <f>INDEX('Cleaned Data'!L:L,MATCH($A64,$B$56:$B$1919,0))</f>
        <v>32054.250037396621</v>
      </c>
    </row>
    <row r="65" spans="1:4" x14ac:dyDescent="0.25">
      <c r="A65">
        <v>10</v>
      </c>
      <c r="B65">
        <f>B64+IF('Cleaned Data'!L11&gt;0,1,0)*IF($B$34="Overall",1,IF('Cleaned Data'!K11=$B$34,1,0))*(IF('Cleaned Data'!H11&lt;&gt;"",1,0))</f>
        <v>0</v>
      </c>
      <c r="C65">
        <f>INDEX('Cleaned Data'!H:H,MATCH($A65,$B$56:$B$1919,0))</f>
        <v>3</v>
      </c>
      <c r="D65">
        <f>INDEX('Cleaned Data'!L:L,MATCH($A65,$B$56:$B$1919,0))</f>
        <v>2849.2666699908109</v>
      </c>
    </row>
    <row r="66" spans="1:4" x14ac:dyDescent="0.25">
      <c r="A66">
        <v>11</v>
      </c>
      <c r="B66">
        <f>B65+IF('Cleaned Data'!L12&gt;0,1,0)*IF($B$34="Overall",1,IF('Cleaned Data'!K12=$B$34,1,0))*(IF('Cleaned Data'!H12&lt;&gt;"",1,0))</f>
        <v>0</v>
      </c>
      <c r="C66">
        <f>INDEX('Cleaned Data'!H:H,MATCH($A66,$B$56:$B$1919,0))</f>
        <v>12</v>
      </c>
      <c r="D66">
        <f>INDEX('Cleaned Data'!L:L,MATCH($A66,$B$56:$B$1919,0))</f>
        <v>12821.700014958649</v>
      </c>
    </row>
    <row r="67" spans="1:4" x14ac:dyDescent="0.25">
      <c r="A67">
        <v>12</v>
      </c>
      <c r="B67">
        <f>B66+IF('Cleaned Data'!L13&gt;0,1,0)*IF($B$34="Overall",1,IF('Cleaned Data'!K13=$B$34,1,0))*(IF('Cleaned Data'!H13&lt;&gt;"",1,0))</f>
        <v>0</v>
      </c>
      <c r="C67">
        <f>INDEX('Cleaned Data'!H:H,MATCH($A67,$B$56:$B$1919,0))</f>
        <v>3</v>
      </c>
      <c r="D67">
        <f>INDEX('Cleaned Data'!L:L,MATCH($A67,$B$56:$B$1919,0))</f>
        <v>3561.5833374885137</v>
      </c>
    </row>
    <row r="68" spans="1:4" x14ac:dyDescent="0.25">
      <c r="A68">
        <v>13</v>
      </c>
      <c r="B68">
        <f>B67+IF('Cleaned Data'!L14&gt;0,1,0)*IF($B$34="Overall",1,IF('Cleaned Data'!K14=$B$34,1,0))*(IF('Cleaned Data'!H14&lt;&gt;"",1,0))</f>
        <v>0</v>
      </c>
      <c r="C68">
        <f>INDEX('Cleaned Data'!H:H,MATCH($A68,$B$56:$B$1919,0))</f>
        <v>3</v>
      </c>
      <c r="D68">
        <f>INDEX('Cleaned Data'!L:L,MATCH($A68,$B$56:$B$1919,0))</f>
        <v>10684.750012465542</v>
      </c>
    </row>
    <row r="69" spans="1:4" x14ac:dyDescent="0.25">
      <c r="A69">
        <v>14</v>
      </c>
      <c r="B69">
        <f>B68+IF('Cleaned Data'!L15&gt;0,1,0)*IF($B$34="Overall",1,IF('Cleaned Data'!K15=$B$34,1,0))*(IF('Cleaned Data'!H15&lt;&gt;"",1,0))</f>
        <v>0</v>
      </c>
      <c r="C69">
        <f>INDEX('Cleaned Data'!H:H,MATCH($A69,$B$56:$B$1919,0))</f>
        <v>2</v>
      </c>
      <c r="D69">
        <f>INDEX('Cleaned Data'!L:L,MATCH($A69,$B$56:$B$1919,0))</f>
        <v>5342.3750062327708</v>
      </c>
    </row>
    <row r="70" spans="1:4" x14ac:dyDescent="0.25">
      <c r="A70">
        <v>15</v>
      </c>
      <c r="B70">
        <f>B69+IF('Cleaned Data'!L16&gt;0,1,0)*IF($B$34="Overall",1,IF('Cleaned Data'!K16=$B$34,1,0))*(IF('Cleaned Data'!H16&lt;&gt;"",1,0))</f>
        <v>0</v>
      </c>
      <c r="C70">
        <f>INDEX('Cleaned Data'!H:H,MATCH($A70,$B$56:$B$1919,0))</f>
        <v>1.5</v>
      </c>
      <c r="D70">
        <f>INDEX('Cleaned Data'!L:L,MATCH($A70,$B$56:$B$1919,0))</f>
        <v>71231.666749770273</v>
      </c>
    </row>
    <row r="71" spans="1:4" x14ac:dyDescent="0.25">
      <c r="A71">
        <v>16</v>
      </c>
      <c r="B71">
        <f>B70+IF('Cleaned Data'!L17&gt;0,1,0)*IF($B$34="Overall",1,IF('Cleaned Data'!K17=$B$34,1,0))*(IF('Cleaned Data'!H17&lt;&gt;"",1,0))</f>
        <v>0</v>
      </c>
      <c r="C71">
        <f>INDEX('Cleaned Data'!H:H,MATCH($A71,$B$56:$B$1919,0))</f>
        <v>6</v>
      </c>
      <c r="D71">
        <f>INDEX('Cleaned Data'!L:L,MATCH($A71,$B$56:$B$1919,0))</f>
        <v>80135.625093491559</v>
      </c>
    </row>
    <row r="72" spans="1:4" x14ac:dyDescent="0.25">
      <c r="A72">
        <v>17</v>
      </c>
      <c r="B72">
        <f>B71+IF('Cleaned Data'!L18&gt;0,1,0)*IF($B$34="Overall",1,IF('Cleaned Data'!K18=$B$34,1,0))*(IF('Cleaned Data'!H18&lt;&gt;"",1,0))</f>
        <v>0</v>
      </c>
      <c r="C72">
        <f>INDEX('Cleaned Data'!H:H,MATCH($A72,$B$56:$B$1919,0))</f>
        <v>1</v>
      </c>
      <c r="D72">
        <f>INDEX('Cleaned Data'!L:L,MATCH($A72,$B$56:$B$1919,0))</f>
        <v>5342.3750062327708</v>
      </c>
    </row>
    <row r="73" spans="1:4" x14ac:dyDescent="0.25">
      <c r="A73">
        <v>18</v>
      </c>
      <c r="B73">
        <f>B72+IF('Cleaned Data'!L19&gt;0,1,0)*IF($B$34="Overall",1,IF('Cleaned Data'!K19=$B$34,1,0))*(IF('Cleaned Data'!H19&lt;&gt;"",1,0))</f>
        <v>0</v>
      </c>
      <c r="C73">
        <f>INDEX('Cleaned Data'!H:H,MATCH($A73,$B$56:$B$1919,0))</f>
        <v>5</v>
      </c>
      <c r="D73">
        <f>INDEX('Cleaned Data'!L:L,MATCH($A73,$B$56:$B$1919,0))</f>
        <v>7123.1666749770275</v>
      </c>
    </row>
    <row r="74" spans="1:4" x14ac:dyDescent="0.25">
      <c r="A74">
        <v>19</v>
      </c>
      <c r="B74">
        <f>B73+IF('Cleaned Data'!L20&gt;0,1,0)*IF($B$34="Overall",1,IF('Cleaned Data'!K20=$B$34,1,0))*(IF('Cleaned Data'!H20&lt;&gt;"",1,0))</f>
        <v>0</v>
      </c>
      <c r="C74">
        <f>INDEX('Cleaned Data'!H:H,MATCH($A74,$B$56:$B$1919,0))</f>
        <v>11</v>
      </c>
      <c r="D74">
        <f>INDEX('Cleaned Data'!L:L,MATCH($A74,$B$56:$B$1919,0))</f>
        <v>10684.750012465542</v>
      </c>
    </row>
    <row r="75" spans="1:4" x14ac:dyDescent="0.25">
      <c r="A75">
        <v>20</v>
      </c>
      <c r="B75">
        <f>B74+IF('Cleaned Data'!L21&gt;0,1,0)*IF($B$34="Overall",1,IF('Cleaned Data'!K21=$B$34,1,0))*(IF('Cleaned Data'!H21&lt;&gt;"",1,0))</f>
        <v>0</v>
      </c>
      <c r="C75">
        <f>INDEX('Cleaned Data'!H:H,MATCH($A75,$B$56:$B$1919,0))</f>
        <v>5</v>
      </c>
      <c r="D75">
        <f>INDEX('Cleaned Data'!L:L,MATCH($A75,$B$56:$B$1919,0))</f>
        <v>2671.1875031163854</v>
      </c>
    </row>
    <row r="76" spans="1:4" x14ac:dyDescent="0.25">
      <c r="A76">
        <v>21</v>
      </c>
      <c r="B76">
        <f>B75+IF('Cleaned Data'!L22&gt;0,1,0)*IF($B$34="Overall",1,IF('Cleaned Data'!K22=$B$34,1,0))*(IF('Cleaned Data'!H22&lt;&gt;"",1,0))</f>
        <v>0</v>
      </c>
      <c r="C76">
        <f>INDEX('Cleaned Data'!H:H,MATCH($A76,$B$56:$B$1919,0))</f>
        <v>3</v>
      </c>
      <c r="D76">
        <f>INDEX('Cleaned Data'!L:L,MATCH($A76,$B$56:$B$1919,0))</f>
        <v>14246.333349954055</v>
      </c>
    </row>
    <row r="77" spans="1:4" x14ac:dyDescent="0.25">
      <c r="A77">
        <v>22</v>
      </c>
      <c r="B77">
        <f>B76+IF('Cleaned Data'!L23&gt;0,1,0)*IF($B$34="Overall",1,IF('Cleaned Data'!K23=$B$34,1,0))*(IF('Cleaned Data'!H23&lt;&gt;"",1,0))</f>
        <v>0</v>
      </c>
      <c r="C77">
        <f>INDEX('Cleaned Data'!H:H,MATCH($A77,$B$56:$B$1919,0))</f>
        <v>3</v>
      </c>
      <c r="D77">
        <f>INDEX('Cleaned Data'!L:L,MATCH($A77,$B$56:$B$1919,0))</f>
        <v>8547.8000099724322</v>
      </c>
    </row>
    <row r="78" spans="1:4" x14ac:dyDescent="0.25">
      <c r="A78">
        <v>23</v>
      </c>
      <c r="B78">
        <f>B77+IF('Cleaned Data'!L24&gt;0,1,0)*IF($B$34="Overall",1,IF('Cleaned Data'!K24=$B$34,1,0))*(IF('Cleaned Data'!H24&lt;&gt;"",1,0))</f>
        <v>0</v>
      </c>
      <c r="C78">
        <f>INDEX('Cleaned Data'!H:H,MATCH($A78,$B$56:$B$1919,0))</f>
        <v>5</v>
      </c>
      <c r="D78">
        <f>INDEX('Cleaned Data'!L:L,MATCH($A78,$B$56:$B$1919,0))</f>
        <v>7693.0200089751897</v>
      </c>
    </row>
    <row r="79" spans="1:4" x14ac:dyDescent="0.25">
      <c r="A79">
        <v>24</v>
      </c>
      <c r="B79">
        <f>B78+IF('Cleaned Data'!L25&gt;0,1,0)*IF($B$34="Overall",1,IF('Cleaned Data'!K25=$B$34,1,0))*(IF('Cleaned Data'!H25&lt;&gt;"",1,0))</f>
        <v>0</v>
      </c>
      <c r="C79">
        <f>INDEX('Cleaned Data'!H:H,MATCH($A79,$B$56:$B$1919,0))</f>
        <v>10</v>
      </c>
      <c r="D79">
        <f>INDEX('Cleaned Data'!L:L,MATCH($A79,$B$56:$B$1919,0))</f>
        <v>186983.12521814698</v>
      </c>
    </row>
    <row r="80" spans="1:4" x14ac:dyDescent="0.25">
      <c r="A80">
        <v>25</v>
      </c>
      <c r="B80">
        <f>B79+IF('Cleaned Data'!L26&gt;0,1,0)*IF($B$34="Overall",1,IF('Cleaned Data'!K26=$B$34,1,0))*(IF('Cleaned Data'!H26&lt;&gt;"",1,0))</f>
        <v>0</v>
      </c>
      <c r="C80">
        <f>INDEX('Cleaned Data'!H:H,MATCH($A80,$B$56:$B$1919,0))</f>
        <v>3</v>
      </c>
      <c r="D80">
        <f>INDEX('Cleaned Data'!L:L,MATCH($A80,$B$56:$B$1919,0))</f>
        <v>16917.52085307044</v>
      </c>
    </row>
    <row r="81" spans="1:4" x14ac:dyDescent="0.25">
      <c r="A81">
        <v>26</v>
      </c>
      <c r="B81">
        <f>B80+IF('Cleaned Data'!L27&gt;0,1,0)*IF($B$34="Overall",1,IF('Cleaned Data'!K27=$B$34,1,0))*(IF('Cleaned Data'!H27&lt;&gt;"",1,0))</f>
        <v>0</v>
      </c>
      <c r="C81">
        <f>INDEX('Cleaned Data'!H:H,MATCH($A81,$B$56:$B$1919,0))</f>
        <v>11</v>
      </c>
      <c r="D81">
        <f>INDEX('Cleaned Data'!L:L,MATCH($A81,$B$56:$B$1919,0))</f>
        <v>2938.3062534280239</v>
      </c>
    </row>
    <row r="82" spans="1:4" x14ac:dyDescent="0.25">
      <c r="A82">
        <v>27</v>
      </c>
      <c r="B82">
        <f>B81+IF('Cleaned Data'!L28&gt;0,1,0)*IF($B$34="Overall",1,IF('Cleaned Data'!K28=$B$34,1,0))*(IF('Cleaned Data'!H28&lt;&gt;"",1,0))</f>
        <v>0</v>
      </c>
      <c r="C82">
        <f>INDEX('Cleaned Data'!H:H,MATCH($A82,$B$56:$B$1919,0))</f>
        <v>4.5</v>
      </c>
      <c r="D82">
        <f>INDEX('Cleaned Data'!L:L,MATCH($A82,$B$56:$B$1919,0))</f>
        <v>5342.3750062327708</v>
      </c>
    </row>
    <row r="83" spans="1:4" x14ac:dyDescent="0.25">
      <c r="A83">
        <v>28</v>
      </c>
      <c r="B83">
        <f>B82+IF('Cleaned Data'!L29&gt;0,1,0)*IF($B$34="Overall",1,IF('Cleaned Data'!K29=$B$34,1,0))*(IF('Cleaned Data'!H29&lt;&gt;"",1,0))</f>
        <v>0</v>
      </c>
      <c r="C83">
        <f>INDEX('Cleaned Data'!H:H,MATCH($A83,$B$56:$B$1919,0))</f>
        <v>3</v>
      </c>
      <c r="D83">
        <f>INDEX('Cleaned Data'!L:L,MATCH($A83,$B$56:$B$1919,0))</f>
        <v>3561.5833374885137</v>
      </c>
    </row>
    <row r="84" spans="1:4" x14ac:dyDescent="0.25">
      <c r="A84">
        <v>29</v>
      </c>
      <c r="B84">
        <f>B83+IF('Cleaned Data'!L30&gt;0,1,0)*IF($B$34="Overall",1,IF('Cleaned Data'!K30=$B$34,1,0))*(IF('Cleaned Data'!H30&lt;&gt;"",1,0))</f>
        <v>0</v>
      </c>
      <c r="C84">
        <f>INDEX('Cleaned Data'!H:H,MATCH($A84,$B$56:$B$1919,0))</f>
        <v>8</v>
      </c>
      <c r="D84">
        <f>INDEX('Cleaned Data'!L:L,MATCH($A84,$B$56:$B$1919,0))</f>
        <v>8547.8000099724322</v>
      </c>
    </row>
    <row r="85" spans="1:4" x14ac:dyDescent="0.25">
      <c r="A85">
        <v>30</v>
      </c>
      <c r="B85">
        <f>B84+IF('Cleaned Data'!L31&gt;0,1,0)*IF($B$34="Overall",1,IF('Cleaned Data'!K31=$B$34,1,0))*(IF('Cleaned Data'!H31&lt;&gt;"",1,0))</f>
        <v>0</v>
      </c>
      <c r="C85">
        <f>INDEX('Cleaned Data'!H:H,MATCH($A85,$B$56:$B$1919,0))</f>
        <v>3</v>
      </c>
      <c r="D85">
        <f>INDEX('Cleaned Data'!L:L,MATCH($A85,$B$56:$B$1919,0))</f>
        <v>4095.8208381117906</v>
      </c>
    </row>
    <row r="86" spans="1:4" x14ac:dyDescent="0.25">
      <c r="A86">
        <v>31</v>
      </c>
      <c r="B86">
        <f>B85+IF('Cleaned Data'!L32&gt;0,1,0)*IF($B$34="Overall",1,IF('Cleaned Data'!K32=$B$34,1,0))*(IF('Cleaned Data'!H32&lt;&gt;"",1,0))</f>
        <v>0</v>
      </c>
      <c r="C86">
        <f>INDEX('Cleaned Data'!H:H,MATCH($A86,$B$56:$B$1919,0))</f>
        <v>4.5</v>
      </c>
      <c r="D86">
        <f>INDEX('Cleaned Data'!L:L,MATCH($A86,$B$56:$B$1919,0))</f>
        <v>5787.5729234188348</v>
      </c>
    </row>
    <row r="87" spans="1:4" x14ac:dyDescent="0.25">
      <c r="A87">
        <v>32</v>
      </c>
      <c r="B87">
        <f>B86+IF('Cleaned Data'!L33&gt;0,1,0)*IF($B$34="Overall",1,IF('Cleaned Data'!K33=$B$34,1,0))*(IF('Cleaned Data'!H33&lt;&gt;"",1,0))</f>
        <v>0</v>
      </c>
      <c r="C87">
        <f>INDEX('Cleaned Data'!H:H,MATCH($A87,$B$56:$B$1919,0))</f>
        <v>5</v>
      </c>
      <c r="D87">
        <f>INDEX('Cleaned Data'!L:L,MATCH($A87,$B$56:$B$1919,0))</f>
        <v>4451.9791718606421</v>
      </c>
    </row>
    <row r="88" spans="1:4" x14ac:dyDescent="0.25">
      <c r="A88">
        <v>33</v>
      </c>
      <c r="B88">
        <f>B87+IF('Cleaned Data'!L34&gt;0,1,0)*IF($B$34="Overall",1,IF('Cleaned Data'!K34=$B$34,1,0))*(IF('Cleaned Data'!H34&lt;&gt;"",1,0))</f>
        <v>0</v>
      </c>
      <c r="C88">
        <f>INDEX('Cleaned Data'!H:H,MATCH($A88,$B$56:$B$1919,0))</f>
        <v>4</v>
      </c>
      <c r="D88">
        <f>INDEX('Cleaned Data'!L:L,MATCH($A88,$B$56:$B$1919,0))</f>
        <v>8369.7208430980063</v>
      </c>
    </row>
    <row r="89" spans="1:4" x14ac:dyDescent="0.25">
      <c r="A89">
        <v>34</v>
      </c>
      <c r="B89">
        <f>B88+IF('Cleaned Data'!L35&gt;0,1,0)*IF($B$34="Overall",1,IF('Cleaned Data'!K35=$B$34,1,0))*(IF('Cleaned Data'!H35&lt;&gt;"",1,0))</f>
        <v>0</v>
      </c>
      <c r="C89">
        <f>INDEX('Cleaned Data'!H:H,MATCH($A89,$B$56:$B$1919,0))</f>
        <v>3</v>
      </c>
      <c r="D89">
        <f>INDEX('Cleaned Data'!L:L,MATCH($A89,$B$56:$B$1919,0))</f>
        <v>3917.7416712373652</v>
      </c>
    </row>
    <row r="90" spans="1:4" x14ac:dyDescent="0.25">
      <c r="A90">
        <v>35</v>
      </c>
      <c r="B90">
        <f>B89+IF('Cleaned Data'!L36&gt;0,1,0)*IF($B$34="Overall",1,IF('Cleaned Data'!K36=$B$34,1,0))*(IF('Cleaned Data'!H36&lt;&gt;"",1,0))</f>
        <v>0</v>
      </c>
      <c r="C90">
        <f>INDEX('Cleaned Data'!H:H,MATCH($A90,$B$56:$B$1919,0))</f>
        <v>2</v>
      </c>
      <c r="D90">
        <f>INDEX('Cleaned Data'!L:L,MATCH($A90,$B$56:$B$1919,0))</f>
        <v>4630.058338735068</v>
      </c>
    </row>
    <row r="91" spans="1:4" x14ac:dyDescent="0.25">
      <c r="A91">
        <v>36</v>
      </c>
      <c r="B91">
        <f>B90+IF('Cleaned Data'!L37&gt;0,1,0)*IF($B$34="Overall",1,IF('Cleaned Data'!K37=$B$34,1,0))*(IF('Cleaned Data'!H37&lt;&gt;"",1,0))</f>
        <v>0</v>
      </c>
      <c r="C91">
        <f>INDEX('Cleaned Data'!H:H,MATCH($A91,$B$56:$B$1919,0))</f>
        <v>3</v>
      </c>
      <c r="D91">
        <f>INDEX('Cleaned Data'!L:L,MATCH($A91,$B$56:$B$1919,0))</f>
        <v>2136.9500024931081</v>
      </c>
    </row>
    <row r="92" spans="1:4" x14ac:dyDescent="0.25">
      <c r="A92">
        <v>37</v>
      </c>
      <c r="B92">
        <f>B91+IF('Cleaned Data'!L38&gt;0,1,0)*IF($B$34="Overall",1,IF('Cleaned Data'!K38=$B$34,1,0))*(IF('Cleaned Data'!H38&lt;&gt;"",1,0))</f>
        <v>0</v>
      </c>
      <c r="C92">
        <f>INDEX('Cleaned Data'!H:H,MATCH($A92,$B$56:$B$1919,0))</f>
        <v>7</v>
      </c>
      <c r="D92">
        <f>INDEX('Cleaned Data'!L:L,MATCH($A92,$B$56:$B$1919,0))</f>
        <v>2564.3400029917298</v>
      </c>
    </row>
    <row r="93" spans="1:4" x14ac:dyDescent="0.25">
      <c r="A93">
        <v>38</v>
      </c>
      <c r="B93">
        <f>B92+IF('Cleaned Data'!L39&gt;0,1,0)*IF($B$34="Overall",1,IF('Cleaned Data'!K39=$B$34,1,0))*(IF('Cleaned Data'!H39&lt;&gt;"",1,0))</f>
        <v>0</v>
      </c>
      <c r="C93">
        <f>INDEX('Cleaned Data'!H:H,MATCH($A93,$B$56:$B$1919,0))</f>
        <v>7</v>
      </c>
      <c r="D93">
        <f>INDEX('Cleaned Data'!L:L,MATCH($A93,$B$56:$B$1919,0))</f>
        <v>20479.104190558952</v>
      </c>
    </row>
    <row r="94" spans="1:4" x14ac:dyDescent="0.25">
      <c r="A94">
        <v>39</v>
      </c>
      <c r="B94">
        <f>B93+IF('Cleaned Data'!L40&gt;0,1,0)*IF($B$34="Overall",1,IF('Cleaned Data'!K40=$B$34,1,0))*(IF('Cleaned Data'!H40&lt;&gt;"",1,0))</f>
        <v>0</v>
      </c>
      <c r="C94">
        <f>INDEX('Cleaned Data'!H:H,MATCH($A94,$B$56:$B$1919,0))</f>
        <v>3</v>
      </c>
      <c r="D94">
        <f>INDEX('Cleaned Data'!L:L,MATCH($A94,$B$56:$B$1919,0))</f>
        <v>5342.3750062327708</v>
      </c>
    </row>
    <row r="95" spans="1:4" x14ac:dyDescent="0.25">
      <c r="A95">
        <v>40</v>
      </c>
      <c r="B95">
        <f>B94+IF('Cleaned Data'!L41&gt;0,1,0)*IF($B$34="Overall",1,IF('Cleaned Data'!K41=$B$34,1,0))*(IF('Cleaned Data'!H41&lt;&gt;"",1,0))</f>
        <v>0</v>
      </c>
      <c r="C95">
        <f>INDEX('Cleaned Data'!H:H,MATCH($A95,$B$56:$B$1919,0))</f>
        <v>2</v>
      </c>
      <c r="D95">
        <f>INDEX('Cleaned Data'!L:L,MATCH($A95,$B$56:$B$1919,0))</f>
        <v>11539.530013462785</v>
      </c>
    </row>
    <row r="96" spans="1:4" x14ac:dyDescent="0.25">
      <c r="A96">
        <v>41</v>
      </c>
      <c r="B96">
        <f>B95+IF('Cleaned Data'!L42&gt;0,1,0)*IF($B$34="Overall",1,IF('Cleaned Data'!K42=$B$34,1,0))*(IF('Cleaned Data'!H42&lt;&gt;"",1,0))</f>
        <v>0</v>
      </c>
      <c r="C96">
        <f>INDEX('Cleaned Data'!H:H,MATCH($A96,$B$56:$B$1919,0))</f>
        <v>6</v>
      </c>
      <c r="D96">
        <f>INDEX('Cleaned Data'!L:L,MATCH($A96,$B$56:$B$1919,0))</f>
        <v>6767.0083412281756</v>
      </c>
    </row>
    <row r="97" spans="1:4" x14ac:dyDescent="0.25">
      <c r="A97">
        <v>42</v>
      </c>
      <c r="B97">
        <f>B96+IF('Cleaned Data'!L43&gt;0,1,0)*IF($B$34="Overall",1,IF('Cleaned Data'!K43=$B$34,1,0))*(IF('Cleaned Data'!H43&lt;&gt;"",1,0))</f>
        <v>0</v>
      </c>
      <c r="C97">
        <f>INDEX('Cleaned Data'!H:H,MATCH($A97,$B$56:$B$1919,0))</f>
        <v>4</v>
      </c>
      <c r="D97">
        <f>INDEX('Cleaned Data'!L:L,MATCH($A97,$B$56:$B$1919,0))</f>
        <v>4451.9791718606421</v>
      </c>
    </row>
    <row r="98" spans="1:4" x14ac:dyDescent="0.25">
      <c r="A98">
        <v>43</v>
      </c>
      <c r="B98">
        <f>B97+IF('Cleaned Data'!L44&gt;0,1,0)*IF($B$34="Overall",1,IF('Cleaned Data'!K44=$B$34,1,0))*(IF('Cleaned Data'!H44&lt;&gt;"",1,0))</f>
        <v>0</v>
      </c>
      <c r="C98">
        <f>INDEX('Cleaned Data'!H:H,MATCH($A98,$B$56:$B$1919,0))</f>
        <v>4.5</v>
      </c>
      <c r="D98">
        <f>INDEX('Cleaned Data'!L:L,MATCH($A98,$B$56:$B$1919,0))</f>
        <v>2671.1875031163854</v>
      </c>
    </row>
    <row r="99" spans="1:4" x14ac:dyDescent="0.25">
      <c r="A99">
        <v>44</v>
      </c>
      <c r="B99">
        <f>B98+IF('Cleaned Data'!L45&gt;0,1,0)*IF($B$34="Overall",1,IF('Cleaned Data'!K45=$B$34,1,0))*(IF('Cleaned Data'!H45&lt;&gt;"",1,0))</f>
        <v>0</v>
      </c>
      <c r="C99">
        <f>INDEX('Cleaned Data'!H:H,MATCH($A99,$B$56:$B$1919,0))</f>
        <v>5</v>
      </c>
      <c r="D99">
        <f>INDEX('Cleaned Data'!L:L,MATCH($A99,$B$56:$B$1919,0))</f>
        <v>4957.7240057840108</v>
      </c>
    </row>
    <row r="100" spans="1:4" x14ac:dyDescent="0.25">
      <c r="A100">
        <v>45</v>
      </c>
      <c r="B100">
        <f>B99+IF('Cleaned Data'!L46&gt;0,1,0)*IF($B$34="Overall",1,IF('Cleaned Data'!K46=$B$34,1,0))*(IF('Cleaned Data'!H46&lt;&gt;"",1,0))</f>
        <v>0</v>
      </c>
      <c r="C100">
        <f>INDEX('Cleaned Data'!H:H,MATCH($A100,$B$56:$B$1919,0))</f>
        <v>14</v>
      </c>
      <c r="D100">
        <f>INDEX('Cleaned Data'!L:L,MATCH($A100,$B$56:$B$1919,0))</f>
        <v>3205.4250037396623</v>
      </c>
    </row>
    <row r="101" spans="1:4" x14ac:dyDescent="0.25">
      <c r="A101">
        <v>46</v>
      </c>
      <c r="B101">
        <f>B100+IF('Cleaned Data'!L47&gt;0,1,0)*IF($B$34="Overall",1,IF('Cleaned Data'!K47=$B$34,1,0))*(IF('Cleaned Data'!H47&lt;&gt;"",1,0))</f>
        <v>0</v>
      </c>
      <c r="C101">
        <f>INDEX('Cleaned Data'!H:H,MATCH($A101,$B$56:$B$1919,0))</f>
        <v>7</v>
      </c>
      <c r="D101">
        <f>INDEX('Cleaned Data'!L:L,MATCH($A101,$B$56:$B$1919,0))</f>
        <v>14246.333349954055</v>
      </c>
    </row>
    <row r="102" spans="1:4" x14ac:dyDescent="0.25">
      <c r="A102">
        <v>47</v>
      </c>
      <c r="B102">
        <f>B101+IF('Cleaned Data'!L48&gt;0,1,0)*IF($B$34="Overall",1,IF('Cleaned Data'!K48=$B$34,1,0))*(IF('Cleaned Data'!H48&lt;&gt;"",1,0))</f>
        <v>0</v>
      </c>
      <c r="C102">
        <f>INDEX('Cleaned Data'!H:H,MATCH($A102,$B$56:$B$1919,0))</f>
        <v>7</v>
      </c>
      <c r="D102">
        <f>INDEX('Cleaned Data'!L:L,MATCH($A102,$B$56:$B$1919,0))</f>
        <v>5342.3750062327708</v>
      </c>
    </row>
    <row r="103" spans="1:4" x14ac:dyDescent="0.25">
      <c r="A103">
        <v>48</v>
      </c>
      <c r="B103">
        <f>B102+IF('Cleaned Data'!L49&gt;0,1,0)*IF($B$34="Overall",1,IF('Cleaned Data'!K49=$B$34,1,0))*(IF('Cleaned Data'!H49&lt;&gt;"",1,0))</f>
        <v>0</v>
      </c>
      <c r="C103">
        <f>INDEX('Cleaned Data'!H:H,MATCH($A103,$B$56:$B$1919,0))</f>
        <v>2</v>
      </c>
      <c r="D103">
        <f>INDEX('Cleaned Data'!L:L,MATCH($A103,$B$56:$B$1919,0))</f>
        <v>6588.9291743537506</v>
      </c>
    </row>
    <row r="104" spans="1:4" x14ac:dyDescent="0.25">
      <c r="A104">
        <v>49</v>
      </c>
      <c r="B104">
        <f>B103+IF('Cleaned Data'!L50&gt;0,1,0)*IF($B$34="Overall",1,IF('Cleaned Data'!K50=$B$34,1,0))*(IF('Cleaned Data'!H50&lt;&gt;"",1,0))</f>
        <v>0</v>
      </c>
      <c r="C104">
        <f>INDEX('Cleaned Data'!H:H,MATCH($A104,$B$56:$B$1919,0))</f>
        <v>2</v>
      </c>
      <c r="D104">
        <f>INDEX('Cleaned Data'!L:L,MATCH($A104,$B$56:$B$1919,0))</f>
        <v>6588.9291743537506</v>
      </c>
    </row>
    <row r="105" spans="1:4" x14ac:dyDescent="0.25">
      <c r="A105">
        <v>50</v>
      </c>
      <c r="B105">
        <f>B104+IF('Cleaned Data'!L51&gt;0,1,0)*IF($B$34="Overall",1,IF('Cleaned Data'!K51=$B$34,1,0))*(IF('Cleaned Data'!H51&lt;&gt;"",1,0))</f>
        <v>0</v>
      </c>
      <c r="C105">
        <f>INDEX('Cleaned Data'!H:H,MATCH($A105,$B$56:$B$1919,0))</f>
        <v>4</v>
      </c>
      <c r="D105">
        <f>INDEX('Cleaned Data'!L:L,MATCH($A105,$B$56:$B$1919,0))</f>
        <v>12821.700014958649</v>
      </c>
    </row>
    <row r="106" spans="1:4" x14ac:dyDescent="0.25">
      <c r="A106">
        <v>51</v>
      </c>
      <c r="B106">
        <f>B105+IF('Cleaned Data'!L52&gt;0,1,0)*IF($B$34="Overall",1,IF('Cleaned Data'!K52=$B$34,1,0))*(IF('Cleaned Data'!H52&lt;&gt;"",1,0))</f>
        <v>0</v>
      </c>
      <c r="C106">
        <f>INDEX('Cleaned Data'!H:H,MATCH($A106,$B$56:$B$1919,0))</f>
        <v>2</v>
      </c>
      <c r="D106">
        <f>INDEX('Cleaned Data'!L:L,MATCH($A106,$B$56:$B$1919,0))</f>
        <v>10684.750012465542</v>
      </c>
    </row>
    <row r="107" spans="1:4" x14ac:dyDescent="0.25">
      <c r="A107">
        <v>52</v>
      </c>
      <c r="B107">
        <f>B106+IF('Cleaned Data'!L53&gt;0,1,0)*IF($B$34="Overall",1,IF('Cleaned Data'!K53=$B$34,1,0))*(IF('Cleaned Data'!H53&lt;&gt;"",1,0))</f>
        <v>0</v>
      </c>
      <c r="C107">
        <f>INDEX('Cleaned Data'!H:H,MATCH($A107,$B$56:$B$1919,0))</f>
        <v>0</v>
      </c>
      <c r="D107">
        <f>INDEX('Cleaned Data'!L:L,MATCH($A107,$B$56:$B$1919,0))</f>
        <v>2136.9500024931081</v>
      </c>
    </row>
    <row r="108" spans="1:4" x14ac:dyDescent="0.25">
      <c r="A108">
        <v>53</v>
      </c>
      <c r="B108">
        <f>B107+IF('Cleaned Data'!L54&gt;0,1,0)*IF($B$34="Overall",1,IF('Cleaned Data'!K54=$B$34,1,0))*(IF('Cleaned Data'!H54&lt;&gt;"",1,0))</f>
        <v>0</v>
      </c>
      <c r="C108">
        <f>INDEX('Cleaned Data'!H:H,MATCH($A108,$B$56:$B$1919,0))</f>
        <v>4</v>
      </c>
      <c r="D108">
        <f>INDEX('Cleaned Data'!L:L,MATCH($A108,$B$56:$B$1919,0))</f>
        <v>8547.8000099724322</v>
      </c>
    </row>
    <row r="109" spans="1:4" x14ac:dyDescent="0.25">
      <c r="A109">
        <v>54</v>
      </c>
      <c r="B109">
        <f>B108+IF('Cleaned Data'!L55&gt;0,1,0)*IF($B$34="Overall",1,IF('Cleaned Data'!K55=$B$34,1,0))*(IF('Cleaned Data'!H55&lt;&gt;"",1,0))</f>
        <v>0</v>
      </c>
      <c r="C109">
        <f>INDEX('Cleaned Data'!H:H,MATCH($A109,$B$56:$B$1919,0))</f>
        <v>8</v>
      </c>
      <c r="D109">
        <f>INDEX('Cleaned Data'!L:L,MATCH($A109,$B$56:$B$1919,0))</f>
        <v>8013.5625093491553</v>
      </c>
    </row>
    <row r="110" spans="1:4" x14ac:dyDescent="0.25">
      <c r="A110">
        <v>55</v>
      </c>
      <c r="B110">
        <f>B109+IF('Cleaned Data'!L56&gt;0,1,0)*IF($B$34="Overall",1,IF('Cleaned Data'!K56=$B$34,1,0))*(IF('Cleaned Data'!H56&lt;&gt;"",1,0))</f>
        <v>0</v>
      </c>
      <c r="C110">
        <f>INDEX('Cleaned Data'!H:H,MATCH($A110,$B$56:$B$1919,0))</f>
        <v>0</v>
      </c>
      <c r="D110">
        <f>INDEX('Cleaned Data'!L:L,MATCH($A110,$B$56:$B$1919,0))</f>
        <v>7123.1666749770275</v>
      </c>
    </row>
    <row r="111" spans="1:4" x14ac:dyDescent="0.25">
      <c r="A111">
        <v>56</v>
      </c>
      <c r="B111">
        <f>B110+IF('Cleaned Data'!L57&gt;0,1,0)*IF($B$34="Overall",1,IF('Cleaned Data'!K57=$B$34,1,0))*(IF('Cleaned Data'!H57&lt;&gt;"",1,0))</f>
        <v>0</v>
      </c>
      <c r="C111">
        <f>INDEX('Cleaned Data'!H:H,MATCH($A111,$B$56:$B$1919,0))</f>
        <v>5</v>
      </c>
      <c r="D111">
        <f>INDEX('Cleaned Data'!L:L,MATCH($A111,$B$56:$B$1919,0))</f>
        <v>40958.208381117904</v>
      </c>
    </row>
    <row r="112" spans="1:4" x14ac:dyDescent="0.25">
      <c r="A112">
        <v>57</v>
      </c>
      <c r="B112">
        <f>B111+IF('Cleaned Data'!L58&gt;0,1,0)*IF($B$34="Overall",1,IF('Cleaned Data'!K58=$B$34,1,0))*(IF('Cleaned Data'!H58&lt;&gt;"",1,0))</f>
        <v>0</v>
      </c>
      <c r="C112">
        <f>INDEX('Cleaned Data'!H:H,MATCH($A112,$B$56:$B$1919,0))</f>
        <v>2</v>
      </c>
      <c r="D112">
        <f>INDEX('Cleaned Data'!L:L,MATCH($A112,$B$56:$B$1919,0))</f>
        <v>11325.835013213473</v>
      </c>
    </row>
    <row r="113" spans="1:4" x14ac:dyDescent="0.25">
      <c r="A113">
        <v>58</v>
      </c>
      <c r="B113">
        <f>B112+IF('Cleaned Data'!L59&gt;0,1,0)*IF($B$34="Overall",1,IF('Cleaned Data'!K59=$B$34,1,0))*(IF('Cleaned Data'!H59&lt;&gt;"",1,0))</f>
        <v>0</v>
      </c>
      <c r="C113">
        <f>INDEX('Cleaned Data'!H:H,MATCH($A113,$B$56:$B$1919,0))</f>
        <v>1</v>
      </c>
      <c r="D113">
        <f>INDEX('Cleaned Data'!L:L,MATCH($A113,$B$56:$B$1919,0))</f>
        <v>8903.9583437212841</v>
      </c>
    </row>
    <row r="114" spans="1:4" x14ac:dyDescent="0.25">
      <c r="A114">
        <v>59</v>
      </c>
      <c r="B114">
        <f>B113+IF('Cleaned Data'!L60&gt;0,1,0)*IF($B$34="Overall",1,IF('Cleaned Data'!K60=$B$34,1,0))*(IF('Cleaned Data'!H60&lt;&gt;"",1,0))</f>
        <v>0</v>
      </c>
      <c r="C114">
        <f>INDEX('Cleaned Data'!H:H,MATCH($A114,$B$56:$B$1919,0))</f>
        <v>2</v>
      </c>
      <c r="D114">
        <f>INDEX('Cleaned Data'!L:L,MATCH($A114,$B$56:$B$1919,0))</f>
        <v>8903.9583437212841</v>
      </c>
    </row>
    <row r="115" spans="1:4" x14ac:dyDescent="0.25">
      <c r="A115">
        <v>60</v>
      </c>
      <c r="B115">
        <f>B114+IF('Cleaned Data'!L61&gt;0,1,0)*IF($B$34="Overall",1,IF('Cleaned Data'!K61=$B$34,1,0))*(IF('Cleaned Data'!H61&lt;&gt;"",1,0))</f>
        <v>0</v>
      </c>
      <c r="C115">
        <f>INDEX('Cleaned Data'!H:H,MATCH($A115,$B$56:$B$1919,0))</f>
        <v>10</v>
      </c>
      <c r="D115">
        <f>INDEX('Cleaned Data'!L:L,MATCH($A115,$B$56:$B$1919,0))</f>
        <v>12821.700014958649</v>
      </c>
    </row>
    <row r="116" spans="1:4" x14ac:dyDescent="0.25">
      <c r="A116">
        <v>61</v>
      </c>
      <c r="B116">
        <f>B115+IF('Cleaned Data'!L62&gt;0,1,0)*IF($B$34="Overall",1,IF('Cleaned Data'!K62=$B$34,1,0))*(IF('Cleaned Data'!H62&lt;&gt;"",1,0))</f>
        <v>0</v>
      </c>
      <c r="C116">
        <f>INDEX('Cleaned Data'!H:H,MATCH($A116,$B$56:$B$1919,0))</f>
        <v>7</v>
      </c>
      <c r="D116">
        <f>INDEX('Cleaned Data'!L:L,MATCH($A116,$B$56:$B$1919,0))</f>
        <v>3205.4250037396623</v>
      </c>
    </row>
    <row r="117" spans="1:4" x14ac:dyDescent="0.25">
      <c r="A117">
        <v>62</v>
      </c>
      <c r="B117">
        <f>B116+IF('Cleaned Data'!L63&gt;0,1,0)*IF($B$34="Overall",1,IF('Cleaned Data'!K63=$B$34,1,0))*(IF('Cleaned Data'!H63&lt;&gt;"",1,0))</f>
        <v>0</v>
      </c>
      <c r="C117">
        <f>INDEX('Cleaned Data'!H:H,MATCH($A117,$B$56:$B$1919,0))</f>
        <v>6</v>
      </c>
      <c r="D117">
        <f>INDEX('Cleaned Data'!L:L,MATCH($A117,$B$56:$B$1919,0))</f>
        <v>6677.9687577909626</v>
      </c>
    </row>
    <row r="118" spans="1:4" x14ac:dyDescent="0.25">
      <c r="A118">
        <v>63</v>
      </c>
      <c r="B118">
        <f>B117+IF('Cleaned Data'!L64&gt;0,1,0)*IF($B$34="Overall",1,IF('Cleaned Data'!K64=$B$34,1,0))*(IF('Cleaned Data'!H64&lt;&gt;"",1,0))</f>
        <v>0</v>
      </c>
      <c r="C118">
        <f>INDEX('Cleaned Data'!H:H,MATCH($A118,$B$56:$B$1919,0))</f>
        <v>4</v>
      </c>
      <c r="D118">
        <f>INDEX('Cleaned Data'!L:L,MATCH($A118,$B$56:$B$1919,0))</f>
        <v>7123.1666749770275</v>
      </c>
    </row>
    <row r="119" spans="1:4" x14ac:dyDescent="0.25">
      <c r="A119">
        <v>64</v>
      </c>
      <c r="B119">
        <f>B118+IF('Cleaned Data'!L65&gt;0,1,0)*IF($B$34="Overall",1,IF('Cleaned Data'!K65=$B$34,1,0))*(IF('Cleaned Data'!H65&lt;&gt;"",1,0))</f>
        <v>0</v>
      </c>
      <c r="C119">
        <f>INDEX('Cleaned Data'!H:H,MATCH($A119,$B$56:$B$1919,0))</f>
        <v>6</v>
      </c>
      <c r="D119">
        <f>INDEX('Cleaned Data'!L:L,MATCH($A119,$B$56:$B$1919,0))</f>
        <v>4451.9791718606421</v>
      </c>
    </row>
    <row r="120" spans="1:4" x14ac:dyDescent="0.25">
      <c r="A120">
        <v>65</v>
      </c>
      <c r="B120">
        <f>B119+IF('Cleaned Data'!L66&gt;0,1,0)*IF($B$34="Overall",1,IF('Cleaned Data'!K66=$B$34,1,0))*(IF('Cleaned Data'!H66&lt;&gt;"",1,0))</f>
        <v>0</v>
      </c>
      <c r="C120">
        <f>INDEX('Cleaned Data'!H:H,MATCH($A120,$B$56:$B$1919,0))</f>
        <v>1</v>
      </c>
      <c r="D120">
        <f>INDEX('Cleaned Data'!L:L,MATCH($A120,$B$56:$B$1919,0))</f>
        <v>6945.0875081026015</v>
      </c>
    </row>
    <row r="121" spans="1:4" x14ac:dyDescent="0.25">
      <c r="A121">
        <v>66</v>
      </c>
      <c r="B121">
        <f>B120+IF('Cleaned Data'!L67&gt;0,1,0)*IF($B$34="Overall",1,IF('Cleaned Data'!K67=$B$34,1,0))*(IF('Cleaned Data'!H67&lt;&gt;"",1,0))</f>
        <v>0</v>
      </c>
      <c r="C121">
        <f>INDEX('Cleaned Data'!H:H,MATCH($A121,$B$56:$B$1919,0))</f>
        <v>7</v>
      </c>
      <c r="D121">
        <f>INDEX('Cleaned Data'!L:L,MATCH($A121,$B$56:$B$1919,0))</f>
        <v>10684.750012465542</v>
      </c>
    </row>
    <row r="122" spans="1:4" x14ac:dyDescent="0.25">
      <c r="A122">
        <v>67</v>
      </c>
      <c r="B122">
        <f>B121+IF('Cleaned Data'!L68&gt;0,1,0)*IF($B$34="Overall",1,IF('Cleaned Data'!K68=$B$34,1,0))*(IF('Cleaned Data'!H68&lt;&gt;"",1,0))</f>
        <v>0</v>
      </c>
      <c r="C122">
        <f>INDEX('Cleaned Data'!H:H,MATCH($A122,$B$56:$B$1919,0))</f>
        <v>3.5</v>
      </c>
      <c r="D122">
        <f>INDEX('Cleaned Data'!L:L,MATCH($A122,$B$56:$B$1919,0))</f>
        <v>8547.8000099724322</v>
      </c>
    </row>
    <row r="123" spans="1:4" x14ac:dyDescent="0.25">
      <c r="A123">
        <v>68</v>
      </c>
      <c r="B123">
        <f>B122+IF('Cleaned Data'!L69&gt;0,1,0)*IF($B$34="Overall",1,IF('Cleaned Data'!K69=$B$34,1,0))*(IF('Cleaned Data'!H69&lt;&gt;"",1,0))</f>
        <v>0</v>
      </c>
      <c r="C123">
        <f>INDEX('Cleaned Data'!H:H,MATCH($A123,$B$56:$B$1919,0))</f>
        <v>12</v>
      </c>
      <c r="D123">
        <f>INDEX('Cleaned Data'!L:L,MATCH($A123,$B$56:$B$1919,0))</f>
        <v>17807.916687442568</v>
      </c>
    </row>
    <row r="124" spans="1:4" x14ac:dyDescent="0.25">
      <c r="A124">
        <v>69</v>
      </c>
      <c r="B124">
        <f>B123+IF('Cleaned Data'!L70&gt;0,1,0)*IF($B$34="Overall",1,IF('Cleaned Data'!K70=$B$34,1,0))*(IF('Cleaned Data'!H70&lt;&gt;"",1,0))</f>
        <v>0</v>
      </c>
      <c r="C124">
        <f>INDEX('Cleaned Data'!H:H,MATCH($A124,$B$56:$B$1919,0))</f>
        <v>4</v>
      </c>
      <c r="D124">
        <f>INDEX('Cleaned Data'!L:L,MATCH($A124,$B$56:$B$1919,0))</f>
        <v>3205.4250037396623</v>
      </c>
    </row>
    <row r="125" spans="1:4" x14ac:dyDescent="0.25">
      <c r="A125">
        <v>70</v>
      </c>
      <c r="B125">
        <f>B124+IF('Cleaned Data'!L71&gt;0,1,0)*IF($B$34="Overall",1,IF('Cleaned Data'!K71=$B$34,1,0))*(IF('Cleaned Data'!H71&lt;&gt;"",1,0))</f>
        <v>0</v>
      </c>
      <c r="C125">
        <f>INDEX('Cleaned Data'!H:H,MATCH($A125,$B$56:$B$1919,0))</f>
        <v>13</v>
      </c>
      <c r="D125">
        <f>INDEX('Cleaned Data'!L:L,MATCH($A125,$B$56:$B$1919,0))</f>
        <v>14246.333349954055</v>
      </c>
    </row>
    <row r="126" spans="1:4" x14ac:dyDescent="0.25">
      <c r="A126">
        <v>71</v>
      </c>
      <c r="B126">
        <f>B125+IF('Cleaned Data'!L72&gt;0,1,0)*IF($B$34="Overall",1,IF('Cleaned Data'!K72=$B$34,1,0))*(IF('Cleaned Data'!H72&lt;&gt;"",1,0))</f>
        <v>0</v>
      </c>
      <c r="C126">
        <f>INDEX('Cleaned Data'!H:H,MATCH($A126,$B$56:$B$1919,0))</f>
        <v>8</v>
      </c>
      <c r="D126">
        <f>INDEX('Cleaned Data'!L:L,MATCH($A126,$B$56:$B$1919,0))</f>
        <v>10684.750012465542</v>
      </c>
    </row>
    <row r="127" spans="1:4" x14ac:dyDescent="0.25">
      <c r="A127">
        <v>72</v>
      </c>
      <c r="B127">
        <f>B126+IF('Cleaned Data'!L73&gt;0,1,0)*IF($B$34="Overall",1,IF('Cleaned Data'!K73=$B$34,1,0))*(IF('Cleaned Data'!H73&lt;&gt;"",1,0))</f>
        <v>0</v>
      </c>
      <c r="C127">
        <f>INDEX('Cleaned Data'!H:H,MATCH($A127,$B$56:$B$1919,0))</f>
        <v>5</v>
      </c>
      <c r="D127">
        <f>INDEX('Cleaned Data'!L:L,MATCH($A127,$B$56:$B$1919,0))</f>
        <v>7301.2458418514525</v>
      </c>
    </row>
    <row r="128" spans="1:4" x14ac:dyDescent="0.25">
      <c r="A128">
        <v>73</v>
      </c>
      <c r="B128">
        <f>B127+IF('Cleaned Data'!L74&gt;0,1,0)*IF($B$34="Overall",1,IF('Cleaned Data'!K74=$B$34,1,0))*(IF('Cleaned Data'!H74&lt;&gt;"",1,0))</f>
        <v>0</v>
      </c>
      <c r="C128">
        <f>INDEX('Cleaned Data'!H:H,MATCH($A128,$B$56:$B$1919,0))</f>
        <v>5</v>
      </c>
      <c r="D128">
        <f>INDEX('Cleaned Data'!L:L,MATCH($A128,$B$56:$B$1919,0))</f>
        <v>10684.750012465542</v>
      </c>
    </row>
    <row r="129" spans="1:4" x14ac:dyDescent="0.25">
      <c r="A129">
        <v>74</v>
      </c>
      <c r="B129">
        <f>B128+IF('Cleaned Data'!L75&gt;0,1,0)*IF($B$34="Overall",1,IF('Cleaned Data'!K75=$B$34,1,0))*(IF('Cleaned Data'!H75&lt;&gt;"",1,0))</f>
        <v>0</v>
      </c>
      <c r="C129">
        <f>INDEX('Cleaned Data'!H:H,MATCH($A129,$B$56:$B$1919,0))</f>
        <v>6</v>
      </c>
      <c r="D129">
        <f>INDEX('Cleaned Data'!L:L,MATCH($A129,$B$56:$B$1919,0))</f>
        <v>6410.8500074793246</v>
      </c>
    </row>
    <row r="130" spans="1:4" x14ac:dyDescent="0.25">
      <c r="A130">
        <v>75</v>
      </c>
      <c r="B130">
        <f>B129+IF('Cleaned Data'!L76&gt;0,1,0)*IF($B$34="Overall",1,IF('Cleaned Data'!K76=$B$34,1,0))*(IF('Cleaned Data'!H76&lt;&gt;"",1,0))</f>
        <v>0</v>
      </c>
      <c r="C130">
        <f>INDEX('Cleaned Data'!H:H,MATCH($A130,$B$56:$B$1919,0))</f>
        <v>8</v>
      </c>
      <c r="D130">
        <f>INDEX('Cleaned Data'!L:L,MATCH($A130,$B$56:$B$1919,0))</f>
        <v>4273.9000049862161</v>
      </c>
    </row>
    <row r="131" spans="1:4" x14ac:dyDescent="0.25">
      <c r="A131">
        <v>76</v>
      </c>
      <c r="B131">
        <f>B130+IF('Cleaned Data'!L77&gt;0,1,0)*IF($B$34="Overall",1,IF('Cleaned Data'!K77=$B$34,1,0))*(IF('Cleaned Data'!H77&lt;&gt;"",1,0))</f>
        <v>0</v>
      </c>
      <c r="C131">
        <f>INDEX('Cleaned Data'!H:H,MATCH($A131,$B$56:$B$1919,0))</f>
        <v>5.5</v>
      </c>
      <c r="D131">
        <f>INDEX('Cleaned Data'!L:L,MATCH($A131,$B$56:$B$1919,0))</f>
        <v>4006.7812546745777</v>
      </c>
    </row>
    <row r="132" spans="1:4" x14ac:dyDescent="0.25">
      <c r="A132">
        <v>77</v>
      </c>
      <c r="B132">
        <f>B131+IF('Cleaned Data'!L78&gt;0,1,0)*IF($B$34="Overall",1,IF('Cleaned Data'!K78=$B$34,1,0))*(IF('Cleaned Data'!H78&lt;&gt;"",1,0))</f>
        <v>0</v>
      </c>
      <c r="C132">
        <f>INDEX('Cleaned Data'!H:H,MATCH($A132,$B$56:$B$1919,0))</f>
        <v>20</v>
      </c>
      <c r="D132">
        <f>INDEX('Cleaned Data'!L:L,MATCH($A132,$B$56:$B$1919,0))</f>
        <v>4273.9000049862161</v>
      </c>
    </row>
    <row r="133" spans="1:4" x14ac:dyDescent="0.25">
      <c r="A133">
        <v>78</v>
      </c>
      <c r="B133">
        <f>B132+IF('Cleaned Data'!L79&gt;0,1,0)*IF($B$34="Overall",1,IF('Cleaned Data'!K79=$B$34,1,0))*(IF('Cleaned Data'!H79&lt;&gt;"",1,0))</f>
        <v>0</v>
      </c>
      <c r="C133">
        <f>INDEX('Cleaned Data'!H:H,MATCH($A133,$B$56:$B$1919,0))</f>
        <v>5</v>
      </c>
      <c r="D133">
        <f>INDEX('Cleaned Data'!L:L,MATCH($A133,$B$56:$B$1919,0))</f>
        <v>12465.541681209797</v>
      </c>
    </row>
    <row r="134" spans="1:4" x14ac:dyDescent="0.25">
      <c r="A134">
        <v>79</v>
      </c>
      <c r="B134">
        <f>B133+IF('Cleaned Data'!L80&gt;0,1,0)*IF($B$34="Overall",1,IF('Cleaned Data'!K80=$B$34,1,0))*(IF('Cleaned Data'!H80&lt;&gt;"",1,0))</f>
        <v>0</v>
      </c>
      <c r="C134">
        <f>INDEX('Cleaned Data'!H:H,MATCH($A134,$B$56:$B$1919,0))</f>
        <v>2</v>
      </c>
      <c r="D134">
        <f>INDEX('Cleaned Data'!L:L,MATCH($A134,$B$56:$B$1919,0))</f>
        <v>2136.9500024931081</v>
      </c>
    </row>
    <row r="135" spans="1:4" x14ac:dyDescent="0.25">
      <c r="A135">
        <v>80</v>
      </c>
      <c r="B135">
        <f>B134+IF('Cleaned Data'!L81&gt;0,1,0)*IF($B$34="Overall",1,IF('Cleaned Data'!K81=$B$34,1,0))*(IF('Cleaned Data'!H81&lt;&gt;"",1,0))</f>
        <v>0</v>
      </c>
      <c r="C135">
        <f>INDEX('Cleaned Data'!H:H,MATCH($A135,$B$56:$B$1919,0))</f>
        <v>14</v>
      </c>
      <c r="D135">
        <f>INDEX('Cleaned Data'!L:L,MATCH($A135,$B$56:$B$1919,0))</f>
        <v>21369.500024931083</v>
      </c>
    </row>
    <row r="136" spans="1:4" x14ac:dyDescent="0.25">
      <c r="A136">
        <v>81</v>
      </c>
      <c r="B136">
        <f>B135+IF('Cleaned Data'!L82&gt;0,1,0)*IF($B$34="Overall",1,IF('Cleaned Data'!K82=$B$34,1,0))*(IF('Cleaned Data'!H82&lt;&gt;"",1,0))</f>
        <v>0</v>
      </c>
      <c r="C136">
        <f>INDEX('Cleaned Data'!H:H,MATCH($A136,$B$56:$B$1919,0))</f>
        <v>10</v>
      </c>
      <c r="D136">
        <f>INDEX('Cleaned Data'!L:L,MATCH($A136,$B$56:$B$1919,0))</f>
        <v>3650.6229209257262</v>
      </c>
    </row>
    <row r="137" spans="1:4" x14ac:dyDescent="0.25">
      <c r="A137">
        <v>82</v>
      </c>
      <c r="B137">
        <f>B136+IF('Cleaned Data'!L83&gt;0,1,0)*IF($B$34="Overall",1,IF('Cleaned Data'!K83=$B$34,1,0))*(IF('Cleaned Data'!H83&lt;&gt;"",1,0))</f>
        <v>0</v>
      </c>
      <c r="C137">
        <f>INDEX('Cleaned Data'!H:H,MATCH($A137,$B$56:$B$1919,0))</f>
        <v>4</v>
      </c>
      <c r="D137">
        <f>INDEX('Cleaned Data'!L:L,MATCH($A137,$B$56:$B$1919,0))</f>
        <v>5342.3750062327708</v>
      </c>
    </row>
    <row r="138" spans="1:4" x14ac:dyDescent="0.25">
      <c r="A138">
        <v>83</v>
      </c>
      <c r="B138">
        <f>B137+IF('Cleaned Data'!L84&gt;0,1,0)*IF($B$34="Overall",1,IF('Cleaned Data'!K84=$B$34,1,0))*(IF('Cleaned Data'!H84&lt;&gt;"",1,0))</f>
        <v>0</v>
      </c>
      <c r="C138">
        <f>INDEX('Cleaned Data'!H:H,MATCH($A138,$B$56:$B$1919,0))</f>
        <v>2</v>
      </c>
      <c r="D138">
        <f>INDEX('Cleaned Data'!L:L,MATCH($A138,$B$56:$B$1919,0))</f>
        <v>3917.7416712373652</v>
      </c>
    </row>
    <row r="139" spans="1:4" x14ac:dyDescent="0.25">
      <c r="A139">
        <v>84</v>
      </c>
      <c r="B139">
        <f>B138+IF('Cleaned Data'!L85&gt;0,1,0)*IF($B$34="Overall",1,IF('Cleaned Data'!K85=$B$34,1,0))*(IF('Cleaned Data'!H85&lt;&gt;"",1,0))</f>
        <v>0</v>
      </c>
      <c r="C139">
        <f>INDEX('Cleaned Data'!H:H,MATCH($A139,$B$56:$B$1919,0))</f>
        <v>11</v>
      </c>
      <c r="D139">
        <f>INDEX('Cleaned Data'!L:L,MATCH($A139,$B$56:$B$1919,0))</f>
        <v>8547.8000099724322</v>
      </c>
    </row>
    <row r="140" spans="1:4" x14ac:dyDescent="0.25">
      <c r="A140">
        <v>85</v>
      </c>
      <c r="B140">
        <f>B139+IF('Cleaned Data'!L86&gt;0,1,0)*IF($B$34="Overall",1,IF('Cleaned Data'!K86=$B$34,1,0))*(IF('Cleaned Data'!H86&lt;&gt;"",1,0))</f>
        <v>0</v>
      </c>
      <c r="C140">
        <f>INDEX('Cleaned Data'!H:H,MATCH($A140,$B$56:$B$1919,0))</f>
        <v>2.4</v>
      </c>
      <c r="D140">
        <f>INDEX('Cleaned Data'!L:L,MATCH($A140,$B$56:$B$1919,0))</f>
        <v>10150.512511842264</v>
      </c>
    </row>
    <row r="141" spans="1:4" x14ac:dyDescent="0.25">
      <c r="A141">
        <v>86</v>
      </c>
      <c r="B141">
        <f>B140+IF('Cleaned Data'!L87&gt;0,1,0)*IF($B$34="Overall",1,IF('Cleaned Data'!K87=$B$34,1,0))*(IF('Cleaned Data'!H87&lt;&gt;"",1,0))</f>
        <v>0</v>
      </c>
      <c r="C141">
        <f>INDEX('Cleaned Data'!H:H,MATCH($A141,$B$56:$B$1919,0))</f>
        <v>7</v>
      </c>
      <c r="D141">
        <f>INDEX('Cleaned Data'!L:L,MATCH($A141,$B$56:$B$1919,0))</f>
        <v>11325.835013213473</v>
      </c>
    </row>
    <row r="142" spans="1:4" x14ac:dyDescent="0.25">
      <c r="A142">
        <v>87</v>
      </c>
      <c r="B142">
        <f>B141+IF('Cleaned Data'!L88&gt;0,1,0)*IF($B$34="Overall",1,IF('Cleaned Data'!K88=$B$34,1,0))*(IF('Cleaned Data'!H88&lt;&gt;"",1,0))</f>
        <v>0</v>
      </c>
      <c r="C142">
        <f>INDEX('Cleaned Data'!H:H,MATCH($A142,$B$56:$B$1919,0))</f>
        <v>5</v>
      </c>
      <c r="D142">
        <f>INDEX('Cleaned Data'!L:L,MATCH($A142,$B$56:$B$1919,0))</f>
        <v>40067.812546745779</v>
      </c>
    </row>
    <row r="143" spans="1:4" x14ac:dyDescent="0.25">
      <c r="A143">
        <v>88</v>
      </c>
      <c r="B143">
        <f>B142+IF('Cleaned Data'!L89&gt;0,1,0)*IF($B$34="Overall",1,IF('Cleaned Data'!K89=$B$34,1,0))*(IF('Cleaned Data'!H89&lt;&gt;"",1,0))</f>
        <v>0</v>
      </c>
      <c r="C143">
        <f>INDEX('Cleaned Data'!H:H,MATCH($A143,$B$56:$B$1919,0))</f>
        <v>4</v>
      </c>
      <c r="D143">
        <f>INDEX('Cleaned Data'!L:L,MATCH($A143,$B$56:$B$1919,0))</f>
        <v>4273.9000049862161</v>
      </c>
    </row>
    <row r="144" spans="1:4" x14ac:dyDescent="0.25">
      <c r="A144">
        <v>89</v>
      </c>
      <c r="B144">
        <f>B143+IF('Cleaned Data'!L90&gt;0,1,0)*IF($B$34="Overall",1,IF('Cleaned Data'!K90=$B$34,1,0))*(IF('Cleaned Data'!H90&lt;&gt;"",1,0))</f>
        <v>0</v>
      </c>
      <c r="C144">
        <f>INDEX('Cleaned Data'!H:H,MATCH($A144,$B$56:$B$1919,0))</f>
        <v>7</v>
      </c>
      <c r="D144">
        <f>INDEX('Cleaned Data'!L:L,MATCH($A144,$B$56:$B$1919,0))</f>
        <v>7123.1666749770275</v>
      </c>
    </row>
    <row r="145" spans="1:4" x14ac:dyDescent="0.25">
      <c r="A145">
        <v>90</v>
      </c>
      <c r="B145">
        <f>B144+IF('Cleaned Data'!L91&gt;0,1,0)*IF($B$34="Overall",1,IF('Cleaned Data'!K91=$B$34,1,0))*(IF('Cleaned Data'!H91&lt;&gt;"",1,0))</f>
        <v>0</v>
      </c>
      <c r="C145">
        <f>INDEX('Cleaned Data'!H:H,MATCH($A145,$B$56:$B$1919,0))</f>
        <v>1.5</v>
      </c>
      <c r="D145">
        <f>INDEX('Cleaned Data'!L:L,MATCH($A145,$B$56:$B$1919,0))</f>
        <v>8013.5625093491553</v>
      </c>
    </row>
    <row r="146" spans="1:4" x14ac:dyDescent="0.25">
      <c r="A146">
        <v>91</v>
      </c>
      <c r="B146">
        <f>B145+IF('Cleaned Data'!L92&gt;0,1,0)*IF($B$34="Overall",1,IF('Cleaned Data'!K92=$B$34,1,0))*(IF('Cleaned Data'!H92&lt;&gt;"",1,0))</f>
        <v>0</v>
      </c>
      <c r="C146">
        <f>INDEX('Cleaned Data'!H:H,MATCH($A146,$B$56:$B$1919,0))</f>
        <v>2</v>
      </c>
      <c r="D146">
        <f>INDEX('Cleaned Data'!L:L,MATCH($A146,$B$56:$B$1919,0))</f>
        <v>2671.1875031163854</v>
      </c>
    </row>
    <row r="147" spans="1:4" x14ac:dyDescent="0.25">
      <c r="A147">
        <v>92</v>
      </c>
      <c r="B147">
        <f>B146+IF('Cleaned Data'!L93&gt;0,1,0)*IF($B$34="Overall",1,IF('Cleaned Data'!K93=$B$34,1,0))*(IF('Cleaned Data'!H93&lt;&gt;"",1,0))</f>
        <v>0</v>
      </c>
      <c r="C147">
        <f>INDEX('Cleaned Data'!H:H,MATCH($A147,$B$56:$B$1919,0))</f>
        <v>6</v>
      </c>
      <c r="D147">
        <f>INDEX('Cleaned Data'!L:L,MATCH($A147,$B$56:$B$1919,0))</f>
        <v>20514.720023933838</v>
      </c>
    </row>
    <row r="148" spans="1:4" x14ac:dyDescent="0.25">
      <c r="A148">
        <v>93</v>
      </c>
      <c r="B148">
        <f>B147+IF('Cleaned Data'!L94&gt;0,1,0)*IF($B$34="Overall",1,IF('Cleaned Data'!K94=$B$34,1,0))*(IF('Cleaned Data'!H94&lt;&gt;"",1,0))</f>
        <v>0</v>
      </c>
      <c r="C148">
        <f>INDEX('Cleaned Data'!H:H,MATCH($A148,$B$56:$B$1919,0))</f>
        <v>7</v>
      </c>
      <c r="D148">
        <f>INDEX('Cleaned Data'!L:L,MATCH($A148,$B$56:$B$1919,0))</f>
        <v>6713.584591165848</v>
      </c>
    </row>
    <row r="149" spans="1:4" x14ac:dyDescent="0.25">
      <c r="A149">
        <v>94</v>
      </c>
      <c r="B149">
        <f>B148+IF('Cleaned Data'!L95&gt;0,1,0)*IF($B$34="Overall",1,IF('Cleaned Data'!K95=$B$34,1,0))*(IF('Cleaned Data'!H95&lt;&gt;"",1,0))</f>
        <v>0</v>
      </c>
      <c r="C149">
        <f>INDEX('Cleaned Data'!H:H,MATCH($A149,$B$56:$B$1919,0))</f>
        <v>4</v>
      </c>
      <c r="D149">
        <f>INDEX('Cleaned Data'!L:L,MATCH($A149,$B$56:$B$1919,0))</f>
        <v>10684.750012465542</v>
      </c>
    </row>
    <row r="150" spans="1:4" x14ac:dyDescent="0.25">
      <c r="A150">
        <v>95</v>
      </c>
      <c r="B150">
        <f>B149+IF('Cleaned Data'!L96&gt;0,1,0)*IF($B$34="Overall",1,IF('Cleaned Data'!K96=$B$34,1,0))*(IF('Cleaned Data'!H96&lt;&gt;"",1,0))</f>
        <v>0</v>
      </c>
      <c r="C150">
        <f>INDEX('Cleaned Data'!H:H,MATCH($A150,$B$56:$B$1919,0))</f>
        <v>2</v>
      </c>
      <c r="D150">
        <f>INDEX('Cleaned Data'!L:L,MATCH($A150,$B$56:$B$1919,0))</f>
        <v>15136.729184326183</v>
      </c>
    </row>
    <row r="151" spans="1:4" x14ac:dyDescent="0.25">
      <c r="A151">
        <v>96</v>
      </c>
      <c r="B151">
        <f>B150+IF('Cleaned Data'!L97&gt;0,1,0)*IF($B$34="Overall",1,IF('Cleaned Data'!K97=$B$34,1,0))*(IF('Cleaned Data'!H97&lt;&gt;"",1,0))</f>
        <v>0</v>
      </c>
      <c r="C151">
        <f>INDEX('Cleaned Data'!H:H,MATCH($A151,$B$56:$B$1919,0))</f>
        <v>6</v>
      </c>
      <c r="D151">
        <f>INDEX('Cleaned Data'!L:L,MATCH($A151,$B$56:$B$1919,0))</f>
        <v>8013.5625093491553</v>
      </c>
    </row>
    <row r="152" spans="1:4" x14ac:dyDescent="0.25">
      <c r="A152">
        <v>97</v>
      </c>
      <c r="B152">
        <f>B151+IF('Cleaned Data'!L98&gt;0,1,0)*IF($B$34="Overall",1,IF('Cleaned Data'!K98=$B$34,1,0))*(IF('Cleaned Data'!H98&lt;&gt;"",1,0))</f>
        <v>0</v>
      </c>
      <c r="C152">
        <f>INDEX('Cleaned Data'!H:H,MATCH($A152,$B$56:$B$1919,0))</f>
        <v>2</v>
      </c>
      <c r="D152">
        <f>INDEX('Cleaned Data'!L:L,MATCH($A152,$B$56:$B$1919,0))</f>
        <v>3027.3458368652364</v>
      </c>
    </row>
    <row r="153" spans="1:4" x14ac:dyDescent="0.25">
      <c r="A153">
        <v>98</v>
      </c>
      <c r="B153">
        <f>B152+IF('Cleaned Data'!L99&gt;0,1,0)*IF($B$34="Overall",1,IF('Cleaned Data'!K99=$B$34,1,0))*(IF('Cleaned Data'!H99&lt;&gt;"",1,0))</f>
        <v>0</v>
      </c>
      <c r="C153">
        <f>INDEX('Cleaned Data'!H:H,MATCH($A153,$B$56:$B$1919,0))</f>
        <v>3</v>
      </c>
      <c r="D153">
        <f>INDEX('Cleaned Data'!L:L,MATCH($A153,$B$56:$B$1919,0))</f>
        <v>4273.9000049862161</v>
      </c>
    </row>
    <row r="154" spans="1:4" x14ac:dyDescent="0.25">
      <c r="A154">
        <v>99</v>
      </c>
      <c r="B154">
        <f>B153+IF('Cleaned Data'!L100&gt;0,1,0)*IF($B$34="Overall",1,IF('Cleaned Data'!K100=$B$34,1,0))*(IF('Cleaned Data'!H100&lt;&gt;"",1,0))</f>
        <v>0</v>
      </c>
      <c r="C154">
        <f>INDEX('Cleaned Data'!H:H,MATCH($A154,$B$56:$B$1919,0))</f>
        <v>5</v>
      </c>
      <c r="D154">
        <f>INDEX('Cleaned Data'!L:L,MATCH($A154,$B$56:$B$1919,0))</f>
        <v>11575.14584683767</v>
      </c>
    </row>
    <row r="155" spans="1:4" x14ac:dyDescent="0.25">
      <c r="A155">
        <v>100</v>
      </c>
      <c r="B155">
        <f>B154+IF('Cleaned Data'!L101&gt;0,1,0)*IF($B$34="Overall",1,IF('Cleaned Data'!K101=$B$34,1,0))*(IF('Cleaned Data'!H101&lt;&gt;"",1,0))</f>
        <v>0</v>
      </c>
      <c r="C155">
        <f>INDEX('Cleaned Data'!H:H,MATCH($A155,$B$56:$B$1919,0))</f>
        <v>0</v>
      </c>
      <c r="D155">
        <f>INDEX('Cleaned Data'!L:L,MATCH($A155,$B$56:$B$1919,0))</f>
        <v>9188.8850107203652</v>
      </c>
    </row>
    <row r="156" spans="1:4" x14ac:dyDescent="0.25">
      <c r="A156">
        <v>101</v>
      </c>
      <c r="B156">
        <f>B155+IF('Cleaned Data'!L102&gt;0,1,0)*IF($B$34="Overall",1,IF('Cleaned Data'!K102=$B$34,1,0))*(IF('Cleaned Data'!H102&lt;&gt;"",1,0))</f>
        <v>0</v>
      </c>
      <c r="C156">
        <f>INDEX('Cleaned Data'!H:H,MATCH($A156,$B$56:$B$1919,0))</f>
        <v>3</v>
      </c>
      <c r="D156">
        <f>INDEX('Cleaned Data'!L:L,MATCH($A156,$B$56:$B$1919,0))</f>
        <v>8975.1900104710548</v>
      </c>
    </row>
    <row r="157" spans="1:4" x14ac:dyDescent="0.25">
      <c r="A157">
        <v>102</v>
      </c>
      <c r="B157">
        <f>B156+IF('Cleaned Data'!L103&gt;0,1,0)*IF($B$34="Overall",1,IF('Cleaned Data'!K103=$B$34,1,0))*(IF('Cleaned Data'!H103&lt;&gt;"",1,0))</f>
        <v>0</v>
      </c>
      <c r="C157">
        <f>INDEX('Cleaned Data'!H:H,MATCH($A157,$B$56:$B$1919,0))</f>
        <v>1</v>
      </c>
      <c r="D157">
        <f>INDEX('Cleaned Data'!L:L,MATCH($A157,$B$56:$B$1919,0))</f>
        <v>2564.3400029917298</v>
      </c>
    </row>
    <row r="158" spans="1:4" x14ac:dyDescent="0.25">
      <c r="A158">
        <v>103</v>
      </c>
      <c r="B158">
        <f>B157+IF('Cleaned Data'!L104&gt;0,1,0)*IF($B$34="Overall",1,IF('Cleaned Data'!K104=$B$34,1,0))*(IF('Cleaned Data'!H104&lt;&gt;"",1,0))</f>
        <v>0</v>
      </c>
      <c r="C158">
        <f>INDEX('Cleaned Data'!H:H,MATCH($A158,$B$56:$B$1919,0))</f>
        <v>5</v>
      </c>
      <c r="D158">
        <f>INDEX('Cleaned Data'!L:L,MATCH($A158,$B$56:$B$1919,0))</f>
        <v>10684.750012465542</v>
      </c>
    </row>
    <row r="159" spans="1:4" x14ac:dyDescent="0.25">
      <c r="A159">
        <v>104</v>
      </c>
      <c r="B159">
        <f>B158+IF('Cleaned Data'!L105&gt;0,1,0)*IF($B$34="Overall",1,IF('Cleaned Data'!K105=$B$34,1,0))*(IF('Cleaned Data'!H105&lt;&gt;"",1,0))</f>
        <v>0</v>
      </c>
      <c r="C159">
        <f>INDEX('Cleaned Data'!H:H,MATCH($A159,$B$56:$B$1919,0))</f>
        <v>1.1000000000000001</v>
      </c>
      <c r="D159">
        <f>INDEX('Cleaned Data'!L:L,MATCH($A159,$B$56:$B$1919,0))</f>
        <v>30273.458368652366</v>
      </c>
    </row>
    <row r="160" spans="1:4" x14ac:dyDescent="0.25">
      <c r="A160">
        <v>105</v>
      </c>
      <c r="B160">
        <f>B159+IF('Cleaned Data'!L106&gt;0,1,0)*IF($B$34="Overall",1,IF('Cleaned Data'!K106=$B$34,1,0))*(IF('Cleaned Data'!H106&lt;&gt;"",1,0))</f>
        <v>0</v>
      </c>
      <c r="C160">
        <f>INDEX('Cleaned Data'!H:H,MATCH($A160,$B$56:$B$1919,0))</f>
        <v>4</v>
      </c>
      <c r="D160">
        <f>INDEX('Cleaned Data'!L:L,MATCH($A160,$B$56:$B$1919,0))</f>
        <v>6410.8500074793246</v>
      </c>
    </row>
    <row r="161" spans="1:4" x14ac:dyDescent="0.25">
      <c r="A161">
        <v>106</v>
      </c>
      <c r="B161">
        <f>B160+IF('Cleaned Data'!L107&gt;0,1,0)*IF($B$34="Overall",1,IF('Cleaned Data'!K107=$B$34,1,0))*(IF('Cleaned Data'!H107&lt;&gt;"",1,0))</f>
        <v>0</v>
      </c>
      <c r="C161">
        <f>INDEX('Cleaned Data'!H:H,MATCH($A161,$B$56:$B$1919,0))</f>
        <v>1</v>
      </c>
      <c r="D161">
        <f>INDEX('Cleaned Data'!L:L,MATCH($A161,$B$56:$B$1919,0))</f>
        <v>9794.354178093412</v>
      </c>
    </row>
    <row r="162" spans="1:4" x14ac:dyDescent="0.25">
      <c r="A162">
        <v>107</v>
      </c>
      <c r="B162">
        <f>B161+IF('Cleaned Data'!L108&gt;0,1,0)*IF($B$34="Overall",1,IF('Cleaned Data'!K108=$B$34,1,0))*(IF('Cleaned Data'!H108&lt;&gt;"",1,0))</f>
        <v>0</v>
      </c>
      <c r="C162">
        <f>INDEX('Cleaned Data'!H:H,MATCH($A162,$B$56:$B$1919,0))</f>
        <v>20</v>
      </c>
      <c r="D162">
        <f>INDEX('Cleaned Data'!L:L,MATCH($A162,$B$56:$B$1919,0))</f>
        <v>10684.750012465542</v>
      </c>
    </row>
    <row r="163" spans="1:4" x14ac:dyDescent="0.25">
      <c r="A163">
        <v>108</v>
      </c>
      <c r="B163">
        <f>B162+IF('Cleaned Data'!L109&gt;0,1,0)*IF($B$34="Overall",1,IF('Cleaned Data'!K109=$B$34,1,0))*(IF('Cleaned Data'!H109&lt;&gt;"",1,0))</f>
        <v>0</v>
      </c>
      <c r="C163">
        <f>INDEX('Cleaned Data'!H:H,MATCH($A163,$B$56:$B$1919,0))</f>
        <v>18</v>
      </c>
      <c r="D163">
        <f>INDEX('Cleaned Data'!L:L,MATCH($A163,$B$56:$B$1919,0))</f>
        <v>10684.750012465542</v>
      </c>
    </row>
    <row r="164" spans="1:4" x14ac:dyDescent="0.25">
      <c r="A164">
        <v>109</v>
      </c>
      <c r="B164">
        <f>B163+IF('Cleaned Data'!L110&gt;0,1,0)*IF($B$34="Overall",1,IF('Cleaned Data'!K110=$B$34,1,0))*(IF('Cleaned Data'!H110&lt;&gt;"",1,0))</f>
        <v>0</v>
      </c>
      <c r="C164">
        <f>INDEX('Cleaned Data'!H:H,MATCH($A164,$B$56:$B$1919,0))</f>
        <v>10</v>
      </c>
      <c r="D164">
        <f>INDEX('Cleaned Data'!L:L,MATCH($A164,$B$56:$B$1919,0))</f>
        <v>17807.916687442568</v>
      </c>
    </row>
    <row r="165" spans="1:4" x14ac:dyDescent="0.25">
      <c r="A165">
        <v>110</v>
      </c>
      <c r="B165">
        <f>B164+IF('Cleaned Data'!L111&gt;0,1,0)*IF($B$34="Overall",1,IF('Cleaned Data'!K111=$B$34,1,0))*(IF('Cleaned Data'!H111&lt;&gt;"",1,0))</f>
        <v>0</v>
      </c>
      <c r="C165">
        <f>INDEX('Cleaned Data'!H:H,MATCH($A165,$B$56:$B$1919,0))</f>
        <v>9</v>
      </c>
      <c r="D165">
        <f>INDEX('Cleaned Data'!L:L,MATCH($A165,$B$56:$B$1919,0))</f>
        <v>16027.125018698311</v>
      </c>
    </row>
    <row r="166" spans="1:4" x14ac:dyDescent="0.25">
      <c r="A166">
        <v>111</v>
      </c>
      <c r="B166">
        <f>B165+IF('Cleaned Data'!L112&gt;0,1,0)*IF($B$34="Overall",1,IF('Cleaned Data'!K112=$B$34,1,0))*(IF('Cleaned Data'!H112&lt;&gt;"",1,0))</f>
        <v>0</v>
      </c>
      <c r="C166">
        <f>INDEX('Cleaned Data'!H:H,MATCH($A166,$B$56:$B$1919,0))</f>
        <v>18</v>
      </c>
      <c r="D166">
        <f>INDEX('Cleaned Data'!L:L,MATCH($A166,$B$56:$B$1919,0))</f>
        <v>21369.500024931083</v>
      </c>
    </row>
    <row r="167" spans="1:4" x14ac:dyDescent="0.25">
      <c r="A167">
        <v>112</v>
      </c>
      <c r="B167">
        <f>B166+IF('Cleaned Data'!L113&gt;0,1,0)*IF($B$34="Overall",1,IF('Cleaned Data'!K113=$B$34,1,0))*(IF('Cleaned Data'!H113&lt;&gt;"",1,0))</f>
        <v>0</v>
      </c>
      <c r="C167">
        <f>INDEX('Cleaned Data'!H:H,MATCH($A167,$B$56:$B$1919,0))</f>
        <v>1</v>
      </c>
      <c r="D167">
        <f>INDEX('Cleaned Data'!L:L,MATCH($A167,$B$56:$B$1919,0))</f>
        <v>3561.5833374885137</v>
      </c>
    </row>
    <row r="168" spans="1:4" x14ac:dyDescent="0.25">
      <c r="A168">
        <v>113</v>
      </c>
      <c r="B168">
        <f>B167+IF('Cleaned Data'!L114&gt;0,1,0)*IF($B$34="Overall",1,IF('Cleaned Data'!K114=$B$34,1,0))*(IF('Cleaned Data'!H114&lt;&gt;"",1,0))</f>
        <v>0</v>
      </c>
      <c r="C168">
        <f>INDEX('Cleaned Data'!H:H,MATCH($A168,$B$56:$B$1919,0))</f>
        <v>2</v>
      </c>
      <c r="D168">
        <f>INDEX('Cleaned Data'!L:L,MATCH($A168,$B$56:$B$1919,0))</f>
        <v>3561.5833374885137</v>
      </c>
    </row>
    <row r="169" spans="1:4" x14ac:dyDescent="0.25">
      <c r="A169">
        <v>114</v>
      </c>
      <c r="B169">
        <f>B168+IF('Cleaned Data'!L115&gt;0,1,0)*IF($B$34="Overall",1,IF('Cleaned Data'!K115=$B$34,1,0))*(IF('Cleaned Data'!H115&lt;&gt;"",1,0))</f>
        <v>0</v>
      </c>
      <c r="C169">
        <f>INDEX('Cleaned Data'!H:H,MATCH($A169,$B$56:$B$1919,0))</f>
        <v>6.5</v>
      </c>
      <c r="D169">
        <f>INDEX('Cleaned Data'!L:L,MATCH($A169,$B$56:$B$1919,0))</f>
        <v>17807.916687442568</v>
      </c>
    </row>
    <row r="170" spans="1:4" x14ac:dyDescent="0.25">
      <c r="A170">
        <v>115</v>
      </c>
      <c r="B170">
        <f>B169+IF('Cleaned Data'!L116&gt;0,1,0)*IF($B$34="Overall",1,IF('Cleaned Data'!K116=$B$34,1,0))*(IF('Cleaned Data'!H116&lt;&gt;"",1,0))</f>
        <v>0</v>
      </c>
      <c r="C170">
        <f>INDEX('Cleaned Data'!H:H,MATCH($A170,$B$56:$B$1919,0))</f>
        <v>3.5</v>
      </c>
      <c r="D170">
        <f>INDEX('Cleaned Data'!L:L,MATCH($A170,$B$56:$B$1919,0))</f>
        <v>11575.14584683767</v>
      </c>
    </row>
    <row r="171" spans="1:4" x14ac:dyDescent="0.25">
      <c r="A171">
        <v>116</v>
      </c>
      <c r="B171">
        <f>B170+IF('Cleaned Data'!L117&gt;0,1,0)*IF($B$34="Overall",1,IF('Cleaned Data'!K117=$B$34,1,0))*(IF('Cleaned Data'!H117&lt;&gt;"",1,0))</f>
        <v>0</v>
      </c>
      <c r="C171">
        <f>INDEX('Cleaned Data'!H:H,MATCH($A171,$B$56:$B$1919,0))</f>
        <v>1</v>
      </c>
      <c r="D171">
        <f>INDEX('Cleaned Data'!L:L,MATCH($A171,$B$56:$B$1919,0))</f>
        <v>9794.354178093412</v>
      </c>
    </row>
    <row r="172" spans="1:4" x14ac:dyDescent="0.25">
      <c r="A172">
        <v>117</v>
      </c>
      <c r="B172">
        <f>B171+IF('Cleaned Data'!L118&gt;0,1,0)*IF($B$34="Overall",1,IF('Cleaned Data'!K118=$B$34,1,0))*(IF('Cleaned Data'!H118&lt;&gt;"",1,0))</f>
        <v>0</v>
      </c>
      <c r="C172">
        <f>INDEX('Cleaned Data'!H:H,MATCH($A172,$B$56:$B$1919,0))</f>
        <v>8</v>
      </c>
      <c r="D172">
        <f>INDEX('Cleaned Data'!L:L,MATCH($A172,$B$56:$B$1919,0))</f>
        <v>9616.275011218986</v>
      </c>
    </row>
    <row r="173" spans="1:4" x14ac:dyDescent="0.25">
      <c r="A173">
        <v>118</v>
      </c>
      <c r="B173">
        <f>B172+IF('Cleaned Data'!L119&gt;0,1,0)*IF($B$34="Overall",1,IF('Cleaned Data'!K119=$B$34,1,0))*(IF('Cleaned Data'!H119&lt;&gt;"",1,0))</f>
        <v>0</v>
      </c>
      <c r="C173">
        <f>INDEX('Cleaned Data'!H:H,MATCH($A173,$B$56:$B$1919,0))</f>
        <v>1</v>
      </c>
      <c r="D173">
        <f>INDEX('Cleaned Data'!L:L,MATCH($A173,$B$56:$B$1919,0))</f>
        <v>2564.3400029917298</v>
      </c>
    </row>
    <row r="174" spans="1:4" x14ac:dyDescent="0.25">
      <c r="A174">
        <v>119</v>
      </c>
      <c r="B174">
        <f>B173+IF('Cleaned Data'!L120&gt;0,1,0)*IF($B$34="Overall",1,IF('Cleaned Data'!K120=$B$34,1,0))*(IF('Cleaned Data'!H120&lt;&gt;"",1,0))</f>
        <v>0</v>
      </c>
      <c r="C174">
        <f>INDEX('Cleaned Data'!H:H,MATCH($A174,$B$56:$B$1919,0))</f>
        <v>10</v>
      </c>
      <c r="D174">
        <f>INDEX('Cleaned Data'!L:L,MATCH($A174,$B$56:$B$1919,0))</f>
        <v>5342.3750062327708</v>
      </c>
    </row>
    <row r="175" spans="1:4" x14ac:dyDescent="0.25">
      <c r="A175">
        <v>120</v>
      </c>
      <c r="B175">
        <f>B174+IF('Cleaned Data'!L121&gt;0,1,0)*IF($B$34="Overall",1,IF('Cleaned Data'!K121=$B$34,1,0))*(IF('Cleaned Data'!H121&lt;&gt;"",1,0))</f>
        <v>0</v>
      </c>
      <c r="C175">
        <f>INDEX('Cleaned Data'!H:H,MATCH($A175,$B$56:$B$1919,0))</f>
        <v>3</v>
      </c>
      <c r="D175">
        <f>INDEX('Cleaned Data'!L:L,MATCH($A175,$B$56:$B$1919,0))</f>
        <v>12821.700014958649</v>
      </c>
    </row>
    <row r="176" spans="1:4" x14ac:dyDescent="0.25">
      <c r="A176">
        <v>121</v>
      </c>
      <c r="B176">
        <f>B175+IF('Cleaned Data'!L122&gt;0,1,0)*IF($B$34="Overall",1,IF('Cleaned Data'!K122=$B$34,1,0))*(IF('Cleaned Data'!H122&lt;&gt;"",1,0))</f>
        <v>0</v>
      </c>
      <c r="C176">
        <f>INDEX('Cleaned Data'!H:H,MATCH($A176,$B$56:$B$1919,0))</f>
        <v>5</v>
      </c>
      <c r="D176">
        <f>INDEX('Cleaned Data'!L:L,MATCH($A176,$B$56:$B$1919,0))</f>
        <v>10684.750012465542</v>
      </c>
    </row>
    <row r="177" spans="1:4" x14ac:dyDescent="0.25">
      <c r="A177">
        <v>122</v>
      </c>
      <c r="B177">
        <f>B176+IF('Cleaned Data'!L123&gt;0,1,0)*IF($B$34="Overall",1,IF('Cleaned Data'!K123=$B$34,1,0))*(IF('Cleaned Data'!H123&lt;&gt;"",1,0))</f>
        <v>0</v>
      </c>
      <c r="C177">
        <f>INDEX('Cleaned Data'!H:H,MATCH($A177,$B$56:$B$1919,0))</f>
        <v>6</v>
      </c>
      <c r="D177">
        <f>INDEX('Cleaned Data'!L:L,MATCH($A177,$B$56:$B$1919,0))</f>
        <v>7123.1666749770275</v>
      </c>
    </row>
    <row r="178" spans="1:4" x14ac:dyDescent="0.25">
      <c r="A178">
        <v>123</v>
      </c>
      <c r="B178">
        <f>B177+IF('Cleaned Data'!L124&gt;0,1,0)*IF($B$34="Overall",1,IF('Cleaned Data'!K124=$B$34,1,0))*(IF('Cleaned Data'!H124&lt;&gt;"",1,0))</f>
        <v>0</v>
      </c>
      <c r="C178">
        <f>INDEX('Cleaned Data'!H:H,MATCH($A178,$B$56:$B$1919,0))</f>
        <v>5</v>
      </c>
      <c r="D178">
        <f>INDEX('Cleaned Data'!L:L,MATCH($A178,$B$56:$B$1919,0))</f>
        <v>8903.9583437212841</v>
      </c>
    </row>
    <row r="179" spans="1:4" x14ac:dyDescent="0.25">
      <c r="A179">
        <v>124</v>
      </c>
      <c r="B179">
        <f>B178+IF('Cleaned Data'!L125&gt;0,1,0)*IF($B$34="Overall",1,IF('Cleaned Data'!K125=$B$34,1,0))*(IF('Cleaned Data'!H125&lt;&gt;"",1,0))</f>
        <v>0</v>
      </c>
      <c r="C179">
        <f>INDEX('Cleaned Data'!H:H,MATCH($A179,$B$56:$B$1919,0))</f>
        <v>8</v>
      </c>
      <c r="D179">
        <f>INDEX('Cleaned Data'!L:L,MATCH($A179,$B$56:$B$1919,0))</f>
        <v>7123.1666749770275</v>
      </c>
    </row>
    <row r="180" spans="1:4" x14ac:dyDescent="0.25">
      <c r="A180">
        <v>125</v>
      </c>
      <c r="B180">
        <f>B179+IF('Cleaned Data'!L126&gt;0,1,0)*IF($B$34="Overall",1,IF('Cleaned Data'!K126=$B$34,1,0))*(IF('Cleaned Data'!H126&lt;&gt;"",1,0))</f>
        <v>0</v>
      </c>
      <c r="C180">
        <f>INDEX('Cleaned Data'!H:H,MATCH($A180,$B$56:$B$1919,0))</f>
        <v>8</v>
      </c>
      <c r="D180">
        <f>INDEX('Cleaned Data'!L:L,MATCH($A180,$B$56:$B$1919,0))</f>
        <v>40958.208381117904</v>
      </c>
    </row>
    <row r="181" spans="1:4" x14ac:dyDescent="0.25">
      <c r="A181">
        <v>126</v>
      </c>
      <c r="B181">
        <f>B180+IF('Cleaned Data'!L127&gt;0,1,0)*IF($B$34="Overall",1,IF('Cleaned Data'!K127=$B$34,1,0))*(IF('Cleaned Data'!H127&lt;&gt;"",1,0))</f>
        <v>0</v>
      </c>
      <c r="C181">
        <f>INDEX('Cleaned Data'!H:H,MATCH($A181,$B$56:$B$1919,0))</f>
        <v>17</v>
      </c>
      <c r="D181">
        <f>INDEX('Cleaned Data'!L:L,MATCH($A181,$B$56:$B$1919,0))</f>
        <v>21369.500024931083</v>
      </c>
    </row>
    <row r="182" spans="1:4" x14ac:dyDescent="0.25">
      <c r="A182">
        <v>127</v>
      </c>
      <c r="B182">
        <f>B181+IF('Cleaned Data'!L128&gt;0,1,0)*IF($B$34="Overall",1,IF('Cleaned Data'!K128=$B$34,1,0))*(IF('Cleaned Data'!H128&lt;&gt;"",1,0))</f>
        <v>0</v>
      </c>
      <c r="C182">
        <f>INDEX('Cleaned Data'!H:H,MATCH($A182,$B$56:$B$1919,0))</f>
        <v>5</v>
      </c>
      <c r="D182">
        <f>INDEX('Cleaned Data'!L:L,MATCH($A182,$B$56:$B$1919,0))</f>
        <v>2136.9500024931081</v>
      </c>
    </row>
    <row r="183" spans="1:4" x14ac:dyDescent="0.25">
      <c r="A183">
        <v>128</v>
      </c>
      <c r="B183">
        <f>B182+IF('Cleaned Data'!L129&gt;0,1,0)*IF($B$34="Overall",1,IF('Cleaned Data'!K129=$B$34,1,0))*(IF('Cleaned Data'!H129&lt;&gt;"",1,0))</f>
        <v>0</v>
      </c>
      <c r="C183">
        <f>INDEX('Cleaned Data'!H:H,MATCH($A183,$B$56:$B$1919,0))</f>
        <v>3</v>
      </c>
      <c r="D183">
        <f>INDEX('Cleaned Data'!L:L,MATCH($A183,$B$56:$B$1919,0))</f>
        <v>8903.9583437212841</v>
      </c>
    </row>
    <row r="184" spans="1:4" x14ac:dyDescent="0.25">
      <c r="A184">
        <v>129</v>
      </c>
      <c r="B184">
        <f>B183+IF('Cleaned Data'!L130&gt;0,1,0)*IF($B$34="Overall",1,IF('Cleaned Data'!K130=$B$34,1,0))*(IF('Cleaned Data'!H130&lt;&gt;"",1,0))</f>
        <v>0</v>
      </c>
      <c r="C184">
        <f>INDEX('Cleaned Data'!H:H,MATCH($A184,$B$56:$B$1919,0))</f>
        <v>5</v>
      </c>
      <c r="D184">
        <f>INDEX('Cleaned Data'!L:L,MATCH($A184,$B$56:$B$1919,0))</f>
        <v>17807.916687442568</v>
      </c>
    </row>
    <row r="185" spans="1:4" x14ac:dyDescent="0.25">
      <c r="A185">
        <v>130</v>
      </c>
      <c r="B185">
        <f>B184+IF('Cleaned Data'!L131&gt;0,1,0)*IF($B$34="Overall",1,IF('Cleaned Data'!K131=$B$34,1,0))*(IF('Cleaned Data'!H131&lt;&gt;"",1,0))</f>
        <v>0</v>
      </c>
      <c r="C185">
        <f>INDEX('Cleaned Data'!H:H,MATCH($A185,$B$56:$B$1919,0))</f>
        <v>3</v>
      </c>
      <c r="D185">
        <f>INDEX('Cleaned Data'!L:L,MATCH($A185,$B$56:$B$1919,0))</f>
        <v>15136.729184326183</v>
      </c>
    </row>
    <row r="186" spans="1:4" x14ac:dyDescent="0.25">
      <c r="A186">
        <v>131</v>
      </c>
      <c r="B186">
        <f>B185+IF('Cleaned Data'!L132&gt;0,1,0)*IF($B$34="Overall",1,IF('Cleaned Data'!K132=$B$34,1,0))*(IF('Cleaned Data'!H132&lt;&gt;"",1,0))</f>
        <v>0</v>
      </c>
      <c r="C186">
        <f>INDEX('Cleaned Data'!H:H,MATCH($A186,$B$56:$B$1919,0))</f>
        <v>3.5</v>
      </c>
      <c r="D186">
        <f>INDEX('Cleaned Data'!L:L,MATCH($A186,$B$56:$B$1919,0))</f>
        <v>3205.4250037396623</v>
      </c>
    </row>
    <row r="187" spans="1:4" x14ac:dyDescent="0.25">
      <c r="A187">
        <v>132</v>
      </c>
      <c r="B187">
        <f>B186+IF('Cleaned Data'!L133&gt;0,1,0)*IF($B$34="Overall",1,IF('Cleaned Data'!K133=$B$34,1,0))*(IF('Cleaned Data'!H133&lt;&gt;"",1,0))</f>
        <v>0</v>
      </c>
      <c r="C187">
        <f>INDEX('Cleaned Data'!H:H,MATCH($A187,$B$56:$B$1919,0))</f>
        <v>9</v>
      </c>
      <c r="D187">
        <f>INDEX('Cleaned Data'!L:L,MATCH($A187,$B$56:$B$1919,0))</f>
        <v>10684.750012465542</v>
      </c>
    </row>
    <row r="188" spans="1:4" x14ac:dyDescent="0.25">
      <c r="A188">
        <v>133</v>
      </c>
      <c r="B188">
        <f>B187+IF('Cleaned Data'!L134&gt;0,1,0)*IF($B$34="Overall",1,IF('Cleaned Data'!K134=$B$34,1,0))*(IF('Cleaned Data'!H134&lt;&gt;"",1,0))</f>
        <v>0</v>
      </c>
      <c r="C188">
        <f>INDEX('Cleaned Data'!H:H,MATCH($A188,$B$56:$B$1919,0))</f>
        <v>3</v>
      </c>
      <c r="D188">
        <f>INDEX('Cleaned Data'!L:L,MATCH($A188,$B$56:$B$1919,0))</f>
        <v>23150.291693675339</v>
      </c>
    </row>
    <row r="189" spans="1:4" x14ac:dyDescent="0.25">
      <c r="A189">
        <v>134</v>
      </c>
      <c r="B189">
        <f>B188+IF('Cleaned Data'!L135&gt;0,1,0)*IF($B$34="Overall",1,IF('Cleaned Data'!K135=$B$34,1,0))*(IF('Cleaned Data'!H135&lt;&gt;"",1,0))</f>
        <v>0</v>
      </c>
      <c r="C189">
        <f>INDEX('Cleaned Data'!H:H,MATCH($A189,$B$56:$B$1919,0))</f>
        <v>2</v>
      </c>
      <c r="D189">
        <f>INDEX('Cleaned Data'!L:L,MATCH($A189,$B$56:$B$1919,0))</f>
        <v>13801.135432767991</v>
      </c>
    </row>
    <row r="190" spans="1:4" x14ac:dyDescent="0.25">
      <c r="A190">
        <v>135</v>
      </c>
      <c r="B190">
        <f>B189+IF('Cleaned Data'!L136&gt;0,1,0)*IF($B$34="Overall",1,IF('Cleaned Data'!K136=$B$34,1,0))*(IF('Cleaned Data'!H136&lt;&gt;"",1,0))</f>
        <v>1</v>
      </c>
      <c r="C190">
        <f>INDEX('Cleaned Data'!H:H,MATCH($A190,$B$56:$B$1919,0))</f>
        <v>5</v>
      </c>
      <c r="D190">
        <f>INDEX('Cleaned Data'!L:L,MATCH($A190,$B$56:$B$1919,0))</f>
        <v>18698.312521814696</v>
      </c>
    </row>
    <row r="191" spans="1:4" x14ac:dyDescent="0.25">
      <c r="A191">
        <v>136</v>
      </c>
      <c r="B191">
        <f>B190+IF('Cleaned Data'!L137&gt;0,1,0)*IF($B$34="Overall",1,IF('Cleaned Data'!K137=$B$34,1,0))*(IF('Cleaned Data'!H137&lt;&gt;"",1,0))</f>
        <v>1</v>
      </c>
      <c r="C191">
        <f>INDEX('Cleaned Data'!H:H,MATCH($A191,$B$56:$B$1919,0))</f>
        <v>6</v>
      </c>
      <c r="D191">
        <f>INDEX('Cleaned Data'!L:L,MATCH($A191,$B$56:$B$1919,0))</f>
        <v>8654.6475100970874</v>
      </c>
    </row>
    <row r="192" spans="1:4" x14ac:dyDescent="0.25">
      <c r="A192">
        <v>137</v>
      </c>
      <c r="B192">
        <f>B191+IF('Cleaned Data'!L138&gt;0,1,0)*IF($B$34="Overall",1,IF('Cleaned Data'!K138=$B$34,1,0))*(IF('Cleaned Data'!H138&lt;&gt;"",1,0))</f>
        <v>1</v>
      </c>
      <c r="C192">
        <f>INDEX('Cleaned Data'!H:H,MATCH($A192,$B$56:$B$1919,0))</f>
        <v>0.5</v>
      </c>
      <c r="D192">
        <f>INDEX('Cleaned Data'!L:L,MATCH($A192,$B$56:$B$1919,0))</f>
        <v>5342.3750062327708</v>
      </c>
    </row>
    <row r="193" spans="1:4" x14ac:dyDescent="0.25">
      <c r="A193">
        <v>138</v>
      </c>
      <c r="B193">
        <f>B192+IF('Cleaned Data'!L139&gt;0,1,0)*IF($B$34="Overall",1,IF('Cleaned Data'!K139=$B$34,1,0))*(IF('Cleaned Data'!H139&lt;&gt;"",1,0))</f>
        <v>1</v>
      </c>
      <c r="C193">
        <f>INDEX('Cleaned Data'!H:H,MATCH($A193,$B$56:$B$1919,0))</f>
        <v>4</v>
      </c>
      <c r="D193">
        <f>INDEX('Cleaned Data'!L:L,MATCH($A193,$B$56:$B$1919,0))</f>
        <v>2564.3400029917298</v>
      </c>
    </row>
    <row r="194" spans="1:4" x14ac:dyDescent="0.25">
      <c r="A194">
        <v>139</v>
      </c>
      <c r="B194">
        <f>B193+IF('Cleaned Data'!L140&gt;0,1,0)*IF($B$34="Overall",1,IF('Cleaned Data'!K140=$B$34,1,0))*(IF('Cleaned Data'!H140&lt;&gt;"",1,0))</f>
        <v>1</v>
      </c>
      <c r="C194">
        <f>INDEX('Cleaned Data'!H:H,MATCH($A194,$B$56:$B$1919,0))</f>
        <v>8</v>
      </c>
      <c r="D194">
        <f>INDEX('Cleaned Data'!L:L,MATCH($A194,$B$56:$B$1919,0))</f>
        <v>3205.4250037396623</v>
      </c>
    </row>
    <row r="195" spans="1:4" x14ac:dyDescent="0.25">
      <c r="A195">
        <v>140</v>
      </c>
      <c r="B195">
        <f>B194+IF('Cleaned Data'!L141&gt;0,1,0)*IF($B$34="Overall",1,IF('Cleaned Data'!K141=$B$34,1,0))*(IF('Cleaned Data'!H141&lt;&gt;"",1,0))</f>
        <v>1</v>
      </c>
      <c r="C195">
        <f>INDEX('Cleaned Data'!H:H,MATCH($A195,$B$56:$B$1919,0))</f>
        <v>8</v>
      </c>
      <c r="D195">
        <f>INDEX('Cleaned Data'!L:L,MATCH($A195,$B$56:$B$1919,0))</f>
        <v>10684.750012465542</v>
      </c>
    </row>
    <row r="196" spans="1:4" x14ac:dyDescent="0.25">
      <c r="A196">
        <v>141</v>
      </c>
      <c r="B196">
        <f>B195+IF('Cleaned Data'!L142&gt;0,1,0)*IF($B$34="Overall",1,IF('Cleaned Data'!K142=$B$34,1,0))*(IF('Cleaned Data'!H142&lt;&gt;"",1,0))</f>
        <v>1</v>
      </c>
      <c r="C196">
        <f>INDEX('Cleaned Data'!H:H,MATCH($A196,$B$56:$B$1919,0))</f>
        <v>3</v>
      </c>
      <c r="D196">
        <f>INDEX('Cleaned Data'!L:L,MATCH($A196,$B$56:$B$1919,0))</f>
        <v>12465.541681209797</v>
      </c>
    </row>
    <row r="197" spans="1:4" x14ac:dyDescent="0.25">
      <c r="A197">
        <v>142</v>
      </c>
      <c r="B197">
        <f>B196+IF('Cleaned Data'!L143&gt;0,1,0)*IF($B$34="Overall",1,IF('Cleaned Data'!K143=$B$34,1,0))*(IF('Cleaned Data'!H143&lt;&gt;"",1,0))</f>
        <v>1</v>
      </c>
      <c r="C197">
        <f>INDEX('Cleaned Data'!H:H,MATCH($A197,$B$56:$B$1919,0))</f>
        <v>8</v>
      </c>
      <c r="D197">
        <f>INDEX('Cleaned Data'!L:L,MATCH($A197,$B$56:$B$1919,0))</f>
        <v>17807.916687442568</v>
      </c>
    </row>
    <row r="198" spans="1:4" x14ac:dyDescent="0.25">
      <c r="A198">
        <v>143</v>
      </c>
      <c r="B198">
        <f>B197+IF('Cleaned Data'!L144&gt;0,1,0)*IF($B$34="Overall",1,IF('Cleaned Data'!K144=$B$34,1,0))*(IF('Cleaned Data'!H144&lt;&gt;"",1,0))</f>
        <v>1</v>
      </c>
      <c r="C198">
        <f>INDEX('Cleaned Data'!H:H,MATCH($A198,$B$56:$B$1919,0))</f>
        <v>1</v>
      </c>
      <c r="D198">
        <f>INDEX('Cleaned Data'!L:L,MATCH($A198,$B$56:$B$1919,0))</f>
        <v>12465.541681209797</v>
      </c>
    </row>
    <row r="199" spans="1:4" x14ac:dyDescent="0.25">
      <c r="A199">
        <v>144</v>
      </c>
      <c r="B199">
        <f>B198+IF('Cleaned Data'!L145&gt;0,1,0)*IF($B$34="Overall",1,IF('Cleaned Data'!K145=$B$34,1,0))*(IF('Cleaned Data'!H145&lt;&gt;"",1,0))</f>
        <v>1</v>
      </c>
      <c r="C199">
        <f>INDEX('Cleaned Data'!H:H,MATCH($A199,$B$56:$B$1919,0))</f>
        <v>2</v>
      </c>
      <c r="D199">
        <f>INDEX('Cleaned Data'!L:L,MATCH($A199,$B$56:$B$1919,0))</f>
        <v>8547.8000099724322</v>
      </c>
    </row>
    <row r="200" spans="1:4" x14ac:dyDescent="0.25">
      <c r="A200">
        <v>145</v>
      </c>
      <c r="B200">
        <f>B199+IF('Cleaned Data'!L146&gt;0,1,0)*IF($B$34="Overall",1,IF('Cleaned Data'!K146=$B$34,1,0))*(IF('Cleaned Data'!H146&lt;&gt;"",1,0))</f>
        <v>1</v>
      </c>
      <c r="C200">
        <f>INDEX('Cleaned Data'!H:H,MATCH($A200,$B$56:$B$1919,0))</f>
        <v>11</v>
      </c>
      <c r="D200">
        <f>INDEX('Cleaned Data'!L:L,MATCH($A200,$B$56:$B$1919,0))</f>
        <v>10684.750012465542</v>
      </c>
    </row>
    <row r="201" spans="1:4" x14ac:dyDescent="0.25">
      <c r="A201">
        <v>146</v>
      </c>
      <c r="B201">
        <f>B200+IF('Cleaned Data'!L147&gt;0,1,0)*IF($B$34="Overall",1,IF('Cleaned Data'!K147=$B$34,1,0))*(IF('Cleaned Data'!H147&lt;&gt;"",1,0))</f>
        <v>1</v>
      </c>
      <c r="C201">
        <f>INDEX('Cleaned Data'!H:H,MATCH($A201,$B$56:$B$1919,0))</f>
        <v>4</v>
      </c>
      <c r="D201">
        <f>INDEX('Cleaned Data'!L:L,MATCH($A201,$B$56:$B$1919,0))</f>
        <v>10684.750012465542</v>
      </c>
    </row>
    <row r="202" spans="1:4" x14ac:dyDescent="0.25">
      <c r="A202">
        <v>147</v>
      </c>
      <c r="B202">
        <f>B201+IF('Cleaned Data'!L148&gt;0,1,0)*IF($B$34="Overall",1,IF('Cleaned Data'!K148=$B$34,1,0))*(IF('Cleaned Data'!H148&lt;&gt;"",1,0))</f>
        <v>1</v>
      </c>
      <c r="C202">
        <f>INDEX('Cleaned Data'!H:H,MATCH($A202,$B$56:$B$1919,0))</f>
        <v>0</v>
      </c>
      <c r="D202">
        <f>INDEX('Cleaned Data'!L:L,MATCH($A202,$B$56:$B$1919,0))</f>
        <v>3632.815004238284</v>
      </c>
    </row>
    <row r="203" spans="1:4" x14ac:dyDescent="0.25">
      <c r="A203">
        <v>148</v>
      </c>
      <c r="B203">
        <f>B202+IF('Cleaned Data'!L149&gt;0,1,0)*IF($B$34="Overall",1,IF('Cleaned Data'!K149=$B$34,1,0))*(IF('Cleaned Data'!H149&lt;&gt;"",1,0))</f>
        <v>1</v>
      </c>
      <c r="C203">
        <f>INDEX('Cleaned Data'!H:H,MATCH($A203,$B$56:$B$1919,0))</f>
        <v>6</v>
      </c>
      <c r="D203">
        <f>INDEX('Cleaned Data'!L:L,MATCH($A203,$B$56:$B$1919,0))</f>
        <v>21369.500024931083</v>
      </c>
    </row>
    <row r="204" spans="1:4" x14ac:dyDescent="0.25">
      <c r="A204">
        <v>149</v>
      </c>
      <c r="B204">
        <f>B203+IF('Cleaned Data'!L150&gt;0,1,0)*IF($B$34="Overall",1,IF('Cleaned Data'!K150=$B$34,1,0))*(IF('Cleaned Data'!H150&lt;&gt;"",1,0))</f>
        <v>1</v>
      </c>
      <c r="C204">
        <f>INDEX('Cleaned Data'!H:H,MATCH($A204,$B$56:$B$1919,0))</f>
        <v>7</v>
      </c>
      <c r="D204">
        <f>INDEX('Cleaned Data'!L:L,MATCH($A204,$B$56:$B$1919,0))</f>
        <v>8903.9583437212841</v>
      </c>
    </row>
    <row r="205" spans="1:4" x14ac:dyDescent="0.25">
      <c r="A205">
        <v>150</v>
      </c>
      <c r="B205">
        <f>B204+IF('Cleaned Data'!L151&gt;0,1,0)*IF($B$34="Overall",1,IF('Cleaned Data'!K151=$B$34,1,0))*(IF('Cleaned Data'!H151&lt;&gt;"",1,0))</f>
        <v>1</v>
      </c>
      <c r="C205">
        <f>INDEX('Cleaned Data'!H:H,MATCH($A205,$B$56:$B$1919,0))</f>
        <v>6</v>
      </c>
      <c r="D205">
        <f>INDEX('Cleaned Data'!L:L,MATCH($A205,$B$56:$B$1919,0))</f>
        <v>9705.3145946561999</v>
      </c>
    </row>
    <row r="206" spans="1:4" x14ac:dyDescent="0.25">
      <c r="A206">
        <v>151</v>
      </c>
      <c r="B206">
        <f>B205+IF('Cleaned Data'!L152&gt;0,1,0)*IF($B$34="Overall",1,IF('Cleaned Data'!K152=$B$34,1,0))*(IF('Cleaned Data'!H152&lt;&gt;"",1,0))</f>
        <v>1</v>
      </c>
      <c r="C206">
        <f>INDEX('Cleaned Data'!H:H,MATCH($A206,$B$56:$B$1919,0))</f>
        <v>8</v>
      </c>
      <c r="D206">
        <f>INDEX('Cleaned Data'!L:L,MATCH($A206,$B$56:$B$1919,0))</f>
        <v>17807.916687442568</v>
      </c>
    </row>
    <row r="207" spans="1:4" x14ac:dyDescent="0.25">
      <c r="A207">
        <v>152</v>
      </c>
      <c r="B207">
        <f>B206+IF('Cleaned Data'!L153&gt;0,1,0)*IF($B$34="Overall",1,IF('Cleaned Data'!K153=$B$34,1,0))*(IF('Cleaned Data'!H153&lt;&gt;"",1,0))</f>
        <v>1</v>
      </c>
      <c r="C207">
        <f>INDEX('Cleaned Data'!H:H,MATCH($A207,$B$56:$B$1919,0))</f>
        <v>10</v>
      </c>
      <c r="D207">
        <f>INDEX('Cleaned Data'!L:L,MATCH($A207,$B$56:$B$1919,0))</f>
        <v>3205.4250037396623</v>
      </c>
    </row>
    <row r="208" spans="1:4" x14ac:dyDescent="0.25">
      <c r="A208">
        <v>153</v>
      </c>
      <c r="B208">
        <f>B207+IF('Cleaned Data'!L154&gt;0,1,0)*IF($B$34="Overall",1,IF('Cleaned Data'!K154=$B$34,1,0))*(IF('Cleaned Data'!H154&lt;&gt;"",1,0))</f>
        <v>1</v>
      </c>
      <c r="C208">
        <f>INDEX('Cleaned Data'!H:H,MATCH($A208,$B$56:$B$1919,0))</f>
        <v>7</v>
      </c>
      <c r="D208">
        <f>INDEX('Cleaned Data'!L:L,MATCH($A208,$B$56:$B$1919,0))</f>
        <v>12465.541681209797</v>
      </c>
    </row>
    <row r="209" spans="1:4" x14ac:dyDescent="0.25">
      <c r="A209">
        <v>154</v>
      </c>
      <c r="B209">
        <f>B208+IF('Cleaned Data'!L155&gt;0,1,0)*IF($B$34="Overall",1,IF('Cleaned Data'!K155=$B$34,1,0))*(IF('Cleaned Data'!H155&lt;&gt;"",1,0))</f>
        <v>1</v>
      </c>
      <c r="C209">
        <f>INDEX('Cleaned Data'!H:H,MATCH($A209,$B$56:$B$1919,0))</f>
        <v>1</v>
      </c>
      <c r="D209">
        <f>INDEX('Cleaned Data'!L:L,MATCH($A209,$B$56:$B$1919,0))</f>
        <v>11575.14584683767</v>
      </c>
    </row>
    <row r="210" spans="1:4" x14ac:dyDescent="0.25">
      <c r="A210">
        <v>155</v>
      </c>
      <c r="B210">
        <f>B209+IF('Cleaned Data'!L156&gt;0,1,0)*IF($B$34="Overall",1,IF('Cleaned Data'!K156=$B$34,1,0))*(IF('Cleaned Data'!H156&lt;&gt;"",1,0))</f>
        <v>1</v>
      </c>
      <c r="C210">
        <f>INDEX('Cleaned Data'!H:H,MATCH($A210,$B$56:$B$1919,0))</f>
        <v>2.5</v>
      </c>
      <c r="D210">
        <f>INDEX('Cleaned Data'!L:L,MATCH($A210,$B$56:$B$1919,0))</f>
        <v>6232.7708406048987</v>
      </c>
    </row>
    <row r="211" spans="1:4" x14ac:dyDescent="0.25">
      <c r="A211">
        <v>156</v>
      </c>
      <c r="B211">
        <f>B210+IF('Cleaned Data'!L157&gt;0,1,0)*IF($B$34="Overall",1,IF('Cleaned Data'!K157=$B$34,1,0))*(IF('Cleaned Data'!H157&lt;&gt;"",1,0))</f>
        <v>1</v>
      </c>
      <c r="C211">
        <f>INDEX('Cleaned Data'!H:H,MATCH($A211,$B$56:$B$1919,0))</f>
        <v>6</v>
      </c>
      <c r="D211">
        <f>INDEX('Cleaned Data'!L:L,MATCH($A211,$B$56:$B$1919,0))</f>
        <v>11397.066679963244</v>
      </c>
    </row>
    <row r="212" spans="1:4" x14ac:dyDescent="0.25">
      <c r="A212">
        <v>157</v>
      </c>
      <c r="B212">
        <f>B211+IF('Cleaned Data'!L158&gt;0,1,0)*IF($B$34="Overall",1,IF('Cleaned Data'!K158=$B$34,1,0))*(IF('Cleaned Data'!H158&lt;&gt;"",1,0))</f>
        <v>1</v>
      </c>
      <c r="C212">
        <f>INDEX('Cleaned Data'!H:H,MATCH($A212,$B$56:$B$1919,0))</f>
        <v>3</v>
      </c>
      <c r="D212">
        <f>INDEX('Cleaned Data'!L:L,MATCH($A212,$B$56:$B$1919,0))</f>
        <v>6499.8895909165376</v>
      </c>
    </row>
    <row r="213" spans="1:4" x14ac:dyDescent="0.25">
      <c r="A213">
        <v>158</v>
      </c>
      <c r="B213">
        <f>B212+IF('Cleaned Data'!L159&gt;0,1,0)*IF($B$34="Overall",1,IF('Cleaned Data'!K159=$B$34,1,0))*(IF('Cleaned Data'!H159&lt;&gt;"",1,0))</f>
        <v>1</v>
      </c>
      <c r="C213">
        <f>INDEX('Cleaned Data'!H:H,MATCH($A213,$B$56:$B$1919,0))</f>
        <v>15</v>
      </c>
      <c r="D213">
        <f>INDEX('Cleaned Data'!L:L,MATCH($A213,$B$56:$B$1919,0))</f>
        <v>8013.5625093491553</v>
      </c>
    </row>
    <row r="214" spans="1:4" x14ac:dyDescent="0.25">
      <c r="A214">
        <v>159</v>
      </c>
      <c r="B214">
        <f>B213+IF('Cleaned Data'!L160&gt;0,1,0)*IF($B$34="Overall",1,IF('Cleaned Data'!K160=$B$34,1,0))*(IF('Cleaned Data'!H160&lt;&gt;"",1,0))</f>
        <v>1</v>
      </c>
      <c r="C214">
        <f>INDEX('Cleaned Data'!H:H,MATCH($A214,$B$56:$B$1919,0))</f>
        <v>5</v>
      </c>
      <c r="D214">
        <f>INDEX('Cleaned Data'!L:L,MATCH($A214,$B$56:$B$1919,0))</f>
        <v>10150.512511842264</v>
      </c>
    </row>
    <row r="215" spans="1:4" x14ac:dyDescent="0.25">
      <c r="A215">
        <v>160</v>
      </c>
      <c r="B215">
        <f>B214+IF('Cleaned Data'!L161&gt;0,1,0)*IF($B$34="Overall",1,IF('Cleaned Data'!K161=$B$34,1,0))*(IF('Cleaned Data'!H161&lt;&gt;"",1,0))</f>
        <v>1</v>
      </c>
      <c r="C215">
        <f>INDEX('Cleaned Data'!H:H,MATCH($A215,$B$56:$B$1919,0))</f>
        <v>13</v>
      </c>
      <c r="D215">
        <f>INDEX('Cleaned Data'!L:L,MATCH($A215,$B$56:$B$1919,0))</f>
        <v>10898.445012714852</v>
      </c>
    </row>
    <row r="216" spans="1:4" x14ac:dyDescent="0.25">
      <c r="A216">
        <v>161</v>
      </c>
      <c r="B216">
        <f>B215+IF('Cleaned Data'!L162&gt;0,1,0)*IF($B$34="Overall",1,IF('Cleaned Data'!K162=$B$34,1,0))*(IF('Cleaned Data'!H162&lt;&gt;"",1,0))</f>
        <v>1</v>
      </c>
      <c r="C216">
        <f>INDEX('Cleaned Data'!H:H,MATCH($A216,$B$56:$B$1919,0))</f>
        <v>3.5</v>
      </c>
      <c r="D216">
        <f>INDEX('Cleaned Data'!L:L,MATCH($A216,$B$56:$B$1919,0))</f>
        <v>2136.9500024931081</v>
      </c>
    </row>
    <row r="217" spans="1:4" x14ac:dyDescent="0.25">
      <c r="A217">
        <v>162</v>
      </c>
      <c r="B217">
        <f>B216+IF('Cleaned Data'!L163&gt;0,1,0)*IF($B$34="Overall",1,IF('Cleaned Data'!K163=$B$34,1,0))*(IF('Cleaned Data'!H163&lt;&gt;"",1,0))</f>
        <v>1</v>
      </c>
      <c r="C217">
        <f>INDEX('Cleaned Data'!H:H,MATCH($A217,$B$56:$B$1919,0))</f>
        <v>5</v>
      </c>
      <c r="D217">
        <f>INDEX('Cleaned Data'!L:L,MATCH($A217,$B$56:$B$1919,0))</f>
        <v>7123.1666749770275</v>
      </c>
    </row>
    <row r="218" spans="1:4" x14ac:dyDescent="0.25">
      <c r="A218">
        <v>163</v>
      </c>
      <c r="B218">
        <f>B217+IF('Cleaned Data'!L164&gt;0,1,0)*IF($B$34="Overall",1,IF('Cleaned Data'!K164=$B$34,1,0))*(IF('Cleaned Data'!H164&lt;&gt;"",1,0))</f>
        <v>1</v>
      </c>
      <c r="C218">
        <f>INDEX('Cleaned Data'!H:H,MATCH($A218,$B$56:$B$1919,0))</f>
        <v>5</v>
      </c>
      <c r="D218">
        <f>INDEX('Cleaned Data'!L:L,MATCH($A218,$B$56:$B$1919,0))</f>
        <v>5342.3750062327708</v>
      </c>
    </row>
    <row r="219" spans="1:4" x14ac:dyDescent="0.25">
      <c r="A219">
        <v>164</v>
      </c>
      <c r="B219">
        <f>B218+IF('Cleaned Data'!L165&gt;0,1,0)*IF($B$34="Overall",1,IF('Cleaned Data'!K165=$B$34,1,0))*(IF('Cleaned Data'!H165&lt;&gt;"",1,0))</f>
        <v>1</v>
      </c>
      <c r="C219">
        <f>INDEX('Cleaned Data'!H:H,MATCH($A219,$B$56:$B$1919,0))</f>
        <v>10</v>
      </c>
      <c r="D219">
        <f>INDEX('Cleaned Data'!L:L,MATCH($A219,$B$56:$B$1919,0))</f>
        <v>7479.3250087258784</v>
      </c>
    </row>
    <row r="220" spans="1:4" x14ac:dyDescent="0.25">
      <c r="A220">
        <v>165</v>
      </c>
      <c r="B220">
        <f>B219+IF('Cleaned Data'!L166&gt;0,1,0)*IF($B$34="Overall",1,IF('Cleaned Data'!K166=$B$34,1,0))*(IF('Cleaned Data'!H166&lt;&gt;"",1,0))</f>
        <v>1</v>
      </c>
      <c r="C220">
        <f>INDEX('Cleaned Data'!H:H,MATCH($A220,$B$56:$B$1919,0))</f>
        <v>3.5</v>
      </c>
      <c r="D220">
        <f>INDEX('Cleaned Data'!L:L,MATCH($A220,$B$56:$B$1919,0))</f>
        <v>3739.6625043629392</v>
      </c>
    </row>
    <row r="221" spans="1:4" x14ac:dyDescent="0.25">
      <c r="A221">
        <v>166</v>
      </c>
      <c r="B221">
        <f>B220+IF('Cleaned Data'!L167&gt;0,1,0)*IF($B$34="Overall",1,IF('Cleaned Data'!K167=$B$34,1,0))*(IF('Cleaned Data'!H167&lt;&gt;"",1,0))</f>
        <v>1</v>
      </c>
      <c r="C221">
        <f>INDEX('Cleaned Data'!H:H,MATCH($A221,$B$56:$B$1919,0))</f>
        <v>25</v>
      </c>
      <c r="D221">
        <f>INDEX('Cleaned Data'!L:L,MATCH($A221,$B$56:$B$1919,0))</f>
        <v>17807.916687442568</v>
      </c>
    </row>
    <row r="222" spans="1:4" x14ac:dyDescent="0.25">
      <c r="A222">
        <v>167</v>
      </c>
      <c r="B222">
        <f>B221+IF('Cleaned Data'!L168&gt;0,1,0)*IF($B$34="Overall",1,IF('Cleaned Data'!K168=$B$34,1,0))*(IF('Cleaned Data'!H168&lt;&gt;"",1,0))</f>
        <v>1</v>
      </c>
      <c r="C222">
        <f>INDEX('Cleaned Data'!H:H,MATCH($A222,$B$56:$B$1919,0))</f>
        <v>12</v>
      </c>
      <c r="D222">
        <f>INDEX('Cleaned Data'!L:L,MATCH($A222,$B$56:$B$1919,0))</f>
        <v>10684.750012465542</v>
      </c>
    </row>
    <row r="223" spans="1:4" x14ac:dyDescent="0.25">
      <c r="A223">
        <v>168</v>
      </c>
      <c r="B223">
        <f>B222+IF('Cleaned Data'!L169&gt;0,1,0)*IF($B$34="Overall",1,IF('Cleaned Data'!K169=$B$34,1,0))*(IF('Cleaned Data'!H169&lt;&gt;"",1,0))</f>
        <v>1</v>
      </c>
      <c r="C223">
        <f>INDEX('Cleaned Data'!H:H,MATCH($A223,$B$56:$B$1919,0))</f>
        <v>8</v>
      </c>
      <c r="D223">
        <f>INDEX('Cleaned Data'!L:L,MATCH($A223,$B$56:$B$1919,0))</f>
        <v>8476.5683432226633</v>
      </c>
    </row>
    <row r="224" spans="1:4" x14ac:dyDescent="0.25">
      <c r="A224">
        <v>169</v>
      </c>
      <c r="B224">
        <f>B223+IF('Cleaned Data'!L170&gt;0,1,0)*IF($B$34="Overall",1,IF('Cleaned Data'!K170=$B$34,1,0))*(IF('Cleaned Data'!H170&lt;&gt;"",1,0))</f>
        <v>1</v>
      </c>
      <c r="C224">
        <f>INDEX('Cleaned Data'!H:H,MATCH($A224,$B$56:$B$1919,0))</f>
        <v>8</v>
      </c>
      <c r="D224">
        <f>INDEX('Cleaned Data'!L:L,MATCH($A224,$B$56:$B$1919,0))</f>
        <v>3561.5833374885137</v>
      </c>
    </row>
    <row r="225" spans="1:4" x14ac:dyDescent="0.25">
      <c r="A225">
        <v>170</v>
      </c>
      <c r="B225">
        <f>B224+IF('Cleaned Data'!L171&gt;0,1,0)*IF($B$34="Overall",1,IF('Cleaned Data'!K171=$B$34,1,0))*(IF('Cleaned Data'!H171&lt;&gt;"",1,0))</f>
        <v>1</v>
      </c>
      <c r="C225">
        <f>INDEX('Cleaned Data'!H:H,MATCH($A225,$B$56:$B$1919,0))</f>
        <v>4</v>
      </c>
      <c r="D225">
        <f>INDEX('Cleaned Data'!L:L,MATCH($A225,$B$56:$B$1919,0))</f>
        <v>3205.4250037396623</v>
      </c>
    </row>
    <row r="226" spans="1:4" x14ac:dyDescent="0.25">
      <c r="A226">
        <v>171</v>
      </c>
      <c r="B226">
        <f>B225+IF('Cleaned Data'!L172&gt;0,1,0)*IF($B$34="Overall",1,IF('Cleaned Data'!K172=$B$34,1,0))*(IF('Cleaned Data'!H172&lt;&gt;"",1,0))</f>
        <v>1</v>
      </c>
      <c r="C226">
        <f>INDEX('Cleaned Data'!H:H,MATCH($A226,$B$56:$B$1919,0))</f>
        <v>5</v>
      </c>
      <c r="D226">
        <f>INDEX('Cleaned Data'!L:L,MATCH($A226,$B$56:$B$1919,0))</f>
        <v>4487.5950052355274</v>
      </c>
    </row>
    <row r="227" spans="1:4" x14ac:dyDescent="0.25">
      <c r="A227">
        <v>172</v>
      </c>
      <c r="B227">
        <f>B226+IF('Cleaned Data'!L173&gt;0,1,0)*IF($B$34="Overall",1,IF('Cleaned Data'!K173=$B$34,1,0))*(IF('Cleaned Data'!H173&lt;&gt;"",1,0))</f>
        <v>1</v>
      </c>
      <c r="C227">
        <f>INDEX('Cleaned Data'!H:H,MATCH($A227,$B$56:$B$1919,0))</f>
        <v>5</v>
      </c>
      <c r="D227">
        <f>INDEX('Cleaned Data'!L:L,MATCH($A227,$B$56:$B$1919,0))</f>
        <v>12465.541681209797</v>
      </c>
    </row>
    <row r="228" spans="1:4" x14ac:dyDescent="0.25">
      <c r="A228">
        <v>173</v>
      </c>
      <c r="B228">
        <f>B227+IF('Cleaned Data'!L174&gt;0,1,0)*IF($B$34="Overall",1,IF('Cleaned Data'!K174=$B$34,1,0))*(IF('Cleaned Data'!H174&lt;&gt;"",1,0))</f>
        <v>1</v>
      </c>
      <c r="C228">
        <f>INDEX('Cleaned Data'!H:H,MATCH($A228,$B$56:$B$1919,0))</f>
        <v>2</v>
      </c>
      <c r="D228">
        <f>INDEX('Cleaned Data'!L:L,MATCH($A228,$B$56:$B$1919,0))</f>
        <v>21369.500024931083</v>
      </c>
    </row>
    <row r="229" spans="1:4" x14ac:dyDescent="0.25">
      <c r="A229">
        <v>174</v>
      </c>
      <c r="B229">
        <f>B228+IF('Cleaned Data'!L175&gt;0,1,0)*IF($B$34="Overall",1,IF('Cleaned Data'!K175=$B$34,1,0))*(IF('Cleaned Data'!H175&lt;&gt;"",1,0))</f>
        <v>1</v>
      </c>
      <c r="C229">
        <f>INDEX('Cleaned Data'!H:H,MATCH($A229,$B$56:$B$1919,0))</f>
        <v>5</v>
      </c>
      <c r="D229">
        <f>INDEX('Cleaned Data'!L:L,MATCH($A229,$B$56:$B$1919,0))</f>
        <v>7265.630008476568</v>
      </c>
    </row>
    <row r="230" spans="1:4" x14ac:dyDescent="0.25">
      <c r="A230">
        <v>175</v>
      </c>
      <c r="B230">
        <f>B229+IF('Cleaned Data'!L176&gt;0,1,0)*IF($B$34="Overall",1,IF('Cleaned Data'!K176=$B$34,1,0))*(IF('Cleaned Data'!H176&lt;&gt;"",1,0))</f>
        <v>1</v>
      </c>
      <c r="C230">
        <f>INDEX('Cleaned Data'!H:H,MATCH($A230,$B$56:$B$1919,0))</f>
        <v>7</v>
      </c>
      <c r="D230">
        <f>INDEX('Cleaned Data'!L:L,MATCH($A230,$B$56:$B$1919,0))</f>
        <v>9438.1958443445619</v>
      </c>
    </row>
    <row r="231" spans="1:4" x14ac:dyDescent="0.25">
      <c r="A231">
        <v>176</v>
      </c>
      <c r="B231">
        <f>B230+IF('Cleaned Data'!L177&gt;0,1,0)*IF($B$34="Overall",1,IF('Cleaned Data'!K177=$B$34,1,0))*(IF('Cleaned Data'!H177&lt;&gt;"",1,0))</f>
        <v>1</v>
      </c>
      <c r="C231">
        <f>INDEX('Cleaned Data'!H:H,MATCH($A231,$B$56:$B$1919,0))</f>
        <v>5</v>
      </c>
      <c r="D231">
        <f>INDEX('Cleaned Data'!L:L,MATCH($A231,$B$56:$B$1919,0))</f>
        <v>3561.5833374885137</v>
      </c>
    </row>
    <row r="232" spans="1:4" x14ac:dyDescent="0.25">
      <c r="A232">
        <v>177</v>
      </c>
      <c r="B232">
        <f>B231+IF('Cleaned Data'!L178&gt;0,1,0)*IF($B$34="Overall",1,IF('Cleaned Data'!K178=$B$34,1,0))*(IF('Cleaned Data'!H178&lt;&gt;"",1,0))</f>
        <v>1</v>
      </c>
      <c r="C232">
        <f>INDEX('Cleaned Data'!H:H,MATCH($A232,$B$56:$B$1919,0))</f>
        <v>3</v>
      </c>
      <c r="D232">
        <f>INDEX('Cleaned Data'!L:L,MATCH($A232,$B$56:$B$1919,0))</f>
        <v>3561.5833374885137</v>
      </c>
    </row>
    <row r="233" spans="1:4" x14ac:dyDescent="0.25">
      <c r="A233">
        <v>178</v>
      </c>
      <c r="B233">
        <f>B232+IF('Cleaned Data'!L179&gt;0,1,0)*IF($B$34="Overall",1,IF('Cleaned Data'!K179=$B$34,1,0))*(IF('Cleaned Data'!H179&lt;&gt;"",1,0))</f>
        <v>1</v>
      </c>
      <c r="C233">
        <f>INDEX('Cleaned Data'!H:H,MATCH($A233,$B$56:$B$1919,0))</f>
        <v>7</v>
      </c>
      <c r="D233">
        <f>INDEX('Cleaned Data'!L:L,MATCH($A233,$B$56:$B$1919,0))</f>
        <v>21369.500024931083</v>
      </c>
    </row>
    <row r="234" spans="1:4" x14ac:dyDescent="0.25">
      <c r="A234">
        <v>179</v>
      </c>
      <c r="B234">
        <f>B233+IF('Cleaned Data'!L180&gt;0,1,0)*IF($B$34="Overall",1,IF('Cleaned Data'!K180=$B$34,1,0))*(IF('Cleaned Data'!H180&lt;&gt;"",1,0))</f>
        <v>1</v>
      </c>
      <c r="C234">
        <f>INDEX('Cleaned Data'!H:H,MATCH($A234,$B$56:$B$1919,0))</f>
        <v>1</v>
      </c>
      <c r="D234">
        <f>INDEX('Cleaned Data'!L:L,MATCH($A234,$B$56:$B$1919,0))</f>
        <v>5342.3750062327708</v>
      </c>
    </row>
    <row r="235" spans="1:4" x14ac:dyDescent="0.25">
      <c r="A235">
        <v>180</v>
      </c>
      <c r="B235">
        <f>B234+IF('Cleaned Data'!L181&gt;0,1,0)*IF($B$34="Overall",1,IF('Cleaned Data'!K181=$B$34,1,0))*(IF('Cleaned Data'!H181&lt;&gt;"",1,0))</f>
        <v>1</v>
      </c>
      <c r="C235">
        <f>INDEX('Cleaned Data'!H:H,MATCH($A235,$B$56:$B$1919,0))</f>
        <v>9</v>
      </c>
      <c r="D235">
        <f>INDEX('Cleaned Data'!L:L,MATCH($A235,$B$56:$B$1919,0))</f>
        <v>28492.66669990811</v>
      </c>
    </row>
    <row r="236" spans="1:4" x14ac:dyDescent="0.25">
      <c r="A236">
        <v>181</v>
      </c>
      <c r="B236">
        <f>B235+IF('Cleaned Data'!L182&gt;0,1,0)*IF($B$34="Overall",1,IF('Cleaned Data'!K182=$B$34,1,0))*(IF('Cleaned Data'!H182&lt;&gt;"",1,0))</f>
        <v>1</v>
      </c>
      <c r="C236">
        <f>INDEX('Cleaned Data'!H:H,MATCH($A236,$B$56:$B$1919,0))</f>
        <v>10</v>
      </c>
      <c r="D236">
        <f>INDEX('Cleaned Data'!L:L,MATCH($A236,$B$56:$B$1919,0))</f>
        <v>7799.8675090998449</v>
      </c>
    </row>
    <row r="237" spans="1:4" x14ac:dyDescent="0.25">
      <c r="A237">
        <v>182</v>
      </c>
      <c r="B237">
        <f>B236+IF('Cleaned Data'!L183&gt;0,1,0)*IF($B$34="Overall",1,IF('Cleaned Data'!K183=$B$34,1,0))*(IF('Cleaned Data'!H183&lt;&gt;"",1,0))</f>
        <v>1</v>
      </c>
      <c r="C237">
        <f>INDEX('Cleaned Data'!H:H,MATCH($A237,$B$56:$B$1919,0))</f>
        <v>3.5</v>
      </c>
      <c r="D237">
        <f>INDEX('Cleaned Data'!L:L,MATCH($A237,$B$56:$B$1919,0))</f>
        <v>4451.9791718606421</v>
      </c>
    </row>
    <row r="238" spans="1:4" x14ac:dyDescent="0.25">
      <c r="A238">
        <v>183</v>
      </c>
      <c r="B238">
        <f>B237+IF('Cleaned Data'!L184&gt;0,1,0)*IF($B$34="Overall",1,IF('Cleaned Data'!K184=$B$34,1,0))*(IF('Cleaned Data'!H184&lt;&gt;"",1,0))</f>
        <v>1</v>
      </c>
      <c r="C238">
        <f>INDEX('Cleaned Data'!H:H,MATCH($A238,$B$56:$B$1919,0))</f>
        <v>9</v>
      </c>
      <c r="D238">
        <f>INDEX('Cleaned Data'!L:L,MATCH($A238,$B$56:$B$1919,0))</f>
        <v>44519.791718606422</v>
      </c>
    </row>
    <row r="239" spans="1:4" x14ac:dyDescent="0.25">
      <c r="A239">
        <v>184</v>
      </c>
      <c r="B239">
        <f>B238+IF('Cleaned Data'!L185&gt;0,1,0)*IF($B$34="Overall",1,IF('Cleaned Data'!K185=$B$34,1,0))*(IF('Cleaned Data'!H185&lt;&gt;"",1,0))</f>
        <v>1</v>
      </c>
      <c r="C239">
        <f>INDEX('Cleaned Data'!H:H,MATCH($A239,$B$56:$B$1919,0))</f>
        <v>4</v>
      </c>
      <c r="D239">
        <f>INDEX('Cleaned Data'!L:L,MATCH($A239,$B$56:$B$1919,0))</f>
        <v>2493.1083362419595</v>
      </c>
    </row>
    <row r="240" spans="1:4" x14ac:dyDescent="0.25">
      <c r="A240">
        <v>185</v>
      </c>
      <c r="B240">
        <f>B239+IF('Cleaned Data'!L186&gt;0,1,0)*IF($B$34="Overall",1,IF('Cleaned Data'!K186=$B$34,1,0))*(IF('Cleaned Data'!H186&lt;&gt;"",1,0))</f>
        <v>1</v>
      </c>
      <c r="C240">
        <f>INDEX('Cleaned Data'!H:H,MATCH($A240,$B$56:$B$1919,0))</f>
        <v>8</v>
      </c>
      <c r="D240">
        <f>INDEX('Cleaned Data'!L:L,MATCH($A240,$B$56:$B$1919,0))</f>
        <v>21369.500024931083</v>
      </c>
    </row>
    <row r="241" spans="1:4" x14ac:dyDescent="0.25">
      <c r="A241">
        <v>186</v>
      </c>
      <c r="B241">
        <f>B240+IF('Cleaned Data'!L187&gt;0,1,0)*IF($B$34="Overall",1,IF('Cleaned Data'!K187=$B$34,1,0))*(IF('Cleaned Data'!H187&lt;&gt;"",1,0))</f>
        <v>1</v>
      </c>
      <c r="C241">
        <f>INDEX('Cleaned Data'!H:H,MATCH($A241,$B$56:$B$1919,0))</f>
        <v>3</v>
      </c>
      <c r="D241">
        <f>INDEX('Cleaned Data'!L:L,MATCH($A241,$B$56:$B$1919,0))</f>
        <v>4273.9000049862161</v>
      </c>
    </row>
    <row r="242" spans="1:4" x14ac:dyDescent="0.25">
      <c r="A242">
        <v>187</v>
      </c>
      <c r="B242">
        <f>B241+IF('Cleaned Data'!L188&gt;0,1,0)*IF($B$34="Overall",1,IF('Cleaned Data'!K188=$B$34,1,0))*(IF('Cleaned Data'!H188&lt;&gt;"",1,0))</f>
        <v>1</v>
      </c>
      <c r="C242">
        <f>INDEX('Cleaned Data'!H:H,MATCH($A242,$B$56:$B$1919,0))</f>
        <v>3</v>
      </c>
      <c r="D242">
        <f>INDEX('Cleaned Data'!L:L,MATCH($A242,$B$56:$B$1919,0))</f>
        <v>4451.9791718606421</v>
      </c>
    </row>
    <row r="243" spans="1:4" x14ac:dyDescent="0.25">
      <c r="A243">
        <v>188</v>
      </c>
      <c r="B243">
        <f>B242+IF('Cleaned Data'!L189&gt;0,1,0)*IF($B$34="Overall",1,IF('Cleaned Data'!K189=$B$34,1,0))*(IF('Cleaned Data'!H189&lt;&gt;"",1,0))</f>
        <v>1</v>
      </c>
      <c r="C243">
        <f>INDEX('Cleaned Data'!H:H,MATCH($A243,$B$56:$B$1919,0))</f>
        <v>10</v>
      </c>
      <c r="D243">
        <f>INDEX('Cleaned Data'!L:L,MATCH($A243,$B$56:$B$1919,0))</f>
        <v>10684.750012465542</v>
      </c>
    </row>
    <row r="244" spans="1:4" x14ac:dyDescent="0.25">
      <c r="A244">
        <v>189</v>
      </c>
      <c r="B244">
        <f>B243+IF('Cleaned Data'!L190&gt;0,1,0)*IF($B$34="Overall",1,IF('Cleaned Data'!K190=$B$34,1,0))*(IF('Cleaned Data'!H190&lt;&gt;"",1,0))</f>
        <v>1</v>
      </c>
      <c r="C244">
        <f>INDEX('Cleaned Data'!H:H,MATCH($A244,$B$56:$B$1919,0))</f>
        <v>23</v>
      </c>
      <c r="D244">
        <f>INDEX('Cleaned Data'!L:L,MATCH($A244,$B$56:$B$1919,0))</f>
        <v>8903.9583437212841</v>
      </c>
    </row>
    <row r="245" spans="1:4" x14ac:dyDescent="0.25">
      <c r="A245">
        <v>190</v>
      </c>
      <c r="B245">
        <f>B244+IF('Cleaned Data'!L191&gt;0,1,0)*IF($B$34="Overall",1,IF('Cleaned Data'!K191=$B$34,1,0))*(IF('Cleaned Data'!H191&lt;&gt;"",1,0))</f>
        <v>1</v>
      </c>
      <c r="C245">
        <f>INDEX('Cleaned Data'!H:H,MATCH($A245,$B$56:$B$1919,0))</f>
        <v>20</v>
      </c>
      <c r="D245">
        <f>INDEX('Cleaned Data'!L:L,MATCH($A245,$B$56:$B$1919,0))</f>
        <v>4273.9000049862161</v>
      </c>
    </row>
    <row r="246" spans="1:4" x14ac:dyDescent="0.25">
      <c r="A246">
        <v>191</v>
      </c>
      <c r="B246">
        <f>B245+IF('Cleaned Data'!L192&gt;0,1,0)*IF($B$34="Overall",1,IF('Cleaned Data'!K192=$B$34,1,0))*(IF('Cleaned Data'!H192&lt;&gt;"",1,0))</f>
        <v>1</v>
      </c>
      <c r="C246">
        <f>INDEX('Cleaned Data'!H:H,MATCH($A246,$B$56:$B$1919,0))</f>
        <v>5</v>
      </c>
      <c r="D246">
        <f>INDEX('Cleaned Data'!L:L,MATCH($A246,$B$56:$B$1919,0))</f>
        <v>21369.500024931083</v>
      </c>
    </row>
    <row r="247" spans="1:4" x14ac:dyDescent="0.25">
      <c r="A247">
        <v>192</v>
      </c>
      <c r="B247">
        <f>B246+IF('Cleaned Data'!L193&gt;0,1,0)*IF($B$34="Overall",1,IF('Cleaned Data'!K193=$B$34,1,0))*(IF('Cleaned Data'!H193&lt;&gt;"",1,0))</f>
        <v>1</v>
      </c>
      <c r="C247">
        <f>INDEX('Cleaned Data'!H:H,MATCH($A247,$B$56:$B$1919,0))</f>
        <v>3</v>
      </c>
      <c r="D247">
        <f>INDEX('Cleaned Data'!L:L,MATCH($A247,$B$56:$B$1919,0))</f>
        <v>3205.4250037396623</v>
      </c>
    </row>
    <row r="248" spans="1:4" x14ac:dyDescent="0.25">
      <c r="A248">
        <v>193</v>
      </c>
      <c r="B248">
        <f>B247+IF('Cleaned Data'!L194&gt;0,1,0)*IF($B$34="Overall",1,IF('Cleaned Data'!K194=$B$34,1,0))*(IF('Cleaned Data'!H194&lt;&gt;"",1,0))</f>
        <v>1</v>
      </c>
      <c r="C248">
        <f>INDEX('Cleaned Data'!H:H,MATCH($A248,$B$56:$B$1919,0))</f>
        <v>8</v>
      </c>
      <c r="D248">
        <f>INDEX('Cleaned Data'!L:L,MATCH($A248,$B$56:$B$1919,0))</f>
        <v>10684.750012465542</v>
      </c>
    </row>
    <row r="249" spans="1:4" x14ac:dyDescent="0.25">
      <c r="A249">
        <v>194</v>
      </c>
      <c r="B249">
        <f>B248+IF('Cleaned Data'!L195&gt;0,1,0)*IF($B$34="Overall",1,IF('Cleaned Data'!K195=$B$34,1,0))*(IF('Cleaned Data'!H195&lt;&gt;"",1,0))</f>
        <v>1</v>
      </c>
      <c r="C249">
        <f>INDEX('Cleaned Data'!H:H,MATCH($A249,$B$56:$B$1919,0))</f>
        <v>5</v>
      </c>
      <c r="D249">
        <f>INDEX('Cleaned Data'!L:L,MATCH($A249,$B$56:$B$1919,0))</f>
        <v>5342.3750062327708</v>
      </c>
    </row>
    <row r="250" spans="1:4" x14ac:dyDescent="0.25">
      <c r="A250">
        <v>195</v>
      </c>
      <c r="B250">
        <f>B249+IF('Cleaned Data'!L196&gt;0,1,0)*IF($B$34="Overall",1,IF('Cleaned Data'!K196=$B$34,1,0))*(IF('Cleaned Data'!H196&lt;&gt;"",1,0))</f>
        <v>1</v>
      </c>
      <c r="C250">
        <f>INDEX('Cleaned Data'!H:H,MATCH($A250,$B$56:$B$1919,0))</f>
        <v>16</v>
      </c>
      <c r="D250">
        <f>INDEX('Cleaned Data'!L:L,MATCH($A250,$B$56:$B$1919,0))</f>
        <v>4487.5950052355274</v>
      </c>
    </row>
    <row r="251" spans="1:4" x14ac:dyDescent="0.25">
      <c r="A251">
        <v>196</v>
      </c>
      <c r="B251">
        <f>B250+IF('Cleaned Data'!L197&gt;0,1,0)*IF($B$34="Overall",1,IF('Cleaned Data'!K197=$B$34,1,0))*(IF('Cleaned Data'!H197&lt;&gt;"",1,0))</f>
        <v>1</v>
      </c>
      <c r="C251">
        <f>INDEX('Cleaned Data'!H:H,MATCH($A251,$B$56:$B$1919,0))</f>
        <v>7</v>
      </c>
      <c r="D251">
        <f>INDEX('Cleaned Data'!L:L,MATCH($A251,$B$56:$B$1919,0))</f>
        <v>4314.929445034084</v>
      </c>
    </row>
    <row r="252" spans="1:4" x14ac:dyDescent="0.25">
      <c r="A252">
        <v>197</v>
      </c>
      <c r="B252">
        <f>B251+IF('Cleaned Data'!L198&gt;0,1,0)*IF($B$34="Overall",1,IF('Cleaned Data'!K198=$B$34,1,0))*(IF('Cleaned Data'!H198&lt;&gt;"",1,0))</f>
        <v>1</v>
      </c>
      <c r="C252">
        <f>INDEX('Cleaned Data'!H:H,MATCH($A252,$B$56:$B$1919,0))</f>
        <v>1</v>
      </c>
      <c r="D252">
        <f>INDEX('Cleaned Data'!L:L,MATCH($A252,$B$56:$B$1919,0))</f>
        <v>3739.6625043629392</v>
      </c>
    </row>
    <row r="253" spans="1:4" x14ac:dyDescent="0.25">
      <c r="A253">
        <v>198</v>
      </c>
      <c r="B253">
        <f>B252+IF('Cleaned Data'!L199&gt;0,1,0)*IF($B$34="Overall",1,IF('Cleaned Data'!K199=$B$34,1,0))*(IF('Cleaned Data'!H199&lt;&gt;"",1,0))</f>
        <v>1</v>
      </c>
      <c r="C253">
        <f>INDEX('Cleaned Data'!H:H,MATCH($A253,$B$56:$B$1919,0))</f>
        <v>22</v>
      </c>
      <c r="D253">
        <f>INDEX('Cleaned Data'!L:L,MATCH($A253,$B$56:$B$1919,0))</f>
        <v>16027.125018698311</v>
      </c>
    </row>
    <row r="254" spans="1:4" x14ac:dyDescent="0.25">
      <c r="A254">
        <v>199</v>
      </c>
      <c r="B254">
        <f>B253+IF('Cleaned Data'!L200&gt;0,1,0)*IF($B$34="Overall",1,IF('Cleaned Data'!K200=$B$34,1,0))*(IF('Cleaned Data'!H200&lt;&gt;"",1,0))</f>
        <v>1</v>
      </c>
      <c r="C254">
        <f>INDEX('Cleaned Data'!H:H,MATCH($A254,$B$56:$B$1919,0))</f>
        <v>9</v>
      </c>
      <c r="D254">
        <f>INDEX('Cleaned Data'!L:L,MATCH($A254,$B$56:$B$1919,0))</f>
        <v>7123.1666749770275</v>
      </c>
    </row>
    <row r="255" spans="1:4" x14ac:dyDescent="0.25">
      <c r="A255">
        <v>200</v>
      </c>
      <c r="B255">
        <f>B254+IF('Cleaned Data'!L201&gt;0,1,0)*IF($B$34="Overall",1,IF('Cleaned Data'!K201=$B$34,1,0))*(IF('Cleaned Data'!H201&lt;&gt;"",1,0))</f>
        <v>1</v>
      </c>
      <c r="C255">
        <f>INDEX('Cleaned Data'!H:H,MATCH($A255,$B$56:$B$1919,0))</f>
        <v>5</v>
      </c>
      <c r="D255">
        <f>INDEX('Cleaned Data'!L:L,MATCH($A255,$B$56:$B$1919,0))</f>
        <v>2675.675098121621</v>
      </c>
    </row>
    <row r="256" spans="1:4" x14ac:dyDescent="0.25">
      <c r="A256">
        <v>201</v>
      </c>
      <c r="B256">
        <f>B255+IF('Cleaned Data'!L202&gt;0,1,0)*IF($B$34="Overall",1,IF('Cleaned Data'!K202=$B$34,1,0))*(IF('Cleaned Data'!H202&lt;&gt;"",1,0))</f>
        <v>1</v>
      </c>
      <c r="C256">
        <f>INDEX('Cleaned Data'!H:H,MATCH($A256,$B$56:$B$1919,0))</f>
        <v>10</v>
      </c>
      <c r="D256">
        <f>INDEX('Cleaned Data'!L:L,MATCH($A256,$B$56:$B$1919,0))</f>
        <v>42739.000049862167</v>
      </c>
    </row>
    <row r="257" spans="1:4" x14ac:dyDescent="0.25">
      <c r="A257">
        <v>202</v>
      </c>
      <c r="B257">
        <f>B256+IF('Cleaned Data'!L203&gt;0,1,0)*IF($B$34="Overall",1,IF('Cleaned Data'!K203=$B$34,1,0))*(IF('Cleaned Data'!H203&lt;&gt;"",1,0))</f>
        <v>1</v>
      </c>
      <c r="C257">
        <f>INDEX('Cleaned Data'!H:H,MATCH($A257,$B$56:$B$1919,0))</f>
        <v>2</v>
      </c>
      <c r="D257">
        <f>INDEX('Cleaned Data'!L:L,MATCH($A257,$B$56:$B$1919,0))</f>
        <v>7123.1666749770275</v>
      </c>
    </row>
    <row r="258" spans="1:4" x14ac:dyDescent="0.25">
      <c r="A258">
        <v>203</v>
      </c>
      <c r="B258">
        <f>B257+IF('Cleaned Data'!L204&gt;0,1,0)*IF($B$34="Overall",1,IF('Cleaned Data'!K204=$B$34,1,0))*(IF('Cleaned Data'!H204&lt;&gt;"",1,0))</f>
        <v>1</v>
      </c>
      <c r="C258">
        <f>INDEX('Cleaned Data'!H:H,MATCH($A258,$B$56:$B$1919,0))</f>
        <v>5</v>
      </c>
      <c r="D258">
        <f>INDEX('Cleaned Data'!L:L,MATCH($A258,$B$56:$B$1919,0))</f>
        <v>3561.5833374885137</v>
      </c>
    </row>
    <row r="259" spans="1:4" x14ac:dyDescent="0.25">
      <c r="A259">
        <v>204</v>
      </c>
      <c r="B259">
        <f>B258+IF('Cleaned Data'!L205&gt;0,1,0)*IF($B$34="Overall",1,IF('Cleaned Data'!K205=$B$34,1,0))*(IF('Cleaned Data'!H205&lt;&gt;"",1,0))</f>
        <v>1</v>
      </c>
      <c r="C259">
        <f>INDEX('Cleaned Data'!H:H,MATCH($A259,$B$56:$B$1919,0))</f>
        <v>6</v>
      </c>
      <c r="D259">
        <f>INDEX('Cleaned Data'!L:L,MATCH($A259,$B$56:$B$1919,0))</f>
        <v>15190.15293438851</v>
      </c>
    </row>
    <row r="260" spans="1:4" x14ac:dyDescent="0.25">
      <c r="A260">
        <v>205</v>
      </c>
      <c r="B260">
        <f>B259+IF('Cleaned Data'!L206&gt;0,1,0)*IF($B$34="Overall",1,IF('Cleaned Data'!K206=$B$34,1,0))*(IF('Cleaned Data'!H206&lt;&gt;"",1,0))</f>
        <v>1</v>
      </c>
      <c r="C260">
        <f>INDEX('Cleaned Data'!H:H,MATCH($A260,$B$56:$B$1919,0))</f>
        <v>5</v>
      </c>
      <c r="D260">
        <f>INDEX('Cleaned Data'!L:L,MATCH($A260,$B$56:$B$1919,0))</f>
        <v>12608.005014709339</v>
      </c>
    </row>
    <row r="261" spans="1:4" x14ac:dyDescent="0.25">
      <c r="A261">
        <v>206</v>
      </c>
      <c r="B261">
        <f>B260+IF('Cleaned Data'!L207&gt;0,1,0)*IF($B$34="Overall",1,IF('Cleaned Data'!K207=$B$34,1,0))*(IF('Cleaned Data'!H207&lt;&gt;"",1,0))</f>
        <v>1</v>
      </c>
      <c r="C261">
        <f>INDEX('Cleaned Data'!H:H,MATCH($A261,$B$56:$B$1919,0))</f>
        <v>25</v>
      </c>
      <c r="D261">
        <f>INDEX('Cleaned Data'!L:L,MATCH($A261,$B$56:$B$1919,0))</f>
        <v>8903.9583437212841</v>
      </c>
    </row>
    <row r="262" spans="1:4" x14ac:dyDescent="0.25">
      <c r="A262">
        <v>207</v>
      </c>
      <c r="B262">
        <f>B261+IF('Cleaned Data'!L208&gt;0,1,0)*IF($B$34="Overall",1,IF('Cleaned Data'!K208=$B$34,1,0))*(IF('Cleaned Data'!H208&lt;&gt;"",1,0))</f>
        <v>1</v>
      </c>
      <c r="C262">
        <f>INDEX('Cleaned Data'!H:H,MATCH($A262,$B$56:$B$1919,0))</f>
        <v>0.8</v>
      </c>
      <c r="D262">
        <f>INDEX('Cleaned Data'!L:L,MATCH($A262,$B$56:$B$1919,0))</f>
        <v>8903.9583437212841</v>
      </c>
    </row>
    <row r="263" spans="1:4" x14ac:dyDescent="0.25">
      <c r="A263">
        <v>208</v>
      </c>
      <c r="B263">
        <f>B262+IF('Cleaned Data'!L209&gt;0,1,0)*IF($B$34="Overall",1,IF('Cleaned Data'!K209=$B$34,1,0))*(IF('Cleaned Data'!H209&lt;&gt;"",1,0))</f>
        <v>1</v>
      </c>
      <c r="C263">
        <f>INDEX('Cleaned Data'!H:H,MATCH($A263,$B$56:$B$1919,0))</f>
        <v>6</v>
      </c>
      <c r="D263">
        <f>INDEX('Cleaned Data'!L:L,MATCH($A263,$B$56:$B$1919,0))</f>
        <v>3561.5833374885137</v>
      </c>
    </row>
    <row r="264" spans="1:4" x14ac:dyDescent="0.25">
      <c r="A264">
        <v>209</v>
      </c>
      <c r="B264">
        <f>B263+IF('Cleaned Data'!L210&gt;0,1,0)*IF($B$34="Overall",1,IF('Cleaned Data'!K210=$B$34,1,0))*(IF('Cleaned Data'!H210&lt;&gt;"",1,0))</f>
        <v>1</v>
      </c>
      <c r="C264">
        <f>INDEX('Cleaned Data'!H:H,MATCH($A264,$B$56:$B$1919,0))</f>
        <v>21</v>
      </c>
      <c r="D264">
        <f>INDEX('Cleaned Data'!L:L,MATCH($A264,$B$56:$B$1919,0))</f>
        <v>8013.5625093491553</v>
      </c>
    </row>
    <row r="265" spans="1:4" x14ac:dyDescent="0.25">
      <c r="A265">
        <v>210</v>
      </c>
      <c r="B265">
        <f>B264+IF('Cleaned Data'!L211&gt;0,1,0)*IF($B$34="Overall",1,IF('Cleaned Data'!K211=$B$34,1,0))*(IF('Cleaned Data'!H211&lt;&gt;"",1,0))</f>
        <v>1</v>
      </c>
      <c r="C265">
        <f>INDEX('Cleaned Data'!H:H,MATCH($A265,$B$56:$B$1919,0))</f>
        <v>1.5</v>
      </c>
      <c r="D265">
        <f>INDEX('Cleaned Data'!L:L,MATCH($A265,$B$56:$B$1919,0))</f>
        <v>6232.7708406048987</v>
      </c>
    </row>
    <row r="266" spans="1:4" x14ac:dyDescent="0.25">
      <c r="A266">
        <v>211</v>
      </c>
      <c r="B266">
        <f>B265+IF('Cleaned Data'!L212&gt;0,1,0)*IF($B$34="Overall",1,IF('Cleaned Data'!K212=$B$34,1,0))*(IF('Cleaned Data'!H212&lt;&gt;"",1,0))</f>
        <v>1</v>
      </c>
      <c r="C266">
        <f>INDEX('Cleaned Data'!H:H,MATCH($A266,$B$56:$B$1919,0))</f>
        <v>7.9</v>
      </c>
      <c r="D266">
        <f>INDEX('Cleaned Data'!L:L,MATCH($A266,$B$56:$B$1919,0))</f>
        <v>9616.275011218986</v>
      </c>
    </row>
    <row r="267" spans="1:4" x14ac:dyDescent="0.25">
      <c r="A267">
        <v>212</v>
      </c>
      <c r="B267">
        <f>B266+IF('Cleaned Data'!L213&gt;0,1,0)*IF($B$34="Overall",1,IF('Cleaned Data'!K213=$B$34,1,0))*(IF('Cleaned Data'!H213&lt;&gt;"",1,0))</f>
        <v>1</v>
      </c>
      <c r="C267">
        <f>INDEX('Cleaned Data'!H:H,MATCH($A267,$B$56:$B$1919,0))</f>
        <v>15</v>
      </c>
      <c r="D267">
        <f>INDEX('Cleaned Data'!L:L,MATCH($A267,$B$56:$B$1919,0))</f>
        <v>8547.8000099724322</v>
      </c>
    </row>
    <row r="268" spans="1:4" x14ac:dyDescent="0.25">
      <c r="A268">
        <v>213</v>
      </c>
      <c r="B268">
        <f>B267+IF('Cleaned Data'!L214&gt;0,1,0)*IF($B$34="Overall",1,IF('Cleaned Data'!K214=$B$34,1,0))*(IF('Cleaned Data'!H214&lt;&gt;"",1,0))</f>
        <v>1</v>
      </c>
      <c r="C268">
        <f>INDEX('Cleaned Data'!H:H,MATCH($A268,$B$56:$B$1919,0))</f>
        <v>13</v>
      </c>
      <c r="D268">
        <f>INDEX('Cleaned Data'!L:L,MATCH($A268,$B$56:$B$1919,0))</f>
        <v>19588.708356186824</v>
      </c>
    </row>
    <row r="269" spans="1:4" x14ac:dyDescent="0.25">
      <c r="A269">
        <v>214</v>
      </c>
      <c r="B269">
        <f>B268+IF('Cleaned Data'!L215&gt;0,1,0)*IF($B$34="Overall",1,IF('Cleaned Data'!K215=$B$34,1,0))*(IF('Cleaned Data'!H215&lt;&gt;"",1,0))</f>
        <v>1</v>
      </c>
      <c r="C269">
        <f>INDEX('Cleaned Data'!H:H,MATCH($A269,$B$56:$B$1919,0))</f>
        <v>1</v>
      </c>
      <c r="D269">
        <f>INDEX('Cleaned Data'!L:L,MATCH($A269,$B$56:$B$1919,0))</f>
        <v>4451.9791718606421</v>
      </c>
    </row>
    <row r="270" spans="1:4" x14ac:dyDescent="0.25">
      <c r="A270">
        <v>215</v>
      </c>
      <c r="B270">
        <f>B269+IF('Cleaned Data'!L216&gt;0,1,0)*IF($B$34="Overall",1,IF('Cleaned Data'!K216=$B$34,1,0))*(IF('Cleaned Data'!H216&lt;&gt;"",1,0))</f>
        <v>1</v>
      </c>
      <c r="C270">
        <f>INDEX('Cleaned Data'!H:H,MATCH($A270,$B$56:$B$1919,0))</f>
        <v>13</v>
      </c>
      <c r="D270">
        <f>INDEX('Cleaned Data'!L:L,MATCH($A270,$B$56:$B$1919,0))</f>
        <v>16027.125018698311</v>
      </c>
    </row>
    <row r="271" spans="1:4" x14ac:dyDescent="0.25">
      <c r="A271">
        <v>216</v>
      </c>
      <c r="B271">
        <f>B270+IF('Cleaned Data'!L217&gt;0,1,0)*IF($B$34="Overall",1,IF('Cleaned Data'!K217=$B$34,1,0))*(IF('Cleaned Data'!H217&lt;&gt;"",1,0))</f>
        <v>1</v>
      </c>
      <c r="C271">
        <f>INDEX('Cleaned Data'!H:H,MATCH($A271,$B$56:$B$1919,0))</f>
        <v>3</v>
      </c>
      <c r="D271">
        <f>INDEX('Cleaned Data'!L:L,MATCH($A271,$B$56:$B$1919,0))</f>
        <v>8903.9583437212841</v>
      </c>
    </row>
    <row r="272" spans="1:4" x14ac:dyDescent="0.25">
      <c r="A272">
        <v>217</v>
      </c>
      <c r="B272">
        <f>B271+IF('Cleaned Data'!L218&gt;0,1,0)*IF($B$34="Overall",1,IF('Cleaned Data'!K218=$B$34,1,0))*(IF('Cleaned Data'!H218&lt;&gt;"",1,0))</f>
        <v>1</v>
      </c>
      <c r="C272">
        <f>INDEX('Cleaned Data'!H:H,MATCH($A272,$B$56:$B$1919,0))</f>
        <v>4</v>
      </c>
      <c r="D272">
        <f>INDEX('Cleaned Data'!L:L,MATCH($A272,$B$56:$B$1919,0))</f>
        <v>46300.583387350678</v>
      </c>
    </row>
    <row r="273" spans="1:4" x14ac:dyDescent="0.25">
      <c r="A273">
        <v>218</v>
      </c>
      <c r="B273">
        <f>B272+IF('Cleaned Data'!L219&gt;0,1,0)*IF($B$34="Overall",1,IF('Cleaned Data'!K219=$B$34,1,0))*(IF('Cleaned Data'!H219&lt;&gt;"",1,0))</f>
        <v>1</v>
      </c>
      <c r="C273">
        <f>INDEX('Cleaned Data'!H:H,MATCH($A273,$B$56:$B$1919,0))</f>
        <v>3</v>
      </c>
      <c r="D273">
        <f>INDEX('Cleaned Data'!L:L,MATCH($A273,$B$56:$B$1919,0))</f>
        <v>13355.937515581925</v>
      </c>
    </row>
    <row r="274" spans="1:4" x14ac:dyDescent="0.25">
      <c r="A274">
        <v>219</v>
      </c>
      <c r="B274">
        <f>B273+IF('Cleaned Data'!L220&gt;0,1,0)*IF($B$34="Overall",1,IF('Cleaned Data'!K220=$B$34,1,0))*(IF('Cleaned Data'!H220&lt;&gt;"",1,0))</f>
        <v>1</v>
      </c>
      <c r="C274">
        <f>INDEX('Cleaned Data'!H:H,MATCH($A274,$B$56:$B$1919,0))</f>
        <v>2</v>
      </c>
      <c r="D274">
        <f>INDEX('Cleaned Data'!L:L,MATCH($A274,$B$56:$B$1919,0))</f>
        <v>8013.5625093491553</v>
      </c>
    </row>
    <row r="275" spans="1:4" x14ac:dyDescent="0.25">
      <c r="A275">
        <v>220</v>
      </c>
      <c r="B275">
        <f>B274+IF('Cleaned Data'!L221&gt;0,1,0)*IF($B$34="Overall",1,IF('Cleaned Data'!K221=$B$34,1,0))*(IF('Cleaned Data'!H221&lt;&gt;"",1,0))</f>
        <v>1</v>
      </c>
      <c r="C275">
        <f>INDEX('Cleaned Data'!H:H,MATCH($A275,$B$56:$B$1919,0))</f>
        <v>8.5</v>
      </c>
      <c r="D275">
        <f>INDEX('Cleaned Data'!L:L,MATCH($A275,$B$56:$B$1919,0))</f>
        <v>17807.916687442568</v>
      </c>
    </row>
    <row r="276" spans="1:4" x14ac:dyDescent="0.25">
      <c r="A276">
        <v>221</v>
      </c>
      <c r="B276">
        <f>B275+IF('Cleaned Data'!L222&gt;0,1,0)*IF($B$34="Overall",1,IF('Cleaned Data'!K222=$B$34,1,0))*(IF('Cleaned Data'!H222&lt;&gt;"",1,0))</f>
        <v>1</v>
      </c>
      <c r="C276">
        <f>INDEX('Cleaned Data'!H:H,MATCH($A276,$B$56:$B$1919,0))</f>
        <v>6</v>
      </c>
      <c r="D276">
        <f>INDEX('Cleaned Data'!L:L,MATCH($A276,$B$56:$B$1919,0))</f>
        <v>12465.541681209797</v>
      </c>
    </row>
    <row r="277" spans="1:4" x14ac:dyDescent="0.25">
      <c r="A277">
        <v>222</v>
      </c>
      <c r="B277">
        <f>B276+IF('Cleaned Data'!L223&gt;0,1,0)*IF($B$34="Overall",1,IF('Cleaned Data'!K223=$B$34,1,0))*(IF('Cleaned Data'!H223&lt;&gt;"",1,0))</f>
        <v>1</v>
      </c>
      <c r="C277">
        <f>INDEX('Cleaned Data'!H:H,MATCH($A277,$B$56:$B$1919,0))</f>
        <v>6</v>
      </c>
      <c r="D277">
        <f>INDEX('Cleaned Data'!L:L,MATCH($A277,$B$56:$B$1919,0))</f>
        <v>5342.3750062327708</v>
      </c>
    </row>
    <row r="278" spans="1:4" x14ac:dyDescent="0.25">
      <c r="A278">
        <v>223</v>
      </c>
      <c r="B278">
        <f>B277+IF('Cleaned Data'!L224&gt;0,1,0)*IF($B$34="Overall",1,IF('Cleaned Data'!K224=$B$34,1,0))*(IF('Cleaned Data'!H224&lt;&gt;"",1,0))</f>
        <v>1</v>
      </c>
      <c r="C278">
        <f>INDEX('Cleaned Data'!H:H,MATCH($A278,$B$56:$B$1919,0))</f>
        <v>1</v>
      </c>
      <c r="D278">
        <f>INDEX('Cleaned Data'!L:L,MATCH($A278,$B$56:$B$1919,0))</f>
        <v>7123.1666749770275</v>
      </c>
    </row>
    <row r="279" spans="1:4" x14ac:dyDescent="0.25">
      <c r="A279">
        <v>224</v>
      </c>
      <c r="B279">
        <f>B278+IF('Cleaned Data'!L225&gt;0,1,0)*IF($B$34="Overall",1,IF('Cleaned Data'!K225=$B$34,1,0))*(IF('Cleaned Data'!H225&lt;&gt;"",1,0))</f>
        <v>1</v>
      </c>
      <c r="C279">
        <f>INDEX('Cleaned Data'!H:H,MATCH($A279,$B$56:$B$1919,0))</f>
        <v>29</v>
      </c>
      <c r="D279">
        <f>INDEX('Cleaned Data'!L:L,MATCH($A279,$B$56:$B$1919,0))</f>
        <v>8903.9583437212841</v>
      </c>
    </row>
    <row r="280" spans="1:4" x14ac:dyDescent="0.25">
      <c r="A280">
        <v>225</v>
      </c>
      <c r="B280">
        <f>B279+IF('Cleaned Data'!L226&gt;0,1,0)*IF($B$34="Overall",1,IF('Cleaned Data'!K226=$B$34,1,0))*(IF('Cleaned Data'!H226&lt;&gt;"",1,0))</f>
        <v>1</v>
      </c>
      <c r="C280">
        <f>INDEX('Cleaned Data'!H:H,MATCH($A280,$B$56:$B$1919,0))</f>
        <v>6</v>
      </c>
      <c r="D280">
        <f>INDEX('Cleaned Data'!L:L,MATCH($A280,$B$56:$B$1919,0))</f>
        <v>6410.8500074793246</v>
      </c>
    </row>
    <row r="281" spans="1:4" x14ac:dyDescent="0.25">
      <c r="A281">
        <v>226</v>
      </c>
      <c r="B281">
        <f>B280+IF('Cleaned Data'!L227&gt;0,1,0)*IF($B$34="Overall",1,IF('Cleaned Data'!K227=$B$34,1,0))*(IF('Cleaned Data'!H227&lt;&gt;"",1,0))</f>
        <v>1</v>
      </c>
      <c r="C281">
        <f>INDEX('Cleaned Data'!H:H,MATCH($A281,$B$56:$B$1919,0))</f>
        <v>10</v>
      </c>
      <c r="D281">
        <f>INDEX('Cleaned Data'!L:L,MATCH($A281,$B$56:$B$1919,0))</f>
        <v>17807.916687442568</v>
      </c>
    </row>
    <row r="282" spans="1:4" x14ac:dyDescent="0.25">
      <c r="A282">
        <v>227</v>
      </c>
      <c r="B282">
        <f>B281+IF('Cleaned Data'!L228&gt;0,1,0)*IF($B$34="Overall",1,IF('Cleaned Data'!K228=$B$34,1,0))*(IF('Cleaned Data'!H228&lt;&gt;"",1,0))</f>
        <v>1</v>
      </c>
      <c r="C282">
        <f>INDEX('Cleaned Data'!H:H,MATCH($A282,$B$56:$B$1919,0))</f>
        <v>8</v>
      </c>
      <c r="D282">
        <f>INDEX('Cleaned Data'!L:L,MATCH($A282,$B$56:$B$1919,0))</f>
        <v>16027.125018698311</v>
      </c>
    </row>
    <row r="283" spans="1:4" x14ac:dyDescent="0.25">
      <c r="A283">
        <v>228</v>
      </c>
      <c r="B283">
        <f>B282+IF('Cleaned Data'!L229&gt;0,1,0)*IF($B$34="Overall",1,IF('Cleaned Data'!K229=$B$34,1,0))*(IF('Cleaned Data'!H229&lt;&gt;"",1,0))</f>
        <v>1</v>
      </c>
      <c r="C283">
        <f>INDEX('Cleaned Data'!H:H,MATCH($A283,$B$56:$B$1919,0))</f>
        <v>5</v>
      </c>
      <c r="D283">
        <f>INDEX('Cleaned Data'!L:L,MATCH($A283,$B$56:$B$1919,0))</f>
        <v>5342.3750062327708</v>
      </c>
    </row>
    <row r="284" spans="1:4" x14ac:dyDescent="0.25">
      <c r="A284">
        <v>229</v>
      </c>
      <c r="B284">
        <f>B283+IF('Cleaned Data'!L230&gt;0,1,0)*IF($B$34="Overall",1,IF('Cleaned Data'!K230=$B$34,1,0))*(IF('Cleaned Data'!H230&lt;&gt;"",1,0))</f>
        <v>1</v>
      </c>
      <c r="C284">
        <f>INDEX('Cleaned Data'!H:H,MATCH($A284,$B$56:$B$1919,0))</f>
        <v>3</v>
      </c>
      <c r="D284">
        <f>INDEX('Cleaned Data'!L:L,MATCH($A284,$B$56:$B$1919,0))</f>
        <v>7123.1666749770275</v>
      </c>
    </row>
    <row r="285" spans="1:4" x14ac:dyDescent="0.25">
      <c r="A285">
        <v>230</v>
      </c>
      <c r="B285">
        <f>B284+IF('Cleaned Data'!L231&gt;0,1,0)*IF($B$34="Overall",1,IF('Cleaned Data'!K231=$B$34,1,0))*(IF('Cleaned Data'!H231&lt;&gt;"",1,0))</f>
        <v>1</v>
      </c>
      <c r="C285">
        <f>INDEX('Cleaned Data'!H:H,MATCH($A285,$B$56:$B$1919,0))</f>
        <v>2</v>
      </c>
      <c r="D285">
        <f>INDEX('Cleaned Data'!L:L,MATCH($A285,$B$56:$B$1919,0))</f>
        <v>10684.750012465542</v>
      </c>
    </row>
    <row r="286" spans="1:4" x14ac:dyDescent="0.25">
      <c r="A286">
        <v>231</v>
      </c>
      <c r="B286">
        <f>B285+IF('Cleaned Data'!L232&gt;0,1,0)*IF($B$34="Overall",1,IF('Cleaned Data'!K232=$B$34,1,0))*(IF('Cleaned Data'!H232&lt;&gt;"",1,0))</f>
        <v>1</v>
      </c>
      <c r="C286">
        <f>INDEX('Cleaned Data'!H:H,MATCH($A286,$B$56:$B$1919,0))</f>
        <v>1.5</v>
      </c>
      <c r="D286">
        <f>INDEX('Cleaned Data'!L:L,MATCH($A286,$B$56:$B$1919,0))</f>
        <v>6232.7708406048987</v>
      </c>
    </row>
    <row r="287" spans="1:4" x14ac:dyDescent="0.25">
      <c r="A287">
        <v>232</v>
      </c>
      <c r="B287">
        <f>B286+IF('Cleaned Data'!L233&gt;0,1,0)*IF($B$34="Overall",1,IF('Cleaned Data'!K233=$B$34,1,0))*(IF('Cleaned Data'!H233&lt;&gt;"",1,0))</f>
        <v>1</v>
      </c>
      <c r="C287">
        <f>INDEX('Cleaned Data'!H:H,MATCH($A287,$B$56:$B$1919,0))</f>
        <v>7</v>
      </c>
      <c r="D287">
        <f>INDEX('Cleaned Data'!L:L,MATCH($A287,$B$56:$B$1919,0))</f>
        <v>26711.875031163851</v>
      </c>
    </row>
    <row r="288" spans="1:4" x14ac:dyDescent="0.25">
      <c r="A288">
        <v>233</v>
      </c>
      <c r="B288">
        <f>B287+IF('Cleaned Data'!L234&gt;0,1,0)*IF($B$34="Overall",1,IF('Cleaned Data'!K234=$B$34,1,0))*(IF('Cleaned Data'!H234&lt;&gt;"",1,0))</f>
        <v>1</v>
      </c>
      <c r="C288">
        <f>INDEX('Cleaned Data'!H:H,MATCH($A288,$B$56:$B$1919,0))</f>
        <v>5</v>
      </c>
      <c r="D288">
        <f>INDEX('Cleaned Data'!L:L,MATCH($A288,$B$56:$B$1919,0))</f>
        <v>10239.552095279476</v>
      </c>
    </row>
    <row r="289" spans="1:4" x14ac:dyDescent="0.25">
      <c r="A289">
        <v>234</v>
      </c>
      <c r="B289">
        <f>B288+IF('Cleaned Data'!L235&gt;0,1,0)*IF($B$34="Overall",1,IF('Cleaned Data'!K235=$B$34,1,0))*(IF('Cleaned Data'!H235&lt;&gt;"",1,0))</f>
        <v>1</v>
      </c>
      <c r="C289">
        <f>INDEX('Cleaned Data'!H:H,MATCH($A289,$B$56:$B$1919,0))</f>
        <v>2</v>
      </c>
      <c r="D289">
        <f>INDEX('Cleaned Data'!L:L,MATCH($A289,$B$56:$B$1919,0))</f>
        <v>8903.9583437212841</v>
      </c>
    </row>
    <row r="290" spans="1:4" x14ac:dyDescent="0.25">
      <c r="A290">
        <v>235</v>
      </c>
      <c r="B290">
        <f>B289+IF('Cleaned Data'!L236&gt;0,1,0)*IF($B$34="Overall",1,IF('Cleaned Data'!K236=$B$34,1,0))*(IF('Cleaned Data'!H236&lt;&gt;"",1,0))</f>
        <v>1</v>
      </c>
      <c r="C290">
        <f>INDEX('Cleaned Data'!H:H,MATCH($A290,$B$56:$B$1919,0))</f>
        <v>4.5</v>
      </c>
      <c r="D290">
        <f>INDEX('Cleaned Data'!L:L,MATCH($A290,$B$56:$B$1919,0))</f>
        <v>3739.6625043629392</v>
      </c>
    </row>
    <row r="291" spans="1:4" x14ac:dyDescent="0.25">
      <c r="A291">
        <v>236</v>
      </c>
      <c r="B291">
        <f>B290+IF('Cleaned Data'!L237&gt;0,1,0)*IF($B$34="Overall",1,IF('Cleaned Data'!K237=$B$34,1,0))*(IF('Cleaned Data'!H237&lt;&gt;"",1,0))</f>
        <v>1</v>
      </c>
      <c r="C291">
        <f>INDEX('Cleaned Data'!H:H,MATCH($A291,$B$56:$B$1919,0))</f>
        <v>3</v>
      </c>
      <c r="D291">
        <f>INDEX('Cleaned Data'!L:L,MATCH($A291,$B$56:$B$1919,0))</f>
        <v>3561.5833374885137</v>
      </c>
    </row>
    <row r="292" spans="1:4" x14ac:dyDescent="0.25">
      <c r="A292">
        <v>237</v>
      </c>
      <c r="B292">
        <f>B291+IF('Cleaned Data'!L238&gt;0,1,0)*IF($B$34="Overall",1,IF('Cleaned Data'!K238=$B$34,1,0))*(IF('Cleaned Data'!H238&lt;&gt;"",1,0))</f>
        <v>1</v>
      </c>
      <c r="C292">
        <f>INDEX('Cleaned Data'!H:H,MATCH($A292,$B$56:$B$1919,0))</f>
        <v>6</v>
      </c>
      <c r="D292">
        <f>INDEX('Cleaned Data'!L:L,MATCH($A292,$B$56:$B$1919,0))</f>
        <v>6410.8500074793246</v>
      </c>
    </row>
    <row r="293" spans="1:4" x14ac:dyDescent="0.25">
      <c r="A293">
        <v>238</v>
      </c>
      <c r="B293">
        <f>B292+IF('Cleaned Data'!L239&gt;0,1,0)*IF($B$34="Overall",1,IF('Cleaned Data'!K239=$B$34,1,0))*(IF('Cleaned Data'!H239&lt;&gt;"",1,0))</f>
        <v>1</v>
      </c>
      <c r="C293">
        <f>INDEX('Cleaned Data'!H:H,MATCH($A293,$B$56:$B$1919,0))</f>
        <v>9</v>
      </c>
      <c r="D293">
        <f>INDEX('Cleaned Data'!L:L,MATCH($A293,$B$56:$B$1919,0))</f>
        <v>21369.500024931083</v>
      </c>
    </row>
    <row r="294" spans="1:4" x14ac:dyDescent="0.25">
      <c r="A294">
        <v>239</v>
      </c>
      <c r="B294">
        <f>B293+IF('Cleaned Data'!L240&gt;0,1,0)*IF($B$34="Overall",1,IF('Cleaned Data'!K240=$B$34,1,0))*(IF('Cleaned Data'!H240&lt;&gt;"",1,0))</f>
        <v>1</v>
      </c>
      <c r="C294">
        <f>INDEX('Cleaned Data'!H:H,MATCH($A294,$B$56:$B$1919,0))</f>
        <v>28</v>
      </c>
      <c r="D294">
        <f>INDEX('Cleaned Data'!L:L,MATCH($A294,$B$56:$B$1919,0))</f>
        <v>10684.750012465542</v>
      </c>
    </row>
    <row r="295" spans="1:4" x14ac:dyDescent="0.25">
      <c r="A295">
        <v>240</v>
      </c>
      <c r="B295">
        <f>B294+IF('Cleaned Data'!L241&gt;0,1,0)*IF($B$34="Overall",1,IF('Cleaned Data'!K241=$B$34,1,0))*(IF('Cleaned Data'!H241&lt;&gt;"",1,0))</f>
        <v>1</v>
      </c>
      <c r="C295">
        <f>INDEX('Cleaned Data'!H:H,MATCH($A295,$B$56:$B$1919,0))</f>
        <v>0.1</v>
      </c>
      <c r="D295">
        <f>INDEX('Cleaned Data'!L:L,MATCH($A295,$B$56:$B$1919,0))</f>
        <v>5591.6858398569666</v>
      </c>
    </row>
    <row r="296" spans="1:4" x14ac:dyDescent="0.25">
      <c r="A296">
        <v>241</v>
      </c>
      <c r="B296">
        <f>B295+IF('Cleaned Data'!L242&gt;0,1,0)*IF($B$34="Overall",1,IF('Cleaned Data'!K242=$B$34,1,0))*(IF('Cleaned Data'!H242&lt;&gt;"",1,0))</f>
        <v>1</v>
      </c>
      <c r="C296">
        <f>INDEX('Cleaned Data'!H:H,MATCH($A296,$B$56:$B$1919,0))</f>
        <v>7</v>
      </c>
      <c r="D296">
        <f>INDEX('Cleaned Data'!L:L,MATCH($A296,$B$56:$B$1919,0))</f>
        <v>11753.225013712095</v>
      </c>
    </row>
    <row r="297" spans="1:4" x14ac:dyDescent="0.25">
      <c r="A297">
        <v>242</v>
      </c>
      <c r="B297">
        <f>B296+IF('Cleaned Data'!L243&gt;0,1,0)*IF($B$34="Overall",1,IF('Cleaned Data'!K243=$B$34,1,0))*(IF('Cleaned Data'!H243&lt;&gt;"",1,0))</f>
        <v>1</v>
      </c>
      <c r="C297">
        <f>INDEX('Cleaned Data'!H:H,MATCH($A297,$B$56:$B$1919,0))</f>
        <v>2</v>
      </c>
      <c r="D297">
        <f>INDEX('Cleaned Data'!L:L,MATCH($A297,$B$56:$B$1919,0))</f>
        <v>3632.815004238284</v>
      </c>
    </row>
    <row r="298" spans="1:4" x14ac:dyDescent="0.25">
      <c r="A298">
        <v>243</v>
      </c>
      <c r="B298">
        <f>B297+IF('Cleaned Data'!L244&gt;0,1,0)*IF($B$34="Overall",1,IF('Cleaned Data'!K244=$B$34,1,0))*(IF('Cleaned Data'!H244&lt;&gt;"",1,0))</f>
        <v>1</v>
      </c>
      <c r="C298">
        <f>INDEX('Cleaned Data'!H:H,MATCH($A298,$B$56:$B$1919,0))</f>
        <v>4</v>
      </c>
      <c r="D298">
        <f>INDEX('Cleaned Data'!L:L,MATCH($A298,$B$56:$B$1919,0))</f>
        <v>4897.177089046706</v>
      </c>
    </row>
    <row r="299" spans="1:4" x14ac:dyDescent="0.25">
      <c r="A299">
        <v>244</v>
      </c>
      <c r="B299">
        <f>B298+IF('Cleaned Data'!L245&gt;0,1,0)*IF($B$34="Overall",1,IF('Cleaned Data'!K245=$B$34,1,0))*(IF('Cleaned Data'!H245&lt;&gt;"",1,0))</f>
        <v>1</v>
      </c>
      <c r="C299">
        <f>INDEX('Cleaned Data'!H:H,MATCH($A299,$B$56:$B$1919,0))</f>
        <v>3</v>
      </c>
      <c r="D299">
        <f>INDEX('Cleaned Data'!L:L,MATCH($A299,$B$56:$B$1919,0))</f>
        <v>5342.3750062327708</v>
      </c>
    </row>
    <row r="300" spans="1:4" x14ac:dyDescent="0.25">
      <c r="A300">
        <v>245</v>
      </c>
      <c r="B300">
        <f>B299+IF('Cleaned Data'!L246&gt;0,1,0)*IF($B$34="Overall",1,IF('Cleaned Data'!K246=$B$34,1,0))*(IF('Cleaned Data'!H246&lt;&gt;"",1,0))</f>
        <v>1</v>
      </c>
      <c r="C300">
        <f>INDEX('Cleaned Data'!H:H,MATCH($A300,$B$56:$B$1919,0))</f>
        <v>5</v>
      </c>
      <c r="D300">
        <f>INDEX('Cleaned Data'!L:L,MATCH($A300,$B$56:$B$1919,0))</f>
        <v>8903.9583437212841</v>
      </c>
    </row>
    <row r="301" spans="1:4" x14ac:dyDescent="0.25">
      <c r="A301">
        <v>246</v>
      </c>
      <c r="B301">
        <f>B300+IF('Cleaned Data'!L247&gt;0,1,0)*IF($B$34="Overall",1,IF('Cleaned Data'!K247=$B$34,1,0))*(IF('Cleaned Data'!H247&lt;&gt;"",1,0))</f>
        <v>1</v>
      </c>
      <c r="C301">
        <f>INDEX('Cleaned Data'!H:H,MATCH($A301,$B$56:$B$1919,0))</f>
        <v>7</v>
      </c>
      <c r="D301">
        <f>INDEX('Cleaned Data'!L:L,MATCH($A301,$B$56:$B$1919,0))</f>
        <v>10684.750012465542</v>
      </c>
    </row>
    <row r="302" spans="1:4" x14ac:dyDescent="0.25">
      <c r="A302">
        <v>247</v>
      </c>
      <c r="B302">
        <f>B301+IF('Cleaned Data'!L248&gt;0,1,0)*IF($B$34="Overall",1,IF('Cleaned Data'!K248=$B$34,1,0))*(IF('Cleaned Data'!H248&lt;&gt;"",1,0))</f>
        <v>1</v>
      </c>
      <c r="C302">
        <f>INDEX('Cleaned Data'!H:H,MATCH($A302,$B$56:$B$1919,0))</f>
        <v>21</v>
      </c>
      <c r="D302">
        <f>INDEX('Cleaned Data'!L:L,MATCH($A302,$B$56:$B$1919,0))</f>
        <v>21369.500024931083</v>
      </c>
    </row>
    <row r="303" spans="1:4" x14ac:dyDescent="0.25">
      <c r="A303">
        <v>248</v>
      </c>
      <c r="B303">
        <f>B302+IF('Cleaned Data'!L249&gt;0,1,0)*IF($B$34="Overall",1,IF('Cleaned Data'!K249=$B$34,1,0))*(IF('Cleaned Data'!H249&lt;&gt;"",1,0))</f>
        <v>1</v>
      </c>
      <c r="C303">
        <f>INDEX('Cleaned Data'!H:H,MATCH($A303,$B$56:$B$1919,0))</f>
        <v>4</v>
      </c>
      <c r="D303">
        <f>INDEX('Cleaned Data'!L:L,MATCH($A303,$B$56:$B$1919,0))</f>
        <v>28492.66669990811</v>
      </c>
    </row>
    <row r="304" spans="1:4" x14ac:dyDescent="0.25">
      <c r="A304">
        <v>249</v>
      </c>
      <c r="B304">
        <f>B303+IF('Cleaned Data'!L250&gt;0,1,0)*IF($B$34="Overall",1,IF('Cleaned Data'!K250=$B$34,1,0))*(IF('Cleaned Data'!H250&lt;&gt;"",1,0))</f>
        <v>1</v>
      </c>
      <c r="C304">
        <f>INDEX('Cleaned Data'!H:H,MATCH($A304,$B$56:$B$1919,0))</f>
        <v>8</v>
      </c>
      <c r="D304">
        <f>INDEX('Cleaned Data'!L:L,MATCH($A304,$B$56:$B$1919,0))</f>
        <v>4451.9791718606421</v>
      </c>
    </row>
    <row r="305" spans="1:4" x14ac:dyDescent="0.25">
      <c r="A305">
        <v>250</v>
      </c>
      <c r="B305">
        <f>B304+IF('Cleaned Data'!L251&gt;0,1,0)*IF($B$34="Overall",1,IF('Cleaned Data'!K251=$B$34,1,0))*(IF('Cleaned Data'!H251&lt;&gt;"",1,0))</f>
        <v>1</v>
      </c>
      <c r="C305">
        <f>INDEX('Cleaned Data'!H:H,MATCH($A305,$B$56:$B$1919,0))</f>
        <v>7</v>
      </c>
      <c r="D305">
        <f>INDEX('Cleaned Data'!L:L,MATCH($A305,$B$56:$B$1919,0))</f>
        <v>8013.5625093491553</v>
      </c>
    </row>
    <row r="306" spans="1:4" x14ac:dyDescent="0.25">
      <c r="A306">
        <v>251</v>
      </c>
      <c r="B306">
        <f>B305+IF('Cleaned Data'!L252&gt;0,1,0)*IF($B$34="Overall",1,IF('Cleaned Data'!K252=$B$34,1,0))*(IF('Cleaned Data'!H252&lt;&gt;"",1,0))</f>
        <v>1</v>
      </c>
      <c r="C306">
        <f>INDEX('Cleaned Data'!H:H,MATCH($A306,$B$56:$B$1919,0))</f>
        <v>5.6</v>
      </c>
      <c r="D306">
        <f>INDEX('Cleaned Data'!L:L,MATCH($A306,$B$56:$B$1919,0))</f>
        <v>39355.495879248076</v>
      </c>
    </row>
    <row r="307" spans="1:4" x14ac:dyDescent="0.25">
      <c r="A307">
        <v>252</v>
      </c>
      <c r="B307">
        <f>B306+IF('Cleaned Data'!L253&gt;0,1,0)*IF($B$34="Overall",1,IF('Cleaned Data'!K253=$B$34,1,0))*(IF('Cleaned Data'!H253&lt;&gt;"",1,0))</f>
        <v>1</v>
      </c>
      <c r="C307">
        <f>INDEX('Cleaned Data'!H:H,MATCH($A307,$B$56:$B$1919,0))</f>
        <v>15</v>
      </c>
      <c r="D307">
        <f>INDEX('Cleaned Data'!L:L,MATCH($A307,$B$56:$B$1919,0))</f>
        <v>4451.9791718606421</v>
      </c>
    </row>
    <row r="308" spans="1:4" x14ac:dyDescent="0.25">
      <c r="A308">
        <v>253</v>
      </c>
      <c r="B308">
        <f>B307+IF('Cleaned Data'!L254&gt;0,1,0)*IF($B$34="Overall",1,IF('Cleaned Data'!K254=$B$34,1,0))*(IF('Cleaned Data'!H254&lt;&gt;"",1,0))</f>
        <v>1</v>
      </c>
      <c r="C308">
        <f>INDEX('Cleaned Data'!H:H,MATCH($A308,$B$56:$B$1919,0))</f>
        <v>1</v>
      </c>
      <c r="D308">
        <f>INDEX('Cleaned Data'!L:L,MATCH($A308,$B$56:$B$1919,0))</f>
        <v>13355.937515581925</v>
      </c>
    </row>
    <row r="309" spans="1:4" x14ac:dyDescent="0.25">
      <c r="A309">
        <v>254</v>
      </c>
      <c r="B309">
        <f>B308+IF('Cleaned Data'!L255&gt;0,1,0)*IF($B$34="Overall",1,IF('Cleaned Data'!K255=$B$34,1,0))*(IF('Cleaned Data'!H255&lt;&gt;"",1,0))</f>
        <v>1</v>
      </c>
      <c r="C309">
        <f>INDEX('Cleaned Data'!H:H,MATCH($A309,$B$56:$B$1919,0))</f>
        <v>5.5</v>
      </c>
      <c r="D309">
        <f>INDEX('Cleaned Data'!L:L,MATCH($A309,$B$56:$B$1919,0))</f>
        <v>57875.729234188344</v>
      </c>
    </row>
    <row r="310" spans="1:4" x14ac:dyDescent="0.25">
      <c r="A310">
        <v>255</v>
      </c>
      <c r="B310">
        <f>B309+IF('Cleaned Data'!L256&gt;0,1,0)*IF($B$34="Overall",1,IF('Cleaned Data'!K256=$B$34,1,0))*(IF('Cleaned Data'!H256&lt;&gt;"",1,0))</f>
        <v>1</v>
      </c>
      <c r="C310">
        <f>INDEX('Cleaned Data'!H:H,MATCH($A310,$B$56:$B$1919,0))</f>
        <v>4</v>
      </c>
      <c r="D310">
        <f>INDEX('Cleaned Data'!L:L,MATCH($A310,$B$56:$B$1919,0))</f>
        <v>5342.3750062327708</v>
      </c>
    </row>
    <row r="311" spans="1:4" x14ac:dyDescent="0.25">
      <c r="A311">
        <v>256</v>
      </c>
      <c r="B311">
        <f>B310+IF('Cleaned Data'!L257&gt;0,1,0)*IF($B$34="Overall",1,IF('Cleaned Data'!K257=$B$34,1,0))*(IF('Cleaned Data'!H257&lt;&gt;"",1,0))</f>
        <v>1</v>
      </c>
      <c r="C311">
        <f>INDEX('Cleaned Data'!H:H,MATCH($A311,$B$56:$B$1919,0))</f>
        <v>7</v>
      </c>
      <c r="D311">
        <f>INDEX('Cleaned Data'!L:L,MATCH($A311,$B$56:$B$1919,0))</f>
        <v>8547.8000099724322</v>
      </c>
    </row>
    <row r="312" spans="1:4" x14ac:dyDescent="0.25">
      <c r="A312">
        <v>257</v>
      </c>
      <c r="B312">
        <f>B311+IF('Cleaned Data'!L258&gt;0,1,0)*IF($B$34="Overall",1,IF('Cleaned Data'!K258=$B$34,1,0))*(IF('Cleaned Data'!H258&lt;&gt;"",1,0))</f>
        <v>1</v>
      </c>
      <c r="C312">
        <f>INDEX('Cleaned Data'!H:H,MATCH($A312,$B$56:$B$1919,0))</f>
        <v>4</v>
      </c>
      <c r="D312">
        <f>INDEX('Cleaned Data'!L:L,MATCH($A312,$B$56:$B$1919,0))</f>
        <v>16027.125018698311</v>
      </c>
    </row>
    <row r="313" spans="1:4" x14ac:dyDescent="0.25">
      <c r="A313">
        <v>258</v>
      </c>
      <c r="B313">
        <f>B312+IF('Cleaned Data'!L259&gt;0,1,0)*IF($B$34="Overall",1,IF('Cleaned Data'!K259=$B$34,1,0))*(IF('Cleaned Data'!H259&lt;&gt;"",1,0))</f>
        <v>1</v>
      </c>
      <c r="C313">
        <f>INDEX('Cleaned Data'!H:H,MATCH($A313,$B$56:$B$1919,0))</f>
        <v>36</v>
      </c>
      <c r="D313">
        <f>INDEX('Cleaned Data'!L:L,MATCH($A313,$B$56:$B$1919,0))</f>
        <v>10684.750012465542</v>
      </c>
    </row>
    <row r="314" spans="1:4" x14ac:dyDescent="0.25">
      <c r="A314">
        <v>259</v>
      </c>
      <c r="B314">
        <f>B313+IF('Cleaned Data'!L260&gt;0,1,0)*IF($B$34="Overall",1,IF('Cleaned Data'!K260=$B$34,1,0))*(IF('Cleaned Data'!H260&lt;&gt;"",1,0))</f>
        <v>1</v>
      </c>
      <c r="C314">
        <f>INDEX('Cleaned Data'!H:H,MATCH($A314,$B$56:$B$1919,0))</f>
        <v>0</v>
      </c>
      <c r="D314">
        <f>INDEX('Cleaned Data'!L:L,MATCH($A314,$B$56:$B$1919,0))</f>
        <v>8903.9583437212841</v>
      </c>
    </row>
    <row r="315" spans="1:4" x14ac:dyDescent="0.25">
      <c r="A315">
        <v>260</v>
      </c>
      <c r="B315">
        <f>B314+IF('Cleaned Data'!L261&gt;0,1,0)*IF($B$34="Overall",1,IF('Cleaned Data'!K261=$B$34,1,0))*(IF('Cleaned Data'!H261&lt;&gt;"",1,0))</f>
        <v>1</v>
      </c>
      <c r="C315">
        <f>INDEX('Cleaned Data'!H:H,MATCH($A315,$B$56:$B$1919,0))</f>
        <v>6</v>
      </c>
      <c r="D315">
        <f>INDEX('Cleaned Data'!L:L,MATCH($A315,$B$56:$B$1919,0))</f>
        <v>17807.916687442568</v>
      </c>
    </row>
    <row r="316" spans="1:4" x14ac:dyDescent="0.25">
      <c r="A316">
        <v>261</v>
      </c>
      <c r="B316">
        <f>B315+IF('Cleaned Data'!L262&gt;0,1,0)*IF($B$34="Overall",1,IF('Cleaned Data'!K262=$B$34,1,0))*(IF('Cleaned Data'!H262&lt;&gt;"",1,0))</f>
        <v>1</v>
      </c>
      <c r="C316">
        <f>INDEX('Cleaned Data'!H:H,MATCH($A316,$B$56:$B$1919,0))</f>
        <v>2</v>
      </c>
      <c r="D316">
        <f>INDEX('Cleaned Data'!L:L,MATCH($A316,$B$56:$B$1919,0))</f>
        <v>5698.5333399816218</v>
      </c>
    </row>
    <row r="317" spans="1:4" x14ac:dyDescent="0.25">
      <c r="A317">
        <v>262</v>
      </c>
      <c r="B317">
        <f>B316+IF('Cleaned Data'!L263&gt;0,1,0)*IF($B$34="Overall",1,IF('Cleaned Data'!K263=$B$34,1,0))*(IF('Cleaned Data'!H263&lt;&gt;"",1,0))</f>
        <v>1</v>
      </c>
      <c r="C317">
        <f>INDEX('Cleaned Data'!H:H,MATCH($A317,$B$56:$B$1919,0))</f>
        <v>6</v>
      </c>
      <c r="D317">
        <f>INDEX('Cleaned Data'!L:L,MATCH($A317,$B$56:$B$1919,0))</f>
        <v>7123.1666749770275</v>
      </c>
    </row>
    <row r="318" spans="1:4" x14ac:dyDescent="0.25">
      <c r="A318">
        <v>263</v>
      </c>
      <c r="B318">
        <f>B317+IF('Cleaned Data'!L264&gt;0,1,0)*IF($B$34="Overall",1,IF('Cleaned Data'!K264=$B$34,1,0))*(IF('Cleaned Data'!H264&lt;&gt;"",1,0))</f>
        <v>1</v>
      </c>
      <c r="C318">
        <f>INDEX('Cleaned Data'!H:H,MATCH($A318,$B$56:$B$1919,0))</f>
        <v>15</v>
      </c>
      <c r="D318">
        <f>INDEX('Cleaned Data'!L:L,MATCH($A318,$B$56:$B$1919,0))</f>
        <v>4451.9791718606421</v>
      </c>
    </row>
    <row r="319" spans="1:4" x14ac:dyDescent="0.25">
      <c r="A319">
        <v>264</v>
      </c>
      <c r="B319">
        <f>B318+IF('Cleaned Data'!L265&gt;0,1,0)*IF($B$34="Overall",1,IF('Cleaned Data'!K265=$B$34,1,0))*(IF('Cleaned Data'!H265&lt;&gt;"",1,0))</f>
        <v>1</v>
      </c>
      <c r="C319">
        <f>INDEX('Cleaned Data'!H:H,MATCH($A319,$B$56:$B$1919,0))</f>
        <v>6</v>
      </c>
      <c r="D319">
        <f>INDEX('Cleaned Data'!L:L,MATCH($A319,$B$56:$B$1919,0))</f>
        <v>6410.8500074793246</v>
      </c>
    </row>
    <row r="320" spans="1:4" x14ac:dyDescent="0.25">
      <c r="A320">
        <v>265</v>
      </c>
      <c r="B320">
        <f>B319+IF('Cleaned Data'!L266&gt;0,1,0)*IF($B$34="Overall",1,IF('Cleaned Data'!K266=$B$34,1,0))*(IF('Cleaned Data'!H266&lt;&gt;"",1,0))</f>
        <v>1</v>
      </c>
      <c r="C320">
        <f>INDEX('Cleaned Data'!H:H,MATCH($A320,$B$56:$B$1919,0))</f>
        <v>12</v>
      </c>
      <c r="D320">
        <f>INDEX('Cleaned Data'!L:L,MATCH($A320,$B$56:$B$1919,0))</f>
        <v>20479.104190558952</v>
      </c>
    </row>
    <row r="321" spans="1:4" x14ac:dyDescent="0.25">
      <c r="A321">
        <v>266</v>
      </c>
      <c r="B321">
        <f>B320+IF('Cleaned Data'!L267&gt;0,1,0)*IF($B$34="Overall",1,IF('Cleaned Data'!K267=$B$34,1,0))*(IF('Cleaned Data'!H267&lt;&gt;"",1,0))</f>
        <v>1</v>
      </c>
      <c r="C321">
        <f>INDEX('Cleaned Data'!H:H,MATCH($A321,$B$56:$B$1919,0))</f>
        <v>5</v>
      </c>
      <c r="D321">
        <f>INDEX('Cleaned Data'!L:L,MATCH($A321,$B$56:$B$1919,0))</f>
        <v>11040.908346214392</v>
      </c>
    </row>
    <row r="322" spans="1:4" x14ac:dyDescent="0.25">
      <c r="A322">
        <v>267</v>
      </c>
      <c r="B322">
        <f>B321+IF('Cleaned Data'!L268&gt;0,1,0)*IF($B$34="Overall",1,IF('Cleaned Data'!K268=$B$34,1,0))*(IF('Cleaned Data'!H268&lt;&gt;"",1,0))</f>
        <v>1</v>
      </c>
      <c r="C322">
        <f>INDEX('Cleaned Data'!H:H,MATCH($A322,$B$56:$B$1919,0))</f>
        <v>7</v>
      </c>
      <c r="D322">
        <f>INDEX('Cleaned Data'!L:L,MATCH($A322,$B$56:$B$1919,0))</f>
        <v>17807.916687442568</v>
      </c>
    </row>
    <row r="323" spans="1:4" x14ac:dyDescent="0.25">
      <c r="A323">
        <v>268</v>
      </c>
      <c r="B323">
        <f>B322+IF('Cleaned Data'!L269&gt;0,1,0)*IF($B$34="Overall",1,IF('Cleaned Data'!K269=$B$34,1,0))*(IF('Cleaned Data'!H269&lt;&gt;"",1,0))</f>
        <v>1</v>
      </c>
      <c r="C323">
        <f>INDEX('Cleaned Data'!H:H,MATCH($A323,$B$56:$B$1919,0))</f>
        <v>11</v>
      </c>
      <c r="D323">
        <f>INDEX('Cleaned Data'!L:L,MATCH($A323,$B$56:$B$1919,0))</f>
        <v>3561.5833374885137</v>
      </c>
    </row>
    <row r="324" spans="1:4" x14ac:dyDescent="0.25">
      <c r="A324">
        <v>269</v>
      </c>
      <c r="B324">
        <f>B323+IF('Cleaned Data'!L270&gt;0,1,0)*IF($B$34="Overall",1,IF('Cleaned Data'!K270=$B$34,1,0))*(IF('Cleaned Data'!H270&lt;&gt;"",1,0))</f>
        <v>1</v>
      </c>
      <c r="C324">
        <f>INDEX('Cleaned Data'!H:H,MATCH($A324,$B$56:$B$1919,0))</f>
        <v>1.6</v>
      </c>
      <c r="D324">
        <f>INDEX('Cleaned Data'!L:L,MATCH($A324,$B$56:$B$1919,0))</f>
        <v>4095.8208381117906</v>
      </c>
    </row>
    <row r="325" spans="1:4" x14ac:dyDescent="0.25">
      <c r="A325">
        <v>270</v>
      </c>
      <c r="B325">
        <f>B324+IF('Cleaned Data'!L271&gt;0,1,0)*IF($B$34="Overall",1,IF('Cleaned Data'!K271=$B$34,1,0))*(IF('Cleaned Data'!H271&lt;&gt;"",1,0))</f>
        <v>1</v>
      </c>
      <c r="C325">
        <f>INDEX('Cleaned Data'!H:H,MATCH($A325,$B$56:$B$1919,0))</f>
        <v>3</v>
      </c>
      <c r="D325">
        <f>INDEX('Cleaned Data'!L:L,MATCH($A325,$B$56:$B$1919,0))</f>
        <v>12821.700014958649</v>
      </c>
    </row>
    <row r="326" spans="1:4" x14ac:dyDescent="0.25">
      <c r="A326">
        <v>271</v>
      </c>
      <c r="B326">
        <f>B325+IF('Cleaned Data'!L272&gt;0,1,0)*IF($B$34="Overall",1,IF('Cleaned Data'!K272=$B$34,1,0))*(IF('Cleaned Data'!H272&lt;&gt;"",1,0))</f>
        <v>1</v>
      </c>
      <c r="C326">
        <f>INDEX('Cleaned Data'!H:H,MATCH($A326,$B$56:$B$1919,0))</f>
        <v>8</v>
      </c>
      <c r="D326">
        <f>INDEX('Cleaned Data'!L:L,MATCH($A326,$B$56:$B$1919,0))</f>
        <v>4950.6008391090336</v>
      </c>
    </row>
    <row r="327" spans="1:4" x14ac:dyDescent="0.25">
      <c r="A327">
        <v>272</v>
      </c>
      <c r="B327">
        <f>B326+IF('Cleaned Data'!L273&gt;0,1,0)*IF($B$34="Overall",1,IF('Cleaned Data'!K273=$B$34,1,0))*(IF('Cleaned Data'!H273&lt;&gt;"",1,0))</f>
        <v>1</v>
      </c>
      <c r="C327">
        <f>INDEX('Cleaned Data'!H:H,MATCH($A327,$B$56:$B$1919,0))</f>
        <v>21</v>
      </c>
      <c r="D327">
        <f>INDEX('Cleaned Data'!L:L,MATCH($A327,$B$56:$B$1919,0))</f>
        <v>11575.14584683767</v>
      </c>
    </row>
    <row r="328" spans="1:4" x14ac:dyDescent="0.25">
      <c r="A328">
        <v>273</v>
      </c>
      <c r="B328">
        <f>B327+IF('Cleaned Data'!L274&gt;0,1,0)*IF($B$34="Overall",1,IF('Cleaned Data'!K274=$B$34,1,0))*(IF('Cleaned Data'!H274&lt;&gt;"",1,0))</f>
        <v>1</v>
      </c>
      <c r="C328">
        <f>INDEX('Cleaned Data'!H:H,MATCH($A328,$B$56:$B$1919,0))</f>
        <v>5</v>
      </c>
      <c r="D328">
        <f>INDEX('Cleaned Data'!L:L,MATCH($A328,$B$56:$B$1919,0))</f>
        <v>71231.666749770273</v>
      </c>
    </row>
    <row r="329" spans="1:4" x14ac:dyDescent="0.25">
      <c r="A329">
        <v>274</v>
      </c>
      <c r="B329">
        <f>B328+IF('Cleaned Data'!L275&gt;0,1,0)*IF($B$34="Overall",1,IF('Cleaned Data'!K275=$B$34,1,0))*(IF('Cleaned Data'!H275&lt;&gt;"",1,0))</f>
        <v>1</v>
      </c>
      <c r="C329">
        <f>INDEX('Cleaned Data'!H:H,MATCH($A329,$B$56:$B$1919,0))</f>
        <v>10</v>
      </c>
      <c r="D329">
        <f>INDEX('Cleaned Data'!L:L,MATCH($A329,$B$56:$B$1919,0))</f>
        <v>26711.875031163851</v>
      </c>
    </row>
    <row r="330" spans="1:4" x14ac:dyDescent="0.25">
      <c r="A330">
        <v>275</v>
      </c>
      <c r="B330">
        <f>B329+IF('Cleaned Data'!L276&gt;0,1,0)*IF($B$34="Overall",1,IF('Cleaned Data'!K276=$B$34,1,0))*(IF('Cleaned Data'!H276&lt;&gt;"",1,0))</f>
        <v>1</v>
      </c>
      <c r="C330">
        <f>INDEX('Cleaned Data'!H:H,MATCH($A330,$B$56:$B$1919,0))</f>
        <v>4</v>
      </c>
      <c r="D330">
        <f>INDEX('Cleaned Data'!L:L,MATCH($A330,$B$56:$B$1919,0))</f>
        <v>9545.0433444692171</v>
      </c>
    </row>
    <row r="331" spans="1:4" x14ac:dyDescent="0.25">
      <c r="A331">
        <v>276</v>
      </c>
      <c r="B331">
        <f>B330+IF('Cleaned Data'!L277&gt;0,1,0)*IF($B$34="Overall",1,IF('Cleaned Data'!K277=$B$34,1,0))*(IF('Cleaned Data'!H277&lt;&gt;"",1,0))</f>
        <v>1</v>
      </c>
      <c r="C331">
        <f>INDEX('Cleaned Data'!H:H,MATCH($A331,$B$56:$B$1919,0))</f>
        <v>8</v>
      </c>
      <c r="D331">
        <f>INDEX('Cleaned Data'!L:L,MATCH($A331,$B$56:$B$1919,0))</f>
        <v>8903.9583437212841</v>
      </c>
    </row>
    <row r="332" spans="1:4" x14ac:dyDescent="0.25">
      <c r="A332">
        <v>277</v>
      </c>
      <c r="B332">
        <f>B331+IF('Cleaned Data'!L278&gt;0,1,0)*IF($B$34="Overall",1,IF('Cleaned Data'!K278=$B$34,1,0))*(IF('Cleaned Data'!H278&lt;&gt;"",1,0))</f>
        <v>1</v>
      </c>
      <c r="C332">
        <f>INDEX('Cleaned Data'!H:H,MATCH($A332,$B$56:$B$1919,0))</f>
        <v>3</v>
      </c>
      <c r="D332">
        <f>INDEX('Cleaned Data'!L:L,MATCH($A332,$B$56:$B$1919,0))</f>
        <v>3561.5833374885137</v>
      </c>
    </row>
    <row r="333" spans="1:4" x14ac:dyDescent="0.25">
      <c r="A333">
        <v>278</v>
      </c>
      <c r="B333">
        <f>B332+IF('Cleaned Data'!L279&gt;0,1,0)*IF($B$34="Overall",1,IF('Cleaned Data'!K279=$B$34,1,0))*(IF('Cleaned Data'!H279&lt;&gt;"",1,0))</f>
        <v>1</v>
      </c>
      <c r="C333">
        <f>INDEX('Cleaned Data'!H:H,MATCH($A333,$B$56:$B$1919,0))</f>
        <v>6</v>
      </c>
      <c r="D333">
        <f>INDEX('Cleaned Data'!L:L,MATCH($A333,$B$56:$B$1919,0))</f>
        <v>6767.0083412281756</v>
      </c>
    </row>
    <row r="334" spans="1:4" x14ac:dyDescent="0.25">
      <c r="A334">
        <v>279</v>
      </c>
      <c r="B334">
        <f>B333+IF('Cleaned Data'!L280&gt;0,1,0)*IF($B$34="Overall",1,IF('Cleaned Data'!K280=$B$34,1,0))*(IF('Cleaned Data'!H280&lt;&gt;"",1,0))</f>
        <v>1</v>
      </c>
      <c r="C334">
        <f>INDEX('Cleaned Data'!H:H,MATCH($A334,$B$56:$B$1919,0))</f>
        <v>5</v>
      </c>
      <c r="D334">
        <f>INDEX('Cleaned Data'!L:L,MATCH($A334,$B$56:$B$1919,0))</f>
        <v>3205.4250037396623</v>
      </c>
    </row>
    <row r="335" spans="1:4" x14ac:dyDescent="0.25">
      <c r="A335">
        <v>280</v>
      </c>
      <c r="B335">
        <f>B334+IF('Cleaned Data'!L281&gt;0,1,0)*IF($B$34="Overall",1,IF('Cleaned Data'!K281=$B$34,1,0))*(IF('Cleaned Data'!H281&lt;&gt;"",1,0))</f>
        <v>1</v>
      </c>
      <c r="C335">
        <f>INDEX('Cleaned Data'!H:H,MATCH($A335,$B$56:$B$1919,0))</f>
        <v>10</v>
      </c>
      <c r="D335">
        <f>INDEX('Cleaned Data'!L:L,MATCH($A335,$B$56:$B$1919,0))</f>
        <v>17807.916687442568</v>
      </c>
    </row>
    <row r="336" spans="1:4" x14ac:dyDescent="0.25">
      <c r="A336">
        <v>281</v>
      </c>
      <c r="B336">
        <f>B335+IF('Cleaned Data'!L282&gt;0,1,0)*IF($B$34="Overall",1,IF('Cleaned Data'!K282=$B$34,1,0))*(IF('Cleaned Data'!H282&lt;&gt;"",1,0))</f>
        <v>1</v>
      </c>
      <c r="C336">
        <f>INDEX('Cleaned Data'!H:H,MATCH($A336,$B$56:$B$1919,0))</f>
        <v>30</v>
      </c>
      <c r="D336">
        <f>INDEX('Cleaned Data'!L:L,MATCH($A336,$B$56:$B$1919,0))</f>
        <v>12465.541681209797</v>
      </c>
    </row>
    <row r="337" spans="1:4" x14ac:dyDescent="0.25">
      <c r="A337">
        <v>282</v>
      </c>
      <c r="B337">
        <f>B336+IF('Cleaned Data'!L283&gt;0,1,0)*IF($B$34="Overall",1,IF('Cleaned Data'!K283=$B$34,1,0))*(IF('Cleaned Data'!H283&lt;&gt;"",1,0))</f>
        <v>1</v>
      </c>
      <c r="C337">
        <f>INDEX('Cleaned Data'!H:H,MATCH($A337,$B$56:$B$1919,0))</f>
        <v>9</v>
      </c>
      <c r="D337">
        <f>INDEX('Cleaned Data'!L:L,MATCH($A337,$B$56:$B$1919,0))</f>
        <v>8903.9583437212841</v>
      </c>
    </row>
    <row r="338" spans="1:4" x14ac:dyDescent="0.25">
      <c r="A338">
        <v>283</v>
      </c>
      <c r="B338">
        <f>B337+IF('Cleaned Data'!L284&gt;0,1,0)*IF($B$34="Overall",1,IF('Cleaned Data'!K284=$B$34,1,0))*(IF('Cleaned Data'!H284&lt;&gt;"",1,0))</f>
        <v>1</v>
      </c>
      <c r="C338">
        <f>INDEX('Cleaned Data'!H:H,MATCH($A338,$B$56:$B$1919,0))</f>
        <v>5</v>
      </c>
      <c r="D338">
        <f>INDEX('Cleaned Data'!L:L,MATCH($A338,$B$56:$B$1919,0))</f>
        <v>15136.729184326183</v>
      </c>
    </row>
    <row r="339" spans="1:4" x14ac:dyDescent="0.25">
      <c r="A339">
        <v>284</v>
      </c>
      <c r="B339">
        <f>B338+IF('Cleaned Data'!L285&gt;0,1,0)*IF($B$34="Overall",1,IF('Cleaned Data'!K285=$B$34,1,0))*(IF('Cleaned Data'!H285&lt;&gt;"",1,0))</f>
        <v>1</v>
      </c>
      <c r="C339">
        <f>INDEX('Cleaned Data'!H:H,MATCH($A339,$B$56:$B$1919,0))</f>
        <v>6</v>
      </c>
      <c r="D339">
        <f>INDEX('Cleaned Data'!L:L,MATCH($A339,$B$56:$B$1919,0))</f>
        <v>100614.72928405051</v>
      </c>
    </row>
    <row r="340" spans="1:4" x14ac:dyDescent="0.25">
      <c r="A340">
        <v>285</v>
      </c>
      <c r="B340">
        <f>B339+IF('Cleaned Data'!L286&gt;0,1,0)*IF($B$34="Overall",1,IF('Cleaned Data'!K286=$B$34,1,0))*(IF('Cleaned Data'!H286&lt;&gt;"",1,0))</f>
        <v>1</v>
      </c>
      <c r="C340">
        <f>INDEX('Cleaned Data'!H:H,MATCH($A340,$B$56:$B$1919,0))</f>
        <v>8</v>
      </c>
      <c r="D340">
        <f>INDEX('Cleaned Data'!L:L,MATCH($A340,$B$56:$B$1919,0))</f>
        <v>6410.8500074793246</v>
      </c>
    </row>
    <row r="341" spans="1:4" x14ac:dyDescent="0.25">
      <c r="A341">
        <v>286</v>
      </c>
      <c r="B341">
        <f>B340+IF('Cleaned Data'!L287&gt;0,1,0)*IF($B$34="Overall",1,IF('Cleaned Data'!K287=$B$34,1,0))*(IF('Cleaned Data'!H287&lt;&gt;"",1,0))</f>
        <v>1</v>
      </c>
      <c r="C341">
        <f>INDEX('Cleaned Data'!H:H,MATCH($A341,$B$56:$B$1919,0))</f>
        <v>2.5</v>
      </c>
      <c r="D341">
        <f>INDEX('Cleaned Data'!L:L,MATCH($A341,$B$56:$B$1919,0))</f>
        <v>4451.9791718606421</v>
      </c>
    </row>
    <row r="342" spans="1:4" x14ac:dyDescent="0.25">
      <c r="A342">
        <v>287</v>
      </c>
      <c r="B342">
        <f>B341+IF('Cleaned Data'!L288&gt;0,1,0)*IF($B$34="Overall",1,IF('Cleaned Data'!K288=$B$34,1,0))*(IF('Cleaned Data'!H288&lt;&gt;"",1,0))</f>
        <v>1</v>
      </c>
      <c r="C342">
        <f>INDEX('Cleaned Data'!H:H,MATCH($A342,$B$56:$B$1919,0))</f>
        <v>6</v>
      </c>
      <c r="D342">
        <f>INDEX('Cleaned Data'!L:L,MATCH($A342,$B$56:$B$1919,0))</f>
        <v>30273.458368652366</v>
      </c>
    </row>
    <row r="343" spans="1:4" x14ac:dyDescent="0.25">
      <c r="A343">
        <v>288</v>
      </c>
      <c r="B343">
        <f>B342+IF('Cleaned Data'!L289&gt;0,1,0)*IF($B$34="Overall",1,IF('Cleaned Data'!K289=$B$34,1,0))*(IF('Cleaned Data'!H289&lt;&gt;"",1,0))</f>
        <v>1</v>
      </c>
      <c r="C343">
        <f>INDEX('Cleaned Data'!H:H,MATCH($A343,$B$56:$B$1919,0))</f>
        <v>4</v>
      </c>
      <c r="D343">
        <f>INDEX('Cleaned Data'!L:L,MATCH($A343,$B$56:$B$1919,0))</f>
        <v>17807.916687442568</v>
      </c>
    </row>
    <row r="344" spans="1:4" x14ac:dyDescent="0.25">
      <c r="A344">
        <v>289</v>
      </c>
      <c r="B344">
        <f>B343+IF('Cleaned Data'!L290&gt;0,1,0)*IF($B$34="Overall",1,IF('Cleaned Data'!K290=$B$34,1,0))*(IF('Cleaned Data'!H290&lt;&gt;"",1,0))</f>
        <v>1</v>
      </c>
      <c r="C344">
        <f>INDEX('Cleaned Data'!H:H,MATCH($A344,$B$56:$B$1919,0))</f>
        <v>5</v>
      </c>
      <c r="D344">
        <f>INDEX('Cleaned Data'!L:L,MATCH($A344,$B$56:$B$1919,0))</f>
        <v>11575.14584683767</v>
      </c>
    </row>
    <row r="345" spans="1:4" x14ac:dyDescent="0.25">
      <c r="A345">
        <v>290</v>
      </c>
      <c r="B345">
        <f>B344+IF('Cleaned Data'!L291&gt;0,1,0)*IF($B$34="Overall",1,IF('Cleaned Data'!K291=$B$34,1,0))*(IF('Cleaned Data'!H291&lt;&gt;"",1,0))</f>
        <v>1</v>
      </c>
      <c r="C345">
        <f>INDEX('Cleaned Data'!H:H,MATCH($A345,$B$56:$B$1919,0))</f>
        <v>1</v>
      </c>
      <c r="D345">
        <f>INDEX('Cleaned Data'!L:L,MATCH($A345,$B$56:$B$1919,0))</f>
        <v>32054.250037396621</v>
      </c>
    </row>
    <row r="346" spans="1:4" x14ac:dyDescent="0.25">
      <c r="A346">
        <v>291</v>
      </c>
      <c r="B346">
        <f>B345+IF('Cleaned Data'!L292&gt;0,1,0)*IF($B$34="Overall",1,IF('Cleaned Data'!K292=$B$34,1,0))*(IF('Cleaned Data'!H292&lt;&gt;"",1,0))</f>
        <v>1</v>
      </c>
      <c r="C346">
        <f>INDEX('Cleaned Data'!H:H,MATCH($A346,$B$56:$B$1919,0))</f>
        <v>2.5</v>
      </c>
      <c r="D346">
        <f>INDEX('Cleaned Data'!L:L,MATCH($A346,$B$56:$B$1919,0))</f>
        <v>7123.1666749770275</v>
      </c>
    </row>
    <row r="347" spans="1:4" x14ac:dyDescent="0.25">
      <c r="A347">
        <v>292</v>
      </c>
      <c r="B347">
        <f>B346+IF('Cleaned Data'!L293&gt;0,1,0)*IF($B$34="Overall",1,IF('Cleaned Data'!K293=$B$34,1,0))*(IF('Cleaned Data'!H293&lt;&gt;"",1,0))</f>
        <v>1</v>
      </c>
      <c r="C347">
        <f>INDEX('Cleaned Data'!H:H,MATCH($A347,$B$56:$B$1919,0))</f>
        <v>2</v>
      </c>
      <c r="D347">
        <f>INDEX('Cleaned Data'!L:L,MATCH($A347,$B$56:$B$1919,0))</f>
        <v>12109.383347460946</v>
      </c>
    </row>
    <row r="348" spans="1:4" x14ac:dyDescent="0.25">
      <c r="A348">
        <v>293</v>
      </c>
      <c r="B348">
        <f>B347+IF('Cleaned Data'!L294&gt;0,1,0)*IF($B$34="Overall",1,IF('Cleaned Data'!K294=$B$34,1,0))*(IF('Cleaned Data'!H294&lt;&gt;"",1,0))</f>
        <v>1</v>
      </c>
      <c r="C348">
        <f>INDEX('Cleaned Data'!H:H,MATCH($A348,$B$56:$B$1919,0))</f>
        <v>5</v>
      </c>
      <c r="D348">
        <f>INDEX('Cleaned Data'!L:L,MATCH($A348,$B$56:$B$1919,0))</f>
        <v>5698.5333399816218</v>
      </c>
    </row>
    <row r="349" spans="1:4" x14ac:dyDescent="0.25">
      <c r="A349">
        <v>294</v>
      </c>
      <c r="B349">
        <f>B348+IF('Cleaned Data'!L295&gt;0,1,0)*IF($B$34="Overall",1,IF('Cleaned Data'!K295=$B$34,1,0))*(IF('Cleaned Data'!H295&lt;&gt;"",1,0))</f>
        <v>1</v>
      </c>
      <c r="C349">
        <f>INDEX('Cleaned Data'!H:H,MATCH($A349,$B$56:$B$1919,0))</f>
        <v>4</v>
      </c>
      <c r="D349">
        <f>INDEX('Cleaned Data'!L:L,MATCH($A349,$B$56:$B$1919,0))</f>
        <v>65889.291743537498</v>
      </c>
    </row>
    <row r="350" spans="1:4" x14ac:dyDescent="0.25">
      <c r="A350">
        <v>295</v>
      </c>
      <c r="B350">
        <f>B349+IF('Cleaned Data'!L296&gt;0,1,0)*IF($B$34="Overall",1,IF('Cleaned Data'!K296=$B$34,1,0))*(IF('Cleaned Data'!H296&lt;&gt;"",1,0))</f>
        <v>1</v>
      </c>
      <c r="C350">
        <f>INDEX('Cleaned Data'!H:H,MATCH($A350,$B$56:$B$1919,0))</f>
        <v>13</v>
      </c>
      <c r="D350">
        <f>INDEX('Cleaned Data'!L:L,MATCH($A350,$B$56:$B$1919,0))</f>
        <v>17807.916687442568</v>
      </c>
    </row>
    <row r="351" spans="1:4" x14ac:dyDescent="0.25">
      <c r="A351">
        <v>296</v>
      </c>
      <c r="B351">
        <f>B350+IF('Cleaned Data'!L297&gt;0,1,0)*IF($B$34="Overall",1,IF('Cleaned Data'!K297=$B$34,1,0))*(IF('Cleaned Data'!H297&lt;&gt;"",1,0))</f>
        <v>1</v>
      </c>
      <c r="C351">
        <f>INDEX('Cleaned Data'!H:H,MATCH($A351,$B$56:$B$1919,0))</f>
        <v>4</v>
      </c>
      <c r="D351">
        <f>INDEX('Cleaned Data'!L:L,MATCH($A351,$B$56:$B$1919,0))</f>
        <v>17807.916687442568</v>
      </c>
    </row>
    <row r="352" spans="1:4" x14ac:dyDescent="0.25">
      <c r="A352">
        <v>297</v>
      </c>
      <c r="B352">
        <f>B351+IF('Cleaned Data'!L298&gt;0,1,0)*IF($B$34="Overall",1,IF('Cleaned Data'!K298=$B$34,1,0))*(IF('Cleaned Data'!H298&lt;&gt;"",1,0))</f>
        <v>1</v>
      </c>
      <c r="C352">
        <f>INDEX('Cleaned Data'!H:H,MATCH($A352,$B$56:$B$1919,0))</f>
        <v>4</v>
      </c>
      <c r="D352">
        <f>INDEX('Cleaned Data'!L:L,MATCH($A352,$B$56:$B$1919,0))</f>
        <v>2225.989585930321</v>
      </c>
    </row>
    <row r="353" spans="1:4" x14ac:dyDescent="0.25">
      <c r="A353">
        <v>298</v>
      </c>
      <c r="B353">
        <f>B352+IF('Cleaned Data'!L299&gt;0,1,0)*IF($B$34="Overall",1,IF('Cleaned Data'!K299=$B$34,1,0))*(IF('Cleaned Data'!H299&lt;&gt;"",1,0))</f>
        <v>1</v>
      </c>
      <c r="C353">
        <f>INDEX('Cleaned Data'!H:H,MATCH($A353,$B$56:$B$1919,0))</f>
        <v>5</v>
      </c>
      <c r="D353">
        <f>INDEX('Cleaned Data'!L:L,MATCH($A353,$B$56:$B$1919,0))</f>
        <v>6054.6916737304728</v>
      </c>
    </row>
    <row r="354" spans="1:4" x14ac:dyDescent="0.25">
      <c r="A354">
        <v>299</v>
      </c>
      <c r="B354">
        <f>B353+IF('Cleaned Data'!L300&gt;0,1,0)*IF($B$34="Overall",1,IF('Cleaned Data'!K300=$B$34,1,0))*(IF('Cleaned Data'!H300&lt;&gt;"",1,0))</f>
        <v>1</v>
      </c>
      <c r="C354">
        <f>INDEX('Cleaned Data'!H:H,MATCH($A354,$B$56:$B$1919,0))</f>
        <v>8</v>
      </c>
      <c r="D354">
        <f>INDEX('Cleaned Data'!L:L,MATCH($A354,$B$56:$B$1919,0))</f>
        <v>5342.3750062327708</v>
      </c>
    </row>
    <row r="355" spans="1:4" x14ac:dyDescent="0.25">
      <c r="A355">
        <v>300</v>
      </c>
      <c r="B355">
        <f>B354+IF('Cleaned Data'!L301&gt;0,1,0)*IF($B$34="Overall",1,IF('Cleaned Data'!K301=$B$34,1,0))*(IF('Cleaned Data'!H301&lt;&gt;"",1,0))</f>
        <v>1</v>
      </c>
      <c r="C355">
        <f>INDEX('Cleaned Data'!H:H,MATCH($A355,$B$56:$B$1919,0))</f>
        <v>15</v>
      </c>
      <c r="D355">
        <f>INDEX('Cleaned Data'!L:L,MATCH($A355,$B$56:$B$1919,0))</f>
        <v>4273.9000049862161</v>
      </c>
    </row>
    <row r="356" spans="1:4" x14ac:dyDescent="0.25">
      <c r="A356">
        <v>301</v>
      </c>
      <c r="B356">
        <f>B355+IF('Cleaned Data'!L302&gt;0,1,0)*IF($B$34="Overall",1,IF('Cleaned Data'!K302=$B$34,1,0))*(IF('Cleaned Data'!H302&lt;&gt;"",1,0))</f>
        <v>1</v>
      </c>
      <c r="C356">
        <f>INDEX('Cleaned Data'!H:H,MATCH($A356,$B$56:$B$1919,0))</f>
        <v>20</v>
      </c>
      <c r="D356">
        <f>INDEX('Cleaned Data'!L:L,MATCH($A356,$B$56:$B$1919,0))</f>
        <v>8903.9583437212841</v>
      </c>
    </row>
    <row r="357" spans="1:4" x14ac:dyDescent="0.25">
      <c r="A357">
        <v>302</v>
      </c>
      <c r="B357">
        <f>B356+IF('Cleaned Data'!L303&gt;0,1,0)*IF($B$34="Overall",1,IF('Cleaned Data'!K303=$B$34,1,0))*(IF('Cleaned Data'!H303&lt;&gt;"",1,0))</f>
        <v>1</v>
      </c>
      <c r="C357">
        <f>INDEX('Cleaned Data'!H:H,MATCH($A357,$B$56:$B$1919,0))</f>
        <v>2.5</v>
      </c>
      <c r="D357">
        <f>INDEX('Cleaned Data'!L:L,MATCH($A357,$B$56:$B$1919,0))</f>
        <v>5698.5333399816218</v>
      </c>
    </row>
    <row r="358" spans="1:4" x14ac:dyDescent="0.25">
      <c r="A358">
        <v>303</v>
      </c>
      <c r="B358">
        <f>B357+IF('Cleaned Data'!L304&gt;0,1,0)*IF($B$34="Overall",1,IF('Cleaned Data'!K304=$B$34,1,0))*(IF('Cleaned Data'!H304&lt;&gt;"",1,0))</f>
        <v>1</v>
      </c>
      <c r="C358">
        <f>INDEX('Cleaned Data'!H:H,MATCH($A358,$B$56:$B$1919,0))</f>
        <v>5</v>
      </c>
      <c r="D358">
        <f>INDEX('Cleaned Data'!L:L,MATCH($A358,$B$56:$B$1919,0))</f>
        <v>3419.1200039889732</v>
      </c>
    </row>
    <row r="359" spans="1:4" x14ac:dyDescent="0.25">
      <c r="A359">
        <v>304</v>
      </c>
      <c r="B359">
        <f>B358+IF('Cleaned Data'!L305&gt;0,1,0)*IF($B$34="Overall",1,IF('Cleaned Data'!K305=$B$34,1,0))*(IF('Cleaned Data'!H305&lt;&gt;"",1,0))</f>
        <v>1</v>
      </c>
      <c r="C359">
        <f>INDEX('Cleaned Data'!H:H,MATCH($A359,$B$56:$B$1919,0))</f>
        <v>4</v>
      </c>
      <c r="D359">
        <f>INDEX('Cleaned Data'!L:L,MATCH($A359,$B$56:$B$1919,0))</f>
        <v>8013.5625093491553</v>
      </c>
    </row>
    <row r="360" spans="1:4" x14ac:dyDescent="0.25">
      <c r="A360">
        <v>305</v>
      </c>
      <c r="B360">
        <f>B359+IF('Cleaned Data'!L306&gt;0,1,0)*IF($B$34="Overall",1,IF('Cleaned Data'!K306=$B$34,1,0))*(IF('Cleaned Data'!H306&lt;&gt;"",1,0))</f>
        <v>1</v>
      </c>
      <c r="C360">
        <f>INDEX('Cleaned Data'!H:H,MATCH($A360,$B$56:$B$1919,0))</f>
        <v>16</v>
      </c>
      <c r="D360">
        <f>INDEX('Cleaned Data'!L:L,MATCH($A360,$B$56:$B$1919,0))</f>
        <v>3561.5833374885137</v>
      </c>
    </row>
    <row r="361" spans="1:4" x14ac:dyDescent="0.25">
      <c r="A361">
        <v>306</v>
      </c>
      <c r="B361">
        <f>B360+IF('Cleaned Data'!L307&gt;0,1,0)*IF($B$34="Overall",1,IF('Cleaned Data'!K307=$B$34,1,0))*(IF('Cleaned Data'!H307&lt;&gt;"",1,0))</f>
        <v>1</v>
      </c>
      <c r="C361">
        <f>INDEX('Cleaned Data'!H:H,MATCH($A361,$B$56:$B$1919,0))</f>
        <v>4</v>
      </c>
      <c r="D361">
        <f>INDEX('Cleaned Data'!L:L,MATCH($A361,$B$56:$B$1919,0))</f>
        <v>7123.1666749770275</v>
      </c>
    </row>
    <row r="362" spans="1:4" x14ac:dyDescent="0.25">
      <c r="A362">
        <v>307</v>
      </c>
      <c r="B362">
        <f>B361+IF('Cleaned Data'!L308&gt;0,1,0)*IF($B$34="Overall",1,IF('Cleaned Data'!K308=$B$34,1,0))*(IF('Cleaned Data'!H308&lt;&gt;"",1,0))</f>
        <v>1</v>
      </c>
      <c r="C362">
        <f>INDEX('Cleaned Data'!H:H,MATCH($A362,$B$56:$B$1919,0))</f>
        <v>4</v>
      </c>
      <c r="D362">
        <f>INDEX('Cleaned Data'!L:L,MATCH($A362,$B$56:$B$1919,0))</f>
        <v>8903.9583437212841</v>
      </c>
    </row>
    <row r="363" spans="1:4" x14ac:dyDescent="0.25">
      <c r="A363">
        <v>308</v>
      </c>
      <c r="B363">
        <f>B362+IF('Cleaned Data'!L309&gt;0,1,0)*IF($B$34="Overall",1,IF('Cleaned Data'!K309=$B$34,1,0))*(IF('Cleaned Data'!H309&lt;&gt;"",1,0))</f>
        <v>1</v>
      </c>
      <c r="C363">
        <f>INDEX('Cleaned Data'!H:H,MATCH($A363,$B$56:$B$1919,0))</f>
        <v>5</v>
      </c>
      <c r="D363">
        <f>INDEX('Cleaned Data'!L:L,MATCH($A363,$B$56:$B$1919,0))</f>
        <v>10684.750012465542</v>
      </c>
    </row>
    <row r="364" spans="1:4" x14ac:dyDescent="0.25">
      <c r="A364">
        <v>309</v>
      </c>
      <c r="B364">
        <f>B363+IF('Cleaned Data'!L310&gt;0,1,0)*IF($B$34="Overall",1,IF('Cleaned Data'!K310=$B$34,1,0))*(IF('Cleaned Data'!H310&lt;&gt;"",1,0))</f>
        <v>1</v>
      </c>
      <c r="C364">
        <f>INDEX('Cleaned Data'!H:H,MATCH($A364,$B$56:$B$1919,0))</f>
        <v>13</v>
      </c>
      <c r="D364">
        <f>INDEX('Cleaned Data'!L:L,MATCH($A364,$B$56:$B$1919,0))</f>
        <v>9794.354178093412</v>
      </c>
    </row>
    <row r="365" spans="1:4" x14ac:dyDescent="0.25">
      <c r="A365">
        <v>310</v>
      </c>
      <c r="B365">
        <f>B364+IF('Cleaned Data'!L311&gt;0,1,0)*IF($B$34="Overall",1,IF('Cleaned Data'!K311=$B$34,1,0))*(IF('Cleaned Data'!H311&lt;&gt;"",1,0))</f>
        <v>1</v>
      </c>
      <c r="C365">
        <f>INDEX('Cleaned Data'!H:H,MATCH($A365,$B$56:$B$1919,0))</f>
        <v>3</v>
      </c>
      <c r="D365">
        <f>INDEX('Cleaned Data'!L:L,MATCH($A365,$B$56:$B$1919,0))</f>
        <v>2671.1875031163854</v>
      </c>
    </row>
    <row r="366" spans="1:4" x14ac:dyDescent="0.25">
      <c r="A366">
        <v>311</v>
      </c>
      <c r="B366">
        <f>B365+IF('Cleaned Data'!L312&gt;0,1,0)*IF($B$34="Overall",1,IF('Cleaned Data'!K312=$B$34,1,0))*(IF('Cleaned Data'!H312&lt;&gt;"",1,0))</f>
        <v>1</v>
      </c>
      <c r="C366">
        <f>INDEX('Cleaned Data'!H:H,MATCH($A366,$B$56:$B$1919,0))</f>
        <v>2</v>
      </c>
      <c r="D366">
        <f>INDEX('Cleaned Data'!L:L,MATCH($A366,$B$56:$B$1919,0))</f>
        <v>8903.9583437212841</v>
      </c>
    </row>
    <row r="367" spans="1:4" x14ac:dyDescent="0.25">
      <c r="A367">
        <v>312</v>
      </c>
      <c r="B367">
        <f>B366+IF('Cleaned Data'!L313&gt;0,1,0)*IF($B$34="Overall",1,IF('Cleaned Data'!K313=$B$34,1,0))*(IF('Cleaned Data'!H313&lt;&gt;"",1,0))</f>
        <v>1</v>
      </c>
      <c r="C367">
        <f>INDEX('Cleaned Data'!H:H,MATCH($A367,$B$56:$B$1919,0))</f>
        <v>4</v>
      </c>
      <c r="D367">
        <f>INDEX('Cleaned Data'!L:L,MATCH($A367,$B$56:$B$1919,0))</f>
        <v>7497.1329254133216</v>
      </c>
    </row>
    <row r="368" spans="1:4" x14ac:dyDescent="0.25">
      <c r="A368">
        <v>313</v>
      </c>
      <c r="B368">
        <f>B367+IF('Cleaned Data'!L314&gt;0,1,0)*IF($B$34="Overall",1,IF('Cleaned Data'!K314=$B$34,1,0))*(IF('Cleaned Data'!H314&lt;&gt;"",1,0))</f>
        <v>1</v>
      </c>
      <c r="C368">
        <f>INDEX('Cleaned Data'!H:H,MATCH($A368,$B$56:$B$1919,0))</f>
        <v>2</v>
      </c>
      <c r="D368">
        <f>INDEX('Cleaned Data'!L:L,MATCH($A368,$B$56:$B$1919,0))</f>
        <v>6410.8500074793246</v>
      </c>
    </row>
    <row r="369" spans="1:4" x14ac:dyDescent="0.25">
      <c r="A369">
        <v>314</v>
      </c>
      <c r="B369">
        <f>B368+IF('Cleaned Data'!L315&gt;0,1,0)*IF($B$34="Overall",1,IF('Cleaned Data'!K315=$B$34,1,0))*(IF('Cleaned Data'!H315&lt;&gt;"",1,0))</f>
        <v>1</v>
      </c>
      <c r="C369">
        <f>INDEX('Cleaned Data'!H:H,MATCH($A369,$B$56:$B$1919,0))</f>
        <v>4</v>
      </c>
      <c r="D369">
        <f>INDEX('Cleaned Data'!L:L,MATCH($A369,$B$56:$B$1919,0))</f>
        <v>4594.4425053601826</v>
      </c>
    </row>
    <row r="370" spans="1:4" x14ac:dyDescent="0.25">
      <c r="A370">
        <v>315</v>
      </c>
      <c r="B370">
        <f>B369+IF('Cleaned Data'!L316&gt;0,1,0)*IF($B$34="Overall",1,IF('Cleaned Data'!K316=$B$34,1,0))*(IF('Cleaned Data'!H316&lt;&gt;"",1,0))</f>
        <v>1</v>
      </c>
      <c r="C370">
        <f>INDEX('Cleaned Data'!H:H,MATCH($A370,$B$56:$B$1919,0))</f>
        <v>9</v>
      </c>
      <c r="D370">
        <f>INDEX('Cleaned Data'!L:L,MATCH($A370,$B$56:$B$1919,0))</f>
        <v>16917.52085307044</v>
      </c>
    </row>
    <row r="371" spans="1:4" x14ac:dyDescent="0.25">
      <c r="A371">
        <v>316</v>
      </c>
      <c r="B371">
        <f>B370+IF('Cleaned Data'!L317&gt;0,1,0)*IF($B$34="Overall",1,IF('Cleaned Data'!K317=$B$34,1,0))*(IF('Cleaned Data'!H317&lt;&gt;"",1,0))</f>
        <v>1</v>
      </c>
      <c r="C371">
        <f>INDEX('Cleaned Data'!H:H,MATCH($A371,$B$56:$B$1919,0))</f>
        <v>2</v>
      </c>
      <c r="D371">
        <f>INDEX('Cleaned Data'!L:L,MATCH($A371,$B$56:$B$1919,0))</f>
        <v>3205.4250037396623</v>
      </c>
    </row>
    <row r="372" spans="1:4" x14ac:dyDescent="0.25">
      <c r="A372">
        <v>317</v>
      </c>
      <c r="B372">
        <f>B371+IF('Cleaned Data'!L318&gt;0,1,0)*IF($B$34="Overall",1,IF('Cleaned Data'!K318=$B$34,1,0))*(IF('Cleaned Data'!H318&lt;&gt;"",1,0))</f>
        <v>1</v>
      </c>
      <c r="C372">
        <f>INDEX('Cleaned Data'!H:H,MATCH($A372,$B$56:$B$1919,0))</f>
        <v>0</v>
      </c>
      <c r="D372">
        <f>INDEX('Cleaned Data'!L:L,MATCH($A372,$B$56:$B$1919,0))</f>
        <v>14246.333349954055</v>
      </c>
    </row>
    <row r="373" spans="1:4" x14ac:dyDescent="0.25">
      <c r="A373">
        <v>318</v>
      </c>
      <c r="B373">
        <f>B372+IF('Cleaned Data'!L319&gt;0,1,0)*IF($B$34="Overall",1,IF('Cleaned Data'!K319=$B$34,1,0))*(IF('Cleaned Data'!H319&lt;&gt;"",1,0))</f>
        <v>1</v>
      </c>
      <c r="C373">
        <f>INDEX('Cleaned Data'!H:H,MATCH($A373,$B$56:$B$1919,0))</f>
        <v>0</v>
      </c>
      <c r="D373">
        <f>INDEX('Cleaned Data'!L:L,MATCH($A373,$B$56:$B$1919,0))</f>
        <v>14246.333349954055</v>
      </c>
    </row>
    <row r="374" spans="1:4" x14ac:dyDescent="0.25">
      <c r="A374">
        <v>319</v>
      </c>
      <c r="B374">
        <f>B373+IF('Cleaned Data'!L320&gt;0,1,0)*IF($B$34="Overall",1,IF('Cleaned Data'!K320=$B$34,1,0))*(IF('Cleaned Data'!H320&lt;&gt;"",1,0))</f>
        <v>1</v>
      </c>
      <c r="C374">
        <f>INDEX('Cleaned Data'!H:H,MATCH($A374,$B$56:$B$1919,0))</f>
        <v>3</v>
      </c>
      <c r="D374">
        <f>INDEX('Cleaned Data'!L:L,MATCH($A374,$B$56:$B$1919,0))</f>
        <v>21903.737525554359</v>
      </c>
    </row>
    <row r="375" spans="1:4" x14ac:dyDescent="0.25">
      <c r="A375">
        <v>320</v>
      </c>
      <c r="B375">
        <f>B374+IF('Cleaned Data'!L321&gt;0,1,0)*IF($B$34="Overall",1,IF('Cleaned Data'!K321=$B$34,1,0))*(IF('Cleaned Data'!H321&lt;&gt;"",1,0))</f>
        <v>1</v>
      </c>
      <c r="C375">
        <f>INDEX('Cleaned Data'!H:H,MATCH($A375,$B$56:$B$1919,0))</f>
        <v>3</v>
      </c>
      <c r="D375">
        <f>INDEX('Cleaned Data'!L:L,MATCH($A375,$B$56:$B$1919,0))</f>
        <v>20122.945856810104</v>
      </c>
    </row>
    <row r="376" spans="1:4" x14ac:dyDescent="0.25">
      <c r="A376">
        <v>321</v>
      </c>
      <c r="B376">
        <f>B375+IF('Cleaned Data'!L322&gt;0,1,0)*IF($B$34="Overall",1,IF('Cleaned Data'!K322=$B$34,1,0))*(IF('Cleaned Data'!H322&lt;&gt;"",1,0))</f>
        <v>1</v>
      </c>
      <c r="C376">
        <f>INDEX('Cleaned Data'!H:H,MATCH($A376,$B$56:$B$1919,0))</f>
        <v>5</v>
      </c>
      <c r="D376">
        <f>INDEX('Cleaned Data'!L:L,MATCH($A376,$B$56:$B$1919,0))</f>
        <v>2493.1083362419595</v>
      </c>
    </row>
    <row r="377" spans="1:4" x14ac:dyDescent="0.25">
      <c r="A377">
        <v>322</v>
      </c>
      <c r="B377">
        <f>B376+IF('Cleaned Data'!L323&gt;0,1,0)*IF($B$34="Overall",1,IF('Cleaned Data'!K323=$B$34,1,0))*(IF('Cleaned Data'!H323&lt;&gt;"",1,0))</f>
        <v>1</v>
      </c>
      <c r="C377">
        <f>INDEX('Cleaned Data'!H:H,MATCH($A377,$B$56:$B$1919,0))</f>
        <v>0</v>
      </c>
      <c r="D377">
        <f>INDEX('Cleaned Data'!L:L,MATCH($A377,$B$56:$B$1919,0))</f>
        <v>8903.9583437212841</v>
      </c>
    </row>
    <row r="378" spans="1:4" x14ac:dyDescent="0.25">
      <c r="A378">
        <v>323</v>
      </c>
      <c r="B378">
        <f>B377+IF('Cleaned Data'!L324&gt;0,1,0)*IF($B$34="Overall",1,IF('Cleaned Data'!K324=$B$34,1,0))*(IF('Cleaned Data'!H324&lt;&gt;"",1,0))</f>
        <v>1</v>
      </c>
      <c r="C378">
        <f>INDEX('Cleaned Data'!H:H,MATCH($A378,$B$56:$B$1919,0))</f>
        <v>9</v>
      </c>
      <c r="D378">
        <f>INDEX('Cleaned Data'!L:L,MATCH($A378,$B$56:$B$1919,0))</f>
        <v>23150.291693675339</v>
      </c>
    </row>
    <row r="379" spans="1:4" x14ac:dyDescent="0.25">
      <c r="A379">
        <v>324</v>
      </c>
      <c r="B379">
        <f>B378+IF('Cleaned Data'!L325&gt;0,1,0)*IF($B$34="Overall",1,IF('Cleaned Data'!K325=$B$34,1,0))*(IF('Cleaned Data'!H325&lt;&gt;"",1,0))</f>
        <v>1</v>
      </c>
      <c r="C379">
        <f>INDEX('Cleaned Data'!H:H,MATCH($A379,$B$56:$B$1919,0))</f>
        <v>1</v>
      </c>
      <c r="D379">
        <f>INDEX('Cleaned Data'!L:L,MATCH($A379,$B$56:$B$1919,0))</f>
        <v>2671.1875031163854</v>
      </c>
    </row>
    <row r="380" spans="1:4" x14ac:dyDescent="0.25">
      <c r="A380">
        <v>325</v>
      </c>
      <c r="B380">
        <f>B379+IF('Cleaned Data'!L326&gt;0,1,0)*IF($B$34="Overall",1,IF('Cleaned Data'!K326=$B$34,1,0))*(IF('Cleaned Data'!H326&lt;&gt;"",1,0))</f>
        <v>1</v>
      </c>
      <c r="C380">
        <f>INDEX('Cleaned Data'!H:H,MATCH($A380,$B$56:$B$1919,0))</f>
        <v>1</v>
      </c>
      <c r="D380">
        <f>INDEX('Cleaned Data'!L:L,MATCH($A380,$B$56:$B$1919,0))</f>
        <v>8547.8000099724322</v>
      </c>
    </row>
    <row r="381" spans="1:4" x14ac:dyDescent="0.25">
      <c r="A381">
        <v>326</v>
      </c>
      <c r="B381">
        <f>B380+IF('Cleaned Data'!L327&gt;0,1,0)*IF($B$34="Overall",1,IF('Cleaned Data'!K327=$B$34,1,0))*(IF('Cleaned Data'!H327&lt;&gt;"",1,0))</f>
        <v>1</v>
      </c>
      <c r="C381">
        <f>INDEX('Cleaned Data'!H:H,MATCH($A381,$B$56:$B$1919,0))</f>
        <v>3</v>
      </c>
      <c r="D381">
        <f>INDEX('Cleaned Data'!L:L,MATCH($A381,$B$56:$B$1919,0))</f>
        <v>7123.1666749770275</v>
      </c>
    </row>
    <row r="382" spans="1:4" x14ac:dyDescent="0.25">
      <c r="A382">
        <v>327</v>
      </c>
      <c r="B382">
        <f>B381+IF('Cleaned Data'!L328&gt;0,1,0)*IF($B$34="Overall",1,IF('Cleaned Data'!K328=$B$34,1,0))*(IF('Cleaned Data'!H328&lt;&gt;"",1,0))</f>
        <v>1</v>
      </c>
      <c r="C382">
        <f>INDEX('Cleaned Data'!H:H,MATCH($A382,$B$56:$B$1919,0))</f>
        <v>4</v>
      </c>
      <c r="D382">
        <f>INDEX('Cleaned Data'!L:L,MATCH($A382,$B$56:$B$1919,0))</f>
        <v>9972.4333449678379</v>
      </c>
    </row>
    <row r="383" spans="1:4" x14ac:dyDescent="0.25">
      <c r="A383">
        <v>328</v>
      </c>
      <c r="B383">
        <f>B382+IF('Cleaned Data'!L329&gt;0,1,0)*IF($B$34="Overall",1,IF('Cleaned Data'!K329=$B$34,1,0))*(IF('Cleaned Data'!H329&lt;&gt;"",1,0))</f>
        <v>1</v>
      </c>
      <c r="C383">
        <f>INDEX('Cleaned Data'!H:H,MATCH($A383,$B$56:$B$1919,0))</f>
        <v>8</v>
      </c>
      <c r="D383">
        <f>INDEX('Cleaned Data'!L:L,MATCH($A383,$B$56:$B$1919,0))</f>
        <v>4986.216672483919</v>
      </c>
    </row>
    <row r="384" spans="1:4" x14ac:dyDescent="0.25">
      <c r="A384">
        <v>329</v>
      </c>
      <c r="B384">
        <f>B383+IF('Cleaned Data'!L330&gt;0,1,0)*IF($B$34="Overall",1,IF('Cleaned Data'!K330=$B$34,1,0))*(IF('Cleaned Data'!H330&lt;&gt;"",1,0))</f>
        <v>1</v>
      </c>
      <c r="C384">
        <f>INDEX('Cleaned Data'!H:H,MATCH($A384,$B$56:$B$1919,0))</f>
        <v>4</v>
      </c>
      <c r="D384">
        <f>INDEX('Cleaned Data'!L:L,MATCH($A384,$B$56:$B$1919,0))</f>
        <v>8013.5625093491553</v>
      </c>
    </row>
    <row r="385" spans="1:4" x14ac:dyDescent="0.25">
      <c r="A385">
        <v>330</v>
      </c>
      <c r="B385">
        <f>B384+IF('Cleaned Data'!L331&gt;0,1,0)*IF($B$34="Overall",1,IF('Cleaned Data'!K331=$B$34,1,0))*(IF('Cleaned Data'!H331&lt;&gt;"",1,0))</f>
        <v>1</v>
      </c>
      <c r="C385">
        <f>INDEX('Cleaned Data'!H:H,MATCH($A385,$B$56:$B$1919,0))</f>
        <v>10</v>
      </c>
      <c r="D385">
        <f>INDEX('Cleaned Data'!L:L,MATCH($A385,$B$56:$B$1919,0))</f>
        <v>17807.916687442568</v>
      </c>
    </row>
    <row r="386" spans="1:4" x14ac:dyDescent="0.25">
      <c r="A386">
        <v>331</v>
      </c>
      <c r="B386">
        <f>B385+IF('Cleaned Data'!L332&gt;0,1,0)*IF($B$34="Overall",1,IF('Cleaned Data'!K332=$B$34,1,0))*(IF('Cleaned Data'!H332&lt;&gt;"",1,0))</f>
        <v>1</v>
      </c>
      <c r="C386">
        <f>INDEX('Cleaned Data'!H:H,MATCH($A386,$B$56:$B$1919,0))</f>
        <v>6</v>
      </c>
      <c r="D386">
        <f>INDEX('Cleaned Data'!L:L,MATCH($A386,$B$56:$B$1919,0))</f>
        <v>16027.125018698311</v>
      </c>
    </row>
    <row r="387" spans="1:4" x14ac:dyDescent="0.25">
      <c r="A387">
        <v>332</v>
      </c>
      <c r="B387">
        <f>B386+IF('Cleaned Data'!L333&gt;0,1,0)*IF($B$34="Overall",1,IF('Cleaned Data'!K333=$B$34,1,0))*(IF('Cleaned Data'!H333&lt;&gt;"",1,0))</f>
        <v>1</v>
      </c>
      <c r="C387">
        <f>INDEX('Cleaned Data'!H:H,MATCH($A387,$B$56:$B$1919,0))</f>
        <v>7</v>
      </c>
      <c r="D387">
        <f>INDEX('Cleaned Data'!L:L,MATCH($A387,$B$56:$B$1919,0))</f>
        <v>21369.500024931083</v>
      </c>
    </row>
    <row r="388" spans="1:4" x14ac:dyDescent="0.25">
      <c r="A388">
        <v>333</v>
      </c>
      <c r="B388">
        <f>B387+IF('Cleaned Data'!L334&gt;0,1,0)*IF($B$34="Overall",1,IF('Cleaned Data'!K334=$B$34,1,0))*(IF('Cleaned Data'!H334&lt;&gt;"",1,0))</f>
        <v>1</v>
      </c>
      <c r="C388">
        <f>INDEX('Cleaned Data'!H:H,MATCH($A388,$B$56:$B$1919,0))</f>
        <v>6</v>
      </c>
      <c r="D388">
        <f>INDEX('Cleaned Data'!L:L,MATCH($A388,$B$56:$B$1919,0))</f>
        <v>7568.3645921630914</v>
      </c>
    </row>
    <row r="389" spans="1:4" x14ac:dyDescent="0.25">
      <c r="A389">
        <v>334</v>
      </c>
      <c r="B389">
        <f>B388+IF('Cleaned Data'!L335&gt;0,1,0)*IF($B$34="Overall",1,IF('Cleaned Data'!K335=$B$34,1,0))*(IF('Cleaned Data'!H335&lt;&gt;"",1,0))</f>
        <v>1</v>
      </c>
      <c r="C389">
        <f>INDEX('Cleaned Data'!H:H,MATCH($A389,$B$56:$B$1919,0))</f>
        <v>5</v>
      </c>
      <c r="D389">
        <f>INDEX('Cleaned Data'!L:L,MATCH($A389,$B$56:$B$1919,0))</f>
        <v>4808.137505609493</v>
      </c>
    </row>
    <row r="390" spans="1:4" x14ac:dyDescent="0.25">
      <c r="A390">
        <v>335</v>
      </c>
      <c r="B390">
        <f>B389+IF('Cleaned Data'!L336&gt;0,1,0)*IF($B$34="Overall",1,IF('Cleaned Data'!K336=$B$34,1,0))*(IF('Cleaned Data'!H336&lt;&gt;"",1,0))</f>
        <v>1</v>
      </c>
      <c r="C390">
        <f>INDEX('Cleaned Data'!H:H,MATCH($A390,$B$56:$B$1919,0))</f>
        <v>10</v>
      </c>
      <c r="D390">
        <f>INDEX('Cleaned Data'!L:L,MATCH($A390,$B$56:$B$1919,0))</f>
        <v>24931.083362419595</v>
      </c>
    </row>
    <row r="391" spans="1:4" x14ac:dyDescent="0.25">
      <c r="A391">
        <v>336</v>
      </c>
      <c r="B391">
        <f>B390+IF('Cleaned Data'!L337&gt;0,1,0)*IF($B$34="Overall",1,IF('Cleaned Data'!K337=$B$34,1,0))*(IF('Cleaned Data'!H337&lt;&gt;"",1,0))</f>
        <v>1</v>
      </c>
      <c r="C391">
        <f>INDEX('Cleaned Data'!H:H,MATCH($A391,$B$56:$B$1919,0))</f>
        <v>4</v>
      </c>
      <c r="D391">
        <f>INDEX('Cleaned Data'!L:L,MATCH($A391,$B$56:$B$1919,0))</f>
        <v>12465.541681209797</v>
      </c>
    </row>
    <row r="392" spans="1:4" x14ac:dyDescent="0.25">
      <c r="A392">
        <v>337</v>
      </c>
      <c r="B392">
        <f>B391+IF('Cleaned Data'!L338&gt;0,1,0)*IF($B$34="Overall",1,IF('Cleaned Data'!K338=$B$34,1,0))*(IF('Cleaned Data'!H338&lt;&gt;"",1,0))</f>
        <v>1</v>
      </c>
      <c r="C392">
        <f>INDEX('Cleaned Data'!H:H,MATCH($A392,$B$56:$B$1919,0))</f>
        <v>10</v>
      </c>
      <c r="D392">
        <f>INDEX('Cleaned Data'!L:L,MATCH($A392,$B$56:$B$1919,0))</f>
        <v>17807.916687442568</v>
      </c>
    </row>
    <row r="393" spans="1:4" x14ac:dyDescent="0.25">
      <c r="A393">
        <v>338</v>
      </c>
      <c r="B393">
        <f>B392+IF('Cleaned Data'!L339&gt;0,1,0)*IF($B$34="Overall",1,IF('Cleaned Data'!K339=$B$34,1,0))*(IF('Cleaned Data'!H339&lt;&gt;"",1,0))</f>
        <v>1</v>
      </c>
      <c r="C393">
        <f>INDEX('Cleaned Data'!H:H,MATCH($A393,$B$56:$B$1919,0))</f>
        <v>2</v>
      </c>
      <c r="D393">
        <f>INDEX('Cleaned Data'!L:L,MATCH($A393,$B$56:$B$1919,0))</f>
        <v>6410.8500074793246</v>
      </c>
    </row>
    <row r="394" spans="1:4" x14ac:dyDescent="0.25">
      <c r="A394">
        <v>339</v>
      </c>
      <c r="B394">
        <f>B393+IF('Cleaned Data'!L340&gt;0,1,0)*IF($B$34="Overall",1,IF('Cleaned Data'!K340=$B$34,1,0))*(IF('Cleaned Data'!H340&lt;&gt;"",1,0))</f>
        <v>1</v>
      </c>
      <c r="C394">
        <f>INDEX('Cleaned Data'!H:H,MATCH($A394,$B$56:$B$1919,0))</f>
        <v>12</v>
      </c>
      <c r="D394">
        <f>INDEX('Cleaned Data'!L:L,MATCH($A394,$B$56:$B$1919,0))</f>
        <v>10684.750012465542</v>
      </c>
    </row>
    <row r="395" spans="1:4" x14ac:dyDescent="0.25">
      <c r="A395">
        <v>340</v>
      </c>
      <c r="B395">
        <f>B394+IF('Cleaned Data'!L341&gt;0,1,0)*IF($B$34="Overall",1,IF('Cleaned Data'!K341=$B$34,1,0))*(IF('Cleaned Data'!H341&lt;&gt;"",1,0))</f>
        <v>1</v>
      </c>
      <c r="C395">
        <f>INDEX('Cleaned Data'!H:H,MATCH($A395,$B$56:$B$1919,0))</f>
        <v>6</v>
      </c>
      <c r="D395">
        <f>INDEX('Cleaned Data'!L:L,MATCH($A395,$B$56:$B$1919,0))</f>
        <v>6232.7708406048987</v>
      </c>
    </row>
    <row r="396" spans="1:4" x14ac:dyDescent="0.25">
      <c r="A396">
        <v>341</v>
      </c>
      <c r="B396">
        <f>B395+IF('Cleaned Data'!L342&gt;0,1,0)*IF($B$34="Overall",1,IF('Cleaned Data'!K342=$B$34,1,0))*(IF('Cleaned Data'!H342&lt;&gt;"",1,0))</f>
        <v>1</v>
      </c>
      <c r="C396">
        <f>INDEX('Cleaned Data'!H:H,MATCH($A396,$B$56:$B$1919,0))</f>
        <v>12</v>
      </c>
      <c r="D396">
        <f>INDEX('Cleaned Data'!L:L,MATCH($A396,$B$56:$B$1919,0))</f>
        <v>41712.231189497601</v>
      </c>
    </row>
    <row r="397" spans="1:4" x14ac:dyDescent="0.25">
      <c r="A397">
        <v>342</v>
      </c>
      <c r="B397">
        <f>B396+IF('Cleaned Data'!L343&gt;0,1,0)*IF($B$34="Overall",1,IF('Cleaned Data'!K343=$B$34,1,0))*(IF('Cleaned Data'!H343&lt;&gt;"",1,0))</f>
        <v>1</v>
      </c>
      <c r="C397">
        <f>INDEX('Cleaned Data'!H:H,MATCH($A397,$B$56:$B$1919,0))</f>
        <v>9</v>
      </c>
      <c r="D397">
        <f>INDEX('Cleaned Data'!L:L,MATCH($A397,$B$56:$B$1919,0))</f>
        <v>12465.541681209797</v>
      </c>
    </row>
    <row r="398" spans="1:4" x14ac:dyDescent="0.25">
      <c r="A398">
        <v>343</v>
      </c>
      <c r="B398">
        <f>B397+IF('Cleaned Data'!L344&gt;0,1,0)*IF($B$34="Overall",1,IF('Cleaned Data'!K344=$B$34,1,0))*(IF('Cleaned Data'!H344&lt;&gt;"",1,0))</f>
        <v>1</v>
      </c>
      <c r="C398">
        <f>INDEX('Cleaned Data'!H:H,MATCH($A398,$B$56:$B$1919,0))</f>
        <v>2</v>
      </c>
      <c r="D398">
        <f>INDEX('Cleaned Data'!L:L,MATCH($A398,$B$56:$B$1919,0))</f>
        <v>7123.1666749770275</v>
      </c>
    </row>
    <row r="399" spans="1:4" x14ac:dyDescent="0.25">
      <c r="A399">
        <v>344</v>
      </c>
      <c r="B399">
        <f>B398+IF('Cleaned Data'!L345&gt;0,1,0)*IF($B$34="Overall",1,IF('Cleaned Data'!K345=$B$34,1,0))*(IF('Cleaned Data'!H345&lt;&gt;"",1,0))</f>
        <v>1</v>
      </c>
      <c r="C399">
        <f>INDEX('Cleaned Data'!H:H,MATCH($A399,$B$56:$B$1919,0))</f>
        <v>27</v>
      </c>
      <c r="D399">
        <f>INDEX('Cleaned Data'!L:L,MATCH($A399,$B$56:$B$1919,0))</f>
        <v>6232.7708406048987</v>
      </c>
    </row>
    <row r="400" spans="1:4" x14ac:dyDescent="0.25">
      <c r="A400">
        <v>345</v>
      </c>
      <c r="B400">
        <f>B399+IF('Cleaned Data'!L346&gt;0,1,0)*IF($B$34="Overall",1,IF('Cleaned Data'!K346=$B$34,1,0))*(IF('Cleaned Data'!H346&lt;&gt;"",1,0))</f>
        <v>1</v>
      </c>
      <c r="C400">
        <f>INDEX('Cleaned Data'!H:H,MATCH($A400,$B$56:$B$1919,0))</f>
        <v>3</v>
      </c>
      <c r="D400">
        <f>INDEX('Cleaned Data'!L:L,MATCH($A400,$B$56:$B$1919,0))</f>
        <v>4451.9791718606421</v>
      </c>
    </row>
    <row r="401" spans="1:4" x14ac:dyDescent="0.25">
      <c r="A401">
        <v>346</v>
      </c>
      <c r="B401">
        <f>B400+IF('Cleaned Data'!L347&gt;0,1,0)*IF($B$34="Overall",1,IF('Cleaned Data'!K347=$B$34,1,0))*(IF('Cleaned Data'!H347&lt;&gt;"",1,0))</f>
        <v>1</v>
      </c>
      <c r="C401">
        <f>INDEX('Cleaned Data'!H:H,MATCH($A401,$B$56:$B$1919,0))</f>
        <v>5</v>
      </c>
      <c r="D401">
        <f>INDEX('Cleaned Data'!L:L,MATCH($A401,$B$56:$B$1919,0))</f>
        <v>13355.937515581925</v>
      </c>
    </row>
    <row r="402" spans="1:4" x14ac:dyDescent="0.25">
      <c r="A402">
        <v>347</v>
      </c>
      <c r="B402">
        <f>B401+IF('Cleaned Data'!L348&gt;0,1,0)*IF($B$34="Overall",1,IF('Cleaned Data'!K348=$B$34,1,0))*(IF('Cleaned Data'!H348&lt;&gt;"",1,0))</f>
        <v>1</v>
      </c>
      <c r="C402">
        <f>INDEX('Cleaned Data'!H:H,MATCH($A402,$B$56:$B$1919,0))</f>
        <v>2</v>
      </c>
      <c r="D402">
        <f>INDEX('Cleaned Data'!L:L,MATCH($A402,$B$56:$B$1919,0))</f>
        <v>7479.3250087258784</v>
      </c>
    </row>
    <row r="403" spans="1:4" x14ac:dyDescent="0.25">
      <c r="A403">
        <v>348</v>
      </c>
      <c r="B403">
        <f>B402+IF('Cleaned Data'!L349&gt;0,1,0)*IF($B$34="Overall",1,IF('Cleaned Data'!K349=$B$34,1,0))*(IF('Cleaned Data'!H349&lt;&gt;"",1,0))</f>
        <v>1</v>
      </c>
      <c r="C403">
        <f>INDEX('Cleaned Data'!H:H,MATCH($A403,$B$56:$B$1919,0))</f>
        <v>6</v>
      </c>
      <c r="D403">
        <f>INDEX('Cleaned Data'!L:L,MATCH($A403,$B$56:$B$1919,0))</f>
        <v>4914.9850057341491</v>
      </c>
    </row>
    <row r="404" spans="1:4" x14ac:dyDescent="0.25">
      <c r="A404">
        <v>349</v>
      </c>
      <c r="B404">
        <f>B403+IF('Cleaned Data'!L350&gt;0,1,0)*IF($B$34="Overall",1,IF('Cleaned Data'!K350=$B$34,1,0))*(IF('Cleaned Data'!H350&lt;&gt;"",1,0))</f>
        <v>1</v>
      </c>
      <c r="C404">
        <f>INDEX('Cleaned Data'!H:H,MATCH($A404,$B$56:$B$1919,0))</f>
        <v>1.6</v>
      </c>
      <c r="D404">
        <f>INDEX('Cleaned Data'!L:L,MATCH($A404,$B$56:$B$1919,0))</f>
        <v>4451.9791718606421</v>
      </c>
    </row>
    <row r="405" spans="1:4" x14ac:dyDescent="0.25">
      <c r="A405">
        <v>350</v>
      </c>
      <c r="B405">
        <f>B404+IF('Cleaned Data'!L351&gt;0,1,0)*IF($B$34="Overall",1,IF('Cleaned Data'!K351=$B$34,1,0))*(IF('Cleaned Data'!H351&lt;&gt;"",1,0))</f>
        <v>1</v>
      </c>
      <c r="C405">
        <f>INDEX('Cleaned Data'!H:H,MATCH($A405,$B$56:$B$1919,0))</f>
        <v>3</v>
      </c>
      <c r="D405">
        <f>INDEX('Cleaned Data'!L:L,MATCH($A405,$B$56:$B$1919,0))</f>
        <v>3205.4250037396623</v>
      </c>
    </row>
    <row r="406" spans="1:4" x14ac:dyDescent="0.25">
      <c r="A406">
        <v>351</v>
      </c>
      <c r="B406">
        <f>B405+IF('Cleaned Data'!L352&gt;0,1,0)*IF($B$34="Overall",1,IF('Cleaned Data'!K352=$B$34,1,0))*(IF('Cleaned Data'!H352&lt;&gt;"",1,0))</f>
        <v>1</v>
      </c>
      <c r="C406">
        <f>INDEX('Cleaned Data'!H:H,MATCH($A406,$B$56:$B$1919,0))</f>
        <v>9</v>
      </c>
      <c r="D406">
        <f>INDEX('Cleaned Data'!L:L,MATCH($A406,$B$56:$B$1919,0))</f>
        <v>51497.005988023957</v>
      </c>
    </row>
    <row r="407" spans="1:4" x14ac:dyDescent="0.25">
      <c r="A407">
        <v>352</v>
      </c>
      <c r="B407">
        <f>B406+IF('Cleaned Data'!L353&gt;0,1,0)*IF($B$34="Overall",1,IF('Cleaned Data'!K353=$B$34,1,0))*(IF('Cleaned Data'!H353&lt;&gt;"",1,0))</f>
        <v>1</v>
      </c>
      <c r="C407">
        <f>INDEX('Cleaned Data'!H:H,MATCH($A407,$B$56:$B$1919,0))</f>
        <v>0</v>
      </c>
      <c r="D407">
        <f>INDEX('Cleaned Data'!L:L,MATCH($A407,$B$56:$B$1919,0))</f>
        <v>10956.982885192734</v>
      </c>
    </row>
    <row r="408" spans="1:4" x14ac:dyDescent="0.25">
      <c r="A408">
        <v>353</v>
      </c>
      <c r="B408">
        <f>B407+IF('Cleaned Data'!L354&gt;0,1,0)*IF($B$34="Overall",1,IF('Cleaned Data'!K354=$B$34,1,0))*(IF('Cleaned Data'!H354&lt;&gt;"",1,0))</f>
        <v>1</v>
      </c>
      <c r="C408">
        <f>INDEX('Cleaned Data'!H:H,MATCH($A408,$B$56:$B$1919,0))</f>
        <v>2</v>
      </c>
      <c r="D408">
        <f>INDEX('Cleaned Data'!L:L,MATCH($A408,$B$56:$B$1919,0))</f>
        <v>15206.427249917633</v>
      </c>
    </row>
    <row r="409" spans="1:4" x14ac:dyDescent="0.25">
      <c r="A409">
        <v>354</v>
      </c>
      <c r="B409">
        <f>B408+IF('Cleaned Data'!L355&gt;0,1,0)*IF($B$34="Overall",1,IF('Cleaned Data'!K355=$B$34,1,0))*(IF('Cleaned Data'!H355&lt;&gt;"",1,0))</f>
        <v>1</v>
      </c>
      <c r="C409">
        <f>INDEX('Cleaned Data'!H:H,MATCH($A409,$B$56:$B$1919,0))</f>
        <v>2</v>
      </c>
      <c r="D409">
        <f>INDEX('Cleaned Data'!L:L,MATCH($A409,$B$56:$B$1919,0))</f>
        <v>11404.820437438224</v>
      </c>
    </row>
    <row r="410" spans="1:4" x14ac:dyDescent="0.25">
      <c r="A410">
        <v>355</v>
      </c>
      <c r="B410">
        <f>B409+IF('Cleaned Data'!L356&gt;0,1,0)*IF($B$34="Overall",1,IF('Cleaned Data'!K356=$B$34,1,0))*(IF('Cleaned Data'!H356&lt;&gt;"",1,0))</f>
        <v>1</v>
      </c>
      <c r="C410">
        <f>INDEX('Cleaned Data'!H:H,MATCH($A410,$B$56:$B$1919,0))</f>
        <v>20</v>
      </c>
      <c r="D410">
        <f>INDEX('Cleaned Data'!L:L,MATCH($A410,$B$56:$B$1919,0))</f>
        <v>28353.650809742252</v>
      </c>
    </row>
    <row r="411" spans="1:4" x14ac:dyDescent="0.25">
      <c r="A411">
        <v>356</v>
      </c>
      <c r="B411">
        <f>B410+IF('Cleaned Data'!L357&gt;0,1,0)*IF($B$34="Overall",1,IF('Cleaned Data'!K357=$B$34,1,0))*(IF('Cleaned Data'!H357&lt;&gt;"",1,0))</f>
        <v>1</v>
      </c>
      <c r="C411">
        <f>INDEX('Cleaned Data'!H:H,MATCH($A411,$B$56:$B$1919,0))</f>
        <v>0</v>
      </c>
      <c r="D411">
        <f>INDEX('Cleaned Data'!L:L,MATCH($A411,$B$56:$B$1919,0))</f>
        <v>10809.503829551191</v>
      </c>
    </row>
    <row r="412" spans="1:4" x14ac:dyDescent="0.25">
      <c r="A412">
        <v>357</v>
      </c>
      <c r="B412">
        <f>B411+IF('Cleaned Data'!L358&gt;0,1,0)*IF($B$34="Overall",1,IF('Cleaned Data'!K358=$B$34,1,0))*(IF('Cleaned Data'!H358&lt;&gt;"",1,0))</f>
        <v>1</v>
      </c>
      <c r="C412">
        <f>INDEX('Cleaned Data'!H:H,MATCH($A412,$B$56:$B$1919,0))</f>
        <v>9</v>
      </c>
      <c r="D412">
        <f>INDEX('Cleaned Data'!L:L,MATCH($A412,$B$56:$B$1919,0))</f>
        <v>17067.637625607145</v>
      </c>
    </row>
    <row r="413" spans="1:4" x14ac:dyDescent="0.25">
      <c r="A413">
        <v>358</v>
      </c>
      <c r="B413">
        <f>B412+IF('Cleaned Data'!L359&gt;0,1,0)*IF($B$34="Overall",1,IF('Cleaned Data'!K359=$B$34,1,0))*(IF('Cleaned Data'!H359&lt;&gt;"",1,0))</f>
        <v>1</v>
      </c>
      <c r="C413">
        <f>INDEX('Cleaned Data'!H:H,MATCH($A413,$B$56:$B$1919,0))</f>
        <v>10</v>
      </c>
      <c r="D413">
        <f>INDEX('Cleaned Data'!L:L,MATCH($A413,$B$56:$B$1919,0))</f>
        <v>3982.448779308334</v>
      </c>
    </row>
    <row r="414" spans="1:4" x14ac:dyDescent="0.25">
      <c r="A414">
        <v>359</v>
      </c>
      <c r="B414">
        <f>B413+IF('Cleaned Data'!L360&gt;0,1,0)*IF($B$34="Overall",1,IF('Cleaned Data'!K360=$B$34,1,0))*(IF('Cleaned Data'!H360&lt;&gt;"",1,0))</f>
        <v>1</v>
      </c>
      <c r="C414">
        <f>INDEX('Cleaned Data'!H:H,MATCH($A414,$B$56:$B$1919,0))</f>
        <v>2</v>
      </c>
      <c r="D414">
        <f>INDEX('Cleaned Data'!L:L,MATCH($A414,$B$56:$B$1919,0))</f>
        <v>5120.2912876821438</v>
      </c>
    </row>
    <row r="415" spans="1:4" x14ac:dyDescent="0.25">
      <c r="A415">
        <v>360</v>
      </c>
      <c r="B415">
        <f>B414+IF('Cleaned Data'!L361&gt;0,1,0)*IF($B$34="Overall",1,IF('Cleaned Data'!K361=$B$34,1,0))*(IF('Cleaned Data'!H361&lt;&gt;"",1,0))</f>
        <v>1</v>
      </c>
      <c r="C415">
        <f>INDEX('Cleaned Data'!H:H,MATCH($A415,$B$56:$B$1919,0))</f>
        <v>0</v>
      </c>
      <c r="D415">
        <f>INDEX('Cleaned Data'!L:L,MATCH($A415,$B$56:$B$1919,0))</f>
        <v>6368.453230079479</v>
      </c>
    </row>
    <row r="416" spans="1:4" x14ac:dyDescent="0.25">
      <c r="A416">
        <v>361</v>
      </c>
      <c r="B416">
        <f>B415+IF('Cleaned Data'!L362&gt;0,1,0)*IF($B$34="Overall",1,IF('Cleaned Data'!K362=$B$34,1,0))*(IF('Cleaned Data'!H362&lt;&gt;"",1,0))</f>
        <v>1</v>
      </c>
      <c r="C416">
        <f>INDEX('Cleaned Data'!H:H,MATCH($A416,$B$56:$B$1919,0))</f>
        <v>2</v>
      </c>
      <c r="D416">
        <f>INDEX('Cleaned Data'!L:L,MATCH($A416,$B$56:$B$1919,0))</f>
        <v>2122.8177433598262</v>
      </c>
    </row>
    <row r="417" spans="1:4" x14ac:dyDescent="0.25">
      <c r="A417">
        <v>362</v>
      </c>
      <c r="B417">
        <f>B416+IF('Cleaned Data'!L363&gt;0,1,0)*IF($B$34="Overall",1,IF('Cleaned Data'!K363=$B$34,1,0))*(IF('Cleaned Data'!H363&lt;&gt;"",1,0))</f>
        <v>1</v>
      </c>
      <c r="C417">
        <f>INDEX('Cleaned Data'!H:H,MATCH($A417,$B$56:$B$1919,0))</f>
        <v>2</v>
      </c>
      <c r="D417">
        <f>INDEX('Cleaned Data'!L:L,MATCH($A417,$B$56:$B$1919,0))</f>
        <v>2165.2740982270229</v>
      </c>
    </row>
    <row r="418" spans="1:4" x14ac:dyDescent="0.25">
      <c r="A418">
        <v>363</v>
      </c>
      <c r="B418">
        <f>B417+IF('Cleaned Data'!L364&gt;0,1,0)*IF($B$34="Overall",1,IF('Cleaned Data'!K364=$B$34,1,0))*(IF('Cleaned Data'!H364&lt;&gt;"",1,0))</f>
        <v>1</v>
      </c>
      <c r="C418">
        <f>INDEX('Cleaned Data'!H:H,MATCH($A418,$B$56:$B$1919,0))</f>
        <v>7</v>
      </c>
      <c r="D418">
        <f>INDEX('Cleaned Data'!L:L,MATCH($A418,$B$56:$B$1919,0))</f>
        <v>1910.5359690238436</v>
      </c>
    </row>
    <row r="419" spans="1:4" x14ac:dyDescent="0.25">
      <c r="A419">
        <v>364</v>
      </c>
      <c r="B419">
        <f>B418+IF('Cleaned Data'!L365&gt;0,1,0)*IF($B$34="Overall",1,IF('Cleaned Data'!K365=$B$34,1,0))*(IF('Cleaned Data'!H365&lt;&gt;"",1,0))</f>
        <v>1</v>
      </c>
      <c r="C419">
        <f>INDEX('Cleaned Data'!H:H,MATCH($A419,$B$56:$B$1919,0))</f>
        <v>4</v>
      </c>
      <c r="D419">
        <f>INDEX('Cleaned Data'!L:L,MATCH($A419,$B$56:$B$1919,0))</f>
        <v>4457.9172610556352</v>
      </c>
    </row>
    <row r="420" spans="1:4" x14ac:dyDescent="0.25">
      <c r="A420">
        <v>365</v>
      </c>
      <c r="B420">
        <f>B419+IF('Cleaned Data'!L366&gt;0,1,0)*IF($B$34="Overall",1,IF('Cleaned Data'!K366=$B$34,1,0))*(IF('Cleaned Data'!H366&lt;&gt;"",1,0))</f>
        <v>1</v>
      </c>
      <c r="C420">
        <f>INDEX('Cleaned Data'!H:H,MATCH($A420,$B$56:$B$1919,0))</f>
        <v>4</v>
      </c>
      <c r="D420">
        <f>INDEX('Cleaned Data'!L:L,MATCH($A420,$B$56:$B$1919,0))</f>
        <v>3184.2266150397395</v>
      </c>
    </row>
    <row r="421" spans="1:4" x14ac:dyDescent="0.25">
      <c r="A421">
        <v>366</v>
      </c>
      <c r="B421">
        <f>B420+IF('Cleaned Data'!L367&gt;0,1,0)*IF($B$34="Overall",1,IF('Cleaned Data'!K367=$B$34,1,0))*(IF('Cleaned Data'!H367&lt;&gt;"",1,0))</f>
        <v>1</v>
      </c>
      <c r="C421">
        <f>INDEX('Cleaned Data'!H:H,MATCH($A421,$B$56:$B$1919,0))</f>
        <v>2</v>
      </c>
      <c r="D421">
        <f>INDEX('Cleaned Data'!L:L,MATCH($A421,$B$56:$B$1919,0))</f>
        <v>4840.0244548604041</v>
      </c>
    </row>
    <row r="422" spans="1:4" x14ac:dyDescent="0.25">
      <c r="A422">
        <v>367</v>
      </c>
      <c r="B422">
        <f>B421+IF('Cleaned Data'!L368&gt;0,1,0)*IF($B$34="Overall",1,IF('Cleaned Data'!K368=$B$34,1,0))*(IF('Cleaned Data'!H368&lt;&gt;"",1,0))</f>
        <v>1</v>
      </c>
      <c r="C422">
        <f>INDEX('Cleaned Data'!H:H,MATCH($A422,$B$56:$B$1919,0))</f>
        <v>10</v>
      </c>
      <c r="D422">
        <f>INDEX('Cleaned Data'!L:L,MATCH($A422,$B$56:$B$1919,0))</f>
        <v>1783.166904422254</v>
      </c>
    </row>
    <row r="423" spans="1:4" x14ac:dyDescent="0.25">
      <c r="A423">
        <v>368</v>
      </c>
      <c r="B423">
        <f>B422+IF('Cleaned Data'!L369&gt;0,1,0)*IF($B$34="Overall",1,IF('Cleaned Data'!K369=$B$34,1,0))*(IF('Cleaned Data'!H369&lt;&gt;"",1,0))</f>
        <v>1</v>
      </c>
      <c r="C423">
        <f>INDEX('Cleaned Data'!H:H,MATCH($A423,$B$56:$B$1919,0))</f>
        <v>8</v>
      </c>
      <c r="D423">
        <f>INDEX('Cleaned Data'!L:L,MATCH($A423,$B$56:$B$1919,0))</f>
        <v>21228.177433598263</v>
      </c>
    </row>
    <row r="424" spans="1:4" x14ac:dyDescent="0.25">
      <c r="A424">
        <v>369</v>
      </c>
      <c r="B424">
        <f>B423+IF('Cleaned Data'!L370&gt;0,1,0)*IF($B$34="Overall",1,IF('Cleaned Data'!K370=$B$34,1,0))*(IF('Cleaned Data'!H370&lt;&gt;"",1,0))</f>
        <v>1</v>
      </c>
      <c r="C424">
        <f>INDEX('Cleaned Data'!H:H,MATCH($A424,$B$56:$B$1919,0))</f>
        <v>5</v>
      </c>
      <c r="D424">
        <f>INDEX('Cleaned Data'!L:L,MATCH($A424,$B$56:$B$1919,0))</f>
        <v>36000</v>
      </c>
    </row>
    <row r="425" spans="1:4" x14ac:dyDescent="0.25">
      <c r="A425">
        <v>370</v>
      </c>
      <c r="B425">
        <f>B424+IF('Cleaned Data'!L371&gt;0,1,0)*IF($B$34="Overall",1,IF('Cleaned Data'!K371=$B$34,1,0))*(IF('Cleaned Data'!H371&lt;&gt;"",1,0))</f>
        <v>1</v>
      </c>
      <c r="C425">
        <f>INDEX('Cleaned Data'!H:H,MATCH($A425,$B$56:$B$1919,0))</f>
        <v>12</v>
      </c>
      <c r="D425">
        <f>INDEX('Cleaned Data'!L:L,MATCH($A425,$B$56:$B$1919,0))</f>
        <v>3000</v>
      </c>
    </row>
    <row r="426" spans="1:4" x14ac:dyDescent="0.25">
      <c r="A426">
        <v>371</v>
      </c>
      <c r="B426">
        <f>B425+IF('Cleaned Data'!L372&gt;0,1,0)*IF($B$34="Overall",1,IF('Cleaned Data'!K372=$B$34,1,0))*(IF('Cleaned Data'!H372&lt;&gt;"",1,0))</f>
        <v>1</v>
      </c>
      <c r="C426">
        <f>INDEX('Cleaned Data'!H:H,MATCH($A426,$B$56:$B$1919,0))</f>
        <v>15</v>
      </c>
      <c r="D426">
        <f>INDEX('Cleaned Data'!L:L,MATCH($A426,$B$56:$B$1919,0))</f>
        <v>14400</v>
      </c>
    </row>
    <row r="427" spans="1:4" x14ac:dyDescent="0.25">
      <c r="A427">
        <v>372</v>
      </c>
      <c r="B427">
        <f>B426+IF('Cleaned Data'!L373&gt;0,1,0)*IF($B$34="Overall",1,IF('Cleaned Data'!K373=$B$34,1,0))*(IF('Cleaned Data'!H373&lt;&gt;"",1,0))</f>
        <v>1</v>
      </c>
      <c r="C427">
        <f>INDEX('Cleaned Data'!H:H,MATCH($A427,$B$56:$B$1919,0))</f>
        <v>10</v>
      </c>
      <c r="D427">
        <f>INDEX('Cleaned Data'!L:L,MATCH($A427,$B$56:$B$1919,0))</f>
        <v>60000</v>
      </c>
    </row>
    <row r="428" spans="1:4" x14ac:dyDescent="0.25">
      <c r="A428">
        <v>373</v>
      </c>
      <c r="B428">
        <f>B427+IF('Cleaned Data'!L374&gt;0,1,0)*IF($B$34="Overall",1,IF('Cleaned Data'!K374=$B$34,1,0))*(IF('Cleaned Data'!H374&lt;&gt;"",1,0))</f>
        <v>1</v>
      </c>
      <c r="C428">
        <f>INDEX('Cleaned Data'!H:H,MATCH($A428,$B$56:$B$1919,0))</f>
        <v>0</v>
      </c>
      <c r="D428">
        <f>INDEX('Cleaned Data'!L:L,MATCH($A428,$B$56:$B$1919,0))</f>
        <v>15000</v>
      </c>
    </row>
    <row r="429" spans="1:4" x14ac:dyDescent="0.25">
      <c r="A429">
        <v>374</v>
      </c>
      <c r="B429">
        <f>B428+IF('Cleaned Data'!L375&gt;0,1,0)*IF($B$34="Overall",1,IF('Cleaned Data'!K375=$B$34,1,0))*(IF('Cleaned Data'!H375&lt;&gt;"",1,0))</f>
        <v>1</v>
      </c>
      <c r="C429">
        <f>INDEX('Cleaned Data'!H:H,MATCH($A429,$B$56:$B$1919,0))</f>
        <v>6</v>
      </c>
      <c r="D429">
        <f>INDEX('Cleaned Data'!L:L,MATCH($A429,$B$56:$B$1919,0))</f>
        <v>4285</v>
      </c>
    </row>
    <row r="430" spans="1:4" x14ac:dyDescent="0.25">
      <c r="A430">
        <v>375</v>
      </c>
      <c r="B430">
        <f>B429+IF('Cleaned Data'!L376&gt;0,1,0)*IF($B$34="Overall",1,IF('Cleaned Data'!K376=$B$34,1,0))*(IF('Cleaned Data'!H376&lt;&gt;"",1,0))</f>
        <v>1</v>
      </c>
      <c r="C430">
        <f>INDEX('Cleaned Data'!H:H,MATCH($A430,$B$56:$B$1919,0))</f>
        <v>25</v>
      </c>
      <c r="D430">
        <f>INDEX('Cleaned Data'!L:L,MATCH($A430,$B$56:$B$1919,0))</f>
        <v>50000</v>
      </c>
    </row>
    <row r="431" spans="1:4" x14ac:dyDescent="0.25">
      <c r="A431">
        <v>376</v>
      </c>
      <c r="B431">
        <f>B430+IF('Cleaned Data'!L377&gt;0,1,0)*IF($B$34="Overall",1,IF('Cleaned Data'!K377=$B$34,1,0))*(IF('Cleaned Data'!H377&lt;&gt;"",1,0))</f>
        <v>1</v>
      </c>
      <c r="C431">
        <f>INDEX('Cleaned Data'!H:H,MATCH($A431,$B$56:$B$1919,0))</f>
        <v>10</v>
      </c>
      <c r="D431">
        <f>INDEX('Cleaned Data'!L:L,MATCH($A431,$B$56:$B$1919,0))</f>
        <v>50000</v>
      </c>
    </row>
    <row r="432" spans="1:4" x14ac:dyDescent="0.25">
      <c r="A432">
        <v>377</v>
      </c>
      <c r="B432">
        <f>B431+IF('Cleaned Data'!L378&gt;0,1,0)*IF($B$34="Overall",1,IF('Cleaned Data'!K378=$B$34,1,0))*(IF('Cleaned Data'!H378&lt;&gt;"",1,0))</f>
        <v>1</v>
      </c>
      <c r="C432">
        <f>INDEX('Cleaned Data'!H:H,MATCH($A432,$B$56:$B$1919,0))</f>
        <v>23</v>
      </c>
      <c r="D432">
        <f>INDEX('Cleaned Data'!L:L,MATCH($A432,$B$56:$B$1919,0))</f>
        <v>21000</v>
      </c>
    </row>
    <row r="433" spans="1:4" x14ac:dyDescent="0.25">
      <c r="A433">
        <v>378</v>
      </c>
      <c r="B433">
        <f>B432+IF('Cleaned Data'!L379&gt;0,1,0)*IF($B$34="Overall",1,IF('Cleaned Data'!K379=$B$34,1,0))*(IF('Cleaned Data'!H379&lt;&gt;"",1,0))</f>
        <v>1</v>
      </c>
      <c r="C433">
        <f>INDEX('Cleaned Data'!H:H,MATCH($A433,$B$56:$B$1919,0))</f>
        <v>26</v>
      </c>
      <c r="D433">
        <f>INDEX('Cleaned Data'!L:L,MATCH($A433,$B$56:$B$1919,0))</f>
        <v>8400</v>
      </c>
    </row>
    <row r="434" spans="1:4" x14ac:dyDescent="0.25">
      <c r="A434">
        <v>379</v>
      </c>
      <c r="B434">
        <f>B433+IF('Cleaned Data'!L380&gt;0,1,0)*IF($B$34="Overall",1,IF('Cleaned Data'!K380=$B$34,1,0))*(IF('Cleaned Data'!H380&lt;&gt;"",1,0))</f>
        <v>1</v>
      </c>
      <c r="C434">
        <f>INDEX('Cleaned Data'!H:H,MATCH($A434,$B$56:$B$1919,0))</f>
        <v>6</v>
      </c>
      <c r="D434">
        <f>INDEX('Cleaned Data'!L:L,MATCH($A434,$B$56:$B$1919,0))</f>
        <v>4000</v>
      </c>
    </row>
    <row r="435" spans="1:4" x14ac:dyDescent="0.25">
      <c r="A435">
        <v>380</v>
      </c>
      <c r="B435">
        <f>B434+IF('Cleaned Data'!L381&gt;0,1,0)*IF($B$34="Overall",1,IF('Cleaned Data'!K381=$B$34,1,0))*(IF('Cleaned Data'!H381&lt;&gt;"",1,0))</f>
        <v>1</v>
      </c>
      <c r="C435">
        <f>INDEX('Cleaned Data'!H:H,MATCH($A435,$B$56:$B$1919,0))</f>
        <v>4</v>
      </c>
      <c r="D435">
        <f>INDEX('Cleaned Data'!L:L,MATCH($A435,$B$56:$B$1919,0))</f>
        <v>4200</v>
      </c>
    </row>
    <row r="436" spans="1:4" x14ac:dyDescent="0.25">
      <c r="A436">
        <v>381</v>
      </c>
      <c r="B436">
        <f>B435+IF('Cleaned Data'!L382&gt;0,1,0)*IF($B$34="Overall",1,IF('Cleaned Data'!K382=$B$34,1,0))*(IF('Cleaned Data'!H382&lt;&gt;"",1,0))</f>
        <v>2</v>
      </c>
      <c r="C436">
        <f>INDEX('Cleaned Data'!H:H,MATCH($A436,$B$56:$B$1919,0))</f>
        <v>4</v>
      </c>
      <c r="D436">
        <f>INDEX('Cleaned Data'!L:L,MATCH($A436,$B$56:$B$1919,0))</f>
        <v>4000</v>
      </c>
    </row>
    <row r="437" spans="1:4" x14ac:dyDescent="0.25">
      <c r="A437">
        <v>382</v>
      </c>
      <c r="B437">
        <f>B436+IF('Cleaned Data'!L383&gt;0,1,0)*IF($B$34="Overall",1,IF('Cleaned Data'!K383=$B$34,1,0))*(IF('Cleaned Data'!H383&lt;&gt;"",1,0))</f>
        <v>2</v>
      </c>
      <c r="C437">
        <f>INDEX('Cleaned Data'!H:H,MATCH($A437,$B$56:$B$1919,0))</f>
        <v>8</v>
      </c>
      <c r="D437">
        <f>INDEX('Cleaned Data'!L:L,MATCH($A437,$B$56:$B$1919,0))</f>
        <v>4000</v>
      </c>
    </row>
    <row r="438" spans="1:4" x14ac:dyDescent="0.25">
      <c r="A438">
        <v>383</v>
      </c>
      <c r="B438">
        <f>B437+IF('Cleaned Data'!L384&gt;0,1,0)*IF($B$34="Overall",1,IF('Cleaned Data'!K384=$B$34,1,0))*(IF('Cleaned Data'!H384&lt;&gt;"",1,0))</f>
        <v>2</v>
      </c>
      <c r="C438">
        <f>INDEX('Cleaned Data'!H:H,MATCH($A438,$B$56:$B$1919,0))</f>
        <v>3</v>
      </c>
      <c r="D438">
        <f>INDEX('Cleaned Data'!L:L,MATCH($A438,$B$56:$B$1919,0))</f>
        <v>5400</v>
      </c>
    </row>
    <row r="439" spans="1:4" x14ac:dyDescent="0.25">
      <c r="A439">
        <v>384</v>
      </c>
      <c r="B439">
        <f>B438+IF('Cleaned Data'!L385&gt;0,1,0)*IF($B$34="Overall",1,IF('Cleaned Data'!K385=$B$34,1,0))*(IF('Cleaned Data'!H385&lt;&gt;"",1,0))</f>
        <v>2</v>
      </c>
      <c r="C439">
        <f>INDEX('Cleaned Data'!H:H,MATCH($A439,$B$56:$B$1919,0))</f>
        <v>9</v>
      </c>
      <c r="D439">
        <f>INDEX('Cleaned Data'!L:L,MATCH($A439,$B$56:$B$1919,0))</f>
        <v>21500</v>
      </c>
    </row>
    <row r="440" spans="1:4" x14ac:dyDescent="0.25">
      <c r="A440">
        <v>385</v>
      </c>
      <c r="B440">
        <f>B439+IF('Cleaned Data'!L386&gt;0,1,0)*IF($B$34="Overall",1,IF('Cleaned Data'!K386=$B$34,1,0))*(IF('Cleaned Data'!H386&lt;&gt;"",1,0))</f>
        <v>2</v>
      </c>
      <c r="C440">
        <f>INDEX('Cleaned Data'!H:H,MATCH($A440,$B$56:$B$1919,0))</f>
        <v>2</v>
      </c>
      <c r="D440">
        <f>INDEX('Cleaned Data'!L:L,MATCH($A440,$B$56:$B$1919,0))</f>
        <v>15000</v>
      </c>
    </row>
    <row r="441" spans="1:4" x14ac:dyDescent="0.25">
      <c r="A441">
        <v>386</v>
      </c>
      <c r="B441">
        <f>B440+IF('Cleaned Data'!L387&gt;0,1,0)*IF($B$34="Overall",1,IF('Cleaned Data'!K387=$B$34,1,0))*(IF('Cleaned Data'!H387&lt;&gt;"",1,0))</f>
        <v>2</v>
      </c>
      <c r="C441">
        <f>INDEX('Cleaned Data'!H:H,MATCH($A441,$B$56:$B$1919,0))</f>
        <v>10</v>
      </c>
      <c r="D441">
        <f>INDEX('Cleaned Data'!L:L,MATCH($A441,$B$56:$B$1919,0))</f>
        <v>37000</v>
      </c>
    </row>
    <row r="442" spans="1:4" x14ac:dyDescent="0.25">
      <c r="A442">
        <v>387</v>
      </c>
      <c r="B442">
        <f>B441+IF('Cleaned Data'!L388&gt;0,1,0)*IF($B$34="Overall",1,IF('Cleaned Data'!K388=$B$34,1,0))*(IF('Cleaned Data'!H388&lt;&gt;"",1,0))</f>
        <v>2</v>
      </c>
      <c r="C442">
        <f>INDEX('Cleaned Data'!H:H,MATCH($A442,$B$56:$B$1919,0))</f>
        <v>8</v>
      </c>
      <c r="D442">
        <f>INDEX('Cleaned Data'!L:L,MATCH($A442,$B$56:$B$1919,0))</f>
        <v>5800</v>
      </c>
    </row>
    <row r="443" spans="1:4" x14ac:dyDescent="0.25">
      <c r="A443">
        <v>388</v>
      </c>
      <c r="B443">
        <f>B442+IF('Cleaned Data'!L389&gt;0,1,0)*IF($B$34="Overall",1,IF('Cleaned Data'!K389=$B$34,1,0))*(IF('Cleaned Data'!H389&lt;&gt;"",1,0))</f>
        <v>2</v>
      </c>
      <c r="C443">
        <f>INDEX('Cleaned Data'!H:H,MATCH($A443,$B$56:$B$1919,0))</f>
        <v>7.3</v>
      </c>
      <c r="D443">
        <f>INDEX('Cleaned Data'!L:L,MATCH($A443,$B$56:$B$1919,0))</f>
        <v>8738</v>
      </c>
    </row>
    <row r="444" spans="1:4" x14ac:dyDescent="0.25">
      <c r="A444">
        <v>389</v>
      </c>
      <c r="B444">
        <f>B443+IF('Cleaned Data'!L390&gt;0,1,0)*IF($B$34="Overall",1,IF('Cleaned Data'!K390=$B$34,1,0))*(IF('Cleaned Data'!H390&lt;&gt;"",1,0))</f>
        <v>2</v>
      </c>
      <c r="C444">
        <f>INDEX('Cleaned Data'!H:H,MATCH($A444,$B$56:$B$1919,0))</f>
        <v>4.5</v>
      </c>
      <c r="D444">
        <f>INDEX('Cleaned Data'!L:L,MATCH($A444,$B$56:$B$1919,0))</f>
        <v>10200</v>
      </c>
    </row>
    <row r="445" spans="1:4" x14ac:dyDescent="0.25">
      <c r="A445">
        <v>390</v>
      </c>
      <c r="B445">
        <f>B444+IF('Cleaned Data'!L391&gt;0,1,0)*IF($B$34="Overall",1,IF('Cleaned Data'!K391=$B$34,1,0))*(IF('Cleaned Data'!H391&lt;&gt;"",1,0))</f>
        <v>2</v>
      </c>
      <c r="C445">
        <f>INDEX('Cleaned Data'!H:H,MATCH($A445,$B$56:$B$1919,0))</f>
        <v>4</v>
      </c>
      <c r="D445">
        <f>INDEX('Cleaned Data'!L:L,MATCH($A445,$B$56:$B$1919,0))</f>
        <v>13000</v>
      </c>
    </row>
    <row r="446" spans="1:4" x14ac:dyDescent="0.25">
      <c r="A446">
        <v>391</v>
      </c>
      <c r="B446">
        <f>B445+IF('Cleaned Data'!L392&gt;0,1,0)*IF($B$34="Overall",1,IF('Cleaned Data'!K392=$B$34,1,0))*(IF('Cleaned Data'!H392&lt;&gt;"",1,0))</f>
        <v>2</v>
      </c>
      <c r="C446">
        <f>INDEX('Cleaned Data'!H:H,MATCH($A446,$B$56:$B$1919,0))</f>
        <v>20</v>
      </c>
      <c r="D446">
        <f>INDEX('Cleaned Data'!L:L,MATCH($A446,$B$56:$B$1919,0))</f>
        <v>50000</v>
      </c>
    </row>
    <row r="447" spans="1:4" x14ac:dyDescent="0.25">
      <c r="A447">
        <v>392</v>
      </c>
      <c r="B447">
        <f>B446+IF('Cleaned Data'!L393&gt;0,1,0)*IF($B$34="Overall",1,IF('Cleaned Data'!K393=$B$34,1,0))*(IF('Cleaned Data'!H393&lt;&gt;"",1,0))</f>
        <v>2</v>
      </c>
      <c r="C447">
        <f>INDEX('Cleaned Data'!H:H,MATCH($A447,$B$56:$B$1919,0))</f>
        <v>23</v>
      </c>
      <c r="D447">
        <f>INDEX('Cleaned Data'!L:L,MATCH($A447,$B$56:$B$1919,0))</f>
        <v>7000</v>
      </c>
    </row>
    <row r="448" spans="1:4" x14ac:dyDescent="0.25">
      <c r="A448">
        <v>393</v>
      </c>
      <c r="B448">
        <f>B447+IF('Cleaned Data'!L394&gt;0,1,0)*IF($B$34="Overall",1,IF('Cleaned Data'!K394=$B$34,1,0))*(IF('Cleaned Data'!H394&lt;&gt;"",1,0))</f>
        <v>2</v>
      </c>
      <c r="C448">
        <f>INDEX('Cleaned Data'!H:H,MATCH($A448,$B$56:$B$1919,0))</f>
        <v>2</v>
      </c>
      <c r="D448">
        <f>INDEX('Cleaned Data'!L:L,MATCH($A448,$B$56:$B$1919,0))</f>
        <v>10000</v>
      </c>
    </row>
    <row r="449" spans="1:4" x14ac:dyDescent="0.25">
      <c r="A449">
        <v>394</v>
      </c>
      <c r="B449">
        <f>B448+IF('Cleaned Data'!L395&gt;0,1,0)*IF($B$34="Overall",1,IF('Cleaned Data'!K395=$B$34,1,0))*(IF('Cleaned Data'!H395&lt;&gt;"",1,0))</f>
        <v>2</v>
      </c>
      <c r="C449">
        <f>INDEX('Cleaned Data'!H:H,MATCH($A449,$B$56:$B$1919,0))</f>
        <v>6</v>
      </c>
      <c r="D449">
        <f>INDEX('Cleaned Data'!L:L,MATCH($A449,$B$56:$B$1919,0))</f>
        <v>31250</v>
      </c>
    </row>
    <row r="450" spans="1:4" x14ac:dyDescent="0.25">
      <c r="A450">
        <v>395</v>
      </c>
      <c r="B450">
        <f>B449+IF('Cleaned Data'!L396&gt;0,1,0)*IF($B$34="Overall",1,IF('Cleaned Data'!K396=$B$34,1,0))*(IF('Cleaned Data'!H396&lt;&gt;"",1,0))</f>
        <v>2</v>
      </c>
      <c r="C450">
        <f>INDEX('Cleaned Data'!H:H,MATCH($A450,$B$56:$B$1919,0))</f>
        <v>10</v>
      </c>
      <c r="D450">
        <f>INDEX('Cleaned Data'!L:L,MATCH($A450,$B$56:$B$1919,0))</f>
        <v>35000</v>
      </c>
    </row>
    <row r="451" spans="1:4" x14ac:dyDescent="0.25">
      <c r="A451">
        <v>396</v>
      </c>
      <c r="B451">
        <f>B450+IF('Cleaned Data'!L397&gt;0,1,0)*IF($B$34="Overall",1,IF('Cleaned Data'!K397=$B$34,1,0))*(IF('Cleaned Data'!H397&lt;&gt;"",1,0))</f>
        <v>2</v>
      </c>
      <c r="C451">
        <f>INDEX('Cleaned Data'!H:H,MATCH($A451,$B$56:$B$1919,0))</f>
        <v>15</v>
      </c>
      <c r="D451">
        <f>INDEX('Cleaned Data'!L:L,MATCH($A451,$B$56:$B$1919,0))</f>
        <v>40000</v>
      </c>
    </row>
    <row r="452" spans="1:4" x14ac:dyDescent="0.25">
      <c r="A452">
        <v>397</v>
      </c>
      <c r="B452">
        <f>B451+IF('Cleaned Data'!L398&gt;0,1,0)*IF($B$34="Overall",1,IF('Cleaned Data'!K398=$B$34,1,0))*(IF('Cleaned Data'!H398&lt;&gt;"",1,0))</f>
        <v>2</v>
      </c>
      <c r="C452">
        <f>INDEX('Cleaned Data'!H:H,MATCH($A452,$B$56:$B$1919,0))</f>
        <v>2</v>
      </c>
      <c r="D452">
        <f>INDEX('Cleaned Data'!L:L,MATCH($A452,$B$56:$B$1919,0))</f>
        <v>15000</v>
      </c>
    </row>
    <row r="453" spans="1:4" x14ac:dyDescent="0.25">
      <c r="A453">
        <v>398</v>
      </c>
      <c r="B453">
        <f>B452+IF('Cleaned Data'!L399&gt;0,1,0)*IF($B$34="Overall",1,IF('Cleaned Data'!K399=$B$34,1,0))*(IF('Cleaned Data'!H399&lt;&gt;"",1,0))</f>
        <v>2</v>
      </c>
      <c r="C453">
        <f>INDEX('Cleaned Data'!H:H,MATCH($A453,$B$56:$B$1919,0))</f>
        <v>12</v>
      </c>
      <c r="D453">
        <f>INDEX('Cleaned Data'!L:L,MATCH($A453,$B$56:$B$1919,0))</f>
        <v>10000</v>
      </c>
    </row>
    <row r="454" spans="1:4" x14ac:dyDescent="0.25">
      <c r="A454">
        <v>399</v>
      </c>
      <c r="B454">
        <f>B453+IF('Cleaned Data'!L400&gt;0,1,0)*IF($B$34="Overall",1,IF('Cleaned Data'!K400=$B$34,1,0))*(IF('Cleaned Data'!H400&lt;&gt;"",1,0))</f>
        <v>2</v>
      </c>
      <c r="C454">
        <f>INDEX('Cleaned Data'!H:H,MATCH($A454,$B$56:$B$1919,0))</f>
        <v>5</v>
      </c>
      <c r="D454">
        <f>INDEX('Cleaned Data'!L:L,MATCH($A454,$B$56:$B$1919,0))</f>
        <v>16000</v>
      </c>
    </row>
    <row r="455" spans="1:4" x14ac:dyDescent="0.25">
      <c r="A455">
        <v>400</v>
      </c>
      <c r="B455">
        <f>B454+IF('Cleaned Data'!L401&gt;0,1,0)*IF($B$34="Overall",1,IF('Cleaned Data'!K401=$B$34,1,0))*(IF('Cleaned Data'!H401&lt;&gt;"",1,0))</f>
        <v>2</v>
      </c>
      <c r="C455">
        <f>INDEX('Cleaned Data'!H:H,MATCH($A455,$B$56:$B$1919,0))</f>
        <v>6</v>
      </c>
      <c r="D455">
        <f>INDEX('Cleaned Data'!L:L,MATCH($A455,$B$56:$B$1919,0))</f>
        <v>6000</v>
      </c>
    </row>
    <row r="456" spans="1:4" x14ac:dyDescent="0.25">
      <c r="A456">
        <v>401</v>
      </c>
      <c r="B456">
        <f>B455+IF('Cleaned Data'!L402&gt;0,1,0)*IF($B$34="Overall",1,IF('Cleaned Data'!K402=$B$34,1,0))*(IF('Cleaned Data'!H402&lt;&gt;"",1,0))</f>
        <v>2</v>
      </c>
      <c r="C456">
        <f>INDEX('Cleaned Data'!H:H,MATCH($A456,$B$56:$B$1919,0))</f>
        <v>7</v>
      </c>
      <c r="D456">
        <f>INDEX('Cleaned Data'!L:L,MATCH($A456,$B$56:$B$1919,0))</f>
        <v>20000</v>
      </c>
    </row>
    <row r="457" spans="1:4" x14ac:dyDescent="0.25">
      <c r="A457">
        <v>402</v>
      </c>
      <c r="B457">
        <f>B456+IF('Cleaned Data'!L403&gt;0,1,0)*IF($B$34="Overall",1,IF('Cleaned Data'!K403=$B$34,1,0))*(IF('Cleaned Data'!H403&lt;&gt;"",1,0))</f>
        <v>2</v>
      </c>
      <c r="C457">
        <f>INDEX('Cleaned Data'!H:H,MATCH($A457,$B$56:$B$1919,0))</f>
        <v>6</v>
      </c>
      <c r="D457">
        <f>INDEX('Cleaned Data'!L:L,MATCH($A457,$B$56:$B$1919,0))</f>
        <v>8000</v>
      </c>
    </row>
    <row r="458" spans="1:4" x14ac:dyDescent="0.25">
      <c r="A458">
        <v>403</v>
      </c>
      <c r="B458">
        <f>B457+IF('Cleaned Data'!L404&gt;0,1,0)*IF($B$34="Overall",1,IF('Cleaned Data'!K404=$B$34,1,0))*(IF('Cleaned Data'!H404&lt;&gt;"",1,0))</f>
        <v>2</v>
      </c>
      <c r="C458">
        <f>INDEX('Cleaned Data'!H:H,MATCH($A458,$B$56:$B$1919,0))</f>
        <v>1</v>
      </c>
      <c r="D458">
        <f>INDEX('Cleaned Data'!L:L,MATCH($A458,$B$56:$B$1919,0))</f>
        <v>24000</v>
      </c>
    </row>
    <row r="459" spans="1:4" x14ac:dyDescent="0.25">
      <c r="A459">
        <v>404</v>
      </c>
      <c r="B459">
        <f>B458+IF('Cleaned Data'!L405&gt;0,1,0)*IF($B$34="Overall",1,IF('Cleaned Data'!K405=$B$34,1,0))*(IF('Cleaned Data'!H405&lt;&gt;"",1,0))</f>
        <v>2</v>
      </c>
      <c r="C459">
        <f>INDEX('Cleaned Data'!H:H,MATCH($A459,$B$56:$B$1919,0))</f>
        <v>2.5</v>
      </c>
      <c r="D459">
        <f>INDEX('Cleaned Data'!L:L,MATCH($A459,$B$56:$B$1919,0))</f>
        <v>13500</v>
      </c>
    </row>
    <row r="460" spans="1:4" x14ac:dyDescent="0.25">
      <c r="A460">
        <v>405</v>
      </c>
      <c r="B460">
        <f>B459+IF('Cleaned Data'!L406&gt;0,1,0)*IF($B$34="Overall",1,IF('Cleaned Data'!K406=$B$34,1,0))*(IF('Cleaned Data'!H406&lt;&gt;"",1,0))</f>
        <v>2</v>
      </c>
      <c r="C460">
        <f>INDEX('Cleaned Data'!H:H,MATCH($A460,$B$56:$B$1919,0))</f>
        <v>15</v>
      </c>
      <c r="D460">
        <f>INDEX('Cleaned Data'!L:L,MATCH($A460,$B$56:$B$1919,0))</f>
        <v>45000</v>
      </c>
    </row>
    <row r="461" spans="1:4" x14ac:dyDescent="0.25">
      <c r="A461">
        <v>406</v>
      </c>
      <c r="B461">
        <f>B460+IF('Cleaned Data'!L407&gt;0,1,0)*IF($B$34="Overall",1,IF('Cleaned Data'!K407=$B$34,1,0))*(IF('Cleaned Data'!H407&lt;&gt;"",1,0))</f>
        <v>2</v>
      </c>
      <c r="C461">
        <f>INDEX('Cleaned Data'!H:H,MATCH($A461,$B$56:$B$1919,0))</f>
        <v>1</v>
      </c>
      <c r="D461">
        <f>INDEX('Cleaned Data'!L:L,MATCH($A461,$B$56:$B$1919,0))</f>
        <v>16000</v>
      </c>
    </row>
    <row r="462" spans="1:4" x14ac:dyDescent="0.25">
      <c r="A462">
        <v>407</v>
      </c>
      <c r="B462">
        <f>B461+IF('Cleaned Data'!L408&gt;0,1,0)*IF($B$34="Overall",1,IF('Cleaned Data'!K408=$B$34,1,0))*(IF('Cleaned Data'!H408&lt;&gt;"",1,0))</f>
        <v>2</v>
      </c>
      <c r="C462">
        <f>INDEX('Cleaned Data'!H:H,MATCH($A462,$B$56:$B$1919,0))</f>
        <v>12</v>
      </c>
      <c r="D462">
        <f>INDEX('Cleaned Data'!L:L,MATCH($A462,$B$56:$B$1919,0))</f>
        <v>10000</v>
      </c>
    </row>
    <row r="463" spans="1:4" x14ac:dyDescent="0.25">
      <c r="A463">
        <v>408</v>
      </c>
      <c r="B463">
        <f>B462+IF('Cleaned Data'!L409&gt;0,1,0)*IF($B$34="Overall",1,IF('Cleaned Data'!K409=$B$34,1,0))*(IF('Cleaned Data'!H409&lt;&gt;"",1,0))</f>
        <v>2</v>
      </c>
      <c r="C463">
        <f>INDEX('Cleaned Data'!H:H,MATCH($A463,$B$56:$B$1919,0))</f>
        <v>8</v>
      </c>
      <c r="D463">
        <f>INDEX('Cleaned Data'!L:L,MATCH($A463,$B$56:$B$1919,0))</f>
        <v>96000</v>
      </c>
    </row>
    <row r="464" spans="1:4" x14ac:dyDescent="0.25">
      <c r="A464">
        <v>409</v>
      </c>
      <c r="B464">
        <f>B463+IF('Cleaned Data'!L410&gt;0,1,0)*IF($B$34="Overall",1,IF('Cleaned Data'!K410=$B$34,1,0))*(IF('Cleaned Data'!H410&lt;&gt;"",1,0))</f>
        <v>2</v>
      </c>
      <c r="C464">
        <f>INDEX('Cleaned Data'!H:H,MATCH($A464,$B$56:$B$1919,0))</f>
        <v>5</v>
      </c>
      <c r="D464">
        <f>INDEX('Cleaned Data'!L:L,MATCH($A464,$B$56:$B$1919,0))</f>
        <v>13100</v>
      </c>
    </row>
    <row r="465" spans="1:4" x14ac:dyDescent="0.25">
      <c r="A465">
        <v>410</v>
      </c>
      <c r="B465">
        <f>B464+IF('Cleaned Data'!L411&gt;0,1,0)*IF($B$34="Overall",1,IF('Cleaned Data'!K411=$B$34,1,0))*(IF('Cleaned Data'!H411&lt;&gt;"",1,0))</f>
        <v>2</v>
      </c>
      <c r="C465">
        <f>INDEX('Cleaned Data'!H:H,MATCH($A465,$B$56:$B$1919,0))</f>
        <v>3</v>
      </c>
      <c r="D465">
        <f>INDEX('Cleaned Data'!L:L,MATCH($A465,$B$56:$B$1919,0))</f>
        <v>15500</v>
      </c>
    </row>
    <row r="466" spans="1:4" x14ac:dyDescent="0.25">
      <c r="A466">
        <v>411</v>
      </c>
      <c r="B466">
        <f>B465+IF('Cleaned Data'!L412&gt;0,1,0)*IF($B$34="Overall",1,IF('Cleaned Data'!K412=$B$34,1,0))*(IF('Cleaned Data'!H412&lt;&gt;"",1,0))</f>
        <v>2</v>
      </c>
      <c r="C466">
        <f>INDEX('Cleaned Data'!H:H,MATCH($A466,$B$56:$B$1919,0))</f>
        <v>6</v>
      </c>
      <c r="D466">
        <f>INDEX('Cleaned Data'!L:L,MATCH($A466,$B$56:$B$1919,0))</f>
        <v>13000</v>
      </c>
    </row>
    <row r="467" spans="1:4" x14ac:dyDescent="0.25">
      <c r="A467">
        <v>412</v>
      </c>
      <c r="B467">
        <f>B466+IF('Cleaned Data'!L413&gt;0,1,0)*IF($B$34="Overall",1,IF('Cleaned Data'!K413=$B$34,1,0))*(IF('Cleaned Data'!H413&lt;&gt;"",1,0))</f>
        <v>2</v>
      </c>
      <c r="C467">
        <f>INDEX('Cleaned Data'!H:H,MATCH($A467,$B$56:$B$1919,0))</f>
        <v>2</v>
      </c>
      <c r="D467">
        <f>INDEX('Cleaned Data'!L:L,MATCH($A467,$B$56:$B$1919,0))</f>
        <v>30000</v>
      </c>
    </row>
    <row r="468" spans="1:4" x14ac:dyDescent="0.25">
      <c r="A468">
        <v>413</v>
      </c>
      <c r="B468">
        <f>B467+IF('Cleaned Data'!L414&gt;0,1,0)*IF($B$34="Overall",1,IF('Cleaned Data'!K414=$B$34,1,0))*(IF('Cleaned Data'!H414&lt;&gt;"",1,0))</f>
        <v>2</v>
      </c>
      <c r="C468">
        <f>INDEX('Cleaned Data'!H:H,MATCH($A468,$B$56:$B$1919,0))</f>
        <v>1</v>
      </c>
      <c r="D468">
        <f>INDEX('Cleaned Data'!L:L,MATCH($A468,$B$56:$B$1919,0))</f>
        <v>5000</v>
      </c>
    </row>
    <row r="469" spans="1:4" x14ac:dyDescent="0.25">
      <c r="A469">
        <v>414</v>
      </c>
      <c r="B469">
        <f>B468+IF('Cleaned Data'!L415&gt;0,1,0)*IF($B$34="Overall",1,IF('Cleaned Data'!K415=$B$34,1,0))*(IF('Cleaned Data'!H415&lt;&gt;"",1,0))</f>
        <v>2</v>
      </c>
      <c r="C469">
        <f>INDEX('Cleaned Data'!H:H,MATCH($A469,$B$56:$B$1919,0))</f>
        <v>6</v>
      </c>
      <c r="D469">
        <f>INDEX('Cleaned Data'!L:L,MATCH($A469,$B$56:$B$1919,0))</f>
        <v>10000</v>
      </c>
    </row>
    <row r="470" spans="1:4" x14ac:dyDescent="0.25">
      <c r="A470">
        <v>415</v>
      </c>
      <c r="B470">
        <f>B469+IF('Cleaned Data'!L416&gt;0,1,0)*IF($B$34="Overall",1,IF('Cleaned Data'!K416=$B$34,1,0))*(IF('Cleaned Data'!H416&lt;&gt;"",1,0))</f>
        <v>2</v>
      </c>
      <c r="C470">
        <f>INDEX('Cleaned Data'!H:H,MATCH($A470,$B$56:$B$1919,0))</f>
        <v>5</v>
      </c>
      <c r="D470">
        <f>INDEX('Cleaned Data'!L:L,MATCH($A470,$B$56:$B$1919,0))</f>
        <v>16350</v>
      </c>
    </row>
    <row r="471" spans="1:4" x14ac:dyDescent="0.25">
      <c r="A471">
        <v>416</v>
      </c>
      <c r="B471">
        <f>B470+IF('Cleaned Data'!L417&gt;0,1,0)*IF($B$34="Overall",1,IF('Cleaned Data'!K417=$B$34,1,0))*(IF('Cleaned Data'!H417&lt;&gt;"",1,0))</f>
        <v>2</v>
      </c>
      <c r="C471">
        <f>INDEX('Cleaned Data'!H:H,MATCH($A471,$B$56:$B$1919,0))</f>
        <v>3</v>
      </c>
      <c r="D471">
        <f>INDEX('Cleaned Data'!L:L,MATCH($A471,$B$56:$B$1919,0))</f>
        <v>24000</v>
      </c>
    </row>
    <row r="472" spans="1:4" x14ac:dyDescent="0.25">
      <c r="A472">
        <v>417</v>
      </c>
      <c r="B472">
        <f>B471+IF('Cleaned Data'!L418&gt;0,1,0)*IF($B$34="Overall",1,IF('Cleaned Data'!K418=$B$34,1,0))*(IF('Cleaned Data'!H418&lt;&gt;"",1,0))</f>
        <v>2</v>
      </c>
      <c r="C472">
        <f>INDEX('Cleaned Data'!H:H,MATCH($A472,$B$56:$B$1919,0))</f>
        <v>10</v>
      </c>
      <c r="D472">
        <f>INDEX('Cleaned Data'!L:L,MATCH($A472,$B$56:$B$1919,0))</f>
        <v>24000</v>
      </c>
    </row>
    <row r="473" spans="1:4" x14ac:dyDescent="0.25">
      <c r="A473">
        <v>418</v>
      </c>
      <c r="B473">
        <f>B472+IF('Cleaned Data'!L419&gt;0,1,0)*IF($B$34="Overall",1,IF('Cleaned Data'!K419=$B$34,1,0))*(IF('Cleaned Data'!H419&lt;&gt;"",1,0))</f>
        <v>2</v>
      </c>
      <c r="C473">
        <f>INDEX('Cleaned Data'!H:H,MATCH($A473,$B$56:$B$1919,0))</f>
        <v>5</v>
      </c>
      <c r="D473">
        <f>INDEX('Cleaned Data'!L:L,MATCH($A473,$B$56:$B$1919,0))</f>
        <v>8000</v>
      </c>
    </row>
    <row r="474" spans="1:4" x14ac:dyDescent="0.25">
      <c r="A474">
        <v>419</v>
      </c>
      <c r="B474">
        <f>B473+IF('Cleaned Data'!L420&gt;0,1,0)*IF($B$34="Overall",1,IF('Cleaned Data'!K420=$B$34,1,0))*(IF('Cleaned Data'!H420&lt;&gt;"",1,0))</f>
        <v>2</v>
      </c>
      <c r="C474">
        <f>INDEX('Cleaned Data'!H:H,MATCH($A474,$B$56:$B$1919,0))</f>
        <v>2</v>
      </c>
      <c r="D474">
        <f>INDEX('Cleaned Data'!L:L,MATCH($A474,$B$56:$B$1919,0))</f>
        <v>15000</v>
      </c>
    </row>
    <row r="475" spans="1:4" x14ac:dyDescent="0.25">
      <c r="A475">
        <v>420</v>
      </c>
      <c r="B475">
        <f>B474+IF('Cleaned Data'!L421&gt;0,1,0)*IF($B$34="Overall",1,IF('Cleaned Data'!K421=$B$34,1,0))*(IF('Cleaned Data'!H421&lt;&gt;"",1,0))</f>
        <v>2</v>
      </c>
      <c r="C475">
        <f>INDEX('Cleaned Data'!H:H,MATCH($A475,$B$56:$B$1919,0))</f>
        <v>8</v>
      </c>
      <c r="D475">
        <f>INDEX('Cleaned Data'!L:L,MATCH($A475,$B$56:$B$1919,0))</f>
        <v>18000</v>
      </c>
    </row>
    <row r="476" spans="1:4" x14ac:dyDescent="0.25">
      <c r="A476">
        <v>421</v>
      </c>
      <c r="B476">
        <f>B475+IF('Cleaned Data'!L422&gt;0,1,0)*IF($B$34="Overall",1,IF('Cleaned Data'!K422=$B$34,1,0))*(IF('Cleaned Data'!H422&lt;&gt;"",1,0))</f>
        <v>2</v>
      </c>
      <c r="C476">
        <f>INDEX('Cleaned Data'!H:H,MATCH($A476,$B$56:$B$1919,0))</f>
        <v>4</v>
      </c>
      <c r="D476">
        <f>INDEX('Cleaned Data'!L:L,MATCH($A476,$B$56:$B$1919,0))</f>
        <v>15000</v>
      </c>
    </row>
    <row r="477" spans="1:4" x14ac:dyDescent="0.25">
      <c r="A477">
        <v>422</v>
      </c>
      <c r="B477">
        <f>B476+IF('Cleaned Data'!L423&gt;0,1,0)*IF($B$34="Overall",1,IF('Cleaned Data'!K423=$B$34,1,0))*(IF('Cleaned Data'!H423&lt;&gt;"",1,0))</f>
        <v>2</v>
      </c>
      <c r="C477">
        <f>INDEX('Cleaned Data'!H:H,MATCH($A477,$B$56:$B$1919,0))</f>
        <v>6</v>
      </c>
      <c r="D477">
        <f>INDEX('Cleaned Data'!L:L,MATCH($A477,$B$56:$B$1919,0))</f>
        <v>7265</v>
      </c>
    </row>
    <row r="478" spans="1:4" x14ac:dyDescent="0.25">
      <c r="A478">
        <v>423</v>
      </c>
      <c r="B478">
        <f>B477+IF('Cleaned Data'!L424&gt;0,1,0)*IF($B$34="Overall",1,IF('Cleaned Data'!K424=$B$34,1,0))*(IF('Cleaned Data'!H424&lt;&gt;"",1,0))</f>
        <v>2</v>
      </c>
      <c r="C478">
        <f>INDEX('Cleaned Data'!H:H,MATCH($A478,$B$56:$B$1919,0))</f>
        <v>4.5999999999999996</v>
      </c>
      <c r="D478">
        <f>INDEX('Cleaned Data'!L:L,MATCH($A478,$B$56:$B$1919,0))</f>
        <v>18000</v>
      </c>
    </row>
    <row r="479" spans="1:4" x14ac:dyDescent="0.25">
      <c r="A479">
        <v>424</v>
      </c>
      <c r="B479">
        <f>B478+IF('Cleaned Data'!L425&gt;0,1,0)*IF($B$34="Overall",1,IF('Cleaned Data'!K425=$B$34,1,0))*(IF('Cleaned Data'!H425&lt;&gt;"",1,0))</f>
        <v>2</v>
      </c>
      <c r="C479">
        <f>INDEX('Cleaned Data'!H:H,MATCH($A479,$B$56:$B$1919,0))</f>
        <v>3</v>
      </c>
      <c r="D479">
        <f>INDEX('Cleaned Data'!L:L,MATCH($A479,$B$56:$B$1919,0))</f>
        <v>28000</v>
      </c>
    </row>
    <row r="480" spans="1:4" x14ac:dyDescent="0.25">
      <c r="A480">
        <v>425</v>
      </c>
      <c r="B480">
        <f>B479+IF('Cleaned Data'!L426&gt;0,1,0)*IF($B$34="Overall",1,IF('Cleaned Data'!K426=$B$34,1,0))*(IF('Cleaned Data'!H426&lt;&gt;"",1,0))</f>
        <v>2</v>
      </c>
      <c r="C480">
        <f>INDEX('Cleaned Data'!H:H,MATCH($A480,$B$56:$B$1919,0))</f>
        <v>5</v>
      </c>
      <c r="D480">
        <f>INDEX('Cleaned Data'!L:L,MATCH($A480,$B$56:$B$1919,0))</f>
        <v>6000</v>
      </c>
    </row>
    <row r="481" spans="1:4" x14ac:dyDescent="0.25">
      <c r="A481">
        <v>426</v>
      </c>
      <c r="B481">
        <f>B480+IF('Cleaned Data'!L427&gt;0,1,0)*IF($B$34="Overall",1,IF('Cleaned Data'!K427=$B$34,1,0))*(IF('Cleaned Data'!H427&lt;&gt;"",1,0))</f>
        <v>2</v>
      </c>
      <c r="C481">
        <f>INDEX('Cleaned Data'!H:H,MATCH($A481,$B$56:$B$1919,0))</f>
        <v>7</v>
      </c>
      <c r="D481">
        <f>INDEX('Cleaned Data'!L:L,MATCH($A481,$B$56:$B$1919,0))</f>
        <v>8700</v>
      </c>
    </row>
    <row r="482" spans="1:4" x14ac:dyDescent="0.25">
      <c r="A482">
        <v>427</v>
      </c>
      <c r="B482">
        <f>B481+IF('Cleaned Data'!L428&gt;0,1,0)*IF($B$34="Overall",1,IF('Cleaned Data'!K428=$B$34,1,0))*(IF('Cleaned Data'!H428&lt;&gt;"",1,0))</f>
        <v>2</v>
      </c>
      <c r="C482">
        <f>INDEX('Cleaned Data'!H:H,MATCH($A482,$B$56:$B$1919,0))</f>
        <v>8</v>
      </c>
      <c r="D482">
        <f>INDEX('Cleaned Data'!L:L,MATCH($A482,$B$56:$B$1919,0))</f>
        <v>12000</v>
      </c>
    </row>
    <row r="483" spans="1:4" x14ac:dyDescent="0.25">
      <c r="A483">
        <v>428</v>
      </c>
      <c r="B483">
        <f>B482+IF('Cleaned Data'!L429&gt;0,1,0)*IF($B$34="Overall",1,IF('Cleaned Data'!K429=$B$34,1,0))*(IF('Cleaned Data'!H429&lt;&gt;"",1,0))</f>
        <v>2</v>
      </c>
      <c r="C483">
        <f>INDEX('Cleaned Data'!H:H,MATCH($A483,$B$56:$B$1919,0))</f>
        <v>8</v>
      </c>
      <c r="D483">
        <f>INDEX('Cleaned Data'!L:L,MATCH($A483,$B$56:$B$1919,0))</f>
        <v>5100</v>
      </c>
    </row>
    <row r="484" spans="1:4" x14ac:dyDescent="0.25">
      <c r="A484">
        <v>429</v>
      </c>
      <c r="B484">
        <f>B483+IF('Cleaned Data'!L430&gt;0,1,0)*IF($B$34="Overall",1,IF('Cleaned Data'!K430=$B$34,1,0))*(IF('Cleaned Data'!H430&lt;&gt;"",1,0))</f>
        <v>2</v>
      </c>
      <c r="C484">
        <f>INDEX('Cleaned Data'!H:H,MATCH($A484,$B$56:$B$1919,0))</f>
        <v>26</v>
      </c>
      <c r="D484">
        <f>INDEX('Cleaned Data'!L:L,MATCH($A484,$B$56:$B$1919,0))</f>
        <v>50000</v>
      </c>
    </row>
    <row r="485" spans="1:4" x14ac:dyDescent="0.25">
      <c r="A485">
        <v>430</v>
      </c>
      <c r="B485">
        <f>B484+IF('Cleaned Data'!L431&gt;0,1,0)*IF($B$34="Overall",1,IF('Cleaned Data'!K431=$B$34,1,0))*(IF('Cleaned Data'!H431&lt;&gt;"",1,0))</f>
        <v>2</v>
      </c>
      <c r="C485">
        <f>INDEX('Cleaned Data'!H:H,MATCH($A485,$B$56:$B$1919,0))</f>
        <v>5</v>
      </c>
      <c r="D485">
        <f>INDEX('Cleaned Data'!L:L,MATCH($A485,$B$56:$B$1919,0))</f>
        <v>7000</v>
      </c>
    </row>
    <row r="486" spans="1:4" x14ac:dyDescent="0.25">
      <c r="A486">
        <v>431</v>
      </c>
      <c r="B486">
        <f>B485+IF('Cleaned Data'!L432&gt;0,1,0)*IF($B$34="Overall",1,IF('Cleaned Data'!K432=$B$34,1,0))*(IF('Cleaned Data'!H432&lt;&gt;"",1,0))</f>
        <v>2</v>
      </c>
      <c r="C486">
        <f>INDEX('Cleaned Data'!H:H,MATCH($A486,$B$56:$B$1919,0))</f>
        <v>6</v>
      </c>
      <c r="D486">
        <f>INDEX('Cleaned Data'!L:L,MATCH($A486,$B$56:$B$1919,0))</f>
        <v>6720</v>
      </c>
    </row>
    <row r="487" spans="1:4" x14ac:dyDescent="0.25">
      <c r="A487">
        <v>432</v>
      </c>
      <c r="B487">
        <f>B486+IF('Cleaned Data'!L433&gt;0,1,0)*IF($B$34="Overall",1,IF('Cleaned Data'!K433=$B$34,1,0))*(IF('Cleaned Data'!H433&lt;&gt;"",1,0))</f>
        <v>2</v>
      </c>
      <c r="C487">
        <f>INDEX('Cleaned Data'!H:H,MATCH($A487,$B$56:$B$1919,0))</f>
        <v>10</v>
      </c>
      <c r="D487">
        <f>INDEX('Cleaned Data'!L:L,MATCH($A487,$B$56:$B$1919,0))</f>
        <v>7200</v>
      </c>
    </row>
    <row r="488" spans="1:4" x14ac:dyDescent="0.25">
      <c r="A488">
        <v>433</v>
      </c>
      <c r="B488">
        <f>B487+IF('Cleaned Data'!L434&gt;0,1,0)*IF($B$34="Overall",1,IF('Cleaned Data'!K434=$B$34,1,0))*(IF('Cleaned Data'!H434&lt;&gt;"",1,0))</f>
        <v>2</v>
      </c>
      <c r="C488">
        <f>INDEX('Cleaned Data'!H:H,MATCH($A488,$B$56:$B$1919,0))</f>
        <v>30</v>
      </c>
      <c r="D488">
        <f>INDEX('Cleaned Data'!L:L,MATCH($A488,$B$56:$B$1919,0))</f>
        <v>50000</v>
      </c>
    </row>
    <row r="489" spans="1:4" x14ac:dyDescent="0.25">
      <c r="A489">
        <v>434</v>
      </c>
      <c r="B489">
        <f>B488+IF('Cleaned Data'!L435&gt;0,1,0)*IF($B$34="Overall",1,IF('Cleaned Data'!K435=$B$34,1,0))*(IF('Cleaned Data'!H435&lt;&gt;"",1,0))</f>
        <v>2</v>
      </c>
      <c r="C489">
        <f>INDEX('Cleaned Data'!H:H,MATCH($A489,$B$56:$B$1919,0))</f>
        <v>7</v>
      </c>
      <c r="D489">
        <f>INDEX('Cleaned Data'!L:L,MATCH($A489,$B$56:$B$1919,0))</f>
        <v>7960</v>
      </c>
    </row>
    <row r="490" spans="1:4" x14ac:dyDescent="0.25">
      <c r="A490">
        <v>435</v>
      </c>
      <c r="B490">
        <f>B489+IF('Cleaned Data'!L436&gt;0,1,0)*IF($B$34="Overall",1,IF('Cleaned Data'!K436=$B$34,1,0))*(IF('Cleaned Data'!H436&lt;&gt;"",1,0))</f>
        <v>2</v>
      </c>
      <c r="C490">
        <f>INDEX('Cleaned Data'!H:H,MATCH($A490,$B$56:$B$1919,0))</f>
        <v>14</v>
      </c>
      <c r="D490">
        <f>INDEX('Cleaned Data'!L:L,MATCH($A490,$B$56:$B$1919,0))</f>
        <v>60000</v>
      </c>
    </row>
    <row r="491" spans="1:4" x14ac:dyDescent="0.25">
      <c r="A491">
        <v>436</v>
      </c>
      <c r="B491">
        <f>B490+IF('Cleaned Data'!L437&gt;0,1,0)*IF($B$34="Overall",1,IF('Cleaned Data'!K437=$B$34,1,0))*(IF('Cleaned Data'!H437&lt;&gt;"",1,0))</f>
        <v>2</v>
      </c>
      <c r="C491">
        <f>INDEX('Cleaned Data'!H:H,MATCH($A491,$B$56:$B$1919,0))</f>
        <v>5</v>
      </c>
      <c r="D491">
        <f>INDEX('Cleaned Data'!L:L,MATCH($A491,$B$56:$B$1919,0))</f>
        <v>10000</v>
      </c>
    </row>
    <row r="492" spans="1:4" x14ac:dyDescent="0.25">
      <c r="A492">
        <v>437</v>
      </c>
      <c r="B492">
        <f>B491+IF('Cleaned Data'!L438&gt;0,1,0)*IF($B$34="Overall",1,IF('Cleaned Data'!K438=$B$34,1,0))*(IF('Cleaned Data'!H438&lt;&gt;"",1,0))</f>
        <v>2</v>
      </c>
      <c r="C492">
        <f>INDEX('Cleaned Data'!H:H,MATCH($A492,$B$56:$B$1919,0))</f>
        <v>2</v>
      </c>
      <c r="D492">
        <f>INDEX('Cleaned Data'!L:L,MATCH($A492,$B$56:$B$1919,0))</f>
        <v>40000</v>
      </c>
    </row>
    <row r="493" spans="1:4" x14ac:dyDescent="0.25">
      <c r="A493">
        <v>438</v>
      </c>
      <c r="B493">
        <f>B492+IF('Cleaned Data'!L439&gt;0,1,0)*IF($B$34="Overall",1,IF('Cleaned Data'!K439=$B$34,1,0))*(IF('Cleaned Data'!H439&lt;&gt;"",1,0))</f>
        <v>2</v>
      </c>
      <c r="C493">
        <f>INDEX('Cleaned Data'!H:H,MATCH($A493,$B$56:$B$1919,0))</f>
        <v>6</v>
      </c>
      <c r="D493">
        <f>INDEX('Cleaned Data'!L:L,MATCH($A493,$B$56:$B$1919,0))</f>
        <v>6000</v>
      </c>
    </row>
    <row r="494" spans="1:4" x14ac:dyDescent="0.25">
      <c r="A494">
        <v>439</v>
      </c>
      <c r="B494">
        <f>B493+IF('Cleaned Data'!L440&gt;0,1,0)*IF($B$34="Overall",1,IF('Cleaned Data'!K440=$B$34,1,0))*(IF('Cleaned Data'!H440&lt;&gt;"",1,0))</f>
        <v>2</v>
      </c>
      <c r="C494">
        <f>INDEX('Cleaned Data'!H:H,MATCH($A494,$B$56:$B$1919,0))</f>
        <v>2</v>
      </c>
      <c r="D494">
        <f>INDEX('Cleaned Data'!L:L,MATCH($A494,$B$56:$B$1919,0))</f>
        <v>8600</v>
      </c>
    </row>
    <row r="495" spans="1:4" x14ac:dyDescent="0.25">
      <c r="A495">
        <v>440</v>
      </c>
      <c r="B495">
        <f>B494+IF('Cleaned Data'!L441&gt;0,1,0)*IF($B$34="Overall",1,IF('Cleaned Data'!K441=$B$34,1,0))*(IF('Cleaned Data'!H441&lt;&gt;"",1,0))</f>
        <v>2</v>
      </c>
      <c r="C495">
        <f>INDEX('Cleaned Data'!H:H,MATCH($A495,$B$56:$B$1919,0))</f>
        <v>7</v>
      </c>
      <c r="D495">
        <f>INDEX('Cleaned Data'!L:L,MATCH($A495,$B$56:$B$1919,0))</f>
        <v>7200</v>
      </c>
    </row>
    <row r="496" spans="1:4" x14ac:dyDescent="0.25">
      <c r="A496">
        <v>441</v>
      </c>
      <c r="B496">
        <f>B495+IF('Cleaned Data'!L442&gt;0,1,0)*IF($B$34="Overall",1,IF('Cleaned Data'!K442=$B$34,1,0))*(IF('Cleaned Data'!H442&lt;&gt;"",1,0))</f>
        <v>2</v>
      </c>
      <c r="C496">
        <f>INDEX('Cleaned Data'!H:H,MATCH($A496,$B$56:$B$1919,0))</f>
        <v>5</v>
      </c>
      <c r="D496">
        <f>INDEX('Cleaned Data'!L:L,MATCH($A496,$B$56:$B$1919,0))</f>
        <v>4800</v>
      </c>
    </row>
    <row r="497" spans="1:4" x14ac:dyDescent="0.25">
      <c r="A497">
        <v>442</v>
      </c>
      <c r="B497">
        <f>B496+IF('Cleaned Data'!L443&gt;0,1,0)*IF($B$34="Overall",1,IF('Cleaned Data'!K443=$B$34,1,0))*(IF('Cleaned Data'!H443&lt;&gt;"",1,0))</f>
        <v>2</v>
      </c>
      <c r="C497">
        <f>INDEX('Cleaned Data'!H:H,MATCH($A497,$B$56:$B$1919,0))</f>
        <v>1</v>
      </c>
      <c r="D497">
        <f>INDEX('Cleaned Data'!L:L,MATCH($A497,$B$56:$B$1919,0))</f>
        <v>9000</v>
      </c>
    </row>
    <row r="498" spans="1:4" x14ac:dyDescent="0.25">
      <c r="A498">
        <v>443</v>
      </c>
      <c r="B498">
        <f>B497+IF('Cleaned Data'!L444&gt;0,1,0)*IF($B$34="Overall",1,IF('Cleaned Data'!K444=$B$34,1,0))*(IF('Cleaned Data'!H444&lt;&gt;"",1,0))</f>
        <v>2</v>
      </c>
      <c r="C498">
        <f>INDEX('Cleaned Data'!H:H,MATCH($A498,$B$56:$B$1919,0))</f>
        <v>3</v>
      </c>
      <c r="D498">
        <f>INDEX('Cleaned Data'!L:L,MATCH($A498,$B$56:$B$1919,0))</f>
        <v>30000</v>
      </c>
    </row>
    <row r="499" spans="1:4" x14ac:dyDescent="0.25">
      <c r="A499">
        <v>444</v>
      </c>
      <c r="B499">
        <f>B498+IF('Cleaned Data'!L445&gt;0,1,0)*IF($B$34="Overall",1,IF('Cleaned Data'!K445=$B$34,1,0))*(IF('Cleaned Data'!H445&lt;&gt;"",1,0))</f>
        <v>2</v>
      </c>
      <c r="C499">
        <f>INDEX('Cleaned Data'!H:H,MATCH($A499,$B$56:$B$1919,0))</f>
        <v>10</v>
      </c>
      <c r="D499">
        <f>INDEX('Cleaned Data'!L:L,MATCH($A499,$B$56:$B$1919,0))</f>
        <v>11800</v>
      </c>
    </row>
    <row r="500" spans="1:4" x14ac:dyDescent="0.25">
      <c r="A500">
        <v>445</v>
      </c>
      <c r="B500">
        <f>B499+IF('Cleaned Data'!L446&gt;0,1,0)*IF($B$34="Overall",1,IF('Cleaned Data'!K446=$B$34,1,0))*(IF('Cleaned Data'!H446&lt;&gt;"",1,0))</f>
        <v>2</v>
      </c>
      <c r="C500">
        <f>INDEX('Cleaned Data'!H:H,MATCH($A500,$B$56:$B$1919,0))</f>
        <v>12</v>
      </c>
      <c r="D500">
        <f>INDEX('Cleaned Data'!L:L,MATCH($A500,$B$56:$B$1919,0))</f>
        <v>18000</v>
      </c>
    </row>
    <row r="501" spans="1:4" x14ac:dyDescent="0.25">
      <c r="A501">
        <v>446</v>
      </c>
      <c r="B501">
        <f>B500+IF('Cleaned Data'!L447&gt;0,1,0)*IF($B$34="Overall",1,IF('Cleaned Data'!K447=$B$34,1,0))*(IF('Cleaned Data'!H447&lt;&gt;"",1,0))</f>
        <v>2</v>
      </c>
      <c r="C501">
        <f>INDEX('Cleaned Data'!H:H,MATCH($A501,$B$56:$B$1919,0))</f>
        <v>12</v>
      </c>
      <c r="D501">
        <f>INDEX('Cleaned Data'!L:L,MATCH($A501,$B$56:$B$1919,0))</f>
        <v>14000</v>
      </c>
    </row>
    <row r="502" spans="1:4" x14ac:dyDescent="0.25">
      <c r="A502">
        <v>447</v>
      </c>
      <c r="B502">
        <f>B501+IF('Cleaned Data'!L448&gt;0,1,0)*IF($B$34="Overall",1,IF('Cleaned Data'!K448=$B$34,1,0))*(IF('Cleaned Data'!H448&lt;&gt;"",1,0))</f>
        <v>3</v>
      </c>
      <c r="C502">
        <f>INDEX('Cleaned Data'!H:H,MATCH($A502,$B$56:$B$1919,0))</f>
        <v>4</v>
      </c>
      <c r="D502">
        <f>INDEX('Cleaned Data'!L:L,MATCH($A502,$B$56:$B$1919,0))</f>
        <v>8000</v>
      </c>
    </row>
    <row r="503" spans="1:4" x14ac:dyDescent="0.25">
      <c r="A503">
        <v>448</v>
      </c>
      <c r="B503">
        <f>B502+IF('Cleaned Data'!L449&gt;0,1,0)*IF($B$34="Overall",1,IF('Cleaned Data'!K449=$B$34,1,0))*(IF('Cleaned Data'!H449&lt;&gt;"",1,0))</f>
        <v>4</v>
      </c>
      <c r="C503">
        <f>INDEX('Cleaned Data'!H:H,MATCH($A503,$B$56:$B$1919,0))</f>
        <v>20</v>
      </c>
      <c r="D503">
        <f>INDEX('Cleaned Data'!L:L,MATCH($A503,$B$56:$B$1919,0))</f>
        <v>13500</v>
      </c>
    </row>
    <row r="504" spans="1:4" x14ac:dyDescent="0.25">
      <c r="A504">
        <v>449</v>
      </c>
      <c r="B504">
        <f>B503+IF('Cleaned Data'!L450&gt;0,1,0)*IF($B$34="Overall",1,IF('Cleaned Data'!K450=$B$34,1,0))*(IF('Cleaned Data'!H450&lt;&gt;"",1,0))</f>
        <v>5</v>
      </c>
      <c r="C504">
        <f>INDEX('Cleaned Data'!H:H,MATCH($A504,$B$56:$B$1919,0))</f>
        <v>0.5</v>
      </c>
      <c r="D504">
        <f>INDEX('Cleaned Data'!L:L,MATCH($A504,$B$56:$B$1919,0))</f>
        <v>10000</v>
      </c>
    </row>
    <row r="505" spans="1:4" x14ac:dyDescent="0.25">
      <c r="A505">
        <v>450</v>
      </c>
      <c r="B505">
        <f>B504+IF('Cleaned Data'!L451&gt;0,1,0)*IF($B$34="Overall",1,IF('Cleaned Data'!K451=$B$34,1,0))*(IF('Cleaned Data'!H451&lt;&gt;"",1,0))</f>
        <v>6</v>
      </c>
      <c r="C505">
        <f>INDEX('Cleaned Data'!H:H,MATCH($A505,$B$56:$B$1919,0))</f>
        <v>0.6</v>
      </c>
      <c r="D505">
        <f>INDEX('Cleaned Data'!L:L,MATCH($A505,$B$56:$B$1919,0))</f>
        <v>9000</v>
      </c>
    </row>
    <row r="506" spans="1:4" x14ac:dyDescent="0.25">
      <c r="A506">
        <v>451</v>
      </c>
      <c r="B506">
        <f>B505+IF('Cleaned Data'!L452&gt;0,1,0)*IF($B$34="Overall",1,IF('Cleaned Data'!K452=$B$34,1,0))*(IF('Cleaned Data'!H452&lt;&gt;"",1,0))</f>
        <v>7</v>
      </c>
      <c r="C506">
        <f>INDEX('Cleaned Data'!H:H,MATCH($A506,$B$56:$B$1919,0))</f>
        <v>1</v>
      </c>
      <c r="D506">
        <f>INDEX('Cleaned Data'!L:L,MATCH($A506,$B$56:$B$1919,0))</f>
        <v>9000</v>
      </c>
    </row>
    <row r="507" spans="1:4" x14ac:dyDescent="0.25">
      <c r="A507">
        <v>452</v>
      </c>
      <c r="B507">
        <f>B506+IF('Cleaned Data'!L453&gt;0,1,0)*IF($B$34="Overall",1,IF('Cleaned Data'!K453=$B$34,1,0))*(IF('Cleaned Data'!H453&lt;&gt;"",1,0))</f>
        <v>8</v>
      </c>
      <c r="C507">
        <f>INDEX('Cleaned Data'!H:H,MATCH($A507,$B$56:$B$1919,0))</f>
        <v>6.4</v>
      </c>
      <c r="D507">
        <f>INDEX('Cleaned Data'!L:L,MATCH($A507,$B$56:$B$1919,0))</f>
        <v>6600</v>
      </c>
    </row>
    <row r="508" spans="1:4" x14ac:dyDescent="0.25">
      <c r="A508">
        <v>453</v>
      </c>
      <c r="B508">
        <f>B507+IF('Cleaned Data'!L454&gt;0,1,0)*IF($B$34="Overall",1,IF('Cleaned Data'!K454=$B$34,1,0))*(IF('Cleaned Data'!H454&lt;&gt;"",1,0))</f>
        <v>9</v>
      </c>
      <c r="C508">
        <f>INDEX('Cleaned Data'!H:H,MATCH($A508,$B$56:$B$1919,0))</f>
        <v>6</v>
      </c>
      <c r="D508">
        <f>INDEX('Cleaned Data'!L:L,MATCH($A508,$B$56:$B$1919,0))</f>
        <v>20000</v>
      </c>
    </row>
    <row r="509" spans="1:4" x14ac:dyDescent="0.25">
      <c r="A509">
        <v>454</v>
      </c>
      <c r="B509">
        <f>B508+IF('Cleaned Data'!L455&gt;0,1,0)*IF($B$34="Overall",1,IF('Cleaned Data'!K455=$B$34,1,0))*(IF('Cleaned Data'!H455&lt;&gt;"",1,0))</f>
        <v>10</v>
      </c>
      <c r="C509">
        <f>INDEX('Cleaned Data'!H:H,MATCH($A509,$B$56:$B$1919,0))</f>
        <v>3</v>
      </c>
      <c r="D509">
        <f>INDEX('Cleaned Data'!L:L,MATCH($A509,$B$56:$B$1919,0))</f>
        <v>14000</v>
      </c>
    </row>
    <row r="510" spans="1:4" x14ac:dyDescent="0.25">
      <c r="A510">
        <v>455</v>
      </c>
      <c r="B510">
        <f>B509+IF('Cleaned Data'!L456&gt;0,1,0)*IF($B$34="Overall",1,IF('Cleaned Data'!K456=$B$34,1,0))*(IF('Cleaned Data'!H456&lt;&gt;"",1,0))</f>
        <v>11</v>
      </c>
      <c r="C510">
        <f>INDEX('Cleaned Data'!H:H,MATCH($A510,$B$56:$B$1919,0))</f>
        <v>8</v>
      </c>
      <c r="D510">
        <f>INDEX('Cleaned Data'!L:L,MATCH($A510,$B$56:$B$1919,0))</f>
        <v>25000</v>
      </c>
    </row>
    <row r="511" spans="1:4" x14ac:dyDescent="0.25">
      <c r="A511">
        <v>456</v>
      </c>
      <c r="B511">
        <f>B510+IF('Cleaned Data'!L457&gt;0,1,0)*IF($B$34="Overall",1,IF('Cleaned Data'!K457=$B$34,1,0))*(IF('Cleaned Data'!H457&lt;&gt;"",1,0))</f>
        <v>12</v>
      </c>
      <c r="C511">
        <f>INDEX('Cleaned Data'!H:H,MATCH($A511,$B$56:$B$1919,0))</f>
        <v>5</v>
      </c>
      <c r="D511">
        <f>INDEX('Cleaned Data'!L:L,MATCH($A511,$B$56:$B$1919,0))</f>
        <v>4356</v>
      </c>
    </row>
    <row r="512" spans="1:4" x14ac:dyDescent="0.25">
      <c r="A512">
        <v>457</v>
      </c>
      <c r="B512">
        <f>B511+IF('Cleaned Data'!L458&gt;0,1,0)*IF($B$34="Overall",1,IF('Cleaned Data'!K458=$B$34,1,0))*(IF('Cleaned Data'!H458&lt;&gt;"",1,0))</f>
        <v>13</v>
      </c>
      <c r="C512">
        <f>INDEX('Cleaned Data'!H:H,MATCH($A512,$B$56:$B$1919,0))</f>
        <v>10</v>
      </c>
      <c r="D512">
        <f>INDEX('Cleaned Data'!L:L,MATCH($A512,$B$56:$B$1919,0))</f>
        <v>20000</v>
      </c>
    </row>
    <row r="513" spans="1:4" x14ac:dyDescent="0.25">
      <c r="A513">
        <v>458</v>
      </c>
      <c r="B513">
        <f>B512+IF('Cleaned Data'!L459&gt;0,1,0)*IF($B$34="Overall",1,IF('Cleaned Data'!K459=$B$34,1,0))*(IF('Cleaned Data'!H459&lt;&gt;"",1,0))</f>
        <v>14</v>
      </c>
      <c r="C513">
        <f>INDEX('Cleaned Data'!H:H,MATCH($A513,$B$56:$B$1919,0))</f>
        <v>6</v>
      </c>
      <c r="D513">
        <f>INDEX('Cleaned Data'!L:L,MATCH($A513,$B$56:$B$1919,0))</f>
        <v>4000</v>
      </c>
    </row>
    <row r="514" spans="1:4" x14ac:dyDescent="0.25">
      <c r="A514">
        <v>459</v>
      </c>
      <c r="B514">
        <f>B513+IF('Cleaned Data'!L460&gt;0,1,0)*IF($B$34="Overall",1,IF('Cleaned Data'!K460=$B$34,1,0))*(IF('Cleaned Data'!H460&lt;&gt;"",1,0))</f>
        <v>15</v>
      </c>
      <c r="C514">
        <f>INDEX('Cleaned Data'!H:H,MATCH($A514,$B$56:$B$1919,0))</f>
        <v>19</v>
      </c>
      <c r="D514">
        <f>INDEX('Cleaned Data'!L:L,MATCH($A514,$B$56:$B$1919,0))</f>
        <v>3200</v>
      </c>
    </row>
    <row r="515" spans="1:4" x14ac:dyDescent="0.25">
      <c r="A515">
        <v>460</v>
      </c>
      <c r="B515">
        <f>B514+IF('Cleaned Data'!L461&gt;0,1,0)*IF($B$34="Overall",1,IF('Cleaned Data'!K461=$B$34,1,0))*(IF('Cleaned Data'!H461&lt;&gt;"",1,0))</f>
        <v>16</v>
      </c>
      <c r="C515">
        <f>INDEX('Cleaned Data'!H:H,MATCH($A515,$B$56:$B$1919,0))</f>
        <v>4</v>
      </c>
      <c r="D515">
        <f>INDEX('Cleaned Data'!L:L,MATCH($A515,$B$56:$B$1919,0))</f>
        <v>25000</v>
      </c>
    </row>
    <row r="516" spans="1:4" x14ac:dyDescent="0.25">
      <c r="A516">
        <v>461</v>
      </c>
      <c r="B516">
        <f>B515+IF('Cleaned Data'!L462&gt;0,1,0)*IF($B$34="Overall",1,IF('Cleaned Data'!K462=$B$34,1,0))*(IF('Cleaned Data'!H462&lt;&gt;"",1,0))</f>
        <v>17</v>
      </c>
      <c r="C516">
        <f>INDEX('Cleaned Data'!H:H,MATCH($A516,$B$56:$B$1919,0))</f>
        <v>4</v>
      </c>
      <c r="D516">
        <f>INDEX('Cleaned Data'!L:L,MATCH($A516,$B$56:$B$1919,0))</f>
        <v>5000</v>
      </c>
    </row>
    <row r="517" spans="1:4" x14ac:dyDescent="0.25">
      <c r="A517">
        <v>462</v>
      </c>
      <c r="B517">
        <f>B516+IF('Cleaned Data'!L463&gt;0,1,0)*IF($B$34="Overall",1,IF('Cleaned Data'!K463=$B$34,1,0))*(IF('Cleaned Data'!H463&lt;&gt;"",1,0))</f>
        <v>18</v>
      </c>
      <c r="C517">
        <f>INDEX('Cleaned Data'!H:H,MATCH($A517,$B$56:$B$1919,0))</f>
        <v>6</v>
      </c>
      <c r="D517">
        <f>INDEX('Cleaned Data'!L:L,MATCH($A517,$B$56:$B$1919,0))</f>
        <v>18000</v>
      </c>
    </row>
    <row r="518" spans="1:4" x14ac:dyDescent="0.25">
      <c r="A518">
        <v>463</v>
      </c>
      <c r="B518">
        <f>B517+IF('Cleaned Data'!L464&gt;0,1,0)*IF($B$34="Overall",1,IF('Cleaned Data'!K464=$B$34,1,0))*(IF('Cleaned Data'!H464&lt;&gt;"",1,0))</f>
        <v>19</v>
      </c>
      <c r="C518">
        <f>INDEX('Cleaned Data'!H:H,MATCH($A518,$B$56:$B$1919,0))</f>
        <v>18</v>
      </c>
      <c r="D518">
        <f>INDEX('Cleaned Data'!L:L,MATCH($A518,$B$56:$B$1919,0))</f>
        <v>8000</v>
      </c>
    </row>
    <row r="519" spans="1:4" x14ac:dyDescent="0.25">
      <c r="A519">
        <v>464</v>
      </c>
      <c r="B519">
        <f>B518+IF('Cleaned Data'!L465&gt;0,1,0)*IF($B$34="Overall",1,IF('Cleaned Data'!K465=$B$34,1,0))*(IF('Cleaned Data'!H465&lt;&gt;"",1,0))</f>
        <v>20</v>
      </c>
      <c r="C519">
        <f>INDEX('Cleaned Data'!H:H,MATCH($A519,$B$56:$B$1919,0))</f>
        <v>4</v>
      </c>
      <c r="D519">
        <f>INDEX('Cleaned Data'!L:L,MATCH($A519,$B$56:$B$1919,0))</f>
        <v>34000</v>
      </c>
    </row>
    <row r="520" spans="1:4" x14ac:dyDescent="0.25">
      <c r="A520">
        <v>465</v>
      </c>
      <c r="B520">
        <f>B519+IF('Cleaned Data'!L466&gt;0,1,0)*IF($B$34="Overall",1,IF('Cleaned Data'!K466=$B$34,1,0))*(IF('Cleaned Data'!H466&lt;&gt;"",1,0))</f>
        <v>21</v>
      </c>
      <c r="C520">
        <f>INDEX('Cleaned Data'!H:H,MATCH($A520,$B$56:$B$1919,0))</f>
        <v>4</v>
      </c>
      <c r="D520">
        <f>INDEX('Cleaned Data'!L:L,MATCH($A520,$B$56:$B$1919,0))</f>
        <v>30000</v>
      </c>
    </row>
    <row r="521" spans="1:4" x14ac:dyDescent="0.25">
      <c r="A521">
        <v>466</v>
      </c>
      <c r="B521">
        <f>B520+IF('Cleaned Data'!L467&gt;0,1,0)*IF($B$34="Overall",1,IF('Cleaned Data'!K467=$B$34,1,0))*(IF('Cleaned Data'!H467&lt;&gt;"",1,0))</f>
        <v>22</v>
      </c>
      <c r="C521">
        <f>INDEX('Cleaned Data'!H:H,MATCH($A521,$B$56:$B$1919,0))</f>
        <v>2</v>
      </c>
      <c r="D521">
        <f>INDEX('Cleaned Data'!L:L,MATCH($A521,$B$56:$B$1919,0))</f>
        <v>6000</v>
      </c>
    </row>
    <row r="522" spans="1:4" x14ac:dyDescent="0.25">
      <c r="A522">
        <v>467</v>
      </c>
      <c r="B522">
        <f>B521+IF('Cleaned Data'!L468&gt;0,1,0)*IF($B$34="Overall",1,IF('Cleaned Data'!K468=$B$34,1,0))*(IF('Cleaned Data'!H468&lt;&gt;"",1,0))</f>
        <v>23</v>
      </c>
      <c r="C522">
        <f>INDEX('Cleaned Data'!H:H,MATCH($A522,$B$56:$B$1919,0))</f>
        <v>6</v>
      </c>
      <c r="D522">
        <f>INDEX('Cleaned Data'!L:L,MATCH($A522,$B$56:$B$1919,0))</f>
        <v>10000</v>
      </c>
    </row>
    <row r="523" spans="1:4" x14ac:dyDescent="0.25">
      <c r="A523">
        <v>468</v>
      </c>
      <c r="B523">
        <f>B522+IF('Cleaned Data'!L469&gt;0,1,0)*IF($B$34="Overall",1,IF('Cleaned Data'!K469=$B$34,1,0))*(IF('Cleaned Data'!H469&lt;&gt;"",1,0))</f>
        <v>24</v>
      </c>
      <c r="C523">
        <f>INDEX('Cleaned Data'!H:H,MATCH($A523,$B$56:$B$1919,0))</f>
        <v>12</v>
      </c>
      <c r="D523">
        <f>INDEX('Cleaned Data'!L:L,MATCH($A523,$B$56:$B$1919,0))</f>
        <v>10000</v>
      </c>
    </row>
    <row r="524" spans="1:4" x14ac:dyDescent="0.25">
      <c r="A524">
        <v>469</v>
      </c>
      <c r="B524">
        <f>B523+IF('Cleaned Data'!L470&gt;0,1,0)*IF($B$34="Overall",1,IF('Cleaned Data'!K470=$B$34,1,0))*(IF('Cleaned Data'!H470&lt;&gt;"",1,0))</f>
        <v>25</v>
      </c>
      <c r="C524">
        <f>INDEX('Cleaned Data'!H:H,MATCH($A524,$B$56:$B$1919,0))</f>
        <v>1</v>
      </c>
      <c r="D524">
        <f>INDEX('Cleaned Data'!L:L,MATCH($A524,$B$56:$B$1919,0))</f>
        <v>20000</v>
      </c>
    </row>
    <row r="525" spans="1:4" x14ac:dyDescent="0.25">
      <c r="A525">
        <v>470</v>
      </c>
      <c r="B525">
        <f>B524+IF('Cleaned Data'!L471&gt;0,1,0)*IF($B$34="Overall",1,IF('Cleaned Data'!K471=$B$34,1,0))*(IF('Cleaned Data'!H471&lt;&gt;"",1,0))</f>
        <v>26</v>
      </c>
      <c r="C525">
        <f>INDEX('Cleaned Data'!H:H,MATCH($A525,$B$56:$B$1919,0))</f>
        <v>5</v>
      </c>
      <c r="D525">
        <f>INDEX('Cleaned Data'!L:L,MATCH($A525,$B$56:$B$1919,0))</f>
        <v>15000</v>
      </c>
    </row>
    <row r="526" spans="1:4" x14ac:dyDescent="0.25">
      <c r="A526">
        <v>471</v>
      </c>
      <c r="B526">
        <f>B525+IF('Cleaned Data'!L472&gt;0,1,0)*IF($B$34="Overall",1,IF('Cleaned Data'!K472=$B$34,1,0))*(IF('Cleaned Data'!H472&lt;&gt;"",1,0))</f>
        <v>27</v>
      </c>
      <c r="C526">
        <f>INDEX('Cleaned Data'!H:H,MATCH($A526,$B$56:$B$1919,0))</f>
        <v>8</v>
      </c>
      <c r="D526">
        <f>INDEX('Cleaned Data'!L:L,MATCH($A526,$B$56:$B$1919,0))</f>
        <v>50000</v>
      </c>
    </row>
    <row r="527" spans="1:4" x14ac:dyDescent="0.25">
      <c r="A527">
        <v>472</v>
      </c>
      <c r="B527">
        <f>B526+IF('Cleaned Data'!L473&gt;0,1,0)*IF($B$34="Overall",1,IF('Cleaned Data'!K473=$B$34,1,0))*(IF('Cleaned Data'!H473&lt;&gt;"",1,0))</f>
        <v>28</v>
      </c>
      <c r="C527">
        <f>INDEX('Cleaned Data'!H:H,MATCH($A527,$B$56:$B$1919,0))</f>
        <v>1</v>
      </c>
      <c r="D527">
        <f>INDEX('Cleaned Data'!L:L,MATCH($A527,$B$56:$B$1919,0))</f>
        <v>7000</v>
      </c>
    </row>
    <row r="528" spans="1:4" x14ac:dyDescent="0.25">
      <c r="A528">
        <v>473</v>
      </c>
      <c r="B528">
        <f>B527+IF('Cleaned Data'!L474&gt;0,1,0)*IF($B$34="Overall",1,IF('Cleaned Data'!K474=$B$34,1,0))*(IF('Cleaned Data'!H474&lt;&gt;"",1,0))</f>
        <v>29</v>
      </c>
      <c r="C528">
        <f>INDEX('Cleaned Data'!H:H,MATCH($A528,$B$56:$B$1919,0))</f>
        <v>9</v>
      </c>
      <c r="D528">
        <f>INDEX('Cleaned Data'!L:L,MATCH($A528,$B$56:$B$1919,0))</f>
        <v>6545</v>
      </c>
    </row>
    <row r="529" spans="1:4" x14ac:dyDescent="0.25">
      <c r="A529">
        <v>474</v>
      </c>
      <c r="B529">
        <f>B528+IF('Cleaned Data'!L475&gt;0,1,0)*IF($B$34="Overall",1,IF('Cleaned Data'!K475=$B$34,1,0))*(IF('Cleaned Data'!H475&lt;&gt;"",1,0))</f>
        <v>30</v>
      </c>
      <c r="C529">
        <f>INDEX('Cleaned Data'!H:H,MATCH($A529,$B$56:$B$1919,0))</f>
        <v>3</v>
      </c>
      <c r="D529">
        <f>INDEX('Cleaned Data'!L:L,MATCH($A529,$B$56:$B$1919,0))</f>
        <v>12000</v>
      </c>
    </row>
    <row r="530" spans="1:4" x14ac:dyDescent="0.25">
      <c r="A530">
        <v>475</v>
      </c>
      <c r="B530">
        <f>B529+IF('Cleaned Data'!L476&gt;0,1,0)*IF($B$34="Overall",1,IF('Cleaned Data'!K476=$B$34,1,0))*(IF('Cleaned Data'!H476&lt;&gt;"",1,0))</f>
        <v>31</v>
      </c>
      <c r="C530">
        <f>INDEX('Cleaned Data'!H:H,MATCH($A530,$B$56:$B$1919,0))</f>
        <v>3</v>
      </c>
      <c r="D530">
        <f>INDEX('Cleaned Data'!L:L,MATCH($A530,$B$56:$B$1919,0))</f>
        <v>3360</v>
      </c>
    </row>
    <row r="531" spans="1:4" x14ac:dyDescent="0.25">
      <c r="A531">
        <v>476</v>
      </c>
      <c r="B531">
        <f>B530+IF('Cleaned Data'!L477&gt;0,1,0)*IF($B$34="Overall",1,IF('Cleaned Data'!K477=$B$34,1,0))*(IF('Cleaned Data'!H477&lt;&gt;"",1,0))</f>
        <v>32</v>
      </c>
      <c r="C531">
        <f>INDEX('Cleaned Data'!H:H,MATCH($A531,$B$56:$B$1919,0))</f>
        <v>1</v>
      </c>
      <c r="D531">
        <f>INDEX('Cleaned Data'!L:L,MATCH($A531,$B$56:$B$1919,0))</f>
        <v>10000</v>
      </c>
    </row>
    <row r="532" spans="1:4" x14ac:dyDescent="0.25">
      <c r="A532">
        <v>477</v>
      </c>
      <c r="B532">
        <f>B531+IF('Cleaned Data'!L478&gt;0,1,0)*IF($B$34="Overall",1,IF('Cleaned Data'!K478=$B$34,1,0))*(IF('Cleaned Data'!H478&lt;&gt;"",1,0))</f>
        <v>33</v>
      </c>
      <c r="C532">
        <f>INDEX('Cleaned Data'!H:H,MATCH($A532,$B$56:$B$1919,0))</f>
        <v>2</v>
      </c>
      <c r="D532">
        <f>INDEX('Cleaned Data'!L:L,MATCH($A532,$B$56:$B$1919,0))</f>
        <v>10000</v>
      </c>
    </row>
    <row r="533" spans="1:4" x14ac:dyDescent="0.25">
      <c r="A533">
        <v>478</v>
      </c>
      <c r="B533">
        <f>B532+IF('Cleaned Data'!L479&gt;0,1,0)*IF($B$34="Overall",1,IF('Cleaned Data'!K479=$B$34,1,0))*(IF('Cleaned Data'!H479&lt;&gt;"",1,0))</f>
        <v>34</v>
      </c>
      <c r="C533">
        <f>INDEX('Cleaned Data'!H:H,MATCH($A533,$B$56:$B$1919,0))</f>
        <v>8</v>
      </c>
      <c r="D533">
        <f>INDEX('Cleaned Data'!L:L,MATCH($A533,$B$56:$B$1919,0))</f>
        <v>14400</v>
      </c>
    </row>
    <row r="534" spans="1:4" x14ac:dyDescent="0.25">
      <c r="A534">
        <v>479</v>
      </c>
      <c r="B534">
        <f>B533+IF('Cleaned Data'!L480&gt;0,1,0)*IF($B$34="Overall",1,IF('Cleaned Data'!K480=$B$34,1,0))*(IF('Cleaned Data'!H480&lt;&gt;"",1,0))</f>
        <v>35</v>
      </c>
      <c r="C534">
        <f>INDEX('Cleaned Data'!H:H,MATCH($A534,$B$56:$B$1919,0))</f>
        <v>6</v>
      </c>
      <c r="D534">
        <f>INDEX('Cleaned Data'!L:L,MATCH($A534,$B$56:$B$1919,0))</f>
        <v>22000</v>
      </c>
    </row>
    <row r="535" spans="1:4" x14ac:dyDescent="0.25">
      <c r="A535">
        <v>480</v>
      </c>
      <c r="B535">
        <f>B534+IF('Cleaned Data'!L481&gt;0,1,0)*IF($B$34="Overall",1,IF('Cleaned Data'!K481=$B$34,1,0))*(IF('Cleaned Data'!H481&lt;&gt;"",1,0))</f>
        <v>36</v>
      </c>
      <c r="C535">
        <f>INDEX('Cleaned Data'!H:H,MATCH($A535,$B$56:$B$1919,0))</f>
        <v>8</v>
      </c>
      <c r="D535">
        <f>INDEX('Cleaned Data'!L:L,MATCH($A535,$B$56:$B$1919,0))</f>
        <v>25000</v>
      </c>
    </row>
    <row r="536" spans="1:4" x14ac:dyDescent="0.25">
      <c r="A536">
        <v>481</v>
      </c>
      <c r="B536">
        <f>B535+IF('Cleaned Data'!L482&gt;0,1,0)*IF($B$34="Overall",1,IF('Cleaned Data'!K482=$B$34,1,0))*(IF('Cleaned Data'!H482&lt;&gt;"",1,0))</f>
        <v>37</v>
      </c>
      <c r="C536">
        <f>INDEX('Cleaned Data'!H:H,MATCH($A536,$B$56:$B$1919,0))</f>
        <v>11</v>
      </c>
      <c r="D536">
        <f>INDEX('Cleaned Data'!L:L,MATCH($A536,$B$56:$B$1919,0))</f>
        <v>10000</v>
      </c>
    </row>
    <row r="537" spans="1:4" x14ac:dyDescent="0.25">
      <c r="A537">
        <v>482</v>
      </c>
      <c r="B537">
        <f>B536+IF('Cleaned Data'!L483&gt;0,1,0)*IF($B$34="Overall",1,IF('Cleaned Data'!K483=$B$34,1,0))*(IF('Cleaned Data'!H483&lt;&gt;"",1,0))</f>
        <v>38</v>
      </c>
      <c r="C537">
        <f>INDEX('Cleaned Data'!H:H,MATCH($A537,$B$56:$B$1919,0))</f>
        <v>6</v>
      </c>
      <c r="D537">
        <f>INDEX('Cleaned Data'!L:L,MATCH($A537,$B$56:$B$1919,0))</f>
        <v>28995</v>
      </c>
    </row>
    <row r="538" spans="1:4" x14ac:dyDescent="0.25">
      <c r="A538">
        <v>483</v>
      </c>
      <c r="B538">
        <f>B537+IF('Cleaned Data'!L484&gt;0,1,0)*IF($B$34="Overall",1,IF('Cleaned Data'!K484=$B$34,1,0))*(IF('Cleaned Data'!H484&lt;&gt;"",1,0))</f>
        <v>39</v>
      </c>
      <c r="C538">
        <f>INDEX('Cleaned Data'!H:H,MATCH($A538,$B$56:$B$1919,0))</f>
        <v>5</v>
      </c>
      <c r="D538">
        <f>INDEX('Cleaned Data'!L:L,MATCH($A538,$B$56:$B$1919,0))</f>
        <v>5320</v>
      </c>
    </row>
    <row r="539" spans="1:4" x14ac:dyDescent="0.25">
      <c r="A539">
        <v>484</v>
      </c>
      <c r="B539">
        <f>B538+IF('Cleaned Data'!L485&gt;0,1,0)*IF($B$34="Overall",1,IF('Cleaned Data'!K485=$B$34,1,0))*(IF('Cleaned Data'!H485&lt;&gt;"",1,0))</f>
        <v>40</v>
      </c>
      <c r="C539">
        <f>INDEX('Cleaned Data'!H:H,MATCH($A539,$B$56:$B$1919,0))</f>
        <v>7</v>
      </c>
      <c r="D539">
        <f>INDEX('Cleaned Data'!L:L,MATCH($A539,$B$56:$B$1919,0))</f>
        <v>12000</v>
      </c>
    </row>
    <row r="540" spans="1:4" x14ac:dyDescent="0.25">
      <c r="A540">
        <v>485</v>
      </c>
      <c r="B540">
        <f>B539+IF('Cleaned Data'!L486&gt;0,1,0)*IF($B$34="Overall",1,IF('Cleaned Data'!K486=$B$34,1,0))*(IF('Cleaned Data'!H486&lt;&gt;"",1,0))</f>
        <v>41</v>
      </c>
      <c r="C540">
        <f>INDEX('Cleaned Data'!H:H,MATCH($A540,$B$56:$B$1919,0))</f>
        <v>3</v>
      </c>
      <c r="D540">
        <f>INDEX('Cleaned Data'!L:L,MATCH($A540,$B$56:$B$1919,0))</f>
        <v>2400</v>
      </c>
    </row>
    <row r="541" spans="1:4" x14ac:dyDescent="0.25">
      <c r="A541">
        <v>486</v>
      </c>
      <c r="B541">
        <f>B540+IF('Cleaned Data'!L487&gt;0,1,0)*IF($B$34="Overall",1,IF('Cleaned Data'!K487=$B$34,1,0))*(IF('Cleaned Data'!H487&lt;&gt;"",1,0))</f>
        <v>42</v>
      </c>
      <c r="C541">
        <f>INDEX('Cleaned Data'!H:H,MATCH($A541,$B$56:$B$1919,0))</f>
        <v>2</v>
      </c>
      <c r="D541">
        <f>INDEX('Cleaned Data'!L:L,MATCH($A541,$B$56:$B$1919,0))</f>
        <v>11000</v>
      </c>
    </row>
    <row r="542" spans="1:4" x14ac:dyDescent="0.25">
      <c r="A542">
        <v>487</v>
      </c>
      <c r="B542">
        <f>B541+IF('Cleaned Data'!L488&gt;0,1,0)*IF($B$34="Overall",1,IF('Cleaned Data'!K488=$B$34,1,0))*(IF('Cleaned Data'!H488&lt;&gt;"",1,0))</f>
        <v>43</v>
      </c>
      <c r="C542">
        <f>INDEX('Cleaned Data'!H:H,MATCH($A542,$B$56:$B$1919,0))</f>
        <v>1</v>
      </c>
      <c r="D542">
        <f>INDEX('Cleaned Data'!L:L,MATCH($A542,$B$56:$B$1919,0))</f>
        <v>3600</v>
      </c>
    </row>
    <row r="543" spans="1:4" x14ac:dyDescent="0.25">
      <c r="A543">
        <v>488</v>
      </c>
      <c r="B543">
        <f>B542+IF('Cleaned Data'!L489&gt;0,1,0)*IF($B$34="Overall",1,IF('Cleaned Data'!K489=$B$34,1,0))*(IF('Cleaned Data'!H489&lt;&gt;"",1,0))</f>
        <v>44</v>
      </c>
      <c r="C543">
        <f>INDEX('Cleaned Data'!H:H,MATCH($A543,$B$56:$B$1919,0))</f>
        <v>5</v>
      </c>
      <c r="D543">
        <f>INDEX('Cleaned Data'!L:L,MATCH($A543,$B$56:$B$1919,0))</f>
        <v>14000</v>
      </c>
    </row>
    <row r="544" spans="1:4" x14ac:dyDescent="0.25">
      <c r="A544">
        <v>489</v>
      </c>
      <c r="B544">
        <f>B543+IF('Cleaned Data'!L490&gt;0,1,0)*IF($B$34="Overall",1,IF('Cleaned Data'!K490=$B$34,1,0))*(IF('Cleaned Data'!H490&lt;&gt;"",1,0))</f>
        <v>45</v>
      </c>
      <c r="C544">
        <f>INDEX('Cleaned Data'!H:H,MATCH($A544,$B$56:$B$1919,0))</f>
        <v>3</v>
      </c>
      <c r="D544">
        <f>INDEX('Cleaned Data'!L:L,MATCH($A544,$B$56:$B$1919,0))</f>
        <v>4800</v>
      </c>
    </row>
    <row r="545" spans="1:4" x14ac:dyDescent="0.25">
      <c r="A545">
        <v>490</v>
      </c>
      <c r="B545">
        <f>B544+IF('Cleaned Data'!L491&gt;0,1,0)*IF($B$34="Overall",1,IF('Cleaned Data'!K491=$B$34,1,0))*(IF('Cleaned Data'!H491&lt;&gt;"",1,0))</f>
        <v>46</v>
      </c>
      <c r="C545">
        <f>INDEX('Cleaned Data'!H:H,MATCH($A545,$B$56:$B$1919,0))</f>
        <v>0.3</v>
      </c>
      <c r="D545">
        <f>INDEX('Cleaned Data'!L:L,MATCH($A545,$B$56:$B$1919,0))</f>
        <v>15000</v>
      </c>
    </row>
    <row r="546" spans="1:4" x14ac:dyDescent="0.25">
      <c r="A546">
        <v>491</v>
      </c>
      <c r="B546">
        <f>B545+IF('Cleaned Data'!L492&gt;0,1,0)*IF($B$34="Overall",1,IF('Cleaned Data'!K492=$B$34,1,0))*(IF('Cleaned Data'!H492&lt;&gt;"",1,0))</f>
        <v>47</v>
      </c>
      <c r="C546">
        <f>INDEX('Cleaned Data'!H:H,MATCH($A546,$B$56:$B$1919,0))</f>
        <v>5</v>
      </c>
      <c r="D546">
        <f>INDEX('Cleaned Data'!L:L,MATCH($A546,$B$56:$B$1919,0))</f>
        <v>6720</v>
      </c>
    </row>
    <row r="547" spans="1:4" x14ac:dyDescent="0.25">
      <c r="A547">
        <v>492</v>
      </c>
      <c r="B547">
        <f>B546+IF('Cleaned Data'!L493&gt;0,1,0)*IF($B$34="Overall",1,IF('Cleaned Data'!K493=$B$34,1,0))*(IF('Cleaned Data'!H493&lt;&gt;"",1,0))</f>
        <v>48</v>
      </c>
      <c r="C547">
        <f>INDEX('Cleaned Data'!H:H,MATCH($A547,$B$56:$B$1919,0))</f>
        <v>0</v>
      </c>
      <c r="D547">
        <f>INDEX('Cleaned Data'!L:L,MATCH($A547,$B$56:$B$1919,0))</f>
        <v>37500</v>
      </c>
    </row>
    <row r="548" spans="1:4" x14ac:dyDescent="0.25">
      <c r="A548">
        <v>493</v>
      </c>
      <c r="B548">
        <f>B547+IF('Cleaned Data'!L494&gt;0,1,0)*IF($B$34="Overall",1,IF('Cleaned Data'!K494=$B$34,1,0))*(IF('Cleaned Data'!H494&lt;&gt;"",1,0))</f>
        <v>49</v>
      </c>
      <c r="C548">
        <f>INDEX('Cleaned Data'!H:H,MATCH($A548,$B$56:$B$1919,0))</f>
        <v>8</v>
      </c>
      <c r="D548">
        <f>INDEX('Cleaned Data'!L:L,MATCH($A548,$B$56:$B$1919,0))</f>
        <v>11000</v>
      </c>
    </row>
    <row r="549" spans="1:4" x14ac:dyDescent="0.25">
      <c r="A549">
        <v>494</v>
      </c>
      <c r="B549">
        <f>B548+IF('Cleaned Data'!L495&gt;0,1,0)*IF($B$34="Overall",1,IF('Cleaned Data'!K495=$B$34,1,0))*(IF('Cleaned Data'!H495&lt;&gt;"",1,0))</f>
        <v>50</v>
      </c>
      <c r="C549">
        <f>INDEX('Cleaned Data'!H:H,MATCH($A549,$B$56:$B$1919,0))</f>
        <v>5</v>
      </c>
      <c r="D549">
        <f>INDEX('Cleaned Data'!L:L,MATCH($A549,$B$56:$B$1919,0))</f>
        <v>40000</v>
      </c>
    </row>
    <row r="550" spans="1:4" x14ac:dyDescent="0.25">
      <c r="A550">
        <v>495</v>
      </c>
      <c r="B550">
        <f>B549+IF('Cleaned Data'!L496&gt;0,1,0)*IF($B$34="Overall",1,IF('Cleaned Data'!K496=$B$34,1,0))*(IF('Cleaned Data'!H496&lt;&gt;"",1,0))</f>
        <v>51</v>
      </c>
      <c r="C550">
        <f>INDEX('Cleaned Data'!H:H,MATCH($A550,$B$56:$B$1919,0))</f>
        <v>1.5</v>
      </c>
      <c r="D550">
        <f>INDEX('Cleaned Data'!L:L,MATCH($A550,$B$56:$B$1919,0))</f>
        <v>25000</v>
      </c>
    </row>
    <row r="551" spans="1:4" x14ac:dyDescent="0.25">
      <c r="A551">
        <v>496</v>
      </c>
      <c r="B551">
        <f>B550+IF('Cleaned Data'!L497&gt;0,1,0)*IF($B$34="Overall",1,IF('Cleaned Data'!K497=$B$34,1,0))*(IF('Cleaned Data'!H497&lt;&gt;"",1,0))</f>
        <v>52</v>
      </c>
      <c r="C551">
        <f>INDEX('Cleaned Data'!H:H,MATCH($A551,$B$56:$B$1919,0))</f>
        <v>10</v>
      </c>
      <c r="D551">
        <f>INDEX('Cleaned Data'!L:L,MATCH($A551,$B$56:$B$1919,0))</f>
        <v>5000</v>
      </c>
    </row>
    <row r="552" spans="1:4" x14ac:dyDescent="0.25">
      <c r="A552">
        <v>497</v>
      </c>
      <c r="B552">
        <f>B551+IF('Cleaned Data'!L498&gt;0,1,0)*IF($B$34="Overall",1,IF('Cleaned Data'!K498=$B$34,1,0))*(IF('Cleaned Data'!H498&lt;&gt;"",1,0))</f>
        <v>53</v>
      </c>
      <c r="C552">
        <f>INDEX('Cleaned Data'!H:H,MATCH($A552,$B$56:$B$1919,0))</f>
        <v>2</v>
      </c>
      <c r="D552">
        <f>INDEX('Cleaned Data'!L:L,MATCH($A552,$B$56:$B$1919,0))</f>
        <v>5000</v>
      </c>
    </row>
    <row r="553" spans="1:4" x14ac:dyDescent="0.25">
      <c r="A553">
        <v>498</v>
      </c>
      <c r="B553">
        <f>B552+IF('Cleaned Data'!L499&gt;0,1,0)*IF($B$34="Overall",1,IF('Cleaned Data'!K499=$B$34,1,0))*(IF('Cleaned Data'!H499&lt;&gt;"",1,0))</f>
        <v>54</v>
      </c>
      <c r="C553">
        <f>INDEX('Cleaned Data'!H:H,MATCH($A553,$B$56:$B$1919,0))</f>
        <v>4</v>
      </c>
      <c r="D553">
        <f>INDEX('Cleaned Data'!L:L,MATCH($A553,$B$56:$B$1919,0))</f>
        <v>4000</v>
      </c>
    </row>
    <row r="554" spans="1:4" x14ac:dyDescent="0.25">
      <c r="A554">
        <v>499</v>
      </c>
      <c r="B554">
        <f>B553+IF('Cleaned Data'!L500&gt;0,1,0)*IF($B$34="Overall",1,IF('Cleaned Data'!K500=$B$34,1,0))*(IF('Cleaned Data'!H500&lt;&gt;"",1,0))</f>
        <v>55</v>
      </c>
      <c r="C554">
        <f>INDEX('Cleaned Data'!H:H,MATCH($A554,$B$56:$B$1919,0))</f>
        <v>10</v>
      </c>
      <c r="D554">
        <f>INDEX('Cleaned Data'!L:L,MATCH($A554,$B$56:$B$1919,0))</f>
        <v>25000</v>
      </c>
    </row>
    <row r="555" spans="1:4" x14ac:dyDescent="0.25">
      <c r="A555">
        <v>500</v>
      </c>
      <c r="B555">
        <f>B554+IF('Cleaned Data'!L501&gt;0,1,0)*IF($B$34="Overall",1,IF('Cleaned Data'!K501=$B$34,1,0))*(IF('Cleaned Data'!H501&lt;&gt;"",1,0))</f>
        <v>56</v>
      </c>
      <c r="C555">
        <f>INDEX('Cleaned Data'!H:H,MATCH($A555,$B$56:$B$1919,0))</f>
        <v>3</v>
      </c>
      <c r="D555">
        <f>INDEX('Cleaned Data'!L:L,MATCH($A555,$B$56:$B$1919,0))</f>
        <v>5000</v>
      </c>
    </row>
    <row r="556" spans="1:4" x14ac:dyDescent="0.25">
      <c r="A556">
        <v>501</v>
      </c>
      <c r="B556">
        <f>B555+IF('Cleaned Data'!L502&gt;0,1,0)*IF($B$34="Overall",1,IF('Cleaned Data'!K502=$B$34,1,0))*(IF('Cleaned Data'!H502&lt;&gt;"",1,0))</f>
        <v>57</v>
      </c>
      <c r="C556">
        <f>INDEX('Cleaned Data'!H:H,MATCH($A556,$B$56:$B$1919,0))</f>
        <v>6</v>
      </c>
      <c r="D556">
        <f>INDEX('Cleaned Data'!L:L,MATCH($A556,$B$56:$B$1919,0))</f>
        <v>8400</v>
      </c>
    </row>
    <row r="557" spans="1:4" x14ac:dyDescent="0.25">
      <c r="A557">
        <v>502</v>
      </c>
      <c r="B557">
        <f>B556+IF('Cleaned Data'!L503&gt;0,1,0)*IF($B$34="Overall",1,IF('Cleaned Data'!K503=$B$34,1,0))*(IF('Cleaned Data'!H503&lt;&gt;"",1,0))</f>
        <v>58</v>
      </c>
      <c r="C557">
        <f>INDEX('Cleaned Data'!H:H,MATCH($A557,$B$56:$B$1919,0))</f>
        <v>5</v>
      </c>
      <c r="D557">
        <f>INDEX('Cleaned Data'!L:L,MATCH($A557,$B$56:$B$1919,0))</f>
        <v>20000</v>
      </c>
    </row>
    <row r="558" spans="1:4" x14ac:dyDescent="0.25">
      <c r="A558">
        <v>503</v>
      </c>
      <c r="B558">
        <f>B557+IF('Cleaned Data'!L504&gt;0,1,0)*IF($B$34="Overall",1,IF('Cleaned Data'!K504=$B$34,1,0))*(IF('Cleaned Data'!H504&lt;&gt;"",1,0))</f>
        <v>59</v>
      </c>
      <c r="C558">
        <f>INDEX('Cleaned Data'!H:H,MATCH($A558,$B$56:$B$1919,0))</f>
        <v>5</v>
      </c>
      <c r="D558">
        <f>INDEX('Cleaned Data'!L:L,MATCH($A558,$B$56:$B$1919,0))</f>
        <v>21000</v>
      </c>
    </row>
    <row r="559" spans="1:4" x14ac:dyDescent="0.25">
      <c r="A559">
        <v>504</v>
      </c>
      <c r="B559">
        <f>B558+IF('Cleaned Data'!L505&gt;0,1,0)*IF($B$34="Overall",1,IF('Cleaned Data'!K505=$B$34,1,0))*(IF('Cleaned Data'!H505&lt;&gt;"",1,0))</f>
        <v>60</v>
      </c>
      <c r="C559">
        <f>INDEX('Cleaned Data'!H:H,MATCH($A559,$B$56:$B$1919,0))</f>
        <v>5</v>
      </c>
      <c r="D559">
        <f>INDEX('Cleaned Data'!L:L,MATCH($A559,$B$56:$B$1919,0))</f>
        <v>10000</v>
      </c>
    </row>
    <row r="560" spans="1:4" x14ac:dyDescent="0.25">
      <c r="A560">
        <v>505</v>
      </c>
      <c r="B560">
        <f>B559+IF('Cleaned Data'!L506&gt;0,1,0)*IF($B$34="Overall",1,IF('Cleaned Data'!K506=$B$34,1,0))*(IF('Cleaned Data'!H506&lt;&gt;"",1,0))</f>
        <v>61</v>
      </c>
      <c r="C560">
        <f>INDEX('Cleaned Data'!H:H,MATCH($A560,$B$56:$B$1919,0))</f>
        <v>1</v>
      </c>
      <c r="D560">
        <f>INDEX('Cleaned Data'!L:L,MATCH($A560,$B$56:$B$1919,0))</f>
        <v>15000</v>
      </c>
    </row>
    <row r="561" spans="1:4" x14ac:dyDescent="0.25">
      <c r="A561">
        <v>506</v>
      </c>
      <c r="B561">
        <f>B560+IF('Cleaned Data'!L507&gt;0,1,0)*IF($B$34="Overall",1,IF('Cleaned Data'!K507=$B$34,1,0))*(IF('Cleaned Data'!H507&lt;&gt;"",1,0))</f>
        <v>62</v>
      </c>
      <c r="C561">
        <f>INDEX('Cleaned Data'!H:H,MATCH($A561,$B$56:$B$1919,0))</f>
        <v>7</v>
      </c>
      <c r="D561">
        <f>INDEX('Cleaned Data'!L:L,MATCH($A561,$B$56:$B$1919,0))</f>
        <v>30000</v>
      </c>
    </row>
    <row r="562" spans="1:4" x14ac:dyDescent="0.25">
      <c r="A562">
        <v>507</v>
      </c>
      <c r="B562">
        <f>B561+IF('Cleaned Data'!L508&gt;0,1,0)*IF($B$34="Overall",1,IF('Cleaned Data'!K508=$B$34,1,0))*(IF('Cleaned Data'!H508&lt;&gt;"",1,0))</f>
        <v>63</v>
      </c>
      <c r="C562">
        <f>INDEX('Cleaned Data'!H:H,MATCH($A562,$B$56:$B$1919,0))</f>
        <v>14</v>
      </c>
      <c r="D562">
        <f>INDEX('Cleaned Data'!L:L,MATCH($A562,$B$56:$B$1919,0))</f>
        <v>98000</v>
      </c>
    </row>
    <row r="563" spans="1:4" x14ac:dyDescent="0.25">
      <c r="A563">
        <v>508</v>
      </c>
      <c r="B563">
        <f>B562+IF('Cleaned Data'!L509&gt;0,1,0)*IF($B$34="Overall",1,IF('Cleaned Data'!K509=$B$34,1,0))*(IF('Cleaned Data'!H509&lt;&gt;"",1,0))</f>
        <v>64</v>
      </c>
      <c r="C563">
        <f>INDEX('Cleaned Data'!H:H,MATCH($A563,$B$56:$B$1919,0))</f>
        <v>4</v>
      </c>
      <c r="D563">
        <f>INDEX('Cleaned Data'!L:L,MATCH($A563,$B$56:$B$1919,0))</f>
        <v>4500</v>
      </c>
    </row>
    <row r="564" spans="1:4" x14ac:dyDescent="0.25">
      <c r="A564">
        <v>509</v>
      </c>
      <c r="B564">
        <f>B563+IF('Cleaned Data'!L510&gt;0,1,0)*IF($B$34="Overall",1,IF('Cleaned Data'!K510=$B$34,1,0))*(IF('Cleaned Data'!H510&lt;&gt;"",1,0))</f>
        <v>65</v>
      </c>
      <c r="C564">
        <f>INDEX('Cleaned Data'!H:H,MATCH($A564,$B$56:$B$1919,0))</f>
        <v>16</v>
      </c>
      <c r="D564">
        <f>INDEX('Cleaned Data'!L:L,MATCH($A564,$B$56:$B$1919,0))</f>
        <v>60000</v>
      </c>
    </row>
    <row r="565" spans="1:4" x14ac:dyDescent="0.25">
      <c r="A565">
        <v>510</v>
      </c>
      <c r="B565">
        <f>B564+IF('Cleaned Data'!L511&gt;0,1,0)*IF($B$34="Overall",1,IF('Cleaned Data'!K511=$B$34,1,0))*(IF('Cleaned Data'!H511&lt;&gt;"",1,0))</f>
        <v>66</v>
      </c>
      <c r="C565">
        <f>INDEX('Cleaned Data'!H:H,MATCH($A565,$B$56:$B$1919,0))</f>
        <v>2</v>
      </c>
      <c r="D565">
        <f>INDEX('Cleaned Data'!L:L,MATCH($A565,$B$56:$B$1919,0))</f>
        <v>15000</v>
      </c>
    </row>
    <row r="566" spans="1:4" x14ac:dyDescent="0.25">
      <c r="A566">
        <v>511</v>
      </c>
      <c r="B566">
        <f>B565+IF('Cleaned Data'!L512&gt;0,1,0)*IF($B$34="Overall",1,IF('Cleaned Data'!K512=$B$34,1,0))*(IF('Cleaned Data'!H512&lt;&gt;"",1,0))</f>
        <v>67</v>
      </c>
      <c r="C566">
        <f>INDEX('Cleaned Data'!H:H,MATCH($A566,$B$56:$B$1919,0))</f>
        <v>3</v>
      </c>
      <c r="D566">
        <f>INDEX('Cleaned Data'!L:L,MATCH($A566,$B$56:$B$1919,0))</f>
        <v>36000</v>
      </c>
    </row>
    <row r="567" spans="1:4" x14ac:dyDescent="0.25">
      <c r="A567">
        <v>512</v>
      </c>
      <c r="B567">
        <f>B566+IF('Cleaned Data'!L513&gt;0,1,0)*IF($B$34="Overall",1,IF('Cleaned Data'!K513=$B$34,1,0))*(IF('Cleaned Data'!H513&lt;&gt;"",1,0))</f>
        <v>68</v>
      </c>
      <c r="C567">
        <f>INDEX('Cleaned Data'!H:H,MATCH($A567,$B$56:$B$1919,0))</f>
        <v>12</v>
      </c>
      <c r="D567">
        <f>INDEX('Cleaned Data'!L:L,MATCH($A567,$B$56:$B$1919,0))</f>
        <v>35000</v>
      </c>
    </row>
    <row r="568" spans="1:4" x14ac:dyDescent="0.25">
      <c r="A568">
        <v>513</v>
      </c>
      <c r="B568">
        <f>B567+IF('Cleaned Data'!L514&gt;0,1,0)*IF($B$34="Overall",1,IF('Cleaned Data'!K514=$B$34,1,0))*(IF('Cleaned Data'!H514&lt;&gt;"",1,0))</f>
        <v>69</v>
      </c>
      <c r="C568">
        <f>INDEX('Cleaned Data'!H:H,MATCH($A568,$B$56:$B$1919,0))</f>
        <v>0</v>
      </c>
      <c r="D568">
        <f>INDEX('Cleaned Data'!L:L,MATCH($A568,$B$56:$B$1919,0))</f>
        <v>12000</v>
      </c>
    </row>
    <row r="569" spans="1:4" x14ac:dyDescent="0.25">
      <c r="A569">
        <v>514</v>
      </c>
      <c r="B569">
        <f>B568+IF('Cleaned Data'!L515&gt;0,1,0)*IF($B$34="Overall",1,IF('Cleaned Data'!K515=$B$34,1,0))*(IF('Cleaned Data'!H515&lt;&gt;"",1,0))</f>
        <v>70</v>
      </c>
      <c r="C569">
        <f>INDEX('Cleaned Data'!H:H,MATCH($A569,$B$56:$B$1919,0))</f>
        <v>0</v>
      </c>
      <c r="D569">
        <f>INDEX('Cleaned Data'!L:L,MATCH($A569,$B$56:$B$1919,0))</f>
        <v>24000</v>
      </c>
    </row>
    <row r="570" spans="1:4" x14ac:dyDescent="0.25">
      <c r="A570">
        <v>515</v>
      </c>
      <c r="B570">
        <f>B569+IF('Cleaned Data'!L516&gt;0,1,0)*IF($B$34="Overall",1,IF('Cleaned Data'!K516=$B$34,1,0))*(IF('Cleaned Data'!H516&lt;&gt;"",1,0))</f>
        <v>71</v>
      </c>
      <c r="C570">
        <f>INDEX('Cleaned Data'!H:H,MATCH($A570,$B$56:$B$1919,0))</f>
        <v>10</v>
      </c>
      <c r="D570">
        <f>INDEX('Cleaned Data'!L:L,MATCH($A570,$B$56:$B$1919,0))</f>
        <v>15000</v>
      </c>
    </row>
    <row r="571" spans="1:4" x14ac:dyDescent="0.25">
      <c r="A571">
        <v>516</v>
      </c>
      <c r="B571">
        <f>B570+IF('Cleaned Data'!L517&gt;0,1,0)*IF($B$34="Overall",1,IF('Cleaned Data'!K517=$B$34,1,0))*(IF('Cleaned Data'!H517&lt;&gt;"",1,0))</f>
        <v>72</v>
      </c>
      <c r="C571">
        <f>INDEX('Cleaned Data'!H:H,MATCH($A571,$B$56:$B$1919,0))</f>
        <v>0</v>
      </c>
      <c r="D571">
        <f>INDEX('Cleaned Data'!L:L,MATCH($A571,$B$56:$B$1919,0))</f>
        <v>12000</v>
      </c>
    </row>
    <row r="572" spans="1:4" x14ac:dyDescent="0.25">
      <c r="A572">
        <v>517</v>
      </c>
      <c r="B572">
        <f>B571+IF('Cleaned Data'!L518&gt;0,1,0)*IF($B$34="Overall",1,IF('Cleaned Data'!K518=$B$34,1,0))*(IF('Cleaned Data'!H518&lt;&gt;"",1,0))</f>
        <v>73</v>
      </c>
      <c r="C572">
        <f>INDEX('Cleaned Data'!H:H,MATCH($A572,$B$56:$B$1919,0))</f>
        <v>12</v>
      </c>
      <c r="D572">
        <f>INDEX('Cleaned Data'!L:L,MATCH($A572,$B$56:$B$1919,0))</f>
        <v>16800</v>
      </c>
    </row>
    <row r="573" spans="1:4" x14ac:dyDescent="0.25">
      <c r="A573">
        <v>518</v>
      </c>
      <c r="B573">
        <f>B572+IF('Cleaned Data'!L519&gt;0,1,0)*IF($B$34="Overall",1,IF('Cleaned Data'!K519=$B$34,1,0))*(IF('Cleaned Data'!H519&lt;&gt;"",1,0))</f>
        <v>74</v>
      </c>
      <c r="C573">
        <f>INDEX('Cleaned Data'!H:H,MATCH($A573,$B$56:$B$1919,0))</f>
        <v>15</v>
      </c>
      <c r="D573">
        <f>INDEX('Cleaned Data'!L:L,MATCH($A573,$B$56:$B$1919,0))</f>
        <v>5022</v>
      </c>
    </row>
    <row r="574" spans="1:4" x14ac:dyDescent="0.25">
      <c r="A574">
        <v>519</v>
      </c>
      <c r="B574">
        <f>B573+IF('Cleaned Data'!L520&gt;0,1,0)*IF($B$34="Overall",1,IF('Cleaned Data'!K520=$B$34,1,0))*(IF('Cleaned Data'!H520&lt;&gt;"",1,0))</f>
        <v>75</v>
      </c>
      <c r="C574">
        <f>INDEX('Cleaned Data'!H:H,MATCH($A574,$B$56:$B$1919,0))</f>
        <v>2</v>
      </c>
      <c r="D574">
        <f>INDEX('Cleaned Data'!L:L,MATCH($A574,$B$56:$B$1919,0))</f>
        <v>3000</v>
      </c>
    </row>
    <row r="575" spans="1:4" x14ac:dyDescent="0.25">
      <c r="A575">
        <v>520</v>
      </c>
      <c r="B575">
        <f>B574+IF('Cleaned Data'!L521&gt;0,1,0)*IF($B$34="Overall",1,IF('Cleaned Data'!K521=$B$34,1,0))*(IF('Cleaned Data'!H521&lt;&gt;"",1,0))</f>
        <v>76</v>
      </c>
      <c r="C575">
        <f>INDEX('Cleaned Data'!H:H,MATCH($A575,$B$56:$B$1919,0))</f>
        <v>6</v>
      </c>
      <c r="D575">
        <f>INDEX('Cleaned Data'!L:L,MATCH($A575,$B$56:$B$1919,0))</f>
        <v>3480</v>
      </c>
    </row>
    <row r="576" spans="1:4" x14ac:dyDescent="0.25">
      <c r="A576">
        <v>521</v>
      </c>
      <c r="B576">
        <f>B575+IF('Cleaned Data'!L522&gt;0,1,0)*IF($B$34="Overall",1,IF('Cleaned Data'!K522=$B$34,1,0))*(IF('Cleaned Data'!H522&lt;&gt;"",1,0))</f>
        <v>77</v>
      </c>
      <c r="C576">
        <f>INDEX('Cleaned Data'!H:H,MATCH($A576,$B$56:$B$1919,0))</f>
        <v>5</v>
      </c>
      <c r="D576">
        <f>INDEX('Cleaned Data'!L:L,MATCH($A576,$B$56:$B$1919,0))</f>
        <v>10800</v>
      </c>
    </row>
    <row r="577" spans="1:4" x14ac:dyDescent="0.25">
      <c r="A577">
        <v>522</v>
      </c>
      <c r="B577">
        <f>B576+IF('Cleaned Data'!L523&gt;0,1,0)*IF($B$34="Overall",1,IF('Cleaned Data'!K523=$B$34,1,0))*(IF('Cleaned Data'!H523&lt;&gt;"",1,0))</f>
        <v>78</v>
      </c>
      <c r="C577">
        <f>INDEX('Cleaned Data'!H:H,MATCH($A577,$B$56:$B$1919,0))</f>
        <v>15</v>
      </c>
      <c r="D577">
        <f>INDEX('Cleaned Data'!L:L,MATCH($A577,$B$56:$B$1919,0))</f>
        <v>2400</v>
      </c>
    </row>
    <row r="578" spans="1:4" x14ac:dyDescent="0.25">
      <c r="A578">
        <v>523</v>
      </c>
      <c r="B578">
        <f>B577+IF('Cleaned Data'!L524&gt;0,1,0)*IF($B$34="Overall",1,IF('Cleaned Data'!K524=$B$34,1,0))*(IF('Cleaned Data'!H524&lt;&gt;"",1,0))</f>
        <v>79</v>
      </c>
      <c r="C578">
        <f>INDEX('Cleaned Data'!H:H,MATCH($A578,$B$56:$B$1919,0))</f>
        <v>4</v>
      </c>
      <c r="D578">
        <f>INDEX('Cleaned Data'!L:L,MATCH($A578,$B$56:$B$1919,0))</f>
        <v>3500</v>
      </c>
    </row>
    <row r="579" spans="1:4" x14ac:dyDescent="0.25">
      <c r="A579">
        <v>524</v>
      </c>
      <c r="B579">
        <f>B578+IF('Cleaned Data'!L525&gt;0,1,0)*IF($B$34="Overall",1,IF('Cleaned Data'!K525=$B$34,1,0))*(IF('Cleaned Data'!H525&lt;&gt;"",1,0))</f>
        <v>80</v>
      </c>
      <c r="C579">
        <f>INDEX('Cleaned Data'!H:H,MATCH($A579,$B$56:$B$1919,0))</f>
        <v>18</v>
      </c>
      <c r="D579">
        <f>INDEX('Cleaned Data'!L:L,MATCH($A579,$B$56:$B$1919,0))</f>
        <v>8725</v>
      </c>
    </row>
    <row r="580" spans="1:4" x14ac:dyDescent="0.25">
      <c r="A580">
        <v>525</v>
      </c>
      <c r="B580">
        <f>B579+IF('Cleaned Data'!L526&gt;0,1,0)*IF($B$34="Overall",1,IF('Cleaned Data'!K526=$B$34,1,0))*(IF('Cleaned Data'!H526&lt;&gt;"",1,0))</f>
        <v>81</v>
      </c>
      <c r="C580">
        <f>INDEX('Cleaned Data'!H:H,MATCH($A580,$B$56:$B$1919,0))</f>
        <v>15</v>
      </c>
      <c r="D580">
        <f>INDEX('Cleaned Data'!L:L,MATCH($A580,$B$56:$B$1919,0))</f>
        <v>40000</v>
      </c>
    </row>
    <row r="581" spans="1:4" x14ac:dyDescent="0.25">
      <c r="A581">
        <v>526</v>
      </c>
      <c r="B581">
        <f>B580+IF('Cleaned Data'!L527&gt;0,1,0)*IF($B$34="Overall",1,IF('Cleaned Data'!K527=$B$34,1,0))*(IF('Cleaned Data'!H527&lt;&gt;"",1,0))</f>
        <v>82</v>
      </c>
      <c r="C581">
        <f>INDEX('Cleaned Data'!H:H,MATCH($A581,$B$56:$B$1919,0))</f>
        <v>1</v>
      </c>
      <c r="D581">
        <f>INDEX('Cleaned Data'!L:L,MATCH($A581,$B$56:$B$1919,0))</f>
        <v>12000</v>
      </c>
    </row>
    <row r="582" spans="1:4" x14ac:dyDescent="0.25">
      <c r="A582">
        <v>527</v>
      </c>
      <c r="B582">
        <f>B581+IF('Cleaned Data'!L528&gt;0,1,0)*IF($B$34="Overall",1,IF('Cleaned Data'!K528=$B$34,1,0))*(IF('Cleaned Data'!H528&lt;&gt;"",1,0))</f>
        <v>83</v>
      </c>
      <c r="C582">
        <f>INDEX('Cleaned Data'!H:H,MATCH($A582,$B$56:$B$1919,0))</f>
        <v>8</v>
      </c>
      <c r="D582">
        <f>INDEX('Cleaned Data'!L:L,MATCH($A582,$B$56:$B$1919,0))</f>
        <v>45000</v>
      </c>
    </row>
    <row r="583" spans="1:4" x14ac:dyDescent="0.25">
      <c r="A583">
        <v>528</v>
      </c>
      <c r="B583">
        <f>B582+IF('Cleaned Data'!L529&gt;0,1,0)*IF($B$34="Overall",1,IF('Cleaned Data'!K529=$B$34,1,0))*(IF('Cleaned Data'!H529&lt;&gt;"",1,0))</f>
        <v>84</v>
      </c>
      <c r="C583">
        <f>INDEX('Cleaned Data'!H:H,MATCH($A583,$B$56:$B$1919,0))</f>
        <v>5</v>
      </c>
      <c r="D583">
        <f>INDEX('Cleaned Data'!L:L,MATCH($A583,$B$56:$B$1919,0))</f>
        <v>5300</v>
      </c>
    </row>
    <row r="584" spans="1:4" x14ac:dyDescent="0.25">
      <c r="A584">
        <v>529</v>
      </c>
      <c r="B584">
        <f>B583+IF('Cleaned Data'!L530&gt;0,1,0)*IF($B$34="Overall",1,IF('Cleaned Data'!K530=$B$34,1,0))*(IF('Cleaned Data'!H530&lt;&gt;"",1,0))</f>
        <v>85</v>
      </c>
      <c r="C584">
        <f>INDEX('Cleaned Data'!H:H,MATCH($A584,$B$56:$B$1919,0))</f>
        <v>5</v>
      </c>
      <c r="D584">
        <f>INDEX('Cleaned Data'!L:L,MATCH($A584,$B$56:$B$1919,0))</f>
        <v>30000</v>
      </c>
    </row>
    <row r="585" spans="1:4" x14ac:dyDescent="0.25">
      <c r="A585">
        <v>530</v>
      </c>
      <c r="B585">
        <f>B584+IF('Cleaned Data'!L531&gt;0,1,0)*IF($B$34="Overall",1,IF('Cleaned Data'!K531=$B$34,1,0))*(IF('Cleaned Data'!H531&lt;&gt;"",1,0))</f>
        <v>86</v>
      </c>
      <c r="C585">
        <f>INDEX('Cleaned Data'!H:H,MATCH($A585,$B$56:$B$1919,0))</f>
        <v>6</v>
      </c>
      <c r="D585">
        <f>INDEX('Cleaned Data'!L:L,MATCH($A585,$B$56:$B$1919,0))</f>
        <v>4500</v>
      </c>
    </row>
    <row r="586" spans="1:4" x14ac:dyDescent="0.25">
      <c r="A586">
        <v>531</v>
      </c>
      <c r="B586">
        <f>B585+IF('Cleaned Data'!L532&gt;0,1,0)*IF($B$34="Overall",1,IF('Cleaned Data'!K532=$B$34,1,0))*(IF('Cleaned Data'!H532&lt;&gt;"",1,0))</f>
        <v>87</v>
      </c>
      <c r="C586">
        <f>INDEX('Cleaned Data'!H:H,MATCH($A586,$B$56:$B$1919,0))</f>
        <v>8</v>
      </c>
      <c r="D586">
        <f>INDEX('Cleaned Data'!L:L,MATCH($A586,$B$56:$B$1919,0))</f>
        <v>15840</v>
      </c>
    </row>
    <row r="587" spans="1:4" x14ac:dyDescent="0.25">
      <c r="A587">
        <v>532</v>
      </c>
      <c r="B587">
        <f>B586+IF('Cleaned Data'!L533&gt;0,1,0)*IF($B$34="Overall",1,IF('Cleaned Data'!K533=$B$34,1,0))*(IF('Cleaned Data'!H533&lt;&gt;"",1,0))</f>
        <v>88</v>
      </c>
      <c r="C587">
        <f>INDEX('Cleaned Data'!H:H,MATCH($A587,$B$56:$B$1919,0))</f>
        <v>20</v>
      </c>
      <c r="D587">
        <f>INDEX('Cleaned Data'!L:L,MATCH($A587,$B$56:$B$1919,0))</f>
        <v>19068</v>
      </c>
    </row>
    <row r="588" spans="1:4" x14ac:dyDescent="0.25">
      <c r="A588">
        <v>533</v>
      </c>
      <c r="B588">
        <f>B587+IF('Cleaned Data'!L534&gt;0,1,0)*IF($B$34="Overall",1,IF('Cleaned Data'!K534=$B$34,1,0))*(IF('Cleaned Data'!H534&lt;&gt;"",1,0))</f>
        <v>89</v>
      </c>
      <c r="C588">
        <f>INDEX('Cleaned Data'!H:H,MATCH($A588,$B$56:$B$1919,0))</f>
        <v>12</v>
      </c>
      <c r="D588">
        <f>INDEX('Cleaned Data'!L:L,MATCH($A588,$B$56:$B$1919,0))</f>
        <v>18060</v>
      </c>
    </row>
    <row r="589" spans="1:4" x14ac:dyDescent="0.25">
      <c r="A589">
        <v>534</v>
      </c>
      <c r="B589">
        <f>B588+IF('Cleaned Data'!L535&gt;0,1,0)*IF($B$34="Overall",1,IF('Cleaned Data'!K535=$B$34,1,0))*(IF('Cleaned Data'!H535&lt;&gt;"",1,0))</f>
        <v>90</v>
      </c>
      <c r="C589">
        <f>INDEX('Cleaned Data'!H:H,MATCH($A589,$B$56:$B$1919,0))</f>
        <v>7</v>
      </c>
      <c r="D589">
        <f>INDEX('Cleaned Data'!L:L,MATCH($A589,$B$56:$B$1919,0))</f>
        <v>12500</v>
      </c>
    </row>
    <row r="590" spans="1:4" x14ac:dyDescent="0.25">
      <c r="A590">
        <v>535</v>
      </c>
      <c r="B590">
        <f>B589+IF('Cleaned Data'!L536&gt;0,1,0)*IF($B$34="Overall",1,IF('Cleaned Data'!K536=$B$34,1,0))*(IF('Cleaned Data'!H536&lt;&gt;"",1,0))</f>
        <v>91</v>
      </c>
      <c r="C590">
        <f>INDEX('Cleaned Data'!H:H,MATCH($A590,$B$56:$B$1919,0))</f>
        <v>3</v>
      </c>
      <c r="D590">
        <f>INDEX('Cleaned Data'!L:L,MATCH($A590,$B$56:$B$1919,0))</f>
        <v>4019</v>
      </c>
    </row>
    <row r="591" spans="1:4" x14ac:dyDescent="0.25">
      <c r="A591">
        <v>536</v>
      </c>
      <c r="B591">
        <f>B590+IF('Cleaned Data'!L537&gt;0,1,0)*IF($B$34="Overall",1,IF('Cleaned Data'!K537=$B$34,1,0))*(IF('Cleaned Data'!H537&lt;&gt;"",1,0))</f>
        <v>92</v>
      </c>
      <c r="C591">
        <f>INDEX('Cleaned Data'!H:H,MATCH($A591,$B$56:$B$1919,0))</f>
        <v>15</v>
      </c>
      <c r="D591">
        <f>INDEX('Cleaned Data'!L:L,MATCH($A591,$B$56:$B$1919,0))</f>
        <v>12000</v>
      </c>
    </row>
    <row r="592" spans="1:4" x14ac:dyDescent="0.25">
      <c r="A592">
        <v>537</v>
      </c>
      <c r="B592">
        <f>B591+IF('Cleaned Data'!L538&gt;0,1,0)*IF($B$34="Overall",1,IF('Cleaned Data'!K538=$B$34,1,0))*(IF('Cleaned Data'!H538&lt;&gt;"",1,0))</f>
        <v>93</v>
      </c>
      <c r="C592">
        <f>INDEX('Cleaned Data'!H:H,MATCH($A592,$B$56:$B$1919,0))</f>
        <v>20</v>
      </c>
      <c r="D592">
        <f>INDEX('Cleaned Data'!L:L,MATCH($A592,$B$56:$B$1919,0))</f>
        <v>13800</v>
      </c>
    </row>
    <row r="593" spans="1:4" x14ac:dyDescent="0.25">
      <c r="A593">
        <v>538</v>
      </c>
      <c r="B593">
        <f>B592+IF('Cleaned Data'!L539&gt;0,1,0)*IF($B$34="Overall",1,IF('Cleaned Data'!K539=$B$34,1,0))*(IF('Cleaned Data'!H539&lt;&gt;"",1,0))</f>
        <v>94</v>
      </c>
      <c r="C593">
        <f>INDEX('Cleaned Data'!H:H,MATCH($A593,$B$56:$B$1919,0))</f>
        <v>4.5</v>
      </c>
      <c r="D593">
        <f>INDEX('Cleaned Data'!L:L,MATCH($A593,$B$56:$B$1919,0))</f>
        <v>11000</v>
      </c>
    </row>
    <row r="594" spans="1:4" x14ac:dyDescent="0.25">
      <c r="A594">
        <v>539</v>
      </c>
      <c r="B594">
        <f>B593+IF('Cleaned Data'!L540&gt;0,1,0)*IF($B$34="Overall",1,IF('Cleaned Data'!K540=$B$34,1,0))*(IF('Cleaned Data'!H540&lt;&gt;"",1,0))</f>
        <v>95</v>
      </c>
      <c r="C594">
        <f>INDEX('Cleaned Data'!H:H,MATCH($A594,$B$56:$B$1919,0))</f>
        <v>10</v>
      </c>
      <c r="D594">
        <f>INDEX('Cleaned Data'!L:L,MATCH($A594,$B$56:$B$1919,0))</f>
        <v>85000</v>
      </c>
    </row>
    <row r="595" spans="1:4" x14ac:dyDescent="0.25">
      <c r="A595">
        <v>540</v>
      </c>
      <c r="B595">
        <f>B594+IF('Cleaned Data'!L541&gt;0,1,0)*IF($B$34="Overall",1,IF('Cleaned Data'!K541=$B$34,1,0))*(IF('Cleaned Data'!H541&lt;&gt;"",1,0))</f>
        <v>96</v>
      </c>
      <c r="C595">
        <f>INDEX('Cleaned Data'!H:H,MATCH($A595,$B$56:$B$1919,0))</f>
        <v>0</v>
      </c>
      <c r="D595">
        <f>INDEX('Cleaned Data'!L:L,MATCH($A595,$B$56:$B$1919,0))</f>
        <v>138000</v>
      </c>
    </row>
    <row r="596" spans="1:4" x14ac:dyDescent="0.25">
      <c r="A596">
        <v>541</v>
      </c>
      <c r="B596">
        <f>B595+IF('Cleaned Data'!L542&gt;0,1,0)*IF($B$34="Overall",1,IF('Cleaned Data'!K542=$B$34,1,0))*(IF('Cleaned Data'!H542&lt;&gt;"",1,0))</f>
        <v>97</v>
      </c>
      <c r="C596">
        <f>INDEX('Cleaned Data'!H:H,MATCH($A596,$B$56:$B$1919,0))</f>
        <v>10</v>
      </c>
      <c r="D596">
        <f>INDEX('Cleaned Data'!L:L,MATCH($A596,$B$56:$B$1919,0))</f>
        <v>70000</v>
      </c>
    </row>
    <row r="597" spans="1:4" x14ac:dyDescent="0.25">
      <c r="A597">
        <v>542</v>
      </c>
      <c r="B597">
        <f>B596+IF('Cleaned Data'!L543&gt;0,1,0)*IF($B$34="Overall",1,IF('Cleaned Data'!K543=$B$34,1,0))*(IF('Cleaned Data'!H543&lt;&gt;"",1,0))</f>
        <v>98</v>
      </c>
      <c r="C597">
        <f>INDEX('Cleaned Data'!H:H,MATCH($A597,$B$56:$B$1919,0))</f>
        <v>4</v>
      </c>
      <c r="D597">
        <f>INDEX('Cleaned Data'!L:L,MATCH($A597,$B$56:$B$1919,0))</f>
        <v>10000</v>
      </c>
    </row>
    <row r="598" spans="1:4" x14ac:dyDescent="0.25">
      <c r="A598">
        <v>543</v>
      </c>
      <c r="B598">
        <f>B597+IF('Cleaned Data'!L544&gt;0,1,0)*IF($B$34="Overall",1,IF('Cleaned Data'!K544=$B$34,1,0))*(IF('Cleaned Data'!H544&lt;&gt;"",1,0))</f>
        <v>99</v>
      </c>
      <c r="C598" t="e">
        <f>INDEX('Cleaned Data'!H:H,MATCH($A598,$B$56:$B$1919,0))</f>
        <v>#N/A</v>
      </c>
      <c r="D598" t="e">
        <f>INDEX('Cleaned Data'!L:L,MATCH($A598,$B$56:$B$1919,0))</f>
        <v>#N/A</v>
      </c>
    </row>
    <row r="599" spans="1:4" x14ac:dyDescent="0.25">
      <c r="A599">
        <v>544</v>
      </c>
      <c r="B599">
        <f>B598+IF('Cleaned Data'!L545&gt;0,1,0)*IF($B$34="Overall",1,IF('Cleaned Data'!K545=$B$34,1,0))*(IF('Cleaned Data'!H545&lt;&gt;"",1,0))</f>
        <v>100</v>
      </c>
      <c r="C599" t="e">
        <f>INDEX('Cleaned Data'!H:H,MATCH($A599,$B$56:$B$1919,0))</f>
        <v>#N/A</v>
      </c>
      <c r="D599" t="e">
        <f>INDEX('Cleaned Data'!L:L,MATCH($A599,$B$56:$B$1919,0))</f>
        <v>#N/A</v>
      </c>
    </row>
    <row r="600" spans="1:4" x14ac:dyDescent="0.25">
      <c r="A600">
        <v>545</v>
      </c>
      <c r="B600">
        <f>B599+IF('Cleaned Data'!L546&gt;0,1,0)*IF($B$34="Overall",1,IF('Cleaned Data'!K546=$B$34,1,0))*(IF('Cleaned Data'!H546&lt;&gt;"",1,0))</f>
        <v>101</v>
      </c>
      <c r="C600" t="e">
        <f>INDEX('Cleaned Data'!H:H,MATCH($A600,$B$56:$B$1919,0))</f>
        <v>#N/A</v>
      </c>
      <c r="D600" t="e">
        <f>INDEX('Cleaned Data'!L:L,MATCH($A600,$B$56:$B$1919,0))</f>
        <v>#N/A</v>
      </c>
    </row>
    <row r="601" spans="1:4" x14ac:dyDescent="0.25">
      <c r="A601">
        <v>546</v>
      </c>
      <c r="B601">
        <f>B600+IF('Cleaned Data'!L547&gt;0,1,0)*IF($B$34="Overall",1,IF('Cleaned Data'!K547=$B$34,1,0))*(IF('Cleaned Data'!H547&lt;&gt;"",1,0))</f>
        <v>102</v>
      </c>
      <c r="C601" t="e">
        <f>INDEX('Cleaned Data'!H:H,MATCH($A601,$B$56:$B$1919,0))</f>
        <v>#N/A</v>
      </c>
      <c r="D601" t="e">
        <f>INDEX('Cleaned Data'!L:L,MATCH($A601,$B$56:$B$1919,0))</f>
        <v>#N/A</v>
      </c>
    </row>
    <row r="602" spans="1:4" x14ac:dyDescent="0.25">
      <c r="A602">
        <v>547</v>
      </c>
      <c r="B602">
        <f>B601+IF('Cleaned Data'!L548&gt;0,1,0)*IF($B$34="Overall",1,IF('Cleaned Data'!K548=$B$34,1,0))*(IF('Cleaned Data'!H548&lt;&gt;"",1,0))</f>
        <v>103</v>
      </c>
      <c r="C602" t="e">
        <f>INDEX('Cleaned Data'!H:H,MATCH($A602,$B$56:$B$1919,0))</f>
        <v>#N/A</v>
      </c>
      <c r="D602" t="e">
        <f>INDEX('Cleaned Data'!L:L,MATCH($A602,$B$56:$B$1919,0))</f>
        <v>#N/A</v>
      </c>
    </row>
    <row r="603" spans="1:4" x14ac:dyDescent="0.25">
      <c r="A603">
        <v>548</v>
      </c>
      <c r="B603">
        <f>B602+IF('Cleaned Data'!L549&gt;0,1,0)*IF($B$34="Overall",1,IF('Cleaned Data'!K549=$B$34,1,0))*(IF('Cleaned Data'!H549&lt;&gt;"",1,0))</f>
        <v>104</v>
      </c>
      <c r="C603" t="e">
        <f>INDEX('Cleaned Data'!H:H,MATCH($A603,$B$56:$B$1919,0))</f>
        <v>#N/A</v>
      </c>
      <c r="D603" t="e">
        <f>INDEX('Cleaned Data'!L:L,MATCH($A603,$B$56:$B$1919,0))</f>
        <v>#N/A</v>
      </c>
    </row>
    <row r="604" spans="1:4" x14ac:dyDescent="0.25">
      <c r="A604">
        <v>549</v>
      </c>
      <c r="B604">
        <f>B603+IF('Cleaned Data'!L550&gt;0,1,0)*IF($B$34="Overall",1,IF('Cleaned Data'!K550=$B$34,1,0))*(IF('Cleaned Data'!H550&lt;&gt;"",1,0))</f>
        <v>105</v>
      </c>
      <c r="C604" t="e">
        <f>INDEX('Cleaned Data'!H:H,MATCH($A604,$B$56:$B$1919,0))</f>
        <v>#N/A</v>
      </c>
      <c r="D604" t="e">
        <f>INDEX('Cleaned Data'!L:L,MATCH($A604,$B$56:$B$1919,0))</f>
        <v>#N/A</v>
      </c>
    </row>
    <row r="605" spans="1:4" x14ac:dyDescent="0.25">
      <c r="A605">
        <v>550</v>
      </c>
      <c r="B605">
        <f>B604+IF('Cleaned Data'!L551&gt;0,1,0)*IF($B$34="Overall",1,IF('Cleaned Data'!K551=$B$34,1,0))*(IF('Cleaned Data'!H551&lt;&gt;"",1,0))</f>
        <v>106</v>
      </c>
      <c r="C605" t="e">
        <f>INDEX('Cleaned Data'!H:H,MATCH($A605,$B$56:$B$1919,0))</f>
        <v>#N/A</v>
      </c>
      <c r="D605" t="e">
        <f>INDEX('Cleaned Data'!L:L,MATCH($A605,$B$56:$B$1919,0))</f>
        <v>#N/A</v>
      </c>
    </row>
    <row r="606" spans="1:4" x14ac:dyDescent="0.25">
      <c r="A606">
        <v>551</v>
      </c>
      <c r="B606">
        <f>B605+IF('Cleaned Data'!L552&gt;0,1,0)*IF($B$34="Overall",1,IF('Cleaned Data'!K552=$B$34,1,0))*(IF('Cleaned Data'!H552&lt;&gt;"",1,0))</f>
        <v>107</v>
      </c>
      <c r="C606" t="e">
        <f>INDEX('Cleaned Data'!H:H,MATCH($A606,$B$56:$B$1919,0))</f>
        <v>#N/A</v>
      </c>
      <c r="D606" t="e">
        <f>INDEX('Cleaned Data'!L:L,MATCH($A606,$B$56:$B$1919,0))</f>
        <v>#N/A</v>
      </c>
    </row>
    <row r="607" spans="1:4" x14ac:dyDescent="0.25">
      <c r="A607">
        <v>552</v>
      </c>
      <c r="B607">
        <f>B606+IF('Cleaned Data'!L553&gt;0,1,0)*IF($B$34="Overall",1,IF('Cleaned Data'!K553=$B$34,1,0))*(IF('Cleaned Data'!H553&lt;&gt;"",1,0))</f>
        <v>108</v>
      </c>
      <c r="C607" t="e">
        <f>INDEX('Cleaned Data'!H:H,MATCH($A607,$B$56:$B$1919,0))</f>
        <v>#N/A</v>
      </c>
      <c r="D607" t="e">
        <f>INDEX('Cleaned Data'!L:L,MATCH($A607,$B$56:$B$1919,0))</f>
        <v>#N/A</v>
      </c>
    </row>
    <row r="608" spans="1:4" x14ac:dyDescent="0.25">
      <c r="A608">
        <v>553</v>
      </c>
      <c r="B608">
        <f>B607+IF('Cleaned Data'!L554&gt;0,1,0)*IF($B$34="Overall",1,IF('Cleaned Data'!K554=$B$34,1,0))*(IF('Cleaned Data'!H554&lt;&gt;"",1,0))</f>
        <v>109</v>
      </c>
      <c r="C608" t="e">
        <f>INDEX('Cleaned Data'!H:H,MATCH($A608,$B$56:$B$1919,0))</f>
        <v>#N/A</v>
      </c>
      <c r="D608" t="e">
        <f>INDEX('Cleaned Data'!L:L,MATCH($A608,$B$56:$B$1919,0))</f>
        <v>#N/A</v>
      </c>
    </row>
    <row r="609" spans="1:4" x14ac:dyDescent="0.25">
      <c r="A609">
        <v>554</v>
      </c>
      <c r="B609">
        <f>B608+IF('Cleaned Data'!L555&gt;0,1,0)*IF($B$34="Overall",1,IF('Cleaned Data'!K555=$B$34,1,0))*(IF('Cleaned Data'!H555&lt;&gt;"",1,0))</f>
        <v>110</v>
      </c>
      <c r="C609" t="e">
        <f>INDEX('Cleaned Data'!H:H,MATCH($A609,$B$56:$B$1919,0))</f>
        <v>#N/A</v>
      </c>
      <c r="D609" t="e">
        <f>INDEX('Cleaned Data'!L:L,MATCH($A609,$B$56:$B$1919,0))</f>
        <v>#N/A</v>
      </c>
    </row>
    <row r="610" spans="1:4" x14ac:dyDescent="0.25">
      <c r="A610">
        <v>555</v>
      </c>
      <c r="B610">
        <f>B609+IF('Cleaned Data'!L556&gt;0,1,0)*IF($B$34="Overall",1,IF('Cleaned Data'!K556=$B$34,1,0))*(IF('Cleaned Data'!H556&lt;&gt;"",1,0))</f>
        <v>111</v>
      </c>
      <c r="C610" t="e">
        <f>INDEX('Cleaned Data'!H:H,MATCH($A610,$B$56:$B$1919,0))</f>
        <v>#N/A</v>
      </c>
      <c r="D610" t="e">
        <f>INDEX('Cleaned Data'!L:L,MATCH($A610,$B$56:$B$1919,0))</f>
        <v>#N/A</v>
      </c>
    </row>
    <row r="611" spans="1:4" x14ac:dyDescent="0.25">
      <c r="A611">
        <v>556</v>
      </c>
      <c r="B611">
        <f>B610+IF('Cleaned Data'!L557&gt;0,1,0)*IF($B$34="Overall",1,IF('Cleaned Data'!K557=$B$34,1,0))*(IF('Cleaned Data'!H557&lt;&gt;"",1,0))</f>
        <v>112</v>
      </c>
      <c r="C611" t="e">
        <f>INDEX('Cleaned Data'!H:H,MATCH($A611,$B$56:$B$1919,0))</f>
        <v>#N/A</v>
      </c>
      <c r="D611" t="e">
        <f>INDEX('Cleaned Data'!L:L,MATCH($A611,$B$56:$B$1919,0))</f>
        <v>#N/A</v>
      </c>
    </row>
    <row r="612" spans="1:4" x14ac:dyDescent="0.25">
      <c r="A612">
        <v>557</v>
      </c>
      <c r="B612">
        <f>B611+IF('Cleaned Data'!L558&gt;0,1,0)*IF($B$34="Overall",1,IF('Cleaned Data'!K558=$B$34,1,0))*(IF('Cleaned Data'!H558&lt;&gt;"",1,0))</f>
        <v>113</v>
      </c>
      <c r="C612" t="e">
        <f>INDEX('Cleaned Data'!H:H,MATCH($A612,$B$56:$B$1919,0))</f>
        <v>#N/A</v>
      </c>
      <c r="D612" t="e">
        <f>INDEX('Cleaned Data'!L:L,MATCH($A612,$B$56:$B$1919,0))</f>
        <v>#N/A</v>
      </c>
    </row>
    <row r="613" spans="1:4" x14ac:dyDescent="0.25">
      <c r="A613">
        <v>558</v>
      </c>
      <c r="B613">
        <f>B612+IF('Cleaned Data'!L559&gt;0,1,0)*IF($B$34="Overall",1,IF('Cleaned Data'!K559=$B$34,1,0))*(IF('Cleaned Data'!H559&lt;&gt;"",1,0))</f>
        <v>114</v>
      </c>
      <c r="C613" t="e">
        <f>INDEX('Cleaned Data'!H:H,MATCH($A613,$B$56:$B$1919,0))</f>
        <v>#N/A</v>
      </c>
      <c r="D613" t="e">
        <f>INDEX('Cleaned Data'!L:L,MATCH($A613,$B$56:$B$1919,0))</f>
        <v>#N/A</v>
      </c>
    </row>
    <row r="614" spans="1:4" x14ac:dyDescent="0.25">
      <c r="A614">
        <v>559</v>
      </c>
      <c r="B614">
        <f>B613+IF('Cleaned Data'!L560&gt;0,1,0)*IF($B$34="Overall",1,IF('Cleaned Data'!K560=$B$34,1,0))*(IF('Cleaned Data'!H560&lt;&gt;"",1,0))</f>
        <v>115</v>
      </c>
      <c r="C614" t="e">
        <f>INDEX('Cleaned Data'!H:H,MATCH($A614,$B$56:$B$1919,0))</f>
        <v>#N/A</v>
      </c>
      <c r="D614" t="e">
        <f>INDEX('Cleaned Data'!L:L,MATCH($A614,$B$56:$B$1919,0))</f>
        <v>#N/A</v>
      </c>
    </row>
    <row r="615" spans="1:4" x14ac:dyDescent="0.25">
      <c r="A615">
        <v>560</v>
      </c>
      <c r="B615">
        <f>B614+IF('Cleaned Data'!L561&gt;0,1,0)*IF($B$34="Overall",1,IF('Cleaned Data'!K561=$B$34,1,0))*(IF('Cleaned Data'!H561&lt;&gt;"",1,0))</f>
        <v>116</v>
      </c>
      <c r="C615" t="e">
        <f>INDEX('Cleaned Data'!H:H,MATCH($A615,$B$56:$B$1919,0))</f>
        <v>#N/A</v>
      </c>
      <c r="D615" t="e">
        <f>INDEX('Cleaned Data'!L:L,MATCH($A615,$B$56:$B$1919,0))</f>
        <v>#N/A</v>
      </c>
    </row>
    <row r="616" spans="1:4" x14ac:dyDescent="0.25">
      <c r="A616">
        <v>561</v>
      </c>
      <c r="B616">
        <f>B615+IF('Cleaned Data'!L562&gt;0,1,0)*IF($B$34="Overall",1,IF('Cleaned Data'!K562=$B$34,1,0))*(IF('Cleaned Data'!H562&lt;&gt;"",1,0))</f>
        <v>117</v>
      </c>
      <c r="C616" t="e">
        <f>INDEX('Cleaned Data'!H:H,MATCH($A616,$B$56:$B$1919,0))</f>
        <v>#N/A</v>
      </c>
      <c r="D616" t="e">
        <f>INDEX('Cleaned Data'!L:L,MATCH($A616,$B$56:$B$1919,0))</f>
        <v>#N/A</v>
      </c>
    </row>
    <row r="617" spans="1:4" x14ac:dyDescent="0.25">
      <c r="A617">
        <v>562</v>
      </c>
      <c r="B617">
        <f>B616+IF('Cleaned Data'!L563&gt;0,1,0)*IF($B$34="Overall",1,IF('Cleaned Data'!K563=$B$34,1,0))*(IF('Cleaned Data'!H563&lt;&gt;"",1,0))</f>
        <v>118</v>
      </c>
      <c r="C617" t="e">
        <f>INDEX('Cleaned Data'!H:H,MATCH($A617,$B$56:$B$1919,0))</f>
        <v>#N/A</v>
      </c>
      <c r="D617" t="e">
        <f>INDEX('Cleaned Data'!L:L,MATCH($A617,$B$56:$B$1919,0))</f>
        <v>#N/A</v>
      </c>
    </row>
    <row r="618" spans="1:4" x14ac:dyDescent="0.25">
      <c r="A618">
        <v>563</v>
      </c>
      <c r="B618">
        <f>B617+IF('Cleaned Data'!L564&gt;0,1,0)*IF($B$34="Overall",1,IF('Cleaned Data'!K564=$B$34,1,0))*(IF('Cleaned Data'!H564&lt;&gt;"",1,0))</f>
        <v>119</v>
      </c>
      <c r="C618" t="e">
        <f>INDEX('Cleaned Data'!H:H,MATCH($A618,$B$56:$B$1919,0))</f>
        <v>#N/A</v>
      </c>
      <c r="D618" t="e">
        <f>INDEX('Cleaned Data'!L:L,MATCH($A618,$B$56:$B$1919,0))</f>
        <v>#N/A</v>
      </c>
    </row>
    <row r="619" spans="1:4" x14ac:dyDescent="0.25">
      <c r="A619">
        <v>564</v>
      </c>
      <c r="B619">
        <f>B618+IF('Cleaned Data'!L565&gt;0,1,0)*IF($B$34="Overall",1,IF('Cleaned Data'!K565=$B$34,1,0))*(IF('Cleaned Data'!H565&lt;&gt;"",1,0))</f>
        <v>120</v>
      </c>
      <c r="C619" t="e">
        <f>INDEX('Cleaned Data'!H:H,MATCH($A619,$B$56:$B$1919,0))</f>
        <v>#N/A</v>
      </c>
      <c r="D619" t="e">
        <f>INDEX('Cleaned Data'!L:L,MATCH($A619,$B$56:$B$1919,0))</f>
        <v>#N/A</v>
      </c>
    </row>
    <row r="620" spans="1:4" x14ac:dyDescent="0.25">
      <c r="A620">
        <v>565</v>
      </c>
      <c r="B620">
        <f>B619+IF('Cleaned Data'!L566&gt;0,1,0)*IF($B$34="Overall",1,IF('Cleaned Data'!K566=$B$34,1,0))*(IF('Cleaned Data'!H566&lt;&gt;"",1,0))</f>
        <v>121</v>
      </c>
      <c r="C620" t="e">
        <f>INDEX('Cleaned Data'!H:H,MATCH($A620,$B$56:$B$1919,0))</f>
        <v>#N/A</v>
      </c>
      <c r="D620" t="e">
        <f>INDEX('Cleaned Data'!L:L,MATCH($A620,$B$56:$B$1919,0))</f>
        <v>#N/A</v>
      </c>
    </row>
    <row r="621" spans="1:4" x14ac:dyDescent="0.25">
      <c r="A621">
        <v>566</v>
      </c>
      <c r="B621">
        <f>B620+IF('Cleaned Data'!L567&gt;0,1,0)*IF($B$34="Overall",1,IF('Cleaned Data'!K567=$B$34,1,0))*(IF('Cleaned Data'!H567&lt;&gt;"",1,0))</f>
        <v>122</v>
      </c>
      <c r="C621" t="e">
        <f>INDEX('Cleaned Data'!H:H,MATCH($A621,$B$56:$B$1919,0))</f>
        <v>#N/A</v>
      </c>
      <c r="D621" t="e">
        <f>INDEX('Cleaned Data'!L:L,MATCH($A621,$B$56:$B$1919,0))</f>
        <v>#N/A</v>
      </c>
    </row>
    <row r="622" spans="1:4" x14ac:dyDescent="0.25">
      <c r="A622">
        <v>567</v>
      </c>
      <c r="B622">
        <f>B621+IF('Cleaned Data'!L568&gt;0,1,0)*IF($B$34="Overall",1,IF('Cleaned Data'!K568=$B$34,1,0))*(IF('Cleaned Data'!H568&lt;&gt;"",1,0))</f>
        <v>123</v>
      </c>
      <c r="C622" t="e">
        <f>INDEX('Cleaned Data'!H:H,MATCH($A622,$B$56:$B$1919,0))</f>
        <v>#N/A</v>
      </c>
      <c r="D622" t="e">
        <f>INDEX('Cleaned Data'!L:L,MATCH($A622,$B$56:$B$1919,0))</f>
        <v>#N/A</v>
      </c>
    </row>
    <row r="623" spans="1:4" x14ac:dyDescent="0.25">
      <c r="A623">
        <v>568</v>
      </c>
      <c r="B623">
        <f>B622+IF('Cleaned Data'!L569&gt;0,1,0)*IF($B$34="Overall",1,IF('Cleaned Data'!K569=$B$34,1,0))*(IF('Cleaned Data'!H569&lt;&gt;"",1,0))</f>
        <v>124</v>
      </c>
      <c r="C623" t="e">
        <f>INDEX('Cleaned Data'!H:H,MATCH($A623,$B$56:$B$1919,0))</f>
        <v>#N/A</v>
      </c>
      <c r="D623" t="e">
        <f>INDEX('Cleaned Data'!L:L,MATCH($A623,$B$56:$B$1919,0))</f>
        <v>#N/A</v>
      </c>
    </row>
    <row r="624" spans="1:4" x14ac:dyDescent="0.25">
      <c r="A624">
        <v>569</v>
      </c>
      <c r="B624">
        <f>B623+IF('Cleaned Data'!L570&gt;0,1,0)*IF($B$34="Overall",1,IF('Cleaned Data'!K570=$B$34,1,0))*(IF('Cleaned Data'!H570&lt;&gt;"",1,0))</f>
        <v>125</v>
      </c>
      <c r="C624" t="e">
        <f>INDEX('Cleaned Data'!H:H,MATCH($A624,$B$56:$B$1919,0))</f>
        <v>#N/A</v>
      </c>
      <c r="D624" t="e">
        <f>INDEX('Cleaned Data'!L:L,MATCH($A624,$B$56:$B$1919,0))</f>
        <v>#N/A</v>
      </c>
    </row>
    <row r="625" spans="1:4" x14ac:dyDescent="0.25">
      <c r="A625">
        <v>570</v>
      </c>
      <c r="B625">
        <f>B624+IF('Cleaned Data'!L571&gt;0,1,0)*IF($B$34="Overall",1,IF('Cleaned Data'!K571=$B$34,1,0))*(IF('Cleaned Data'!H571&lt;&gt;"",1,0))</f>
        <v>126</v>
      </c>
      <c r="C625" t="e">
        <f>INDEX('Cleaned Data'!H:H,MATCH($A625,$B$56:$B$1919,0))</f>
        <v>#N/A</v>
      </c>
      <c r="D625" t="e">
        <f>INDEX('Cleaned Data'!L:L,MATCH($A625,$B$56:$B$1919,0))</f>
        <v>#N/A</v>
      </c>
    </row>
    <row r="626" spans="1:4" x14ac:dyDescent="0.25">
      <c r="A626">
        <v>571</v>
      </c>
      <c r="B626">
        <f>B625+IF('Cleaned Data'!L572&gt;0,1,0)*IF($B$34="Overall",1,IF('Cleaned Data'!K572=$B$34,1,0))*(IF('Cleaned Data'!H572&lt;&gt;"",1,0))</f>
        <v>127</v>
      </c>
      <c r="C626" t="e">
        <f>INDEX('Cleaned Data'!H:H,MATCH($A626,$B$56:$B$1919,0))</f>
        <v>#N/A</v>
      </c>
      <c r="D626" t="e">
        <f>INDEX('Cleaned Data'!L:L,MATCH($A626,$B$56:$B$1919,0))</f>
        <v>#N/A</v>
      </c>
    </row>
    <row r="627" spans="1:4" x14ac:dyDescent="0.25">
      <c r="A627">
        <v>572</v>
      </c>
      <c r="B627">
        <f>B626+IF('Cleaned Data'!L573&gt;0,1,0)*IF($B$34="Overall",1,IF('Cleaned Data'!K573=$B$34,1,0))*(IF('Cleaned Data'!H573&lt;&gt;"",1,0))</f>
        <v>128</v>
      </c>
      <c r="C627" t="e">
        <f>INDEX('Cleaned Data'!H:H,MATCH($A627,$B$56:$B$1919,0))</f>
        <v>#N/A</v>
      </c>
      <c r="D627" t="e">
        <f>INDEX('Cleaned Data'!L:L,MATCH($A627,$B$56:$B$1919,0))</f>
        <v>#N/A</v>
      </c>
    </row>
    <row r="628" spans="1:4" x14ac:dyDescent="0.25">
      <c r="A628">
        <v>573</v>
      </c>
      <c r="B628">
        <f>B627+IF('Cleaned Data'!L574&gt;0,1,0)*IF($B$34="Overall",1,IF('Cleaned Data'!K574=$B$34,1,0))*(IF('Cleaned Data'!H574&lt;&gt;"",1,0))</f>
        <v>129</v>
      </c>
      <c r="C628" t="e">
        <f>INDEX('Cleaned Data'!H:H,MATCH($A628,$B$56:$B$1919,0))</f>
        <v>#N/A</v>
      </c>
      <c r="D628" t="e">
        <f>INDEX('Cleaned Data'!L:L,MATCH($A628,$B$56:$B$1919,0))</f>
        <v>#N/A</v>
      </c>
    </row>
    <row r="629" spans="1:4" x14ac:dyDescent="0.25">
      <c r="A629">
        <v>574</v>
      </c>
      <c r="B629">
        <f>B628+IF('Cleaned Data'!L575&gt;0,1,0)*IF($B$34="Overall",1,IF('Cleaned Data'!K575=$B$34,1,0))*(IF('Cleaned Data'!H575&lt;&gt;"",1,0))</f>
        <v>130</v>
      </c>
      <c r="C629" t="e">
        <f>INDEX('Cleaned Data'!H:H,MATCH($A629,$B$56:$B$1919,0))</f>
        <v>#N/A</v>
      </c>
      <c r="D629" t="e">
        <f>INDEX('Cleaned Data'!L:L,MATCH($A629,$B$56:$B$1919,0))</f>
        <v>#N/A</v>
      </c>
    </row>
    <row r="630" spans="1:4" x14ac:dyDescent="0.25">
      <c r="A630">
        <v>575</v>
      </c>
      <c r="B630">
        <f>B629+IF('Cleaned Data'!L576&gt;0,1,0)*IF($B$34="Overall",1,IF('Cleaned Data'!K576=$B$34,1,0))*(IF('Cleaned Data'!H576&lt;&gt;"",1,0))</f>
        <v>131</v>
      </c>
      <c r="C630" t="e">
        <f>INDEX('Cleaned Data'!H:H,MATCH($A630,$B$56:$B$1919,0))</f>
        <v>#N/A</v>
      </c>
      <c r="D630" t="e">
        <f>INDEX('Cleaned Data'!L:L,MATCH($A630,$B$56:$B$1919,0))</f>
        <v>#N/A</v>
      </c>
    </row>
    <row r="631" spans="1:4" x14ac:dyDescent="0.25">
      <c r="A631">
        <v>576</v>
      </c>
      <c r="B631">
        <f>B630+IF('Cleaned Data'!L577&gt;0,1,0)*IF($B$34="Overall",1,IF('Cleaned Data'!K577=$B$34,1,0))*(IF('Cleaned Data'!H577&lt;&gt;"",1,0))</f>
        <v>132</v>
      </c>
      <c r="C631" t="e">
        <f>INDEX('Cleaned Data'!H:H,MATCH($A631,$B$56:$B$1919,0))</f>
        <v>#N/A</v>
      </c>
      <c r="D631" t="e">
        <f>INDEX('Cleaned Data'!L:L,MATCH($A631,$B$56:$B$1919,0))</f>
        <v>#N/A</v>
      </c>
    </row>
    <row r="632" spans="1:4" x14ac:dyDescent="0.25">
      <c r="A632">
        <v>577</v>
      </c>
      <c r="B632">
        <f>B631+IF('Cleaned Data'!L578&gt;0,1,0)*IF($B$34="Overall",1,IF('Cleaned Data'!K578=$B$34,1,0))*(IF('Cleaned Data'!H578&lt;&gt;"",1,0))</f>
        <v>133</v>
      </c>
      <c r="C632" t="e">
        <f>INDEX('Cleaned Data'!H:H,MATCH($A632,$B$56:$B$1919,0))</f>
        <v>#N/A</v>
      </c>
      <c r="D632" t="e">
        <f>INDEX('Cleaned Data'!L:L,MATCH($A632,$B$56:$B$1919,0))</f>
        <v>#N/A</v>
      </c>
    </row>
    <row r="633" spans="1:4" x14ac:dyDescent="0.25">
      <c r="A633">
        <v>578</v>
      </c>
      <c r="B633">
        <f>B632+IF('Cleaned Data'!L579&gt;0,1,0)*IF($B$34="Overall",1,IF('Cleaned Data'!K579=$B$34,1,0))*(IF('Cleaned Data'!H579&lt;&gt;"",1,0))</f>
        <v>134</v>
      </c>
      <c r="C633" t="e">
        <f>INDEX('Cleaned Data'!H:H,MATCH($A633,$B$56:$B$1919,0))</f>
        <v>#N/A</v>
      </c>
      <c r="D633" t="e">
        <f>INDEX('Cleaned Data'!L:L,MATCH($A633,$B$56:$B$1919,0))</f>
        <v>#N/A</v>
      </c>
    </row>
    <row r="634" spans="1:4" x14ac:dyDescent="0.25">
      <c r="A634">
        <v>579</v>
      </c>
      <c r="B634">
        <f>B633+IF('Cleaned Data'!L580&gt;0,1,0)*IF($B$34="Overall",1,IF('Cleaned Data'!K580=$B$34,1,0))*(IF('Cleaned Data'!H580&lt;&gt;"",1,0))</f>
        <v>135</v>
      </c>
      <c r="C634" t="e">
        <f>INDEX('Cleaned Data'!H:H,MATCH($A634,$B$56:$B$1919,0))</f>
        <v>#N/A</v>
      </c>
      <c r="D634" t="e">
        <f>INDEX('Cleaned Data'!L:L,MATCH($A634,$B$56:$B$1919,0))</f>
        <v>#N/A</v>
      </c>
    </row>
    <row r="635" spans="1:4" x14ac:dyDescent="0.25">
      <c r="A635">
        <v>580</v>
      </c>
      <c r="B635">
        <f>B634+IF('Cleaned Data'!L581&gt;0,1,0)*IF($B$34="Overall",1,IF('Cleaned Data'!K581=$B$34,1,0))*(IF('Cleaned Data'!H581&lt;&gt;"",1,0))</f>
        <v>136</v>
      </c>
      <c r="C635" t="e">
        <f>INDEX('Cleaned Data'!H:H,MATCH($A635,$B$56:$B$1919,0))</f>
        <v>#N/A</v>
      </c>
      <c r="D635" t="e">
        <f>INDEX('Cleaned Data'!L:L,MATCH($A635,$B$56:$B$1919,0))</f>
        <v>#N/A</v>
      </c>
    </row>
    <row r="636" spans="1:4" x14ac:dyDescent="0.25">
      <c r="A636">
        <v>581</v>
      </c>
      <c r="B636">
        <f>B635+IF('Cleaned Data'!L582&gt;0,1,0)*IF($B$34="Overall",1,IF('Cleaned Data'!K582=$B$34,1,0))*(IF('Cleaned Data'!H582&lt;&gt;"",1,0))</f>
        <v>137</v>
      </c>
      <c r="C636" t="e">
        <f>INDEX('Cleaned Data'!H:H,MATCH($A636,$B$56:$B$1919,0))</f>
        <v>#N/A</v>
      </c>
      <c r="D636" t="e">
        <f>INDEX('Cleaned Data'!L:L,MATCH($A636,$B$56:$B$1919,0))</f>
        <v>#N/A</v>
      </c>
    </row>
    <row r="637" spans="1:4" x14ac:dyDescent="0.25">
      <c r="A637">
        <v>582</v>
      </c>
      <c r="B637">
        <f>B636+IF('Cleaned Data'!L583&gt;0,1,0)*IF($B$34="Overall",1,IF('Cleaned Data'!K583=$B$34,1,0))*(IF('Cleaned Data'!H583&lt;&gt;"",1,0))</f>
        <v>138</v>
      </c>
      <c r="C637" t="e">
        <f>INDEX('Cleaned Data'!H:H,MATCH($A637,$B$56:$B$1919,0))</f>
        <v>#N/A</v>
      </c>
      <c r="D637" t="e">
        <f>INDEX('Cleaned Data'!L:L,MATCH($A637,$B$56:$B$1919,0))</f>
        <v>#N/A</v>
      </c>
    </row>
    <row r="638" spans="1:4" x14ac:dyDescent="0.25">
      <c r="A638">
        <v>583</v>
      </c>
      <c r="B638">
        <f>B637+IF('Cleaned Data'!L584&gt;0,1,0)*IF($B$34="Overall",1,IF('Cleaned Data'!K584=$B$34,1,0))*(IF('Cleaned Data'!H584&lt;&gt;"",1,0))</f>
        <v>139</v>
      </c>
      <c r="C638" t="e">
        <f>INDEX('Cleaned Data'!H:H,MATCH($A638,$B$56:$B$1919,0))</f>
        <v>#N/A</v>
      </c>
      <c r="D638" t="e">
        <f>INDEX('Cleaned Data'!L:L,MATCH($A638,$B$56:$B$1919,0))</f>
        <v>#N/A</v>
      </c>
    </row>
    <row r="639" spans="1:4" x14ac:dyDescent="0.25">
      <c r="A639">
        <v>584</v>
      </c>
      <c r="B639">
        <f>B638+IF('Cleaned Data'!L585&gt;0,1,0)*IF($B$34="Overall",1,IF('Cleaned Data'!K585=$B$34,1,0))*(IF('Cleaned Data'!H585&lt;&gt;"",1,0))</f>
        <v>140</v>
      </c>
      <c r="C639" t="e">
        <f>INDEX('Cleaned Data'!H:H,MATCH($A639,$B$56:$B$1919,0))</f>
        <v>#N/A</v>
      </c>
      <c r="D639" t="e">
        <f>INDEX('Cleaned Data'!L:L,MATCH($A639,$B$56:$B$1919,0))</f>
        <v>#N/A</v>
      </c>
    </row>
    <row r="640" spans="1:4" x14ac:dyDescent="0.25">
      <c r="A640">
        <v>585</v>
      </c>
      <c r="B640">
        <f>B639+IF('Cleaned Data'!L586&gt;0,1,0)*IF($B$34="Overall",1,IF('Cleaned Data'!K586=$B$34,1,0))*(IF('Cleaned Data'!H586&lt;&gt;"",1,0))</f>
        <v>141</v>
      </c>
      <c r="C640" t="e">
        <f>INDEX('Cleaned Data'!H:H,MATCH($A640,$B$56:$B$1919,0))</f>
        <v>#N/A</v>
      </c>
      <c r="D640" t="e">
        <f>INDEX('Cleaned Data'!L:L,MATCH($A640,$B$56:$B$1919,0))</f>
        <v>#N/A</v>
      </c>
    </row>
    <row r="641" spans="1:4" x14ac:dyDescent="0.25">
      <c r="A641">
        <v>586</v>
      </c>
      <c r="B641">
        <f>B640+IF('Cleaned Data'!L587&gt;0,1,0)*IF($B$34="Overall",1,IF('Cleaned Data'!K587=$B$34,1,0))*(IF('Cleaned Data'!H587&lt;&gt;"",1,0))</f>
        <v>142</v>
      </c>
      <c r="C641" t="e">
        <f>INDEX('Cleaned Data'!H:H,MATCH($A641,$B$56:$B$1919,0))</f>
        <v>#N/A</v>
      </c>
      <c r="D641" t="e">
        <f>INDEX('Cleaned Data'!L:L,MATCH($A641,$B$56:$B$1919,0))</f>
        <v>#N/A</v>
      </c>
    </row>
    <row r="642" spans="1:4" x14ac:dyDescent="0.25">
      <c r="A642">
        <v>587</v>
      </c>
      <c r="B642">
        <f>B641+IF('Cleaned Data'!L588&gt;0,1,0)*IF($B$34="Overall",1,IF('Cleaned Data'!K588=$B$34,1,0))*(IF('Cleaned Data'!H588&lt;&gt;"",1,0))</f>
        <v>143</v>
      </c>
      <c r="C642" t="e">
        <f>INDEX('Cleaned Data'!H:H,MATCH($A642,$B$56:$B$1919,0))</f>
        <v>#N/A</v>
      </c>
      <c r="D642" t="e">
        <f>INDEX('Cleaned Data'!L:L,MATCH($A642,$B$56:$B$1919,0))</f>
        <v>#N/A</v>
      </c>
    </row>
    <row r="643" spans="1:4" x14ac:dyDescent="0.25">
      <c r="A643">
        <v>588</v>
      </c>
      <c r="B643">
        <f>B642+IF('Cleaned Data'!L589&gt;0,1,0)*IF($B$34="Overall",1,IF('Cleaned Data'!K589=$B$34,1,0))*(IF('Cleaned Data'!H589&lt;&gt;"",1,0))</f>
        <v>144</v>
      </c>
      <c r="C643" t="e">
        <f>INDEX('Cleaned Data'!H:H,MATCH($A643,$B$56:$B$1919,0))</f>
        <v>#N/A</v>
      </c>
      <c r="D643" t="e">
        <f>INDEX('Cleaned Data'!L:L,MATCH($A643,$B$56:$B$1919,0))</f>
        <v>#N/A</v>
      </c>
    </row>
    <row r="644" spans="1:4" x14ac:dyDescent="0.25">
      <c r="A644">
        <v>589</v>
      </c>
      <c r="B644">
        <f>B643+IF('Cleaned Data'!L590&gt;0,1,0)*IF($B$34="Overall",1,IF('Cleaned Data'!K590=$B$34,1,0))*(IF('Cleaned Data'!H590&lt;&gt;"",1,0))</f>
        <v>145</v>
      </c>
      <c r="C644" t="e">
        <f>INDEX('Cleaned Data'!H:H,MATCH($A644,$B$56:$B$1919,0))</f>
        <v>#N/A</v>
      </c>
      <c r="D644" t="e">
        <f>INDEX('Cleaned Data'!L:L,MATCH($A644,$B$56:$B$1919,0))</f>
        <v>#N/A</v>
      </c>
    </row>
    <row r="645" spans="1:4" x14ac:dyDescent="0.25">
      <c r="A645">
        <v>590</v>
      </c>
      <c r="B645">
        <f>B644+IF('Cleaned Data'!L591&gt;0,1,0)*IF($B$34="Overall",1,IF('Cleaned Data'!K591=$B$34,1,0))*(IF('Cleaned Data'!H591&lt;&gt;"",1,0))</f>
        <v>146</v>
      </c>
      <c r="C645" t="e">
        <f>INDEX('Cleaned Data'!H:H,MATCH($A645,$B$56:$B$1919,0))</f>
        <v>#N/A</v>
      </c>
      <c r="D645" t="e">
        <f>INDEX('Cleaned Data'!L:L,MATCH($A645,$B$56:$B$1919,0))</f>
        <v>#N/A</v>
      </c>
    </row>
    <row r="646" spans="1:4" x14ac:dyDescent="0.25">
      <c r="A646">
        <v>591</v>
      </c>
      <c r="B646">
        <f>B645+IF('Cleaned Data'!L592&gt;0,1,0)*IF($B$34="Overall",1,IF('Cleaned Data'!K592=$B$34,1,0))*(IF('Cleaned Data'!H592&lt;&gt;"",1,0))</f>
        <v>147</v>
      </c>
      <c r="C646" t="e">
        <f>INDEX('Cleaned Data'!H:H,MATCH($A646,$B$56:$B$1919,0))</f>
        <v>#N/A</v>
      </c>
      <c r="D646" t="e">
        <f>INDEX('Cleaned Data'!L:L,MATCH($A646,$B$56:$B$1919,0))</f>
        <v>#N/A</v>
      </c>
    </row>
    <row r="647" spans="1:4" x14ac:dyDescent="0.25">
      <c r="A647">
        <v>592</v>
      </c>
      <c r="B647">
        <f>B646+IF('Cleaned Data'!L593&gt;0,1,0)*IF($B$34="Overall",1,IF('Cleaned Data'!K593=$B$34,1,0))*(IF('Cleaned Data'!H593&lt;&gt;"",1,0))</f>
        <v>148</v>
      </c>
      <c r="C647" t="e">
        <f>INDEX('Cleaned Data'!H:H,MATCH($A647,$B$56:$B$1919,0))</f>
        <v>#N/A</v>
      </c>
      <c r="D647" t="e">
        <f>INDEX('Cleaned Data'!L:L,MATCH($A647,$B$56:$B$1919,0))</f>
        <v>#N/A</v>
      </c>
    </row>
    <row r="648" spans="1:4" x14ac:dyDescent="0.25">
      <c r="A648">
        <v>593</v>
      </c>
      <c r="B648">
        <f>B647+IF('Cleaned Data'!L594&gt;0,1,0)*IF($B$34="Overall",1,IF('Cleaned Data'!K594=$B$34,1,0))*(IF('Cleaned Data'!H594&lt;&gt;"",1,0))</f>
        <v>149</v>
      </c>
      <c r="C648" t="e">
        <f>INDEX('Cleaned Data'!H:H,MATCH($A648,$B$56:$B$1919,0))</f>
        <v>#N/A</v>
      </c>
      <c r="D648" t="e">
        <f>INDEX('Cleaned Data'!L:L,MATCH($A648,$B$56:$B$1919,0))</f>
        <v>#N/A</v>
      </c>
    </row>
    <row r="649" spans="1:4" x14ac:dyDescent="0.25">
      <c r="A649">
        <v>594</v>
      </c>
      <c r="B649">
        <f>B648+IF('Cleaned Data'!L595&gt;0,1,0)*IF($B$34="Overall",1,IF('Cleaned Data'!K595=$B$34,1,0))*(IF('Cleaned Data'!H595&lt;&gt;"",1,0))</f>
        <v>150</v>
      </c>
      <c r="C649" t="e">
        <f>INDEX('Cleaned Data'!H:H,MATCH($A649,$B$56:$B$1919,0))</f>
        <v>#N/A</v>
      </c>
      <c r="D649" t="e">
        <f>INDEX('Cleaned Data'!L:L,MATCH($A649,$B$56:$B$1919,0))</f>
        <v>#N/A</v>
      </c>
    </row>
    <row r="650" spans="1:4" x14ac:dyDescent="0.25">
      <c r="A650">
        <v>595</v>
      </c>
      <c r="B650">
        <f>B649+IF('Cleaned Data'!L596&gt;0,1,0)*IF($B$34="Overall",1,IF('Cleaned Data'!K596=$B$34,1,0))*(IF('Cleaned Data'!H596&lt;&gt;"",1,0))</f>
        <v>151</v>
      </c>
      <c r="C650" t="e">
        <f>INDEX('Cleaned Data'!H:H,MATCH($A650,$B$56:$B$1919,0))</f>
        <v>#N/A</v>
      </c>
      <c r="D650" t="e">
        <f>INDEX('Cleaned Data'!L:L,MATCH($A650,$B$56:$B$1919,0))</f>
        <v>#N/A</v>
      </c>
    </row>
    <row r="651" spans="1:4" x14ac:dyDescent="0.25">
      <c r="A651">
        <v>596</v>
      </c>
      <c r="B651">
        <f>B650+IF('Cleaned Data'!L597&gt;0,1,0)*IF($B$34="Overall",1,IF('Cleaned Data'!K597=$B$34,1,0))*(IF('Cleaned Data'!H597&lt;&gt;"",1,0))</f>
        <v>152</v>
      </c>
      <c r="C651" t="e">
        <f>INDEX('Cleaned Data'!H:H,MATCH($A651,$B$56:$B$1919,0))</f>
        <v>#N/A</v>
      </c>
      <c r="D651" t="e">
        <f>INDEX('Cleaned Data'!L:L,MATCH($A651,$B$56:$B$1919,0))</f>
        <v>#N/A</v>
      </c>
    </row>
    <row r="652" spans="1:4" x14ac:dyDescent="0.25">
      <c r="A652">
        <v>597</v>
      </c>
      <c r="B652">
        <f>B651+IF('Cleaned Data'!L598&gt;0,1,0)*IF($B$34="Overall",1,IF('Cleaned Data'!K598=$B$34,1,0))*(IF('Cleaned Data'!H598&lt;&gt;"",1,0))</f>
        <v>153</v>
      </c>
      <c r="C652" t="e">
        <f>INDEX('Cleaned Data'!H:H,MATCH($A652,$B$56:$B$1919,0))</f>
        <v>#N/A</v>
      </c>
      <c r="D652" t="e">
        <f>INDEX('Cleaned Data'!L:L,MATCH($A652,$B$56:$B$1919,0))</f>
        <v>#N/A</v>
      </c>
    </row>
    <row r="653" spans="1:4" x14ac:dyDescent="0.25">
      <c r="A653">
        <v>598</v>
      </c>
      <c r="B653">
        <f>B652+IF('Cleaned Data'!L599&gt;0,1,0)*IF($B$34="Overall",1,IF('Cleaned Data'!K599=$B$34,1,0))*(IF('Cleaned Data'!H599&lt;&gt;"",1,0))</f>
        <v>154</v>
      </c>
      <c r="C653" t="e">
        <f>INDEX('Cleaned Data'!H:H,MATCH($A653,$B$56:$B$1919,0))</f>
        <v>#N/A</v>
      </c>
      <c r="D653" t="e">
        <f>INDEX('Cleaned Data'!L:L,MATCH($A653,$B$56:$B$1919,0))</f>
        <v>#N/A</v>
      </c>
    </row>
    <row r="654" spans="1:4" x14ac:dyDescent="0.25">
      <c r="A654">
        <v>599</v>
      </c>
      <c r="B654">
        <f>B653+IF('Cleaned Data'!L600&gt;0,1,0)*IF($B$34="Overall",1,IF('Cleaned Data'!K600=$B$34,1,0))*(IF('Cleaned Data'!H600&lt;&gt;"",1,0))</f>
        <v>155</v>
      </c>
      <c r="C654" t="e">
        <f>INDEX('Cleaned Data'!H:H,MATCH($A654,$B$56:$B$1919,0))</f>
        <v>#N/A</v>
      </c>
      <c r="D654" t="e">
        <f>INDEX('Cleaned Data'!L:L,MATCH($A654,$B$56:$B$1919,0))</f>
        <v>#N/A</v>
      </c>
    </row>
    <row r="655" spans="1:4" x14ac:dyDescent="0.25">
      <c r="A655">
        <v>600</v>
      </c>
      <c r="B655">
        <f>B654+IF('Cleaned Data'!L601&gt;0,1,0)*IF($B$34="Overall",1,IF('Cleaned Data'!K601=$B$34,1,0))*(IF('Cleaned Data'!H601&lt;&gt;"",1,0))</f>
        <v>156</v>
      </c>
      <c r="C655" t="e">
        <f>INDEX('Cleaned Data'!H:H,MATCH($A655,$B$56:$B$1919,0))</f>
        <v>#N/A</v>
      </c>
      <c r="D655" t="e">
        <f>INDEX('Cleaned Data'!L:L,MATCH($A655,$B$56:$B$1919,0))</f>
        <v>#N/A</v>
      </c>
    </row>
    <row r="656" spans="1:4" x14ac:dyDescent="0.25">
      <c r="A656">
        <v>601</v>
      </c>
      <c r="B656">
        <f>B655+IF('Cleaned Data'!L602&gt;0,1,0)*IF($B$34="Overall",1,IF('Cleaned Data'!K602=$B$34,1,0))*(IF('Cleaned Data'!H602&lt;&gt;"",1,0))</f>
        <v>157</v>
      </c>
      <c r="C656" t="e">
        <f>INDEX('Cleaned Data'!H:H,MATCH($A656,$B$56:$B$1919,0))</f>
        <v>#N/A</v>
      </c>
      <c r="D656" t="e">
        <f>INDEX('Cleaned Data'!L:L,MATCH($A656,$B$56:$B$1919,0))</f>
        <v>#N/A</v>
      </c>
    </row>
    <row r="657" spans="1:4" x14ac:dyDescent="0.25">
      <c r="A657">
        <v>602</v>
      </c>
      <c r="B657">
        <f>B656+IF('Cleaned Data'!L603&gt;0,1,0)*IF($B$34="Overall",1,IF('Cleaned Data'!K603=$B$34,1,0))*(IF('Cleaned Data'!H603&lt;&gt;"",1,0))</f>
        <v>158</v>
      </c>
      <c r="C657" t="e">
        <f>INDEX('Cleaned Data'!H:H,MATCH($A657,$B$56:$B$1919,0))</f>
        <v>#N/A</v>
      </c>
      <c r="D657" t="e">
        <f>INDEX('Cleaned Data'!L:L,MATCH($A657,$B$56:$B$1919,0))</f>
        <v>#N/A</v>
      </c>
    </row>
    <row r="658" spans="1:4" x14ac:dyDescent="0.25">
      <c r="A658">
        <v>603</v>
      </c>
      <c r="B658">
        <f>B657+IF('Cleaned Data'!L604&gt;0,1,0)*IF($B$34="Overall",1,IF('Cleaned Data'!K604=$B$34,1,0))*(IF('Cleaned Data'!H604&lt;&gt;"",1,0))</f>
        <v>159</v>
      </c>
      <c r="C658" t="e">
        <f>INDEX('Cleaned Data'!H:H,MATCH($A658,$B$56:$B$1919,0))</f>
        <v>#N/A</v>
      </c>
      <c r="D658" t="e">
        <f>INDEX('Cleaned Data'!L:L,MATCH($A658,$B$56:$B$1919,0))</f>
        <v>#N/A</v>
      </c>
    </row>
    <row r="659" spans="1:4" x14ac:dyDescent="0.25">
      <c r="A659">
        <v>604</v>
      </c>
      <c r="B659">
        <f>B658+IF('Cleaned Data'!L605&gt;0,1,0)*IF($B$34="Overall",1,IF('Cleaned Data'!K605=$B$34,1,0))*(IF('Cleaned Data'!H605&lt;&gt;"",1,0))</f>
        <v>160</v>
      </c>
      <c r="C659" t="e">
        <f>INDEX('Cleaned Data'!H:H,MATCH($A659,$B$56:$B$1919,0))</f>
        <v>#N/A</v>
      </c>
      <c r="D659" t="e">
        <f>INDEX('Cleaned Data'!L:L,MATCH($A659,$B$56:$B$1919,0))</f>
        <v>#N/A</v>
      </c>
    </row>
    <row r="660" spans="1:4" x14ac:dyDescent="0.25">
      <c r="A660">
        <v>605</v>
      </c>
      <c r="B660">
        <f>B659+IF('Cleaned Data'!L606&gt;0,1,0)*IF($B$34="Overall",1,IF('Cleaned Data'!K606=$B$34,1,0))*(IF('Cleaned Data'!H606&lt;&gt;"",1,0))</f>
        <v>161</v>
      </c>
      <c r="C660" t="e">
        <f>INDEX('Cleaned Data'!H:H,MATCH($A660,$B$56:$B$1919,0))</f>
        <v>#N/A</v>
      </c>
      <c r="D660" t="e">
        <f>INDEX('Cleaned Data'!L:L,MATCH($A660,$B$56:$B$1919,0))</f>
        <v>#N/A</v>
      </c>
    </row>
    <row r="661" spans="1:4" x14ac:dyDescent="0.25">
      <c r="A661">
        <v>606</v>
      </c>
      <c r="B661">
        <f>B660+IF('Cleaned Data'!L607&gt;0,1,0)*IF($B$34="Overall",1,IF('Cleaned Data'!K607=$B$34,1,0))*(IF('Cleaned Data'!H607&lt;&gt;"",1,0))</f>
        <v>162</v>
      </c>
      <c r="C661" t="e">
        <f>INDEX('Cleaned Data'!H:H,MATCH($A661,$B$56:$B$1919,0))</f>
        <v>#N/A</v>
      </c>
      <c r="D661" t="e">
        <f>INDEX('Cleaned Data'!L:L,MATCH($A661,$B$56:$B$1919,0))</f>
        <v>#N/A</v>
      </c>
    </row>
    <row r="662" spans="1:4" x14ac:dyDescent="0.25">
      <c r="A662">
        <v>607</v>
      </c>
      <c r="B662">
        <f>B661+IF('Cleaned Data'!L608&gt;0,1,0)*IF($B$34="Overall",1,IF('Cleaned Data'!K608=$B$34,1,0))*(IF('Cleaned Data'!H608&lt;&gt;"",1,0))</f>
        <v>163</v>
      </c>
      <c r="C662" t="e">
        <f>INDEX('Cleaned Data'!H:H,MATCH($A662,$B$56:$B$1919,0))</f>
        <v>#N/A</v>
      </c>
      <c r="D662" t="e">
        <f>INDEX('Cleaned Data'!L:L,MATCH($A662,$B$56:$B$1919,0))</f>
        <v>#N/A</v>
      </c>
    </row>
    <row r="663" spans="1:4" x14ac:dyDescent="0.25">
      <c r="A663">
        <v>608</v>
      </c>
      <c r="B663">
        <f>B662+IF('Cleaned Data'!L609&gt;0,1,0)*IF($B$34="Overall",1,IF('Cleaned Data'!K609=$B$34,1,0))*(IF('Cleaned Data'!H609&lt;&gt;"",1,0))</f>
        <v>164</v>
      </c>
      <c r="C663" t="e">
        <f>INDEX('Cleaned Data'!H:H,MATCH($A663,$B$56:$B$1919,0))</f>
        <v>#N/A</v>
      </c>
      <c r="D663" t="e">
        <f>INDEX('Cleaned Data'!L:L,MATCH($A663,$B$56:$B$1919,0))</f>
        <v>#N/A</v>
      </c>
    </row>
    <row r="664" spans="1:4" x14ac:dyDescent="0.25">
      <c r="A664">
        <v>609</v>
      </c>
      <c r="B664">
        <f>B663+IF('Cleaned Data'!L610&gt;0,1,0)*IF($B$34="Overall",1,IF('Cleaned Data'!K610=$B$34,1,0))*(IF('Cleaned Data'!H610&lt;&gt;"",1,0))</f>
        <v>165</v>
      </c>
      <c r="C664" t="e">
        <f>INDEX('Cleaned Data'!H:H,MATCH($A664,$B$56:$B$1919,0))</f>
        <v>#N/A</v>
      </c>
      <c r="D664" t="e">
        <f>INDEX('Cleaned Data'!L:L,MATCH($A664,$B$56:$B$1919,0))</f>
        <v>#N/A</v>
      </c>
    </row>
    <row r="665" spans="1:4" x14ac:dyDescent="0.25">
      <c r="A665">
        <v>610</v>
      </c>
      <c r="B665">
        <f>B664+IF('Cleaned Data'!L611&gt;0,1,0)*IF($B$34="Overall",1,IF('Cleaned Data'!K611=$B$34,1,0))*(IF('Cleaned Data'!H611&lt;&gt;"",1,0))</f>
        <v>166</v>
      </c>
      <c r="C665" t="e">
        <f>INDEX('Cleaned Data'!H:H,MATCH($A665,$B$56:$B$1919,0))</f>
        <v>#N/A</v>
      </c>
      <c r="D665" t="e">
        <f>INDEX('Cleaned Data'!L:L,MATCH($A665,$B$56:$B$1919,0))</f>
        <v>#N/A</v>
      </c>
    </row>
    <row r="666" spans="1:4" x14ac:dyDescent="0.25">
      <c r="A666">
        <v>611</v>
      </c>
      <c r="B666">
        <f>B665+IF('Cleaned Data'!L612&gt;0,1,0)*IF($B$34="Overall",1,IF('Cleaned Data'!K612=$B$34,1,0))*(IF('Cleaned Data'!H612&lt;&gt;"",1,0))</f>
        <v>167</v>
      </c>
      <c r="C666" t="e">
        <f>INDEX('Cleaned Data'!H:H,MATCH($A666,$B$56:$B$1919,0))</f>
        <v>#N/A</v>
      </c>
      <c r="D666" t="e">
        <f>INDEX('Cleaned Data'!L:L,MATCH($A666,$B$56:$B$1919,0))</f>
        <v>#N/A</v>
      </c>
    </row>
    <row r="667" spans="1:4" x14ac:dyDescent="0.25">
      <c r="A667">
        <v>612</v>
      </c>
      <c r="B667">
        <f>B666+IF('Cleaned Data'!L613&gt;0,1,0)*IF($B$34="Overall",1,IF('Cleaned Data'!K613=$B$34,1,0))*(IF('Cleaned Data'!H613&lt;&gt;"",1,0))</f>
        <v>168</v>
      </c>
      <c r="C667" t="e">
        <f>INDEX('Cleaned Data'!H:H,MATCH($A667,$B$56:$B$1919,0))</f>
        <v>#N/A</v>
      </c>
      <c r="D667" t="e">
        <f>INDEX('Cleaned Data'!L:L,MATCH($A667,$B$56:$B$1919,0))</f>
        <v>#N/A</v>
      </c>
    </row>
    <row r="668" spans="1:4" x14ac:dyDescent="0.25">
      <c r="A668">
        <v>613</v>
      </c>
      <c r="B668">
        <f>B667+IF('Cleaned Data'!L614&gt;0,1,0)*IF($B$34="Overall",1,IF('Cleaned Data'!K614=$B$34,1,0))*(IF('Cleaned Data'!H614&lt;&gt;"",1,0))</f>
        <v>169</v>
      </c>
      <c r="C668" t="e">
        <f>INDEX('Cleaned Data'!H:H,MATCH($A668,$B$56:$B$1919,0))</f>
        <v>#N/A</v>
      </c>
      <c r="D668" t="e">
        <f>INDEX('Cleaned Data'!L:L,MATCH($A668,$B$56:$B$1919,0))</f>
        <v>#N/A</v>
      </c>
    </row>
    <row r="669" spans="1:4" x14ac:dyDescent="0.25">
      <c r="A669">
        <v>614</v>
      </c>
      <c r="B669">
        <f>B668+IF('Cleaned Data'!L615&gt;0,1,0)*IF($B$34="Overall",1,IF('Cleaned Data'!K615=$B$34,1,0))*(IF('Cleaned Data'!H615&lt;&gt;"",1,0))</f>
        <v>170</v>
      </c>
      <c r="C669" t="e">
        <f>INDEX('Cleaned Data'!H:H,MATCH($A669,$B$56:$B$1919,0))</f>
        <v>#N/A</v>
      </c>
      <c r="D669" t="e">
        <f>INDEX('Cleaned Data'!L:L,MATCH($A669,$B$56:$B$1919,0))</f>
        <v>#N/A</v>
      </c>
    </row>
    <row r="670" spans="1:4" x14ac:dyDescent="0.25">
      <c r="A670">
        <v>615</v>
      </c>
      <c r="B670">
        <f>B669+IF('Cleaned Data'!L616&gt;0,1,0)*IF($B$34="Overall",1,IF('Cleaned Data'!K616=$B$34,1,0))*(IF('Cleaned Data'!H616&lt;&gt;"",1,0))</f>
        <v>171</v>
      </c>
      <c r="C670" t="e">
        <f>INDEX('Cleaned Data'!H:H,MATCH($A670,$B$56:$B$1919,0))</f>
        <v>#N/A</v>
      </c>
      <c r="D670" t="e">
        <f>INDEX('Cleaned Data'!L:L,MATCH($A670,$B$56:$B$1919,0))</f>
        <v>#N/A</v>
      </c>
    </row>
    <row r="671" spans="1:4" x14ac:dyDescent="0.25">
      <c r="A671">
        <v>616</v>
      </c>
      <c r="B671">
        <f>B670+IF('Cleaned Data'!L617&gt;0,1,0)*IF($B$34="Overall",1,IF('Cleaned Data'!K617=$B$34,1,0))*(IF('Cleaned Data'!H617&lt;&gt;"",1,0))</f>
        <v>172</v>
      </c>
      <c r="C671" t="e">
        <f>INDEX('Cleaned Data'!H:H,MATCH($A671,$B$56:$B$1919,0))</f>
        <v>#N/A</v>
      </c>
      <c r="D671" t="e">
        <f>INDEX('Cleaned Data'!L:L,MATCH($A671,$B$56:$B$1919,0))</f>
        <v>#N/A</v>
      </c>
    </row>
    <row r="672" spans="1:4" x14ac:dyDescent="0.25">
      <c r="A672">
        <v>617</v>
      </c>
      <c r="B672">
        <f>B671+IF('Cleaned Data'!L618&gt;0,1,0)*IF($B$34="Overall",1,IF('Cleaned Data'!K618=$B$34,1,0))*(IF('Cleaned Data'!H618&lt;&gt;"",1,0))</f>
        <v>173</v>
      </c>
      <c r="C672" t="e">
        <f>INDEX('Cleaned Data'!H:H,MATCH($A672,$B$56:$B$1919,0))</f>
        <v>#N/A</v>
      </c>
      <c r="D672" t="e">
        <f>INDEX('Cleaned Data'!L:L,MATCH($A672,$B$56:$B$1919,0))</f>
        <v>#N/A</v>
      </c>
    </row>
    <row r="673" spans="1:4" x14ac:dyDescent="0.25">
      <c r="A673">
        <v>618</v>
      </c>
      <c r="B673">
        <f>B672+IF('Cleaned Data'!L619&gt;0,1,0)*IF($B$34="Overall",1,IF('Cleaned Data'!K619=$B$34,1,0))*(IF('Cleaned Data'!H619&lt;&gt;"",1,0))</f>
        <v>174</v>
      </c>
      <c r="C673" t="e">
        <f>INDEX('Cleaned Data'!H:H,MATCH($A673,$B$56:$B$1919,0))</f>
        <v>#N/A</v>
      </c>
      <c r="D673" t="e">
        <f>INDEX('Cleaned Data'!L:L,MATCH($A673,$B$56:$B$1919,0))</f>
        <v>#N/A</v>
      </c>
    </row>
    <row r="674" spans="1:4" x14ac:dyDescent="0.25">
      <c r="A674">
        <v>619</v>
      </c>
      <c r="B674">
        <f>B673+IF('Cleaned Data'!L620&gt;0,1,0)*IF($B$34="Overall",1,IF('Cleaned Data'!K620=$B$34,1,0))*(IF('Cleaned Data'!H620&lt;&gt;"",1,0))</f>
        <v>175</v>
      </c>
      <c r="C674" t="e">
        <f>INDEX('Cleaned Data'!H:H,MATCH($A674,$B$56:$B$1919,0))</f>
        <v>#N/A</v>
      </c>
      <c r="D674" t="e">
        <f>INDEX('Cleaned Data'!L:L,MATCH($A674,$B$56:$B$1919,0))</f>
        <v>#N/A</v>
      </c>
    </row>
    <row r="675" spans="1:4" x14ac:dyDescent="0.25">
      <c r="A675">
        <v>620</v>
      </c>
      <c r="B675">
        <f>B674+IF('Cleaned Data'!L621&gt;0,1,0)*IF($B$34="Overall",1,IF('Cleaned Data'!K621=$B$34,1,0))*(IF('Cleaned Data'!H621&lt;&gt;"",1,0))</f>
        <v>176</v>
      </c>
      <c r="C675" t="e">
        <f>INDEX('Cleaned Data'!H:H,MATCH($A675,$B$56:$B$1919,0))</f>
        <v>#N/A</v>
      </c>
      <c r="D675" t="e">
        <f>INDEX('Cleaned Data'!L:L,MATCH($A675,$B$56:$B$1919,0))</f>
        <v>#N/A</v>
      </c>
    </row>
    <row r="676" spans="1:4" x14ac:dyDescent="0.25">
      <c r="A676">
        <v>621</v>
      </c>
      <c r="B676">
        <f>B675+IF('Cleaned Data'!L622&gt;0,1,0)*IF($B$34="Overall",1,IF('Cleaned Data'!K622=$B$34,1,0))*(IF('Cleaned Data'!H622&lt;&gt;"",1,0))</f>
        <v>177</v>
      </c>
      <c r="C676" t="e">
        <f>INDEX('Cleaned Data'!H:H,MATCH($A676,$B$56:$B$1919,0))</f>
        <v>#N/A</v>
      </c>
      <c r="D676" t="e">
        <f>INDEX('Cleaned Data'!L:L,MATCH($A676,$B$56:$B$1919,0))</f>
        <v>#N/A</v>
      </c>
    </row>
    <row r="677" spans="1:4" x14ac:dyDescent="0.25">
      <c r="A677">
        <v>622</v>
      </c>
      <c r="B677">
        <f>B676+IF('Cleaned Data'!L623&gt;0,1,0)*IF($B$34="Overall",1,IF('Cleaned Data'!K623=$B$34,1,0))*(IF('Cleaned Data'!H623&lt;&gt;"",1,0))</f>
        <v>178</v>
      </c>
      <c r="C677" t="e">
        <f>INDEX('Cleaned Data'!H:H,MATCH($A677,$B$56:$B$1919,0))</f>
        <v>#N/A</v>
      </c>
      <c r="D677" t="e">
        <f>INDEX('Cleaned Data'!L:L,MATCH($A677,$B$56:$B$1919,0))</f>
        <v>#N/A</v>
      </c>
    </row>
    <row r="678" spans="1:4" x14ac:dyDescent="0.25">
      <c r="A678">
        <v>623</v>
      </c>
      <c r="B678">
        <f>B677+IF('Cleaned Data'!L624&gt;0,1,0)*IF($B$34="Overall",1,IF('Cleaned Data'!K624=$B$34,1,0))*(IF('Cleaned Data'!H624&lt;&gt;"",1,0))</f>
        <v>179</v>
      </c>
      <c r="C678" t="e">
        <f>INDEX('Cleaned Data'!H:H,MATCH($A678,$B$56:$B$1919,0))</f>
        <v>#N/A</v>
      </c>
      <c r="D678" t="e">
        <f>INDEX('Cleaned Data'!L:L,MATCH($A678,$B$56:$B$1919,0))</f>
        <v>#N/A</v>
      </c>
    </row>
    <row r="679" spans="1:4" x14ac:dyDescent="0.25">
      <c r="A679">
        <v>624</v>
      </c>
      <c r="B679">
        <f>B678+IF('Cleaned Data'!L625&gt;0,1,0)*IF($B$34="Overall",1,IF('Cleaned Data'!K625=$B$34,1,0))*(IF('Cleaned Data'!H625&lt;&gt;"",1,0))</f>
        <v>180</v>
      </c>
      <c r="C679" t="e">
        <f>INDEX('Cleaned Data'!H:H,MATCH($A679,$B$56:$B$1919,0))</f>
        <v>#N/A</v>
      </c>
      <c r="D679" t="e">
        <f>INDEX('Cleaned Data'!L:L,MATCH($A679,$B$56:$B$1919,0))</f>
        <v>#N/A</v>
      </c>
    </row>
    <row r="680" spans="1:4" x14ac:dyDescent="0.25">
      <c r="A680">
        <v>625</v>
      </c>
      <c r="B680">
        <f>B679+IF('Cleaned Data'!L626&gt;0,1,0)*IF($B$34="Overall",1,IF('Cleaned Data'!K626=$B$34,1,0))*(IF('Cleaned Data'!H626&lt;&gt;"",1,0))</f>
        <v>181</v>
      </c>
      <c r="C680" t="e">
        <f>INDEX('Cleaned Data'!H:H,MATCH($A680,$B$56:$B$1919,0))</f>
        <v>#N/A</v>
      </c>
      <c r="D680" t="e">
        <f>INDEX('Cleaned Data'!L:L,MATCH($A680,$B$56:$B$1919,0))</f>
        <v>#N/A</v>
      </c>
    </row>
    <row r="681" spans="1:4" x14ac:dyDescent="0.25">
      <c r="A681">
        <v>626</v>
      </c>
      <c r="B681">
        <f>B680+IF('Cleaned Data'!L627&gt;0,1,0)*IF($B$34="Overall",1,IF('Cleaned Data'!K627=$B$34,1,0))*(IF('Cleaned Data'!H627&lt;&gt;"",1,0))</f>
        <v>182</v>
      </c>
      <c r="C681" t="e">
        <f>INDEX('Cleaned Data'!H:H,MATCH($A681,$B$56:$B$1919,0))</f>
        <v>#N/A</v>
      </c>
      <c r="D681" t="e">
        <f>INDEX('Cleaned Data'!L:L,MATCH($A681,$B$56:$B$1919,0))</f>
        <v>#N/A</v>
      </c>
    </row>
    <row r="682" spans="1:4" x14ac:dyDescent="0.25">
      <c r="A682">
        <v>627</v>
      </c>
      <c r="B682">
        <f>B681+IF('Cleaned Data'!L628&gt;0,1,0)*IF($B$34="Overall",1,IF('Cleaned Data'!K628=$B$34,1,0))*(IF('Cleaned Data'!H628&lt;&gt;"",1,0))</f>
        <v>183</v>
      </c>
      <c r="C682" t="e">
        <f>INDEX('Cleaned Data'!H:H,MATCH($A682,$B$56:$B$1919,0))</f>
        <v>#N/A</v>
      </c>
      <c r="D682" t="e">
        <f>INDEX('Cleaned Data'!L:L,MATCH($A682,$B$56:$B$1919,0))</f>
        <v>#N/A</v>
      </c>
    </row>
    <row r="683" spans="1:4" x14ac:dyDescent="0.25">
      <c r="A683">
        <v>628</v>
      </c>
      <c r="B683">
        <f>B682+IF('Cleaned Data'!L629&gt;0,1,0)*IF($B$34="Overall",1,IF('Cleaned Data'!K629=$B$34,1,0))*(IF('Cleaned Data'!H629&lt;&gt;"",1,0))</f>
        <v>184</v>
      </c>
      <c r="C683" t="e">
        <f>INDEX('Cleaned Data'!H:H,MATCH($A683,$B$56:$B$1919,0))</f>
        <v>#N/A</v>
      </c>
      <c r="D683" t="e">
        <f>INDEX('Cleaned Data'!L:L,MATCH($A683,$B$56:$B$1919,0))</f>
        <v>#N/A</v>
      </c>
    </row>
    <row r="684" spans="1:4" x14ac:dyDescent="0.25">
      <c r="A684">
        <v>629</v>
      </c>
      <c r="B684">
        <f>B683+IF('Cleaned Data'!L630&gt;0,1,0)*IF($B$34="Overall",1,IF('Cleaned Data'!K630=$B$34,1,0))*(IF('Cleaned Data'!H630&lt;&gt;"",1,0))</f>
        <v>185</v>
      </c>
      <c r="C684" t="e">
        <f>INDEX('Cleaned Data'!H:H,MATCH($A684,$B$56:$B$1919,0))</f>
        <v>#N/A</v>
      </c>
      <c r="D684" t="e">
        <f>INDEX('Cleaned Data'!L:L,MATCH($A684,$B$56:$B$1919,0))</f>
        <v>#N/A</v>
      </c>
    </row>
    <row r="685" spans="1:4" x14ac:dyDescent="0.25">
      <c r="A685">
        <v>630</v>
      </c>
      <c r="B685">
        <f>B684+IF('Cleaned Data'!L631&gt;0,1,0)*IF($B$34="Overall",1,IF('Cleaned Data'!K631=$B$34,1,0))*(IF('Cleaned Data'!H631&lt;&gt;"",1,0))</f>
        <v>186</v>
      </c>
      <c r="C685" t="e">
        <f>INDEX('Cleaned Data'!H:H,MATCH($A685,$B$56:$B$1919,0))</f>
        <v>#N/A</v>
      </c>
      <c r="D685" t="e">
        <f>INDEX('Cleaned Data'!L:L,MATCH($A685,$B$56:$B$1919,0))</f>
        <v>#N/A</v>
      </c>
    </row>
    <row r="686" spans="1:4" x14ac:dyDescent="0.25">
      <c r="A686">
        <v>631</v>
      </c>
      <c r="B686">
        <f>B685+IF('Cleaned Data'!L632&gt;0,1,0)*IF($B$34="Overall",1,IF('Cleaned Data'!K632=$B$34,1,0))*(IF('Cleaned Data'!H632&lt;&gt;"",1,0))</f>
        <v>187</v>
      </c>
      <c r="C686" t="e">
        <f>INDEX('Cleaned Data'!H:H,MATCH($A686,$B$56:$B$1919,0))</f>
        <v>#N/A</v>
      </c>
      <c r="D686" t="e">
        <f>INDEX('Cleaned Data'!L:L,MATCH($A686,$B$56:$B$1919,0))</f>
        <v>#N/A</v>
      </c>
    </row>
    <row r="687" spans="1:4" x14ac:dyDescent="0.25">
      <c r="A687">
        <v>632</v>
      </c>
      <c r="B687">
        <f>B686+IF('Cleaned Data'!L633&gt;0,1,0)*IF($B$34="Overall",1,IF('Cleaned Data'!K633=$B$34,1,0))*(IF('Cleaned Data'!H633&lt;&gt;"",1,0))</f>
        <v>188</v>
      </c>
      <c r="C687" t="e">
        <f>INDEX('Cleaned Data'!H:H,MATCH($A687,$B$56:$B$1919,0))</f>
        <v>#N/A</v>
      </c>
      <c r="D687" t="e">
        <f>INDEX('Cleaned Data'!L:L,MATCH($A687,$B$56:$B$1919,0))</f>
        <v>#N/A</v>
      </c>
    </row>
    <row r="688" spans="1:4" x14ac:dyDescent="0.25">
      <c r="A688">
        <v>633</v>
      </c>
      <c r="B688">
        <f>B687+IF('Cleaned Data'!L634&gt;0,1,0)*IF($B$34="Overall",1,IF('Cleaned Data'!K634=$B$34,1,0))*(IF('Cleaned Data'!H634&lt;&gt;"",1,0))</f>
        <v>189</v>
      </c>
      <c r="C688" t="e">
        <f>INDEX('Cleaned Data'!H:H,MATCH($A688,$B$56:$B$1919,0))</f>
        <v>#N/A</v>
      </c>
      <c r="D688" t="e">
        <f>INDEX('Cleaned Data'!L:L,MATCH($A688,$B$56:$B$1919,0))</f>
        <v>#N/A</v>
      </c>
    </row>
    <row r="689" spans="1:4" x14ac:dyDescent="0.25">
      <c r="A689">
        <v>634</v>
      </c>
      <c r="B689">
        <f>B688+IF('Cleaned Data'!L635&gt;0,1,0)*IF($B$34="Overall",1,IF('Cleaned Data'!K635=$B$34,1,0))*(IF('Cleaned Data'!H635&lt;&gt;"",1,0))</f>
        <v>190</v>
      </c>
      <c r="C689" t="e">
        <f>INDEX('Cleaned Data'!H:H,MATCH($A689,$B$56:$B$1919,0))</f>
        <v>#N/A</v>
      </c>
      <c r="D689" t="e">
        <f>INDEX('Cleaned Data'!L:L,MATCH($A689,$B$56:$B$1919,0))</f>
        <v>#N/A</v>
      </c>
    </row>
    <row r="690" spans="1:4" x14ac:dyDescent="0.25">
      <c r="A690">
        <v>635</v>
      </c>
      <c r="B690">
        <f>B689+IF('Cleaned Data'!L636&gt;0,1,0)*IF($B$34="Overall",1,IF('Cleaned Data'!K636=$B$34,1,0))*(IF('Cleaned Data'!H636&lt;&gt;"",1,0))</f>
        <v>191</v>
      </c>
      <c r="C690" t="e">
        <f>INDEX('Cleaned Data'!H:H,MATCH($A690,$B$56:$B$1919,0))</f>
        <v>#N/A</v>
      </c>
      <c r="D690" t="e">
        <f>INDEX('Cleaned Data'!L:L,MATCH($A690,$B$56:$B$1919,0))</f>
        <v>#N/A</v>
      </c>
    </row>
    <row r="691" spans="1:4" x14ac:dyDescent="0.25">
      <c r="A691">
        <v>636</v>
      </c>
      <c r="B691">
        <f>B690+IF('Cleaned Data'!L637&gt;0,1,0)*IF($B$34="Overall",1,IF('Cleaned Data'!K637=$B$34,1,0))*(IF('Cleaned Data'!H637&lt;&gt;"",1,0))</f>
        <v>192</v>
      </c>
      <c r="C691" t="e">
        <f>INDEX('Cleaned Data'!H:H,MATCH($A691,$B$56:$B$1919,0))</f>
        <v>#N/A</v>
      </c>
      <c r="D691" t="e">
        <f>INDEX('Cleaned Data'!L:L,MATCH($A691,$B$56:$B$1919,0))</f>
        <v>#N/A</v>
      </c>
    </row>
    <row r="692" spans="1:4" x14ac:dyDescent="0.25">
      <c r="A692">
        <v>637</v>
      </c>
      <c r="B692">
        <f>B691+IF('Cleaned Data'!L638&gt;0,1,0)*IF($B$34="Overall",1,IF('Cleaned Data'!K638=$B$34,1,0))*(IF('Cleaned Data'!H638&lt;&gt;"",1,0))</f>
        <v>193</v>
      </c>
      <c r="C692" t="e">
        <f>INDEX('Cleaned Data'!H:H,MATCH($A692,$B$56:$B$1919,0))</f>
        <v>#N/A</v>
      </c>
      <c r="D692" t="e">
        <f>INDEX('Cleaned Data'!L:L,MATCH($A692,$B$56:$B$1919,0))</f>
        <v>#N/A</v>
      </c>
    </row>
    <row r="693" spans="1:4" x14ac:dyDescent="0.25">
      <c r="A693">
        <v>638</v>
      </c>
      <c r="B693">
        <f>B692+IF('Cleaned Data'!L639&gt;0,1,0)*IF($B$34="Overall",1,IF('Cleaned Data'!K639=$B$34,1,0))*(IF('Cleaned Data'!H639&lt;&gt;"",1,0))</f>
        <v>194</v>
      </c>
      <c r="C693" t="e">
        <f>INDEX('Cleaned Data'!H:H,MATCH($A693,$B$56:$B$1919,0))</f>
        <v>#N/A</v>
      </c>
      <c r="D693" t="e">
        <f>INDEX('Cleaned Data'!L:L,MATCH($A693,$B$56:$B$1919,0))</f>
        <v>#N/A</v>
      </c>
    </row>
    <row r="694" spans="1:4" x14ac:dyDescent="0.25">
      <c r="A694">
        <v>639</v>
      </c>
      <c r="B694">
        <f>B693+IF('Cleaned Data'!L640&gt;0,1,0)*IF($B$34="Overall",1,IF('Cleaned Data'!K640=$B$34,1,0))*(IF('Cleaned Data'!H640&lt;&gt;"",1,0))</f>
        <v>195</v>
      </c>
      <c r="C694" t="e">
        <f>INDEX('Cleaned Data'!H:H,MATCH($A694,$B$56:$B$1919,0))</f>
        <v>#N/A</v>
      </c>
      <c r="D694" t="e">
        <f>INDEX('Cleaned Data'!L:L,MATCH($A694,$B$56:$B$1919,0))</f>
        <v>#N/A</v>
      </c>
    </row>
    <row r="695" spans="1:4" x14ac:dyDescent="0.25">
      <c r="A695">
        <v>640</v>
      </c>
      <c r="B695">
        <f>B694+IF('Cleaned Data'!L641&gt;0,1,0)*IF($B$34="Overall",1,IF('Cleaned Data'!K641=$B$34,1,0))*(IF('Cleaned Data'!H641&lt;&gt;"",1,0))</f>
        <v>196</v>
      </c>
      <c r="C695" t="e">
        <f>INDEX('Cleaned Data'!H:H,MATCH($A695,$B$56:$B$1919,0))</f>
        <v>#N/A</v>
      </c>
      <c r="D695" t="e">
        <f>INDEX('Cleaned Data'!L:L,MATCH($A695,$B$56:$B$1919,0))</f>
        <v>#N/A</v>
      </c>
    </row>
    <row r="696" spans="1:4" x14ac:dyDescent="0.25">
      <c r="A696">
        <v>641</v>
      </c>
      <c r="B696">
        <f>B695+IF('Cleaned Data'!L642&gt;0,1,0)*IF($B$34="Overall",1,IF('Cleaned Data'!K642=$B$34,1,0))*(IF('Cleaned Data'!H642&lt;&gt;"",1,0))</f>
        <v>197</v>
      </c>
      <c r="C696" t="e">
        <f>INDEX('Cleaned Data'!H:H,MATCH($A696,$B$56:$B$1919,0))</f>
        <v>#N/A</v>
      </c>
      <c r="D696" t="e">
        <f>INDEX('Cleaned Data'!L:L,MATCH($A696,$B$56:$B$1919,0))</f>
        <v>#N/A</v>
      </c>
    </row>
    <row r="697" spans="1:4" x14ac:dyDescent="0.25">
      <c r="A697">
        <v>642</v>
      </c>
      <c r="B697">
        <f>B696+IF('Cleaned Data'!L643&gt;0,1,0)*IF($B$34="Overall",1,IF('Cleaned Data'!K643=$B$34,1,0))*(IF('Cleaned Data'!H643&lt;&gt;"",1,0))</f>
        <v>198</v>
      </c>
      <c r="C697" t="e">
        <f>INDEX('Cleaned Data'!H:H,MATCH($A697,$B$56:$B$1919,0))</f>
        <v>#N/A</v>
      </c>
      <c r="D697" t="e">
        <f>INDEX('Cleaned Data'!L:L,MATCH($A697,$B$56:$B$1919,0))</f>
        <v>#N/A</v>
      </c>
    </row>
    <row r="698" spans="1:4" x14ac:dyDescent="0.25">
      <c r="A698">
        <v>643</v>
      </c>
      <c r="B698">
        <f>B697+IF('Cleaned Data'!L644&gt;0,1,0)*IF($B$34="Overall",1,IF('Cleaned Data'!K644=$B$34,1,0))*(IF('Cleaned Data'!H644&lt;&gt;"",1,0))</f>
        <v>199</v>
      </c>
      <c r="C698" t="e">
        <f>INDEX('Cleaned Data'!H:H,MATCH($A698,$B$56:$B$1919,0))</f>
        <v>#N/A</v>
      </c>
      <c r="D698" t="e">
        <f>INDEX('Cleaned Data'!L:L,MATCH($A698,$B$56:$B$1919,0))</f>
        <v>#N/A</v>
      </c>
    </row>
    <row r="699" spans="1:4" x14ac:dyDescent="0.25">
      <c r="A699">
        <v>644</v>
      </c>
      <c r="B699">
        <f>B698+IF('Cleaned Data'!L645&gt;0,1,0)*IF($B$34="Overall",1,IF('Cleaned Data'!K645=$B$34,1,0))*(IF('Cleaned Data'!H645&lt;&gt;"",1,0))</f>
        <v>200</v>
      </c>
      <c r="C699" t="e">
        <f>INDEX('Cleaned Data'!H:H,MATCH($A699,$B$56:$B$1919,0))</f>
        <v>#N/A</v>
      </c>
      <c r="D699" t="e">
        <f>INDEX('Cleaned Data'!L:L,MATCH($A699,$B$56:$B$1919,0))</f>
        <v>#N/A</v>
      </c>
    </row>
    <row r="700" spans="1:4" x14ac:dyDescent="0.25">
      <c r="A700">
        <v>645</v>
      </c>
      <c r="B700">
        <f>B699+IF('Cleaned Data'!L646&gt;0,1,0)*IF($B$34="Overall",1,IF('Cleaned Data'!K646=$B$34,1,0))*(IF('Cleaned Data'!H646&lt;&gt;"",1,0))</f>
        <v>201</v>
      </c>
      <c r="C700" t="e">
        <f>INDEX('Cleaned Data'!H:H,MATCH($A700,$B$56:$B$1919,0))</f>
        <v>#N/A</v>
      </c>
      <c r="D700" t="e">
        <f>INDEX('Cleaned Data'!L:L,MATCH($A700,$B$56:$B$1919,0))</f>
        <v>#N/A</v>
      </c>
    </row>
    <row r="701" spans="1:4" x14ac:dyDescent="0.25">
      <c r="A701">
        <v>646</v>
      </c>
      <c r="B701">
        <f>B700+IF('Cleaned Data'!L647&gt;0,1,0)*IF($B$34="Overall",1,IF('Cleaned Data'!K647=$B$34,1,0))*(IF('Cleaned Data'!H647&lt;&gt;"",1,0))</f>
        <v>202</v>
      </c>
      <c r="C701" t="e">
        <f>INDEX('Cleaned Data'!H:H,MATCH($A701,$B$56:$B$1919,0))</f>
        <v>#N/A</v>
      </c>
      <c r="D701" t="e">
        <f>INDEX('Cleaned Data'!L:L,MATCH($A701,$B$56:$B$1919,0))</f>
        <v>#N/A</v>
      </c>
    </row>
    <row r="702" spans="1:4" x14ac:dyDescent="0.25">
      <c r="A702">
        <v>647</v>
      </c>
      <c r="B702">
        <f>B701+IF('Cleaned Data'!L648&gt;0,1,0)*IF($B$34="Overall",1,IF('Cleaned Data'!K648=$B$34,1,0))*(IF('Cleaned Data'!H648&lt;&gt;"",1,0))</f>
        <v>203</v>
      </c>
      <c r="C702" t="e">
        <f>INDEX('Cleaned Data'!H:H,MATCH($A702,$B$56:$B$1919,0))</f>
        <v>#N/A</v>
      </c>
      <c r="D702" t="e">
        <f>INDEX('Cleaned Data'!L:L,MATCH($A702,$B$56:$B$1919,0))</f>
        <v>#N/A</v>
      </c>
    </row>
    <row r="703" spans="1:4" x14ac:dyDescent="0.25">
      <c r="A703">
        <v>648</v>
      </c>
      <c r="B703">
        <f>B702+IF('Cleaned Data'!L649&gt;0,1,0)*IF($B$34="Overall",1,IF('Cleaned Data'!K649=$B$34,1,0))*(IF('Cleaned Data'!H649&lt;&gt;"",1,0))</f>
        <v>204</v>
      </c>
      <c r="C703" t="e">
        <f>INDEX('Cleaned Data'!H:H,MATCH($A703,$B$56:$B$1919,0))</f>
        <v>#N/A</v>
      </c>
      <c r="D703" t="e">
        <f>INDEX('Cleaned Data'!L:L,MATCH($A703,$B$56:$B$1919,0))</f>
        <v>#N/A</v>
      </c>
    </row>
    <row r="704" spans="1:4" x14ac:dyDescent="0.25">
      <c r="A704">
        <v>649</v>
      </c>
      <c r="B704">
        <f>B703+IF('Cleaned Data'!L650&gt;0,1,0)*IF($B$34="Overall",1,IF('Cleaned Data'!K650=$B$34,1,0))*(IF('Cleaned Data'!H650&lt;&gt;"",1,0))</f>
        <v>205</v>
      </c>
      <c r="C704" t="e">
        <f>INDEX('Cleaned Data'!H:H,MATCH($A704,$B$56:$B$1919,0))</f>
        <v>#N/A</v>
      </c>
      <c r="D704" t="e">
        <f>INDEX('Cleaned Data'!L:L,MATCH($A704,$B$56:$B$1919,0))</f>
        <v>#N/A</v>
      </c>
    </row>
    <row r="705" spans="1:4" x14ac:dyDescent="0.25">
      <c r="A705">
        <v>650</v>
      </c>
      <c r="B705">
        <f>B704+IF('Cleaned Data'!L651&gt;0,1,0)*IF($B$34="Overall",1,IF('Cleaned Data'!K651=$B$34,1,0))*(IF('Cleaned Data'!H651&lt;&gt;"",1,0))</f>
        <v>206</v>
      </c>
      <c r="C705" t="e">
        <f>INDEX('Cleaned Data'!H:H,MATCH($A705,$B$56:$B$1919,0))</f>
        <v>#N/A</v>
      </c>
      <c r="D705" t="e">
        <f>INDEX('Cleaned Data'!L:L,MATCH($A705,$B$56:$B$1919,0))</f>
        <v>#N/A</v>
      </c>
    </row>
    <row r="706" spans="1:4" x14ac:dyDescent="0.25">
      <c r="A706">
        <v>651</v>
      </c>
      <c r="B706">
        <f>B705+IF('Cleaned Data'!L652&gt;0,1,0)*IF($B$34="Overall",1,IF('Cleaned Data'!K652=$B$34,1,0))*(IF('Cleaned Data'!H652&lt;&gt;"",1,0))</f>
        <v>207</v>
      </c>
      <c r="C706" t="e">
        <f>INDEX('Cleaned Data'!H:H,MATCH($A706,$B$56:$B$1919,0))</f>
        <v>#N/A</v>
      </c>
      <c r="D706" t="e">
        <f>INDEX('Cleaned Data'!L:L,MATCH($A706,$B$56:$B$1919,0))</f>
        <v>#N/A</v>
      </c>
    </row>
    <row r="707" spans="1:4" x14ac:dyDescent="0.25">
      <c r="A707">
        <v>652</v>
      </c>
      <c r="B707">
        <f>B706+IF('Cleaned Data'!L653&gt;0,1,0)*IF($B$34="Overall",1,IF('Cleaned Data'!K653=$B$34,1,0))*(IF('Cleaned Data'!H653&lt;&gt;"",1,0))</f>
        <v>208</v>
      </c>
      <c r="C707" t="e">
        <f>INDEX('Cleaned Data'!H:H,MATCH($A707,$B$56:$B$1919,0))</f>
        <v>#N/A</v>
      </c>
      <c r="D707" t="e">
        <f>INDEX('Cleaned Data'!L:L,MATCH($A707,$B$56:$B$1919,0))</f>
        <v>#N/A</v>
      </c>
    </row>
    <row r="708" spans="1:4" x14ac:dyDescent="0.25">
      <c r="A708">
        <v>653</v>
      </c>
      <c r="B708">
        <f>B707+IF('Cleaned Data'!L654&gt;0,1,0)*IF($B$34="Overall",1,IF('Cleaned Data'!K654=$B$34,1,0))*(IF('Cleaned Data'!H654&lt;&gt;"",1,0))</f>
        <v>209</v>
      </c>
      <c r="C708" t="e">
        <f>INDEX('Cleaned Data'!H:H,MATCH($A708,$B$56:$B$1919,0))</f>
        <v>#N/A</v>
      </c>
      <c r="D708" t="e">
        <f>INDEX('Cleaned Data'!L:L,MATCH($A708,$B$56:$B$1919,0))</f>
        <v>#N/A</v>
      </c>
    </row>
    <row r="709" spans="1:4" x14ac:dyDescent="0.25">
      <c r="A709">
        <v>654</v>
      </c>
      <c r="B709">
        <f>B708+IF('Cleaned Data'!L655&gt;0,1,0)*IF($B$34="Overall",1,IF('Cleaned Data'!K655=$B$34,1,0))*(IF('Cleaned Data'!H655&lt;&gt;"",1,0))</f>
        <v>210</v>
      </c>
      <c r="C709" t="e">
        <f>INDEX('Cleaned Data'!H:H,MATCH($A709,$B$56:$B$1919,0))</f>
        <v>#N/A</v>
      </c>
      <c r="D709" t="e">
        <f>INDEX('Cleaned Data'!L:L,MATCH($A709,$B$56:$B$1919,0))</f>
        <v>#N/A</v>
      </c>
    </row>
    <row r="710" spans="1:4" x14ac:dyDescent="0.25">
      <c r="A710">
        <v>655</v>
      </c>
      <c r="B710">
        <f>B709+IF('Cleaned Data'!L656&gt;0,1,0)*IF($B$34="Overall",1,IF('Cleaned Data'!K656=$B$34,1,0))*(IF('Cleaned Data'!H656&lt;&gt;"",1,0))</f>
        <v>211</v>
      </c>
      <c r="C710" t="e">
        <f>INDEX('Cleaned Data'!H:H,MATCH($A710,$B$56:$B$1919,0))</f>
        <v>#N/A</v>
      </c>
      <c r="D710" t="e">
        <f>INDEX('Cleaned Data'!L:L,MATCH($A710,$B$56:$B$1919,0))</f>
        <v>#N/A</v>
      </c>
    </row>
    <row r="711" spans="1:4" x14ac:dyDescent="0.25">
      <c r="A711">
        <v>656</v>
      </c>
      <c r="B711">
        <f>B710+IF('Cleaned Data'!L657&gt;0,1,0)*IF($B$34="Overall",1,IF('Cleaned Data'!K657=$B$34,1,0))*(IF('Cleaned Data'!H657&lt;&gt;"",1,0))</f>
        <v>212</v>
      </c>
      <c r="C711" t="e">
        <f>INDEX('Cleaned Data'!H:H,MATCH($A711,$B$56:$B$1919,0))</f>
        <v>#N/A</v>
      </c>
      <c r="D711" t="e">
        <f>INDEX('Cleaned Data'!L:L,MATCH($A711,$B$56:$B$1919,0))</f>
        <v>#N/A</v>
      </c>
    </row>
    <row r="712" spans="1:4" x14ac:dyDescent="0.25">
      <c r="A712">
        <v>657</v>
      </c>
      <c r="B712">
        <f>B711+IF('Cleaned Data'!L658&gt;0,1,0)*IF($B$34="Overall",1,IF('Cleaned Data'!K658=$B$34,1,0))*(IF('Cleaned Data'!H658&lt;&gt;"",1,0))</f>
        <v>213</v>
      </c>
      <c r="C712" t="e">
        <f>INDEX('Cleaned Data'!H:H,MATCH($A712,$B$56:$B$1919,0))</f>
        <v>#N/A</v>
      </c>
      <c r="D712" t="e">
        <f>INDEX('Cleaned Data'!L:L,MATCH($A712,$B$56:$B$1919,0))</f>
        <v>#N/A</v>
      </c>
    </row>
    <row r="713" spans="1:4" x14ac:dyDescent="0.25">
      <c r="A713">
        <v>658</v>
      </c>
      <c r="B713">
        <f>B712+IF('Cleaned Data'!L659&gt;0,1,0)*IF($B$34="Overall",1,IF('Cleaned Data'!K659=$B$34,1,0))*(IF('Cleaned Data'!H659&lt;&gt;"",1,0))</f>
        <v>214</v>
      </c>
      <c r="C713" t="e">
        <f>INDEX('Cleaned Data'!H:H,MATCH($A713,$B$56:$B$1919,0))</f>
        <v>#N/A</v>
      </c>
      <c r="D713" t="e">
        <f>INDEX('Cleaned Data'!L:L,MATCH($A713,$B$56:$B$1919,0))</f>
        <v>#N/A</v>
      </c>
    </row>
    <row r="714" spans="1:4" x14ac:dyDescent="0.25">
      <c r="A714">
        <v>659</v>
      </c>
      <c r="B714">
        <f>B713+IF('Cleaned Data'!L660&gt;0,1,0)*IF($B$34="Overall",1,IF('Cleaned Data'!K660=$B$34,1,0))*(IF('Cleaned Data'!H660&lt;&gt;"",1,0))</f>
        <v>215</v>
      </c>
      <c r="C714" t="e">
        <f>INDEX('Cleaned Data'!H:H,MATCH($A714,$B$56:$B$1919,0))</f>
        <v>#N/A</v>
      </c>
      <c r="D714" t="e">
        <f>INDEX('Cleaned Data'!L:L,MATCH($A714,$B$56:$B$1919,0))</f>
        <v>#N/A</v>
      </c>
    </row>
    <row r="715" spans="1:4" x14ac:dyDescent="0.25">
      <c r="A715">
        <v>660</v>
      </c>
      <c r="B715">
        <f>B714+IF('Cleaned Data'!L661&gt;0,1,0)*IF($B$34="Overall",1,IF('Cleaned Data'!K661=$B$34,1,0))*(IF('Cleaned Data'!H661&lt;&gt;"",1,0))</f>
        <v>216</v>
      </c>
      <c r="C715" t="e">
        <f>INDEX('Cleaned Data'!H:H,MATCH($A715,$B$56:$B$1919,0))</f>
        <v>#N/A</v>
      </c>
      <c r="D715" t="e">
        <f>INDEX('Cleaned Data'!L:L,MATCH($A715,$B$56:$B$1919,0))</f>
        <v>#N/A</v>
      </c>
    </row>
    <row r="716" spans="1:4" x14ac:dyDescent="0.25">
      <c r="A716">
        <v>661</v>
      </c>
      <c r="B716">
        <f>B715+IF('Cleaned Data'!L662&gt;0,1,0)*IF($B$34="Overall",1,IF('Cleaned Data'!K662=$B$34,1,0))*(IF('Cleaned Data'!H662&lt;&gt;"",1,0))</f>
        <v>217</v>
      </c>
      <c r="C716" t="e">
        <f>INDEX('Cleaned Data'!H:H,MATCH($A716,$B$56:$B$1919,0))</f>
        <v>#N/A</v>
      </c>
      <c r="D716" t="e">
        <f>INDEX('Cleaned Data'!L:L,MATCH($A716,$B$56:$B$1919,0))</f>
        <v>#N/A</v>
      </c>
    </row>
    <row r="717" spans="1:4" x14ac:dyDescent="0.25">
      <c r="A717">
        <v>662</v>
      </c>
      <c r="B717">
        <f>B716+IF('Cleaned Data'!L663&gt;0,1,0)*IF($B$34="Overall",1,IF('Cleaned Data'!K663=$B$34,1,0))*(IF('Cleaned Data'!H663&lt;&gt;"",1,0))</f>
        <v>218</v>
      </c>
      <c r="C717" t="e">
        <f>INDEX('Cleaned Data'!H:H,MATCH($A717,$B$56:$B$1919,0))</f>
        <v>#N/A</v>
      </c>
      <c r="D717" t="e">
        <f>INDEX('Cleaned Data'!L:L,MATCH($A717,$B$56:$B$1919,0))</f>
        <v>#N/A</v>
      </c>
    </row>
    <row r="718" spans="1:4" x14ac:dyDescent="0.25">
      <c r="A718">
        <v>663</v>
      </c>
      <c r="B718">
        <f>B717+IF('Cleaned Data'!L664&gt;0,1,0)*IF($B$34="Overall",1,IF('Cleaned Data'!K664=$B$34,1,0))*(IF('Cleaned Data'!H664&lt;&gt;"",1,0))</f>
        <v>219</v>
      </c>
      <c r="C718" t="e">
        <f>INDEX('Cleaned Data'!H:H,MATCH($A718,$B$56:$B$1919,0))</f>
        <v>#N/A</v>
      </c>
      <c r="D718" t="e">
        <f>INDEX('Cleaned Data'!L:L,MATCH($A718,$B$56:$B$1919,0))</f>
        <v>#N/A</v>
      </c>
    </row>
    <row r="719" spans="1:4" x14ac:dyDescent="0.25">
      <c r="A719">
        <v>664</v>
      </c>
      <c r="B719">
        <f>B718+IF('Cleaned Data'!L665&gt;0,1,0)*IF($B$34="Overall",1,IF('Cleaned Data'!K665=$B$34,1,0))*(IF('Cleaned Data'!H665&lt;&gt;"",1,0))</f>
        <v>220</v>
      </c>
      <c r="C719" t="e">
        <f>INDEX('Cleaned Data'!H:H,MATCH($A719,$B$56:$B$1919,0))</f>
        <v>#N/A</v>
      </c>
      <c r="D719" t="e">
        <f>INDEX('Cleaned Data'!L:L,MATCH($A719,$B$56:$B$1919,0))</f>
        <v>#N/A</v>
      </c>
    </row>
    <row r="720" spans="1:4" x14ac:dyDescent="0.25">
      <c r="A720">
        <v>665</v>
      </c>
      <c r="B720">
        <f>B719+IF('Cleaned Data'!L666&gt;0,1,0)*IF($B$34="Overall",1,IF('Cleaned Data'!K666=$B$34,1,0))*(IF('Cleaned Data'!H666&lt;&gt;"",1,0))</f>
        <v>221</v>
      </c>
      <c r="C720" t="e">
        <f>INDEX('Cleaned Data'!H:H,MATCH($A720,$B$56:$B$1919,0))</f>
        <v>#N/A</v>
      </c>
      <c r="D720" t="e">
        <f>INDEX('Cleaned Data'!L:L,MATCH($A720,$B$56:$B$1919,0))</f>
        <v>#N/A</v>
      </c>
    </row>
    <row r="721" spans="1:4" x14ac:dyDescent="0.25">
      <c r="A721">
        <v>666</v>
      </c>
      <c r="B721">
        <f>B720+IF('Cleaned Data'!L667&gt;0,1,0)*IF($B$34="Overall",1,IF('Cleaned Data'!K667=$B$34,1,0))*(IF('Cleaned Data'!H667&lt;&gt;"",1,0))</f>
        <v>222</v>
      </c>
      <c r="C721" t="e">
        <f>INDEX('Cleaned Data'!H:H,MATCH($A721,$B$56:$B$1919,0))</f>
        <v>#N/A</v>
      </c>
      <c r="D721" t="e">
        <f>INDEX('Cleaned Data'!L:L,MATCH($A721,$B$56:$B$1919,0))</f>
        <v>#N/A</v>
      </c>
    </row>
    <row r="722" spans="1:4" x14ac:dyDescent="0.25">
      <c r="A722">
        <v>667</v>
      </c>
      <c r="B722">
        <f>B721+IF('Cleaned Data'!L668&gt;0,1,0)*IF($B$34="Overall",1,IF('Cleaned Data'!K668=$B$34,1,0))*(IF('Cleaned Data'!H668&lt;&gt;"",1,0))</f>
        <v>223</v>
      </c>
      <c r="C722" t="e">
        <f>INDEX('Cleaned Data'!H:H,MATCH($A722,$B$56:$B$1919,0))</f>
        <v>#N/A</v>
      </c>
      <c r="D722" t="e">
        <f>INDEX('Cleaned Data'!L:L,MATCH($A722,$B$56:$B$1919,0))</f>
        <v>#N/A</v>
      </c>
    </row>
    <row r="723" spans="1:4" x14ac:dyDescent="0.25">
      <c r="A723">
        <v>668</v>
      </c>
      <c r="B723">
        <f>B722+IF('Cleaned Data'!L669&gt;0,1,0)*IF($B$34="Overall",1,IF('Cleaned Data'!K669=$B$34,1,0))*(IF('Cleaned Data'!H669&lt;&gt;"",1,0))</f>
        <v>224</v>
      </c>
      <c r="C723" t="e">
        <f>INDEX('Cleaned Data'!H:H,MATCH($A723,$B$56:$B$1919,0))</f>
        <v>#N/A</v>
      </c>
      <c r="D723" t="e">
        <f>INDEX('Cleaned Data'!L:L,MATCH($A723,$B$56:$B$1919,0))</f>
        <v>#N/A</v>
      </c>
    </row>
    <row r="724" spans="1:4" x14ac:dyDescent="0.25">
      <c r="A724">
        <v>669</v>
      </c>
      <c r="B724">
        <f>B723+IF('Cleaned Data'!L670&gt;0,1,0)*IF($B$34="Overall",1,IF('Cleaned Data'!K670=$B$34,1,0))*(IF('Cleaned Data'!H670&lt;&gt;"",1,0))</f>
        <v>225</v>
      </c>
      <c r="C724" t="e">
        <f>INDEX('Cleaned Data'!H:H,MATCH($A724,$B$56:$B$1919,0))</f>
        <v>#N/A</v>
      </c>
      <c r="D724" t="e">
        <f>INDEX('Cleaned Data'!L:L,MATCH($A724,$B$56:$B$1919,0))</f>
        <v>#N/A</v>
      </c>
    </row>
    <row r="725" spans="1:4" x14ac:dyDescent="0.25">
      <c r="A725">
        <v>670</v>
      </c>
      <c r="B725">
        <f>B724+IF('Cleaned Data'!L671&gt;0,1,0)*IF($B$34="Overall",1,IF('Cleaned Data'!K671=$B$34,1,0))*(IF('Cleaned Data'!H671&lt;&gt;"",1,0))</f>
        <v>226</v>
      </c>
      <c r="C725" t="e">
        <f>INDEX('Cleaned Data'!H:H,MATCH($A725,$B$56:$B$1919,0))</f>
        <v>#N/A</v>
      </c>
      <c r="D725" t="e">
        <f>INDEX('Cleaned Data'!L:L,MATCH($A725,$B$56:$B$1919,0))</f>
        <v>#N/A</v>
      </c>
    </row>
    <row r="726" spans="1:4" x14ac:dyDescent="0.25">
      <c r="A726">
        <v>671</v>
      </c>
      <c r="B726">
        <f>B725+IF('Cleaned Data'!L672&gt;0,1,0)*IF($B$34="Overall",1,IF('Cleaned Data'!K672=$B$34,1,0))*(IF('Cleaned Data'!H672&lt;&gt;"",1,0))</f>
        <v>227</v>
      </c>
      <c r="C726" t="e">
        <f>INDEX('Cleaned Data'!H:H,MATCH($A726,$B$56:$B$1919,0))</f>
        <v>#N/A</v>
      </c>
      <c r="D726" t="e">
        <f>INDEX('Cleaned Data'!L:L,MATCH($A726,$B$56:$B$1919,0))</f>
        <v>#N/A</v>
      </c>
    </row>
    <row r="727" spans="1:4" x14ac:dyDescent="0.25">
      <c r="A727">
        <v>672</v>
      </c>
      <c r="B727">
        <f>B726+IF('Cleaned Data'!L673&gt;0,1,0)*IF($B$34="Overall",1,IF('Cleaned Data'!K673=$B$34,1,0))*(IF('Cleaned Data'!H673&lt;&gt;"",1,0))</f>
        <v>228</v>
      </c>
      <c r="C727" t="e">
        <f>INDEX('Cleaned Data'!H:H,MATCH($A727,$B$56:$B$1919,0))</f>
        <v>#N/A</v>
      </c>
      <c r="D727" t="e">
        <f>INDEX('Cleaned Data'!L:L,MATCH($A727,$B$56:$B$1919,0))</f>
        <v>#N/A</v>
      </c>
    </row>
    <row r="728" spans="1:4" x14ac:dyDescent="0.25">
      <c r="A728">
        <v>673</v>
      </c>
      <c r="B728">
        <f>B727+IF('Cleaned Data'!L674&gt;0,1,0)*IF($B$34="Overall",1,IF('Cleaned Data'!K674=$B$34,1,0))*(IF('Cleaned Data'!H674&lt;&gt;"",1,0))</f>
        <v>229</v>
      </c>
      <c r="C728" t="e">
        <f>INDEX('Cleaned Data'!H:H,MATCH($A728,$B$56:$B$1919,0))</f>
        <v>#N/A</v>
      </c>
      <c r="D728" t="e">
        <f>INDEX('Cleaned Data'!L:L,MATCH($A728,$B$56:$B$1919,0))</f>
        <v>#N/A</v>
      </c>
    </row>
    <row r="729" spans="1:4" x14ac:dyDescent="0.25">
      <c r="A729">
        <v>674</v>
      </c>
      <c r="B729">
        <f>B728+IF('Cleaned Data'!L675&gt;0,1,0)*IF($B$34="Overall",1,IF('Cleaned Data'!K675=$B$34,1,0))*(IF('Cleaned Data'!H675&lt;&gt;"",1,0))</f>
        <v>230</v>
      </c>
      <c r="C729" t="e">
        <f>INDEX('Cleaned Data'!H:H,MATCH($A729,$B$56:$B$1919,0))</f>
        <v>#N/A</v>
      </c>
      <c r="D729" t="e">
        <f>INDEX('Cleaned Data'!L:L,MATCH($A729,$B$56:$B$1919,0))</f>
        <v>#N/A</v>
      </c>
    </row>
    <row r="730" spans="1:4" x14ac:dyDescent="0.25">
      <c r="A730">
        <v>675</v>
      </c>
      <c r="B730">
        <f>B729+IF('Cleaned Data'!L676&gt;0,1,0)*IF($B$34="Overall",1,IF('Cleaned Data'!K676=$B$34,1,0))*(IF('Cleaned Data'!H676&lt;&gt;"",1,0))</f>
        <v>231</v>
      </c>
      <c r="C730" t="e">
        <f>INDEX('Cleaned Data'!H:H,MATCH($A730,$B$56:$B$1919,0))</f>
        <v>#N/A</v>
      </c>
      <c r="D730" t="e">
        <f>INDEX('Cleaned Data'!L:L,MATCH($A730,$B$56:$B$1919,0))</f>
        <v>#N/A</v>
      </c>
    </row>
    <row r="731" spans="1:4" x14ac:dyDescent="0.25">
      <c r="A731">
        <v>676</v>
      </c>
      <c r="B731">
        <f>B730+IF('Cleaned Data'!L677&gt;0,1,0)*IF($B$34="Overall",1,IF('Cleaned Data'!K677=$B$34,1,0))*(IF('Cleaned Data'!H677&lt;&gt;"",1,0))</f>
        <v>232</v>
      </c>
      <c r="C731" t="e">
        <f>INDEX('Cleaned Data'!H:H,MATCH($A731,$B$56:$B$1919,0))</f>
        <v>#N/A</v>
      </c>
      <c r="D731" t="e">
        <f>INDEX('Cleaned Data'!L:L,MATCH($A731,$B$56:$B$1919,0))</f>
        <v>#N/A</v>
      </c>
    </row>
    <row r="732" spans="1:4" x14ac:dyDescent="0.25">
      <c r="A732">
        <v>677</v>
      </c>
      <c r="B732">
        <f>B731+IF('Cleaned Data'!L678&gt;0,1,0)*IF($B$34="Overall",1,IF('Cleaned Data'!K678=$B$34,1,0))*(IF('Cleaned Data'!H678&lt;&gt;"",1,0))</f>
        <v>233</v>
      </c>
      <c r="C732" t="e">
        <f>INDEX('Cleaned Data'!H:H,MATCH($A732,$B$56:$B$1919,0))</f>
        <v>#N/A</v>
      </c>
      <c r="D732" t="e">
        <f>INDEX('Cleaned Data'!L:L,MATCH($A732,$B$56:$B$1919,0))</f>
        <v>#N/A</v>
      </c>
    </row>
    <row r="733" spans="1:4" x14ac:dyDescent="0.25">
      <c r="A733">
        <v>678</v>
      </c>
      <c r="B733">
        <f>B732+IF('Cleaned Data'!L679&gt;0,1,0)*IF($B$34="Overall",1,IF('Cleaned Data'!K679=$B$34,1,0))*(IF('Cleaned Data'!H679&lt;&gt;"",1,0))</f>
        <v>234</v>
      </c>
      <c r="C733" t="e">
        <f>INDEX('Cleaned Data'!H:H,MATCH($A733,$B$56:$B$1919,0))</f>
        <v>#N/A</v>
      </c>
      <c r="D733" t="e">
        <f>INDEX('Cleaned Data'!L:L,MATCH($A733,$B$56:$B$1919,0))</f>
        <v>#N/A</v>
      </c>
    </row>
    <row r="734" spans="1:4" x14ac:dyDescent="0.25">
      <c r="A734">
        <v>679</v>
      </c>
      <c r="B734">
        <f>B733+IF('Cleaned Data'!L680&gt;0,1,0)*IF($B$34="Overall",1,IF('Cleaned Data'!K680=$B$34,1,0))*(IF('Cleaned Data'!H680&lt;&gt;"",1,0))</f>
        <v>235</v>
      </c>
      <c r="C734" t="e">
        <f>INDEX('Cleaned Data'!H:H,MATCH($A734,$B$56:$B$1919,0))</f>
        <v>#N/A</v>
      </c>
      <c r="D734" t="e">
        <f>INDEX('Cleaned Data'!L:L,MATCH($A734,$B$56:$B$1919,0))</f>
        <v>#N/A</v>
      </c>
    </row>
    <row r="735" spans="1:4" x14ac:dyDescent="0.25">
      <c r="A735">
        <v>680</v>
      </c>
      <c r="B735">
        <f>B734+IF('Cleaned Data'!L681&gt;0,1,0)*IF($B$34="Overall",1,IF('Cleaned Data'!K681=$B$34,1,0))*(IF('Cleaned Data'!H681&lt;&gt;"",1,0))</f>
        <v>236</v>
      </c>
      <c r="C735" t="e">
        <f>INDEX('Cleaned Data'!H:H,MATCH($A735,$B$56:$B$1919,0))</f>
        <v>#N/A</v>
      </c>
      <c r="D735" t="e">
        <f>INDEX('Cleaned Data'!L:L,MATCH($A735,$B$56:$B$1919,0))</f>
        <v>#N/A</v>
      </c>
    </row>
    <row r="736" spans="1:4" x14ac:dyDescent="0.25">
      <c r="A736">
        <v>681</v>
      </c>
      <c r="B736">
        <f>B735+IF('Cleaned Data'!L682&gt;0,1,0)*IF($B$34="Overall",1,IF('Cleaned Data'!K682=$B$34,1,0))*(IF('Cleaned Data'!H682&lt;&gt;"",1,0))</f>
        <v>237</v>
      </c>
      <c r="C736" t="e">
        <f>INDEX('Cleaned Data'!H:H,MATCH($A736,$B$56:$B$1919,0))</f>
        <v>#N/A</v>
      </c>
      <c r="D736" t="e">
        <f>INDEX('Cleaned Data'!L:L,MATCH($A736,$B$56:$B$1919,0))</f>
        <v>#N/A</v>
      </c>
    </row>
    <row r="737" spans="1:4" x14ac:dyDescent="0.25">
      <c r="A737">
        <v>682</v>
      </c>
      <c r="B737">
        <f>B736+IF('Cleaned Data'!L683&gt;0,1,0)*IF($B$34="Overall",1,IF('Cleaned Data'!K683=$B$34,1,0))*(IF('Cleaned Data'!H683&lt;&gt;"",1,0))</f>
        <v>238</v>
      </c>
      <c r="C737" t="e">
        <f>INDEX('Cleaned Data'!H:H,MATCH($A737,$B$56:$B$1919,0))</f>
        <v>#N/A</v>
      </c>
      <c r="D737" t="e">
        <f>INDEX('Cleaned Data'!L:L,MATCH($A737,$B$56:$B$1919,0))</f>
        <v>#N/A</v>
      </c>
    </row>
    <row r="738" spans="1:4" x14ac:dyDescent="0.25">
      <c r="A738">
        <v>683</v>
      </c>
      <c r="B738">
        <f>B737+IF('Cleaned Data'!L684&gt;0,1,0)*IF($B$34="Overall",1,IF('Cleaned Data'!K684=$B$34,1,0))*(IF('Cleaned Data'!H684&lt;&gt;"",1,0))</f>
        <v>239</v>
      </c>
      <c r="C738" t="e">
        <f>INDEX('Cleaned Data'!H:H,MATCH($A738,$B$56:$B$1919,0))</f>
        <v>#N/A</v>
      </c>
      <c r="D738" t="e">
        <f>INDEX('Cleaned Data'!L:L,MATCH($A738,$B$56:$B$1919,0))</f>
        <v>#N/A</v>
      </c>
    </row>
    <row r="739" spans="1:4" x14ac:dyDescent="0.25">
      <c r="A739">
        <v>684</v>
      </c>
      <c r="B739">
        <f>B738+IF('Cleaned Data'!L685&gt;0,1,0)*IF($B$34="Overall",1,IF('Cleaned Data'!K685=$B$34,1,0))*(IF('Cleaned Data'!H685&lt;&gt;"",1,0))</f>
        <v>240</v>
      </c>
      <c r="C739" t="e">
        <f>INDEX('Cleaned Data'!H:H,MATCH($A739,$B$56:$B$1919,0))</f>
        <v>#N/A</v>
      </c>
      <c r="D739" t="e">
        <f>INDEX('Cleaned Data'!L:L,MATCH($A739,$B$56:$B$1919,0))</f>
        <v>#N/A</v>
      </c>
    </row>
    <row r="740" spans="1:4" x14ac:dyDescent="0.25">
      <c r="A740">
        <v>685</v>
      </c>
      <c r="B740">
        <f>B739+IF('Cleaned Data'!L686&gt;0,1,0)*IF($B$34="Overall",1,IF('Cleaned Data'!K686=$B$34,1,0))*(IF('Cleaned Data'!H686&lt;&gt;"",1,0))</f>
        <v>241</v>
      </c>
      <c r="C740" t="e">
        <f>INDEX('Cleaned Data'!H:H,MATCH($A740,$B$56:$B$1919,0))</f>
        <v>#N/A</v>
      </c>
      <c r="D740" t="e">
        <f>INDEX('Cleaned Data'!L:L,MATCH($A740,$B$56:$B$1919,0))</f>
        <v>#N/A</v>
      </c>
    </row>
    <row r="741" spans="1:4" x14ac:dyDescent="0.25">
      <c r="A741">
        <v>686</v>
      </c>
      <c r="B741">
        <f>B740+IF('Cleaned Data'!L687&gt;0,1,0)*IF($B$34="Overall",1,IF('Cleaned Data'!K687=$B$34,1,0))*(IF('Cleaned Data'!H687&lt;&gt;"",1,0))</f>
        <v>242</v>
      </c>
      <c r="C741" t="e">
        <f>INDEX('Cleaned Data'!H:H,MATCH($A741,$B$56:$B$1919,0))</f>
        <v>#N/A</v>
      </c>
      <c r="D741" t="e">
        <f>INDEX('Cleaned Data'!L:L,MATCH($A741,$B$56:$B$1919,0))</f>
        <v>#N/A</v>
      </c>
    </row>
    <row r="742" spans="1:4" x14ac:dyDescent="0.25">
      <c r="A742">
        <v>687</v>
      </c>
      <c r="B742">
        <f>B741+IF('Cleaned Data'!L688&gt;0,1,0)*IF($B$34="Overall",1,IF('Cleaned Data'!K688=$B$34,1,0))*(IF('Cleaned Data'!H688&lt;&gt;"",1,0))</f>
        <v>243</v>
      </c>
      <c r="C742" t="e">
        <f>INDEX('Cleaned Data'!H:H,MATCH($A742,$B$56:$B$1919,0))</f>
        <v>#N/A</v>
      </c>
      <c r="D742" t="e">
        <f>INDEX('Cleaned Data'!L:L,MATCH($A742,$B$56:$B$1919,0))</f>
        <v>#N/A</v>
      </c>
    </row>
    <row r="743" spans="1:4" x14ac:dyDescent="0.25">
      <c r="A743">
        <v>688</v>
      </c>
      <c r="B743">
        <f>B742+IF('Cleaned Data'!L689&gt;0,1,0)*IF($B$34="Overall",1,IF('Cleaned Data'!K689=$B$34,1,0))*(IF('Cleaned Data'!H689&lt;&gt;"",1,0))</f>
        <v>244</v>
      </c>
      <c r="C743" t="e">
        <f>INDEX('Cleaned Data'!H:H,MATCH($A743,$B$56:$B$1919,0))</f>
        <v>#N/A</v>
      </c>
      <c r="D743" t="e">
        <f>INDEX('Cleaned Data'!L:L,MATCH($A743,$B$56:$B$1919,0))</f>
        <v>#N/A</v>
      </c>
    </row>
    <row r="744" spans="1:4" x14ac:dyDescent="0.25">
      <c r="A744">
        <v>689</v>
      </c>
      <c r="B744">
        <f>B743+IF('Cleaned Data'!L690&gt;0,1,0)*IF($B$34="Overall",1,IF('Cleaned Data'!K690=$B$34,1,0))*(IF('Cleaned Data'!H690&lt;&gt;"",1,0))</f>
        <v>245</v>
      </c>
      <c r="C744" t="e">
        <f>INDEX('Cleaned Data'!H:H,MATCH($A744,$B$56:$B$1919,0))</f>
        <v>#N/A</v>
      </c>
      <c r="D744" t="e">
        <f>INDEX('Cleaned Data'!L:L,MATCH($A744,$B$56:$B$1919,0))</f>
        <v>#N/A</v>
      </c>
    </row>
    <row r="745" spans="1:4" x14ac:dyDescent="0.25">
      <c r="A745">
        <v>690</v>
      </c>
      <c r="B745">
        <f>B744+IF('Cleaned Data'!L691&gt;0,1,0)*IF($B$34="Overall",1,IF('Cleaned Data'!K691=$B$34,1,0))*(IF('Cleaned Data'!H691&lt;&gt;"",1,0))</f>
        <v>246</v>
      </c>
      <c r="C745" t="e">
        <f>INDEX('Cleaned Data'!H:H,MATCH($A745,$B$56:$B$1919,0))</f>
        <v>#N/A</v>
      </c>
      <c r="D745" t="e">
        <f>INDEX('Cleaned Data'!L:L,MATCH($A745,$B$56:$B$1919,0))</f>
        <v>#N/A</v>
      </c>
    </row>
    <row r="746" spans="1:4" x14ac:dyDescent="0.25">
      <c r="A746">
        <v>691</v>
      </c>
      <c r="B746">
        <f>B745+IF('Cleaned Data'!L692&gt;0,1,0)*IF($B$34="Overall",1,IF('Cleaned Data'!K692=$B$34,1,0))*(IF('Cleaned Data'!H692&lt;&gt;"",1,0))</f>
        <v>247</v>
      </c>
      <c r="C746" t="e">
        <f>INDEX('Cleaned Data'!H:H,MATCH($A746,$B$56:$B$1919,0))</f>
        <v>#N/A</v>
      </c>
      <c r="D746" t="e">
        <f>INDEX('Cleaned Data'!L:L,MATCH($A746,$B$56:$B$1919,0))</f>
        <v>#N/A</v>
      </c>
    </row>
    <row r="747" spans="1:4" x14ac:dyDescent="0.25">
      <c r="A747">
        <v>692</v>
      </c>
      <c r="B747">
        <f>B746+IF('Cleaned Data'!L693&gt;0,1,0)*IF($B$34="Overall",1,IF('Cleaned Data'!K693=$B$34,1,0))*(IF('Cleaned Data'!H693&lt;&gt;"",1,0))</f>
        <v>248</v>
      </c>
      <c r="C747" t="e">
        <f>INDEX('Cleaned Data'!H:H,MATCH($A747,$B$56:$B$1919,0))</f>
        <v>#N/A</v>
      </c>
      <c r="D747" t="e">
        <f>INDEX('Cleaned Data'!L:L,MATCH($A747,$B$56:$B$1919,0))</f>
        <v>#N/A</v>
      </c>
    </row>
    <row r="748" spans="1:4" x14ac:dyDescent="0.25">
      <c r="A748">
        <v>693</v>
      </c>
      <c r="B748">
        <f>B747+IF('Cleaned Data'!L694&gt;0,1,0)*IF($B$34="Overall",1,IF('Cleaned Data'!K694=$B$34,1,0))*(IF('Cleaned Data'!H694&lt;&gt;"",1,0))</f>
        <v>249</v>
      </c>
      <c r="C748" t="e">
        <f>INDEX('Cleaned Data'!H:H,MATCH($A748,$B$56:$B$1919,0))</f>
        <v>#N/A</v>
      </c>
      <c r="D748" t="e">
        <f>INDEX('Cleaned Data'!L:L,MATCH($A748,$B$56:$B$1919,0))</f>
        <v>#N/A</v>
      </c>
    </row>
    <row r="749" spans="1:4" x14ac:dyDescent="0.25">
      <c r="A749">
        <v>694</v>
      </c>
      <c r="B749">
        <f>B748+IF('Cleaned Data'!L695&gt;0,1,0)*IF($B$34="Overall",1,IF('Cleaned Data'!K695=$B$34,1,0))*(IF('Cleaned Data'!H695&lt;&gt;"",1,0))</f>
        <v>250</v>
      </c>
      <c r="C749" t="e">
        <f>INDEX('Cleaned Data'!H:H,MATCH($A749,$B$56:$B$1919,0))</f>
        <v>#N/A</v>
      </c>
      <c r="D749" t="e">
        <f>INDEX('Cleaned Data'!L:L,MATCH($A749,$B$56:$B$1919,0))</f>
        <v>#N/A</v>
      </c>
    </row>
    <row r="750" spans="1:4" x14ac:dyDescent="0.25">
      <c r="A750">
        <v>695</v>
      </c>
      <c r="B750">
        <f>B749+IF('Cleaned Data'!L696&gt;0,1,0)*IF($B$34="Overall",1,IF('Cleaned Data'!K696=$B$34,1,0))*(IF('Cleaned Data'!H696&lt;&gt;"",1,0))</f>
        <v>251</v>
      </c>
      <c r="C750" t="e">
        <f>INDEX('Cleaned Data'!H:H,MATCH($A750,$B$56:$B$1919,0))</f>
        <v>#N/A</v>
      </c>
      <c r="D750" t="e">
        <f>INDEX('Cleaned Data'!L:L,MATCH($A750,$B$56:$B$1919,0))</f>
        <v>#N/A</v>
      </c>
    </row>
    <row r="751" spans="1:4" x14ac:dyDescent="0.25">
      <c r="A751">
        <v>696</v>
      </c>
      <c r="B751">
        <f>B750+IF('Cleaned Data'!L697&gt;0,1,0)*IF($B$34="Overall",1,IF('Cleaned Data'!K697=$B$34,1,0))*(IF('Cleaned Data'!H697&lt;&gt;"",1,0))</f>
        <v>252</v>
      </c>
      <c r="C751" t="e">
        <f>INDEX('Cleaned Data'!H:H,MATCH($A751,$B$56:$B$1919,0))</f>
        <v>#N/A</v>
      </c>
      <c r="D751" t="e">
        <f>INDEX('Cleaned Data'!L:L,MATCH($A751,$B$56:$B$1919,0))</f>
        <v>#N/A</v>
      </c>
    </row>
    <row r="752" spans="1:4" x14ac:dyDescent="0.25">
      <c r="A752">
        <v>697</v>
      </c>
      <c r="B752">
        <f>B751+IF('Cleaned Data'!L698&gt;0,1,0)*IF($B$34="Overall",1,IF('Cleaned Data'!K698=$B$34,1,0))*(IF('Cleaned Data'!H698&lt;&gt;"",1,0))</f>
        <v>253</v>
      </c>
      <c r="C752" t="e">
        <f>INDEX('Cleaned Data'!H:H,MATCH($A752,$B$56:$B$1919,0))</f>
        <v>#N/A</v>
      </c>
      <c r="D752" t="e">
        <f>INDEX('Cleaned Data'!L:L,MATCH($A752,$B$56:$B$1919,0))</f>
        <v>#N/A</v>
      </c>
    </row>
    <row r="753" spans="1:4" x14ac:dyDescent="0.25">
      <c r="A753">
        <v>698</v>
      </c>
      <c r="B753">
        <f>B752+IF('Cleaned Data'!L699&gt;0,1,0)*IF($B$34="Overall",1,IF('Cleaned Data'!K699=$B$34,1,0))*(IF('Cleaned Data'!H699&lt;&gt;"",1,0))</f>
        <v>254</v>
      </c>
      <c r="C753" t="e">
        <f>INDEX('Cleaned Data'!H:H,MATCH($A753,$B$56:$B$1919,0))</f>
        <v>#N/A</v>
      </c>
      <c r="D753" t="e">
        <f>INDEX('Cleaned Data'!L:L,MATCH($A753,$B$56:$B$1919,0))</f>
        <v>#N/A</v>
      </c>
    </row>
    <row r="754" spans="1:4" x14ac:dyDescent="0.25">
      <c r="A754">
        <v>699</v>
      </c>
      <c r="B754">
        <f>B753+IF('Cleaned Data'!L700&gt;0,1,0)*IF($B$34="Overall",1,IF('Cleaned Data'!K700=$B$34,1,0))*(IF('Cleaned Data'!H700&lt;&gt;"",1,0))</f>
        <v>255</v>
      </c>
      <c r="C754" t="e">
        <f>INDEX('Cleaned Data'!H:H,MATCH($A754,$B$56:$B$1919,0))</f>
        <v>#N/A</v>
      </c>
      <c r="D754" t="e">
        <f>INDEX('Cleaned Data'!L:L,MATCH($A754,$B$56:$B$1919,0))</f>
        <v>#N/A</v>
      </c>
    </row>
    <row r="755" spans="1:4" x14ac:dyDescent="0.25">
      <c r="A755">
        <v>700</v>
      </c>
      <c r="B755">
        <f>B754+IF('Cleaned Data'!L701&gt;0,1,0)*IF($B$34="Overall",1,IF('Cleaned Data'!K701=$B$34,1,0))*(IF('Cleaned Data'!H701&lt;&gt;"",1,0))</f>
        <v>256</v>
      </c>
      <c r="C755" t="e">
        <f>INDEX('Cleaned Data'!H:H,MATCH($A755,$B$56:$B$1919,0))</f>
        <v>#N/A</v>
      </c>
      <c r="D755" t="e">
        <f>INDEX('Cleaned Data'!L:L,MATCH($A755,$B$56:$B$1919,0))</f>
        <v>#N/A</v>
      </c>
    </row>
    <row r="756" spans="1:4" x14ac:dyDescent="0.25">
      <c r="A756">
        <v>701</v>
      </c>
      <c r="B756">
        <f>B755+IF('Cleaned Data'!L702&gt;0,1,0)*IF($B$34="Overall",1,IF('Cleaned Data'!K702=$B$34,1,0))*(IF('Cleaned Data'!H702&lt;&gt;"",1,0))</f>
        <v>257</v>
      </c>
      <c r="C756" t="e">
        <f>INDEX('Cleaned Data'!H:H,MATCH($A756,$B$56:$B$1919,0))</f>
        <v>#N/A</v>
      </c>
      <c r="D756" t="e">
        <f>INDEX('Cleaned Data'!L:L,MATCH($A756,$B$56:$B$1919,0))</f>
        <v>#N/A</v>
      </c>
    </row>
    <row r="757" spans="1:4" x14ac:dyDescent="0.25">
      <c r="A757">
        <v>702</v>
      </c>
      <c r="B757">
        <f>B756+IF('Cleaned Data'!L703&gt;0,1,0)*IF($B$34="Overall",1,IF('Cleaned Data'!K703=$B$34,1,0))*(IF('Cleaned Data'!H703&lt;&gt;"",1,0))</f>
        <v>258</v>
      </c>
      <c r="C757" t="e">
        <f>INDEX('Cleaned Data'!H:H,MATCH($A757,$B$56:$B$1919,0))</f>
        <v>#N/A</v>
      </c>
      <c r="D757" t="e">
        <f>INDEX('Cleaned Data'!L:L,MATCH($A757,$B$56:$B$1919,0))</f>
        <v>#N/A</v>
      </c>
    </row>
    <row r="758" spans="1:4" x14ac:dyDescent="0.25">
      <c r="A758">
        <v>703</v>
      </c>
      <c r="B758">
        <f>B757+IF('Cleaned Data'!L704&gt;0,1,0)*IF($B$34="Overall",1,IF('Cleaned Data'!K704=$B$34,1,0))*(IF('Cleaned Data'!H704&lt;&gt;"",1,0))</f>
        <v>259</v>
      </c>
      <c r="C758" t="e">
        <f>INDEX('Cleaned Data'!H:H,MATCH($A758,$B$56:$B$1919,0))</f>
        <v>#N/A</v>
      </c>
      <c r="D758" t="e">
        <f>INDEX('Cleaned Data'!L:L,MATCH($A758,$B$56:$B$1919,0))</f>
        <v>#N/A</v>
      </c>
    </row>
    <row r="759" spans="1:4" x14ac:dyDescent="0.25">
      <c r="A759">
        <v>704</v>
      </c>
      <c r="B759">
        <f>B758+IF('Cleaned Data'!L705&gt;0,1,0)*IF($B$34="Overall",1,IF('Cleaned Data'!K705=$B$34,1,0))*(IF('Cleaned Data'!H705&lt;&gt;"",1,0))</f>
        <v>260</v>
      </c>
      <c r="C759" t="e">
        <f>INDEX('Cleaned Data'!H:H,MATCH($A759,$B$56:$B$1919,0))</f>
        <v>#N/A</v>
      </c>
      <c r="D759" t="e">
        <f>INDEX('Cleaned Data'!L:L,MATCH($A759,$B$56:$B$1919,0))</f>
        <v>#N/A</v>
      </c>
    </row>
    <row r="760" spans="1:4" x14ac:dyDescent="0.25">
      <c r="A760">
        <v>705</v>
      </c>
      <c r="B760">
        <f>B759+IF('Cleaned Data'!L706&gt;0,1,0)*IF($B$34="Overall",1,IF('Cleaned Data'!K706=$B$34,1,0))*(IF('Cleaned Data'!H706&lt;&gt;"",1,0))</f>
        <v>261</v>
      </c>
      <c r="C760" t="e">
        <f>INDEX('Cleaned Data'!H:H,MATCH($A760,$B$56:$B$1919,0))</f>
        <v>#N/A</v>
      </c>
      <c r="D760" t="e">
        <f>INDEX('Cleaned Data'!L:L,MATCH($A760,$B$56:$B$1919,0))</f>
        <v>#N/A</v>
      </c>
    </row>
    <row r="761" spans="1:4" x14ac:dyDescent="0.25">
      <c r="A761">
        <v>706</v>
      </c>
      <c r="B761">
        <f>B760+IF('Cleaned Data'!L707&gt;0,1,0)*IF($B$34="Overall",1,IF('Cleaned Data'!K707=$B$34,1,0))*(IF('Cleaned Data'!H707&lt;&gt;"",1,0))</f>
        <v>262</v>
      </c>
      <c r="C761" t="e">
        <f>INDEX('Cleaned Data'!H:H,MATCH($A761,$B$56:$B$1919,0))</f>
        <v>#N/A</v>
      </c>
      <c r="D761" t="e">
        <f>INDEX('Cleaned Data'!L:L,MATCH($A761,$B$56:$B$1919,0))</f>
        <v>#N/A</v>
      </c>
    </row>
    <row r="762" spans="1:4" x14ac:dyDescent="0.25">
      <c r="A762">
        <v>707</v>
      </c>
      <c r="B762">
        <f>B761+IF('Cleaned Data'!L708&gt;0,1,0)*IF($B$34="Overall",1,IF('Cleaned Data'!K708=$B$34,1,0))*(IF('Cleaned Data'!H708&lt;&gt;"",1,0))</f>
        <v>263</v>
      </c>
      <c r="C762" t="e">
        <f>INDEX('Cleaned Data'!H:H,MATCH($A762,$B$56:$B$1919,0))</f>
        <v>#N/A</v>
      </c>
      <c r="D762" t="e">
        <f>INDEX('Cleaned Data'!L:L,MATCH($A762,$B$56:$B$1919,0))</f>
        <v>#N/A</v>
      </c>
    </row>
    <row r="763" spans="1:4" x14ac:dyDescent="0.25">
      <c r="A763">
        <v>708</v>
      </c>
      <c r="B763">
        <f>B762+IF('Cleaned Data'!L709&gt;0,1,0)*IF($B$34="Overall",1,IF('Cleaned Data'!K709=$B$34,1,0))*(IF('Cleaned Data'!H709&lt;&gt;"",1,0))</f>
        <v>264</v>
      </c>
      <c r="C763" t="e">
        <f>INDEX('Cleaned Data'!H:H,MATCH($A763,$B$56:$B$1919,0))</f>
        <v>#N/A</v>
      </c>
      <c r="D763" t="e">
        <f>INDEX('Cleaned Data'!L:L,MATCH($A763,$B$56:$B$1919,0))</f>
        <v>#N/A</v>
      </c>
    </row>
    <row r="764" spans="1:4" x14ac:dyDescent="0.25">
      <c r="A764">
        <v>709</v>
      </c>
      <c r="B764">
        <f>B763+IF('Cleaned Data'!L710&gt;0,1,0)*IF($B$34="Overall",1,IF('Cleaned Data'!K710=$B$34,1,0))*(IF('Cleaned Data'!H710&lt;&gt;"",1,0))</f>
        <v>265</v>
      </c>
      <c r="C764" t="e">
        <f>INDEX('Cleaned Data'!H:H,MATCH($A764,$B$56:$B$1919,0))</f>
        <v>#N/A</v>
      </c>
      <c r="D764" t="e">
        <f>INDEX('Cleaned Data'!L:L,MATCH($A764,$B$56:$B$1919,0))</f>
        <v>#N/A</v>
      </c>
    </row>
    <row r="765" spans="1:4" x14ac:dyDescent="0.25">
      <c r="A765">
        <v>710</v>
      </c>
      <c r="B765">
        <f>B764+IF('Cleaned Data'!L711&gt;0,1,0)*IF($B$34="Overall",1,IF('Cleaned Data'!K711=$B$34,1,0))*(IF('Cleaned Data'!H711&lt;&gt;"",1,0))</f>
        <v>266</v>
      </c>
      <c r="C765" t="e">
        <f>INDEX('Cleaned Data'!H:H,MATCH($A765,$B$56:$B$1919,0))</f>
        <v>#N/A</v>
      </c>
      <c r="D765" t="e">
        <f>INDEX('Cleaned Data'!L:L,MATCH($A765,$B$56:$B$1919,0))</f>
        <v>#N/A</v>
      </c>
    </row>
    <row r="766" spans="1:4" x14ac:dyDescent="0.25">
      <c r="A766">
        <v>711</v>
      </c>
      <c r="B766">
        <f>B765+IF('Cleaned Data'!L712&gt;0,1,0)*IF($B$34="Overall",1,IF('Cleaned Data'!K712=$B$34,1,0))*(IF('Cleaned Data'!H712&lt;&gt;"",1,0))</f>
        <v>267</v>
      </c>
      <c r="C766" t="e">
        <f>INDEX('Cleaned Data'!H:H,MATCH($A766,$B$56:$B$1919,0))</f>
        <v>#N/A</v>
      </c>
      <c r="D766" t="e">
        <f>INDEX('Cleaned Data'!L:L,MATCH($A766,$B$56:$B$1919,0))</f>
        <v>#N/A</v>
      </c>
    </row>
    <row r="767" spans="1:4" x14ac:dyDescent="0.25">
      <c r="A767">
        <v>712</v>
      </c>
      <c r="B767">
        <f>B766+IF('Cleaned Data'!L713&gt;0,1,0)*IF($B$34="Overall",1,IF('Cleaned Data'!K713=$B$34,1,0))*(IF('Cleaned Data'!H713&lt;&gt;"",1,0))</f>
        <v>268</v>
      </c>
      <c r="C767" t="e">
        <f>INDEX('Cleaned Data'!H:H,MATCH($A767,$B$56:$B$1919,0))</f>
        <v>#N/A</v>
      </c>
      <c r="D767" t="e">
        <f>INDEX('Cleaned Data'!L:L,MATCH($A767,$B$56:$B$1919,0))</f>
        <v>#N/A</v>
      </c>
    </row>
    <row r="768" spans="1:4" x14ac:dyDescent="0.25">
      <c r="A768">
        <v>713</v>
      </c>
      <c r="B768">
        <f>B767+IF('Cleaned Data'!L714&gt;0,1,0)*IF($B$34="Overall",1,IF('Cleaned Data'!K714=$B$34,1,0))*(IF('Cleaned Data'!H714&lt;&gt;"",1,0))</f>
        <v>269</v>
      </c>
      <c r="C768" t="e">
        <f>INDEX('Cleaned Data'!H:H,MATCH($A768,$B$56:$B$1919,0))</f>
        <v>#N/A</v>
      </c>
      <c r="D768" t="e">
        <f>INDEX('Cleaned Data'!L:L,MATCH($A768,$B$56:$B$1919,0))</f>
        <v>#N/A</v>
      </c>
    </row>
    <row r="769" spans="1:4" x14ac:dyDescent="0.25">
      <c r="A769">
        <v>714</v>
      </c>
      <c r="B769">
        <f>B768+IF('Cleaned Data'!L715&gt;0,1,0)*IF($B$34="Overall",1,IF('Cleaned Data'!K715=$B$34,1,0))*(IF('Cleaned Data'!H715&lt;&gt;"",1,0))</f>
        <v>270</v>
      </c>
      <c r="C769" t="e">
        <f>INDEX('Cleaned Data'!H:H,MATCH($A769,$B$56:$B$1919,0))</f>
        <v>#N/A</v>
      </c>
      <c r="D769" t="e">
        <f>INDEX('Cleaned Data'!L:L,MATCH($A769,$B$56:$B$1919,0))</f>
        <v>#N/A</v>
      </c>
    </row>
    <row r="770" spans="1:4" x14ac:dyDescent="0.25">
      <c r="A770">
        <v>715</v>
      </c>
      <c r="B770">
        <f>B769+IF('Cleaned Data'!L716&gt;0,1,0)*IF($B$34="Overall",1,IF('Cleaned Data'!K716=$B$34,1,0))*(IF('Cleaned Data'!H716&lt;&gt;"",1,0))</f>
        <v>271</v>
      </c>
      <c r="C770" t="e">
        <f>INDEX('Cleaned Data'!H:H,MATCH($A770,$B$56:$B$1919,0))</f>
        <v>#N/A</v>
      </c>
      <c r="D770" t="e">
        <f>INDEX('Cleaned Data'!L:L,MATCH($A770,$B$56:$B$1919,0))</f>
        <v>#N/A</v>
      </c>
    </row>
    <row r="771" spans="1:4" x14ac:dyDescent="0.25">
      <c r="A771">
        <v>716</v>
      </c>
      <c r="B771">
        <f>B770+IF('Cleaned Data'!L717&gt;0,1,0)*IF($B$34="Overall",1,IF('Cleaned Data'!K717=$B$34,1,0))*(IF('Cleaned Data'!H717&lt;&gt;"",1,0))</f>
        <v>272</v>
      </c>
      <c r="C771" t="e">
        <f>INDEX('Cleaned Data'!H:H,MATCH($A771,$B$56:$B$1919,0))</f>
        <v>#N/A</v>
      </c>
      <c r="D771" t="e">
        <f>INDEX('Cleaned Data'!L:L,MATCH($A771,$B$56:$B$1919,0))</f>
        <v>#N/A</v>
      </c>
    </row>
    <row r="772" spans="1:4" x14ac:dyDescent="0.25">
      <c r="A772">
        <v>717</v>
      </c>
      <c r="B772">
        <f>B771+IF('Cleaned Data'!L718&gt;0,1,0)*IF($B$34="Overall",1,IF('Cleaned Data'!K718=$B$34,1,0))*(IF('Cleaned Data'!H718&lt;&gt;"",1,0))</f>
        <v>273</v>
      </c>
      <c r="C772" t="e">
        <f>INDEX('Cleaned Data'!H:H,MATCH($A772,$B$56:$B$1919,0))</f>
        <v>#N/A</v>
      </c>
      <c r="D772" t="e">
        <f>INDEX('Cleaned Data'!L:L,MATCH($A772,$B$56:$B$1919,0))</f>
        <v>#N/A</v>
      </c>
    </row>
    <row r="773" spans="1:4" x14ac:dyDescent="0.25">
      <c r="A773">
        <v>718</v>
      </c>
      <c r="B773">
        <f>B772+IF('Cleaned Data'!L719&gt;0,1,0)*IF($B$34="Overall",1,IF('Cleaned Data'!K719=$B$34,1,0))*(IF('Cleaned Data'!H719&lt;&gt;"",1,0))</f>
        <v>274</v>
      </c>
      <c r="C773" t="e">
        <f>INDEX('Cleaned Data'!H:H,MATCH($A773,$B$56:$B$1919,0))</f>
        <v>#N/A</v>
      </c>
      <c r="D773" t="e">
        <f>INDEX('Cleaned Data'!L:L,MATCH($A773,$B$56:$B$1919,0))</f>
        <v>#N/A</v>
      </c>
    </row>
    <row r="774" spans="1:4" x14ac:dyDescent="0.25">
      <c r="A774">
        <v>719</v>
      </c>
      <c r="B774">
        <f>B773+IF('Cleaned Data'!L720&gt;0,1,0)*IF($B$34="Overall",1,IF('Cleaned Data'!K720=$B$34,1,0))*(IF('Cleaned Data'!H720&lt;&gt;"",1,0))</f>
        <v>275</v>
      </c>
      <c r="C774" t="e">
        <f>INDEX('Cleaned Data'!H:H,MATCH($A774,$B$56:$B$1919,0))</f>
        <v>#N/A</v>
      </c>
      <c r="D774" t="e">
        <f>INDEX('Cleaned Data'!L:L,MATCH($A774,$B$56:$B$1919,0))</f>
        <v>#N/A</v>
      </c>
    </row>
    <row r="775" spans="1:4" x14ac:dyDescent="0.25">
      <c r="A775">
        <v>720</v>
      </c>
      <c r="B775">
        <f>B774+IF('Cleaned Data'!L721&gt;0,1,0)*IF($B$34="Overall",1,IF('Cleaned Data'!K721=$B$34,1,0))*(IF('Cleaned Data'!H721&lt;&gt;"",1,0))</f>
        <v>276</v>
      </c>
      <c r="C775" t="e">
        <f>INDEX('Cleaned Data'!H:H,MATCH($A775,$B$56:$B$1919,0))</f>
        <v>#N/A</v>
      </c>
      <c r="D775" t="e">
        <f>INDEX('Cleaned Data'!L:L,MATCH($A775,$B$56:$B$1919,0))</f>
        <v>#N/A</v>
      </c>
    </row>
    <row r="776" spans="1:4" x14ac:dyDescent="0.25">
      <c r="A776">
        <v>721</v>
      </c>
      <c r="B776">
        <f>B775+IF('Cleaned Data'!L722&gt;0,1,0)*IF($B$34="Overall",1,IF('Cleaned Data'!K722=$B$34,1,0))*(IF('Cleaned Data'!H722&lt;&gt;"",1,0))</f>
        <v>277</v>
      </c>
      <c r="C776" t="e">
        <f>INDEX('Cleaned Data'!H:H,MATCH($A776,$B$56:$B$1919,0))</f>
        <v>#N/A</v>
      </c>
      <c r="D776" t="e">
        <f>INDEX('Cleaned Data'!L:L,MATCH($A776,$B$56:$B$1919,0))</f>
        <v>#N/A</v>
      </c>
    </row>
    <row r="777" spans="1:4" x14ac:dyDescent="0.25">
      <c r="A777">
        <v>722</v>
      </c>
      <c r="B777">
        <f>B776+IF('Cleaned Data'!L723&gt;0,1,0)*IF($B$34="Overall",1,IF('Cleaned Data'!K723=$B$34,1,0))*(IF('Cleaned Data'!H723&lt;&gt;"",1,0))</f>
        <v>278</v>
      </c>
      <c r="C777" t="e">
        <f>INDEX('Cleaned Data'!H:H,MATCH($A777,$B$56:$B$1919,0))</f>
        <v>#N/A</v>
      </c>
      <c r="D777" t="e">
        <f>INDEX('Cleaned Data'!L:L,MATCH($A777,$B$56:$B$1919,0))</f>
        <v>#N/A</v>
      </c>
    </row>
    <row r="778" spans="1:4" x14ac:dyDescent="0.25">
      <c r="A778">
        <v>723</v>
      </c>
      <c r="B778">
        <f>B777+IF('Cleaned Data'!L724&gt;0,1,0)*IF($B$34="Overall",1,IF('Cleaned Data'!K724=$B$34,1,0))*(IF('Cleaned Data'!H724&lt;&gt;"",1,0))</f>
        <v>279</v>
      </c>
      <c r="C778" t="e">
        <f>INDEX('Cleaned Data'!H:H,MATCH($A778,$B$56:$B$1919,0))</f>
        <v>#N/A</v>
      </c>
      <c r="D778" t="e">
        <f>INDEX('Cleaned Data'!L:L,MATCH($A778,$B$56:$B$1919,0))</f>
        <v>#N/A</v>
      </c>
    </row>
    <row r="779" spans="1:4" x14ac:dyDescent="0.25">
      <c r="A779">
        <v>724</v>
      </c>
      <c r="B779">
        <f>B778+IF('Cleaned Data'!L725&gt;0,1,0)*IF($B$34="Overall",1,IF('Cleaned Data'!K725=$B$34,1,0))*(IF('Cleaned Data'!H725&lt;&gt;"",1,0))</f>
        <v>280</v>
      </c>
      <c r="C779" t="e">
        <f>INDEX('Cleaned Data'!H:H,MATCH($A779,$B$56:$B$1919,0))</f>
        <v>#N/A</v>
      </c>
      <c r="D779" t="e">
        <f>INDEX('Cleaned Data'!L:L,MATCH($A779,$B$56:$B$1919,0))</f>
        <v>#N/A</v>
      </c>
    </row>
    <row r="780" spans="1:4" x14ac:dyDescent="0.25">
      <c r="A780">
        <v>725</v>
      </c>
      <c r="B780">
        <f>B779+IF('Cleaned Data'!L726&gt;0,1,0)*IF($B$34="Overall",1,IF('Cleaned Data'!K726=$B$34,1,0))*(IF('Cleaned Data'!H726&lt;&gt;"",1,0))</f>
        <v>281</v>
      </c>
      <c r="C780" t="e">
        <f>INDEX('Cleaned Data'!H:H,MATCH($A780,$B$56:$B$1919,0))</f>
        <v>#N/A</v>
      </c>
      <c r="D780" t="e">
        <f>INDEX('Cleaned Data'!L:L,MATCH($A780,$B$56:$B$1919,0))</f>
        <v>#N/A</v>
      </c>
    </row>
    <row r="781" spans="1:4" x14ac:dyDescent="0.25">
      <c r="A781">
        <v>726</v>
      </c>
      <c r="B781">
        <f>B780+IF('Cleaned Data'!L727&gt;0,1,0)*IF($B$34="Overall",1,IF('Cleaned Data'!K727=$B$34,1,0))*(IF('Cleaned Data'!H727&lt;&gt;"",1,0))</f>
        <v>282</v>
      </c>
      <c r="C781" t="e">
        <f>INDEX('Cleaned Data'!H:H,MATCH($A781,$B$56:$B$1919,0))</f>
        <v>#N/A</v>
      </c>
      <c r="D781" t="e">
        <f>INDEX('Cleaned Data'!L:L,MATCH($A781,$B$56:$B$1919,0))</f>
        <v>#N/A</v>
      </c>
    </row>
    <row r="782" spans="1:4" x14ac:dyDescent="0.25">
      <c r="A782">
        <v>727</v>
      </c>
      <c r="B782">
        <f>B781+IF('Cleaned Data'!L728&gt;0,1,0)*IF($B$34="Overall",1,IF('Cleaned Data'!K728=$B$34,1,0))*(IF('Cleaned Data'!H728&lt;&gt;"",1,0))</f>
        <v>283</v>
      </c>
      <c r="C782" t="e">
        <f>INDEX('Cleaned Data'!H:H,MATCH($A782,$B$56:$B$1919,0))</f>
        <v>#N/A</v>
      </c>
      <c r="D782" t="e">
        <f>INDEX('Cleaned Data'!L:L,MATCH($A782,$B$56:$B$1919,0))</f>
        <v>#N/A</v>
      </c>
    </row>
    <row r="783" spans="1:4" x14ac:dyDescent="0.25">
      <c r="A783">
        <v>728</v>
      </c>
      <c r="B783">
        <f>B782+IF('Cleaned Data'!L729&gt;0,1,0)*IF($B$34="Overall",1,IF('Cleaned Data'!K729=$B$34,1,0))*(IF('Cleaned Data'!H729&lt;&gt;"",1,0))</f>
        <v>284</v>
      </c>
      <c r="C783" t="e">
        <f>INDEX('Cleaned Data'!H:H,MATCH($A783,$B$56:$B$1919,0))</f>
        <v>#N/A</v>
      </c>
      <c r="D783" t="e">
        <f>INDEX('Cleaned Data'!L:L,MATCH($A783,$B$56:$B$1919,0))</f>
        <v>#N/A</v>
      </c>
    </row>
    <row r="784" spans="1:4" x14ac:dyDescent="0.25">
      <c r="A784">
        <v>729</v>
      </c>
      <c r="B784">
        <f>B783+IF('Cleaned Data'!L730&gt;0,1,0)*IF($B$34="Overall",1,IF('Cleaned Data'!K730=$B$34,1,0))*(IF('Cleaned Data'!H730&lt;&gt;"",1,0))</f>
        <v>285</v>
      </c>
      <c r="C784" t="e">
        <f>INDEX('Cleaned Data'!H:H,MATCH($A784,$B$56:$B$1919,0))</f>
        <v>#N/A</v>
      </c>
      <c r="D784" t="e">
        <f>INDEX('Cleaned Data'!L:L,MATCH($A784,$B$56:$B$1919,0))</f>
        <v>#N/A</v>
      </c>
    </row>
    <row r="785" spans="1:4" x14ac:dyDescent="0.25">
      <c r="A785">
        <v>730</v>
      </c>
      <c r="B785">
        <f>B784+IF('Cleaned Data'!L731&gt;0,1,0)*IF($B$34="Overall",1,IF('Cleaned Data'!K731=$B$34,1,0))*(IF('Cleaned Data'!H731&lt;&gt;"",1,0))</f>
        <v>286</v>
      </c>
      <c r="C785" t="e">
        <f>INDEX('Cleaned Data'!H:H,MATCH($A785,$B$56:$B$1919,0))</f>
        <v>#N/A</v>
      </c>
      <c r="D785" t="e">
        <f>INDEX('Cleaned Data'!L:L,MATCH($A785,$B$56:$B$1919,0))</f>
        <v>#N/A</v>
      </c>
    </row>
    <row r="786" spans="1:4" x14ac:dyDescent="0.25">
      <c r="A786">
        <v>731</v>
      </c>
      <c r="B786">
        <f>B785+IF('Cleaned Data'!L732&gt;0,1,0)*IF($B$34="Overall",1,IF('Cleaned Data'!K732=$B$34,1,0))*(IF('Cleaned Data'!H732&lt;&gt;"",1,0))</f>
        <v>287</v>
      </c>
      <c r="C786" t="e">
        <f>INDEX('Cleaned Data'!H:H,MATCH($A786,$B$56:$B$1919,0))</f>
        <v>#N/A</v>
      </c>
      <c r="D786" t="e">
        <f>INDEX('Cleaned Data'!L:L,MATCH($A786,$B$56:$B$1919,0))</f>
        <v>#N/A</v>
      </c>
    </row>
    <row r="787" spans="1:4" x14ac:dyDescent="0.25">
      <c r="A787">
        <v>732</v>
      </c>
      <c r="B787">
        <f>B786+IF('Cleaned Data'!L733&gt;0,1,0)*IF($B$34="Overall",1,IF('Cleaned Data'!K733=$B$34,1,0))*(IF('Cleaned Data'!H733&lt;&gt;"",1,0))</f>
        <v>288</v>
      </c>
      <c r="C787" t="e">
        <f>INDEX('Cleaned Data'!H:H,MATCH($A787,$B$56:$B$1919,0))</f>
        <v>#N/A</v>
      </c>
      <c r="D787" t="e">
        <f>INDEX('Cleaned Data'!L:L,MATCH($A787,$B$56:$B$1919,0))</f>
        <v>#N/A</v>
      </c>
    </row>
    <row r="788" spans="1:4" x14ac:dyDescent="0.25">
      <c r="A788">
        <v>733</v>
      </c>
      <c r="B788">
        <f>B787+IF('Cleaned Data'!L734&gt;0,1,0)*IF($B$34="Overall",1,IF('Cleaned Data'!K734=$B$34,1,0))*(IF('Cleaned Data'!H734&lt;&gt;"",1,0))</f>
        <v>289</v>
      </c>
      <c r="C788" t="e">
        <f>INDEX('Cleaned Data'!H:H,MATCH($A788,$B$56:$B$1919,0))</f>
        <v>#N/A</v>
      </c>
      <c r="D788" t="e">
        <f>INDEX('Cleaned Data'!L:L,MATCH($A788,$B$56:$B$1919,0))</f>
        <v>#N/A</v>
      </c>
    </row>
    <row r="789" spans="1:4" x14ac:dyDescent="0.25">
      <c r="A789">
        <v>734</v>
      </c>
      <c r="B789">
        <f>B788+IF('Cleaned Data'!L735&gt;0,1,0)*IF($B$34="Overall",1,IF('Cleaned Data'!K735=$B$34,1,0))*(IF('Cleaned Data'!H735&lt;&gt;"",1,0))</f>
        <v>290</v>
      </c>
      <c r="C789" t="e">
        <f>INDEX('Cleaned Data'!H:H,MATCH($A789,$B$56:$B$1919,0))</f>
        <v>#N/A</v>
      </c>
      <c r="D789" t="e">
        <f>INDEX('Cleaned Data'!L:L,MATCH($A789,$B$56:$B$1919,0))</f>
        <v>#N/A</v>
      </c>
    </row>
    <row r="790" spans="1:4" x14ac:dyDescent="0.25">
      <c r="A790">
        <v>735</v>
      </c>
      <c r="B790">
        <f>B789+IF('Cleaned Data'!L736&gt;0,1,0)*IF($B$34="Overall",1,IF('Cleaned Data'!K736=$B$34,1,0))*(IF('Cleaned Data'!H736&lt;&gt;"",1,0))</f>
        <v>291</v>
      </c>
      <c r="C790" t="e">
        <f>INDEX('Cleaned Data'!H:H,MATCH($A790,$B$56:$B$1919,0))</f>
        <v>#N/A</v>
      </c>
      <c r="D790" t="e">
        <f>INDEX('Cleaned Data'!L:L,MATCH($A790,$B$56:$B$1919,0))</f>
        <v>#N/A</v>
      </c>
    </row>
    <row r="791" spans="1:4" x14ac:dyDescent="0.25">
      <c r="A791">
        <v>736</v>
      </c>
      <c r="B791">
        <f>B790+IF('Cleaned Data'!L737&gt;0,1,0)*IF($B$34="Overall",1,IF('Cleaned Data'!K737=$B$34,1,0))*(IF('Cleaned Data'!H737&lt;&gt;"",1,0))</f>
        <v>292</v>
      </c>
      <c r="C791" t="e">
        <f>INDEX('Cleaned Data'!H:H,MATCH($A791,$B$56:$B$1919,0))</f>
        <v>#N/A</v>
      </c>
      <c r="D791" t="e">
        <f>INDEX('Cleaned Data'!L:L,MATCH($A791,$B$56:$B$1919,0))</f>
        <v>#N/A</v>
      </c>
    </row>
    <row r="792" spans="1:4" x14ac:dyDescent="0.25">
      <c r="A792">
        <v>737</v>
      </c>
      <c r="B792">
        <f>B791+IF('Cleaned Data'!L738&gt;0,1,0)*IF($B$34="Overall",1,IF('Cleaned Data'!K738=$B$34,1,0))*(IF('Cleaned Data'!H738&lt;&gt;"",1,0))</f>
        <v>293</v>
      </c>
      <c r="C792" t="e">
        <f>INDEX('Cleaned Data'!H:H,MATCH($A792,$B$56:$B$1919,0))</f>
        <v>#N/A</v>
      </c>
      <c r="D792" t="e">
        <f>INDEX('Cleaned Data'!L:L,MATCH($A792,$B$56:$B$1919,0))</f>
        <v>#N/A</v>
      </c>
    </row>
    <row r="793" spans="1:4" x14ac:dyDescent="0.25">
      <c r="A793">
        <v>738</v>
      </c>
      <c r="B793">
        <f>B792+IF('Cleaned Data'!L739&gt;0,1,0)*IF($B$34="Overall",1,IF('Cleaned Data'!K739=$B$34,1,0))*(IF('Cleaned Data'!H739&lt;&gt;"",1,0))</f>
        <v>294</v>
      </c>
      <c r="C793" t="e">
        <f>INDEX('Cleaned Data'!H:H,MATCH($A793,$B$56:$B$1919,0))</f>
        <v>#N/A</v>
      </c>
      <c r="D793" t="e">
        <f>INDEX('Cleaned Data'!L:L,MATCH($A793,$B$56:$B$1919,0))</f>
        <v>#N/A</v>
      </c>
    </row>
    <row r="794" spans="1:4" x14ac:dyDescent="0.25">
      <c r="A794">
        <v>739</v>
      </c>
      <c r="B794">
        <f>B793+IF('Cleaned Data'!L740&gt;0,1,0)*IF($B$34="Overall",1,IF('Cleaned Data'!K740=$B$34,1,0))*(IF('Cleaned Data'!H740&lt;&gt;"",1,0))</f>
        <v>295</v>
      </c>
      <c r="C794" t="e">
        <f>INDEX('Cleaned Data'!H:H,MATCH($A794,$B$56:$B$1919,0))</f>
        <v>#N/A</v>
      </c>
      <c r="D794" t="e">
        <f>INDEX('Cleaned Data'!L:L,MATCH($A794,$B$56:$B$1919,0))</f>
        <v>#N/A</v>
      </c>
    </row>
    <row r="795" spans="1:4" x14ac:dyDescent="0.25">
      <c r="A795">
        <v>740</v>
      </c>
      <c r="B795">
        <f>B794+IF('Cleaned Data'!L741&gt;0,1,0)*IF($B$34="Overall",1,IF('Cleaned Data'!K741=$B$34,1,0))*(IF('Cleaned Data'!H741&lt;&gt;"",1,0))</f>
        <v>296</v>
      </c>
      <c r="C795" t="e">
        <f>INDEX('Cleaned Data'!H:H,MATCH($A795,$B$56:$B$1919,0))</f>
        <v>#N/A</v>
      </c>
      <c r="D795" t="e">
        <f>INDEX('Cleaned Data'!L:L,MATCH($A795,$B$56:$B$1919,0))</f>
        <v>#N/A</v>
      </c>
    </row>
    <row r="796" spans="1:4" x14ac:dyDescent="0.25">
      <c r="A796">
        <v>741</v>
      </c>
      <c r="B796">
        <f>B795+IF('Cleaned Data'!L742&gt;0,1,0)*IF($B$34="Overall",1,IF('Cleaned Data'!K742=$B$34,1,0))*(IF('Cleaned Data'!H742&lt;&gt;"",1,0))</f>
        <v>297</v>
      </c>
      <c r="C796" t="e">
        <f>INDEX('Cleaned Data'!H:H,MATCH($A796,$B$56:$B$1919,0))</f>
        <v>#N/A</v>
      </c>
      <c r="D796" t="e">
        <f>INDEX('Cleaned Data'!L:L,MATCH($A796,$B$56:$B$1919,0))</f>
        <v>#N/A</v>
      </c>
    </row>
    <row r="797" spans="1:4" x14ac:dyDescent="0.25">
      <c r="A797">
        <v>742</v>
      </c>
      <c r="B797">
        <f>B796+IF('Cleaned Data'!L743&gt;0,1,0)*IF($B$34="Overall",1,IF('Cleaned Data'!K743=$B$34,1,0))*(IF('Cleaned Data'!H743&lt;&gt;"",1,0))</f>
        <v>298</v>
      </c>
      <c r="C797" t="e">
        <f>INDEX('Cleaned Data'!H:H,MATCH($A797,$B$56:$B$1919,0))</f>
        <v>#N/A</v>
      </c>
      <c r="D797" t="e">
        <f>INDEX('Cleaned Data'!L:L,MATCH($A797,$B$56:$B$1919,0))</f>
        <v>#N/A</v>
      </c>
    </row>
    <row r="798" spans="1:4" x14ac:dyDescent="0.25">
      <c r="A798">
        <v>743</v>
      </c>
      <c r="B798">
        <f>B797+IF('Cleaned Data'!L744&gt;0,1,0)*IF($B$34="Overall",1,IF('Cleaned Data'!K744=$B$34,1,0))*(IF('Cleaned Data'!H744&lt;&gt;"",1,0))</f>
        <v>299</v>
      </c>
      <c r="C798" t="e">
        <f>INDEX('Cleaned Data'!H:H,MATCH($A798,$B$56:$B$1919,0))</f>
        <v>#N/A</v>
      </c>
      <c r="D798" t="e">
        <f>INDEX('Cleaned Data'!L:L,MATCH($A798,$B$56:$B$1919,0))</f>
        <v>#N/A</v>
      </c>
    </row>
    <row r="799" spans="1:4" x14ac:dyDescent="0.25">
      <c r="A799">
        <v>744</v>
      </c>
      <c r="B799">
        <f>B798+IF('Cleaned Data'!L745&gt;0,1,0)*IF($B$34="Overall",1,IF('Cleaned Data'!K745=$B$34,1,0))*(IF('Cleaned Data'!H745&lt;&gt;"",1,0))</f>
        <v>300</v>
      </c>
      <c r="C799" t="e">
        <f>INDEX('Cleaned Data'!H:H,MATCH($A799,$B$56:$B$1919,0))</f>
        <v>#N/A</v>
      </c>
      <c r="D799" t="e">
        <f>INDEX('Cleaned Data'!L:L,MATCH($A799,$B$56:$B$1919,0))</f>
        <v>#N/A</v>
      </c>
    </row>
    <row r="800" spans="1:4" x14ac:dyDescent="0.25">
      <c r="A800">
        <v>745</v>
      </c>
      <c r="B800">
        <f>B799+IF('Cleaned Data'!L746&gt;0,1,0)*IF($B$34="Overall",1,IF('Cleaned Data'!K746=$B$34,1,0))*(IF('Cleaned Data'!H746&lt;&gt;"",1,0))</f>
        <v>301</v>
      </c>
      <c r="C800" t="e">
        <f>INDEX('Cleaned Data'!H:H,MATCH($A800,$B$56:$B$1919,0))</f>
        <v>#N/A</v>
      </c>
      <c r="D800" t="e">
        <f>INDEX('Cleaned Data'!L:L,MATCH($A800,$B$56:$B$1919,0))</f>
        <v>#N/A</v>
      </c>
    </row>
    <row r="801" spans="1:4" x14ac:dyDescent="0.25">
      <c r="A801">
        <v>746</v>
      </c>
      <c r="B801">
        <f>B800+IF('Cleaned Data'!L747&gt;0,1,0)*IF($B$34="Overall",1,IF('Cleaned Data'!K747=$B$34,1,0))*(IF('Cleaned Data'!H747&lt;&gt;"",1,0))</f>
        <v>302</v>
      </c>
      <c r="C801" t="e">
        <f>INDEX('Cleaned Data'!H:H,MATCH($A801,$B$56:$B$1919,0))</f>
        <v>#N/A</v>
      </c>
      <c r="D801" t="e">
        <f>INDEX('Cleaned Data'!L:L,MATCH($A801,$B$56:$B$1919,0))</f>
        <v>#N/A</v>
      </c>
    </row>
    <row r="802" spans="1:4" x14ac:dyDescent="0.25">
      <c r="A802">
        <v>747</v>
      </c>
      <c r="B802">
        <f>B801+IF('Cleaned Data'!L748&gt;0,1,0)*IF($B$34="Overall",1,IF('Cleaned Data'!K748=$B$34,1,0))*(IF('Cleaned Data'!H748&lt;&gt;"",1,0))</f>
        <v>303</v>
      </c>
      <c r="C802" t="e">
        <f>INDEX('Cleaned Data'!H:H,MATCH($A802,$B$56:$B$1919,0))</f>
        <v>#N/A</v>
      </c>
      <c r="D802" t="e">
        <f>INDEX('Cleaned Data'!L:L,MATCH($A802,$B$56:$B$1919,0))</f>
        <v>#N/A</v>
      </c>
    </row>
    <row r="803" spans="1:4" x14ac:dyDescent="0.25">
      <c r="A803">
        <v>748</v>
      </c>
      <c r="B803">
        <f>B802+IF('Cleaned Data'!L749&gt;0,1,0)*IF($B$34="Overall",1,IF('Cleaned Data'!K749=$B$34,1,0))*(IF('Cleaned Data'!H749&lt;&gt;"",1,0))</f>
        <v>304</v>
      </c>
      <c r="C803" t="e">
        <f>INDEX('Cleaned Data'!H:H,MATCH($A803,$B$56:$B$1919,0))</f>
        <v>#N/A</v>
      </c>
      <c r="D803" t="e">
        <f>INDEX('Cleaned Data'!L:L,MATCH($A803,$B$56:$B$1919,0))</f>
        <v>#N/A</v>
      </c>
    </row>
    <row r="804" spans="1:4" x14ac:dyDescent="0.25">
      <c r="A804">
        <v>749</v>
      </c>
      <c r="B804">
        <f>B803+IF('Cleaned Data'!L750&gt;0,1,0)*IF($B$34="Overall",1,IF('Cleaned Data'!K750=$B$34,1,0))*(IF('Cleaned Data'!H750&lt;&gt;"",1,0))</f>
        <v>305</v>
      </c>
      <c r="C804" t="e">
        <f>INDEX('Cleaned Data'!H:H,MATCH($A804,$B$56:$B$1919,0))</f>
        <v>#N/A</v>
      </c>
      <c r="D804" t="e">
        <f>INDEX('Cleaned Data'!L:L,MATCH($A804,$B$56:$B$1919,0))</f>
        <v>#N/A</v>
      </c>
    </row>
    <row r="805" spans="1:4" x14ac:dyDescent="0.25">
      <c r="A805">
        <v>750</v>
      </c>
      <c r="B805">
        <f>B804+IF('Cleaned Data'!L751&gt;0,1,0)*IF($B$34="Overall",1,IF('Cleaned Data'!K751=$B$34,1,0))*(IF('Cleaned Data'!H751&lt;&gt;"",1,0))</f>
        <v>306</v>
      </c>
      <c r="C805" t="e">
        <f>INDEX('Cleaned Data'!H:H,MATCH($A805,$B$56:$B$1919,0))</f>
        <v>#N/A</v>
      </c>
      <c r="D805" t="e">
        <f>INDEX('Cleaned Data'!L:L,MATCH($A805,$B$56:$B$1919,0))</f>
        <v>#N/A</v>
      </c>
    </row>
    <row r="806" spans="1:4" x14ac:dyDescent="0.25">
      <c r="A806">
        <v>751</v>
      </c>
      <c r="B806">
        <f>B805+IF('Cleaned Data'!L752&gt;0,1,0)*IF($B$34="Overall",1,IF('Cleaned Data'!K752=$B$34,1,0))*(IF('Cleaned Data'!H752&lt;&gt;"",1,0))</f>
        <v>307</v>
      </c>
      <c r="C806" t="e">
        <f>INDEX('Cleaned Data'!H:H,MATCH($A806,$B$56:$B$1919,0))</f>
        <v>#N/A</v>
      </c>
      <c r="D806" t="e">
        <f>INDEX('Cleaned Data'!L:L,MATCH($A806,$B$56:$B$1919,0))</f>
        <v>#N/A</v>
      </c>
    </row>
    <row r="807" spans="1:4" x14ac:dyDescent="0.25">
      <c r="A807">
        <v>752</v>
      </c>
      <c r="B807">
        <f>B806+IF('Cleaned Data'!L753&gt;0,1,0)*IF($B$34="Overall",1,IF('Cleaned Data'!K753=$B$34,1,0))*(IF('Cleaned Data'!H753&lt;&gt;"",1,0))</f>
        <v>308</v>
      </c>
      <c r="C807" t="e">
        <f>INDEX('Cleaned Data'!H:H,MATCH($A807,$B$56:$B$1919,0))</f>
        <v>#N/A</v>
      </c>
      <c r="D807" t="e">
        <f>INDEX('Cleaned Data'!L:L,MATCH($A807,$B$56:$B$1919,0))</f>
        <v>#N/A</v>
      </c>
    </row>
    <row r="808" spans="1:4" x14ac:dyDescent="0.25">
      <c r="A808">
        <v>753</v>
      </c>
      <c r="B808">
        <f>B807+IF('Cleaned Data'!L754&gt;0,1,0)*IF($B$34="Overall",1,IF('Cleaned Data'!K754=$B$34,1,0))*(IF('Cleaned Data'!H754&lt;&gt;"",1,0))</f>
        <v>309</v>
      </c>
      <c r="C808" t="e">
        <f>INDEX('Cleaned Data'!H:H,MATCH($A808,$B$56:$B$1919,0))</f>
        <v>#N/A</v>
      </c>
      <c r="D808" t="e">
        <f>INDEX('Cleaned Data'!L:L,MATCH($A808,$B$56:$B$1919,0))</f>
        <v>#N/A</v>
      </c>
    </row>
    <row r="809" spans="1:4" x14ac:dyDescent="0.25">
      <c r="A809">
        <v>754</v>
      </c>
      <c r="B809">
        <f>B808+IF('Cleaned Data'!L755&gt;0,1,0)*IF($B$34="Overall",1,IF('Cleaned Data'!K755=$B$34,1,0))*(IF('Cleaned Data'!H755&lt;&gt;"",1,0))</f>
        <v>310</v>
      </c>
      <c r="C809" t="e">
        <f>INDEX('Cleaned Data'!H:H,MATCH($A809,$B$56:$B$1919,0))</f>
        <v>#N/A</v>
      </c>
      <c r="D809" t="e">
        <f>INDEX('Cleaned Data'!L:L,MATCH($A809,$B$56:$B$1919,0))</f>
        <v>#N/A</v>
      </c>
    </row>
    <row r="810" spans="1:4" x14ac:dyDescent="0.25">
      <c r="A810">
        <v>755</v>
      </c>
      <c r="B810">
        <f>B809+IF('Cleaned Data'!L756&gt;0,1,0)*IF($B$34="Overall",1,IF('Cleaned Data'!K756=$B$34,1,0))*(IF('Cleaned Data'!H756&lt;&gt;"",1,0))</f>
        <v>311</v>
      </c>
      <c r="C810" t="e">
        <f>INDEX('Cleaned Data'!H:H,MATCH($A810,$B$56:$B$1919,0))</f>
        <v>#N/A</v>
      </c>
      <c r="D810" t="e">
        <f>INDEX('Cleaned Data'!L:L,MATCH($A810,$B$56:$B$1919,0))</f>
        <v>#N/A</v>
      </c>
    </row>
    <row r="811" spans="1:4" x14ac:dyDescent="0.25">
      <c r="A811">
        <v>756</v>
      </c>
      <c r="B811">
        <f>B810+IF('Cleaned Data'!L757&gt;0,1,0)*IF($B$34="Overall",1,IF('Cleaned Data'!K757=$B$34,1,0))*(IF('Cleaned Data'!H757&lt;&gt;"",1,0))</f>
        <v>312</v>
      </c>
      <c r="C811" t="e">
        <f>INDEX('Cleaned Data'!H:H,MATCH($A811,$B$56:$B$1919,0))</f>
        <v>#N/A</v>
      </c>
      <c r="D811" t="e">
        <f>INDEX('Cleaned Data'!L:L,MATCH($A811,$B$56:$B$1919,0))</f>
        <v>#N/A</v>
      </c>
    </row>
    <row r="812" spans="1:4" x14ac:dyDescent="0.25">
      <c r="A812">
        <v>757</v>
      </c>
      <c r="B812">
        <f>B811+IF('Cleaned Data'!L758&gt;0,1,0)*IF($B$34="Overall",1,IF('Cleaned Data'!K758=$B$34,1,0))*(IF('Cleaned Data'!H758&lt;&gt;"",1,0))</f>
        <v>313</v>
      </c>
      <c r="C812" t="e">
        <f>INDEX('Cleaned Data'!H:H,MATCH($A812,$B$56:$B$1919,0))</f>
        <v>#N/A</v>
      </c>
      <c r="D812" t="e">
        <f>INDEX('Cleaned Data'!L:L,MATCH($A812,$B$56:$B$1919,0))</f>
        <v>#N/A</v>
      </c>
    </row>
    <row r="813" spans="1:4" x14ac:dyDescent="0.25">
      <c r="A813">
        <v>758</v>
      </c>
      <c r="B813">
        <f>B812+IF('Cleaned Data'!L759&gt;0,1,0)*IF($B$34="Overall",1,IF('Cleaned Data'!K759=$B$34,1,0))*(IF('Cleaned Data'!H759&lt;&gt;"",1,0))</f>
        <v>314</v>
      </c>
      <c r="C813" t="e">
        <f>INDEX('Cleaned Data'!H:H,MATCH($A813,$B$56:$B$1919,0))</f>
        <v>#N/A</v>
      </c>
      <c r="D813" t="e">
        <f>INDEX('Cleaned Data'!L:L,MATCH($A813,$B$56:$B$1919,0))</f>
        <v>#N/A</v>
      </c>
    </row>
    <row r="814" spans="1:4" x14ac:dyDescent="0.25">
      <c r="A814">
        <v>759</v>
      </c>
      <c r="B814">
        <f>B813+IF('Cleaned Data'!L760&gt;0,1,0)*IF($B$34="Overall",1,IF('Cleaned Data'!K760=$B$34,1,0))*(IF('Cleaned Data'!H760&lt;&gt;"",1,0))</f>
        <v>315</v>
      </c>
      <c r="C814" t="e">
        <f>INDEX('Cleaned Data'!H:H,MATCH($A814,$B$56:$B$1919,0))</f>
        <v>#N/A</v>
      </c>
      <c r="D814" t="e">
        <f>INDEX('Cleaned Data'!L:L,MATCH($A814,$B$56:$B$1919,0))</f>
        <v>#N/A</v>
      </c>
    </row>
    <row r="815" spans="1:4" x14ac:dyDescent="0.25">
      <c r="A815">
        <v>760</v>
      </c>
      <c r="B815">
        <f>B814+IF('Cleaned Data'!L761&gt;0,1,0)*IF($B$34="Overall",1,IF('Cleaned Data'!K761=$B$34,1,0))*(IF('Cleaned Data'!H761&lt;&gt;"",1,0))</f>
        <v>316</v>
      </c>
      <c r="C815" t="e">
        <f>INDEX('Cleaned Data'!H:H,MATCH($A815,$B$56:$B$1919,0))</f>
        <v>#N/A</v>
      </c>
      <c r="D815" t="e">
        <f>INDEX('Cleaned Data'!L:L,MATCH($A815,$B$56:$B$1919,0))</f>
        <v>#N/A</v>
      </c>
    </row>
    <row r="816" spans="1:4" x14ac:dyDescent="0.25">
      <c r="A816">
        <v>761</v>
      </c>
      <c r="B816">
        <f>B815+IF('Cleaned Data'!L762&gt;0,1,0)*IF($B$34="Overall",1,IF('Cleaned Data'!K762=$B$34,1,0))*(IF('Cleaned Data'!H762&lt;&gt;"",1,0))</f>
        <v>317</v>
      </c>
      <c r="C816" t="e">
        <f>INDEX('Cleaned Data'!H:H,MATCH($A816,$B$56:$B$1919,0))</f>
        <v>#N/A</v>
      </c>
      <c r="D816" t="e">
        <f>INDEX('Cleaned Data'!L:L,MATCH($A816,$B$56:$B$1919,0))</f>
        <v>#N/A</v>
      </c>
    </row>
    <row r="817" spans="1:4" x14ac:dyDescent="0.25">
      <c r="A817">
        <v>762</v>
      </c>
      <c r="B817">
        <f>B816+IF('Cleaned Data'!L763&gt;0,1,0)*IF($B$34="Overall",1,IF('Cleaned Data'!K763=$B$34,1,0))*(IF('Cleaned Data'!H763&lt;&gt;"",1,0))</f>
        <v>318</v>
      </c>
      <c r="C817" t="e">
        <f>INDEX('Cleaned Data'!H:H,MATCH($A817,$B$56:$B$1919,0))</f>
        <v>#N/A</v>
      </c>
      <c r="D817" t="e">
        <f>INDEX('Cleaned Data'!L:L,MATCH($A817,$B$56:$B$1919,0))</f>
        <v>#N/A</v>
      </c>
    </row>
    <row r="818" spans="1:4" x14ac:dyDescent="0.25">
      <c r="A818">
        <v>763</v>
      </c>
      <c r="B818">
        <f>B817+IF('Cleaned Data'!L764&gt;0,1,0)*IF($B$34="Overall",1,IF('Cleaned Data'!K764=$B$34,1,0))*(IF('Cleaned Data'!H764&lt;&gt;"",1,0))</f>
        <v>319</v>
      </c>
      <c r="C818" t="e">
        <f>INDEX('Cleaned Data'!H:H,MATCH($A818,$B$56:$B$1919,0))</f>
        <v>#N/A</v>
      </c>
      <c r="D818" t="e">
        <f>INDEX('Cleaned Data'!L:L,MATCH($A818,$B$56:$B$1919,0))</f>
        <v>#N/A</v>
      </c>
    </row>
    <row r="819" spans="1:4" x14ac:dyDescent="0.25">
      <c r="A819">
        <v>764</v>
      </c>
      <c r="B819">
        <f>B818+IF('Cleaned Data'!L765&gt;0,1,0)*IF($B$34="Overall",1,IF('Cleaned Data'!K765=$B$34,1,0))*(IF('Cleaned Data'!H765&lt;&gt;"",1,0))</f>
        <v>320</v>
      </c>
      <c r="C819" t="e">
        <f>INDEX('Cleaned Data'!H:H,MATCH($A819,$B$56:$B$1919,0))</f>
        <v>#N/A</v>
      </c>
      <c r="D819" t="e">
        <f>INDEX('Cleaned Data'!L:L,MATCH($A819,$B$56:$B$1919,0))</f>
        <v>#N/A</v>
      </c>
    </row>
    <row r="820" spans="1:4" x14ac:dyDescent="0.25">
      <c r="A820">
        <v>765</v>
      </c>
      <c r="B820">
        <f>B819+IF('Cleaned Data'!L766&gt;0,1,0)*IF($B$34="Overall",1,IF('Cleaned Data'!K766=$B$34,1,0))*(IF('Cleaned Data'!H766&lt;&gt;"",1,0))</f>
        <v>321</v>
      </c>
      <c r="C820" t="e">
        <f>INDEX('Cleaned Data'!H:H,MATCH($A820,$B$56:$B$1919,0))</f>
        <v>#N/A</v>
      </c>
      <c r="D820" t="e">
        <f>INDEX('Cleaned Data'!L:L,MATCH($A820,$B$56:$B$1919,0))</f>
        <v>#N/A</v>
      </c>
    </row>
    <row r="821" spans="1:4" x14ac:dyDescent="0.25">
      <c r="A821">
        <v>766</v>
      </c>
      <c r="B821">
        <f>B820+IF('Cleaned Data'!L767&gt;0,1,0)*IF($B$34="Overall",1,IF('Cleaned Data'!K767=$B$34,1,0))*(IF('Cleaned Data'!H767&lt;&gt;"",1,0))</f>
        <v>322</v>
      </c>
      <c r="C821" t="e">
        <f>INDEX('Cleaned Data'!H:H,MATCH($A821,$B$56:$B$1919,0))</f>
        <v>#N/A</v>
      </c>
      <c r="D821" t="e">
        <f>INDEX('Cleaned Data'!L:L,MATCH($A821,$B$56:$B$1919,0))</f>
        <v>#N/A</v>
      </c>
    </row>
    <row r="822" spans="1:4" x14ac:dyDescent="0.25">
      <c r="A822">
        <v>767</v>
      </c>
      <c r="B822">
        <f>B821+IF('Cleaned Data'!L768&gt;0,1,0)*IF($B$34="Overall",1,IF('Cleaned Data'!K768=$B$34,1,0))*(IF('Cleaned Data'!H768&lt;&gt;"",1,0))</f>
        <v>323</v>
      </c>
      <c r="C822" t="e">
        <f>INDEX('Cleaned Data'!H:H,MATCH($A822,$B$56:$B$1919,0))</f>
        <v>#N/A</v>
      </c>
      <c r="D822" t="e">
        <f>INDEX('Cleaned Data'!L:L,MATCH($A822,$B$56:$B$1919,0))</f>
        <v>#N/A</v>
      </c>
    </row>
    <row r="823" spans="1:4" x14ac:dyDescent="0.25">
      <c r="A823">
        <v>768</v>
      </c>
      <c r="B823">
        <f>B822+IF('Cleaned Data'!L769&gt;0,1,0)*IF($B$34="Overall",1,IF('Cleaned Data'!K769=$B$34,1,0))*(IF('Cleaned Data'!H769&lt;&gt;"",1,0))</f>
        <v>324</v>
      </c>
      <c r="C823" t="e">
        <f>INDEX('Cleaned Data'!H:H,MATCH($A823,$B$56:$B$1919,0))</f>
        <v>#N/A</v>
      </c>
      <c r="D823" t="e">
        <f>INDEX('Cleaned Data'!L:L,MATCH($A823,$B$56:$B$1919,0))</f>
        <v>#N/A</v>
      </c>
    </row>
    <row r="824" spans="1:4" x14ac:dyDescent="0.25">
      <c r="A824">
        <v>769</v>
      </c>
      <c r="B824">
        <f>B823+IF('Cleaned Data'!L770&gt;0,1,0)*IF($B$34="Overall",1,IF('Cleaned Data'!K770=$B$34,1,0))*(IF('Cleaned Data'!H770&lt;&gt;"",1,0))</f>
        <v>325</v>
      </c>
      <c r="C824" t="e">
        <f>INDEX('Cleaned Data'!H:H,MATCH($A824,$B$56:$B$1919,0))</f>
        <v>#N/A</v>
      </c>
      <c r="D824" t="e">
        <f>INDEX('Cleaned Data'!L:L,MATCH($A824,$B$56:$B$1919,0))</f>
        <v>#N/A</v>
      </c>
    </row>
    <row r="825" spans="1:4" x14ac:dyDescent="0.25">
      <c r="A825">
        <v>770</v>
      </c>
      <c r="B825">
        <f>B824+IF('Cleaned Data'!L771&gt;0,1,0)*IF($B$34="Overall",1,IF('Cleaned Data'!K771=$B$34,1,0))*(IF('Cleaned Data'!H771&lt;&gt;"",1,0))</f>
        <v>326</v>
      </c>
      <c r="C825" t="e">
        <f>INDEX('Cleaned Data'!H:H,MATCH($A825,$B$56:$B$1919,0))</f>
        <v>#N/A</v>
      </c>
      <c r="D825" t="e">
        <f>INDEX('Cleaned Data'!L:L,MATCH($A825,$B$56:$B$1919,0))</f>
        <v>#N/A</v>
      </c>
    </row>
    <row r="826" spans="1:4" x14ac:dyDescent="0.25">
      <c r="A826">
        <v>771</v>
      </c>
      <c r="B826">
        <f>B825+IF('Cleaned Data'!L772&gt;0,1,0)*IF($B$34="Overall",1,IF('Cleaned Data'!K772=$B$34,1,0))*(IF('Cleaned Data'!H772&lt;&gt;"",1,0))</f>
        <v>327</v>
      </c>
      <c r="C826" t="e">
        <f>INDEX('Cleaned Data'!H:H,MATCH($A826,$B$56:$B$1919,0))</f>
        <v>#N/A</v>
      </c>
      <c r="D826" t="e">
        <f>INDEX('Cleaned Data'!L:L,MATCH($A826,$B$56:$B$1919,0))</f>
        <v>#N/A</v>
      </c>
    </row>
    <row r="827" spans="1:4" x14ac:dyDescent="0.25">
      <c r="A827">
        <v>772</v>
      </c>
      <c r="B827">
        <f>B826+IF('Cleaned Data'!L773&gt;0,1,0)*IF($B$34="Overall",1,IF('Cleaned Data'!K773=$B$34,1,0))*(IF('Cleaned Data'!H773&lt;&gt;"",1,0))</f>
        <v>328</v>
      </c>
      <c r="C827" t="e">
        <f>INDEX('Cleaned Data'!H:H,MATCH($A827,$B$56:$B$1919,0))</f>
        <v>#N/A</v>
      </c>
      <c r="D827" t="e">
        <f>INDEX('Cleaned Data'!L:L,MATCH($A827,$B$56:$B$1919,0))</f>
        <v>#N/A</v>
      </c>
    </row>
    <row r="828" spans="1:4" x14ac:dyDescent="0.25">
      <c r="A828">
        <v>773</v>
      </c>
      <c r="B828">
        <f>B827+IF('Cleaned Data'!L774&gt;0,1,0)*IF($B$34="Overall",1,IF('Cleaned Data'!K774=$B$34,1,0))*(IF('Cleaned Data'!H774&lt;&gt;"",1,0))</f>
        <v>329</v>
      </c>
      <c r="C828" t="e">
        <f>INDEX('Cleaned Data'!H:H,MATCH($A828,$B$56:$B$1919,0))</f>
        <v>#N/A</v>
      </c>
      <c r="D828" t="e">
        <f>INDEX('Cleaned Data'!L:L,MATCH($A828,$B$56:$B$1919,0))</f>
        <v>#N/A</v>
      </c>
    </row>
    <row r="829" spans="1:4" x14ac:dyDescent="0.25">
      <c r="A829">
        <v>774</v>
      </c>
      <c r="B829">
        <f>B828+IF('Cleaned Data'!L775&gt;0,1,0)*IF($B$34="Overall",1,IF('Cleaned Data'!K775=$B$34,1,0))*(IF('Cleaned Data'!H775&lt;&gt;"",1,0))</f>
        <v>330</v>
      </c>
      <c r="C829" t="e">
        <f>INDEX('Cleaned Data'!H:H,MATCH($A829,$B$56:$B$1919,0))</f>
        <v>#N/A</v>
      </c>
      <c r="D829" t="e">
        <f>INDEX('Cleaned Data'!L:L,MATCH($A829,$B$56:$B$1919,0))</f>
        <v>#N/A</v>
      </c>
    </row>
    <row r="830" spans="1:4" x14ac:dyDescent="0.25">
      <c r="A830">
        <v>775</v>
      </c>
      <c r="B830">
        <f>B829+IF('Cleaned Data'!L776&gt;0,1,0)*IF($B$34="Overall",1,IF('Cleaned Data'!K776=$B$34,1,0))*(IF('Cleaned Data'!H776&lt;&gt;"",1,0))</f>
        <v>331</v>
      </c>
      <c r="C830" t="e">
        <f>INDEX('Cleaned Data'!H:H,MATCH($A830,$B$56:$B$1919,0))</f>
        <v>#N/A</v>
      </c>
      <c r="D830" t="e">
        <f>INDEX('Cleaned Data'!L:L,MATCH($A830,$B$56:$B$1919,0))</f>
        <v>#N/A</v>
      </c>
    </row>
    <row r="831" spans="1:4" x14ac:dyDescent="0.25">
      <c r="A831">
        <v>776</v>
      </c>
      <c r="B831">
        <f>B830+IF('Cleaned Data'!L777&gt;0,1,0)*IF($B$34="Overall",1,IF('Cleaned Data'!K777=$B$34,1,0))*(IF('Cleaned Data'!H777&lt;&gt;"",1,0))</f>
        <v>332</v>
      </c>
      <c r="C831" t="e">
        <f>INDEX('Cleaned Data'!H:H,MATCH($A831,$B$56:$B$1919,0))</f>
        <v>#N/A</v>
      </c>
      <c r="D831" t="e">
        <f>INDEX('Cleaned Data'!L:L,MATCH($A831,$B$56:$B$1919,0))</f>
        <v>#N/A</v>
      </c>
    </row>
    <row r="832" spans="1:4" x14ac:dyDescent="0.25">
      <c r="A832">
        <v>777</v>
      </c>
      <c r="B832">
        <f>B831+IF('Cleaned Data'!L778&gt;0,1,0)*IF($B$34="Overall",1,IF('Cleaned Data'!K778=$B$34,1,0))*(IF('Cleaned Data'!H778&lt;&gt;"",1,0))</f>
        <v>333</v>
      </c>
      <c r="C832" t="e">
        <f>INDEX('Cleaned Data'!H:H,MATCH($A832,$B$56:$B$1919,0))</f>
        <v>#N/A</v>
      </c>
      <c r="D832" t="e">
        <f>INDEX('Cleaned Data'!L:L,MATCH($A832,$B$56:$B$1919,0))</f>
        <v>#N/A</v>
      </c>
    </row>
    <row r="833" spans="1:4" x14ac:dyDescent="0.25">
      <c r="A833">
        <v>778</v>
      </c>
      <c r="B833">
        <f>B832+IF('Cleaned Data'!L779&gt;0,1,0)*IF($B$34="Overall",1,IF('Cleaned Data'!K779=$B$34,1,0))*(IF('Cleaned Data'!H779&lt;&gt;"",1,0))</f>
        <v>334</v>
      </c>
      <c r="C833" t="e">
        <f>INDEX('Cleaned Data'!H:H,MATCH($A833,$B$56:$B$1919,0))</f>
        <v>#N/A</v>
      </c>
      <c r="D833" t="e">
        <f>INDEX('Cleaned Data'!L:L,MATCH($A833,$B$56:$B$1919,0))</f>
        <v>#N/A</v>
      </c>
    </row>
    <row r="834" spans="1:4" x14ac:dyDescent="0.25">
      <c r="A834">
        <v>779</v>
      </c>
      <c r="B834">
        <f>B833+IF('Cleaned Data'!L780&gt;0,1,0)*IF($B$34="Overall",1,IF('Cleaned Data'!K780=$B$34,1,0))*(IF('Cleaned Data'!H780&lt;&gt;"",1,0))</f>
        <v>335</v>
      </c>
      <c r="C834" t="e">
        <f>INDEX('Cleaned Data'!H:H,MATCH($A834,$B$56:$B$1919,0))</f>
        <v>#N/A</v>
      </c>
      <c r="D834" t="e">
        <f>INDEX('Cleaned Data'!L:L,MATCH($A834,$B$56:$B$1919,0))</f>
        <v>#N/A</v>
      </c>
    </row>
    <row r="835" spans="1:4" x14ac:dyDescent="0.25">
      <c r="A835">
        <v>780</v>
      </c>
      <c r="B835">
        <f>B834+IF('Cleaned Data'!L781&gt;0,1,0)*IF($B$34="Overall",1,IF('Cleaned Data'!K781=$B$34,1,0))*(IF('Cleaned Data'!H781&lt;&gt;"",1,0))</f>
        <v>336</v>
      </c>
      <c r="C835" t="e">
        <f>INDEX('Cleaned Data'!H:H,MATCH($A835,$B$56:$B$1919,0))</f>
        <v>#N/A</v>
      </c>
      <c r="D835" t="e">
        <f>INDEX('Cleaned Data'!L:L,MATCH($A835,$B$56:$B$1919,0))</f>
        <v>#N/A</v>
      </c>
    </row>
    <row r="836" spans="1:4" x14ac:dyDescent="0.25">
      <c r="A836">
        <v>781</v>
      </c>
      <c r="B836">
        <f>B835+IF('Cleaned Data'!L782&gt;0,1,0)*IF($B$34="Overall",1,IF('Cleaned Data'!K782=$B$34,1,0))*(IF('Cleaned Data'!H782&lt;&gt;"",1,0))</f>
        <v>337</v>
      </c>
      <c r="C836" t="e">
        <f>INDEX('Cleaned Data'!H:H,MATCH($A836,$B$56:$B$1919,0))</f>
        <v>#N/A</v>
      </c>
      <c r="D836" t="e">
        <f>INDEX('Cleaned Data'!L:L,MATCH($A836,$B$56:$B$1919,0))</f>
        <v>#N/A</v>
      </c>
    </row>
    <row r="837" spans="1:4" x14ac:dyDescent="0.25">
      <c r="A837">
        <v>782</v>
      </c>
      <c r="B837">
        <f>B836+IF('Cleaned Data'!L783&gt;0,1,0)*IF($B$34="Overall",1,IF('Cleaned Data'!K783=$B$34,1,0))*(IF('Cleaned Data'!H783&lt;&gt;"",1,0))</f>
        <v>338</v>
      </c>
      <c r="C837" t="e">
        <f>INDEX('Cleaned Data'!H:H,MATCH($A837,$B$56:$B$1919,0))</f>
        <v>#N/A</v>
      </c>
      <c r="D837" t="e">
        <f>INDEX('Cleaned Data'!L:L,MATCH($A837,$B$56:$B$1919,0))</f>
        <v>#N/A</v>
      </c>
    </row>
    <row r="838" spans="1:4" x14ac:dyDescent="0.25">
      <c r="A838">
        <v>783</v>
      </c>
      <c r="B838">
        <f>B837+IF('Cleaned Data'!L784&gt;0,1,0)*IF($B$34="Overall",1,IF('Cleaned Data'!K784=$B$34,1,0))*(IF('Cleaned Data'!H784&lt;&gt;"",1,0))</f>
        <v>339</v>
      </c>
      <c r="C838" t="e">
        <f>INDEX('Cleaned Data'!H:H,MATCH($A838,$B$56:$B$1919,0))</f>
        <v>#N/A</v>
      </c>
      <c r="D838" t="e">
        <f>INDEX('Cleaned Data'!L:L,MATCH($A838,$B$56:$B$1919,0))</f>
        <v>#N/A</v>
      </c>
    </row>
    <row r="839" spans="1:4" x14ac:dyDescent="0.25">
      <c r="A839">
        <v>784</v>
      </c>
      <c r="B839">
        <f>B838+IF('Cleaned Data'!L785&gt;0,1,0)*IF($B$34="Overall",1,IF('Cleaned Data'!K785=$B$34,1,0))*(IF('Cleaned Data'!H785&lt;&gt;"",1,0))</f>
        <v>340</v>
      </c>
      <c r="C839" t="e">
        <f>INDEX('Cleaned Data'!H:H,MATCH($A839,$B$56:$B$1919,0))</f>
        <v>#N/A</v>
      </c>
      <c r="D839" t="e">
        <f>INDEX('Cleaned Data'!L:L,MATCH($A839,$B$56:$B$1919,0))</f>
        <v>#N/A</v>
      </c>
    </row>
    <row r="840" spans="1:4" x14ac:dyDescent="0.25">
      <c r="A840">
        <v>785</v>
      </c>
      <c r="B840">
        <f>B839+IF('Cleaned Data'!L786&gt;0,1,0)*IF($B$34="Overall",1,IF('Cleaned Data'!K786=$B$34,1,0))*(IF('Cleaned Data'!H786&lt;&gt;"",1,0))</f>
        <v>341</v>
      </c>
      <c r="C840" t="e">
        <f>INDEX('Cleaned Data'!H:H,MATCH($A840,$B$56:$B$1919,0))</f>
        <v>#N/A</v>
      </c>
      <c r="D840" t="e">
        <f>INDEX('Cleaned Data'!L:L,MATCH($A840,$B$56:$B$1919,0))</f>
        <v>#N/A</v>
      </c>
    </row>
    <row r="841" spans="1:4" x14ac:dyDescent="0.25">
      <c r="A841">
        <v>786</v>
      </c>
      <c r="B841">
        <f>B840+IF('Cleaned Data'!L787&gt;0,1,0)*IF($B$34="Overall",1,IF('Cleaned Data'!K787=$B$34,1,0))*(IF('Cleaned Data'!H787&lt;&gt;"",1,0))</f>
        <v>342</v>
      </c>
      <c r="C841" t="e">
        <f>INDEX('Cleaned Data'!H:H,MATCH($A841,$B$56:$B$1919,0))</f>
        <v>#N/A</v>
      </c>
      <c r="D841" t="e">
        <f>INDEX('Cleaned Data'!L:L,MATCH($A841,$B$56:$B$1919,0))</f>
        <v>#N/A</v>
      </c>
    </row>
    <row r="842" spans="1:4" x14ac:dyDescent="0.25">
      <c r="A842">
        <v>787</v>
      </c>
      <c r="B842">
        <f>B841+IF('Cleaned Data'!L788&gt;0,1,0)*IF($B$34="Overall",1,IF('Cleaned Data'!K788=$B$34,1,0))*(IF('Cleaned Data'!H788&lt;&gt;"",1,0))</f>
        <v>343</v>
      </c>
      <c r="C842" t="e">
        <f>INDEX('Cleaned Data'!H:H,MATCH($A842,$B$56:$B$1919,0))</f>
        <v>#N/A</v>
      </c>
      <c r="D842" t="e">
        <f>INDEX('Cleaned Data'!L:L,MATCH($A842,$B$56:$B$1919,0))</f>
        <v>#N/A</v>
      </c>
    </row>
    <row r="843" spans="1:4" x14ac:dyDescent="0.25">
      <c r="A843">
        <v>788</v>
      </c>
      <c r="B843">
        <f>B842+IF('Cleaned Data'!L789&gt;0,1,0)*IF($B$34="Overall",1,IF('Cleaned Data'!K789=$B$34,1,0))*(IF('Cleaned Data'!H789&lt;&gt;"",1,0))</f>
        <v>344</v>
      </c>
      <c r="C843" t="e">
        <f>INDEX('Cleaned Data'!H:H,MATCH($A843,$B$56:$B$1919,0))</f>
        <v>#N/A</v>
      </c>
      <c r="D843" t="e">
        <f>INDEX('Cleaned Data'!L:L,MATCH($A843,$B$56:$B$1919,0))</f>
        <v>#N/A</v>
      </c>
    </row>
    <row r="844" spans="1:4" x14ac:dyDescent="0.25">
      <c r="A844">
        <v>789</v>
      </c>
      <c r="B844">
        <f>B843+IF('Cleaned Data'!L790&gt;0,1,0)*IF($B$34="Overall",1,IF('Cleaned Data'!K790=$B$34,1,0))*(IF('Cleaned Data'!H790&lt;&gt;"",1,0))</f>
        <v>345</v>
      </c>
      <c r="C844" t="e">
        <f>INDEX('Cleaned Data'!H:H,MATCH($A844,$B$56:$B$1919,0))</f>
        <v>#N/A</v>
      </c>
      <c r="D844" t="e">
        <f>INDEX('Cleaned Data'!L:L,MATCH($A844,$B$56:$B$1919,0))</f>
        <v>#N/A</v>
      </c>
    </row>
    <row r="845" spans="1:4" x14ac:dyDescent="0.25">
      <c r="A845">
        <v>790</v>
      </c>
      <c r="B845">
        <f>B844+IF('Cleaned Data'!L791&gt;0,1,0)*IF($B$34="Overall",1,IF('Cleaned Data'!K791=$B$34,1,0))*(IF('Cleaned Data'!H791&lt;&gt;"",1,0))</f>
        <v>346</v>
      </c>
      <c r="C845" t="e">
        <f>INDEX('Cleaned Data'!H:H,MATCH($A845,$B$56:$B$1919,0))</f>
        <v>#N/A</v>
      </c>
      <c r="D845" t="e">
        <f>INDEX('Cleaned Data'!L:L,MATCH($A845,$B$56:$B$1919,0))</f>
        <v>#N/A</v>
      </c>
    </row>
    <row r="846" spans="1:4" x14ac:dyDescent="0.25">
      <c r="A846">
        <v>791</v>
      </c>
      <c r="B846">
        <f>B845+IF('Cleaned Data'!L792&gt;0,1,0)*IF($B$34="Overall",1,IF('Cleaned Data'!K792=$B$34,1,0))*(IF('Cleaned Data'!H792&lt;&gt;"",1,0))</f>
        <v>347</v>
      </c>
      <c r="C846" t="e">
        <f>INDEX('Cleaned Data'!H:H,MATCH($A846,$B$56:$B$1919,0))</f>
        <v>#N/A</v>
      </c>
      <c r="D846" t="e">
        <f>INDEX('Cleaned Data'!L:L,MATCH($A846,$B$56:$B$1919,0))</f>
        <v>#N/A</v>
      </c>
    </row>
    <row r="847" spans="1:4" x14ac:dyDescent="0.25">
      <c r="A847">
        <v>792</v>
      </c>
      <c r="B847">
        <f>B846+IF('Cleaned Data'!L793&gt;0,1,0)*IF($B$34="Overall",1,IF('Cleaned Data'!K793=$B$34,1,0))*(IF('Cleaned Data'!H793&lt;&gt;"",1,0))</f>
        <v>348</v>
      </c>
      <c r="C847" t="e">
        <f>INDEX('Cleaned Data'!H:H,MATCH($A847,$B$56:$B$1919,0))</f>
        <v>#N/A</v>
      </c>
      <c r="D847" t="e">
        <f>INDEX('Cleaned Data'!L:L,MATCH($A847,$B$56:$B$1919,0))</f>
        <v>#N/A</v>
      </c>
    </row>
    <row r="848" spans="1:4" x14ac:dyDescent="0.25">
      <c r="A848">
        <v>793</v>
      </c>
      <c r="B848">
        <f>B847+IF('Cleaned Data'!L794&gt;0,1,0)*IF($B$34="Overall",1,IF('Cleaned Data'!K794=$B$34,1,0))*(IF('Cleaned Data'!H794&lt;&gt;"",1,0))</f>
        <v>349</v>
      </c>
      <c r="C848" t="e">
        <f>INDEX('Cleaned Data'!H:H,MATCH($A848,$B$56:$B$1919,0))</f>
        <v>#N/A</v>
      </c>
      <c r="D848" t="e">
        <f>INDEX('Cleaned Data'!L:L,MATCH($A848,$B$56:$B$1919,0))</f>
        <v>#N/A</v>
      </c>
    </row>
    <row r="849" spans="1:4" x14ac:dyDescent="0.25">
      <c r="A849">
        <v>794</v>
      </c>
      <c r="B849">
        <f>B848+IF('Cleaned Data'!L795&gt;0,1,0)*IF($B$34="Overall",1,IF('Cleaned Data'!K795=$B$34,1,0))*(IF('Cleaned Data'!H795&lt;&gt;"",1,0))</f>
        <v>350</v>
      </c>
      <c r="C849" t="e">
        <f>INDEX('Cleaned Data'!H:H,MATCH($A849,$B$56:$B$1919,0))</f>
        <v>#N/A</v>
      </c>
      <c r="D849" t="e">
        <f>INDEX('Cleaned Data'!L:L,MATCH($A849,$B$56:$B$1919,0))</f>
        <v>#N/A</v>
      </c>
    </row>
    <row r="850" spans="1:4" x14ac:dyDescent="0.25">
      <c r="A850">
        <v>795</v>
      </c>
      <c r="B850">
        <f>B849+IF('Cleaned Data'!L796&gt;0,1,0)*IF($B$34="Overall",1,IF('Cleaned Data'!K796=$B$34,1,0))*(IF('Cleaned Data'!H796&lt;&gt;"",1,0))</f>
        <v>350</v>
      </c>
      <c r="C850" t="e">
        <f>INDEX('Cleaned Data'!H:H,MATCH($A850,$B$56:$B$1919,0))</f>
        <v>#N/A</v>
      </c>
      <c r="D850" t="e">
        <f>INDEX('Cleaned Data'!L:L,MATCH($A850,$B$56:$B$1919,0))</f>
        <v>#N/A</v>
      </c>
    </row>
    <row r="851" spans="1:4" x14ac:dyDescent="0.25">
      <c r="A851">
        <v>796</v>
      </c>
      <c r="B851">
        <f>B850+IF('Cleaned Data'!L797&gt;0,1,0)*IF($B$34="Overall",1,IF('Cleaned Data'!K797=$B$34,1,0))*(IF('Cleaned Data'!H797&lt;&gt;"",1,0))</f>
        <v>350</v>
      </c>
      <c r="C851" t="e">
        <f>INDEX('Cleaned Data'!H:H,MATCH($A851,$B$56:$B$1919,0))</f>
        <v>#N/A</v>
      </c>
      <c r="D851" t="e">
        <f>INDEX('Cleaned Data'!L:L,MATCH($A851,$B$56:$B$1919,0))</f>
        <v>#N/A</v>
      </c>
    </row>
    <row r="852" spans="1:4" x14ac:dyDescent="0.25">
      <c r="A852">
        <v>797</v>
      </c>
      <c r="B852">
        <f>B851+IF('Cleaned Data'!L798&gt;0,1,0)*IF($B$34="Overall",1,IF('Cleaned Data'!K798=$B$34,1,0))*(IF('Cleaned Data'!H798&lt;&gt;"",1,0))</f>
        <v>351</v>
      </c>
      <c r="C852" t="e">
        <f>INDEX('Cleaned Data'!H:H,MATCH($A852,$B$56:$B$1919,0))</f>
        <v>#N/A</v>
      </c>
      <c r="D852" t="e">
        <f>INDEX('Cleaned Data'!L:L,MATCH($A852,$B$56:$B$1919,0))</f>
        <v>#N/A</v>
      </c>
    </row>
    <row r="853" spans="1:4" x14ac:dyDescent="0.25">
      <c r="A853">
        <v>798</v>
      </c>
      <c r="B853">
        <f>B852+IF('Cleaned Data'!L799&gt;0,1,0)*IF($B$34="Overall",1,IF('Cleaned Data'!K799=$B$34,1,0))*(IF('Cleaned Data'!H799&lt;&gt;"",1,0))</f>
        <v>351</v>
      </c>
      <c r="C853" t="e">
        <f>INDEX('Cleaned Data'!H:H,MATCH($A853,$B$56:$B$1919,0))</f>
        <v>#N/A</v>
      </c>
      <c r="D853" t="e">
        <f>INDEX('Cleaned Data'!L:L,MATCH($A853,$B$56:$B$1919,0))</f>
        <v>#N/A</v>
      </c>
    </row>
    <row r="854" spans="1:4" x14ac:dyDescent="0.25">
      <c r="A854">
        <v>799</v>
      </c>
      <c r="B854">
        <f>B853+IF('Cleaned Data'!L800&gt;0,1,0)*IF($B$34="Overall",1,IF('Cleaned Data'!K800=$B$34,1,0))*(IF('Cleaned Data'!H800&lt;&gt;"",1,0))</f>
        <v>351</v>
      </c>
      <c r="C854" t="e">
        <f>INDEX('Cleaned Data'!H:H,MATCH($A854,$B$56:$B$1919,0))</f>
        <v>#N/A</v>
      </c>
      <c r="D854" t="e">
        <f>INDEX('Cleaned Data'!L:L,MATCH($A854,$B$56:$B$1919,0))</f>
        <v>#N/A</v>
      </c>
    </row>
    <row r="855" spans="1:4" x14ac:dyDescent="0.25">
      <c r="A855">
        <v>800</v>
      </c>
      <c r="B855">
        <f>B854+IF('Cleaned Data'!L801&gt;0,1,0)*IF($B$34="Overall",1,IF('Cleaned Data'!K801=$B$34,1,0))*(IF('Cleaned Data'!H801&lt;&gt;"",1,0))</f>
        <v>351</v>
      </c>
      <c r="C855" t="e">
        <f>INDEX('Cleaned Data'!H:H,MATCH($A855,$B$56:$B$1919,0))</f>
        <v>#N/A</v>
      </c>
      <c r="D855" t="e">
        <f>INDEX('Cleaned Data'!L:L,MATCH($A855,$B$56:$B$1919,0))</f>
        <v>#N/A</v>
      </c>
    </row>
    <row r="856" spans="1:4" x14ac:dyDescent="0.25">
      <c r="A856">
        <v>801</v>
      </c>
      <c r="B856">
        <f>B855+IF('Cleaned Data'!L802&gt;0,1,0)*IF($B$34="Overall",1,IF('Cleaned Data'!K802=$B$34,1,0))*(IF('Cleaned Data'!H802&lt;&gt;"",1,0))</f>
        <v>351</v>
      </c>
      <c r="C856" t="e">
        <f>INDEX('Cleaned Data'!H:H,MATCH($A856,$B$56:$B$1919,0))</f>
        <v>#N/A</v>
      </c>
      <c r="D856" t="e">
        <f>INDEX('Cleaned Data'!L:L,MATCH($A856,$B$56:$B$1919,0))</f>
        <v>#N/A</v>
      </c>
    </row>
    <row r="857" spans="1:4" x14ac:dyDescent="0.25">
      <c r="A857">
        <v>802</v>
      </c>
      <c r="B857">
        <f>B856+IF('Cleaned Data'!L803&gt;0,1,0)*IF($B$34="Overall",1,IF('Cleaned Data'!K803=$B$34,1,0))*(IF('Cleaned Data'!H803&lt;&gt;"",1,0))</f>
        <v>352</v>
      </c>
      <c r="C857" t="e">
        <f>INDEX('Cleaned Data'!H:H,MATCH($A857,$B$56:$B$1919,0))</f>
        <v>#N/A</v>
      </c>
      <c r="D857" t="e">
        <f>INDEX('Cleaned Data'!L:L,MATCH($A857,$B$56:$B$1919,0))</f>
        <v>#N/A</v>
      </c>
    </row>
    <row r="858" spans="1:4" x14ac:dyDescent="0.25">
      <c r="A858">
        <v>803</v>
      </c>
      <c r="B858">
        <f>B857+IF('Cleaned Data'!L804&gt;0,1,0)*IF($B$34="Overall",1,IF('Cleaned Data'!K804=$B$34,1,0))*(IF('Cleaned Data'!H804&lt;&gt;"",1,0))</f>
        <v>353</v>
      </c>
      <c r="C858" t="e">
        <f>INDEX('Cleaned Data'!H:H,MATCH($A858,$B$56:$B$1919,0))</f>
        <v>#N/A</v>
      </c>
      <c r="D858" t="e">
        <f>INDEX('Cleaned Data'!L:L,MATCH($A858,$B$56:$B$1919,0))</f>
        <v>#N/A</v>
      </c>
    </row>
    <row r="859" spans="1:4" x14ac:dyDescent="0.25">
      <c r="A859">
        <v>804</v>
      </c>
      <c r="B859">
        <f>B858+IF('Cleaned Data'!L805&gt;0,1,0)*IF($B$34="Overall",1,IF('Cleaned Data'!K805=$B$34,1,0))*(IF('Cleaned Data'!H805&lt;&gt;"",1,0))</f>
        <v>354</v>
      </c>
      <c r="C859" t="e">
        <f>INDEX('Cleaned Data'!H:H,MATCH($A859,$B$56:$B$1919,0))</f>
        <v>#N/A</v>
      </c>
      <c r="D859" t="e">
        <f>INDEX('Cleaned Data'!L:L,MATCH($A859,$B$56:$B$1919,0))</f>
        <v>#N/A</v>
      </c>
    </row>
    <row r="860" spans="1:4" x14ac:dyDescent="0.25">
      <c r="A860">
        <v>805</v>
      </c>
      <c r="B860">
        <f>B859+IF('Cleaned Data'!L806&gt;0,1,0)*IF($B$34="Overall",1,IF('Cleaned Data'!K806=$B$34,1,0))*(IF('Cleaned Data'!H806&lt;&gt;"",1,0))</f>
        <v>355</v>
      </c>
      <c r="C860" t="e">
        <f>INDEX('Cleaned Data'!H:H,MATCH($A860,$B$56:$B$1919,0))</f>
        <v>#N/A</v>
      </c>
      <c r="D860" t="e">
        <f>INDEX('Cleaned Data'!L:L,MATCH($A860,$B$56:$B$1919,0))</f>
        <v>#N/A</v>
      </c>
    </row>
    <row r="861" spans="1:4" x14ac:dyDescent="0.25">
      <c r="A861">
        <v>806</v>
      </c>
      <c r="B861">
        <f>B860+IF('Cleaned Data'!L807&gt;0,1,0)*IF($B$34="Overall",1,IF('Cleaned Data'!K807=$B$34,1,0))*(IF('Cleaned Data'!H807&lt;&gt;"",1,0))</f>
        <v>355</v>
      </c>
      <c r="C861" t="e">
        <f>INDEX('Cleaned Data'!H:H,MATCH($A861,$B$56:$B$1919,0))</f>
        <v>#N/A</v>
      </c>
      <c r="D861" t="e">
        <f>INDEX('Cleaned Data'!L:L,MATCH($A861,$B$56:$B$1919,0))</f>
        <v>#N/A</v>
      </c>
    </row>
    <row r="862" spans="1:4" x14ac:dyDescent="0.25">
      <c r="A862">
        <v>807</v>
      </c>
      <c r="B862">
        <f>B861+IF('Cleaned Data'!L808&gt;0,1,0)*IF($B$34="Overall",1,IF('Cleaned Data'!K808=$B$34,1,0))*(IF('Cleaned Data'!H808&lt;&gt;"",1,0))</f>
        <v>355</v>
      </c>
      <c r="C862" t="e">
        <f>INDEX('Cleaned Data'!H:H,MATCH($A862,$B$56:$B$1919,0))</f>
        <v>#N/A</v>
      </c>
      <c r="D862" t="e">
        <f>INDEX('Cleaned Data'!L:L,MATCH($A862,$B$56:$B$1919,0))</f>
        <v>#N/A</v>
      </c>
    </row>
    <row r="863" spans="1:4" x14ac:dyDescent="0.25">
      <c r="A863">
        <v>808</v>
      </c>
      <c r="B863">
        <f>B862+IF('Cleaned Data'!L809&gt;0,1,0)*IF($B$34="Overall",1,IF('Cleaned Data'!K809=$B$34,1,0))*(IF('Cleaned Data'!H809&lt;&gt;"",1,0))</f>
        <v>355</v>
      </c>
      <c r="C863" t="e">
        <f>INDEX('Cleaned Data'!H:H,MATCH($A863,$B$56:$B$1919,0))</f>
        <v>#N/A</v>
      </c>
      <c r="D863" t="e">
        <f>INDEX('Cleaned Data'!L:L,MATCH($A863,$B$56:$B$1919,0))</f>
        <v>#N/A</v>
      </c>
    </row>
    <row r="864" spans="1:4" x14ac:dyDescent="0.25">
      <c r="A864">
        <v>809</v>
      </c>
      <c r="B864">
        <f>B863+IF('Cleaned Data'!L810&gt;0,1,0)*IF($B$34="Overall",1,IF('Cleaned Data'!K810=$B$34,1,0))*(IF('Cleaned Data'!H810&lt;&gt;"",1,0))</f>
        <v>355</v>
      </c>
      <c r="C864" t="e">
        <f>INDEX('Cleaned Data'!H:H,MATCH($A864,$B$56:$B$1919,0))</f>
        <v>#N/A</v>
      </c>
      <c r="D864" t="e">
        <f>INDEX('Cleaned Data'!L:L,MATCH($A864,$B$56:$B$1919,0))</f>
        <v>#N/A</v>
      </c>
    </row>
    <row r="865" spans="1:4" x14ac:dyDescent="0.25">
      <c r="A865">
        <v>810</v>
      </c>
      <c r="B865">
        <f>B864+IF('Cleaned Data'!L811&gt;0,1,0)*IF($B$34="Overall",1,IF('Cleaned Data'!K811=$B$34,1,0))*(IF('Cleaned Data'!H811&lt;&gt;"",1,0))</f>
        <v>355</v>
      </c>
      <c r="C865" t="e">
        <f>INDEX('Cleaned Data'!H:H,MATCH($A865,$B$56:$B$1919,0))</f>
        <v>#N/A</v>
      </c>
      <c r="D865" t="e">
        <f>INDEX('Cleaned Data'!L:L,MATCH($A865,$B$56:$B$1919,0))</f>
        <v>#N/A</v>
      </c>
    </row>
    <row r="866" spans="1:4" x14ac:dyDescent="0.25">
      <c r="A866">
        <v>811</v>
      </c>
      <c r="B866">
        <f>B865+IF('Cleaned Data'!L812&gt;0,1,0)*IF($B$34="Overall",1,IF('Cleaned Data'!K812=$B$34,1,0))*(IF('Cleaned Data'!H812&lt;&gt;"",1,0))</f>
        <v>355</v>
      </c>
      <c r="C866" t="e">
        <f>INDEX('Cleaned Data'!H:H,MATCH($A866,$B$56:$B$1919,0))</f>
        <v>#N/A</v>
      </c>
      <c r="D866" t="e">
        <f>INDEX('Cleaned Data'!L:L,MATCH($A866,$B$56:$B$1919,0))</f>
        <v>#N/A</v>
      </c>
    </row>
    <row r="867" spans="1:4" x14ac:dyDescent="0.25">
      <c r="A867">
        <v>812</v>
      </c>
      <c r="B867">
        <f>B866+IF('Cleaned Data'!L813&gt;0,1,0)*IF($B$34="Overall",1,IF('Cleaned Data'!K813=$B$34,1,0))*(IF('Cleaned Data'!H813&lt;&gt;"",1,0))</f>
        <v>355</v>
      </c>
      <c r="C867" t="e">
        <f>INDEX('Cleaned Data'!H:H,MATCH($A867,$B$56:$B$1919,0))</f>
        <v>#N/A</v>
      </c>
      <c r="D867" t="e">
        <f>INDEX('Cleaned Data'!L:L,MATCH($A867,$B$56:$B$1919,0))</f>
        <v>#N/A</v>
      </c>
    </row>
    <row r="868" spans="1:4" x14ac:dyDescent="0.25">
      <c r="A868">
        <v>813</v>
      </c>
      <c r="B868">
        <f>B867+IF('Cleaned Data'!L814&gt;0,1,0)*IF($B$34="Overall",1,IF('Cleaned Data'!K814=$B$34,1,0))*(IF('Cleaned Data'!H814&lt;&gt;"",1,0))</f>
        <v>355</v>
      </c>
      <c r="C868" t="e">
        <f>INDEX('Cleaned Data'!H:H,MATCH($A868,$B$56:$B$1919,0))</f>
        <v>#N/A</v>
      </c>
      <c r="D868" t="e">
        <f>INDEX('Cleaned Data'!L:L,MATCH($A868,$B$56:$B$1919,0))</f>
        <v>#N/A</v>
      </c>
    </row>
    <row r="869" spans="1:4" x14ac:dyDescent="0.25">
      <c r="A869">
        <v>814</v>
      </c>
      <c r="B869">
        <f>B868+IF('Cleaned Data'!L815&gt;0,1,0)*IF($B$34="Overall",1,IF('Cleaned Data'!K815=$B$34,1,0))*(IF('Cleaned Data'!H815&lt;&gt;"",1,0))</f>
        <v>355</v>
      </c>
      <c r="C869" t="e">
        <f>INDEX('Cleaned Data'!H:H,MATCH($A869,$B$56:$B$1919,0))</f>
        <v>#N/A</v>
      </c>
      <c r="D869" t="e">
        <f>INDEX('Cleaned Data'!L:L,MATCH($A869,$B$56:$B$1919,0))</f>
        <v>#N/A</v>
      </c>
    </row>
    <row r="870" spans="1:4" x14ac:dyDescent="0.25">
      <c r="A870">
        <v>815</v>
      </c>
      <c r="B870">
        <f>B869+IF('Cleaned Data'!L816&gt;0,1,0)*IF($B$34="Overall",1,IF('Cleaned Data'!K816=$B$34,1,0))*(IF('Cleaned Data'!H816&lt;&gt;"",1,0))</f>
        <v>355</v>
      </c>
      <c r="C870" t="e">
        <f>INDEX('Cleaned Data'!H:H,MATCH($A870,$B$56:$B$1919,0))</f>
        <v>#N/A</v>
      </c>
      <c r="D870" t="e">
        <f>INDEX('Cleaned Data'!L:L,MATCH($A870,$B$56:$B$1919,0))</f>
        <v>#N/A</v>
      </c>
    </row>
    <row r="871" spans="1:4" x14ac:dyDescent="0.25">
      <c r="A871">
        <v>816</v>
      </c>
      <c r="B871">
        <f>B870+IF('Cleaned Data'!L817&gt;0,1,0)*IF($B$34="Overall",1,IF('Cleaned Data'!K817=$B$34,1,0))*(IF('Cleaned Data'!H817&lt;&gt;"",1,0))</f>
        <v>355</v>
      </c>
      <c r="C871" t="e">
        <f>INDEX('Cleaned Data'!H:H,MATCH($A871,$B$56:$B$1919,0))</f>
        <v>#N/A</v>
      </c>
      <c r="D871" t="e">
        <f>INDEX('Cleaned Data'!L:L,MATCH($A871,$B$56:$B$1919,0))</f>
        <v>#N/A</v>
      </c>
    </row>
    <row r="872" spans="1:4" x14ac:dyDescent="0.25">
      <c r="A872">
        <v>817</v>
      </c>
      <c r="B872">
        <f>B871+IF('Cleaned Data'!L818&gt;0,1,0)*IF($B$34="Overall",1,IF('Cleaned Data'!K818=$B$34,1,0))*(IF('Cleaned Data'!H818&lt;&gt;"",1,0))</f>
        <v>355</v>
      </c>
      <c r="C872" t="e">
        <f>INDEX('Cleaned Data'!H:H,MATCH($A872,$B$56:$B$1919,0))</f>
        <v>#N/A</v>
      </c>
      <c r="D872" t="e">
        <f>INDEX('Cleaned Data'!L:L,MATCH($A872,$B$56:$B$1919,0))</f>
        <v>#N/A</v>
      </c>
    </row>
    <row r="873" spans="1:4" x14ac:dyDescent="0.25">
      <c r="A873">
        <v>818</v>
      </c>
      <c r="B873">
        <f>B872+IF('Cleaned Data'!L819&gt;0,1,0)*IF($B$34="Overall",1,IF('Cleaned Data'!K819=$B$34,1,0))*(IF('Cleaned Data'!H819&lt;&gt;"",1,0))</f>
        <v>355</v>
      </c>
      <c r="C873" t="e">
        <f>INDEX('Cleaned Data'!H:H,MATCH($A873,$B$56:$B$1919,0))</f>
        <v>#N/A</v>
      </c>
      <c r="D873" t="e">
        <f>INDEX('Cleaned Data'!L:L,MATCH($A873,$B$56:$B$1919,0))</f>
        <v>#N/A</v>
      </c>
    </row>
    <row r="874" spans="1:4" x14ac:dyDescent="0.25">
      <c r="A874">
        <v>819</v>
      </c>
      <c r="B874">
        <f>B873+IF('Cleaned Data'!L820&gt;0,1,0)*IF($B$34="Overall",1,IF('Cleaned Data'!K820=$B$34,1,0))*(IF('Cleaned Data'!H820&lt;&gt;"",1,0))</f>
        <v>355</v>
      </c>
      <c r="C874" t="e">
        <f>INDEX('Cleaned Data'!H:H,MATCH($A874,$B$56:$B$1919,0))</f>
        <v>#N/A</v>
      </c>
      <c r="D874" t="e">
        <f>INDEX('Cleaned Data'!L:L,MATCH($A874,$B$56:$B$1919,0))</f>
        <v>#N/A</v>
      </c>
    </row>
    <row r="875" spans="1:4" x14ac:dyDescent="0.25">
      <c r="A875">
        <v>820</v>
      </c>
      <c r="B875">
        <f>B874+IF('Cleaned Data'!L821&gt;0,1,0)*IF($B$34="Overall",1,IF('Cleaned Data'!K821=$B$34,1,0))*(IF('Cleaned Data'!H821&lt;&gt;"",1,0))</f>
        <v>355</v>
      </c>
      <c r="C875" t="e">
        <f>INDEX('Cleaned Data'!H:H,MATCH($A875,$B$56:$B$1919,0))</f>
        <v>#N/A</v>
      </c>
      <c r="D875" t="e">
        <f>INDEX('Cleaned Data'!L:L,MATCH($A875,$B$56:$B$1919,0))</f>
        <v>#N/A</v>
      </c>
    </row>
    <row r="876" spans="1:4" x14ac:dyDescent="0.25">
      <c r="A876">
        <v>821</v>
      </c>
      <c r="B876">
        <f>B875+IF('Cleaned Data'!L822&gt;0,1,0)*IF($B$34="Overall",1,IF('Cleaned Data'!K822=$B$34,1,0))*(IF('Cleaned Data'!H822&lt;&gt;"",1,0))</f>
        <v>355</v>
      </c>
      <c r="C876" t="e">
        <f>INDEX('Cleaned Data'!H:H,MATCH($A876,$B$56:$B$1919,0))</f>
        <v>#N/A</v>
      </c>
      <c r="D876" t="e">
        <f>INDEX('Cleaned Data'!L:L,MATCH($A876,$B$56:$B$1919,0))</f>
        <v>#N/A</v>
      </c>
    </row>
    <row r="877" spans="1:4" x14ac:dyDescent="0.25">
      <c r="A877">
        <v>822</v>
      </c>
      <c r="B877">
        <f>B876+IF('Cleaned Data'!L823&gt;0,1,0)*IF($B$34="Overall",1,IF('Cleaned Data'!K823=$B$34,1,0))*(IF('Cleaned Data'!H823&lt;&gt;"",1,0))</f>
        <v>355</v>
      </c>
      <c r="C877" t="e">
        <f>INDEX('Cleaned Data'!H:H,MATCH($A877,$B$56:$B$1919,0))</f>
        <v>#N/A</v>
      </c>
      <c r="D877" t="e">
        <f>INDEX('Cleaned Data'!L:L,MATCH($A877,$B$56:$B$1919,0))</f>
        <v>#N/A</v>
      </c>
    </row>
    <row r="878" spans="1:4" x14ac:dyDescent="0.25">
      <c r="A878">
        <v>823</v>
      </c>
      <c r="B878">
        <f>B877+IF('Cleaned Data'!L824&gt;0,1,0)*IF($B$34="Overall",1,IF('Cleaned Data'!K824=$B$34,1,0))*(IF('Cleaned Data'!H824&lt;&gt;"",1,0))</f>
        <v>356</v>
      </c>
      <c r="C878" t="e">
        <f>INDEX('Cleaned Data'!H:H,MATCH($A878,$B$56:$B$1919,0))</f>
        <v>#N/A</v>
      </c>
      <c r="D878" t="e">
        <f>INDEX('Cleaned Data'!L:L,MATCH($A878,$B$56:$B$1919,0))</f>
        <v>#N/A</v>
      </c>
    </row>
    <row r="879" spans="1:4" x14ac:dyDescent="0.25">
      <c r="A879">
        <v>824</v>
      </c>
      <c r="B879">
        <f>B878+IF('Cleaned Data'!L825&gt;0,1,0)*IF($B$34="Overall",1,IF('Cleaned Data'!K825=$B$34,1,0))*(IF('Cleaned Data'!H825&lt;&gt;"",1,0))</f>
        <v>357</v>
      </c>
      <c r="C879" t="e">
        <f>INDEX('Cleaned Data'!H:H,MATCH($A879,$B$56:$B$1919,0))</f>
        <v>#N/A</v>
      </c>
      <c r="D879" t="e">
        <f>INDEX('Cleaned Data'!L:L,MATCH($A879,$B$56:$B$1919,0))</f>
        <v>#N/A</v>
      </c>
    </row>
    <row r="880" spans="1:4" x14ac:dyDescent="0.25">
      <c r="A880">
        <v>825</v>
      </c>
      <c r="B880">
        <f>B879+IF('Cleaned Data'!L826&gt;0,1,0)*IF($B$34="Overall",1,IF('Cleaned Data'!K826=$B$34,1,0))*(IF('Cleaned Data'!H826&lt;&gt;"",1,0))</f>
        <v>358</v>
      </c>
      <c r="C880" t="e">
        <f>INDEX('Cleaned Data'!H:H,MATCH($A880,$B$56:$B$1919,0))</f>
        <v>#N/A</v>
      </c>
      <c r="D880" t="e">
        <f>INDEX('Cleaned Data'!L:L,MATCH($A880,$B$56:$B$1919,0))</f>
        <v>#N/A</v>
      </c>
    </row>
    <row r="881" spans="1:4" x14ac:dyDescent="0.25">
      <c r="A881">
        <v>826</v>
      </c>
      <c r="B881">
        <f>B880+IF('Cleaned Data'!L827&gt;0,1,0)*IF($B$34="Overall",1,IF('Cleaned Data'!K827=$B$34,1,0))*(IF('Cleaned Data'!H827&lt;&gt;"",1,0))</f>
        <v>359</v>
      </c>
      <c r="C881" t="e">
        <f>INDEX('Cleaned Data'!H:H,MATCH($A881,$B$56:$B$1919,0))</f>
        <v>#N/A</v>
      </c>
      <c r="D881" t="e">
        <f>INDEX('Cleaned Data'!L:L,MATCH($A881,$B$56:$B$1919,0))</f>
        <v>#N/A</v>
      </c>
    </row>
    <row r="882" spans="1:4" x14ac:dyDescent="0.25">
      <c r="A882">
        <v>827</v>
      </c>
      <c r="B882">
        <f>B881+IF('Cleaned Data'!L828&gt;0,1,0)*IF($B$34="Overall",1,IF('Cleaned Data'!K828=$B$34,1,0))*(IF('Cleaned Data'!H828&lt;&gt;"",1,0))</f>
        <v>359</v>
      </c>
      <c r="C882" t="e">
        <f>INDEX('Cleaned Data'!H:H,MATCH($A882,$B$56:$B$1919,0))</f>
        <v>#N/A</v>
      </c>
      <c r="D882" t="e">
        <f>INDEX('Cleaned Data'!L:L,MATCH($A882,$B$56:$B$1919,0))</f>
        <v>#N/A</v>
      </c>
    </row>
    <row r="883" spans="1:4" x14ac:dyDescent="0.25">
      <c r="A883">
        <v>828</v>
      </c>
      <c r="B883">
        <f>B882+IF('Cleaned Data'!L829&gt;0,1,0)*IF($B$34="Overall",1,IF('Cleaned Data'!K829=$B$34,1,0))*(IF('Cleaned Data'!H829&lt;&gt;"",1,0))</f>
        <v>359</v>
      </c>
      <c r="C883" t="e">
        <f>INDEX('Cleaned Data'!H:H,MATCH($A883,$B$56:$B$1919,0))</f>
        <v>#N/A</v>
      </c>
      <c r="D883" t="e">
        <f>INDEX('Cleaned Data'!L:L,MATCH($A883,$B$56:$B$1919,0))</f>
        <v>#N/A</v>
      </c>
    </row>
    <row r="884" spans="1:4" x14ac:dyDescent="0.25">
      <c r="A884">
        <v>829</v>
      </c>
      <c r="B884">
        <f>B883+IF('Cleaned Data'!L830&gt;0,1,0)*IF($B$34="Overall",1,IF('Cleaned Data'!K830=$B$34,1,0))*(IF('Cleaned Data'!H830&lt;&gt;"",1,0))</f>
        <v>360</v>
      </c>
      <c r="C884" t="e">
        <f>INDEX('Cleaned Data'!H:H,MATCH($A884,$B$56:$B$1919,0))</f>
        <v>#N/A</v>
      </c>
      <c r="D884" t="e">
        <f>INDEX('Cleaned Data'!L:L,MATCH($A884,$B$56:$B$1919,0))</f>
        <v>#N/A</v>
      </c>
    </row>
    <row r="885" spans="1:4" x14ac:dyDescent="0.25">
      <c r="A885">
        <v>830</v>
      </c>
      <c r="B885">
        <f>B884+IF('Cleaned Data'!L831&gt;0,1,0)*IF($B$34="Overall",1,IF('Cleaned Data'!K831=$B$34,1,0))*(IF('Cleaned Data'!H831&lt;&gt;"",1,0))</f>
        <v>361</v>
      </c>
      <c r="C885" t="e">
        <f>INDEX('Cleaned Data'!H:H,MATCH($A885,$B$56:$B$1919,0))</f>
        <v>#N/A</v>
      </c>
      <c r="D885" t="e">
        <f>INDEX('Cleaned Data'!L:L,MATCH($A885,$B$56:$B$1919,0))</f>
        <v>#N/A</v>
      </c>
    </row>
    <row r="886" spans="1:4" x14ac:dyDescent="0.25">
      <c r="A886">
        <v>831</v>
      </c>
      <c r="B886">
        <f>B885+IF('Cleaned Data'!L832&gt;0,1,0)*IF($B$34="Overall",1,IF('Cleaned Data'!K832=$B$34,1,0))*(IF('Cleaned Data'!H832&lt;&gt;"",1,0))</f>
        <v>362</v>
      </c>
      <c r="C886" t="e">
        <f>INDEX('Cleaned Data'!H:H,MATCH($A886,$B$56:$B$1919,0))</f>
        <v>#N/A</v>
      </c>
      <c r="D886" t="e">
        <f>INDEX('Cleaned Data'!L:L,MATCH($A886,$B$56:$B$1919,0))</f>
        <v>#N/A</v>
      </c>
    </row>
    <row r="887" spans="1:4" x14ac:dyDescent="0.25">
      <c r="A887">
        <v>832</v>
      </c>
      <c r="B887">
        <f>B886+IF('Cleaned Data'!L833&gt;0,1,0)*IF($B$34="Overall",1,IF('Cleaned Data'!K833=$B$34,1,0))*(IF('Cleaned Data'!H833&lt;&gt;"",1,0))</f>
        <v>363</v>
      </c>
      <c r="C887" t="e">
        <f>INDEX('Cleaned Data'!H:H,MATCH($A887,$B$56:$B$1919,0))</f>
        <v>#N/A</v>
      </c>
      <c r="D887" t="e">
        <f>INDEX('Cleaned Data'!L:L,MATCH($A887,$B$56:$B$1919,0))</f>
        <v>#N/A</v>
      </c>
    </row>
    <row r="888" spans="1:4" x14ac:dyDescent="0.25">
      <c r="A888">
        <v>833</v>
      </c>
      <c r="B888">
        <f>B887+IF('Cleaned Data'!L834&gt;0,1,0)*IF($B$34="Overall",1,IF('Cleaned Data'!K834=$B$34,1,0))*(IF('Cleaned Data'!H834&lt;&gt;"",1,0))</f>
        <v>364</v>
      </c>
      <c r="C888" t="e">
        <f>INDEX('Cleaned Data'!H:H,MATCH($A888,$B$56:$B$1919,0))</f>
        <v>#N/A</v>
      </c>
      <c r="D888" t="e">
        <f>INDEX('Cleaned Data'!L:L,MATCH($A888,$B$56:$B$1919,0))</f>
        <v>#N/A</v>
      </c>
    </row>
    <row r="889" spans="1:4" x14ac:dyDescent="0.25">
      <c r="A889">
        <v>834</v>
      </c>
      <c r="B889">
        <f>B888+IF('Cleaned Data'!L835&gt;0,1,0)*IF($B$34="Overall",1,IF('Cleaned Data'!K835=$B$34,1,0))*(IF('Cleaned Data'!H835&lt;&gt;"",1,0))</f>
        <v>365</v>
      </c>
      <c r="C889" t="e">
        <f>INDEX('Cleaned Data'!H:H,MATCH($A889,$B$56:$B$1919,0))</f>
        <v>#N/A</v>
      </c>
      <c r="D889" t="e">
        <f>INDEX('Cleaned Data'!L:L,MATCH($A889,$B$56:$B$1919,0))</f>
        <v>#N/A</v>
      </c>
    </row>
    <row r="890" spans="1:4" x14ac:dyDescent="0.25">
      <c r="A890">
        <v>835</v>
      </c>
      <c r="B890">
        <f>B889+IF('Cleaned Data'!L836&gt;0,1,0)*IF($B$34="Overall",1,IF('Cleaned Data'!K836=$B$34,1,0))*(IF('Cleaned Data'!H836&lt;&gt;"",1,0))</f>
        <v>366</v>
      </c>
      <c r="C890" t="e">
        <f>INDEX('Cleaned Data'!H:H,MATCH($A890,$B$56:$B$1919,0))</f>
        <v>#N/A</v>
      </c>
      <c r="D890" t="e">
        <f>INDEX('Cleaned Data'!L:L,MATCH($A890,$B$56:$B$1919,0))</f>
        <v>#N/A</v>
      </c>
    </row>
    <row r="891" spans="1:4" x14ac:dyDescent="0.25">
      <c r="A891">
        <v>836</v>
      </c>
      <c r="B891">
        <f>B890+IF('Cleaned Data'!L837&gt;0,1,0)*IF($B$34="Overall",1,IF('Cleaned Data'!K837=$B$34,1,0))*(IF('Cleaned Data'!H837&lt;&gt;"",1,0))</f>
        <v>367</v>
      </c>
      <c r="C891" t="e">
        <f>INDEX('Cleaned Data'!H:H,MATCH($A891,$B$56:$B$1919,0))</f>
        <v>#N/A</v>
      </c>
      <c r="D891" t="e">
        <f>INDEX('Cleaned Data'!L:L,MATCH($A891,$B$56:$B$1919,0))</f>
        <v>#N/A</v>
      </c>
    </row>
    <row r="892" spans="1:4" x14ac:dyDescent="0.25">
      <c r="A892">
        <v>837</v>
      </c>
      <c r="B892">
        <f>B891+IF('Cleaned Data'!L838&gt;0,1,0)*IF($B$34="Overall",1,IF('Cleaned Data'!K838=$B$34,1,0))*(IF('Cleaned Data'!H838&lt;&gt;"",1,0))</f>
        <v>368</v>
      </c>
      <c r="C892" t="e">
        <f>INDEX('Cleaned Data'!H:H,MATCH($A892,$B$56:$B$1919,0))</f>
        <v>#N/A</v>
      </c>
      <c r="D892" t="e">
        <f>INDEX('Cleaned Data'!L:L,MATCH($A892,$B$56:$B$1919,0))</f>
        <v>#N/A</v>
      </c>
    </row>
    <row r="893" spans="1:4" x14ac:dyDescent="0.25">
      <c r="A893">
        <v>838</v>
      </c>
      <c r="B893">
        <f>B892+IF('Cleaned Data'!L839&gt;0,1,0)*IF($B$34="Overall",1,IF('Cleaned Data'!K839=$B$34,1,0))*(IF('Cleaned Data'!H839&lt;&gt;"",1,0))</f>
        <v>368</v>
      </c>
      <c r="C893" t="e">
        <f>INDEX('Cleaned Data'!H:H,MATCH($A893,$B$56:$B$1919,0))</f>
        <v>#N/A</v>
      </c>
      <c r="D893" t="e">
        <f>INDEX('Cleaned Data'!L:L,MATCH($A893,$B$56:$B$1919,0))</f>
        <v>#N/A</v>
      </c>
    </row>
    <row r="894" spans="1:4" x14ac:dyDescent="0.25">
      <c r="A894">
        <v>839</v>
      </c>
      <c r="B894">
        <f>B893+IF('Cleaned Data'!L840&gt;0,1,0)*IF($B$34="Overall",1,IF('Cleaned Data'!K840=$B$34,1,0))*(IF('Cleaned Data'!H840&lt;&gt;"",1,0))</f>
        <v>368</v>
      </c>
      <c r="C894" t="e">
        <f>INDEX('Cleaned Data'!H:H,MATCH($A894,$B$56:$B$1919,0))</f>
        <v>#N/A</v>
      </c>
      <c r="D894" t="e">
        <f>INDEX('Cleaned Data'!L:L,MATCH($A894,$B$56:$B$1919,0))</f>
        <v>#N/A</v>
      </c>
    </row>
    <row r="895" spans="1:4" x14ac:dyDescent="0.25">
      <c r="A895">
        <v>840</v>
      </c>
      <c r="B895">
        <f>B894+IF('Cleaned Data'!L841&gt;0,1,0)*IF($B$34="Overall",1,IF('Cleaned Data'!K841=$B$34,1,0))*(IF('Cleaned Data'!H841&lt;&gt;"",1,0))</f>
        <v>368</v>
      </c>
      <c r="C895" t="e">
        <f>INDEX('Cleaned Data'!H:H,MATCH($A895,$B$56:$B$1919,0))</f>
        <v>#N/A</v>
      </c>
      <c r="D895" t="e">
        <f>INDEX('Cleaned Data'!L:L,MATCH($A895,$B$56:$B$1919,0))</f>
        <v>#N/A</v>
      </c>
    </row>
    <row r="896" spans="1:4" x14ac:dyDescent="0.25">
      <c r="A896">
        <v>841</v>
      </c>
      <c r="B896">
        <f>B895+IF('Cleaned Data'!L842&gt;0,1,0)*IF($B$34="Overall",1,IF('Cleaned Data'!K842=$B$34,1,0))*(IF('Cleaned Data'!H842&lt;&gt;"",1,0))</f>
        <v>368</v>
      </c>
      <c r="C896" t="e">
        <f>INDEX('Cleaned Data'!H:H,MATCH($A896,$B$56:$B$1919,0))</f>
        <v>#N/A</v>
      </c>
      <c r="D896" t="e">
        <f>INDEX('Cleaned Data'!L:L,MATCH($A896,$B$56:$B$1919,0))</f>
        <v>#N/A</v>
      </c>
    </row>
    <row r="897" spans="1:4" x14ac:dyDescent="0.25">
      <c r="A897">
        <v>842</v>
      </c>
      <c r="B897">
        <f>B896+IF('Cleaned Data'!L843&gt;0,1,0)*IF($B$34="Overall",1,IF('Cleaned Data'!K843=$B$34,1,0))*(IF('Cleaned Data'!H843&lt;&gt;"",1,0))</f>
        <v>368</v>
      </c>
      <c r="C897" t="e">
        <f>INDEX('Cleaned Data'!H:H,MATCH($A897,$B$56:$B$1919,0))</f>
        <v>#N/A</v>
      </c>
      <c r="D897" t="e">
        <f>INDEX('Cleaned Data'!L:L,MATCH($A897,$B$56:$B$1919,0))</f>
        <v>#N/A</v>
      </c>
    </row>
    <row r="898" spans="1:4" x14ac:dyDescent="0.25">
      <c r="A898">
        <v>843</v>
      </c>
      <c r="B898">
        <f>B897+IF('Cleaned Data'!L844&gt;0,1,0)*IF($B$34="Overall",1,IF('Cleaned Data'!K844=$B$34,1,0))*(IF('Cleaned Data'!H844&lt;&gt;"",1,0))</f>
        <v>368</v>
      </c>
      <c r="C898" t="e">
        <f>INDEX('Cleaned Data'!H:H,MATCH($A898,$B$56:$B$1919,0))</f>
        <v>#N/A</v>
      </c>
      <c r="D898" t="e">
        <f>INDEX('Cleaned Data'!L:L,MATCH($A898,$B$56:$B$1919,0))</f>
        <v>#N/A</v>
      </c>
    </row>
    <row r="899" spans="1:4" x14ac:dyDescent="0.25">
      <c r="A899">
        <v>844</v>
      </c>
      <c r="B899">
        <f>B898+IF('Cleaned Data'!L845&gt;0,1,0)*IF($B$34="Overall",1,IF('Cleaned Data'!K845=$B$34,1,0))*(IF('Cleaned Data'!H845&lt;&gt;"",1,0))</f>
        <v>368</v>
      </c>
      <c r="C899" t="e">
        <f>INDEX('Cleaned Data'!H:H,MATCH($A899,$B$56:$B$1919,0))</f>
        <v>#N/A</v>
      </c>
      <c r="D899" t="e">
        <f>INDEX('Cleaned Data'!L:L,MATCH($A899,$B$56:$B$1919,0))</f>
        <v>#N/A</v>
      </c>
    </row>
    <row r="900" spans="1:4" x14ac:dyDescent="0.25">
      <c r="A900">
        <v>845</v>
      </c>
      <c r="B900">
        <f>B899+IF('Cleaned Data'!L846&gt;0,1,0)*IF($B$34="Overall",1,IF('Cleaned Data'!K846=$B$34,1,0))*(IF('Cleaned Data'!H846&lt;&gt;"",1,0))</f>
        <v>368</v>
      </c>
      <c r="C900" t="e">
        <f>INDEX('Cleaned Data'!H:H,MATCH($A900,$B$56:$B$1919,0))</f>
        <v>#N/A</v>
      </c>
      <c r="D900" t="e">
        <f>INDEX('Cleaned Data'!L:L,MATCH($A900,$B$56:$B$1919,0))</f>
        <v>#N/A</v>
      </c>
    </row>
    <row r="901" spans="1:4" x14ac:dyDescent="0.25">
      <c r="A901">
        <v>846</v>
      </c>
      <c r="B901">
        <f>B900+IF('Cleaned Data'!L847&gt;0,1,0)*IF($B$34="Overall",1,IF('Cleaned Data'!K847=$B$34,1,0))*(IF('Cleaned Data'!H847&lt;&gt;"",1,0))</f>
        <v>368</v>
      </c>
      <c r="C901" t="e">
        <f>INDEX('Cleaned Data'!H:H,MATCH($A901,$B$56:$B$1919,0))</f>
        <v>#N/A</v>
      </c>
      <c r="D901" t="e">
        <f>INDEX('Cleaned Data'!L:L,MATCH($A901,$B$56:$B$1919,0))</f>
        <v>#N/A</v>
      </c>
    </row>
    <row r="902" spans="1:4" x14ac:dyDescent="0.25">
      <c r="A902">
        <v>847</v>
      </c>
      <c r="B902">
        <f>B901+IF('Cleaned Data'!L848&gt;0,1,0)*IF($B$34="Overall",1,IF('Cleaned Data'!K848=$B$34,1,0))*(IF('Cleaned Data'!H848&lt;&gt;"",1,0))</f>
        <v>368</v>
      </c>
      <c r="C902" t="e">
        <f>INDEX('Cleaned Data'!H:H,MATCH($A902,$B$56:$B$1919,0))</f>
        <v>#N/A</v>
      </c>
      <c r="D902" t="e">
        <f>INDEX('Cleaned Data'!L:L,MATCH($A902,$B$56:$B$1919,0))</f>
        <v>#N/A</v>
      </c>
    </row>
    <row r="903" spans="1:4" x14ac:dyDescent="0.25">
      <c r="A903">
        <v>848</v>
      </c>
      <c r="B903">
        <f>B902+IF('Cleaned Data'!L849&gt;0,1,0)*IF($B$34="Overall",1,IF('Cleaned Data'!K849=$B$34,1,0))*(IF('Cleaned Data'!H849&lt;&gt;"",1,0))</f>
        <v>368</v>
      </c>
      <c r="C903" t="e">
        <f>INDEX('Cleaned Data'!H:H,MATCH($A903,$B$56:$B$1919,0))</f>
        <v>#N/A</v>
      </c>
      <c r="D903" t="e">
        <f>INDEX('Cleaned Data'!L:L,MATCH($A903,$B$56:$B$1919,0))</f>
        <v>#N/A</v>
      </c>
    </row>
    <row r="904" spans="1:4" x14ac:dyDescent="0.25">
      <c r="A904">
        <v>849</v>
      </c>
      <c r="B904">
        <f>B903+IF('Cleaned Data'!L850&gt;0,1,0)*IF($B$34="Overall",1,IF('Cleaned Data'!K850=$B$34,1,0))*(IF('Cleaned Data'!H850&lt;&gt;"",1,0))</f>
        <v>368</v>
      </c>
      <c r="C904" t="e">
        <f>INDEX('Cleaned Data'!H:H,MATCH($A904,$B$56:$B$1919,0))</f>
        <v>#N/A</v>
      </c>
      <c r="D904" t="e">
        <f>INDEX('Cleaned Data'!L:L,MATCH($A904,$B$56:$B$1919,0))</f>
        <v>#N/A</v>
      </c>
    </row>
    <row r="905" spans="1:4" x14ac:dyDescent="0.25">
      <c r="A905">
        <v>850</v>
      </c>
      <c r="B905">
        <f>B904+IF('Cleaned Data'!L851&gt;0,1,0)*IF($B$34="Overall",1,IF('Cleaned Data'!K851=$B$34,1,0))*(IF('Cleaned Data'!H851&lt;&gt;"",1,0))</f>
        <v>368</v>
      </c>
      <c r="C905" t="e">
        <f>INDEX('Cleaned Data'!H:H,MATCH($A905,$B$56:$B$1919,0))</f>
        <v>#N/A</v>
      </c>
      <c r="D905" t="e">
        <f>INDEX('Cleaned Data'!L:L,MATCH($A905,$B$56:$B$1919,0))</f>
        <v>#N/A</v>
      </c>
    </row>
    <row r="906" spans="1:4" x14ac:dyDescent="0.25">
      <c r="A906">
        <v>851</v>
      </c>
      <c r="B906">
        <f>B905+IF('Cleaned Data'!L852&gt;0,1,0)*IF($B$34="Overall",1,IF('Cleaned Data'!K852=$B$34,1,0))*(IF('Cleaned Data'!H852&lt;&gt;"",1,0))</f>
        <v>368</v>
      </c>
      <c r="C906" t="e">
        <f>INDEX('Cleaned Data'!H:H,MATCH($A906,$B$56:$B$1919,0))</f>
        <v>#N/A</v>
      </c>
      <c r="D906" t="e">
        <f>INDEX('Cleaned Data'!L:L,MATCH($A906,$B$56:$B$1919,0))</f>
        <v>#N/A</v>
      </c>
    </row>
    <row r="907" spans="1:4" x14ac:dyDescent="0.25">
      <c r="A907">
        <v>852</v>
      </c>
      <c r="B907">
        <f>B906+IF('Cleaned Data'!L853&gt;0,1,0)*IF($B$34="Overall",1,IF('Cleaned Data'!K853=$B$34,1,0))*(IF('Cleaned Data'!H853&lt;&gt;"",1,0))</f>
        <v>368</v>
      </c>
      <c r="C907" t="e">
        <f>INDEX('Cleaned Data'!H:H,MATCH($A907,$B$56:$B$1919,0))</f>
        <v>#N/A</v>
      </c>
      <c r="D907" t="e">
        <f>INDEX('Cleaned Data'!L:L,MATCH($A907,$B$56:$B$1919,0))</f>
        <v>#N/A</v>
      </c>
    </row>
    <row r="908" spans="1:4" x14ac:dyDescent="0.25">
      <c r="A908">
        <v>853</v>
      </c>
      <c r="B908">
        <f>B907+IF('Cleaned Data'!L854&gt;0,1,0)*IF($B$34="Overall",1,IF('Cleaned Data'!K854=$B$34,1,0))*(IF('Cleaned Data'!H854&lt;&gt;"",1,0))</f>
        <v>368</v>
      </c>
      <c r="C908" t="e">
        <f>INDEX('Cleaned Data'!H:H,MATCH($A908,$B$56:$B$1919,0))</f>
        <v>#N/A</v>
      </c>
      <c r="D908" t="e">
        <f>INDEX('Cleaned Data'!L:L,MATCH($A908,$B$56:$B$1919,0))</f>
        <v>#N/A</v>
      </c>
    </row>
    <row r="909" spans="1:4" x14ac:dyDescent="0.25">
      <c r="A909">
        <v>854</v>
      </c>
      <c r="B909">
        <f>B908+IF('Cleaned Data'!L855&gt;0,1,0)*IF($B$34="Overall",1,IF('Cleaned Data'!K855=$B$34,1,0))*(IF('Cleaned Data'!H855&lt;&gt;"",1,0))</f>
        <v>368</v>
      </c>
      <c r="C909" t="e">
        <f>INDEX('Cleaned Data'!H:H,MATCH($A909,$B$56:$B$1919,0))</f>
        <v>#N/A</v>
      </c>
      <c r="D909" t="e">
        <f>INDEX('Cleaned Data'!L:L,MATCH($A909,$B$56:$B$1919,0))</f>
        <v>#N/A</v>
      </c>
    </row>
    <row r="910" spans="1:4" x14ac:dyDescent="0.25">
      <c r="A910">
        <v>855</v>
      </c>
      <c r="B910">
        <f>B909+IF('Cleaned Data'!L856&gt;0,1,0)*IF($B$34="Overall",1,IF('Cleaned Data'!K856=$B$34,1,0))*(IF('Cleaned Data'!H856&lt;&gt;"",1,0))</f>
        <v>369</v>
      </c>
      <c r="C910" t="e">
        <f>INDEX('Cleaned Data'!H:H,MATCH($A910,$B$56:$B$1919,0))</f>
        <v>#N/A</v>
      </c>
      <c r="D910" t="e">
        <f>INDEX('Cleaned Data'!L:L,MATCH($A910,$B$56:$B$1919,0))</f>
        <v>#N/A</v>
      </c>
    </row>
    <row r="911" spans="1:4" x14ac:dyDescent="0.25">
      <c r="A911">
        <v>856</v>
      </c>
      <c r="B911">
        <f>B910+IF('Cleaned Data'!L857&gt;0,1,0)*IF($B$34="Overall",1,IF('Cleaned Data'!K857=$B$34,1,0))*(IF('Cleaned Data'!H857&lt;&gt;"",1,0))</f>
        <v>370</v>
      </c>
      <c r="C911" t="e">
        <f>INDEX('Cleaned Data'!H:H,MATCH($A911,$B$56:$B$1919,0))</f>
        <v>#N/A</v>
      </c>
      <c r="D911" t="e">
        <f>INDEX('Cleaned Data'!L:L,MATCH($A911,$B$56:$B$1919,0))</f>
        <v>#N/A</v>
      </c>
    </row>
    <row r="912" spans="1:4" x14ac:dyDescent="0.25">
      <c r="A912">
        <v>857</v>
      </c>
      <c r="B912">
        <f>B911+IF('Cleaned Data'!L858&gt;0,1,0)*IF($B$34="Overall",1,IF('Cleaned Data'!K858=$B$34,1,0))*(IF('Cleaned Data'!H858&lt;&gt;"",1,0))</f>
        <v>370</v>
      </c>
      <c r="C912" t="e">
        <f>INDEX('Cleaned Data'!H:H,MATCH($A912,$B$56:$B$1919,0))</f>
        <v>#N/A</v>
      </c>
      <c r="D912" t="e">
        <f>INDEX('Cleaned Data'!L:L,MATCH($A912,$B$56:$B$1919,0))</f>
        <v>#N/A</v>
      </c>
    </row>
    <row r="913" spans="1:4" x14ac:dyDescent="0.25">
      <c r="A913">
        <v>858</v>
      </c>
      <c r="B913">
        <f>B912+IF('Cleaned Data'!L859&gt;0,1,0)*IF($B$34="Overall",1,IF('Cleaned Data'!K859=$B$34,1,0))*(IF('Cleaned Data'!H859&lt;&gt;"",1,0))</f>
        <v>370</v>
      </c>
      <c r="C913" t="e">
        <f>INDEX('Cleaned Data'!H:H,MATCH($A913,$B$56:$B$1919,0))</f>
        <v>#N/A</v>
      </c>
      <c r="D913" t="e">
        <f>INDEX('Cleaned Data'!L:L,MATCH($A913,$B$56:$B$1919,0))</f>
        <v>#N/A</v>
      </c>
    </row>
    <row r="914" spans="1:4" x14ac:dyDescent="0.25">
      <c r="A914">
        <v>859</v>
      </c>
      <c r="B914">
        <f>B913+IF('Cleaned Data'!L860&gt;0,1,0)*IF($B$34="Overall",1,IF('Cleaned Data'!K860=$B$34,1,0))*(IF('Cleaned Data'!H860&lt;&gt;"",1,0))</f>
        <v>370</v>
      </c>
      <c r="C914" t="e">
        <f>INDEX('Cleaned Data'!H:H,MATCH($A914,$B$56:$B$1919,0))</f>
        <v>#N/A</v>
      </c>
      <c r="D914" t="e">
        <f>INDEX('Cleaned Data'!L:L,MATCH($A914,$B$56:$B$1919,0))</f>
        <v>#N/A</v>
      </c>
    </row>
    <row r="915" spans="1:4" x14ac:dyDescent="0.25">
      <c r="A915">
        <v>860</v>
      </c>
      <c r="B915">
        <f>B914+IF('Cleaned Data'!L861&gt;0,1,0)*IF($B$34="Overall",1,IF('Cleaned Data'!K861=$B$34,1,0))*(IF('Cleaned Data'!H861&lt;&gt;"",1,0))</f>
        <v>370</v>
      </c>
      <c r="C915" t="e">
        <f>INDEX('Cleaned Data'!H:H,MATCH($A915,$B$56:$B$1919,0))</f>
        <v>#N/A</v>
      </c>
      <c r="D915" t="e">
        <f>INDEX('Cleaned Data'!L:L,MATCH($A915,$B$56:$B$1919,0))</f>
        <v>#N/A</v>
      </c>
    </row>
    <row r="916" spans="1:4" x14ac:dyDescent="0.25">
      <c r="A916">
        <v>861</v>
      </c>
      <c r="B916">
        <f>B915+IF('Cleaned Data'!L862&gt;0,1,0)*IF($B$34="Overall",1,IF('Cleaned Data'!K862=$B$34,1,0))*(IF('Cleaned Data'!H862&lt;&gt;"",1,0))</f>
        <v>370</v>
      </c>
      <c r="C916" t="e">
        <f>INDEX('Cleaned Data'!H:H,MATCH($A916,$B$56:$B$1919,0))</f>
        <v>#N/A</v>
      </c>
      <c r="D916" t="e">
        <f>INDEX('Cleaned Data'!L:L,MATCH($A916,$B$56:$B$1919,0))</f>
        <v>#N/A</v>
      </c>
    </row>
    <row r="917" spans="1:4" x14ac:dyDescent="0.25">
      <c r="A917">
        <v>862</v>
      </c>
      <c r="B917">
        <f>B916+IF('Cleaned Data'!L863&gt;0,1,0)*IF($B$34="Overall",1,IF('Cleaned Data'!K863=$B$34,1,0))*(IF('Cleaned Data'!H863&lt;&gt;"",1,0))</f>
        <v>370</v>
      </c>
      <c r="C917" t="e">
        <f>INDEX('Cleaned Data'!H:H,MATCH($A917,$B$56:$B$1919,0))</f>
        <v>#N/A</v>
      </c>
      <c r="D917" t="e">
        <f>INDEX('Cleaned Data'!L:L,MATCH($A917,$B$56:$B$1919,0))</f>
        <v>#N/A</v>
      </c>
    </row>
    <row r="918" spans="1:4" x14ac:dyDescent="0.25">
      <c r="A918">
        <v>863</v>
      </c>
      <c r="B918">
        <f>B917+IF('Cleaned Data'!L864&gt;0,1,0)*IF($B$34="Overall",1,IF('Cleaned Data'!K864=$B$34,1,0))*(IF('Cleaned Data'!H864&lt;&gt;"",1,0))</f>
        <v>370</v>
      </c>
      <c r="C918" t="e">
        <f>INDEX('Cleaned Data'!H:H,MATCH($A918,$B$56:$B$1919,0))</f>
        <v>#N/A</v>
      </c>
      <c r="D918" t="e">
        <f>INDEX('Cleaned Data'!L:L,MATCH($A918,$B$56:$B$1919,0))</f>
        <v>#N/A</v>
      </c>
    </row>
    <row r="919" spans="1:4" x14ac:dyDescent="0.25">
      <c r="A919">
        <v>864</v>
      </c>
      <c r="B919">
        <f>B918+IF('Cleaned Data'!L865&gt;0,1,0)*IF($B$34="Overall",1,IF('Cleaned Data'!K865=$B$34,1,0))*(IF('Cleaned Data'!H865&lt;&gt;"",1,0))</f>
        <v>370</v>
      </c>
      <c r="C919" t="e">
        <f>INDEX('Cleaned Data'!H:H,MATCH($A919,$B$56:$B$1919,0))</f>
        <v>#N/A</v>
      </c>
      <c r="D919" t="e">
        <f>INDEX('Cleaned Data'!L:L,MATCH($A919,$B$56:$B$1919,0))</f>
        <v>#N/A</v>
      </c>
    </row>
    <row r="920" spans="1:4" x14ac:dyDescent="0.25">
      <c r="A920">
        <v>865</v>
      </c>
      <c r="B920">
        <f>B919+IF('Cleaned Data'!L866&gt;0,1,0)*IF($B$34="Overall",1,IF('Cleaned Data'!K866=$B$34,1,0))*(IF('Cleaned Data'!H866&lt;&gt;"",1,0))</f>
        <v>370</v>
      </c>
      <c r="C920" t="e">
        <f>INDEX('Cleaned Data'!H:H,MATCH($A920,$B$56:$B$1919,0))</f>
        <v>#N/A</v>
      </c>
      <c r="D920" t="e">
        <f>INDEX('Cleaned Data'!L:L,MATCH($A920,$B$56:$B$1919,0))</f>
        <v>#N/A</v>
      </c>
    </row>
    <row r="921" spans="1:4" x14ac:dyDescent="0.25">
      <c r="A921">
        <v>866</v>
      </c>
      <c r="B921">
        <f>B920+IF('Cleaned Data'!L867&gt;0,1,0)*IF($B$34="Overall",1,IF('Cleaned Data'!K867=$B$34,1,0))*(IF('Cleaned Data'!H867&lt;&gt;"",1,0))</f>
        <v>370</v>
      </c>
      <c r="C921" t="e">
        <f>INDEX('Cleaned Data'!H:H,MATCH($A921,$B$56:$B$1919,0))</f>
        <v>#N/A</v>
      </c>
      <c r="D921" t="e">
        <f>INDEX('Cleaned Data'!L:L,MATCH($A921,$B$56:$B$1919,0))</f>
        <v>#N/A</v>
      </c>
    </row>
    <row r="922" spans="1:4" x14ac:dyDescent="0.25">
      <c r="A922">
        <v>867</v>
      </c>
      <c r="B922">
        <f>B921+IF('Cleaned Data'!L868&gt;0,1,0)*IF($B$34="Overall",1,IF('Cleaned Data'!K868=$B$34,1,0))*(IF('Cleaned Data'!H868&lt;&gt;"",1,0))</f>
        <v>370</v>
      </c>
      <c r="C922" t="e">
        <f>INDEX('Cleaned Data'!H:H,MATCH($A922,$B$56:$B$1919,0))</f>
        <v>#N/A</v>
      </c>
      <c r="D922" t="e">
        <f>INDEX('Cleaned Data'!L:L,MATCH($A922,$B$56:$B$1919,0))</f>
        <v>#N/A</v>
      </c>
    </row>
    <row r="923" spans="1:4" x14ac:dyDescent="0.25">
      <c r="A923">
        <v>868</v>
      </c>
      <c r="B923">
        <f>B922+IF('Cleaned Data'!L869&gt;0,1,0)*IF($B$34="Overall",1,IF('Cleaned Data'!K869=$B$34,1,0))*(IF('Cleaned Data'!H869&lt;&gt;"",1,0))</f>
        <v>370</v>
      </c>
      <c r="C923" t="e">
        <f>INDEX('Cleaned Data'!H:H,MATCH($A923,$B$56:$B$1919,0))</f>
        <v>#N/A</v>
      </c>
      <c r="D923" t="e">
        <f>INDEX('Cleaned Data'!L:L,MATCH($A923,$B$56:$B$1919,0))</f>
        <v>#N/A</v>
      </c>
    </row>
    <row r="924" spans="1:4" x14ac:dyDescent="0.25">
      <c r="A924">
        <v>869</v>
      </c>
      <c r="B924">
        <f>B923+IF('Cleaned Data'!L870&gt;0,1,0)*IF($B$34="Overall",1,IF('Cleaned Data'!K870=$B$34,1,0))*(IF('Cleaned Data'!H870&lt;&gt;"",1,0))</f>
        <v>370</v>
      </c>
      <c r="C924" t="e">
        <f>INDEX('Cleaned Data'!H:H,MATCH($A924,$B$56:$B$1919,0))</f>
        <v>#N/A</v>
      </c>
      <c r="D924" t="e">
        <f>INDEX('Cleaned Data'!L:L,MATCH($A924,$B$56:$B$1919,0))</f>
        <v>#N/A</v>
      </c>
    </row>
    <row r="925" spans="1:4" x14ac:dyDescent="0.25">
      <c r="A925">
        <v>870</v>
      </c>
      <c r="B925">
        <f>B924+IF('Cleaned Data'!L871&gt;0,1,0)*IF($B$34="Overall",1,IF('Cleaned Data'!K871=$B$34,1,0))*(IF('Cleaned Data'!H871&lt;&gt;"",1,0))</f>
        <v>370</v>
      </c>
      <c r="C925" t="e">
        <f>INDEX('Cleaned Data'!H:H,MATCH($A925,$B$56:$B$1919,0))</f>
        <v>#N/A</v>
      </c>
      <c r="D925" t="e">
        <f>INDEX('Cleaned Data'!L:L,MATCH($A925,$B$56:$B$1919,0))</f>
        <v>#N/A</v>
      </c>
    </row>
    <row r="926" spans="1:4" x14ac:dyDescent="0.25">
      <c r="A926">
        <v>871</v>
      </c>
      <c r="B926">
        <f>B925+IF('Cleaned Data'!L872&gt;0,1,0)*IF($B$34="Overall",1,IF('Cleaned Data'!K872=$B$34,1,0))*(IF('Cleaned Data'!H872&lt;&gt;"",1,0))</f>
        <v>370</v>
      </c>
      <c r="C926" t="e">
        <f>INDEX('Cleaned Data'!H:H,MATCH($A926,$B$56:$B$1919,0))</f>
        <v>#N/A</v>
      </c>
      <c r="D926" t="e">
        <f>INDEX('Cleaned Data'!L:L,MATCH($A926,$B$56:$B$1919,0))</f>
        <v>#N/A</v>
      </c>
    </row>
    <row r="927" spans="1:4" x14ac:dyDescent="0.25">
      <c r="A927">
        <v>872</v>
      </c>
      <c r="B927">
        <f>B926+IF('Cleaned Data'!L873&gt;0,1,0)*IF($B$34="Overall",1,IF('Cleaned Data'!K873=$B$34,1,0))*(IF('Cleaned Data'!H873&lt;&gt;"",1,0))</f>
        <v>370</v>
      </c>
      <c r="C927" t="e">
        <f>INDEX('Cleaned Data'!H:H,MATCH($A927,$B$56:$B$1919,0))</f>
        <v>#N/A</v>
      </c>
      <c r="D927" t="e">
        <f>INDEX('Cleaned Data'!L:L,MATCH($A927,$B$56:$B$1919,0))</f>
        <v>#N/A</v>
      </c>
    </row>
    <row r="928" spans="1:4" x14ac:dyDescent="0.25">
      <c r="A928">
        <v>873</v>
      </c>
      <c r="B928">
        <f>B927+IF('Cleaned Data'!L874&gt;0,1,0)*IF($B$34="Overall",1,IF('Cleaned Data'!K874=$B$34,1,0))*(IF('Cleaned Data'!H874&lt;&gt;"",1,0))</f>
        <v>370</v>
      </c>
      <c r="C928" t="e">
        <f>INDEX('Cleaned Data'!H:H,MATCH($A928,$B$56:$B$1919,0))</f>
        <v>#N/A</v>
      </c>
      <c r="D928" t="e">
        <f>INDEX('Cleaned Data'!L:L,MATCH($A928,$B$56:$B$1919,0))</f>
        <v>#N/A</v>
      </c>
    </row>
    <row r="929" spans="1:4" x14ac:dyDescent="0.25">
      <c r="A929">
        <v>874</v>
      </c>
      <c r="B929">
        <f>B928+IF('Cleaned Data'!L875&gt;0,1,0)*IF($B$34="Overall",1,IF('Cleaned Data'!K875=$B$34,1,0))*(IF('Cleaned Data'!H875&lt;&gt;"",1,0))</f>
        <v>370</v>
      </c>
      <c r="C929" t="e">
        <f>INDEX('Cleaned Data'!H:H,MATCH($A929,$B$56:$B$1919,0))</f>
        <v>#N/A</v>
      </c>
      <c r="D929" t="e">
        <f>INDEX('Cleaned Data'!L:L,MATCH($A929,$B$56:$B$1919,0))</f>
        <v>#N/A</v>
      </c>
    </row>
    <row r="930" spans="1:4" x14ac:dyDescent="0.25">
      <c r="A930">
        <v>875</v>
      </c>
      <c r="B930">
        <f>B929+IF('Cleaned Data'!L876&gt;0,1,0)*IF($B$34="Overall",1,IF('Cleaned Data'!K876=$B$34,1,0))*(IF('Cleaned Data'!H876&lt;&gt;"",1,0))</f>
        <v>370</v>
      </c>
      <c r="C930" t="e">
        <f>INDEX('Cleaned Data'!H:H,MATCH($A930,$B$56:$B$1919,0))</f>
        <v>#N/A</v>
      </c>
      <c r="D930" t="e">
        <f>INDEX('Cleaned Data'!L:L,MATCH($A930,$B$56:$B$1919,0))</f>
        <v>#N/A</v>
      </c>
    </row>
    <row r="931" spans="1:4" x14ac:dyDescent="0.25">
      <c r="A931">
        <v>876</v>
      </c>
      <c r="B931">
        <f>B930+IF('Cleaned Data'!L877&gt;0,1,0)*IF($B$34="Overall",1,IF('Cleaned Data'!K877=$B$34,1,0))*(IF('Cleaned Data'!H877&lt;&gt;"",1,0))</f>
        <v>371</v>
      </c>
      <c r="C931" t="e">
        <f>INDEX('Cleaned Data'!H:H,MATCH($A931,$B$56:$B$1919,0))</f>
        <v>#N/A</v>
      </c>
      <c r="D931" t="e">
        <f>INDEX('Cleaned Data'!L:L,MATCH($A931,$B$56:$B$1919,0))</f>
        <v>#N/A</v>
      </c>
    </row>
    <row r="932" spans="1:4" x14ac:dyDescent="0.25">
      <c r="A932">
        <v>877</v>
      </c>
      <c r="B932">
        <f>B931+IF('Cleaned Data'!L878&gt;0,1,0)*IF($B$34="Overall",1,IF('Cleaned Data'!K878=$B$34,1,0))*(IF('Cleaned Data'!H878&lt;&gt;"",1,0))</f>
        <v>371</v>
      </c>
      <c r="C932" t="e">
        <f>INDEX('Cleaned Data'!H:H,MATCH($A932,$B$56:$B$1919,0))</f>
        <v>#N/A</v>
      </c>
      <c r="D932" t="e">
        <f>INDEX('Cleaned Data'!L:L,MATCH($A932,$B$56:$B$1919,0))</f>
        <v>#N/A</v>
      </c>
    </row>
    <row r="933" spans="1:4" x14ac:dyDescent="0.25">
      <c r="A933">
        <v>878</v>
      </c>
      <c r="B933">
        <f>B932+IF('Cleaned Data'!L879&gt;0,1,0)*IF($B$34="Overall",1,IF('Cleaned Data'!K879=$B$34,1,0))*(IF('Cleaned Data'!H879&lt;&gt;"",1,0))</f>
        <v>371</v>
      </c>
      <c r="C933" t="e">
        <f>INDEX('Cleaned Data'!H:H,MATCH($A933,$B$56:$B$1919,0))</f>
        <v>#N/A</v>
      </c>
      <c r="D933" t="e">
        <f>INDEX('Cleaned Data'!L:L,MATCH($A933,$B$56:$B$1919,0))</f>
        <v>#N/A</v>
      </c>
    </row>
    <row r="934" spans="1:4" x14ac:dyDescent="0.25">
      <c r="A934">
        <v>879</v>
      </c>
      <c r="B934">
        <f>B933+IF('Cleaned Data'!L880&gt;0,1,0)*IF($B$34="Overall",1,IF('Cleaned Data'!K880=$B$34,1,0))*(IF('Cleaned Data'!H880&lt;&gt;"",1,0))</f>
        <v>371</v>
      </c>
      <c r="C934" t="e">
        <f>INDEX('Cleaned Data'!H:H,MATCH($A934,$B$56:$B$1919,0))</f>
        <v>#N/A</v>
      </c>
      <c r="D934" t="e">
        <f>INDEX('Cleaned Data'!L:L,MATCH($A934,$B$56:$B$1919,0))</f>
        <v>#N/A</v>
      </c>
    </row>
    <row r="935" spans="1:4" x14ac:dyDescent="0.25">
      <c r="A935">
        <v>880</v>
      </c>
      <c r="B935">
        <f>B934+IF('Cleaned Data'!L881&gt;0,1,0)*IF($B$34="Overall",1,IF('Cleaned Data'!K881=$B$34,1,0))*(IF('Cleaned Data'!H881&lt;&gt;"",1,0))</f>
        <v>371</v>
      </c>
      <c r="C935" t="e">
        <f>INDEX('Cleaned Data'!H:H,MATCH($A935,$B$56:$B$1919,0))</f>
        <v>#N/A</v>
      </c>
      <c r="D935" t="e">
        <f>INDEX('Cleaned Data'!L:L,MATCH($A935,$B$56:$B$1919,0))</f>
        <v>#N/A</v>
      </c>
    </row>
    <row r="936" spans="1:4" x14ac:dyDescent="0.25">
      <c r="A936">
        <v>881</v>
      </c>
      <c r="B936">
        <f>B935+IF('Cleaned Data'!L882&gt;0,1,0)*IF($B$34="Overall",1,IF('Cleaned Data'!K882=$B$34,1,0))*(IF('Cleaned Data'!H882&lt;&gt;"",1,0))</f>
        <v>371</v>
      </c>
      <c r="C936" t="e">
        <f>INDEX('Cleaned Data'!H:H,MATCH($A936,$B$56:$B$1919,0))</f>
        <v>#N/A</v>
      </c>
      <c r="D936" t="e">
        <f>INDEX('Cleaned Data'!L:L,MATCH($A936,$B$56:$B$1919,0))</f>
        <v>#N/A</v>
      </c>
    </row>
    <row r="937" spans="1:4" x14ac:dyDescent="0.25">
      <c r="A937">
        <v>882</v>
      </c>
      <c r="B937">
        <f>B936+IF('Cleaned Data'!L883&gt;0,1,0)*IF($B$34="Overall",1,IF('Cleaned Data'!K883=$B$34,1,0))*(IF('Cleaned Data'!H883&lt;&gt;"",1,0))</f>
        <v>371</v>
      </c>
      <c r="C937" t="e">
        <f>INDEX('Cleaned Data'!H:H,MATCH($A937,$B$56:$B$1919,0))</f>
        <v>#N/A</v>
      </c>
      <c r="D937" t="e">
        <f>INDEX('Cleaned Data'!L:L,MATCH($A937,$B$56:$B$1919,0))</f>
        <v>#N/A</v>
      </c>
    </row>
    <row r="938" spans="1:4" x14ac:dyDescent="0.25">
      <c r="A938">
        <v>883</v>
      </c>
      <c r="B938">
        <f>B937+IF('Cleaned Data'!L884&gt;0,1,0)*IF($B$34="Overall",1,IF('Cleaned Data'!K884=$B$34,1,0))*(IF('Cleaned Data'!H884&lt;&gt;"",1,0))</f>
        <v>371</v>
      </c>
      <c r="C938" t="e">
        <f>INDEX('Cleaned Data'!H:H,MATCH($A938,$B$56:$B$1919,0))</f>
        <v>#N/A</v>
      </c>
      <c r="D938" t="e">
        <f>INDEX('Cleaned Data'!L:L,MATCH($A938,$B$56:$B$1919,0))</f>
        <v>#N/A</v>
      </c>
    </row>
    <row r="939" spans="1:4" x14ac:dyDescent="0.25">
      <c r="A939">
        <v>884</v>
      </c>
      <c r="B939">
        <f>B938+IF('Cleaned Data'!L885&gt;0,1,0)*IF($B$34="Overall",1,IF('Cleaned Data'!K885=$B$34,1,0))*(IF('Cleaned Data'!H885&lt;&gt;"",1,0))</f>
        <v>372</v>
      </c>
      <c r="C939" t="e">
        <f>INDEX('Cleaned Data'!H:H,MATCH($A939,$B$56:$B$1919,0))</f>
        <v>#N/A</v>
      </c>
      <c r="D939" t="e">
        <f>INDEX('Cleaned Data'!L:L,MATCH($A939,$B$56:$B$1919,0))</f>
        <v>#N/A</v>
      </c>
    </row>
    <row r="940" spans="1:4" x14ac:dyDescent="0.25">
      <c r="A940">
        <v>885</v>
      </c>
      <c r="B940">
        <f>B939+IF('Cleaned Data'!L886&gt;0,1,0)*IF($B$34="Overall",1,IF('Cleaned Data'!K886=$B$34,1,0))*(IF('Cleaned Data'!H886&lt;&gt;"",1,0))</f>
        <v>372</v>
      </c>
      <c r="C940" t="e">
        <f>INDEX('Cleaned Data'!H:H,MATCH($A940,$B$56:$B$1919,0))</f>
        <v>#N/A</v>
      </c>
      <c r="D940" t="e">
        <f>INDEX('Cleaned Data'!L:L,MATCH($A940,$B$56:$B$1919,0))</f>
        <v>#N/A</v>
      </c>
    </row>
    <row r="941" spans="1:4" x14ac:dyDescent="0.25">
      <c r="A941">
        <v>886</v>
      </c>
      <c r="B941">
        <f>B940+IF('Cleaned Data'!L887&gt;0,1,0)*IF($B$34="Overall",1,IF('Cleaned Data'!K887=$B$34,1,0))*(IF('Cleaned Data'!H887&lt;&gt;"",1,0))</f>
        <v>372</v>
      </c>
      <c r="C941" t="e">
        <f>INDEX('Cleaned Data'!H:H,MATCH($A941,$B$56:$B$1919,0))</f>
        <v>#N/A</v>
      </c>
      <c r="D941" t="e">
        <f>INDEX('Cleaned Data'!L:L,MATCH($A941,$B$56:$B$1919,0))</f>
        <v>#N/A</v>
      </c>
    </row>
    <row r="942" spans="1:4" x14ac:dyDescent="0.25">
      <c r="A942">
        <v>887</v>
      </c>
      <c r="B942">
        <f>B941+IF('Cleaned Data'!L888&gt;0,1,0)*IF($B$34="Overall",1,IF('Cleaned Data'!K888=$B$34,1,0))*(IF('Cleaned Data'!H888&lt;&gt;"",1,0))</f>
        <v>372</v>
      </c>
      <c r="C942" t="e">
        <f>INDEX('Cleaned Data'!H:H,MATCH($A942,$B$56:$B$1919,0))</f>
        <v>#N/A</v>
      </c>
      <c r="D942" t="e">
        <f>INDEX('Cleaned Data'!L:L,MATCH($A942,$B$56:$B$1919,0))</f>
        <v>#N/A</v>
      </c>
    </row>
    <row r="943" spans="1:4" x14ac:dyDescent="0.25">
      <c r="A943">
        <v>888</v>
      </c>
      <c r="B943">
        <f>B942+IF('Cleaned Data'!L889&gt;0,1,0)*IF($B$34="Overall",1,IF('Cleaned Data'!K889=$B$34,1,0))*(IF('Cleaned Data'!H889&lt;&gt;"",1,0))</f>
        <v>372</v>
      </c>
      <c r="C943" t="e">
        <f>INDEX('Cleaned Data'!H:H,MATCH($A943,$B$56:$B$1919,0))</f>
        <v>#N/A</v>
      </c>
      <c r="D943" t="e">
        <f>INDEX('Cleaned Data'!L:L,MATCH($A943,$B$56:$B$1919,0))</f>
        <v>#N/A</v>
      </c>
    </row>
    <row r="944" spans="1:4" x14ac:dyDescent="0.25">
      <c r="A944">
        <v>889</v>
      </c>
      <c r="B944">
        <f>B943+IF('Cleaned Data'!L890&gt;0,1,0)*IF($B$34="Overall",1,IF('Cleaned Data'!K890=$B$34,1,0))*(IF('Cleaned Data'!H890&lt;&gt;"",1,0))</f>
        <v>372</v>
      </c>
      <c r="C944" t="e">
        <f>INDEX('Cleaned Data'!H:H,MATCH($A944,$B$56:$B$1919,0))</f>
        <v>#N/A</v>
      </c>
      <c r="D944" t="e">
        <f>INDEX('Cleaned Data'!L:L,MATCH($A944,$B$56:$B$1919,0))</f>
        <v>#N/A</v>
      </c>
    </row>
    <row r="945" spans="1:4" x14ac:dyDescent="0.25">
      <c r="A945">
        <v>890</v>
      </c>
      <c r="B945">
        <f>B944+IF('Cleaned Data'!L891&gt;0,1,0)*IF($B$34="Overall",1,IF('Cleaned Data'!K891=$B$34,1,0))*(IF('Cleaned Data'!H891&lt;&gt;"",1,0))</f>
        <v>372</v>
      </c>
      <c r="C945" t="e">
        <f>INDEX('Cleaned Data'!H:H,MATCH($A945,$B$56:$B$1919,0))</f>
        <v>#N/A</v>
      </c>
      <c r="D945" t="e">
        <f>INDEX('Cleaned Data'!L:L,MATCH($A945,$B$56:$B$1919,0))</f>
        <v>#N/A</v>
      </c>
    </row>
    <row r="946" spans="1:4" x14ac:dyDescent="0.25">
      <c r="A946">
        <v>891</v>
      </c>
      <c r="B946">
        <f>B945+IF('Cleaned Data'!L892&gt;0,1,0)*IF($B$34="Overall",1,IF('Cleaned Data'!K892=$B$34,1,0))*(IF('Cleaned Data'!H892&lt;&gt;"",1,0))</f>
        <v>372</v>
      </c>
      <c r="C946" t="e">
        <f>INDEX('Cleaned Data'!H:H,MATCH($A946,$B$56:$B$1919,0))</f>
        <v>#N/A</v>
      </c>
      <c r="D946" t="e">
        <f>INDEX('Cleaned Data'!L:L,MATCH($A946,$B$56:$B$1919,0))</f>
        <v>#N/A</v>
      </c>
    </row>
    <row r="947" spans="1:4" x14ac:dyDescent="0.25">
      <c r="A947">
        <v>892</v>
      </c>
      <c r="B947">
        <f>B946+IF('Cleaned Data'!L893&gt;0,1,0)*IF($B$34="Overall",1,IF('Cleaned Data'!K893=$B$34,1,0))*(IF('Cleaned Data'!H893&lt;&gt;"",1,0))</f>
        <v>372</v>
      </c>
      <c r="C947" t="e">
        <f>INDEX('Cleaned Data'!H:H,MATCH($A947,$B$56:$B$1919,0))</f>
        <v>#N/A</v>
      </c>
      <c r="D947" t="e">
        <f>INDEX('Cleaned Data'!L:L,MATCH($A947,$B$56:$B$1919,0))</f>
        <v>#N/A</v>
      </c>
    </row>
    <row r="948" spans="1:4" x14ac:dyDescent="0.25">
      <c r="A948">
        <v>893</v>
      </c>
      <c r="B948">
        <f>B947+IF('Cleaned Data'!L894&gt;0,1,0)*IF($B$34="Overall",1,IF('Cleaned Data'!K894=$B$34,1,0))*(IF('Cleaned Data'!H894&lt;&gt;"",1,0))</f>
        <v>372</v>
      </c>
      <c r="C948" t="e">
        <f>INDEX('Cleaned Data'!H:H,MATCH($A948,$B$56:$B$1919,0))</f>
        <v>#N/A</v>
      </c>
      <c r="D948" t="e">
        <f>INDEX('Cleaned Data'!L:L,MATCH($A948,$B$56:$B$1919,0))</f>
        <v>#N/A</v>
      </c>
    </row>
    <row r="949" spans="1:4" x14ac:dyDescent="0.25">
      <c r="A949">
        <v>894</v>
      </c>
      <c r="B949">
        <f>B948+IF('Cleaned Data'!L895&gt;0,1,0)*IF($B$34="Overall",1,IF('Cleaned Data'!K895=$B$34,1,0))*(IF('Cleaned Data'!H895&lt;&gt;"",1,0))</f>
        <v>372</v>
      </c>
      <c r="C949" t="e">
        <f>INDEX('Cleaned Data'!H:H,MATCH($A949,$B$56:$B$1919,0))</f>
        <v>#N/A</v>
      </c>
      <c r="D949" t="e">
        <f>INDEX('Cleaned Data'!L:L,MATCH($A949,$B$56:$B$1919,0))</f>
        <v>#N/A</v>
      </c>
    </row>
    <row r="950" spans="1:4" x14ac:dyDescent="0.25">
      <c r="A950">
        <v>895</v>
      </c>
      <c r="B950">
        <f>B949+IF('Cleaned Data'!L896&gt;0,1,0)*IF($B$34="Overall",1,IF('Cleaned Data'!K896=$B$34,1,0))*(IF('Cleaned Data'!H896&lt;&gt;"",1,0))</f>
        <v>372</v>
      </c>
      <c r="C950" t="e">
        <f>INDEX('Cleaned Data'!H:H,MATCH($A950,$B$56:$B$1919,0))</f>
        <v>#N/A</v>
      </c>
      <c r="D950" t="e">
        <f>INDEX('Cleaned Data'!L:L,MATCH($A950,$B$56:$B$1919,0))</f>
        <v>#N/A</v>
      </c>
    </row>
    <row r="951" spans="1:4" x14ac:dyDescent="0.25">
      <c r="A951">
        <v>896</v>
      </c>
      <c r="B951">
        <f>B950+IF('Cleaned Data'!L897&gt;0,1,0)*IF($B$34="Overall",1,IF('Cleaned Data'!K897=$B$34,1,0))*(IF('Cleaned Data'!H897&lt;&gt;"",1,0))</f>
        <v>372</v>
      </c>
      <c r="C951" t="e">
        <f>INDEX('Cleaned Data'!H:H,MATCH($A951,$B$56:$B$1919,0))</f>
        <v>#N/A</v>
      </c>
      <c r="D951" t="e">
        <f>INDEX('Cleaned Data'!L:L,MATCH($A951,$B$56:$B$1919,0))</f>
        <v>#N/A</v>
      </c>
    </row>
    <row r="952" spans="1:4" x14ac:dyDescent="0.25">
      <c r="A952">
        <v>897</v>
      </c>
      <c r="B952">
        <f>B951+IF('Cleaned Data'!L898&gt;0,1,0)*IF($B$34="Overall",1,IF('Cleaned Data'!K898=$B$34,1,0))*(IF('Cleaned Data'!H898&lt;&gt;"",1,0))</f>
        <v>372</v>
      </c>
      <c r="C952" t="e">
        <f>INDEX('Cleaned Data'!H:H,MATCH($A952,$B$56:$B$1919,0))</f>
        <v>#N/A</v>
      </c>
      <c r="D952" t="e">
        <f>INDEX('Cleaned Data'!L:L,MATCH($A952,$B$56:$B$1919,0))</f>
        <v>#N/A</v>
      </c>
    </row>
    <row r="953" spans="1:4" x14ac:dyDescent="0.25">
      <c r="A953">
        <v>898</v>
      </c>
      <c r="B953">
        <f>B952+IF('Cleaned Data'!L899&gt;0,1,0)*IF($B$34="Overall",1,IF('Cleaned Data'!K899=$B$34,1,0))*(IF('Cleaned Data'!H899&lt;&gt;"",1,0))</f>
        <v>372</v>
      </c>
      <c r="C953" t="e">
        <f>INDEX('Cleaned Data'!H:H,MATCH($A953,$B$56:$B$1919,0))</f>
        <v>#N/A</v>
      </c>
      <c r="D953" t="e">
        <f>INDEX('Cleaned Data'!L:L,MATCH($A953,$B$56:$B$1919,0))</f>
        <v>#N/A</v>
      </c>
    </row>
    <row r="954" spans="1:4" x14ac:dyDescent="0.25">
      <c r="A954">
        <v>899</v>
      </c>
      <c r="B954">
        <f>B953+IF('Cleaned Data'!L900&gt;0,1,0)*IF($B$34="Overall",1,IF('Cleaned Data'!K900=$B$34,1,0))*(IF('Cleaned Data'!H900&lt;&gt;"",1,0))</f>
        <v>372</v>
      </c>
      <c r="C954" t="e">
        <f>INDEX('Cleaned Data'!H:H,MATCH($A954,$B$56:$B$1919,0))</f>
        <v>#N/A</v>
      </c>
      <c r="D954" t="e">
        <f>INDEX('Cleaned Data'!L:L,MATCH($A954,$B$56:$B$1919,0))</f>
        <v>#N/A</v>
      </c>
    </row>
    <row r="955" spans="1:4" x14ac:dyDescent="0.25">
      <c r="A955">
        <v>900</v>
      </c>
      <c r="B955">
        <f>B954+IF('Cleaned Data'!L901&gt;0,1,0)*IF($B$34="Overall",1,IF('Cleaned Data'!K901=$B$34,1,0))*(IF('Cleaned Data'!H901&lt;&gt;"",1,0))</f>
        <v>372</v>
      </c>
      <c r="C955" t="e">
        <f>INDEX('Cleaned Data'!H:H,MATCH($A955,$B$56:$B$1919,0))</f>
        <v>#N/A</v>
      </c>
      <c r="D955" t="e">
        <f>INDEX('Cleaned Data'!L:L,MATCH($A955,$B$56:$B$1919,0))</f>
        <v>#N/A</v>
      </c>
    </row>
    <row r="956" spans="1:4" x14ac:dyDescent="0.25">
      <c r="A956">
        <v>901</v>
      </c>
      <c r="B956">
        <f>B955+IF('Cleaned Data'!L902&gt;0,1,0)*IF($B$34="Overall",1,IF('Cleaned Data'!K902=$B$34,1,0))*(IF('Cleaned Data'!H902&lt;&gt;"",1,0))</f>
        <v>372</v>
      </c>
      <c r="C956" t="e">
        <f>INDEX('Cleaned Data'!H:H,MATCH($A956,$B$56:$B$1919,0))</f>
        <v>#N/A</v>
      </c>
      <c r="D956" t="e">
        <f>INDEX('Cleaned Data'!L:L,MATCH($A956,$B$56:$B$1919,0))</f>
        <v>#N/A</v>
      </c>
    </row>
    <row r="957" spans="1:4" x14ac:dyDescent="0.25">
      <c r="A957">
        <v>902</v>
      </c>
      <c r="B957">
        <f>B956+IF('Cleaned Data'!L903&gt;0,1,0)*IF($B$34="Overall",1,IF('Cleaned Data'!K903=$B$34,1,0))*(IF('Cleaned Data'!H903&lt;&gt;"",1,0))</f>
        <v>372</v>
      </c>
      <c r="C957" t="e">
        <f>INDEX('Cleaned Data'!H:H,MATCH($A957,$B$56:$B$1919,0))</f>
        <v>#N/A</v>
      </c>
      <c r="D957" t="e">
        <f>INDEX('Cleaned Data'!L:L,MATCH($A957,$B$56:$B$1919,0))</f>
        <v>#N/A</v>
      </c>
    </row>
    <row r="958" spans="1:4" x14ac:dyDescent="0.25">
      <c r="A958">
        <v>903</v>
      </c>
      <c r="B958">
        <f>B957+IF('Cleaned Data'!L904&gt;0,1,0)*IF($B$34="Overall",1,IF('Cleaned Data'!K904=$B$34,1,0))*(IF('Cleaned Data'!H904&lt;&gt;"",1,0))</f>
        <v>372</v>
      </c>
      <c r="C958" t="e">
        <f>INDEX('Cleaned Data'!H:H,MATCH($A958,$B$56:$B$1919,0))</f>
        <v>#N/A</v>
      </c>
      <c r="D958" t="e">
        <f>INDEX('Cleaned Data'!L:L,MATCH($A958,$B$56:$B$1919,0))</f>
        <v>#N/A</v>
      </c>
    </row>
    <row r="959" spans="1:4" x14ac:dyDescent="0.25">
      <c r="A959">
        <v>904</v>
      </c>
      <c r="B959">
        <f>B958+IF('Cleaned Data'!L905&gt;0,1,0)*IF($B$34="Overall",1,IF('Cleaned Data'!K905=$B$34,1,0))*(IF('Cleaned Data'!H905&lt;&gt;"",1,0))</f>
        <v>372</v>
      </c>
      <c r="C959" t="e">
        <f>INDEX('Cleaned Data'!H:H,MATCH($A959,$B$56:$B$1919,0))</f>
        <v>#N/A</v>
      </c>
      <c r="D959" t="e">
        <f>INDEX('Cleaned Data'!L:L,MATCH($A959,$B$56:$B$1919,0))</f>
        <v>#N/A</v>
      </c>
    </row>
    <row r="960" spans="1:4" x14ac:dyDescent="0.25">
      <c r="A960">
        <v>905</v>
      </c>
      <c r="B960">
        <f>B959+IF('Cleaned Data'!L906&gt;0,1,0)*IF($B$34="Overall",1,IF('Cleaned Data'!K906=$B$34,1,0))*(IF('Cleaned Data'!H906&lt;&gt;"",1,0))</f>
        <v>372</v>
      </c>
      <c r="C960" t="e">
        <f>INDEX('Cleaned Data'!H:H,MATCH($A960,$B$56:$B$1919,0))</f>
        <v>#N/A</v>
      </c>
      <c r="D960" t="e">
        <f>INDEX('Cleaned Data'!L:L,MATCH($A960,$B$56:$B$1919,0))</f>
        <v>#N/A</v>
      </c>
    </row>
    <row r="961" spans="1:4" x14ac:dyDescent="0.25">
      <c r="A961">
        <v>906</v>
      </c>
      <c r="B961">
        <f>B960+IF('Cleaned Data'!L907&gt;0,1,0)*IF($B$34="Overall",1,IF('Cleaned Data'!K907=$B$34,1,0))*(IF('Cleaned Data'!H907&lt;&gt;"",1,0))</f>
        <v>372</v>
      </c>
      <c r="C961" t="e">
        <f>INDEX('Cleaned Data'!H:H,MATCH($A961,$B$56:$B$1919,0))</f>
        <v>#N/A</v>
      </c>
      <c r="D961" t="e">
        <f>INDEX('Cleaned Data'!L:L,MATCH($A961,$B$56:$B$1919,0))</f>
        <v>#N/A</v>
      </c>
    </row>
    <row r="962" spans="1:4" x14ac:dyDescent="0.25">
      <c r="A962">
        <v>907</v>
      </c>
      <c r="B962">
        <f>B961+IF('Cleaned Data'!L908&gt;0,1,0)*IF($B$34="Overall",1,IF('Cleaned Data'!K908=$B$34,1,0))*(IF('Cleaned Data'!H908&lt;&gt;"",1,0))</f>
        <v>372</v>
      </c>
      <c r="C962" t="e">
        <f>INDEX('Cleaned Data'!H:H,MATCH($A962,$B$56:$B$1919,0))</f>
        <v>#N/A</v>
      </c>
      <c r="D962" t="e">
        <f>INDEX('Cleaned Data'!L:L,MATCH($A962,$B$56:$B$1919,0))</f>
        <v>#N/A</v>
      </c>
    </row>
    <row r="963" spans="1:4" x14ac:dyDescent="0.25">
      <c r="A963">
        <v>908</v>
      </c>
      <c r="B963">
        <f>B962+IF('Cleaned Data'!L909&gt;0,1,0)*IF($B$34="Overall",1,IF('Cleaned Data'!K909=$B$34,1,0))*(IF('Cleaned Data'!H909&lt;&gt;"",1,0))</f>
        <v>372</v>
      </c>
      <c r="C963" t="e">
        <f>INDEX('Cleaned Data'!H:H,MATCH($A963,$B$56:$B$1919,0))</f>
        <v>#N/A</v>
      </c>
      <c r="D963" t="e">
        <f>INDEX('Cleaned Data'!L:L,MATCH($A963,$B$56:$B$1919,0))</f>
        <v>#N/A</v>
      </c>
    </row>
    <row r="964" spans="1:4" x14ac:dyDescent="0.25">
      <c r="A964">
        <v>909</v>
      </c>
      <c r="B964">
        <f>B963+IF('Cleaned Data'!L910&gt;0,1,0)*IF($B$34="Overall",1,IF('Cleaned Data'!K910=$B$34,1,0))*(IF('Cleaned Data'!H910&lt;&gt;"",1,0))</f>
        <v>372</v>
      </c>
      <c r="C964" t="e">
        <f>INDEX('Cleaned Data'!H:H,MATCH($A964,$B$56:$B$1919,0))</f>
        <v>#N/A</v>
      </c>
      <c r="D964" t="e">
        <f>INDEX('Cleaned Data'!L:L,MATCH($A964,$B$56:$B$1919,0))</f>
        <v>#N/A</v>
      </c>
    </row>
    <row r="965" spans="1:4" x14ac:dyDescent="0.25">
      <c r="A965">
        <v>910</v>
      </c>
      <c r="B965">
        <f>B964+IF('Cleaned Data'!L911&gt;0,1,0)*IF($B$34="Overall",1,IF('Cleaned Data'!K911=$B$34,1,0))*(IF('Cleaned Data'!H911&lt;&gt;"",1,0))</f>
        <v>372</v>
      </c>
      <c r="C965" t="e">
        <f>INDEX('Cleaned Data'!H:H,MATCH($A965,$B$56:$B$1919,0))</f>
        <v>#N/A</v>
      </c>
      <c r="D965" t="e">
        <f>INDEX('Cleaned Data'!L:L,MATCH($A965,$B$56:$B$1919,0))</f>
        <v>#N/A</v>
      </c>
    </row>
    <row r="966" spans="1:4" x14ac:dyDescent="0.25">
      <c r="A966">
        <v>911</v>
      </c>
      <c r="B966">
        <f>B965+IF('Cleaned Data'!L912&gt;0,1,0)*IF($B$34="Overall",1,IF('Cleaned Data'!K912=$B$34,1,0))*(IF('Cleaned Data'!H912&lt;&gt;"",1,0))</f>
        <v>372</v>
      </c>
      <c r="C966" t="e">
        <f>INDEX('Cleaned Data'!H:H,MATCH($A966,$B$56:$B$1919,0))</f>
        <v>#N/A</v>
      </c>
      <c r="D966" t="e">
        <f>INDEX('Cleaned Data'!L:L,MATCH($A966,$B$56:$B$1919,0))</f>
        <v>#N/A</v>
      </c>
    </row>
    <row r="967" spans="1:4" x14ac:dyDescent="0.25">
      <c r="A967">
        <v>912</v>
      </c>
      <c r="B967">
        <f>B966+IF('Cleaned Data'!L913&gt;0,1,0)*IF($B$34="Overall",1,IF('Cleaned Data'!K913=$B$34,1,0))*(IF('Cleaned Data'!H913&lt;&gt;"",1,0))</f>
        <v>372</v>
      </c>
      <c r="C967" t="e">
        <f>INDEX('Cleaned Data'!H:H,MATCH($A967,$B$56:$B$1919,0))</f>
        <v>#N/A</v>
      </c>
      <c r="D967" t="e">
        <f>INDEX('Cleaned Data'!L:L,MATCH($A967,$B$56:$B$1919,0))</f>
        <v>#N/A</v>
      </c>
    </row>
    <row r="968" spans="1:4" x14ac:dyDescent="0.25">
      <c r="A968">
        <v>913</v>
      </c>
      <c r="B968">
        <f>B967+IF('Cleaned Data'!L914&gt;0,1,0)*IF($B$34="Overall",1,IF('Cleaned Data'!K914=$B$34,1,0))*(IF('Cleaned Data'!H914&lt;&gt;"",1,0))</f>
        <v>372</v>
      </c>
      <c r="C968" t="e">
        <f>INDEX('Cleaned Data'!H:H,MATCH($A968,$B$56:$B$1919,0))</f>
        <v>#N/A</v>
      </c>
      <c r="D968" t="e">
        <f>INDEX('Cleaned Data'!L:L,MATCH($A968,$B$56:$B$1919,0))</f>
        <v>#N/A</v>
      </c>
    </row>
    <row r="969" spans="1:4" x14ac:dyDescent="0.25">
      <c r="A969">
        <v>914</v>
      </c>
      <c r="B969">
        <f>B968+IF('Cleaned Data'!L915&gt;0,1,0)*IF($B$34="Overall",1,IF('Cleaned Data'!K915=$B$34,1,0))*(IF('Cleaned Data'!H915&lt;&gt;"",1,0))</f>
        <v>372</v>
      </c>
      <c r="C969" t="e">
        <f>INDEX('Cleaned Data'!H:H,MATCH($A969,$B$56:$B$1919,0))</f>
        <v>#N/A</v>
      </c>
      <c r="D969" t="e">
        <f>INDEX('Cleaned Data'!L:L,MATCH($A969,$B$56:$B$1919,0))</f>
        <v>#N/A</v>
      </c>
    </row>
    <row r="970" spans="1:4" x14ac:dyDescent="0.25">
      <c r="A970">
        <v>915</v>
      </c>
      <c r="B970">
        <f>B969+IF('Cleaned Data'!L916&gt;0,1,0)*IF($B$34="Overall",1,IF('Cleaned Data'!K916=$B$34,1,0))*(IF('Cleaned Data'!H916&lt;&gt;"",1,0))</f>
        <v>372</v>
      </c>
      <c r="C970" t="e">
        <f>INDEX('Cleaned Data'!H:H,MATCH($A970,$B$56:$B$1919,0))</f>
        <v>#N/A</v>
      </c>
      <c r="D970" t="e">
        <f>INDEX('Cleaned Data'!L:L,MATCH($A970,$B$56:$B$1919,0))</f>
        <v>#N/A</v>
      </c>
    </row>
    <row r="971" spans="1:4" x14ac:dyDescent="0.25">
      <c r="A971">
        <v>916</v>
      </c>
      <c r="B971">
        <f>B970+IF('Cleaned Data'!L917&gt;0,1,0)*IF($B$34="Overall",1,IF('Cleaned Data'!K917=$B$34,1,0))*(IF('Cleaned Data'!H917&lt;&gt;"",1,0))</f>
        <v>372</v>
      </c>
      <c r="C971" t="e">
        <f>INDEX('Cleaned Data'!H:H,MATCH($A971,$B$56:$B$1919,0))</f>
        <v>#N/A</v>
      </c>
      <c r="D971" t="e">
        <f>INDEX('Cleaned Data'!L:L,MATCH($A971,$B$56:$B$1919,0))</f>
        <v>#N/A</v>
      </c>
    </row>
    <row r="972" spans="1:4" x14ac:dyDescent="0.25">
      <c r="A972">
        <v>917</v>
      </c>
      <c r="B972">
        <f>B971+IF('Cleaned Data'!L918&gt;0,1,0)*IF($B$34="Overall",1,IF('Cleaned Data'!K918=$B$34,1,0))*(IF('Cleaned Data'!H918&lt;&gt;"",1,0))</f>
        <v>372</v>
      </c>
      <c r="C972" t="e">
        <f>INDEX('Cleaned Data'!H:H,MATCH($A972,$B$56:$B$1919,0))</f>
        <v>#N/A</v>
      </c>
      <c r="D972" t="e">
        <f>INDEX('Cleaned Data'!L:L,MATCH($A972,$B$56:$B$1919,0))</f>
        <v>#N/A</v>
      </c>
    </row>
    <row r="973" spans="1:4" x14ac:dyDescent="0.25">
      <c r="A973">
        <v>918</v>
      </c>
      <c r="B973">
        <f>B972+IF('Cleaned Data'!L919&gt;0,1,0)*IF($B$34="Overall",1,IF('Cleaned Data'!K919=$B$34,1,0))*(IF('Cleaned Data'!H919&lt;&gt;"",1,0))</f>
        <v>372</v>
      </c>
      <c r="C973" t="e">
        <f>INDEX('Cleaned Data'!H:H,MATCH($A973,$B$56:$B$1919,0))</f>
        <v>#N/A</v>
      </c>
      <c r="D973" t="e">
        <f>INDEX('Cleaned Data'!L:L,MATCH($A973,$B$56:$B$1919,0))</f>
        <v>#N/A</v>
      </c>
    </row>
    <row r="974" spans="1:4" x14ac:dyDescent="0.25">
      <c r="A974">
        <v>919</v>
      </c>
      <c r="B974">
        <f>B973+IF('Cleaned Data'!L920&gt;0,1,0)*IF($B$34="Overall",1,IF('Cleaned Data'!K920=$B$34,1,0))*(IF('Cleaned Data'!H920&lt;&gt;"",1,0))</f>
        <v>372</v>
      </c>
      <c r="C974" t="e">
        <f>INDEX('Cleaned Data'!H:H,MATCH($A974,$B$56:$B$1919,0))</f>
        <v>#N/A</v>
      </c>
      <c r="D974" t="e">
        <f>INDEX('Cleaned Data'!L:L,MATCH($A974,$B$56:$B$1919,0))</f>
        <v>#N/A</v>
      </c>
    </row>
    <row r="975" spans="1:4" x14ac:dyDescent="0.25">
      <c r="A975">
        <v>920</v>
      </c>
      <c r="B975">
        <f>B974+IF('Cleaned Data'!L921&gt;0,1,0)*IF($B$34="Overall",1,IF('Cleaned Data'!K921=$B$34,1,0))*(IF('Cleaned Data'!H921&lt;&gt;"",1,0))</f>
        <v>372</v>
      </c>
      <c r="C975" t="e">
        <f>INDEX('Cleaned Data'!H:H,MATCH($A975,$B$56:$B$1919,0))</f>
        <v>#N/A</v>
      </c>
      <c r="D975" t="e">
        <f>INDEX('Cleaned Data'!L:L,MATCH($A975,$B$56:$B$1919,0))</f>
        <v>#N/A</v>
      </c>
    </row>
    <row r="976" spans="1:4" x14ac:dyDescent="0.25">
      <c r="A976">
        <v>921</v>
      </c>
      <c r="B976">
        <f>B975+IF('Cleaned Data'!L922&gt;0,1,0)*IF($B$34="Overall",1,IF('Cleaned Data'!K922=$B$34,1,0))*(IF('Cleaned Data'!H922&lt;&gt;"",1,0))</f>
        <v>372</v>
      </c>
      <c r="C976" t="e">
        <f>INDEX('Cleaned Data'!H:H,MATCH($A976,$B$56:$B$1919,0))</f>
        <v>#N/A</v>
      </c>
      <c r="D976" t="e">
        <f>INDEX('Cleaned Data'!L:L,MATCH($A976,$B$56:$B$1919,0))</f>
        <v>#N/A</v>
      </c>
    </row>
    <row r="977" spans="1:4" x14ac:dyDescent="0.25">
      <c r="A977">
        <v>922</v>
      </c>
      <c r="B977">
        <f>B976+IF('Cleaned Data'!L923&gt;0,1,0)*IF($B$34="Overall",1,IF('Cleaned Data'!K923=$B$34,1,0))*(IF('Cleaned Data'!H923&lt;&gt;"",1,0))</f>
        <v>372</v>
      </c>
      <c r="C977" t="e">
        <f>INDEX('Cleaned Data'!H:H,MATCH($A977,$B$56:$B$1919,0))</f>
        <v>#N/A</v>
      </c>
      <c r="D977" t="e">
        <f>INDEX('Cleaned Data'!L:L,MATCH($A977,$B$56:$B$1919,0))</f>
        <v>#N/A</v>
      </c>
    </row>
    <row r="978" spans="1:4" x14ac:dyDescent="0.25">
      <c r="A978">
        <v>923</v>
      </c>
      <c r="B978">
        <f>B977+IF('Cleaned Data'!L924&gt;0,1,0)*IF($B$34="Overall",1,IF('Cleaned Data'!K924=$B$34,1,0))*(IF('Cleaned Data'!H924&lt;&gt;"",1,0))</f>
        <v>372</v>
      </c>
      <c r="C978" t="e">
        <f>INDEX('Cleaned Data'!H:H,MATCH($A978,$B$56:$B$1919,0))</f>
        <v>#N/A</v>
      </c>
      <c r="D978" t="e">
        <f>INDEX('Cleaned Data'!L:L,MATCH($A978,$B$56:$B$1919,0))</f>
        <v>#N/A</v>
      </c>
    </row>
    <row r="979" spans="1:4" x14ac:dyDescent="0.25">
      <c r="A979">
        <v>924</v>
      </c>
      <c r="B979">
        <f>B978+IF('Cleaned Data'!L925&gt;0,1,0)*IF($B$34="Overall",1,IF('Cleaned Data'!K925=$B$34,1,0))*(IF('Cleaned Data'!H925&lt;&gt;"",1,0))</f>
        <v>372</v>
      </c>
      <c r="C979" t="e">
        <f>INDEX('Cleaned Data'!H:H,MATCH($A979,$B$56:$B$1919,0))</f>
        <v>#N/A</v>
      </c>
      <c r="D979" t="e">
        <f>INDEX('Cleaned Data'!L:L,MATCH($A979,$B$56:$B$1919,0))</f>
        <v>#N/A</v>
      </c>
    </row>
    <row r="980" spans="1:4" x14ac:dyDescent="0.25">
      <c r="A980">
        <v>925</v>
      </c>
      <c r="B980">
        <f>B979+IF('Cleaned Data'!L926&gt;0,1,0)*IF($B$34="Overall",1,IF('Cleaned Data'!K926=$B$34,1,0))*(IF('Cleaned Data'!H926&lt;&gt;"",1,0))</f>
        <v>372</v>
      </c>
      <c r="C980" t="e">
        <f>INDEX('Cleaned Data'!H:H,MATCH($A980,$B$56:$B$1919,0))</f>
        <v>#N/A</v>
      </c>
      <c r="D980" t="e">
        <f>INDEX('Cleaned Data'!L:L,MATCH($A980,$B$56:$B$1919,0))</f>
        <v>#N/A</v>
      </c>
    </row>
    <row r="981" spans="1:4" x14ac:dyDescent="0.25">
      <c r="A981">
        <v>926</v>
      </c>
      <c r="B981">
        <f>B980+IF('Cleaned Data'!L927&gt;0,1,0)*IF($B$34="Overall",1,IF('Cleaned Data'!K927=$B$34,1,0))*(IF('Cleaned Data'!H927&lt;&gt;"",1,0))</f>
        <v>372</v>
      </c>
      <c r="C981" t="e">
        <f>INDEX('Cleaned Data'!H:H,MATCH($A981,$B$56:$B$1919,0))</f>
        <v>#N/A</v>
      </c>
      <c r="D981" t="e">
        <f>INDEX('Cleaned Data'!L:L,MATCH($A981,$B$56:$B$1919,0))</f>
        <v>#N/A</v>
      </c>
    </row>
    <row r="982" spans="1:4" x14ac:dyDescent="0.25">
      <c r="A982">
        <v>927</v>
      </c>
      <c r="B982">
        <f>B981+IF('Cleaned Data'!L928&gt;0,1,0)*IF($B$34="Overall",1,IF('Cleaned Data'!K928=$B$34,1,0))*(IF('Cleaned Data'!H928&lt;&gt;"",1,0))</f>
        <v>372</v>
      </c>
      <c r="C982" t="e">
        <f>INDEX('Cleaned Data'!H:H,MATCH($A982,$B$56:$B$1919,0))</f>
        <v>#N/A</v>
      </c>
      <c r="D982" t="e">
        <f>INDEX('Cleaned Data'!L:L,MATCH($A982,$B$56:$B$1919,0))</f>
        <v>#N/A</v>
      </c>
    </row>
    <row r="983" spans="1:4" x14ac:dyDescent="0.25">
      <c r="A983">
        <v>928</v>
      </c>
      <c r="B983">
        <f>B982+IF('Cleaned Data'!L929&gt;0,1,0)*IF($B$34="Overall",1,IF('Cleaned Data'!K929=$B$34,1,0))*(IF('Cleaned Data'!H929&lt;&gt;"",1,0))</f>
        <v>372</v>
      </c>
      <c r="C983" t="e">
        <f>INDEX('Cleaned Data'!H:H,MATCH($A983,$B$56:$B$1919,0))</f>
        <v>#N/A</v>
      </c>
      <c r="D983" t="e">
        <f>INDEX('Cleaned Data'!L:L,MATCH($A983,$B$56:$B$1919,0))</f>
        <v>#N/A</v>
      </c>
    </row>
    <row r="984" spans="1:4" x14ac:dyDescent="0.25">
      <c r="A984">
        <v>929</v>
      </c>
      <c r="B984">
        <f>B983+IF('Cleaned Data'!L930&gt;0,1,0)*IF($B$34="Overall",1,IF('Cleaned Data'!K930=$B$34,1,0))*(IF('Cleaned Data'!H930&lt;&gt;"",1,0))</f>
        <v>372</v>
      </c>
      <c r="C984" t="e">
        <f>INDEX('Cleaned Data'!H:H,MATCH($A984,$B$56:$B$1919,0))</f>
        <v>#N/A</v>
      </c>
      <c r="D984" t="e">
        <f>INDEX('Cleaned Data'!L:L,MATCH($A984,$B$56:$B$1919,0))</f>
        <v>#N/A</v>
      </c>
    </row>
    <row r="985" spans="1:4" x14ac:dyDescent="0.25">
      <c r="A985">
        <v>930</v>
      </c>
      <c r="B985">
        <f>B984+IF('Cleaned Data'!L931&gt;0,1,0)*IF($B$34="Overall",1,IF('Cleaned Data'!K931=$B$34,1,0))*(IF('Cleaned Data'!H931&lt;&gt;"",1,0))</f>
        <v>372</v>
      </c>
      <c r="C985" t="e">
        <f>INDEX('Cleaned Data'!H:H,MATCH($A985,$B$56:$B$1919,0))</f>
        <v>#N/A</v>
      </c>
      <c r="D985" t="e">
        <f>INDEX('Cleaned Data'!L:L,MATCH($A985,$B$56:$B$1919,0))</f>
        <v>#N/A</v>
      </c>
    </row>
    <row r="986" spans="1:4" x14ac:dyDescent="0.25">
      <c r="A986">
        <v>931</v>
      </c>
      <c r="B986">
        <f>B985+IF('Cleaned Data'!L932&gt;0,1,0)*IF($B$34="Overall",1,IF('Cleaned Data'!K932=$B$34,1,0))*(IF('Cleaned Data'!H932&lt;&gt;"",1,0))</f>
        <v>372</v>
      </c>
      <c r="C986" t="e">
        <f>INDEX('Cleaned Data'!H:H,MATCH($A986,$B$56:$B$1919,0))</f>
        <v>#N/A</v>
      </c>
      <c r="D986" t="e">
        <f>INDEX('Cleaned Data'!L:L,MATCH($A986,$B$56:$B$1919,0))</f>
        <v>#N/A</v>
      </c>
    </row>
    <row r="987" spans="1:4" x14ac:dyDescent="0.25">
      <c r="A987">
        <v>932</v>
      </c>
      <c r="B987">
        <f>B986+IF('Cleaned Data'!L933&gt;0,1,0)*IF($B$34="Overall",1,IF('Cleaned Data'!K933=$B$34,1,0))*(IF('Cleaned Data'!H933&lt;&gt;"",1,0))</f>
        <v>373</v>
      </c>
      <c r="C987" t="e">
        <f>INDEX('Cleaned Data'!H:H,MATCH($A987,$B$56:$B$1919,0))</f>
        <v>#N/A</v>
      </c>
      <c r="D987" t="e">
        <f>INDEX('Cleaned Data'!L:L,MATCH($A987,$B$56:$B$1919,0))</f>
        <v>#N/A</v>
      </c>
    </row>
    <row r="988" spans="1:4" x14ac:dyDescent="0.25">
      <c r="A988">
        <v>933</v>
      </c>
      <c r="B988">
        <f>B987+IF('Cleaned Data'!L934&gt;0,1,0)*IF($B$34="Overall",1,IF('Cleaned Data'!K934=$B$34,1,0))*(IF('Cleaned Data'!H934&lt;&gt;"",1,0))</f>
        <v>374</v>
      </c>
      <c r="C988" t="e">
        <f>INDEX('Cleaned Data'!H:H,MATCH($A988,$B$56:$B$1919,0))</f>
        <v>#N/A</v>
      </c>
      <c r="D988" t="e">
        <f>INDEX('Cleaned Data'!L:L,MATCH($A988,$B$56:$B$1919,0))</f>
        <v>#N/A</v>
      </c>
    </row>
    <row r="989" spans="1:4" x14ac:dyDescent="0.25">
      <c r="A989">
        <v>934</v>
      </c>
      <c r="B989">
        <f>B988+IF('Cleaned Data'!L935&gt;0,1,0)*IF($B$34="Overall",1,IF('Cleaned Data'!K935=$B$34,1,0))*(IF('Cleaned Data'!H935&lt;&gt;"",1,0))</f>
        <v>375</v>
      </c>
      <c r="C989" t="e">
        <f>INDEX('Cleaned Data'!H:H,MATCH($A989,$B$56:$B$1919,0))</f>
        <v>#N/A</v>
      </c>
      <c r="D989" t="e">
        <f>INDEX('Cleaned Data'!L:L,MATCH($A989,$B$56:$B$1919,0))</f>
        <v>#N/A</v>
      </c>
    </row>
    <row r="990" spans="1:4" x14ac:dyDescent="0.25">
      <c r="A990">
        <v>935</v>
      </c>
      <c r="B990">
        <f>B989+IF('Cleaned Data'!L936&gt;0,1,0)*IF($B$34="Overall",1,IF('Cleaned Data'!K936=$B$34,1,0))*(IF('Cleaned Data'!H936&lt;&gt;"",1,0))</f>
        <v>376</v>
      </c>
      <c r="C990" t="e">
        <f>INDEX('Cleaned Data'!H:H,MATCH($A990,$B$56:$B$1919,0))</f>
        <v>#N/A</v>
      </c>
      <c r="D990" t="e">
        <f>INDEX('Cleaned Data'!L:L,MATCH($A990,$B$56:$B$1919,0))</f>
        <v>#N/A</v>
      </c>
    </row>
    <row r="991" spans="1:4" x14ac:dyDescent="0.25">
      <c r="A991">
        <v>936</v>
      </c>
      <c r="B991">
        <f>B990+IF('Cleaned Data'!L937&gt;0,1,0)*IF($B$34="Overall",1,IF('Cleaned Data'!K937=$B$34,1,0))*(IF('Cleaned Data'!H937&lt;&gt;"",1,0))</f>
        <v>377</v>
      </c>
      <c r="C991" t="e">
        <f>INDEX('Cleaned Data'!H:H,MATCH($A991,$B$56:$B$1919,0))</f>
        <v>#N/A</v>
      </c>
      <c r="D991" t="e">
        <f>INDEX('Cleaned Data'!L:L,MATCH($A991,$B$56:$B$1919,0))</f>
        <v>#N/A</v>
      </c>
    </row>
    <row r="992" spans="1:4" x14ac:dyDescent="0.25">
      <c r="A992">
        <v>937</v>
      </c>
      <c r="B992">
        <f>B991+IF('Cleaned Data'!L938&gt;0,1,0)*IF($B$34="Overall",1,IF('Cleaned Data'!K938=$B$34,1,0))*(IF('Cleaned Data'!H938&lt;&gt;"",1,0))</f>
        <v>378</v>
      </c>
      <c r="C992" t="e">
        <f>INDEX('Cleaned Data'!H:H,MATCH($A992,$B$56:$B$1919,0))</f>
        <v>#N/A</v>
      </c>
      <c r="D992" t="e">
        <f>INDEX('Cleaned Data'!L:L,MATCH($A992,$B$56:$B$1919,0))</f>
        <v>#N/A</v>
      </c>
    </row>
    <row r="993" spans="1:4" x14ac:dyDescent="0.25">
      <c r="A993">
        <v>938</v>
      </c>
      <c r="B993">
        <f>B992+IF('Cleaned Data'!L939&gt;0,1,0)*IF($B$34="Overall",1,IF('Cleaned Data'!K939=$B$34,1,0))*(IF('Cleaned Data'!H939&lt;&gt;"",1,0))</f>
        <v>379</v>
      </c>
      <c r="C993" t="e">
        <f>INDEX('Cleaned Data'!H:H,MATCH($A993,$B$56:$B$1919,0))</f>
        <v>#N/A</v>
      </c>
      <c r="D993" t="e">
        <f>INDEX('Cleaned Data'!L:L,MATCH($A993,$B$56:$B$1919,0))</f>
        <v>#N/A</v>
      </c>
    </row>
    <row r="994" spans="1:4" x14ac:dyDescent="0.25">
      <c r="A994">
        <v>939</v>
      </c>
      <c r="B994">
        <f>B993+IF('Cleaned Data'!L940&gt;0,1,0)*IF($B$34="Overall",1,IF('Cleaned Data'!K940=$B$34,1,0))*(IF('Cleaned Data'!H940&lt;&gt;"",1,0))</f>
        <v>380</v>
      </c>
      <c r="C994" t="e">
        <f>INDEX('Cleaned Data'!H:H,MATCH($A994,$B$56:$B$1919,0))</f>
        <v>#N/A</v>
      </c>
      <c r="D994" t="e">
        <f>INDEX('Cleaned Data'!L:L,MATCH($A994,$B$56:$B$1919,0))</f>
        <v>#N/A</v>
      </c>
    </row>
    <row r="995" spans="1:4" x14ac:dyDescent="0.25">
      <c r="A995">
        <v>940</v>
      </c>
      <c r="B995">
        <f>B994+IF('Cleaned Data'!L941&gt;0,1,0)*IF($B$34="Overall",1,IF('Cleaned Data'!K941=$B$34,1,0))*(IF('Cleaned Data'!H941&lt;&gt;"",1,0))</f>
        <v>381</v>
      </c>
      <c r="C995" t="e">
        <f>INDEX('Cleaned Data'!H:H,MATCH($A995,$B$56:$B$1919,0))</f>
        <v>#N/A</v>
      </c>
      <c r="D995" t="e">
        <f>INDEX('Cleaned Data'!L:L,MATCH($A995,$B$56:$B$1919,0))</f>
        <v>#N/A</v>
      </c>
    </row>
    <row r="996" spans="1:4" x14ac:dyDescent="0.25">
      <c r="A996">
        <v>941</v>
      </c>
      <c r="B996">
        <f>B995+IF('Cleaned Data'!L942&gt;0,1,0)*IF($B$34="Overall",1,IF('Cleaned Data'!K942=$B$34,1,0))*(IF('Cleaned Data'!H942&lt;&gt;"",1,0))</f>
        <v>382</v>
      </c>
      <c r="C996" t="e">
        <f>INDEX('Cleaned Data'!H:H,MATCH($A996,$B$56:$B$1919,0))</f>
        <v>#N/A</v>
      </c>
      <c r="D996" t="e">
        <f>INDEX('Cleaned Data'!L:L,MATCH($A996,$B$56:$B$1919,0))</f>
        <v>#N/A</v>
      </c>
    </row>
    <row r="997" spans="1:4" x14ac:dyDescent="0.25">
      <c r="A997">
        <v>942</v>
      </c>
      <c r="B997">
        <f>B996+IF('Cleaned Data'!L943&gt;0,1,0)*IF($B$34="Overall",1,IF('Cleaned Data'!K943=$B$34,1,0))*(IF('Cleaned Data'!H943&lt;&gt;"",1,0))</f>
        <v>383</v>
      </c>
      <c r="C997" t="e">
        <f>INDEX('Cleaned Data'!H:H,MATCH($A997,$B$56:$B$1919,0))</f>
        <v>#N/A</v>
      </c>
      <c r="D997" t="e">
        <f>INDEX('Cleaned Data'!L:L,MATCH($A997,$B$56:$B$1919,0))</f>
        <v>#N/A</v>
      </c>
    </row>
    <row r="998" spans="1:4" x14ac:dyDescent="0.25">
      <c r="A998">
        <v>943</v>
      </c>
      <c r="B998">
        <f>B997+IF('Cleaned Data'!L944&gt;0,1,0)*IF($B$34="Overall",1,IF('Cleaned Data'!K944=$B$34,1,0))*(IF('Cleaned Data'!H944&lt;&gt;"",1,0))</f>
        <v>384</v>
      </c>
      <c r="C998" t="e">
        <f>INDEX('Cleaned Data'!H:H,MATCH($A998,$B$56:$B$1919,0))</f>
        <v>#N/A</v>
      </c>
      <c r="D998" t="e">
        <f>INDEX('Cleaned Data'!L:L,MATCH($A998,$B$56:$B$1919,0))</f>
        <v>#N/A</v>
      </c>
    </row>
    <row r="999" spans="1:4" x14ac:dyDescent="0.25">
      <c r="A999">
        <v>944</v>
      </c>
      <c r="B999">
        <f>B998+IF('Cleaned Data'!L945&gt;0,1,0)*IF($B$34="Overall",1,IF('Cleaned Data'!K945=$B$34,1,0))*(IF('Cleaned Data'!H945&lt;&gt;"",1,0))</f>
        <v>385</v>
      </c>
      <c r="C999" t="e">
        <f>INDEX('Cleaned Data'!H:H,MATCH($A999,$B$56:$B$1919,0))</f>
        <v>#N/A</v>
      </c>
      <c r="D999" t="e">
        <f>INDEX('Cleaned Data'!L:L,MATCH($A999,$B$56:$B$1919,0))</f>
        <v>#N/A</v>
      </c>
    </row>
    <row r="1000" spans="1:4" x14ac:dyDescent="0.25">
      <c r="A1000">
        <v>945</v>
      </c>
      <c r="B1000">
        <f>B999+IF('Cleaned Data'!L946&gt;0,1,0)*IF($B$34="Overall",1,IF('Cleaned Data'!K946=$B$34,1,0))*(IF('Cleaned Data'!H946&lt;&gt;"",1,0))</f>
        <v>386</v>
      </c>
      <c r="C1000" t="e">
        <f>INDEX('Cleaned Data'!H:H,MATCH($A1000,$B$56:$B$1919,0))</f>
        <v>#N/A</v>
      </c>
      <c r="D1000" t="e">
        <f>INDEX('Cleaned Data'!L:L,MATCH($A1000,$B$56:$B$1919,0))</f>
        <v>#N/A</v>
      </c>
    </row>
    <row r="1001" spans="1:4" x14ac:dyDescent="0.25">
      <c r="A1001">
        <v>946</v>
      </c>
      <c r="B1001">
        <f>B1000+IF('Cleaned Data'!L947&gt;0,1,0)*IF($B$34="Overall",1,IF('Cleaned Data'!K947=$B$34,1,0))*(IF('Cleaned Data'!H947&lt;&gt;"",1,0))</f>
        <v>387</v>
      </c>
      <c r="C1001" t="e">
        <f>INDEX('Cleaned Data'!H:H,MATCH($A1001,$B$56:$B$1919,0))</f>
        <v>#N/A</v>
      </c>
      <c r="D1001" t="e">
        <f>INDEX('Cleaned Data'!L:L,MATCH($A1001,$B$56:$B$1919,0))</f>
        <v>#N/A</v>
      </c>
    </row>
    <row r="1002" spans="1:4" x14ac:dyDescent="0.25">
      <c r="A1002">
        <v>947</v>
      </c>
      <c r="B1002">
        <f>B1001+IF('Cleaned Data'!L948&gt;0,1,0)*IF($B$34="Overall",1,IF('Cleaned Data'!K948=$B$34,1,0))*(IF('Cleaned Data'!H948&lt;&gt;"",1,0))</f>
        <v>388</v>
      </c>
      <c r="C1002" t="e">
        <f>INDEX('Cleaned Data'!H:H,MATCH($A1002,$B$56:$B$1919,0))</f>
        <v>#N/A</v>
      </c>
      <c r="D1002" t="e">
        <f>INDEX('Cleaned Data'!L:L,MATCH($A1002,$B$56:$B$1919,0))</f>
        <v>#N/A</v>
      </c>
    </row>
    <row r="1003" spans="1:4" x14ac:dyDescent="0.25">
      <c r="A1003">
        <v>948</v>
      </c>
      <c r="B1003">
        <f>B1002+IF('Cleaned Data'!L949&gt;0,1,0)*IF($B$34="Overall",1,IF('Cleaned Data'!K949=$B$34,1,0))*(IF('Cleaned Data'!H949&lt;&gt;"",1,0))</f>
        <v>389</v>
      </c>
      <c r="C1003" t="e">
        <f>INDEX('Cleaned Data'!H:H,MATCH($A1003,$B$56:$B$1919,0))</f>
        <v>#N/A</v>
      </c>
      <c r="D1003" t="e">
        <f>INDEX('Cleaned Data'!L:L,MATCH($A1003,$B$56:$B$1919,0))</f>
        <v>#N/A</v>
      </c>
    </row>
    <row r="1004" spans="1:4" x14ac:dyDescent="0.25">
      <c r="A1004">
        <v>949</v>
      </c>
      <c r="B1004">
        <f>B1003+IF('Cleaned Data'!L950&gt;0,1,0)*IF($B$34="Overall",1,IF('Cleaned Data'!K950=$B$34,1,0))*(IF('Cleaned Data'!H950&lt;&gt;"",1,0))</f>
        <v>390</v>
      </c>
      <c r="C1004" t="e">
        <f>INDEX('Cleaned Data'!H:H,MATCH($A1004,$B$56:$B$1919,0))</f>
        <v>#N/A</v>
      </c>
      <c r="D1004" t="e">
        <f>INDEX('Cleaned Data'!L:L,MATCH($A1004,$B$56:$B$1919,0))</f>
        <v>#N/A</v>
      </c>
    </row>
    <row r="1005" spans="1:4" x14ac:dyDescent="0.25">
      <c r="A1005">
        <v>950</v>
      </c>
      <c r="B1005">
        <f>B1004+IF('Cleaned Data'!L951&gt;0,1,0)*IF($B$34="Overall",1,IF('Cleaned Data'!K951=$B$34,1,0))*(IF('Cleaned Data'!H951&lt;&gt;"",1,0))</f>
        <v>391</v>
      </c>
      <c r="C1005" t="e">
        <f>INDEX('Cleaned Data'!H:H,MATCH($A1005,$B$56:$B$1919,0))</f>
        <v>#N/A</v>
      </c>
      <c r="D1005" t="e">
        <f>INDEX('Cleaned Data'!L:L,MATCH($A1005,$B$56:$B$1919,0))</f>
        <v>#N/A</v>
      </c>
    </row>
    <row r="1006" spans="1:4" x14ac:dyDescent="0.25">
      <c r="A1006">
        <v>951</v>
      </c>
      <c r="B1006">
        <f>B1005+IF('Cleaned Data'!L952&gt;0,1,0)*IF($B$34="Overall",1,IF('Cleaned Data'!K952=$B$34,1,0))*(IF('Cleaned Data'!H952&lt;&gt;"",1,0))</f>
        <v>392</v>
      </c>
      <c r="C1006" t="e">
        <f>INDEX('Cleaned Data'!H:H,MATCH($A1006,$B$56:$B$1919,0))</f>
        <v>#N/A</v>
      </c>
      <c r="D1006" t="e">
        <f>INDEX('Cleaned Data'!L:L,MATCH($A1006,$B$56:$B$1919,0))</f>
        <v>#N/A</v>
      </c>
    </row>
    <row r="1007" spans="1:4" x14ac:dyDescent="0.25">
      <c r="A1007">
        <v>952</v>
      </c>
      <c r="B1007">
        <f>B1006+IF('Cleaned Data'!L953&gt;0,1,0)*IF($B$34="Overall",1,IF('Cleaned Data'!K953=$B$34,1,0))*(IF('Cleaned Data'!H953&lt;&gt;"",1,0))</f>
        <v>393</v>
      </c>
      <c r="C1007" t="e">
        <f>INDEX('Cleaned Data'!H:H,MATCH($A1007,$B$56:$B$1919,0))</f>
        <v>#N/A</v>
      </c>
      <c r="D1007" t="e">
        <f>INDEX('Cleaned Data'!L:L,MATCH($A1007,$B$56:$B$1919,0))</f>
        <v>#N/A</v>
      </c>
    </row>
    <row r="1008" spans="1:4" x14ac:dyDescent="0.25">
      <c r="A1008">
        <v>953</v>
      </c>
      <c r="B1008">
        <f>B1007+IF('Cleaned Data'!L954&gt;0,1,0)*IF($B$34="Overall",1,IF('Cleaned Data'!K954=$B$34,1,0))*(IF('Cleaned Data'!H954&lt;&gt;"",1,0))</f>
        <v>394</v>
      </c>
      <c r="C1008" t="e">
        <f>INDEX('Cleaned Data'!H:H,MATCH($A1008,$B$56:$B$1919,0))</f>
        <v>#N/A</v>
      </c>
      <c r="D1008" t="e">
        <f>INDEX('Cleaned Data'!L:L,MATCH($A1008,$B$56:$B$1919,0))</f>
        <v>#N/A</v>
      </c>
    </row>
    <row r="1009" spans="1:4" x14ac:dyDescent="0.25">
      <c r="A1009">
        <v>954</v>
      </c>
      <c r="B1009">
        <f>B1008+IF('Cleaned Data'!L955&gt;0,1,0)*IF($B$34="Overall",1,IF('Cleaned Data'!K955=$B$34,1,0))*(IF('Cleaned Data'!H955&lt;&gt;"",1,0))</f>
        <v>395</v>
      </c>
      <c r="C1009" t="e">
        <f>INDEX('Cleaned Data'!H:H,MATCH($A1009,$B$56:$B$1919,0))</f>
        <v>#N/A</v>
      </c>
      <c r="D1009" t="e">
        <f>INDEX('Cleaned Data'!L:L,MATCH($A1009,$B$56:$B$1919,0))</f>
        <v>#N/A</v>
      </c>
    </row>
    <row r="1010" spans="1:4" x14ac:dyDescent="0.25">
      <c r="A1010">
        <v>955</v>
      </c>
      <c r="B1010">
        <f>B1009+IF('Cleaned Data'!L956&gt;0,1,0)*IF($B$34="Overall",1,IF('Cleaned Data'!K956=$B$34,1,0))*(IF('Cleaned Data'!H956&lt;&gt;"",1,0))</f>
        <v>396</v>
      </c>
      <c r="C1010" t="e">
        <f>INDEX('Cleaned Data'!H:H,MATCH($A1010,$B$56:$B$1919,0))</f>
        <v>#N/A</v>
      </c>
      <c r="D1010" t="e">
        <f>INDEX('Cleaned Data'!L:L,MATCH($A1010,$B$56:$B$1919,0))</f>
        <v>#N/A</v>
      </c>
    </row>
    <row r="1011" spans="1:4" x14ac:dyDescent="0.25">
      <c r="A1011">
        <v>956</v>
      </c>
      <c r="B1011">
        <f>B1010+IF('Cleaned Data'!L957&gt;0,1,0)*IF($B$34="Overall",1,IF('Cleaned Data'!K957=$B$34,1,0))*(IF('Cleaned Data'!H957&lt;&gt;"",1,0))</f>
        <v>397</v>
      </c>
      <c r="C1011" t="e">
        <f>INDEX('Cleaned Data'!H:H,MATCH($A1011,$B$56:$B$1919,0))</f>
        <v>#N/A</v>
      </c>
      <c r="D1011" t="e">
        <f>INDEX('Cleaned Data'!L:L,MATCH($A1011,$B$56:$B$1919,0))</f>
        <v>#N/A</v>
      </c>
    </row>
    <row r="1012" spans="1:4" x14ac:dyDescent="0.25">
      <c r="A1012">
        <v>957</v>
      </c>
      <c r="B1012">
        <f>B1011+IF('Cleaned Data'!L958&gt;0,1,0)*IF($B$34="Overall",1,IF('Cleaned Data'!K958=$B$34,1,0))*(IF('Cleaned Data'!H958&lt;&gt;"",1,0))</f>
        <v>398</v>
      </c>
      <c r="C1012" t="e">
        <f>INDEX('Cleaned Data'!H:H,MATCH($A1012,$B$56:$B$1919,0))</f>
        <v>#N/A</v>
      </c>
      <c r="D1012" t="e">
        <f>INDEX('Cleaned Data'!L:L,MATCH($A1012,$B$56:$B$1919,0))</f>
        <v>#N/A</v>
      </c>
    </row>
    <row r="1013" spans="1:4" x14ac:dyDescent="0.25">
      <c r="A1013">
        <v>958</v>
      </c>
      <c r="B1013">
        <f>B1012+IF('Cleaned Data'!L959&gt;0,1,0)*IF($B$34="Overall",1,IF('Cleaned Data'!K959=$B$34,1,0))*(IF('Cleaned Data'!H959&lt;&gt;"",1,0))</f>
        <v>399</v>
      </c>
      <c r="C1013" t="e">
        <f>INDEX('Cleaned Data'!H:H,MATCH($A1013,$B$56:$B$1919,0))</f>
        <v>#N/A</v>
      </c>
      <c r="D1013" t="e">
        <f>INDEX('Cleaned Data'!L:L,MATCH($A1013,$B$56:$B$1919,0))</f>
        <v>#N/A</v>
      </c>
    </row>
    <row r="1014" spans="1:4" x14ac:dyDescent="0.25">
      <c r="A1014">
        <v>959</v>
      </c>
      <c r="B1014">
        <f>B1013+IF('Cleaned Data'!L960&gt;0,1,0)*IF($B$34="Overall",1,IF('Cleaned Data'!K960=$B$34,1,0))*(IF('Cleaned Data'!H960&lt;&gt;"",1,0))</f>
        <v>400</v>
      </c>
      <c r="C1014" t="e">
        <f>INDEX('Cleaned Data'!H:H,MATCH($A1014,$B$56:$B$1919,0))</f>
        <v>#N/A</v>
      </c>
      <c r="D1014" t="e">
        <f>INDEX('Cleaned Data'!L:L,MATCH($A1014,$B$56:$B$1919,0))</f>
        <v>#N/A</v>
      </c>
    </row>
    <row r="1015" spans="1:4" x14ac:dyDescent="0.25">
      <c r="A1015">
        <v>960</v>
      </c>
      <c r="B1015">
        <f>B1014+IF('Cleaned Data'!L961&gt;0,1,0)*IF($B$34="Overall",1,IF('Cleaned Data'!K961=$B$34,1,0))*(IF('Cleaned Data'!H961&lt;&gt;"",1,0))</f>
        <v>401</v>
      </c>
      <c r="C1015" t="e">
        <f>INDEX('Cleaned Data'!H:H,MATCH($A1015,$B$56:$B$1919,0))</f>
        <v>#N/A</v>
      </c>
      <c r="D1015" t="e">
        <f>INDEX('Cleaned Data'!L:L,MATCH($A1015,$B$56:$B$1919,0))</f>
        <v>#N/A</v>
      </c>
    </row>
    <row r="1016" spans="1:4" x14ac:dyDescent="0.25">
      <c r="A1016">
        <v>961</v>
      </c>
      <c r="B1016">
        <f>B1015+IF('Cleaned Data'!L962&gt;0,1,0)*IF($B$34="Overall",1,IF('Cleaned Data'!K962=$B$34,1,0))*(IF('Cleaned Data'!H962&lt;&gt;"",1,0))</f>
        <v>402</v>
      </c>
      <c r="C1016" t="e">
        <f>INDEX('Cleaned Data'!H:H,MATCH($A1016,$B$56:$B$1919,0))</f>
        <v>#N/A</v>
      </c>
      <c r="D1016" t="e">
        <f>INDEX('Cleaned Data'!L:L,MATCH($A1016,$B$56:$B$1919,0))</f>
        <v>#N/A</v>
      </c>
    </row>
    <row r="1017" spans="1:4" x14ac:dyDescent="0.25">
      <c r="A1017">
        <v>962</v>
      </c>
      <c r="B1017">
        <f>B1016+IF('Cleaned Data'!L963&gt;0,1,0)*IF($B$34="Overall",1,IF('Cleaned Data'!K963=$B$34,1,0))*(IF('Cleaned Data'!H963&lt;&gt;"",1,0))</f>
        <v>403</v>
      </c>
      <c r="C1017" t="e">
        <f>INDEX('Cleaned Data'!H:H,MATCH($A1017,$B$56:$B$1919,0))</f>
        <v>#N/A</v>
      </c>
      <c r="D1017" t="e">
        <f>INDEX('Cleaned Data'!L:L,MATCH($A1017,$B$56:$B$1919,0))</f>
        <v>#N/A</v>
      </c>
    </row>
    <row r="1018" spans="1:4" x14ac:dyDescent="0.25">
      <c r="A1018">
        <v>963</v>
      </c>
      <c r="B1018">
        <f>B1017+IF('Cleaned Data'!L964&gt;0,1,0)*IF($B$34="Overall",1,IF('Cleaned Data'!K964=$B$34,1,0))*(IF('Cleaned Data'!H964&lt;&gt;"",1,0))</f>
        <v>404</v>
      </c>
      <c r="C1018" t="e">
        <f>INDEX('Cleaned Data'!H:H,MATCH($A1018,$B$56:$B$1919,0))</f>
        <v>#N/A</v>
      </c>
      <c r="D1018" t="e">
        <f>INDEX('Cleaned Data'!L:L,MATCH($A1018,$B$56:$B$1919,0))</f>
        <v>#N/A</v>
      </c>
    </row>
    <row r="1019" spans="1:4" x14ac:dyDescent="0.25">
      <c r="A1019">
        <v>964</v>
      </c>
      <c r="B1019">
        <f>B1018+IF('Cleaned Data'!L965&gt;0,1,0)*IF($B$34="Overall",1,IF('Cleaned Data'!K965=$B$34,1,0))*(IF('Cleaned Data'!H965&lt;&gt;"",1,0))</f>
        <v>405</v>
      </c>
      <c r="C1019" t="e">
        <f>INDEX('Cleaned Data'!H:H,MATCH($A1019,$B$56:$B$1919,0))</f>
        <v>#N/A</v>
      </c>
      <c r="D1019" t="e">
        <f>INDEX('Cleaned Data'!L:L,MATCH($A1019,$B$56:$B$1919,0))</f>
        <v>#N/A</v>
      </c>
    </row>
    <row r="1020" spans="1:4" x14ac:dyDescent="0.25">
      <c r="A1020">
        <v>965</v>
      </c>
      <c r="B1020">
        <f>B1019+IF('Cleaned Data'!L966&gt;0,1,0)*IF($B$34="Overall",1,IF('Cleaned Data'!K966=$B$34,1,0))*(IF('Cleaned Data'!H966&lt;&gt;"",1,0))</f>
        <v>406</v>
      </c>
      <c r="C1020" t="e">
        <f>INDEX('Cleaned Data'!H:H,MATCH($A1020,$B$56:$B$1919,0))</f>
        <v>#N/A</v>
      </c>
      <c r="D1020" t="e">
        <f>INDEX('Cleaned Data'!L:L,MATCH($A1020,$B$56:$B$1919,0))</f>
        <v>#N/A</v>
      </c>
    </row>
    <row r="1021" spans="1:4" x14ac:dyDescent="0.25">
      <c r="A1021">
        <v>966</v>
      </c>
      <c r="B1021">
        <f>B1020+IF('Cleaned Data'!L967&gt;0,1,0)*IF($B$34="Overall",1,IF('Cleaned Data'!K967=$B$34,1,0))*(IF('Cleaned Data'!H967&lt;&gt;"",1,0))</f>
        <v>407</v>
      </c>
      <c r="C1021" t="e">
        <f>INDEX('Cleaned Data'!H:H,MATCH($A1021,$B$56:$B$1919,0))</f>
        <v>#N/A</v>
      </c>
      <c r="D1021" t="e">
        <f>INDEX('Cleaned Data'!L:L,MATCH($A1021,$B$56:$B$1919,0))</f>
        <v>#N/A</v>
      </c>
    </row>
    <row r="1022" spans="1:4" x14ac:dyDescent="0.25">
      <c r="A1022">
        <v>967</v>
      </c>
      <c r="B1022">
        <f>B1021+IF('Cleaned Data'!L968&gt;0,1,0)*IF($B$34="Overall",1,IF('Cleaned Data'!K968=$B$34,1,0))*(IF('Cleaned Data'!H968&lt;&gt;"",1,0))</f>
        <v>408</v>
      </c>
      <c r="C1022" t="e">
        <f>INDEX('Cleaned Data'!H:H,MATCH($A1022,$B$56:$B$1919,0))</f>
        <v>#N/A</v>
      </c>
      <c r="D1022" t="e">
        <f>INDEX('Cleaned Data'!L:L,MATCH($A1022,$B$56:$B$1919,0))</f>
        <v>#N/A</v>
      </c>
    </row>
    <row r="1023" spans="1:4" x14ac:dyDescent="0.25">
      <c r="A1023">
        <v>968</v>
      </c>
      <c r="B1023">
        <f>B1022+IF('Cleaned Data'!L969&gt;0,1,0)*IF($B$34="Overall",1,IF('Cleaned Data'!K969=$B$34,1,0))*(IF('Cleaned Data'!H969&lt;&gt;"",1,0))</f>
        <v>409</v>
      </c>
      <c r="C1023" t="e">
        <f>INDEX('Cleaned Data'!H:H,MATCH($A1023,$B$56:$B$1919,0))</f>
        <v>#N/A</v>
      </c>
      <c r="D1023" t="e">
        <f>INDEX('Cleaned Data'!L:L,MATCH($A1023,$B$56:$B$1919,0))</f>
        <v>#N/A</v>
      </c>
    </row>
    <row r="1024" spans="1:4" x14ac:dyDescent="0.25">
      <c r="A1024">
        <v>969</v>
      </c>
      <c r="B1024">
        <f>B1023+IF('Cleaned Data'!L970&gt;0,1,0)*IF($B$34="Overall",1,IF('Cleaned Data'!K970=$B$34,1,0))*(IF('Cleaned Data'!H970&lt;&gt;"",1,0))</f>
        <v>410</v>
      </c>
      <c r="C1024" t="e">
        <f>INDEX('Cleaned Data'!H:H,MATCH($A1024,$B$56:$B$1919,0))</f>
        <v>#N/A</v>
      </c>
      <c r="D1024" t="e">
        <f>INDEX('Cleaned Data'!L:L,MATCH($A1024,$B$56:$B$1919,0))</f>
        <v>#N/A</v>
      </c>
    </row>
    <row r="1025" spans="1:4" x14ac:dyDescent="0.25">
      <c r="A1025">
        <v>970</v>
      </c>
      <c r="B1025">
        <f>B1024+IF('Cleaned Data'!L971&gt;0,1,0)*IF($B$34="Overall",1,IF('Cleaned Data'!K971=$B$34,1,0))*(IF('Cleaned Data'!H971&lt;&gt;"",1,0))</f>
        <v>411</v>
      </c>
      <c r="C1025" t="e">
        <f>INDEX('Cleaned Data'!H:H,MATCH($A1025,$B$56:$B$1919,0))</f>
        <v>#N/A</v>
      </c>
      <c r="D1025" t="e">
        <f>INDEX('Cleaned Data'!L:L,MATCH($A1025,$B$56:$B$1919,0))</f>
        <v>#N/A</v>
      </c>
    </row>
    <row r="1026" spans="1:4" x14ac:dyDescent="0.25">
      <c r="A1026">
        <v>971</v>
      </c>
      <c r="B1026">
        <f>B1025+IF('Cleaned Data'!L972&gt;0,1,0)*IF($B$34="Overall",1,IF('Cleaned Data'!K972=$B$34,1,0))*(IF('Cleaned Data'!H972&lt;&gt;"",1,0))</f>
        <v>412</v>
      </c>
      <c r="C1026" t="e">
        <f>INDEX('Cleaned Data'!H:H,MATCH($A1026,$B$56:$B$1919,0))</f>
        <v>#N/A</v>
      </c>
      <c r="D1026" t="e">
        <f>INDEX('Cleaned Data'!L:L,MATCH($A1026,$B$56:$B$1919,0))</f>
        <v>#N/A</v>
      </c>
    </row>
    <row r="1027" spans="1:4" x14ac:dyDescent="0.25">
      <c r="A1027">
        <v>972</v>
      </c>
      <c r="B1027">
        <f>B1026+IF('Cleaned Data'!L973&gt;0,1,0)*IF($B$34="Overall",1,IF('Cleaned Data'!K973=$B$34,1,0))*(IF('Cleaned Data'!H973&lt;&gt;"",1,0))</f>
        <v>413</v>
      </c>
      <c r="C1027" t="e">
        <f>INDEX('Cleaned Data'!H:H,MATCH($A1027,$B$56:$B$1919,0))</f>
        <v>#N/A</v>
      </c>
      <c r="D1027" t="e">
        <f>INDEX('Cleaned Data'!L:L,MATCH($A1027,$B$56:$B$1919,0))</f>
        <v>#N/A</v>
      </c>
    </row>
    <row r="1028" spans="1:4" x14ac:dyDescent="0.25">
      <c r="A1028">
        <v>973</v>
      </c>
      <c r="B1028">
        <f>B1027+IF('Cleaned Data'!L974&gt;0,1,0)*IF($B$34="Overall",1,IF('Cleaned Data'!K974=$B$34,1,0))*(IF('Cleaned Data'!H974&lt;&gt;"",1,0))</f>
        <v>414</v>
      </c>
      <c r="C1028" t="e">
        <f>INDEX('Cleaned Data'!H:H,MATCH($A1028,$B$56:$B$1919,0))</f>
        <v>#N/A</v>
      </c>
      <c r="D1028" t="e">
        <f>INDEX('Cleaned Data'!L:L,MATCH($A1028,$B$56:$B$1919,0))</f>
        <v>#N/A</v>
      </c>
    </row>
    <row r="1029" spans="1:4" x14ac:dyDescent="0.25">
      <c r="A1029">
        <v>974</v>
      </c>
      <c r="B1029">
        <f>B1028+IF('Cleaned Data'!L975&gt;0,1,0)*IF($B$34="Overall",1,IF('Cleaned Data'!K975=$B$34,1,0))*(IF('Cleaned Data'!H975&lt;&gt;"",1,0))</f>
        <v>415</v>
      </c>
      <c r="C1029" t="e">
        <f>INDEX('Cleaned Data'!H:H,MATCH($A1029,$B$56:$B$1919,0))</f>
        <v>#N/A</v>
      </c>
      <c r="D1029" t="e">
        <f>INDEX('Cleaned Data'!L:L,MATCH($A1029,$B$56:$B$1919,0))</f>
        <v>#N/A</v>
      </c>
    </row>
    <row r="1030" spans="1:4" x14ac:dyDescent="0.25">
      <c r="A1030">
        <v>975</v>
      </c>
      <c r="B1030">
        <f>B1029+IF('Cleaned Data'!L976&gt;0,1,0)*IF($B$34="Overall",1,IF('Cleaned Data'!K976=$B$34,1,0))*(IF('Cleaned Data'!H976&lt;&gt;"",1,0))</f>
        <v>416</v>
      </c>
      <c r="C1030" t="e">
        <f>INDEX('Cleaned Data'!H:H,MATCH($A1030,$B$56:$B$1919,0))</f>
        <v>#N/A</v>
      </c>
      <c r="D1030" t="e">
        <f>INDEX('Cleaned Data'!L:L,MATCH($A1030,$B$56:$B$1919,0))</f>
        <v>#N/A</v>
      </c>
    </row>
    <row r="1031" spans="1:4" x14ac:dyDescent="0.25">
      <c r="A1031">
        <v>976</v>
      </c>
      <c r="B1031">
        <f>B1030+IF('Cleaned Data'!L977&gt;0,1,0)*IF($B$34="Overall",1,IF('Cleaned Data'!K977=$B$34,1,0))*(IF('Cleaned Data'!H977&lt;&gt;"",1,0))</f>
        <v>417</v>
      </c>
      <c r="C1031" t="e">
        <f>INDEX('Cleaned Data'!H:H,MATCH($A1031,$B$56:$B$1919,0))</f>
        <v>#N/A</v>
      </c>
      <c r="D1031" t="e">
        <f>INDEX('Cleaned Data'!L:L,MATCH($A1031,$B$56:$B$1919,0))</f>
        <v>#N/A</v>
      </c>
    </row>
    <row r="1032" spans="1:4" x14ac:dyDescent="0.25">
      <c r="A1032">
        <v>977</v>
      </c>
      <c r="B1032">
        <f>B1031+IF('Cleaned Data'!L978&gt;0,1,0)*IF($B$34="Overall",1,IF('Cleaned Data'!K978=$B$34,1,0))*(IF('Cleaned Data'!H978&lt;&gt;"",1,0))</f>
        <v>418</v>
      </c>
      <c r="C1032" t="e">
        <f>INDEX('Cleaned Data'!H:H,MATCH($A1032,$B$56:$B$1919,0))</f>
        <v>#N/A</v>
      </c>
      <c r="D1032" t="e">
        <f>INDEX('Cleaned Data'!L:L,MATCH($A1032,$B$56:$B$1919,0))</f>
        <v>#N/A</v>
      </c>
    </row>
    <row r="1033" spans="1:4" x14ac:dyDescent="0.25">
      <c r="A1033">
        <v>978</v>
      </c>
      <c r="B1033">
        <f>B1032+IF('Cleaned Data'!L979&gt;0,1,0)*IF($B$34="Overall",1,IF('Cleaned Data'!K979=$B$34,1,0))*(IF('Cleaned Data'!H979&lt;&gt;"",1,0))</f>
        <v>419</v>
      </c>
      <c r="C1033" t="e">
        <f>INDEX('Cleaned Data'!H:H,MATCH($A1033,$B$56:$B$1919,0))</f>
        <v>#N/A</v>
      </c>
      <c r="D1033" t="e">
        <f>INDEX('Cleaned Data'!L:L,MATCH($A1033,$B$56:$B$1919,0))</f>
        <v>#N/A</v>
      </c>
    </row>
    <row r="1034" spans="1:4" x14ac:dyDescent="0.25">
      <c r="A1034">
        <v>979</v>
      </c>
      <c r="B1034">
        <f>B1033+IF('Cleaned Data'!L980&gt;0,1,0)*IF($B$34="Overall",1,IF('Cleaned Data'!K980=$B$34,1,0))*(IF('Cleaned Data'!H980&lt;&gt;"",1,0))</f>
        <v>420</v>
      </c>
      <c r="C1034" t="e">
        <f>INDEX('Cleaned Data'!H:H,MATCH($A1034,$B$56:$B$1919,0))</f>
        <v>#N/A</v>
      </c>
      <c r="D1034" t="e">
        <f>INDEX('Cleaned Data'!L:L,MATCH($A1034,$B$56:$B$1919,0))</f>
        <v>#N/A</v>
      </c>
    </row>
    <row r="1035" spans="1:4" x14ac:dyDescent="0.25">
      <c r="A1035">
        <v>980</v>
      </c>
      <c r="B1035">
        <f>B1034+IF('Cleaned Data'!L981&gt;0,1,0)*IF($B$34="Overall",1,IF('Cleaned Data'!K981=$B$34,1,0))*(IF('Cleaned Data'!H981&lt;&gt;"",1,0))</f>
        <v>421</v>
      </c>
      <c r="C1035" t="e">
        <f>INDEX('Cleaned Data'!H:H,MATCH($A1035,$B$56:$B$1919,0))</f>
        <v>#N/A</v>
      </c>
      <c r="D1035" t="e">
        <f>INDEX('Cleaned Data'!L:L,MATCH($A1035,$B$56:$B$1919,0))</f>
        <v>#N/A</v>
      </c>
    </row>
    <row r="1036" spans="1:4" x14ac:dyDescent="0.25">
      <c r="A1036">
        <v>981</v>
      </c>
      <c r="B1036">
        <f>B1035+IF('Cleaned Data'!L982&gt;0,1,0)*IF($B$34="Overall",1,IF('Cleaned Data'!K982=$B$34,1,0))*(IF('Cleaned Data'!H982&lt;&gt;"",1,0))</f>
        <v>422</v>
      </c>
      <c r="C1036" t="e">
        <f>INDEX('Cleaned Data'!H:H,MATCH($A1036,$B$56:$B$1919,0))</f>
        <v>#N/A</v>
      </c>
      <c r="D1036" t="e">
        <f>INDEX('Cleaned Data'!L:L,MATCH($A1036,$B$56:$B$1919,0))</f>
        <v>#N/A</v>
      </c>
    </row>
    <row r="1037" spans="1:4" x14ac:dyDescent="0.25">
      <c r="A1037">
        <v>982</v>
      </c>
      <c r="B1037">
        <f>B1036+IF('Cleaned Data'!L983&gt;0,1,0)*IF($B$34="Overall",1,IF('Cleaned Data'!K983=$B$34,1,0))*(IF('Cleaned Data'!H983&lt;&gt;"",1,0))</f>
        <v>423</v>
      </c>
      <c r="C1037" t="e">
        <f>INDEX('Cleaned Data'!H:H,MATCH($A1037,$B$56:$B$1919,0))</f>
        <v>#N/A</v>
      </c>
      <c r="D1037" t="e">
        <f>INDEX('Cleaned Data'!L:L,MATCH($A1037,$B$56:$B$1919,0))</f>
        <v>#N/A</v>
      </c>
    </row>
    <row r="1038" spans="1:4" x14ac:dyDescent="0.25">
      <c r="A1038">
        <v>983</v>
      </c>
      <c r="B1038">
        <f>B1037+IF('Cleaned Data'!L984&gt;0,1,0)*IF($B$34="Overall",1,IF('Cleaned Data'!K984=$B$34,1,0))*(IF('Cleaned Data'!H984&lt;&gt;"",1,0))</f>
        <v>424</v>
      </c>
      <c r="C1038" t="e">
        <f>INDEX('Cleaned Data'!H:H,MATCH($A1038,$B$56:$B$1919,0))</f>
        <v>#N/A</v>
      </c>
      <c r="D1038" t="e">
        <f>INDEX('Cleaned Data'!L:L,MATCH($A1038,$B$56:$B$1919,0))</f>
        <v>#N/A</v>
      </c>
    </row>
    <row r="1039" spans="1:4" x14ac:dyDescent="0.25">
      <c r="A1039">
        <v>984</v>
      </c>
      <c r="B1039">
        <f>B1038+IF('Cleaned Data'!L985&gt;0,1,0)*IF($B$34="Overall",1,IF('Cleaned Data'!K985=$B$34,1,0))*(IF('Cleaned Data'!H985&lt;&gt;"",1,0))</f>
        <v>425</v>
      </c>
      <c r="C1039" t="e">
        <f>INDEX('Cleaned Data'!H:H,MATCH($A1039,$B$56:$B$1919,0))</f>
        <v>#N/A</v>
      </c>
      <c r="D1039" t="e">
        <f>INDEX('Cleaned Data'!L:L,MATCH($A1039,$B$56:$B$1919,0))</f>
        <v>#N/A</v>
      </c>
    </row>
    <row r="1040" spans="1:4" x14ac:dyDescent="0.25">
      <c r="A1040">
        <v>985</v>
      </c>
      <c r="B1040">
        <f>B1039+IF('Cleaned Data'!L986&gt;0,1,0)*IF($B$34="Overall",1,IF('Cleaned Data'!K986=$B$34,1,0))*(IF('Cleaned Data'!H986&lt;&gt;"",1,0))</f>
        <v>426</v>
      </c>
      <c r="C1040" t="e">
        <f>INDEX('Cleaned Data'!H:H,MATCH($A1040,$B$56:$B$1919,0))</f>
        <v>#N/A</v>
      </c>
      <c r="D1040" t="e">
        <f>INDEX('Cleaned Data'!L:L,MATCH($A1040,$B$56:$B$1919,0))</f>
        <v>#N/A</v>
      </c>
    </row>
    <row r="1041" spans="1:4" x14ac:dyDescent="0.25">
      <c r="A1041">
        <v>986</v>
      </c>
      <c r="B1041">
        <f>B1040+IF('Cleaned Data'!L987&gt;0,1,0)*IF($B$34="Overall",1,IF('Cleaned Data'!K987=$B$34,1,0))*(IF('Cleaned Data'!H987&lt;&gt;"",1,0))</f>
        <v>427</v>
      </c>
      <c r="C1041" t="e">
        <f>INDEX('Cleaned Data'!H:H,MATCH($A1041,$B$56:$B$1919,0))</f>
        <v>#N/A</v>
      </c>
      <c r="D1041" t="e">
        <f>INDEX('Cleaned Data'!L:L,MATCH($A1041,$B$56:$B$1919,0))</f>
        <v>#N/A</v>
      </c>
    </row>
    <row r="1042" spans="1:4" x14ac:dyDescent="0.25">
      <c r="A1042">
        <v>987</v>
      </c>
      <c r="B1042">
        <f>B1041+IF('Cleaned Data'!L988&gt;0,1,0)*IF($B$34="Overall",1,IF('Cleaned Data'!K988=$B$34,1,0))*(IF('Cleaned Data'!H988&lt;&gt;"",1,0))</f>
        <v>428</v>
      </c>
      <c r="C1042" t="e">
        <f>INDEX('Cleaned Data'!H:H,MATCH($A1042,$B$56:$B$1919,0))</f>
        <v>#N/A</v>
      </c>
      <c r="D1042" t="e">
        <f>INDEX('Cleaned Data'!L:L,MATCH($A1042,$B$56:$B$1919,0))</f>
        <v>#N/A</v>
      </c>
    </row>
    <row r="1043" spans="1:4" x14ac:dyDescent="0.25">
      <c r="A1043">
        <v>988</v>
      </c>
      <c r="B1043">
        <f>B1042+IF('Cleaned Data'!L989&gt;0,1,0)*IF($B$34="Overall",1,IF('Cleaned Data'!K989=$B$34,1,0))*(IF('Cleaned Data'!H989&lt;&gt;"",1,0))</f>
        <v>429</v>
      </c>
      <c r="C1043" t="e">
        <f>INDEX('Cleaned Data'!H:H,MATCH($A1043,$B$56:$B$1919,0))</f>
        <v>#N/A</v>
      </c>
      <c r="D1043" t="e">
        <f>INDEX('Cleaned Data'!L:L,MATCH($A1043,$B$56:$B$1919,0))</f>
        <v>#N/A</v>
      </c>
    </row>
    <row r="1044" spans="1:4" x14ac:dyDescent="0.25">
      <c r="A1044">
        <v>989</v>
      </c>
      <c r="B1044">
        <f>B1043+IF('Cleaned Data'!L990&gt;0,1,0)*IF($B$34="Overall",1,IF('Cleaned Data'!K990=$B$34,1,0))*(IF('Cleaned Data'!H990&lt;&gt;"",1,0))</f>
        <v>430</v>
      </c>
      <c r="C1044" t="e">
        <f>INDEX('Cleaned Data'!H:H,MATCH($A1044,$B$56:$B$1919,0))</f>
        <v>#N/A</v>
      </c>
      <c r="D1044" t="e">
        <f>INDEX('Cleaned Data'!L:L,MATCH($A1044,$B$56:$B$1919,0))</f>
        <v>#N/A</v>
      </c>
    </row>
    <row r="1045" spans="1:4" x14ac:dyDescent="0.25">
      <c r="A1045">
        <v>990</v>
      </c>
      <c r="B1045">
        <f>B1044+IF('Cleaned Data'!L991&gt;0,1,0)*IF($B$34="Overall",1,IF('Cleaned Data'!K991=$B$34,1,0))*(IF('Cleaned Data'!H991&lt;&gt;"",1,0))</f>
        <v>431</v>
      </c>
      <c r="C1045" t="e">
        <f>INDEX('Cleaned Data'!H:H,MATCH($A1045,$B$56:$B$1919,0))</f>
        <v>#N/A</v>
      </c>
      <c r="D1045" t="e">
        <f>INDEX('Cleaned Data'!L:L,MATCH($A1045,$B$56:$B$1919,0))</f>
        <v>#N/A</v>
      </c>
    </row>
    <row r="1046" spans="1:4" x14ac:dyDescent="0.25">
      <c r="A1046">
        <v>991</v>
      </c>
      <c r="B1046">
        <f>B1045+IF('Cleaned Data'!L992&gt;0,1,0)*IF($B$34="Overall",1,IF('Cleaned Data'!K992=$B$34,1,0))*(IF('Cleaned Data'!H992&lt;&gt;"",1,0))</f>
        <v>432</v>
      </c>
      <c r="C1046" t="e">
        <f>INDEX('Cleaned Data'!H:H,MATCH($A1046,$B$56:$B$1919,0))</f>
        <v>#N/A</v>
      </c>
      <c r="D1046" t="e">
        <f>INDEX('Cleaned Data'!L:L,MATCH($A1046,$B$56:$B$1919,0))</f>
        <v>#N/A</v>
      </c>
    </row>
    <row r="1047" spans="1:4" x14ac:dyDescent="0.25">
      <c r="A1047">
        <v>992</v>
      </c>
      <c r="B1047">
        <f>B1046+IF('Cleaned Data'!L993&gt;0,1,0)*IF($B$34="Overall",1,IF('Cleaned Data'!K993=$B$34,1,0))*(IF('Cleaned Data'!H993&lt;&gt;"",1,0))</f>
        <v>433</v>
      </c>
      <c r="C1047" t="e">
        <f>INDEX('Cleaned Data'!H:H,MATCH($A1047,$B$56:$B$1919,0))</f>
        <v>#N/A</v>
      </c>
      <c r="D1047" t="e">
        <f>INDEX('Cleaned Data'!L:L,MATCH($A1047,$B$56:$B$1919,0))</f>
        <v>#N/A</v>
      </c>
    </row>
    <row r="1048" spans="1:4" x14ac:dyDescent="0.25">
      <c r="A1048">
        <v>993</v>
      </c>
      <c r="B1048">
        <f>B1047+IF('Cleaned Data'!L994&gt;0,1,0)*IF($B$34="Overall",1,IF('Cleaned Data'!K994=$B$34,1,0))*(IF('Cleaned Data'!H994&lt;&gt;"",1,0))</f>
        <v>434</v>
      </c>
      <c r="C1048" t="e">
        <f>INDEX('Cleaned Data'!H:H,MATCH($A1048,$B$56:$B$1919,0))</f>
        <v>#N/A</v>
      </c>
      <c r="D1048" t="e">
        <f>INDEX('Cleaned Data'!L:L,MATCH($A1048,$B$56:$B$1919,0))</f>
        <v>#N/A</v>
      </c>
    </row>
    <row r="1049" spans="1:4" x14ac:dyDescent="0.25">
      <c r="A1049">
        <v>994</v>
      </c>
      <c r="B1049">
        <f>B1048+IF('Cleaned Data'!L995&gt;0,1,0)*IF($B$34="Overall",1,IF('Cleaned Data'!K995=$B$34,1,0))*(IF('Cleaned Data'!H995&lt;&gt;"",1,0))</f>
        <v>435</v>
      </c>
      <c r="C1049" t="e">
        <f>INDEX('Cleaned Data'!H:H,MATCH($A1049,$B$56:$B$1919,0))</f>
        <v>#N/A</v>
      </c>
      <c r="D1049" t="e">
        <f>INDEX('Cleaned Data'!L:L,MATCH($A1049,$B$56:$B$1919,0))</f>
        <v>#N/A</v>
      </c>
    </row>
    <row r="1050" spans="1:4" x14ac:dyDescent="0.25">
      <c r="A1050">
        <v>995</v>
      </c>
      <c r="B1050">
        <f>B1049+IF('Cleaned Data'!L996&gt;0,1,0)*IF($B$34="Overall",1,IF('Cleaned Data'!K996=$B$34,1,0))*(IF('Cleaned Data'!H996&lt;&gt;"",1,0))</f>
        <v>436</v>
      </c>
      <c r="C1050" t="e">
        <f>INDEX('Cleaned Data'!H:H,MATCH($A1050,$B$56:$B$1919,0))</f>
        <v>#N/A</v>
      </c>
      <c r="D1050" t="e">
        <f>INDEX('Cleaned Data'!L:L,MATCH($A1050,$B$56:$B$1919,0))</f>
        <v>#N/A</v>
      </c>
    </row>
    <row r="1051" spans="1:4" x14ac:dyDescent="0.25">
      <c r="A1051">
        <v>996</v>
      </c>
      <c r="B1051">
        <f>B1050+IF('Cleaned Data'!L997&gt;0,1,0)*IF($B$34="Overall",1,IF('Cleaned Data'!K997=$B$34,1,0))*(IF('Cleaned Data'!H997&lt;&gt;"",1,0))</f>
        <v>437</v>
      </c>
      <c r="C1051" t="e">
        <f>INDEX('Cleaned Data'!H:H,MATCH($A1051,$B$56:$B$1919,0))</f>
        <v>#N/A</v>
      </c>
      <c r="D1051" t="e">
        <f>INDEX('Cleaned Data'!L:L,MATCH($A1051,$B$56:$B$1919,0))</f>
        <v>#N/A</v>
      </c>
    </row>
    <row r="1052" spans="1:4" x14ac:dyDescent="0.25">
      <c r="A1052">
        <v>997</v>
      </c>
      <c r="B1052">
        <f>B1051+IF('Cleaned Data'!L998&gt;0,1,0)*IF($B$34="Overall",1,IF('Cleaned Data'!K998=$B$34,1,0))*(IF('Cleaned Data'!H998&lt;&gt;"",1,0))</f>
        <v>438</v>
      </c>
      <c r="C1052" t="e">
        <f>INDEX('Cleaned Data'!H:H,MATCH($A1052,$B$56:$B$1919,0))</f>
        <v>#N/A</v>
      </c>
      <c r="D1052" t="e">
        <f>INDEX('Cleaned Data'!L:L,MATCH($A1052,$B$56:$B$1919,0))</f>
        <v>#N/A</v>
      </c>
    </row>
    <row r="1053" spans="1:4" x14ac:dyDescent="0.25">
      <c r="A1053">
        <v>998</v>
      </c>
      <c r="B1053">
        <f>B1052+IF('Cleaned Data'!L999&gt;0,1,0)*IF($B$34="Overall",1,IF('Cleaned Data'!K999=$B$34,1,0))*(IF('Cleaned Data'!H999&lt;&gt;"",1,0))</f>
        <v>439</v>
      </c>
      <c r="C1053" t="e">
        <f>INDEX('Cleaned Data'!H:H,MATCH($A1053,$B$56:$B$1919,0))</f>
        <v>#N/A</v>
      </c>
      <c r="D1053" t="e">
        <f>INDEX('Cleaned Data'!L:L,MATCH($A1053,$B$56:$B$1919,0))</f>
        <v>#N/A</v>
      </c>
    </row>
    <row r="1054" spans="1:4" x14ac:dyDescent="0.25">
      <c r="A1054">
        <v>999</v>
      </c>
      <c r="B1054">
        <f>B1053+IF('Cleaned Data'!L1000&gt;0,1,0)*IF($B$34="Overall",1,IF('Cleaned Data'!K1000=$B$34,1,0))*(IF('Cleaned Data'!H1000&lt;&gt;"",1,0))</f>
        <v>440</v>
      </c>
      <c r="C1054" t="e">
        <f>INDEX('Cleaned Data'!H:H,MATCH($A1054,$B$56:$B$1919,0))</f>
        <v>#N/A</v>
      </c>
      <c r="D1054" t="e">
        <f>INDEX('Cleaned Data'!L:L,MATCH($A1054,$B$56:$B$1919,0))</f>
        <v>#N/A</v>
      </c>
    </row>
    <row r="1055" spans="1:4" x14ac:dyDescent="0.25">
      <c r="A1055">
        <v>1000</v>
      </c>
      <c r="B1055">
        <f>B1054+IF('Cleaned Data'!L1001&gt;0,1,0)*IF($B$34="Overall",1,IF('Cleaned Data'!K1001=$B$34,1,0))*(IF('Cleaned Data'!H1001&lt;&gt;"",1,0))</f>
        <v>441</v>
      </c>
      <c r="C1055" t="e">
        <f>INDEX('Cleaned Data'!H:H,MATCH($A1055,$B$56:$B$1919,0))</f>
        <v>#N/A</v>
      </c>
      <c r="D1055" t="e">
        <f>INDEX('Cleaned Data'!L:L,MATCH($A1055,$B$56:$B$1919,0))</f>
        <v>#N/A</v>
      </c>
    </row>
    <row r="1056" spans="1:4" x14ac:dyDescent="0.25">
      <c r="A1056">
        <v>1001</v>
      </c>
      <c r="B1056">
        <f>B1055+IF('Cleaned Data'!L1002&gt;0,1,0)*IF($B$34="Overall",1,IF('Cleaned Data'!K1002=$B$34,1,0))*(IF('Cleaned Data'!H1002&lt;&gt;"",1,0))</f>
        <v>442</v>
      </c>
      <c r="C1056" t="e">
        <f>INDEX('Cleaned Data'!H:H,MATCH($A1056,$B$56:$B$1919,0))</f>
        <v>#N/A</v>
      </c>
      <c r="D1056" t="e">
        <f>INDEX('Cleaned Data'!L:L,MATCH($A1056,$B$56:$B$1919,0))</f>
        <v>#N/A</v>
      </c>
    </row>
    <row r="1057" spans="1:4" x14ac:dyDescent="0.25">
      <c r="A1057">
        <v>1002</v>
      </c>
      <c r="B1057">
        <f>B1056+IF('Cleaned Data'!L1003&gt;0,1,0)*IF($B$34="Overall",1,IF('Cleaned Data'!K1003=$B$34,1,0))*(IF('Cleaned Data'!H1003&lt;&gt;"",1,0))</f>
        <v>443</v>
      </c>
      <c r="C1057" t="e">
        <f>INDEX('Cleaned Data'!H:H,MATCH($A1057,$B$56:$B$1919,0))</f>
        <v>#N/A</v>
      </c>
      <c r="D1057" t="e">
        <f>INDEX('Cleaned Data'!L:L,MATCH($A1057,$B$56:$B$1919,0))</f>
        <v>#N/A</v>
      </c>
    </row>
    <row r="1058" spans="1:4" x14ac:dyDescent="0.25">
      <c r="A1058">
        <v>1003</v>
      </c>
      <c r="B1058">
        <f>B1057+IF('Cleaned Data'!L1004&gt;0,1,0)*IF($B$34="Overall",1,IF('Cleaned Data'!K1004=$B$34,1,0))*(IF('Cleaned Data'!H1004&lt;&gt;"",1,0))</f>
        <v>444</v>
      </c>
      <c r="C1058" t="e">
        <f>INDEX('Cleaned Data'!H:H,MATCH($A1058,$B$56:$B$1919,0))</f>
        <v>#N/A</v>
      </c>
      <c r="D1058" t="e">
        <f>INDEX('Cleaned Data'!L:L,MATCH($A1058,$B$56:$B$1919,0))</f>
        <v>#N/A</v>
      </c>
    </row>
    <row r="1059" spans="1:4" x14ac:dyDescent="0.25">
      <c r="A1059">
        <v>1004</v>
      </c>
      <c r="B1059">
        <f>B1058+IF('Cleaned Data'!L1005&gt;0,1,0)*IF($B$34="Overall",1,IF('Cleaned Data'!K1005=$B$34,1,0))*(IF('Cleaned Data'!H1005&lt;&gt;"",1,0))</f>
        <v>445</v>
      </c>
      <c r="C1059" t="e">
        <f>INDEX('Cleaned Data'!H:H,MATCH($A1059,$B$56:$B$1919,0))</f>
        <v>#N/A</v>
      </c>
      <c r="D1059" t="e">
        <f>INDEX('Cleaned Data'!L:L,MATCH($A1059,$B$56:$B$1919,0))</f>
        <v>#N/A</v>
      </c>
    </row>
    <row r="1060" spans="1:4" x14ac:dyDescent="0.25">
      <c r="A1060">
        <v>1005</v>
      </c>
      <c r="B1060">
        <f>B1059+IF('Cleaned Data'!L1006&gt;0,1,0)*IF($B$34="Overall",1,IF('Cleaned Data'!K1006=$B$34,1,0))*(IF('Cleaned Data'!H1006&lt;&gt;"",1,0))</f>
        <v>446</v>
      </c>
      <c r="C1060" t="e">
        <f>INDEX('Cleaned Data'!H:H,MATCH($A1060,$B$56:$B$1919,0))</f>
        <v>#N/A</v>
      </c>
      <c r="D1060" t="e">
        <f>INDEX('Cleaned Data'!L:L,MATCH($A1060,$B$56:$B$1919,0))</f>
        <v>#N/A</v>
      </c>
    </row>
    <row r="1061" spans="1:4" x14ac:dyDescent="0.25">
      <c r="A1061">
        <v>1006</v>
      </c>
      <c r="B1061">
        <f>B1060+IF('Cleaned Data'!L1007&gt;0,1,0)*IF($B$34="Overall",1,IF('Cleaned Data'!K1007=$B$34,1,0))*(IF('Cleaned Data'!H1007&lt;&gt;"",1,0))</f>
        <v>447</v>
      </c>
      <c r="C1061" t="e">
        <f>INDEX('Cleaned Data'!H:H,MATCH($A1061,$B$56:$B$1919,0))</f>
        <v>#N/A</v>
      </c>
      <c r="D1061" t="e">
        <f>INDEX('Cleaned Data'!L:L,MATCH($A1061,$B$56:$B$1919,0))</f>
        <v>#N/A</v>
      </c>
    </row>
    <row r="1062" spans="1:4" x14ac:dyDescent="0.25">
      <c r="A1062">
        <v>1007</v>
      </c>
      <c r="B1062">
        <f>B1061+IF('Cleaned Data'!L1008&gt;0,1,0)*IF($B$34="Overall",1,IF('Cleaned Data'!K1008=$B$34,1,0))*(IF('Cleaned Data'!H1008&lt;&gt;"",1,0))</f>
        <v>448</v>
      </c>
      <c r="C1062" t="e">
        <f>INDEX('Cleaned Data'!H:H,MATCH($A1062,$B$56:$B$1919,0))</f>
        <v>#N/A</v>
      </c>
      <c r="D1062" t="e">
        <f>INDEX('Cleaned Data'!L:L,MATCH($A1062,$B$56:$B$1919,0))</f>
        <v>#N/A</v>
      </c>
    </row>
    <row r="1063" spans="1:4" x14ac:dyDescent="0.25">
      <c r="A1063">
        <v>1008</v>
      </c>
      <c r="B1063">
        <f>B1062+IF('Cleaned Data'!L1009&gt;0,1,0)*IF($B$34="Overall",1,IF('Cleaned Data'!K1009=$B$34,1,0))*(IF('Cleaned Data'!H1009&lt;&gt;"",1,0))</f>
        <v>449</v>
      </c>
      <c r="C1063" t="e">
        <f>INDEX('Cleaned Data'!H:H,MATCH($A1063,$B$56:$B$1919,0))</f>
        <v>#N/A</v>
      </c>
      <c r="D1063" t="e">
        <f>INDEX('Cleaned Data'!L:L,MATCH($A1063,$B$56:$B$1919,0))</f>
        <v>#N/A</v>
      </c>
    </row>
    <row r="1064" spans="1:4" x14ac:dyDescent="0.25">
      <c r="A1064">
        <v>1009</v>
      </c>
      <c r="B1064">
        <f>B1063+IF('Cleaned Data'!L1010&gt;0,1,0)*IF($B$34="Overall",1,IF('Cleaned Data'!K1010=$B$34,1,0))*(IF('Cleaned Data'!H1010&lt;&gt;"",1,0))</f>
        <v>450</v>
      </c>
      <c r="C1064" t="e">
        <f>INDEX('Cleaned Data'!H:H,MATCH($A1064,$B$56:$B$1919,0))</f>
        <v>#N/A</v>
      </c>
      <c r="D1064" t="e">
        <f>INDEX('Cleaned Data'!L:L,MATCH($A1064,$B$56:$B$1919,0))</f>
        <v>#N/A</v>
      </c>
    </row>
    <row r="1065" spans="1:4" x14ac:dyDescent="0.25">
      <c r="A1065">
        <v>1010</v>
      </c>
      <c r="B1065">
        <f>B1064+IF('Cleaned Data'!L1011&gt;0,1,0)*IF($B$34="Overall",1,IF('Cleaned Data'!K1011=$B$34,1,0))*(IF('Cleaned Data'!H1011&lt;&gt;"",1,0))</f>
        <v>451</v>
      </c>
      <c r="C1065" t="e">
        <f>INDEX('Cleaned Data'!H:H,MATCH($A1065,$B$56:$B$1919,0))</f>
        <v>#N/A</v>
      </c>
      <c r="D1065" t="e">
        <f>INDEX('Cleaned Data'!L:L,MATCH($A1065,$B$56:$B$1919,0))</f>
        <v>#N/A</v>
      </c>
    </row>
    <row r="1066" spans="1:4" x14ac:dyDescent="0.25">
      <c r="A1066">
        <v>1011</v>
      </c>
      <c r="B1066">
        <f>B1065+IF('Cleaned Data'!L1012&gt;0,1,0)*IF($B$34="Overall",1,IF('Cleaned Data'!K1012=$B$34,1,0))*(IF('Cleaned Data'!H1012&lt;&gt;"",1,0))</f>
        <v>452</v>
      </c>
      <c r="C1066" t="e">
        <f>INDEX('Cleaned Data'!H:H,MATCH($A1066,$B$56:$B$1919,0))</f>
        <v>#N/A</v>
      </c>
      <c r="D1066" t="e">
        <f>INDEX('Cleaned Data'!L:L,MATCH($A1066,$B$56:$B$1919,0))</f>
        <v>#N/A</v>
      </c>
    </row>
    <row r="1067" spans="1:4" x14ac:dyDescent="0.25">
      <c r="A1067">
        <v>1012</v>
      </c>
      <c r="B1067">
        <f>B1066+IF('Cleaned Data'!L1013&gt;0,1,0)*IF($B$34="Overall",1,IF('Cleaned Data'!K1013=$B$34,1,0))*(IF('Cleaned Data'!H1013&lt;&gt;"",1,0))</f>
        <v>453</v>
      </c>
      <c r="C1067" t="e">
        <f>INDEX('Cleaned Data'!H:H,MATCH($A1067,$B$56:$B$1919,0))</f>
        <v>#N/A</v>
      </c>
      <c r="D1067" t="e">
        <f>INDEX('Cleaned Data'!L:L,MATCH($A1067,$B$56:$B$1919,0))</f>
        <v>#N/A</v>
      </c>
    </row>
    <row r="1068" spans="1:4" x14ac:dyDescent="0.25">
      <c r="A1068">
        <v>1013</v>
      </c>
      <c r="B1068">
        <f>B1067+IF('Cleaned Data'!L1014&gt;0,1,0)*IF($B$34="Overall",1,IF('Cleaned Data'!K1014=$B$34,1,0))*(IF('Cleaned Data'!H1014&lt;&gt;"",1,0))</f>
        <v>454</v>
      </c>
      <c r="C1068" t="e">
        <f>INDEX('Cleaned Data'!H:H,MATCH($A1068,$B$56:$B$1919,0))</f>
        <v>#N/A</v>
      </c>
      <c r="D1068" t="e">
        <f>INDEX('Cleaned Data'!L:L,MATCH($A1068,$B$56:$B$1919,0))</f>
        <v>#N/A</v>
      </c>
    </row>
    <row r="1069" spans="1:4" x14ac:dyDescent="0.25">
      <c r="A1069">
        <v>1014</v>
      </c>
      <c r="B1069">
        <f>B1068+IF('Cleaned Data'!L1015&gt;0,1,0)*IF($B$34="Overall",1,IF('Cleaned Data'!K1015=$B$34,1,0))*(IF('Cleaned Data'!H1015&lt;&gt;"",1,0))</f>
        <v>455</v>
      </c>
      <c r="C1069" t="e">
        <f>INDEX('Cleaned Data'!H:H,MATCH($A1069,$B$56:$B$1919,0))</f>
        <v>#N/A</v>
      </c>
      <c r="D1069" t="e">
        <f>INDEX('Cleaned Data'!L:L,MATCH($A1069,$B$56:$B$1919,0))</f>
        <v>#N/A</v>
      </c>
    </row>
    <row r="1070" spans="1:4" x14ac:dyDescent="0.25">
      <c r="A1070">
        <v>1015</v>
      </c>
      <c r="B1070">
        <f>B1069+IF('Cleaned Data'!L1016&gt;0,1,0)*IF($B$34="Overall",1,IF('Cleaned Data'!K1016=$B$34,1,0))*(IF('Cleaned Data'!H1016&lt;&gt;"",1,0))</f>
        <v>456</v>
      </c>
      <c r="C1070" t="e">
        <f>INDEX('Cleaned Data'!H:H,MATCH($A1070,$B$56:$B$1919,0))</f>
        <v>#N/A</v>
      </c>
      <c r="D1070" t="e">
        <f>INDEX('Cleaned Data'!L:L,MATCH($A1070,$B$56:$B$1919,0))</f>
        <v>#N/A</v>
      </c>
    </row>
    <row r="1071" spans="1:4" x14ac:dyDescent="0.25">
      <c r="A1071">
        <v>1016</v>
      </c>
      <c r="B1071">
        <f>B1070+IF('Cleaned Data'!L1017&gt;0,1,0)*IF($B$34="Overall",1,IF('Cleaned Data'!K1017=$B$34,1,0))*(IF('Cleaned Data'!H1017&lt;&gt;"",1,0))</f>
        <v>457</v>
      </c>
      <c r="C1071" t="e">
        <f>INDEX('Cleaned Data'!H:H,MATCH($A1071,$B$56:$B$1919,0))</f>
        <v>#N/A</v>
      </c>
      <c r="D1071" t="e">
        <f>INDEX('Cleaned Data'!L:L,MATCH($A1071,$B$56:$B$1919,0))</f>
        <v>#N/A</v>
      </c>
    </row>
    <row r="1072" spans="1:4" x14ac:dyDescent="0.25">
      <c r="A1072">
        <v>1017</v>
      </c>
      <c r="B1072">
        <f>B1071+IF('Cleaned Data'!L1018&gt;0,1,0)*IF($B$34="Overall",1,IF('Cleaned Data'!K1018=$B$34,1,0))*(IF('Cleaned Data'!H1018&lt;&gt;"",1,0))</f>
        <v>458</v>
      </c>
      <c r="C1072" t="e">
        <f>INDEX('Cleaned Data'!H:H,MATCH($A1072,$B$56:$B$1919,0))</f>
        <v>#N/A</v>
      </c>
      <c r="D1072" t="e">
        <f>INDEX('Cleaned Data'!L:L,MATCH($A1072,$B$56:$B$1919,0))</f>
        <v>#N/A</v>
      </c>
    </row>
    <row r="1073" spans="1:4" x14ac:dyDescent="0.25">
      <c r="A1073">
        <v>1018</v>
      </c>
      <c r="B1073">
        <f>B1072+IF('Cleaned Data'!L1019&gt;0,1,0)*IF($B$34="Overall",1,IF('Cleaned Data'!K1019=$B$34,1,0))*(IF('Cleaned Data'!H1019&lt;&gt;"",1,0))</f>
        <v>459</v>
      </c>
      <c r="C1073" t="e">
        <f>INDEX('Cleaned Data'!H:H,MATCH($A1073,$B$56:$B$1919,0))</f>
        <v>#N/A</v>
      </c>
      <c r="D1073" t="e">
        <f>INDEX('Cleaned Data'!L:L,MATCH($A1073,$B$56:$B$1919,0))</f>
        <v>#N/A</v>
      </c>
    </row>
    <row r="1074" spans="1:4" x14ac:dyDescent="0.25">
      <c r="A1074">
        <v>1019</v>
      </c>
      <c r="B1074">
        <f>B1073+IF('Cleaned Data'!L1020&gt;0,1,0)*IF($B$34="Overall",1,IF('Cleaned Data'!K1020=$B$34,1,0))*(IF('Cleaned Data'!H1020&lt;&gt;"",1,0))</f>
        <v>460</v>
      </c>
      <c r="C1074" t="e">
        <f>INDEX('Cleaned Data'!H:H,MATCH($A1074,$B$56:$B$1919,0))</f>
        <v>#N/A</v>
      </c>
      <c r="D1074" t="e">
        <f>INDEX('Cleaned Data'!L:L,MATCH($A1074,$B$56:$B$1919,0))</f>
        <v>#N/A</v>
      </c>
    </row>
    <row r="1075" spans="1:4" x14ac:dyDescent="0.25">
      <c r="A1075">
        <v>1020</v>
      </c>
      <c r="B1075">
        <f>B1074+IF('Cleaned Data'!L1021&gt;0,1,0)*IF($B$34="Overall",1,IF('Cleaned Data'!K1021=$B$34,1,0))*(IF('Cleaned Data'!H1021&lt;&gt;"",1,0))</f>
        <v>461</v>
      </c>
      <c r="C1075" t="e">
        <f>INDEX('Cleaned Data'!H:H,MATCH($A1075,$B$56:$B$1919,0))</f>
        <v>#N/A</v>
      </c>
      <c r="D1075" t="e">
        <f>INDEX('Cleaned Data'!L:L,MATCH($A1075,$B$56:$B$1919,0))</f>
        <v>#N/A</v>
      </c>
    </row>
    <row r="1076" spans="1:4" x14ac:dyDescent="0.25">
      <c r="A1076">
        <v>1021</v>
      </c>
      <c r="B1076">
        <f>B1075+IF('Cleaned Data'!L1022&gt;0,1,0)*IF($B$34="Overall",1,IF('Cleaned Data'!K1022=$B$34,1,0))*(IF('Cleaned Data'!H1022&lt;&gt;"",1,0))</f>
        <v>462</v>
      </c>
      <c r="C1076" t="e">
        <f>INDEX('Cleaned Data'!H:H,MATCH($A1076,$B$56:$B$1919,0))</f>
        <v>#N/A</v>
      </c>
      <c r="D1076" t="e">
        <f>INDEX('Cleaned Data'!L:L,MATCH($A1076,$B$56:$B$1919,0))</f>
        <v>#N/A</v>
      </c>
    </row>
    <row r="1077" spans="1:4" x14ac:dyDescent="0.25">
      <c r="A1077">
        <v>1022</v>
      </c>
      <c r="B1077">
        <f>B1076+IF('Cleaned Data'!L1023&gt;0,1,0)*IF($B$34="Overall",1,IF('Cleaned Data'!K1023=$B$34,1,0))*(IF('Cleaned Data'!H1023&lt;&gt;"",1,0))</f>
        <v>463</v>
      </c>
      <c r="C1077" t="e">
        <f>INDEX('Cleaned Data'!H:H,MATCH($A1077,$B$56:$B$1919,0))</f>
        <v>#N/A</v>
      </c>
      <c r="D1077" t="e">
        <f>INDEX('Cleaned Data'!L:L,MATCH($A1077,$B$56:$B$1919,0))</f>
        <v>#N/A</v>
      </c>
    </row>
    <row r="1078" spans="1:4" x14ac:dyDescent="0.25">
      <c r="A1078">
        <v>1023</v>
      </c>
      <c r="B1078">
        <f>B1077+IF('Cleaned Data'!L1024&gt;0,1,0)*IF($B$34="Overall",1,IF('Cleaned Data'!K1024=$B$34,1,0))*(IF('Cleaned Data'!H1024&lt;&gt;"",1,0))</f>
        <v>464</v>
      </c>
      <c r="C1078" t="e">
        <f>INDEX('Cleaned Data'!H:H,MATCH($A1078,$B$56:$B$1919,0))</f>
        <v>#N/A</v>
      </c>
      <c r="D1078" t="e">
        <f>INDEX('Cleaned Data'!L:L,MATCH($A1078,$B$56:$B$1919,0))</f>
        <v>#N/A</v>
      </c>
    </row>
    <row r="1079" spans="1:4" x14ac:dyDescent="0.25">
      <c r="A1079">
        <v>1024</v>
      </c>
      <c r="B1079">
        <f>B1078+IF('Cleaned Data'!L1025&gt;0,1,0)*IF($B$34="Overall",1,IF('Cleaned Data'!K1025=$B$34,1,0))*(IF('Cleaned Data'!H1025&lt;&gt;"",1,0))</f>
        <v>465</v>
      </c>
      <c r="C1079" t="e">
        <f>INDEX('Cleaned Data'!H:H,MATCH($A1079,$B$56:$B$1919,0))</f>
        <v>#N/A</v>
      </c>
      <c r="D1079" t="e">
        <f>INDEX('Cleaned Data'!L:L,MATCH($A1079,$B$56:$B$1919,0))</f>
        <v>#N/A</v>
      </c>
    </row>
    <row r="1080" spans="1:4" x14ac:dyDescent="0.25">
      <c r="A1080">
        <v>1025</v>
      </c>
      <c r="B1080">
        <f>B1079+IF('Cleaned Data'!L1026&gt;0,1,0)*IF($B$34="Overall",1,IF('Cleaned Data'!K1026=$B$34,1,0))*(IF('Cleaned Data'!H1026&lt;&gt;"",1,0))</f>
        <v>466</v>
      </c>
      <c r="C1080" t="e">
        <f>INDEX('Cleaned Data'!H:H,MATCH($A1080,$B$56:$B$1919,0))</f>
        <v>#N/A</v>
      </c>
      <c r="D1080" t="e">
        <f>INDEX('Cleaned Data'!L:L,MATCH($A1080,$B$56:$B$1919,0))</f>
        <v>#N/A</v>
      </c>
    </row>
    <row r="1081" spans="1:4" x14ac:dyDescent="0.25">
      <c r="A1081">
        <v>1026</v>
      </c>
      <c r="B1081">
        <f>B1080+IF('Cleaned Data'!L1027&gt;0,1,0)*IF($B$34="Overall",1,IF('Cleaned Data'!K1027=$B$34,1,0))*(IF('Cleaned Data'!H1027&lt;&gt;"",1,0))</f>
        <v>467</v>
      </c>
      <c r="C1081" t="e">
        <f>INDEX('Cleaned Data'!H:H,MATCH($A1081,$B$56:$B$1919,0))</f>
        <v>#N/A</v>
      </c>
      <c r="D1081" t="e">
        <f>INDEX('Cleaned Data'!L:L,MATCH($A1081,$B$56:$B$1919,0))</f>
        <v>#N/A</v>
      </c>
    </row>
    <row r="1082" spans="1:4" x14ac:dyDescent="0.25">
      <c r="A1082">
        <v>1027</v>
      </c>
      <c r="B1082">
        <f>B1081+IF('Cleaned Data'!L1028&gt;0,1,0)*IF($B$34="Overall",1,IF('Cleaned Data'!K1028=$B$34,1,0))*(IF('Cleaned Data'!H1028&lt;&gt;"",1,0))</f>
        <v>468</v>
      </c>
      <c r="C1082" t="e">
        <f>INDEX('Cleaned Data'!H:H,MATCH($A1082,$B$56:$B$1919,0))</f>
        <v>#N/A</v>
      </c>
      <c r="D1082" t="e">
        <f>INDEX('Cleaned Data'!L:L,MATCH($A1082,$B$56:$B$1919,0))</f>
        <v>#N/A</v>
      </c>
    </row>
    <row r="1083" spans="1:4" x14ac:dyDescent="0.25">
      <c r="A1083">
        <v>1028</v>
      </c>
      <c r="B1083">
        <f>B1082+IF('Cleaned Data'!L1029&gt;0,1,0)*IF($B$34="Overall",1,IF('Cleaned Data'!K1029=$B$34,1,0))*(IF('Cleaned Data'!H1029&lt;&gt;"",1,0))</f>
        <v>469</v>
      </c>
      <c r="C1083" t="e">
        <f>INDEX('Cleaned Data'!H:H,MATCH($A1083,$B$56:$B$1919,0))</f>
        <v>#N/A</v>
      </c>
      <c r="D1083" t="e">
        <f>INDEX('Cleaned Data'!L:L,MATCH($A1083,$B$56:$B$1919,0))</f>
        <v>#N/A</v>
      </c>
    </row>
    <row r="1084" spans="1:4" x14ac:dyDescent="0.25">
      <c r="A1084">
        <v>1029</v>
      </c>
      <c r="B1084">
        <f>B1083+IF('Cleaned Data'!L1030&gt;0,1,0)*IF($B$34="Overall",1,IF('Cleaned Data'!K1030=$B$34,1,0))*(IF('Cleaned Data'!H1030&lt;&gt;"",1,0))</f>
        <v>470</v>
      </c>
      <c r="C1084" t="e">
        <f>INDEX('Cleaned Data'!H:H,MATCH($A1084,$B$56:$B$1919,0))</f>
        <v>#N/A</v>
      </c>
      <c r="D1084" t="e">
        <f>INDEX('Cleaned Data'!L:L,MATCH($A1084,$B$56:$B$1919,0))</f>
        <v>#N/A</v>
      </c>
    </row>
    <row r="1085" spans="1:4" x14ac:dyDescent="0.25">
      <c r="A1085">
        <v>1030</v>
      </c>
      <c r="B1085">
        <f>B1084+IF('Cleaned Data'!L1031&gt;0,1,0)*IF($B$34="Overall",1,IF('Cleaned Data'!K1031=$B$34,1,0))*(IF('Cleaned Data'!H1031&lt;&gt;"",1,0))</f>
        <v>471</v>
      </c>
      <c r="C1085" t="e">
        <f>INDEX('Cleaned Data'!H:H,MATCH($A1085,$B$56:$B$1919,0))</f>
        <v>#N/A</v>
      </c>
      <c r="D1085" t="e">
        <f>INDEX('Cleaned Data'!L:L,MATCH($A1085,$B$56:$B$1919,0))</f>
        <v>#N/A</v>
      </c>
    </row>
    <row r="1086" spans="1:4" x14ac:dyDescent="0.25">
      <c r="A1086">
        <v>1031</v>
      </c>
      <c r="B1086">
        <f>B1085+IF('Cleaned Data'!L1032&gt;0,1,0)*IF($B$34="Overall",1,IF('Cleaned Data'!K1032=$B$34,1,0))*(IF('Cleaned Data'!H1032&lt;&gt;"",1,0))</f>
        <v>472</v>
      </c>
      <c r="C1086" t="e">
        <f>INDEX('Cleaned Data'!H:H,MATCH($A1086,$B$56:$B$1919,0))</f>
        <v>#N/A</v>
      </c>
      <c r="D1086" t="e">
        <f>INDEX('Cleaned Data'!L:L,MATCH($A1086,$B$56:$B$1919,0))</f>
        <v>#N/A</v>
      </c>
    </row>
    <row r="1087" spans="1:4" x14ac:dyDescent="0.25">
      <c r="A1087">
        <v>1032</v>
      </c>
      <c r="B1087">
        <f>B1086+IF('Cleaned Data'!L1033&gt;0,1,0)*IF($B$34="Overall",1,IF('Cleaned Data'!K1033=$B$34,1,0))*(IF('Cleaned Data'!H1033&lt;&gt;"",1,0))</f>
        <v>473</v>
      </c>
      <c r="C1087" t="e">
        <f>INDEX('Cleaned Data'!H:H,MATCH($A1087,$B$56:$B$1919,0))</f>
        <v>#N/A</v>
      </c>
      <c r="D1087" t="e">
        <f>INDEX('Cleaned Data'!L:L,MATCH($A1087,$B$56:$B$1919,0))</f>
        <v>#N/A</v>
      </c>
    </row>
    <row r="1088" spans="1:4" x14ac:dyDescent="0.25">
      <c r="A1088">
        <v>1033</v>
      </c>
      <c r="B1088">
        <f>B1087+IF('Cleaned Data'!L1034&gt;0,1,0)*IF($B$34="Overall",1,IF('Cleaned Data'!K1034=$B$34,1,0))*(IF('Cleaned Data'!H1034&lt;&gt;"",1,0))</f>
        <v>474</v>
      </c>
      <c r="C1088" t="e">
        <f>INDEX('Cleaned Data'!H:H,MATCH($A1088,$B$56:$B$1919,0))</f>
        <v>#N/A</v>
      </c>
      <c r="D1088" t="e">
        <f>INDEX('Cleaned Data'!L:L,MATCH($A1088,$B$56:$B$1919,0))</f>
        <v>#N/A</v>
      </c>
    </row>
    <row r="1089" spans="1:4" x14ac:dyDescent="0.25">
      <c r="A1089">
        <v>1034</v>
      </c>
      <c r="B1089">
        <f>B1088+IF('Cleaned Data'!L1035&gt;0,1,0)*IF($B$34="Overall",1,IF('Cleaned Data'!K1035=$B$34,1,0))*(IF('Cleaned Data'!H1035&lt;&gt;"",1,0))</f>
        <v>475</v>
      </c>
      <c r="C1089" t="e">
        <f>INDEX('Cleaned Data'!H:H,MATCH($A1089,$B$56:$B$1919,0))</f>
        <v>#N/A</v>
      </c>
      <c r="D1089" t="e">
        <f>INDEX('Cleaned Data'!L:L,MATCH($A1089,$B$56:$B$1919,0))</f>
        <v>#N/A</v>
      </c>
    </row>
    <row r="1090" spans="1:4" x14ac:dyDescent="0.25">
      <c r="A1090">
        <v>1035</v>
      </c>
      <c r="B1090">
        <f>B1089+IF('Cleaned Data'!L1036&gt;0,1,0)*IF($B$34="Overall",1,IF('Cleaned Data'!K1036=$B$34,1,0))*(IF('Cleaned Data'!H1036&lt;&gt;"",1,0))</f>
        <v>476</v>
      </c>
      <c r="C1090" t="e">
        <f>INDEX('Cleaned Data'!H:H,MATCH($A1090,$B$56:$B$1919,0))</f>
        <v>#N/A</v>
      </c>
      <c r="D1090" t="e">
        <f>INDEX('Cleaned Data'!L:L,MATCH($A1090,$B$56:$B$1919,0))</f>
        <v>#N/A</v>
      </c>
    </row>
    <row r="1091" spans="1:4" x14ac:dyDescent="0.25">
      <c r="A1091">
        <v>1036</v>
      </c>
      <c r="B1091">
        <f>B1090+IF('Cleaned Data'!L1037&gt;0,1,0)*IF($B$34="Overall",1,IF('Cleaned Data'!K1037=$B$34,1,0))*(IF('Cleaned Data'!H1037&lt;&gt;"",1,0))</f>
        <v>477</v>
      </c>
      <c r="C1091" t="e">
        <f>INDEX('Cleaned Data'!H:H,MATCH($A1091,$B$56:$B$1919,0))</f>
        <v>#N/A</v>
      </c>
      <c r="D1091" t="e">
        <f>INDEX('Cleaned Data'!L:L,MATCH($A1091,$B$56:$B$1919,0))</f>
        <v>#N/A</v>
      </c>
    </row>
    <row r="1092" spans="1:4" x14ac:dyDescent="0.25">
      <c r="A1092">
        <v>1037</v>
      </c>
      <c r="B1092">
        <f>B1091+IF('Cleaned Data'!L1038&gt;0,1,0)*IF($B$34="Overall",1,IF('Cleaned Data'!K1038=$B$34,1,0))*(IF('Cleaned Data'!H1038&lt;&gt;"",1,0))</f>
        <v>478</v>
      </c>
      <c r="C1092" t="e">
        <f>INDEX('Cleaned Data'!H:H,MATCH($A1092,$B$56:$B$1919,0))</f>
        <v>#N/A</v>
      </c>
      <c r="D1092" t="e">
        <f>INDEX('Cleaned Data'!L:L,MATCH($A1092,$B$56:$B$1919,0))</f>
        <v>#N/A</v>
      </c>
    </row>
    <row r="1093" spans="1:4" x14ac:dyDescent="0.25">
      <c r="A1093">
        <v>1038</v>
      </c>
      <c r="B1093">
        <f>B1092+IF('Cleaned Data'!L1039&gt;0,1,0)*IF($B$34="Overall",1,IF('Cleaned Data'!K1039=$B$34,1,0))*(IF('Cleaned Data'!H1039&lt;&gt;"",1,0))</f>
        <v>479</v>
      </c>
      <c r="C1093" t="e">
        <f>INDEX('Cleaned Data'!H:H,MATCH($A1093,$B$56:$B$1919,0))</f>
        <v>#N/A</v>
      </c>
      <c r="D1093" t="e">
        <f>INDEX('Cleaned Data'!L:L,MATCH($A1093,$B$56:$B$1919,0))</f>
        <v>#N/A</v>
      </c>
    </row>
    <row r="1094" spans="1:4" x14ac:dyDescent="0.25">
      <c r="A1094">
        <v>1039</v>
      </c>
      <c r="B1094">
        <f>B1093+IF('Cleaned Data'!L1040&gt;0,1,0)*IF($B$34="Overall",1,IF('Cleaned Data'!K1040=$B$34,1,0))*(IF('Cleaned Data'!H1040&lt;&gt;"",1,0))</f>
        <v>480</v>
      </c>
      <c r="C1094" t="e">
        <f>INDEX('Cleaned Data'!H:H,MATCH($A1094,$B$56:$B$1919,0))</f>
        <v>#N/A</v>
      </c>
      <c r="D1094" t="e">
        <f>INDEX('Cleaned Data'!L:L,MATCH($A1094,$B$56:$B$1919,0))</f>
        <v>#N/A</v>
      </c>
    </row>
    <row r="1095" spans="1:4" x14ac:dyDescent="0.25">
      <c r="A1095">
        <v>1040</v>
      </c>
      <c r="B1095">
        <f>B1094+IF('Cleaned Data'!L1041&gt;0,1,0)*IF($B$34="Overall",1,IF('Cleaned Data'!K1041=$B$34,1,0))*(IF('Cleaned Data'!H1041&lt;&gt;"",1,0))</f>
        <v>481</v>
      </c>
      <c r="C1095" t="e">
        <f>INDEX('Cleaned Data'!H:H,MATCH($A1095,$B$56:$B$1919,0))</f>
        <v>#N/A</v>
      </c>
      <c r="D1095" t="e">
        <f>INDEX('Cleaned Data'!L:L,MATCH($A1095,$B$56:$B$1919,0))</f>
        <v>#N/A</v>
      </c>
    </row>
    <row r="1096" spans="1:4" x14ac:dyDescent="0.25">
      <c r="A1096">
        <v>1041</v>
      </c>
      <c r="B1096">
        <f>B1095+IF('Cleaned Data'!L1042&gt;0,1,0)*IF($B$34="Overall",1,IF('Cleaned Data'!K1042=$B$34,1,0))*(IF('Cleaned Data'!H1042&lt;&gt;"",1,0))</f>
        <v>482</v>
      </c>
      <c r="C1096" t="e">
        <f>INDEX('Cleaned Data'!H:H,MATCH($A1096,$B$56:$B$1919,0))</f>
        <v>#N/A</v>
      </c>
      <c r="D1096" t="e">
        <f>INDEX('Cleaned Data'!L:L,MATCH($A1096,$B$56:$B$1919,0))</f>
        <v>#N/A</v>
      </c>
    </row>
    <row r="1097" spans="1:4" x14ac:dyDescent="0.25">
      <c r="A1097">
        <v>1042</v>
      </c>
      <c r="B1097">
        <f>B1096+IF('Cleaned Data'!L1043&gt;0,1,0)*IF($B$34="Overall",1,IF('Cleaned Data'!K1043=$B$34,1,0))*(IF('Cleaned Data'!H1043&lt;&gt;"",1,0))</f>
        <v>483</v>
      </c>
      <c r="C1097" t="e">
        <f>INDEX('Cleaned Data'!H:H,MATCH($A1097,$B$56:$B$1919,0))</f>
        <v>#N/A</v>
      </c>
      <c r="D1097" t="e">
        <f>INDEX('Cleaned Data'!L:L,MATCH($A1097,$B$56:$B$1919,0))</f>
        <v>#N/A</v>
      </c>
    </row>
    <row r="1098" spans="1:4" x14ac:dyDescent="0.25">
      <c r="A1098">
        <v>1043</v>
      </c>
      <c r="B1098">
        <f>B1097+IF('Cleaned Data'!L1044&gt;0,1,0)*IF($B$34="Overall",1,IF('Cleaned Data'!K1044=$B$34,1,0))*(IF('Cleaned Data'!H1044&lt;&gt;"",1,0))</f>
        <v>484</v>
      </c>
      <c r="C1098" t="e">
        <f>INDEX('Cleaned Data'!H:H,MATCH($A1098,$B$56:$B$1919,0))</f>
        <v>#N/A</v>
      </c>
      <c r="D1098" t="e">
        <f>INDEX('Cleaned Data'!L:L,MATCH($A1098,$B$56:$B$1919,0))</f>
        <v>#N/A</v>
      </c>
    </row>
    <row r="1099" spans="1:4" x14ac:dyDescent="0.25">
      <c r="A1099">
        <v>1044</v>
      </c>
      <c r="B1099">
        <f>B1098+IF('Cleaned Data'!L1045&gt;0,1,0)*IF($B$34="Overall",1,IF('Cleaned Data'!K1045=$B$34,1,0))*(IF('Cleaned Data'!H1045&lt;&gt;"",1,0))</f>
        <v>485</v>
      </c>
      <c r="C1099" t="e">
        <f>INDEX('Cleaned Data'!H:H,MATCH($A1099,$B$56:$B$1919,0))</f>
        <v>#N/A</v>
      </c>
      <c r="D1099" t="e">
        <f>INDEX('Cleaned Data'!L:L,MATCH($A1099,$B$56:$B$1919,0))</f>
        <v>#N/A</v>
      </c>
    </row>
    <row r="1100" spans="1:4" x14ac:dyDescent="0.25">
      <c r="A1100">
        <v>1045</v>
      </c>
      <c r="B1100">
        <f>B1099+IF('Cleaned Data'!L1046&gt;0,1,0)*IF($B$34="Overall",1,IF('Cleaned Data'!K1046=$B$34,1,0))*(IF('Cleaned Data'!H1046&lt;&gt;"",1,0))</f>
        <v>486</v>
      </c>
      <c r="C1100" t="e">
        <f>INDEX('Cleaned Data'!H:H,MATCH($A1100,$B$56:$B$1919,0))</f>
        <v>#N/A</v>
      </c>
      <c r="D1100" t="e">
        <f>INDEX('Cleaned Data'!L:L,MATCH($A1100,$B$56:$B$1919,0))</f>
        <v>#N/A</v>
      </c>
    </row>
    <row r="1101" spans="1:4" x14ac:dyDescent="0.25">
      <c r="A1101">
        <v>1046</v>
      </c>
      <c r="B1101">
        <f>B1100+IF('Cleaned Data'!L1047&gt;0,1,0)*IF($B$34="Overall",1,IF('Cleaned Data'!K1047=$B$34,1,0))*(IF('Cleaned Data'!H1047&lt;&gt;"",1,0))</f>
        <v>487</v>
      </c>
      <c r="C1101" t="e">
        <f>INDEX('Cleaned Data'!H:H,MATCH($A1101,$B$56:$B$1919,0))</f>
        <v>#N/A</v>
      </c>
      <c r="D1101" t="e">
        <f>INDEX('Cleaned Data'!L:L,MATCH($A1101,$B$56:$B$1919,0))</f>
        <v>#N/A</v>
      </c>
    </row>
    <row r="1102" spans="1:4" x14ac:dyDescent="0.25">
      <c r="A1102">
        <v>1047</v>
      </c>
      <c r="B1102">
        <f>B1101+IF('Cleaned Data'!L1048&gt;0,1,0)*IF($B$34="Overall",1,IF('Cleaned Data'!K1048=$B$34,1,0))*(IF('Cleaned Data'!H1048&lt;&gt;"",1,0))</f>
        <v>488</v>
      </c>
      <c r="C1102" t="e">
        <f>INDEX('Cleaned Data'!H:H,MATCH($A1102,$B$56:$B$1919,0))</f>
        <v>#N/A</v>
      </c>
      <c r="D1102" t="e">
        <f>INDEX('Cleaned Data'!L:L,MATCH($A1102,$B$56:$B$1919,0))</f>
        <v>#N/A</v>
      </c>
    </row>
    <row r="1103" spans="1:4" x14ac:dyDescent="0.25">
      <c r="A1103">
        <v>1048</v>
      </c>
      <c r="B1103">
        <f>B1102+IF('Cleaned Data'!L1049&gt;0,1,0)*IF($B$34="Overall",1,IF('Cleaned Data'!K1049=$B$34,1,0))*(IF('Cleaned Data'!H1049&lt;&gt;"",1,0))</f>
        <v>489</v>
      </c>
      <c r="C1103" t="e">
        <f>INDEX('Cleaned Data'!H:H,MATCH($A1103,$B$56:$B$1919,0))</f>
        <v>#N/A</v>
      </c>
      <c r="D1103" t="e">
        <f>INDEX('Cleaned Data'!L:L,MATCH($A1103,$B$56:$B$1919,0))</f>
        <v>#N/A</v>
      </c>
    </row>
    <row r="1104" spans="1:4" x14ac:dyDescent="0.25">
      <c r="A1104">
        <v>1049</v>
      </c>
      <c r="B1104">
        <f>B1103+IF('Cleaned Data'!L1050&gt;0,1,0)*IF($B$34="Overall",1,IF('Cleaned Data'!K1050=$B$34,1,0))*(IF('Cleaned Data'!H1050&lt;&gt;"",1,0))</f>
        <v>490</v>
      </c>
      <c r="C1104" t="e">
        <f>INDEX('Cleaned Data'!H:H,MATCH($A1104,$B$56:$B$1919,0))</f>
        <v>#N/A</v>
      </c>
      <c r="D1104" t="e">
        <f>INDEX('Cleaned Data'!L:L,MATCH($A1104,$B$56:$B$1919,0))</f>
        <v>#N/A</v>
      </c>
    </row>
    <row r="1105" spans="1:4" x14ac:dyDescent="0.25">
      <c r="A1105">
        <v>1050</v>
      </c>
      <c r="B1105">
        <f>B1104+IF('Cleaned Data'!L1051&gt;0,1,0)*IF($B$34="Overall",1,IF('Cleaned Data'!K1051=$B$34,1,0))*(IF('Cleaned Data'!H1051&lt;&gt;"",1,0))</f>
        <v>491</v>
      </c>
      <c r="C1105" t="e">
        <f>INDEX('Cleaned Data'!H:H,MATCH($A1105,$B$56:$B$1919,0))</f>
        <v>#N/A</v>
      </c>
      <c r="D1105" t="e">
        <f>INDEX('Cleaned Data'!L:L,MATCH($A1105,$B$56:$B$1919,0))</f>
        <v>#N/A</v>
      </c>
    </row>
    <row r="1106" spans="1:4" x14ac:dyDescent="0.25">
      <c r="A1106">
        <v>1051</v>
      </c>
      <c r="B1106">
        <f>B1105+IF('Cleaned Data'!L1052&gt;0,1,0)*IF($B$34="Overall",1,IF('Cleaned Data'!K1052=$B$34,1,0))*(IF('Cleaned Data'!H1052&lt;&gt;"",1,0))</f>
        <v>492</v>
      </c>
      <c r="C1106" t="e">
        <f>INDEX('Cleaned Data'!H:H,MATCH($A1106,$B$56:$B$1919,0))</f>
        <v>#N/A</v>
      </c>
      <c r="D1106" t="e">
        <f>INDEX('Cleaned Data'!L:L,MATCH($A1106,$B$56:$B$1919,0))</f>
        <v>#N/A</v>
      </c>
    </row>
    <row r="1107" spans="1:4" x14ac:dyDescent="0.25">
      <c r="A1107">
        <v>1052</v>
      </c>
      <c r="B1107">
        <f>B1106+IF('Cleaned Data'!L1053&gt;0,1,0)*IF($B$34="Overall",1,IF('Cleaned Data'!K1053=$B$34,1,0))*(IF('Cleaned Data'!H1053&lt;&gt;"",1,0))</f>
        <v>493</v>
      </c>
      <c r="C1107" t="e">
        <f>INDEX('Cleaned Data'!H:H,MATCH($A1107,$B$56:$B$1919,0))</f>
        <v>#N/A</v>
      </c>
      <c r="D1107" t="e">
        <f>INDEX('Cleaned Data'!L:L,MATCH($A1107,$B$56:$B$1919,0))</f>
        <v>#N/A</v>
      </c>
    </row>
    <row r="1108" spans="1:4" x14ac:dyDescent="0.25">
      <c r="A1108">
        <v>1053</v>
      </c>
      <c r="B1108">
        <f>B1107+IF('Cleaned Data'!L1054&gt;0,1,0)*IF($B$34="Overall",1,IF('Cleaned Data'!K1054=$B$34,1,0))*(IF('Cleaned Data'!H1054&lt;&gt;"",1,0))</f>
        <v>494</v>
      </c>
      <c r="C1108" t="e">
        <f>INDEX('Cleaned Data'!H:H,MATCH($A1108,$B$56:$B$1919,0))</f>
        <v>#N/A</v>
      </c>
      <c r="D1108" t="e">
        <f>INDEX('Cleaned Data'!L:L,MATCH($A1108,$B$56:$B$1919,0))</f>
        <v>#N/A</v>
      </c>
    </row>
    <row r="1109" spans="1:4" x14ac:dyDescent="0.25">
      <c r="A1109">
        <v>1054</v>
      </c>
      <c r="B1109">
        <f>B1108+IF('Cleaned Data'!L1055&gt;0,1,0)*IF($B$34="Overall",1,IF('Cleaned Data'!K1055=$B$34,1,0))*(IF('Cleaned Data'!H1055&lt;&gt;"",1,0))</f>
        <v>495</v>
      </c>
      <c r="C1109" t="e">
        <f>INDEX('Cleaned Data'!H:H,MATCH($A1109,$B$56:$B$1919,0))</f>
        <v>#N/A</v>
      </c>
      <c r="D1109" t="e">
        <f>INDEX('Cleaned Data'!L:L,MATCH($A1109,$B$56:$B$1919,0))</f>
        <v>#N/A</v>
      </c>
    </row>
    <row r="1110" spans="1:4" x14ac:dyDescent="0.25">
      <c r="A1110">
        <v>1055</v>
      </c>
      <c r="B1110">
        <f>B1109+IF('Cleaned Data'!L1056&gt;0,1,0)*IF($B$34="Overall",1,IF('Cleaned Data'!K1056=$B$34,1,0))*(IF('Cleaned Data'!H1056&lt;&gt;"",1,0))</f>
        <v>496</v>
      </c>
      <c r="C1110" t="e">
        <f>INDEX('Cleaned Data'!H:H,MATCH($A1110,$B$56:$B$1919,0))</f>
        <v>#N/A</v>
      </c>
      <c r="D1110" t="e">
        <f>INDEX('Cleaned Data'!L:L,MATCH($A1110,$B$56:$B$1919,0))</f>
        <v>#N/A</v>
      </c>
    </row>
    <row r="1111" spans="1:4" x14ac:dyDescent="0.25">
      <c r="A1111">
        <v>1056</v>
      </c>
      <c r="B1111">
        <f>B1110+IF('Cleaned Data'!L1057&gt;0,1,0)*IF($B$34="Overall",1,IF('Cleaned Data'!K1057=$B$34,1,0))*(IF('Cleaned Data'!H1057&lt;&gt;"",1,0))</f>
        <v>497</v>
      </c>
      <c r="C1111" t="e">
        <f>INDEX('Cleaned Data'!H:H,MATCH($A1111,$B$56:$B$1919,0))</f>
        <v>#N/A</v>
      </c>
      <c r="D1111" t="e">
        <f>INDEX('Cleaned Data'!L:L,MATCH($A1111,$B$56:$B$1919,0))</f>
        <v>#N/A</v>
      </c>
    </row>
    <row r="1112" spans="1:4" x14ac:dyDescent="0.25">
      <c r="A1112">
        <v>1057</v>
      </c>
      <c r="B1112">
        <f>B1111+IF('Cleaned Data'!L1058&gt;0,1,0)*IF($B$34="Overall",1,IF('Cleaned Data'!K1058=$B$34,1,0))*(IF('Cleaned Data'!H1058&lt;&gt;"",1,0))</f>
        <v>498</v>
      </c>
      <c r="C1112" t="e">
        <f>INDEX('Cleaned Data'!H:H,MATCH($A1112,$B$56:$B$1919,0))</f>
        <v>#N/A</v>
      </c>
      <c r="D1112" t="e">
        <f>INDEX('Cleaned Data'!L:L,MATCH($A1112,$B$56:$B$1919,0))</f>
        <v>#N/A</v>
      </c>
    </row>
    <row r="1113" spans="1:4" x14ac:dyDescent="0.25">
      <c r="A1113">
        <v>1058</v>
      </c>
      <c r="B1113">
        <f>B1112+IF('Cleaned Data'!L1059&gt;0,1,0)*IF($B$34="Overall",1,IF('Cleaned Data'!K1059=$B$34,1,0))*(IF('Cleaned Data'!H1059&lt;&gt;"",1,0))</f>
        <v>499</v>
      </c>
      <c r="C1113" t="e">
        <f>INDEX('Cleaned Data'!H:H,MATCH($A1113,$B$56:$B$1919,0))</f>
        <v>#N/A</v>
      </c>
      <c r="D1113" t="e">
        <f>INDEX('Cleaned Data'!L:L,MATCH($A1113,$B$56:$B$1919,0))</f>
        <v>#N/A</v>
      </c>
    </row>
    <row r="1114" spans="1:4" x14ac:dyDescent="0.25">
      <c r="A1114">
        <v>1059</v>
      </c>
      <c r="B1114">
        <f>B1113+IF('Cleaned Data'!L1060&gt;0,1,0)*IF($B$34="Overall",1,IF('Cleaned Data'!K1060=$B$34,1,0))*(IF('Cleaned Data'!H1060&lt;&gt;"",1,0))</f>
        <v>500</v>
      </c>
      <c r="C1114" t="e">
        <f>INDEX('Cleaned Data'!H:H,MATCH($A1114,$B$56:$B$1919,0))</f>
        <v>#N/A</v>
      </c>
      <c r="D1114" t="e">
        <f>INDEX('Cleaned Data'!L:L,MATCH($A1114,$B$56:$B$1919,0))</f>
        <v>#N/A</v>
      </c>
    </row>
    <row r="1115" spans="1:4" x14ac:dyDescent="0.25">
      <c r="A1115">
        <v>1060</v>
      </c>
      <c r="B1115">
        <f>B1114+IF('Cleaned Data'!L1061&gt;0,1,0)*IF($B$34="Overall",1,IF('Cleaned Data'!K1061=$B$34,1,0))*(IF('Cleaned Data'!H1061&lt;&gt;"",1,0))</f>
        <v>501</v>
      </c>
      <c r="C1115" t="e">
        <f>INDEX('Cleaned Data'!H:H,MATCH($A1115,$B$56:$B$1919,0))</f>
        <v>#N/A</v>
      </c>
      <c r="D1115" t="e">
        <f>INDEX('Cleaned Data'!L:L,MATCH($A1115,$B$56:$B$1919,0))</f>
        <v>#N/A</v>
      </c>
    </row>
    <row r="1116" spans="1:4" x14ac:dyDescent="0.25">
      <c r="A1116">
        <v>1061</v>
      </c>
      <c r="B1116">
        <f>B1115+IF('Cleaned Data'!L1062&gt;0,1,0)*IF($B$34="Overall",1,IF('Cleaned Data'!K1062=$B$34,1,0))*(IF('Cleaned Data'!H1062&lt;&gt;"",1,0))</f>
        <v>502</v>
      </c>
      <c r="C1116" t="e">
        <f>INDEX('Cleaned Data'!H:H,MATCH($A1116,$B$56:$B$1919,0))</f>
        <v>#N/A</v>
      </c>
      <c r="D1116" t="e">
        <f>INDEX('Cleaned Data'!L:L,MATCH($A1116,$B$56:$B$1919,0))</f>
        <v>#N/A</v>
      </c>
    </row>
    <row r="1117" spans="1:4" x14ac:dyDescent="0.25">
      <c r="A1117">
        <v>1062</v>
      </c>
      <c r="B1117">
        <f>B1116+IF('Cleaned Data'!L1063&gt;0,1,0)*IF($B$34="Overall",1,IF('Cleaned Data'!K1063=$B$34,1,0))*(IF('Cleaned Data'!H1063&lt;&gt;"",1,0))</f>
        <v>503</v>
      </c>
      <c r="C1117" t="e">
        <f>INDEX('Cleaned Data'!H:H,MATCH($A1117,$B$56:$B$1919,0))</f>
        <v>#N/A</v>
      </c>
      <c r="D1117" t="e">
        <f>INDEX('Cleaned Data'!L:L,MATCH($A1117,$B$56:$B$1919,0))</f>
        <v>#N/A</v>
      </c>
    </row>
    <row r="1118" spans="1:4" x14ac:dyDescent="0.25">
      <c r="A1118">
        <v>1063</v>
      </c>
      <c r="B1118">
        <f>B1117+IF('Cleaned Data'!L1064&gt;0,1,0)*IF($B$34="Overall",1,IF('Cleaned Data'!K1064=$B$34,1,0))*(IF('Cleaned Data'!H1064&lt;&gt;"",1,0))</f>
        <v>504</v>
      </c>
      <c r="C1118" t="e">
        <f>INDEX('Cleaned Data'!H:H,MATCH($A1118,$B$56:$B$1919,0))</f>
        <v>#N/A</v>
      </c>
      <c r="D1118" t="e">
        <f>INDEX('Cleaned Data'!L:L,MATCH($A1118,$B$56:$B$1919,0))</f>
        <v>#N/A</v>
      </c>
    </row>
    <row r="1119" spans="1:4" x14ac:dyDescent="0.25">
      <c r="A1119">
        <v>1064</v>
      </c>
      <c r="B1119">
        <f>B1118+IF('Cleaned Data'!L1065&gt;0,1,0)*IF($B$34="Overall",1,IF('Cleaned Data'!K1065=$B$34,1,0))*(IF('Cleaned Data'!H1065&lt;&gt;"",1,0))</f>
        <v>505</v>
      </c>
      <c r="C1119" t="e">
        <f>INDEX('Cleaned Data'!H:H,MATCH($A1119,$B$56:$B$1919,0))</f>
        <v>#N/A</v>
      </c>
      <c r="D1119" t="e">
        <f>INDEX('Cleaned Data'!L:L,MATCH($A1119,$B$56:$B$1919,0))</f>
        <v>#N/A</v>
      </c>
    </row>
    <row r="1120" spans="1:4" x14ac:dyDescent="0.25">
      <c r="A1120">
        <v>1065</v>
      </c>
      <c r="B1120">
        <f>B1119+IF('Cleaned Data'!L1066&gt;0,1,0)*IF($B$34="Overall",1,IF('Cleaned Data'!K1066=$B$34,1,0))*(IF('Cleaned Data'!H1066&lt;&gt;"",1,0))</f>
        <v>506</v>
      </c>
      <c r="C1120" t="e">
        <f>INDEX('Cleaned Data'!H:H,MATCH($A1120,$B$56:$B$1919,0))</f>
        <v>#N/A</v>
      </c>
      <c r="D1120" t="e">
        <f>INDEX('Cleaned Data'!L:L,MATCH($A1120,$B$56:$B$1919,0))</f>
        <v>#N/A</v>
      </c>
    </row>
    <row r="1121" spans="1:4" x14ac:dyDescent="0.25">
      <c r="A1121">
        <v>1066</v>
      </c>
      <c r="B1121">
        <f>B1120+IF('Cleaned Data'!L1067&gt;0,1,0)*IF($B$34="Overall",1,IF('Cleaned Data'!K1067=$B$34,1,0))*(IF('Cleaned Data'!H1067&lt;&gt;"",1,0))</f>
        <v>507</v>
      </c>
      <c r="C1121" t="e">
        <f>INDEX('Cleaned Data'!H:H,MATCH($A1121,$B$56:$B$1919,0))</f>
        <v>#N/A</v>
      </c>
      <c r="D1121" t="e">
        <f>INDEX('Cleaned Data'!L:L,MATCH($A1121,$B$56:$B$1919,0))</f>
        <v>#N/A</v>
      </c>
    </row>
    <row r="1122" spans="1:4" x14ac:dyDescent="0.25">
      <c r="A1122">
        <v>1067</v>
      </c>
      <c r="B1122">
        <f>B1121+IF('Cleaned Data'!L1068&gt;0,1,0)*IF($B$34="Overall",1,IF('Cleaned Data'!K1068=$B$34,1,0))*(IF('Cleaned Data'!H1068&lt;&gt;"",1,0))</f>
        <v>508</v>
      </c>
      <c r="C1122" t="e">
        <f>INDEX('Cleaned Data'!H:H,MATCH($A1122,$B$56:$B$1919,0))</f>
        <v>#N/A</v>
      </c>
      <c r="D1122" t="e">
        <f>INDEX('Cleaned Data'!L:L,MATCH($A1122,$B$56:$B$1919,0))</f>
        <v>#N/A</v>
      </c>
    </row>
    <row r="1123" spans="1:4" x14ac:dyDescent="0.25">
      <c r="A1123">
        <v>1068</v>
      </c>
      <c r="B1123">
        <f>B1122+IF('Cleaned Data'!L1069&gt;0,1,0)*IF($B$34="Overall",1,IF('Cleaned Data'!K1069=$B$34,1,0))*(IF('Cleaned Data'!H1069&lt;&gt;"",1,0))</f>
        <v>509</v>
      </c>
      <c r="C1123" t="e">
        <f>INDEX('Cleaned Data'!H:H,MATCH($A1123,$B$56:$B$1919,0))</f>
        <v>#N/A</v>
      </c>
      <c r="D1123" t="e">
        <f>INDEX('Cleaned Data'!L:L,MATCH($A1123,$B$56:$B$1919,0))</f>
        <v>#N/A</v>
      </c>
    </row>
    <row r="1124" spans="1:4" x14ac:dyDescent="0.25">
      <c r="A1124">
        <v>1069</v>
      </c>
      <c r="B1124">
        <f>B1123+IF('Cleaned Data'!L1070&gt;0,1,0)*IF($B$34="Overall",1,IF('Cleaned Data'!K1070=$B$34,1,0))*(IF('Cleaned Data'!H1070&lt;&gt;"",1,0))</f>
        <v>509</v>
      </c>
      <c r="C1124" t="e">
        <f>INDEX('Cleaned Data'!H:H,MATCH($A1124,$B$56:$B$1919,0))</f>
        <v>#N/A</v>
      </c>
      <c r="D1124" t="e">
        <f>INDEX('Cleaned Data'!L:L,MATCH($A1124,$B$56:$B$1919,0))</f>
        <v>#N/A</v>
      </c>
    </row>
    <row r="1125" spans="1:4" x14ac:dyDescent="0.25">
      <c r="A1125">
        <v>1070</v>
      </c>
      <c r="B1125">
        <f>B1124+IF('Cleaned Data'!L1071&gt;0,1,0)*IF($B$34="Overall",1,IF('Cleaned Data'!K1071=$B$34,1,0))*(IF('Cleaned Data'!H1071&lt;&gt;"",1,0))</f>
        <v>509</v>
      </c>
      <c r="C1125" t="e">
        <f>INDEX('Cleaned Data'!H:H,MATCH($A1125,$B$56:$B$1919,0))</f>
        <v>#N/A</v>
      </c>
      <c r="D1125" t="e">
        <f>INDEX('Cleaned Data'!L:L,MATCH($A1125,$B$56:$B$1919,0))</f>
        <v>#N/A</v>
      </c>
    </row>
    <row r="1126" spans="1:4" x14ac:dyDescent="0.25">
      <c r="A1126">
        <v>1071</v>
      </c>
      <c r="B1126">
        <f>B1125+IF('Cleaned Data'!L1072&gt;0,1,0)*IF($B$34="Overall",1,IF('Cleaned Data'!K1072=$B$34,1,0))*(IF('Cleaned Data'!H1072&lt;&gt;"",1,0))</f>
        <v>509</v>
      </c>
      <c r="C1126" t="e">
        <f>INDEX('Cleaned Data'!H:H,MATCH($A1126,$B$56:$B$1919,0))</f>
        <v>#N/A</v>
      </c>
      <c r="D1126" t="e">
        <f>INDEX('Cleaned Data'!L:L,MATCH($A1126,$B$56:$B$1919,0))</f>
        <v>#N/A</v>
      </c>
    </row>
    <row r="1127" spans="1:4" x14ac:dyDescent="0.25">
      <c r="A1127">
        <v>1072</v>
      </c>
      <c r="B1127">
        <f>B1126+IF('Cleaned Data'!L1073&gt;0,1,0)*IF($B$34="Overall",1,IF('Cleaned Data'!K1073=$B$34,1,0))*(IF('Cleaned Data'!H1073&lt;&gt;"",1,0))</f>
        <v>509</v>
      </c>
      <c r="C1127" t="e">
        <f>INDEX('Cleaned Data'!H:H,MATCH($A1127,$B$56:$B$1919,0))</f>
        <v>#N/A</v>
      </c>
      <c r="D1127" t="e">
        <f>INDEX('Cleaned Data'!L:L,MATCH($A1127,$B$56:$B$1919,0))</f>
        <v>#N/A</v>
      </c>
    </row>
    <row r="1128" spans="1:4" x14ac:dyDescent="0.25">
      <c r="A1128">
        <v>1073</v>
      </c>
      <c r="B1128">
        <f>B1127+IF('Cleaned Data'!L1074&gt;0,1,0)*IF($B$34="Overall",1,IF('Cleaned Data'!K1074=$B$34,1,0))*(IF('Cleaned Data'!H1074&lt;&gt;"",1,0))</f>
        <v>509</v>
      </c>
      <c r="C1128" t="e">
        <f>INDEX('Cleaned Data'!H:H,MATCH($A1128,$B$56:$B$1919,0))</f>
        <v>#N/A</v>
      </c>
      <c r="D1128" t="e">
        <f>INDEX('Cleaned Data'!L:L,MATCH($A1128,$B$56:$B$1919,0))</f>
        <v>#N/A</v>
      </c>
    </row>
    <row r="1129" spans="1:4" x14ac:dyDescent="0.25">
      <c r="A1129">
        <v>1074</v>
      </c>
      <c r="B1129">
        <f>B1128+IF('Cleaned Data'!L1075&gt;0,1,0)*IF($B$34="Overall",1,IF('Cleaned Data'!K1075=$B$34,1,0))*(IF('Cleaned Data'!H1075&lt;&gt;"",1,0))</f>
        <v>509</v>
      </c>
      <c r="C1129" t="e">
        <f>INDEX('Cleaned Data'!H:H,MATCH($A1129,$B$56:$B$1919,0))</f>
        <v>#N/A</v>
      </c>
      <c r="D1129" t="e">
        <f>INDEX('Cleaned Data'!L:L,MATCH($A1129,$B$56:$B$1919,0))</f>
        <v>#N/A</v>
      </c>
    </row>
    <row r="1130" spans="1:4" x14ac:dyDescent="0.25">
      <c r="A1130">
        <v>1075</v>
      </c>
      <c r="B1130">
        <f>B1129+IF('Cleaned Data'!L1076&gt;0,1,0)*IF($B$34="Overall",1,IF('Cleaned Data'!K1076=$B$34,1,0))*(IF('Cleaned Data'!H1076&lt;&gt;"",1,0))</f>
        <v>509</v>
      </c>
      <c r="C1130" t="e">
        <f>INDEX('Cleaned Data'!H:H,MATCH($A1130,$B$56:$B$1919,0))</f>
        <v>#N/A</v>
      </c>
      <c r="D1130" t="e">
        <f>INDEX('Cleaned Data'!L:L,MATCH($A1130,$B$56:$B$1919,0))</f>
        <v>#N/A</v>
      </c>
    </row>
    <row r="1131" spans="1:4" x14ac:dyDescent="0.25">
      <c r="A1131">
        <v>1076</v>
      </c>
      <c r="B1131">
        <f>B1130+IF('Cleaned Data'!L1077&gt;0,1,0)*IF($B$34="Overall",1,IF('Cleaned Data'!K1077=$B$34,1,0))*(IF('Cleaned Data'!H1077&lt;&gt;"",1,0))</f>
        <v>509</v>
      </c>
      <c r="C1131" t="e">
        <f>INDEX('Cleaned Data'!H:H,MATCH($A1131,$B$56:$B$1919,0))</f>
        <v>#N/A</v>
      </c>
      <c r="D1131" t="e">
        <f>INDEX('Cleaned Data'!L:L,MATCH($A1131,$B$56:$B$1919,0))</f>
        <v>#N/A</v>
      </c>
    </row>
    <row r="1132" spans="1:4" x14ac:dyDescent="0.25">
      <c r="A1132">
        <v>1077</v>
      </c>
      <c r="B1132">
        <f>B1131+IF('Cleaned Data'!L1078&gt;0,1,0)*IF($B$34="Overall",1,IF('Cleaned Data'!K1078=$B$34,1,0))*(IF('Cleaned Data'!H1078&lt;&gt;"",1,0))</f>
        <v>509</v>
      </c>
      <c r="C1132" t="e">
        <f>INDEX('Cleaned Data'!H:H,MATCH($A1132,$B$56:$B$1919,0))</f>
        <v>#N/A</v>
      </c>
      <c r="D1132" t="e">
        <f>INDEX('Cleaned Data'!L:L,MATCH($A1132,$B$56:$B$1919,0))</f>
        <v>#N/A</v>
      </c>
    </row>
    <row r="1133" spans="1:4" x14ac:dyDescent="0.25">
      <c r="A1133">
        <v>1078</v>
      </c>
      <c r="B1133">
        <f>B1132+IF('Cleaned Data'!L1079&gt;0,1,0)*IF($B$34="Overall",1,IF('Cleaned Data'!K1079=$B$34,1,0))*(IF('Cleaned Data'!H1079&lt;&gt;"",1,0))</f>
        <v>509</v>
      </c>
      <c r="C1133" t="e">
        <f>INDEX('Cleaned Data'!H:H,MATCH($A1133,$B$56:$B$1919,0))</f>
        <v>#N/A</v>
      </c>
      <c r="D1133" t="e">
        <f>INDEX('Cleaned Data'!L:L,MATCH($A1133,$B$56:$B$1919,0))</f>
        <v>#N/A</v>
      </c>
    </row>
    <row r="1134" spans="1:4" x14ac:dyDescent="0.25">
      <c r="A1134">
        <v>1079</v>
      </c>
      <c r="B1134">
        <f>B1133+IF('Cleaned Data'!L1080&gt;0,1,0)*IF($B$34="Overall",1,IF('Cleaned Data'!K1080=$B$34,1,0))*(IF('Cleaned Data'!H1080&lt;&gt;"",1,0))</f>
        <v>509</v>
      </c>
      <c r="C1134" t="e">
        <f>INDEX('Cleaned Data'!H:H,MATCH($A1134,$B$56:$B$1919,0))</f>
        <v>#N/A</v>
      </c>
      <c r="D1134" t="e">
        <f>INDEX('Cleaned Data'!L:L,MATCH($A1134,$B$56:$B$1919,0))</f>
        <v>#N/A</v>
      </c>
    </row>
    <row r="1135" spans="1:4" x14ac:dyDescent="0.25">
      <c r="A1135">
        <v>1080</v>
      </c>
      <c r="B1135">
        <f>B1134+IF('Cleaned Data'!L1081&gt;0,1,0)*IF($B$34="Overall",1,IF('Cleaned Data'!K1081=$B$34,1,0))*(IF('Cleaned Data'!H1081&lt;&gt;"",1,0))</f>
        <v>509</v>
      </c>
      <c r="C1135" t="e">
        <f>INDEX('Cleaned Data'!H:H,MATCH($A1135,$B$56:$B$1919,0))</f>
        <v>#N/A</v>
      </c>
      <c r="D1135" t="e">
        <f>INDEX('Cleaned Data'!L:L,MATCH($A1135,$B$56:$B$1919,0))</f>
        <v>#N/A</v>
      </c>
    </row>
    <row r="1136" spans="1:4" x14ac:dyDescent="0.25">
      <c r="A1136">
        <v>1081</v>
      </c>
      <c r="B1136">
        <f>B1135+IF('Cleaned Data'!L1082&gt;0,1,0)*IF($B$34="Overall",1,IF('Cleaned Data'!K1082=$B$34,1,0))*(IF('Cleaned Data'!H1082&lt;&gt;"",1,0))</f>
        <v>509</v>
      </c>
      <c r="C1136" t="e">
        <f>INDEX('Cleaned Data'!H:H,MATCH($A1136,$B$56:$B$1919,0))</f>
        <v>#N/A</v>
      </c>
      <c r="D1136" t="e">
        <f>INDEX('Cleaned Data'!L:L,MATCH($A1136,$B$56:$B$1919,0))</f>
        <v>#N/A</v>
      </c>
    </row>
    <row r="1137" spans="1:4" x14ac:dyDescent="0.25">
      <c r="A1137">
        <v>1082</v>
      </c>
      <c r="B1137">
        <f>B1136+IF('Cleaned Data'!L1083&gt;0,1,0)*IF($B$34="Overall",1,IF('Cleaned Data'!K1083=$B$34,1,0))*(IF('Cleaned Data'!H1083&lt;&gt;"",1,0))</f>
        <v>509</v>
      </c>
      <c r="C1137" t="e">
        <f>INDEX('Cleaned Data'!H:H,MATCH($A1137,$B$56:$B$1919,0))</f>
        <v>#N/A</v>
      </c>
      <c r="D1137" t="e">
        <f>INDEX('Cleaned Data'!L:L,MATCH($A1137,$B$56:$B$1919,0))</f>
        <v>#N/A</v>
      </c>
    </row>
    <row r="1138" spans="1:4" x14ac:dyDescent="0.25">
      <c r="A1138">
        <v>1083</v>
      </c>
      <c r="B1138">
        <f>B1137+IF('Cleaned Data'!L1084&gt;0,1,0)*IF($B$34="Overall",1,IF('Cleaned Data'!K1084=$B$34,1,0))*(IF('Cleaned Data'!H1084&lt;&gt;"",1,0))</f>
        <v>510</v>
      </c>
      <c r="C1138" t="e">
        <f>INDEX('Cleaned Data'!H:H,MATCH($A1138,$B$56:$B$1919,0))</f>
        <v>#N/A</v>
      </c>
      <c r="D1138" t="e">
        <f>INDEX('Cleaned Data'!L:L,MATCH($A1138,$B$56:$B$1919,0))</f>
        <v>#N/A</v>
      </c>
    </row>
    <row r="1139" spans="1:4" x14ac:dyDescent="0.25">
      <c r="A1139">
        <v>1084</v>
      </c>
      <c r="B1139">
        <f>B1138+IF('Cleaned Data'!L1085&gt;0,1,0)*IF($B$34="Overall",1,IF('Cleaned Data'!K1085=$B$34,1,0))*(IF('Cleaned Data'!H1085&lt;&gt;"",1,0))</f>
        <v>511</v>
      </c>
      <c r="C1139" t="e">
        <f>INDEX('Cleaned Data'!H:H,MATCH($A1139,$B$56:$B$1919,0))</f>
        <v>#N/A</v>
      </c>
      <c r="D1139" t="e">
        <f>INDEX('Cleaned Data'!L:L,MATCH($A1139,$B$56:$B$1919,0))</f>
        <v>#N/A</v>
      </c>
    </row>
    <row r="1140" spans="1:4" x14ac:dyDescent="0.25">
      <c r="A1140">
        <v>1085</v>
      </c>
      <c r="B1140">
        <f>B1139+IF('Cleaned Data'!L1086&gt;0,1,0)*IF($B$34="Overall",1,IF('Cleaned Data'!K1086=$B$34,1,0))*(IF('Cleaned Data'!H1086&lt;&gt;"",1,0))</f>
        <v>512</v>
      </c>
      <c r="C1140" t="e">
        <f>INDEX('Cleaned Data'!H:H,MATCH($A1140,$B$56:$B$1919,0))</f>
        <v>#N/A</v>
      </c>
      <c r="D1140" t="e">
        <f>INDEX('Cleaned Data'!L:L,MATCH($A1140,$B$56:$B$1919,0))</f>
        <v>#N/A</v>
      </c>
    </row>
    <row r="1141" spans="1:4" x14ac:dyDescent="0.25">
      <c r="A1141">
        <v>1086</v>
      </c>
      <c r="B1141">
        <f>B1140+IF('Cleaned Data'!L1087&gt;0,1,0)*IF($B$34="Overall",1,IF('Cleaned Data'!K1087=$B$34,1,0))*(IF('Cleaned Data'!H1087&lt;&gt;"",1,0))</f>
        <v>513</v>
      </c>
      <c r="C1141" t="e">
        <f>INDEX('Cleaned Data'!H:H,MATCH($A1141,$B$56:$B$1919,0))</f>
        <v>#N/A</v>
      </c>
      <c r="D1141" t="e">
        <f>INDEX('Cleaned Data'!L:L,MATCH($A1141,$B$56:$B$1919,0))</f>
        <v>#N/A</v>
      </c>
    </row>
    <row r="1142" spans="1:4" x14ac:dyDescent="0.25">
      <c r="A1142">
        <v>1087</v>
      </c>
      <c r="B1142">
        <f>B1141+IF('Cleaned Data'!L1088&gt;0,1,0)*IF($B$34="Overall",1,IF('Cleaned Data'!K1088=$B$34,1,0))*(IF('Cleaned Data'!H1088&lt;&gt;"",1,0))</f>
        <v>513</v>
      </c>
      <c r="C1142" t="e">
        <f>INDEX('Cleaned Data'!H:H,MATCH($A1142,$B$56:$B$1919,0))</f>
        <v>#N/A</v>
      </c>
      <c r="D1142" t="e">
        <f>INDEX('Cleaned Data'!L:L,MATCH($A1142,$B$56:$B$1919,0))</f>
        <v>#N/A</v>
      </c>
    </row>
    <row r="1143" spans="1:4" x14ac:dyDescent="0.25">
      <c r="A1143">
        <v>1088</v>
      </c>
      <c r="B1143">
        <f>B1142+IF('Cleaned Data'!L1089&gt;0,1,0)*IF($B$34="Overall",1,IF('Cleaned Data'!K1089=$B$34,1,0))*(IF('Cleaned Data'!H1089&lt;&gt;"",1,0))</f>
        <v>513</v>
      </c>
      <c r="C1143" t="e">
        <f>INDEX('Cleaned Data'!H:H,MATCH($A1143,$B$56:$B$1919,0))</f>
        <v>#N/A</v>
      </c>
      <c r="D1143" t="e">
        <f>INDEX('Cleaned Data'!L:L,MATCH($A1143,$B$56:$B$1919,0))</f>
        <v>#N/A</v>
      </c>
    </row>
    <row r="1144" spans="1:4" x14ac:dyDescent="0.25">
      <c r="A1144">
        <v>1089</v>
      </c>
      <c r="B1144">
        <f>B1143+IF('Cleaned Data'!L1090&gt;0,1,0)*IF($B$34="Overall",1,IF('Cleaned Data'!K1090=$B$34,1,0))*(IF('Cleaned Data'!H1090&lt;&gt;"",1,0))</f>
        <v>513</v>
      </c>
      <c r="C1144" t="e">
        <f>INDEX('Cleaned Data'!H:H,MATCH($A1144,$B$56:$B$1919,0))</f>
        <v>#N/A</v>
      </c>
      <c r="D1144" t="e">
        <f>INDEX('Cleaned Data'!L:L,MATCH($A1144,$B$56:$B$1919,0))</f>
        <v>#N/A</v>
      </c>
    </row>
    <row r="1145" spans="1:4" x14ac:dyDescent="0.25">
      <c r="A1145">
        <v>1090</v>
      </c>
      <c r="B1145">
        <f>B1144+IF('Cleaned Data'!L1091&gt;0,1,0)*IF($B$34="Overall",1,IF('Cleaned Data'!K1091=$B$34,1,0))*(IF('Cleaned Data'!H1091&lt;&gt;"",1,0))</f>
        <v>513</v>
      </c>
      <c r="C1145" t="e">
        <f>INDEX('Cleaned Data'!H:H,MATCH($A1145,$B$56:$B$1919,0))</f>
        <v>#N/A</v>
      </c>
      <c r="D1145" t="e">
        <f>INDEX('Cleaned Data'!L:L,MATCH($A1145,$B$56:$B$1919,0))</f>
        <v>#N/A</v>
      </c>
    </row>
    <row r="1146" spans="1:4" x14ac:dyDescent="0.25">
      <c r="A1146">
        <v>1091</v>
      </c>
      <c r="B1146">
        <f>B1145+IF('Cleaned Data'!L1092&gt;0,1,0)*IF($B$34="Overall",1,IF('Cleaned Data'!K1092=$B$34,1,0))*(IF('Cleaned Data'!H1092&lt;&gt;"",1,0))</f>
        <v>513</v>
      </c>
      <c r="C1146" t="e">
        <f>INDEX('Cleaned Data'!H:H,MATCH($A1146,$B$56:$B$1919,0))</f>
        <v>#N/A</v>
      </c>
      <c r="D1146" t="e">
        <f>INDEX('Cleaned Data'!L:L,MATCH($A1146,$B$56:$B$1919,0))</f>
        <v>#N/A</v>
      </c>
    </row>
    <row r="1147" spans="1:4" x14ac:dyDescent="0.25">
      <c r="A1147">
        <v>1092</v>
      </c>
      <c r="B1147">
        <f>B1146+IF('Cleaned Data'!L1093&gt;0,1,0)*IF($B$34="Overall",1,IF('Cleaned Data'!K1093=$B$34,1,0))*(IF('Cleaned Data'!H1093&lt;&gt;"",1,0))</f>
        <v>513</v>
      </c>
      <c r="C1147" t="e">
        <f>INDEX('Cleaned Data'!H:H,MATCH($A1147,$B$56:$B$1919,0))</f>
        <v>#N/A</v>
      </c>
      <c r="D1147" t="e">
        <f>INDEX('Cleaned Data'!L:L,MATCH($A1147,$B$56:$B$1919,0))</f>
        <v>#N/A</v>
      </c>
    </row>
    <row r="1148" spans="1:4" x14ac:dyDescent="0.25">
      <c r="A1148">
        <v>1093</v>
      </c>
      <c r="B1148">
        <f>B1147+IF('Cleaned Data'!L1094&gt;0,1,0)*IF($B$34="Overall",1,IF('Cleaned Data'!K1094=$B$34,1,0))*(IF('Cleaned Data'!H1094&lt;&gt;"",1,0))</f>
        <v>513</v>
      </c>
      <c r="C1148" t="e">
        <f>INDEX('Cleaned Data'!H:H,MATCH($A1148,$B$56:$B$1919,0))</f>
        <v>#N/A</v>
      </c>
      <c r="D1148" t="e">
        <f>INDEX('Cleaned Data'!L:L,MATCH($A1148,$B$56:$B$1919,0))</f>
        <v>#N/A</v>
      </c>
    </row>
    <row r="1149" spans="1:4" x14ac:dyDescent="0.25">
      <c r="A1149">
        <v>1094</v>
      </c>
      <c r="B1149">
        <f>B1148+IF('Cleaned Data'!L1095&gt;0,1,0)*IF($B$34="Overall",1,IF('Cleaned Data'!K1095=$B$34,1,0))*(IF('Cleaned Data'!H1095&lt;&gt;"",1,0))</f>
        <v>513</v>
      </c>
      <c r="C1149" t="e">
        <f>INDEX('Cleaned Data'!H:H,MATCH($A1149,$B$56:$B$1919,0))</f>
        <v>#N/A</v>
      </c>
      <c r="D1149" t="e">
        <f>INDEX('Cleaned Data'!L:L,MATCH($A1149,$B$56:$B$1919,0))</f>
        <v>#N/A</v>
      </c>
    </row>
    <row r="1150" spans="1:4" x14ac:dyDescent="0.25">
      <c r="A1150">
        <v>1095</v>
      </c>
      <c r="B1150">
        <f>B1149+IF('Cleaned Data'!L1096&gt;0,1,0)*IF($B$34="Overall",1,IF('Cleaned Data'!K1096=$B$34,1,0))*(IF('Cleaned Data'!H1096&lt;&gt;"",1,0))</f>
        <v>513</v>
      </c>
      <c r="C1150" t="e">
        <f>INDEX('Cleaned Data'!H:H,MATCH($A1150,$B$56:$B$1919,0))</f>
        <v>#N/A</v>
      </c>
      <c r="D1150" t="e">
        <f>INDEX('Cleaned Data'!L:L,MATCH($A1150,$B$56:$B$1919,0))</f>
        <v>#N/A</v>
      </c>
    </row>
    <row r="1151" spans="1:4" x14ac:dyDescent="0.25">
      <c r="A1151">
        <v>1096</v>
      </c>
      <c r="B1151">
        <f>B1150+IF('Cleaned Data'!L1097&gt;0,1,0)*IF($B$34="Overall",1,IF('Cleaned Data'!K1097=$B$34,1,0))*(IF('Cleaned Data'!H1097&lt;&gt;"",1,0))</f>
        <v>513</v>
      </c>
      <c r="C1151" t="e">
        <f>INDEX('Cleaned Data'!H:H,MATCH($A1151,$B$56:$B$1919,0))</f>
        <v>#N/A</v>
      </c>
      <c r="D1151" t="e">
        <f>INDEX('Cleaned Data'!L:L,MATCH($A1151,$B$56:$B$1919,0))</f>
        <v>#N/A</v>
      </c>
    </row>
    <row r="1152" spans="1:4" x14ac:dyDescent="0.25">
      <c r="A1152">
        <v>1097</v>
      </c>
      <c r="B1152">
        <f>B1151+IF('Cleaned Data'!L1098&gt;0,1,0)*IF($B$34="Overall",1,IF('Cleaned Data'!K1098=$B$34,1,0))*(IF('Cleaned Data'!H1098&lt;&gt;"",1,0))</f>
        <v>513</v>
      </c>
      <c r="C1152" t="e">
        <f>INDEX('Cleaned Data'!H:H,MATCH($A1152,$B$56:$B$1919,0))</f>
        <v>#N/A</v>
      </c>
      <c r="D1152" t="e">
        <f>INDEX('Cleaned Data'!L:L,MATCH($A1152,$B$56:$B$1919,0))</f>
        <v>#N/A</v>
      </c>
    </row>
    <row r="1153" spans="1:4" x14ac:dyDescent="0.25">
      <c r="A1153">
        <v>1098</v>
      </c>
      <c r="B1153">
        <f>B1152+IF('Cleaned Data'!L1099&gt;0,1,0)*IF($B$34="Overall",1,IF('Cleaned Data'!K1099=$B$34,1,0))*(IF('Cleaned Data'!H1099&lt;&gt;"",1,0))</f>
        <v>514</v>
      </c>
      <c r="C1153" t="e">
        <f>INDEX('Cleaned Data'!H:H,MATCH($A1153,$B$56:$B$1919,0))</f>
        <v>#N/A</v>
      </c>
      <c r="D1153" t="e">
        <f>INDEX('Cleaned Data'!L:L,MATCH($A1153,$B$56:$B$1919,0))</f>
        <v>#N/A</v>
      </c>
    </row>
    <row r="1154" spans="1:4" x14ac:dyDescent="0.25">
      <c r="A1154">
        <v>1099</v>
      </c>
      <c r="B1154">
        <f>B1153+IF('Cleaned Data'!L1100&gt;0,1,0)*IF($B$34="Overall",1,IF('Cleaned Data'!K1100=$B$34,1,0))*(IF('Cleaned Data'!H1100&lt;&gt;"",1,0))</f>
        <v>515</v>
      </c>
      <c r="C1154" t="e">
        <f>INDEX('Cleaned Data'!H:H,MATCH($A1154,$B$56:$B$1919,0))</f>
        <v>#N/A</v>
      </c>
      <c r="D1154" t="e">
        <f>INDEX('Cleaned Data'!L:L,MATCH($A1154,$B$56:$B$1919,0))</f>
        <v>#N/A</v>
      </c>
    </row>
    <row r="1155" spans="1:4" x14ac:dyDescent="0.25">
      <c r="A1155">
        <v>1100</v>
      </c>
      <c r="B1155">
        <f>B1154+IF('Cleaned Data'!L1101&gt;0,1,0)*IF($B$34="Overall",1,IF('Cleaned Data'!K1101=$B$34,1,0))*(IF('Cleaned Data'!H1101&lt;&gt;"",1,0))</f>
        <v>515</v>
      </c>
      <c r="C1155" t="e">
        <f>INDEX('Cleaned Data'!H:H,MATCH($A1155,$B$56:$B$1919,0))</f>
        <v>#N/A</v>
      </c>
      <c r="D1155" t="e">
        <f>INDEX('Cleaned Data'!L:L,MATCH($A1155,$B$56:$B$1919,0))</f>
        <v>#N/A</v>
      </c>
    </row>
    <row r="1156" spans="1:4" x14ac:dyDescent="0.25">
      <c r="A1156">
        <v>1101</v>
      </c>
      <c r="B1156">
        <f>B1155+IF('Cleaned Data'!L1102&gt;0,1,0)*IF($B$34="Overall",1,IF('Cleaned Data'!K1102=$B$34,1,0))*(IF('Cleaned Data'!H1102&lt;&gt;"",1,0))</f>
        <v>515</v>
      </c>
      <c r="C1156" t="e">
        <f>INDEX('Cleaned Data'!H:H,MATCH($A1156,$B$56:$B$1919,0))</f>
        <v>#N/A</v>
      </c>
      <c r="D1156" t="e">
        <f>INDEX('Cleaned Data'!L:L,MATCH($A1156,$B$56:$B$1919,0))</f>
        <v>#N/A</v>
      </c>
    </row>
    <row r="1157" spans="1:4" x14ac:dyDescent="0.25">
      <c r="A1157">
        <v>1102</v>
      </c>
      <c r="B1157">
        <f>B1156+IF('Cleaned Data'!L1103&gt;0,1,0)*IF($B$34="Overall",1,IF('Cleaned Data'!K1103=$B$34,1,0))*(IF('Cleaned Data'!H1103&lt;&gt;"",1,0))</f>
        <v>515</v>
      </c>
      <c r="C1157" t="e">
        <f>INDEX('Cleaned Data'!H:H,MATCH($A1157,$B$56:$B$1919,0))</f>
        <v>#N/A</v>
      </c>
      <c r="D1157" t="e">
        <f>INDEX('Cleaned Data'!L:L,MATCH($A1157,$B$56:$B$1919,0))</f>
        <v>#N/A</v>
      </c>
    </row>
    <row r="1158" spans="1:4" x14ac:dyDescent="0.25">
      <c r="A1158">
        <v>1103</v>
      </c>
      <c r="B1158">
        <f>B1157+IF('Cleaned Data'!L1104&gt;0,1,0)*IF($B$34="Overall",1,IF('Cleaned Data'!K1104=$B$34,1,0))*(IF('Cleaned Data'!H1104&lt;&gt;"",1,0))</f>
        <v>515</v>
      </c>
      <c r="C1158" t="e">
        <f>INDEX('Cleaned Data'!H:H,MATCH($A1158,$B$56:$B$1919,0))</f>
        <v>#N/A</v>
      </c>
      <c r="D1158" t="e">
        <f>INDEX('Cleaned Data'!L:L,MATCH($A1158,$B$56:$B$1919,0))</f>
        <v>#N/A</v>
      </c>
    </row>
    <row r="1159" spans="1:4" x14ac:dyDescent="0.25">
      <c r="A1159">
        <v>1104</v>
      </c>
      <c r="B1159">
        <f>B1158+IF('Cleaned Data'!L1105&gt;0,1,0)*IF($B$34="Overall",1,IF('Cleaned Data'!K1105=$B$34,1,0))*(IF('Cleaned Data'!H1105&lt;&gt;"",1,0))</f>
        <v>515</v>
      </c>
      <c r="C1159" t="e">
        <f>INDEX('Cleaned Data'!H:H,MATCH($A1159,$B$56:$B$1919,0))</f>
        <v>#N/A</v>
      </c>
      <c r="D1159" t="e">
        <f>INDEX('Cleaned Data'!L:L,MATCH($A1159,$B$56:$B$1919,0))</f>
        <v>#N/A</v>
      </c>
    </row>
    <row r="1160" spans="1:4" x14ac:dyDescent="0.25">
      <c r="A1160">
        <v>1105</v>
      </c>
      <c r="B1160">
        <f>B1159+IF('Cleaned Data'!L1106&gt;0,1,0)*IF($B$34="Overall",1,IF('Cleaned Data'!K1106=$B$34,1,0))*(IF('Cleaned Data'!H1106&lt;&gt;"",1,0))</f>
        <v>515</v>
      </c>
      <c r="C1160" t="e">
        <f>INDEX('Cleaned Data'!H:H,MATCH($A1160,$B$56:$B$1919,0))</f>
        <v>#N/A</v>
      </c>
      <c r="D1160" t="e">
        <f>INDEX('Cleaned Data'!L:L,MATCH($A1160,$B$56:$B$1919,0))</f>
        <v>#N/A</v>
      </c>
    </row>
    <row r="1161" spans="1:4" x14ac:dyDescent="0.25">
      <c r="A1161">
        <v>1106</v>
      </c>
      <c r="B1161">
        <f>B1160+IF('Cleaned Data'!L1107&gt;0,1,0)*IF($B$34="Overall",1,IF('Cleaned Data'!K1107=$B$34,1,0))*(IF('Cleaned Data'!H1107&lt;&gt;"",1,0))</f>
        <v>515</v>
      </c>
      <c r="C1161" t="e">
        <f>INDEX('Cleaned Data'!H:H,MATCH($A1161,$B$56:$B$1919,0))</f>
        <v>#N/A</v>
      </c>
      <c r="D1161" t="e">
        <f>INDEX('Cleaned Data'!L:L,MATCH($A1161,$B$56:$B$1919,0))</f>
        <v>#N/A</v>
      </c>
    </row>
    <row r="1162" spans="1:4" x14ac:dyDescent="0.25">
      <c r="A1162">
        <v>1107</v>
      </c>
      <c r="B1162">
        <f>B1161+IF('Cleaned Data'!L1108&gt;0,1,0)*IF($B$34="Overall",1,IF('Cleaned Data'!K1108=$B$34,1,0))*(IF('Cleaned Data'!H1108&lt;&gt;"",1,0))</f>
        <v>515</v>
      </c>
      <c r="C1162" t="e">
        <f>INDEX('Cleaned Data'!H:H,MATCH($A1162,$B$56:$B$1919,0))</f>
        <v>#N/A</v>
      </c>
      <c r="D1162" t="e">
        <f>INDEX('Cleaned Data'!L:L,MATCH($A1162,$B$56:$B$1919,0))</f>
        <v>#N/A</v>
      </c>
    </row>
    <row r="1163" spans="1:4" x14ac:dyDescent="0.25">
      <c r="A1163">
        <v>1108</v>
      </c>
      <c r="B1163">
        <f>B1162+IF('Cleaned Data'!L1109&gt;0,1,0)*IF($B$34="Overall",1,IF('Cleaned Data'!K1109=$B$34,1,0))*(IF('Cleaned Data'!H1109&lt;&gt;"",1,0))</f>
        <v>515</v>
      </c>
      <c r="C1163" t="e">
        <f>INDEX('Cleaned Data'!H:H,MATCH($A1163,$B$56:$B$1919,0))</f>
        <v>#N/A</v>
      </c>
      <c r="D1163" t="e">
        <f>INDEX('Cleaned Data'!L:L,MATCH($A1163,$B$56:$B$1919,0))</f>
        <v>#N/A</v>
      </c>
    </row>
    <row r="1164" spans="1:4" x14ac:dyDescent="0.25">
      <c r="A1164">
        <v>1109</v>
      </c>
      <c r="B1164">
        <f>B1163+IF('Cleaned Data'!L1110&gt;0,1,0)*IF($B$34="Overall",1,IF('Cleaned Data'!K1110=$B$34,1,0))*(IF('Cleaned Data'!H1110&lt;&gt;"",1,0))</f>
        <v>515</v>
      </c>
      <c r="C1164" t="e">
        <f>INDEX('Cleaned Data'!H:H,MATCH($A1164,$B$56:$B$1919,0))</f>
        <v>#N/A</v>
      </c>
      <c r="D1164" t="e">
        <f>INDEX('Cleaned Data'!L:L,MATCH($A1164,$B$56:$B$1919,0))</f>
        <v>#N/A</v>
      </c>
    </row>
    <row r="1165" spans="1:4" x14ac:dyDescent="0.25">
      <c r="A1165">
        <v>1110</v>
      </c>
      <c r="B1165">
        <f>B1164+IF('Cleaned Data'!L1111&gt;0,1,0)*IF($B$34="Overall",1,IF('Cleaned Data'!K1111=$B$34,1,0))*(IF('Cleaned Data'!H1111&lt;&gt;"",1,0))</f>
        <v>515</v>
      </c>
      <c r="C1165" t="e">
        <f>INDEX('Cleaned Data'!H:H,MATCH($A1165,$B$56:$B$1919,0))</f>
        <v>#N/A</v>
      </c>
      <c r="D1165" t="e">
        <f>INDEX('Cleaned Data'!L:L,MATCH($A1165,$B$56:$B$1919,0))</f>
        <v>#N/A</v>
      </c>
    </row>
    <row r="1166" spans="1:4" x14ac:dyDescent="0.25">
      <c r="A1166">
        <v>1111</v>
      </c>
      <c r="B1166">
        <f>B1165+IF('Cleaned Data'!L1112&gt;0,1,0)*IF($B$34="Overall",1,IF('Cleaned Data'!K1112=$B$34,1,0))*(IF('Cleaned Data'!H1112&lt;&gt;"",1,0))</f>
        <v>515</v>
      </c>
      <c r="C1166" t="e">
        <f>INDEX('Cleaned Data'!H:H,MATCH($A1166,$B$56:$B$1919,0))</f>
        <v>#N/A</v>
      </c>
      <c r="D1166" t="e">
        <f>INDEX('Cleaned Data'!L:L,MATCH($A1166,$B$56:$B$1919,0))</f>
        <v>#N/A</v>
      </c>
    </row>
    <row r="1167" spans="1:4" x14ac:dyDescent="0.25">
      <c r="A1167">
        <v>1112</v>
      </c>
      <c r="B1167">
        <f>B1166+IF('Cleaned Data'!L1113&gt;0,1,0)*IF($B$34="Overall",1,IF('Cleaned Data'!K1113=$B$34,1,0))*(IF('Cleaned Data'!H1113&lt;&gt;"",1,0))</f>
        <v>516</v>
      </c>
      <c r="C1167" t="e">
        <f>INDEX('Cleaned Data'!H:H,MATCH($A1167,$B$56:$B$1919,0))</f>
        <v>#N/A</v>
      </c>
      <c r="D1167" t="e">
        <f>INDEX('Cleaned Data'!L:L,MATCH($A1167,$B$56:$B$1919,0))</f>
        <v>#N/A</v>
      </c>
    </row>
    <row r="1168" spans="1:4" x14ac:dyDescent="0.25">
      <c r="A1168">
        <v>1113</v>
      </c>
      <c r="B1168">
        <f>B1167+IF('Cleaned Data'!L1114&gt;0,1,0)*IF($B$34="Overall",1,IF('Cleaned Data'!K1114=$B$34,1,0))*(IF('Cleaned Data'!H1114&lt;&gt;"",1,0))</f>
        <v>517</v>
      </c>
      <c r="C1168" t="e">
        <f>INDEX('Cleaned Data'!H:H,MATCH($A1168,$B$56:$B$1919,0))</f>
        <v>#N/A</v>
      </c>
      <c r="D1168" t="e">
        <f>INDEX('Cleaned Data'!L:L,MATCH($A1168,$B$56:$B$1919,0))</f>
        <v>#N/A</v>
      </c>
    </row>
    <row r="1169" spans="1:4" x14ac:dyDescent="0.25">
      <c r="A1169">
        <v>1114</v>
      </c>
      <c r="B1169">
        <f>B1168+IF('Cleaned Data'!L1115&gt;0,1,0)*IF($B$34="Overall",1,IF('Cleaned Data'!K1115=$B$34,1,0))*(IF('Cleaned Data'!H1115&lt;&gt;"",1,0))</f>
        <v>518</v>
      </c>
      <c r="C1169" t="e">
        <f>INDEX('Cleaned Data'!H:H,MATCH($A1169,$B$56:$B$1919,0))</f>
        <v>#N/A</v>
      </c>
      <c r="D1169" t="e">
        <f>INDEX('Cleaned Data'!L:L,MATCH($A1169,$B$56:$B$1919,0))</f>
        <v>#N/A</v>
      </c>
    </row>
    <row r="1170" spans="1:4" x14ac:dyDescent="0.25">
      <c r="A1170">
        <v>1115</v>
      </c>
      <c r="B1170">
        <f>B1169+IF('Cleaned Data'!L1116&gt;0,1,0)*IF($B$34="Overall",1,IF('Cleaned Data'!K1116=$B$34,1,0))*(IF('Cleaned Data'!H1116&lt;&gt;"",1,0))</f>
        <v>519</v>
      </c>
      <c r="C1170" t="e">
        <f>INDEX('Cleaned Data'!H:H,MATCH($A1170,$B$56:$B$1919,0))</f>
        <v>#N/A</v>
      </c>
      <c r="D1170" t="e">
        <f>INDEX('Cleaned Data'!L:L,MATCH($A1170,$B$56:$B$1919,0))</f>
        <v>#N/A</v>
      </c>
    </row>
    <row r="1171" spans="1:4" x14ac:dyDescent="0.25">
      <c r="A1171">
        <v>1116</v>
      </c>
      <c r="B1171">
        <f>B1170+IF('Cleaned Data'!L1117&gt;0,1,0)*IF($B$34="Overall",1,IF('Cleaned Data'!K1117=$B$34,1,0))*(IF('Cleaned Data'!H1117&lt;&gt;"",1,0))</f>
        <v>520</v>
      </c>
      <c r="C1171" t="e">
        <f>INDEX('Cleaned Data'!H:H,MATCH($A1171,$B$56:$B$1919,0))</f>
        <v>#N/A</v>
      </c>
      <c r="D1171" t="e">
        <f>INDEX('Cleaned Data'!L:L,MATCH($A1171,$B$56:$B$1919,0))</f>
        <v>#N/A</v>
      </c>
    </row>
    <row r="1172" spans="1:4" x14ac:dyDescent="0.25">
      <c r="A1172">
        <v>1117</v>
      </c>
      <c r="B1172">
        <f>B1171+IF('Cleaned Data'!L1118&gt;0,1,0)*IF($B$34="Overall",1,IF('Cleaned Data'!K1118=$B$34,1,0))*(IF('Cleaned Data'!H1118&lt;&gt;"",1,0))</f>
        <v>521</v>
      </c>
      <c r="C1172" t="e">
        <f>INDEX('Cleaned Data'!H:H,MATCH($A1172,$B$56:$B$1919,0))</f>
        <v>#N/A</v>
      </c>
      <c r="D1172" t="e">
        <f>INDEX('Cleaned Data'!L:L,MATCH($A1172,$B$56:$B$1919,0))</f>
        <v>#N/A</v>
      </c>
    </row>
    <row r="1173" spans="1:4" x14ac:dyDescent="0.25">
      <c r="A1173">
        <v>1118</v>
      </c>
      <c r="B1173">
        <f>B1172+IF('Cleaned Data'!L1119&gt;0,1,0)*IF($B$34="Overall",1,IF('Cleaned Data'!K1119=$B$34,1,0))*(IF('Cleaned Data'!H1119&lt;&gt;"",1,0))</f>
        <v>522</v>
      </c>
      <c r="C1173" t="e">
        <f>INDEX('Cleaned Data'!H:H,MATCH($A1173,$B$56:$B$1919,0))</f>
        <v>#N/A</v>
      </c>
      <c r="D1173" t="e">
        <f>INDEX('Cleaned Data'!L:L,MATCH($A1173,$B$56:$B$1919,0))</f>
        <v>#N/A</v>
      </c>
    </row>
    <row r="1174" spans="1:4" x14ac:dyDescent="0.25">
      <c r="A1174">
        <v>1119</v>
      </c>
      <c r="B1174">
        <f>B1173+IF('Cleaned Data'!L1120&gt;0,1,0)*IF($B$34="Overall",1,IF('Cleaned Data'!K1120=$B$34,1,0))*(IF('Cleaned Data'!H1120&lt;&gt;"",1,0))</f>
        <v>523</v>
      </c>
      <c r="C1174" t="e">
        <f>INDEX('Cleaned Data'!H:H,MATCH($A1174,$B$56:$B$1919,0))</f>
        <v>#N/A</v>
      </c>
      <c r="D1174" t="e">
        <f>INDEX('Cleaned Data'!L:L,MATCH($A1174,$B$56:$B$1919,0))</f>
        <v>#N/A</v>
      </c>
    </row>
    <row r="1175" spans="1:4" x14ac:dyDescent="0.25">
      <c r="A1175">
        <v>1120</v>
      </c>
      <c r="B1175">
        <f>B1174+IF('Cleaned Data'!L1121&gt;0,1,0)*IF($B$34="Overall",1,IF('Cleaned Data'!K1121=$B$34,1,0))*(IF('Cleaned Data'!H1121&lt;&gt;"",1,0))</f>
        <v>524</v>
      </c>
      <c r="C1175" t="e">
        <f>INDEX('Cleaned Data'!H:H,MATCH($A1175,$B$56:$B$1919,0))</f>
        <v>#N/A</v>
      </c>
      <c r="D1175" t="e">
        <f>INDEX('Cleaned Data'!L:L,MATCH($A1175,$B$56:$B$1919,0))</f>
        <v>#N/A</v>
      </c>
    </row>
    <row r="1176" spans="1:4" x14ac:dyDescent="0.25">
      <c r="A1176">
        <v>1121</v>
      </c>
      <c r="B1176">
        <f>B1175+IF('Cleaned Data'!L1122&gt;0,1,0)*IF($B$34="Overall",1,IF('Cleaned Data'!K1122=$B$34,1,0))*(IF('Cleaned Data'!H1122&lt;&gt;"",1,0))</f>
        <v>525</v>
      </c>
      <c r="C1176" t="e">
        <f>INDEX('Cleaned Data'!H:H,MATCH($A1176,$B$56:$B$1919,0))</f>
        <v>#N/A</v>
      </c>
      <c r="D1176" t="e">
        <f>INDEX('Cleaned Data'!L:L,MATCH($A1176,$B$56:$B$1919,0))</f>
        <v>#N/A</v>
      </c>
    </row>
    <row r="1177" spans="1:4" x14ac:dyDescent="0.25">
      <c r="A1177">
        <v>1122</v>
      </c>
      <c r="B1177">
        <f>B1176+IF('Cleaned Data'!L1123&gt;0,1,0)*IF($B$34="Overall",1,IF('Cleaned Data'!K1123=$B$34,1,0))*(IF('Cleaned Data'!H1123&lt;&gt;"",1,0))</f>
        <v>526</v>
      </c>
      <c r="C1177" t="e">
        <f>INDEX('Cleaned Data'!H:H,MATCH($A1177,$B$56:$B$1919,0))</f>
        <v>#N/A</v>
      </c>
      <c r="D1177" t="e">
        <f>INDEX('Cleaned Data'!L:L,MATCH($A1177,$B$56:$B$1919,0))</f>
        <v>#N/A</v>
      </c>
    </row>
    <row r="1178" spans="1:4" x14ac:dyDescent="0.25">
      <c r="A1178">
        <v>1123</v>
      </c>
      <c r="B1178">
        <f>B1177+IF('Cleaned Data'!L1124&gt;0,1,0)*IF($B$34="Overall",1,IF('Cleaned Data'!K1124=$B$34,1,0))*(IF('Cleaned Data'!H1124&lt;&gt;"",1,0))</f>
        <v>527</v>
      </c>
      <c r="C1178" t="e">
        <f>INDEX('Cleaned Data'!H:H,MATCH($A1178,$B$56:$B$1919,0))</f>
        <v>#N/A</v>
      </c>
      <c r="D1178" t="e">
        <f>INDEX('Cleaned Data'!L:L,MATCH($A1178,$B$56:$B$1919,0))</f>
        <v>#N/A</v>
      </c>
    </row>
    <row r="1179" spans="1:4" x14ac:dyDescent="0.25">
      <c r="A1179">
        <v>1124</v>
      </c>
      <c r="B1179">
        <f>B1178+IF('Cleaned Data'!L1125&gt;0,1,0)*IF($B$34="Overall",1,IF('Cleaned Data'!K1125=$B$34,1,0))*(IF('Cleaned Data'!H1125&lt;&gt;"",1,0))</f>
        <v>528</v>
      </c>
      <c r="C1179" t="e">
        <f>INDEX('Cleaned Data'!H:H,MATCH($A1179,$B$56:$B$1919,0))</f>
        <v>#N/A</v>
      </c>
      <c r="D1179" t="e">
        <f>INDEX('Cleaned Data'!L:L,MATCH($A1179,$B$56:$B$1919,0))</f>
        <v>#N/A</v>
      </c>
    </row>
    <row r="1180" spans="1:4" x14ac:dyDescent="0.25">
      <c r="A1180">
        <v>1125</v>
      </c>
      <c r="B1180">
        <f>B1179+IF('Cleaned Data'!L1126&gt;0,1,0)*IF($B$34="Overall",1,IF('Cleaned Data'!K1126=$B$34,1,0))*(IF('Cleaned Data'!H1126&lt;&gt;"",1,0))</f>
        <v>529</v>
      </c>
      <c r="C1180" t="e">
        <f>INDEX('Cleaned Data'!H:H,MATCH($A1180,$B$56:$B$1919,0))</f>
        <v>#N/A</v>
      </c>
      <c r="D1180" t="e">
        <f>INDEX('Cleaned Data'!L:L,MATCH($A1180,$B$56:$B$1919,0))</f>
        <v>#N/A</v>
      </c>
    </row>
    <row r="1181" spans="1:4" x14ac:dyDescent="0.25">
      <c r="A1181">
        <v>1126</v>
      </c>
      <c r="B1181">
        <f>B1180+IF('Cleaned Data'!L1127&gt;0,1,0)*IF($B$34="Overall",1,IF('Cleaned Data'!K1127=$B$34,1,0))*(IF('Cleaned Data'!H1127&lt;&gt;"",1,0))</f>
        <v>530</v>
      </c>
      <c r="C1181" t="e">
        <f>INDEX('Cleaned Data'!H:H,MATCH($A1181,$B$56:$B$1919,0))</f>
        <v>#N/A</v>
      </c>
      <c r="D1181" t="e">
        <f>INDEX('Cleaned Data'!L:L,MATCH($A1181,$B$56:$B$1919,0))</f>
        <v>#N/A</v>
      </c>
    </row>
    <row r="1182" spans="1:4" x14ac:dyDescent="0.25">
      <c r="A1182">
        <v>1127</v>
      </c>
      <c r="B1182">
        <f>B1181+IF('Cleaned Data'!L1128&gt;0,1,0)*IF($B$34="Overall",1,IF('Cleaned Data'!K1128=$B$34,1,0))*(IF('Cleaned Data'!H1128&lt;&gt;"",1,0))</f>
        <v>530</v>
      </c>
      <c r="C1182" t="e">
        <f>INDEX('Cleaned Data'!H:H,MATCH($A1182,$B$56:$B$1919,0))</f>
        <v>#N/A</v>
      </c>
      <c r="D1182" t="e">
        <f>INDEX('Cleaned Data'!L:L,MATCH($A1182,$B$56:$B$1919,0))</f>
        <v>#N/A</v>
      </c>
    </row>
    <row r="1183" spans="1:4" x14ac:dyDescent="0.25">
      <c r="A1183">
        <v>1128</v>
      </c>
      <c r="B1183">
        <f>B1182+IF('Cleaned Data'!L1129&gt;0,1,0)*IF($B$34="Overall",1,IF('Cleaned Data'!K1129=$B$34,1,0))*(IF('Cleaned Data'!H1129&lt;&gt;"",1,0))</f>
        <v>530</v>
      </c>
      <c r="C1183" t="e">
        <f>INDEX('Cleaned Data'!H:H,MATCH($A1183,$B$56:$B$1919,0))</f>
        <v>#N/A</v>
      </c>
      <c r="D1183" t="e">
        <f>INDEX('Cleaned Data'!L:L,MATCH($A1183,$B$56:$B$1919,0))</f>
        <v>#N/A</v>
      </c>
    </row>
    <row r="1184" spans="1:4" x14ac:dyDescent="0.25">
      <c r="A1184">
        <v>1129</v>
      </c>
      <c r="B1184">
        <f>B1183+IF('Cleaned Data'!L1130&gt;0,1,0)*IF($B$34="Overall",1,IF('Cleaned Data'!K1130=$B$34,1,0))*(IF('Cleaned Data'!H1130&lt;&gt;"",1,0))</f>
        <v>530</v>
      </c>
      <c r="C1184" t="e">
        <f>INDEX('Cleaned Data'!H:H,MATCH($A1184,$B$56:$B$1919,0))</f>
        <v>#N/A</v>
      </c>
      <c r="D1184" t="e">
        <f>INDEX('Cleaned Data'!L:L,MATCH($A1184,$B$56:$B$1919,0))</f>
        <v>#N/A</v>
      </c>
    </row>
    <row r="1185" spans="1:4" x14ac:dyDescent="0.25">
      <c r="A1185">
        <v>1130</v>
      </c>
      <c r="B1185">
        <f>B1184+IF('Cleaned Data'!L1131&gt;0,1,0)*IF($B$34="Overall",1,IF('Cleaned Data'!K1131=$B$34,1,0))*(IF('Cleaned Data'!H1131&lt;&gt;"",1,0))</f>
        <v>531</v>
      </c>
      <c r="C1185" t="e">
        <f>INDEX('Cleaned Data'!H:H,MATCH($A1185,$B$56:$B$1919,0))</f>
        <v>#N/A</v>
      </c>
      <c r="D1185" t="e">
        <f>INDEX('Cleaned Data'!L:L,MATCH($A1185,$B$56:$B$1919,0))</f>
        <v>#N/A</v>
      </c>
    </row>
    <row r="1186" spans="1:4" x14ac:dyDescent="0.25">
      <c r="A1186">
        <v>1131</v>
      </c>
      <c r="B1186">
        <f>B1185+IF('Cleaned Data'!L1132&gt;0,1,0)*IF($B$34="Overall",1,IF('Cleaned Data'!K1132=$B$34,1,0))*(IF('Cleaned Data'!H1132&lt;&gt;"",1,0))</f>
        <v>532</v>
      </c>
      <c r="C1186" t="e">
        <f>INDEX('Cleaned Data'!H:H,MATCH($A1186,$B$56:$B$1919,0))</f>
        <v>#N/A</v>
      </c>
      <c r="D1186" t="e">
        <f>INDEX('Cleaned Data'!L:L,MATCH($A1186,$B$56:$B$1919,0))</f>
        <v>#N/A</v>
      </c>
    </row>
    <row r="1187" spans="1:4" x14ac:dyDescent="0.25">
      <c r="A1187">
        <v>1132</v>
      </c>
      <c r="B1187">
        <f>B1186+IF('Cleaned Data'!L1133&gt;0,1,0)*IF($B$34="Overall",1,IF('Cleaned Data'!K1133=$B$34,1,0))*(IF('Cleaned Data'!H1133&lt;&gt;"",1,0))</f>
        <v>533</v>
      </c>
      <c r="C1187" t="e">
        <f>INDEX('Cleaned Data'!H:H,MATCH($A1187,$B$56:$B$1919,0))</f>
        <v>#N/A</v>
      </c>
      <c r="D1187" t="e">
        <f>INDEX('Cleaned Data'!L:L,MATCH($A1187,$B$56:$B$1919,0))</f>
        <v>#N/A</v>
      </c>
    </row>
    <row r="1188" spans="1:4" x14ac:dyDescent="0.25">
      <c r="A1188">
        <v>1133</v>
      </c>
      <c r="B1188">
        <f>B1187+IF('Cleaned Data'!L1134&gt;0,1,0)*IF($B$34="Overall",1,IF('Cleaned Data'!K1134=$B$34,1,0))*(IF('Cleaned Data'!H1134&lt;&gt;"",1,0))</f>
        <v>534</v>
      </c>
      <c r="C1188" t="e">
        <f>INDEX('Cleaned Data'!H:H,MATCH($A1188,$B$56:$B$1919,0))</f>
        <v>#N/A</v>
      </c>
      <c r="D1188" t="e">
        <f>INDEX('Cleaned Data'!L:L,MATCH($A1188,$B$56:$B$1919,0))</f>
        <v>#N/A</v>
      </c>
    </row>
    <row r="1189" spans="1:4" x14ac:dyDescent="0.25">
      <c r="A1189">
        <v>1134</v>
      </c>
      <c r="B1189">
        <f>B1188+IF('Cleaned Data'!L1135&gt;0,1,0)*IF($B$34="Overall",1,IF('Cleaned Data'!K1135=$B$34,1,0))*(IF('Cleaned Data'!H1135&lt;&gt;"",1,0))</f>
        <v>535</v>
      </c>
      <c r="C1189" t="e">
        <f>INDEX('Cleaned Data'!H:H,MATCH($A1189,$B$56:$B$1919,0))</f>
        <v>#N/A</v>
      </c>
      <c r="D1189" t="e">
        <f>INDEX('Cleaned Data'!L:L,MATCH($A1189,$B$56:$B$1919,0))</f>
        <v>#N/A</v>
      </c>
    </row>
    <row r="1190" spans="1:4" x14ac:dyDescent="0.25">
      <c r="A1190">
        <v>1135</v>
      </c>
      <c r="B1190">
        <f>B1189+IF('Cleaned Data'!L1136&gt;0,1,0)*IF($B$34="Overall",1,IF('Cleaned Data'!K1136=$B$34,1,0))*(IF('Cleaned Data'!H1136&lt;&gt;"",1,0))</f>
        <v>535</v>
      </c>
      <c r="C1190" t="e">
        <f>INDEX('Cleaned Data'!H:H,MATCH($A1190,$B$56:$B$1919,0))</f>
        <v>#N/A</v>
      </c>
      <c r="D1190" t="e">
        <f>INDEX('Cleaned Data'!L:L,MATCH($A1190,$B$56:$B$1919,0))</f>
        <v>#N/A</v>
      </c>
    </row>
    <row r="1191" spans="1:4" x14ac:dyDescent="0.25">
      <c r="A1191">
        <v>1136</v>
      </c>
      <c r="B1191">
        <f>B1190+IF('Cleaned Data'!L1137&gt;0,1,0)*IF($B$34="Overall",1,IF('Cleaned Data'!K1137=$B$34,1,0))*(IF('Cleaned Data'!H1137&lt;&gt;"",1,0))</f>
        <v>535</v>
      </c>
      <c r="C1191" t="e">
        <f>INDEX('Cleaned Data'!H:H,MATCH($A1191,$B$56:$B$1919,0))</f>
        <v>#N/A</v>
      </c>
      <c r="D1191" t="e">
        <f>INDEX('Cleaned Data'!L:L,MATCH($A1191,$B$56:$B$1919,0))</f>
        <v>#N/A</v>
      </c>
    </row>
    <row r="1192" spans="1:4" x14ac:dyDescent="0.25">
      <c r="A1192">
        <v>1137</v>
      </c>
      <c r="B1192">
        <f>B1191+IF('Cleaned Data'!L1138&gt;0,1,0)*IF($B$34="Overall",1,IF('Cleaned Data'!K1138=$B$34,1,0))*(IF('Cleaned Data'!H1138&lt;&gt;"",1,0))</f>
        <v>535</v>
      </c>
      <c r="C1192" t="e">
        <f>INDEX('Cleaned Data'!H:H,MATCH($A1192,$B$56:$B$1919,0))</f>
        <v>#N/A</v>
      </c>
      <c r="D1192" t="e">
        <f>INDEX('Cleaned Data'!L:L,MATCH($A1192,$B$56:$B$1919,0))</f>
        <v>#N/A</v>
      </c>
    </row>
    <row r="1193" spans="1:4" x14ac:dyDescent="0.25">
      <c r="A1193">
        <v>1138</v>
      </c>
      <c r="B1193">
        <f>B1192+IF('Cleaned Data'!L1139&gt;0,1,0)*IF($B$34="Overall",1,IF('Cleaned Data'!K1139=$B$34,1,0))*(IF('Cleaned Data'!H1139&lt;&gt;"",1,0))</f>
        <v>535</v>
      </c>
      <c r="C1193" t="e">
        <f>INDEX('Cleaned Data'!H:H,MATCH($A1193,$B$56:$B$1919,0))</f>
        <v>#N/A</v>
      </c>
      <c r="D1193" t="e">
        <f>INDEX('Cleaned Data'!L:L,MATCH($A1193,$B$56:$B$1919,0))</f>
        <v>#N/A</v>
      </c>
    </row>
    <row r="1194" spans="1:4" x14ac:dyDescent="0.25">
      <c r="A1194">
        <v>1139</v>
      </c>
      <c r="B1194">
        <f>B1193+IF('Cleaned Data'!L1140&gt;0,1,0)*IF($B$34="Overall",1,IF('Cleaned Data'!K1140=$B$34,1,0))*(IF('Cleaned Data'!H1140&lt;&gt;"",1,0))</f>
        <v>535</v>
      </c>
      <c r="C1194" t="e">
        <f>INDEX('Cleaned Data'!H:H,MATCH($A1194,$B$56:$B$1919,0))</f>
        <v>#N/A</v>
      </c>
      <c r="D1194" t="e">
        <f>INDEX('Cleaned Data'!L:L,MATCH($A1194,$B$56:$B$1919,0))</f>
        <v>#N/A</v>
      </c>
    </row>
    <row r="1195" spans="1:4" x14ac:dyDescent="0.25">
      <c r="A1195">
        <v>1140</v>
      </c>
      <c r="B1195">
        <f>B1194+IF('Cleaned Data'!L1141&gt;0,1,0)*IF($B$34="Overall",1,IF('Cleaned Data'!K1141=$B$34,1,0))*(IF('Cleaned Data'!H1141&lt;&gt;"",1,0))</f>
        <v>535</v>
      </c>
      <c r="C1195" t="e">
        <f>INDEX('Cleaned Data'!H:H,MATCH($A1195,$B$56:$B$1919,0))</f>
        <v>#N/A</v>
      </c>
      <c r="D1195" t="e">
        <f>INDEX('Cleaned Data'!L:L,MATCH($A1195,$B$56:$B$1919,0))</f>
        <v>#N/A</v>
      </c>
    </row>
    <row r="1196" spans="1:4" x14ac:dyDescent="0.25">
      <c r="A1196">
        <v>1141</v>
      </c>
      <c r="B1196">
        <f>B1195+IF('Cleaned Data'!L1142&gt;0,1,0)*IF($B$34="Overall",1,IF('Cleaned Data'!K1142=$B$34,1,0))*(IF('Cleaned Data'!H1142&lt;&gt;"",1,0))</f>
        <v>535</v>
      </c>
      <c r="C1196" t="e">
        <f>INDEX('Cleaned Data'!H:H,MATCH($A1196,$B$56:$B$1919,0))</f>
        <v>#N/A</v>
      </c>
      <c r="D1196" t="e">
        <f>INDEX('Cleaned Data'!L:L,MATCH($A1196,$B$56:$B$1919,0))</f>
        <v>#N/A</v>
      </c>
    </row>
    <row r="1197" spans="1:4" x14ac:dyDescent="0.25">
      <c r="A1197">
        <v>1142</v>
      </c>
      <c r="B1197">
        <f>B1196+IF('Cleaned Data'!L1143&gt;0,1,0)*IF($B$34="Overall",1,IF('Cleaned Data'!K1143=$B$34,1,0))*(IF('Cleaned Data'!H1143&lt;&gt;"",1,0))</f>
        <v>535</v>
      </c>
      <c r="C1197" t="e">
        <f>INDEX('Cleaned Data'!H:H,MATCH($A1197,$B$56:$B$1919,0))</f>
        <v>#N/A</v>
      </c>
      <c r="D1197" t="e">
        <f>INDEX('Cleaned Data'!L:L,MATCH($A1197,$B$56:$B$1919,0))</f>
        <v>#N/A</v>
      </c>
    </row>
    <row r="1198" spans="1:4" x14ac:dyDescent="0.25">
      <c r="A1198">
        <v>1143</v>
      </c>
      <c r="B1198">
        <f>B1197+IF('Cleaned Data'!L1144&gt;0,1,0)*IF($B$34="Overall",1,IF('Cleaned Data'!K1144=$B$34,1,0))*(IF('Cleaned Data'!H1144&lt;&gt;"",1,0))</f>
        <v>535</v>
      </c>
      <c r="C1198" t="e">
        <f>INDEX('Cleaned Data'!H:H,MATCH($A1198,$B$56:$B$1919,0))</f>
        <v>#N/A</v>
      </c>
      <c r="D1198" t="e">
        <f>INDEX('Cleaned Data'!L:L,MATCH($A1198,$B$56:$B$1919,0))</f>
        <v>#N/A</v>
      </c>
    </row>
    <row r="1199" spans="1:4" x14ac:dyDescent="0.25">
      <c r="A1199">
        <v>1144</v>
      </c>
      <c r="B1199">
        <f>B1198+IF('Cleaned Data'!L1145&gt;0,1,0)*IF($B$34="Overall",1,IF('Cleaned Data'!K1145=$B$34,1,0))*(IF('Cleaned Data'!H1145&lt;&gt;"",1,0))</f>
        <v>535</v>
      </c>
      <c r="C1199" t="e">
        <f>INDEX('Cleaned Data'!H:H,MATCH($A1199,$B$56:$B$1919,0))</f>
        <v>#N/A</v>
      </c>
      <c r="D1199" t="e">
        <f>INDEX('Cleaned Data'!L:L,MATCH($A1199,$B$56:$B$1919,0))</f>
        <v>#N/A</v>
      </c>
    </row>
    <row r="1200" spans="1:4" x14ac:dyDescent="0.25">
      <c r="A1200">
        <v>1145</v>
      </c>
      <c r="B1200">
        <f>B1199+IF('Cleaned Data'!L1146&gt;0,1,0)*IF($B$34="Overall",1,IF('Cleaned Data'!K1146=$B$34,1,0))*(IF('Cleaned Data'!H1146&lt;&gt;"",1,0))</f>
        <v>535</v>
      </c>
      <c r="C1200" t="e">
        <f>INDEX('Cleaned Data'!H:H,MATCH($A1200,$B$56:$B$1919,0))</f>
        <v>#N/A</v>
      </c>
      <c r="D1200" t="e">
        <f>INDEX('Cleaned Data'!L:L,MATCH($A1200,$B$56:$B$1919,0))</f>
        <v>#N/A</v>
      </c>
    </row>
    <row r="1201" spans="1:4" x14ac:dyDescent="0.25">
      <c r="A1201">
        <v>1146</v>
      </c>
      <c r="B1201">
        <f>B1200+IF('Cleaned Data'!L1147&gt;0,1,0)*IF($B$34="Overall",1,IF('Cleaned Data'!K1147=$B$34,1,0))*(IF('Cleaned Data'!H1147&lt;&gt;"",1,0))</f>
        <v>535</v>
      </c>
      <c r="C1201" t="e">
        <f>INDEX('Cleaned Data'!H:H,MATCH($A1201,$B$56:$B$1919,0))</f>
        <v>#N/A</v>
      </c>
      <c r="D1201" t="e">
        <f>INDEX('Cleaned Data'!L:L,MATCH($A1201,$B$56:$B$1919,0))</f>
        <v>#N/A</v>
      </c>
    </row>
    <row r="1202" spans="1:4" x14ac:dyDescent="0.25">
      <c r="A1202">
        <v>1147</v>
      </c>
      <c r="B1202">
        <f>B1201+IF('Cleaned Data'!L1148&gt;0,1,0)*IF($B$34="Overall",1,IF('Cleaned Data'!K1148=$B$34,1,0))*(IF('Cleaned Data'!H1148&lt;&gt;"",1,0))</f>
        <v>535</v>
      </c>
      <c r="C1202" t="e">
        <f>INDEX('Cleaned Data'!H:H,MATCH($A1202,$B$56:$B$1919,0))</f>
        <v>#N/A</v>
      </c>
      <c r="D1202" t="e">
        <f>INDEX('Cleaned Data'!L:L,MATCH($A1202,$B$56:$B$1919,0))</f>
        <v>#N/A</v>
      </c>
    </row>
    <row r="1203" spans="1:4" x14ac:dyDescent="0.25">
      <c r="A1203">
        <v>1148</v>
      </c>
      <c r="B1203">
        <f>B1202+IF('Cleaned Data'!L1149&gt;0,1,0)*IF($B$34="Overall",1,IF('Cleaned Data'!K1149=$B$34,1,0))*(IF('Cleaned Data'!H1149&lt;&gt;"",1,0))</f>
        <v>535</v>
      </c>
      <c r="C1203" t="e">
        <f>INDEX('Cleaned Data'!H:H,MATCH($A1203,$B$56:$B$1919,0))</f>
        <v>#N/A</v>
      </c>
      <c r="D1203" t="e">
        <f>INDEX('Cleaned Data'!L:L,MATCH($A1203,$B$56:$B$1919,0))</f>
        <v>#N/A</v>
      </c>
    </row>
    <row r="1204" spans="1:4" x14ac:dyDescent="0.25">
      <c r="A1204">
        <v>1149</v>
      </c>
      <c r="B1204">
        <f>B1203+IF('Cleaned Data'!L1150&gt;0,1,0)*IF($B$34="Overall",1,IF('Cleaned Data'!K1150=$B$34,1,0))*(IF('Cleaned Data'!H1150&lt;&gt;"",1,0))</f>
        <v>535</v>
      </c>
      <c r="C1204" t="e">
        <f>INDEX('Cleaned Data'!H:H,MATCH($A1204,$B$56:$B$1919,0))</f>
        <v>#N/A</v>
      </c>
      <c r="D1204" t="e">
        <f>INDEX('Cleaned Data'!L:L,MATCH($A1204,$B$56:$B$1919,0))</f>
        <v>#N/A</v>
      </c>
    </row>
    <row r="1205" spans="1:4" x14ac:dyDescent="0.25">
      <c r="A1205">
        <v>1150</v>
      </c>
      <c r="B1205">
        <f>B1204+IF('Cleaned Data'!L1151&gt;0,1,0)*IF($B$34="Overall",1,IF('Cleaned Data'!K1151=$B$34,1,0))*(IF('Cleaned Data'!H1151&lt;&gt;"",1,0))</f>
        <v>535</v>
      </c>
      <c r="C1205" t="e">
        <f>INDEX('Cleaned Data'!H:H,MATCH($A1205,$B$56:$B$1919,0))</f>
        <v>#N/A</v>
      </c>
      <c r="D1205" t="e">
        <f>INDEX('Cleaned Data'!L:L,MATCH($A1205,$B$56:$B$1919,0))</f>
        <v>#N/A</v>
      </c>
    </row>
    <row r="1206" spans="1:4" x14ac:dyDescent="0.25">
      <c r="A1206">
        <v>1151</v>
      </c>
      <c r="B1206">
        <f>B1205+IF('Cleaned Data'!L1152&gt;0,1,0)*IF($B$34="Overall",1,IF('Cleaned Data'!K1152=$B$34,1,0))*(IF('Cleaned Data'!H1152&lt;&gt;"",1,0))</f>
        <v>535</v>
      </c>
      <c r="C1206" t="e">
        <f>INDEX('Cleaned Data'!H:H,MATCH($A1206,$B$56:$B$1919,0))</f>
        <v>#N/A</v>
      </c>
      <c r="D1206" t="e">
        <f>INDEX('Cleaned Data'!L:L,MATCH($A1206,$B$56:$B$1919,0))</f>
        <v>#N/A</v>
      </c>
    </row>
    <row r="1207" spans="1:4" x14ac:dyDescent="0.25">
      <c r="A1207">
        <v>1152</v>
      </c>
      <c r="B1207">
        <f>B1206+IF('Cleaned Data'!L1153&gt;0,1,0)*IF($B$34="Overall",1,IF('Cleaned Data'!K1153=$B$34,1,0))*(IF('Cleaned Data'!H1153&lt;&gt;"",1,0))</f>
        <v>535</v>
      </c>
      <c r="C1207" t="e">
        <f>INDEX('Cleaned Data'!H:H,MATCH($A1207,$B$56:$B$1919,0))</f>
        <v>#N/A</v>
      </c>
      <c r="D1207" t="e">
        <f>INDEX('Cleaned Data'!L:L,MATCH($A1207,$B$56:$B$1919,0))</f>
        <v>#N/A</v>
      </c>
    </row>
    <row r="1208" spans="1:4" x14ac:dyDescent="0.25">
      <c r="A1208">
        <v>1153</v>
      </c>
      <c r="B1208">
        <f>B1207+IF('Cleaned Data'!L1154&gt;0,1,0)*IF($B$34="Overall",1,IF('Cleaned Data'!K1154=$B$34,1,0))*(IF('Cleaned Data'!H1154&lt;&gt;"",1,0))</f>
        <v>535</v>
      </c>
      <c r="C1208" t="e">
        <f>INDEX('Cleaned Data'!H:H,MATCH($A1208,$B$56:$B$1919,0))</f>
        <v>#N/A</v>
      </c>
      <c r="D1208" t="e">
        <f>INDEX('Cleaned Data'!L:L,MATCH($A1208,$B$56:$B$1919,0))</f>
        <v>#N/A</v>
      </c>
    </row>
    <row r="1209" spans="1:4" x14ac:dyDescent="0.25">
      <c r="A1209">
        <v>1154</v>
      </c>
      <c r="B1209">
        <f>B1208+IF('Cleaned Data'!L1155&gt;0,1,0)*IF($B$34="Overall",1,IF('Cleaned Data'!K1155=$B$34,1,0))*(IF('Cleaned Data'!H1155&lt;&gt;"",1,0))</f>
        <v>535</v>
      </c>
      <c r="C1209" t="e">
        <f>INDEX('Cleaned Data'!H:H,MATCH($A1209,$B$56:$B$1919,0))</f>
        <v>#N/A</v>
      </c>
      <c r="D1209" t="e">
        <f>INDEX('Cleaned Data'!L:L,MATCH($A1209,$B$56:$B$1919,0))</f>
        <v>#N/A</v>
      </c>
    </row>
    <row r="1210" spans="1:4" x14ac:dyDescent="0.25">
      <c r="A1210">
        <v>1155</v>
      </c>
      <c r="B1210">
        <f>B1209+IF('Cleaned Data'!L1156&gt;0,1,0)*IF($B$34="Overall",1,IF('Cleaned Data'!K1156=$B$34,1,0))*(IF('Cleaned Data'!H1156&lt;&gt;"",1,0))</f>
        <v>535</v>
      </c>
      <c r="C1210" t="e">
        <f>INDEX('Cleaned Data'!H:H,MATCH($A1210,$B$56:$B$1919,0))</f>
        <v>#N/A</v>
      </c>
      <c r="D1210" t="e">
        <f>INDEX('Cleaned Data'!L:L,MATCH($A1210,$B$56:$B$1919,0))</f>
        <v>#N/A</v>
      </c>
    </row>
    <row r="1211" spans="1:4" x14ac:dyDescent="0.25">
      <c r="A1211">
        <v>1156</v>
      </c>
      <c r="B1211">
        <f>B1210+IF('Cleaned Data'!L1157&gt;0,1,0)*IF($B$34="Overall",1,IF('Cleaned Data'!K1157=$B$34,1,0))*(IF('Cleaned Data'!H1157&lt;&gt;"",1,0))</f>
        <v>535</v>
      </c>
      <c r="C1211" t="e">
        <f>INDEX('Cleaned Data'!H:H,MATCH($A1211,$B$56:$B$1919,0))</f>
        <v>#N/A</v>
      </c>
      <c r="D1211" t="e">
        <f>INDEX('Cleaned Data'!L:L,MATCH($A1211,$B$56:$B$1919,0))</f>
        <v>#N/A</v>
      </c>
    </row>
    <row r="1212" spans="1:4" x14ac:dyDescent="0.25">
      <c r="A1212">
        <v>1157</v>
      </c>
      <c r="B1212">
        <f>B1211+IF('Cleaned Data'!L1158&gt;0,1,0)*IF($B$34="Overall",1,IF('Cleaned Data'!K1158=$B$34,1,0))*(IF('Cleaned Data'!H1158&lt;&gt;"",1,0))</f>
        <v>535</v>
      </c>
      <c r="C1212" t="e">
        <f>INDEX('Cleaned Data'!H:H,MATCH($A1212,$B$56:$B$1919,0))</f>
        <v>#N/A</v>
      </c>
      <c r="D1212" t="e">
        <f>INDEX('Cleaned Data'!L:L,MATCH($A1212,$B$56:$B$1919,0))</f>
        <v>#N/A</v>
      </c>
    </row>
    <row r="1213" spans="1:4" x14ac:dyDescent="0.25">
      <c r="A1213">
        <v>1158</v>
      </c>
      <c r="B1213">
        <f>B1212+IF('Cleaned Data'!L1159&gt;0,1,0)*IF($B$34="Overall",1,IF('Cleaned Data'!K1159=$B$34,1,0))*(IF('Cleaned Data'!H1159&lt;&gt;"",1,0))</f>
        <v>535</v>
      </c>
      <c r="C1213" t="e">
        <f>INDEX('Cleaned Data'!H:H,MATCH($A1213,$B$56:$B$1919,0))</f>
        <v>#N/A</v>
      </c>
      <c r="D1213" t="e">
        <f>INDEX('Cleaned Data'!L:L,MATCH($A1213,$B$56:$B$1919,0))</f>
        <v>#N/A</v>
      </c>
    </row>
    <row r="1214" spans="1:4" x14ac:dyDescent="0.25">
      <c r="A1214">
        <v>1159</v>
      </c>
      <c r="B1214">
        <f>B1213+IF('Cleaned Data'!L1160&gt;0,1,0)*IF($B$34="Overall",1,IF('Cleaned Data'!K1160=$B$34,1,0))*(IF('Cleaned Data'!H1160&lt;&gt;"",1,0))</f>
        <v>535</v>
      </c>
      <c r="C1214" t="e">
        <f>INDEX('Cleaned Data'!H:H,MATCH($A1214,$B$56:$B$1919,0))</f>
        <v>#N/A</v>
      </c>
      <c r="D1214" t="e">
        <f>INDEX('Cleaned Data'!L:L,MATCH($A1214,$B$56:$B$1919,0))</f>
        <v>#N/A</v>
      </c>
    </row>
    <row r="1215" spans="1:4" x14ac:dyDescent="0.25">
      <c r="A1215">
        <v>1160</v>
      </c>
      <c r="B1215">
        <f>B1214+IF('Cleaned Data'!L1161&gt;0,1,0)*IF($B$34="Overall",1,IF('Cleaned Data'!K1161=$B$34,1,0))*(IF('Cleaned Data'!H1161&lt;&gt;"",1,0))</f>
        <v>535</v>
      </c>
      <c r="C1215" t="e">
        <f>INDEX('Cleaned Data'!H:H,MATCH($A1215,$B$56:$B$1919,0))</f>
        <v>#N/A</v>
      </c>
      <c r="D1215" t="e">
        <f>INDEX('Cleaned Data'!L:L,MATCH($A1215,$B$56:$B$1919,0))</f>
        <v>#N/A</v>
      </c>
    </row>
    <row r="1216" spans="1:4" x14ac:dyDescent="0.25">
      <c r="A1216">
        <v>1161</v>
      </c>
      <c r="B1216">
        <f>B1215+IF('Cleaned Data'!L1162&gt;0,1,0)*IF($B$34="Overall",1,IF('Cleaned Data'!K1162=$B$34,1,0))*(IF('Cleaned Data'!H1162&lt;&gt;"",1,0))</f>
        <v>535</v>
      </c>
      <c r="C1216" t="e">
        <f>INDEX('Cleaned Data'!H:H,MATCH($A1216,$B$56:$B$1919,0))</f>
        <v>#N/A</v>
      </c>
      <c r="D1216" t="e">
        <f>INDEX('Cleaned Data'!L:L,MATCH($A1216,$B$56:$B$1919,0))</f>
        <v>#N/A</v>
      </c>
    </row>
    <row r="1217" spans="1:4" x14ac:dyDescent="0.25">
      <c r="A1217">
        <v>1162</v>
      </c>
      <c r="B1217">
        <f>B1216+IF('Cleaned Data'!L1163&gt;0,1,0)*IF($B$34="Overall",1,IF('Cleaned Data'!K1163=$B$34,1,0))*(IF('Cleaned Data'!H1163&lt;&gt;"",1,0))</f>
        <v>535</v>
      </c>
      <c r="C1217" t="e">
        <f>INDEX('Cleaned Data'!H:H,MATCH($A1217,$B$56:$B$1919,0))</f>
        <v>#N/A</v>
      </c>
      <c r="D1217" t="e">
        <f>INDEX('Cleaned Data'!L:L,MATCH($A1217,$B$56:$B$1919,0))</f>
        <v>#N/A</v>
      </c>
    </row>
    <row r="1218" spans="1:4" x14ac:dyDescent="0.25">
      <c r="A1218">
        <v>1163</v>
      </c>
      <c r="B1218">
        <f>B1217+IF('Cleaned Data'!L1164&gt;0,1,0)*IF($B$34="Overall",1,IF('Cleaned Data'!K1164=$B$34,1,0))*(IF('Cleaned Data'!H1164&lt;&gt;"",1,0))</f>
        <v>535</v>
      </c>
      <c r="C1218" t="e">
        <f>INDEX('Cleaned Data'!H:H,MATCH($A1218,$B$56:$B$1919,0))</f>
        <v>#N/A</v>
      </c>
      <c r="D1218" t="e">
        <f>INDEX('Cleaned Data'!L:L,MATCH($A1218,$B$56:$B$1919,0))</f>
        <v>#N/A</v>
      </c>
    </row>
    <row r="1219" spans="1:4" x14ac:dyDescent="0.25">
      <c r="A1219">
        <v>1164</v>
      </c>
      <c r="B1219">
        <f>B1218+IF('Cleaned Data'!L1165&gt;0,1,0)*IF($B$34="Overall",1,IF('Cleaned Data'!K1165=$B$34,1,0))*(IF('Cleaned Data'!H1165&lt;&gt;"",1,0))</f>
        <v>535</v>
      </c>
      <c r="C1219" t="e">
        <f>INDEX('Cleaned Data'!H:H,MATCH($A1219,$B$56:$B$1919,0))</f>
        <v>#N/A</v>
      </c>
      <c r="D1219" t="e">
        <f>INDEX('Cleaned Data'!L:L,MATCH($A1219,$B$56:$B$1919,0))</f>
        <v>#N/A</v>
      </c>
    </row>
    <row r="1220" spans="1:4" x14ac:dyDescent="0.25">
      <c r="A1220">
        <v>1165</v>
      </c>
      <c r="B1220">
        <f>B1219+IF('Cleaned Data'!L1166&gt;0,1,0)*IF($B$34="Overall",1,IF('Cleaned Data'!K1166=$B$34,1,0))*(IF('Cleaned Data'!H1166&lt;&gt;"",1,0))</f>
        <v>535</v>
      </c>
      <c r="C1220" t="e">
        <f>INDEX('Cleaned Data'!H:H,MATCH($A1220,$B$56:$B$1919,0))</f>
        <v>#N/A</v>
      </c>
      <c r="D1220" t="e">
        <f>INDEX('Cleaned Data'!L:L,MATCH($A1220,$B$56:$B$1919,0))</f>
        <v>#N/A</v>
      </c>
    </row>
    <row r="1221" spans="1:4" x14ac:dyDescent="0.25">
      <c r="A1221">
        <v>1166</v>
      </c>
      <c r="B1221">
        <f>B1220+IF('Cleaned Data'!L1167&gt;0,1,0)*IF($B$34="Overall",1,IF('Cleaned Data'!K1167=$B$34,1,0))*(IF('Cleaned Data'!H1167&lt;&gt;"",1,0))</f>
        <v>535</v>
      </c>
      <c r="C1221" t="e">
        <f>INDEX('Cleaned Data'!H:H,MATCH($A1221,$B$56:$B$1919,0))</f>
        <v>#N/A</v>
      </c>
      <c r="D1221" t="e">
        <f>INDEX('Cleaned Data'!L:L,MATCH($A1221,$B$56:$B$1919,0))</f>
        <v>#N/A</v>
      </c>
    </row>
    <row r="1222" spans="1:4" x14ac:dyDescent="0.25">
      <c r="A1222">
        <v>1167</v>
      </c>
      <c r="B1222">
        <f>B1221+IF('Cleaned Data'!L1168&gt;0,1,0)*IF($B$34="Overall",1,IF('Cleaned Data'!K1168=$B$34,1,0))*(IF('Cleaned Data'!H1168&lt;&gt;"",1,0))</f>
        <v>535</v>
      </c>
      <c r="C1222" t="e">
        <f>INDEX('Cleaned Data'!H:H,MATCH($A1222,$B$56:$B$1919,0))</f>
        <v>#N/A</v>
      </c>
      <c r="D1222" t="e">
        <f>INDEX('Cleaned Data'!L:L,MATCH($A1222,$B$56:$B$1919,0))</f>
        <v>#N/A</v>
      </c>
    </row>
    <row r="1223" spans="1:4" x14ac:dyDescent="0.25">
      <c r="A1223">
        <v>1168</v>
      </c>
      <c r="B1223">
        <f>B1222+IF('Cleaned Data'!L1169&gt;0,1,0)*IF($B$34="Overall",1,IF('Cleaned Data'!K1169=$B$34,1,0))*(IF('Cleaned Data'!H1169&lt;&gt;"",1,0))</f>
        <v>535</v>
      </c>
      <c r="C1223" t="e">
        <f>INDEX('Cleaned Data'!H:H,MATCH($A1223,$B$56:$B$1919,0))</f>
        <v>#N/A</v>
      </c>
      <c r="D1223" t="e">
        <f>INDEX('Cleaned Data'!L:L,MATCH($A1223,$B$56:$B$1919,0))</f>
        <v>#N/A</v>
      </c>
    </row>
    <row r="1224" spans="1:4" x14ac:dyDescent="0.25">
      <c r="A1224">
        <v>1169</v>
      </c>
      <c r="B1224">
        <f>B1223+IF('Cleaned Data'!L1170&gt;0,1,0)*IF($B$34="Overall",1,IF('Cleaned Data'!K1170=$B$34,1,0))*(IF('Cleaned Data'!H1170&lt;&gt;"",1,0))</f>
        <v>535</v>
      </c>
      <c r="C1224" t="e">
        <f>INDEX('Cleaned Data'!H:H,MATCH($A1224,$B$56:$B$1919,0))</f>
        <v>#N/A</v>
      </c>
      <c r="D1224" t="e">
        <f>INDEX('Cleaned Data'!L:L,MATCH($A1224,$B$56:$B$1919,0))</f>
        <v>#N/A</v>
      </c>
    </row>
    <row r="1225" spans="1:4" x14ac:dyDescent="0.25">
      <c r="A1225">
        <v>1170</v>
      </c>
      <c r="B1225">
        <f>B1224+IF('Cleaned Data'!L1171&gt;0,1,0)*IF($B$34="Overall",1,IF('Cleaned Data'!K1171=$B$34,1,0))*(IF('Cleaned Data'!H1171&lt;&gt;"",1,0))</f>
        <v>535</v>
      </c>
      <c r="C1225" t="e">
        <f>INDEX('Cleaned Data'!H:H,MATCH($A1225,$B$56:$B$1919,0))</f>
        <v>#N/A</v>
      </c>
      <c r="D1225" t="e">
        <f>INDEX('Cleaned Data'!L:L,MATCH($A1225,$B$56:$B$1919,0))</f>
        <v>#N/A</v>
      </c>
    </row>
    <row r="1226" spans="1:4" x14ac:dyDescent="0.25">
      <c r="A1226">
        <v>1171</v>
      </c>
      <c r="B1226">
        <f>B1225+IF('Cleaned Data'!L1172&gt;0,1,0)*IF($B$34="Overall",1,IF('Cleaned Data'!K1172=$B$34,1,0))*(IF('Cleaned Data'!H1172&lt;&gt;"",1,0))</f>
        <v>535</v>
      </c>
      <c r="C1226" t="e">
        <f>INDEX('Cleaned Data'!H:H,MATCH($A1226,$B$56:$B$1919,0))</f>
        <v>#N/A</v>
      </c>
      <c r="D1226" t="e">
        <f>INDEX('Cleaned Data'!L:L,MATCH($A1226,$B$56:$B$1919,0))</f>
        <v>#N/A</v>
      </c>
    </row>
    <row r="1227" spans="1:4" x14ac:dyDescent="0.25">
      <c r="A1227">
        <v>1172</v>
      </c>
      <c r="B1227">
        <f>B1226+IF('Cleaned Data'!L1173&gt;0,1,0)*IF($B$34="Overall",1,IF('Cleaned Data'!K1173=$B$34,1,0))*(IF('Cleaned Data'!H1173&lt;&gt;"",1,0))</f>
        <v>535</v>
      </c>
      <c r="C1227" t="e">
        <f>INDEX('Cleaned Data'!H:H,MATCH($A1227,$B$56:$B$1919,0))</f>
        <v>#N/A</v>
      </c>
      <c r="D1227" t="e">
        <f>INDEX('Cleaned Data'!L:L,MATCH($A1227,$B$56:$B$1919,0))</f>
        <v>#N/A</v>
      </c>
    </row>
    <row r="1228" spans="1:4" x14ac:dyDescent="0.25">
      <c r="A1228">
        <v>1173</v>
      </c>
      <c r="B1228">
        <f>B1227+IF('Cleaned Data'!L1174&gt;0,1,0)*IF($B$34="Overall",1,IF('Cleaned Data'!K1174=$B$34,1,0))*(IF('Cleaned Data'!H1174&lt;&gt;"",1,0))</f>
        <v>535</v>
      </c>
      <c r="C1228" t="e">
        <f>INDEX('Cleaned Data'!H:H,MATCH($A1228,$B$56:$B$1919,0))</f>
        <v>#N/A</v>
      </c>
      <c r="D1228" t="e">
        <f>INDEX('Cleaned Data'!L:L,MATCH($A1228,$B$56:$B$1919,0))</f>
        <v>#N/A</v>
      </c>
    </row>
    <row r="1229" spans="1:4" x14ac:dyDescent="0.25">
      <c r="A1229">
        <v>1174</v>
      </c>
      <c r="B1229">
        <f>B1228+IF('Cleaned Data'!L1175&gt;0,1,0)*IF($B$34="Overall",1,IF('Cleaned Data'!K1175=$B$34,1,0))*(IF('Cleaned Data'!H1175&lt;&gt;"",1,0))</f>
        <v>535</v>
      </c>
      <c r="C1229" t="e">
        <f>INDEX('Cleaned Data'!H:H,MATCH($A1229,$B$56:$B$1919,0))</f>
        <v>#N/A</v>
      </c>
      <c r="D1229" t="e">
        <f>INDEX('Cleaned Data'!L:L,MATCH($A1229,$B$56:$B$1919,0))</f>
        <v>#N/A</v>
      </c>
    </row>
    <row r="1230" spans="1:4" x14ac:dyDescent="0.25">
      <c r="A1230">
        <v>1175</v>
      </c>
      <c r="B1230">
        <f>B1229+IF('Cleaned Data'!L1176&gt;0,1,0)*IF($B$34="Overall",1,IF('Cleaned Data'!K1176=$B$34,1,0))*(IF('Cleaned Data'!H1176&lt;&gt;"",1,0))</f>
        <v>535</v>
      </c>
      <c r="C1230" t="e">
        <f>INDEX('Cleaned Data'!H:H,MATCH($A1230,$B$56:$B$1919,0))</f>
        <v>#N/A</v>
      </c>
      <c r="D1230" t="e">
        <f>INDEX('Cleaned Data'!L:L,MATCH($A1230,$B$56:$B$1919,0))</f>
        <v>#N/A</v>
      </c>
    </row>
    <row r="1231" spans="1:4" x14ac:dyDescent="0.25">
      <c r="A1231">
        <v>1176</v>
      </c>
      <c r="B1231">
        <f>B1230+IF('Cleaned Data'!L1177&gt;0,1,0)*IF($B$34="Overall",1,IF('Cleaned Data'!K1177=$B$34,1,0))*(IF('Cleaned Data'!H1177&lt;&gt;"",1,0))</f>
        <v>535</v>
      </c>
      <c r="C1231" t="e">
        <f>INDEX('Cleaned Data'!H:H,MATCH($A1231,$B$56:$B$1919,0))</f>
        <v>#N/A</v>
      </c>
      <c r="D1231" t="e">
        <f>INDEX('Cleaned Data'!L:L,MATCH($A1231,$B$56:$B$1919,0))</f>
        <v>#N/A</v>
      </c>
    </row>
    <row r="1232" spans="1:4" x14ac:dyDescent="0.25">
      <c r="A1232">
        <v>1177</v>
      </c>
      <c r="B1232">
        <f>B1231+IF('Cleaned Data'!L1178&gt;0,1,0)*IF($B$34="Overall",1,IF('Cleaned Data'!K1178=$B$34,1,0))*(IF('Cleaned Data'!H1178&lt;&gt;"",1,0))</f>
        <v>535</v>
      </c>
      <c r="C1232" t="e">
        <f>INDEX('Cleaned Data'!H:H,MATCH($A1232,$B$56:$B$1919,0))</f>
        <v>#N/A</v>
      </c>
      <c r="D1232" t="e">
        <f>INDEX('Cleaned Data'!L:L,MATCH($A1232,$B$56:$B$1919,0))</f>
        <v>#N/A</v>
      </c>
    </row>
    <row r="1233" spans="1:4" x14ac:dyDescent="0.25">
      <c r="A1233">
        <v>1178</v>
      </c>
      <c r="B1233">
        <f>B1232+IF('Cleaned Data'!L1179&gt;0,1,0)*IF($B$34="Overall",1,IF('Cleaned Data'!K1179=$B$34,1,0))*(IF('Cleaned Data'!H1179&lt;&gt;"",1,0))</f>
        <v>535</v>
      </c>
      <c r="C1233" t="e">
        <f>INDEX('Cleaned Data'!H:H,MATCH($A1233,$B$56:$B$1919,0))</f>
        <v>#N/A</v>
      </c>
      <c r="D1233" t="e">
        <f>INDEX('Cleaned Data'!L:L,MATCH($A1233,$B$56:$B$1919,0))</f>
        <v>#N/A</v>
      </c>
    </row>
    <row r="1234" spans="1:4" x14ac:dyDescent="0.25">
      <c r="A1234">
        <v>1179</v>
      </c>
      <c r="B1234">
        <f>B1233+IF('Cleaned Data'!L1180&gt;0,1,0)*IF($B$34="Overall",1,IF('Cleaned Data'!K1180=$B$34,1,0))*(IF('Cleaned Data'!H1180&lt;&gt;"",1,0))</f>
        <v>535</v>
      </c>
      <c r="C1234" t="e">
        <f>INDEX('Cleaned Data'!H:H,MATCH($A1234,$B$56:$B$1919,0))</f>
        <v>#N/A</v>
      </c>
      <c r="D1234" t="e">
        <f>INDEX('Cleaned Data'!L:L,MATCH($A1234,$B$56:$B$1919,0))</f>
        <v>#N/A</v>
      </c>
    </row>
    <row r="1235" spans="1:4" x14ac:dyDescent="0.25">
      <c r="A1235">
        <v>1180</v>
      </c>
      <c r="B1235">
        <f>B1234+IF('Cleaned Data'!L1181&gt;0,1,0)*IF($B$34="Overall",1,IF('Cleaned Data'!K1181=$B$34,1,0))*(IF('Cleaned Data'!H1181&lt;&gt;"",1,0))</f>
        <v>535</v>
      </c>
      <c r="C1235" t="e">
        <f>INDEX('Cleaned Data'!H:H,MATCH($A1235,$B$56:$B$1919,0))</f>
        <v>#N/A</v>
      </c>
      <c r="D1235" t="e">
        <f>INDEX('Cleaned Data'!L:L,MATCH($A1235,$B$56:$B$1919,0))</f>
        <v>#N/A</v>
      </c>
    </row>
    <row r="1236" spans="1:4" x14ac:dyDescent="0.25">
      <c r="A1236">
        <v>1181</v>
      </c>
      <c r="B1236">
        <f>B1235+IF('Cleaned Data'!L1182&gt;0,1,0)*IF($B$34="Overall",1,IF('Cleaned Data'!K1182=$B$34,1,0))*(IF('Cleaned Data'!H1182&lt;&gt;"",1,0))</f>
        <v>535</v>
      </c>
      <c r="C1236" t="e">
        <f>INDEX('Cleaned Data'!H:H,MATCH($A1236,$B$56:$B$1919,0))</f>
        <v>#N/A</v>
      </c>
      <c r="D1236" t="e">
        <f>INDEX('Cleaned Data'!L:L,MATCH($A1236,$B$56:$B$1919,0))</f>
        <v>#N/A</v>
      </c>
    </row>
    <row r="1237" spans="1:4" x14ac:dyDescent="0.25">
      <c r="A1237">
        <v>1182</v>
      </c>
      <c r="B1237">
        <f>B1236+IF('Cleaned Data'!L1183&gt;0,1,0)*IF($B$34="Overall",1,IF('Cleaned Data'!K1183=$B$34,1,0))*(IF('Cleaned Data'!H1183&lt;&gt;"",1,0))</f>
        <v>535</v>
      </c>
      <c r="C1237" t="e">
        <f>INDEX('Cleaned Data'!H:H,MATCH($A1237,$B$56:$B$1919,0))</f>
        <v>#N/A</v>
      </c>
      <c r="D1237" t="e">
        <f>INDEX('Cleaned Data'!L:L,MATCH($A1237,$B$56:$B$1919,0))</f>
        <v>#N/A</v>
      </c>
    </row>
    <row r="1238" spans="1:4" x14ac:dyDescent="0.25">
      <c r="A1238">
        <v>1183</v>
      </c>
      <c r="B1238">
        <f>B1237+IF('Cleaned Data'!L1184&gt;0,1,0)*IF($B$34="Overall",1,IF('Cleaned Data'!K1184=$B$34,1,0))*(IF('Cleaned Data'!H1184&lt;&gt;"",1,0))</f>
        <v>535</v>
      </c>
      <c r="C1238" t="e">
        <f>INDEX('Cleaned Data'!H:H,MATCH($A1238,$B$56:$B$1919,0))</f>
        <v>#N/A</v>
      </c>
      <c r="D1238" t="e">
        <f>INDEX('Cleaned Data'!L:L,MATCH($A1238,$B$56:$B$1919,0))</f>
        <v>#N/A</v>
      </c>
    </row>
    <row r="1239" spans="1:4" x14ac:dyDescent="0.25">
      <c r="A1239">
        <v>1184</v>
      </c>
      <c r="B1239">
        <f>B1238+IF('Cleaned Data'!L1185&gt;0,1,0)*IF($B$34="Overall",1,IF('Cleaned Data'!K1185=$B$34,1,0))*(IF('Cleaned Data'!H1185&lt;&gt;"",1,0))</f>
        <v>535</v>
      </c>
      <c r="C1239" t="e">
        <f>INDEX('Cleaned Data'!H:H,MATCH($A1239,$B$56:$B$1919,0))</f>
        <v>#N/A</v>
      </c>
      <c r="D1239" t="e">
        <f>INDEX('Cleaned Data'!L:L,MATCH($A1239,$B$56:$B$1919,0))</f>
        <v>#N/A</v>
      </c>
    </row>
    <row r="1240" spans="1:4" x14ac:dyDescent="0.25">
      <c r="A1240">
        <v>1185</v>
      </c>
      <c r="B1240">
        <f>B1239+IF('Cleaned Data'!L1186&gt;0,1,0)*IF($B$34="Overall",1,IF('Cleaned Data'!K1186=$B$34,1,0))*(IF('Cleaned Data'!H1186&lt;&gt;"",1,0))</f>
        <v>535</v>
      </c>
      <c r="C1240" t="e">
        <f>INDEX('Cleaned Data'!H:H,MATCH($A1240,$B$56:$B$1919,0))</f>
        <v>#N/A</v>
      </c>
      <c r="D1240" t="e">
        <f>INDEX('Cleaned Data'!L:L,MATCH($A1240,$B$56:$B$1919,0))</f>
        <v>#N/A</v>
      </c>
    </row>
    <row r="1241" spans="1:4" x14ac:dyDescent="0.25">
      <c r="A1241">
        <v>1186</v>
      </c>
      <c r="B1241">
        <f>B1240+IF('Cleaned Data'!L1187&gt;0,1,0)*IF($B$34="Overall",1,IF('Cleaned Data'!K1187=$B$34,1,0))*(IF('Cleaned Data'!H1187&lt;&gt;"",1,0))</f>
        <v>535</v>
      </c>
      <c r="C1241" t="e">
        <f>INDEX('Cleaned Data'!H:H,MATCH($A1241,$B$56:$B$1919,0))</f>
        <v>#N/A</v>
      </c>
      <c r="D1241" t="e">
        <f>INDEX('Cleaned Data'!L:L,MATCH($A1241,$B$56:$B$1919,0))</f>
        <v>#N/A</v>
      </c>
    </row>
    <row r="1242" spans="1:4" x14ac:dyDescent="0.25">
      <c r="A1242">
        <v>1187</v>
      </c>
      <c r="B1242">
        <f>B1241+IF('Cleaned Data'!L1188&gt;0,1,0)*IF($B$34="Overall",1,IF('Cleaned Data'!K1188=$B$34,1,0))*(IF('Cleaned Data'!H1188&lt;&gt;"",1,0))</f>
        <v>535</v>
      </c>
      <c r="C1242" t="e">
        <f>INDEX('Cleaned Data'!H:H,MATCH($A1242,$B$56:$B$1919,0))</f>
        <v>#N/A</v>
      </c>
      <c r="D1242" t="e">
        <f>INDEX('Cleaned Data'!L:L,MATCH($A1242,$B$56:$B$1919,0))</f>
        <v>#N/A</v>
      </c>
    </row>
    <row r="1243" spans="1:4" x14ac:dyDescent="0.25">
      <c r="A1243">
        <v>1188</v>
      </c>
      <c r="B1243">
        <f>B1242+IF('Cleaned Data'!L1189&gt;0,1,0)*IF($B$34="Overall",1,IF('Cleaned Data'!K1189=$B$34,1,0))*(IF('Cleaned Data'!H1189&lt;&gt;"",1,0))</f>
        <v>535</v>
      </c>
      <c r="C1243" t="e">
        <f>INDEX('Cleaned Data'!H:H,MATCH($A1243,$B$56:$B$1919,0))</f>
        <v>#N/A</v>
      </c>
      <c r="D1243" t="e">
        <f>INDEX('Cleaned Data'!L:L,MATCH($A1243,$B$56:$B$1919,0))</f>
        <v>#N/A</v>
      </c>
    </row>
    <row r="1244" spans="1:4" x14ac:dyDescent="0.25">
      <c r="A1244">
        <v>1189</v>
      </c>
      <c r="B1244">
        <f>B1243+IF('Cleaned Data'!L1190&gt;0,1,0)*IF($B$34="Overall",1,IF('Cleaned Data'!K1190=$B$34,1,0))*(IF('Cleaned Data'!H1190&lt;&gt;"",1,0))</f>
        <v>535</v>
      </c>
      <c r="C1244" t="e">
        <f>INDEX('Cleaned Data'!H:H,MATCH($A1244,$B$56:$B$1919,0))</f>
        <v>#N/A</v>
      </c>
      <c r="D1244" t="e">
        <f>INDEX('Cleaned Data'!L:L,MATCH($A1244,$B$56:$B$1919,0))</f>
        <v>#N/A</v>
      </c>
    </row>
    <row r="1245" spans="1:4" x14ac:dyDescent="0.25">
      <c r="A1245">
        <v>1190</v>
      </c>
      <c r="B1245">
        <f>B1244+IF('Cleaned Data'!L1191&gt;0,1,0)*IF($B$34="Overall",1,IF('Cleaned Data'!K1191=$B$34,1,0))*(IF('Cleaned Data'!H1191&lt;&gt;"",1,0))</f>
        <v>536</v>
      </c>
      <c r="C1245" t="e">
        <f>INDEX('Cleaned Data'!H:H,MATCH($A1245,$B$56:$B$1919,0))</f>
        <v>#N/A</v>
      </c>
      <c r="D1245" t="e">
        <f>INDEX('Cleaned Data'!L:L,MATCH($A1245,$B$56:$B$1919,0))</f>
        <v>#N/A</v>
      </c>
    </row>
    <row r="1246" spans="1:4" x14ac:dyDescent="0.25">
      <c r="A1246">
        <v>1191</v>
      </c>
      <c r="B1246">
        <f>B1245+IF('Cleaned Data'!L1192&gt;0,1,0)*IF($B$34="Overall",1,IF('Cleaned Data'!K1192=$B$34,1,0))*(IF('Cleaned Data'!H1192&lt;&gt;"",1,0))</f>
        <v>537</v>
      </c>
      <c r="C1246" t="e">
        <f>INDEX('Cleaned Data'!H:H,MATCH($A1246,$B$56:$B$1919,0))</f>
        <v>#N/A</v>
      </c>
      <c r="D1246" t="e">
        <f>INDEX('Cleaned Data'!L:L,MATCH($A1246,$B$56:$B$1919,0))</f>
        <v>#N/A</v>
      </c>
    </row>
    <row r="1247" spans="1:4" x14ac:dyDescent="0.25">
      <c r="A1247">
        <v>1192</v>
      </c>
      <c r="B1247">
        <f>B1246+IF('Cleaned Data'!L1193&gt;0,1,0)*IF($B$34="Overall",1,IF('Cleaned Data'!K1193=$B$34,1,0))*(IF('Cleaned Data'!H1193&lt;&gt;"",1,0))</f>
        <v>538</v>
      </c>
      <c r="C1247" t="e">
        <f>INDEX('Cleaned Data'!H:H,MATCH($A1247,$B$56:$B$1919,0))</f>
        <v>#N/A</v>
      </c>
      <c r="D1247" t="e">
        <f>INDEX('Cleaned Data'!L:L,MATCH($A1247,$B$56:$B$1919,0))</f>
        <v>#N/A</v>
      </c>
    </row>
    <row r="1248" spans="1:4" x14ac:dyDescent="0.25">
      <c r="A1248">
        <v>1193</v>
      </c>
      <c r="B1248">
        <f>B1247+IF('Cleaned Data'!L1194&gt;0,1,0)*IF($B$34="Overall",1,IF('Cleaned Data'!K1194=$B$34,1,0))*(IF('Cleaned Data'!H1194&lt;&gt;"",1,0))</f>
        <v>539</v>
      </c>
      <c r="C1248" t="e">
        <f>INDEX('Cleaned Data'!H:H,MATCH($A1248,$B$56:$B$1919,0))</f>
        <v>#N/A</v>
      </c>
      <c r="D1248" t="e">
        <f>INDEX('Cleaned Data'!L:L,MATCH($A1248,$B$56:$B$1919,0))</f>
        <v>#N/A</v>
      </c>
    </row>
    <row r="1249" spans="1:4" x14ac:dyDescent="0.25">
      <c r="A1249">
        <v>1194</v>
      </c>
      <c r="B1249">
        <f>B1248+IF('Cleaned Data'!L1195&gt;0,1,0)*IF($B$34="Overall",1,IF('Cleaned Data'!K1195=$B$34,1,0))*(IF('Cleaned Data'!H1195&lt;&gt;"",1,0))</f>
        <v>539</v>
      </c>
      <c r="C1249" t="e">
        <f>INDEX('Cleaned Data'!H:H,MATCH($A1249,$B$56:$B$1919,0))</f>
        <v>#N/A</v>
      </c>
      <c r="D1249" t="e">
        <f>INDEX('Cleaned Data'!L:L,MATCH($A1249,$B$56:$B$1919,0))</f>
        <v>#N/A</v>
      </c>
    </row>
    <row r="1250" spans="1:4" x14ac:dyDescent="0.25">
      <c r="A1250">
        <v>1195</v>
      </c>
      <c r="B1250">
        <f>B1249+IF('Cleaned Data'!L1196&gt;0,1,0)*IF($B$34="Overall",1,IF('Cleaned Data'!K1196=$B$34,1,0))*(IF('Cleaned Data'!H1196&lt;&gt;"",1,0))</f>
        <v>539</v>
      </c>
      <c r="C1250" t="e">
        <f>INDEX('Cleaned Data'!H:H,MATCH($A1250,$B$56:$B$1919,0))</f>
        <v>#N/A</v>
      </c>
      <c r="D1250" t="e">
        <f>INDEX('Cleaned Data'!L:L,MATCH($A1250,$B$56:$B$1919,0))</f>
        <v>#N/A</v>
      </c>
    </row>
    <row r="1251" spans="1:4" x14ac:dyDescent="0.25">
      <c r="A1251">
        <v>1196</v>
      </c>
      <c r="B1251">
        <f>B1250+IF('Cleaned Data'!L1197&gt;0,1,0)*IF($B$34="Overall",1,IF('Cleaned Data'!K1197=$B$34,1,0))*(IF('Cleaned Data'!H1197&lt;&gt;"",1,0))</f>
        <v>539</v>
      </c>
      <c r="C1251" t="e">
        <f>INDEX('Cleaned Data'!H:H,MATCH($A1251,$B$56:$B$1919,0))</f>
        <v>#N/A</v>
      </c>
      <c r="D1251" t="e">
        <f>INDEX('Cleaned Data'!L:L,MATCH($A1251,$B$56:$B$1919,0))</f>
        <v>#N/A</v>
      </c>
    </row>
    <row r="1252" spans="1:4" x14ac:dyDescent="0.25">
      <c r="A1252">
        <v>1197</v>
      </c>
      <c r="B1252">
        <f>B1251+IF('Cleaned Data'!L1198&gt;0,1,0)*IF($B$34="Overall",1,IF('Cleaned Data'!K1198=$B$34,1,0))*(IF('Cleaned Data'!H1198&lt;&gt;"",1,0))</f>
        <v>539</v>
      </c>
      <c r="C1252" t="e">
        <f>INDEX('Cleaned Data'!H:H,MATCH($A1252,$B$56:$B$1919,0))</f>
        <v>#N/A</v>
      </c>
      <c r="D1252" t="e">
        <f>INDEX('Cleaned Data'!L:L,MATCH($A1252,$B$56:$B$1919,0))</f>
        <v>#N/A</v>
      </c>
    </row>
    <row r="1253" spans="1:4" x14ac:dyDescent="0.25">
      <c r="A1253">
        <v>1198</v>
      </c>
      <c r="B1253">
        <f>B1252+IF('Cleaned Data'!L1199&gt;0,1,0)*IF($B$34="Overall",1,IF('Cleaned Data'!K1199=$B$34,1,0))*(IF('Cleaned Data'!H1199&lt;&gt;"",1,0))</f>
        <v>539</v>
      </c>
      <c r="C1253" t="e">
        <f>INDEX('Cleaned Data'!H:H,MATCH($A1253,$B$56:$B$1919,0))</f>
        <v>#N/A</v>
      </c>
      <c r="D1253" t="e">
        <f>INDEX('Cleaned Data'!L:L,MATCH($A1253,$B$56:$B$1919,0))</f>
        <v>#N/A</v>
      </c>
    </row>
    <row r="1254" spans="1:4" x14ac:dyDescent="0.25">
      <c r="A1254">
        <v>1199</v>
      </c>
      <c r="B1254">
        <f>B1253+IF('Cleaned Data'!L1200&gt;0,1,0)*IF($B$34="Overall",1,IF('Cleaned Data'!K1200=$B$34,1,0))*(IF('Cleaned Data'!H1200&lt;&gt;"",1,0))</f>
        <v>540</v>
      </c>
      <c r="C1254" t="e">
        <f>INDEX('Cleaned Data'!H:H,MATCH($A1254,$B$56:$B$1919,0))</f>
        <v>#N/A</v>
      </c>
      <c r="D1254" t="e">
        <f>INDEX('Cleaned Data'!L:L,MATCH($A1254,$B$56:$B$1919,0))</f>
        <v>#N/A</v>
      </c>
    </row>
    <row r="1255" spans="1:4" x14ac:dyDescent="0.25">
      <c r="A1255">
        <v>1200</v>
      </c>
      <c r="B1255">
        <f>B1254+IF('Cleaned Data'!L1201&gt;0,1,0)*IF($B$34="Overall",1,IF('Cleaned Data'!K1201=$B$34,1,0))*(IF('Cleaned Data'!H1201&lt;&gt;"",1,0))</f>
        <v>540</v>
      </c>
      <c r="C1255" t="e">
        <f>INDEX('Cleaned Data'!H:H,MATCH($A1255,$B$56:$B$1919,0))</f>
        <v>#N/A</v>
      </c>
      <c r="D1255" t="e">
        <f>INDEX('Cleaned Data'!L:L,MATCH($A1255,$B$56:$B$1919,0))</f>
        <v>#N/A</v>
      </c>
    </row>
    <row r="1256" spans="1:4" x14ac:dyDescent="0.25">
      <c r="A1256">
        <v>1201</v>
      </c>
      <c r="B1256">
        <f>B1255+IF('Cleaned Data'!L1202&gt;0,1,0)*IF($B$34="Overall",1,IF('Cleaned Data'!K1202=$B$34,1,0))*(IF('Cleaned Data'!H1202&lt;&gt;"",1,0))</f>
        <v>540</v>
      </c>
      <c r="C1256" t="e">
        <f>INDEX('Cleaned Data'!H:H,MATCH($A1256,$B$56:$B$1919,0))</f>
        <v>#N/A</v>
      </c>
      <c r="D1256" t="e">
        <f>INDEX('Cleaned Data'!L:L,MATCH($A1256,$B$56:$B$1919,0))</f>
        <v>#N/A</v>
      </c>
    </row>
    <row r="1257" spans="1:4" x14ac:dyDescent="0.25">
      <c r="A1257">
        <v>1202</v>
      </c>
      <c r="B1257">
        <f>B1256+IF('Cleaned Data'!L1203&gt;0,1,0)*IF($B$34="Overall",1,IF('Cleaned Data'!K1203=$B$34,1,0))*(IF('Cleaned Data'!H1203&lt;&gt;"",1,0))</f>
        <v>540</v>
      </c>
      <c r="C1257" t="e">
        <f>INDEX('Cleaned Data'!H:H,MATCH($A1257,$B$56:$B$1919,0))</f>
        <v>#N/A</v>
      </c>
      <c r="D1257" t="e">
        <f>INDEX('Cleaned Data'!L:L,MATCH($A1257,$B$56:$B$1919,0))</f>
        <v>#N/A</v>
      </c>
    </row>
    <row r="1258" spans="1:4" x14ac:dyDescent="0.25">
      <c r="A1258">
        <v>1203</v>
      </c>
      <c r="B1258">
        <f>B1257+IF('Cleaned Data'!L1204&gt;0,1,0)*IF($B$34="Overall",1,IF('Cleaned Data'!K1204=$B$34,1,0))*(IF('Cleaned Data'!H1204&lt;&gt;"",1,0))</f>
        <v>540</v>
      </c>
      <c r="C1258" t="e">
        <f>INDEX('Cleaned Data'!H:H,MATCH($A1258,$B$56:$B$1919,0))</f>
        <v>#N/A</v>
      </c>
      <c r="D1258" t="e">
        <f>INDEX('Cleaned Data'!L:L,MATCH($A1258,$B$56:$B$1919,0))</f>
        <v>#N/A</v>
      </c>
    </row>
    <row r="1259" spans="1:4" x14ac:dyDescent="0.25">
      <c r="A1259">
        <v>1204</v>
      </c>
      <c r="B1259">
        <f>B1258+IF('Cleaned Data'!L1205&gt;0,1,0)*IF($B$34="Overall",1,IF('Cleaned Data'!K1205=$B$34,1,0))*(IF('Cleaned Data'!H1205&lt;&gt;"",1,0))</f>
        <v>540</v>
      </c>
      <c r="C1259" t="e">
        <f>INDEX('Cleaned Data'!H:H,MATCH($A1259,$B$56:$B$1919,0))</f>
        <v>#N/A</v>
      </c>
      <c r="D1259" t="e">
        <f>INDEX('Cleaned Data'!L:L,MATCH($A1259,$B$56:$B$1919,0))</f>
        <v>#N/A</v>
      </c>
    </row>
    <row r="1260" spans="1:4" x14ac:dyDescent="0.25">
      <c r="A1260">
        <v>1205</v>
      </c>
      <c r="B1260">
        <f>B1259+IF('Cleaned Data'!L1206&gt;0,1,0)*IF($B$34="Overall",1,IF('Cleaned Data'!K1206=$B$34,1,0))*(IF('Cleaned Data'!H1206&lt;&gt;"",1,0))</f>
        <v>540</v>
      </c>
      <c r="C1260" t="e">
        <f>INDEX('Cleaned Data'!H:H,MATCH($A1260,$B$56:$B$1919,0))</f>
        <v>#N/A</v>
      </c>
      <c r="D1260" t="e">
        <f>INDEX('Cleaned Data'!L:L,MATCH($A1260,$B$56:$B$1919,0))</f>
        <v>#N/A</v>
      </c>
    </row>
    <row r="1261" spans="1:4" x14ac:dyDescent="0.25">
      <c r="A1261">
        <v>1206</v>
      </c>
      <c r="B1261">
        <f>B1260+IF('Cleaned Data'!L1207&gt;0,1,0)*IF($B$34="Overall",1,IF('Cleaned Data'!K1207=$B$34,1,0))*(IF('Cleaned Data'!H1207&lt;&gt;"",1,0))</f>
        <v>540</v>
      </c>
      <c r="C1261" t="e">
        <f>INDEX('Cleaned Data'!H:H,MATCH($A1261,$B$56:$B$1919,0))</f>
        <v>#N/A</v>
      </c>
      <c r="D1261" t="e">
        <f>INDEX('Cleaned Data'!L:L,MATCH($A1261,$B$56:$B$1919,0))</f>
        <v>#N/A</v>
      </c>
    </row>
    <row r="1262" spans="1:4" x14ac:dyDescent="0.25">
      <c r="A1262">
        <v>1207</v>
      </c>
      <c r="B1262">
        <f>B1261+IF('Cleaned Data'!L1208&gt;0,1,0)*IF($B$34="Overall",1,IF('Cleaned Data'!K1208=$B$34,1,0))*(IF('Cleaned Data'!H1208&lt;&gt;"",1,0))</f>
        <v>540</v>
      </c>
      <c r="C1262" t="e">
        <f>INDEX('Cleaned Data'!H:H,MATCH($A1262,$B$56:$B$1919,0))</f>
        <v>#N/A</v>
      </c>
      <c r="D1262" t="e">
        <f>INDEX('Cleaned Data'!L:L,MATCH($A1262,$B$56:$B$1919,0))</f>
        <v>#N/A</v>
      </c>
    </row>
    <row r="1263" spans="1:4" x14ac:dyDescent="0.25">
      <c r="A1263">
        <v>1208</v>
      </c>
      <c r="B1263">
        <f>B1262+IF('Cleaned Data'!L1209&gt;0,1,0)*IF($B$34="Overall",1,IF('Cleaned Data'!K1209=$B$34,1,0))*(IF('Cleaned Data'!H1209&lt;&gt;"",1,0))</f>
        <v>540</v>
      </c>
      <c r="C1263" t="e">
        <f>INDEX('Cleaned Data'!H:H,MATCH($A1263,$B$56:$B$1919,0))</f>
        <v>#N/A</v>
      </c>
      <c r="D1263" t="e">
        <f>INDEX('Cleaned Data'!L:L,MATCH($A1263,$B$56:$B$1919,0))</f>
        <v>#N/A</v>
      </c>
    </row>
    <row r="1264" spans="1:4" x14ac:dyDescent="0.25">
      <c r="A1264">
        <v>1209</v>
      </c>
      <c r="B1264">
        <f>B1263+IF('Cleaned Data'!L1210&gt;0,1,0)*IF($B$34="Overall",1,IF('Cleaned Data'!K1210=$B$34,1,0))*(IF('Cleaned Data'!H1210&lt;&gt;"",1,0))</f>
        <v>540</v>
      </c>
      <c r="C1264" t="e">
        <f>INDEX('Cleaned Data'!H:H,MATCH($A1264,$B$56:$B$1919,0))</f>
        <v>#N/A</v>
      </c>
      <c r="D1264" t="e">
        <f>INDEX('Cleaned Data'!L:L,MATCH($A1264,$B$56:$B$1919,0))</f>
        <v>#N/A</v>
      </c>
    </row>
    <row r="1265" spans="1:4" x14ac:dyDescent="0.25">
      <c r="A1265">
        <v>1210</v>
      </c>
      <c r="B1265">
        <f>B1264+IF('Cleaned Data'!L1211&gt;0,1,0)*IF($B$34="Overall",1,IF('Cleaned Data'!K1211=$B$34,1,0))*(IF('Cleaned Data'!H1211&lt;&gt;"",1,0))</f>
        <v>540</v>
      </c>
      <c r="C1265" t="e">
        <f>INDEX('Cleaned Data'!H:H,MATCH($A1265,$B$56:$B$1919,0))</f>
        <v>#N/A</v>
      </c>
      <c r="D1265" t="e">
        <f>INDEX('Cleaned Data'!L:L,MATCH($A1265,$B$56:$B$1919,0))</f>
        <v>#N/A</v>
      </c>
    </row>
    <row r="1266" spans="1:4" x14ac:dyDescent="0.25">
      <c r="A1266">
        <v>1211</v>
      </c>
      <c r="B1266">
        <f>B1265+IF('Cleaned Data'!L1212&gt;0,1,0)*IF($B$34="Overall",1,IF('Cleaned Data'!K1212=$B$34,1,0))*(IF('Cleaned Data'!H1212&lt;&gt;"",1,0))</f>
        <v>540</v>
      </c>
      <c r="C1266" t="e">
        <f>INDEX('Cleaned Data'!H:H,MATCH($A1266,$B$56:$B$1919,0))</f>
        <v>#N/A</v>
      </c>
      <c r="D1266" t="e">
        <f>INDEX('Cleaned Data'!L:L,MATCH($A1266,$B$56:$B$1919,0))</f>
        <v>#N/A</v>
      </c>
    </row>
    <row r="1267" spans="1:4" x14ac:dyDescent="0.25">
      <c r="A1267">
        <v>1212</v>
      </c>
      <c r="B1267">
        <f>B1266+IF('Cleaned Data'!L1213&gt;0,1,0)*IF($B$34="Overall",1,IF('Cleaned Data'!K1213=$B$34,1,0))*(IF('Cleaned Data'!H1213&lt;&gt;"",1,0))</f>
        <v>540</v>
      </c>
      <c r="C1267" t="e">
        <f>INDEX('Cleaned Data'!H:H,MATCH($A1267,$B$56:$B$1919,0))</f>
        <v>#N/A</v>
      </c>
      <c r="D1267" t="e">
        <f>INDEX('Cleaned Data'!L:L,MATCH($A1267,$B$56:$B$1919,0))</f>
        <v>#N/A</v>
      </c>
    </row>
    <row r="1268" spans="1:4" x14ac:dyDescent="0.25">
      <c r="A1268">
        <v>1213</v>
      </c>
      <c r="B1268">
        <f>B1267+IF('Cleaned Data'!L1214&gt;0,1,0)*IF($B$34="Overall",1,IF('Cleaned Data'!K1214=$B$34,1,0))*(IF('Cleaned Data'!H1214&lt;&gt;"",1,0))</f>
        <v>540</v>
      </c>
      <c r="C1268" t="e">
        <f>INDEX('Cleaned Data'!H:H,MATCH($A1268,$B$56:$B$1919,0))</f>
        <v>#N/A</v>
      </c>
      <c r="D1268" t="e">
        <f>INDEX('Cleaned Data'!L:L,MATCH($A1268,$B$56:$B$1919,0))</f>
        <v>#N/A</v>
      </c>
    </row>
    <row r="1269" spans="1:4" x14ac:dyDescent="0.25">
      <c r="A1269">
        <v>1214</v>
      </c>
      <c r="B1269">
        <f>B1268+IF('Cleaned Data'!L1215&gt;0,1,0)*IF($B$34="Overall",1,IF('Cleaned Data'!K1215=$B$34,1,0))*(IF('Cleaned Data'!H1215&lt;&gt;"",1,0))</f>
        <v>540</v>
      </c>
      <c r="C1269" t="e">
        <f>INDEX('Cleaned Data'!H:H,MATCH($A1269,$B$56:$B$1919,0))</f>
        <v>#N/A</v>
      </c>
      <c r="D1269" t="e">
        <f>INDEX('Cleaned Data'!L:L,MATCH($A1269,$B$56:$B$1919,0))</f>
        <v>#N/A</v>
      </c>
    </row>
    <row r="1270" spans="1:4" x14ac:dyDescent="0.25">
      <c r="A1270">
        <v>1215</v>
      </c>
      <c r="B1270">
        <f>B1269+IF('Cleaned Data'!L1216&gt;0,1,0)*IF($B$34="Overall",1,IF('Cleaned Data'!K1216=$B$34,1,0))*(IF('Cleaned Data'!H1216&lt;&gt;"",1,0))</f>
        <v>540</v>
      </c>
      <c r="C1270" t="e">
        <f>INDEX('Cleaned Data'!H:H,MATCH($A1270,$B$56:$B$1919,0))</f>
        <v>#N/A</v>
      </c>
      <c r="D1270" t="e">
        <f>INDEX('Cleaned Data'!L:L,MATCH($A1270,$B$56:$B$1919,0))</f>
        <v>#N/A</v>
      </c>
    </row>
    <row r="1271" spans="1:4" x14ac:dyDescent="0.25">
      <c r="A1271">
        <v>1216</v>
      </c>
      <c r="B1271">
        <f>B1270+IF('Cleaned Data'!L1217&gt;0,1,0)*IF($B$34="Overall",1,IF('Cleaned Data'!K1217=$B$34,1,0))*(IF('Cleaned Data'!H1217&lt;&gt;"",1,0))</f>
        <v>540</v>
      </c>
      <c r="C1271" t="e">
        <f>INDEX('Cleaned Data'!H:H,MATCH($A1271,$B$56:$B$1919,0))</f>
        <v>#N/A</v>
      </c>
      <c r="D1271" t="e">
        <f>INDEX('Cleaned Data'!L:L,MATCH($A1271,$B$56:$B$1919,0))</f>
        <v>#N/A</v>
      </c>
    </row>
    <row r="1272" spans="1:4" x14ac:dyDescent="0.25">
      <c r="A1272">
        <v>1217</v>
      </c>
      <c r="B1272">
        <f>B1271+IF('Cleaned Data'!L1218&gt;0,1,0)*IF($B$34="Overall",1,IF('Cleaned Data'!K1218=$B$34,1,0))*(IF('Cleaned Data'!H1218&lt;&gt;"",1,0))</f>
        <v>540</v>
      </c>
      <c r="C1272" t="e">
        <f>INDEX('Cleaned Data'!H:H,MATCH($A1272,$B$56:$B$1919,0))</f>
        <v>#N/A</v>
      </c>
      <c r="D1272" t="e">
        <f>INDEX('Cleaned Data'!L:L,MATCH($A1272,$B$56:$B$1919,0))</f>
        <v>#N/A</v>
      </c>
    </row>
    <row r="1273" spans="1:4" x14ac:dyDescent="0.25">
      <c r="A1273">
        <v>1218</v>
      </c>
      <c r="B1273">
        <f>B1272+IF('Cleaned Data'!L1219&gt;0,1,0)*IF($B$34="Overall",1,IF('Cleaned Data'!K1219=$B$34,1,0))*(IF('Cleaned Data'!H1219&lt;&gt;"",1,0))</f>
        <v>540</v>
      </c>
      <c r="C1273" t="e">
        <f>INDEX('Cleaned Data'!H:H,MATCH($A1273,$B$56:$B$1919,0))</f>
        <v>#N/A</v>
      </c>
      <c r="D1273" t="e">
        <f>INDEX('Cleaned Data'!L:L,MATCH($A1273,$B$56:$B$1919,0))</f>
        <v>#N/A</v>
      </c>
    </row>
    <row r="1274" spans="1:4" x14ac:dyDescent="0.25">
      <c r="A1274">
        <v>1219</v>
      </c>
      <c r="B1274">
        <f>B1273+IF('Cleaned Data'!L1220&gt;0,1,0)*IF($B$34="Overall",1,IF('Cleaned Data'!K1220=$B$34,1,0))*(IF('Cleaned Data'!H1220&lt;&gt;"",1,0))</f>
        <v>540</v>
      </c>
      <c r="C1274" t="e">
        <f>INDEX('Cleaned Data'!H:H,MATCH($A1274,$B$56:$B$1919,0))</f>
        <v>#N/A</v>
      </c>
      <c r="D1274" t="e">
        <f>INDEX('Cleaned Data'!L:L,MATCH($A1274,$B$56:$B$1919,0))</f>
        <v>#N/A</v>
      </c>
    </row>
    <row r="1275" spans="1:4" x14ac:dyDescent="0.25">
      <c r="A1275">
        <v>1220</v>
      </c>
      <c r="B1275">
        <f>B1274+IF('Cleaned Data'!L1221&gt;0,1,0)*IF($B$34="Overall",1,IF('Cleaned Data'!K1221=$B$34,1,0))*(IF('Cleaned Data'!H1221&lt;&gt;"",1,0))</f>
        <v>540</v>
      </c>
      <c r="C1275" t="e">
        <f>INDEX('Cleaned Data'!H:H,MATCH($A1275,$B$56:$B$1919,0))</f>
        <v>#N/A</v>
      </c>
      <c r="D1275" t="e">
        <f>INDEX('Cleaned Data'!L:L,MATCH($A1275,$B$56:$B$1919,0))</f>
        <v>#N/A</v>
      </c>
    </row>
    <row r="1276" spans="1:4" x14ac:dyDescent="0.25">
      <c r="A1276">
        <v>1221</v>
      </c>
      <c r="B1276">
        <f>B1275+IF('Cleaned Data'!L1222&gt;0,1,0)*IF($B$34="Overall",1,IF('Cleaned Data'!K1222=$B$34,1,0))*(IF('Cleaned Data'!H1222&lt;&gt;"",1,0))</f>
        <v>540</v>
      </c>
      <c r="C1276" t="e">
        <f>INDEX('Cleaned Data'!H:H,MATCH($A1276,$B$56:$B$1919,0))</f>
        <v>#N/A</v>
      </c>
      <c r="D1276" t="e">
        <f>INDEX('Cleaned Data'!L:L,MATCH($A1276,$B$56:$B$1919,0))</f>
        <v>#N/A</v>
      </c>
    </row>
    <row r="1277" spans="1:4" x14ac:dyDescent="0.25">
      <c r="A1277">
        <v>1222</v>
      </c>
      <c r="B1277">
        <f>B1276+IF('Cleaned Data'!L1223&gt;0,1,0)*IF($B$34="Overall",1,IF('Cleaned Data'!K1223=$B$34,1,0))*(IF('Cleaned Data'!H1223&lt;&gt;"",1,0))</f>
        <v>540</v>
      </c>
      <c r="C1277" t="e">
        <f>INDEX('Cleaned Data'!H:H,MATCH($A1277,$B$56:$B$1919,0))</f>
        <v>#N/A</v>
      </c>
      <c r="D1277" t="e">
        <f>INDEX('Cleaned Data'!L:L,MATCH($A1277,$B$56:$B$1919,0))</f>
        <v>#N/A</v>
      </c>
    </row>
    <row r="1278" spans="1:4" x14ac:dyDescent="0.25">
      <c r="A1278">
        <v>1223</v>
      </c>
      <c r="B1278">
        <f>B1277+IF('Cleaned Data'!L1224&gt;0,1,0)*IF($B$34="Overall",1,IF('Cleaned Data'!K1224=$B$34,1,0))*(IF('Cleaned Data'!H1224&lt;&gt;"",1,0))</f>
        <v>540</v>
      </c>
      <c r="C1278" t="e">
        <f>INDEX('Cleaned Data'!H:H,MATCH($A1278,$B$56:$B$1919,0))</f>
        <v>#N/A</v>
      </c>
      <c r="D1278" t="e">
        <f>INDEX('Cleaned Data'!L:L,MATCH($A1278,$B$56:$B$1919,0))</f>
        <v>#N/A</v>
      </c>
    </row>
    <row r="1279" spans="1:4" x14ac:dyDescent="0.25">
      <c r="A1279">
        <v>1224</v>
      </c>
      <c r="B1279">
        <f>B1278+IF('Cleaned Data'!L1225&gt;0,1,0)*IF($B$34="Overall",1,IF('Cleaned Data'!K1225=$B$34,1,0))*(IF('Cleaned Data'!H1225&lt;&gt;"",1,0))</f>
        <v>540</v>
      </c>
      <c r="C1279" t="e">
        <f>INDEX('Cleaned Data'!H:H,MATCH($A1279,$B$56:$B$1919,0))</f>
        <v>#N/A</v>
      </c>
      <c r="D1279" t="e">
        <f>INDEX('Cleaned Data'!L:L,MATCH($A1279,$B$56:$B$1919,0))</f>
        <v>#N/A</v>
      </c>
    </row>
    <row r="1280" spans="1:4" x14ac:dyDescent="0.25">
      <c r="A1280">
        <v>1225</v>
      </c>
      <c r="B1280">
        <f>B1279+IF('Cleaned Data'!L1226&gt;0,1,0)*IF($B$34="Overall",1,IF('Cleaned Data'!K1226=$B$34,1,0))*(IF('Cleaned Data'!H1226&lt;&gt;"",1,0))</f>
        <v>540</v>
      </c>
      <c r="C1280" t="e">
        <f>INDEX('Cleaned Data'!H:H,MATCH($A1280,$B$56:$B$1919,0))</f>
        <v>#N/A</v>
      </c>
      <c r="D1280" t="e">
        <f>INDEX('Cleaned Data'!L:L,MATCH($A1280,$B$56:$B$1919,0))</f>
        <v>#N/A</v>
      </c>
    </row>
    <row r="1281" spans="1:4" x14ac:dyDescent="0.25">
      <c r="A1281">
        <v>1226</v>
      </c>
      <c r="B1281">
        <f>B1280+IF('Cleaned Data'!L1227&gt;0,1,0)*IF($B$34="Overall",1,IF('Cleaned Data'!K1227=$B$34,1,0))*(IF('Cleaned Data'!H1227&lt;&gt;"",1,0))</f>
        <v>540</v>
      </c>
      <c r="C1281" t="e">
        <f>INDEX('Cleaned Data'!H:H,MATCH($A1281,$B$56:$B$1919,0))</f>
        <v>#N/A</v>
      </c>
      <c r="D1281" t="e">
        <f>INDEX('Cleaned Data'!L:L,MATCH($A1281,$B$56:$B$1919,0))</f>
        <v>#N/A</v>
      </c>
    </row>
    <row r="1282" spans="1:4" x14ac:dyDescent="0.25">
      <c r="A1282">
        <v>1227</v>
      </c>
      <c r="B1282">
        <f>B1281+IF('Cleaned Data'!L1228&gt;0,1,0)*IF($B$34="Overall",1,IF('Cleaned Data'!K1228=$B$34,1,0))*(IF('Cleaned Data'!H1228&lt;&gt;"",1,0))</f>
        <v>540</v>
      </c>
      <c r="C1282" t="e">
        <f>INDEX('Cleaned Data'!H:H,MATCH($A1282,$B$56:$B$1919,0))</f>
        <v>#N/A</v>
      </c>
      <c r="D1282" t="e">
        <f>INDEX('Cleaned Data'!L:L,MATCH($A1282,$B$56:$B$1919,0))</f>
        <v>#N/A</v>
      </c>
    </row>
    <row r="1283" spans="1:4" x14ac:dyDescent="0.25">
      <c r="A1283">
        <v>1228</v>
      </c>
      <c r="B1283">
        <f>B1282+IF('Cleaned Data'!L1229&gt;0,1,0)*IF($B$34="Overall",1,IF('Cleaned Data'!K1229=$B$34,1,0))*(IF('Cleaned Data'!H1229&lt;&gt;"",1,0))</f>
        <v>540</v>
      </c>
      <c r="C1283" t="e">
        <f>INDEX('Cleaned Data'!H:H,MATCH($A1283,$B$56:$B$1919,0))</f>
        <v>#N/A</v>
      </c>
      <c r="D1283" t="e">
        <f>INDEX('Cleaned Data'!L:L,MATCH($A1283,$B$56:$B$1919,0))</f>
        <v>#N/A</v>
      </c>
    </row>
    <row r="1284" spans="1:4" x14ac:dyDescent="0.25">
      <c r="A1284">
        <v>1229</v>
      </c>
      <c r="B1284">
        <f>B1283+IF('Cleaned Data'!L1230&gt;0,1,0)*IF($B$34="Overall",1,IF('Cleaned Data'!K1230=$B$34,1,0))*(IF('Cleaned Data'!H1230&lt;&gt;"",1,0))</f>
        <v>540</v>
      </c>
      <c r="C1284" t="e">
        <f>INDEX('Cleaned Data'!H:H,MATCH($A1284,$B$56:$B$1919,0))</f>
        <v>#N/A</v>
      </c>
      <c r="D1284" t="e">
        <f>INDEX('Cleaned Data'!L:L,MATCH($A1284,$B$56:$B$1919,0))</f>
        <v>#N/A</v>
      </c>
    </row>
    <row r="1285" spans="1:4" x14ac:dyDescent="0.25">
      <c r="A1285">
        <v>1230</v>
      </c>
      <c r="B1285">
        <f>B1284+IF('Cleaned Data'!L1231&gt;0,1,0)*IF($B$34="Overall",1,IF('Cleaned Data'!K1231=$B$34,1,0))*(IF('Cleaned Data'!H1231&lt;&gt;"",1,0))</f>
        <v>540</v>
      </c>
      <c r="C1285" t="e">
        <f>INDEX('Cleaned Data'!H:H,MATCH($A1285,$B$56:$B$1919,0))</f>
        <v>#N/A</v>
      </c>
      <c r="D1285" t="e">
        <f>INDEX('Cleaned Data'!L:L,MATCH($A1285,$B$56:$B$1919,0))</f>
        <v>#N/A</v>
      </c>
    </row>
    <row r="1286" spans="1:4" x14ac:dyDescent="0.25">
      <c r="A1286">
        <v>1231</v>
      </c>
      <c r="B1286">
        <f>B1285+IF('Cleaned Data'!L1232&gt;0,1,0)*IF($B$34="Overall",1,IF('Cleaned Data'!K1232=$B$34,1,0))*(IF('Cleaned Data'!H1232&lt;&gt;"",1,0))</f>
        <v>540</v>
      </c>
      <c r="C1286" t="e">
        <f>INDEX('Cleaned Data'!H:H,MATCH($A1286,$B$56:$B$1919,0))</f>
        <v>#N/A</v>
      </c>
      <c r="D1286" t="e">
        <f>INDEX('Cleaned Data'!L:L,MATCH($A1286,$B$56:$B$1919,0))</f>
        <v>#N/A</v>
      </c>
    </row>
    <row r="1287" spans="1:4" x14ac:dyDescent="0.25">
      <c r="A1287">
        <v>1232</v>
      </c>
      <c r="B1287">
        <f>B1286+IF('Cleaned Data'!L1233&gt;0,1,0)*IF($B$34="Overall",1,IF('Cleaned Data'!K1233=$B$34,1,0))*(IF('Cleaned Data'!H1233&lt;&gt;"",1,0))</f>
        <v>540</v>
      </c>
      <c r="C1287" t="e">
        <f>INDEX('Cleaned Data'!H:H,MATCH($A1287,$B$56:$B$1919,0))</f>
        <v>#N/A</v>
      </c>
      <c r="D1287" t="e">
        <f>INDEX('Cleaned Data'!L:L,MATCH($A1287,$B$56:$B$1919,0))</f>
        <v>#N/A</v>
      </c>
    </row>
    <row r="1288" spans="1:4" x14ac:dyDescent="0.25">
      <c r="A1288">
        <v>1233</v>
      </c>
      <c r="B1288">
        <f>B1287+IF('Cleaned Data'!L1234&gt;0,1,0)*IF($B$34="Overall",1,IF('Cleaned Data'!K1234=$B$34,1,0))*(IF('Cleaned Data'!H1234&lt;&gt;"",1,0))</f>
        <v>540</v>
      </c>
      <c r="C1288" t="e">
        <f>INDEX('Cleaned Data'!H:H,MATCH($A1288,$B$56:$B$1919,0))</f>
        <v>#N/A</v>
      </c>
      <c r="D1288" t="e">
        <f>INDEX('Cleaned Data'!L:L,MATCH($A1288,$B$56:$B$1919,0))</f>
        <v>#N/A</v>
      </c>
    </row>
    <row r="1289" spans="1:4" x14ac:dyDescent="0.25">
      <c r="A1289">
        <v>1234</v>
      </c>
      <c r="B1289">
        <f>B1288+IF('Cleaned Data'!L1235&gt;0,1,0)*IF($B$34="Overall",1,IF('Cleaned Data'!K1235=$B$34,1,0))*(IF('Cleaned Data'!H1235&lt;&gt;"",1,0))</f>
        <v>540</v>
      </c>
      <c r="C1289" t="e">
        <f>INDEX('Cleaned Data'!H:H,MATCH($A1289,$B$56:$B$1919,0))</f>
        <v>#N/A</v>
      </c>
      <c r="D1289" t="e">
        <f>INDEX('Cleaned Data'!L:L,MATCH($A1289,$B$56:$B$1919,0))</f>
        <v>#N/A</v>
      </c>
    </row>
    <row r="1290" spans="1:4" x14ac:dyDescent="0.25">
      <c r="A1290">
        <v>1235</v>
      </c>
      <c r="B1290">
        <f>B1289+IF('Cleaned Data'!L1236&gt;0,1,0)*IF($B$34="Overall",1,IF('Cleaned Data'!K1236=$B$34,1,0))*(IF('Cleaned Data'!H1236&lt;&gt;"",1,0))</f>
        <v>540</v>
      </c>
      <c r="C1290" t="e">
        <f>INDEX('Cleaned Data'!H:H,MATCH($A1290,$B$56:$B$1919,0))</f>
        <v>#N/A</v>
      </c>
      <c r="D1290" t="e">
        <f>INDEX('Cleaned Data'!L:L,MATCH($A1290,$B$56:$B$1919,0))</f>
        <v>#N/A</v>
      </c>
    </row>
    <row r="1291" spans="1:4" x14ac:dyDescent="0.25">
      <c r="A1291">
        <v>1236</v>
      </c>
      <c r="B1291">
        <f>B1290+IF('Cleaned Data'!L1237&gt;0,1,0)*IF($B$34="Overall",1,IF('Cleaned Data'!K1237=$B$34,1,0))*(IF('Cleaned Data'!H1237&lt;&gt;"",1,0))</f>
        <v>540</v>
      </c>
      <c r="C1291" t="e">
        <f>INDEX('Cleaned Data'!H:H,MATCH($A1291,$B$56:$B$1919,0))</f>
        <v>#N/A</v>
      </c>
      <c r="D1291" t="e">
        <f>INDEX('Cleaned Data'!L:L,MATCH($A1291,$B$56:$B$1919,0))</f>
        <v>#N/A</v>
      </c>
    </row>
    <row r="1292" spans="1:4" x14ac:dyDescent="0.25">
      <c r="A1292">
        <v>1237</v>
      </c>
      <c r="B1292">
        <f>B1291+IF('Cleaned Data'!L1238&gt;0,1,0)*IF($B$34="Overall",1,IF('Cleaned Data'!K1238=$B$34,1,0))*(IF('Cleaned Data'!H1238&lt;&gt;"",1,0))</f>
        <v>540</v>
      </c>
      <c r="C1292" t="e">
        <f>INDEX('Cleaned Data'!H:H,MATCH($A1292,$B$56:$B$1919,0))</f>
        <v>#N/A</v>
      </c>
      <c r="D1292" t="e">
        <f>INDEX('Cleaned Data'!L:L,MATCH($A1292,$B$56:$B$1919,0))</f>
        <v>#N/A</v>
      </c>
    </row>
    <row r="1293" spans="1:4" x14ac:dyDescent="0.25">
      <c r="A1293">
        <v>1238</v>
      </c>
      <c r="B1293">
        <f>B1292+IF('Cleaned Data'!L1239&gt;0,1,0)*IF($B$34="Overall",1,IF('Cleaned Data'!K1239=$B$34,1,0))*(IF('Cleaned Data'!H1239&lt;&gt;"",1,0))</f>
        <v>540</v>
      </c>
      <c r="C1293" t="e">
        <f>INDEX('Cleaned Data'!H:H,MATCH($A1293,$B$56:$B$1919,0))</f>
        <v>#N/A</v>
      </c>
      <c r="D1293" t="e">
        <f>INDEX('Cleaned Data'!L:L,MATCH($A1293,$B$56:$B$1919,0))</f>
        <v>#N/A</v>
      </c>
    </row>
    <row r="1294" spans="1:4" x14ac:dyDescent="0.25">
      <c r="A1294">
        <v>1239</v>
      </c>
      <c r="B1294">
        <f>B1293+IF('Cleaned Data'!L1240&gt;0,1,0)*IF($B$34="Overall",1,IF('Cleaned Data'!K1240=$B$34,1,0))*(IF('Cleaned Data'!H1240&lt;&gt;"",1,0))</f>
        <v>540</v>
      </c>
      <c r="C1294" t="e">
        <f>INDEX('Cleaned Data'!H:H,MATCH($A1294,$B$56:$B$1919,0))</f>
        <v>#N/A</v>
      </c>
      <c r="D1294" t="e">
        <f>INDEX('Cleaned Data'!L:L,MATCH($A1294,$B$56:$B$1919,0))</f>
        <v>#N/A</v>
      </c>
    </row>
    <row r="1295" spans="1:4" x14ac:dyDescent="0.25">
      <c r="A1295">
        <v>1240</v>
      </c>
      <c r="B1295">
        <f>B1294+IF('Cleaned Data'!L1241&gt;0,1,0)*IF($B$34="Overall",1,IF('Cleaned Data'!K1241=$B$34,1,0))*(IF('Cleaned Data'!H1241&lt;&gt;"",1,0))</f>
        <v>540</v>
      </c>
      <c r="C1295" t="e">
        <f>INDEX('Cleaned Data'!H:H,MATCH($A1295,$B$56:$B$1919,0))</f>
        <v>#N/A</v>
      </c>
      <c r="D1295" t="e">
        <f>INDEX('Cleaned Data'!L:L,MATCH($A1295,$B$56:$B$1919,0))</f>
        <v>#N/A</v>
      </c>
    </row>
    <row r="1296" spans="1:4" x14ac:dyDescent="0.25">
      <c r="A1296">
        <v>1241</v>
      </c>
      <c r="B1296">
        <f>B1295+IF('Cleaned Data'!L1242&gt;0,1,0)*IF($B$34="Overall",1,IF('Cleaned Data'!K1242=$B$34,1,0))*(IF('Cleaned Data'!H1242&lt;&gt;"",1,0))</f>
        <v>540</v>
      </c>
      <c r="C1296" t="e">
        <f>INDEX('Cleaned Data'!H:H,MATCH($A1296,$B$56:$B$1919,0))</f>
        <v>#N/A</v>
      </c>
      <c r="D1296" t="e">
        <f>INDEX('Cleaned Data'!L:L,MATCH($A1296,$B$56:$B$1919,0))</f>
        <v>#N/A</v>
      </c>
    </row>
    <row r="1297" spans="1:4" x14ac:dyDescent="0.25">
      <c r="A1297">
        <v>1242</v>
      </c>
      <c r="B1297">
        <f>B1296+IF('Cleaned Data'!L1243&gt;0,1,0)*IF($B$34="Overall",1,IF('Cleaned Data'!K1243=$B$34,1,0))*(IF('Cleaned Data'!H1243&lt;&gt;"",1,0))</f>
        <v>540</v>
      </c>
      <c r="C1297" t="e">
        <f>INDEX('Cleaned Data'!H:H,MATCH($A1297,$B$56:$B$1919,0))</f>
        <v>#N/A</v>
      </c>
      <c r="D1297" t="e">
        <f>INDEX('Cleaned Data'!L:L,MATCH($A1297,$B$56:$B$1919,0))</f>
        <v>#N/A</v>
      </c>
    </row>
    <row r="1298" spans="1:4" x14ac:dyDescent="0.25">
      <c r="A1298">
        <v>1243</v>
      </c>
      <c r="B1298">
        <f>B1297+IF('Cleaned Data'!L1244&gt;0,1,0)*IF($B$34="Overall",1,IF('Cleaned Data'!K1244=$B$34,1,0))*(IF('Cleaned Data'!H1244&lt;&gt;"",1,0))</f>
        <v>540</v>
      </c>
      <c r="C1298" t="e">
        <f>INDEX('Cleaned Data'!H:H,MATCH($A1298,$B$56:$B$1919,0))</f>
        <v>#N/A</v>
      </c>
      <c r="D1298" t="e">
        <f>INDEX('Cleaned Data'!L:L,MATCH($A1298,$B$56:$B$1919,0))</f>
        <v>#N/A</v>
      </c>
    </row>
    <row r="1299" spans="1:4" x14ac:dyDescent="0.25">
      <c r="A1299">
        <v>1244</v>
      </c>
      <c r="B1299">
        <f>B1298+IF('Cleaned Data'!L1245&gt;0,1,0)*IF($B$34="Overall",1,IF('Cleaned Data'!K1245=$B$34,1,0))*(IF('Cleaned Data'!H1245&lt;&gt;"",1,0))</f>
        <v>540</v>
      </c>
      <c r="C1299" t="e">
        <f>INDEX('Cleaned Data'!H:H,MATCH($A1299,$B$56:$B$1919,0))</f>
        <v>#N/A</v>
      </c>
      <c r="D1299" t="e">
        <f>INDEX('Cleaned Data'!L:L,MATCH($A1299,$B$56:$B$1919,0))</f>
        <v>#N/A</v>
      </c>
    </row>
    <row r="1300" spans="1:4" x14ac:dyDescent="0.25">
      <c r="A1300">
        <v>1245</v>
      </c>
      <c r="B1300">
        <f>B1299+IF('Cleaned Data'!L1246&gt;0,1,0)*IF($B$34="Overall",1,IF('Cleaned Data'!K1246=$B$34,1,0))*(IF('Cleaned Data'!H1246&lt;&gt;"",1,0))</f>
        <v>540</v>
      </c>
      <c r="C1300" t="e">
        <f>INDEX('Cleaned Data'!H:H,MATCH($A1300,$B$56:$B$1919,0))</f>
        <v>#N/A</v>
      </c>
      <c r="D1300" t="e">
        <f>INDEX('Cleaned Data'!L:L,MATCH($A1300,$B$56:$B$1919,0))</f>
        <v>#N/A</v>
      </c>
    </row>
    <row r="1301" spans="1:4" x14ac:dyDescent="0.25">
      <c r="A1301">
        <v>1246</v>
      </c>
      <c r="B1301">
        <f>B1300+IF('Cleaned Data'!L1247&gt;0,1,0)*IF($B$34="Overall",1,IF('Cleaned Data'!K1247=$B$34,1,0))*(IF('Cleaned Data'!H1247&lt;&gt;"",1,0))</f>
        <v>540</v>
      </c>
      <c r="C1301" t="e">
        <f>INDEX('Cleaned Data'!H:H,MATCH($A1301,$B$56:$B$1919,0))</f>
        <v>#N/A</v>
      </c>
      <c r="D1301" t="e">
        <f>INDEX('Cleaned Data'!L:L,MATCH($A1301,$B$56:$B$1919,0))</f>
        <v>#N/A</v>
      </c>
    </row>
    <row r="1302" spans="1:4" x14ac:dyDescent="0.25">
      <c r="A1302">
        <v>1247</v>
      </c>
      <c r="B1302">
        <f>B1301+IF('Cleaned Data'!L1248&gt;0,1,0)*IF($B$34="Overall",1,IF('Cleaned Data'!K1248=$B$34,1,0))*(IF('Cleaned Data'!H1248&lt;&gt;"",1,0))</f>
        <v>540</v>
      </c>
      <c r="C1302" t="e">
        <f>INDEX('Cleaned Data'!H:H,MATCH($A1302,$B$56:$B$1919,0))</f>
        <v>#N/A</v>
      </c>
      <c r="D1302" t="e">
        <f>INDEX('Cleaned Data'!L:L,MATCH($A1302,$B$56:$B$1919,0))</f>
        <v>#N/A</v>
      </c>
    </row>
    <row r="1303" spans="1:4" x14ac:dyDescent="0.25">
      <c r="A1303">
        <v>1248</v>
      </c>
      <c r="B1303">
        <f>B1302+IF('Cleaned Data'!L1249&gt;0,1,0)*IF($B$34="Overall",1,IF('Cleaned Data'!K1249=$B$34,1,0))*(IF('Cleaned Data'!H1249&lt;&gt;"",1,0))</f>
        <v>540</v>
      </c>
      <c r="C1303" t="e">
        <f>INDEX('Cleaned Data'!H:H,MATCH($A1303,$B$56:$B$1919,0))</f>
        <v>#N/A</v>
      </c>
      <c r="D1303" t="e">
        <f>INDEX('Cleaned Data'!L:L,MATCH($A1303,$B$56:$B$1919,0))</f>
        <v>#N/A</v>
      </c>
    </row>
    <row r="1304" spans="1:4" x14ac:dyDescent="0.25">
      <c r="A1304">
        <v>1249</v>
      </c>
      <c r="B1304">
        <f>B1303+IF('Cleaned Data'!L1250&gt;0,1,0)*IF($B$34="Overall",1,IF('Cleaned Data'!K1250=$B$34,1,0))*(IF('Cleaned Data'!H1250&lt;&gt;"",1,0))</f>
        <v>540</v>
      </c>
      <c r="C1304" t="e">
        <f>INDEX('Cleaned Data'!H:H,MATCH($A1304,$B$56:$B$1919,0))</f>
        <v>#N/A</v>
      </c>
      <c r="D1304" t="e">
        <f>INDEX('Cleaned Data'!L:L,MATCH($A1304,$B$56:$B$1919,0))</f>
        <v>#N/A</v>
      </c>
    </row>
    <row r="1305" spans="1:4" x14ac:dyDescent="0.25">
      <c r="A1305">
        <v>1250</v>
      </c>
      <c r="B1305">
        <f>B1304+IF('Cleaned Data'!L1251&gt;0,1,0)*IF($B$34="Overall",1,IF('Cleaned Data'!K1251=$B$34,1,0))*(IF('Cleaned Data'!H1251&lt;&gt;"",1,0))</f>
        <v>540</v>
      </c>
      <c r="C1305" t="e">
        <f>INDEX('Cleaned Data'!H:H,MATCH($A1305,$B$56:$B$1919,0))</f>
        <v>#N/A</v>
      </c>
      <c r="D1305" t="e">
        <f>INDEX('Cleaned Data'!L:L,MATCH($A1305,$B$56:$B$1919,0))</f>
        <v>#N/A</v>
      </c>
    </row>
    <row r="1306" spans="1:4" x14ac:dyDescent="0.25">
      <c r="A1306">
        <v>1251</v>
      </c>
      <c r="B1306">
        <f>B1305+IF('Cleaned Data'!L1252&gt;0,1,0)*IF($B$34="Overall",1,IF('Cleaned Data'!K1252=$B$34,1,0))*(IF('Cleaned Data'!H1252&lt;&gt;"",1,0))</f>
        <v>540</v>
      </c>
      <c r="C1306" t="e">
        <f>INDEX('Cleaned Data'!H:H,MATCH($A1306,$B$56:$B$1919,0))</f>
        <v>#N/A</v>
      </c>
      <c r="D1306" t="e">
        <f>INDEX('Cleaned Data'!L:L,MATCH($A1306,$B$56:$B$1919,0))</f>
        <v>#N/A</v>
      </c>
    </row>
    <row r="1307" spans="1:4" x14ac:dyDescent="0.25">
      <c r="A1307">
        <v>1252</v>
      </c>
      <c r="B1307">
        <f>B1306+IF('Cleaned Data'!L1253&gt;0,1,0)*IF($B$34="Overall",1,IF('Cleaned Data'!K1253=$B$34,1,0))*(IF('Cleaned Data'!H1253&lt;&gt;"",1,0))</f>
        <v>540</v>
      </c>
      <c r="C1307" t="e">
        <f>INDEX('Cleaned Data'!H:H,MATCH($A1307,$B$56:$B$1919,0))</f>
        <v>#N/A</v>
      </c>
      <c r="D1307" t="e">
        <f>INDEX('Cleaned Data'!L:L,MATCH($A1307,$B$56:$B$1919,0))</f>
        <v>#N/A</v>
      </c>
    </row>
    <row r="1308" spans="1:4" x14ac:dyDescent="0.25">
      <c r="A1308">
        <v>1253</v>
      </c>
      <c r="B1308">
        <f>B1307+IF('Cleaned Data'!L1254&gt;0,1,0)*IF($B$34="Overall",1,IF('Cleaned Data'!K1254=$B$34,1,0))*(IF('Cleaned Data'!H1254&lt;&gt;"",1,0))</f>
        <v>540</v>
      </c>
      <c r="C1308" t="e">
        <f>INDEX('Cleaned Data'!H:H,MATCH($A1308,$B$56:$B$1919,0))</f>
        <v>#N/A</v>
      </c>
      <c r="D1308" t="e">
        <f>INDEX('Cleaned Data'!L:L,MATCH($A1308,$B$56:$B$1919,0))</f>
        <v>#N/A</v>
      </c>
    </row>
    <row r="1309" spans="1:4" x14ac:dyDescent="0.25">
      <c r="A1309">
        <v>1254</v>
      </c>
      <c r="B1309">
        <f>B1308+IF('Cleaned Data'!L1255&gt;0,1,0)*IF($B$34="Overall",1,IF('Cleaned Data'!K1255=$B$34,1,0))*(IF('Cleaned Data'!H1255&lt;&gt;"",1,0))</f>
        <v>540</v>
      </c>
      <c r="C1309" t="e">
        <f>INDEX('Cleaned Data'!H:H,MATCH($A1309,$B$56:$B$1919,0))</f>
        <v>#N/A</v>
      </c>
      <c r="D1309" t="e">
        <f>INDEX('Cleaned Data'!L:L,MATCH($A1309,$B$56:$B$1919,0))</f>
        <v>#N/A</v>
      </c>
    </row>
    <row r="1310" spans="1:4" x14ac:dyDescent="0.25">
      <c r="A1310">
        <v>1255</v>
      </c>
      <c r="B1310">
        <f>B1309+IF('Cleaned Data'!L1256&gt;0,1,0)*IF($B$34="Overall",1,IF('Cleaned Data'!K1256=$B$34,1,0))*(IF('Cleaned Data'!H1256&lt;&gt;"",1,0))</f>
        <v>540</v>
      </c>
      <c r="C1310" t="e">
        <f>INDEX('Cleaned Data'!H:H,MATCH($A1310,$B$56:$B$1919,0))</f>
        <v>#N/A</v>
      </c>
      <c r="D1310" t="e">
        <f>INDEX('Cleaned Data'!L:L,MATCH($A1310,$B$56:$B$1919,0))</f>
        <v>#N/A</v>
      </c>
    </row>
    <row r="1311" spans="1:4" x14ac:dyDescent="0.25">
      <c r="A1311">
        <v>1256</v>
      </c>
      <c r="B1311">
        <f>B1310+IF('Cleaned Data'!L1257&gt;0,1,0)*IF($B$34="Overall",1,IF('Cleaned Data'!K1257=$B$34,1,0))*(IF('Cleaned Data'!H1257&lt;&gt;"",1,0))</f>
        <v>540</v>
      </c>
      <c r="C1311" t="e">
        <f>INDEX('Cleaned Data'!H:H,MATCH($A1311,$B$56:$B$1919,0))</f>
        <v>#N/A</v>
      </c>
      <c r="D1311" t="e">
        <f>INDEX('Cleaned Data'!L:L,MATCH($A1311,$B$56:$B$1919,0))</f>
        <v>#N/A</v>
      </c>
    </row>
    <row r="1312" spans="1:4" x14ac:dyDescent="0.25">
      <c r="A1312">
        <v>1257</v>
      </c>
      <c r="B1312">
        <f>B1311+IF('Cleaned Data'!L1258&gt;0,1,0)*IF($B$34="Overall",1,IF('Cleaned Data'!K1258=$B$34,1,0))*(IF('Cleaned Data'!H1258&lt;&gt;"",1,0))</f>
        <v>540</v>
      </c>
      <c r="C1312" t="e">
        <f>INDEX('Cleaned Data'!H:H,MATCH($A1312,$B$56:$B$1919,0))</f>
        <v>#N/A</v>
      </c>
      <c r="D1312" t="e">
        <f>INDEX('Cleaned Data'!L:L,MATCH($A1312,$B$56:$B$1919,0))</f>
        <v>#N/A</v>
      </c>
    </row>
    <row r="1313" spans="1:4" x14ac:dyDescent="0.25">
      <c r="A1313">
        <v>1258</v>
      </c>
      <c r="B1313">
        <f>B1312+IF('Cleaned Data'!L1259&gt;0,1,0)*IF($B$34="Overall",1,IF('Cleaned Data'!K1259=$B$34,1,0))*(IF('Cleaned Data'!H1259&lt;&gt;"",1,0))</f>
        <v>540</v>
      </c>
      <c r="C1313" t="e">
        <f>INDEX('Cleaned Data'!H:H,MATCH($A1313,$B$56:$B$1919,0))</f>
        <v>#N/A</v>
      </c>
      <c r="D1313" t="e">
        <f>INDEX('Cleaned Data'!L:L,MATCH($A1313,$B$56:$B$1919,0))</f>
        <v>#N/A</v>
      </c>
    </row>
    <row r="1314" spans="1:4" x14ac:dyDescent="0.25">
      <c r="A1314">
        <v>1259</v>
      </c>
      <c r="B1314">
        <f>B1313+IF('Cleaned Data'!L1260&gt;0,1,0)*IF($B$34="Overall",1,IF('Cleaned Data'!K1260=$B$34,1,0))*(IF('Cleaned Data'!H1260&lt;&gt;"",1,0))</f>
        <v>540</v>
      </c>
      <c r="C1314" t="e">
        <f>INDEX('Cleaned Data'!H:H,MATCH($A1314,$B$56:$B$1919,0))</f>
        <v>#N/A</v>
      </c>
      <c r="D1314" t="e">
        <f>INDEX('Cleaned Data'!L:L,MATCH($A1314,$B$56:$B$1919,0))</f>
        <v>#N/A</v>
      </c>
    </row>
    <row r="1315" spans="1:4" x14ac:dyDescent="0.25">
      <c r="A1315">
        <v>1260</v>
      </c>
      <c r="B1315">
        <f>B1314+IF('Cleaned Data'!L1261&gt;0,1,0)*IF($B$34="Overall",1,IF('Cleaned Data'!K1261=$B$34,1,0))*(IF('Cleaned Data'!H1261&lt;&gt;"",1,0))</f>
        <v>540</v>
      </c>
      <c r="C1315" t="e">
        <f>INDEX('Cleaned Data'!H:H,MATCH($A1315,$B$56:$B$1919,0))</f>
        <v>#N/A</v>
      </c>
      <c r="D1315" t="e">
        <f>INDEX('Cleaned Data'!L:L,MATCH($A1315,$B$56:$B$1919,0))</f>
        <v>#N/A</v>
      </c>
    </row>
    <row r="1316" spans="1:4" x14ac:dyDescent="0.25">
      <c r="A1316">
        <v>1261</v>
      </c>
      <c r="B1316">
        <f>B1315+IF('Cleaned Data'!L1262&gt;0,1,0)*IF($B$34="Overall",1,IF('Cleaned Data'!K1262=$B$34,1,0))*(IF('Cleaned Data'!H1262&lt;&gt;"",1,0))</f>
        <v>540</v>
      </c>
      <c r="C1316" t="e">
        <f>INDEX('Cleaned Data'!H:H,MATCH($A1316,$B$56:$B$1919,0))</f>
        <v>#N/A</v>
      </c>
      <c r="D1316" t="e">
        <f>INDEX('Cleaned Data'!L:L,MATCH($A1316,$B$56:$B$1919,0))</f>
        <v>#N/A</v>
      </c>
    </row>
    <row r="1317" spans="1:4" x14ac:dyDescent="0.25">
      <c r="A1317">
        <v>1262</v>
      </c>
      <c r="B1317">
        <f>B1316+IF('Cleaned Data'!L1263&gt;0,1,0)*IF($B$34="Overall",1,IF('Cleaned Data'!K1263=$B$34,1,0))*(IF('Cleaned Data'!H1263&lt;&gt;"",1,0))</f>
        <v>540</v>
      </c>
      <c r="C1317" t="e">
        <f>INDEX('Cleaned Data'!H:H,MATCH($A1317,$B$56:$B$1919,0))</f>
        <v>#N/A</v>
      </c>
      <c r="D1317" t="e">
        <f>INDEX('Cleaned Data'!L:L,MATCH($A1317,$B$56:$B$1919,0))</f>
        <v>#N/A</v>
      </c>
    </row>
    <row r="1318" spans="1:4" x14ac:dyDescent="0.25">
      <c r="A1318">
        <v>1263</v>
      </c>
      <c r="B1318">
        <f>B1317+IF('Cleaned Data'!L1264&gt;0,1,0)*IF($B$34="Overall",1,IF('Cleaned Data'!K1264=$B$34,1,0))*(IF('Cleaned Data'!H1264&lt;&gt;"",1,0))</f>
        <v>540</v>
      </c>
      <c r="C1318" t="e">
        <f>INDEX('Cleaned Data'!H:H,MATCH($A1318,$B$56:$B$1919,0))</f>
        <v>#N/A</v>
      </c>
      <c r="D1318" t="e">
        <f>INDEX('Cleaned Data'!L:L,MATCH($A1318,$B$56:$B$1919,0))</f>
        <v>#N/A</v>
      </c>
    </row>
    <row r="1319" spans="1:4" x14ac:dyDescent="0.25">
      <c r="A1319">
        <v>1264</v>
      </c>
      <c r="B1319">
        <f>B1318+IF('Cleaned Data'!L1265&gt;0,1,0)*IF($B$34="Overall",1,IF('Cleaned Data'!K1265=$B$34,1,0))*(IF('Cleaned Data'!H1265&lt;&gt;"",1,0))</f>
        <v>540</v>
      </c>
      <c r="C1319" t="e">
        <f>INDEX('Cleaned Data'!H:H,MATCH($A1319,$B$56:$B$1919,0))</f>
        <v>#N/A</v>
      </c>
      <c r="D1319" t="e">
        <f>INDEX('Cleaned Data'!L:L,MATCH($A1319,$B$56:$B$1919,0))</f>
        <v>#N/A</v>
      </c>
    </row>
    <row r="1320" spans="1:4" x14ac:dyDescent="0.25">
      <c r="A1320">
        <v>1265</v>
      </c>
      <c r="B1320">
        <f>B1319+IF('Cleaned Data'!L1266&gt;0,1,0)*IF($B$34="Overall",1,IF('Cleaned Data'!K1266=$B$34,1,0))*(IF('Cleaned Data'!H1266&lt;&gt;"",1,0))</f>
        <v>540</v>
      </c>
      <c r="C1320" t="e">
        <f>INDEX('Cleaned Data'!H:H,MATCH($A1320,$B$56:$B$1919,0))</f>
        <v>#N/A</v>
      </c>
      <c r="D1320" t="e">
        <f>INDEX('Cleaned Data'!L:L,MATCH($A1320,$B$56:$B$1919,0))</f>
        <v>#N/A</v>
      </c>
    </row>
    <row r="1321" spans="1:4" x14ac:dyDescent="0.25">
      <c r="A1321">
        <v>1266</v>
      </c>
      <c r="B1321">
        <f>B1320+IF('Cleaned Data'!L1267&gt;0,1,0)*IF($B$34="Overall",1,IF('Cleaned Data'!K1267=$B$34,1,0))*(IF('Cleaned Data'!H1267&lt;&gt;"",1,0))</f>
        <v>540</v>
      </c>
      <c r="C1321" t="e">
        <f>INDEX('Cleaned Data'!H:H,MATCH($A1321,$B$56:$B$1919,0))</f>
        <v>#N/A</v>
      </c>
      <c r="D1321" t="e">
        <f>INDEX('Cleaned Data'!L:L,MATCH($A1321,$B$56:$B$1919,0))</f>
        <v>#N/A</v>
      </c>
    </row>
    <row r="1322" spans="1:4" x14ac:dyDescent="0.25">
      <c r="A1322">
        <v>1267</v>
      </c>
      <c r="B1322">
        <f>B1321+IF('Cleaned Data'!L1268&gt;0,1,0)*IF($B$34="Overall",1,IF('Cleaned Data'!K1268=$B$34,1,0))*(IF('Cleaned Data'!H1268&lt;&gt;"",1,0))</f>
        <v>540</v>
      </c>
      <c r="C1322" t="e">
        <f>INDEX('Cleaned Data'!H:H,MATCH($A1322,$B$56:$B$1919,0))</f>
        <v>#N/A</v>
      </c>
      <c r="D1322" t="e">
        <f>INDEX('Cleaned Data'!L:L,MATCH($A1322,$B$56:$B$1919,0))</f>
        <v>#N/A</v>
      </c>
    </row>
    <row r="1323" spans="1:4" x14ac:dyDescent="0.25">
      <c r="A1323">
        <v>1268</v>
      </c>
      <c r="B1323">
        <f>B1322+IF('Cleaned Data'!L1269&gt;0,1,0)*IF($B$34="Overall",1,IF('Cleaned Data'!K1269=$B$34,1,0))*(IF('Cleaned Data'!H1269&lt;&gt;"",1,0))</f>
        <v>540</v>
      </c>
      <c r="C1323" t="e">
        <f>INDEX('Cleaned Data'!H:H,MATCH($A1323,$B$56:$B$1919,0))</f>
        <v>#N/A</v>
      </c>
      <c r="D1323" t="e">
        <f>INDEX('Cleaned Data'!L:L,MATCH($A1323,$B$56:$B$1919,0))</f>
        <v>#N/A</v>
      </c>
    </row>
    <row r="1324" spans="1:4" x14ac:dyDescent="0.25">
      <c r="A1324">
        <v>1269</v>
      </c>
      <c r="B1324">
        <f>B1323+IF('Cleaned Data'!L1270&gt;0,1,0)*IF($B$34="Overall",1,IF('Cleaned Data'!K1270=$B$34,1,0))*(IF('Cleaned Data'!H1270&lt;&gt;"",1,0))</f>
        <v>540</v>
      </c>
      <c r="C1324" t="e">
        <f>INDEX('Cleaned Data'!H:H,MATCH($A1324,$B$56:$B$1919,0))</f>
        <v>#N/A</v>
      </c>
      <c r="D1324" t="e">
        <f>INDEX('Cleaned Data'!L:L,MATCH($A1324,$B$56:$B$1919,0))</f>
        <v>#N/A</v>
      </c>
    </row>
    <row r="1325" spans="1:4" x14ac:dyDescent="0.25">
      <c r="A1325">
        <v>1270</v>
      </c>
      <c r="B1325">
        <f>B1324+IF('Cleaned Data'!L1271&gt;0,1,0)*IF($B$34="Overall",1,IF('Cleaned Data'!K1271=$B$34,1,0))*(IF('Cleaned Data'!H1271&lt;&gt;"",1,0))</f>
        <v>540</v>
      </c>
      <c r="C1325" t="e">
        <f>INDEX('Cleaned Data'!H:H,MATCH($A1325,$B$56:$B$1919,0))</f>
        <v>#N/A</v>
      </c>
      <c r="D1325" t="e">
        <f>INDEX('Cleaned Data'!L:L,MATCH($A1325,$B$56:$B$1919,0))</f>
        <v>#N/A</v>
      </c>
    </row>
    <row r="1326" spans="1:4" x14ac:dyDescent="0.25">
      <c r="A1326">
        <v>1271</v>
      </c>
      <c r="B1326">
        <f>B1325+IF('Cleaned Data'!L1272&gt;0,1,0)*IF($B$34="Overall",1,IF('Cleaned Data'!K1272=$B$34,1,0))*(IF('Cleaned Data'!H1272&lt;&gt;"",1,0))</f>
        <v>540</v>
      </c>
      <c r="C1326" t="e">
        <f>INDEX('Cleaned Data'!H:H,MATCH($A1326,$B$56:$B$1919,0))</f>
        <v>#N/A</v>
      </c>
      <c r="D1326" t="e">
        <f>INDEX('Cleaned Data'!L:L,MATCH($A1326,$B$56:$B$1919,0))</f>
        <v>#N/A</v>
      </c>
    </row>
    <row r="1327" spans="1:4" x14ac:dyDescent="0.25">
      <c r="A1327">
        <v>1272</v>
      </c>
      <c r="B1327">
        <f>B1326+IF('Cleaned Data'!L1273&gt;0,1,0)*IF($B$34="Overall",1,IF('Cleaned Data'!K1273=$B$34,1,0))*(IF('Cleaned Data'!H1273&lt;&gt;"",1,0))</f>
        <v>540</v>
      </c>
      <c r="C1327" t="e">
        <f>INDEX('Cleaned Data'!H:H,MATCH($A1327,$B$56:$B$1919,0))</f>
        <v>#N/A</v>
      </c>
      <c r="D1327" t="e">
        <f>INDEX('Cleaned Data'!L:L,MATCH($A1327,$B$56:$B$1919,0))</f>
        <v>#N/A</v>
      </c>
    </row>
    <row r="1328" spans="1:4" x14ac:dyDescent="0.25">
      <c r="A1328">
        <v>1273</v>
      </c>
      <c r="B1328">
        <f>B1327+IF('Cleaned Data'!L1274&gt;0,1,0)*IF($B$34="Overall",1,IF('Cleaned Data'!K1274=$B$34,1,0))*(IF('Cleaned Data'!H1274&lt;&gt;"",1,0))</f>
        <v>540</v>
      </c>
      <c r="C1328" t="e">
        <f>INDEX('Cleaned Data'!H:H,MATCH($A1328,$B$56:$B$1919,0))</f>
        <v>#N/A</v>
      </c>
      <c r="D1328" t="e">
        <f>INDEX('Cleaned Data'!L:L,MATCH($A1328,$B$56:$B$1919,0))</f>
        <v>#N/A</v>
      </c>
    </row>
    <row r="1329" spans="1:4" x14ac:dyDescent="0.25">
      <c r="A1329">
        <v>1274</v>
      </c>
      <c r="B1329">
        <f>B1328+IF('Cleaned Data'!L1275&gt;0,1,0)*IF($B$34="Overall",1,IF('Cleaned Data'!K1275=$B$34,1,0))*(IF('Cleaned Data'!H1275&lt;&gt;"",1,0))</f>
        <v>540</v>
      </c>
      <c r="C1329" t="e">
        <f>INDEX('Cleaned Data'!H:H,MATCH($A1329,$B$56:$B$1919,0))</f>
        <v>#N/A</v>
      </c>
      <c r="D1329" t="e">
        <f>INDEX('Cleaned Data'!L:L,MATCH($A1329,$B$56:$B$1919,0))</f>
        <v>#N/A</v>
      </c>
    </row>
    <row r="1330" spans="1:4" x14ac:dyDescent="0.25">
      <c r="A1330">
        <v>1275</v>
      </c>
      <c r="B1330">
        <f>B1329+IF('Cleaned Data'!L1276&gt;0,1,0)*IF($B$34="Overall",1,IF('Cleaned Data'!K1276=$B$34,1,0))*(IF('Cleaned Data'!H1276&lt;&gt;"",1,0))</f>
        <v>540</v>
      </c>
      <c r="C1330" t="e">
        <f>INDEX('Cleaned Data'!H:H,MATCH($A1330,$B$56:$B$1919,0))</f>
        <v>#N/A</v>
      </c>
      <c r="D1330" t="e">
        <f>INDEX('Cleaned Data'!L:L,MATCH($A1330,$B$56:$B$1919,0))</f>
        <v>#N/A</v>
      </c>
    </row>
    <row r="1331" spans="1:4" x14ac:dyDescent="0.25">
      <c r="A1331">
        <v>1276</v>
      </c>
      <c r="B1331">
        <f>B1330+IF('Cleaned Data'!L1277&gt;0,1,0)*IF($B$34="Overall",1,IF('Cleaned Data'!K1277=$B$34,1,0))*(IF('Cleaned Data'!H1277&lt;&gt;"",1,0))</f>
        <v>540</v>
      </c>
      <c r="C1331" t="e">
        <f>INDEX('Cleaned Data'!H:H,MATCH($A1331,$B$56:$B$1919,0))</f>
        <v>#N/A</v>
      </c>
      <c r="D1331" t="e">
        <f>INDEX('Cleaned Data'!L:L,MATCH($A1331,$B$56:$B$1919,0))</f>
        <v>#N/A</v>
      </c>
    </row>
    <row r="1332" spans="1:4" x14ac:dyDescent="0.25">
      <c r="A1332">
        <v>1277</v>
      </c>
      <c r="B1332">
        <f>B1331+IF('Cleaned Data'!L1278&gt;0,1,0)*IF($B$34="Overall",1,IF('Cleaned Data'!K1278=$B$34,1,0))*(IF('Cleaned Data'!H1278&lt;&gt;"",1,0))</f>
        <v>540</v>
      </c>
      <c r="C1332" t="e">
        <f>INDEX('Cleaned Data'!H:H,MATCH($A1332,$B$56:$B$1919,0))</f>
        <v>#N/A</v>
      </c>
      <c r="D1332" t="e">
        <f>INDEX('Cleaned Data'!L:L,MATCH($A1332,$B$56:$B$1919,0))</f>
        <v>#N/A</v>
      </c>
    </row>
    <row r="1333" spans="1:4" x14ac:dyDescent="0.25">
      <c r="A1333">
        <v>1278</v>
      </c>
      <c r="B1333">
        <f>B1332+IF('Cleaned Data'!L1279&gt;0,1,0)*IF($B$34="Overall",1,IF('Cleaned Data'!K1279=$B$34,1,0))*(IF('Cleaned Data'!H1279&lt;&gt;"",1,0))</f>
        <v>540</v>
      </c>
      <c r="C1333" t="e">
        <f>INDEX('Cleaned Data'!H:H,MATCH($A1333,$B$56:$B$1919,0))</f>
        <v>#N/A</v>
      </c>
      <c r="D1333" t="e">
        <f>INDEX('Cleaned Data'!L:L,MATCH($A1333,$B$56:$B$1919,0))</f>
        <v>#N/A</v>
      </c>
    </row>
    <row r="1334" spans="1:4" x14ac:dyDescent="0.25">
      <c r="A1334">
        <v>1279</v>
      </c>
      <c r="B1334">
        <f>B1333+IF('Cleaned Data'!L1280&gt;0,1,0)*IF($B$34="Overall",1,IF('Cleaned Data'!K1280=$B$34,1,0))*(IF('Cleaned Data'!H1280&lt;&gt;"",1,0))</f>
        <v>540</v>
      </c>
      <c r="C1334" t="e">
        <f>INDEX('Cleaned Data'!H:H,MATCH($A1334,$B$56:$B$1919,0))</f>
        <v>#N/A</v>
      </c>
      <c r="D1334" t="e">
        <f>INDEX('Cleaned Data'!L:L,MATCH($A1334,$B$56:$B$1919,0))</f>
        <v>#N/A</v>
      </c>
    </row>
    <row r="1335" spans="1:4" x14ac:dyDescent="0.25">
      <c r="A1335">
        <v>1280</v>
      </c>
      <c r="B1335">
        <f>B1334+IF('Cleaned Data'!L1281&gt;0,1,0)*IF($B$34="Overall",1,IF('Cleaned Data'!K1281=$B$34,1,0))*(IF('Cleaned Data'!H1281&lt;&gt;"",1,0))</f>
        <v>540</v>
      </c>
      <c r="C1335" t="e">
        <f>INDEX('Cleaned Data'!H:H,MATCH($A1335,$B$56:$B$1919,0))</f>
        <v>#N/A</v>
      </c>
      <c r="D1335" t="e">
        <f>INDEX('Cleaned Data'!L:L,MATCH($A1335,$B$56:$B$1919,0))</f>
        <v>#N/A</v>
      </c>
    </row>
    <row r="1336" spans="1:4" x14ac:dyDescent="0.25">
      <c r="A1336">
        <v>1281</v>
      </c>
      <c r="B1336">
        <f>B1335+IF('Cleaned Data'!L1282&gt;0,1,0)*IF($B$34="Overall",1,IF('Cleaned Data'!K1282=$B$34,1,0))*(IF('Cleaned Data'!H1282&lt;&gt;"",1,0))</f>
        <v>540</v>
      </c>
      <c r="C1336" t="e">
        <f>INDEX('Cleaned Data'!H:H,MATCH($A1336,$B$56:$B$1919,0))</f>
        <v>#N/A</v>
      </c>
      <c r="D1336" t="e">
        <f>INDEX('Cleaned Data'!L:L,MATCH($A1336,$B$56:$B$1919,0))</f>
        <v>#N/A</v>
      </c>
    </row>
    <row r="1337" spans="1:4" x14ac:dyDescent="0.25">
      <c r="A1337">
        <v>1282</v>
      </c>
      <c r="B1337">
        <f>B1336+IF('Cleaned Data'!L1283&gt;0,1,0)*IF($B$34="Overall",1,IF('Cleaned Data'!K1283=$B$34,1,0))*(IF('Cleaned Data'!H1283&lt;&gt;"",1,0))</f>
        <v>540</v>
      </c>
      <c r="C1337" t="e">
        <f>INDEX('Cleaned Data'!H:H,MATCH($A1337,$B$56:$B$1919,0))</f>
        <v>#N/A</v>
      </c>
      <c r="D1337" t="e">
        <f>INDEX('Cleaned Data'!L:L,MATCH($A1337,$B$56:$B$1919,0))</f>
        <v>#N/A</v>
      </c>
    </row>
    <row r="1338" spans="1:4" x14ac:dyDescent="0.25">
      <c r="A1338">
        <v>1283</v>
      </c>
      <c r="B1338">
        <f>B1337+IF('Cleaned Data'!L1284&gt;0,1,0)*IF($B$34="Overall",1,IF('Cleaned Data'!K1284=$B$34,1,0))*(IF('Cleaned Data'!H1284&lt;&gt;"",1,0))</f>
        <v>540</v>
      </c>
      <c r="C1338" t="e">
        <f>INDEX('Cleaned Data'!H:H,MATCH($A1338,$B$56:$B$1919,0))</f>
        <v>#N/A</v>
      </c>
      <c r="D1338" t="e">
        <f>INDEX('Cleaned Data'!L:L,MATCH($A1338,$B$56:$B$1919,0))</f>
        <v>#N/A</v>
      </c>
    </row>
    <row r="1339" spans="1:4" x14ac:dyDescent="0.25">
      <c r="A1339">
        <v>1284</v>
      </c>
      <c r="B1339">
        <f>B1338+IF('Cleaned Data'!L1285&gt;0,1,0)*IF($B$34="Overall",1,IF('Cleaned Data'!K1285=$B$34,1,0))*(IF('Cleaned Data'!H1285&lt;&gt;"",1,0))</f>
        <v>540</v>
      </c>
      <c r="C1339" t="e">
        <f>INDEX('Cleaned Data'!H:H,MATCH($A1339,$B$56:$B$1919,0))</f>
        <v>#N/A</v>
      </c>
      <c r="D1339" t="e">
        <f>INDEX('Cleaned Data'!L:L,MATCH($A1339,$B$56:$B$1919,0))</f>
        <v>#N/A</v>
      </c>
    </row>
    <row r="1340" spans="1:4" x14ac:dyDescent="0.25">
      <c r="A1340">
        <v>1285</v>
      </c>
      <c r="B1340">
        <f>B1339+IF('Cleaned Data'!L1286&gt;0,1,0)*IF($B$34="Overall",1,IF('Cleaned Data'!K1286=$B$34,1,0))*(IF('Cleaned Data'!H1286&lt;&gt;"",1,0))</f>
        <v>540</v>
      </c>
      <c r="C1340" t="e">
        <f>INDEX('Cleaned Data'!H:H,MATCH($A1340,$B$56:$B$1919,0))</f>
        <v>#N/A</v>
      </c>
      <c r="D1340" t="e">
        <f>INDEX('Cleaned Data'!L:L,MATCH($A1340,$B$56:$B$1919,0))</f>
        <v>#N/A</v>
      </c>
    </row>
    <row r="1341" spans="1:4" x14ac:dyDescent="0.25">
      <c r="A1341">
        <v>1286</v>
      </c>
      <c r="B1341">
        <f>B1340+IF('Cleaned Data'!L1287&gt;0,1,0)*IF($B$34="Overall",1,IF('Cleaned Data'!K1287=$B$34,1,0))*(IF('Cleaned Data'!H1287&lt;&gt;"",1,0))</f>
        <v>540</v>
      </c>
      <c r="C1341" t="e">
        <f>INDEX('Cleaned Data'!H:H,MATCH($A1341,$B$56:$B$1919,0))</f>
        <v>#N/A</v>
      </c>
      <c r="D1341" t="e">
        <f>INDEX('Cleaned Data'!L:L,MATCH($A1341,$B$56:$B$1919,0))</f>
        <v>#N/A</v>
      </c>
    </row>
    <row r="1342" spans="1:4" x14ac:dyDescent="0.25">
      <c r="A1342">
        <v>1287</v>
      </c>
      <c r="B1342">
        <f>B1341+IF('Cleaned Data'!L1288&gt;0,1,0)*IF($B$34="Overall",1,IF('Cleaned Data'!K1288=$B$34,1,0))*(IF('Cleaned Data'!H1288&lt;&gt;"",1,0))</f>
        <v>540</v>
      </c>
      <c r="C1342" t="e">
        <f>INDEX('Cleaned Data'!H:H,MATCH($A1342,$B$56:$B$1919,0))</f>
        <v>#N/A</v>
      </c>
      <c r="D1342" t="e">
        <f>INDEX('Cleaned Data'!L:L,MATCH($A1342,$B$56:$B$1919,0))</f>
        <v>#N/A</v>
      </c>
    </row>
    <row r="1343" spans="1:4" x14ac:dyDescent="0.25">
      <c r="A1343">
        <v>1288</v>
      </c>
      <c r="B1343">
        <f>B1342+IF('Cleaned Data'!L1289&gt;0,1,0)*IF($B$34="Overall",1,IF('Cleaned Data'!K1289=$B$34,1,0))*(IF('Cleaned Data'!H1289&lt;&gt;"",1,0))</f>
        <v>540</v>
      </c>
      <c r="C1343" t="e">
        <f>INDEX('Cleaned Data'!H:H,MATCH($A1343,$B$56:$B$1919,0))</f>
        <v>#N/A</v>
      </c>
      <c r="D1343" t="e">
        <f>INDEX('Cleaned Data'!L:L,MATCH($A1343,$B$56:$B$1919,0))</f>
        <v>#N/A</v>
      </c>
    </row>
    <row r="1344" spans="1:4" x14ac:dyDescent="0.25">
      <c r="A1344">
        <v>1289</v>
      </c>
      <c r="B1344">
        <f>B1343+IF('Cleaned Data'!L1290&gt;0,1,0)*IF($B$34="Overall",1,IF('Cleaned Data'!K1290=$B$34,1,0))*(IF('Cleaned Data'!H1290&lt;&gt;"",1,0))</f>
        <v>540</v>
      </c>
      <c r="C1344" t="e">
        <f>INDEX('Cleaned Data'!H:H,MATCH($A1344,$B$56:$B$1919,0))</f>
        <v>#N/A</v>
      </c>
      <c r="D1344" t="e">
        <f>INDEX('Cleaned Data'!L:L,MATCH($A1344,$B$56:$B$1919,0))</f>
        <v>#N/A</v>
      </c>
    </row>
    <row r="1345" spans="1:4" x14ac:dyDescent="0.25">
      <c r="A1345">
        <v>1290</v>
      </c>
      <c r="B1345">
        <f>B1344+IF('Cleaned Data'!L1291&gt;0,1,0)*IF($B$34="Overall",1,IF('Cleaned Data'!K1291=$B$34,1,0))*(IF('Cleaned Data'!H1291&lt;&gt;"",1,0))</f>
        <v>540</v>
      </c>
      <c r="C1345" t="e">
        <f>INDEX('Cleaned Data'!H:H,MATCH($A1345,$B$56:$B$1919,0))</f>
        <v>#N/A</v>
      </c>
      <c r="D1345" t="e">
        <f>INDEX('Cleaned Data'!L:L,MATCH($A1345,$B$56:$B$1919,0))</f>
        <v>#N/A</v>
      </c>
    </row>
    <row r="1346" spans="1:4" x14ac:dyDescent="0.25">
      <c r="A1346">
        <v>1291</v>
      </c>
      <c r="B1346">
        <f>B1345+IF('Cleaned Data'!L1292&gt;0,1,0)*IF($B$34="Overall",1,IF('Cleaned Data'!K1292=$B$34,1,0))*(IF('Cleaned Data'!H1292&lt;&gt;"",1,0))</f>
        <v>540</v>
      </c>
      <c r="C1346" t="e">
        <f>INDEX('Cleaned Data'!H:H,MATCH($A1346,$B$56:$B$1919,0))</f>
        <v>#N/A</v>
      </c>
      <c r="D1346" t="e">
        <f>INDEX('Cleaned Data'!L:L,MATCH($A1346,$B$56:$B$1919,0))</f>
        <v>#N/A</v>
      </c>
    </row>
    <row r="1347" spans="1:4" x14ac:dyDescent="0.25">
      <c r="A1347">
        <v>1292</v>
      </c>
      <c r="B1347">
        <f>B1346+IF('Cleaned Data'!L1293&gt;0,1,0)*IF($B$34="Overall",1,IF('Cleaned Data'!K1293=$B$34,1,0))*(IF('Cleaned Data'!H1293&lt;&gt;"",1,0))</f>
        <v>540</v>
      </c>
      <c r="C1347" t="e">
        <f>INDEX('Cleaned Data'!H:H,MATCH($A1347,$B$56:$B$1919,0))</f>
        <v>#N/A</v>
      </c>
      <c r="D1347" t="e">
        <f>INDEX('Cleaned Data'!L:L,MATCH($A1347,$B$56:$B$1919,0))</f>
        <v>#N/A</v>
      </c>
    </row>
    <row r="1348" spans="1:4" x14ac:dyDescent="0.25">
      <c r="A1348">
        <v>1293</v>
      </c>
      <c r="B1348">
        <f>B1347+IF('Cleaned Data'!L1294&gt;0,1,0)*IF($B$34="Overall",1,IF('Cleaned Data'!K1294=$B$34,1,0))*(IF('Cleaned Data'!H1294&lt;&gt;"",1,0))</f>
        <v>540</v>
      </c>
      <c r="C1348" t="e">
        <f>INDEX('Cleaned Data'!H:H,MATCH($A1348,$B$56:$B$1919,0))</f>
        <v>#N/A</v>
      </c>
      <c r="D1348" t="e">
        <f>INDEX('Cleaned Data'!L:L,MATCH($A1348,$B$56:$B$1919,0))</f>
        <v>#N/A</v>
      </c>
    </row>
    <row r="1349" spans="1:4" x14ac:dyDescent="0.25">
      <c r="A1349">
        <v>1294</v>
      </c>
      <c r="B1349">
        <f>B1348+IF('Cleaned Data'!L1295&gt;0,1,0)*IF($B$34="Overall",1,IF('Cleaned Data'!K1295=$B$34,1,0))*(IF('Cleaned Data'!H1295&lt;&gt;"",1,0))</f>
        <v>540</v>
      </c>
      <c r="C1349" t="e">
        <f>INDEX('Cleaned Data'!H:H,MATCH($A1349,$B$56:$B$1919,0))</f>
        <v>#N/A</v>
      </c>
      <c r="D1349" t="e">
        <f>INDEX('Cleaned Data'!L:L,MATCH($A1349,$B$56:$B$1919,0))</f>
        <v>#N/A</v>
      </c>
    </row>
    <row r="1350" spans="1:4" x14ac:dyDescent="0.25">
      <c r="A1350">
        <v>1295</v>
      </c>
      <c r="B1350">
        <f>B1349+IF('Cleaned Data'!L1296&gt;0,1,0)*IF($B$34="Overall",1,IF('Cleaned Data'!K1296=$B$34,1,0))*(IF('Cleaned Data'!H1296&lt;&gt;"",1,0))</f>
        <v>540</v>
      </c>
      <c r="C1350" t="e">
        <f>INDEX('Cleaned Data'!H:H,MATCH($A1350,$B$56:$B$1919,0))</f>
        <v>#N/A</v>
      </c>
      <c r="D1350" t="e">
        <f>INDEX('Cleaned Data'!L:L,MATCH($A1350,$B$56:$B$1919,0))</f>
        <v>#N/A</v>
      </c>
    </row>
    <row r="1351" spans="1:4" x14ac:dyDescent="0.25">
      <c r="A1351">
        <v>1296</v>
      </c>
      <c r="B1351">
        <f>B1350+IF('Cleaned Data'!L1297&gt;0,1,0)*IF($B$34="Overall",1,IF('Cleaned Data'!K1297=$B$34,1,0))*(IF('Cleaned Data'!H1297&lt;&gt;"",1,0))</f>
        <v>540</v>
      </c>
      <c r="C1351" t="e">
        <f>INDEX('Cleaned Data'!H:H,MATCH($A1351,$B$56:$B$1919,0))</f>
        <v>#N/A</v>
      </c>
      <c r="D1351" t="e">
        <f>INDEX('Cleaned Data'!L:L,MATCH($A1351,$B$56:$B$1919,0))</f>
        <v>#N/A</v>
      </c>
    </row>
    <row r="1352" spans="1:4" x14ac:dyDescent="0.25">
      <c r="A1352">
        <v>1297</v>
      </c>
      <c r="B1352">
        <f>B1351+IF('Cleaned Data'!L1298&gt;0,1,0)*IF($B$34="Overall",1,IF('Cleaned Data'!K1298=$B$34,1,0))*(IF('Cleaned Data'!H1298&lt;&gt;"",1,0))</f>
        <v>540</v>
      </c>
      <c r="C1352" t="e">
        <f>INDEX('Cleaned Data'!H:H,MATCH($A1352,$B$56:$B$1919,0))</f>
        <v>#N/A</v>
      </c>
      <c r="D1352" t="e">
        <f>INDEX('Cleaned Data'!L:L,MATCH($A1352,$B$56:$B$1919,0))</f>
        <v>#N/A</v>
      </c>
    </row>
    <row r="1353" spans="1:4" x14ac:dyDescent="0.25">
      <c r="A1353">
        <v>1298</v>
      </c>
      <c r="B1353">
        <f>B1352+IF('Cleaned Data'!L1299&gt;0,1,0)*IF($B$34="Overall",1,IF('Cleaned Data'!K1299=$B$34,1,0))*(IF('Cleaned Data'!H1299&lt;&gt;"",1,0))</f>
        <v>540</v>
      </c>
      <c r="C1353" t="e">
        <f>INDEX('Cleaned Data'!H:H,MATCH($A1353,$B$56:$B$1919,0))</f>
        <v>#N/A</v>
      </c>
      <c r="D1353" t="e">
        <f>INDEX('Cleaned Data'!L:L,MATCH($A1353,$B$56:$B$1919,0))</f>
        <v>#N/A</v>
      </c>
    </row>
    <row r="1354" spans="1:4" x14ac:dyDescent="0.25">
      <c r="A1354">
        <v>1299</v>
      </c>
      <c r="B1354">
        <f>B1353+IF('Cleaned Data'!L1300&gt;0,1,0)*IF($B$34="Overall",1,IF('Cleaned Data'!K1300=$B$34,1,0))*(IF('Cleaned Data'!H1300&lt;&gt;"",1,0))</f>
        <v>540</v>
      </c>
      <c r="C1354" t="e">
        <f>INDEX('Cleaned Data'!H:H,MATCH($A1354,$B$56:$B$1919,0))</f>
        <v>#N/A</v>
      </c>
      <c r="D1354" t="e">
        <f>INDEX('Cleaned Data'!L:L,MATCH($A1354,$B$56:$B$1919,0))</f>
        <v>#N/A</v>
      </c>
    </row>
    <row r="1355" spans="1:4" x14ac:dyDescent="0.25">
      <c r="A1355">
        <v>1300</v>
      </c>
      <c r="B1355">
        <f>B1354+IF('Cleaned Data'!L1301&gt;0,1,0)*IF($B$34="Overall",1,IF('Cleaned Data'!K1301=$B$34,1,0))*(IF('Cleaned Data'!H1301&lt;&gt;"",1,0))</f>
        <v>540</v>
      </c>
      <c r="C1355" t="e">
        <f>INDEX('Cleaned Data'!H:H,MATCH($A1355,$B$56:$B$1919,0))</f>
        <v>#N/A</v>
      </c>
      <c r="D1355" t="e">
        <f>INDEX('Cleaned Data'!L:L,MATCH($A1355,$B$56:$B$1919,0))</f>
        <v>#N/A</v>
      </c>
    </row>
    <row r="1356" spans="1:4" x14ac:dyDescent="0.25">
      <c r="A1356">
        <v>1301</v>
      </c>
      <c r="B1356">
        <f>B1355+IF('Cleaned Data'!L1302&gt;0,1,0)*IF($B$34="Overall",1,IF('Cleaned Data'!K1302=$B$34,1,0))*(IF('Cleaned Data'!H1302&lt;&gt;"",1,0))</f>
        <v>540</v>
      </c>
      <c r="C1356" t="e">
        <f>INDEX('Cleaned Data'!H:H,MATCH($A1356,$B$56:$B$1919,0))</f>
        <v>#N/A</v>
      </c>
      <c r="D1356" t="e">
        <f>INDEX('Cleaned Data'!L:L,MATCH($A1356,$B$56:$B$1919,0))</f>
        <v>#N/A</v>
      </c>
    </row>
    <row r="1357" spans="1:4" x14ac:dyDescent="0.25">
      <c r="A1357">
        <v>1302</v>
      </c>
      <c r="B1357">
        <f>B1356+IF('Cleaned Data'!L1303&gt;0,1,0)*IF($B$34="Overall",1,IF('Cleaned Data'!K1303=$B$34,1,0))*(IF('Cleaned Data'!H1303&lt;&gt;"",1,0))</f>
        <v>540</v>
      </c>
      <c r="C1357" t="e">
        <f>INDEX('Cleaned Data'!H:H,MATCH($A1357,$B$56:$B$1919,0))</f>
        <v>#N/A</v>
      </c>
      <c r="D1357" t="e">
        <f>INDEX('Cleaned Data'!L:L,MATCH($A1357,$B$56:$B$1919,0))</f>
        <v>#N/A</v>
      </c>
    </row>
    <row r="1358" spans="1:4" x14ac:dyDescent="0.25">
      <c r="A1358">
        <v>1303</v>
      </c>
      <c r="B1358">
        <f>B1357+IF('Cleaned Data'!L1304&gt;0,1,0)*IF($B$34="Overall",1,IF('Cleaned Data'!K1304=$B$34,1,0))*(IF('Cleaned Data'!H1304&lt;&gt;"",1,0))</f>
        <v>540</v>
      </c>
      <c r="C1358" t="e">
        <f>INDEX('Cleaned Data'!H:H,MATCH($A1358,$B$56:$B$1919,0))</f>
        <v>#N/A</v>
      </c>
      <c r="D1358" t="e">
        <f>INDEX('Cleaned Data'!L:L,MATCH($A1358,$B$56:$B$1919,0))</f>
        <v>#N/A</v>
      </c>
    </row>
    <row r="1359" spans="1:4" x14ac:dyDescent="0.25">
      <c r="A1359">
        <v>1304</v>
      </c>
      <c r="B1359">
        <f>B1358+IF('Cleaned Data'!L1305&gt;0,1,0)*IF($B$34="Overall",1,IF('Cleaned Data'!K1305=$B$34,1,0))*(IF('Cleaned Data'!H1305&lt;&gt;"",1,0))</f>
        <v>540</v>
      </c>
      <c r="C1359" t="e">
        <f>INDEX('Cleaned Data'!H:H,MATCH($A1359,$B$56:$B$1919,0))</f>
        <v>#N/A</v>
      </c>
      <c r="D1359" t="e">
        <f>INDEX('Cleaned Data'!L:L,MATCH($A1359,$B$56:$B$1919,0))</f>
        <v>#N/A</v>
      </c>
    </row>
    <row r="1360" spans="1:4" x14ac:dyDescent="0.25">
      <c r="A1360">
        <v>1305</v>
      </c>
      <c r="B1360">
        <f>B1359+IF('Cleaned Data'!L1306&gt;0,1,0)*IF($B$34="Overall",1,IF('Cleaned Data'!K1306=$B$34,1,0))*(IF('Cleaned Data'!H1306&lt;&gt;"",1,0))</f>
        <v>540</v>
      </c>
      <c r="C1360" t="e">
        <f>INDEX('Cleaned Data'!H:H,MATCH($A1360,$B$56:$B$1919,0))</f>
        <v>#N/A</v>
      </c>
      <c r="D1360" t="e">
        <f>INDEX('Cleaned Data'!L:L,MATCH($A1360,$B$56:$B$1919,0))</f>
        <v>#N/A</v>
      </c>
    </row>
    <row r="1361" spans="1:4" x14ac:dyDescent="0.25">
      <c r="A1361">
        <v>1306</v>
      </c>
      <c r="B1361">
        <f>B1360+IF('Cleaned Data'!L1307&gt;0,1,0)*IF($B$34="Overall",1,IF('Cleaned Data'!K1307=$B$34,1,0))*(IF('Cleaned Data'!H1307&lt;&gt;"",1,0))</f>
        <v>540</v>
      </c>
      <c r="C1361" t="e">
        <f>INDEX('Cleaned Data'!H:H,MATCH($A1361,$B$56:$B$1919,0))</f>
        <v>#N/A</v>
      </c>
      <c r="D1361" t="e">
        <f>INDEX('Cleaned Data'!L:L,MATCH($A1361,$B$56:$B$1919,0))</f>
        <v>#N/A</v>
      </c>
    </row>
    <row r="1362" spans="1:4" x14ac:dyDescent="0.25">
      <c r="A1362">
        <v>1307</v>
      </c>
      <c r="B1362">
        <f>B1361+IF('Cleaned Data'!L1308&gt;0,1,0)*IF($B$34="Overall",1,IF('Cleaned Data'!K1308=$B$34,1,0))*(IF('Cleaned Data'!H1308&lt;&gt;"",1,0))</f>
        <v>540</v>
      </c>
      <c r="C1362" t="e">
        <f>INDEX('Cleaned Data'!H:H,MATCH($A1362,$B$56:$B$1919,0))</f>
        <v>#N/A</v>
      </c>
      <c r="D1362" t="e">
        <f>INDEX('Cleaned Data'!L:L,MATCH($A1362,$B$56:$B$1919,0))</f>
        <v>#N/A</v>
      </c>
    </row>
    <row r="1363" spans="1:4" x14ac:dyDescent="0.25">
      <c r="A1363">
        <v>1308</v>
      </c>
      <c r="B1363">
        <f>B1362+IF('Cleaned Data'!L1309&gt;0,1,0)*IF($B$34="Overall",1,IF('Cleaned Data'!K1309=$B$34,1,0))*(IF('Cleaned Data'!H1309&lt;&gt;"",1,0))</f>
        <v>540</v>
      </c>
      <c r="C1363" t="e">
        <f>INDEX('Cleaned Data'!H:H,MATCH($A1363,$B$56:$B$1919,0))</f>
        <v>#N/A</v>
      </c>
      <c r="D1363" t="e">
        <f>INDEX('Cleaned Data'!L:L,MATCH($A1363,$B$56:$B$1919,0))</f>
        <v>#N/A</v>
      </c>
    </row>
    <row r="1364" spans="1:4" x14ac:dyDescent="0.25">
      <c r="A1364">
        <v>1309</v>
      </c>
      <c r="B1364">
        <f>B1363+IF('Cleaned Data'!L1310&gt;0,1,0)*IF($B$34="Overall",1,IF('Cleaned Data'!K1310=$B$34,1,0))*(IF('Cleaned Data'!H1310&lt;&gt;"",1,0))</f>
        <v>540</v>
      </c>
      <c r="C1364" t="e">
        <f>INDEX('Cleaned Data'!H:H,MATCH($A1364,$B$56:$B$1919,0))</f>
        <v>#N/A</v>
      </c>
      <c r="D1364" t="e">
        <f>INDEX('Cleaned Data'!L:L,MATCH($A1364,$B$56:$B$1919,0))</f>
        <v>#N/A</v>
      </c>
    </row>
    <row r="1365" spans="1:4" x14ac:dyDescent="0.25">
      <c r="A1365">
        <v>1310</v>
      </c>
      <c r="B1365">
        <f>B1364+IF('Cleaned Data'!L1311&gt;0,1,0)*IF($B$34="Overall",1,IF('Cleaned Data'!K1311=$B$34,1,0))*(IF('Cleaned Data'!H1311&lt;&gt;"",1,0))</f>
        <v>540</v>
      </c>
      <c r="C1365" t="e">
        <f>INDEX('Cleaned Data'!H:H,MATCH($A1365,$B$56:$B$1919,0))</f>
        <v>#N/A</v>
      </c>
      <c r="D1365" t="e">
        <f>INDEX('Cleaned Data'!L:L,MATCH($A1365,$B$56:$B$1919,0))</f>
        <v>#N/A</v>
      </c>
    </row>
    <row r="1366" spans="1:4" x14ac:dyDescent="0.25">
      <c r="A1366">
        <v>1311</v>
      </c>
      <c r="B1366">
        <f>B1365+IF('Cleaned Data'!L1312&gt;0,1,0)*IF($B$34="Overall",1,IF('Cleaned Data'!K1312=$B$34,1,0))*(IF('Cleaned Data'!H1312&lt;&gt;"",1,0))</f>
        <v>540</v>
      </c>
      <c r="C1366" t="e">
        <f>INDEX('Cleaned Data'!H:H,MATCH($A1366,$B$56:$B$1919,0))</f>
        <v>#N/A</v>
      </c>
      <c r="D1366" t="e">
        <f>INDEX('Cleaned Data'!L:L,MATCH($A1366,$B$56:$B$1919,0))</f>
        <v>#N/A</v>
      </c>
    </row>
    <row r="1367" spans="1:4" x14ac:dyDescent="0.25">
      <c r="A1367">
        <v>1312</v>
      </c>
      <c r="B1367">
        <f>B1366+IF('Cleaned Data'!L1313&gt;0,1,0)*IF($B$34="Overall",1,IF('Cleaned Data'!K1313=$B$34,1,0))*(IF('Cleaned Data'!H1313&lt;&gt;"",1,0))</f>
        <v>540</v>
      </c>
      <c r="C1367" t="e">
        <f>INDEX('Cleaned Data'!H:H,MATCH($A1367,$B$56:$B$1919,0))</f>
        <v>#N/A</v>
      </c>
      <c r="D1367" t="e">
        <f>INDEX('Cleaned Data'!L:L,MATCH($A1367,$B$56:$B$1919,0))</f>
        <v>#N/A</v>
      </c>
    </row>
    <row r="1368" spans="1:4" x14ac:dyDescent="0.25">
      <c r="A1368">
        <v>1313</v>
      </c>
      <c r="B1368">
        <f>B1367+IF('Cleaned Data'!L1314&gt;0,1,0)*IF($B$34="Overall",1,IF('Cleaned Data'!K1314=$B$34,1,0))*(IF('Cleaned Data'!H1314&lt;&gt;"",1,0))</f>
        <v>540</v>
      </c>
      <c r="C1368" t="e">
        <f>INDEX('Cleaned Data'!H:H,MATCH($A1368,$B$56:$B$1919,0))</f>
        <v>#N/A</v>
      </c>
      <c r="D1368" t="e">
        <f>INDEX('Cleaned Data'!L:L,MATCH($A1368,$B$56:$B$1919,0))</f>
        <v>#N/A</v>
      </c>
    </row>
    <row r="1369" spans="1:4" x14ac:dyDescent="0.25">
      <c r="A1369">
        <v>1314</v>
      </c>
      <c r="B1369">
        <f>B1368+IF('Cleaned Data'!L1315&gt;0,1,0)*IF($B$34="Overall",1,IF('Cleaned Data'!K1315=$B$34,1,0))*(IF('Cleaned Data'!H1315&lt;&gt;"",1,0))</f>
        <v>540</v>
      </c>
      <c r="C1369" t="e">
        <f>INDEX('Cleaned Data'!H:H,MATCH($A1369,$B$56:$B$1919,0))</f>
        <v>#N/A</v>
      </c>
      <c r="D1369" t="e">
        <f>INDEX('Cleaned Data'!L:L,MATCH($A1369,$B$56:$B$1919,0))</f>
        <v>#N/A</v>
      </c>
    </row>
    <row r="1370" spans="1:4" x14ac:dyDescent="0.25">
      <c r="A1370">
        <v>1315</v>
      </c>
      <c r="B1370">
        <f>B1369+IF('Cleaned Data'!L1316&gt;0,1,0)*IF($B$34="Overall",1,IF('Cleaned Data'!K1316=$B$34,1,0))*(IF('Cleaned Data'!H1316&lt;&gt;"",1,0))</f>
        <v>540</v>
      </c>
      <c r="C1370" t="e">
        <f>INDEX('Cleaned Data'!H:H,MATCH($A1370,$B$56:$B$1919,0))</f>
        <v>#N/A</v>
      </c>
      <c r="D1370" t="e">
        <f>INDEX('Cleaned Data'!L:L,MATCH($A1370,$B$56:$B$1919,0))</f>
        <v>#N/A</v>
      </c>
    </row>
    <row r="1371" spans="1:4" x14ac:dyDescent="0.25">
      <c r="A1371">
        <v>1316</v>
      </c>
      <c r="B1371">
        <f>B1370+IF('Cleaned Data'!L1317&gt;0,1,0)*IF($B$34="Overall",1,IF('Cleaned Data'!K1317=$B$34,1,0))*(IF('Cleaned Data'!H1317&lt;&gt;"",1,0))</f>
        <v>540</v>
      </c>
      <c r="C1371" t="e">
        <f>INDEX('Cleaned Data'!H:H,MATCH($A1371,$B$56:$B$1919,0))</f>
        <v>#N/A</v>
      </c>
      <c r="D1371" t="e">
        <f>INDEX('Cleaned Data'!L:L,MATCH($A1371,$B$56:$B$1919,0))</f>
        <v>#N/A</v>
      </c>
    </row>
    <row r="1372" spans="1:4" x14ac:dyDescent="0.25">
      <c r="A1372">
        <v>1317</v>
      </c>
      <c r="B1372">
        <f>B1371+IF('Cleaned Data'!L1318&gt;0,1,0)*IF($B$34="Overall",1,IF('Cleaned Data'!K1318=$B$34,1,0))*(IF('Cleaned Data'!H1318&lt;&gt;"",1,0))</f>
        <v>540</v>
      </c>
      <c r="C1372" t="e">
        <f>INDEX('Cleaned Data'!H:H,MATCH($A1372,$B$56:$B$1919,0))</f>
        <v>#N/A</v>
      </c>
      <c r="D1372" t="e">
        <f>INDEX('Cleaned Data'!L:L,MATCH($A1372,$B$56:$B$1919,0))</f>
        <v>#N/A</v>
      </c>
    </row>
    <row r="1373" spans="1:4" x14ac:dyDescent="0.25">
      <c r="A1373">
        <v>1318</v>
      </c>
      <c r="B1373">
        <f>B1372+IF('Cleaned Data'!L1319&gt;0,1,0)*IF($B$34="Overall",1,IF('Cleaned Data'!K1319=$B$34,1,0))*(IF('Cleaned Data'!H1319&lt;&gt;"",1,0))</f>
        <v>540</v>
      </c>
      <c r="C1373" t="e">
        <f>INDEX('Cleaned Data'!H:H,MATCH($A1373,$B$56:$B$1919,0))</f>
        <v>#N/A</v>
      </c>
      <c r="D1373" t="e">
        <f>INDEX('Cleaned Data'!L:L,MATCH($A1373,$B$56:$B$1919,0))</f>
        <v>#N/A</v>
      </c>
    </row>
    <row r="1374" spans="1:4" x14ac:dyDescent="0.25">
      <c r="A1374">
        <v>1319</v>
      </c>
      <c r="B1374">
        <f>B1373+IF('Cleaned Data'!L1320&gt;0,1,0)*IF($B$34="Overall",1,IF('Cleaned Data'!K1320=$B$34,1,0))*(IF('Cleaned Data'!H1320&lt;&gt;"",1,0))</f>
        <v>540</v>
      </c>
      <c r="C1374" t="e">
        <f>INDEX('Cleaned Data'!H:H,MATCH($A1374,$B$56:$B$1919,0))</f>
        <v>#N/A</v>
      </c>
      <c r="D1374" t="e">
        <f>INDEX('Cleaned Data'!L:L,MATCH($A1374,$B$56:$B$1919,0))</f>
        <v>#N/A</v>
      </c>
    </row>
    <row r="1375" spans="1:4" x14ac:dyDescent="0.25">
      <c r="A1375">
        <v>1320</v>
      </c>
      <c r="B1375">
        <f>B1374+IF('Cleaned Data'!L1321&gt;0,1,0)*IF($B$34="Overall",1,IF('Cleaned Data'!K1321=$B$34,1,0))*(IF('Cleaned Data'!H1321&lt;&gt;"",1,0))</f>
        <v>540</v>
      </c>
      <c r="C1375" t="e">
        <f>INDEX('Cleaned Data'!H:H,MATCH($A1375,$B$56:$B$1919,0))</f>
        <v>#N/A</v>
      </c>
      <c r="D1375" t="e">
        <f>INDEX('Cleaned Data'!L:L,MATCH($A1375,$B$56:$B$1919,0))</f>
        <v>#N/A</v>
      </c>
    </row>
    <row r="1376" spans="1:4" x14ac:dyDescent="0.25">
      <c r="A1376">
        <v>1321</v>
      </c>
      <c r="B1376">
        <f>B1375+IF('Cleaned Data'!L1322&gt;0,1,0)*IF($B$34="Overall",1,IF('Cleaned Data'!K1322=$B$34,1,0))*(IF('Cleaned Data'!H1322&lt;&gt;"",1,0))</f>
        <v>540</v>
      </c>
      <c r="C1376" t="e">
        <f>INDEX('Cleaned Data'!H:H,MATCH($A1376,$B$56:$B$1919,0))</f>
        <v>#N/A</v>
      </c>
      <c r="D1376" t="e">
        <f>INDEX('Cleaned Data'!L:L,MATCH($A1376,$B$56:$B$1919,0))</f>
        <v>#N/A</v>
      </c>
    </row>
    <row r="1377" spans="1:4" x14ac:dyDescent="0.25">
      <c r="A1377">
        <v>1322</v>
      </c>
      <c r="B1377">
        <f>B1376+IF('Cleaned Data'!L1323&gt;0,1,0)*IF($B$34="Overall",1,IF('Cleaned Data'!K1323=$B$34,1,0))*(IF('Cleaned Data'!H1323&lt;&gt;"",1,0))</f>
        <v>540</v>
      </c>
      <c r="C1377" t="e">
        <f>INDEX('Cleaned Data'!H:H,MATCH($A1377,$B$56:$B$1919,0))</f>
        <v>#N/A</v>
      </c>
      <c r="D1377" t="e">
        <f>INDEX('Cleaned Data'!L:L,MATCH($A1377,$B$56:$B$1919,0))</f>
        <v>#N/A</v>
      </c>
    </row>
    <row r="1378" spans="1:4" x14ac:dyDescent="0.25">
      <c r="A1378">
        <v>1323</v>
      </c>
      <c r="B1378">
        <f>B1377+IF('Cleaned Data'!L1324&gt;0,1,0)*IF($B$34="Overall",1,IF('Cleaned Data'!K1324=$B$34,1,0))*(IF('Cleaned Data'!H1324&lt;&gt;"",1,0))</f>
        <v>540</v>
      </c>
      <c r="C1378" t="e">
        <f>INDEX('Cleaned Data'!H:H,MATCH($A1378,$B$56:$B$1919,0))</f>
        <v>#N/A</v>
      </c>
      <c r="D1378" t="e">
        <f>INDEX('Cleaned Data'!L:L,MATCH($A1378,$B$56:$B$1919,0))</f>
        <v>#N/A</v>
      </c>
    </row>
    <row r="1379" spans="1:4" x14ac:dyDescent="0.25">
      <c r="A1379">
        <v>1324</v>
      </c>
      <c r="B1379">
        <f>B1378+IF('Cleaned Data'!L1325&gt;0,1,0)*IF($B$34="Overall",1,IF('Cleaned Data'!K1325=$B$34,1,0))*(IF('Cleaned Data'!H1325&lt;&gt;"",1,0))</f>
        <v>540</v>
      </c>
      <c r="C1379" t="e">
        <f>INDEX('Cleaned Data'!H:H,MATCH($A1379,$B$56:$B$1919,0))</f>
        <v>#N/A</v>
      </c>
      <c r="D1379" t="e">
        <f>INDEX('Cleaned Data'!L:L,MATCH($A1379,$B$56:$B$1919,0))</f>
        <v>#N/A</v>
      </c>
    </row>
    <row r="1380" spans="1:4" x14ac:dyDescent="0.25">
      <c r="A1380">
        <v>1325</v>
      </c>
      <c r="B1380">
        <f>B1379+IF('Cleaned Data'!L1326&gt;0,1,0)*IF($B$34="Overall",1,IF('Cleaned Data'!K1326=$B$34,1,0))*(IF('Cleaned Data'!H1326&lt;&gt;"",1,0))</f>
        <v>540</v>
      </c>
      <c r="C1380" t="e">
        <f>INDEX('Cleaned Data'!H:H,MATCH($A1380,$B$56:$B$1919,0))</f>
        <v>#N/A</v>
      </c>
      <c r="D1380" t="e">
        <f>INDEX('Cleaned Data'!L:L,MATCH($A1380,$B$56:$B$1919,0))</f>
        <v>#N/A</v>
      </c>
    </row>
    <row r="1381" spans="1:4" x14ac:dyDescent="0.25">
      <c r="A1381">
        <v>1326</v>
      </c>
      <c r="B1381">
        <f>B1380+IF('Cleaned Data'!L1327&gt;0,1,0)*IF($B$34="Overall",1,IF('Cleaned Data'!K1327=$B$34,1,0))*(IF('Cleaned Data'!H1327&lt;&gt;"",1,0))</f>
        <v>540</v>
      </c>
      <c r="C1381" t="e">
        <f>INDEX('Cleaned Data'!H:H,MATCH($A1381,$B$56:$B$1919,0))</f>
        <v>#N/A</v>
      </c>
      <c r="D1381" t="e">
        <f>INDEX('Cleaned Data'!L:L,MATCH($A1381,$B$56:$B$1919,0))</f>
        <v>#N/A</v>
      </c>
    </row>
    <row r="1382" spans="1:4" x14ac:dyDescent="0.25">
      <c r="A1382">
        <v>1327</v>
      </c>
      <c r="B1382">
        <f>B1381+IF('Cleaned Data'!L1328&gt;0,1,0)*IF($B$34="Overall",1,IF('Cleaned Data'!K1328=$B$34,1,0))*(IF('Cleaned Data'!H1328&lt;&gt;"",1,0))</f>
        <v>540</v>
      </c>
      <c r="C1382" t="e">
        <f>INDEX('Cleaned Data'!H:H,MATCH($A1382,$B$56:$B$1919,0))</f>
        <v>#N/A</v>
      </c>
      <c r="D1382" t="e">
        <f>INDEX('Cleaned Data'!L:L,MATCH($A1382,$B$56:$B$1919,0))</f>
        <v>#N/A</v>
      </c>
    </row>
    <row r="1383" spans="1:4" x14ac:dyDescent="0.25">
      <c r="A1383">
        <v>1328</v>
      </c>
      <c r="B1383">
        <f>B1382+IF('Cleaned Data'!L1329&gt;0,1,0)*IF($B$34="Overall",1,IF('Cleaned Data'!K1329=$B$34,1,0))*(IF('Cleaned Data'!H1329&lt;&gt;"",1,0))</f>
        <v>540</v>
      </c>
      <c r="C1383" t="e">
        <f>INDEX('Cleaned Data'!H:H,MATCH($A1383,$B$56:$B$1919,0))</f>
        <v>#N/A</v>
      </c>
      <c r="D1383" t="e">
        <f>INDEX('Cleaned Data'!L:L,MATCH($A1383,$B$56:$B$1919,0))</f>
        <v>#N/A</v>
      </c>
    </row>
    <row r="1384" spans="1:4" x14ac:dyDescent="0.25">
      <c r="A1384">
        <v>1329</v>
      </c>
      <c r="B1384">
        <f>B1383+IF('Cleaned Data'!L1330&gt;0,1,0)*IF($B$34="Overall",1,IF('Cleaned Data'!K1330=$B$34,1,0))*(IF('Cleaned Data'!H1330&lt;&gt;"",1,0))</f>
        <v>540</v>
      </c>
      <c r="C1384" t="e">
        <f>INDEX('Cleaned Data'!H:H,MATCH($A1384,$B$56:$B$1919,0))</f>
        <v>#N/A</v>
      </c>
      <c r="D1384" t="e">
        <f>INDEX('Cleaned Data'!L:L,MATCH($A1384,$B$56:$B$1919,0))</f>
        <v>#N/A</v>
      </c>
    </row>
    <row r="1385" spans="1:4" x14ac:dyDescent="0.25">
      <c r="A1385">
        <v>1330</v>
      </c>
      <c r="B1385">
        <f>B1384+IF('Cleaned Data'!L1331&gt;0,1,0)*IF($B$34="Overall",1,IF('Cleaned Data'!K1331=$B$34,1,0))*(IF('Cleaned Data'!H1331&lt;&gt;"",1,0))</f>
        <v>540</v>
      </c>
      <c r="C1385" t="e">
        <f>INDEX('Cleaned Data'!H:H,MATCH($A1385,$B$56:$B$1919,0))</f>
        <v>#N/A</v>
      </c>
      <c r="D1385" t="e">
        <f>INDEX('Cleaned Data'!L:L,MATCH($A1385,$B$56:$B$1919,0))</f>
        <v>#N/A</v>
      </c>
    </row>
    <row r="1386" spans="1:4" x14ac:dyDescent="0.25">
      <c r="A1386">
        <v>1331</v>
      </c>
      <c r="B1386">
        <f>B1385+IF('Cleaned Data'!L1332&gt;0,1,0)*IF($B$34="Overall",1,IF('Cleaned Data'!K1332=$B$34,1,0))*(IF('Cleaned Data'!H1332&lt;&gt;"",1,0))</f>
        <v>540</v>
      </c>
      <c r="C1386" t="e">
        <f>INDEX('Cleaned Data'!H:H,MATCH($A1386,$B$56:$B$1919,0))</f>
        <v>#N/A</v>
      </c>
      <c r="D1386" t="e">
        <f>INDEX('Cleaned Data'!L:L,MATCH($A1386,$B$56:$B$1919,0))</f>
        <v>#N/A</v>
      </c>
    </row>
    <row r="1387" spans="1:4" x14ac:dyDescent="0.25">
      <c r="A1387">
        <v>1332</v>
      </c>
      <c r="B1387">
        <f>B1386+IF('Cleaned Data'!L1333&gt;0,1,0)*IF($B$34="Overall",1,IF('Cleaned Data'!K1333=$B$34,1,0))*(IF('Cleaned Data'!H1333&lt;&gt;"",1,0))</f>
        <v>540</v>
      </c>
      <c r="C1387" t="e">
        <f>INDEX('Cleaned Data'!H:H,MATCH($A1387,$B$56:$B$1919,0))</f>
        <v>#N/A</v>
      </c>
      <c r="D1387" t="e">
        <f>INDEX('Cleaned Data'!L:L,MATCH($A1387,$B$56:$B$1919,0))</f>
        <v>#N/A</v>
      </c>
    </row>
    <row r="1388" spans="1:4" x14ac:dyDescent="0.25">
      <c r="A1388">
        <v>1333</v>
      </c>
      <c r="B1388">
        <f>B1387+IF('Cleaned Data'!L1334&gt;0,1,0)*IF($B$34="Overall",1,IF('Cleaned Data'!K1334=$B$34,1,0))*(IF('Cleaned Data'!H1334&lt;&gt;"",1,0))</f>
        <v>540</v>
      </c>
      <c r="C1388" t="e">
        <f>INDEX('Cleaned Data'!H:H,MATCH($A1388,$B$56:$B$1919,0))</f>
        <v>#N/A</v>
      </c>
      <c r="D1388" t="e">
        <f>INDEX('Cleaned Data'!L:L,MATCH($A1388,$B$56:$B$1919,0))</f>
        <v>#N/A</v>
      </c>
    </row>
    <row r="1389" spans="1:4" x14ac:dyDescent="0.25">
      <c r="A1389">
        <v>1334</v>
      </c>
      <c r="B1389">
        <f>B1388+IF('Cleaned Data'!L1335&gt;0,1,0)*IF($B$34="Overall",1,IF('Cleaned Data'!K1335=$B$34,1,0))*(IF('Cleaned Data'!H1335&lt;&gt;"",1,0))</f>
        <v>540</v>
      </c>
      <c r="C1389" t="e">
        <f>INDEX('Cleaned Data'!H:H,MATCH($A1389,$B$56:$B$1919,0))</f>
        <v>#N/A</v>
      </c>
      <c r="D1389" t="e">
        <f>INDEX('Cleaned Data'!L:L,MATCH($A1389,$B$56:$B$1919,0))</f>
        <v>#N/A</v>
      </c>
    </row>
    <row r="1390" spans="1:4" x14ac:dyDescent="0.25">
      <c r="A1390">
        <v>1335</v>
      </c>
      <c r="B1390">
        <f>B1389+IF('Cleaned Data'!L1336&gt;0,1,0)*IF($B$34="Overall",1,IF('Cleaned Data'!K1336=$B$34,1,0))*(IF('Cleaned Data'!H1336&lt;&gt;"",1,0))</f>
        <v>540</v>
      </c>
      <c r="C1390" t="e">
        <f>INDEX('Cleaned Data'!H:H,MATCH($A1390,$B$56:$B$1919,0))</f>
        <v>#N/A</v>
      </c>
      <c r="D1390" t="e">
        <f>INDEX('Cleaned Data'!L:L,MATCH($A1390,$B$56:$B$1919,0))</f>
        <v>#N/A</v>
      </c>
    </row>
    <row r="1391" spans="1:4" x14ac:dyDescent="0.25">
      <c r="A1391">
        <v>1336</v>
      </c>
      <c r="B1391">
        <f>B1390+IF('Cleaned Data'!L1337&gt;0,1,0)*IF($B$34="Overall",1,IF('Cleaned Data'!K1337=$B$34,1,0))*(IF('Cleaned Data'!H1337&lt;&gt;"",1,0))</f>
        <v>540</v>
      </c>
      <c r="C1391" t="e">
        <f>INDEX('Cleaned Data'!H:H,MATCH($A1391,$B$56:$B$1919,0))</f>
        <v>#N/A</v>
      </c>
      <c r="D1391" t="e">
        <f>INDEX('Cleaned Data'!L:L,MATCH($A1391,$B$56:$B$1919,0))</f>
        <v>#N/A</v>
      </c>
    </row>
    <row r="1392" spans="1:4" x14ac:dyDescent="0.25">
      <c r="A1392">
        <v>1337</v>
      </c>
      <c r="B1392">
        <f>B1391+IF('Cleaned Data'!L1338&gt;0,1,0)*IF($B$34="Overall",1,IF('Cleaned Data'!K1338=$B$34,1,0))*(IF('Cleaned Data'!H1338&lt;&gt;"",1,0))</f>
        <v>540</v>
      </c>
      <c r="C1392" t="e">
        <f>INDEX('Cleaned Data'!H:H,MATCH($A1392,$B$56:$B$1919,0))</f>
        <v>#N/A</v>
      </c>
      <c r="D1392" t="e">
        <f>INDEX('Cleaned Data'!L:L,MATCH($A1392,$B$56:$B$1919,0))</f>
        <v>#N/A</v>
      </c>
    </row>
    <row r="1393" spans="1:4" x14ac:dyDescent="0.25">
      <c r="A1393">
        <v>1338</v>
      </c>
      <c r="B1393">
        <f>B1392+IF('Cleaned Data'!L1339&gt;0,1,0)*IF($B$34="Overall",1,IF('Cleaned Data'!K1339=$B$34,1,0))*(IF('Cleaned Data'!H1339&lt;&gt;"",1,0))</f>
        <v>540</v>
      </c>
      <c r="C1393" t="e">
        <f>INDEX('Cleaned Data'!H:H,MATCH($A1393,$B$56:$B$1919,0))</f>
        <v>#N/A</v>
      </c>
      <c r="D1393" t="e">
        <f>INDEX('Cleaned Data'!L:L,MATCH($A1393,$B$56:$B$1919,0))</f>
        <v>#N/A</v>
      </c>
    </row>
    <row r="1394" spans="1:4" x14ac:dyDescent="0.25">
      <c r="A1394">
        <v>1339</v>
      </c>
      <c r="B1394">
        <f>B1393+IF('Cleaned Data'!L1340&gt;0,1,0)*IF($B$34="Overall",1,IF('Cleaned Data'!K1340=$B$34,1,0))*(IF('Cleaned Data'!H1340&lt;&gt;"",1,0))</f>
        <v>540</v>
      </c>
      <c r="C1394" t="e">
        <f>INDEX('Cleaned Data'!H:H,MATCH($A1394,$B$56:$B$1919,0))</f>
        <v>#N/A</v>
      </c>
      <c r="D1394" t="e">
        <f>INDEX('Cleaned Data'!L:L,MATCH($A1394,$B$56:$B$1919,0))</f>
        <v>#N/A</v>
      </c>
    </row>
    <row r="1395" spans="1:4" x14ac:dyDescent="0.25">
      <c r="A1395">
        <v>1340</v>
      </c>
      <c r="B1395">
        <f>B1394+IF('Cleaned Data'!L1341&gt;0,1,0)*IF($B$34="Overall",1,IF('Cleaned Data'!K1341=$B$34,1,0))*(IF('Cleaned Data'!H1341&lt;&gt;"",1,0))</f>
        <v>540</v>
      </c>
      <c r="C1395" t="e">
        <f>INDEX('Cleaned Data'!H:H,MATCH($A1395,$B$56:$B$1919,0))</f>
        <v>#N/A</v>
      </c>
      <c r="D1395" t="e">
        <f>INDEX('Cleaned Data'!L:L,MATCH($A1395,$B$56:$B$1919,0))</f>
        <v>#N/A</v>
      </c>
    </row>
    <row r="1396" spans="1:4" x14ac:dyDescent="0.25">
      <c r="A1396">
        <v>1341</v>
      </c>
      <c r="B1396">
        <f>B1395+IF('Cleaned Data'!L1342&gt;0,1,0)*IF($B$34="Overall",1,IF('Cleaned Data'!K1342=$B$34,1,0))*(IF('Cleaned Data'!H1342&lt;&gt;"",1,0))</f>
        <v>540</v>
      </c>
      <c r="C1396" t="e">
        <f>INDEX('Cleaned Data'!H:H,MATCH($A1396,$B$56:$B$1919,0))</f>
        <v>#N/A</v>
      </c>
      <c r="D1396" t="e">
        <f>INDEX('Cleaned Data'!L:L,MATCH($A1396,$B$56:$B$1919,0))</f>
        <v>#N/A</v>
      </c>
    </row>
    <row r="1397" spans="1:4" x14ac:dyDescent="0.25">
      <c r="A1397">
        <v>1342</v>
      </c>
      <c r="B1397">
        <f>B1396+IF('Cleaned Data'!L1343&gt;0,1,0)*IF($B$34="Overall",1,IF('Cleaned Data'!K1343=$B$34,1,0))*(IF('Cleaned Data'!H1343&lt;&gt;"",1,0))</f>
        <v>540</v>
      </c>
      <c r="C1397" t="e">
        <f>INDEX('Cleaned Data'!H:H,MATCH($A1397,$B$56:$B$1919,0))</f>
        <v>#N/A</v>
      </c>
      <c r="D1397" t="e">
        <f>INDEX('Cleaned Data'!L:L,MATCH($A1397,$B$56:$B$1919,0))</f>
        <v>#N/A</v>
      </c>
    </row>
    <row r="1398" spans="1:4" x14ac:dyDescent="0.25">
      <c r="A1398">
        <v>1343</v>
      </c>
      <c r="B1398">
        <f>B1397+IF('Cleaned Data'!L1344&gt;0,1,0)*IF($B$34="Overall",1,IF('Cleaned Data'!K1344=$B$34,1,0))*(IF('Cleaned Data'!H1344&lt;&gt;"",1,0))</f>
        <v>540</v>
      </c>
      <c r="C1398" t="e">
        <f>INDEX('Cleaned Data'!H:H,MATCH($A1398,$B$56:$B$1919,0))</f>
        <v>#N/A</v>
      </c>
      <c r="D1398" t="e">
        <f>INDEX('Cleaned Data'!L:L,MATCH($A1398,$B$56:$B$1919,0))</f>
        <v>#N/A</v>
      </c>
    </row>
    <row r="1399" spans="1:4" x14ac:dyDescent="0.25">
      <c r="A1399">
        <v>1344</v>
      </c>
      <c r="B1399">
        <f>B1398+IF('Cleaned Data'!L1345&gt;0,1,0)*IF($B$34="Overall",1,IF('Cleaned Data'!K1345=$B$34,1,0))*(IF('Cleaned Data'!H1345&lt;&gt;"",1,0))</f>
        <v>540</v>
      </c>
      <c r="C1399" t="e">
        <f>INDEX('Cleaned Data'!H:H,MATCH($A1399,$B$56:$B$1919,0))</f>
        <v>#N/A</v>
      </c>
      <c r="D1399" t="e">
        <f>INDEX('Cleaned Data'!L:L,MATCH($A1399,$B$56:$B$1919,0))</f>
        <v>#N/A</v>
      </c>
    </row>
    <row r="1400" spans="1:4" x14ac:dyDescent="0.25">
      <c r="A1400">
        <v>1345</v>
      </c>
      <c r="B1400">
        <f>B1399+IF('Cleaned Data'!L1346&gt;0,1,0)*IF($B$34="Overall",1,IF('Cleaned Data'!K1346=$B$34,1,0))*(IF('Cleaned Data'!H1346&lt;&gt;"",1,0))</f>
        <v>540</v>
      </c>
      <c r="C1400" t="e">
        <f>INDEX('Cleaned Data'!H:H,MATCH($A1400,$B$56:$B$1919,0))</f>
        <v>#N/A</v>
      </c>
      <c r="D1400" t="e">
        <f>INDEX('Cleaned Data'!L:L,MATCH($A1400,$B$56:$B$1919,0))</f>
        <v>#N/A</v>
      </c>
    </row>
    <row r="1401" spans="1:4" x14ac:dyDescent="0.25">
      <c r="A1401">
        <v>1346</v>
      </c>
      <c r="B1401">
        <f>B1400+IF('Cleaned Data'!L1347&gt;0,1,0)*IF($B$34="Overall",1,IF('Cleaned Data'!K1347=$B$34,1,0))*(IF('Cleaned Data'!H1347&lt;&gt;"",1,0))</f>
        <v>540</v>
      </c>
      <c r="C1401" t="e">
        <f>INDEX('Cleaned Data'!H:H,MATCH($A1401,$B$56:$B$1919,0))</f>
        <v>#N/A</v>
      </c>
      <c r="D1401" t="e">
        <f>INDEX('Cleaned Data'!L:L,MATCH($A1401,$B$56:$B$1919,0))</f>
        <v>#N/A</v>
      </c>
    </row>
    <row r="1402" spans="1:4" x14ac:dyDescent="0.25">
      <c r="A1402">
        <v>1347</v>
      </c>
      <c r="B1402">
        <f>B1401+IF('Cleaned Data'!L1348&gt;0,1,0)*IF($B$34="Overall",1,IF('Cleaned Data'!K1348=$B$34,1,0))*(IF('Cleaned Data'!H1348&lt;&gt;"",1,0))</f>
        <v>540</v>
      </c>
      <c r="C1402" t="e">
        <f>INDEX('Cleaned Data'!H:H,MATCH($A1402,$B$56:$B$1919,0))</f>
        <v>#N/A</v>
      </c>
      <c r="D1402" t="e">
        <f>INDEX('Cleaned Data'!L:L,MATCH($A1402,$B$56:$B$1919,0))</f>
        <v>#N/A</v>
      </c>
    </row>
    <row r="1403" spans="1:4" x14ac:dyDescent="0.25">
      <c r="A1403">
        <v>1348</v>
      </c>
      <c r="B1403">
        <f>B1402+IF('Cleaned Data'!L1349&gt;0,1,0)*IF($B$34="Overall",1,IF('Cleaned Data'!K1349=$B$34,1,0))*(IF('Cleaned Data'!H1349&lt;&gt;"",1,0))</f>
        <v>540</v>
      </c>
      <c r="C1403" t="e">
        <f>INDEX('Cleaned Data'!H:H,MATCH($A1403,$B$56:$B$1919,0))</f>
        <v>#N/A</v>
      </c>
      <c r="D1403" t="e">
        <f>INDEX('Cleaned Data'!L:L,MATCH($A1403,$B$56:$B$1919,0))</f>
        <v>#N/A</v>
      </c>
    </row>
    <row r="1404" spans="1:4" x14ac:dyDescent="0.25">
      <c r="A1404">
        <v>1349</v>
      </c>
      <c r="B1404">
        <f>B1403+IF('Cleaned Data'!L1350&gt;0,1,0)*IF($B$34="Overall",1,IF('Cleaned Data'!K1350=$B$34,1,0))*(IF('Cleaned Data'!H1350&lt;&gt;"",1,0))</f>
        <v>540</v>
      </c>
      <c r="C1404" t="e">
        <f>INDEX('Cleaned Data'!H:H,MATCH($A1404,$B$56:$B$1919,0))</f>
        <v>#N/A</v>
      </c>
      <c r="D1404" t="e">
        <f>INDEX('Cleaned Data'!L:L,MATCH($A1404,$B$56:$B$1919,0))</f>
        <v>#N/A</v>
      </c>
    </row>
    <row r="1405" spans="1:4" x14ac:dyDescent="0.25">
      <c r="A1405">
        <v>1350</v>
      </c>
      <c r="B1405">
        <f>B1404+IF('Cleaned Data'!L1351&gt;0,1,0)*IF($B$34="Overall",1,IF('Cleaned Data'!K1351=$B$34,1,0))*(IF('Cleaned Data'!H1351&lt;&gt;"",1,0))</f>
        <v>540</v>
      </c>
      <c r="C1405" t="e">
        <f>INDEX('Cleaned Data'!H:H,MATCH($A1405,$B$56:$B$1919,0))</f>
        <v>#N/A</v>
      </c>
      <c r="D1405" t="e">
        <f>INDEX('Cleaned Data'!L:L,MATCH($A1405,$B$56:$B$1919,0))</f>
        <v>#N/A</v>
      </c>
    </row>
    <row r="1406" spans="1:4" x14ac:dyDescent="0.25">
      <c r="A1406">
        <v>1351</v>
      </c>
      <c r="B1406">
        <f>B1405+IF('Cleaned Data'!L1352&gt;0,1,0)*IF($B$34="Overall",1,IF('Cleaned Data'!K1352=$B$34,1,0))*(IF('Cleaned Data'!H1352&lt;&gt;"",1,0))</f>
        <v>540</v>
      </c>
      <c r="C1406" t="e">
        <f>INDEX('Cleaned Data'!H:H,MATCH($A1406,$B$56:$B$1919,0))</f>
        <v>#N/A</v>
      </c>
      <c r="D1406" t="e">
        <f>INDEX('Cleaned Data'!L:L,MATCH($A1406,$B$56:$B$1919,0))</f>
        <v>#N/A</v>
      </c>
    </row>
    <row r="1407" spans="1:4" x14ac:dyDescent="0.25">
      <c r="A1407">
        <v>1352</v>
      </c>
      <c r="B1407">
        <f>B1406+IF('Cleaned Data'!L1353&gt;0,1,0)*IF($B$34="Overall",1,IF('Cleaned Data'!K1353=$B$34,1,0))*(IF('Cleaned Data'!H1353&lt;&gt;"",1,0))</f>
        <v>540</v>
      </c>
      <c r="C1407" t="e">
        <f>INDEX('Cleaned Data'!H:H,MATCH($A1407,$B$56:$B$1919,0))</f>
        <v>#N/A</v>
      </c>
      <c r="D1407" t="e">
        <f>INDEX('Cleaned Data'!L:L,MATCH($A1407,$B$56:$B$1919,0))</f>
        <v>#N/A</v>
      </c>
    </row>
    <row r="1408" spans="1:4" x14ac:dyDescent="0.25">
      <c r="A1408">
        <v>1353</v>
      </c>
      <c r="B1408">
        <f>B1407+IF('Cleaned Data'!L1354&gt;0,1,0)*IF($B$34="Overall",1,IF('Cleaned Data'!K1354=$B$34,1,0))*(IF('Cleaned Data'!H1354&lt;&gt;"",1,0))</f>
        <v>540</v>
      </c>
      <c r="C1408" t="e">
        <f>INDEX('Cleaned Data'!H:H,MATCH($A1408,$B$56:$B$1919,0))</f>
        <v>#N/A</v>
      </c>
      <c r="D1408" t="e">
        <f>INDEX('Cleaned Data'!L:L,MATCH($A1408,$B$56:$B$1919,0))</f>
        <v>#N/A</v>
      </c>
    </row>
    <row r="1409" spans="1:4" x14ac:dyDescent="0.25">
      <c r="A1409">
        <v>1354</v>
      </c>
      <c r="B1409">
        <f>B1408+IF('Cleaned Data'!L1355&gt;0,1,0)*IF($B$34="Overall",1,IF('Cleaned Data'!K1355=$B$34,1,0))*(IF('Cleaned Data'!H1355&lt;&gt;"",1,0))</f>
        <v>540</v>
      </c>
      <c r="C1409" t="e">
        <f>INDEX('Cleaned Data'!H:H,MATCH($A1409,$B$56:$B$1919,0))</f>
        <v>#N/A</v>
      </c>
      <c r="D1409" t="e">
        <f>INDEX('Cleaned Data'!L:L,MATCH($A1409,$B$56:$B$1919,0))</f>
        <v>#N/A</v>
      </c>
    </row>
    <row r="1410" spans="1:4" x14ac:dyDescent="0.25">
      <c r="A1410">
        <v>1355</v>
      </c>
      <c r="B1410">
        <f>B1409+IF('Cleaned Data'!L1356&gt;0,1,0)*IF($B$34="Overall",1,IF('Cleaned Data'!K1356=$B$34,1,0))*(IF('Cleaned Data'!H1356&lt;&gt;"",1,0))</f>
        <v>540</v>
      </c>
      <c r="C1410" t="e">
        <f>INDEX('Cleaned Data'!H:H,MATCH($A1410,$B$56:$B$1919,0))</f>
        <v>#N/A</v>
      </c>
      <c r="D1410" t="e">
        <f>INDEX('Cleaned Data'!L:L,MATCH($A1410,$B$56:$B$1919,0))</f>
        <v>#N/A</v>
      </c>
    </row>
    <row r="1411" spans="1:4" x14ac:dyDescent="0.25">
      <c r="A1411">
        <v>1356</v>
      </c>
      <c r="B1411">
        <f>B1410+IF('Cleaned Data'!L1357&gt;0,1,0)*IF($B$34="Overall",1,IF('Cleaned Data'!K1357=$B$34,1,0))*(IF('Cleaned Data'!H1357&lt;&gt;"",1,0))</f>
        <v>540</v>
      </c>
      <c r="C1411" t="e">
        <f>INDEX('Cleaned Data'!H:H,MATCH($A1411,$B$56:$B$1919,0))</f>
        <v>#N/A</v>
      </c>
      <c r="D1411" t="e">
        <f>INDEX('Cleaned Data'!L:L,MATCH($A1411,$B$56:$B$1919,0))</f>
        <v>#N/A</v>
      </c>
    </row>
    <row r="1412" spans="1:4" x14ac:dyDescent="0.25">
      <c r="A1412">
        <v>1357</v>
      </c>
      <c r="B1412">
        <f>B1411+IF('Cleaned Data'!L1358&gt;0,1,0)*IF($B$34="Overall",1,IF('Cleaned Data'!K1358=$B$34,1,0))*(IF('Cleaned Data'!H1358&lt;&gt;"",1,0))</f>
        <v>540</v>
      </c>
      <c r="C1412" t="e">
        <f>INDEX('Cleaned Data'!H:H,MATCH($A1412,$B$56:$B$1919,0))</f>
        <v>#N/A</v>
      </c>
      <c r="D1412" t="e">
        <f>INDEX('Cleaned Data'!L:L,MATCH($A1412,$B$56:$B$1919,0))</f>
        <v>#N/A</v>
      </c>
    </row>
    <row r="1413" spans="1:4" x14ac:dyDescent="0.25">
      <c r="A1413">
        <v>1358</v>
      </c>
      <c r="B1413">
        <f>B1412+IF('Cleaned Data'!L1359&gt;0,1,0)*IF($B$34="Overall",1,IF('Cleaned Data'!K1359=$B$34,1,0))*(IF('Cleaned Data'!H1359&lt;&gt;"",1,0))</f>
        <v>540</v>
      </c>
      <c r="C1413" t="e">
        <f>INDEX('Cleaned Data'!H:H,MATCH($A1413,$B$56:$B$1919,0))</f>
        <v>#N/A</v>
      </c>
      <c r="D1413" t="e">
        <f>INDEX('Cleaned Data'!L:L,MATCH($A1413,$B$56:$B$1919,0))</f>
        <v>#N/A</v>
      </c>
    </row>
    <row r="1414" spans="1:4" x14ac:dyDescent="0.25">
      <c r="A1414">
        <v>1359</v>
      </c>
      <c r="B1414">
        <f>B1413+IF('Cleaned Data'!L1360&gt;0,1,0)*IF($B$34="Overall",1,IF('Cleaned Data'!K1360=$B$34,1,0))*(IF('Cleaned Data'!H1360&lt;&gt;"",1,0))</f>
        <v>540</v>
      </c>
      <c r="C1414" t="e">
        <f>INDEX('Cleaned Data'!H:H,MATCH($A1414,$B$56:$B$1919,0))</f>
        <v>#N/A</v>
      </c>
      <c r="D1414" t="e">
        <f>INDEX('Cleaned Data'!L:L,MATCH($A1414,$B$56:$B$1919,0))</f>
        <v>#N/A</v>
      </c>
    </row>
    <row r="1415" spans="1:4" x14ac:dyDescent="0.25">
      <c r="A1415">
        <v>1360</v>
      </c>
      <c r="B1415">
        <f>B1414+IF('Cleaned Data'!L1361&gt;0,1,0)*IF($B$34="Overall",1,IF('Cleaned Data'!K1361=$B$34,1,0))*(IF('Cleaned Data'!H1361&lt;&gt;"",1,0))</f>
        <v>540</v>
      </c>
      <c r="C1415" t="e">
        <f>INDEX('Cleaned Data'!H:H,MATCH($A1415,$B$56:$B$1919,0))</f>
        <v>#N/A</v>
      </c>
      <c r="D1415" t="e">
        <f>INDEX('Cleaned Data'!L:L,MATCH($A1415,$B$56:$B$1919,0))</f>
        <v>#N/A</v>
      </c>
    </row>
    <row r="1416" spans="1:4" x14ac:dyDescent="0.25">
      <c r="A1416">
        <v>1361</v>
      </c>
      <c r="B1416">
        <f>B1415+IF('Cleaned Data'!L1362&gt;0,1,0)*IF($B$34="Overall",1,IF('Cleaned Data'!K1362=$B$34,1,0))*(IF('Cleaned Data'!H1362&lt;&gt;"",1,0))</f>
        <v>540</v>
      </c>
      <c r="C1416" t="e">
        <f>INDEX('Cleaned Data'!H:H,MATCH($A1416,$B$56:$B$1919,0))</f>
        <v>#N/A</v>
      </c>
      <c r="D1416" t="e">
        <f>INDEX('Cleaned Data'!L:L,MATCH($A1416,$B$56:$B$1919,0))</f>
        <v>#N/A</v>
      </c>
    </row>
    <row r="1417" spans="1:4" x14ac:dyDescent="0.25">
      <c r="A1417">
        <v>1362</v>
      </c>
      <c r="B1417">
        <f>B1416+IF('Cleaned Data'!L1363&gt;0,1,0)*IF($B$34="Overall",1,IF('Cleaned Data'!K1363=$B$34,1,0))*(IF('Cleaned Data'!H1363&lt;&gt;"",1,0))</f>
        <v>540</v>
      </c>
      <c r="C1417" t="e">
        <f>INDEX('Cleaned Data'!H:H,MATCH($A1417,$B$56:$B$1919,0))</f>
        <v>#N/A</v>
      </c>
      <c r="D1417" t="e">
        <f>INDEX('Cleaned Data'!L:L,MATCH($A1417,$B$56:$B$1919,0))</f>
        <v>#N/A</v>
      </c>
    </row>
    <row r="1418" spans="1:4" x14ac:dyDescent="0.25">
      <c r="A1418">
        <v>1363</v>
      </c>
      <c r="B1418">
        <f>B1417+IF('Cleaned Data'!L1364&gt;0,1,0)*IF($B$34="Overall",1,IF('Cleaned Data'!K1364=$B$34,1,0))*(IF('Cleaned Data'!H1364&lt;&gt;"",1,0))</f>
        <v>540</v>
      </c>
      <c r="C1418" t="e">
        <f>INDEX('Cleaned Data'!H:H,MATCH($A1418,$B$56:$B$1919,0))</f>
        <v>#N/A</v>
      </c>
      <c r="D1418" t="e">
        <f>INDEX('Cleaned Data'!L:L,MATCH($A1418,$B$56:$B$1919,0))</f>
        <v>#N/A</v>
      </c>
    </row>
    <row r="1419" spans="1:4" x14ac:dyDescent="0.25">
      <c r="A1419">
        <v>1364</v>
      </c>
      <c r="B1419">
        <f>B1418+IF('Cleaned Data'!L1365&gt;0,1,0)*IF($B$34="Overall",1,IF('Cleaned Data'!K1365=$B$34,1,0))*(IF('Cleaned Data'!H1365&lt;&gt;"",1,0))</f>
        <v>540</v>
      </c>
      <c r="C1419" t="e">
        <f>INDEX('Cleaned Data'!H:H,MATCH($A1419,$B$56:$B$1919,0))</f>
        <v>#N/A</v>
      </c>
      <c r="D1419" t="e">
        <f>INDEX('Cleaned Data'!L:L,MATCH($A1419,$B$56:$B$1919,0))</f>
        <v>#N/A</v>
      </c>
    </row>
    <row r="1420" spans="1:4" x14ac:dyDescent="0.25">
      <c r="A1420">
        <v>1365</v>
      </c>
      <c r="B1420">
        <f>B1419+IF('Cleaned Data'!L1366&gt;0,1,0)*IF($B$34="Overall",1,IF('Cleaned Data'!K1366=$B$34,1,0))*(IF('Cleaned Data'!H1366&lt;&gt;"",1,0))</f>
        <v>540</v>
      </c>
      <c r="C1420" t="e">
        <f>INDEX('Cleaned Data'!H:H,MATCH($A1420,$B$56:$B$1919,0))</f>
        <v>#N/A</v>
      </c>
      <c r="D1420" t="e">
        <f>INDEX('Cleaned Data'!L:L,MATCH($A1420,$B$56:$B$1919,0))</f>
        <v>#N/A</v>
      </c>
    </row>
    <row r="1421" spans="1:4" x14ac:dyDescent="0.25">
      <c r="A1421">
        <v>1366</v>
      </c>
      <c r="B1421">
        <f>B1420+IF('Cleaned Data'!L1367&gt;0,1,0)*IF($B$34="Overall",1,IF('Cleaned Data'!K1367=$B$34,1,0))*(IF('Cleaned Data'!H1367&lt;&gt;"",1,0))</f>
        <v>540</v>
      </c>
      <c r="C1421" t="e">
        <f>INDEX('Cleaned Data'!H:H,MATCH($A1421,$B$56:$B$1919,0))</f>
        <v>#N/A</v>
      </c>
      <c r="D1421" t="e">
        <f>INDEX('Cleaned Data'!L:L,MATCH($A1421,$B$56:$B$1919,0))</f>
        <v>#N/A</v>
      </c>
    </row>
    <row r="1422" spans="1:4" x14ac:dyDescent="0.25">
      <c r="A1422">
        <v>1367</v>
      </c>
      <c r="B1422">
        <f>B1421+IF('Cleaned Data'!L1368&gt;0,1,0)*IF($B$34="Overall",1,IF('Cleaned Data'!K1368=$B$34,1,0))*(IF('Cleaned Data'!H1368&lt;&gt;"",1,0))</f>
        <v>540</v>
      </c>
      <c r="C1422" t="e">
        <f>INDEX('Cleaned Data'!H:H,MATCH($A1422,$B$56:$B$1919,0))</f>
        <v>#N/A</v>
      </c>
      <c r="D1422" t="e">
        <f>INDEX('Cleaned Data'!L:L,MATCH($A1422,$B$56:$B$1919,0))</f>
        <v>#N/A</v>
      </c>
    </row>
    <row r="1423" spans="1:4" x14ac:dyDescent="0.25">
      <c r="A1423">
        <v>1368</v>
      </c>
      <c r="B1423">
        <f>B1422+IF('Cleaned Data'!L1369&gt;0,1,0)*IF($B$34="Overall",1,IF('Cleaned Data'!K1369=$B$34,1,0))*(IF('Cleaned Data'!H1369&lt;&gt;"",1,0))</f>
        <v>540</v>
      </c>
      <c r="C1423" t="e">
        <f>INDEX('Cleaned Data'!H:H,MATCH($A1423,$B$56:$B$1919,0))</f>
        <v>#N/A</v>
      </c>
      <c r="D1423" t="e">
        <f>INDEX('Cleaned Data'!L:L,MATCH($A1423,$B$56:$B$1919,0))</f>
        <v>#N/A</v>
      </c>
    </row>
    <row r="1424" spans="1:4" x14ac:dyDescent="0.25">
      <c r="A1424">
        <v>1369</v>
      </c>
      <c r="B1424">
        <f>B1423+IF('Cleaned Data'!L1370&gt;0,1,0)*IF($B$34="Overall",1,IF('Cleaned Data'!K1370=$B$34,1,0))*(IF('Cleaned Data'!H1370&lt;&gt;"",1,0))</f>
        <v>540</v>
      </c>
      <c r="C1424" t="e">
        <f>INDEX('Cleaned Data'!H:H,MATCH($A1424,$B$56:$B$1919,0))</f>
        <v>#N/A</v>
      </c>
      <c r="D1424" t="e">
        <f>INDEX('Cleaned Data'!L:L,MATCH($A1424,$B$56:$B$1919,0))</f>
        <v>#N/A</v>
      </c>
    </row>
    <row r="1425" spans="1:4" x14ac:dyDescent="0.25">
      <c r="A1425">
        <v>1370</v>
      </c>
      <c r="B1425">
        <f>B1424+IF('Cleaned Data'!L1371&gt;0,1,0)*IF($B$34="Overall",1,IF('Cleaned Data'!K1371=$B$34,1,0))*(IF('Cleaned Data'!H1371&lt;&gt;"",1,0))</f>
        <v>540</v>
      </c>
      <c r="C1425" t="e">
        <f>INDEX('Cleaned Data'!H:H,MATCH($A1425,$B$56:$B$1919,0))</f>
        <v>#N/A</v>
      </c>
      <c r="D1425" t="e">
        <f>INDEX('Cleaned Data'!L:L,MATCH($A1425,$B$56:$B$1919,0))</f>
        <v>#N/A</v>
      </c>
    </row>
    <row r="1426" spans="1:4" x14ac:dyDescent="0.25">
      <c r="A1426">
        <v>1371</v>
      </c>
      <c r="B1426">
        <f>B1425+IF('Cleaned Data'!L1372&gt;0,1,0)*IF($B$34="Overall",1,IF('Cleaned Data'!K1372=$B$34,1,0))*(IF('Cleaned Data'!H1372&lt;&gt;"",1,0))</f>
        <v>540</v>
      </c>
      <c r="C1426" t="e">
        <f>INDEX('Cleaned Data'!H:H,MATCH($A1426,$B$56:$B$1919,0))</f>
        <v>#N/A</v>
      </c>
      <c r="D1426" t="e">
        <f>INDEX('Cleaned Data'!L:L,MATCH($A1426,$B$56:$B$1919,0))</f>
        <v>#N/A</v>
      </c>
    </row>
    <row r="1427" spans="1:4" x14ac:dyDescent="0.25">
      <c r="A1427">
        <v>1372</v>
      </c>
      <c r="B1427">
        <f>B1426+IF('Cleaned Data'!L1373&gt;0,1,0)*IF($B$34="Overall",1,IF('Cleaned Data'!K1373=$B$34,1,0))*(IF('Cleaned Data'!H1373&lt;&gt;"",1,0))</f>
        <v>540</v>
      </c>
      <c r="C1427" t="e">
        <f>INDEX('Cleaned Data'!H:H,MATCH($A1427,$B$56:$B$1919,0))</f>
        <v>#N/A</v>
      </c>
      <c r="D1427" t="e">
        <f>INDEX('Cleaned Data'!L:L,MATCH($A1427,$B$56:$B$1919,0))</f>
        <v>#N/A</v>
      </c>
    </row>
    <row r="1428" spans="1:4" x14ac:dyDescent="0.25">
      <c r="A1428">
        <v>1373</v>
      </c>
      <c r="B1428">
        <f>B1427+IF('Cleaned Data'!L1374&gt;0,1,0)*IF($B$34="Overall",1,IF('Cleaned Data'!K1374=$B$34,1,0))*(IF('Cleaned Data'!H1374&lt;&gt;"",1,0))</f>
        <v>540</v>
      </c>
      <c r="C1428" t="e">
        <f>INDEX('Cleaned Data'!H:H,MATCH($A1428,$B$56:$B$1919,0))</f>
        <v>#N/A</v>
      </c>
      <c r="D1428" t="e">
        <f>INDEX('Cleaned Data'!L:L,MATCH($A1428,$B$56:$B$1919,0))</f>
        <v>#N/A</v>
      </c>
    </row>
    <row r="1429" spans="1:4" x14ac:dyDescent="0.25">
      <c r="A1429">
        <v>1374</v>
      </c>
      <c r="B1429">
        <f>B1428+IF('Cleaned Data'!L1375&gt;0,1,0)*IF($B$34="Overall",1,IF('Cleaned Data'!K1375=$B$34,1,0))*(IF('Cleaned Data'!H1375&lt;&gt;"",1,0))</f>
        <v>540</v>
      </c>
      <c r="C1429" t="e">
        <f>INDEX('Cleaned Data'!H:H,MATCH($A1429,$B$56:$B$1919,0))</f>
        <v>#N/A</v>
      </c>
      <c r="D1429" t="e">
        <f>INDEX('Cleaned Data'!L:L,MATCH($A1429,$B$56:$B$1919,0))</f>
        <v>#N/A</v>
      </c>
    </row>
    <row r="1430" spans="1:4" x14ac:dyDescent="0.25">
      <c r="A1430">
        <v>1375</v>
      </c>
      <c r="B1430">
        <f>B1429+IF('Cleaned Data'!L1376&gt;0,1,0)*IF($B$34="Overall",1,IF('Cleaned Data'!K1376=$B$34,1,0))*(IF('Cleaned Data'!H1376&lt;&gt;"",1,0))</f>
        <v>540</v>
      </c>
      <c r="C1430" t="e">
        <f>INDEX('Cleaned Data'!H:H,MATCH($A1430,$B$56:$B$1919,0))</f>
        <v>#N/A</v>
      </c>
      <c r="D1430" t="e">
        <f>INDEX('Cleaned Data'!L:L,MATCH($A1430,$B$56:$B$1919,0))</f>
        <v>#N/A</v>
      </c>
    </row>
    <row r="1431" spans="1:4" x14ac:dyDescent="0.25">
      <c r="A1431">
        <v>1376</v>
      </c>
      <c r="B1431">
        <f>B1430+IF('Cleaned Data'!L1377&gt;0,1,0)*IF($B$34="Overall",1,IF('Cleaned Data'!K1377=$B$34,1,0))*(IF('Cleaned Data'!H1377&lt;&gt;"",1,0))</f>
        <v>540</v>
      </c>
      <c r="C1431" t="e">
        <f>INDEX('Cleaned Data'!H:H,MATCH($A1431,$B$56:$B$1919,0))</f>
        <v>#N/A</v>
      </c>
      <c r="D1431" t="e">
        <f>INDEX('Cleaned Data'!L:L,MATCH($A1431,$B$56:$B$1919,0))</f>
        <v>#N/A</v>
      </c>
    </row>
    <row r="1432" spans="1:4" x14ac:dyDescent="0.25">
      <c r="A1432">
        <v>1377</v>
      </c>
      <c r="B1432">
        <f>B1431+IF('Cleaned Data'!L1378&gt;0,1,0)*IF($B$34="Overall",1,IF('Cleaned Data'!K1378=$B$34,1,0))*(IF('Cleaned Data'!H1378&lt;&gt;"",1,0))</f>
        <v>540</v>
      </c>
      <c r="C1432" t="e">
        <f>INDEX('Cleaned Data'!H:H,MATCH($A1432,$B$56:$B$1919,0))</f>
        <v>#N/A</v>
      </c>
      <c r="D1432" t="e">
        <f>INDEX('Cleaned Data'!L:L,MATCH($A1432,$B$56:$B$1919,0))</f>
        <v>#N/A</v>
      </c>
    </row>
    <row r="1433" spans="1:4" x14ac:dyDescent="0.25">
      <c r="A1433">
        <v>1378</v>
      </c>
      <c r="B1433">
        <f>B1432+IF('Cleaned Data'!L1379&gt;0,1,0)*IF($B$34="Overall",1,IF('Cleaned Data'!K1379=$B$34,1,0))*(IF('Cleaned Data'!H1379&lt;&gt;"",1,0))</f>
        <v>540</v>
      </c>
      <c r="C1433" t="e">
        <f>INDEX('Cleaned Data'!H:H,MATCH($A1433,$B$56:$B$1919,0))</f>
        <v>#N/A</v>
      </c>
      <c r="D1433" t="e">
        <f>INDEX('Cleaned Data'!L:L,MATCH($A1433,$B$56:$B$1919,0))</f>
        <v>#N/A</v>
      </c>
    </row>
    <row r="1434" spans="1:4" x14ac:dyDescent="0.25">
      <c r="A1434">
        <v>1379</v>
      </c>
      <c r="B1434">
        <f>B1433+IF('Cleaned Data'!L1380&gt;0,1,0)*IF($B$34="Overall",1,IF('Cleaned Data'!K1380=$B$34,1,0))*(IF('Cleaned Data'!H1380&lt;&gt;"",1,0))</f>
        <v>540</v>
      </c>
      <c r="C1434" t="e">
        <f>INDEX('Cleaned Data'!H:H,MATCH($A1434,$B$56:$B$1919,0))</f>
        <v>#N/A</v>
      </c>
      <c r="D1434" t="e">
        <f>INDEX('Cleaned Data'!L:L,MATCH($A1434,$B$56:$B$1919,0))</f>
        <v>#N/A</v>
      </c>
    </row>
    <row r="1435" spans="1:4" x14ac:dyDescent="0.25">
      <c r="A1435">
        <v>1380</v>
      </c>
      <c r="B1435">
        <f>B1434+IF('Cleaned Data'!L1381&gt;0,1,0)*IF($B$34="Overall",1,IF('Cleaned Data'!K1381=$B$34,1,0))*(IF('Cleaned Data'!H1381&lt;&gt;"",1,0))</f>
        <v>540</v>
      </c>
      <c r="C1435" t="e">
        <f>INDEX('Cleaned Data'!H:H,MATCH($A1435,$B$56:$B$1919,0))</f>
        <v>#N/A</v>
      </c>
      <c r="D1435" t="e">
        <f>INDEX('Cleaned Data'!L:L,MATCH($A1435,$B$56:$B$1919,0))</f>
        <v>#N/A</v>
      </c>
    </row>
    <row r="1436" spans="1:4" x14ac:dyDescent="0.25">
      <c r="A1436">
        <v>1381</v>
      </c>
      <c r="B1436">
        <f>B1435+IF('Cleaned Data'!L1382&gt;0,1,0)*IF($B$34="Overall",1,IF('Cleaned Data'!K1382=$B$34,1,0))*(IF('Cleaned Data'!H1382&lt;&gt;"",1,0))</f>
        <v>540</v>
      </c>
      <c r="C1436" t="e">
        <f>INDEX('Cleaned Data'!H:H,MATCH($A1436,$B$56:$B$1919,0))</f>
        <v>#N/A</v>
      </c>
      <c r="D1436" t="e">
        <f>INDEX('Cleaned Data'!L:L,MATCH($A1436,$B$56:$B$1919,0))</f>
        <v>#N/A</v>
      </c>
    </row>
    <row r="1437" spans="1:4" x14ac:dyDescent="0.25">
      <c r="A1437">
        <v>1382</v>
      </c>
      <c r="B1437">
        <f>B1436+IF('Cleaned Data'!L1383&gt;0,1,0)*IF($B$34="Overall",1,IF('Cleaned Data'!K1383=$B$34,1,0))*(IF('Cleaned Data'!H1383&lt;&gt;"",1,0))</f>
        <v>540</v>
      </c>
      <c r="C1437" t="e">
        <f>INDEX('Cleaned Data'!H:H,MATCH($A1437,$B$56:$B$1919,0))</f>
        <v>#N/A</v>
      </c>
      <c r="D1437" t="e">
        <f>INDEX('Cleaned Data'!L:L,MATCH($A1437,$B$56:$B$1919,0))</f>
        <v>#N/A</v>
      </c>
    </row>
    <row r="1438" spans="1:4" x14ac:dyDescent="0.25">
      <c r="A1438">
        <v>1383</v>
      </c>
      <c r="B1438">
        <f>B1437+IF('Cleaned Data'!L1384&gt;0,1,0)*IF($B$34="Overall",1,IF('Cleaned Data'!K1384=$B$34,1,0))*(IF('Cleaned Data'!H1384&lt;&gt;"",1,0))</f>
        <v>540</v>
      </c>
      <c r="C1438" t="e">
        <f>INDEX('Cleaned Data'!H:H,MATCH($A1438,$B$56:$B$1919,0))</f>
        <v>#N/A</v>
      </c>
      <c r="D1438" t="e">
        <f>INDEX('Cleaned Data'!L:L,MATCH($A1438,$B$56:$B$1919,0))</f>
        <v>#N/A</v>
      </c>
    </row>
    <row r="1439" spans="1:4" x14ac:dyDescent="0.25">
      <c r="A1439">
        <v>1384</v>
      </c>
      <c r="B1439">
        <f>B1438+IF('Cleaned Data'!L1385&gt;0,1,0)*IF($B$34="Overall",1,IF('Cleaned Data'!K1385=$B$34,1,0))*(IF('Cleaned Data'!H1385&lt;&gt;"",1,0))</f>
        <v>540</v>
      </c>
      <c r="C1439" t="e">
        <f>INDEX('Cleaned Data'!H:H,MATCH($A1439,$B$56:$B$1919,0))</f>
        <v>#N/A</v>
      </c>
      <c r="D1439" t="e">
        <f>INDEX('Cleaned Data'!L:L,MATCH($A1439,$B$56:$B$1919,0))</f>
        <v>#N/A</v>
      </c>
    </row>
    <row r="1440" spans="1:4" x14ac:dyDescent="0.25">
      <c r="A1440">
        <v>1385</v>
      </c>
      <c r="B1440">
        <f>B1439+IF('Cleaned Data'!L1386&gt;0,1,0)*IF($B$34="Overall",1,IF('Cleaned Data'!K1386=$B$34,1,0))*(IF('Cleaned Data'!H1386&lt;&gt;"",1,0))</f>
        <v>540</v>
      </c>
      <c r="C1440" t="e">
        <f>INDEX('Cleaned Data'!H:H,MATCH($A1440,$B$56:$B$1919,0))</f>
        <v>#N/A</v>
      </c>
      <c r="D1440" t="e">
        <f>INDEX('Cleaned Data'!L:L,MATCH($A1440,$B$56:$B$1919,0))</f>
        <v>#N/A</v>
      </c>
    </row>
    <row r="1441" spans="1:4" x14ac:dyDescent="0.25">
      <c r="A1441">
        <v>1386</v>
      </c>
      <c r="B1441">
        <f>B1440+IF('Cleaned Data'!L1387&gt;0,1,0)*IF($B$34="Overall",1,IF('Cleaned Data'!K1387=$B$34,1,0))*(IF('Cleaned Data'!H1387&lt;&gt;"",1,0))</f>
        <v>540</v>
      </c>
      <c r="C1441" t="e">
        <f>INDEX('Cleaned Data'!H:H,MATCH($A1441,$B$56:$B$1919,0))</f>
        <v>#N/A</v>
      </c>
      <c r="D1441" t="e">
        <f>INDEX('Cleaned Data'!L:L,MATCH($A1441,$B$56:$B$1919,0))</f>
        <v>#N/A</v>
      </c>
    </row>
    <row r="1442" spans="1:4" x14ac:dyDescent="0.25">
      <c r="A1442">
        <v>1387</v>
      </c>
      <c r="B1442">
        <f>B1441+IF('Cleaned Data'!L1388&gt;0,1,0)*IF($B$34="Overall",1,IF('Cleaned Data'!K1388=$B$34,1,0))*(IF('Cleaned Data'!H1388&lt;&gt;"",1,0))</f>
        <v>540</v>
      </c>
      <c r="C1442" t="e">
        <f>INDEX('Cleaned Data'!H:H,MATCH($A1442,$B$56:$B$1919,0))</f>
        <v>#N/A</v>
      </c>
      <c r="D1442" t="e">
        <f>INDEX('Cleaned Data'!L:L,MATCH($A1442,$B$56:$B$1919,0))</f>
        <v>#N/A</v>
      </c>
    </row>
    <row r="1443" spans="1:4" x14ac:dyDescent="0.25">
      <c r="A1443">
        <v>1388</v>
      </c>
      <c r="B1443">
        <f>B1442+IF('Cleaned Data'!L1389&gt;0,1,0)*IF($B$34="Overall",1,IF('Cleaned Data'!K1389=$B$34,1,0))*(IF('Cleaned Data'!H1389&lt;&gt;"",1,0))</f>
        <v>540</v>
      </c>
      <c r="C1443" t="e">
        <f>INDEX('Cleaned Data'!H:H,MATCH($A1443,$B$56:$B$1919,0))</f>
        <v>#N/A</v>
      </c>
      <c r="D1443" t="e">
        <f>INDEX('Cleaned Data'!L:L,MATCH($A1443,$B$56:$B$1919,0))</f>
        <v>#N/A</v>
      </c>
    </row>
    <row r="1444" spans="1:4" x14ac:dyDescent="0.25">
      <c r="A1444">
        <v>1389</v>
      </c>
      <c r="B1444">
        <f>B1443+IF('Cleaned Data'!L1390&gt;0,1,0)*IF($B$34="Overall",1,IF('Cleaned Data'!K1390=$B$34,1,0))*(IF('Cleaned Data'!H1390&lt;&gt;"",1,0))</f>
        <v>540</v>
      </c>
      <c r="C1444" t="e">
        <f>INDEX('Cleaned Data'!H:H,MATCH($A1444,$B$56:$B$1919,0))</f>
        <v>#N/A</v>
      </c>
      <c r="D1444" t="e">
        <f>INDEX('Cleaned Data'!L:L,MATCH($A1444,$B$56:$B$1919,0))</f>
        <v>#N/A</v>
      </c>
    </row>
    <row r="1445" spans="1:4" x14ac:dyDescent="0.25">
      <c r="A1445">
        <v>1390</v>
      </c>
      <c r="B1445">
        <f>B1444+IF('Cleaned Data'!L1391&gt;0,1,0)*IF($B$34="Overall",1,IF('Cleaned Data'!K1391=$B$34,1,0))*(IF('Cleaned Data'!H1391&lt;&gt;"",1,0))</f>
        <v>540</v>
      </c>
      <c r="C1445" t="e">
        <f>INDEX('Cleaned Data'!H:H,MATCH($A1445,$B$56:$B$1919,0))</f>
        <v>#N/A</v>
      </c>
      <c r="D1445" t="e">
        <f>INDEX('Cleaned Data'!L:L,MATCH($A1445,$B$56:$B$1919,0))</f>
        <v>#N/A</v>
      </c>
    </row>
    <row r="1446" spans="1:4" x14ac:dyDescent="0.25">
      <c r="A1446">
        <v>1391</v>
      </c>
      <c r="B1446">
        <f>B1445+IF('Cleaned Data'!L1392&gt;0,1,0)*IF($B$34="Overall",1,IF('Cleaned Data'!K1392=$B$34,1,0))*(IF('Cleaned Data'!H1392&lt;&gt;"",1,0))</f>
        <v>540</v>
      </c>
      <c r="C1446" t="e">
        <f>INDEX('Cleaned Data'!H:H,MATCH($A1446,$B$56:$B$1919,0))</f>
        <v>#N/A</v>
      </c>
      <c r="D1446" t="e">
        <f>INDEX('Cleaned Data'!L:L,MATCH($A1446,$B$56:$B$1919,0))</f>
        <v>#N/A</v>
      </c>
    </row>
    <row r="1447" spans="1:4" x14ac:dyDescent="0.25">
      <c r="A1447">
        <v>1392</v>
      </c>
      <c r="B1447">
        <f>B1446+IF('Cleaned Data'!L1393&gt;0,1,0)*IF($B$34="Overall",1,IF('Cleaned Data'!K1393=$B$34,1,0))*(IF('Cleaned Data'!H1393&lt;&gt;"",1,0))</f>
        <v>540</v>
      </c>
      <c r="C1447" t="e">
        <f>INDEX('Cleaned Data'!H:H,MATCH($A1447,$B$56:$B$1919,0))</f>
        <v>#N/A</v>
      </c>
      <c r="D1447" t="e">
        <f>INDEX('Cleaned Data'!L:L,MATCH($A1447,$B$56:$B$1919,0))</f>
        <v>#N/A</v>
      </c>
    </row>
    <row r="1448" spans="1:4" x14ac:dyDescent="0.25">
      <c r="A1448">
        <v>1393</v>
      </c>
      <c r="B1448">
        <f>B1447+IF('Cleaned Data'!L1394&gt;0,1,0)*IF($B$34="Overall",1,IF('Cleaned Data'!K1394=$B$34,1,0))*(IF('Cleaned Data'!H1394&lt;&gt;"",1,0))</f>
        <v>540</v>
      </c>
      <c r="C1448" t="e">
        <f>INDEX('Cleaned Data'!H:H,MATCH($A1448,$B$56:$B$1919,0))</f>
        <v>#N/A</v>
      </c>
      <c r="D1448" t="e">
        <f>INDEX('Cleaned Data'!L:L,MATCH($A1448,$B$56:$B$1919,0))</f>
        <v>#N/A</v>
      </c>
    </row>
    <row r="1449" spans="1:4" x14ac:dyDescent="0.25">
      <c r="A1449">
        <v>1394</v>
      </c>
      <c r="B1449">
        <f>B1448+IF('Cleaned Data'!L1395&gt;0,1,0)*IF($B$34="Overall",1,IF('Cleaned Data'!K1395=$B$34,1,0))*(IF('Cleaned Data'!H1395&lt;&gt;"",1,0))</f>
        <v>540</v>
      </c>
      <c r="C1449" t="e">
        <f>INDEX('Cleaned Data'!H:H,MATCH($A1449,$B$56:$B$1919,0))</f>
        <v>#N/A</v>
      </c>
      <c r="D1449" t="e">
        <f>INDEX('Cleaned Data'!L:L,MATCH($A1449,$B$56:$B$1919,0))</f>
        <v>#N/A</v>
      </c>
    </row>
    <row r="1450" spans="1:4" x14ac:dyDescent="0.25">
      <c r="A1450">
        <v>1395</v>
      </c>
      <c r="B1450">
        <f>B1449+IF('Cleaned Data'!L1396&gt;0,1,0)*IF($B$34="Overall",1,IF('Cleaned Data'!K1396=$B$34,1,0))*(IF('Cleaned Data'!H1396&lt;&gt;"",1,0))</f>
        <v>540</v>
      </c>
      <c r="C1450" t="e">
        <f>INDEX('Cleaned Data'!H:H,MATCH($A1450,$B$56:$B$1919,0))</f>
        <v>#N/A</v>
      </c>
      <c r="D1450" t="e">
        <f>INDEX('Cleaned Data'!L:L,MATCH($A1450,$B$56:$B$1919,0))</f>
        <v>#N/A</v>
      </c>
    </row>
    <row r="1451" spans="1:4" x14ac:dyDescent="0.25">
      <c r="A1451">
        <v>1396</v>
      </c>
      <c r="B1451">
        <f>B1450+IF('Cleaned Data'!L1397&gt;0,1,0)*IF($B$34="Overall",1,IF('Cleaned Data'!K1397=$B$34,1,0))*(IF('Cleaned Data'!H1397&lt;&gt;"",1,0))</f>
        <v>540</v>
      </c>
      <c r="C1451" t="e">
        <f>INDEX('Cleaned Data'!H:H,MATCH($A1451,$B$56:$B$1919,0))</f>
        <v>#N/A</v>
      </c>
      <c r="D1451" t="e">
        <f>INDEX('Cleaned Data'!L:L,MATCH($A1451,$B$56:$B$1919,0))</f>
        <v>#N/A</v>
      </c>
    </row>
    <row r="1452" spans="1:4" x14ac:dyDescent="0.25">
      <c r="A1452">
        <v>1397</v>
      </c>
      <c r="B1452">
        <f>B1451+IF('Cleaned Data'!L1398&gt;0,1,0)*IF($B$34="Overall",1,IF('Cleaned Data'!K1398=$B$34,1,0))*(IF('Cleaned Data'!H1398&lt;&gt;"",1,0))</f>
        <v>540</v>
      </c>
      <c r="C1452" t="e">
        <f>INDEX('Cleaned Data'!H:H,MATCH($A1452,$B$56:$B$1919,0))</f>
        <v>#N/A</v>
      </c>
      <c r="D1452" t="e">
        <f>INDEX('Cleaned Data'!L:L,MATCH($A1452,$B$56:$B$1919,0))</f>
        <v>#N/A</v>
      </c>
    </row>
    <row r="1453" spans="1:4" x14ac:dyDescent="0.25">
      <c r="A1453">
        <v>1398</v>
      </c>
      <c r="B1453">
        <f>B1452+IF('Cleaned Data'!L1399&gt;0,1,0)*IF($B$34="Overall",1,IF('Cleaned Data'!K1399=$B$34,1,0))*(IF('Cleaned Data'!H1399&lt;&gt;"",1,0))</f>
        <v>540</v>
      </c>
      <c r="C1453" t="e">
        <f>INDEX('Cleaned Data'!H:H,MATCH($A1453,$B$56:$B$1919,0))</f>
        <v>#N/A</v>
      </c>
      <c r="D1453" t="e">
        <f>INDEX('Cleaned Data'!L:L,MATCH($A1453,$B$56:$B$1919,0))</f>
        <v>#N/A</v>
      </c>
    </row>
    <row r="1454" spans="1:4" x14ac:dyDescent="0.25">
      <c r="A1454">
        <v>1399</v>
      </c>
      <c r="B1454">
        <f>B1453+IF('Cleaned Data'!L1400&gt;0,1,0)*IF($B$34="Overall",1,IF('Cleaned Data'!K1400=$B$34,1,0))*(IF('Cleaned Data'!H1400&lt;&gt;"",1,0))</f>
        <v>540</v>
      </c>
      <c r="C1454" t="e">
        <f>INDEX('Cleaned Data'!H:H,MATCH($A1454,$B$56:$B$1919,0))</f>
        <v>#N/A</v>
      </c>
      <c r="D1454" t="e">
        <f>INDEX('Cleaned Data'!L:L,MATCH($A1454,$B$56:$B$1919,0))</f>
        <v>#N/A</v>
      </c>
    </row>
    <row r="1455" spans="1:4" x14ac:dyDescent="0.25">
      <c r="A1455">
        <v>1400</v>
      </c>
      <c r="B1455">
        <f>B1454+IF('Cleaned Data'!L1401&gt;0,1,0)*IF($B$34="Overall",1,IF('Cleaned Data'!K1401=$B$34,1,0))*(IF('Cleaned Data'!H1401&lt;&gt;"",1,0))</f>
        <v>540</v>
      </c>
      <c r="C1455" t="e">
        <f>INDEX('Cleaned Data'!H:H,MATCH($A1455,$B$56:$B$1919,0))</f>
        <v>#N/A</v>
      </c>
      <c r="D1455" t="e">
        <f>INDEX('Cleaned Data'!L:L,MATCH($A1455,$B$56:$B$1919,0))</f>
        <v>#N/A</v>
      </c>
    </row>
    <row r="1456" spans="1:4" x14ac:dyDescent="0.25">
      <c r="A1456">
        <v>1401</v>
      </c>
      <c r="B1456">
        <f>B1455+IF('Cleaned Data'!L1402&gt;0,1,0)*IF($B$34="Overall",1,IF('Cleaned Data'!K1402=$B$34,1,0))*(IF('Cleaned Data'!H1402&lt;&gt;"",1,0))</f>
        <v>540</v>
      </c>
      <c r="C1456" t="e">
        <f>INDEX('Cleaned Data'!H:H,MATCH($A1456,$B$56:$B$1919,0))</f>
        <v>#N/A</v>
      </c>
      <c r="D1456" t="e">
        <f>INDEX('Cleaned Data'!L:L,MATCH($A1456,$B$56:$B$1919,0))</f>
        <v>#N/A</v>
      </c>
    </row>
    <row r="1457" spans="1:4" x14ac:dyDescent="0.25">
      <c r="A1457">
        <v>1402</v>
      </c>
      <c r="B1457">
        <f>B1456+IF('Cleaned Data'!L1403&gt;0,1,0)*IF($B$34="Overall",1,IF('Cleaned Data'!K1403=$B$34,1,0))*(IF('Cleaned Data'!H1403&lt;&gt;"",1,0))</f>
        <v>540</v>
      </c>
      <c r="C1457" t="e">
        <f>INDEX('Cleaned Data'!H:H,MATCH($A1457,$B$56:$B$1919,0))</f>
        <v>#N/A</v>
      </c>
      <c r="D1457" t="e">
        <f>INDEX('Cleaned Data'!L:L,MATCH($A1457,$B$56:$B$1919,0))</f>
        <v>#N/A</v>
      </c>
    </row>
    <row r="1458" spans="1:4" x14ac:dyDescent="0.25">
      <c r="A1458">
        <v>1403</v>
      </c>
      <c r="B1458">
        <f>B1457+IF('Cleaned Data'!L1404&gt;0,1,0)*IF($B$34="Overall",1,IF('Cleaned Data'!K1404=$B$34,1,0))*(IF('Cleaned Data'!H1404&lt;&gt;"",1,0))</f>
        <v>540</v>
      </c>
      <c r="C1458" t="e">
        <f>INDEX('Cleaned Data'!H:H,MATCH($A1458,$B$56:$B$1919,0))</f>
        <v>#N/A</v>
      </c>
      <c r="D1458" t="e">
        <f>INDEX('Cleaned Data'!L:L,MATCH($A1458,$B$56:$B$1919,0))</f>
        <v>#N/A</v>
      </c>
    </row>
    <row r="1459" spans="1:4" x14ac:dyDescent="0.25">
      <c r="A1459">
        <v>1404</v>
      </c>
      <c r="B1459">
        <f>B1458+IF('Cleaned Data'!L1405&gt;0,1,0)*IF($B$34="Overall",1,IF('Cleaned Data'!K1405=$B$34,1,0))*(IF('Cleaned Data'!H1405&lt;&gt;"",1,0))</f>
        <v>540</v>
      </c>
      <c r="C1459" t="e">
        <f>INDEX('Cleaned Data'!H:H,MATCH($A1459,$B$56:$B$1919,0))</f>
        <v>#N/A</v>
      </c>
      <c r="D1459" t="e">
        <f>INDEX('Cleaned Data'!L:L,MATCH($A1459,$B$56:$B$1919,0))</f>
        <v>#N/A</v>
      </c>
    </row>
    <row r="1460" spans="1:4" x14ac:dyDescent="0.25">
      <c r="A1460">
        <v>1405</v>
      </c>
      <c r="B1460">
        <f>B1459+IF('Cleaned Data'!L1406&gt;0,1,0)*IF($B$34="Overall",1,IF('Cleaned Data'!K1406=$B$34,1,0))*(IF('Cleaned Data'!H1406&lt;&gt;"",1,0))</f>
        <v>540</v>
      </c>
      <c r="C1460" t="e">
        <f>INDEX('Cleaned Data'!H:H,MATCH($A1460,$B$56:$B$1919,0))</f>
        <v>#N/A</v>
      </c>
      <c r="D1460" t="e">
        <f>INDEX('Cleaned Data'!L:L,MATCH($A1460,$B$56:$B$1919,0))</f>
        <v>#N/A</v>
      </c>
    </row>
    <row r="1461" spans="1:4" x14ac:dyDescent="0.25">
      <c r="A1461">
        <v>1406</v>
      </c>
      <c r="B1461">
        <f>B1460+IF('Cleaned Data'!L1407&gt;0,1,0)*IF($B$34="Overall",1,IF('Cleaned Data'!K1407=$B$34,1,0))*(IF('Cleaned Data'!H1407&lt;&gt;"",1,0))</f>
        <v>540</v>
      </c>
      <c r="C1461" t="e">
        <f>INDEX('Cleaned Data'!H:H,MATCH($A1461,$B$56:$B$1919,0))</f>
        <v>#N/A</v>
      </c>
      <c r="D1461" t="e">
        <f>INDEX('Cleaned Data'!L:L,MATCH($A1461,$B$56:$B$1919,0))</f>
        <v>#N/A</v>
      </c>
    </row>
    <row r="1462" spans="1:4" x14ac:dyDescent="0.25">
      <c r="A1462">
        <v>1407</v>
      </c>
      <c r="B1462">
        <f>B1461+IF('Cleaned Data'!L1408&gt;0,1,0)*IF($B$34="Overall",1,IF('Cleaned Data'!K1408=$B$34,1,0))*(IF('Cleaned Data'!H1408&lt;&gt;"",1,0))</f>
        <v>540</v>
      </c>
      <c r="C1462" t="e">
        <f>INDEX('Cleaned Data'!H:H,MATCH($A1462,$B$56:$B$1919,0))</f>
        <v>#N/A</v>
      </c>
      <c r="D1462" t="e">
        <f>INDEX('Cleaned Data'!L:L,MATCH($A1462,$B$56:$B$1919,0))</f>
        <v>#N/A</v>
      </c>
    </row>
    <row r="1463" spans="1:4" x14ac:dyDescent="0.25">
      <c r="A1463">
        <v>1408</v>
      </c>
      <c r="B1463">
        <f>B1462+IF('Cleaned Data'!L1409&gt;0,1,0)*IF($B$34="Overall",1,IF('Cleaned Data'!K1409=$B$34,1,0))*(IF('Cleaned Data'!H1409&lt;&gt;"",1,0))</f>
        <v>540</v>
      </c>
      <c r="C1463" t="e">
        <f>INDEX('Cleaned Data'!H:H,MATCH($A1463,$B$56:$B$1919,0))</f>
        <v>#N/A</v>
      </c>
      <c r="D1463" t="e">
        <f>INDEX('Cleaned Data'!L:L,MATCH($A1463,$B$56:$B$1919,0))</f>
        <v>#N/A</v>
      </c>
    </row>
    <row r="1464" spans="1:4" x14ac:dyDescent="0.25">
      <c r="A1464">
        <v>1409</v>
      </c>
      <c r="B1464">
        <f>B1463+IF('Cleaned Data'!L1410&gt;0,1,0)*IF($B$34="Overall",1,IF('Cleaned Data'!K1410=$B$34,1,0))*(IF('Cleaned Data'!H1410&lt;&gt;"",1,0))</f>
        <v>540</v>
      </c>
      <c r="C1464" t="e">
        <f>INDEX('Cleaned Data'!H:H,MATCH($A1464,$B$56:$B$1919,0))</f>
        <v>#N/A</v>
      </c>
      <c r="D1464" t="e">
        <f>INDEX('Cleaned Data'!L:L,MATCH($A1464,$B$56:$B$1919,0))</f>
        <v>#N/A</v>
      </c>
    </row>
    <row r="1465" spans="1:4" x14ac:dyDescent="0.25">
      <c r="A1465">
        <v>1410</v>
      </c>
      <c r="B1465">
        <f>B1464+IF('Cleaned Data'!L1411&gt;0,1,0)*IF($B$34="Overall",1,IF('Cleaned Data'!K1411=$B$34,1,0))*(IF('Cleaned Data'!H1411&lt;&gt;"",1,0))</f>
        <v>540</v>
      </c>
      <c r="C1465" t="e">
        <f>INDEX('Cleaned Data'!H:H,MATCH($A1465,$B$56:$B$1919,0))</f>
        <v>#N/A</v>
      </c>
      <c r="D1465" t="e">
        <f>INDEX('Cleaned Data'!L:L,MATCH($A1465,$B$56:$B$1919,0))</f>
        <v>#N/A</v>
      </c>
    </row>
    <row r="1466" spans="1:4" x14ac:dyDescent="0.25">
      <c r="A1466">
        <v>1411</v>
      </c>
      <c r="B1466">
        <f>B1465+IF('Cleaned Data'!L1412&gt;0,1,0)*IF($B$34="Overall",1,IF('Cleaned Data'!K1412=$B$34,1,0))*(IF('Cleaned Data'!H1412&lt;&gt;"",1,0))</f>
        <v>540</v>
      </c>
      <c r="C1466" t="e">
        <f>INDEX('Cleaned Data'!H:H,MATCH($A1466,$B$56:$B$1919,0))</f>
        <v>#N/A</v>
      </c>
      <c r="D1466" t="e">
        <f>INDEX('Cleaned Data'!L:L,MATCH($A1466,$B$56:$B$1919,0))</f>
        <v>#N/A</v>
      </c>
    </row>
    <row r="1467" spans="1:4" x14ac:dyDescent="0.25">
      <c r="A1467">
        <v>1412</v>
      </c>
      <c r="B1467">
        <f>B1466+IF('Cleaned Data'!L1413&gt;0,1,0)*IF($B$34="Overall",1,IF('Cleaned Data'!K1413=$B$34,1,0))*(IF('Cleaned Data'!H1413&lt;&gt;"",1,0))</f>
        <v>540</v>
      </c>
      <c r="C1467" t="e">
        <f>INDEX('Cleaned Data'!H:H,MATCH($A1467,$B$56:$B$1919,0))</f>
        <v>#N/A</v>
      </c>
      <c r="D1467" t="e">
        <f>INDEX('Cleaned Data'!L:L,MATCH($A1467,$B$56:$B$1919,0))</f>
        <v>#N/A</v>
      </c>
    </row>
    <row r="1468" spans="1:4" x14ac:dyDescent="0.25">
      <c r="A1468">
        <v>1413</v>
      </c>
      <c r="B1468">
        <f>B1467+IF('Cleaned Data'!L1414&gt;0,1,0)*IF($B$34="Overall",1,IF('Cleaned Data'!K1414=$B$34,1,0))*(IF('Cleaned Data'!H1414&lt;&gt;"",1,0))</f>
        <v>540</v>
      </c>
      <c r="C1468" t="e">
        <f>INDEX('Cleaned Data'!H:H,MATCH($A1468,$B$56:$B$1919,0))</f>
        <v>#N/A</v>
      </c>
      <c r="D1468" t="e">
        <f>INDEX('Cleaned Data'!L:L,MATCH($A1468,$B$56:$B$1919,0))</f>
        <v>#N/A</v>
      </c>
    </row>
    <row r="1469" spans="1:4" x14ac:dyDescent="0.25">
      <c r="A1469">
        <v>1414</v>
      </c>
      <c r="B1469">
        <f>B1468+IF('Cleaned Data'!L1415&gt;0,1,0)*IF($B$34="Overall",1,IF('Cleaned Data'!K1415=$B$34,1,0))*(IF('Cleaned Data'!H1415&lt;&gt;"",1,0))</f>
        <v>540</v>
      </c>
      <c r="C1469" t="e">
        <f>INDEX('Cleaned Data'!H:H,MATCH($A1469,$B$56:$B$1919,0))</f>
        <v>#N/A</v>
      </c>
      <c r="D1469" t="e">
        <f>INDEX('Cleaned Data'!L:L,MATCH($A1469,$B$56:$B$1919,0))</f>
        <v>#N/A</v>
      </c>
    </row>
    <row r="1470" spans="1:4" x14ac:dyDescent="0.25">
      <c r="A1470">
        <v>1415</v>
      </c>
      <c r="B1470">
        <f>B1469+IF('Cleaned Data'!L1416&gt;0,1,0)*IF($B$34="Overall",1,IF('Cleaned Data'!K1416=$B$34,1,0))*(IF('Cleaned Data'!H1416&lt;&gt;"",1,0))</f>
        <v>540</v>
      </c>
      <c r="C1470" t="e">
        <f>INDEX('Cleaned Data'!H:H,MATCH($A1470,$B$56:$B$1919,0))</f>
        <v>#N/A</v>
      </c>
      <c r="D1470" t="e">
        <f>INDEX('Cleaned Data'!L:L,MATCH($A1470,$B$56:$B$1919,0))</f>
        <v>#N/A</v>
      </c>
    </row>
    <row r="1471" spans="1:4" x14ac:dyDescent="0.25">
      <c r="A1471">
        <v>1416</v>
      </c>
      <c r="B1471">
        <f>B1470+IF('Cleaned Data'!L1417&gt;0,1,0)*IF($B$34="Overall",1,IF('Cleaned Data'!K1417=$B$34,1,0))*(IF('Cleaned Data'!H1417&lt;&gt;"",1,0))</f>
        <v>540</v>
      </c>
      <c r="C1471" t="e">
        <f>INDEX('Cleaned Data'!H:H,MATCH($A1471,$B$56:$B$1919,0))</f>
        <v>#N/A</v>
      </c>
      <c r="D1471" t="e">
        <f>INDEX('Cleaned Data'!L:L,MATCH($A1471,$B$56:$B$1919,0))</f>
        <v>#N/A</v>
      </c>
    </row>
    <row r="1472" spans="1:4" x14ac:dyDescent="0.25">
      <c r="A1472">
        <v>1417</v>
      </c>
      <c r="B1472">
        <f>B1471+IF('Cleaned Data'!L1418&gt;0,1,0)*IF($B$34="Overall",1,IF('Cleaned Data'!K1418=$B$34,1,0))*(IF('Cleaned Data'!H1418&lt;&gt;"",1,0))</f>
        <v>540</v>
      </c>
      <c r="C1472" t="e">
        <f>INDEX('Cleaned Data'!H:H,MATCH($A1472,$B$56:$B$1919,0))</f>
        <v>#N/A</v>
      </c>
      <c r="D1472" t="e">
        <f>INDEX('Cleaned Data'!L:L,MATCH($A1472,$B$56:$B$1919,0))</f>
        <v>#N/A</v>
      </c>
    </row>
    <row r="1473" spans="1:4" x14ac:dyDescent="0.25">
      <c r="A1473">
        <v>1418</v>
      </c>
      <c r="B1473">
        <f>B1472+IF('Cleaned Data'!L1419&gt;0,1,0)*IF($B$34="Overall",1,IF('Cleaned Data'!K1419=$B$34,1,0))*(IF('Cleaned Data'!H1419&lt;&gt;"",1,0))</f>
        <v>540</v>
      </c>
      <c r="C1473" t="e">
        <f>INDEX('Cleaned Data'!H:H,MATCH($A1473,$B$56:$B$1919,0))</f>
        <v>#N/A</v>
      </c>
      <c r="D1473" t="e">
        <f>INDEX('Cleaned Data'!L:L,MATCH($A1473,$B$56:$B$1919,0))</f>
        <v>#N/A</v>
      </c>
    </row>
    <row r="1474" spans="1:4" x14ac:dyDescent="0.25">
      <c r="A1474">
        <v>1419</v>
      </c>
      <c r="B1474">
        <f>B1473+IF('Cleaned Data'!L1420&gt;0,1,0)*IF($B$34="Overall",1,IF('Cleaned Data'!K1420=$B$34,1,0))*(IF('Cleaned Data'!H1420&lt;&gt;"",1,0))</f>
        <v>540</v>
      </c>
      <c r="C1474" t="e">
        <f>INDEX('Cleaned Data'!H:H,MATCH($A1474,$B$56:$B$1919,0))</f>
        <v>#N/A</v>
      </c>
      <c r="D1474" t="e">
        <f>INDEX('Cleaned Data'!L:L,MATCH($A1474,$B$56:$B$1919,0))</f>
        <v>#N/A</v>
      </c>
    </row>
    <row r="1475" spans="1:4" x14ac:dyDescent="0.25">
      <c r="A1475">
        <v>1420</v>
      </c>
      <c r="B1475">
        <f>B1474+IF('Cleaned Data'!L1421&gt;0,1,0)*IF($B$34="Overall",1,IF('Cleaned Data'!K1421=$B$34,1,0))*(IF('Cleaned Data'!H1421&lt;&gt;"",1,0))</f>
        <v>540</v>
      </c>
      <c r="C1475" t="e">
        <f>INDEX('Cleaned Data'!H:H,MATCH($A1475,$B$56:$B$1919,0))</f>
        <v>#N/A</v>
      </c>
      <c r="D1475" t="e">
        <f>INDEX('Cleaned Data'!L:L,MATCH($A1475,$B$56:$B$1919,0))</f>
        <v>#N/A</v>
      </c>
    </row>
    <row r="1476" spans="1:4" x14ac:dyDescent="0.25">
      <c r="A1476">
        <v>1421</v>
      </c>
      <c r="B1476">
        <f>B1475+IF('Cleaned Data'!L1422&gt;0,1,0)*IF($B$34="Overall",1,IF('Cleaned Data'!K1422=$B$34,1,0))*(IF('Cleaned Data'!H1422&lt;&gt;"",1,0))</f>
        <v>540</v>
      </c>
      <c r="C1476" t="e">
        <f>INDEX('Cleaned Data'!H:H,MATCH($A1476,$B$56:$B$1919,0))</f>
        <v>#N/A</v>
      </c>
      <c r="D1476" t="e">
        <f>INDEX('Cleaned Data'!L:L,MATCH($A1476,$B$56:$B$1919,0))</f>
        <v>#N/A</v>
      </c>
    </row>
    <row r="1477" spans="1:4" x14ac:dyDescent="0.25">
      <c r="A1477">
        <v>1422</v>
      </c>
      <c r="B1477">
        <f>B1476+IF('Cleaned Data'!L1423&gt;0,1,0)*IF($B$34="Overall",1,IF('Cleaned Data'!K1423=$B$34,1,0))*(IF('Cleaned Data'!H1423&lt;&gt;"",1,0))</f>
        <v>540</v>
      </c>
      <c r="C1477" t="e">
        <f>INDEX('Cleaned Data'!H:H,MATCH($A1477,$B$56:$B$1919,0))</f>
        <v>#N/A</v>
      </c>
      <c r="D1477" t="e">
        <f>INDEX('Cleaned Data'!L:L,MATCH($A1477,$B$56:$B$1919,0))</f>
        <v>#N/A</v>
      </c>
    </row>
    <row r="1478" spans="1:4" x14ac:dyDescent="0.25">
      <c r="A1478">
        <v>1423</v>
      </c>
      <c r="B1478">
        <f>B1477+IF('Cleaned Data'!L1424&gt;0,1,0)*IF($B$34="Overall",1,IF('Cleaned Data'!K1424=$B$34,1,0))*(IF('Cleaned Data'!H1424&lt;&gt;"",1,0))</f>
        <v>540</v>
      </c>
      <c r="C1478" t="e">
        <f>INDEX('Cleaned Data'!H:H,MATCH($A1478,$B$56:$B$1919,0))</f>
        <v>#N/A</v>
      </c>
      <c r="D1478" t="e">
        <f>INDEX('Cleaned Data'!L:L,MATCH($A1478,$B$56:$B$1919,0))</f>
        <v>#N/A</v>
      </c>
    </row>
    <row r="1479" spans="1:4" x14ac:dyDescent="0.25">
      <c r="A1479">
        <v>1424</v>
      </c>
      <c r="B1479">
        <f>B1478+IF('Cleaned Data'!L1425&gt;0,1,0)*IF($B$34="Overall",1,IF('Cleaned Data'!K1425=$B$34,1,0))*(IF('Cleaned Data'!H1425&lt;&gt;"",1,0))</f>
        <v>540</v>
      </c>
      <c r="C1479" t="e">
        <f>INDEX('Cleaned Data'!H:H,MATCH($A1479,$B$56:$B$1919,0))</f>
        <v>#N/A</v>
      </c>
      <c r="D1479" t="e">
        <f>INDEX('Cleaned Data'!L:L,MATCH($A1479,$B$56:$B$1919,0))</f>
        <v>#N/A</v>
      </c>
    </row>
    <row r="1480" spans="1:4" x14ac:dyDescent="0.25">
      <c r="A1480">
        <v>1425</v>
      </c>
      <c r="B1480">
        <f>B1479+IF('Cleaned Data'!L1426&gt;0,1,0)*IF($B$34="Overall",1,IF('Cleaned Data'!K1426=$B$34,1,0))*(IF('Cleaned Data'!H1426&lt;&gt;"",1,0))</f>
        <v>540</v>
      </c>
      <c r="C1480" t="e">
        <f>INDEX('Cleaned Data'!H:H,MATCH($A1480,$B$56:$B$1919,0))</f>
        <v>#N/A</v>
      </c>
      <c r="D1480" t="e">
        <f>INDEX('Cleaned Data'!L:L,MATCH($A1480,$B$56:$B$1919,0))</f>
        <v>#N/A</v>
      </c>
    </row>
    <row r="1481" spans="1:4" x14ac:dyDescent="0.25">
      <c r="A1481">
        <v>1426</v>
      </c>
      <c r="B1481">
        <f>B1480+IF('Cleaned Data'!L1427&gt;0,1,0)*IF($B$34="Overall",1,IF('Cleaned Data'!K1427=$B$34,1,0))*(IF('Cleaned Data'!H1427&lt;&gt;"",1,0))</f>
        <v>540</v>
      </c>
      <c r="C1481" t="e">
        <f>INDEX('Cleaned Data'!H:H,MATCH($A1481,$B$56:$B$1919,0))</f>
        <v>#N/A</v>
      </c>
      <c r="D1481" t="e">
        <f>INDEX('Cleaned Data'!L:L,MATCH($A1481,$B$56:$B$1919,0))</f>
        <v>#N/A</v>
      </c>
    </row>
    <row r="1482" spans="1:4" x14ac:dyDescent="0.25">
      <c r="A1482">
        <v>1427</v>
      </c>
      <c r="B1482">
        <f>B1481+IF('Cleaned Data'!L1428&gt;0,1,0)*IF($B$34="Overall",1,IF('Cleaned Data'!K1428=$B$34,1,0))*(IF('Cleaned Data'!H1428&lt;&gt;"",1,0))</f>
        <v>540</v>
      </c>
      <c r="C1482" t="e">
        <f>INDEX('Cleaned Data'!H:H,MATCH($A1482,$B$56:$B$1919,0))</f>
        <v>#N/A</v>
      </c>
      <c r="D1482" t="e">
        <f>INDEX('Cleaned Data'!L:L,MATCH($A1482,$B$56:$B$1919,0))</f>
        <v>#N/A</v>
      </c>
    </row>
    <row r="1483" spans="1:4" x14ac:dyDescent="0.25">
      <c r="A1483">
        <v>1428</v>
      </c>
      <c r="B1483">
        <f>B1482+IF('Cleaned Data'!L1429&gt;0,1,0)*IF($B$34="Overall",1,IF('Cleaned Data'!K1429=$B$34,1,0))*(IF('Cleaned Data'!H1429&lt;&gt;"",1,0))</f>
        <v>540</v>
      </c>
      <c r="C1483" t="e">
        <f>INDEX('Cleaned Data'!H:H,MATCH($A1483,$B$56:$B$1919,0))</f>
        <v>#N/A</v>
      </c>
      <c r="D1483" t="e">
        <f>INDEX('Cleaned Data'!L:L,MATCH($A1483,$B$56:$B$1919,0))</f>
        <v>#N/A</v>
      </c>
    </row>
    <row r="1484" spans="1:4" x14ac:dyDescent="0.25">
      <c r="A1484">
        <v>1429</v>
      </c>
      <c r="B1484">
        <f>B1483+IF('Cleaned Data'!L1430&gt;0,1,0)*IF($B$34="Overall",1,IF('Cleaned Data'!K1430=$B$34,1,0))*(IF('Cleaned Data'!H1430&lt;&gt;"",1,0))</f>
        <v>540</v>
      </c>
      <c r="C1484" t="e">
        <f>INDEX('Cleaned Data'!H:H,MATCH($A1484,$B$56:$B$1919,0))</f>
        <v>#N/A</v>
      </c>
      <c r="D1484" t="e">
        <f>INDEX('Cleaned Data'!L:L,MATCH($A1484,$B$56:$B$1919,0))</f>
        <v>#N/A</v>
      </c>
    </row>
    <row r="1485" spans="1:4" x14ac:dyDescent="0.25">
      <c r="A1485">
        <v>1430</v>
      </c>
      <c r="B1485">
        <f>B1484+IF('Cleaned Data'!L1431&gt;0,1,0)*IF($B$34="Overall",1,IF('Cleaned Data'!K1431=$B$34,1,0))*(IF('Cleaned Data'!H1431&lt;&gt;"",1,0))</f>
        <v>540</v>
      </c>
      <c r="C1485" t="e">
        <f>INDEX('Cleaned Data'!H:H,MATCH($A1485,$B$56:$B$1919,0))</f>
        <v>#N/A</v>
      </c>
      <c r="D1485" t="e">
        <f>INDEX('Cleaned Data'!L:L,MATCH($A1485,$B$56:$B$1919,0))</f>
        <v>#N/A</v>
      </c>
    </row>
    <row r="1486" spans="1:4" x14ac:dyDescent="0.25">
      <c r="A1486">
        <v>1431</v>
      </c>
      <c r="B1486">
        <f>B1485+IF('Cleaned Data'!L1432&gt;0,1,0)*IF($B$34="Overall",1,IF('Cleaned Data'!K1432=$B$34,1,0))*(IF('Cleaned Data'!H1432&lt;&gt;"",1,0))</f>
        <v>540</v>
      </c>
      <c r="C1486" t="e">
        <f>INDEX('Cleaned Data'!H:H,MATCH($A1486,$B$56:$B$1919,0))</f>
        <v>#N/A</v>
      </c>
      <c r="D1486" t="e">
        <f>INDEX('Cleaned Data'!L:L,MATCH($A1486,$B$56:$B$1919,0))</f>
        <v>#N/A</v>
      </c>
    </row>
    <row r="1487" spans="1:4" x14ac:dyDescent="0.25">
      <c r="A1487">
        <v>1432</v>
      </c>
      <c r="B1487">
        <f>B1486+IF('Cleaned Data'!L1433&gt;0,1,0)*IF($B$34="Overall",1,IF('Cleaned Data'!K1433=$B$34,1,0))*(IF('Cleaned Data'!H1433&lt;&gt;"",1,0))</f>
        <v>540</v>
      </c>
      <c r="C1487" t="e">
        <f>INDEX('Cleaned Data'!H:H,MATCH($A1487,$B$56:$B$1919,0))</f>
        <v>#N/A</v>
      </c>
      <c r="D1487" t="e">
        <f>INDEX('Cleaned Data'!L:L,MATCH($A1487,$B$56:$B$1919,0))</f>
        <v>#N/A</v>
      </c>
    </row>
    <row r="1488" spans="1:4" x14ac:dyDescent="0.25">
      <c r="A1488">
        <v>1433</v>
      </c>
      <c r="B1488">
        <f>B1487+IF('Cleaned Data'!L1434&gt;0,1,0)*IF($B$34="Overall",1,IF('Cleaned Data'!K1434=$B$34,1,0))*(IF('Cleaned Data'!H1434&lt;&gt;"",1,0))</f>
        <v>540</v>
      </c>
      <c r="C1488" t="e">
        <f>INDEX('Cleaned Data'!H:H,MATCH($A1488,$B$56:$B$1919,0))</f>
        <v>#N/A</v>
      </c>
      <c r="D1488" t="e">
        <f>INDEX('Cleaned Data'!L:L,MATCH($A1488,$B$56:$B$1919,0))</f>
        <v>#N/A</v>
      </c>
    </row>
    <row r="1489" spans="1:4" x14ac:dyDescent="0.25">
      <c r="A1489">
        <v>1434</v>
      </c>
      <c r="B1489">
        <f>B1488+IF('Cleaned Data'!L1435&gt;0,1,0)*IF($B$34="Overall",1,IF('Cleaned Data'!K1435=$B$34,1,0))*(IF('Cleaned Data'!H1435&lt;&gt;"",1,0))</f>
        <v>540</v>
      </c>
      <c r="C1489" t="e">
        <f>INDEX('Cleaned Data'!H:H,MATCH($A1489,$B$56:$B$1919,0))</f>
        <v>#N/A</v>
      </c>
      <c r="D1489" t="e">
        <f>INDEX('Cleaned Data'!L:L,MATCH($A1489,$B$56:$B$1919,0))</f>
        <v>#N/A</v>
      </c>
    </row>
    <row r="1490" spans="1:4" x14ac:dyDescent="0.25">
      <c r="A1490">
        <v>1435</v>
      </c>
      <c r="B1490">
        <f>B1489+IF('Cleaned Data'!L1436&gt;0,1,0)*IF($B$34="Overall",1,IF('Cleaned Data'!K1436=$B$34,1,0))*(IF('Cleaned Data'!H1436&lt;&gt;"",1,0))</f>
        <v>540</v>
      </c>
      <c r="C1490" t="e">
        <f>INDEX('Cleaned Data'!H:H,MATCH($A1490,$B$56:$B$1919,0))</f>
        <v>#N/A</v>
      </c>
      <c r="D1490" t="e">
        <f>INDEX('Cleaned Data'!L:L,MATCH($A1490,$B$56:$B$1919,0))</f>
        <v>#N/A</v>
      </c>
    </row>
    <row r="1491" spans="1:4" x14ac:dyDescent="0.25">
      <c r="A1491">
        <v>1436</v>
      </c>
      <c r="B1491">
        <f>B1490+IF('Cleaned Data'!L1437&gt;0,1,0)*IF($B$34="Overall",1,IF('Cleaned Data'!K1437=$B$34,1,0))*(IF('Cleaned Data'!H1437&lt;&gt;"",1,0))</f>
        <v>540</v>
      </c>
      <c r="C1491" t="e">
        <f>INDEX('Cleaned Data'!H:H,MATCH($A1491,$B$56:$B$1919,0))</f>
        <v>#N/A</v>
      </c>
      <c r="D1491" t="e">
        <f>INDEX('Cleaned Data'!L:L,MATCH($A1491,$B$56:$B$1919,0))</f>
        <v>#N/A</v>
      </c>
    </row>
    <row r="1492" spans="1:4" x14ac:dyDescent="0.25">
      <c r="A1492">
        <v>1437</v>
      </c>
      <c r="B1492">
        <f>B1491+IF('Cleaned Data'!L1438&gt;0,1,0)*IF($B$34="Overall",1,IF('Cleaned Data'!K1438=$B$34,1,0))*(IF('Cleaned Data'!H1438&lt;&gt;"",1,0))</f>
        <v>540</v>
      </c>
      <c r="C1492" t="e">
        <f>INDEX('Cleaned Data'!H:H,MATCH($A1492,$B$56:$B$1919,0))</f>
        <v>#N/A</v>
      </c>
      <c r="D1492" t="e">
        <f>INDEX('Cleaned Data'!L:L,MATCH($A1492,$B$56:$B$1919,0))</f>
        <v>#N/A</v>
      </c>
    </row>
    <row r="1493" spans="1:4" x14ac:dyDescent="0.25">
      <c r="A1493">
        <v>1438</v>
      </c>
      <c r="B1493">
        <f>B1492+IF('Cleaned Data'!L1439&gt;0,1,0)*IF($B$34="Overall",1,IF('Cleaned Data'!K1439=$B$34,1,0))*(IF('Cleaned Data'!H1439&lt;&gt;"",1,0))</f>
        <v>540</v>
      </c>
      <c r="C1493" t="e">
        <f>INDEX('Cleaned Data'!H:H,MATCH($A1493,$B$56:$B$1919,0))</f>
        <v>#N/A</v>
      </c>
      <c r="D1493" t="e">
        <f>INDEX('Cleaned Data'!L:L,MATCH($A1493,$B$56:$B$1919,0))</f>
        <v>#N/A</v>
      </c>
    </row>
    <row r="1494" spans="1:4" x14ac:dyDescent="0.25">
      <c r="A1494">
        <v>1439</v>
      </c>
      <c r="B1494">
        <f>B1493+IF('Cleaned Data'!L1440&gt;0,1,0)*IF($B$34="Overall",1,IF('Cleaned Data'!K1440=$B$34,1,0))*(IF('Cleaned Data'!H1440&lt;&gt;"",1,0))</f>
        <v>540</v>
      </c>
      <c r="C1494" t="e">
        <f>INDEX('Cleaned Data'!H:H,MATCH($A1494,$B$56:$B$1919,0))</f>
        <v>#N/A</v>
      </c>
      <c r="D1494" t="e">
        <f>INDEX('Cleaned Data'!L:L,MATCH($A1494,$B$56:$B$1919,0))</f>
        <v>#N/A</v>
      </c>
    </row>
    <row r="1495" spans="1:4" x14ac:dyDescent="0.25">
      <c r="A1495">
        <v>1440</v>
      </c>
      <c r="B1495">
        <f>B1494+IF('Cleaned Data'!L1441&gt;0,1,0)*IF($B$34="Overall",1,IF('Cleaned Data'!K1441=$B$34,1,0))*(IF('Cleaned Data'!H1441&lt;&gt;"",1,0))</f>
        <v>540</v>
      </c>
      <c r="C1495" t="e">
        <f>INDEX('Cleaned Data'!H:H,MATCH($A1495,$B$56:$B$1919,0))</f>
        <v>#N/A</v>
      </c>
      <c r="D1495" t="e">
        <f>INDEX('Cleaned Data'!L:L,MATCH($A1495,$B$56:$B$1919,0))</f>
        <v>#N/A</v>
      </c>
    </row>
    <row r="1496" spans="1:4" x14ac:dyDescent="0.25">
      <c r="A1496">
        <v>1441</v>
      </c>
      <c r="B1496">
        <f>B1495+IF('Cleaned Data'!L1442&gt;0,1,0)*IF($B$34="Overall",1,IF('Cleaned Data'!K1442=$B$34,1,0))*(IF('Cleaned Data'!H1442&lt;&gt;"",1,0))</f>
        <v>540</v>
      </c>
      <c r="C1496" t="e">
        <f>INDEX('Cleaned Data'!H:H,MATCH($A1496,$B$56:$B$1919,0))</f>
        <v>#N/A</v>
      </c>
      <c r="D1496" t="e">
        <f>INDEX('Cleaned Data'!L:L,MATCH($A1496,$B$56:$B$1919,0))</f>
        <v>#N/A</v>
      </c>
    </row>
    <row r="1497" spans="1:4" x14ac:dyDescent="0.25">
      <c r="A1497">
        <v>1442</v>
      </c>
      <c r="B1497">
        <f>B1496+IF('Cleaned Data'!L1443&gt;0,1,0)*IF($B$34="Overall",1,IF('Cleaned Data'!K1443=$B$34,1,0))*(IF('Cleaned Data'!H1443&lt;&gt;"",1,0))</f>
        <v>540</v>
      </c>
      <c r="C1497" t="e">
        <f>INDEX('Cleaned Data'!H:H,MATCH($A1497,$B$56:$B$1919,0))</f>
        <v>#N/A</v>
      </c>
      <c r="D1497" t="e">
        <f>INDEX('Cleaned Data'!L:L,MATCH($A1497,$B$56:$B$1919,0))</f>
        <v>#N/A</v>
      </c>
    </row>
    <row r="1498" spans="1:4" x14ac:dyDescent="0.25">
      <c r="A1498">
        <v>1443</v>
      </c>
      <c r="B1498">
        <f>B1497+IF('Cleaned Data'!L1444&gt;0,1,0)*IF($B$34="Overall",1,IF('Cleaned Data'!K1444=$B$34,1,0))*(IF('Cleaned Data'!H1444&lt;&gt;"",1,0))</f>
        <v>540</v>
      </c>
      <c r="C1498" t="e">
        <f>INDEX('Cleaned Data'!H:H,MATCH($A1498,$B$56:$B$1919,0))</f>
        <v>#N/A</v>
      </c>
      <c r="D1498" t="e">
        <f>INDEX('Cleaned Data'!L:L,MATCH($A1498,$B$56:$B$1919,0))</f>
        <v>#N/A</v>
      </c>
    </row>
    <row r="1499" spans="1:4" x14ac:dyDescent="0.25">
      <c r="A1499">
        <v>1444</v>
      </c>
      <c r="B1499">
        <f>B1498+IF('Cleaned Data'!L1445&gt;0,1,0)*IF($B$34="Overall",1,IF('Cleaned Data'!K1445=$B$34,1,0))*(IF('Cleaned Data'!H1445&lt;&gt;"",1,0))</f>
        <v>540</v>
      </c>
      <c r="C1499" t="e">
        <f>INDEX('Cleaned Data'!H:H,MATCH($A1499,$B$56:$B$1919,0))</f>
        <v>#N/A</v>
      </c>
      <c r="D1499" t="e">
        <f>INDEX('Cleaned Data'!L:L,MATCH($A1499,$B$56:$B$1919,0))</f>
        <v>#N/A</v>
      </c>
    </row>
    <row r="1500" spans="1:4" x14ac:dyDescent="0.25">
      <c r="A1500">
        <v>1445</v>
      </c>
      <c r="B1500">
        <f>B1499+IF('Cleaned Data'!L1446&gt;0,1,0)*IF($B$34="Overall",1,IF('Cleaned Data'!K1446=$B$34,1,0))*(IF('Cleaned Data'!H1446&lt;&gt;"",1,0))</f>
        <v>540</v>
      </c>
      <c r="C1500" t="e">
        <f>INDEX('Cleaned Data'!H:H,MATCH($A1500,$B$56:$B$1919,0))</f>
        <v>#N/A</v>
      </c>
      <c r="D1500" t="e">
        <f>INDEX('Cleaned Data'!L:L,MATCH($A1500,$B$56:$B$1919,0))</f>
        <v>#N/A</v>
      </c>
    </row>
    <row r="1501" spans="1:4" x14ac:dyDescent="0.25">
      <c r="A1501">
        <v>1446</v>
      </c>
      <c r="B1501">
        <f>B1500+IF('Cleaned Data'!L1447&gt;0,1,0)*IF($B$34="Overall",1,IF('Cleaned Data'!K1447=$B$34,1,0))*(IF('Cleaned Data'!H1447&lt;&gt;"",1,0))</f>
        <v>540</v>
      </c>
      <c r="C1501" t="e">
        <f>INDEX('Cleaned Data'!H:H,MATCH($A1501,$B$56:$B$1919,0))</f>
        <v>#N/A</v>
      </c>
      <c r="D1501" t="e">
        <f>INDEX('Cleaned Data'!L:L,MATCH($A1501,$B$56:$B$1919,0))</f>
        <v>#N/A</v>
      </c>
    </row>
    <row r="1502" spans="1:4" x14ac:dyDescent="0.25">
      <c r="A1502">
        <v>1447</v>
      </c>
      <c r="B1502">
        <f>B1501+IF('Cleaned Data'!L1448&gt;0,1,0)*IF($B$34="Overall",1,IF('Cleaned Data'!K1448=$B$34,1,0))*(IF('Cleaned Data'!H1448&lt;&gt;"",1,0))</f>
        <v>540</v>
      </c>
      <c r="C1502" t="e">
        <f>INDEX('Cleaned Data'!H:H,MATCH($A1502,$B$56:$B$1919,0))</f>
        <v>#N/A</v>
      </c>
      <c r="D1502" t="e">
        <f>INDEX('Cleaned Data'!L:L,MATCH($A1502,$B$56:$B$1919,0))</f>
        <v>#N/A</v>
      </c>
    </row>
    <row r="1503" spans="1:4" x14ac:dyDescent="0.25">
      <c r="A1503">
        <v>1448</v>
      </c>
      <c r="B1503">
        <f>B1502+IF('Cleaned Data'!L1449&gt;0,1,0)*IF($B$34="Overall",1,IF('Cleaned Data'!K1449=$B$34,1,0))*(IF('Cleaned Data'!H1449&lt;&gt;"",1,0))</f>
        <v>540</v>
      </c>
      <c r="C1503" t="e">
        <f>INDEX('Cleaned Data'!H:H,MATCH($A1503,$B$56:$B$1919,0))</f>
        <v>#N/A</v>
      </c>
      <c r="D1503" t="e">
        <f>INDEX('Cleaned Data'!L:L,MATCH($A1503,$B$56:$B$1919,0))</f>
        <v>#N/A</v>
      </c>
    </row>
    <row r="1504" spans="1:4" x14ac:dyDescent="0.25">
      <c r="A1504">
        <v>1449</v>
      </c>
      <c r="B1504">
        <f>B1503+IF('Cleaned Data'!L1450&gt;0,1,0)*IF($B$34="Overall",1,IF('Cleaned Data'!K1450=$B$34,1,0))*(IF('Cleaned Data'!H1450&lt;&gt;"",1,0))</f>
        <v>540</v>
      </c>
      <c r="C1504" t="e">
        <f>INDEX('Cleaned Data'!H:H,MATCH($A1504,$B$56:$B$1919,0))</f>
        <v>#N/A</v>
      </c>
      <c r="D1504" t="e">
        <f>INDEX('Cleaned Data'!L:L,MATCH($A1504,$B$56:$B$1919,0))</f>
        <v>#N/A</v>
      </c>
    </row>
    <row r="1505" spans="1:4" x14ac:dyDescent="0.25">
      <c r="A1505">
        <v>1450</v>
      </c>
      <c r="B1505">
        <f>B1504+IF('Cleaned Data'!L1451&gt;0,1,0)*IF($B$34="Overall",1,IF('Cleaned Data'!K1451=$B$34,1,0))*(IF('Cleaned Data'!H1451&lt;&gt;"",1,0))</f>
        <v>540</v>
      </c>
      <c r="C1505" t="e">
        <f>INDEX('Cleaned Data'!H:H,MATCH($A1505,$B$56:$B$1919,0))</f>
        <v>#N/A</v>
      </c>
      <c r="D1505" t="e">
        <f>INDEX('Cleaned Data'!L:L,MATCH($A1505,$B$56:$B$1919,0))</f>
        <v>#N/A</v>
      </c>
    </row>
    <row r="1506" spans="1:4" x14ac:dyDescent="0.25">
      <c r="A1506">
        <v>1451</v>
      </c>
      <c r="B1506">
        <f>B1505+IF('Cleaned Data'!L1452&gt;0,1,0)*IF($B$34="Overall",1,IF('Cleaned Data'!K1452=$B$34,1,0))*(IF('Cleaned Data'!H1452&lt;&gt;"",1,0))</f>
        <v>540</v>
      </c>
      <c r="C1506" t="e">
        <f>INDEX('Cleaned Data'!H:H,MATCH($A1506,$B$56:$B$1919,0))</f>
        <v>#N/A</v>
      </c>
      <c r="D1506" t="e">
        <f>INDEX('Cleaned Data'!L:L,MATCH($A1506,$B$56:$B$1919,0))</f>
        <v>#N/A</v>
      </c>
    </row>
    <row r="1507" spans="1:4" x14ac:dyDescent="0.25">
      <c r="A1507">
        <v>1452</v>
      </c>
      <c r="B1507">
        <f>B1506+IF('Cleaned Data'!L1453&gt;0,1,0)*IF($B$34="Overall",1,IF('Cleaned Data'!K1453=$B$34,1,0))*(IF('Cleaned Data'!H1453&lt;&gt;"",1,0))</f>
        <v>540</v>
      </c>
      <c r="C1507" t="e">
        <f>INDEX('Cleaned Data'!H:H,MATCH($A1507,$B$56:$B$1919,0))</f>
        <v>#N/A</v>
      </c>
      <c r="D1507" t="e">
        <f>INDEX('Cleaned Data'!L:L,MATCH($A1507,$B$56:$B$1919,0))</f>
        <v>#N/A</v>
      </c>
    </row>
    <row r="1508" spans="1:4" x14ac:dyDescent="0.25">
      <c r="A1508">
        <v>1453</v>
      </c>
      <c r="B1508">
        <f>B1507+IF('Cleaned Data'!L1454&gt;0,1,0)*IF($B$34="Overall",1,IF('Cleaned Data'!K1454=$B$34,1,0))*(IF('Cleaned Data'!H1454&lt;&gt;"",1,0))</f>
        <v>540</v>
      </c>
      <c r="C1508" t="e">
        <f>INDEX('Cleaned Data'!H:H,MATCH($A1508,$B$56:$B$1919,0))</f>
        <v>#N/A</v>
      </c>
      <c r="D1508" t="e">
        <f>INDEX('Cleaned Data'!L:L,MATCH($A1508,$B$56:$B$1919,0))</f>
        <v>#N/A</v>
      </c>
    </row>
    <row r="1509" spans="1:4" x14ac:dyDescent="0.25">
      <c r="A1509">
        <v>1454</v>
      </c>
      <c r="B1509">
        <f>B1508+IF('Cleaned Data'!L1455&gt;0,1,0)*IF($B$34="Overall",1,IF('Cleaned Data'!K1455=$B$34,1,0))*(IF('Cleaned Data'!H1455&lt;&gt;"",1,0))</f>
        <v>540</v>
      </c>
      <c r="C1509" t="e">
        <f>INDEX('Cleaned Data'!H:H,MATCH($A1509,$B$56:$B$1919,0))</f>
        <v>#N/A</v>
      </c>
      <c r="D1509" t="e">
        <f>INDEX('Cleaned Data'!L:L,MATCH($A1509,$B$56:$B$1919,0))</f>
        <v>#N/A</v>
      </c>
    </row>
    <row r="1510" spans="1:4" x14ac:dyDescent="0.25">
      <c r="A1510">
        <v>1455</v>
      </c>
      <c r="B1510">
        <f>B1509+IF('Cleaned Data'!L1456&gt;0,1,0)*IF($B$34="Overall",1,IF('Cleaned Data'!K1456=$B$34,1,0))*(IF('Cleaned Data'!H1456&lt;&gt;"",1,0))</f>
        <v>540</v>
      </c>
      <c r="C1510" t="e">
        <f>INDEX('Cleaned Data'!H:H,MATCH($A1510,$B$56:$B$1919,0))</f>
        <v>#N/A</v>
      </c>
      <c r="D1510" t="e">
        <f>INDEX('Cleaned Data'!L:L,MATCH($A1510,$B$56:$B$1919,0))</f>
        <v>#N/A</v>
      </c>
    </row>
    <row r="1511" spans="1:4" x14ac:dyDescent="0.25">
      <c r="A1511">
        <v>1456</v>
      </c>
      <c r="B1511">
        <f>B1510+IF('Cleaned Data'!L1457&gt;0,1,0)*IF($B$34="Overall",1,IF('Cleaned Data'!K1457=$B$34,1,0))*(IF('Cleaned Data'!H1457&lt;&gt;"",1,0))</f>
        <v>540</v>
      </c>
      <c r="C1511" t="e">
        <f>INDEX('Cleaned Data'!H:H,MATCH($A1511,$B$56:$B$1919,0))</f>
        <v>#N/A</v>
      </c>
      <c r="D1511" t="e">
        <f>INDEX('Cleaned Data'!L:L,MATCH($A1511,$B$56:$B$1919,0))</f>
        <v>#N/A</v>
      </c>
    </row>
    <row r="1512" spans="1:4" x14ac:dyDescent="0.25">
      <c r="A1512">
        <v>1457</v>
      </c>
      <c r="B1512">
        <f>B1511+IF('Cleaned Data'!L1458&gt;0,1,0)*IF($B$34="Overall",1,IF('Cleaned Data'!K1458=$B$34,1,0))*(IF('Cleaned Data'!H1458&lt;&gt;"",1,0))</f>
        <v>540</v>
      </c>
      <c r="C1512" t="e">
        <f>INDEX('Cleaned Data'!H:H,MATCH($A1512,$B$56:$B$1919,0))</f>
        <v>#N/A</v>
      </c>
      <c r="D1512" t="e">
        <f>INDEX('Cleaned Data'!L:L,MATCH($A1512,$B$56:$B$1919,0))</f>
        <v>#N/A</v>
      </c>
    </row>
    <row r="1513" spans="1:4" x14ac:dyDescent="0.25">
      <c r="A1513">
        <v>1458</v>
      </c>
      <c r="B1513">
        <f>B1512+IF('Cleaned Data'!L1459&gt;0,1,0)*IF($B$34="Overall",1,IF('Cleaned Data'!K1459=$B$34,1,0))*(IF('Cleaned Data'!H1459&lt;&gt;"",1,0))</f>
        <v>540</v>
      </c>
      <c r="C1513" t="e">
        <f>INDEX('Cleaned Data'!H:H,MATCH($A1513,$B$56:$B$1919,0))</f>
        <v>#N/A</v>
      </c>
      <c r="D1513" t="e">
        <f>INDEX('Cleaned Data'!L:L,MATCH($A1513,$B$56:$B$1919,0))</f>
        <v>#N/A</v>
      </c>
    </row>
    <row r="1514" spans="1:4" x14ac:dyDescent="0.25">
      <c r="A1514">
        <v>1459</v>
      </c>
      <c r="B1514">
        <f>B1513+IF('Cleaned Data'!L1460&gt;0,1,0)*IF($B$34="Overall",1,IF('Cleaned Data'!K1460=$B$34,1,0))*(IF('Cleaned Data'!H1460&lt;&gt;"",1,0))</f>
        <v>540</v>
      </c>
      <c r="C1514" t="e">
        <f>INDEX('Cleaned Data'!H:H,MATCH($A1514,$B$56:$B$1919,0))</f>
        <v>#N/A</v>
      </c>
      <c r="D1514" t="e">
        <f>INDEX('Cleaned Data'!L:L,MATCH($A1514,$B$56:$B$1919,0))</f>
        <v>#N/A</v>
      </c>
    </row>
    <row r="1515" spans="1:4" x14ac:dyDescent="0.25">
      <c r="A1515">
        <v>1460</v>
      </c>
      <c r="B1515">
        <f>B1514+IF('Cleaned Data'!L1461&gt;0,1,0)*IF($B$34="Overall",1,IF('Cleaned Data'!K1461=$B$34,1,0))*(IF('Cleaned Data'!H1461&lt;&gt;"",1,0))</f>
        <v>540</v>
      </c>
      <c r="C1515" t="e">
        <f>INDEX('Cleaned Data'!H:H,MATCH($A1515,$B$56:$B$1919,0))</f>
        <v>#N/A</v>
      </c>
      <c r="D1515" t="e">
        <f>INDEX('Cleaned Data'!L:L,MATCH($A1515,$B$56:$B$1919,0))</f>
        <v>#N/A</v>
      </c>
    </row>
    <row r="1516" spans="1:4" x14ac:dyDescent="0.25">
      <c r="A1516">
        <v>1461</v>
      </c>
      <c r="B1516">
        <f>B1515+IF('Cleaned Data'!L1462&gt;0,1,0)*IF($B$34="Overall",1,IF('Cleaned Data'!K1462=$B$34,1,0))*(IF('Cleaned Data'!H1462&lt;&gt;"",1,0))</f>
        <v>540</v>
      </c>
      <c r="C1516" t="e">
        <f>INDEX('Cleaned Data'!H:H,MATCH($A1516,$B$56:$B$1919,0))</f>
        <v>#N/A</v>
      </c>
      <c r="D1516" t="e">
        <f>INDEX('Cleaned Data'!L:L,MATCH($A1516,$B$56:$B$1919,0))</f>
        <v>#N/A</v>
      </c>
    </row>
    <row r="1517" spans="1:4" x14ac:dyDescent="0.25">
      <c r="A1517">
        <v>1462</v>
      </c>
      <c r="B1517">
        <f>B1516+IF('Cleaned Data'!L1463&gt;0,1,0)*IF($B$34="Overall",1,IF('Cleaned Data'!K1463=$B$34,1,0))*(IF('Cleaned Data'!H1463&lt;&gt;"",1,0))</f>
        <v>540</v>
      </c>
      <c r="C1517" t="e">
        <f>INDEX('Cleaned Data'!H:H,MATCH($A1517,$B$56:$B$1919,0))</f>
        <v>#N/A</v>
      </c>
      <c r="D1517" t="e">
        <f>INDEX('Cleaned Data'!L:L,MATCH($A1517,$B$56:$B$1919,0))</f>
        <v>#N/A</v>
      </c>
    </row>
    <row r="1518" spans="1:4" x14ac:dyDescent="0.25">
      <c r="A1518">
        <v>1463</v>
      </c>
      <c r="B1518">
        <f>B1517+IF('Cleaned Data'!L1464&gt;0,1,0)*IF($B$34="Overall",1,IF('Cleaned Data'!K1464=$B$34,1,0))*(IF('Cleaned Data'!H1464&lt;&gt;"",1,0))</f>
        <v>540</v>
      </c>
      <c r="C1518" t="e">
        <f>INDEX('Cleaned Data'!H:H,MATCH($A1518,$B$56:$B$1919,0))</f>
        <v>#N/A</v>
      </c>
      <c r="D1518" t="e">
        <f>INDEX('Cleaned Data'!L:L,MATCH($A1518,$B$56:$B$1919,0))</f>
        <v>#N/A</v>
      </c>
    </row>
    <row r="1519" spans="1:4" x14ac:dyDescent="0.25">
      <c r="A1519">
        <v>1464</v>
      </c>
      <c r="B1519">
        <f>B1518+IF('Cleaned Data'!L1465&gt;0,1,0)*IF($B$34="Overall",1,IF('Cleaned Data'!K1465=$B$34,1,0))*(IF('Cleaned Data'!H1465&lt;&gt;"",1,0))</f>
        <v>540</v>
      </c>
      <c r="C1519" t="e">
        <f>INDEX('Cleaned Data'!H:H,MATCH($A1519,$B$56:$B$1919,0))</f>
        <v>#N/A</v>
      </c>
      <c r="D1519" t="e">
        <f>INDEX('Cleaned Data'!L:L,MATCH($A1519,$B$56:$B$1919,0))</f>
        <v>#N/A</v>
      </c>
    </row>
    <row r="1520" spans="1:4" x14ac:dyDescent="0.25">
      <c r="A1520">
        <v>1465</v>
      </c>
      <c r="B1520">
        <f>B1519+IF('Cleaned Data'!L1466&gt;0,1,0)*IF($B$34="Overall",1,IF('Cleaned Data'!K1466=$B$34,1,0))*(IF('Cleaned Data'!H1466&lt;&gt;"",1,0))</f>
        <v>540</v>
      </c>
      <c r="C1520" t="e">
        <f>INDEX('Cleaned Data'!H:H,MATCH($A1520,$B$56:$B$1919,0))</f>
        <v>#N/A</v>
      </c>
      <c r="D1520" t="e">
        <f>INDEX('Cleaned Data'!L:L,MATCH($A1520,$B$56:$B$1919,0))</f>
        <v>#N/A</v>
      </c>
    </row>
    <row r="1521" spans="1:4" x14ac:dyDescent="0.25">
      <c r="A1521">
        <v>1466</v>
      </c>
      <c r="B1521">
        <f>B1520+IF('Cleaned Data'!L1467&gt;0,1,0)*IF($B$34="Overall",1,IF('Cleaned Data'!K1467=$B$34,1,0))*(IF('Cleaned Data'!H1467&lt;&gt;"",1,0))</f>
        <v>540</v>
      </c>
      <c r="C1521" t="e">
        <f>INDEX('Cleaned Data'!H:H,MATCH($A1521,$B$56:$B$1919,0))</f>
        <v>#N/A</v>
      </c>
      <c r="D1521" t="e">
        <f>INDEX('Cleaned Data'!L:L,MATCH($A1521,$B$56:$B$1919,0))</f>
        <v>#N/A</v>
      </c>
    </row>
    <row r="1522" spans="1:4" x14ac:dyDescent="0.25">
      <c r="A1522">
        <v>1467</v>
      </c>
      <c r="B1522">
        <f>B1521+IF('Cleaned Data'!L1468&gt;0,1,0)*IF($B$34="Overall",1,IF('Cleaned Data'!K1468=$B$34,1,0))*(IF('Cleaned Data'!H1468&lt;&gt;"",1,0))</f>
        <v>540</v>
      </c>
      <c r="C1522" t="e">
        <f>INDEX('Cleaned Data'!H:H,MATCH($A1522,$B$56:$B$1919,0))</f>
        <v>#N/A</v>
      </c>
      <c r="D1522" t="e">
        <f>INDEX('Cleaned Data'!L:L,MATCH($A1522,$B$56:$B$1919,0))</f>
        <v>#N/A</v>
      </c>
    </row>
    <row r="1523" spans="1:4" x14ac:dyDescent="0.25">
      <c r="A1523">
        <v>1468</v>
      </c>
      <c r="B1523">
        <f>B1522+IF('Cleaned Data'!L1469&gt;0,1,0)*IF($B$34="Overall",1,IF('Cleaned Data'!K1469=$B$34,1,0))*(IF('Cleaned Data'!H1469&lt;&gt;"",1,0))</f>
        <v>540</v>
      </c>
      <c r="C1523" t="e">
        <f>INDEX('Cleaned Data'!H:H,MATCH($A1523,$B$56:$B$1919,0))</f>
        <v>#N/A</v>
      </c>
      <c r="D1523" t="e">
        <f>INDEX('Cleaned Data'!L:L,MATCH($A1523,$B$56:$B$1919,0))</f>
        <v>#N/A</v>
      </c>
    </row>
    <row r="1524" spans="1:4" x14ac:dyDescent="0.25">
      <c r="A1524">
        <v>1469</v>
      </c>
      <c r="B1524">
        <f>B1523+IF('Cleaned Data'!L1470&gt;0,1,0)*IF($B$34="Overall",1,IF('Cleaned Data'!K1470=$B$34,1,0))*(IF('Cleaned Data'!H1470&lt;&gt;"",1,0))</f>
        <v>540</v>
      </c>
      <c r="C1524" t="e">
        <f>INDEX('Cleaned Data'!H:H,MATCH($A1524,$B$56:$B$1919,0))</f>
        <v>#N/A</v>
      </c>
      <c r="D1524" t="e">
        <f>INDEX('Cleaned Data'!L:L,MATCH($A1524,$B$56:$B$1919,0))</f>
        <v>#N/A</v>
      </c>
    </row>
    <row r="1525" spans="1:4" x14ac:dyDescent="0.25">
      <c r="A1525">
        <v>1470</v>
      </c>
      <c r="B1525">
        <f>B1524+IF('Cleaned Data'!L1471&gt;0,1,0)*IF($B$34="Overall",1,IF('Cleaned Data'!K1471=$B$34,1,0))*(IF('Cleaned Data'!H1471&lt;&gt;"",1,0))</f>
        <v>540</v>
      </c>
      <c r="C1525" t="e">
        <f>INDEX('Cleaned Data'!H:H,MATCH($A1525,$B$56:$B$1919,0))</f>
        <v>#N/A</v>
      </c>
      <c r="D1525" t="e">
        <f>INDEX('Cleaned Data'!L:L,MATCH($A1525,$B$56:$B$1919,0))</f>
        <v>#N/A</v>
      </c>
    </row>
    <row r="1526" spans="1:4" x14ac:dyDescent="0.25">
      <c r="A1526">
        <v>1471</v>
      </c>
      <c r="B1526">
        <f>B1525+IF('Cleaned Data'!L1472&gt;0,1,0)*IF($B$34="Overall",1,IF('Cleaned Data'!K1472=$B$34,1,0))*(IF('Cleaned Data'!H1472&lt;&gt;"",1,0))</f>
        <v>540</v>
      </c>
      <c r="C1526" t="e">
        <f>INDEX('Cleaned Data'!H:H,MATCH($A1526,$B$56:$B$1919,0))</f>
        <v>#N/A</v>
      </c>
      <c r="D1526" t="e">
        <f>INDEX('Cleaned Data'!L:L,MATCH($A1526,$B$56:$B$1919,0))</f>
        <v>#N/A</v>
      </c>
    </row>
    <row r="1527" spans="1:4" x14ac:dyDescent="0.25">
      <c r="A1527">
        <v>1472</v>
      </c>
      <c r="B1527">
        <f>B1526+IF('Cleaned Data'!L1473&gt;0,1,0)*IF($B$34="Overall",1,IF('Cleaned Data'!K1473=$B$34,1,0))*(IF('Cleaned Data'!H1473&lt;&gt;"",1,0))</f>
        <v>540</v>
      </c>
      <c r="C1527" t="e">
        <f>INDEX('Cleaned Data'!H:H,MATCH($A1527,$B$56:$B$1919,0))</f>
        <v>#N/A</v>
      </c>
      <c r="D1527" t="e">
        <f>INDEX('Cleaned Data'!L:L,MATCH($A1527,$B$56:$B$1919,0))</f>
        <v>#N/A</v>
      </c>
    </row>
    <row r="1528" spans="1:4" x14ac:dyDescent="0.25">
      <c r="A1528">
        <v>1473</v>
      </c>
      <c r="B1528">
        <f>B1527+IF('Cleaned Data'!L1474&gt;0,1,0)*IF($B$34="Overall",1,IF('Cleaned Data'!K1474=$B$34,1,0))*(IF('Cleaned Data'!H1474&lt;&gt;"",1,0))</f>
        <v>540</v>
      </c>
      <c r="C1528" t="e">
        <f>INDEX('Cleaned Data'!H:H,MATCH($A1528,$B$56:$B$1919,0))</f>
        <v>#N/A</v>
      </c>
      <c r="D1528" t="e">
        <f>INDEX('Cleaned Data'!L:L,MATCH($A1528,$B$56:$B$1919,0))</f>
        <v>#N/A</v>
      </c>
    </row>
    <row r="1529" spans="1:4" x14ac:dyDescent="0.25">
      <c r="A1529">
        <v>1474</v>
      </c>
      <c r="B1529">
        <f>B1528+IF('Cleaned Data'!L1475&gt;0,1,0)*IF($B$34="Overall",1,IF('Cleaned Data'!K1475=$B$34,1,0))*(IF('Cleaned Data'!H1475&lt;&gt;"",1,0))</f>
        <v>540</v>
      </c>
      <c r="C1529" t="e">
        <f>INDEX('Cleaned Data'!H:H,MATCH($A1529,$B$56:$B$1919,0))</f>
        <v>#N/A</v>
      </c>
      <c r="D1529" t="e">
        <f>INDEX('Cleaned Data'!L:L,MATCH($A1529,$B$56:$B$1919,0))</f>
        <v>#N/A</v>
      </c>
    </row>
    <row r="1530" spans="1:4" x14ac:dyDescent="0.25">
      <c r="A1530">
        <v>1475</v>
      </c>
      <c r="B1530">
        <f>B1529+IF('Cleaned Data'!L1476&gt;0,1,0)*IF($B$34="Overall",1,IF('Cleaned Data'!K1476=$B$34,1,0))*(IF('Cleaned Data'!H1476&lt;&gt;"",1,0))</f>
        <v>540</v>
      </c>
      <c r="C1530" t="e">
        <f>INDEX('Cleaned Data'!H:H,MATCH($A1530,$B$56:$B$1919,0))</f>
        <v>#N/A</v>
      </c>
      <c r="D1530" t="e">
        <f>INDEX('Cleaned Data'!L:L,MATCH($A1530,$B$56:$B$1919,0))</f>
        <v>#N/A</v>
      </c>
    </row>
    <row r="1531" spans="1:4" x14ac:dyDescent="0.25">
      <c r="A1531">
        <v>1476</v>
      </c>
      <c r="B1531">
        <f>B1530+IF('Cleaned Data'!L1477&gt;0,1,0)*IF($B$34="Overall",1,IF('Cleaned Data'!K1477=$B$34,1,0))*(IF('Cleaned Data'!H1477&lt;&gt;"",1,0))</f>
        <v>540</v>
      </c>
      <c r="C1531" t="e">
        <f>INDEX('Cleaned Data'!H:H,MATCH($A1531,$B$56:$B$1919,0))</f>
        <v>#N/A</v>
      </c>
      <c r="D1531" t="e">
        <f>INDEX('Cleaned Data'!L:L,MATCH($A1531,$B$56:$B$1919,0))</f>
        <v>#N/A</v>
      </c>
    </row>
    <row r="1532" spans="1:4" x14ac:dyDescent="0.25">
      <c r="A1532">
        <v>1477</v>
      </c>
      <c r="B1532">
        <f>B1531+IF('Cleaned Data'!L1478&gt;0,1,0)*IF($B$34="Overall",1,IF('Cleaned Data'!K1478=$B$34,1,0))*(IF('Cleaned Data'!H1478&lt;&gt;"",1,0))</f>
        <v>540</v>
      </c>
      <c r="C1532" t="e">
        <f>INDEX('Cleaned Data'!H:H,MATCH($A1532,$B$56:$B$1919,0))</f>
        <v>#N/A</v>
      </c>
      <c r="D1532" t="e">
        <f>INDEX('Cleaned Data'!L:L,MATCH($A1532,$B$56:$B$1919,0))</f>
        <v>#N/A</v>
      </c>
    </row>
    <row r="1533" spans="1:4" x14ac:dyDescent="0.25">
      <c r="A1533">
        <v>1478</v>
      </c>
      <c r="B1533">
        <f>B1532+IF('Cleaned Data'!L1479&gt;0,1,0)*IF($B$34="Overall",1,IF('Cleaned Data'!K1479=$B$34,1,0))*(IF('Cleaned Data'!H1479&lt;&gt;"",1,0))</f>
        <v>540</v>
      </c>
      <c r="C1533" t="e">
        <f>INDEX('Cleaned Data'!H:H,MATCH($A1533,$B$56:$B$1919,0))</f>
        <v>#N/A</v>
      </c>
      <c r="D1533" t="e">
        <f>INDEX('Cleaned Data'!L:L,MATCH($A1533,$B$56:$B$1919,0))</f>
        <v>#N/A</v>
      </c>
    </row>
    <row r="1534" spans="1:4" x14ac:dyDescent="0.25">
      <c r="A1534">
        <v>1479</v>
      </c>
      <c r="B1534">
        <f>B1533+IF('Cleaned Data'!L1480&gt;0,1,0)*IF($B$34="Overall",1,IF('Cleaned Data'!K1480=$B$34,1,0))*(IF('Cleaned Data'!H1480&lt;&gt;"",1,0))</f>
        <v>540</v>
      </c>
      <c r="C1534" t="e">
        <f>INDEX('Cleaned Data'!H:H,MATCH($A1534,$B$56:$B$1919,0))</f>
        <v>#N/A</v>
      </c>
      <c r="D1534" t="e">
        <f>INDEX('Cleaned Data'!L:L,MATCH($A1534,$B$56:$B$1919,0))</f>
        <v>#N/A</v>
      </c>
    </row>
    <row r="1535" spans="1:4" x14ac:dyDescent="0.25">
      <c r="A1535">
        <v>1480</v>
      </c>
      <c r="B1535">
        <f>B1534+IF('Cleaned Data'!L1481&gt;0,1,0)*IF($B$34="Overall",1,IF('Cleaned Data'!K1481=$B$34,1,0))*(IF('Cleaned Data'!H1481&lt;&gt;"",1,0))</f>
        <v>540</v>
      </c>
      <c r="C1535" t="e">
        <f>INDEX('Cleaned Data'!H:H,MATCH($A1535,$B$56:$B$1919,0))</f>
        <v>#N/A</v>
      </c>
      <c r="D1535" t="e">
        <f>INDEX('Cleaned Data'!L:L,MATCH($A1535,$B$56:$B$1919,0))</f>
        <v>#N/A</v>
      </c>
    </row>
    <row r="1536" spans="1:4" x14ac:dyDescent="0.25">
      <c r="A1536">
        <v>1481</v>
      </c>
      <c r="B1536">
        <f>B1535+IF('Cleaned Data'!L1482&gt;0,1,0)*IF($B$34="Overall",1,IF('Cleaned Data'!K1482=$B$34,1,0))*(IF('Cleaned Data'!H1482&lt;&gt;"",1,0))</f>
        <v>540</v>
      </c>
      <c r="C1536" t="e">
        <f>INDEX('Cleaned Data'!H:H,MATCH($A1536,$B$56:$B$1919,0))</f>
        <v>#N/A</v>
      </c>
      <c r="D1536" t="e">
        <f>INDEX('Cleaned Data'!L:L,MATCH($A1536,$B$56:$B$1919,0))</f>
        <v>#N/A</v>
      </c>
    </row>
    <row r="1537" spans="1:4" x14ac:dyDescent="0.25">
      <c r="A1537">
        <v>1482</v>
      </c>
      <c r="B1537">
        <f>B1536+IF('Cleaned Data'!L1483&gt;0,1,0)*IF($B$34="Overall",1,IF('Cleaned Data'!K1483=$B$34,1,0))*(IF('Cleaned Data'!H1483&lt;&gt;"",1,0))</f>
        <v>540</v>
      </c>
      <c r="C1537" t="e">
        <f>INDEX('Cleaned Data'!H:H,MATCH($A1537,$B$56:$B$1919,0))</f>
        <v>#N/A</v>
      </c>
      <c r="D1537" t="e">
        <f>INDEX('Cleaned Data'!L:L,MATCH($A1537,$B$56:$B$1919,0))</f>
        <v>#N/A</v>
      </c>
    </row>
    <row r="1538" spans="1:4" x14ac:dyDescent="0.25">
      <c r="A1538">
        <v>1483</v>
      </c>
      <c r="B1538">
        <f>B1537+IF('Cleaned Data'!L1484&gt;0,1,0)*IF($B$34="Overall",1,IF('Cleaned Data'!K1484=$B$34,1,0))*(IF('Cleaned Data'!H1484&lt;&gt;"",1,0))</f>
        <v>540</v>
      </c>
      <c r="C1538" t="e">
        <f>INDEX('Cleaned Data'!H:H,MATCH($A1538,$B$56:$B$1919,0))</f>
        <v>#N/A</v>
      </c>
      <c r="D1538" t="e">
        <f>INDEX('Cleaned Data'!L:L,MATCH($A1538,$B$56:$B$1919,0))</f>
        <v>#N/A</v>
      </c>
    </row>
    <row r="1539" spans="1:4" x14ac:dyDescent="0.25">
      <c r="A1539">
        <v>1484</v>
      </c>
      <c r="B1539">
        <f>B1538+IF('Cleaned Data'!L1485&gt;0,1,0)*IF($B$34="Overall",1,IF('Cleaned Data'!K1485=$B$34,1,0))*(IF('Cleaned Data'!H1485&lt;&gt;"",1,0))</f>
        <v>540</v>
      </c>
      <c r="C1539" t="e">
        <f>INDEX('Cleaned Data'!H:H,MATCH($A1539,$B$56:$B$1919,0))</f>
        <v>#N/A</v>
      </c>
      <c r="D1539" t="e">
        <f>INDEX('Cleaned Data'!L:L,MATCH($A1539,$B$56:$B$1919,0))</f>
        <v>#N/A</v>
      </c>
    </row>
    <row r="1540" spans="1:4" x14ac:dyDescent="0.25">
      <c r="A1540">
        <v>1485</v>
      </c>
      <c r="B1540">
        <f>B1539+IF('Cleaned Data'!L1486&gt;0,1,0)*IF($B$34="Overall",1,IF('Cleaned Data'!K1486=$B$34,1,0))*(IF('Cleaned Data'!H1486&lt;&gt;"",1,0))</f>
        <v>540</v>
      </c>
      <c r="C1540" t="e">
        <f>INDEX('Cleaned Data'!H:H,MATCH($A1540,$B$56:$B$1919,0))</f>
        <v>#N/A</v>
      </c>
      <c r="D1540" t="e">
        <f>INDEX('Cleaned Data'!L:L,MATCH($A1540,$B$56:$B$1919,0))</f>
        <v>#N/A</v>
      </c>
    </row>
    <row r="1541" spans="1:4" x14ac:dyDescent="0.25">
      <c r="A1541">
        <v>1486</v>
      </c>
      <c r="B1541">
        <f>B1540+IF('Cleaned Data'!L1487&gt;0,1,0)*IF($B$34="Overall",1,IF('Cleaned Data'!K1487=$B$34,1,0))*(IF('Cleaned Data'!H1487&lt;&gt;"",1,0))</f>
        <v>540</v>
      </c>
      <c r="C1541" t="e">
        <f>INDEX('Cleaned Data'!H:H,MATCH($A1541,$B$56:$B$1919,0))</f>
        <v>#N/A</v>
      </c>
      <c r="D1541" t="e">
        <f>INDEX('Cleaned Data'!L:L,MATCH($A1541,$B$56:$B$1919,0))</f>
        <v>#N/A</v>
      </c>
    </row>
    <row r="1542" spans="1:4" x14ac:dyDescent="0.25">
      <c r="A1542">
        <v>1487</v>
      </c>
      <c r="B1542">
        <f>B1541+IF('Cleaned Data'!L1488&gt;0,1,0)*IF($B$34="Overall",1,IF('Cleaned Data'!K1488=$B$34,1,0))*(IF('Cleaned Data'!H1488&lt;&gt;"",1,0))</f>
        <v>540</v>
      </c>
      <c r="C1542" t="e">
        <f>INDEX('Cleaned Data'!H:H,MATCH($A1542,$B$56:$B$1919,0))</f>
        <v>#N/A</v>
      </c>
      <c r="D1542" t="e">
        <f>INDEX('Cleaned Data'!L:L,MATCH($A1542,$B$56:$B$1919,0))</f>
        <v>#N/A</v>
      </c>
    </row>
    <row r="1543" spans="1:4" x14ac:dyDescent="0.25">
      <c r="A1543">
        <v>1488</v>
      </c>
      <c r="B1543">
        <f>B1542+IF('Cleaned Data'!L1489&gt;0,1,0)*IF($B$34="Overall",1,IF('Cleaned Data'!K1489=$B$34,1,0))*(IF('Cleaned Data'!H1489&lt;&gt;"",1,0))</f>
        <v>540</v>
      </c>
      <c r="C1543" t="e">
        <f>INDEX('Cleaned Data'!H:H,MATCH($A1543,$B$56:$B$1919,0))</f>
        <v>#N/A</v>
      </c>
      <c r="D1543" t="e">
        <f>INDEX('Cleaned Data'!L:L,MATCH($A1543,$B$56:$B$1919,0))</f>
        <v>#N/A</v>
      </c>
    </row>
    <row r="1544" spans="1:4" x14ac:dyDescent="0.25">
      <c r="A1544">
        <v>1489</v>
      </c>
      <c r="B1544">
        <f>B1543+IF('Cleaned Data'!L1490&gt;0,1,0)*IF($B$34="Overall",1,IF('Cleaned Data'!K1490=$B$34,1,0))*(IF('Cleaned Data'!H1490&lt;&gt;"",1,0))</f>
        <v>540</v>
      </c>
      <c r="C1544" t="e">
        <f>INDEX('Cleaned Data'!H:H,MATCH($A1544,$B$56:$B$1919,0))</f>
        <v>#N/A</v>
      </c>
      <c r="D1544" t="e">
        <f>INDEX('Cleaned Data'!L:L,MATCH($A1544,$B$56:$B$1919,0))</f>
        <v>#N/A</v>
      </c>
    </row>
    <row r="1545" spans="1:4" x14ac:dyDescent="0.25">
      <c r="A1545">
        <v>1490</v>
      </c>
      <c r="B1545">
        <f>B1544+IF('Cleaned Data'!L1491&gt;0,1,0)*IF($B$34="Overall",1,IF('Cleaned Data'!K1491=$B$34,1,0))*(IF('Cleaned Data'!H1491&lt;&gt;"",1,0))</f>
        <v>540</v>
      </c>
      <c r="C1545" t="e">
        <f>INDEX('Cleaned Data'!H:H,MATCH($A1545,$B$56:$B$1919,0))</f>
        <v>#N/A</v>
      </c>
      <c r="D1545" t="e">
        <f>INDEX('Cleaned Data'!L:L,MATCH($A1545,$B$56:$B$1919,0))</f>
        <v>#N/A</v>
      </c>
    </row>
    <row r="1546" spans="1:4" x14ac:dyDescent="0.25">
      <c r="A1546">
        <v>1491</v>
      </c>
      <c r="B1546">
        <f>B1545+IF('Cleaned Data'!L1492&gt;0,1,0)*IF($B$34="Overall",1,IF('Cleaned Data'!K1492=$B$34,1,0))*(IF('Cleaned Data'!H1492&lt;&gt;"",1,0))</f>
        <v>540</v>
      </c>
      <c r="C1546" t="e">
        <f>INDEX('Cleaned Data'!H:H,MATCH($A1546,$B$56:$B$1919,0))</f>
        <v>#N/A</v>
      </c>
      <c r="D1546" t="e">
        <f>INDEX('Cleaned Data'!L:L,MATCH($A1546,$B$56:$B$1919,0))</f>
        <v>#N/A</v>
      </c>
    </row>
    <row r="1547" spans="1:4" x14ac:dyDescent="0.25">
      <c r="A1547">
        <v>1492</v>
      </c>
      <c r="B1547">
        <f>B1546+IF('Cleaned Data'!L1493&gt;0,1,0)*IF($B$34="Overall",1,IF('Cleaned Data'!K1493=$B$34,1,0))*(IF('Cleaned Data'!H1493&lt;&gt;"",1,0))</f>
        <v>540</v>
      </c>
      <c r="C1547" t="e">
        <f>INDEX('Cleaned Data'!H:H,MATCH($A1547,$B$56:$B$1919,0))</f>
        <v>#N/A</v>
      </c>
      <c r="D1547" t="e">
        <f>INDEX('Cleaned Data'!L:L,MATCH($A1547,$B$56:$B$1919,0))</f>
        <v>#N/A</v>
      </c>
    </row>
    <row r="1548" spans="1:4" x14ac:dyDescent="0.25">
      <c r="A1548">
        <v>1493</v>
      </c>
      <c r="B1548">
        <f>B1547+IF('Cleaned Data'!L1494&gt;0,1,0)*IF($B$34="Overall",1,IF('Cleaned Data'!K1494=$B$34,1,0))*(IF('Cleaned Data'!H1494&lt;&gt;"",1,0))</f>
        <v>540</v>
      </c>
      <c r="C1548" t="e">
        <f>INDEX('Cleaned Data'!H:H,MATCH($A1548,$B$56:$B$1919,0))</f>
        <v>#N/A</v>
      </c>
      <c r="D1548" t="e">
        <f>INDEX('Cleaned Data'!L:L,MATCH($A1548,$B$56:$B$1919,0))</f>
        <v>#N/A</v>
      </c>
    </row>
    <row r="1549" spans="1:4" x14ac:dyDescent="0.25">
      <c r="A1549">
        <v>1494</v>
      </c>
      <c r="B1549">
        <f>B1548+IF('Cleaned Data'!L1495&gt;0,1,0)*IF($B$34="Overall",1,IF('Cleaned Data'!K1495=$B$34,1,0))*(IF('Cleaned Data'!H1495&lt;&gt;"",1,0))</f>
        <v>540</v>
      </c>
      <c r="C1549" t="e">
        <f>INDEX('Cleaned Data'!H:H,MATCH($A1549,$B$56:$B$1919,0))</f>
        <v>#N/A</v>
      </c>
      <c r="D1549" t="e">
        <f>INDEX('Cleaned Data'!L:L,MATCH($A1549,$B$56:$B$1919,0))</f>
        <v>#N/A</v>
      </c>
    </row>
    <row r="1550" spans="1:4" x14ac:dyDescent="0.25">
      <c r="A1550">
        <v>1495</v>
      </c>
      <c r="B1550">
        <f>B1549+IF('Cleaned Data'!L1496&gt;0,1,0)*IF($B$34="Overall",1,IF('Cleaned Data'!K1496=$B$34,1,0))*(IF('Cleaned Data'!H1496&lt;&gt;"",1,0))</f>
        <v>540</v>
      </c>
      <c r="C1550" t="e">
        <f>INDEX('Cleaned Data'!H:H,MATCH($A1550,$B$56:$B$1919,0))</f>
        <v>#N/A</v>
      </c>
      <c r="D1550" t="e">
        <f>INDEX('Cleaned Data'!L:L,MATCH($A1550,$B$56:$B$1919,0))</f>
        <v>#N/A</v>
      </c>
    </row>
    <row r="1551" spans="1:4" x14ac:dyDescent="0.25">
      <c r="A1551">
        <v>1496</v>
      </c>
      <c r="B1551">
        <f>B1550+IF('Cleaned Data'!L1497&gt;0,1,0)*IF($B$34="Overall",1,IF('Cleaned Data'!K1497=$B$34,1,0))*(IF('Cleaned Data'!H1497&lt;&gt;"",1,0))</f>
        <v>540</v>
      </c>
      <c r="C1551" t="e">
        <f>INDEX('Cleaned Data'!H:H,MATCH($A1551,$B$56:$B$1919,0))</f>
        <v>#N/A</v>
      </c>
      <c r="D1551" t="e">
        <f>INDEX('Cleaned Data'!L:L,MATCH($A1551,$B$56:$B$1919,0))</f>
        <v>#N/A</v>
      </c>
    </row>
    <row r="1552" spans="1:4" x14ac:dyDescent="0.25">
      <c r="A1552">
        <v>1497</v>
      </c>
      <c r="B1552">
        <f>B1551+IF('Cleaned Data'!L1498&gt;0,1,0)*IF($B$34="Overall",1,IF('Cleaned Data'!K1498=$B$34,1,0))*(IF('Cleaned Data'!H1498&lt;&gt;"",1,0))</f>
        <v>540</v>
      </c>
      <c r="C1552" t="e">
        <f>INDEX('Cleaned Data'!H:H,MATCH($A1552,$B$56:$B$1919,0))</f>
        <v>#N/A</v>
      </c>
      <c r="D1552" t="e">
        <f>INDEX('Cleaned Data'!L:L,MATCH($A1552,$B$56:$B$1919,0))</f>
        <v>#N/A</v>
      </c>
    </row>
    <row r="1553" spans="1:4" x14ac:dyDescent="0.25">
      <c r="A1553">
        <v>1498</v>
      </c>
      <c r="B1553">
        <f>B1552+IF('Cleaned Data'!L1499&gt;0,1,0)*IF($B$34="Overall",1,IF('Cleaned Data'!K1499=$B$34,1,0))*(IF('Cleaned Data'!H1499&lt;&gt;"",1,0))</f>
        <v>540</v>
      </c>
      <c r="C1553" t="e">
        <f>INDEX('Cleaned Data'!H:H,MATCH($A1553,$B$56:$B$1919,0))</f>
        <v>#N/A</v>
      </c>
      <c r="D1553" t="e">
        <f>INDEX('Cleaned Data'!L:L,MATCH($A1553,$B$56:$B$1919,0))</f>
        <v>#N/A</v>
      </c>
    </row>
    <row r="1554" spans="1:4" x14ac:dyDescent="0.25">
      <c r="A1554">
        <v>1499</v>
      </c>
      <c r="B1554">
        <f>B1553+IF('Cleaned Data'!L1500&gt;0,1,0)*IF($B$34="Overall",1,IF('Cleaned Data'!K1500=$B$34,1,0))*(IF('Cleaned Data'!H1500&lt;&gt;"",1,0))</f>
        <v>540</v>
      </c>
      <c r="C1554" t="e">
        <f>INDEX('Cleaned Data'!H:H,MATCH($A1554,$B$56:$B$1919,0))</f>
        <v>#N/A</v>
      </c>
      <c r="D1554" t="e">
        <f>INDEX('Cleaned Data'!L:L,MATCH($A1554,$B$56:$B$1919,0))</f>
        <v>#N/A</v>
      </c>
    </row>
    <row r="1555" spans="1:4" x14ac:dyDescent="0.25">
      <c r="A1555">
        <v>1500</v>
      </c>
      <c r="B1555">
        <f>B1554+IF('Cleaned Data'!L1501&gt;0,1,0)*IF($B$34="Overall",1,IF('Cleaned Data'!K1501=$B$34,1,0))*(IF('Cleaned Data'!H1501&lt;&gt;"",1,0))</f>
        <v>540</v>
      </c>
      <c r="C1555" t="e">
        <f>INDEX('Cleaned Data'!H:H,MATCH($A1555,$B$56:$B$1919,0))</f>
        <v>#N/A</v>
      </c>
      <c r="D1555" t="e">
        <f>INDEX('Cleaned Data'!L:L,MATCH($A1555,$B$56:$B$1919,0))</f>
        <v>#N/A</v>
      </c>
    </row>
    <row r="1556" spans="1:4" x14ac:dyDescent="0.25">
      <c r="A1556">
        <v>1501</v>
      </c>
      <c r="B1556">
        <f>B1555+IF('Cleaned Data'!L1502&gt;0,1,0)*IF($B$34="Overall",1,IF('Cleaned Data'!K1502=$B$34,1,0))*(IF('Cleaned Data'!H1502&lt;&gt;"",1,0))</f>
        <v>540</v>
      </c>
      <c r="C1556" t="e">
        <f>INDEX('Cleaned Data'!H:H,MATCH($A1556,$B$56:$B$1919,0))</f>
        <v>#N/A</v>
      </c>
      <c r="D1556" t="e">
        <f>INDEX('Cleaned Data'!L:L,MATCH($A1556,$B$56:$B$1919,0))</f>
        <v>#N/A</v>
      </c>
    </row>
    <row r="1557" spans="1:4" x14ac:dyDescent="0.25">
      <c r="A1557">
        <v>1502</v>
      </c>
      <c r="B1557">
        <f>B1556+IF('Cleaned Data'!L1503&gt;0,1,0)*IF($B$34="Overall",1,IF('Cleaned Data'!K1503=$B$34,1,0))*(IF('Cleaned Data'!H1503&lt;&gt;"",1,0))</f>
        <v>540</v>
      </c>
      <c r="C1557" t="e">
        <f>INDEX('Cleaned Data'!H:H,MATCH($A1557,$B$56:$B$1919,0))</f>
        <v>#N/A</v>
      </c>
      <c r="D1557" t="e">
        <f>INDEX('Cleaned Data'!L:L,MATCH($A1557,$B$56:$B$1919,0))</f>
        <v>#N/A</v>
      </c>
    </row>
    <row r="1558" spans="1:4" x14ac:dyDescent="0.25">
      <c r="A1558">
        <v>1503</v>
      </c>
      <c r="B1558">
        <f>B1557+IF('Cleaned Data'!L1504&gt;0,1,0)*IF($B$34="Overall",1,IF('Cleaned Data'!K1504=$B$34,1,0))*(IF('Cleaned Data'!H1504&lt;&gt;"",1,0))</f>
        <v>540</v>
      </c>
      <c r="C1558" t="e">
        <f>INDEX('Cleaned Data'!H:H,MATCH($A1558,$B$56:$B$1919,0))</f>
        <v>#N/A</v>
      </c>
      <c r="D1558" t="e">
        <f>INDEX('Cleaned Data'!L:L,MATCH($A1558,$B$56:$B$1919,0))</f>
        <v>#N/A</v>
      </c>
    </row>
    <row r="1559" spans="1:4" x14ac:dyDescent="0.25">
      <c r="A1559">
        <v>1504</v>
      </c>
      <c r="B1559">
        <f>B1558+IF('Cleaned Data'!L1505&gt;0,1,0)*IF($B$34="Overall",1,IF('Cleaned Data'!K1505=$B$34,1,0))*(IF('Cleaned Data'!H1505&lt;&gt;"",1,0))</f>
        <v>540</v>
      </c>
      <c r="C1559" t="e">
        <f>INDEX('Cleaned Data'!H:H,MATCH($A1559,$B$56:$B$1919,0))</f>
        <v>#N/A</v>
      </c>
      <c r="D1559" t="e">
        <f>INDEX('Cleaned Data'!L:L,MATCH($A1559,$B$56:$B$1919,0))</f>
        <v>#N/A</v>
      </c>
    </row>
    <row r="1560" spans="1:4" x14ac:dyDescent="0.25">
      <c r="A1560">
        <v>1505</v>
      </c>
      <c r="B1560">
        <f>B1559+IF('Cleaned Data'!L1506&gt;0,1,0)*IF($B$34="Overall",1,IF('Cleaned Data'!K1506=$B$34,1,0))*(IF('Cleaned Data'!H1506&lt;&gt;"",1,0))</f>
        <v>540</v>
      </c>
      <c r="C1560" t="e">
        <f>INDEX('Cleaned Data'!H:H,MATCH($A1560,$B$56:$B$1919,0))</f>
        <v>#N/A</v>
      </c>
      <c r="D1560" t="e">
        <f>INDEX('Cleaned Data'!L:L,MATCH($A1560,$B$56:$B$1919,0))</f>
        <v>#N/A</v>
      </c>
    </row>
    <row r="1561" spans="1:4" x14ac:dyDescent="0.25">
      <c r="A1561">
        <v>1506</v>
      </c>
      <c r="B1561">
        <f>B1560+IF('Cleaned Data'!L1507&gt;0,1,0)*IF($B$34="Overall",1,IF('Cleaned Data'!K1507=$B$34,1,0))*(IF('Cleaned Data'!H1507&lt;&gt;"",1,0))</f>
        <v>540</v>
      </c>
      <c r="C1561" t="e">
        <f>INDEX('Cleaned Data'!H:H,MATCH($A1561,$B$56:$B$1919,0))</f>
        <v>#N/A</v>
      </c>
      <c r="D1561" t="e">
        <f>INDEX('Cleaned Data'!L:L,MATCH($A1561,$B$56:$B$1919,0))</f>
        <v>#N/A</v>
      </c>
    </row>
    <row r="1562" spans="1:4" x14ac:dyDescent="0.25">
      <c r="A1562">
        <v>1507</v>
      </c>
      <c r="B1562">
        <f>B1561+IF('Cleaned Data'!L1508&gt;0,1,0)*IF($B$34="Overall",1,IF('Cleaned Data'!K1508=$B$34,1,0))*(IF('Cleaned Data'!H1508&lt;&gt;"",1,0))</f>
        <v>540</v>
      </c>
      <c r="C1562" t="e">
        <f>INDEX('Cleaned Data'!H:H,MATCH($A1562,$B$56:$B$1919,0))</f>
        <v>#N/A</v>
      </c>
      <c r="D1562" t="e">
        <f>INDEX('Cleaned Data'!L:L,MATCH($A1562,$B$56:$B$1919,0))</f>
        <v>#N/A</v>
      </c>
    </row>
    <row r="1563" spans="1:4" x14ac:dyDescent="0.25">
      <c r="A1563">
        <v>1508</v>
      </c>
      <c r="B1563">
        <f>B1562+IF('Cleaned Data'!L1509&gt;0,1,0)*IF($B$34="Overall",1,IF('Cleaned Data'!K1509=$B$34,1,0))*(IF('Cleaned Data'!H1509&lt;&gt;"",1,0))</f>
        <v>540</v>
      </c>
      <c r="C1563" t="e">
        <f>INDEX('Cleaned Data'!H:H,MATCH($A1563,$B$56:$B$1919,0))</f>
        <v>#N/A</v>
      </c>
      <c r="D1563" t="e">
        <f>INDEX('Cleaned Data'!L:L,MATCH($A1563,$B$56:$B$1919,0))</f>
        <v>#N/A</v>
      </c>
    </row>
    <row r="1564" spans="1:4" x14ac:dyDescent="0.25">
      <c r="A1564">
        <v>1509</v>
      </c>
      <c r="B1564">
        <f>B1563+IF('Cleaned Data'!L1510&gt;0,1,0)*IF($B$34="Overall",1,IF('Cleaned Data'!K1510=$B$34,1,0))*(IF('Cleaned Data'!H1510&lt;&gt;"",1,0))</f>
        <v>540</v>
      </c>
      <c r="C1564" t="e">
        <f>INDEX('Cleaned Data'!H:H,MATCH($A1564,$B$56:$B$1919,0))</f>
        <v>#N/A</v>
      </c>
      <c r="D1564" t="e">
        <f>INDEX('Cleaned Data'!L:L,MATCH($A1564,$B$56:$B$1919,0))</f>
        <v>#N/A</v>
      </c>
    </row>
    <row r="1565" spans="1:4" x14ac:dyDescent="0.25">
      <c r="A1565">
        <v>1510</v>
      </c>
      <c r="B1565">
        <f>B1564+IF('Cleaned Data'!L1511&gt;0,1,0)*IF($B$34="Overall",1,IF('Cleaned Data'!K1511=$B$34,1,0))*(IF('Cleaned Data'!H1511&lt;&gt;"",1,0))</f>
        <v>540</v>
      </c>
      <c r="C1565" t="e">
        <f>INDEX('Cleaned Data'!H:H,MATCH($A1565,$B$56:$B$1919,0))</f>
        <v>#N/A</v>
      </c>
      <c r="D1565" t="e">
        <f>INDEX('Cleaned Data'!L:L,MATCH($A1565,$B$56:$B$1919,0))</f>
        <v>#N/A</v>
      </c>
    </row>
    <row r="1566" spans="1:4" x14ac:dyDescent="0.25">
      <c r="A1566">
        <v>1511</v>
      </c>
      <c r="B1566">
        <f>B1565+IF('Cleaned Data'!L1512&gt;0,1,0)*IF($B$34="Overall",1,IF('Cleaned Data'!K1512=$B$34,1,0))*(IF('Cleaned Data'!H1512&lt;&gt;"",1,0))</f>
        <v>540</v>
      </c>
      <c r="C1566" t="e">
        <f>INDEX('Cleaned Data'!H:H,MATCH($A1566,$B$56:$B$1919,0))</f>
        <v>#N/A</v>
      </c>
      <c r="D1566" t="e">
        <f>INDEX('Cleaned Data'!L:L,MATCH($A1566,$B$56:$B$1919,0))</f>
        <v>#N/A</v>
      </c>
    </row>
    <row r="1567" spans="1:4" x14ac:dyDescent="0.25">
      <c r="A1567">
        <v>1512</v>
      </c>
      <c r="B1567">
        <f>B1566+IF('Cleaned Data'!L1513&gt;0,1,0)*IF($B$34="Overall",1,IF('Cleaned Data'!K1513=$B$34,1,0))*(IF('Cleaned Data'!H1513&lt;&gt;"",1,0))</f>
        <v>540</v>
      </c>
      <c r="C1567" t="e">
        <f>INDEX('Cleaned Data'!H:H,MATCH($A1567,$B$56:$B$1919,0))</f>
        <v>#N/A</v>
      </c>
      <c r="D1567" t="e">
        <f>INDEX('Cleaned Data'!L:L,MATCH($A1567,$B$56:$B$1919,0))</f>
        <v>#N/A</v>
      </c>
    </row>
    <row r="1568" spans="1:4" x14ac:dyDescent="0.25">
      <c r="A1568">
        <v>1513</v>
      </c>
      <c r="B1568">
        <f>B1567+IF('Cleaned Data'!L1514&gt;0,1,0)*IF($B$34="Overall",1,IF('Cleaned Data'!K1514=$B$34,1,0))*(IF('Cleaned Data'!H1514&lt;&gt;"",1,0))</f>
        <v>540</v>
      </c>
      <c r="C1568" t="e">
        <f>INDEX('Cleaned Data'!H:H,MATCH($A1568,$B$56:$B$1919,0))</f>
        <v>#N/A</v>
      </c>
      <c r="D1568" t="e">
        <f>INDEX('Cleaned Data'!L:L,MATCH($A1568,$B$56:$B$1919,0))</f>
        <v>#N/A</v>
      </c>
    </row>
    <row r="1569" spans="1:4" x14ac:dyDescent="0.25">
      <c r="A1569">
        <v>1514</v>
      </c>
      <c r="B1569">
        <f>B1568+IF('Cleaned Data'!L1515&gt;0,1,0)*IF($B$34="Overall",1,IF('Cleaned Data'!K1515=$B$34,1,0))*(IF('Cleaned Data'!H1515&lt;&gt;"",1,0))</f>
        <v>540</v>
      </c>
      <c r="C1569" t="e">
        <f>INDEX('Cleaned Data'!H:H,MATCH($A1569,$B$56:$B$1919,0))</f>
        <v>#N/A</v>
      </c>
      <c r="D1569" t="e">
        <f>INDEX('Cleaned Data'!L:L,MATCH($A1569,$B$56:$B$1919,0))</f>
        <v>#N/A</v>
      </c>
    </row>
    <row r="1570" spans="1:4" x14ac:dyDescent="0.25">
      <c r="A1570">
        <v>1515</v>
      </c>
      <c r="B1570">
        <f>B1569+IF('Cleaned Data'!L1516&gt;0,1,0)*IF($B$34="Overall",1,IF('Cleaned Data'!K1516=$B$34,1,0))*(IF('Cleaned Data'!H1516&lt;&gt;"",1,0))</f>
        <v>540</v>
      </c>
      <c r="C1570" t="e">
        <f>INDEX('Cleaned Data'!H:H,MATCH($A1570,$B$56:$B$1919,0))</f>
        <v>#N/A</v>
      </c>
      <c r="D1570" t="e">
        <f>INDEX('Cleaned Data'!L:L,MATCH($A1570,$B$56:$B$1919,0))</f>
        <v>#N/A</v>
      </c>
    </row>
    <row r="1571" spans="1:4" x14ac:dyDescent="0.25">
      <c r="A1571">
        <v>1516</v>
      </c>
      <c r="B1571">
        <f>B1570+IF('Cleaned Data'!L1517&gt;0,1,0)*IF($B$34="Overall",1,IF('Cleaned Data'!K1517=$B$34,1,0))*(IF('Cleaned Data'!H1517&lt;&gt;"",1,0))</f>
        <v>540</v>
      </c>
      <c r="C1571" t="e">
        <f>INDEX('Cleaned Data'!H:H,MATCH($A1571,$B$56:$B$1919,0))</f>
        <v>#N/A</v>
      </c>
      <c r="D1571" t="e">
        <f>INDEX('Cleaned Data'!L:L,MATCH($A1571,$B$56:$B$1919,0))</f>
        <v>#N/A</v>
      </c>
    </row>
    <row r="1572" spans="1:4" x14ac:dyDescent="0.25">
      <c r="A1572">
        <v>1517</v>
      </c>
      <c r="B1572">
        <f>B1571+IF('Cleaned Data'!L1518&gt;0,1,0)*IF($B$34="Overall",1,IF('Cleaned Data'!K1518=$B$34,1,0))*(IF('Cleaned Data'!H1518&lt;&gt;"",1,0))</f>
        <v>540</v>
      </c>
      <c r="C1572" t="e">
        <f>INDEX('Cleaned Data'!H:H,MATCH($A1572,$B$56:$B$1919,0))</f>
        <v>#N/A</v>
      </c>
      <c r="D1572" t="e">
        <f>INDEX('Cleaned Data'!L:L,MATCH($A1572,$B$56:$B$1919,0))</f>
        <v>#N/A</v>
      </c>
    </row>
    <row r="1573" spans="1:4" x14ac:dyDescent="0.25">
      <c r="A1573">
        <v>1518</v>
      </c>
      <c r="B1573">
        <f>B1572+IF('Cleaned Data'!L1519&gt;0,1,0)*IF($B$34="Overall",1,IF('Cleaned Data'!K1519=$B$34,1,0))*(IF('Cleaned Data'!H1519&lt;&gt;"",1,0))</f>
        <v>540</v>
      </c>
      <c r="C1573" t="e">
        <f>INDEX('Cleaned Data'!H:H,MATCH($A1573,$B$56:$B$1919,0))</f>
        <v>#N/A</v>
      </c>
      <c r="D1573" t="e">
        <f>INDEX('Cleaned Data'!L:L,MATCH($A1573,$B$56:$B$1919,0))</f>
        <v>#N/A</v>
      </c>
    </row>
    <row r="1574" spans="1:4" x14ac:dyDescent="0.25">
      <c r="A1574">
        <v>1519</v>
      </c>
      <c r="B1574">
        <f>B1573+IF('Cleaned Data'!L1520&gt;0,1,0)*IF($B$34="Overall",1,IF('Cleaned Data'!K1520=$B$34,1,0))*(IF('Cleaned Data'!H1520&lt;&gt;"",1,0))</f>
        <v>540</v>
      </c>
      <c r="C1574" t="e">
        <f>INDEX('Cleaned Data'!H:H,MATCH($A1574,$B$56:$B$1919,0))</f>
        <v>#N/A</v>
      </c>
      <c r="D1574" t="e">
        <f>INDEX('Cleaned Data'!L:L,MATCH($A1574,$B$56:$B$1919,0))</f>
        <v>#N/A</v>
      </c>
    </row>
    <row r="1575" spans="1:4" x14ac:dyDescent="0.25">
      <c r="A1575">
        <v>1520</v>
      </c>
      <c r="B1575">
        <f>B1574+IF('Cleaned Data'!L1521&gt;0,1,0)*IF($B$34="Overall",1,IF('Cleaned Data'!K1521=$B$34,1,0))*(IF('Cleaned Data'!H1521&lt;&gt;"",1,0))</f>
        <v>540</v>
      </c>
      <c r="C1575" t="e">
        <f>INDEX('Cleaned Data'!H:H,MATCH($A1575,$B$56:$B$1919,0))</f>
        <v>#N/A</v>
      </c>
      <c r="D1575" t="e">
        <f>INDEX('Cleaned Data'!L:L,MATCH($A1575,$B$56:$B$1919,0))</f>
        <v>#N/A</v>
      </c>
    </row>
    <row r="1576" spans="1:4" x14ac:dyDescent="0.25">
      <c r="A1576">
        <v>1521</v>
      </c>
      <c r="B1576">
        <f>B1575+IF('Cleaned Data'!L1522&gt;0,1,0)*IF($B$34="Overall",1,IF('Cleaned Data'!K1522=$B$34,1,0))*(IF('Cleaned Data'!H1522&lt;&gt;"",1,0))</f>
        <v>540</v>
      </c>
      <c r="C1576" t="e">
        <f>INDEX('Cleaned Data'!H:H,MATCH($A1576,$B$56:$B$1919,0))</f>
        <v>#N/A</v>
      </c>
      <c r="D1576" t="e">
        <f>INDEX('Cleaned Data'!L:L,MATCH($A1576,$B$56:$B$1919,0))</f>
        <v>#N/A</v>
      </c>
    </row>
    <row r="1577" spans="1:4" x14ac:dyDescent="0.25">
      <c r="A1577">
        <v>1522</v>
      </c>
      <c r="B1577">
        <f>B1576+IF('Cleaned Data'!L1523&gt;0,1,0)*IF($B$34="Overall",1,IF('Cleaned Data'!K1523=$B$34,1,0))*(IF('Cleaned Data'!H1523&lt;&gt;"",1,0))</f>
        <v>540</v>
      </c>
      <c r="C1577" t="e">
        <f>INDEX('Cleaned Data'!H:H,MATCH($A1577,$B$56:$B$1919,0))</f>
        <v>#N/A</v>
      </c>
      <c r="D1577" t="e">
        <f>INDEX('Cleaned Data'!L:L,MATCH($A1577,$B$56:$B$1919,0))</f>
        <v>#N/A</v>
      </c>
    </row>
    <row r="1578" spans="1:4" x14ac:dyDescent="0.25">
      <c r="A1578">
        <v>1523</v>
      </c>
      <c r="B1578">
        <f>B1577+IF('Cleaned Data'!L1524&gt;0,1,0)*IF($B$34="Overall",1,IF('Cleaned Data'!K1524=$B$34,1,0))*(IF('Cleaned Data'!H1524&lt;&gt;"",1,0))</f>
        <v>540</v>
      </c>
      <c r="C1578" t="e">
        <f>INDEX('Cleaned Data'!H:H,MATCH($A1578,$B$56:$B$1919,0))</f>
        <v>#N/A</v>
      </c>
      <c r="D1578" t="e">
        <f>INDEX('Cleaned Data'!L:L,MATCH($A1578,$B$56:$B$1919,0))</f>
        <v>#N/A</v>
      </c>
    </row>
    <row r="1579" spans="1:4" x14ac:dyDescent="0.25">
      <c r="A1579">
        <v>1524</v>
      </c>
      <c r="B1579">
        <f>B1578+IF('Cleaned Data'!L1525&gt;0,1,0)*IF($B$34="Overall",1,IF('Cleaned Data'!K1525=$B$34,1,0))*(IF('Cleaned Data'!H1525&lt;&gt;"",1,0))</f>
        <v>540</v>
      </c>
      <c r="C1579" t="e">
        <f>INDEX('Cleaned Data'!H:H,MATCH($A1579,$B$56:$B$1919,0))</f>
        <v>#N/A</v>
      </c>
      <c r="D1579" t="e">
        <f>INDEX('Cleaned Data'!L:L,MATCH($A1579,$B$56:$B$1919,0))</f>
        <v>#N/A</v>
      </c>
    </row>
    <row r="1580" spans="1:4" x14ac:dyDescent="0.25">
      <c r="A1580">
        <v>1525</v>
      </c>
      <c r="B1580">
        <f>B1579+IF('Cleaned Data'!L1526&gt;0,1,0)*IF($B$34="Overall",1,IF('Cleaned Data'!K1526=$B$34,1,0))*(IF('Cleaned Data'!H1526&lt;&gt;"",1,0))</f>
        <v>540</v>
      </c>
      <c r="C1580" t="e">
        <f>INDEX('Cleaned Data'!H:H,MATCH($A1580,$B$56:$B$1919,0))</f>
        <v>#N/A</v>
      </c>
      <c r="D1580" t="e">
        <f>INDEX('Cleaned Data'!L:L,MATCH($A1580,$B$56:$B$1919,0))</f>
        <v>#N/A</v>
      </c>
    </row>
    <row r="1581" spans="1:4" x14ac:dyDescent="0.25">
      <c r="A1581">
        <v>1526</v>
      </c>
      <c r="B1581">
        <f>B1580+IF('Cleaned Data'!L1527&gt;0,1,0)*IF($B$34="Overall",1,IF('Cleaned Data'!K1527=$B$34,1,0))*(IF('Cleaned Data'!H1527&lt;&gt;"",1,0))</f>
        <v>540</v>
      </c>
      <c r="C1581" t="e">
        <f>INDEX('Cleaned Data'!H:H,MATCH($A1581,$B$56:$B$1919,0))</f>
        <v>#N/A</v>
      </c>
      <c r="D1581" t="e">
        <f>INDEX('Cleaned Data'!L:L,MATCH($A1581,$B$56:$B$1919,0))</f>
        <v>#N/A</v>
      </c>
    </row>
    <row r="1582" spans="1:4" x14ac:dyDescent="0.25">
      <c r="A1582">
        <v>1527</v>
      </c>
      <c r="B1582">
        <f>B1581+IF('Cleaned Data'!L1528&gt;0,1,0)*IF($B$34="Overall",1,IF('Cleaned Data'!K1528=$B$34,1,0))*(IF('Cleaned Data'!H1528&lt;&gt;"",1,0))</f>
        <v>540</v>
      </c>
      <c r="C1582" t="e">
        <f>INDEX('Cleaned Data'!H:H,MATCH($A1582,$B$56:$B$1919,0))</f>
        <v>#N/A</v>
      </c>
      <c r="D1582" t="e">
        <f>INDEX('Cleaned Data'!L:L,MATCH($A1582,$B$56:$B$1919,0))</f>
        <v>#N/A</v>
      </c>
    </row>
    <row r="1583" spans="1:4" x14ac:dyDescent="0.25">
      <c r="A1583">
        <v>1528</v>
      </c>
      <c r="B1583">
        <f>B1582+IF('Cleaned Data'!L1529&gt;0,1,0)*IF($B$34="Overall",1,IF('Cleaned Data'!K1529=$B$34,1,0))*(IF('Cleaned Data'!H1529&lt;&gt;"",1,0))</f>
        <v>540</v>
      </c>
      <c r="C1583" t="e">
        <f>INDEX('Cleaned Data'!H:H,MATCH($A1583,$B$56:$B$1919,0))</f>
        <v>#N/A</v>
      </c>
      <c r="D1583" t="e">
        <f>INDEX('Cleaned Data'!L:L,MATCH($A1583,$B$56:$B$1919,0))</f>
        <v>#N/A</v>
      </c>
    </row>
    <row r="1584" spans="1:4" x14ac:dyDescent="0.25">
      <c r="A1584">
        <v>1529</v>
      </c>
      <c r="B1584">
        <f>B1583+IF('Cleaned Data'!L1530&gt;0,1,0)*IF($B$34="Overall",1,IF('Cleaned Data'!K1530=$B$34,1,0))*(IF('Cleaned Data'!H1530&lt;&gt;"",1,0))</f>
        <v>540</v>
      </c>
      <c r="C1584" t="e">
        <f>INDEX('Cleaned Data'!H:H,MATCH($A1584,$B$56:$B$1919,0))</f>
        <v>#N/A</v>
      </c>
      <c r="D1584" t="e">
        <f>INDEX('Cleaned Data'!L:L,MATCH($A1584,$B$56:$B$1919,0))</f>
        <v>#N/A</v>
      </c>
    </row>
    <row r="1585" spans="1:4" x14ac:dyDescent="0.25">
      <c r="A1585">
        <v>1530</v>
      </c>
      <c r="B1585">
        <f>B1584+IF('Cleaned Data'!L1531&gt;0,1,0)*IF($B$34="Overall",1,IF('Cleaned Data'!K1531=$B$34,1,0))*(IF('Cleaned Data'!H1531&lt;&gt;"",1,0))</f>
        <v>540</v>
      </c>
      <c r="C1585" t="e">
        <f>INDEX('Cleaned Data'!H:H,MATCH($A1585,$B$56:$B$1919,0))</f>
        <v>#N/A</v>
      </c>
      <c r="D1585" t="e">
        <f>INDEX('Cleaned Data'!L:L,MATCH($A1585,$B$56:$B$1919,0))</f>
        <v>#N/A</v>
      </c>
    </row>
    <row r="1586" spans="1:4" x14ac:dyDescent="0.25">
      <c r="A1586">
        <v>1531</v>
      </c>
      <c r="B1586">
        <f>B1585+IF('Cleaned Data'!L1532&gt;0,1,0)*IF($B$34="Overall",1,IF('Cleaned Data'!K1532=$B$34,1,0))*(IF('Cleaned Data'!H1532&lt;&gt;"",1,0))</f>
        <v>540</v>
      </c>
      <c r="C1586" t="e">
        <f>INDEX('Cleaned Data'!H:H,MATCH($A1586,$B$56:$B$1919,0))</f>
        <v>#N/A</v>
      </c>
      <c r="D1586" t="e">
        <f>INDEX('Cleaned Data'!L:L,MATCH($A1586,$B$56:$B$1919,0))</f>
        <v>#N/A</v>
      </c>
    </row>
    <row r="1587" spans="1:4" x14ac:dyDescent="0.25">
      <c r="A1587">
        <v>1532</v>
      </c>
      <c r="B1587">
        <f>B1586+IF('Cleaned Data'!L1533&gt;0,1,0)*IF($B$34="Overall",1,IF('Cleaned Data'!K1533=$B$34,1,0))*(IF('Cleaned Data'!H1533&lt;&gt;"",1,0))</f>
        <v>540</v>
      </c>
      <c r="C1587" t="e">
        <f>INDEX('Cleaned Data'!H:H,MATCH($A1587,$B$56:$B$1919,0))</f>
        <v>#N/A</v>
      </c>
      <c r="D1587" t="e">
        <f>INDEX('Cleaned Data'!L:L,MATCH($A1587,$B$56:$B$1919,0))</f>
        <v>#N/A</v>
      </c>
    </row>
    <row r="1588" spans="1:4" x14ac:dyDescent="0.25">
      <c r="A1588">
        <v>1533</v>
      </c>
      <c r="B1588">
        <f>B1587+IF('Cleaned Data'!L1534&gt;0,1,0)*IF($B$34="Overall",1,IF('Cleaned Data'!K1534=$B$34,1,0))*(IF('Cleaned Data'!H1534&lt;&gt;"",1,0))</f>
        <v>540</v>
      </c>
      <c r="C1588" t="e">
        <f>INDEX('Cleaned Data'!H:H,MATCH($A1588,$B$56:$B$1919,0))</f>
        <v>#N/A</v>
      </c>
      <c r="D1588" t="e">
        <f>INDEX('Cleaned Data'!L:L,MATCH($A1588,$B$56:$B$1919,0))</f>
        <v>#N/A</v>
      </c>
    </row>
    <row r="1589" spans="1:4" x14ac:dyDescent="0.25">
      <c r="A1589">
        <v>1534</v>
      </c>
      <c r="B1589">
        <f>B1588+IF('Cleaned Data'!L1535&gt;0,1,0)*IF($B$34="Overall",1,IF('Cleaned Data'!K1535=$B$34,1,0))*(IF('Cleaned Data'!H1535&lt;&gt;"",1,0))</f>
        <v>540</v>
      </c>
      <c r="C1589" t="e">
        <f>INDEX('Cleaned Data'!H:H,MATCH($A1589,$B$56:$B$1919,0))</f>
        <v>#N/A</v>
      </c>
      <c r="D1589" t="e">
        <f>INDEX('Cleaned Data'!L:L,MATCH($A1589,$B$56:$B$1919,0))</f>
        <v>#N/A</v>
      </c>
    </row>
    <row r="1590" spans="1:4" x14ac:dyDescent="0.25">
      <c r="A1590">
        <v>1535</v>
      </c>
      <c r="B1590">
        <f>B1589+IF('Cleaned Data'!L1536&gt;0,1,0)*IF($B$34="Overall",1,IF('Cleaned Data'!K1536=$B$34,1,0))*(IF('Cleaned Data'!H1536&lt;&gt;"",1,0))</f>
        <v>540</v>
      </c>
      <c r="C1590" t="e">
        <f>INDEX('Cleaned Data'!H:H,MATCH($A1590,$B$56:$B$1919,0))</f>
        <v>#N/A</v>
      </c>
      <c r="D1590" t="e">
        <f>INDEX('Cleaned Data'!L:L,MATCH($A1590,$B$56:$B$1919,0))</f>
        <v>#N/A</v>
      </c>
    </row>
    <row r="1591" spans="1:4" x14ac:dyDescent="0.25">
      <c r="A1591">
        <v>1536</v>
      </c>
      <c r="B1591">
        <f>B1590+IF('Cleaned Data'!L1537&gt;0,1,0)*IF($B$34="Overall",1,IF('Cleaned Data'!K1537=$B$34,1,0))*(IF('Cleaned Data'!H1537&lt;&gt;"",1,0))</f>
        <v>540</v>
      </c>
      <c r="C1591" t="e">
        <f>INDEX('Cleaned Data'!H:H,MATCH($A1591,$B$56:$B$1919,0))</f>
        <v>#N/A</v>
      </c>
      <c r="D1591" t="e">
        <f>INDEX('Cleaned Data'!L:L,MATCH($A1591,$B$56:$B$1919,0))</f>
        <v>#N/A</v>
      </c>
    </row>
    <row r="1592" spans="1:4" x14ac:dyDescent="0.25">
      <c r="A1592">
        <v>1537</v>
      </c>
      <c r="B1592">
        <f>B1591+IF('Cleaned Data'!L1538&gt;0,1,0)*IF($B$34="Overall",1,IF('Cleaned Data'!K1538=$B$34,1,0))*(IF('Cleaned Data'!H1538&lt;&gt;"",1,0))</f>
        <v>540</v>
      </c>
      <c r="C1592" t="e">
        <f>INDEX('Cleaned Data'!H:H,MATCH($A1592,$B$56:$B$1919,0))</f>
        <v>#N/A</v>
      </c>
      <c r="D1592" t="e">
        <f>INDEX('Cleaned Data'!L:L,MATCH($A1592,$B$56:$B$1919,0))</f>
        <v>#N/A</v>
      </c>
    </row>
    <row r="1593" spans="1:4" x14ac:dyDescent="0.25">
      <c r="A1593">
        <v>1538</v>
      </c>
      <c r="B1593">
        <f>B1592+IF('Cleaned Data'!L1539&gt;0,1,0)*IF($B$34="Overall",1,IF('Cleaned Data'!K1539=$B$34,1,0))*(IF('Cleaned Data'!H1539&lt;&gt;"",1,0))</f>
        <v>540</v>
      </c>
      <c r="C1593" t="e">
        <f>INDEX('Cleaned Data'!H:H,MATCH($A1593,$B$56:$B$1919,0))</f>
        <v>#N/A</v>
      </c>
      <c r="D1593" t="e">
        <f>INDEX('Cleaned Data'!L:L,MATCH($A1593,$B$56:$B$1919,0))</f>
        <v>#N/A</v>
      </c>
    </row>
    <row r="1594" spans="1:4" x14ac:dyDescent="0.25">
      <c r="A1594">
        <v>1539</v>
      </c>
      <c r="B1594">
        <f>B1593+IF('Cleaned Data'!L1540&gt;0,1,0)*IF($B$34="Overall",1,IF('Cleaned Data'!K1540=$B$34,1,0))*(IF('Cleaned Data'!H1540&lt;&gt;"",1,0))</f>
        <v>540</v>
      </c>
      <c r="C1594" t="e">
        <f>INDEX('Cleaned Data'!H:H,MATCH($A1594,$B$56:$B$1919,0))</f>
        <v>#N/A</v>
      </c>
      <c r="D1594" t="e">
        <f>INDEX('Cleaned Data'!L:L,MATCH($A1594,$B$56:$B$1919,0))</f>
        <v>#N/A</v>
      </c>
    </row>
    <row r="1595" spans="1:4" x14ac:dyDescent="0.25">
      <c r="A1595">
        <v>1540</v>
      </c>
      <c r="B1595">
        <f>B1594+IF('Cleaned Data'!L1541&gt;0,1,0)*IF($B$34="Overall",1,IF('Cleaned Data'!K1541=$B$34,1,0))*(IF('Cleaned Data'!H1541&lt;&gt;"",1,0))</f>
        <v>540</v>
      </c>
      <c r="C1595" t="e">
        <f>INDEX('Cleaned Data'!H:H,MATCH($A1595,$B$56:$B$1919,0))</f>
        <v>#N/A</v>
      </c>
      <c r="D1595" t="e">
        <f>INDEX('Cleaned Data'!L:L,MATCH($A1595,$B$56:$B$1919,0))</f>
        <v>#N/A</v>
      </c>
    </row>
    <row r="1596" spans="1:4" x14ac:dyDescent="0.25">
      <c r="A1596">
        <v>1541</v>
      </c>
      <c r="B1596">
        <f>B1595+IF('Cleaned Data'!L1542&gt;0,1,0)*IF($B$34="Overall",1,IF('Cleaned Data'!K1542=$B$34,1,0))*(IF('Cleaned Data'!H1542&lt;&gt;"",1,0))</f>
        <v>540</v>
      </c>
      <c r="C1596" t="e">
        <f>INDEX('Cleaned Data'!H:H,MATCH($A1596,$B$56:$B$1919,0))</f>
        <v>#N/A</v>
      </c>
      <c r="D1596" t="e">
        <f>INDEX('Cleaned Data'!L:L,MATCH($A1596,$B$56:$B$1919,0))</f>
        <v>#N/A</v>
      </c>
    </row>
    <row r="1597" spans="1:4" x14ac:dyDescent="0.25">
      <c r="A1597">
        <v>1542</v>
      </c>
      <c r="B1597">
        <f>B1596+IF('Cleaned Data'!L1543&gt;0,1,0)*IF($B$34="Overall",1,IF('Cleaned Data'!K1543=$B$34,1,0))*(IF('Cleaned Data'!H1543&lt;&gt;"",1,0))</f>
        <v>540</v>
      </c>
      <c r="C1597" t="e">
        <f>INDEX('Cleaned Data'!H:H,MATCH($A1597,$B$56:$B$1919,0))</f>
        <v>#N/A</v>
      </c>
      <c r="D1597" t="e">
        <f>INDEX('Cleaned Data'!L:L,MATCH($A1597,$B$56:$B$1919,0))</f>
        <v>#N/A</v>
      </c>
    </row>
    <row r="1598" spans="1:4" x14ac:dyDescent="0.25">
      <c r="A1598">
        <v>1543</v>
      </c>
      <c r="B1598">
        <f>B1597+IF('Cleaned Data'!L1544&gt;0,1,0)*IF($B$34="Overall",1,IF('Cleaned Data'!K1544=$B$34,1,0))*(IF('Cleaned Data'!H1544&lt;&gt;"",1,0))</f>
        <v>540</v>
      </c>
      <c r="C1598" t="e">
        <f>INDEX('Cleaned Data'!H:H,MATCH($A1598,$B$56:$B$1919,0))</f>
        <v>#N/A</v>
      </c>
      <c r="D1598" t="e">
        <f>INDEX('Cleaned Data'!L:L,MATCH($A1598,$B$56:$B$1919,0))</f>
        <v>#N/A</v>
      </c>
    </row>
    <row r="1599" spans="1:4" x14ac:dyDescent="0.25">
      <c r="A1599">
        <v>1544</v>
      </c>
      <c r="B1599">
        <f>B1598+IF('Cleaned Data'!L1545&gt;0,1,0)*IF($B$34="Overall",1,IF('Cleaned Data'!K1545=$B$34,1,0))*(IF('Cleaned Data'!H1545&lt;&gt;"",1,0))</f>
        <v>540</v>
      </c>
      <c r="C1599" t="e">
        <f>INDEX('Cleaned Data'!H:H,MATCH($A1599,$B$56:$B$1919,0))</f>
        <v>#N/A</v>
      </c>
      <c r="D1599" t="e">
        <f>INDEX('Cleaned Data'!L:L,MATCH($A1599,$B$56:$B$1919,0))</f>
        <v>#N/A</v>
      </c>
    </row>
    <row r="1600" spans="1:4" x14ac:dyDescent="0.25">
      <c r="A1600">
        <v>1545</v>
      </c>
      <c r="B1600">
        <f>B1599+IF('Cleaned Data'!L1546&gt;0,1,0)*IF($B$34="Overall",1,IF('Cleaned Data'!K1546=$B$34,1,0))*(IF('Cleaned Data'!H1546&lt;&gt;"",1,0))</f>
        <v>540</v>
      </c>
      <c r="C1600" t="e">
        <f>INDEX('Cleaned Data'!H:H,MATCH($A1600,$B$56:$B$1919,0))</f>
        <v>#N/A</v>
      </c>
      <c r="D1600" t="e">
        <f>INDEX('Cleaned Data'!L:L,MATCH($A1600,$B$56:$B$1919,0))</f>
        <v>#N/A</v>
      </c>
    </row>
    <row r="1601" spans="1:4" x14ac:dyDescent="0.25">
      <c r="A1601">
        <v>1546</v>
      </c>
      <c r="B1601">
        <f>B1600+IF('Cleaned Data'!L1547&gt;0,1,0)*IF($B$34="Overall",1,IF('Cleaned Data'!K1547=$B$34,1,0))*(IF('Cleaned Data'!H1547&lt;&gt;"",1,0))</f>
        <v>540</v>
      </c>
      <c r="C1601" t="e">
        <f>INDEX('Cleaned Data'!H:H,MATCH($A1601,$B$56:$B$1919,0))</f>
        <v>#N/A</v>
      </c>
      <c r="D1601" t="e">
        <f>INDEX('Cleaned Data'!L:L,MATCH($A1601,$B$56:$B$1919,0))</f>
        <v>#N/A</v>
      </c>
    </row>
    <row r="1602" spans="1:4" x14ac:dyDescent="0.25">
      <c r="A1602">
        <v>1547</v>
      </c>
      <c r="B1602">
        <f>B1601+IF('Cleaned Data'!L1548&gt;0,1,0)*IF($B$34="Overall",1,IF('Cleaned Data'!K1548=$B$34,1,0))*(IF('Cleaned Data'!H1548&lt;&gt;"",1,0))</f>
        <v>540</v>
      </c>
      <c r="C1602" t="e">
        <f>INDEX('Cleaned Data'!H:H,MATCH($A1602,$B$56:$B$1919,0))</f>
        <v>#N/A</v>
      </c>
      <c r="D1602" t="e">
        <f>INDEX('Cleaned Data'!L:L,MATCH($A1602,$B$56:$B$1919,0))</f>
        <v>#N/A</v>
      </c>
    </row>
    <row r="1603" spans="1:4" x14ac:dyDescent="0.25">
      <c r="A1603">
        <v>1548</v>
      </c>
      <c r="B1603">
        <f>B1602+IF('Cleaned Data'!L1549&gt;0,1,0)*IF($B$34="Overall",1,IF('Cleaned Data'!K1549=$B$34,1,0))*(IF('Cleaned Data'!H1549&lt;&gt;"",1,0))</f>
        <v>540</v>
      </c>
      <c r="C1603" t="e">
        <f>INDEX('Cleaned Data'!H:H,MATCH($A1603,$B$56:$B$1919,0))</f>
        <v>#N/A</v>
      </c>
      <c r="D1603" t="e">
        <f>INDEX('Cleaned Data'!L:L,MATCH($A1603,$B$56:$B$1919,0))</f>
        <v>#N/A</v>
      </c>
    </row>
    <row r="1604" spans="1:4" x14ac:dyDescent="0.25">
      <c r="A1604">
        <v>1549</v>
      </c>
      <c r="B1604">
        <f>B1603+IF('Cleaned Data'!L1550&gt;0,1,0)*IF($B$34="Overall",1,IF('Cleaned Data'!K1550=$B$34,1,0))*(IF('Cleaned Data'!H1550&lt;&gt;"",1,0))</f>
        <v>540</v>
      </c>
      <c r="C1604" t="e">
        <f>INDEX('Cleaned Data'!H:H,MATCH($A1604,$B$56:$B$1919,0))</f>
        <v>#N/A</v>
      </c>
      <c r="D1604" t="e">
        <f>INDEX('Cleaned Data'!L:L,MATCH($A1604,$B$56:$B$1919,0))</f>
        <v>#N/A</v>
      </c>
    </row>
    <row r="1605" spans="1:4" x14ac:dyDescent="0.25">
      <c r="A1605">
        <v>1550</v>
      </c>
      <c r="B1605">
        <f>B1604+IF('Cleaned Data'!L1551&gt;0,1,0)*IF($B$34="Overall",1,IF('Cleaned Data'!K1551=$B$34,1,0))*(IF('Cleaned Data'!H1551&lt;&gt;"",1,0))</f>
        <v>540</v>
      </c>
      <c r="C1605" t="e">
        <f>INDEX('Cleaned Data'!H:H,MATCH($A1605,$B$56:$B$1919,0))</f>
        <v>#N/A</v>
      </c>
      <c r="D1605" t="e">
        <f>INDEX('Cleaned Data'!L:L,MATCH($A1605,$B$56:$B$1919,0))</f>
        <v>#N/A</v>
      </c>
    </row>
    <row r="1606" spans="1:4" x14ac:dyDescent="0.25">
      <c r="A1606">
        <v>1551</v>
      </c>
      <c r="B1606">
        <f>B1605+IF('Cleaned Data'!L1552&gt;0,1,0)*IF($B$34="Overall",1,IF('Cleaned Data'!K1552=$B$34,1,0))*(IF('Cleaned Data'!H1552&lt;&gt;"",1,0))</f>
        <v>540</v>
      </c>
      <c r="C1606" t="e">
        <f>INDEX('Cleaned Data'!H:H,MATCH($A1606,$B$56:$B$1919,0))</f>
        <v>#N/A</v>
      </c>
      <c r="D1606" t="e">
        <f>INDEX('Cleaned Data'!L:L,MATCH($A1606,$B$56:$B$1919,0))</f>
        <v>#N/A</v>
      </c>
    </row>
    <row r="1607" spans="1:4" x14ac:dyDescent="0.25">
      <c r="A1607">
        <v>1552</v>
      </c>
      <c r="B1607">
        <f>B1606+IF('Cleaned Data'!L1553&gt;0,1,0)*IF($B$34="Overall",1,IF('Cleaned Data'!K1553=$B$34,1,0))*(IF('Cleaned Data'!H1553&lt;&gt;"",1,0))</f>
        <v>540</v>
      </c>
      <c r="C1607" t="e">
        <f>INDEX('Cleaned Data'!H:H,MATCH($A1607,$B$56:$B$1919,0))</f>
        <v>#N/A</v>
      </c>
      <c r="D1607" t="e">
        <f>INDEX('Cleaned Data'!L:L,MATCH($A1607,$B$56:$B$1919,0))</f>
        <v>#N/A</v>
      </c>
    </row>
    <row r="1608" spans="1:4" x14ac:dyDescent="0.25">
      <c r="A1608">
        <v>1553</v>
      </c>
      <c r="B1608">
        <f>B1607+IF('Cleaned Data'!L1554&gt;0,1,0)*IF($B$34="Overall",1,IF('Cleaned Data'!K1554=$B$34,1,0))*(IF('Cleaned Data'!H1554&lt;&gt;"",1,0))</f>
        <v>540</v>
      </c>
      <c r="C1608" t="e">
        <f>INDEX('Cleaned Data'!H:H,MATCH($A1608,$B$56:$B$1919,0))</f>
        <v>#N/A</v>
      </c>
      <c r="D1608" t="e">
        <f>INDEX('Cleaned Data'!L:L,MATCH($A1608,$B$56:$B$1919,0))</f>
        <v>#N/A</v>
      </c>
    </row>
    <row r="1609" spans="1:4" x14ac:dyDescent="0.25">
      <c r="A1609">
        <v>1554</v>
      </c>
      <c r="B1609">
        <f>B1608+IF('Cleaned Data'!L1555&gt;0,1,0)*IF($B$34="Overall",1,IF('Cleaned Data'!K1555=$B$34,1,0))*(IF('Cleaned Data'!H1555&lt;&gt;"",1,0))</f>
        <v>540</v>
      </c>
      <c r="C1609" t="e">
        <f>INDEX('Cleaned Data'!H:H,MATCH($A1609,$B$56:$B$1919,0))</f>
        <v>#N/A</v>
      </c>
      <c r="D1609" t="e">
        <f>INDEX('Cleaned Data'!L:L,MATCH($A1609,$B$56:$B$1919,0))</f>
        <v>#N/A</v>
      </c>
    </row>
    <row r="1610" spans="1:4" x14ac:dyDescent="0.25">
      <c r="A1610">
        <v>1555</v>
      </c>
      <c r="B1610">
        <f>B1609+IF('Cleaned Data'!L1556&gt;0,1,0)*IF($B$34="Overall",1,IF('Cleaned Data'!K1556=$B$34,1,0))*(IF('Cleaned Data'!H1556&lt;&gt;"",1,0))</f>
        <v>540</v>
      </c>
      <c r="C1610" t="e">
        <f>INDEX('Cleaned Data'!H:H,MATCH($A1610,$B$56:$B$1919,0))</f>
        <v>#N/A</v>
      </c>
      <c r="D1610" t="e">
        <f>INDEX('Cleaned Data'!L:L,MATCH($A1610,$B$56:$B$1919,0))</f>
        <v>#N/A</v>
      </c>
    </row>
    <row r="1611" spans="1:4" x14ac:dyDescent="0.25">
      <c r="A1611">
        <v>1556</v>
      </c>
      <c r="B1611">
        <f>B1610+IF('Cleaned Data'!L1557&gt;0,1,0)*IF($B$34="Overall",1,IF('Cleaned Data'!K1557=$B$34,1,0))*(IF('Cleaned Data'!H1557&lt;&gt;"",1,0))</f>
        <v>540</v>
      </c>
      <c r="C1611" t="e">
        <f>INDEX('Cleaned Data'!H:H,MATCH($A1611,$B$56:$B$1919,0))</f>
        <v>#N/A</v>
      </c>
      <c r="D1611" t="e">
        <f>INDEX('Cleaned Data'!L:L,MATCH($A1611,$B$56:$B$1919,0))</f>
        <v>#N/A</v>
      </c>
    </row>
    <row r="1612" spans="1:4" x14ac:dyDescent="0.25">
      <c r="A1612">
        <v>1557</v>
      </c>
      <c r="B1612">
        <f>B1611+IF('Cleaned Data'!L1558&gt;0,1,0)*IF($B$34="Overall",1,IF('Cleaned Data'!K1558=$B$34,1,0))*(IF('Cleaned Data'!H1558&lt;&gt;"",1,0))</f>
        <v>540</v>
      </c>
      <c r="C1612" t="e">
        <f>INDEX('Cleaned Data'!H:H,MATCH($A1612,$B$56:$B$1919,0))</f>
        <v>#N/A</v>
      </c>
      <c r="D1612" t="e">
        <f>INDEX('Cleaned Data'!L:L,MATCH($A1612,$B$56:$B$1919,0))</f>
        <v>#N/A</v>
      </c>
    </row>
    <row r="1613" spans="1:4" x14ac:dyDescent="0.25">
      <c r="A1613">
        <v>1558</v>
      </c>
      <c r="B1613">
        <f>B1612+IF('Cleaned Data'!L1559&gt;0,1,0)*IF($B$34="Overall",1,IF('Cleaned Data'!K1559=$B$34,1,0))*(IF('Cleaned Data'!H1559&lt;&gt;"",1,0))</f>
        <v>540</v>
      </c>
      <c r="C1613" t="e">
        <f>INDEX('Cleaned Data'!H:H,MATCH($A1613,$B$56:$B$1919,0))</f>
        <v>#N/A</v>
      </c>
      <c r="D1613" t="e">
        <f>INDEX('Cleaned Data'!L:L,MATCH($A1613,$B$56:$B$1919,0))</f>
        <v>#N/A</v>
      </c>
    </row>
    <row r="1614" spans="1:4" x14ac:dyDescent="0.25">
      <c r="A1614">
        <v>1559</v>
      </c>
      <c r="B1614">
        <f>B1613+IF('Cleaned Data'!L1560&gt;0,1,0)*IF($B$34="Overall",1,IF('Cleaned Data'!K1560=$B$34,1,0))*(IF('Cleaned Data'!H1560&lt;&gt;"",1,0))</f>
        <v>540</v>
      </c>
      <c r="C1614" t="e">
        <f>INDEX('Cleaned Data'!H:H,MATCH($A1614,$B$56:$B$1919,0))</f>
        <v>#N/A</v>
      </c>
      <c r="D1614" t="e">
        <f>INDEX('Cleaned Data'!L:L,MATCH($A1614,$B$56:$B$1919,0))</f>
        <v>#N/A</v>
      </c>
    </row>
    <row r="1615" spans="1:4" x14ac:dyDescent="0.25">
      <c r="A1615">
        <v>1560</v>
      </c>
      <c r="B1615">
        <f>B1614+IF('Cleaned Data'!L1561&gt;0,1,0)*IF($B$34="Overall",1,IF('Cleaned Data'!K1561=$B$34,1,0))*(IF('Cleaned Data'!H1561&lt;&gt;"",1,0))</f>
        <v>540</v>
      </c>
      <c r="C1615" t="e">
        <f>INDEX('Cleaned Data'!H:H,MATCH($A1615,$B$56:$B$1919,0))</f>
        <v>#N/A</v>
      </c>
      <c r="D1615" t="e">
        <f>INDEX('Cleaned Data'!L:L,MATCH($A1615,$B$56:$B$1919,0))</f>
        <v>#N/A</v>
      </c>
    </row>
    <row r="1616" spans="1:4" x14ac:dyDescent="0.25">
      <c r="A1616">
        <v>1561</v>
      </c>
      <c r="B1616">
        <f>B1615+IF('Cleaned Data'!L1562&gt;0,1,0)*IF($B$34="Overall",1,IF('Cleaned Data'!K1562=$B$34,1,0))*(IF('Cleaned Data'!H1562&lt;&gt;"",1,0))</f>
        <v>540</v>
      </c>
      <c r="C1616" t="e">
        <f>INDEX('Cleaned Data'!H:H,MATCH($A1616,$B$56:$B$1919,0))</f>
        <v>#N/A</v>
      </c>
      <c r="D1616" t="e">
        <f>INDEX('Cleaned Data'!L:L,MATCH($A1616,$B$56:$B$1919,0))</f>
        <v>#N/A</v>
      </c>
    </row>
    <row r="1617" spans="1:4" x14ac:dyDescent="0.25">
      <c r="A1617">
        <v>1562</v>
      </c>
      <c r="B1617">
        <f>B1616+IF('Cleaned Data'!L1563&gt;0,1,0)*IF($B$34="Overall",1,IF('Cleaned Data'!K1563=$B$34,1,0))*(IF('Cleaned Data'!H1563&lt;&gt;"",1,0))</f>
        <v>540</v>
      </c>
      <c r="C1617" t="e">
        <f>INDEX('Cleaned Data'!H:H,MATCH($A1617,$B$56:$B$1919,0))</f>
        <v>#N/A</v>
      </c>
      <c r="D1617" t="e">
        <f>INDEX('Cleaned Data'!L:L,MATCH($A1617,$B$56:$B$1919,0))</f>
        <v>#N/A</v>
      </c>
    </row>
    <row r="1618" spans="1:4" x14ac:dyDescent="0.25">
      <c r="A1618">
        <v>1563</v>
      </c>
      <c r="B1618">
        <f>B1617+IF('Cleaned Data'!L1564&gt;0,1,0)*IF($B$34="Overall",1,IF('Cleaned Data'!K1564=$B$34,1,0))*(IF('Cleaned Data'!H1564&lt;&gt;"",1,0))</f>
        <v>540</v>
      </c>
      <c r="C1618" t="e">
        <f>INDEX('Cleaned Data'!H:H,MATCH($A1618,$B$56:$B$1919,0))</f>
        <v>#N/A</v>
      </c>
      <c r="D1618" t="e">
        <f>INDEX('Cleaned Data'!L:L,MATCH($A1618,$B$56:$B$1919,0))</f>
        <v>#N/A</v>
      </c>
    </row>
    <row r="1619" spans="1:4" x14ac:dyDescent="0.25">
      <c r="A1619">
        <v>1564</v>
      </c>
      <c r="B1619">
        <f>B1618+IF('Cleaned Data'!L1565&gt;0,1,0)*IF($B$34="Overall",1,IF('Cleaned Data'!K1565=$B$34,1,0))*(IF('Cleaned Data'!H1565&lt;&gt;"",1,0))</f>
        <v>540</v>
      </c>
      <c r="C1619" t="e">
        <f>INDEX('Cleaned Data'!H:H,MATCH($A1619,$B$56:$B$1919,0))</f>
        <v>#N/A</v>
      </c>
      <c r="D1619" t="e">
        <f>INDEX('Cleaned Data'!L:L,MATCH($A1619,$B$56:$B$1919,0))</f>
        <v>#N/A</v>
      </c>
    </row>
    <row r="1620" spans="1:4" x14ac:dyDescent="0.25">
      <c r="A1620">
        <v>1565</v>
      </c>
      <c r="B1620">
        <f>B1619+IF('Cleaned Data'!L1566&gt;0,1,0)*IF($B$34="Overall",1,IF('Cleaned Data'!K1566=$B$34,1,0))*(IF('Cleaned Data'!H1566&lt;&gt;"",1,0))</f>
        <v>540</v>
      </c>
      <c r="C1620" t="e">
        <f>INDEX('Cleaned Data'!H:H,MATCH($A1620,$B$56:$B$1919,0))</f>
        <v>#N/A</v>
      </c>
      <c r="D1620" t="e">
        <f>INDEX('Cleaned Data'!L:L,MATCH($A1620,$B$56:$B$1919,0))</f>
        <v>#N/A</v>
      </c>
    </row>
    <row r="1621" spans="1:4" x14ac:dyDescent="0.25">
      <c r="A1621">
        <v>1566</v>
      </c>
      <c r="B1621">
        <f>B1620+IF('Cleaned Data'!L1567&gt;0,1,0)*IF($B$34="Overall",1,IF('Cleaned Data'!K1567=$B$34,1,0))*(IF('Cleaned Data'!H1567&lt;&gt;"",1,0))</f>
        <v>540</v>
      </c>
      <c r="C1621" t="e">
        <f>INDEX('Cleaned Data'!H:H,MATCH($A1621,$B$56:$B$1919,0))</f>
        <v>#N/A</v>
      </c>
      <c r="D1621" t="e">
        <f>INDEX('Cleaned Data'!L:L,MATCH($A1621,$B$56:$B$1919,0))</f>
        <v>#N/A</v>
      </c>
    </row>
    <row r="1622" spans="1:4" x14ac:dyDescent="0.25">
      <c r="A1622">
        <v>1567</v>
      </c>
      <c r="B1622">
        <f>B1621+IF('Cleaned Data'!L1568&gt;0,1,0)*IF($B$34="Overall",1,IF('Cleaned Data'!K1568=$B$34,1,0))*(IF('Cleaned Data'!H1568&lt;&gt;"",1,0))</f>
        <v>540</v>
      </c>
      <c r="C1622" t="e">
        <f>INDEX('Cleaned Data'!H:H,MATCH($A1622,$B$56:$B$1919,0))</f>
        <v>#N/A</v>
      </c>
      <c r="D1622" t="e">
        <f>INDEX('Cleaned Data'!L:L,MATCH($A1622,$B$56:$B$1919,0))</f>
        <v>#N/A</v>
      </c>
    </row>
    <row r="1623" spans="1:4" x14ac:dyDescent="0.25">
      <c r="A1623">
        <v>1568</v>
      </c>
      <c r="B1623">
        <f>B1622+IF('Cleaned Data'!L1569&gt;0,1,0)*IF($B$34="Overall",1,IF('Cleaned Data'!K1569=$B$34,1,0))*(IF('Cleaned Data'!H1569&lt;&gt;"",1,0))</f>
        <v>540</v>
      </c>
      <c r="C1623" t="e">
        <f>INDEX('Cleaned Data'!H:H,MATCH($A1623,$B$56:$B$1919,0))</f>
        <v>#N/A</v>
      </c>
      <c r="D1623" t="e">
        <f>INDEX('Cleaned Data'!L:L,MATCH($A1623,$B$56:$B$1919,0))</f>
        <v>#N/A</v>
      </c>
    </row>
    <row r="1624" spans="1:4" x14ac:dyDescent="0.25">
      <c r="A1624">
        <v>1569</v>
      </c>
      <c r="B1624">
        <f>B1623+IF('Cleaned Data'!L1570&gt;0,1,0)*IF($B$34="Overall",1,IF('Cleaned Data'!K1570=$B$34,1,0))*(IF('Cleaned Data'!H1570&lt;&gt;"",1,0))</f>
        <v>540</v>
      </c>
      <c r="C1624" t="e">
        <f>INDEX('Cleaned Data'!H:H,MATCH($A1624,$B$56:$B$1919,0))</f>
        <v>#N/A</v>
      </c>
      <c r="D1624" t="e">
        <f>INDEX('Cleaned Data'!L:L,MATCH($A1624,$B$56:$B$1919,0))</f>
        <v>#N/A</v>
      </c>
    </row>
    <row r="1625" spans="1:4" x14ac:dyDescent="0.25">
      <c r="A1625">
        <v>1570</v>
      </c>
      <c r="B1625">
        <f>B1624+IF('Cleaned Data'!L1571&gt;0,1,0)*IF($B$34="Overall",1,IF('Cleaned Data'!K1571=$B$34,1,0))*(IF('Cleaned Data'!H1571&lt;&gt;"",1,0))</f>
        <v>540</v>
      </c>
      <c r="C1625" t="e">
        <f>INDEX('Cleaned Data'!H:H,MATCH($A1625,$B$56:$B$1919,0))</f>
        <v>#N/A</v>
      </c>
      <c r="D1625" t="e">
        <f>INDEX('Cleaned Data'!L:L,MATCH($A1625,$B$56:$B$1919,0))</f>
        <v>#N/A</v>
      </c>
    </row>
    <row r="1626" spans="1:4" x14ac:dyDescent="0.25">
      <c r="A1626">
        <v>1571</v>
      </c>
      <c r="B1626">
        <f>B1625+IF('Cleaned Data'!L1572&gt;0,1,0)*IF($B$34="Overall",1,IF('Cleaned Data'!K1572=$B$34,1,0))*(IF('Cleaned Data'!H1572&lt;&gt;"",1,0))</f>
        <v>540</v>
      </c>
      <c r="C1626" t="e">
        <f>INDEX('Cleaned Data'!H:H,MATCH($A1626,$B$56:$B$1919,0))</f>
        <v>#N/A</v>
      </c>
      <c r="D1626" t="e">
        <f>INDEX('Cleaned Data'!L:L,MATCH($A1626,$B$56:$B$1919,0))</f>
        <v>#N/A</v>
      </c>
    </row>
    <row r="1627" spans="1:4" x14ac:dyDescent="0.25">
      <c r="A1627">
        <v>1572</v>
      </c>
      <c r="B1627">
        <f>B1626+IF('Cleaned Data'!L1573&gt;0,1,0)*IF($B$34="Overall",1,IF('Cleaned Data'!K1573=$B$34,1,0))*(IF('Cleaned Data'!H1573&lt;&gt;"",1,0))</f>
        <v>540</v>
      </c>
      <c r="C1627" t="e">
        <f>INDEX('Cleaned Data'!H:H,MATCH($A1627,$B$56:$B$1919,0))</f>
        <v>#N/A</v>
      </c>
      <c r="D1627" t="e">
        <f>INDEX('Cleaned Data'!L:L,MATCH($A1627,$B$56:$B$1919,0))</f>
        <v>#N/A</v>
      </c>
    </row>
    <row r="1628" spans="1:4" x14ac:dyDescent="0.25">
      <c r="A1628">
        <v>1573</v>
      </c>
      <c r="B1628">
        <f>B1627+IF('Cleaned Data'!L1574&gt;0,1,0)*IF($B$34="Overall",1,IF('Cleaned Data'!K1574=$B$34,1,0))*(IF('Cleaned Data'!H1574&lt;&gt;"",1,0))</f>
        <v>540</v>
      </c>
      <c r="C1628" t="e">
        <f>INDEX('Cleaned Data'!H:H,MATCH($A1628,$B$56:$B$1919,0))</f>
        <v>#N/A</v>
      </c>
      <c r="D1628" t="e">
        <f>INDEX('Cleaned Data'!L:L,MATCH($A1628,$B$56:$B$1919,0))</f>
        <v>#N/A</v>
      </c>
    </row>
    <row r="1629" spans="1:4" x14ac:dyDescent="0.25">
      <c r="A1629">
        <v>1574</v>
      </c>
      <c r="B1629">
        <f>B1628+IF('Cleaned Data'!L1575&gt;0,1,0)*IF($B$34="Overall",1,IF('Cleaned Data'!K1575=$B$34,1,0))*(IF('Cleaned Data'!H1575&lt;&gt;"",1,0))</f>
        <v>540</v>
      </c>
      <c r="C1629" t="e">
        <f>INDEX('Cleaned Data'!H:H,MATCH($A1629,$B$56:$B$1919,0))</f>
        <v>#N/A</v>
      </c>
      <c r="D1629" t="e">
        <f>INDEX('Cleaned Data'!L:L,MATCH($A1629,$B$56:$B$1919,0))</f>
        <v>#N/A</v>
      </c>
    </row>
    <row r="1630" spans="1:4" x14ac:dyDescent="0.25">
      <c r="A1630">
        <v>1575</v>
      </c>
      <c r="B1630">
        <f>B1629+IF('Cleaned Data'!L1576&gt;0,1,0)*IF($B$34="Overall",1,IF('Cleaned Data'!K1576=$B$34,1,0))*(IF('Cleaned Data'!H1576&lt;&gt;"",1,0))</f>
        <v>540</v>
      </c>
      <c r="C1630" t="e">
        <f>INDEX('Cleaned Data'!H:H,MATCH($A1630,$B$56:$B$1919,0))</f>
        <v>#N/A</v>
      </c>
      <c r="D1630" t="e">
        <f>INDEX('Cleaned Data'!L:L,MATCH($A1630,$B$56:$B$1919,0))</f>
        <v>#N/A</v>
      </c>
    </row>
    <row r="1631" spans="1:4" x14ac:dyDescent="0.25">
      <c r="A1631">
        <v>1576</v>
      </c>
      <c r="B1631">
        <f>B1630+IF('Cleaned Data'!L1577&gt;0,1,0)*IF($B$34="Overall",1,IF('Cleaned Data'!K1577=$B$34,1,0))*(IF('Cleaned Data'!H1577&lt;&gt;"",1,0))</f>
        <v>540</v>
      </c>
      <c r="C1631" t="e">
        <f>INDEX('Cleaned Data'!H:H,MATCH($A1631,$B$56:$B$1919,0))</f>
        <v>#N/A</v>
      </c>
      <c r="D1631" t="e">
        <f>INDEX('Cleaned Data'!L:L,MATCH($A1631,$B$56:$B$1919,0))</f>
        <v>#N/A</v>
      </c>
    </row>
    <row r="1632" spans="1:4" x14ac:dyDescent="0.25">
      <c r="A1632">
        <v>1577</v>
      </c>
      <c r="B1632">
        <f>B1631+IF('Cleaned Data'!L1578&gt;0,1,0)*IF($B$34="Overall",1,IF('Cleaned Data'!K1578=$B$34,1,0))*(IF('Cleaned Data'!H1578&lt;&gt;"",1,0))</f>
        <v>540</v>
      </c>
      <c r="C1632" t="e">
        <f>INDEX('Cleaned Data'!H:H,MATCH($A1632,$B$56:$B$1919,0))</f>
        <v>#N/A</v>
      </c>
      <c r="D1632" t="e">
        <f>INDEX('Cleaned Data'!L:L,MATCH($A1632,$B$56:$B$1919,0))</f>
        <v>#N/A</v>
      </c>
    </row>
    <row r="1633" spans="1:4" x14ac:dyDescent="0.25">
      <c r="A1633">
        <v>1578</v>
      </c>
      <c r="B1633">
        <f>B1632+IF('Cleaned Data'!L1579&gt;0,1,0)*IF($B$34="Overall",1,IF('Cleaned Data'!K1579=$B$34,1,0))*(IF('Cleaned Data'!H1579&lt;&gt;"",1,0))</f>
        <v>540</v>
      </c>
      <c r="C1633" t="e">
        <f>INDEX('Cleaned Data'!H:H,MATCH($A1633,$B$56:$B$1919,0))</f>
        <v>#N/A</v>
      </c>
      <c r="D1633" t="e">
        <f>INDEX('Cleaned Data'!L:L,MATCH($A1633,$B$56:$B$1919,0))</f>
        <v>#N/A</v>
      </c>
    </row>
    <row r="1634" spans="1:4" x14ac:dyDescent="0.25">
      <c r="A1634">
        <v>1579</v>
      </c>
      <c r="B1634">
        <f>B1633+IF('Cleaned Data'!L1580&gt;0,1,0)*IF($B$34="Overall",1,IF('Cleaned Data'!K1580=$B$34,1,0))*(IF('Cleaned Data'!H1580&lt;&gt;"",1,0))</f>
        <v>540</v>
      </c>
      <c r="C1634" t="e">
        <f>INDEX('Cleaned Data'!H:H,MATCH($A1634,$B$56:$B$1919,0))</f>
        <v>#N/A</v>
      </c>
      <c r="D1634" t="e">
        <f>INDEX('Cleaned Data'!L:L,MATCH($A1634,$B$56:$B$1919,0))</f>
        <v>#N/A</v>
      </c>
    </row>
    <row r="1635" spans="1:4" x14ac:dyDescent="0.25">
      <c r="A1635">
        <v>1580</v>
      </c>
      <c r="B1635">
        <f>B1634+IF('Cleaned Data'!L1581&gt;0,1,0)*IF($B$34="Overall",1,IF('Cleaned Data'!K1581=$B$34,1,0))*(IF('Cleaned Data'!H1581&lt;&gt;"",1,0))</f>
        <v>540</v>
      </c>
      <c r="C1635" t="e">
        <f>INDEX('Cleaned Data'!H:H,MATCH($A1635,$B$56:$B$1919,0))</f>
        <v>#N/A</v>
      </c>
      <c r="D1635" t="e">
        <f>INDEX('Cleaned Data'!L:L,MATCH($A1635,$B$56:$B$1919,0))</f>
        <v>#N/A</v>
      </c>
    </row>
    <row r="1636" spans="1:4" x14ac:dyDescent="0.25">
      <c r="A1636">
        <v>1581</v>
      </c>
      <c r="B1636">
        <f>B1635+IF('Cleaned Data'!L1582&gt;0,1,0)*IF($B$34="Overall",1,IF('Cleaned Data'!K1582=$B$34,1,0))*(IF('Cleaned Data'!H1582&lt;&gt;"",1,0))</f>
        <v>540</v>
      </c>
      <c r="C1636" t="e">
        <f>INDEX('Cleaned Data'!H:H,MATCH($A1636,$B$56:$B$1919,0))</f>
        <v>#N/A</v>
      </c>
      <c r="D1636" t="e">
        <f>INDEX('Cleaned Data'!L:L,MATCH($A1636,$B$56:$B$1919,0))</f>
        <v>#N/A</v>
      </c>
    </row>
    <row r="1637" spans="1:4" x14ac:dyDescent="0.25">
      <c r="A1637">
        <v>1582</v>
      </c>
      <c r="B1637">
        <f>B1636+IF('Cleaned Data'!L1583&gt;0,1,0)*IF($B$34="Overall",1,IF('Cleaned Data'!K1583=$B$34,1,0))*(IF('Cleaned Data'!H1583&lt;&gt;"",1,0))</f>
        <v>540</v>
      </c>
      <c r="C1637" t="e">
        <f>INDEX('Cleaned Data'!H:H,MATCH($A1637,$B$56:$B$1919,0))</f>
        <v>#N/A</v>
      </c>
      <c r="D1637" t="e">
        <f>INDEX('Cleaned Data'!L:L,MATCH($A1637,$B$56:$B$1919,0))</f>
        <v>#N/A</v>
      </c>
    </row>
    <row r="1638" spans="1:4" x14ac:dyDescent="0.25">
      <c r="A1638">
        <v>1583</v>
      </c>
      <c r="B1638">
        <f>B1637+IF('Cleaned Data'!L1584&gt;0,1,0)*IF($B$34="Overall",1,IF('Cleaned Data'!K1584=$B$34,1,0))*(IF('Cleaned Data'!H1584&lt;&gt;"",1,0))</f>
        <v>540</v>
      </c>
      <c r="C1638" t="e">
        <f>INDEX('Cleaned Data'!H:H,MATCH($A1638,$B$56:$B$1919,0))</f>
        <v>#N/A</v>
      </c>
      <c r="D1638" t="e">
        <f>INDEX('Cleaned Data'!L:L,MATCH($A1638,$B$56:$B$1919,0))</f>
        <v>#N/A</v>
      </c>
    </row>
    <row r="1639" spans="1:4" x14ac:dyDescent="0.25">
      <c r="A1639">
        <v>1584</v>
      </c>
      <c r="B1639">
        <f>B1638+IF('Cleaned Data'!L1585&gt;0,1,0)*IF($B$34="Overall",1,IF('Cleaned Data'!K1585=$B$34,1,0))*(IF('Cleaned Data'!H1585&lt;&gt;"",1,0))</f>
        <v>540</v>
      </c>
      <c r="C1639" t="e">
        <f>INDEX('Cleaned Data'!H:H,MATCH($A1639,$B$56:$B$1919,0))</f>
        <v>#N/A</v>
      </c>
      <c r="D1639" t="e">
        <f>INDEX('Cleaned Data'!L:L,MATCH($A1639,$B$56:$B$1919,0))</f>
        <v>#N/A</v>
      </c>
    </row>
    <row r="1640" spans="1:4" x14ac:dyDescent="0.25">
      <c r="A1640">
        <v>1585</v>
      </c>
      <c r="B1640">
        <f>B1639+IF('Cleaned Data'!L1586&gt;0,1,0)*IF($B$34="Overall",1,IF('Cleaned Data'!K1586=$B$34,1,0))*(IF('Cleaned Data'!H1586&lt;&gt;"",1,0))</f>
        <v>540</v>
      </c>
      <c r="C1640" t="e">
        <f>INDEX('Cleaned Data'!H:H,MATCH($A1640,$B$56:$B$1919,0))</f>
        <v>#N/A</v>
      </c>
      <c r="D1640" t="e">
        <f>INDEX('Cleaned Data'!L:L,MATCH($A1640,$B$56:$B$1919,0))</f>
        <v>#N/A</v>
      </c>
    </row>
    <row r="1641" spans="1:4" x14ac:dyDescent="0.25">
      <c r="A1641">
        <v>1586</v>
      </c>
      <c r="B1641">
        <f>B1640+IF('Cleaned Data'!L1587&gt;0,1,0)*IF($B$34="Overall",1,IF('Cleaned Data'!K1587=$B$34,1,0))*(IF('Cleaned Data'!H1587&lt;&gt;"",1,0))</f>
        <v>540</v>
      </c>
      <c r="C1641" t="e">
        <f>INDEX('Cleaned Data'!H:H,MATCH($A1641,$B$56:$B$1919,0))</f>
        <v>#N/A</v>
      </c>
      <c r="D1641" t="e">
        <f>INDEX('Cleaned Data'!L:L,MATCH($A1641,$B$56:$B$1919,0))</f>
        <v>#N/A</v>
      </c>
    </row>
    <row r="1642" spans="1:4" x14ac:dyDescent="0.25">
      <c r="A1642">
        <v>1587</v>
      </c>
      <c r="B1642">
        <f>B1641+IF('Cleaned Data'!L1588&gt;0,1,0)*IF($B$34="Overall",1,IF('Cleaned Data'!K1588=$B$34,1,0))*(IF('Cleaned Data'!H1588&lt;&gt;"",1,0))</f>
        <v>540</v>
      </c>
      <c r="C1642" t="e">
        <f>INDEX('Cleaned Data'!H:H,MATCH($A1642,$B$56:$B$1919,0))</f>
        <v>#N/A</v>
      </c>
      <c r="D1642" t="e">
        <f>INDEX('Cleaned Data'!L:L,MATCH($A1642,$B$56:$B$1919,0))</f>
        <v>#N/A</v>
      </c>
    </row>
    <row r="1643" spans="1:4" x14ac:dyDescent="0.25">
      <c r="A1643">
        <v>1588</v>
      </c>
      <c r="B1643">
        <f>B1642+IF('Cleaned Data'!L1589&gt;0,1,0)*IF($B$34="Overall",1,IF('Cleaned Data'!K1589=$B$34,1,0))*(IF('Cleaned Data'!H1589&lt;&gt;"",1,0))</f>
        <v>540</v>
      </c>
      <c r="C1643" t="e">
        <f>INDEX('Cleaned Data'!H:H,MATCH($A1643,$B$56:$B$1919,0))</f>
        <v>#N/A</v>
      </c>
      <c r="D1643" t="e">
        <f>INDEX('Cleaned Data'!L:L,MATCH($A1643,$B$56:$B$1919,0))</f>
        <v>#N/A</v>
      </c>
    </row>
    <row r="1644" spans="1:4" x14ac:dyDescent="0.25">
      <c r="A1644">
        <v>1589</v>
      </c>
      <c r="B1644">
        <f>B1643+IF('Cleaned Data'!L1590&gt;0,1,0)*IF($B$34="Overall",1,IF('Cleaned Data'!K1590=$B$34,1,0))*(IF('Cleaned Data'!H1590&lt;&gt;"",1,0))</f>
        <v>540</v>
      </c>
      <c r="C1644" t="e">
        <f>INDEX('Cleaned Data'!H:H,MATCH($A1644,$B$56:$B$1919,0))</f>
        <v>#N/A</v>
      </c>
      <c r="D1644" t="e">
        <f>INDEX('Cleaned Data'!L:L,MATCH($A1644,$B$56:$B$1919,0))</f>
        <v>#N/A</v>
      </c>
    </row>
    <row r="1645" spans="1:4" x14ac:dyDescent="0.25">
      <c r="A1645">
        <v>1590</v>
      </c>
      <c r="B1645">
        <f>B1644+IF('Cleaned Data'!L1591&gt;0,1,0)*IF($B$34="Overall",1,IF('Cleaned Data'!K1591=$B$34,1,0))*(IF('Cleaned Data'!H1591&lt;&gt;"",1,0))</f>
        <v>540</v>
      </c>
      <c r="C1645" t="e">
        <f>INDEX('Cleaned Data'!H:H,MATCH($A1645,$B$56:$B$1919,0))</f>
        <v>#N/A</v>
      </c>
      <c r="D1645" t="e">
        <f>INDEX('Cleaned Data'!L:L,MATCH($A1645,$B$56:$B$1919,0))</f>
        <v>#N/A</v>
      </c>
    </row>
    <row r="1646" spans="1:4" x14ac:dyDescent="0.25">
      <c r="A1646">
        <v>1591</v>
      </c>
      <c r="B1646">
        <f>B1645+IF('Cleaned Data'!L1592&gt;0,1,0)*IF($B$34="Overall",1,IF('Cleaned Data'!K1592=$B$34,1,0))*(IF('Cleaned Data'!H1592&lt;&gt;"",1,0))</f>
        <v>540</v>
      </c>
      <c r="C1646" t="e">
        <f>INDEX('Cleaned Data'!H:H,MATCH($A1646,$B$56:$B$1919,0))</f>
        <v>#N/A</v>
      </c>
      <c r="D1646" t="e">
        <f>INDEX('Cleaned Data'!L:L,MATCH($A1646,$B$56:$B$1919,0))</f>
        <v>#N/A</v>
      </c>
    </row>
    <row r="1647" spans="1:4" x14ac:dyDescent="0.25">
      <c r="A1647">
        <v>1592</v>
      </c>
      <c r="B1647">
        <f>B1646+IF('Cleaned Data'!L1593&gt;0,1,0)*IF($B$34="Overall",1,IF('Cleaned Data'!K1593=$B$34,1,0))*(IF('Cleaned Data'!H1593&lt;&gt;"",1,0))</f>
        <v>540</v>
      </c>
      <c r="C1647" t="e">
        <f>INDEX('Cleaned Data'!H:H,MATCH($A1647,$B$56:$B$1919,0))</f>
        <v>#N/A</v>
      </c>
      <c r="D1647" t="e">
        <f>INDEX('Cleaned Data'!L:L,MATCH($A1647,$B$56:$B$1919,0))</f>
        <v>#N/A</v>
      </c>
    </row>
    <row r="1648" spans="1:4" x14ac:dyDescent="0.25">
      <c r="A1648">
        <v>1593</v>
      </c>
      <c r="B1648">
        <f>B1647+IF('Cleaned Data'!L1594&gt;0,1,0)*IF($B$34="Overall",1,IF('Cleaned Data'!K1594=$B$34,1,0))*(IF('Cleaned Data'!H1594&lt;&gt;"",1,0))</f>
        <v>540</v>
      </c>
      <c r="C1648" t="e">
        <f>INDEX('Cleaned Data'!H:H,MATCH($A1648,$B$56:$B$1919,0))</f>
        <v>#N/A</v>
      </c>
      <c r="D1648" t="e">
        <f>INDEX('Cleaned Data'!L:L,MATCH($A1648,$B$56:$B$1919,0))</f>
        <v>#N/A</v>
      </c>
    </row>
    <row r="1649" spans="1:4" x14ac:dyDescent="0.25">
      <c r="A1649">
        <v>1594</v>
      </c>
      <c r="B1649">
        <f>B1648+IF('Cleaned Data'!L1595&gt;0,1,0)*IF($B$34="Overall",1,IF('Cleaned Data'!K1595=$B$34,1,0))*(IF('Cleaned Data'!H1595&lt;&gt;"",1,0))</f>
        <v>540</v>
      </c>
      <c r="C1649" t="e">
        <f>INDEX('Cleaned Data'!H:H,MATCH($A1649,$B$56:$B$1919,0))</f>
        <v>#N/A</v>
      </c>
      <c r="D1649" t="e">
        <f>INDEX('Cleaned Data'!L:L,MATCH($A1649,$B$56:$B$1919,0))</f>
        <v>#N/A</v>
      </c>
    </row>
    <row r="1650" spans="1:4" x14ac:dyDescent="0.25">
      <c r="A1650">
        <v>1595</v>
      </c>
      <c r="B1650">
        <f>B1649+IF('Cleaned Data'!L1596&gt;0,1,0)*IF($B$34="Overall",1,IF('Cleaned Data'!K1596=$B$34,1,0))*(IF('Cleaned Data'!H1596&lt;&gt;"",1,0))</f>
        <v>540</v>
      </c>
      <c r="C1650" t="e">
        <f>INDEX('Cleaned Data'!H:H,MATCH($A1650,$B$56:$B$1919,0))</f>
        <v>#N/A</v>
      </c>
      <c r="D1650" t="e">
        <f>INDEX('Cleaned Data'!L:L,MATCH($A1650,$B$56:$B$1919,0))</f>
        <v>#N/A</v>
      </c>
    </row>
    <row r="1651" spans="1:4" x14ac:dyDescent="0.25">
      <c r="A1651">
        <v>1596</v>
      </c>
      <c r="B1651">
        <f>B1650+IF('Cleaned Data'!L1597&gt;0,1,0)*IF($B$34="Overall",1,IF('Cleaned Data'!K1597=$B$34,1,0))*(IF('Cleaned Data'!H1597&lt;&gt;"",1,0))</f>
        <v>540</v>
      </c>
      <c r="C1651" t="e">
        <f>INDEX('Cleaned Data'!H:H,MATCH($A1651,$B$56:$B$1919,0))</f>
        <v>#N/A</v>
      </c>
      <c r="D1651" t="e">
        <f>INDEX('Cleaned Data'!L:L,MATCH($A1651,$B$56:$B$1919,0))</f>
        <v>#N/A</v>
      </c>
    </row>
    <row r="1652" spans="1:4" x14ac:dyDescent="0.25">
      <c r="A1652">
        <v>1597</v>
      </c>
      <c r="B1652">
        <f>B1651+IF('Cleaned Data'!L1598&gt;0,1,0)*IF($B$34="Overall",1,IF('Cleaned Data'!K1598=$B$34,1,0))*(IF('Cleaned Data'!H1598&lt;&gt;"",1,0))</f>
        <v>540</v>
      </c>
      <c r="C1652" t="e">
        <f>INDEX('Cleaned Data'!H:H,MATCH($A1652,$B$56:$B$1919,0))</f>
        <v>#N/A</v>
      </c>
      <c r="D1652" t="e">
        <f>INDEX('Cleaned Data'!L:L,MATCH($A1652,$B$56:$B$1919,0))</f>
        <v>#N/A</v>
      </c>
    </row>
    <row r="1653" spans="1:4" x14ac:dyDescent="0.25">
      <c r="A1653">
        <v>1598</v>
      </c>
      <c r="B1653">
        <f>B1652+IF('Cleaned Data'!L1599&gt;0,1,0)*IF($B$34="Overall",1,IF('Cleaned Data'!K1599=$B$34,1,0))*(IF('Cleaned Data'!H1599&lt;&gt;"",1,0))</f>
        <v>540</v>
      </c>
      <c r="C1653" t="e">
        <f>INDEX('Cleaned Data'!H:H,MATCH($A1653,$B$56:$B$1919,0))</f>
        <v>#N/A</v>
      </c>
      <c r="D1653" t="e">
        <f>INDEX('Cleaned Data'!L:L,MATCH($A1653,$B$56:$B$1919,0))</f>
        <v>#N/A</v>
      </c>
    </row>
    <row r="1654" spans="1:4" x14ac:dyDescent="0.25">
      <c r="A1654">
        <v>1599</v>
      </c>
      <c r="B1654">
        <f>B1653+IF('Cleaned Data'!L1600&gt;0,1,0)*IF($B$34="Overall",1,IF('Cleaned Data'!K1600=$B$34,1,0))*(IF('Cleaned Data'!H1600&lt;&gt;"",1,0))</f>
        <v>540</v>
      </c>
      <c r="C1654" t="e">
        <f>INDEX('Cleaned Data'!H:H,MATCH($A1654,$B$56:$B$1919,0))</f>
        <v>#N/A</v>
      </c>
      <c r="D1654" t="e">
        <f>INDEX('Cleaned Data'!L:L,MATCH($A1654,$B$56:$B$1919,0))</f>
        <v>#N/A</v>
      </c>
    </row>
    <row r="1655" spans="1:4" x14ac:dyDescent="0.25">
      <c r="A1655">
        <v>1600</v>
      </c>
      <c r="B1655">
        <f>B1654+IF('Cleaned Data'!L1601&gt;0,1,0)*IF($B$34="Overall",1,IF('Cleaned Data'!K1601=$B$34,1,0))*(IF('Cleaned Data'!H1601&lt;&gt;"",1,0))</f>
        <v>540</v>
      </c>
      <c r="C1655" t="e">
        <f>INDEX('Cleaned Data'!H:H,MATCH($A1655,$B$56:$B$1919,0))</f>
        <v>#N/A</v>
      </c>
      <c r="D1655" t="e">
        <f>INDEX('Cleaned Data'!L:L,MATCH($A1655,$B$56:$B$1919,0))</f>
        <v>#N/A</v>
      </c>
    </row>
    <row r="1656" spans="1:4" x14ac:dyDescent="0.25">
      <c r="A1656">
        <v>1601</v>
      </c>
      <c r="B1656">
        <f>B1655+IF('Cleaned Data'!L1602&gt;0,1,0)*IF($B$34="Overall",1,IF('Cleaned Data'!K1602=$B$34,1,0))*(IF('Cleaned Data'!H1602&lt;&gt;"",1,0))</f>
        <v>540</v>
      </c>
      <c r="C1656" t="e">
        <f>INDEX('Cleaned Data'!H:H,MATCH($A1656,$B$56:$B$1919,0))</f>
        <v>#N/A</v>
      </c>
      <c r="D1656" t="e">
        <f>INDEX('Cleaned Data'!L:L,MATCH($A1656,$B$56:$B$1919,0))</f>
        <v>#N/A</v>
      </c>
    </row>
    <row r="1657" spans="1:4" x14ac:dyDescent="0.25">
      <c r="A1657">
        <v>1602</v>
      </c>
      <c r="B1657">
        <f>B1656+IF('Cleaned Data'!L1603&gt;0,1,0)*IF($B$34="Overall",1,IF('Cleaned Data'!K1603=$B$34,1,0))*(IF('Cleaned Data'!H1603&lt;&gt;"",1,0))</f>
        <v>540</v>
      </c>
      <c r="C1657" t="e">
        <f>INDEX('Cleaned Data'!H:H,MATCH($A1657,$B$56:$B$1919,0))</f>
        <v>#N/A</v>
      </c>
      <c r="D1657" t="e">
        <f>INDEX('Cleaned Data'!L:L,MATCH($A1657,$B$56:$B$1919,0))</f>
        <v>#N/A</v>
      </c>
    </row>
    <row r="1658" spans="1:4" x14ac:dyDescent="0.25">
      <c r="A1658">
        <v>1603</v>
      </c>
      <c r="B1658">
        <f>B1657+IF('Cleaned Data'!L1604&gt;0,1,0)*IF($B$34="Overall",1,IF('Cleaned Data'!K1604=$B$34,1,0))*(IF('Cleaned Data'!H1604&lt;&gt;"",1,0))</f>
        <v>540</v>
      </c>
      <c r="C1658" t="e">
        <f>INDEX('Cleaned Data'!H:H,MATCH($A1658,$B$56:$B$1919,0))</f>
        <v>#N/A</v>
      </c>
      <c r="D1658" t="e">
        <f>INDEX('Cleaned Data'!L:L,MATCH($A1658,$B$56:$B$1919,0))</f>
        <v>#N/A</v>
      </c>
    </row>
    <row r="1659" spans="1:4" x14ac:dyDescent="0.25">
      <c r="A1659">
        <v>1604</v>
      </c>
      <c r="B1659">
        <f>B1658+IF('Cleaned Data'!L1605&gt;0,1,0)*IF($B$34="Overall",1,IF('Cleaned Data'!K1605=$B$34,1,0))*(IF('Cleaned Data'!H1605&lt;&gt;"",1,0))</f>
        <v>540</v>
      </c>
      <c r="C1659" t="e">
        <f>INDEX('Cleaned Data'!H:H,MATCH($A1659,$B$56:$B$1919,0))</f>
        <v>#N/A</v>
      </c>
      <c r="D1659" t="e">
        <f>INDEX('Cleaned Data'!L:L,MATCH($A1659,$B$56:$B$1919,0))</f>
        <v>#N/A</v>
      </c>
    </row>
    <row r="1660" spans="1:4" x14ac:dyDescent="0.25">
      <c r="A1660">
        <v>1605</v>
      </c>
      <c r="B1660">
        <f>B1659+IF('Cleaned Data'!L1606&gt;0,1,0)*IF($B$34="Overall",1,IF('Cleaned Data'!K1606=$B$34,1,0))*(IF('Cleaned Data'!H1606&lt;&gt;"",1,0))</f>
        <v>540</v>
      </c>
      <c r="C1660" t="e">
        <f>INDEX('Cleaned Data'!H:H,MATCH($A1660,$B$56:$B$1919,0))</f>
        <v>#N/A</v>
      </c>
      <c r="D1660" t="e">
        <f>INDEX('Cleaned Data'!L:L,MATCH($A1660,$B$56:$B$1919,0))</f>
        <v>#N/A</v>
      </c>
    </row>
    <row r="1661" spans="1:4" x14ac:dyDescent="0.25">
      <c r="A1661">
        <v>1606</v>
      </c>
      <c r="B1661">
        <f>B1660+IF('Cleaned Data'!L1607&gt;0,1,0)*IF($B$34="Overall",1,IF('Cleaned Data'!K1607=$B$34,1,0))*(IF('Cleaned Data'!H1607&lt;&gt;"",1,0))</f>
        <v>540</v>
      </c>
      <c r="C1661" t="e">
        <f>INDEX('Cleaned Data'!H:H,MATCH($A1661,$B$56:$B$1919,0))</f>
        <v>#N/A</v>
      </c>
      <c r="D1661" t="e">
        <f>INDEX('Cleaned Data'!L:L,MATCH($A1661,$B$56:$B$1919,0))</f>
        <v>#N/A</v>
      </c>
    </row>
    <row r="1662" spans="1:4" x14ac:dyDescent="0.25">
      <c r="A1662">
        <v>1607</v>
      </c>
      <c r="B1662">
        <f>B1661+IF('Cleaned Data'!L1608&gt;0,1,0)*IF($B$34="Overall",1,IF('Cleaned Data'!K1608=$B$34,1,0))*(IF('Cleaned Data'!H1608&lt;&gt;"",1,0))</f>
        <v>540</v>
      </c>
      <c r="C1662" t="e">
        <f>INDEX('Cleaned Data'!H:H,MATCH($A1662,$B$56:$B$1919,0))</f>
        <v>#N/A</v>
      </c>
      <c r="D1662" t="e">
        <f>INDEX('Cleaned Data'!L:L,MATCH($A1662,$B$56:$B$1919,0))</f>
        <v>#N/A</v>
      </c>
    </row>
    <row r="1663" spans="1:4" x14ac:dyDescent="0.25">
      <c r="A1663">
        <v>1608</v>
      </c>
      <c r="B1663">
        <f>B1662+IF('Cleaned Data'!L1609&gt;0,1,0)*IF($B$34="Overall",1,IF('Cleaned Data'!K1609=$B$34,1,0))*(IF('Cleaned Data'!H1609&lt;&gt;"",1,0))</f>
        <v>540</v>
      </c>
      <c r="C1663" t="e">
        <f>INDEX('Cleaned Data'!H:H,MATCH($A1663,$B$56:$B$1919,0))</f>
        <v>#N/A</v>
      </c>
      <c r="D1663" t="e">
        <f>INDEX('Cleaned Data'!L:L,MATCH($A1663,$B$56:$B$1919,0))</f>
        <v>#N/A</v>
      </c>
    </row>
    <row r="1664" spans="1:4" x14ac:dyDescent="0.25">
      <c r="A1664">
        <v>1609</v>
      </c>
      <c r="B1664">
        <f>B1663+IF('Cleaned Data'!L1610&gt;0,1,0)*IF($B$34="Overall",1,IF('Cleaned Data'!K1610=$B$34,1,0))*(IF('Cleaned Data'!H1610&lt;&gt;"",1,0))</f>
        <v>540</v>
      </c>
      <c r="C1664" t="e">
        <f>INDEX('Cleaned Data'!H:H,MATCH($A1664,$B$56:$B$1919,0))</f>
        <v>#N/A</v>
      </c>
      <c r="D1664" t="e">
        <f>INDEX('Cleaned Data'!L:L,MATCH($A1664,$B$56:$B$1919,0))</f>
        <v>#N/A</v>
      </c>
    </row>
    <row r="1665" spans="1:4" x14ac:dyDescent="0.25">
      <c r="A1665">
        <v>1610</v>
      </c>
      <c r="B1665">
        <f>B1664+IF('Cleaned Data'!L1611&gt;0,1,0)*IF($B$34="Overall",1,IF('Cleaned Data'!K1611=$B$34,1,0))*(IF('Cleaned Data'!H1611&lt;&gt;"",1,0))</f>
        <v>540</v>
      </c>
      <c r="C1665" t="e">
        <f>INDEX('Cleaned Data'!H:H,MATCH($A1665,$B$56:$B$1919,0))</f>
        <v>#N/A</v>
      </c>
      <c r="D1665" t="e">
        <f>INDEX('Cleaned Data'!L:L,MATCH($A1665,$B$56:$B$1919,0))</f>
        <v>#N/A</v>
      </c>
    </row>
    <row r="1666" spans="1:4" x14ac:dyDescent="0.25">
      <c r="A1666">
        <v>1611</v>
      </c>
      <c r="B1666">
        <f>B1665+IF('Cleaned Data'!L1612&gt;0,1,0)*IF($B$34="Overall",1,IF('Cleaned Data'!K1612=$B$34,1,0))*(IF('Cleaned Data'!H1612&lt;&gt;"",1,0))</f>
        <v>540</v>
      </c>
      <c r="C1666" t="e">
        <f>INDEX('Cleaned Data'!H:H,MATCH($A1666,$B$56:$B$1919,0))</f>
        <v>#N/A</v>
      </c>
      <c r="D1666" t="e">
        <f>INDEX('Cleaned Data'!L:L,MATCH($A1666,$B$56:$B$1919,0))</f>
        <v>#N/A</v>
      </c>
    </row>
    <row r="1667" spans="1:4" x14ac:dyDescent="0.25">
      <c r="A1667">
        <v>1612</v>
      </c>
      <c r="B1667">
        <f>B1666+IF('Cleaned Data'!L1613&gt;0,1,0)*IF($B$34="Overall",1,IF('Cleaned Data'!K1613=$B$34,1,0))*(IF('Cleaned Data'!H1613&lt;&gt;"",1,0))</f>
        <v>540</v>
      </c>
      <c r="C1667" t="e">
        <f>INDEX('Cleaned Data'!H:H,MATCH($A1667,$B$56:$B$1919,0))</f>
        <v>#N/A</v>
      </c>
      <c r="D1667" t="e">
        <f>INDEX('Cleaned Data'!L:L,MATCH($A1667,$B$56:$B$1919,0))</f>
        <v>#N/A</v>
      </c>
    </row>
    <row r="1668" spans="1:4" x14ac:dyDescent="0.25">
      <c r="A1668">
        <v>1613</v>
      </c>
      <c r="B1668">
        <f>B1667+IF('Cleaned Data'!L1614&gt;0,1,0)*IF($B$34="Overall",1,IF('Cleaned Data'!K1614=$B$34,1,0))*(IF('Cleaned Data'!H1614&lt;&gt;"",1,0))</f>
        <v>540</v>
      </c>
      <c r="C1668" t="e">
        <f>INDEX('Cleaned Data'!H:H,MATCH($A1668,$B$56:$B$1919,0))</f>
        <v>#N/A</v>
      </c>
      <c r="D1668" t="e">
        <f>INDEX('Cleaned Data'!L:L,MATCH($A1668,$B$56:$B$1919,0))</f>
        <v>#N/A</v>
      </c>
    </row>
    <row r="1669" spans="1:4" x14ac:dyDescent="0.25">
      <c r="A1669">
        <v>1614</v>
      </c>
      <c r="B1669">
        <f>B1668+IF('Cleaned Data'!L1615&gt;0,1,0)*IF($B$34="Overall",1,IF('Cleaned Data'!K1615=$B$34,1,0))*(IF('Cleaned Data'!H1615&lt;&gt;"",1,0))</f>
        <v>540</v>
      </c>
      <c r="C1669" t="e">
        <f>INDEX('Cleaned Data'!H:H,MATCH($A1669,$B$56:$B$1919,0))</f>
        <v>#N/A</v>
      </c>
      <c r="D1669" t="e">
        <f>INDEX('Cleaned Data'!L:L,MATCH($A1669,$B$56:$B$1919,0))</f>
        <v>#N/A</v>
      </c>
    </row>
    <row r="1670" spans="1:4" x14ac:dyDescent="0.25">
      <c r="A1670">
        <v>1615</v>
      </c>
      <c r="B1670">
        <f>B1669+IF('Cleaned Data'!L1616&gt;0,1,0)*IF($B$34="Overall",1,IF('Cleaned Data'!K1616=$B$34,1,0))*(IF('Cleaned Data'!H1616&lt;&gt;"",1,0))</f>
        <v>540</v>
      </c>
      <c r="C1670" t="e">
        <f>INDEX('Cleaned Data'!H:H,MATCH($A1670,$B$56:$B$1919,0))</f>
        <v>#N/A</v>
      </c>
      <c r="D1670" t="e">
        <f>INDEX('Cleaned Data'!L:L,MATCH($A1670,$B$56:$B$1919,0))</f>
        <v>#N/A</v>
      </c>
    </row>
    <row r="1671" spans="1:4" x14ac:dyDescent="0.25">
      <c r="A1671">
        <v>1616</v>
      </c>
      <c r="B1671">
        <f>B1670+IF('Cleaned Data'!L1617&gt;0,1,0)*IF($B$34="Overall",1,IF('Cleaned Data'!K1617=$B$34,1,0))*(IF('Cleaned Data'!H1617&lt;&gt;"",1,0))</f>
        <v>540</v>
      </c>
      <c r="C1671" t="e">
        <f>INDEX('Cleaned Data'!H:H,MATCH($A1671,$B$56:$B$1919,0))</f>
        <v>#N/A</v>
      </c>
      <c r="D1671" t="e">
        <f>INDEX('Cleaned Data'!L:L,MATCH($A1671,$B$56:$B$1919,0))</f>
        <v>#N/A</v>
      </c>
    </row>
    <row r="1672" spans="1:4" x14ac:dyDescent="0.25">
      <c r="A1672">
        <v>1617</v>
      </c>
      <c r="B1672">
        <f>B1671+IF('Cleaned Data'!L1618&gt;0,1,0)*IF($B$34="Overall",1,IF('Cleaned Data'!K1618=$B$34,1,0))*(IF('Cleaned Data'!H1618&lt;&gt;"",1,0))</f>
        <v>540</v>
      </c>
      <c r="C1672" t="e">
        <f>INDEX('Cleaned Data'!H:H,MATCH($A1672,$B$56:$B$1919,0))</f>
        <v>#N/A</v>
      </c>
      <c r="D1672" t="e">
        <f>INDEX('Cleaned Data'!L:L,MATCH($A1672,$B$56:$B$1919,0))</f>
        <v>#N/A</v>
      </c>
    </row>
    <row r="1673" spans="1:4" x14ac:dyDescent="0.25">
      <c r="A1673">
        <v>1618</v>
      </c>
      <c r="B1673">
        <f>B1672+IF('Cleaned Data'!L1619&gt;0,1,0)*IF($B$34="Overall",1,IF('Cleaned Data'!K1619=$B$34,1,0))*(IF('Cleaned Data'!H1619&lt;&gt;"",1,0))</f>
        <v>540</v>
      </c>
      <c r="C1673" t="e">
        <f>INDEX('Cleaned Data'!H:H,MATCH($A1673,$B$56:$B$1919,0))</f>
        <v>#N/A</v>
      </c>
      <c r="D1673" t="e">
        <f>INDEX('Cleaned Data'!L:L,MATCH($A1673,$B$56:$B$1919,0))</f>
        <v>#N/A</v>
      </c>
    </row>
    <row r="1674" spans="1:4" x14ac:dyDescent="0.25">
      <c r="A1674">
        <v>1619</v>
      </c>
      <c r="B1674">
        <f>B1673+IF('Cleaned Data'!L1620&gt;0,1,0)*IF($B$34="Overall",1,IF('Cleaned Data'!K1620=$B$34,1,0))*(IF('Cleaned Data'!H1620&lt;&gt;"",1,0))</f>
        <v>540</v>
      </c>
      <c r="C1674" t="e">
        <f>INDEX('Cleaned Data'!H:H,MATCH($A1674,$B$56:$B$1919,0))</f>
        <v>#N/A</v>
      </c>
      <c r="D1674" t="e">
        <f>INDEX('Cleaned Data'!L:L,MATCH($A1674,$B$56:$B$1919,0))</f>
        <v>#N/A</v>
      </c>
    </row>
    <row r="1675" spans="1:4" x14ac:dyDescent="0.25">
      <c r="A1675">
        <v>1620</v>
      </c>
      <c r="B1675">
        <f>B1674+IF('Cleaned Data'!L1621&gt;0,1,0)*IF($B$34="Overall",1,IF('Cleaned Data'!K1621=$B$34,1,0))*(IF('Cleaned Data'!H1621&lt;&gt;"",1,0))</f>
        <v>540</v>
      </c>
      <c r="C1675" t="e">
        <f>INDEX('Cleaned Data'!H:H,MATCH($A1675,$B$56:$B$1919,0))</f>
        <v>#N/A</v>
      </c>
      <c r="D1675" t="e">
        <f>INDEX('Cleaned Data'!L:L,MATCH($A1675,$B$56:$B$1919,0))</f>
        <v>#N/A</v>
      </c>
    </row>
    <row r="1676" spans="1:4" x14ac:dyDescent="0.25">
      <c r="A1676">
        <v>1621</v>
      </c>
      <c r="B1676">
        <f>B1675+IF('Cleaned Data'!L1622&gt;0,1,0)*IF($B$34="Overall",1,IF('Cleaned Data'!K1622=$B$34,1,0))*(IF('Cleaned Data'!H1622&lt;&gt;"",1,0))</f>
        <v>540</v>
      </c>
      <c r="C1676" t="e">
        <f>INDEX('Cleaned Data'!H:H,MATCH($A1676,$B$56:$B$1919,0))</f>
        <v>#N/A</v>
      </c>
      <c r="D1676" t="e">
        <f>INDEX('Cleaned Data'!L:L,MATCH($A1676,$B$56:$B$1919,0))</f>
        <v>#N/A</v>
      </c>
    </row>
    <row r="1677" spans="1:4" x14ac:dyDescent="0.25">
      <c r="A1677">
        <v>1622</v>
      </c>
      <c r="B1677">
        <f>B1676+IF('Cleaned Data'!L1623&gt;0,1,0)*IF($B$34="Overall",1,IF('Cleaned Data'!K1623=$B$34,1,0))*(IF('Cleaned Data'!H1623&lt;&gt;"",1,0))</f>
        <v>540</v>
      </c>
      <c r="C1677" t="e">
        <f>INDEX('Cleaned Data'!H:H,MATCH($A1677,$B$56:$B$1919,0))</f>
        <v>#N/A</v>
      </c>
      <c r="D1677" t="e">
        <f>INDEX('Cleaned Data'!L:L,MATCH($A1677,$B$56:$B$1919,0))</f>
        <v>#N/A</v>
      </c>
    </row>
    <row r="1678" spans="1:4" x14ac:dyDescent="0.25">
      <c r="A1678">
        <v>1623</v>
      </c>
      <c r="B1678">
        <f>B1677+IF('Cleaned Data'!L1624&gt;0,1,0)*IF($B$34="Overall",1,IF('Cleaned Data'!K1624=$B$34,1,0))*(IF('Cleaned Data'!H1624&lt;&gt;"",1,0))</f>
        <v>540</v>
      </c>
      <c r="C1678" t="e">
        <f>INDEX('Cleaned Data'!H:H,MATCH($A1678,$B$56:$B$1919,0))</f>
        <v>#N/A</v>
      </c>
      <c r="D1678" t="e">
        <f>INDEX('Cleaned Data'!L:L,MATCH($A1678,$B$56:$B$1919,0))</f>
        <v>#N/A</v>
      </c>
    </row>
    <row r="1679" spans="1:4" x14ac:dyDescent="0.25">
      <c r="A1679">
        <v>1624</v>
      </c>
      <c r="B1679">
        <f>B1678+IF('Cleaned Data'!L1625&gt;0,1,0)*IF($B$34="Overall",1,IF('Cleaned Data'!K1625=$B$34,1,0))*(IF('Cleaned Data'!H1625&lt;&gt;"",1,0))</f>
        <v>540</v>
      </c>
      <c r="C1679" t="e">
        <f>INDEX('Cleaned Data'!H:H,MATCH($A1679,$B$56:$B$1919,0))</f>
        <v>#N/A</v>
      </c>
      <c r="D1679" t="e">
        <f>INDEX('Cleaned Data'!L:L,MATCH($A1679,$B$56:$B$1919,0))</f>
        <v>#N/A</v>
      </c>
    </row>
    <row r="1680" spans="1:4" x14ac:dyDescent="0.25">
      <c r="A1680">
        <v>1625</v>
      </c>
      <c r="B1680">
        <f>B1679+IF('Cleaned Data'!L1626&gt;0,1,0)*IF($B$34="Overall",1,IF('Cleaned Data'!K1626=$B$34,1,0))*(IF('Cleaned Data'!H1626&lt;&gt;"",1,0))</f>
        <v>540</v>
      </c>
      <c r="C1680" t="e">
        <f>INDEX('Cleaned Data'!H:H,MATCH($A1680,$B$56:$B$1919,0))</f>
        <v>#N/A</v>
      </c>
      <c r="D1680" t="e">
        <f>INDEX('Cleaned Data'!L:L,MATCH($A1680,$B$56:$B$1919,0))</f>
        <v>#N/A</v>
      </c>
    </row>
    <row r="1681" spans="1:4" x14ac:dyDescent="0.25">
      <c r="A1681">
        <v>1626</v>
      </c>
      <c r="B1681">
        <f>B1680+IF('Cleaned Data'!L1627&gt;0,1,0)*IF($B$34="Overall",1,IF('Cleaned Data'!K1627=$B$34,1,0))*(IF('Cleaned Data'!H1627&lt;&gt;"",1,0))</f>
        <v>540</v>
      </c>
      <c r="C1681" t="e">
        <f>INDEX('Cleaned Data'!H:H,MATCH($A1681,$B$56:$B$1919,0))</f>
        <v>#N/A</v>
      </c>
      <c r="D1681" t="e">
        <f>INDEX('Cleaned Data'!L:L,MATCH($A1681,$B$56:$B$1919,0))</f>
        <v>#N/A</v>
      </c>
    </row>
    <row r="1682" spans="1:4" x14ac:dyDescent="0.25">
      <c r="A1682">
        <v>1627</v>
      </c>
      <c r="B1682">
        <f>B1681+IF('Cleaned Data'!L1628&gt;0,1,0)*IF($B$34="Overall",1,IF('Cleaned Data'!K1628=$B$34,1,0))*(IF('Cleaned Data'!H1628&lt;&gt;"",1,0))</f>
        <v>540</v>
      </c>
      <c r="C1682" t="e">
        <f>INDEX('Cleaned Data'!H:H,MATCH($A1682,$B$56:$B$1919,0))</f>
        <v>#N/A</v>
      </c>
      <c r="D1682" t="e">
        <f>INDEX('Cleaned Data'!L:L,MATCH($A1682,$B$56:$B$1919,0))</f>
        <v>#N/A</v>
      </c>
    </row>
    <row r="1683" spans="1:4" x14ac:dyDescent="0.25">
      <c r="A1683">
        <v>1628</v>
      </c>
      <c r="B1683">
        <f>B1682+IF('Cleaned Data'!L1629&gt;0,1,0)*IF($B$34="Overall",1,IF('Cleaned Data'!K1629=$B$34,1,0))*(IF('Cleaned Data'!H1629&lt;&gt;"",1,0))</f>
        <v>540</v>
      </c>
      <c r="C1683" t="e">
        <f>INDEX('Cleaned Data'!H:H,MATCH($A1683,$B$56:$B$1919,0))</f>
        <v>#N/A</v>
      </c>
      <c r="D1683" t="e">
        <f>INDEX('Cleaned Data'!L:L,MATCH($A1683,$B$56:$B$1919,0))</f>
        <v>#N/A</v>
      </c>
    </row>
    <row r="1684" spans="1:4" x14ac:dyDescent="0.25">
      <c r="A1684">
        <v>1629</v>
      </c>
      <c r="B1684">
        <f>B1683+IF('Cleaned Data'!L1630&gt;0,1,0)*IF($B$34="Overall",1,IF('Cleaned Data'!K1630=$B$34,1,0))*(IF('Cleaned Data'!H1630&lt;&gt;"",1,0))</f>
        <v>540</v>
      </c>
      <c r="C1684" t="e">
        <f>INDEX('Cleaned Data'!H:H,MATCH($A1684,$B$56:$B$1919,0))</f>
        <v>#N/A</v>
      </c>
      <c r="D1684" t="e">
        <f>INDEX('Cleaned Data'!L:L,MATCH($A1684,$B$56:$B$1919,0))</f>
        <v>#N/A</v>
      </c>
    </row>
    <row r="1685" spans="1:4" x14ac:dyDescent="0.25">
      <c r="A1685">
        <v>1630</v>
      </c>
      <c r="B1685">
        <f>B1684+IF('Cleaned Data'!L1631&gt;0,1,0)*IF($B$34="Overall",1,IF('Cleaned Data'!K1631=$B$34,1,0))*(IF('Cleaned Data'!H1631&lt;&gt;"",1,0))</f>
        <v>540</v>
      </c>
      <c r="C1685" t="e">
        <f>INDEX('Cleaned Data'!H:H,MATCH($A1685,$B$56:$B$1919,0))</f>
        <v>#N/A</v>
      </c>
      <c r="D1685" t="e">
        <f>INDEX('Cleaned Data'!L:L,MATCH($A1685,$B$56:$B$1919,0))</f>
        <v>#N/A</v>
      </c>
    </row>
    <row r="1686" spans="1:4" x14ac:dyDescent="0.25">
      <c r="A1686">
        <v>1631</v>
      </c>
      <c r="B1686">
        <f>B1685+IF('Cleaned Data'!L1632&gt;0,1,0)*IF($B$34="Overall",1,IF('Cleaned Data'!K1632=$B$34,1,0))*(IF('Cleaned Data'!H1632&lt;&gt;"",1,0))</f>
        <v>540</v>
      </c>
      <c r="C1686" t="e">
        <f>INDEX('Cleaned Data'!H:H,MATCH($A1686,$B$56:$B$1919,0))</f>
        <v>#N/A</v>
      </c>
      <c r="D1686" t="e">
        <f>INDEX('Cleaned Data'!L:L,MATCH($A1686,$B$56:$B$1919,0))</f>
        <v>#N/A</v>
      </c>
    </row>
    <row r="1687" spans="1:4" x14ac:dyDescent="0.25">
      <c r="A1687">
        <v>1632</v>
      </c>
      <c r="B1687">
        <f>B1686+IF('Cleaned Data'!L1633&gt;0,1,0)*IF($B$34="Overall",1,IF('Cleaned Data'!K1633=$B$34,1,0))*(IF('Cleaned Data'!H1633&lt;&gt;"",1,0))</f>
        <v>540</v>
      </c>
      <c r="C1687" t="e">
        <f>INDEX('Cleaned Data'!H:H,MATCH($A1687,$B$56:$B$1919,0))</f>
        <v>#N/A</v>
      </c>
      <c r="D1687" t="e">
        <f>INDEX('Cleaned Data'!L:L,MATCH($A1687,$B$56:$B$1919,0))</f>
        <v>#N/A</v>
      </c>
    </row>
    <row r="1688" spans="1:4" x14ac:dyDescent="0.25">
      <c r="A1688">
        <v>1633</v>
      </c>
      <c r="B1688">
        <f>B1687+IF('Cleaned Data'!L1634&gt;0,1,0)*IF($B$34="Overall",1,IF('Cleaned Data'!K1634=$B$34,1,0))*(IF('Cleaned Data'!H1634&lt;&gt;"",1,0))</f>
        <v>540</v>
      </c>
      <c r="C1688" t="e">
        <f>INDEX('Cleaned Data'!H:H,MATCH($A1688,$B$56:$B$1919,0))</f>
        <v>#N/A</v>
      </c>
      <c r="D1688" t="e">
        <f>INDEX('Cleaned Data'!L:L,MATCH($A1688,$B$56:$B$1919,0))</f>
        <v>#N/A</v>
      </c>
    </row>
    <row r="1689" spans="1:4" x14ac:dyDescent="0.25">
      <c r="A1689">
        <v>1634</v>
      </c>
      <c r="B1689">
        <f>B1688+IF('Cleaned Data'!L1635&gt;0,1,0)*IF($B$34="Overall",1,IF('Cleaned Data'!K1635=$B$34,1,0))*(IF('Cleaned Data'!H1635&lt;&gt;"",1,0))</f>
        <v>540</v>
      </c>
      <c r="C1689" t="e">
        <f>INDEX('Cleaned Data'!H:H,MATCH($A1689,$B$56:$B$1919,0))</f>
        <v>#N/A</v>
      </c>
      <c r="D1689" t="e">
        <f>INDEX('Cleaned Data'!L:L,MATCH($A1689,$B$56:$B$1919,0))</f>
        <v>#N/A</v>
      </c>
    </row>
    <row r="1690" spans="1:4" x14ac:dyDescent="0.25">
      <c r="A1690">
        <v>1635</v>
      </c>
      <c r="B1690">
        <f>B1689+IF('Cleaned Data'!L1636&gt;0,1,0)*IF($B$34="Overall",1,IF('Cleaned Data'!K1636=$B$34,1,0))*(IF('Cleaned Data'!H1636&lt;&gt;"",1,0))</f>
        <v>540</v>
      </c>
      <c r="C1690" t="e">
        <f>INDEX('Cleaned Data'!H:H,MATCH($A1690,$B$56:$B$1919,0))</f>
        <v>#N/A</v>
      </c>
      <c r="D1690" t="e">
        <f>INDEX('Cleaned Data'!L:L,MATCH($A1690,$B$56:$B$1919,0))</f>
        <v>#N/A</v>
      </c>
    </row>
    <row r="1691" spans="1:4" x14ac:dyDescent="0.25">
      <c r="A1691">
        <v>1636</v>
      </c>
      <c r="B1691">
        <f>B1690+IF('Cleaned Data'!L1637&gt;0,1,0)*IF($B$34="Overall",1,IF('Cleaned Data'!K1637=$B$34,1,0))*(IF('Cleaned Data'!H1637&lt;&gt;"",1,0))</f>
        <v>540</v>
      </c>
      <c r="C1691" t="e">
        <f>INDEX('Cleaned Data'!H:H,MATCH($A1691,$B$56:$B$1919,0))</f>
        <v>#N/A</v>
      </c>
      <c r="D1691" t="e">
        <f>INDEX('Cleaned Data'!L:L,MATCH($A1691,$B$56:$B$1919,0))</f>
        <v>#N/A</v>
      </c>
    </row>
    <row r="1692" spans="1:4" x14ac:dyDescent="0.25">
      <c r="A1692">
        <v>1637</v>
      </c>
      <c r="B1692">
        <f>B1691+IF('Cleaned Data'!L1638&gt;0,1,0)*IF($B$34="Overall",1,IF('Cleaned Data'!K1638=$B$34,1,0))*(IF('Cleaned Data'!H1638&lt;&gt;"",1,0))</f>
        <v>540</v>
      </c>
      <c r="C1692" t="e">
        <f>INDEX('Cleaned Data'!H:H,MATCH($A1692,$B$56:$B$1919,0))</f>
        <v>#N/A</v>
      </c>
      <c r="D1692" t="e">
        <f>INDEX('Cleaned Data'!L:L,MATCH($A1692,$B$56:$B$1919,0))</f>
        <v>#N/A</v>
      </c>
    </row>
    <row r="1693" spans="1:4" x14ac:dyDescent="0.25">
      <c r="A1693">
        <v>1638</v>
      </c>
      <c r="B1693">
        <f>B1692+IF('Cleaned Data'!L1639&gt;0,1,0)*IF($B$34="Overall",1,IF('Cleaned Data'!K1639=$B$34,1,0))*(IF('Cleaned Data'!H1639&lt;&gt;"",1,0))</f>
        <v>540</v>
      </c>
      <c r="C1693" t="e">
        <f>INDEX('Cleaned Data'!H:H,MATCH($A1693,$B$56:$B$1919,0))</f>
        <v>#N/A</v>
      </c>
      <c r="D1693" t="e">
        <f>INDEX('Cleaned Data'!L:L,MATCH($A1693,$B$56:$B$1919,0))</f>
        <v>#N/A</v>
      </c>
    </row>
    <row r="1694" spans="1:4" x14ac:dyDescent="0.25">
      <c r="A1694">
        <v>1639</v>
      </c>
      <c r="B1694">
        <f>B1693+IF('Cleaned Data'!L1640&gt;0,1,0)*IF($B$34="Overall",1,IF('Cleaned Data'!K1640=$B$34,1,0))*(IF('Cleaned Data'!H1640&lt;&gt;"",1,0))</f>
        <v>540</v>
      </c>
      <c r="C1694" t="e">
        <f>INDEX('Cleaned Data'!H:H,MATCH($A1694,$B$56:$B$1919,0))</f>
        <v>#N/A</v>
      </c>
      <c r="D1694" t="e">
        <f>INDEX('Cleaned Data'!L:L,MATCH($A1694,$B$56:$B$1919,0))</f>
        <v>#N/A</v>
      </c>
    </row>
    <row r="1695" spans="1:4" x14ac:dyDescent="0.25">
      <c r="A1695">
        <v>1640</v>
      </c>
      <c r="B1695">
        <f>B1694+IF('Cleaned Data'!L1641&gt;0,1,0)*IF($B$34="Overall",1,IF('Cleaned Data'!K1641=$B$34,1,0))*(IF('Cleaned Data'!H1641&lt;&gt;"",1,0))</f>
        <v>540</v>
      </c>
      <c r="C1695" t="e">
        <f>INDEX('Cleaned Data'!H:H,MATCH($A1695,$B$56:$B$1919,0))</f>
        <v>#N/A</v>
      </c>
      <c r="D1695" t="e">
        <f>INDEX('Cleaned Data'!L:L,MATCH($A1695,$B$56:$B$1919,0))</f>
        <v>#N/A</v>
      </c>
    </row>
    <row r="1696" spans="1:4" x14ac:dyDescent="0.25">
      <c r="A1696">
        <v>1641</v>
      </c>
      <c r="B1696">
        <f>B1695+IF('Cleaned Data'!L1642&gt;0,1,0)*IF($B$34="Overall",1,IF('Cleaned Data'!K1642=$B$34,1,0))*(IF('Cleaned Data'!H1642&lt;&gt;"",1,0))</f>
        <v>540</v>
      </c>
      <c r="C1696" t="e">
        <f>INDEX('Cleaned Data'!H:H,MATCH($A1696,$B$56:$B$1919,0))</f>
        <v>#N/A</v>
      </c>
      <c r="D1696" t="e">
        <f>INDEX('Cleaned Data'!L:L,MATCH($A1696,$B$56:$B$1919,0))</f>
        <v>#N/A</v>
      </c>
    </row>
    <row r="1697" spans="1:4" x14ac:dyDescent="0.25">
      <c r="A1697">
        <v>1642</v>
      </c>
      <c r="B1697">
        <f>B1696+IF('Cleaned Data'!L1643&gt;0,1,0)*IF($B$34="Overall",1,IF('Cleaned Data'!K1643=$B$34,1,0))*(IF('Cleaned Data'!H1643&lt;&gt;"",1,0))</f>
        <v>540</v>
      </c>
      <c r="C1697" t="e">
        <f>INDEX('Cleaned Data'!H:H,MATCH($A1697,$B$56:$B$1919,0))</f>
        <v>#N/A</v>
      </c>
      <c r="D1697" t="e">
        <f>INDEX('Cleaned Data'!L:L,MATCH($A1697,$B$56:$B$1919,0))</f>
        <v>#N/A</v>
      </c>
    </row>
    <row r="1698" spans="1:4" x14ac:dyDescent="0.25">
      <c r="A1698">
        <v>1643</v>
      </c>
      <c r="B1698">
        <f>B1697+IF('Cleaned Data'!L1644&gt;0,1,0)*IF($B$34="Overall",1,IF('Cleaned Data'!K1644=$B$34,1,0))*(IF('Cleaned Data'!H1644&lt;&gt;"",1,0))</f>
        <v>540</v>
      </c>
      <c r="C1698" t="e">
        <f>INDEX('Cleaned Data'!H:H,MATCH($A1698,$B$56:$B$1919,0))</f>
        <v>#N/A</v>
      </c>
      <c r="D1698" t="e">
        <f>INDEX('Cleaned Data'!L:L,MATCH($A1698,$B$56:$B$1919,0))</f>
        <v>#N/A</v>
      </c>
    </row>
    <row r="1699" spans="1:4" x14ac:dyDescent="0.25">
      <c r="A1699">
        <v>1644</v>
      </c>
      <c r="B1699">
        <f>B1698+IF('Cleaned Data'!L1645&gt;0,1,0)*IF($B$34="Overall",1,IF('Cleaned Data'!K1645=$B$34,1,0))*(IF('Cleaned Data'!H1645&lt;&gt;"",1,0))</f>
        <v>540</v>
      </c>
      <c r="C1699" t="e">
        <f>INDEX('Cleaned Data'!H:H,MATCH($A1699,$B$56:$B$1919,0))</f>
        <v>#N/A</v>
      </c>
      <c r="D1699" t="e">
        <f>INDEX('Cleaned Data'!L:L,MATCH($A1699,$B$56:$B$1919,0))</f>
        <v>#N/A</v>
      </c>
    </row>
    <row r="1700" spans="1:4" x14ac:dyDescent="0.25">
      <c r="A1700">
        <v>1645</v>
      </c>
      <c r="B1700">
        <f>B1699+IF('Cleaned Data'!L1646&gt;0,1,0)*IF($B$34="Overall",1,IF('Cleaned Data'!K1646=$B$34,1,0))*(IF('Cleaned Data'!H1646&lt;&gt;"",1,0))</f>
        <v>540</v>
      </c>
      <c r="C1700" t="e">
        <f>INDEX('Cleaned Data'!H:H,MATCH($A1700,$B$56:$B$1919,0))</f>
        <v>#N/A</v>
      </c>
      <c r="D1700" t="e">
        <f>INDEX('Cleaned Data'!L:L,MATCH($A1700,$B$56:$B$1919,0))</f>
        <v>#N/A</v>
      </c>
    </row>
    <row r="1701" spans="1:4" x14ac:dyDescent="0.25">
      <c r="A1701">
        <v>1646</v>
      </c>
      <c r="B1701">
        <f>B1700+IF('Cleaned Data'!L1647&gt;0,1,0)*IF($B$34="Overall",1,IF('Cleaned Data'!K1647=$B$34,1,0))*(IF('Cleaned Data'!H1647&lt;&gt;"",1,0))</f>
        <v>540</v>
      </c>
      <c r="C1701" t="e">
        <f>INDEX('Cleaned Data'!H:H,MATCH($A1701,$B$56:$B$1919,0))</f>
        <v>#N/A</v>
      </c>
      <c r="D1701" t="e">
        <f>INDEX('Cleaned Data'!L:L,MATCH($A1701,$B$56:$B$1919,0))</f>
        <v>#N/A</v>
      </c>
    </row>
    <row r="1702" spans="1:4" x14ac:dyDescent="0.25">
      <c r="A1702">
        <v>1647</v>
      </c>
      <c r="B1702">
        <f>B1701+IF('Cleaned Data'!L1648&gt;0,1,0)*IF($B$34="Overall",1,IF('Cleaned Data'!K1648=$B$34,1,0))*(IF('Cleaned Data'!H1648&lt;&gt;"",1,0))</f>
        <v>540</v>
      </c>
      <c r="C1702" t="e">
        <f>INDEX('Cleaned Data'!H:H,MATCH($A1702,$B$56:$B$1919,0))</f>
        <v>#N/A</v>
      </c>
      <c r="D1702" t="e">
        <f>INDEX('Cleaned Data'!L:L,MATCH($A1702,$B$56:$B$1919,0))</f>
        <v>#N/A</v>
      </c>
    </row>
    <row r="1703" spans="1:4" x14ac:dyDescent="0.25">
      <c r="A1703">
        <v>1648</v>
      </c>
      <c r="B1703">
        <f>B1702+IF('Cleaned Data'!L1649&gt;0,1,0)*IF($B$34="Overall",1,IF('Cleaned Data'!K1649=$B$34,1,0))*(IF('Cleaned Data'!H1649&lt;&gt;"",1,0))</f>
        <v>540</v>
      </c>
      <c r="C1703" t="e">
        <f>INDEX('Cleaned Data'!H:H,MATCH($A1703,$B$56:$B$1919,0))</f>
        <v>#N/A</v>
      </c>
      <c r="D1703" t="e">
        <f>INDEX('Cleaned Data'!L:L,MATCH($A1703,$B$56:$B$1919,0))</f>
        <v>#N/A</v>
      </c>
    </row>
    <row r="1704" spans="1:4" x14ac:dyDescent="0.25">
      <c r="A1704">
        <v>1649</v>
      </c>
      <c r="B1704">
        <f>B1703+IF('Cleaned Data'!L1650&gt;0,1,0)*IF($B$34="Overall",1,IF('Cleaned Data'!K1650=$B$34,1,0))*(IF('Cleaned Data'!H1650&lt;&gt;"",1,0))</f>
        <v>540</v>
      </c>
      <c r="C1704" t="e">
        <f>INDEX('Cleaned Data'!H:H,MATCH($A1704,$B$56:$B$1919,0))</f>
        <v>#N/A</v>
      </c>
      <c r="D1704" t="e">
        <f>INDEX('Cleaned Data'!L:L,MATCH($A1704,$B$56:$B$1919,0))</f>
        <v>#N/A</v>
      </c>
    </row>
    <row r="1705" spans="1:4" x14ac:dyDescent="0.25">
      <c r="A1705">
        <v>1650</v>
      </c>
      <c r="B1705">
        <f>B1704+IF('Cleaned Data'!L1651&gt;0,1,0)*IF($B$34="Overall",1,IF('Cleaned Data'!K1651=$B$34,1,0))*(IF('Cleaned Data'!H1651&lt;&gt;"",1,0))</f>
        <v>540</v>
      </c>
      <c r="C1705" t="e">
        <f>INDEX('Cleaned Data'!H:H,MATCH($A1705,$B$56:$B$1919,0))</f>
        <v>#N/A</v>
      </c>
      <c r="D1705" t="e">
        <f>INDEX('Cleaned Data'!L:L,MATCH($A1705,$B$56:$B$1919,0))</f>
        <v>#N/A</v>
      </c>
    </row>
    <row r="1706" spans="1:4" x14ac:dyDescent="0.25">
      <c r="A1706">
        <v>1651</v>
      </c>
      <c r="B1706">
        <f>B1705+IF('Cleaned Data'!L1652&gt;0,1,0)*IF($B$34="Overall",1,IF('Cleaned Data'!K1652=$B$34,1,0))*(IF('Cleaned Data'!H1652&lt;&gt;"",1,0))</f>
        <v>540</v>
      </c>
      <c r="C1706" t="e">
        <f>INDEX('Cleaned Data'!H:H,MATCH($A1706,$B$56:$B$1919,0))</f>
        <v>#N/A</v>
      </c>
      <c r="D1706" t="e">
        <f>INDEX('Cleaned Data'!L:L,MATCH($A1706,$B$56:$B$1919,0))</f>
        <v>#N/A</v>
      </c>
    </row>
    <row r="1707" spans="1:4" x14ac:dyDescent="0.25">
      <c r="A1707">
        <v>1652</v>
      </c>
      <c r="B1707">
        <f>B1706+IF('Cleaned Data'!L1653&gt;0,1,0)*IF($B$34="Overall",1,IF('Cleaned Data'!K1653=$B$34,1,0))*(IF('Cleaned Data'!H1653&lt;&gt;"",1,0))</f>
        <v>540</v>
      </c>
      <c r="C1707" t="e">
        <f>INDEX('Cleaned Data'!H:H,MATCH($A1707,$B$56:$B$1919,0))</f>
        <v>#N/A</v>
      </c>
      <c r="D1707" t="e">
        <f>INDEX('Cleaned Data'!L:L,MATCH($A1707,$B$56:$B$1919,0))</f>
        <v>#N/A</v>
      </c>
    </row>
    <row r="1708" spans="1:4" x14ac:dyDescent="0.25">
      <c r="A1708">
        <v>1653</v>
      </c>
      <c r="B1708">
        <f>B1707+IF('Cleaned Data'!L1654&gt;0,1,0)*IF($B$34="Overall",1,IF('Cleaned Data'!K1654=$B$34,1,0))*(IF('Cleaned Data'!H1654&lt;&gt;"",1,0))</f>
        <v>540</v>
      </c>
      <c r="C1708" t="e">
        <f>INDEX('Cleaned Data'!H:H,MATCH($A1708,$B$56:$B$1919,0))</f>
        <v>#N/A</v>
      </c>
      <c r="D1708" t="e">
        <f>INDEX('Cleaned Data'!L:L,MATCH($A1708,$B$56:$B$1919,0))</f>
        <v>#N/A</v>
      </c>
    </row>
    <row r="1709" spans="1:4" x14ac:dyDescent="0.25">
      <c r="A1709">
        <v>1654</v>
      </c>
      <c r="B1709">
        <f>B1708+IF('Cleaned Data'!L1655&gt;0,1,0)*IF($B$34="Overall",1,IF('Cleaned Data'!K1655=$B$34,1,0))*(IF('Cleaned Data'!H1655&lt;&gt;"",1,0))</f>
        <v>540</v>
      </c>
      <c r="C1709" t="e">
        <f>INDEX('Cleaned Data'!H:H,MATCH($A1709,$B$56:$B$1919,0))</f>
        <v>#N/A</v>
      </c>
      <c r="D1709" t="e">
        <f>INDEX('Cleaned Data'!L:L,MATCH($A1709,$B$56:$B$1919,0))</f>
        <v>#N/A</v>
      </c>
    </row>
    <row r="1710" spans="1:4" x14ac:dyDescent="0.25">
      <c r="A1710">
        <v>1655</v>
      </c>
      <c r="B1710">
        <f>B1709+IF('Cleaned Data'!L1656&gt;0,1,0)*IF($B$34="Overall",1,IF('Cleaned Data'!K1656=$B$34,1,0))*(IF('Cleaned Data'!H1656&lt;&gt;"",1,0))</f>
        <v>540</v>
      </c>
      <c r="C1710" t="e">
        <f>INDEX('Cleaned Data'!H:H,MATCH($A1710,$B$56:$B$1919,0))</f>
        <v>#N/A</v>
      </c>
      <c r="D1710" t="e">
        <f>INDEX('Cleaned Data'!L:L,MATCH($A1710,$B$56:$B$1919,0))</f>
        <v>#N/A</v>
      </c>
    </row>
    <row r="1711" spans="1:4" x14ac:dyDescent="0.25">
      <c r="A1711">
        <v>1656</v>
      </c>
      <c r="B1711">
        <f>B1710+IF('Cleaned Data'!L1657&gt;0,1,0)*IF($B$34="Overall",1,IF('Cleaned Data'!K1657=$B$34,1,0))*(IF('Cleaned Data'!H1657&lt;&gt;"",1,0))</f>
        <v>540</v>
      </c>
      <c r="C1711" t="e">
        <f>INDEX('Cleaned Data'!H:H,MATCH($A1711,$B$56:$B$1919,0))</f>
        <v>#N/A</v>
      </c>
      <c r="D1711" t="e">
        <f>INDEX('Cleaned Data'!L:L,MATCH($A1711,$B$56:$B$1919,0))</f>
        <v>#N/A</v>
      </c>
    </row>
    <row r="1712" spans="1:4" x14ac:dyDescent="0.25">
      <c r="A1712">
        <v>1657</v>
      </c>
      <c r="B1712">
        <f>B1711+IF('Cleaned Data'!L1658&gt;0,1,0)*IF($B$34="Overall",1,IF('Cleaned Data'!K1658=$B$34,1,0))*(IF('Cleaned Data'!H1658&lt;&gt;"",1,0))</f>
        <v>540</v>
      </c>
      <c r="C1712" t="e">
        <f>INDEX('Cleaned Data'!H:H,MATCH($A1712,$B$56:$B$1919,0))</f>
        <v>#N/A</v>
      </c>
      <c r="D1712" t="e">
        <f>INDEX('Cleaned Data'!L:L,MATCH($A1712,$B$56:$B$1919,0))</f>
        <v>#N/A</v>
      </c>
    </row>
    <row r="1713" spans="1:4" x14ac:dyDescent="0.25">
      <c r="A1713">
        <v>1658</v>
      </c>
      <c r="B1713">
        <f>B1712+IF('Cleaned Data'!L1659&gt;0,1,0)*IF($B$34="Overall",1,IF('Cleaned Data'!K1659=$B$34,1,0))*(IF('Cleaned Data'!H1659&lt;&gt;"",1,0))</f>
        <v>540</v>
      </c>
      <c r="C1713" t="e">
        <f>INDEX('Cleaned Data'!H:H,MATCH($A1713,$B$56:$B$1919,0))</f>
        <v>#N/A</v>
      </c>
      <c r="D1713" t="e">
        <f>INDEX('Cleaned Data'!L:L,MATCH($A1713,$B$56:$B$1919,0))</f>
        <v>#N/A</v>
      </c>
    </row>
    <row r="1714" spans="1:4" x14ac:dyDescent="0.25">
      <c r="A1714">
        <v>1659</v>
      </c>
      <c r="B1714">
        <f>B1713+IF('Cleaned Data'!L1660&gt;0,1,0)*IF($B$34="Overall",1,IF('Cleaned Data'!K1660=$B$34,1,0))*(IF('Cleaned Data'!H1660&lt;&gt;"",1,0))</f>
        <v>540</v>
      </c>
      <c r="C1714" t="e">
        <f>INDEX('Cleaned Data'!H:H,MATCH($A1714,$B$56:$B$1919,0))</f>
        <v>#N/A</v>
      </c>
      <c r="D1714" t="e">
        <f>INDEX('Cleaned Data'!L:L,MATCH($A1714,$B$56:$B$1919,0))</f>
        <v>#N/A</v>
      </c>
    </row>
    <row r="1715" spans="1:4" x14ac:dyDescent="0.25">
      <c r="A1715">
        <v>1660</v>
      </c>
      <c r="B1715">
        <f>B1714+IF('Cleaned Data'!L1661&gt;0,1,0)*IF($B$34="Overall",1,IF('Cleaned Data'!K1661=$B$34,1,0))*(IF('Cleaned Data'!H1661&lt;&gt;"",1,0))</f>
        <v>540</v>
      </c>
      <c r="C1715" t="e">
        <f>INDEX('Cleaned Data'!H:H,MATCH($A1715,$B$56:$B$1919,0))</f>
        <v>#N/A</v>
      </c>
      <c r="D1715" t="e">
        <f>INDEX('Cleaned Data'!L:L,MATCH($A1715,$B$56:$B$1919,0))</f>
        <v>#N/A</v>
      </c>
    </row>
    <row r="1716" spans="1:4" x14ac:dyDescent="0.25">
      <c r="A1716">
        <v>1661</v>
      </c>
      <c r="B1716">
        <f>B1715+IF('Cleaned Data'!L1662&gt;0,1,0)*IF($B$34="Overall",1,IF('Cleaned Data'!K1662=$B$34,1,0))*(IF('Cleaned Data'!H1662&lt;&gt;"",1,0))</f>
        <v>540</v>
      </c>
      <c r="C1716" t="e">
        <f>INDEX('Cleaned Data'!H:H,MATCH($A1716,$B$56:$B$1919,0))</f>
        <v>#N/A</v>
      </c>
      <c r="D1716" t="e">
        <f>INDEX('Cleaned Data'!L:L,MATCH($A1716,$B$56:$B$1919,0))</f>
        <v>#N/A</v>
      </c>
    </row>
    <row r="1717" spans="1:4" x14ac:dyDescent="0.25">
      <c r="A1717">
        <v>1662</v>
      </c>
      <c r="B1717">
        <f>B1716+IF('Cleaned Data'!L1663&gt;0,1,0)*IF($B$34="Overall",1,IF('Cleaned Data'!K1663=$B$34,1,0))*(IF('Cleaned Data'!H1663&lt;&gt;"",1,0))</f>
        <v>540</v>
      </c>
      <c r="C1717" t="e">
        <f>INDEX('Cleaned Data'!H:H,MATCH($A1717,$B$56:$B$1919,0))</f>
        <v>#N/A</v>
      </c>
      <c r="D1717" t="e">
        <f>INDEX('Cleaned Data'!L:L,MATCH($A1717,$B$56:$B$1919,0))</f>
        <v>#N/A</v>
      </c>
    </row>
    <row r="1718" spans="1:4" x14ac:dyDescent="0.25">
      <c r="A1718">
        <v>1663</v>
      </c>
      <c r="B1718">
        <f>B1717+IF('Cleaned Data'!L1664&gt;0,1,0)*IF($B$34="Overall",1,IF('Cleaned Data'!K1664=$B$34,1,0))*(IF('Cleaned Data'!H1664&lt;&gt;"",1,0))</f>
        <v>540</v>
      </c>
      <c r="C1718" t="e">
        <f>INDEX('Cleaned Data'!H:H,MATCH($A1718,$B$56:$B$1919,0))</f>
        <v>#N/A</v>
      </c>
      <c r="D1718" t="e">
        <f>INDEX('Cleaned Data'!L:L,MATCH($A1718,$B$56:$B$1919,0))</f>
        <v>#N/A</v>
      </c>
    </row>
    <row r="1719" spans="1:4" x14ac:dyDescent="0.25">
      <c r="A1719">
        <v>1664</v>
      </c>
      <c r="B1719">
        <f>B1718+IF('Cleaned Data'!L1665&gt;0,1,0)*IF($B$34="Overall",1,IF('Cleaned Data'!K1665=$B$34,1,0))*(IF('Cleaned Data'!H1665&lt;&gt;"",1,0))</f>
        <v>540</v>
      </c>
      <c r="C1719" t="e">
        <f>INDEX('Cleaned Data'!H:H,MATCH($A1719,$B$56:$B$1919,0))</f>
        <v>#N/A</v>
      </c>
      <c r="D1719" t="e">
        <f>INDEX('Cleaned Data'!L:L,MATCH($A1719,$B$56:$B$1919,0))</f>
        <v>#N/A</v>
      </c>
    </row>
    <row r="1720" spans="1:4" x14ac:dyDescent="0.25">
      <c r="A1720">
        <v>1665</v>
      </c>
      <c r="B1720">
        <f>B1719+IF('Cleaned Data'!L1666&gt;0,1,0)*IF($B$34="Overall",1,IF('Cleaned Data'!K1666=$B$34,1,0))*(IF('Cleaned Data'!H1666&lt;&gt;"",1,0))</f>
        <v>540</v>
      </c>
      <c r="C1720" t="e">
        <f>INDEX('Cleaned Data'!H:H,MATCH($A1720,$B$56:$B$1919,0))</f>
        <v>#N/A</v>
      </c>
      <c r="D1720" t="e">
        <f>INDEX('Cleaned Data'!L:L,MATCH($A1720,$B$56:$B$1919,0))</f>
        <v>#N/A</v>
      </c>
    </row>
    <row r="1721" spans="1:4" x14ac:dyDescent="0.25">
      <c r="A1721">
        <v>1666</v>
      </c>
      <c r="B1721">
        <f>B1720+IF('Cleaned Data'!L1667&gt;0,1,0)*IF($B$34="Overall",1,IF('Cleaned Data'!K1667=$B$34,1,0))*(IF('Cleaned Data'!H1667&lt;&gt;"",1,0))</f>
        <v>540</v>
      </c>
      <c r="C1721" t="e">
        <f>INDEX('Cleaned Data'!H:H,MATCH($A1721,$B$56:$B$1919,0))</f>
        <v>#N/A</v>
      </c>
      <c r="D1721" t="e">
        <f>INDEX('Cleaned Data'!L:L,MATCH($A1721,$B$56:$B$1919,0))</f>
        <v>#N/A</v>
      </c>
    </row>
    <row r="1722" spans="1:4" x14ac:dyDescent="0.25">
      <c r="A1722">
        <v>1667</v>
      </c>
      <c r="B1722">
        <f>B1721+IF('Cleaned Data'!L1668&gt;0,1,0)*IF($B$34="Overall",1,IF('Cleaned Data'!K1668=$B$34,1,0))*(IF('Cleaned Data'!H1668&lt;&gt;"",1,0))</f>
        <v>540</v>
      </c>
      <c r="C1722" t="e">
        <f>INDEX('Cleaned Data'!H:H,MATCH($A1722,$B$56:$B$1919,0))</f>
        <v>#N/A</v>
      </c>
      <c r="D1722" t="e">
        <f>INDEX('Cleaned Data'!L:L,MATCH($A1722,$B$56:$B$1919,0))</f>
        <v>#N/A</v>
      </c>
    </row>
    <row r="1723" spans="1:4" x14ac:dyDescent="0.25">
      <c r="A1723">
        <v>1668</v>
      </c>
      <c r="B1723">
        <f>B1722+IF('Cleaned Data'!L1669&gt;0,1,0)*IF($B$34="Overall",1,IF('Cleaned Data'!K1669=$B$34,1,0))*(IF('Cleaned Data'!H1669&lt;&gt;"",1,0))</f>
        <v>540</v>
      </c>
      <c r="C1723" t="e">
        <f>INDEX('Cleaned Data'!H:H,MATCH($A1723,$B$56:$B$1919,0))</f>
        <v>#N/A</v>
      </c>
      <c r="D1723" t="e">
        <f>INDEX('Cleaned Data'!L:L,MATCH($A1723,$B$56:$B$1919,0))</f>
        <v>#N/A</v>
      </c>
    </row>
    <row r="1724" spans="1:4" x14ac:dyDescent="0.25">
      <c r="A1724">
        <v>1669</v>
      </c>
      <c r="B1724">
        <f>B1723+IF('Cleaned Data'!L1670&gt;0,1,0)*IF($B$34="Overall",1,IF('Cleaned Data'!K1670=$B$34,1,0))*(IF('Cleaned Data'!H1670&lt;&gt;"",1,0))</f>
        <v>540</v>
      </c>
      <c r="C1724" t="e">
        <f>INDEX('Cleaned Data'!H:H,MATCH($A1724,$B$56:$B$1919,0))</f>
        <v>#N/A</v>
      </c>
      <c r="D1724" t="e">
        <f>INDEX('Cleaned Data'!L:L,MATCH($A1724,$B$56:$B$1919,0))</f>
        <v>#N/A</v>
      </c>
    </row>
    <row r="1725" spans="1:4" x14ac:dyDescent="0.25">
      <c r="A1725">
        <v>1670</v>
      </c>
      <c r="B1725">
        <f>B1724+IF('Cleaned Data'!L1671&gt;0,1,0)*IF($B$34="Overall",1,IF('Cleaned Data'!K1671=$B$34,1,0))*(IF('Cleaned Data'!H1671&lt;&gt;"",1,0))</f>
        <v>540</v>
      </c>
      <c r="C1725" t="e">
        <f>INDEX('Cleaned Data'!H:H,MATCH($A1725,$B$56:$B$1919,0))</f>
        <v>#N/A</v>
      </c>
      <c r="D1725" t="e">
        <f>INDEX('Cleaned Data'!L:L,MATCH($A1725,$B$56:$B$1919,0))</f>
        <v>#N/A</v>
      </c>
    </row>
    <row r="1726" spans="1:4" x14ac:dyDescent="0.25">
      <c r="A1726">
        <v>1671</v>
      </c>
      <c r="B1726">
        <f>B1725+IF('Cleaned Data'!L1672&gt;0,1,0)*IF($B$34="Overall",1,IF('Cleaned Data'!K1672=$B$34,1,0))*(IF('Cleaned Data'!H1672&lt;&gt;"",1,0))</f>
        <v>540</v>
      </c>
      <c r="C1726" t="e">
        <f>INDEX('Cleaned Data'!H:H,MATCH($A1726,$B$56:$B$1919,0))</f>
        <v>#N/A</v>
      </c>
      <c r="D1726" t="e">
        <f>INDEX('Cleaned Data'!L:L,MATCH($A1726,$B$56:$B$1919,0))</f>
        <v>#N/A</v>
      </c>
    </row>
    <row r="1727" spans="1:4" x14ac:dyDescent="0.25">
      <c r="A1727">
        <v>1672</v>
      </c>
      <c r="B1727">
        <f>B1726+IF('Cleaned Data'!L1673&gt;0,1,0)*IF($B$34="Overall",1,IF('Cleaned Data'!K1673=$B$34,1,0))*(IF('Cleaned Data'!H1673&lt;&gt;"",1,0))</f>
        <v>540</v>
      </c>
      <c r="C1727" t="e">
        <f>INDEX('Cleaned Data'!H:H,MATCH($A1727,$B$56:$B$1919,0))</f>
        <v>#N/A</v>
      </c>
      <c r="D1727" t="e">
        <f>INDEX('Cleaned Data'!L:L,MATCH($A1727,$B$56:$B$1919,0))</f>
        <v>#N/A</v>
      </c>
    </row>
    <row r="1728" spans="1:4" x14ac:dyDescent="0.25">
      <c r="A1728">
        <v>1673</v>
      </c>
      <c r="B1728">
        <f>B1727+IF('Cleaned Data'!L1674&gt;0,1,0)*IF($B$34="Overall",1,IF('Cleaned Data'!K1674=$B$34,1,0))*(IF('Cleaned Data'!H1674&lt;&gt;"",1,0))</f>
        <v>540</v>
      </c>
      <c r="C1728" t="e">
        <f>INDEX('Cleaned Data'!H:H,MATCH($A1728,$B$56:$B$1919,0))</f>
        <v>#N/A</v>
      </c>
      <c r="D1728" t="e">
        <f>INDEX('Cleaned Data'!L:L,MATCH($A1728,$B$56:$B$1919,0))</f>
        <v>#N/A</v>
      </c>
    </row>
    <row r="1729" spans="1:4" x14ac:dyDescent="0.25">
      <c r="A1729">
        <v>1674</v>
      </c>
      <c r="B1729">
        <f>B1728+IF('Cleaned Data'!L1675&gt;0,1,0)*IF($B$34="Overall",1,IF('Cleaned Data'!K1675=$B$34,1,0))*(IF('Cleaned Data'!H1675&lt;&gt;"",1,0))</f>
        <v>540</v>
      </c>
      <c r="C1729" t="e">
        <f>INDEX('Cleaned Data'!H:H,MATCH($A1729,$B$56:$B$1919,0))</f>
        <v>#N/A</v>
      </c>
      <c r="D1729" t="e">
        <f>INDEX('Cleaned Data'!L:L,MATCH($A1729,$B$56:$B$1919,0))</f>
        <v>#N/A</v>
      </c>
    </row>
    <row r="1730" spans="1:4" x14ac:dyDescent="0.25">
      <c r="A1730">
        <v>1675</v>
      </c>
      <c r="B1730">
        <f>B1729+IF('Cleaned Data'!L1676&gt;0,1,0)*IF($B$34="Overall",1,IF('Cleaned Data'!K1676=$B$34,1,0))*(IF('Cleaned Data'!H1676&lt;&gt;"",1,0))</f>
        <v>540</v>
      </c>
      <c r="C1730" t="e">
        <f>INDEX('Cleaned Data'!H:H,MATCH($A1730,$B$56:$B$1919,0))</f>
        <v>#N/A</v>
      </c>
      <c r="D1730" t="e">
        <f>INDEX('Cleaned Data'!L:L,MATCH($A1730,$B$56:$B$1919,0))</f>
        <v>#N/A</v>
      </c>
    </row>
    <row r="1731" spans="1:4" x14ac:dyDescent="0.25">
      <c r="A1731">
        <v>1676</v>
      </c>
      <c r="B1731">
        <f>B1730+IF('Cleaned Data'!L1677&gt;0,1,0)*IF($B$34="Overall",1,IF('Cleaned Data'!K1677=$B$34,1,0))*(IF('Cleaned Data'!H1677&lt;&gt;"",1,0))</f>
        <v>540</v>
      </c>
      <c r="C1731" t="e">
        <f>INDEX('Cleaned Data'!H:H,MATCH($A1731,$B$56:$B$1919,0))</f>
        <v>#N/A</v>
      </c>
      <c r="D1731" t="e">
        <f>INDEX('Cleaned Data'!L:L,MATCH($A1731,$B$56:$B$1919,0))</f>
        <v>#N/A</v>
      </c>
    </row>
    <row r="1732" spans="1:4" x14ac:dyDescent="0.25">
      <c r="A1732">
        <v>1677</v>
      </c>
      <c r="B1732">
        <f>B1731+IF('Cleaned Data'!L1678&gt;0,1,0)*IF($B$34="Overall",1,IF('Cleaned Data'!K1678=$B$34,1,0))*(IF('Cleaned Data'!H1678&lt;&gt;"",1,0))</f>
        <v>540</v>
      </c>
      <c r="C1732" t="e">
        <f>INDEX('Cleaned Data'!H:H,MATCH($A1732,$B$56:$B$1919,0))</f>
        <v>#N/A</v>
      </c>
      <c r="D1732" t="e">
        <f>INDEX('Cleaned Data'!L:L,MATCH($A1732,$B$56:$B$1919,0))</f>
        <v>#N/A</v>
      </c>
    </row>
    <row r="1733" spans="1:4" x14ac:dyDescent="0.25">
      <c r="A1733">
        <v>1678</v>
      </c>
      <c r="B1733">
        <f>B1732+IF('Cleaned Data'!L1679&gt;0,1,0)*IF($B$34="Overall",1,IF('Cleaned Data'!K1679=$B$34,1,0))*(IF('Cleaned Data'!H1679&lt;&gt;"",1,0))</f>
        <v>540</v>
      </c>
      <c r="C1733" t="e">
        <f>INDEX('Cleaned Data'!H:H,MATCH($A1733,$B$56:$B$1919,0))</f>
        <v>#N/A</v>
      </c>
      <c r="D1733" t="e">
        <f>INDEX('Cleaned Data'!L:L,MATCH($A1733,$B$56:$B$1919,0))</f>
        <v>#N/A</v>
      </c>
    </row>
    <row r="1734" spans="1:4" x14ac:dyDescent="0.25">
      <c r="A1734">
        <v>1679</v>
      </c>
      <c r="B1734">
        <f>B1733+IF('Cleaned Data'!L1680&gt;0,1,0)*IF($B$34="Overall",1,IF('Cleaned Data'!K1680=$B$34,1,0))*(IF('Cleaned Data'!H1680&lt;&gt;"",1,0))</f>
        <v>540</v>
      </c>
      <c r="C1734" t="e">
        <f>INDEX('Cleaned Data'!H:H,MATCH($A1734,$B$56:$B$1919,0))</f>
        <v>#N/A</v>
      </c>
      <c r="D1734" t="e">
        <f>INDEX('Cleaned Data'!L:L,MATCH($A1734,$B$56:$B$1919,0))</f>
        <v>#N/A</v>
      </c>
    </row>
    <row r="1735" spans="1:4" x14ac:dyDescent="0.25">
      <c r="A1735">
        <v>1680</v>
      </c>
      <c r="B1735">
        <f>B1734+IF('Cleaned Data'!L1681&gt;0,1,0)*IF($B$34="Overall",1,IF('Cleaned Data'!K1681=$B$34,1,0))*(IF('Cleaned Data'!H1681&lt;&gt;"",1,0))</f>
        <v>540</v>
      </c>
      <c r="C1735" t="e">
        <f>INDEX('Cleaned Data'!H:H,MATCH($A1735,$B$56:$B$1919,0))</f>
        <v>#N/A</v>
      </c>
      <c r="D1735" t="e">
        <f>INDEX('Cleaned Data'!L:L,MATCH($A1735,$B$56:$B$1919,0))</f>
        <v>#N/A</v>
      </c>
    </row>
    <row r="1736" spans="1:4" x14ac:dyDescent="0.25">
      <c r="A1736">
        <v>1681</v>
      </c>
      <c r="B1736">
        <f>B1735+IF('Cleaned Data'!L1682&gt;0,1,0)*IF($B$34="Overall",1,IF('Cleaned Data'!K1682=$B$34,1,0))*(IF('Cleaned Data'!H1682&lt;&gt;"",1,0))</f>
        <v>540</v>
      </c>
      <c r="C1736" t="e">
        <f>INDEX('Cleaned Data'!H:H,MATCH($A1736,$B$56:$B$1919,0))</f>
        <v>#N/A</v>
      </c>
      <c r="D1736" t="e">
        <f>INDEX('Cleaned Data'!L:L,MATCH($A1736,$B$56:$B$1919,0))</f>
        <v>#N/A</v>
      </c>
    </row>
    <row r="1737" spans="1:4" x14ac:dyDescent="0.25">
      <c r="A1737">
        <v>1682</v>
      </c>
      <c r="B1737">
        <f>B1736+IF('Cleaned Data'!L1683&gt;0,1,0)*IF($B$34="Overall",1,IF('Cleaned Data'!K1683=$B$34,1,0))*(IF('Cleaned Data'!H1683&lt;&gt;"",1,0))</f>
        <v>540</v>
      </c>
      <c r="C1737" t="e">
        <f>INDEX('Cleaned Data'!H:H,MATCH($A1737,$B$56:$B$1919,0))</f>
        <v>#N/A</v>
      </c>
      <c r="D1737" t="e">
        <f>INDEX('Cleaned Data'!L:L,MATCH($A1737,$B$56:$B$1919,0))</f>
        <v>#N/A</v>
      </c>
    </row>
    <row r="1738" spans="1:4" x14ac:dyDescent="0.25">
      <c r="A1738">
        <v>1683</v>
      </c>
      <c r="B1738">
        <f>B1737+IF('Cleaned Data'!L1684&gt;0,1,0)*IF($B$34="Overall",1,IF('Cleaned Data'!K1684=$B$34,1,0))*(IF('Cleaned Data'!H1684&lt;&gt;"",1,0))</f>
        <v>540</v>
      </c>
      <c r="C1738" t="e">
        <f>INDEX('Cleaned Data'!H:H,MATCH($A1738,$B$56:$B$1919,0))</f>
        <v>#N/A</v>
      </c>
      <c r="D1738" t="e">
        <f>INDEX('Cleaned Data'!L:L,MATCH($A1738,$B$56:$B$1919,0))</f>
        <v>#N/A</v>
      </c>
    </row>
    <row r="1739" spans="1:4" x14ac:dyDescent="0.25">
      <c r="A1739">
        <v>1684</v>
      </c>
      <c r="B1739">
        <f>B1738+IF('Cleaned Data'!L1685&gt;0,1,0)*IF($B$34="Overall",1,IF('Cleaned Data'!K1685=$B$34,1,0))*(IF('Cleaned Data'!H1685&lt;&gt;"",1,0))</f>
        <v>540</v>
      </c>
      <c r="C1739" t="e">
        <f>INDEX('Cleaned Data'!H:H,MATCH($A1739,$B$56:$B$1919,0))</f>
        <v>#N/A</v>
      </c>
      <c r="D1739" t="e">
        <f>INDEX('Cleaned Data'!L:L,MATCH($A1739,$B$56:$B$1919,0))</f>
        <v>#N/A</v>
      </c>
    </row>
    <row r="1740" spans="1:4" x14ac:dyDescent="0.25">
      <c r="A1740">
        <v>1685</v>
      </c>
      <c r="B1740">
        <f>B1739+IF('Cleaned Data'!L1686&gt;0,1,0)*IF($B$34="Overall",1,IF('Cleaned Data'!K1686=$B$34,1,0))*(IF('Cleaned Data'!H1686&lt;&gt;"",1,0))</f>
        <v>540</v>
      </c>
      <c r="C1740" t="e">
        <f>INDEX('Cleaned Data'!H:H,MATCH($A1740,$B$56:$B$1919,0))</f>
        <v>#N/A</v>
      </c>
      <c r="D1740" t="e">
        <f>INDEX('Cleaned Data'!L:L,MATCH($A1740,$B$56:$B$1919,0))</f>
        <v>#N/A</v>
      </c>
    </row>
    <row r="1741" spans="1:4" x14ac:dyDescent="0.25">
      <c r="A1741">
        <v>1686</v>
      </c>
      <c r="B1741">
        <f>B1740+IF('Cleaned Data'!L1687&gt;0,1,0)*IF($B$34="Overall",1,IF('Cleaned Data'!K1687=$B$34,1,0))*(IF('Cleaned Data'!H1687&lt;&gt;"",1,0))</f>
        <v>540</v>
      </c>
      <c r="C1741" t="e">
        <f>INDEX('Cleaned Data'!H:H,MATCH($A1741,$B$56:$B$1919,0))</f>
        <v>#N/A</v>
      </c>
      <c r="D1741" t="e">
        <f>INDEX('Cleaned Data'!L:L,MATCH($A1741,$B$56:$B$1919,0))</f>
        <v>#N/A</v>
      </c>
    </row>
    <row r="1742" spans="1:4" x14ac:dyDescent="0.25">
      <c r="A1742">
        <v>1687</v>
      </c>
      <c r="B1742">
        <f>B1741+IF('Cleaned Data'!L1688&gt;0,1,0)*IF($B$34="Overall",1,IF('Cleaned Data'!K1688=$B$34,1,0))*(IF('Cleaned Data'!H1688&lt;&gt;"",1,0))</f>
        <v>540</v>
      </c>
      <c r="C1742" t="e">
        <f>INDEX('Cleaned Data'!H:H,MATCH($A1742,$B$56:$B$1919,0))</f>
        <v>#N/A</v>
      </c>
      <c r="D1742" t="e">
        <f>INDEX('Cleaned Data'!L:L,MATCH($A1742,$B$56:$B$1919,0))</f>
        <v>#N/A</v>
      </c>
    </row>
    <row r="1743" spans="1:4" x14ac:dyDescent="0.25">
      <c r="A1743">
        <v>1688</v>
      </c>
      <c r="B1743">
        <f>B1742+IF('Cleaned Data'!L1689&gt;0,1,0)*IF($B$34="Overall",1,IF('Cleaned Data'!K1689=$B$34,1,0))*(IF('Cleaned Data'!H1689&lt;&gt;"",1,0))</f>
        <v>540</v>
      </c>
      <c r="C1743" t="e">
        <f>INDEX('Cleaned Data'!H:H,MATCH($A1743,$B$56:$B$1919,0))</f>
        <v>#N/A</v>
      </c>
      <c r="D1743" t="e">
        <f>INDEX('Cleaned Data'!L:L,MATCH($A1743,$B$56:$B$1919,0))</f>
        <v>#N/A</v>
      </c>
    </row>
    <row r="1744" spans="1:4" x14ac:dyDescent="0.25">
      <c r="A1744">
        <v>1689</v>
      </c>
      <c r="B1744">
        <f>B1743+IF('Cleaned Data'!L1690&gt;0,1,0)*IF($B$34="Overall",1,IF('Cleaned Data'!K1690=$B$34,1,0))*(IF('Cleaned Data'!H1690&lt;&gt;"",1,0))</f>
        <v>540</v>
      </c>
      <c r="C1744" t="e">
        <f>INDEX('Cleaned Data'!H:H,MATCH($A1744,$B$56:$B$1919,0))</f>
        <v>#N/A</v>
      </c>
      <c r="D1744" t="e">
        <f>INDEX('Cleaned Data'!L:L,MATCH($A1744,$B$56:$B$1919,0))</f>
        <v>#N/A</v>
      </c>
    </row>
    <row r="1745" spans="1:4" x14ac:dyDescent="0.25">
      <c r="A1745">
        <v>1690</v>
      </c>
      <c r="B1745">
        <f>B1744+IF('Cleaned Data'!L1691&gt;0,1,0)*IF($B$34="Overall",1,IF('Cleaned Data'!K1691=$B$34,1,0))*(IF('Cleaned Data'!H1691&lt;&gt;"",1,0))</f>
        <v>540</v>
      </c>
      <c r="C1745" t="e">
        <f>INDEX('Cleaned Data'!H:H,MATCH($A1745,$B$56:$B$1919,0))</f>
        <v>#N/A</v>
      </c>
      <c r="D1745" t="e">
        <f>INDEX('Cleaned Data'!L:L,MATCH($A1745,$B$56:$B$1919,0))</f>
        <v>#N/A</v>
      </c>
    </row>
    <row r="1746" spans="1:4" x14ac:dyDescent="0.25">
      <c r="A1746">
        <v>1691</v>
      </c>
      <c r="B1746">
        <f>B1745+IF('Cleaned Data'!L1692&gt;0,1,0)*IF($B$34="Overall",1,IF('Cleaned Data'!K1692=$B$34,1,0))*(IF('Cleaned Data'!H1692&lt;&gt;"",1,0))</f>
        <v>540</v>
      </c>
      <c r="C1746" t="e">
        <f>INDEX('Cleaned Data'!H:H,MATCH($A1746,$B$56:$B$1919,0))</f>
        <v>#N/A</v>
      </c>
      <c r="D1746" t="e">
        <f>INDEX('Cleaned Data'!L:L,MATCH($A1746,$B$56:$B$1919,0))</f>
        <v>#N/A</v>
      </c>
    </row>
    <row r="1747" spans="1:4" x14ac:dyDescent="0.25">
      <c r="A1747">
        <v>1692</v>
      </c>
      <c r="B1747">
        <f>B1746+IF('Cleaned Data'!L1693&gt;0,1,0)*IF($B$34="Overall",1,IF('Cleaned Data'!K1693=$B$34,1,0))*(IF('Cleaned Data'!H1693&lt;&gt;"",1,0))</f>
        <v>540</v>
      </c>
      <c r="C1747" t="e">
        <f>INDEX('Cleaned Data'!H:H,MATCH($A1747,$B$56:$B$1919,0))</f>
        <v>#N/A</v>
      </c>
      <c r="D1747" t="e">
        <f>INDEX('Cleaned Data'!L:L,MATCH($A1747,$B$56:$B$1919,0))</f>
        <v>#N/A</v>
      </c>
    </row>
    <row r="1748" spans="1:4" x14ac:dyDescent="0.25">
      <c r="A1748">
        <v>1693</v>
      </c>
      <c r="B1748">
        <f>B1747+IF('Cleaned Data'!L1694&gt;0,1,0)*IF($B$34="Overall",1,IF('Cleaned Data'!K1694=$B$34,1,0))*(IF('Cleaned Data'!H1694&lt;&gt;"",1,0))</f>
        <v>540</v>
      </c>
      <c r="C1748" t="e">
        <f>INDEX('Cleaned Data'!H:H,MATCH($A1748,$B$56:$B$1919,0))</f>
        <v>#N/A</v>
      </c>
      <c r="D1748" t="e">
        <f>INDEX('Cleaned Data'!L:L,MATCH($A1748,$B$56:$B$1919,0))</f>
        <v>#N/A</v>
      </c>
    </row>
    <row r="1749" spans="1:4" x14ac:dyDescent="0.25">
      <c r="A1749">
        <v>1694</v>
      </c>
      <c r="B1749">
        <f>B1748+IF('Cleaned Data'!L1695&gt;0,1,0)*IF($B$34="Overall",1,IF('Cleaned Data'!K1695=$B$34,1,0))*(IF('Cleaned Data'!H1695&lt;&gt;"",1,0))</f>
        <v>540</v>
      </c>
      <c r="C1749" t="e">
        <f>INDEX('Cleaned Data'!H:H,MATCH($A1749,$B$56:$B$1919,0))</f>
        <v>#N/A</v>
      </c>
      <c r="D1749" t="e">
        <f>INDEX('Cleaned Data'!L:L,MATCH($A1749,$B$56:$B$1919,0))</f>
        <v>#N/A</v>
      </c>
    </row>
    <row r="1750" spans="1:4" x14ac:dyDescent="0.25">
      <c r="A1750">
        <v>1695</v>
      </c>
      <c r="B1750">
        <f>B1749+IF('Cleaned Data'!L1696&gt;0,1,0)*IF($B$34="Overall",1,IF('Cleaned Data'!K1696=$B$34,1,0))*(IF('Cleaned Data'!H1696&lt;&gt;"",1,0))</f>
        <v>540</v>
      </c>
      <c r="C1750" t="e">
        <f>INDEX('Cleaned Data'!H:H,MATCH($A1750,$B$56:$B$1919,0))</f>
        <v>#N/A</v>
      </c>
      <c r="D1750" t="e">
        <f>INDEX('Cleaned Data'!L:L,MATCH($A1750,$B$56:$B$1919,0))</f>
        <v>#N/A</v>
      </c>
    </row>
    <row r="1751" spans="1:4" x14ac:dyDescent="0.25">
      <c r="A1751">
        <v>1696</v>
      </c>
      <c r="B1751">
        <f>B1750+IF('Cleaned Data'!L1697&gt;0,1,0)*IF($B$34="Overall",1,IF('Cleaned Data'!K1697=$B$34,1,0))*(IF('Cleaned Data'!H1697&lt;&gt;"",1,0))</f>
        <v>540</v>
      </c>
      <c r="C1751" t="e">
        <f>INDEX('Cleaned Data'!H:H,MATCH($A1751,$B$56:$B$1919,0))</f>
        <v>#N/A</v>
      </c>
      <c r="D1751" t="e">
        <f>INDEX('Cleaned Data'!L:L,MATCH($A1751,$B$56:$B$1919,0))</f>
        <v>#N/A</v>
      </c>
    </row>
    <row r="1752" spans="1:4" x14ac:dyDescent="0.25">
      <c r="A1752">
        <v>1697</v>
      </c>
      <c r="B1752">
        <f>B1751+IF('Cleaned Data'!L1698&gt;0,1,0)*IF($B$34="Overall",1,IF('Cleaned Data'!K1698=$B$34,1,0))*(IF('Cleaned Data'!H1698&lt;&gt;"",1,0))</f>
        <v>540</v>
      </c>
      <c r="C1752" t="e">
        <f>INDEX('Cleaned Data'!H:H,MATCH($A1752,$B$56:$B$1919,0))</f>
        <v>#N/A</v>
      </c>
      <c r="D1752" t="e">
        <f>INDEX('Cleaned Data'!L:L,MATCH($A1752,$B$56:$B$1919,0))</f>
        <v>#N/A</v>
      </c>
    </row>
    <row r="1753" spans="1:4" x14ac:dyDescent="0.25">
      <c r="A1753">
        <v>1698</v>
      </c>
      <c r="B1753">
        <f>B1752+IF('Cleaned Data'!L1699&gt;0,1,0)*IF($B$34="Overall",1,IF('Cleaned Data'!K1699=$B$34,1,0))*(IF('Cleaned Data'!H1699&lt;&gt;"",1,0))</f>
        <v>540</v>
      </c>
      <c r="C1753" t="e">
        <f>INDEX('Cleaned Data'!H:H,MATCH($A1753,$B$56:$B$1919,0))</f>
        <v>#N/A</v>
      </c>
      <c r="D1753" t="e">
        <f>INDEX('Cleaned Data'!L:L,MATCH($A1753,$B$56:$B$1919,0))</f>
        <v>#N/A</v>
      </c>
    </row>
    <row r="1754" spans="1:4" x14ac:dyDescent="0.25">
      <c r="A1754">
        <v>1699</v>
      </c>
      <c r="B1754">
        <f>B1753+IF('Cleaned Data'!L1700&gt;0,1,0)*IF($B$34="Overall",1,IF('Cleaned Data'!K1700=$B$34,1,0))*(IF('Cleaned Data'!H1700&lt;&gt;"",1,0))</f>
        <v>540</v>
      </c>
      <c r="C1754" t="e">
        <f>INDEX('Cleaned Data'!H:H,MATCH($A1754,$B$56:$B$1919,0))</f>
        <v>#N/A</v>
      </c>
      <c r="D1754" t="e">
        <f>INDEX('Cleaned Data'!L:L,MATCH($A1754,$B$56:$B$1919,0))</f>
        <v>#N/A</v>
      </c>
    </row>
    <row r="1755" spans="1:4" x14ac:dyDescent="0.25">
      <c r="A1755">
        <v>1700</v>
      </c>
      <c r="B1755">
        <f>B1754+IF('Cleaned Data'!L1701&gt;0,1,0)*IF($B$34="Overall",1,IF('Cleaned Data'!K1701=$B$34,1,0))*(IF('Cleaned Data'!H1701&lt;&gt;"",1,0))</f>
        <v>540</v>
      </c>
      <c r="C1755" t="e">
        <f>INDEX('Cleaned Data'!H:H,MATCH($A1755,$B$56:$B$1919,0))</f>
        <v>#N/A</v>
      </c>
      <c r="D1755" t="e">
        <f>INDEX('Cleaned Data'!L:L,MATCH($A1755,$B$56:$B$1919,0))</f>
        <v>#N/A</v>
      </c>
    </row>
    <row r="1756" spans="1:4" x14ac:dyDescent="0.25">
      <c r="A1756">
        <v>1701</v>
      </c>
      <c r="B1756">
        <f>B1755+IF('Cleaned Data'!L1702&gt;0,1,0)*IF($B$34="Overall",1,IF('Cleaned Data'!K1702=$B$34,1,0))*(IF('Cleaned Data'!H1702&lt;&gt;"",1,0))</f>
        <v>540</v>
      </c>
      <c r="C1756" t="e">
        <f>INDEX('Cleaned Data'!H:H,MATCH($A1756,$B$56:$B$1919,0))</f>
        <v>#N/A</v>
      </c>
      <c r="D1756" t="e">
        <f>INDEX('Cleaned Data'!L:L,MATCH($A1756,$B$56:$B$1919,0))</f>
        <v>#N/A</v>
      </c>
    </row>
    <row r="1757" spans="1:4" x14ac:dyDescent="0.25">
      <c r="A1757">
        <v>1702</v>
      </c>
      <c r="B1757">
        <f>B1756+IF('Cleaned Data'!L1703&gt;0,1,0)*IF($B$34="Overall",1,IF('Cleaned Data'!K1703=$B$34,1,0))*(IF('Cleaned Data'!H1703&lt;&gt;"",1,0))</f>
        <v>540</v>
      </c>
      <c r="C1757" t="e">
        <f>INDEX('Cleaned Data'!H:H,MATCH($A1757,$B$56:$B$1919,0))</f>
        <v>#N/A</v>
      </c>
      <c r="D1757" t="e">
        <f>INDEX('Cleaned Data'!L:L,MATCH($A1757,$B$56:$B$1919,0))</f>
        <v>#N/A</v>
      </c>
    </row>
    <row r="1758" spans="1:4" x14ac:dyDescent="0.25">
      <c r="A1758">
        <v>1703</v>
      </c>
      <c r="B1758">
        <f>B1757+IF('Cleaned Data'!L1704&gt;0,1,0)*IF($B$34="Overall",1,IF('Cleaned Data'!K1704=$B$34,1,0))*(IF('Cleaned Data'!H1704&lt;&gt;"",1,0))</f>
        <v>540</v>
      </c>
      <c r="C1758" t="e">
        <f>INDEX('Cleaned Data'!H:H,MATCH($A1758,$B$56:$B$1919,0))</f>
        <v>#N/A</v>
      </c>
      <c r="D1758" t="e">
        <f>INDEX('Cleaned Data'!L:L,MATCH($A1758,$B$56:$B$1919,0))</f>
        <v>#N/A</v>
      </c>
    </row>
    <row r="1759" spans="1:4" x14ac:dyDescent="0.25">
      <c r="A1759">
        <v>1704</v>
      </c>
      <c r="B1759">
        <f>B1758+IF('Cleaned Data'!L1705&gt;0,1,0)*IF($B$34="Overall",1,IF('Cleaned Data'!K1705=$B$34,1,0))*(IF('Cleaned Data'!H1705&lt;&gt;"",1,0))</f>
        <v>540</v>
      </c>
      <c r="C1759" t="e">
        <f>INDEX('Cleaned Data'!H:H,MATCH($A1759,$B$56:$B$1919,0))</f>
        <v>#N/A</v>
      </c>
      <c r="D1759" t="e">
        <f>INDEX('Cleaned Data'!L:L,MATCH($A1759,$B$56:$B$1919,0))</f>
        <v>#N/A</v>
      </c>
    </row>
    <row r="1760" spans="1:4" x14ac:dyDescent="0.25">
      <c r="A1760">
        <v>1705</v>
      </c>
      <c r="B1760">
        <f>B1759+IF('Cleaned Data'!L1706&gt;0,1,0)*IF($B$34="Overall",1,IF('Cleaned Data'!K1706=$B$34,1,0))*(IF('Cleaned Data'!H1706&lt;&gt;"",1,0))</f>
        <v>540</v>
      </c>
      <c r="C1760" t="e">
        <f>INDEX('Cleaned Data'!H:H,MATCH($A1760,$B$56:$B$1919,0))</f>
        <v>#N/A</v>
      </c>
      <c r="D1760" t="e">
        <f>INDEX('Cleaned Data'!L:L,MATCH($A1760,$B$56:$B$1919,0))</f>
        <v>#N/A</v>
      </c>
    </row>
    <row r="1761" spans="1:4" x14ac:dyDescent="0.25">
      <c r="A1761">
        <v>1706</v>
      </c>
      <c r="B1761">
        <f>B1760+IF('Cleaned Data'!L1707&gt;0,1,0)*IF($B$34="Overall",1,IF('Cleaned Data'!K1707=$B$34,1,0))*(IF('Cleaned Data'!H1707&lt;&gt;"",1,0))</f>
        <v>540</v>
      </c>
      <c r="C1761" t="e">
        <f>INDEX('Cleaned Data'!H:H,MATCH($A1761,$B$56:$B$1919,0))</f>
        <v>#N/A</v>
      </c>
      <c r="D1761" t="e">
        <f>INDEX('Cleaned Data'!L:L,MATCH($A1761,$B$56:$B$1919,0))</f>
        <v>#N/A</v>
      </c>
    </row>
    <row r="1762" spans="1:4" x14ac:dyDescent="0.25">
      <c r="A1762">
        <v>1707</v>
      </c>
      <c r="B1762">
        <f>B1761+IF('Cleaned Data'!L1708&gt;0,1,0)*IF($B$34="Overall",1,IF('Cleaned Data'!K1708=$B$34,1,0))*(IF('Cleaned Data'!H1708&lt;&gt;"",1,0))</f>
        <v>540</v>
      </c>
      <c r="C1762" t="e">
        <f>INDEX('Cleaned Data'!H:H,MATCH($A1762,$B$56:$B$1919,0))</f>
        <v>#N/A</v>
      </c>
      <c r="D1762" t="e">
        <f>INDEX('Cleaned Data'!L:L,MATCH($A1762,$B$56:$B$1919,0))</f>
        <v>#N/A</v>
      </c>
    </row>
    <row r="1763" spans="1:4" x14ac:dyDescent="0.25">
      <c r="A1763">
        <v>1708</v>
      </c>
      <c r="B1763">
        <f>B1762+IF('Cleaned Data'!L1709&gt;0,1,0)*IF($B$34="Overall",1,IF('Cleaned Data'!K1709=$B$34,1,0))*(IF('Cleaned Data'!H1709&lt;&gt;"",1,0))</f>
        <v>540</v>
      </c>
      <c r="C1763" t="e">
        <f>INDEX('Cleaned Data'!H:H,MATCH($A1763,$B$56:$B$1919,0))</f>
        <v>#N/A</v>
      </c>
      <c r="D1763" t="e">
        <f>INDEX('Cleaned Data'!L:L,MATCH($A1763,$B$56:$B$1919,0))</f>
        <v>#N/A</v>
      </c>
    </row>
    <row r="1764" spans="1:4" x14ac:dyDescent="0.25">
      <c r="A1764">
        <v>1709</v>
      </c>
      <c r="B1764">
        <f>B1763+IF('Cleaned Data'!L1710&gt;0,1,0)*IF($B$34="Overall",1,IF('Cleaned Data'!K1710=$B$34,1,0))*(IF('Cleaned Data'!H1710&lt;&gt;"",1,0))</f>
        <v>540</v>
      </c>
      <c r="C1764" t="e">
        <f>INDEX('Cleaned Data'!H:H,MATCH($A1764,$B$56:$B$1919,0))</f>
        <v>#N/A</v>
      </c>
      <c r="D1764" t="e">
        <f>INDEX('Cleaned Data'!L:L,MATCH($A1764,$B$56:$B$1919,0))</f>
        <v>#N/A</v>
      </c>
    </row>
    <row r="1765" spans="1:4" x14ac:dyDescent="0.25">
      <c r="A1765">
        <v>1710</v>
      </c>
      <c r="B1765">
        <f>B1764+IF('Cleaned Data'!L1711&gt;0,1,0)*IF($B$34="Overall",1,IF('Cleaned Data'!K1711=$B$34,1,0))*(IF('Cleaned Data'!H1711&lt;&gt;"",1,0))</f>
        <v>540</v>
      </c>
      <c r="C1765" t="e">
        <f>INDEX('Cleaned Data'!H:H,MATCH($A1765,$B$56:$B$1919,0))</f>
        <v>#N/A</v>
      </c>
      <c r="D1765" t="e">
        <f>INDEX('Cleaned Data'!L:L,MATCH($A1765,$B$56:$B$1919,0))</f>
        <v>#N/A</v>
      </c>
    </row>
    <row r="1766" spans="1:4" x14ac:dyDescent="0.25">
      <c r="A1766">
        <v>1711</v>
      </c>
      <c r="B1766">
        <f>B1765+IF('Cleaned Data'!L1712&gt;0,1,0)*IF($B$34="Overall",1,IF('Cleaned Data'!K1712=$B$34,1,0))*(IF('Cleaned Data'!H1712&lt;&gt;"",1,0))</f>
        <v>540</v>
      </c>
      <c r="C1766" t="e">
        <f>INDEX('Cleaned Data'!H:H,MATCH($A1766,$B$56:$B$1919,0))</f>
        <v>#N/A</v>
      </c>
      <c r="D1766" t="e">
        <f>INDEX('Cleaned Data'!L:L,MATCH($A1766,$B$56:$B$1919,0))</f>
        <v>#N/A</v>
      </c>
    </row>
    <row r="1767" spans="1:4" x14ac:dyDescent="0.25">
      <c r="A1767">
        <v>1712</v>
      </c>
      <c r="B1767">
        <f>B1766+IF('Cleaned Data'!L1713&gt;0,1,0)*IF($B$34="Overall",1,IF('Cleaned Data'!K1713=$B$34,1,0))*(IF('Cleaned Data'!H1713&lt;&gt;"",1,0))</f>
        <v>540</v>
      </c>
      <c r="C1767" t="e">
        <f>INDEX('Cleaned Data'!H:H,MATCH($A1767,$B$56:$B$1919,0))</f>
        <v>#N/A</v>
      </c>
      <c r="D1767" t="e">
        <f>INDEX('Cleaned Data'!L:L,MATCH($A1767,$B$56:$B$1919,0))</f>
        <v>#N/A</v>
      </c>
    </row>
    <row r="1768" spans="1:4" x14ac:dyDescent="0.25">
      <c r="A1768">
        <v>1713</v>
      </c>
      <c r="B1768">
        <f>B1767+IF('Cleaned Data'!L1714&gt;0,1,0)*IF($B$34="Overall",1,IF('Cleaned Data'!K1714=$B$34,1,0))*(IF('Cleaned Data'!H1714&lt;&gt;"",1,0))</f>
        <v>540</v>
      </c>
      <c r="C1768" t="e">
        <f>INDEX('Cleaned Data'!H:H,MATCH($A1768,$B$56:$B$1919,0))</f>
        <v>#N/A</v>
      </c>
      <c r="D1768" t="e">
        <f>INDEX('Cleaned Data'!L:L,MATCH($A1768,$B$56:$B$1919,0))</f>
        <v>#N/A</v>
      </c>
    </row>
    <row r="1769" spans="1:4" x14ac:dyDescent="0.25">
      <c r="A1769">
        <v>1714</v>
      </c>
      <c r="B1769">
        <f>B1768+IF('Cleaned Data'!L1715&gt;0,1,0)*IF($B$34="Overall",1,IF('Cleaned Data'!K1715=$B$34,1,0))*(IF('Cleaned Data'!H1715&lt;&gt;"",1,0))</f>
        <v>540</v>
      </c>
      <c r="C1769" t="e">
        <f>INDEX('Cleaned Data'!H:H,MATCH($A1769,$B$56:$B$1919,0))</f>
        <v>#N/A</v>
      </c>
      <c r="D1769" t="e">
        <f>INDEX('Cleaned Data'!L:L,MATCH($A1769,$B$56:$B$1919,0))</f>
        <v>#N/A</v>
      </c>
    </row>
    <row r="1770" spans="1:4" x14ac:dyDescent="0.25">
      <c r="A1770">
        <v>1715</v>
      </c>
      <c r="B1770">
        <f>B1769+IF('Cleaned Data'!L1716&gt;0,1,0)*IF($B$34="Overall",1,IF('Cleaned Data'!K1716=$B$34,1,0))*(IF('Cleaned Data'!H1716&lt;&gt;"",1,0))</f>
        <v>540</v>
      </c>
      <c r="C1770" t="e">
        <f>INDEX('Cleaned Data'!H:H,MATCH($A1770,$B$56:$B$1919,0))</f>
        <v>#N/A</v>
      </c>
      <c r="D1770" t="e">
        <f>INDEX('Cleaned Data'!L:L,MATCH($A1770,$B$56:$B$1919,0))</f>
        <v>#N/A</v>
      </c>
    </row>
    <row r="1771" spans="1:4" x14ac:dyDescent="0.25">
      <c r="A1771">
        <v>1716</v>
      </c>
      <c r="B1771">
        <f>B1770+IF('Cleaned Data'!L1717&gt;0,1,0)*IF($B$34="Overall",1,IF('Cleaned Data'!K1717=$B$34,1,0))*(IF('Cleaned Data'!H1717&lt;&gt;"",1,0))</f>
        <v>540</v>
      </c>
      <c r="C1771" t="e">
        <f>INDEX('Cleaned Data'!H:H,MATCH($A1771,$B$56:$B$1919,0))</f>
        <v>#N/A</v>
      </c>
      <c r="D1771" t="e">
        <f>INDEX('Cleaned Data'!L:L,MATCH($A1771,$B$56:$B$1919,0))</f>
        <v>#N/A</v>
      </c>
    </row>
    <row r="1772" spans="1:4" x14ac:dyDescent="0.25">
      <c r="A1772">
        <v>1717</v>
      </c>
      <c r="B1772">
        <f>B1771+IF('Cleaned Data'!L1718&gt;0,1,0)*IF($B$34="Overall",1,IF('Cleaned Data'!K1718=$B$34,1,0))*(IF('Cleaned Data'!H1718&lt;&gt;"",1,0))</f>
        <v>540</v>
      </c>
      <c r="C1772" t="e">
        <f>INDEX('Cleaned Data'!H:H,MATCH($A1772,$B$56:$B$1919,0))</f>
        <v>#N/A</v>
      </c>
      <c r="D1772" t="e">
        <f>INDEX('Cleaned Data'!L:L,MATCH($A1772,$B$56:$B$1919,0))</f>
        <v>#N/A</v>
      </c>
    </row>
    <row r="1773" spans="1:4" x14ac:dyDescent="0.25">
      <c r="A1773">
        <v>1718</v>
      </c>
      <c r="B1773">
        <f>B1772+IF('Cleaned Data'!L1719&gt;0,1,0)*IF($B$34="Overall",1,IF('Cleaned Data'!K1719=$B$34,1,0))*(IF('Cleaned Data'!H1719&lt;&gt;"",1,0))</f>
        <v>540</v>
      </c>
      <c r="C1773" t="e">
        <f>INDEX('Cleaned Data'!H:H,MATCH($A1773,$B$56:$B$1919,0))</f>
        <v>#N/A</v>
      </c>
      <c r="D1773" t="e">
        <f>INDEX('Cleaned Data'!L:L,MATCH($A1773,$B$56:$B$1919,0))</f>
        <v>#N/A</v>
      </c>
    </row>
    <row r="1774" spans="1:4" x14ac:dyDescent="0.25">
      <c r="A1774">
        <v>1719</v>
      </c>
      <c r="B1774">
        <f>B1773+IF('Cleaned Data'!L1720&gt;0,1,0)*IF($B$34="Overall",1,IF('Cleaned Data'!K1720=$B$34,1,0))*(IF('Cleaned Data'!H1720&lt;&gt;"",1,0))</f>
        <v>540</v>
      </c>
      <c r="C1774" t="e">
        <f>INDEX('Cleaned Data'!H:H,MATCH($A1774,$B$56:$B$1919,0))</f>
        <v>#N/A</v>
      </c>
      <c r="D1774" t="e">
        <f>INDEX('Cleaned Data'!L:L,MATCH($A1774,$B$56:$B$1919,0))</f>
        <v>#N/A</v>
      </c>
    </row>
    <row r="1775" spans="1:4" x14ac:dyDescent="0.25">
      <c r="A1775">
        <v>1720</v>
      </c>
      <c r="B1775">
        <f>B1774+IF('Cleaned Data'!L1721&gt;0,1,0)*IF($B$34="Overall",1,IF('Cleaned Data'!K1721=$B$34,1,0))*(IF('Cleaned Data'!H1721&lt;&gt;"",1,0))</f>
        <v>540</v>
      </c>
      <c r="C1775" t="e">
        <f>INDEX('Cleaned Data'!H:H,MATCH($A1775,$B$56:$B$1919,0))</f>
        <v>#N/A</v>
      </c>
      <c r="D1775" t="e">
        <f>INDEX('Cleaned Data'!L:L,MATCH($A1775,$B$56:$B$1919,0))</f>
        <v>#N/A</v>
      </c>
    </row>
    <row r="1776" spans="1:4" x14ac:dyDescent="0.25">
      <c r="A1776">
        <v>1721</v>
      </c>
      <c r="B1776">
        <f>B1775+IF('Cleaned Data'!L1722&gt;0,1,0)*IF($B$34="Overall",1,IF('Cleaned Data'!K1722=$B$34,1,0))*(IF('Cleaned Data'!H1722&lt;&gt;"",1,0))</f>
        <v>540</v>
      </c>
      <c r="C1776" t="e">
        <f>INDEX('Cleaned Data'!H:H,MATCH($A1776,$B$56:$B$1919,0))</f>
        <v>#N/A</v>
      </c>
      <c r="D1776" t="e">
        <f>INDEX('Cleaned Data'!L:L,MATCH($A1776,$B$56:$B$1919,0))</f>
        <v>#N/A</v>
      </c>
    </row>
    <row r="1777" spans="1:4" x14ac:dyDescent="0.25">
      <c r="A1777">
        <v>1722</v>
      </c>
      <c r="B1777">
        <f>B1776+IF('Cleaned Data'!L1723&gt;0,1,0)*IF($B$34="Overall",1,IF('Cleaned Data'!K1723=$B$34,1,0))*(IF('Cleaned Data'!H1723&lt;&gt;"",1,0))</f>
        <v>540</v>
      </c>
      <c r="C1777" t="e">
        <f>INDEX('Cleaned Data'!H:H,MATCH($A1777,$B$56:$B$1919,0))</f>
        <v>#N/A</v>
      </c>
      <c r="D1777" t="e">
        <f>INDEX('Cleaned Data'!L:L,MATCH($A1777,$B$56:$B$1919,0))</f>
        <v>#N/A</v>
      </c>
    </row>
    <row r="1778" spans="1:4" x14ac:dyDescent="0.25">
      <c r="A1778">
        <v>1723</v>
      </c>
      <c r="B1778">
        <f>B1777+IF('Cleaned Data'!L1724&gt;0,1,0)*IF($B$34="Overall",1,IF('Cleaned Data'!K1724=$B$34,1,0))*(IF('Cleaned Data'!H1724&lt;&gt;"",1,0))</f>
        <v>540</v>
      </c>
      <c r="C1778" t="e">
        <f>INDEX('Cleaned Data'!H:H,MATCH($A1778,$B$56:$B$1919,0))</f>
        <v>#N/A</v>
      </c>
      <c r="D1778" t="e">
        <f>INDEX('Cleaned Data'!L:L,MATCH($A1778,$B$56:$B$1919,0))</f>
        <v>#N/A</v>
      </c>
    </row>
    <row r="1779" spans="1:4" x14ac:dyDescent="0.25">
      <c r="A1779">
        <v>1724</v>
      </c>
      <c r="B1779">
        <f>B1778+IF('Cleaned Data'!L1725&gt;0,1,0)*IF($B$34="Overall",1,IF('Cleaned Data'!K1725=$B$34,1,0))*(IF('Cleaned Data'!H1725&lt;&gt;"",1,0))</f>
        <v>540</v>
      </c>
      <c r="C1779" t="e">
        <f>INDEX('Cleaned Data'!H:H,MATCH($A1779,$B$56:$B$1919,0))</f>
        <v>#N/A</v>
      </c>
      <c r="D1779" t="e">
        <f>INDEX('Cleaned Data'!L:L,MATCH($A1779,$B$56:$B$1919,0))</f>
        <v>#N/A</v>
      </c>
    </row>
    <row r="1780" spans="1:4" x14ac:dyDescent="0.25">
      <c r="A1780">
        <v>1725</v>
      </c>
      <c r="B1780">
        <f>B1779+IF('Cleaned Data'!L1726&gt;0,1,0)*IF($B$34="Overall",1,IF('Cleaned Data'!K1726=$B$34,1,0))*(IF('Cleaned Data'!H1726&lt;&gt;"",1,0))</f>
        <v>540</v>
      </c>
      <c r="C1780" t="e">
        <f>INDEX('Cleaned Data'!H:H,MATCH($A1780,$B$56:$B$1919,0))</f>
        <v>#N/A</v>
      </c>
      <c r="D1780" t="e">
        <f>INDEX('Cleaned Data'!L:L,MATCH($A1780,$B$56:$B$1919,0))</f>
        <v>#N/A</v>
      </c>
    </row>
    <row r="1781" spans="1:4" x14ac:dyDescent="0.25">
      <c r="A1781">
        <v>1726</v>
      </c>
      <c r="B1781">
        <f>B1780+IF('Cleaned Data'!L1727&gt;0,1,0)*IF($B$34="Overall",1,IF('Cleaned Data'!K1727=$B$34,1,0))*(IF('Cleaned Data'!H1727&lt;&gt;"",1,0))</f>
        <v>540</v>
      </c>
      <c r="C1781" t="e">
        <f>INDEX('Cleaned Data'!H:H,MATCH($A1781,$B$56:$B$1919,0))</f>
        <v>#N/A</v>
      </c>
      <c r="D1781" t="e">
        <f>INDEX('Cleaned Data'!L:L,MATCH($A1781,$B$56:$B$1919,0))</f>
        <v>#N/A</v>
      </c>
    </row>
    <row r="1782" spans="1:4" x14ac:dyDescent="0.25">
      <c r="A1782">
        <v>1727</v>
      </c>
      <c r="B1782">
        <f>B1781+IF('Cleaned Data'!L1728&gt;0,1,0)*IF($B$34="Overall",1,IF('Cleaned Data'!K1728=$B$34,1,0))*(IF('Cleaned Data'!H1728&lt;&gt;"",1,0))</f>
        <v>540</v>
      </c>
      <c r="C1782" t="e">
        <f>INDEX('Cleaned Data'!H:H,MATCH($A1782,$B$56:$B$1919,0))</f>
        <v>#N/A</v>
      </c>
      <c r="D1782" t="e">
        <f>INDEX('Cleaned Data'!L:L,MATCH($A1782,$B$56:$B$1919,0))</f>
        <v>#N/A</v>
      </c>
    </row>
    <row r="1783" spans="1:4" x14ac:dyDescent="0.25">
      <c r="A1783">
        <v>1728</v>
      </c>
      <c r="B1783">
        <f>B1782+IF('Cleaned Data'!L1729&gt;0,1,0)*IF($B$34="Overall",1,IF('Cleaned Data'!K1729=$B$34,1,0))*(IF('Cleaned Data'!H1729&lt;&gt;"",1,0))</f>
        <v>540</v>
      </c>
      <c r="C1783" t="e">
        <f>INDEX('Cleaned Data'!H:H,MATCH($A1783,$B$56:$B$1919,0))</f>
        <v>#N/A</v>
      </c>
      <c r="D1783" t="e">
        <f>INDEX('Cleaned Data'!L:L,MATCH($A1783,$B$56:$B$1919,0))</f>
        <v>#N/A</v>
      </c>
    </row>
    <row r="1784" spans="1:4" x14ac:dyDescent="0.25">
      <c r="A1784">
        <v>1729</v>
      </c>
      <c r="B1784">
        <f>B1783+IF('Cleaned Data'!L1730&gt;0,1,0)*IF($B$34="Overall",1,IF('Cleaned Data'!K1730=$B$34,1,0))*(IF('Cleaned Data'!H1730&lt;&gt;"",1,0))</f>
        <v>540</v>
      </c>
      <c r="C1784" t="e">
        <f>INDEX('Cleaned Data'!H:H,MATCH($A1784,$B$56:$B$1919,0))</f>
        <v>#N/A</v>
      </c>
      <c r="D1784" t="e">
        <f>INDEX('Cleaned Data'!L:L,MATCH($A1784,$B$56:$B$1919,0))</f>
        <v>#N/A</v>
      </c>
    </row>
    <row r="1785" spans="1:4" x14ac:dyDescent="0.25">
      <c r="A1785">
        <v>1730</v>
      </c>
      <c r="B1785">
        <f>B1784+IF('Cleaned Data'!L1731&gt;0,1,0)*IF($B$34="Overall",1,IF('Cleaned Data'!K1731=$B$34,1,0))*(IF('Cleaned Data'!H1731&lt;&gt;"",1,0))</f>
        <v>540</v>
      </c>
      <c r="C1785" t="e">
        <f>INDEX('Cleaned Data'!H:H,MATCH($A1785,$B$56:$B$1919,0))</f>
        <v>#N/A</v>
      </c>
      <c r="D1785" t="e">
        <f>INDEX('Cleaned Data'!L:L,MATCH($A1785,$B$56:$B$1919,0))</f>
        <v>#N/A</v>
      </c>
    </row>
    <row r="1786" spans="1:4" x14ac:dyDescent="0.25">
      <c r="A1786">
        <v>1731</v>
      </c>
      <c r="B1786">
        <f>B1785+IF('Cleaned Data'!L1732&gt;0,1,0)*IF($B$34="Overall",1,IF('Cleaned Data'!K1732=$B$34,1,0))*(IF('Cleaned Data'!H1732&lt;&gt;"",1,0))</f>
        <v>540</v>
      </c>
      <c r="C1786" t="e">
        <f>INDEX('Cleaned Data'!H:H,MATCH($A1786,$B$56:$B$1919,0))</f>
        <v>#N/A</v>
      </c>
      <c r="D1786" t="e">
        <f>INDEX('Cleaned Data'!L:L,MATCH($A1786,$B$56:$B$1919,0))</f>
        <v>#N/A</v>
      </c>
    </row>
    <row r="1787" spans="1:4" x14ac:dyDescent="0.25">
      <c r="A1787">
        <v>1732</v>
      </c>
      <c r="B1787">
        <f>B1786+IF('Cleaned Data'!L1733&gt;0,1,0)*IF($B$34="Overall",1,IF('Cleaned Data'!K1733=$B$34,1,0))*(IF('Cleaned Data'!H1733&lt;&gt;"",1,0))</f>
        <v>540</v>
      </c>
      <c r="C1787" t="e">
        <f>INDEX('Cleaned Data'!H:H,MATCH($A1787,$B$56:$B$1919,0))</f>
        <v>#N/A</v>
      </c>
      <c r="D1787" t="e">
        <f>INDEX('Cleaned Data'!L:L,MATCH($A1787,$B$56:$B$1919,0))</f>
        <v>#N/A</v>
      </c>
    </row>
    <row r="1788" spans="1:4" x14ac:dyDescent="0.25">
      <c r="A1788">
        <v>1733</v>
      </c>
      <c r="B1788">
        <f>B1787+IF('Cleaned Data'!L1734&gt;0,1,0)*IF($B$34="Overall",1,IF('Cleaned Data'!K1734=$B$34,1,0))*(IF('Cleaned Data'!H1734&lt;&gt;"",1,0))</f>
        <v>540</v>
      </c>
      <c r="C1788" t="e">
        <f>INDEX('Cleaned Data'!H:H,MATCH($A1788,$B$56:$B$1919,0))</f>
        <v>#N/A</v>
      </c>
      <c r="D1788" t="e">
        <f>INDEX('Cleaned Data'!L:L,MATCH($A1788,$B$56:$B$1919,0))</f>
        <v>#N/A</v>
      </c>
    </row>
    <row r="1789" spans="1:4" x14ac:dyDescent="0.25">
      <c r="A1789">
        <v>1734</v>
      </c>
      <c r="B1789">
        <f>B1788+IF('Cleaned Data'!L1735&gt;0,1,0)*IF($B$34="Overall",1,IF('Cleaned Data'!K1735=$B$34,1,0))*(IF('Cleaned Data'!H1735&lt;&gt;"",1,0))</f>
        <v>540</v>
      </c>
      <c r="C1789" t="e">
        <f>INDEX('Cleaned Data'!H:H,MATCH($A1789,$B$56:$B$1919,0))</f>
        <v>#N/A</v>
      </c>
      <c r="D1789" t="e">
        <f>INDEX('Cleaned Data'!L:L,MATCH($A1789,$B$56:$B$1919,0))</f>
        <v>#N/A</v>
      </c>
    </row>
    <row r="1790" spans="1:4" x14ac:dyDescent="0.25">
      <c r="A1790">
        <v>1735</v>
      </c>
      <c r="B1790">
        <f>B1789+IF('Cleaned Data'!L1736&gt;0,1,0)*IF($B$34="Overall",1,IF('Cleaned Data'!K1736=$B$34,1,0))*(IF('Cleaned Data'!H1736&lt;&gt;"",1,0))</f>
        <v>540</v>
      </c>
      <c r="C1790" t="e">
        <f>INDEX('Cleaned Data'!H:H,MATCH($A1790,$B$56:$B$1919,0))</f>
        <v>#N/A</v>
      </c>
      <c r="D1790" t="e">
        <f>INDEX('Cleaned Data'!L:L,MATCH($A1790,$B$56:$B$1919,0))</f>
        <v>#N/A</v>
      </c>
    </row>
    <row r="1791" spans="1:4" x14ac:dyDescent="0.25">
      <c r="A1791">
        <v>1736</v>
      </c>
      <c r="B1791">
        <f>B1790+IF('Cleaned Data'!L1737&gt;0,1,0)*IF($B$34="Overall",1,IF('Cleaned Data'!K1737=$B$34,1,0))*(IF('Cleaned Data'!H1737&lt;&gt;"",1,0))</f>
        <v>540</v>
      </c>
      <c r="C1791" t="e">
        <f>INDEX('Cleaned Data'!H:H,MATCH($A1791,$B$56:$B$1919,0))</f>
        <v>#N/A</v>
      </c>
      <c r="D1791" t="e">
        <f>INDEX('Cleaned Data'!L:L,MATCH($A1791,$B$56:$B$1919,0))</f>
        <v>#N/A</v>
      </c>
    </row>
    <row r="1792" spans="1:4" x14ac:dyDescent="0.25">
      <c r="A1792">
        <v>1737</v>
      </c>
      <c r="B1792">
        <f>B1791+IF('Cleaned Data'!L1738&gt;0,1,0)*IF($B$34="Overall",1,IF('Cleaned Data'!K1738=$B$34,1,0))*(IF('Cleaned Data'!H1738&lt;&gt;"",1,0))</f>
        <v>540</v>
      </c>
      <c r="C1792" t="e">
        <f>INDEX('Cleaned Data'!H:H,MATCH($A1792,$B$56:$B$1919,0))</f>
        <v>#N/A</v>
      </c>
      <c r="D1792" t="e">
        <f>INDEX('Cleaned Data'!L:L,MATCH($A1792,$B$56:$B$1919,0))</f>
        <v>#N/A</v>
      </c>
    </row>
    <row r="1793" spans="1:4" x14ac:dyDescent="0.25">
      <c r="A1793">
        <v>1738</v>
      </c>
      <c r="B1793">
        <f>B1792+IF('Cleaned Data'!L1739&gt;0,1,0)*IF($B$34="Overall",1,IF('Cleaned Data'!K1739=$B$34,1,0))*(IF('Cleaned Data'!H1739&lt;&gt;"",1,0))</f>
        <v>540</v>
      </c>
      <c r="C1793" t="e">
        <f>INDEX('Cleaned Data'!H:H,MATCH($A1793,$B$56:$B$1919,0))</f>
        <v>#N/A</v>
      </c>
      <c r="D1793" t="e">
        <f>INDEX('Cleaned Data'!L:L,MATCH($A1793,$B$56:$B$1919,0))</f>
        <v>#N/A</v>
      </c>
    </row>
    <row r="1794" spans="1:4" x14ac:dyDescent="0.25">
      <c r="A1794">
        <v>1739</v>
      </c>
      <c r="B1794">
        <f>B1793+IF('Cleaned Data'!L1740&gt;0,1,0)*IF($B$34="Overall",1,IF('Cleaned Data'!K1740=$B$34,1,0))*(IF('Cleaned Data'!H1740&lt;&gt;"",1,0))</f>
        <v>540</v>
      </c>
      <c r="C1794" t="e">
        <f>INDEX('Cleaned Data'!H:H,MATCH($A1794,$B$56:$B$1919,0))</f>
        <v>#N/A</v>
      </c>
      <c r="D1794" t="e">
        <f>INDEX('Cleaned Data'!L:L,MATCH($A1794,$B$56:$B$1919,0))</f>
        <v>#N/A</v>
      </c>
    </row>
    <row r="1795" spans="1:4" x14ac:dyDescent="0.25">
      <c r="A1795">
        <v>1740</v>
      </c>
      <c r="B1795">
        <f>B1794+IF('Cleaned Data'!L1741&gt;0,1,0)*IF($B$34="Overall",1,IF('Cleaned Data'!K1741=$B$34,1,0))*(IF('Cleaned Data'!H1741&lt;&gt;"",1,0))</f>
        <v>540</v>
      </c>
      <c r="C1795" t="e">
        <f>INDEX('Cleaned Data'!H:H,MATCH($A1795,$B$56:$B$1919,0))</f>
        <v>#N/A</v>
      </c>
      <c r="D1795" t="e">
        <f>INDEX('Cleaned Data'!L:L,MATCH($A1795,$B$56:$B$1919,0))</f>
        <v>#N/A</v>
      </c>
    </row>
    <row r="1796" spans="1:4" x14ac:dyDescent="0.25">
      <c r="A1796">
        <v>1741</v>
      </c>
      <c r="B1796">
        <f>B1795+IF('Cleaned Data'!L1742&gt;0,1,0)*IF($B$34="Overall",1,IF('Cleaned Data'!K1742=$B$34,1,0))*(IF('Cleaned Data'!H1742&lt;&gt;"",1,0))</f>
        <v>540</v>
      </c>
      <c r="C1796" t="e">
        <f>INDEX('Cleaned Data'!H:H,MATCH($A1796,$B$56:$B$1919,0))</f>
        <v>#N/A</v>
      </c>
      <c r="D1796" t="e">
        <f>INDEX('Cleaned Data'!L:L,MATCH($A1796,$B$56:$B$1919,0))</f>
        <v>#N/A</v>
      </c>
    </row>
    <row r="1797" spans="1:4" x14ac:dyDescent="0.25">
      <c r="A1797">
        <v>1742</v>
      </c>
      <c r="B1797">
        <f>B1796+IF('Cleaned Data'!L1743&gt;0,1,0)*IF($B$34="Overall",1,IF('Cleaned Data'!K1743=$B$34,1,0))*(IF('Cleaned Data'!H1743&lt;&gt;"",1,0))</f>
        <v>540</v>
      </c>
      <c r="C1797" t="e">
        <f>INDEX('Cleaned Data'!H:H,MATCH($A1797,$B$56:$B$1919,0))</f>
        <v>#N/A</v>
      </c>
      <c r="D1797" t="e">
        <f>INDEX('Cleaned Data'!L:L,MATCH($A1797,$B$56:$B$1919,0))</f>
        <v>#N/A</v>
      </c>
    </row>
    <row r="1798" spans="1:4" x14ac:dyDescent="0.25">
      <c r="A1798">
        <v>1743</v>
      </c>
      <c r="B1798">
        <f>B1797+IF('Cleaned Data'!L1744&gt;0,1,0)*IF($B$34="Overall",1,IF('Cleaned Data'!K1744=$B$34,1,0))*(IF('Cleaned Data'!H1744&lt;&gt;"",1,0))</f>
        <v>540</v>
      </c>
      <c r="C1798" t="e">
        <f>INDEX('Cleaned Data'!H:H,MATCH($A1798,$B$56:$B$1919,0))</f>
        <v>#N/A</v>
      </c>
      <c r="D1798" t="e">
        <f>INDEX('Cleaned Data'!L:L,MATCH($A1798,$B$56:$B$1919,0))</f>
        <v>#N/A</v>
      </c>
    </row>
    <row r="1799" spans="1:4" x14ac:dyDescent="0.25">
      <c r="A1799">
        <v>1744</v>
      </c>
      <c r="B1799">
        <f>B1798+IF('Cleaned Data'!L1745&gt;0,1,0)*IF($B$34="Overall",1,IF('Cleaned Data'!K1745=$B$34,1,0))*(IF('Cleaned Data'!H1745&lt;&gt;"",1,0))</f>
        <v>540</v>
      </c>
      <c r="C1799" t="e">
        <f>INDEX('Cleaned Data'!H:H,MATCH($A1799,$B$56:$B$1919,0))</f>
        <v>#N/A</v>
      </c>
      <c r="D1799" t="e">
        <f>INDEX('Cleaned Data'!L:L,MATCH($A1799,$B$56:$B$1919,0))</f>
        <v>#N/A</v>
      </c>
    </row>
    <row r="1800" spans="1:4" x14ac:dyDescent="0.25">
      <c r="A1800">
        <v>1745</v>
      </c>
      <c r="B1800">
        <f>B1799+IF('Cleaned Data'!L1746&gt;0,1,0)*IF($B$34="Overall",1,IF('Cleaned Data'!K1746=$B$34,1,0))*(IF('Cleaned Data'!H1746&lt;&gt;"",1,0))</f>
        <v>540</v>
      </c>
      <c r="C1800" t="e">
        <f>INDEX('Cleaned Data'!H:H,MATCH($A1800,$B$56:$B$1919,0))</f>
        <v>#N/A</v>
      </c>
      <c r="D1800" t="e">
        <f>INDEX('Cleaned Data'!L:L,MATCH($A1800,$B$56:$B$1919,0))</f>
        <v>#N/A</v>
      </c>
    </row>
    <row r="1801" spans="1:4" x14ac:dyDescent="0.25">
      <c r="A1801">
        <v>1746</v>
      </c>
      <c r="B1801">
        <f>B1800+IF('Cleaned Data'!L1747&gt;0,1,0)*IF($B$34="Overall",1,IF('Cleaned Data'!K1747=$B$34,1,0))*(IF('Cleaned Data'!H1747&lt;&gt;"",1,0))</f>
        <v>540</v>
      </c>
      <c r="C1801" t="e">
        <f>INDEX('Cleaned Data'!H:H,MATCH($A1801,$B$56:$B$1919,0))</f>
        <v>#N/A</v>
      </c>
      <c r="D1801" t="e">
        <f>INDEX('Cleaned Data'!L:L,MATCH($A1801,$B$56:$B$1919,0))</f>
        <v>#N/A</v>
      </c>
    </row>
    <row r="1802" spans="1:4" x14ac:dyDescent="0.25">
      <c r="A1802">
        <v>1747</v>
      </c>
      <c r="B1802">
        <f>B1801+IF('Cleaned Data'!L1748&gt;0,1,0)*IF($B$34="Overall",1,IF('Cleaned Data'!K1748=$B$34,1,0))*(IF('Cleaned Data'!H1748&lt;&gt;"",1,0))</f>
        <v>540</v>
      </c>
      <c r="C1802" t="e">
        <f>INDEX('Cleaned Data'!H:H,MATCH($A1802,$B$56:$B$1919,0))</f>
        <v>#N/A</v>
      </c>
      <c r="D1802" t="e">
        <f>INDEX('Cleaned Data'!L:L,MATCH($A1802,$B$56:$B$1919,0))</f>
        <v>#N/A</v>
      </c>
    </row>
    <row r="1803" spans="1:4" x14ac:dyDescent="0.25">
      <c r="A1803">
        <v>1748</v>
      </c>
      <c r="B1803">
        <f>B1802+IF('Cleaned Data'!L1749&gt;0,1,0)*IF($B$34="Overall",1,IF('Cleaned Data'!K1749=$B$34,1,0))*(IF('Cleaned Data'!H1749&lt;&gt;"",1,0))</f>
        <v>540</v>
      </c>
      <c r="C1803" t="e">
        <f>INDEX('Cleaned Data'!H:H,MATCH($A1803,$B$56:$B$1919,0))</f>
        <v>#N/A</v>
      </c>
      <c r="D1803" t="e">
        <f>INDEX('Cleaned Data'!L:L,MATCH($A1803,$B$56:$B$1919,0))</f>
        <v>#N/A</v>
      </c>
    </row>
    <row r="1804" spans="1:4" x14ac:dyDescent="0.25">
      <c r="A1804">
        <v>1749</v>
      </c>
      <c r="B1804">
        <f>B1803+IF('Cleaned Data'!L1750&gt;0,1,0)*IF($B$34="Overall",1,IF('Cleaned Data'!K1750=$B$34,1,0))*(IF('Cleaned Data'!H1750&lt;&gt;"",1,0))</f>
        <v>540</v>
      </c>
      <c r="C1804" t="e">
        <f>INDEX('Cleaned Data'!H:H,MATCH($A1804,$B$56:$B$1919,0))</f>
        <v>#N/A</v>
      </c>
      <c r="D1804" t="e">
        <f>INDEX('Cleaned Data'!L:L,MATCH($A1804,$B$56:$B$1919,0))</f>
        <v>#N/A</v>
      </c>
    </row>
    <row r="1805" spans="1:4" x14ac:dyDescent="0.25">
      <c r="A1805">
        <v>1750</v>
      </c>
      <c r="B1805">
        <f>B1804+IF('Cleaned Data'!L1751&gt;0,1,0)*IF($B$34="Overall",1,IF('Cleaned Data'!K1751=$B$34,1,0))*(IF('Cleaned Data'!H1751&lt;&gt;"",1,0))</f>
        <v>540</v>
      </c>
      <c r="C1805" t="e">
        <f>INDEX('Cleaned Data'!H:H,MATCH($A1805,$B$56:$B$1919,0))</f>
        <v>#N/A</v>
      </c>
      <c r="D1805" t="e">
        <f>INDEX('Cleaned Data'!L:L,MATCH($A1805,$B$56:$B$1919,0))</f>
        <v>#N/A</v>
      </c>
    </row>
    <row r="1806" spans="1:4" x14ac:dyDescent="0.25">
      <c r="A1806">
        <v>1751</v>
      </c>
      <c r="B1806">
        <f>B1805+IF('Cleaned Data'!L1752&gt;0,1,0)*IF($B$34="Overall",1,IF('Cleaned Data'!K1752=$B$34,1,0))*(IF('Cleaned Data'!H1752&lt;&gt;"",1,0))</f>
        <v>540</v>
      </c>
      <c r="C1806" t="e">
        <f>INDEX('Cleaned Data'!H:H,MATCH($A1806,$B$56:$B$1919,0))</f>
        <v>#N/A</v>
      </c>
      <c r="D1806" t="e">
        <f>INDEX('Cleaned Data'!L:L,MATCH($A1806,$B$56:$B$1919,0))</f>
        <v>#N/A</v>
      </c>
    </row>
    <row r="1807" spans="1:4" x14ac:dyDescent="0.25">
      <c r="A1807">
        <v>1752</v>
      </c>
      <c r="B1807">
        <f>B1806+IF('Cleaned Data'!L1753&gt;0,1,0)*IF($B$34="Overall",1,IF('Cleaned Data'!K1753=$B$34,1,0))*(IF('Cleaned Data'!H1753&lt;&gt;"",1,0))</f>
        <v>540</v>
      </c>
      <c r="C1807" t="e">
        <f>INDEX('Cleaned Data'!H:H,MATCH($A1807,$B$56:$B$1919,0))</f>
        <v>#N/A</v>
      </c>
      <c r="D1807" t="e">
        <f>INDEX('Cleaned Data'!L:L,MATCH($A1807,$B$56:$B$1919,0))</f>
        <v>#N/A</v>
      </c>
    </row>
    <row r="1808" spans="1:4" x14ac:dyDescent="0.25">
      <c r="A1808">
        <v>1753</v>
      </c>
      <c r="B1808">
        <f>B1807+IF('Cleaned Data'!L1754&gt;0,1,0)*IF($B$34="Overall",1,IF('Cleaned Data'!K1754=$B$34,1,0))*(IF('Cleaned Data'!H1754&lt;&gt;"",1,0))</f>
        <v>540</v>
      </c>
      <c r="C1808" t="e">
        <f>INDEX('Cleaned Data'!H:H,MATCH($A1808,$B$56:$B$1919,0))</f>
        <v>#N/A</v>
      </c>
      <c r="D1808" t="e">
        <f>INDEX('Cleaned Data'!L:L,MATCH($A1808,$B$56:$B$1919,0))</f>
        <v>#N/A</v>
      </c>
    </row>
    <row r="1809" spans="1:4" x14ac:dyDescent="0.25">
      <c r="A1809">
        <v>1754</v>
      </c>
      <c r="B1809">
        <f>B1808+IF('Cleaned Data'!L1755&gt;0,1,0)*IF($B$34="Overall",1,IF('Cleaned Data'!K1755=$B$34,1,0))*(IF('Cleaned Data'!H1755&lt;&gt;"",1,0))</f>
        <v>540</v>
      </c>
      <c r="C1809" t="e">
        <f>INDEX('Cleaned Data'!H:H,MATCH($A1809,$B$56:$B$1919,0))</f>
        <v>#N/A</v>
      </c>
      <c r="D1809" t="e">
        <f>INDEX('Cleaned Data'!L:L,MATCH($A1809,$B$56:$B$1919,0))</f>
        <v>#N/A</v>
      </c>
    </row>
    <row r="1810" spans="1:4" x14ac:dyDescent="0.25">
      <c r="A1810">
        <v>1755</v>
      </c>
      <c r="B1810">
        <f>B1809+IF('Cleaned Data'!L1756&gt;0,1,0)*IF($B$34="Overall",1,IF('Cleaned Data'!K1756=$B$34,1,0))*(IF('Cleaned Data'!H1756&lt;&gt;"",1,0))</f>
        <v>540</v>
      </c>
      <c r="C1810" t="e">
        <f>INDEX('Cleaned Data'!H:H,MATCH($A1810,$B$56:$B$1919,0))</f>
        <v>#N/A</v>
      </c>
      <c r="D1810" t="e">
        <f>INDEX('Cleaned Data'!L:L,MATCH($A1810,$B$56:$B$1919,0))</f>
        <v>#N/A</v>
      </c>
    </row>
    <row r="1811" spans="1:4" x14ac:dyDescent="0.25">
      <c r="A1811">
        <v>1756</v>
      </c>
      <c r="B1811">
        <f>B1810+IF('Cleaned Data'!L1757&gt;0,1,0)*IF($B$34="Overall",1,IF('Cleaned Data'!K1757=$B$34,1,0))*(IF('Cleaned Data'!H1757&lt;&gt;"",1,0))</f>
        <v>540</v>
      </c>
      <c r="C1811" t="e">
        <f>INDEX('Cleaned Data'!H:H,MATCH($A1811,$B$56:$B$1919,0))</f>
        <v>#N/A</v>
      </c>
      <c r="D1811" t="e">
        <f>INDEX('Cleaned Data'!L:L,MATCH($A1811,$B$56:$B$1919,0))</f>
        <v>#N/A</v>
      </c>
    </row>
    <row r="1812" spans="1:4" x14ac:dyDescent="0.25">
      <c r="A1812">
        <v>1757</v>
      </c>
      <c r="B1812">
        <f>B1811+IF('Cleaned Data'!L1758&gt;0,1,0)*IF($B$34="Overall",1,IF('Cleaned Data'!K1758=$B$34,1,0))*(IF('Cleaned Data'!H1758&lt;&gt;"",1,0))</f>
        <v>540</v>
      </c>
      <c r="C1812" t="e">
        <f>INDEX('Cleaned Data'!H:H,MATCH($A1812,$B$56:$B$1919,0))</f>
        <v>#N/A</v>
      </c>
      <c r="D1812" t="e">
        <f>INDEX('Cleaned Data'!L:L,MATCH($A1812,$B$56:$B$1919,0))</f>
        <v>#N/A</v>
      </c>
    </row>
    <row r="1813" spans="1:4" x14ac:dyDescent="0.25">
      <c r="A1813">
        <v>1758</v>
      </c>
      <c r="B1813">
        <f>B1812+IF('Cleaned Data'!L1759&gt;0,1,0)*IF($B$34="Overall",1,IF('Cleaned Data'!K1759=$B$34,1,0))*(IF('Cleaned Data'!H1759&lt;&gt;"",1,0))</f>
        <v>540</v>
      </c>
      <c r="C1813" t="e">
        <f>INDEX('Cleaned Data'!H:H,MATCH($A1813,$B$56:$B$1919,0))</f>
        <v>#N/A</v>
      </c>
      <c r="D1813" t="e">
        <f>INDEX('Cleaned Data'!L:L,MATCH($A1813,$B$56:$B$1919,0))</f>
        <v>#N/A</v>
      </c>
    </row>
    <row r="1814" spans="1:4" x14ac:dyDescent="0.25">
      <c r="A1814">
        <v>1759</v>
      </c>
      <c r="B1814">
        <f>B1813+IF('Cleaned Data'!L1760&gt;0,1,0)*IF($B$34="Overall",1,IF('Cleaned Data'!K1760=$B$34,1,0))*(IF('Cleaned Data'!H1760&lt;&gt;"",1,0))</f>
        <v>540</v>
      </c>
      <c r="C1814" t="e">
        <f>INDEX('Cleaned Data'!H:H,MATCH($A1814,$B$56:$B$1919,0))</f>
        <v>#N/A</v>
      </c>
      <c r="D1814" t="e">
        <f>INDEX('Cleaned Data'!L:L,MATCH($A1814,$B$56:$B$1919,0))</f>
        <v>#N/A</v>
      </c>
    </row>
    <row r="1815" spans="1:4" x14ac:dyDescent="0.25">
      <c r="A1815">
        <v>1760</v>
      </c>
      <c r="B1815">
        <f>B1814+IF('Cleaned Data'!L1761&gt;0,1,0)*IF($B$34="Overall",1,IF('Cleaned Data'!K1761=$B$34,1,0))*(IF('Cleaned Data'!H1761&lt;&gt;"",1,0))</f>
        <v>540</v>
      </c>
      <c r="C1815" t="e">
        <f>INDEX('Cleaned Data'!H:H,MATCH($A1815,$B$56:$B$1919,0))</f>
        <v>#N/A</v>
      </c>
      <c r="D1815" t="e">
        <f>INDEX('Cleaned Data'!L:L,MATCH($A1815,$B$56:$B$1919,0))</f>
        <v>#N/A</v>
      </c>
    </row>
    <row r="1816" spans="1:4" x14ac:dyDescent="0.25">
      <c r="A1816">
        <v>1761</v>
      </c>
      <c r="B1816">
        <f>B1815+IF('Cleaned Data'!L1762&gt;0,1,0)*IF($B$34="Overall",1,IF('Cleaned Data'!K1762=$B$34,1,0))*(IF('Cleaned Data'!H1762&lt;&gt;"",1,0))</f>
        <v>540</v>
      </c>
      <c r="C1816" t="e">
        <f>INDEX('Cleaned Data'!H:H,MATCH($A1816,$B$56:$B$1919,0))</f>
        <v>#N/A</v>
      </c>
      <c r="D1816" t="e">
        <f>INDEX('Cleaned Data'!L:L,MATCH($A1816,$B$56:$B$1919,0))</f>
        <v>#N/A</v>
      </c>
    </row>
    <row r="1817" spans="1:4" x14ac:dyDescent="0.25">
      <c r="A1817">
        <v>1762</v>
      </c>
      <c r="B1817">
        <f>B1816+IF('Cleaned Data'!L1763&gt;0,1,0)*IF($B$34="Overall",1,IF('Cleaned Data'!K1763=$B$34,1,0))*(IF('Cleaned Data'!H1763&lt;&gt;"",1,0))</f>
        <v>540</v>
      </c>
      <c r="C1817" t="e">
        <f>INDEX('Cleaned Data'!H:H,MATCH($A1817,$B$56:$B$1919,0))</f>
        <v>#N/A</v>
      </c>
      <c r="D1817" t="e">
        <f>INDEX('Cleaned Data'!L:L,MATCH($A1817,$B$56:$B$1919,0))</f>
        <v>#N/A</v>
      </c>
    </row>
    <row r="1818" spans="1:4" x14ac:dyDescent="0.25">
      <c r="A1818">
        <v>1763</v>
      </c>
      <c r="B1818">
        <f>B1817+IF('Cleaned Data'!L1764&gt;0,1,0)*IF($B$34="Overall",1,IF('Cleaned Data'!K1764=$B$34,1,0))*(IF('Cleaned Data'!H1764&lt;&gt;"",1,0))</f>
        <v>540</v>
      </c>
      <c r="C1818" t="e">
        <f>INDEX('Cleaned Data'!H:H,MATCH($A1818,$B$56:$B$1919,0))</f>
        <v>#N/A</v>
      </c>
      <c r="D1818" t="e">
        <f>INDEX('Cleaned Data'!L:L,MATCH($A1818,$B$56:$B$1919,0))</f>
        <v>#N/A</v>
      </c>
    </row>
    <row r="1819" spans="1:4" x14ac:dyDescent="0.25">
      <c r="A1819">
        <v>1764</v>
      </c>
      <c r="B1819">
        <f>B1818+IF('Cleaned Data'!L1765&gt;0,1,0)*IF($B$34="Overall",1,IF('Cleaned Data'!K1765=$B$34,1,0))*(IF('Cleaned Data'!H1765&lt;&gt;"",1,0))</f>
        <v>540</v>
      </c>
      <c r="C1819" t="e">
        <f>INDEX('Cleaned Data'!H:H,MATCH($A1819,$B$56:$B$1919,0))</f>
        <v>#N/A</v>
      </c>
      <c r="D1819" t="e">
        <f>INDEX('Cleaned Data'!L:L,MATCH($A1819,$B$56:$B$1919,0))</f>
        <v>#N/A</v>
      </c>
    </row>
    <row r="1820" spans="1:4" x14ac:dyDescent="0.25">
      <c r="A1820">
        <v>1765</v>
      </c>
      <c r="B1820">
        <f>B1819+IF('Cleaned Data'!L1766&gt;0,1,0)*IF($B$34="Overall",1,IF('Cleaned Data'!K1766=$B$34,1,0))*(IF('Cleaned Data'!H1766&lt;&gt;"",1,0))</f>
        <v>540</v>
      </c>
      <c r="C1820" t="e">
        <f>INDEX('Cleaned Data'!H:H,MATCH($A1820,$B$56:$B$1919,0))</f>
        <v>#N/A</v>
      </c>
      <c r="D1820" t="e">
        <f>INDEX('Cleaned Data'!L:L,MATCH($A1820,$B$56:$B$1919,0))</f>
        <v>#N/A</v>
      </c>
    </row>
    <row r="1821" spans="1:4" x14ac:dyDescent="0.25">
      <c r="A1821">
        <v>1766</v>
      </c>
      <c r="B1821">
        <f>B1820+IF('Cleaned Data'!L1767&gt;0,1,0)*IF($B$34="Overall",1,IF('Cleaned Data'!K1767=$B$34,1,0))*(IF('Cleaned Data'!H1767&lt;&gt;"",1,0))</f>
        <v>540</v>
      </c>
      <c r="C1821" t="e">
        <f>INDEX('Cleaned Data'!H:H,MATCH($A1821,$B$56:$B$1919,0))</f>
        <v>#N/A</v>
      </c>
      <c r="D1821" t="e">
        <f>INDEX('Cleaned Data'!L:L,MATCH($A1821,$B$56:$B$1919,0))</f>
        <v>#N/A</v>
      </c>
    </row>
    <row r="1822" spans="1:4" x14ac:dyDescent="0.25">
      <c r="A1822">
        <v>1767</v>
      </c>
      <c r="B1822">
        <f>B1821+IF('Cleaned Data'!L1768&gt;0,1,0)*IF($B$34="Overall",1,IF('Cleaned Data'!K1768=$B$34,1,0))*(IF('Cleaned Data'!H1768&lt;&gt;"",1,0))</f>
        <v>540</v>
      </c>
      <c r="C1822" t="e">
        <f>INDEX('Cleaned Data'!H:H,MATCH($A1822,$B$56:$B$1919,0))</f>
        <v>#N/A</v>
      </c>
      <c r="D1822" t="e">
        <f>INDEX('Cleaned Data'!L:L,MATCH($A1822,$B$56:$B$1919,0))</f>
        <v>#N/A</v>
      </c>
    </row>
    <row r="1823" spans="1:4" x14ac:dyDescent="0.25">
      <c r="A1823">
        <v>1768</v>
      </c>
      <c r="B1823">
        <f>B1822+IF('Cleaned Data'!L1769&gt;0,1,0)*IF($B$34="Overall",1,IF('Cleaned Data'!K1769=$B$34,1,0))*(IF('Cleaned Data'!H1769&lt;&gt;"",1,0))</f>
        <v>540</v>
      </c>
      <c r="C1823" t="e">
        <f>INDEX('Cleaned Data'!H:H,MATCH($A1823,$B$56:$B$1919,0))</f>
        <v>#N/A</v>
      </c>
      <c r="D1823" t="e">
        <f>INDEX('Cleaned Data'!L:L,MATCH($A1823,$B$56:$B$1919,0))</f>
        <v>#N/A</v>
      </c>
    </row>
    <row r="1824" spans="1:4" x14ac:dyDescent="0.25">
      <c r="A1824">
        <v>1769</v>
      </c>
      <c r="B1824">
        <f>B1823+IF('Cleaned Data'!L1770&gt;0,1,0)*IF($B$34="Overall",1,IF('Cleaned Data'!K1770=$B$34,1,0))*(IF('Cleaned Data'!H1770&lt;&gt;"",1,0))</f>
        <v>540</v>
      </c>
      <c r="C1824" t="e">
        <f>INDEX('Cleaned Data'!H:H,MATCH($A1824,$B$56:$B$1919,0))</f>
        <v>#N/A</v>
      </c>
      <c r="D1824" t="e">
        <f>INDEX('Cleaned Data'!L:L,MATCH($A1824,$B$56:$B$1919,0))</f>
        <v>#N/A</v>
      </c>
    </row>
    <row r="1825" spans="1:4" x14ac:dyDescent="0.25">
      <c r="A1825">
        <v>1770</v>
      </c>
      <c r="B1825">
        <f>B1824+IF('Cleaned Data'!L1771&gt;0,1,0)*IF($B$34="Overall",1,IF('Cleaned Data'!K1771=$B$34,1,0))*(IF('Cleaned Data'!H1771&lt;&gt;"",1,0))</f>
        <v>540</v>
      </c>
      <c r="C1825" t="e">
        <f>INDEX('Cleaned Data'!H:H,MATCH($A1825,$B$56:$B$1919,0))</f>
        <v>#N/A</v>
      </c>
      <c r="D1825" t="e">
        <f>INDEX('Cleaned Data'!L:L,MATCH($A1825,$B$56:$B$1919,0))</f>
        <v>#N/A</v>
      </c>
    </row>
    <row r="1826" spans="1:4" x14ac:dyDescent="0.25">
      <c r="A1826">
        <v>1771</v>
      </c>
      <c r="B1826">
        <f>B1825+IF('Cleaned Data'!L1772&gt;0,1,0)*IF($B$34="Overall",1,IF('Cleaned Data'!K1772=$B$34,1,0))*(IF('Cleaned Data'!H1772&lt;&gt;"",1,0))</f>
        <v>540</v>
      </c>
      <c r="C1826" t="e">
        <f>INDEX('Cleaned Data'!H:H,MATCH($A1826,$B$56:$B$1919,0))</f>
        <v>#N/A</v>
      </c>
      <c r="D1826" t="e">
        <f>INDEX('Cleaned Data'!L:L,MATCH($A1826,$B$56:$B$1919,0))</f>
        <v>#N/A</v>
      </c>
    </row>
    <row r="1827" spans="1:4" x14ac:dyDescent="0.25">
      <c r="A1827">
        <v>1772</v>
      </c>
      <c r="B1827">
        <f>B1826+IF('Cleaned Data'!L1773&gt;0,1,0)*IF($B$34="Overall",1,IF('Cleaned Data'!K1773=$B$34,1,0))*(IF('Cleaned Data'!H1773&lt;&gt;"",1,0))</f>
        <v>540</v>
      </c>
      <c r="C1827" t="e">
        <f>INDEX('Cleaned Data'!H:H,MATCH($A1827,$B$56:$B$1919,0))</f>
        <v>#N/A</v>
      </c>
      <c r="D1827" t="e">
        <f>INDEX('Cleaned Data'!L:L,MATCH($A1827,$B$56:$B$1919,0))</f>
        <v>#N/A</v>
      </c>
    </row>
    <row r="1828" spans="1:4" x14ac:dyDescent="0.25">
      <c r="A1828">
        <v>1773</v>
      </c>
      <c r="B1828">
        <f>B1827+IF('Cleaned Data'!L1774&gt;0,1,0)*IF($B$34="Overall",1,IF('Cleaned Data'!K1774=$B$34,1,0))*(IF('Cleaned Data'!H1774&lt;&gt;"",1,0))</f>
        <v>540</v>
      </c>
      <c r="C1828" t="e">
        <f>INDEX('Cleaned Data'!H:H,MATCH($A1828,$B$56:$B$1919,0))</f>
        <v>#N/A</v>
      </c>
      <c r="D1828" t="e">
        <f>INDEX('Cleaned Data'!L:L,MATCH($A1828,$B$56:$B$1919,0))</f>
        <v>#N/A</v>
      </c>
    </row>
    <row r="1829" spans="1:4" x14ac:dyDescent="0.25">
      <c r="A1829">
        <v>1774</v>
      </c>
      <c r="B1829">
        <f>B1828+IF('Cleaned Data'!L1775&gt;0,1,0)*IF($B$34="Overall",1,IF('Cleaned Data'!K1775=$B$34,1,0))*(IF('Cleaned Data'!H1775&lt;&gt;"",1,0))</f>
        <v>540</v>
      </c>
      <c r="C1829" t="e">
        <f>INDEX('Cleaned Data'!H:H,MATCH($A1829,$B$56:$B$1919,0))</f>
        <v>#N/A</v>
      </c>
      <c r="D1829" t="e">
        <f>INDEX('Cleaned Data'!L:L,MATCH($A1829,$B$56:$B$1919,0))</f>
        <v>#N/A</v>
      </c>
    </row>
    <row r="1830" spans="1:4" x14ac:dyDescent="0.25">
      <c r="A1830">
        <v>1775</v>
      </c>
      <c r="B1830">
        <f>B1829+IF('Cleaned Data'!L1776&gt;0,1,0)*IF($B$34="Overall",1,IF('Cleaned Data'!K1776=$B$34,1,0))*(IF('Cleaned Data'!H1776&lt;&gt;"",1,0))</f>
        <v>540</v>
      </c>
      <c r="C1830" t="e">
        <f>INDEX('Cleaned Data'!H:H,MATCH($A1830,$B$56:$B$1919,0))</f>
        <v>#N/A</v>
      </c>
      <c r="D1830" t="e">
        <f>INDEX('Cleaned Data'!L:L,MATCH($A1830,$B$56:$B$1919,0))</f>
        <v>#N/A</v>
      </c>
    </row>
    <row r="1831" spans="1:4" x14ac:dyDescent="0.25">
      <c r="A1831">
        <v>1776</v>
      </c>
      <c r="B1831">
        <f>B1830+IF('Cleaned Data'!L1777&gt;0,1,0)*IF($B$34="Overall",1,IF('Cleaned Data'!K1777=$B$34,1,0))*(IF('Cleaned Data'!H1777&lt;&gt;"",1,0))</f>
        <v>540</v>
      </c>
      <c r="C1831" t="e">
        <f>INDEX('Cleaned Data'!H:H,MATCH($A1831,$B$56:$B$1919,0))</f>
        <v>#N/A</v>
      </c>
      <c r="D1831" t="e">
        <f>INDEX('Cleaned Data'!L:L,MATCH($A1831,$B$56:$B$1919,0))</f>
        <v>#N/A</v>
      </c>
    </row>
    <row r="1832" spans="1:4" x14ac:dyDescent="0.25">
      <c r="A1832">
        <v>1777</v>
      </c>
      <c r="B1832">
        <f>B1831+IF('Cleaned Data'!L1778&gt;0,1,0)*IF($B$34="Overall",1,IF('Cleaned Data'!K1778=$B$34,1,0))*(IF('Cleaned Data'!H1778&lt;&gt;"",1,0))</f>
        <v>540</v>
      </c>
      <c r="C1832" t="e">
        <f>INDEX('Cleaned Data'!H:H,MATCH($A1832,$B$56:$B$1919,0))</f>
        <v>#N/A</v>
      </c>
      <c r="D1832" t="e">
        <f>INDEX('Cleaned Data'!L:L,MATCH($A1832,$B$56:$B$1919,0))</f>
        <v>#N/A</v>
      </c>
    </row>
    <row r="1833" spans="1:4" x14ac:dyDescent="0.25">
      <c r="A1833">
        <v>1778</v>
      </c>
      <c r="B1833">
        <f>B1832+IF('Cleaned Data'!L1779&gt;0,1,0)*IF($B$34="Overall",1,IF('Cleaned Data'!K1779=$B$34,1,0))*(IF('Cleaned Data'!H1779&lt;&gt;"",1,0))</f>
        <v>540</v>
      </c>
      <c r="C1833" t="e">
        <f>INDEX('Cleaned Data'!H:H,MATCH($A1833,$B$56:$B$1919,0))</f>
        <v>#N/A</v>
      </c>
      <c r="D1833" t="e">
        <f>INDEX('Cleaned Data'!L:L,MATCH($A1833,$B$56:$B$1919,0))</f>
        <v>#N/A</v>
      </c>
    </row>
    <row r="1834" spans="1:4" x14ac:dyDescent="0.25">
      <c r="A1834">
        <v>1779</v>
      </c>
      <c r="B1834">
        <f>B1833+IF('Cleaned Data'!L1780&gt;0,1,0)*IF($B$34="Overall",1,IF('Cleaned Data'!K1780=$B$34,1,0))*(IF('Cleaned Data'!H1780&lt;&gt;"",1,0))</f>
        <v>540</v>
      </c>
      <c r="C1834" t="e">
        <f>INDEX('Cleaned Data'!H:H,MATCH($A1834,$B$56:$B$1919,0))</f>
        <v>#N/A</v>
      </c>
      <c r="D1834" t="e">
        <f>INDEX('Cleaned Data'!L:L,MATCH($A1834,$B$56:$B$1919,0))</f>
        <v>#N/A</v>
      </c>
    </row>
    <row r="1835" spans="1:4" x14ac:dyDescent="0.25">
      <c r="A1835">
        <v>1780</v>
      </c>
      <c r="B1835">
        <f>B1834+IF('Cleaned Data'!L1781&gt;0,1,0)*IF($B$34="Overall",1,IF('Cleaned Data'!K1781=$B$34,1,0))*(IF('Cleaned Data'!H1781&lt;&gt;"",1,0))</f>
        <v>540</v>
      </c>
      <c r="C1835" t="e">
        <f>INDEX('Cleaned Data'!H:H,MATCH($A1835,$B$56:$B$1919,0))</f>
        <v>#N/A</v>
      </c>
      <c r="D1835" t="e">
        <f>INDEX('Cleaned Data'!L:L,MATCH($A1835,$B$56:$B$1919,0))</f>
        <v>#N/A</v>
      </c>
    </row>
    <row r="1836" spans="1:4" x14ac:dyDescent="0.25">
      <c r="A1836">
        <v>1781</v>
      </c>
      <c r="B1836">
        <f>B1835+IF('Cleaned Data'!L1782&gt;0,1,0)*IF($B$34="Overall",1,IF('Cleaned Data'!K1782=$B$34,1,0))*(IF('Cleaned Data'!H1782&lt;&gt;"",1,0))</f>
        <v>540</v>
      </c>
      <c r="C1836" t="e">
        <f>INDEX('Cleaned Data'!H:H,MATCH($A1836,$B$56:$B$1919,0))</f>
        <v>#N/A</v>
      </c>
      <c r="D1836" t="e">
        <f>INDEX('Cleaned Data'!L:L,MATCH($A1836,$B$56:$B$1919,0))</f>
        <v>#N/A</v>
      </c>
    </row>
    <row r="1837" spans="1:4" x14ac:dyDescent="0.25">
      <c r="A1837">
        <v>1782</v>
      </c>
      <c r="B1837">
        <f>B1836+IF('Cleaned Data'!L1783&gt;0,1,0)*IF($B$34="Overall",1,IF('Cleaned Data'!K1783=$B$34,1,0))*(IF('Cleaned Data'!H1783&lt;&gt;"",1,0))</f>
        <v>540</v>
      </c>
      <c r="C1837" t="e">
        <f>INDEX('Cleaned Data'!H:H,MATCH($A1837,$B$56:$B$1919,0))</f>
        <v>#N/A</v>
      </c>
      <c r="D1837" t="e">
        <f>INDEX('Cleaned Data'!L:L,MATCH($A1837,$B$56:$B$1919,0))</f>
        <v>#N/A</v>
      </c>
    </row>
    <row r="1838" spans="1:4" x14ac:dyDescent="0.25">
      <c r="A1838">
        <v>1783</v>
      </c>
      <c r="B1838">
        <f>B1837+IF('Cleaned Data'!L1784&gt;0,1,0)*IF($B$34="Overall",1,IF('Cleaned Data'!K1784=$B$34,1,0))*(IF('Cleaned Data'!H1784&lt;&gt;"",1,0))</f>
        <v>540</v>
      </c>
      <c r="C1838" t="e">
        <f>INDEX('Cleaned Data'!H:H,MATCH($A1838,$B$56:$B$1919,0))</f>
        <v>#N/A</v>
      </c>
      <c r="D1838" t="e">
        <f>INDEX('Cleaned Data'!L:L,MATCH($A1838,$B$56:$B$1919,0))</f>
        <v>#N/A</v>
      </c>
    </row>
    <row r="1839" spans="1:4" x14ac:dyDescent="0.25">
      <c r="A1839">
        <v>1784</v>
      </c>
      <c r="B1839">
        <f>B1838+IF('Cleaned Data'!L1785&gt;0,1,0)*IF($B$34="Overall",1,IF('Cleaned Data'!K1785=$B$34,1,0))*(IF('Cleaned Data'!H1785&lt;&gt;"",1,0))</f>
        <v>540</v>
      </c>
      <c r="C1839" t="e">
        <f>INDEX('Cleaned Data'!H:H,MATCH($A1839,$B$56:$B$1919,0))</f>
        <v>#N/A</v>
      </c>
      <c r="D1839" t="e">
        <f>INDEX('Cleaned Data'!L:L,MATCH($A1839,$B$56:$B$1919,0))</f>
        <v>#N/A</v>
      </c>
    </row>
    <row r="1840" spans="1:4" x14ac:dyDescent="0.25">
      <c r="A1840">
        <v>1785</v>
      </c>
      <c r="B1840">
        <f>B1839+IF('Cleaned Data'!L1786&gt;0,1,0)*IF($B$34="Overall",1,IF('Cleaned Data'!K1786=$B$34,1,0))*(IF('Cleaned Data'!H1786&lt;&gt;"",1,0))</f>
        <v>540</v>
      </c>
      <c r="C1840" t="e">
        <f>INDEX('Cleaned Data'!H:H,MATCH($A1840,$B$56:$B$1919,0))</f>
        <v>#N/A</v>
      </c>
      <c r="D1840" t="e">
        <f>INDEX('Cleaned Data'!L:L,MATCH($A1840,$B$56:$B$1919,0))</f>
        <v>#N/A</v>
      </c>
    </row>
    <row r="1841" spans="1:4" x14ac:dyDescent="0.25">
      <c r="A1841">
        <v>1786</v>
      </c>
      <c r="B1841">
        <f>B1840+IF('Cleaned Data'!L1787&gt;0,1,0)*IF($B$34="Overall",1,IF('Cleaned Data'!K1787=$B$34,1,0))*(IF('Cleaned Data'!H1787&lt;&gt;"",1,0))</f>
        <v>540</v>
      </c>
      <c r="C1841" t="e">
        <f>INDEX('Cleaned Data'!H:H,MATCH($A1841,$B$56:$B$1919,0))</f>
        <v>#N/A</v>
      </c>
      <c r="D1841" t="e">
        <f>INDEX('Cleaned Data'!L:L,MATCH($A1841,$B$56:$B$1919,0))</f>
        <v>#N/A</v>
      </c>
    </row>
    <row r="1842" spans="1:4" x14ac:dyDescent="0.25">
      <c r="A1842">
        <v>1787</v>
      </c>
      <c r="B1842">
        <f>B1841+IF('Cleaned Data'!L1788&gt;0,1,0)*IF($B$34="Overall",1,IF('Cleaned Data'!K1788=$B$34,1,0))*(IF('Cleaned Data'!H1788&lt;&gt;"",1,0))</f>
        <v>540</v>
      </c>
      <c r="C1842" t="e">
        <f>INDEX('Cleaned Data'!H:H,MATCH($A1842,$B$56:$B$1919,0))</f>
        <v>#N/A</v>
      </c>
      <c r="D1842" t="e">
        <f>INDEX('Cleaned Data'!L:L,MATCH($A1842,$B$56:$B$1919,0))</f>
        <v>#N/A</v>
      </c>
    </row>
    <row r="1843" spans="1:4" x14ac:dyDescent="0.25">
      <c r="A1843">
        <v>1788</v>
      </c>
      <c r="B1843">
        <f>B1842+IF('Cleaned Data'!L1789&gt;0,1,0)*IF($B$34="Overall",1,IF('Cleaned Data'!K1789=$B$34,1,0))*(IF('Cleaned Data'!H1789&lt;&gt;"",1,0))</f>
        <v>540</v>
      </c>
      <c r="C1843" t="e">
        <f>INDEX('Cleaned Data'!H:H,MATCH($A1843,$B$56:$B$1919,0))</f>
        <v>#N/A</v>
      </c>
      <c r="D1843" t="e">
        <f>INDEX('Cleaned Data'!L:L,MATCH($A1843,$B$56:$B$1919,0))</f>
        <v>#N/A</v>
      </c>
    </row>
    <row r="1844" spans="1:4" x14ac:dyDescent="0.25">
      <c r="A1844">
        <v>1789</v>
      </c>
      <c r="B1844">
        <f>B1843+IF('Cleaned Data'!L1790&gt;0,1,0)*IF($B$34="Overall",1,IF('Cleaned Data'!K1790=$B$34,1,0))*(IF('Cleaned Data'!H1790&lt;&gt;"",1,0))</f>
        <v>540</v>
      </c>
      <c r="C1844" t="e">
        <f>INDEX('Cleaned Data'!H:H,MATCH($A1844,$B$56:$B$1919,0))</f>
        <v>#N/A</v>
      </c>
      <c r="D1844" t="e">
        <f>INDEX('Cleaned Data'!L:L,MATCH($A1844,$B$56:$B$1919,0))</f>
        <v>#N/A</v>
      </c>
    </row>
    <row r="1845" spans="1:4" x14ac:dyDescent="0.25">
      <c r="A1845">
        <v>1790</v>
      </c>
      <c r="B1845">
        <f>B1844+IF('Cleaned Data'!L1791&gt;0,1,0)*IF($B$34="Overall",1,IF('Cleaned Data'!K1791=$B$34,1,0))*(IF('Cleaned Data'!H1791&lt;&gt;"",1,0))</f>
        <v>540</v>
      </c>
      <c r="C1845" t="e">
        <f>INDEX('Cleaned Data'!H:H,MATCH($A1845,$B$56:$B$1919,0))</f>
        <v>#N/A</v>
      </c>
      <c r="D1845" t="e">
        <f>INDEX('Cleaned Data'!L:L,MATCH($A1845,$B$56:$B$1919,0))</f>
        <v>#N/A</v>
      </c>
    </row>
    <row r="1846" spans="1:4" x14ac:dyDescent="0.25">
      <c r="A1846">
        <v>1791</v>
      </c>
      <c r="B1846">
        <f>B1845+IF('Cleaned Data'!L1792&gt;0,1,0)*IF($B$34="Overall",1,IF('Cleaned Data'!K1792=$B$34,1,0))*(IF('Cleaned Data'!H1792&lt;&gt;"",1,0))</f>
        <v>540</v>
      </c>
      <c r="C1846" t="e">
        <f>INDEX('Cleaned Data'!H:H,MATCH($A1846,$B$56:$B$1919,0))</f>
        <v>#N/A</v>
      </c>
      <c r="D1846" t="e">
        <f>INDEX('Cleaned Data'!L:L,MATCH($A1846,$B$56:$B$1919,0))</f>
        <v>#N/A</v>
      </c>
    </row>
    <row r="1847" spans="1:4" x14ac:dyDescent="0.25">
      <c r="A1847">
        <v>1792</v>
      </c>
      <c r="B1847">
        <f>B1846+IF('Cleaned Data'!L1793&gt;0,1,0)*IF($B$34="Overall",1,IF('Cleaned Data'!K1793=$B$34,1,0))*(IF('Cleaned Data'!H1793&lt;&gt;"",1,0))</f>
        <v>540</v>
      </c>
      <c r="C1847" t="e">
        <f>INDEX('Cleaned Data'!H:H,MATCH($A1847,$B$56:$B$1919,0))</f>
        <v>#N/A</v>
      </c>
      <c r="D1847" t="e">
        <f>INDEX('Cleaned Data'!L:L,MATCH($A1847,$B$56:$B$1919,0))</f>
        <v>#N/A</v>
      </c>
    </row>
    <row r="1848" spans="1:4" x14ac:dyDescent="0.25">
      <c r="A1848">
        <v>1793</v>
      </c>
      <c r="B1848">
        <f>B1847+IF('Cleaned Data'!L1794&gt;0,1,0)*IF($B$34="Overall",1,IF('Cleaned Data'!K1794=$B$34,1,0))*(IF('Cleaned Data'!H1794&lt;&gt;"",1,0))</f>
        <v>540</v>
      </c>
      <c r="C1848" t="e">
        <f>INDEX('Cleaned Data'!H:H,MATCH($A1848,$B$56:$B$1919,0))</f>
        <v>#N/A</v>
      </c>
      <c r="D1848" t="e">
        <f>INDEX('Cleaned Data'!L:L,MATCH($A1848,$B$56:$B$1919,0))</f>
        <v>#N/A</v>
      </c>
    </row>
    <row r="1849" spans="1:4" x14ac:dyDescent="0.25">
      <c r="A1849">
        <v>1794</v>
      </c>
      <c r="B1849">
        <f>B1848+IF('Cleaned Data'!L1795&gt;0,1,0)*IF($B$34="Overall",1,IF('Cleaned Data'!K1795=$B$34,1,0))*(IF('Cleaned Data'!H1795&lt;&gt;"",1,0))</f>
        <v>540</v>
      </c>
      <c r="C1849" t="e">
        <f>INDEX('Cleaned Data'!H:H,MATCH($A1849,$B$56:$B$1919,0))</f>
        <v>#N/A</v>
      </c>
      <c r="D1849" t="e">
        <f>INDEX('Cleaned Data'!L:L,MATCH($A1849,$B$56:$B$1919,0))</f>
        <v>#N/A</v>
      </c>
    </row>
    <row r="1850" spans="1:4" x14ac:dyDescent="0.25">
      <c r="A1850">
        <v>1795</v>
      </c>
      <c r="B1850">
        <f>B1849+IF('Cleaned Data'!L1796&gt;0,1,0)*IF($B$34="Overall",1,IF('Cleaned Data'!K1796=$B$34,1,0))*(IF('Cleaned Data'!H1796&lt;&gt;"",1,0))</f>
        <v>540</v>
      </c>
      <c r="C1850" t="e">
        <f>INDEX('Cleaned Data'!H:H,MATCH($A1850,$B$56:$B$1919,0))</f>
        <v>#N/A</v>
      </c>
      <c r="D1850" t="e">
        <f>INDEX('Cleaned Data'!L:L,MATCH($A1850,$B$56:$B$1919,0))</f>
        <v>#N/A</v>
      </c>
    </row>
    <row r="1851" spans="1:4" x14ac:dyDescent="0.25">
      <c r="A1851">
        <v>1796</v>
      </c>
      <c r="B1851">
        <f>B1850+IF('Cleaned Data'!L1797&gt;0,1,0)*IF($B$34="Overall",1,IF('Cleaned Data'!K1797=$B$34,1,0))*(IF('Cleaned Data'!H1797&lt;&gt;"",1,0))</f>
        <v>540</v>
      </c>
      <c r="C1851" t="e">
        <f>INDEX('Cleaned Data'!H:H,MATCH($A1851,$B$56:$B$1919,0))</f>
        <v>#N/A</v>
      </c>
      <c r="D1851" t="e">
        <f>INDEX('Cleaned Data'!L:L,MATCH($A1851,$B$56:$B$1919,0))</f>
        <v>#N/A</v>
      </c>
    </row>
    <row r="1852" spans="1:4" x14ac:dyDescent="0.25">
      <c r="A1852">
        <v>1797</v>
      </c>
      <c r="B1852">
        <f>B1851+IF('Cleaned Data'!L1798&gt;0,1,0)*IF($B$34="Overall",1,IF('Cleaned Data'!K1798=$B$34,1,0))*(IF('Cleaned Data'!H1798&lt;&gt;"",1,0))</f>
        <v>540</v>
      </c>
      <c r="C1852" t="e">
        <f>INDEX('Cleaned Data'!H:H,MATCH($A1852,$B$56:$B$1919,0))</f>
        <v>#N/A</v>
      </c>
      <c r="D1852" t="e">
        <f>INDEX('Cleaned Data'!L:L,MATCH($A1852,$B$56:$B$1919,0))</f>
        <v>#N/A</v>
      </c>
    </row>
    <row r="1853" spans="1:4" x14ac:dyDescent="0.25">
      <c r="A1853">
        <v>1798</v>
      </c>
      <c r="B1853">
        <f>B1852+IF('Cleaned Data'!L1799&gt;0,1,0)*IF($B$34="Overall",1,IF('Cleaned Data'!K1799=$B$34,1,0))*(IF('Cleaned Data'!H1799&lt;&gt;"",1,0))</f>
        <v>540</v>
      </c>
      <c r="C1853" t="e">
        <f>INDEX('Cleaned Data'!H:H,MATCH($A1853,$B$56:$B$1919,0))</f>
        <v>#N/A</v>
      </c>
      <c r="D1853" t="e">
        <f>INDEX('Cleaned Data'!L:L,MATCH($A1853,$B$56:$B$1919,0))</f>
        <v>#N/A</v>
      </c>
    </row>
    <row r="1854" spans="1:4" x14ac:dyDescent="0.25">
      <c r="A1854">
        <v>1799</v>
      </c>
      <c r="B1854">
        <f>B1853+IF('Cleaned Data'!L1800&gt;0,1,0)*IF($B$34="Overall",1,IF('Cleaned Data'!K1800=$B$34,1,0))*(IF('Cleaned Data'!H1800&lt;&gt;"",1,0))</f>
        <v>540</v>
      </c>
      <c r="C1854" t="e">
        <f>INDEX('Cleaned Data'!H:H,MATCH($A1854,$B$56:$B$1919,0))</f>
        <v>#N/A</v>
      </c>
      <c r="D1854" t="e">
        <f>INDEX('Cleaned Data'!L:L,MATCH($A1854,$B$56:$B$1919,0))</f>
        <v>#N/A</v>
      </c>
    </row>
    <row r="1855" spans="1:4" x14ac:dyDescent="0.25">
      <c r="A1855">
        <v>1800</v>
      </c>
      <c r="B1855">
        <f>B1854+IF('Cleaned Data'!L1801&gt;0,1,0)*IF($B$34="Overall",1,IF('Cleaned Data'!K1801=$B$34,1,0))*(IF('Cleaned Data'!H1801&lt;&gt;"",1,0))</f>
        <v>540</v>
      </c>
      <c r="C1855" t="e">
        <f>INDEX('Cleaned Data'!H:H,MATCH($A1855,$B$56:$B$1919,0))</f>
        <v>#N/A</v>
      </c>
      <c r="D1855" t="e">
        <f>INDEX('Cleaned Data'!L:L,MATCH($A1855,$B$56:$B$1919,0))</f>
        <v>#N/A</v>
      </c>
    </row>
    <row r="1856" spans="1:4" x14ac:dyDescent="0.25">
      <c r="A1856">
        <v>1801</v>
      </c>
      <c r="B1856">
        <f>B1855+IF('Cleaned Data'!L1802&gt;0,1,0)*IF($B$34="Overall",1,IF('Cleaned Data'!K1802=$B$34,1,0))*(IF('Cleaned Data'!H1802&lt;&gt;"",1,0))</f>
        <v>540</v>
      </c>
      <c r="C1856" t="e">
        <f>INDEX('Cleaned Data'!H:H,MATCH($A1856,$B$56:$B$1919,0))</f>
        <v>#N/A</v>
      </c>
      <c r="D1856" t="e">
        <f>INDEX('Cleaned Data'!L:L,MATCH($A1856,$B$56:$B$1919,0))</f>
        <v>#N/A</v>
      </c>
    </row>
    <row r="1857" spans="1:4" x14ac:dyDescent="0.25">
      <c r="A1857">
        <v>1802</v>
      </c>
      <c r="B1857">
        <f>B1856+IF('Cleaned Data'!L1803&gt;0,1,0)*IF($B$34="Overall",1,IF('Cleaned Data'!K1803=$B$34,1,0))*(IF('Cleaned Data'!H1803&lt;&gt;"",1,0))</f>
        <v>540</v>
      </c>
      <c r="C1857" t="e">
        <f>INDEX('Cleaned Data'!H:H,MATCH($A1857,$B$56:$B$1919,0))</f>
        <v>#N/A</v>
      </c>
      <c r="D1857" t="e">
        <f>INDEX('Cleaned Data'!L:L,MATCH($A1857,$B$56:$B$1919,0))</f>
        <v>#N/A</v>
      </c>
    </row>
    <row r="1858" spans="1:4" x14ac:dyDescent="0.25">
      <c r="A1858">
        <v>1803</v>
      </c>
      <c r="B1858">
        <f>B1857+IF('Cleaned Data'!L1804&gt;0,1,0)*IF($B$34="Overall",1,IF('Cleaned Data'!K1804=$B$34,1,0))*(IF('Cleaned Data'!H1804&lt;&gt;"",1,0))</f>
        <v>540</v>
      </c>
      <c r="C1858" t="e">
        <f>INDEX('Cleaned Data'!H:H,MATCH($A1858,$B$56:$B$1919,0))</f>
        <v>#N/A</v>
      </c>
      <c r="D1858" t="e">
        <f>INDEX('Cleaned Data'!L:L,MATCH($A1858,$B$56:$B$1919,0))</f>
        <v>#N/A</v>
      </c>
    </row>
    <row r="1859" spans="1:4" x14ac:dyDescent="0.25">
      <c r="A1859">
        <v>1804</v>
      </c>
      <c r="B1859">
        <f>B1858+IF('Cleaned Data'!L1805&gt;0,1,0)*IF($B$34="Overall",1,IF('Cleaned Data'!K1805=$B$34,1,0))*(IF('Cleaned Data'!H1805&lt;&gt;"",1,0))</f>
        <v>540</v>
      </c>
      <c r="C1859" t="e">
        <f>INDEX('Cleaned Data'!H:H,MATCH($A1859,$B$56:$B$1919,0))</f>
        <v>#N/A</v>
      </c>
      <c r="D1859" t="e">
        <f>INDEX('Cleaned Data'!L:L,MATCH($A1859,$B$56:$B$1919,0))</f>
        <v>#N/A</v>
      </c>
    </row>
    <row r="1860" spans="1:4" x14ac:dyDescent="0.25">
      <c r="A1860">
        <v>1805</v>
      </c>
      <c r="B1860">
        <f>B1859+IF('Cleaned Data'!L1806&gt;0,1,0)*IF($B$34="Overall",1,IF('Cleaned Data'!K1806=$B$34,1,0))*(IF('Cleaned Data'!H1806&lt;&gt;"",1,0))</f>
        <v>540</v>
      </c>
      <c r="C1860" t="e">
        <f>INDEX('Cleaned Data'!H:H,MATCH($A1860,$B$56:$B$1919,0))</f>
        <v>#N/A</v>
      </c>
      <c r="D1860" t="e">
        <f>INDEX('Cleaned Data'!L:L,MATCH($A1860,$B$56:$B$1919,0))</f>
        <v>#N/A</v>
      </c>
    </row>
    <row r="1861" spans="1:4" x14ac:dyDescent="0.25">
      <c r="A1861">
        <v>1806</v>
      </c>
      <c r="B1861">
        <f>B1860+IF('Cleaned Data'!L1807&gt;0,1,0)*IF($B$34="Overall",1,IF('Cleaned Data'!K1807=$B$34,1,0))*(IF('Cleaned Data'!H1807&lt;&gt;"",1,0))</f>
        <v>540</v>
      </c>
      <c r="C1861" t="e">
        <f>INDEX('Cleaned Data'!H:H,MATCH($A1861,$B$56:$B$1919,0))</f>
        <v>#N/A</v>
      </c>
      <c r="D1861" t="e">
        <f>INDEX('Cleaned Data'!L:L,MATCH($A1861,$B$56:$B$1919,0))</f>
        <v>#N/A</v>
      </c>
    </row>
    <row r="1862" spans="1:4" x14ac:dyDescent="0.25">
      <c r="A1862">
        <v>1807</v>
      </c>
      <c r="B1862">
        <f>B1861+IF('Cleaned Data'!L1808&gt;0,1,0)*IF($B$34="Overall",1,IF('Cleaned Data'!K1808=$B$34,1,0))*(IF('Cleaned Data'!H1808&lt;&gt;"",1,0))</f>
        <v>540</v>
      </c>
      <c r="C1862" t="e">
        <f>INDEX('Cleaned Data'!H:H,MATCH($A1862,$B$56:$B$1919,0))</f>
        <v>#N/A</v>
      </c>
      <c r="D1862" t="e">
        <f>INDEX('Cleaned Data'!L:L,MATCH($A1862,$B$56:$B$1919,0))</f>
        <v>#N/A</v>
      </c>
    </row>
    <row r="1863" spans="1:4" x14ac:dyDescent="0.25">
      <c r="A1863">
        <v>1808</v>
      </c>
      <c r="B1863">
        <f>B1862+IF('Cleaned Data'!L1809&gt;0,1,0)*IF($B$34="Overall",1,IF('Cleaned Data'!K1809=$B$34,1,0))*(IF('Cleaned Data'!H1809&lt;&gt;"",1,0))</f>
        <v>540</v>
      </c>
      <c r="C1863" t="e">
        <f>INDEX('Cleaned Data'!H:H,MATCH($A1863,$B$56:$B$1919,0))</f>
        <v>#N/A</v>
      </c>
      <c r="D1863" t="e">
        <f>INDEX('Cleaned Data'!L:L,MATCH($A1863,$B$56:$B$1919,0))</f>
        <v>#N/A</v>
      </c>
    </row>
    <row r="1864" spans="1:4" x14ac:dyDescent="0.25">
      <c r="A1864">
        <v>1809</v>
      </c>
      <c r="B1864">
        <f>B1863+IF('Cleaned Data'!L1810&gt;0,1,0)*IF($B$34="Overall",1,IF('Cleaned Data'!K1810=$B$34,1,0))*(IF('Cleaned Data'!H1810&lt;&gt;"",1,0))</f>
        <v>540</v>
      </c>
      <c r="C1864" t="e">
        <f>INDEX('Cleaned Data'!H:H,MATCH($A1864,$B$56:$B$1919,0))</f>
        <v>#N/A</v>
      </c>
      <c r="D1864" t="e">
        <f>INDEX('Cleaned Data'!L:L,MATCH($A1864,$B$56:$B$1919,0))</f>
        <v>#N/A</v>
      </c>
    </row>
    <row r="1865" spans="1:4" x14ac:dyDescent="0.25">
      <c r="A1865">
        <v>1810</v>
      </c>
      <c r="B1865">
        <f>B1864+IF('Cleaned Data'!L1811&gt;0,1,0)*IF($B$34="Overall",1,IF('Cleaned Data'!K1811=$B$34,1,0))*(IF('Cleaned Data'!H1811&lt;&gt;"",1,0))</f>
        <v>540</v>
      </c>
      <c r="C1865" t="e">
        <f>INDEX('Cleaned Data'!H:H,MATCH($A1865,$B$56:$B$1919,0))</f>
        <v>#N/A</v>
      </c>
      <c r="D1865" t="e">
        <f>INDEX('Cleaned Data'!L:L,MATCH($A1865,$B$56:$B$1919,0))</f>
        <v>#N/A</v>
      </c>
    </row>
    <row r="1866" spans="1:4" x14ac:dyDescent="0.25">
      <c r="A1866">
        <v>1811</v>
      </c>
      <c r="B1866">
        <f>B1865+IF('Cleaned Data'!L1812&gt;0,1,0)*IF($B$34="Overall",1,IF('Cleaned Data'!K1812=$B$34,1,0))*(IF('Cleaned Data'!H1812&lt;&gt;"",1,0))</f>
        <v>540</v>
      </c>
      <c r="C1866" t="e">
        <f>INDEX('Cleaned Data'!H:H,MATCH($A1866,$B$56:$B$1919,0))</f>
        <v>#N/A</v>
      </c>
      <c r="D1866" t="e">
        <f>INDEX('Cleaned Data'!L:L,MATCH($A1866,$B$56:$B$1919,0))</f>
        <v>#N/A</v>
      </c>
    </row>
    <row r="1867" spans="1:4" x14ac:dyDescent="0.25">
      <c r="A1867">
        <v>1812</v>
      </c>
      <c r="B1867">
        <f>B1866+IF('Cleaned Data'!L1813&gt;0,1,0)*IF($B$34="Overall",1,IF('Cleaned Data'!K1813=$B$34,1,0))*(IF('Cleaned Data'!H1813&lt;&gt;"",1,0))</f>
        <v>540</v>
      </c>
      <c r="C1867" t="e">
        <f>INDEX('Cleaned Data'!H:H,MATCH($A1867,$B$56:$B$1919,0))</f>
        <v>#N/A</v>
      </c>
      <c r="D1867" t="e">
        <f>INDEX('Cleaned Data'!L:L,MATCH($A1867,$B$56:$B$1919,0))</f>
        <v>#N/A</v>
      </c>
    </row>
    <row r="1868" spans="1:4" x14ac:dyDescent="0.25">
      <c r="A1868">
        <v>1813</v>
      </c>
      <c r="B1868">
        <f>B1867+IF('Cleaned Data'!L1814&gt;0,1,0)*IF($B$34="Overall",1,IF('Cleaned Data'!K1814=$B$34,1,0))*(IF('Cleaned Data'!H1814&lt;&gt;"",1,0))</f>
        <v>540</v>
      </c>
      <c r="C1868" t="e">
        <f>INDEX('Cleaned Data'!H:H,MATCH($A1868,$B$56:$B$1919,0))</f>
        <v>#N/A</v>
      </c>
      <c r="D1868" t="e">
        <f>INDEX('Cleaned Data'!L:L,MATCH($A1868,$B$56:$B$1919,0))</f>
        <v>#N/A</v>
      </c>
    </row>
    <row r="1869" spans="1:4" x14ac:dyDescent="0.25">
      <c r="A1869">
        <v>1814</v>
      </c>
      <c r="B1869">
        <f>B1868+IF('Cleaned Data'!L1815&gt;0,1,0)*IF($B$34="Overall",1,IF('Cleaned Data'!K1815=$B$34,1,0))*(IF('Cleaned Data'!H1815&lt;&gt;"",1,0))</f>
        <v>540</v>
      </c>
      <c r="C1869" t="e">
        <f>INDEX('Cleaned Data'!H:H,MATCH($A1869,$B$56:$B$1919,0))</f>
        <v>#N/A</v>
      </c>
      <c r="D1869" t="e">
        <f>INDEX('Cleaned Data'!L:L,MATCH($A1869,$B$56:$B$1919,0))</f>
        <v>#N/A</v>
      </c>
    </row>
    <row r="1870" spans="1:4" x14ac:dyDescent="0.25">
      <c r="A1870">
        <v>1815</v>
      </c>
      <c r="B1870">
        <f>B1869+IF('Cleaned Data'!L1816&gt;0,1,0)*IF($B$34="Overall",1,IF('Cleaned Data'!K1816=$B$34,1,0))*(IF('Cleaned Data'!H1816&lt;&gt;"",1,0))</f>
        <v>540</v>
      </c>
      <c r="C1870" t="e">
        <f>INDEX('Cleaned Data'!H:H,MATCH($A1870,$B$56:$B$1919,0))</f>
        <v>#N/A</v>
      </c>
      <c r="D1870" t="e">
        <f>INDEX('Cleaned Data'!L:L,MATCH($A1870,$B$56:$B$1919,0))</f>
        <v>#N/A</v>
      </c>
    </row>
    <row r="1871" spans="1:4" x14ac:dyDescent="0.25">
      <c r="A1871">
        <v>1816</v>
      </c>
      <c r="B1871">
        <f>B1870+IF('Cleaned Data'!L1817&gt;0,1,0)*IF($B$34="Overall",1,IF('Cleaned Data'!K1817=$B$34,1,0))*(IF('Cleaned Data'!H1817&lt;&gt;"",1,0))</f>
        <v>540</v>
      </c>
      <c r="C1871" t="e">
        <f>INDEX('Cleaned Data'!H:H,MATCH($A1871,$B$56:$B$1919,0))</f>
        <v>#N/A</v>
      </c>
      <c r="D1871" t="e">
        <f>INDEX('Cleaned Data'!L:L,MATCH($A1871,$B$56:$B$1919,0))</f>
        <v>#N/A</v>
      </c>
    </row>
    <row r="1872" spans="1:4" x14ac:dyDescent="0.25">
      <c r="A1872">
        <v>1817</v>
      </c>
      <c r="B1872">
        <f>B1871+IF('Cleaned Data'!L1818&gt;0,1,0)*IF($B$34="Overall",1,IF('Cleaned Data'!K1818=$B$34,1,0))*(IF('Cleaned Data'!H1818&lt;&gt;"",1,0))</f>
        <v>540</v>
      </c>
      <c r="C1872" t="e">
        <f>INDEX('Cleaned Data'!H:H,MATCH($A1872,$B$56:$B$1919,0))</f>
        <v>#N/A</v>
      </c>
      <c r="D1872" t="e">
        <f>INDEX('Cleaned Data'!L:L,MATCH($A1872,$B$56:$B$1919,0))</f>
        <v>#N/A</v>
      </c>
    </row>
    <row r="1873" spans="1:4" x14ac:dyDescent="0.25">
      <c r="A1873">
        <v>1818</v>
      </c>
      <c r="B1873">
        <f>B1872+IF('Cleaned Data'!L1819&gt;0,1,0)*IF($B$34="Overall",1,IF('Cleaned Data'!K1819=$B$34,1,0))*(IF('Cleaned Data'!H1819&lt;&gt;"",1,0))</f>
        <v>540</v>
      </c>
      <c r="C1873" t="e">
        <f>INDEX('Cleaned Data'!H:H,MATCH($A1873,$B$56:$B$1919,0))</f>
        <v>#N/A</v>
      </c>
      <c r="D1873" t="e">
        <f>INDEX('Cleaned Data'!L:L,MATCH($A1873,$B$56:$B$1919,0))</f>
        <v>#N/A</v>
      </c>
    </row>
    <row r="1874" spans="1:4" x14ac:dyDescent="0.25">
      <c r="A1874">
        <v>1819</v>
      </c>
      <c r="B1874">
        <f>B1873+IF('Cleaned Data'!L1820&gt;0,1,0)*IF($B$34="Overall",1,IF('Cleaned Data'!K1820=$B$34,1,0))*(IF('Cleaned Data'!H1820&lt;&gt;"",1,0))</f>
        <v>540</v>
      </c>
      <c r="C1874" t="e">
        <f>INDEX('Cleaned Data'!H:H,MATCH($A1874,$B$56:$B$1919,0))</f>
        <v>#N/A</v>
      </c>
      <c r="D1874" t="e">
        <f>INDEX('Cleaned Data'!L:L,MATCH($A1874,$B$56:$B$1919,0))</f>
        <v>#N/A</v>
      </c>
    </row>
    <row r="1875" spans="1:4" x14ac:dyDescent="0.25">
      <c r="A1875">
        <v>1820</v>
      </c>
      <c r="B1875">
        <f>B1874+IF('Cleaned Data'!L1821&gt;0,1,0)*IF($B$34="Overall",1,IF('Cleaned Data'!K1821=$B$34,1,0))*(IF('Cleaned Data'!H1821&lt;&gt;"",1,0))</f>
        <v>540</v>
      </c>
      <c r="C1875" t="e">
        <f>INDEX('Cleaned Data'!H:H,MATCH($A1875,$B$56:$B$1919,0))</f>
        <v>#N/A</v>
      </c>
      <c r="D1875" t="e">
        <f>INDEX('Cleaned Data'!L:L,MATCH($A1875,$B$56:$B$1919,0))</f>
        <v>#N/A</v>
      </c>
    </row>
    <row r="1876" spans="1:4" x14ac:dyDescent="0.25">
      <c r="A1876">
        <v>1821</v>
      </c>
      <c r="B1876">
        <f>B1875+IF('Cleaned Data'!L1822&gt;0,1,0)*IF($B$34="Overall",1,IF('Cleaned Data'!K1822=$B$34,1,0))*(IF('Cleaned Data'!H1822&lt;&gt;"",1,0))</f>
        <v>540</v>
      </c>
      <c r="C1876" t="e">
        <f>INDEX('Cleaned Data'!H:H,MATCH($A1876,$B$56:$B$1919,0))</f>
        <v>#N/A</v>
      </c>
      <c r="D1876" t="e">
        <f>INDEX('Cleaned Data'!L:L,MATCH($A1876,$B$56:$B$1919,0))</f>
        <v>#N/A</v>
      </c>
    </row>
    <row r="1877" spans="1:4" x14ac:dyDescent="0.25">
      <c r="A1877">
        <v>1822</v>
      </c>
      <c r="B1877">
        <f>B1876+IF('Cleaned Data'!L1823&gt;0,1,0)*IF($B$34="Overall",1,IF('Cleaned Data'!K1823=$B$34,1,0))*(IF('Cleaned Data'!H1823&lt;&gt;"",1,0))</f>
        <v>540</v>
      </c>
      <c r="C1877" t="e">
        <f>INDEX('Cleaned Data'!H:H,MATCH($A1877,$B$56:$B$1919,0))</f>
        <v>#N/A</v>
      </c>
      <c r="D1877" t="e">
        <f>INDEX('Cleaned Data'!L:L,MATCH($A1877,$B$56:$B$1919,0))</f>
        <v>#N/A</v>
      </c>
    </row>
    <row r="1878" spans="1:4" x14ac:dyDescent="0.25">
      <c r="A1878">
        <v>1823</v>
      </c>
      <c r="B1878">
        <f>B1877+IF('Cleaned Data'!L1824&gt;0,1,0)*IF($B$34="Overall",1,IF('Cleaned Data'!K1824=$B$34,1,0))*(IF('Cleaned Data'!H1824&lt;&gt;"",1,0))</f>
        <v>540</v>
      </c>
      <c r="C1878" t="e">
        <f>INDEX('Cleaned Data'!H:H,MATCH($A1878,$B$56:$B$1919,0))</f>
        <v>#N/A</v>
      </c>
      <c r="D1878" t="e">
        <f>INDEX('Cleaned Data'!L:L,MATCH($A1878,$B$56:$B$1919,0))</f>
        <v>#N/A</v>
      </c>
    </row>
    <row r="1879" spans="1:4" x14ac:dyDescent="0.25">
      <c r="A1879">
        <v>1824</v>
      </c>
      <c r="B1879">
        <f>B1878+IF('Cleaned Data'!L1825&gt;0,1,0)*IF($B$34="Overall",1,IF('Cleaned Data'!K1825=$B$34,1,0))*(IF('Cleaned Data'!H1825&lt;&gt;"",1,0))</f>
        <v>540</v>
      </c>
      <c r="C1879" t="e">
        <f>INDEX('Cleaned Data'!H:H,MATCH($A1879,$B$56:$B$1919,0))</f>
        <v>#N/A</v>
      </c>
      <c r="D1879" t="e">
        <f>INDEX('Cleaned Data'!L:L,MATCH($A1879,$B$56:$B$1919,0))</f>
        <v>#N/A</v>
      </c>
    </row>
    <row r="1880" spans="1:4" x14ac:dyDescent="0.25">
      <c r="A1880">
        <v>1825</v>
      </c>
      <c r="B1880">
        <f>B1879+IF('Cleaned Data'!L1826&gt;0,1,0)*IF($B$34="Overall",1,IF('Cleaned Data'!K1826=$B$34,1,0))*(IF('Cleaned Data'!H1826&lt;&gt;"",1,0))</f>
        <v>540</v>
      </c>
      <c r="C1880" t="e">
        <f>INDEX('Cleaned Data'!H:H,MATCH($A1880,$B$56:$B$1919,0))</f>
        <v>#N/A</v>
      </c>
      <c r="D1880" t="e">
        <f>INDEX('Cleaned Data'!L:L,MATCH($A1880,$B$56:$B$1919,0))</f>
        <v>#N/A</v>
      </c>
    </row>
    <row r="1881" spans="1:4" x14ac:dyDescent="0.25">
      <c r="A1881">
        <v>1826</v>
      </c>
      <c r="B1881">
        <f>B1880+IF('Cleaned Data'!L1827&gt;0,1,0)*IF($B$34="Overall",1,IF('Cleaned Data'!K1827=$B$34,1,0))*(IF('Cleaned Data'!H1827&lt;&gt;"",1,0))</f>
        <v>540</v>
      </c>
      <c r="C1881" t="e">
        <f>INDEX('Cleaned Data'!H:H,MATCH($A1881,$B$56:$B$1919,0))</f>
        <v>#N/A</v>
      </c>
      <c r="D1881" t="e">
        <f>INDEX('Cleaned Data'!L:L,MATCH($A1881,$B$56:$B$1919,0))</f>
        <v>#N/A</v>
      </c>
    </row>
    <row r="1882" spans="1:4" x14ac:dyDescent="0.25">
      <c r="A1882">
        <v>1827</v>
      </c>
      <c r="B1882">
        <f>B1881+IF('Cleaned Data'!L1828&gt;0,1,0)*IF($B$34="Overall",1,IF('Cleaned Data'!K1828=$B$34,1,0))*(IF('Cleaned Data'!H1828&lt;&gt;"",1,0))</f>
        <v>540</v>
      </c>
      <c r="C1882" t="e">
        <f>INDEX('Cleaned Data'!H:H,MATCH($A1882,$B$56:$B$1919,0))</f>
        <v>#N/A</v>
      </c>
      <c r="D1882" t="e">
        <f>INDEX('Cleaned Data'!L:L,MATCH($A1882,$B$56:$B$1919,0))</f>
        <v>#N/A</v>
      </c>
    </row>
    <row r="1883" spans="1:4" x14ac:dyDescent="0.25">
      <c r="A1883">
        <v>1828</v>
      </c>
      <c r="B1883">
        <f>B1882+IF('Cleaned Data'!L1829&gt;0,1,0)*IF($B$34="Overall",1,IF('Cleaned Data'!K1829=$B$34,1,0))*(IF('Cleaned Data'!H1829&lt;&gt;"",1,0))</f>
        <v>540</v>
      </c>
      <c r="C1883" t="e">
        <f>INDEX('Cleaned Data'!H:H,MATCH($A1883,$B$56:$B$1919,0))</f>
        <v>#N/A</v>
      </c>
      <c r="D1883" t="e">
        <f>INDEX('Cleaned Data'!L:L,MATCH($A1883,$B$56:$B$1919,0))</f>
        <v>#N/A</v>
      </c>
    </row>
    <row r="1884" spans="1:4" x14ac:dyDescent="0.25">
      <c r="A1884">
        <v>1829</v>
      </c>
      <c r="B1884">
        <f>B1883+IF('Cleaned Data'!L1830&gt;0,1,0)*IF($B$34="Overall",1,IF('Cleaned Data'!K1830=$B$34,1,0))*(IF('Cleaned Data'!H1830&lt;&gt;"",1,0))</f>
        <v>540</v>
      </c>
      <c r="C1884" t="e">
        <f>INDEX('Cleaned Data'!H:H,MATCH($A1884,$B$56:$B$1919,0))</f>
        <v>#N/A</v>
      </c>
      <c r="D1884" t="e">
        <f>INDEX('Cleaned Data'!L:L,MATCH($A1884,$B$56:$B$1919,0))</f>
        <v>#N/A</v>
      </c>
    </row>
    <row r="1885" spans="1:4" x14ac:dyDescent="0.25">
      <c r="A1885">
        <v>1830</v>
      </c>
      <c r="B1885">
        <f>B1884+IF('Cleaned Data'!L1831&gt;0,1,0)*IF($B$34="Overall",1,IF('Cleaned Data'!K1831=$B$34,1,0))*(IF('Cleaned Data'!H1831&lt;&gt;"",1,0))</f>
        <v>540</v>
      </c>
      <c r="C1885" t="e">
        <f>INDEX('Cleaned Data'!H:H,MATCH($A1885,$B$56:$B$1919,0))</f>
        <v>#N/A</v>
      </c>
      <c r="D1885" t="e">
        <f>INDEX('Cleaned Data'!L:L,MATCH($A1885,$B$56:$B$1919,0))</f>
        <v>#N/A</v>
      </c>
    </row>
    <row r="1886" spans="1:4" x14ac:dyDescent="0.25">
      <c r="A1886">
        <v>1831</v>
      </c>
      <c r="B1886">
        <f>B1885+IF('Cleaned Data'!L1832&gt;0,1,0)*IF($B$34="Overall",1,IF('Cleaned Data'!K1832=$B$34,1,0))*(IF('Cleaned Data'!H1832&lt;&gt;"",1,0))</f>
        <v>540</v>
      </c>
      <c r="C1886" t="e">
        <f>INDEX('Cleaned Data'!H:H,MATCH($A1886,$B$56:$B$1919,0))</f>
        <v>#N/A</v>
      </c>
      <c r="D1886" t="e">
        <f>INDEX('Cleaned Data'!L:L,MATCH($A1886,$B$56:$B$1919,0))</f>
        <v>#N/A</v>
      </c>
    </row>
    <row r="1887" spans="1:4" x14ac:dyDescent="0.25">
      <c r="A1887">
        <v>1832</v>
      </c>
      <c r="B1887">
        <f>B1886+IF('Cleaned Data'!L1833&gt;0,1,0)*IF($B$34="Overall",1,IF('Cleaned Data'!K1833=$B$34,1,0))*(IF('Cleaned Data'!H1833&lt;&gt;"",1,0))</f>
        <v>540</v>
      </c>
      <c r="C1887" t="e">
        <f>INDEX('Cleaned Data'!H:H,MATCH($A1887,$B$56:$B$1919,0))</f>
        <v>#N/A</v>
      </c>
      <c r="D1887" t="e">
        <f>INDEX('Cleaned Data'!L:L,MATCH($A1887,$B$56:$B$1919,0))</f>
        <v>#N/A</v>
      </c>
    </row>
    <row r="1888" spans="1:4" x14ac:dyDescent="0.25">
      <c r="A1888">
        <v>1833</v>
      </c>
      <c r="B1888">
        <f>B1887+IF('Cleaned Data'!L1834&gt;0,1,0)*IF($B$34="Overall",1,IF('Cleaned Data'!K1834=$B$34,1,0))*(IF('Cleaned Data'!H1834&lt;&gt;"",1,0))</f>
        <v>540</v>
      </c>
      <c r="C1888" t="e">
        <f>INDEX('Cleaned Data'!H:H,MATCH($A1888,$B$56:$B$1919,0))</f>
        <v>#N/A</v>
      </c>
      <c r="D1888" t="e">
        <f>INDEX('Cleaned Data'!L:L,MATCH($A1888,$B$56:$B$1919,0))</f>
        <v>#N/A</v>
      </c>
    </row>
    <row r="1889" spans="1:4" x14ac:dyDescent="0.25">
      <c r="A1889">
        <v>1834</v>
      </c>
      <c r="B1889">
        <f>B1888+IF('Cleaned Data'!L1835&gt;0,1,0)*IF($B$34="Overall",1,IF('Cleaned Data'!K1835=$B$34,1,0))*(IF('Cleaned Data'!H1835&lt;&gt;"",1,0))</f>
        <v>540</v>
      </c>
      <c r="C1889" t="e">
        <f>INDEX('Cleaned Data'!H:H,MATCH($A1889,$B$56:$B$1919,0))</f>
        <v>#N/A</v>
      </c>
      <c r="D1889" t="e">
        <f>INDEX('Cleaned Data'!L:L,MATCH($A1889,$B$56:$B$1919,0))</f>
        <v>#N/A</v>
      </c>
    </row>
    <row r="1890" spans="1:4" x14ac:dyDescent="0.25">
      <c r="A1890">
        <v>1835</v>
      </c>
      <c r="B1890">
        <f>B1889+IF('Cleaned Data'!L1836&gt;0,1,0)*IF($B$34="Overall",1,IF('Cleaned Data'!K1836=$B$34,1,0))*(IF('Cleaned Data'!H1836&lt;&gt;"",1,0))</f>
        <v>540</v>
      </c>
      <c r="C1890" t="e">
        <f>INDEX('Cleaned Data'!H:H,MATCH($A1890,$B$56:$B$1919,0))</f>
        <v>#N/A</v>
      </c>
      <c r="D1890" t="e">
        <f>INDEX('Cleaned Data'!L:L,MATCH($A1890,$B$56:$B$1919,0))</f>
        <v>#N/A</v>
      </c>
    </row>
    <row r="1891" spans="1:4" x14ac:dyDescent="0.25">
      <c r="A1891">
        <v>1836</v>
      </c>
      <c r="B1891">
        <f>B1890+IF('Cleaned Data'!L1837&gt;0,1,0)*IF($B$34="Overall",1,IF('Cleaned Data'!K1837=$B$34,1,0))*(IF('Cleaned Data'!H1837&lt;&gt;"",1,0))</f>
        <v>540</v>
      </c>
      <c r="C1891" t="e">
        <f>INDEX('Cleaned Data'!H:H,MATCH($A1891,$B$56:$B$1919,0))</f>
        <v>#N/A</v>
      </c>
      <c r="D1891" t="e">
        <f>INDEX('Cleaned Data'!L:L,MATCH($A1891,$B$56:$B$1919,0))</f>
        <v>#N/A</v>
      </c>
    </row>
    <row r="1892" spans="1:4" x14ac:dyDescent="0.25">
      <c r="A1892">
        <v>1837</v>
      </c>
      <c r="B1892">
        <f>B1891+IF('Cleaned Data'!L1838&gt;0,1,0)*IF($B$34="Overall",1,IF('Cleaned Data'!K1838=$B$34,1,0))*(IF('Cleaned Data'!H1838&lt;&gt;"",1,0))</f>
        <v>540</v>
      </c>
      <c r="C1892" t="e">
        <f>INDEX('Cleaned Data'!H:H,MATCH($A1892,$B$56:$B$1919,0))</f>
        <v>#N/A</v>
      </c>
      <c r="D1892" t="e">
        <f>INDEX('Cleaned Data'!L:L,MATCH($A1892,$B$56:$B$1919,0))</f>
        <v>#N/A</v>
      </c>
    </row>
    <row r="1893" spans="1:4" x14ac:dyDescent="0.25">
      <c r="A1893">
        <v>1838</v>
      </c>
      <c r="B1893">
        <f>B1892+IF('Cleaned Data'!L1839&gt;0,1,0)*IF($B$34="Overall",1,IF('Cleaned Data'!K1839=$B$34,1,0))*(IF('Cleaned Data'!H1839&lt;&gt;"",1,0))</f>
        <v>540</v>
      </c>
      <c r="C1893" t="e">
        <f>INDEX('Cleaned Data'!H:H,MATCH($A1893,$B$56:$B$1919,0))</f>
        <v>#N/A</v>
      </c>
      <c r="D1893" t="e">
        <f>INDEX('Cleaned Data'!L:L,MATCH($A1893,$B$56:$B$1919,0))</f>
        <v>#N/A</v>
      </c>
    </row>
    <row r="1894" spans="1:4" x14ac:dyDescent="0.25">
      <c r="A1894">
        <v>1839</v>
      </c>
      <c r="B1894">
        <f>B1893+IF('Cleaned Data'!L1840&gt;0,1,0)*IF($B$34="Overall",1,IF('Cleaned Data'!K1840=$B$34,1,0))*(IF('Cleaned Data'!H1840&lt;&gt;"",1,0))</f>
        <v>540</v>
      </c>
      <c r="C1894" t="e">
        <f>INDEX('Cleaned Data'!H:H,MATCH($A1894,$B$56:$B$1919,0))</f>
        <v>#N/A</v>
      </c>
      <c r="D1894" t="e">
        <f>INDEX('Cleaned Data'!L:L,MATCH($A1894,$B$56:$B$1919,0))</f>
        <v>#N/A</v>
      </c>
    </row>
    <row r="1895" spans="1:4" x14ac:dyDescent="0.25">
      <c r="A1895">
        <v>1840</v>
      </c>
      <c r="B1895">
        <f>B1894+IF('Cleaned Data'!L1841&gt;0,1,0)*IF($B$34="Overall",1,IF('Cleaned Data'!K1841=$B$34,1,0))*(IF('Cleaned Data'!H1841&lt;&gt;"",1,0))</f>
        <v>540</v>
      </c>
      <c r="C1895" t="e">
        <f>INDEX('Cleaned Data'!H:H,MATCH($A1895,$B$56:$B$1919,0))</f>
        <v>#N/A</v>
      </c>
      <c r="D1895" t="e">
        <f>INDEX('Cleaned Data'!L:L,MATCH($A1895,$B$56:$B$1919,0))</f>
        <v>#N/A</v>
      </c>
    </row>
    <row r="1896" spans="1:4" x14ac:dyDescent="0.25">
      <c r="A1896">
        <v>1841</v>
      </c>
      <c r="B1896">
        <f>B1895+IF('Cleaned Data'!L1842&gt;0,1,0)*IF($B$34="Overall",1,IF('Cleaned Data'!K1842=$B$34,1,0))*(IF('Cleaned Data'!H1842&lt;&gt;"",1,0))</f>
        <v>540</v>
      </c>
      <c r="C1896" t="e">
        <f>INDEX('Cleaned Data'!H:H,MATCH($A1896,$B$56:$B$1919,0))</f>
        <v>#N/A</v>
      </c>
      <c r="D1896" t="e">
        <f>INDEX('Cleaned Data'!L:L,MATCH($A1896,$B$56:$B$1919,0))</f>
        <v>#N/A</v>
      </c>
    </row>
    <row r="1897" spans="1:4" x14ac:dyDescent="0.25">
      <c r="A1897">
        <v>1842</v>
      </c>
      <c r="B1897">
        <f>B1896+IF('Cleaned Data'!L1843&gt;0,1,0)*IF($B$34="Overall",1,IF('Cleaned Data'!K1843=$B$34,1,0))*(IF('Cleaned Data'!H1843&lt;&gt;"",1,0))</f>
        <v>540</v>
      </c>
      <c r="C1897" t="e">
        <f>INDEX('Cleaned Data'!H:H,MATCH($A1897,$B$56:$B$1919,0))</f>
        <v>#N/A</v>
      </c>
      <c r="D1897" t="e">
        <f>INDEX('Cleaned Data'!L:L,MATCH($A1897,$B$56:$B$1919,0))</f>
        <v>#N/A</v>
      </c>
    </row>
    <row r="1898" spans="1:4" x14ac:dyDescent="0.25">
      <c r="A1898">
        <v>1843</v>
      </c>
      <c r="B1898">
        <f>B1897+IF('Cleaned Data'!L1844&gt;0,1,0)*IF($B$34="Overall",1,IF('Cleaned Data'!K1844=$B$34,1,0))*(IF('Cleaned Data'!H1844&lt;&gt;"",1,0))</f>
        <v>540</v>
      </c>
      <c r="C1898" t="e">
        <f>INDEX('Cleaned Data'!H:H,MATCH($A1898,$B$56:$B$1919,0))</f>
        <v>#N/A</v>
      </c>
      <c r="D1898" t="e">
        <f>INDEX('Cleaned Data'!L:L,MATCH($A1898,$B$56:$B$1919,0))</f>
        <v>#N/A</v>
      </c>
    </row>
    <row r="1899" spans="1:4" x14ac:dyDescent="0.25">
      <c r="A1899">
        <v>1844</v>
      </c>
      <c r="B1899">
        <f>B1898+IF('Cleaned Data'!L1845&gt;0,1,0)*IF($B$34="Overall",1,IF('Cleaned Data'!K1845=$B$34,1,0))*(IF('Cleaned Data'!H1845&lt;&gt;"",1,0))</f>
        <v>540</v>
      </c>
      <c r="C1899" t="e">
        <f>INDEX('Cleaned Data'!H:H,MATCH($A1899,$B$56:$B$1919,0))</f>
        <v>#N/A</v>
      </c>
      <c r="D1899" t="e">
        <f>INDEX('Cleaned Data'!L:L,MATCH($A1899,$B$56:$B$1919,0))</f>
        <v>#N/A</v>
      </c>
    </row>
    <row r="1900" spans="1:4" x14ac:dyDescent="0.25">
      <c r="A1900">
        <v>1845</v>
      </c>
      <c r="B1900">
        <f>B1899+IF('Cleaned Data'!L1846&gt;0,1,0)*IF($B$34="Overall",1,IF('Cleaned Data'!K1846=$B$34,1,0))*(IF('Cleaned Data'!H1846&lt;&gt;"",1,0))</f>
        <v>540</v>
      </c>
      <c r="C1900" t="e">
        <f>INDEX('Cleaned Data'!H:H,MATCH($A1900,$B$56:$B$1919,0))</f>
        <v>#N/A</v>
      </c>
      <c r="D1900" t="e">
        <f>INDEX('Cleaned Data'!L:L,MATCH($A1900,$B$56:$B$1919,0))</f>
        <v>#N/A</v>
      </c>
    </row>
    <row r="1901" spans="1:4" x14ac:dyDescent="0.25">
      <c r="A1901">
        <v>1846</v>
      </c>
      <c r="B1901">
        <f>B1900+IF('Cleaned Data'!L1847&gt;0,1,0)*IF($B$34="Overall",1,IF('Cleaned Data'!K1847=$B$34,1,0))*(IF('Cleaned Data'!H1847&lt;&gt;"",1,0))</f>
        <v>540</v>
      </c>
      <c r="C1901" t="e">
        <f>INDEX('Cleaned Data'!H:H,MATCH($A1901,$B$56:$B$1919,0))</f>
        <v>#N/A</v>
      </c>
      <c r="D1901" t="e">
        <f>INDEX('Cleaned Data'!L:L,MATCH($A1901,$B$56:$B$1919,0))</f>
        <v>#N/A</v>
      </c>
    </row>
    <row r="1902" spans="1:4" x14ac:dyDescent="0.25">
      <c r="A1902">
        <v>1847</v>
      </c>
      <c r="B1902">
        <f>B1901+IF('Cleaned Data'!L1848&gt;0,1,0)*IF($B$34="Overall",1,IF('Cleaned Data'!K1848=$B$34,1,0))*(IF('Cleaned Data'!H1848&lt;&gt;"",1,0))</f>
        <v>540</v>
      </c>
      <c r="C1902" t="e">
        <f>INDEX('Cleaned Data'!H:H,MATCH($A1902,$B$56:$B$1919,0))</f>
        <v>#N/A</v>
      </c>
      <c r="D1902" t="e">
        <f>INDEX('Cleaned Data'!L:L,MATCH($A1902,$B$56:$B$1919,0))</f>
        <v>#N/A</v>
      </c>
    </row>
    <row r="1903" spans="1:4" x14ac:dyDescent="0.25">
      <c r="A1903">
        <v>1848</v>
      </c>
      <c r="B1903">
        <f>B1902+IF('Cleaned Data'!L1849&gt;0,1,0)*IF($B$34="Overall",1,IF('Cleaned Data'!K1849=$B$34,1,0))*(IF('Cleaned Data'!H1849&lt;&gt;"",1,0))</f>
        <v>540</v>
      </c>
      <c r="C1903" t="e">
        <f>INDEX('Cleaned Data'!H:H,MATCH($A1903,$B$56:$B$1919,0))</f>
        <v>#N/A</v>
      </c>
      <c r="D1903" t="e">
        <f>INDEX('Cleaned Data'!L:L,MATCH($A1903,$B$56:$B$1919,0))</f>
        <v>#N/A</v>
      </c>
    </row>
    <row r="1904" spans="1:4" x14ac:dyDescent="0.25">
      <c r="A1904">
        <v>1849</v>
      </c>
      <c r="B1904">
        <f>B1903+IF('Cleaned Data'!L1850&gt;0,1,0)*IF($B$34="Overall",1,IF('Cleaned Data'!K1850=$B$34,1,0))*(IF('Cleaned Data'!H1850&lt;&gt;"",1,0))</f>
        <v>540</v>
      </c>
      <c r="C1904" t="e">
        <f>INDEX('Cleaned Data'!H:H,MATCH($A1904,$B$56:$B$1919,0))</f>
        <v>#N/A</v>
      </c>
      <c r="D1904" t="e">
        <f>INDEX('Cleaned Data'!L:L,MATCH($A1904,$B$56:$B$1919,0))</f>
        <v>#N/A</v>
      </c>
    </row>
    <row r="1905" spans="1:4" x14ac:dyDescent="0.25">
      <c r="A1905">
        <v>1850</v>
      </c>
      <c r="B1905">
        <f>B1904+IF('Cleaned Data'!L1851&gt;0,1,0)*IF($B$34="Overall",1,IF('Cleaned Data'!K1851=$B$34,1,0))*(IF('Cleaned Data'!H1851&lt;&gt;"",1,0))</f>
        <v>541</v>
      </c>
      <c r="C1905" t="e">
        <f>INDEX('Cleaned Data'!H:H,MATCH($A1905,$B$56:$B$1919,0))</f>
        <v>#N/A</v>
      </c>
      <c r="D1905" t="e">
        <f>INDEX('Cleaned Data'!L:L,MATCH($A1905,$B$56:$B$1919,0))</f>
        <v>#N/A</v>
      </c>
    </row>
    <row r="1906" spans="1:4" x14ac:dyDescent="0.25">
      <c r="A1906">
        <v>1851</v>
      </c>
      <c r="B1906">
        <f>B1905+IF('Cleaned Data'!L1852&gt;0,1,0)*IF($B$34="Overall",1,IF('Cleaned Data'!K1852=$B$34,1,0))*(IF('Cleaned Data'!H1852&lt;&gt;"",1,0))</f>
        <v>542</v>
      </c>
      <c r="C1906" t="e">
        <f>INDEX('Cleaned Data'!H:H,MATCH($A1906,$B$56:$B$1919,0))</f>
        <v>#N/A</v>
      </c>
      <c r="D1906" t="e">
        <f>INDEX('Cleaned Data'!L:L,MATCH($A1906,$B$56:$B$1919,0))</f>
        <v>#N/A</v>
      </c>
    </row>
    <row r="1907" spans="1:4" x14ac:dyDescent="0.25">
      <c r="A1907">
        <v>1852</v>
      </c>
      <c r="B1907">
        <f>B1906+IF('Cleaned Data'!L1853&gt;0,1,0)*IF($B$34="Overall",1,IF('Cleaned Data'!K1853=$B$34,1,0))*(IF('Cleaned Data'!H1853&lt;&gt;"",1,0))</f>
        <v>542</v>
      </c>
      <c r="C1907" t="e">
        <f>INDEX('Cleaned Data'!H:H,MATCH($A1907,$B$56:$B$1919,0))</f>
        <v>#N/A</v>
      </c>
      <c r="D1907" t="e">
        <f>INDEX('Cleaned Data'!L:L,MATCH($A1907,$B$56:$B$1919,0))</f>
        <v>#N/A</v>
      </c>
    </row>
    <row r="1908" spans="1:4" x14ac:dyDescent="0.25">
      <c r="A1908">
        <v>1853</v>
      </c>
      <c r="B1908">
        <f>B1907+IF('Cleaned Data'!L1854&gt;0,1,0)*IF($B$34="Overall",1,IF('Cleaned Data'!K1854=$B$34,1,0))*(IF('Cleaned Data'!H1854&lt;&gt;"",1,0))</f>
        <v>542</v>
      </c>
      <c r="C1908" t="e">
        <f>INDEX('Cleaned Data'!H:H,MATCH($A1908,$B$56:$B$1919,0))</f>
        <v>#N/A</v>
      </c>
      <c r="D1908" t="e">
        <f>INDEX('Cleaned Data'!L:L,MATCH($A1908,$B$56:$B$1919,0))</f>
        <v>#N/A</v>
      </c>
    </row>
    <row r="1909" spans="1:4" x14ac:dyDescent="0.25">
      <c r="A1909">
        <v>1854</v>
      </c>
      <c r="B1909">
        <f>B1908+IF('Cleaned Data'!L1855&gt;0,1,0)*IF($B$34="Overall",1,IF('Cleaned Data'!K1855=$B$34,1,0))*(IF('Cleaned Data'!H1855&lt;&gt;"",1,0))</f>
        <v>542</v>
      </c>
      <c r="C1909" t="e">
        <f>INDEX('Cleaned Data'!H:H,MATCH($A1909,$B$56:$B$1919,0))</f>
        <v>#N/A</v>
      </c>
      <c r="D1909" t="e">
        <f>INDEX('Cleaned Data'!L:L,MATCH($A1909,$B$56:$B$1919,0))</f>
        <v>#N/A</v>
      </c>
    </row>
    <row r="1910" spans="1:4" x14ac:dyDescent="0.25">
      <c r="A1910">
        <v>1855</v>
      </c>
      <c r="B1910">
        <f>B1909+IF('Cleaned Data'!L1856&gt;0,1,0)*IF($B$34="Overall",1,IF('Cleaned Data'!K1856=$B$34,1,0))*(IF('Cleaned Data'!H1856&lt;&gt;"",1,0))</f>
        <v>542</v>
      </c>
      <c r="C1910" t="e">
        <f>INDEX('Cleaned Data'!H:H,MATCH($A1910,$B$56:$B$1919,0))</f>
        <v>#N/A</v>
      </c>
      <c r="D1910" t="e">
        <f>INDEX('Cleaned Data'!L:L,MATCH($A1910,$B$56:$B$1919,0))</f>
        <v>#N/A</v>
      </c>
    </row>
    <row r="1911" spans="1:4" x14ac:dyDescent="0.25">
      <c r="A1911">
        <v>1856</v>
      </c>
      <c r="B1911">
        <f>B1910+IF('Cleaned Data'!L1857&gt;0,1,0)*IF($B$34="Overall",1,IF('Cleaned Data'!K1857=$B$34,1,0))*(IF('Cleaned Data'!H1857&lt;&gt;"",1,0))</f>
        <v>542</v>
      </c>
      <c r="C1911" t="e">
        <f>INDEX('Cleaned Data'!H:H,MATCH($A1911,$B$56:$B$1919,0))</f>
        <v>#N/A</v>
      </c>
      <c r="D1911" t="e">
        <f>INDEX('Cleaned Data'!L:L,MATCH($A1911,$B$56:$B$1919,0))</f>
        <v>#N/A</v>
      </c>
    </row>
    <row r="1912" spans="1:4" x14ac:dyDescent="0.25">
      <c r="A1912">
        <v>1857</v>
      </c>
      <c r="B1912">
        <f>B1911+IF('Cleaned Data'!L1858&gt;0,1,0)*IF($B$34="Overall",1,IF('Cleaned Data'!K1858=$B$34,1,0))*(IF('Cleaned Data'!H1858&lt;&gt;"",1,0))</f>
        <v>542</v>
      </c>
      <c r="C1912" t="e">
        <f>INDEX('Cleaned Data'!H:H,MATCH($A1912,$B$56:$B$1919,0))</f>
        <v>#N/A</v>
      </c>
      <c r="D1912" t="e">
        <f>INDEX('Cleaned Data'!L:L,MATCH($A1912,$B$56:$B$1919,0))</f>
        <v>#N/A</v>
      </c>
    </row>
    <row r="1913" spans="1:4" x14ac:dyDescent="0.25">
      <c r="A1913">
        <v>1858</v>
      </c>
      <c r="B1913">
        <f>B1912+IF('Cleaned Data'!L1859&gt;0,1,0)*IF($B$34="Overall",1,IF('Cleaned Data'!K1859=$B$34,1,0))*(IF('Cleaned Data'!H1859&lt;&gt;"",1,0))</f>
        <v>542</v>
      </c>
      <c r="C1913" t="e">
        <f>INDEX('Cleaned Data'!H:H,MATCH($A1913,$B$56:$B$1919,0))</f>
        <v>#N/A</v>
      </c>
      <c r="D1913" t="e">
        <f>INDEX('Cleaned Data'!L:L,MATCH($A1913,$B$56:$B$1919,0))</f>
        <v>#N/A</v>
      </c>
    </row>
    <row r="1914" spans="1:4" x14ac:dyDescent="0.25">
      <c r="A1914">
        <v>1859</v>
      </c>
      <c r="B1914">
        <f>B1913+IF('Cleaned Data'!L1860&gt;0,1,0)*IF($B$34="Overall",1,IF('Cleaned Data'!K1860=$B$34,1,0))*(IF('Cleaned Data'!H1860&lt;&gt;"",1,0))</f>
        <v>542</v>
      </c>
      <c r="C1914" t="e">
        <f>INDEX('Cleaned Data'!H:H,MATCH($A1914,$B$56:$B$1919,0))</f>
        <v>#N/A</v>
      </c>
      <c r="D1914" t="e">
        <f>INDEX('Cleaned Data'!L:L,MATCH($A1914,$B$56:$B$1919,0))</f>
        <v>#N/A</v>
      </c>
    </row>
    <row r="1915" spans="1:4" x14ac:dyDescent="0.25">
      <c r="A1915">
        <v>1860</v>
      </c>
      <c r="B1915">
        <f>B1914+IF('Cleaned Data'!L1861&gt;0,1,0)*IF($B$34="Overall",1,IF('Cleaned Data'!K1861=$B$34,1,0))*(IF('Cleaned Data'!H1861&lt;&gt;"",1,0))</f>
        <v>542</v>
      </c>
      <c r="C1915" t="e">
        <f>INDEX('Cleaned Data'!H:H,MATCH($A1915,$B$56:$B$1919,0))</f>
        <v>#N/A</v>
      </c>
      <c r="D1915" t="e">
        <f>INDEX('Cleaned Data'!L:L,MATCH($A1915,$B$56:$B$1919,0))</f>
        <v>#N/A</v>
      </c>
    </row>
    <row r="1916" spans="1:4" x14ac:dyDescent="0.25">
      <c r="A1916">
        <v>1861</v>
      </c>
      <c r="B1916">
        <f>B1915+IF('Cleaned Data'!L1862&gt;0,1,0)*IF($B$34="Overall",1,IF('Cleaned Data'!K1862=$B$34,1,0))*(IF('Cleaned Data'!H1862&lt;&gt;"",1,0))</f>
        <v>542</v>
      </c>
      <c r="C1916" t="e">
        <f>INDEX('Cleaned Data'!H:H,MATCH($A1916,$B$56:$B$1919,0))</f>
        <v>#N/A</v>
      </c>
      <c r="D1916" t="e">
        <f>INDEX('Cleaned Data'!L:L,MATCH($A1916,$B$56:$B$1919,0))</f>
        <v>#N/A</v>
      </c>
    </row>
    <row r="1917" spans="1:4" x14ac:dyDescent="0.25">
      <c r="A1917">
        <v>1862</v>
      </c>
      <c r="B1917">
        <f>B1916+IF('Cleaned Data'!L1863&gt;0,1,0)*IF($B$34="Overall",1,IF('Cleaned Data'!K1863=$B$34,1,0))*(IF('Cleaned Data'!H1863&lt;&gt;"",1,0))</f>
        <v>542</v>
      </c>
      <c r="C1917" t="e">
        <f>INDEX('Cleaned Data'!H:H,MATCH($A1917,$B$56:$B$1919,0))</f>
        <v>#N/A</v>
      </c>
      <c r="D1917" t="e">
        <f>INDEX('Cleaned Data'!L:L,MATCH($A1917,$B$56:$B$1919,0))</f>
        <v>#N/A</v>
      </c>
    </row>
    <row r="1918" spans="1:4" x14ac:dyDescent="0.25">
      <c r="A1918">
        <v>1863</v>
      </c>
      <c r="B1918">
        <f>B1917+IF('Cleaned Data'!L1864&gt;0,1,0)*IF($B$34="Overall",1,IF('Cleaned Data'!K1864=$B$34,1,0))*(IF('Cleaned Data'!H1864&lt;&gt;"",1,0))</f>
        <v>542</v>
      </c>
      <c r="C1918" t="e">
        <f>INDEX('Cleaned Data'!H:H,MATCH($A1918,$B$56:$B$1919,0))</f>
        <v>#N/A</v>
      </c>
      <c r="D1918" t="e">
        <f>INDEX('Cleaned Data'!L:L,MATCH($A1918,$B$56:$B$1919,0))</f>
        <v>#N/A</v>
      </c>
    </row>
    <row r="1919" spans="1:4" x14ac:dyDescent="0.25">
      <c r="A1919">
        <v>1864</v>
      </c>
      <c r="B1919">
        <f>B1918+IF('Cleaned Data'!L1867&gt;0,1,0)*IF($B$34="Overall",1,IF('Cleaned Data'!K1867=$B$34,1,0))*(IF('Cleaned Data'!H1867&lt;&gt;"",1,0))</f>
        <v>542</v>
      </c>
      <c r="C1919" t="e">
        <f>INDEX('Cleaned Data'!H:H,MATCH($A1919,$B$56:$B$1919,0))</f>
        <v>#N/A</v>
      </c>
      <c r="D1919" t="e">
        <f>INDEX('Cleaned Data'!L:L,MATCH($A1919,$B$56:$B$1919,0))</f>
        <v>#N/A</v>
      </c>
    </row>
  </sheetData>
  <mergeCells count="5">
    <mergeCell ref="C20:H20"/>
    <mergeCell ref="I20:N20"/>
    <mergeCell ref="F34:H34"/>
    <mergeCell ref="B34:D34"/>
    <mergeCell ref="J34:K34"/>
  </mergeCells>
  <conditionalFormatting sqref="I22:N32">
    <cfRule type="expression" dxfId="6" priority="4">
      <formula>$E$2=3</formula>
    </cfRule>
  </conditionalFormatting>
  <conditionalFormatting sqref="K36:K45">
    <cfRule type="expression" dxfId="5" priority="3">
      <formula>$E$2=3</formula>
    </cfRule>
  </conditionalFormatting>
  <conditionalFormatting sqref="K48:K53">
    <cfRule type="expression" dxfId="4" priority="1">
      <formula>$E$2=3</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E32"/>
  <sheetViews>
    <sheetView showGridLines="0" tabSelected="1" zoomScale="80" zoomScaleNormal="80" workbookViewId="0">
      <selection activeCell="A8" sqref="A8"/>
    </sheetView>
  </sheetViews>
  <sheetFormatPr defaultColWidth="0" defaultRowHeight="15" zeroHeight="1" x14ac:dyDescent="0.25"/>
  <cols>
    <col min="1" max="1" width="1.140625" customWidth="1"/>
    <col min="2" max="3" width="10" customWidth="1"/>
    <col min="4" max="4" width="1.28515625" customWidth="1"/>
    <col min="5" max="6" width="10" customWidth="1"/>
    <col min="7" max="7" width="1.28515625" customWidth="1"/>
    <col min="8" max="8" width="10.5703125" customWidth="1"/>
    <col min="9" max="41" width="3.85546875" customWidth="1"/>
    <col min="42" max="42" width="1.140625" customWidth="1"/>
    <col min="43" max="57" width="0" hidden="1" customWidth="1"/>
    <col min="58" max="16384" width="9.140625" hidden="1"/>
  </cols>
  <sheetData>
    <row r="1" spans="1:57" ht="7.5" customHeight="1" x14ac:dyDescent="0.25">
      <c r="A1" s="34" t="s">
        <v>2361</v>
      </c>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row>
    <row r="2" spans="1:57" ht="15.75" customHeight="1" thickBot="1" x14ac:dyDescent="0.3">
      <c r="A2" s="34"/>
      <c r="B2" s="73" t="s">
        <v>2360</v>
      </c>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34"/>
    </row>
    <row r="3" spans="1:57" ht="15" customHeight="1" thickTop="1" x14ac:dyDescent="0.25">
      <c r="A3" s="34"/>
      <c r="B3" s="61" t="s">
        <v>2293</v>
      </c>
      <c r="C3" s="61"/>
      <c r="D3" s="43"/>
      <c r="E3" s="63" t="s">
        <v>2144</v>
      </c>
      <c r="F3" s="63"/>
      <c r="G3" s="25"/>
      <c r="AP3" s="34"/>
    </row>
    <row r="4" spans="1:57" ht="15" customHeight="1" x14ac:dyDescent="0.25">
      <c r="A4" s="34"/>
      <c r="B4" s="42"/>
      <c r="D4" s="43"/>
      <c r="E4" s="64"/>
      <c r="F4" s="64"/>
      <c r="G4" s="25"/>
      <c r="AP4" s="34"/>
    </row>
    <row r="5" spans="1:57" ht="15" customHeight="1" x14ac:dyDescent="0.25">
      <c r="A5" s="34"/>
      <c r="B5" s="42" t="s">
        <v>2306</v>
      </c>
      <c r="D5" s="42"/>
      <c r="E5" s="42"/>
      <c r="F5" s="42"/>
      <c r="AP5" s="34"/>
    </row>
    <row r="6" spans="1:57" ht="15" customHeight="1" x14ac:dyDescent="0.25">
      <c r="A6" s="34"/>
      <c r="B6" s="42"/>
      <c r="D6" s="42"/>
      <c r="E6" s="42"/>
      <c r="F6" s="42"/>
      <c r="AP6" s="34"/>
    </row>
    <row r="7" spans="1:57" ht="15" customHeight="1" x14ac:dyDescent="0.25">
      <c r="A7" s="34"/>
      <c r="B7" s="42"/>
      <c r="D7" s="42"/>
      <c r="E7" s="42"/>
      <c r="F7" s="42"/>
      <c r="AP7" s="34"/>
    </row>
    <row r="8" spans="1:57" ht="15" customHeight="1" x14ac:dyDescent="0.25">
      <c r="A8" s="34"/>
      <c r="B8" s="62" t="s">
        <v>2362</v>
      </c>
      <c r="C8" s="62"/>
      <c r="D8" s="42"/>
      <c r="E8" s="42"/>
      <c r="F8" s="42"/>
      <c r="AP8" s="34"/>
    </row>
    <row r="9" spans="1:57" ht="15" customHeight="1" x14ac:dyDescent="0.25">
      <c r="A9" s="34"/>
      <c r="B9" s="62"/>
      <c r="C9" s="62"/>
      <c r="D9" s="42"/>
      <c r="E9" s="42"/>
      <c r="F9" s="42"/>
      <c r="AP9" s="34"/>
    </row>
    <row r="10" spans="1:57" ht="15" customHeight="1" x14ac:dyDescent="0.25">
      <c r="A10" s="34"/>
      <c r="B10" s="42"/>
      <c r="C10" s="43"/>
      <c r="D10" s="42"/>
      <c r="E10" s="42"/>
      <c r="F10" s="42"/>
      <c r="AP10" s="34"/>
    </row>
    <row r="11" spans="1:57" ht="15" customHeight="1" x14ac:dyDescent="0.25">
      <c r="A11" s="34"/>
      <c r="B11" s="42"/>
      <c r="C11" s="42"/>
      <c r="D11" s="42"/>
      <c r="E11" s="42"/>
      <c r="F11" s="42"/>
      <c r="AP11" s="34"/>
    </row>
    <row r="12" spans="1:57" ht="15" customHeight="1" x14ac:dyDescent="0.25">
      <c r="A12" s="34"/>
      <c r="B12" s="42"/>
      <c r="C12" s="42"/>
      <c r="D12" s="42"/>
      <c r="E12" s="42"/>
      <c r="F12" s="42"/>
      <c r="AP12" s="34"/>
    </row>
    <row r="13" spans="1:57" ht="15" customHeight="1" x14ac:dyDescent="0.25">
      <c r="A13" s="34"/>
      <c r="B13" s="42"/>
      <c r="C13" s="44"/>
      <c r="D13" s="42"/>
      <c r="E13" s="42"/>
      <c r="F13" s="42"/>
      <c r="AP13" s="34"/>
    </row>
    <row r="14" spans="1:57" ht="15" customHeight="1" x14ac:dyDescent="0.25">
      <c r="A14" s="34"/>
      <c r="B14" s="42"/>
      <c r="C14" s="44"/>
      <c r="D14" s="42"/>
      <c r="E14" s="42"/>
      <c r="F14" s="42"/>
      <c r="AP14" s="34"/>
    </row>
    <row r="15" spans="1:57" ht="56.25" customHeight="1" x14ac:dyDescent="0.25">
      <c r="A15" s="34"/>
      <c r="B15" s="42"/>
      <c r="C15" s="44"/>
      <c r="D15" s="42"/>
      <c r="E15" s="42"/>
      <c r="F15" s="42"/>
      <c r="H15" s="46" t="s">
        <v>2289</v>
      </c>
      <c r="I15" s="65" t="str">
        <f>'Charts data'!A22</f>
        <v>Overall</v>
      </c>
      <c r="J15" s="65"/>
      <c r="K15" s="65"/>
      <c r="L15" s="65" t="str">
        <f>'Charts data'!A23</f>
        <v>Major Advanced Economies (G7)</v>
      </c>
      <c r="M15" s="65"/>
      <c r="N15" s="65"/>
      <c r="O15" s="65" t="str">
        <f>'Charts data'!A24</f>
        <v>Other Advanced Economies</v>
      </c>
      <c r="P15" s="65"/>
      <c r="Q15" s="65"/>
      <c r="R15" s="65" t="str">
        <f>'Charts data'!A25</f>
        <v>Euro Area</v>
      </c>
      <c r="S15" s="65"/>
      <c r="T15" s="65"/>
      <c r="U15" s="65" t="str">
        <f>'Charts data'!A26</f>
        <v>Middle East and North Africa</v>
      </c>
      <c r="V15" s="65"/>
      <c r="W15" s="65"/>
      <c r="X15" s="65" t="str">
        <f>'Charts data'!A27</f>
        <v>Central and Eastern Europe</v>
      </c>
      <c r="Y15" s="65"/>
      <c r="Z15" s="65"/>
      <c r="AA15" s="65" t="str">
        <f>'Charts data'!A28</f>
        <v>Commonwealth of Independent States</v>
      </c>
      <c r="AB15" s="65"/>
      <c r="AC15" s="65"/>
      <c r="AD15" s="65" t="str">
        <f>'Charts data'!A29</f>
        <v>Newly Industrialized Asian Economies</v>
      </c>
      <c r="AE15" s="65"/>
      <c r="AF15" s="65"/>
      <c r="AG15" s="65" t="str">
        <f>'Charts data'!A30</f>
        <v>Latin America and the Caribbean</v>
      </c>
      <c r="AH15" s="65"/>
      <c r="AI15" s="65"/>
      <c r="AJ15" s="65" t="str">
        <f>'Charts data'!A31</f>
        <v>Developing Asia</v>
      </c>
      <c r="AK15" s="65"/>
      <c r="AL15" s="65"/>
      <c r="AM15" s="65" t="str">
        <f>'Charts data'!A32</f>
        <v>Sub-Saharan Africa</v>
      </c>
      <c r="AN15" s="65"/>
      <c r="AO15" s="65"/>
      <c r="AP15" s="34"/>
      <c r="AU15" s="24"/>
      <c r="AV15" s="24"/>
      <c r="AW15" s="24"/>
      <c r="AX15" s="24"/>
      <c r="AY15" s="24"/>
      <c r="AZ15" s="24"/>
      <c r="BA15" s="24"/>
      <c r="BB15" s="24"/>
      <c r="BC15" s="24"/>
      <c r="BD15" s="24"/>
      <c r="BE15" s="24"/>
    </row>
    <row r="16" spans="1:57" ht="13.5" customHeight="1" x14ac:dyDescent="0.25">
      <c r="A16" s="34"/>
      <c r="B16" s="42"/>
      <c r="C16" s="44"/>
      <c r="D16" s="42"/>
      <c r="E16" s="42"/>
      <c r="F16" s="42"/>
      <c r="H16" s="50" t="s">
        <v>2290</v>
      </c>
      <c r="I16" s="66">
        <f>'Charts data'!B22</f>
        <v>1866</v>
      </c>
      <c r="J16" s="66"/>
      <c r="K16" s="66"/>
      <c r="L16" s="69">
        <f>'Charts data'!B23</f>
        <v>861</v>
      </c>
      <c r="M16" s="69"/>
      <c r="N16" s="69"/>
      <c r="O16" s="69">
        <f>'Charts data'!B24</f>
        <v>122</v>
      </c>
      <c r="P16" s="69"/>
      <c r="Q16" s="69"/>
      <c r="R16" s="69">
        <f>'Charts data'!B25</f>
        <v>62</v>
      </c>
      <c r="S16" s="69"/>
      <c r="T16" s="69"/>
      <c r="U16" s="69">
        <f>'Charts data'!B26</f>
        <v>48</v>
      </c>
      <c r="V16" s="69"/>
      <c r="W16" s="69"/>
      <c r="X16" s="69">
        <f>'Charts data'!B27</f>
        <v>26</v>
      </c>
      <c r="Y16" s="69"/>
      <c r="Z16" s="69"/>
      <c r="AA16" s="69">
        <f>'Charts data'!B28</f>
        <v>17</v>
      </c>
      <c r="AB16" s="69"/>
      <c r="AC16" s="69"/>
      <c r="AD16" s="69">
        <f>'Charts data'!B29</f>
        <v>14</v>
      </c>
      <c r="AE16" s="69"/>
      <c r="AF16" s="69"/>
      <c r="AG16" s="69">
        <f>'Charts data'!B30</f>
        <v>46</v>
      </c>
      <c r="AH16" s="69"/>
      <c r="AI16" s="69"/>
      <c r="AJ16" s="69">
        <f>'Charts data'!B31</f>
        <v>638</v>
      </c>
      <c r="AK16" s="69"/>
      <c r="AL16" s="69"/>
      <c r="AM16" s="69">
        <f>'Charts data'!B32</f>
        <v>32</v>
      </c>
      <c r="AN16" s="69"/>
      <c r="AO16" s="69"/>
      <c r="AP16" s="34"/>
      <c r="AU16" s="25"/>
      <c r="AV16" s="25"/>
      <c r="AW16" s="25"/>
      <c r="AX16" s="25"/>
      <c r="AY16" s="25"/>
      <c r="AZ16" s="25"/>
      <c r="BA16" s="25"/>
      <c r="BB16" s="25"/>
      <c r="BC16" s="25"/>
      <c r="BD16" s="25"/>
      <c r="BE16" s="25"/>
    </row>
    <row r="17" spans="1:57" ht="13.5" customHeight="1" x14ac:dyDescent="0.25">
      <c r="A17" s="34"/>
      <c r="B17" s="42"/>
      <c r="C17" s="44"/>
      <c r="D17" s="42"/>
      <c r="E17" s="42"/>
      <c r="F17" s="42"/>
      <c r="H17" s="47" t="s">
        <v>2291</v>
      </c>
      <c r="I17" s="71">
        <f>'Charts data'!M22</f>
        <v>49653.96880991901</v>
      </c>
      <c r="J17" s="71"/>
      <c r="K17" s="71"/>
      <c r="L17" s="70">
        <f>'Charts data'!M23</f>
        <v>72734.804088723322</v>
      </c>
      <c r="M17" s="70"/>
      <c r="N17" s="70"/>
      <c r="O17" s="70">
        <f>'Charts data'!M24</f>
        <v>89303.569381758454</v>
      </c>
      <c r="P17" s="70"/>
      <c r="Q17" s="70"/>
      <c r="R17" s="70">
        <f>'Charts data'!M25</f>
        <v>54143.74204924611</v>
      </c>
      <c r="S17" s="70"/>
      <c r="T17" s="70"/>
      <c r="U17" s="70">
        <f>'Charts data'!M26</f>
        <v>38878.029396235666</v>
      </c>
      <c r="V17" s="70"/>
      <c r="W17" s="70"/>
      <c r="X17" s="70">
        <f>'Charts data'!M27</f>
        <v>27595.516487152076</v>
      </c>
      <c r="Y17" s="70"/>
      <c r="Z17" s="70"/>
      <c r="AA17" s="70">
        <f>'Charts data'!M28</f>
        <v>35544.630862329795</v>
      </c>
      <c r="AB17" s="70"/>
      <c r="AC17" s="70"/>
      <c r="AD17" s="70">
        <f>'Charts data'!M29</f>
        <v>49857.985907096823</v>
      </c>
      <c r="AE17" s="70"/>
      <c r="AF17" s="70"/>
      <c r="AG17" s="70">
        <f>'Charts data'!M30</f>
        <v>32320.406053018876</v>
      </c>
      <c r="AH17" s="70"/>
      <c r="AI17" s="70"/>
      <c r="AJ17" s="70">
        <f>'Charts data'!M31</f>
        <v>14070.8233458297</v>
      </c>
      <c r="AK17" s="70"/>
      <c r="AL17" s="70"/>
      <c r="AM17" s="70">
        <f>'Charts data'!M32</f>
        <v>44620.895848994434</v>
      </c>
      <c r="AN17" s="70"/>
      <c r="AO17" s="70"/>
      <c r="AP17" s="34"/>
      <c r="AU17" s="26"/>
      <c r="AV17" s="26"/>
      <c r="AW17" s="26"/>
      <c r="AX17" s="26"/>
      <c r="AY17" s="26"/>
      <c r="AZ17" s="26"/>
      <c r="BA17" s="26"/>
      <c r="BB17" s="26"/>
      <c r="BC17" s="26"/>
      <c r="BD17" s="26"/>
      <c r="BE17" s="26"/>
    </row>
    <row r="18" spans="1:57" ht="13.5" customHeight="1" x14ac:dyDescent="0.25">
      <c r="A18" s="34"/>
      <c r="H18" s="50" t="s">
        <v>2292</v>
      </c>
      <c r="I18" s="72">
        <f>'Charts data'!N22</f>
        <v>50473.274384309268</v>
      </c>
      <c r="J18" s="72"/>
      <c r="K18" s="72"/>
      <c r="L18" s="67">
        <f>'Charts data'!N23</f>
        <v>55481.142959802317</v>
      </c>
      <c r="M18" s="67"/>
      <c r="N18" s="67"/>
      <c r="O18" s="67">
        <f>'Charts data'!N24</f>
        <v>36115.927680037057</v>
      </c>
      <c r="P18" s="67"/>
      <c r="Q18" s="67"/>
      <c r="R18" s="67">
        <f>'Charts data'!N25</f>
        <v>35606.582455995936</v>
      </c>
      <c r="S18" s="67"/>
      <c r="T18" s="67"/>
      <c r="U18" s="67">
        <f>'Charts data'!N26</f>
        <v>23005.695992419263</v>
      </c>
      <c r="V18" s="67"/>
      <c r="W18" s="67"/>
      <c r="X18" s="67">
        <f>'Charts data'!N27</f>
        <v>22493.58426583041</v>
      </c>
      <c r="Y18" s="67"/>
      <c r="Z18" s="67"/>
      <c r="AA18" s="67">
        <f>'Charts data'!N28</f>
        <v>30815.001866647723</v>
      </c>
      <c r="AB18" s="67"/>
      <c r="AC18" s="67"/>
      <c r="AD18" s="67">
        <f>'Charts data'!N29</f>
        <v>27552.597985925688</v>
      </c>
      <c r="AE18" s="67"/>
      <c r="AF18" s="67"/>
      <c r="AG18" s="67">
        <f>'Charts data'!N30</f>
        <v>39131.414200291656</v>
      </c>
      <c r="AH18" s="67"/>
      <c r="AI18" s="67"/>
      <c r="AJ18" s="67">
        <f>'Charts data'!N31</f>
        <v>16899.361595115501</v>
      </c>
      <c r="AK18" s="67"/>
      <c r="AL18" s="67"/>
      <c r="AM18" s="67">
        <f>'Charts data'!N32</f>
        <v>43853.715178102662</v>
      </c>
      <c r="AN18" s="67"/>
      <c r="AO18" s="67"/>
      <c r="AP18" s="34"/>
      <c r="AU18" s="26"/>
      <c r="AV18" s="26"/>
      <c r="AW18" s="26"/>
      <c r="AX18" s="26"/>
      <c r="AY18" s="26"/>
      <c r="AZ18" s="26"/>
      <c r="BA18" s="26"/>
      <c r="BB18" s="26"/>
      <c r="BC18" s="26"/>
      <c r="BD18" s="26"/>
      <c r="BE18" s="26"/>
    </row>
    <row r="19" spans="1:57" ht="13.5" customHeight="1" x14ac:dyDescent="0.4">
      <c r="A19" s="34"/>
      <c r="H19" s="48"/>
      <c r="I19" s="68" t="str">
        <f>IFERROR(HYPERLINK(highlightSeries(I15)),"6")</f>
        <v>6</v>
      </c>
      <c r="J19" s="68"/>
      <c r="K19" s="68"/>
      <c r="L19" s="68" t="str">
        <f>IFERROR(HYPERLINK(highlightSeries(L15)),"6")</f>
        <v>6</v>
      </c>
      <c r="M19" s="68"/>
      <c r="N19" s="68"/>
      <c r="O19" s="68" t="str">
        <f>IFERROR(HYPERLINK(highlightSeries(O15)),"6")</f>
        <v>6</v>
      </c>
      <c r="P19" s="68"/>
      <c r="Q19" s="68"/>
      <c r="R19" s="68" t="str">
        <f>IFERROR(HYPERLINK(highlightSeries(R15)),"6")</f>
        <v>6</v>
      </c>
      <c r="S19" s="68"/>
      <c r="T19" s="68"/>
      <c r="U19" s="68" t="str">
        <f>IFERROR(HYPERLINK(highlightSeries(U15)),"6")</f>
        <v>6</v>
      </c>
      <c r="V19" s="68"/>
      <c r="W19" s="68"/>
      <c r="X19" s="68" t="str">
        <f>IFERROR(HYPERLINK(highlightSeries(X15)),"6")</f>
        <v>6</v>
      </c>
      <c r="Y19" s="68"/>
      <c r="Z19" s="68"/>
      <c r="AA19" s="68" t="str">
        <f>IFERROR(HYPERLINK(highlightSeries(AA15)),"6")</f>
        <v>6</v>
      </c>
      <c r="AB19" s="68"/>
      <c r="AC19" s="68"/>
      <c r="AD19" s="68" t="str">
        <f>IFERROR(HYPERLINK(highlightSeries(AD15)),"6")</f>
        <v>6</v>
      </c>
      <c r="AE19" s="68"/>
      <c r="AF19" s="68"/>
      <c r="AG19" s="68" t="str">
        <f>IFERROR(HYPERLINK(highlightSeries(AG15)),"6")</f>
        <v>6</v>
      </c>
      <c r="AH19" s="68"/>
      <c r="AI19" s="68"/>
      <c r="AJ19" s="68" t="str">
        <f>IFERROR(HYPERLINK(highlightSeries(AJ15)),"6")</f>
        <v>6</v>
      </c>
      <c r="AK19" s="68"/>
      <c r="AL19" s="68"/>
      <c r="AM19" s="68" t="str">
        <f>IFERROR(HYPERLINK(highlightSeries(AJ15)),"6")</f>
        <v>6</v>
      </c>
      <c r="AN19" s="68"/>
      <c r="AO19" s="68"/>
      <c r="AP19" s="34"/>
      <c r="AR19" t="s">
        <v>2180</v>
      </c>
      <c r="AU19" s="33"/>
      <c r="AV19" s="33"/>
      <c r="AW19" s="33"/>
      <c r="AX19" s="33"/>
      <c r="AY19" s="33"/>
      <c r="AZ19" s="33"/>
      <c r="BA19" s="33"/>
      <c r="BB19" s="33"/>
      <c r="BC19" s="33"/>
      <c r="BD19" s="33"/>
      <c r="BE19" s="33"/>
    </row>
    <row r="20" spans="1:57" ht="17.25" customHeight="1" x14ac:dyDescent="0.25">
      <c r="A20" s="34"/>
      <c r="B20" s="74" t="s">
        <v>2305</v>
      </c>
      <c r="C20" s="74"/>
      <c r="D20" s="74"/>
      <c r="E20" s="74"/>
      <c r="F20" s="74"/>
      <c r="G20" s="45"/>
      <c r="H20" s="78" t="str">
        <f>"Average Salary across "&amp;E3</f>
        <v>Average Salary across Job Type</v>
      </c>
      <c r="I20" s="78"/>
      <c r="J20" s="78"/>
      <c r="K20" s="78"/>
      <c r="L20" s="78"/>
      <c r="M20" s="78"/>
      <c r="N20" s="78"/>
      <c r="O20" s="78"/>
      <c r="P20" s="78"/>
      <c r="Q20" s="78"/>
      <c r="R20" s="78"/>
      <c r="S20" s="78"/>
      <c r="T20" s="78"/>
      <c r="U20" s="78"/>
      <c r="V20" s="78"/>
      <c r="W20" s="78"/>
      <c r="X20" s="78"/>
      <c r="Y20" s="78"/>
      <c r="Z20" s="78"/>
      <c r="AA20" s="78"/>
      <c r="AB20" s="78"/>
      <c r="AC20" s="49"/>
      <c r="AD20" s="77" t="str">
        <f>"Average Salary by "&amp;B8</f>
        <v>Average Salary by Hours of Work on Excel per day</v>
      </c>
      <c r="AE20" s="77"/>
      <c r="AF20" s="77"/>
      <c r="AG20" s="77"/>
      <c r="AH20" s="77"/>
      <c r="AI20" s="77"/>
      <c r="AJ20" s="77"/>
      <c r="AK20" s="77"/>
      <c r="AL20" s="77"/>
      <c r="AM20" s="77"/>
      <c r="AN20" s="77"/>
      <c r="AO20" s="77"/>
      <c r="AP20" s="34"/>
    </row>
    <row r="21" spans="1:57" ht="17.25" customHeight="1" x14ac:dyDescent="0.25">
      <c r="A21" s="34"/>
      <c r="B21" s="54"/>
      <c r="C21" s="54"/>
      <c r="D21" s="54"/>
      <c r="E21" s="54"/>
      <c r="F21" s="54"/>
      <c r="G21" s="54"/>
      <c r="H21" s="55"/>
      <c r="I21" s="55"/>
      <c r="J21" s="55"/>
      <c r="K21" s="55"/>
      <c r="L21" s="55"/>
      <c r="M21" s="55"/>
      <c r="N21" s="55"/>
      <c r="O21" s="55"/>
      <c r="P21" s="55"/>
      <c r="Q21" s="55"/>
      <c r="R21" s="55"/>
      <c r="S21" s="55"/>
      <c r="T21" s="55"/>
      <c r="U21" s="55"/>
      <c r="V21" s="55"/>
      <c r="W21" s="55"/>
      <c r="X21" s="55"/>
      <c r="Y21" s="55"/>
      <c r="Z21" s="55"/>
      <c r="AA21" s="55"/>
      <c r="AB21" s="55"/>
      <c r="AC21" s="55"/>
      <c r="AD21" s="55"/>
      <c r="AE21" s="55"/>
      <c r="AF21" s="55"/>
      <c r="AG21" s="55"/>
      <c r="AH21" s="55"/>
      <c r="AI21" s="55"/>
      <c r="AJ21" s="55"/>
      <c r="AK21" s="55"/>
      <c r="AL21" s="55"/>
      <c r="AM21" s="55"/>
      <c r="AN21" s="55"/>
      <c r="AO21" s="55"/>
      <c r="AP21" s="34"/>
    </row>
    <row r="22" spans="1:57" ht="17.25" customHeight="1" x14ac:dyDescent="0.25">
      <c r="A22" s="34"/>
      <c r="B22" s="54"/>
      <c r="C22" s="54"/>
      <c r="D22" s="54"/>
      <c r="E22" s="54"/>
      <c r="F22" s="54"/>
      <c r="G22" s="54"/>
      <c r="H22" s="55"/>
      <c r="I22" s="55"/>
      <c r="J22" s="55"/>
      <c r="K22" s="55"/>
      <c r="L22" s="55"/>
      <c r="M22" s="55"/>
      <c r="N22" s="55"/>
      <c r="O22" s="55"/>
      <c r="P22" s="55"/>
      <c r="Q22" s="55"/>
      <c r="R22" s="55"/>
      <c r="S22" s="55"/>
      <c r="T22" s="55"/>
      <c r="U22" s="55"/>
      <c r="V22" s="55"/>
      <c r="W22" s="55"/>
      <c r="X22" s="55"/>
      <c r="Y22" s="55"/>
      <c r="Z22" s="55"/>
      <c r="AA22" s="55"/>
      <c r="AB22" s="55"/>
      <c r="AC22" s="55"/>
      <c r="AD22" s="55"/>
      <c r="AE22" s="55"/>
      <c r="AF22" s="55"/>
      <c r="AG22" s="55"/>
      <c r="AH22" s="55"/>
      <c r="AI22" s="55"/>
      <c r="AJ22" s="55"/>
      <c r="AK22" s="55"/>
      <c r="AL22" s="55"/>
      <c r="AM22" s="55"/>
      <c r="AN22" s="55"/>
      <c r="AO22" s="55"/>
      <c r="AP22" s="34"/>
    </row>
    <row r="23" spans="1:57" ht="17.25" customHeight="1" x14ac:dyDescent="0.25">
      <c r="A23" s="34"/>
      <c r="B23" s="54"/>
      <c r="C23" s="54"/>
      <c r="D23" s="54"/>
      <c r="E23" s="54"/>
      <c r="F23" s="54"/>
      <c r="G23" s="54"/>
      <c r="H23" s="55"/>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c r="AM23" s="55"/>
      <c r="AN23" s="55"/>
      <c r="AO23" s="55"/>
      <c r="AP23" s="34"/>
    </row>
    <row r="24" spans="1:57" ht="17.25" customHeight="1" x14ac:dyDescent="0.25">
      <c r="A24" s="34"/>
      <c r="B24" s="54"/>
      <c r="C24" s="54"/>
      <c r="D24" s="54"/>
      <c r="E24" s="54"/>
      <c r="F24" s="54"/>
      <c r="G24" s="54"/>
      <c r="H24" s="55"/>
      <c r="I24" s="55"/>
      <c r="J24" s="55"/>
      <c r="K24" s="55"/>
      <c r="L24" s="55"/>
      <c r="M24" s="55"/>
      <c r="N24" s="55"/>
      <c r="O24" s="55"/>
      <c r="P24" s="55"/>
      <c r="Q24" s="55"/>
      <c r="R24" s="55"/>
      <c r="S24" s="55"/>
      <c r="T24" s="55"/>
      <c r="U24" s="55"/>
      <c r="V24" s="55"/>
      <c r="W24" s="55"/>
      <c r="X24" s="55"/>
      <c r="Y24" s="55"/>
      <c r="Z24" s="55"/>
      <c r="AA24" s="55"/>
      <c r="AB24" s="55"/>
      <c r="AC24" s="55"/>
      <c r="AD24" s="55"/>
      <c r="AE24" s="55"/>
      <c r="AF24" s="55"/>
      <c r="AG24" s="55"/>
      <c r="AH24" s="55"/>
      <c r="AI24" s="55"/>
      <c r="AJ24" s="55"/>
      <c r="AK24" s="55"/>
      <c r="AL24" s="55"/>
      <c r="AM24" s="55"/>
      <c r="AN24" s="55"/>
      <c r="AO24" s="55"/>
      <c r="AP24" s="34"/>
    </row>
    <row r="25" spans="1:57" ht="17.25" customHeight="1" x14ac:dyDescent="0.25">
      <c r="A25" s="34"/>
      <c r="B25" s="54"/>
      <c r="C25" s="54"/>
      <c r="D25" s="54"/>
      <c r="E25" s="54"/>
      <c r="F25" s="54"/>
      <c r="G25" s="54"/>
      <c r="H25" s="55"/>
      <c r="I25" s="55"/>
      <c r="J25" s="55"/>
      <c r="K25" s="55"/>
      <c r="L25" s="55"/>
      <c r="M25" s="55"/>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34"/>
    </row>
    <row r="26" spans="1:57" ht="17.25" customHeight="1" x14ac:dyDescent="0.25">
      <c r="A26" s="34"/>
      <c r="B26" s="54"/>
      <c r="C26" s="54"/>
      <c r="D26" s="54"/>
      <c r="E26" s="54"/>
      <c r="F26" s="54"/>
      <c r="G26" s="54"/>
      <c r="H26" s="55"/>
      <c r="I26" s="55"/>
      <c r="J26" s="55"/>
      <c r="K26" s="55"/>
      <c r="L26" s="55"/>
      <c r="M26" s="55"/>
      <c r="N26" s="55"/>
      <c r="O26" s="55"/>
      <c r="P26" s="55"/>
      <c r="Q26" s="55"/>
      <c r="R26" s="55"/>
      <c r="S26" s="55"/>
      <c r="T26" s="55"/>
      <c r="U26" s="55"/>
      <c r="V26" s="55"/>
      <c r="W26" s="55"/>
      <c r="X26" s="55"/>
      <c r="Y26" s="55"/>
      <c r="Z26" s="55"/>
      <c r="AA26" s="55"/>
      <c r="AB26" s="55"/>
      <c r="AC26" s="55"/>
      <c r="AD26" s="55"/>
      <c r="AE26" s="55"/>
      <c r="AF26" s="55"/>
      <c r="AG26" s="55"/>
      <c r="AH26" s="55"/>
      <c r="AI26" s="55"/>
      <c r="AJ26" s="55"/>
      <c r="AK26" s="55"/>
      <c r="AL26" s="55"/>
      <c r="AM26" s="55"/>
      <c r="AN26" s="55"/>
      <c r="AO26" s="55"/>
      <c r="AP26" s="34"/>
    </row>
    <row r="27" spans="1:57" ht="17.25" customHeight="1" x14ac:dyDescent="0.25">
      <c r="A27" s="34"/>
      <c r="B27" s="54"/>
      <c r="C27" s="54"/>
      <c r="D27" s="54"/>
      <c r="E27" s="54"/>
      <c r="F27" s="54"/>
      <c r="G27" s="54"/>
      <c r="H27" s="55"/>
      <c r="I27" s="55"/>
      <c r="J27" s="55"/>
      <c r="K27" s="55"/>
      <c r="L27" s="55"/>
      <c r="M27" s="55"/>
      <c r="N27" s="55"/>
      <c r="O27" s="55"/>
      <c r="P27" s="55"/>
      <c r="Q27" s="55"/>
      <c r="R27" s="55"/>
      <c r="S27" s="55"/>
      <c r="T27" s="55"/>
      <c r="U27" s="55"/>
      <c r="V27" s="55"/>
      <c r="W27" s="55"/>
      <c r="X27" s="55"/>
      <c r="Y27" s="55"/>
      <c r="Z27" s="55"/>
      <c r="AA27" s="55"/>
      <c r="AB27" s="55"/>
      <c r="AC27" s="55"/>
      <c r="AD27" s="55"/>
      <c r="AE27" s="55"/>
      <c r="AF27" s="55"/>
      <c r="AG27" s="55"/>
      <c r="AH27" s="55"/>
      <c r="AI27" s="55"/>
      <c r="AJ27" s="55"/>
      <c r="AK27" s="55"/>
      <c r="AL27" s="55"/>
      <c r="AM27" s="55"/>
      <c r="AN27" s="55"/>
      <c r="AO27" s="55"/>
      <c r="AP27" s="34"/>
    </row>
    <row r="28" spans="1:57" ht="17.25" customHeight="1" x14ac:dyDescent="0.25">
      <c r="A28" s="34"/>
      <c r="B28" s="54"/>
      <c r="C28" s="54"/>
      <c r="D28" s="54"/>
      <c r="E28" s="54"/>
      <c r="F28" s="54"/>
      <c r="G28" s="54"/>
      <c r="H28" s="55"/>
      <c r="I28" s="55"/>
      <c r="J28" s="55"/>
      <c r="K28" s="55"/>
      <c r="L28" s="55"/>
      <c r="M28" s="55"/>
      <c r="N28" s="55"/>
      <c r="O28" s="55"/>
      <c r="P28" s="55"/>
      <c r="Q28" s="55"/>
      <c r="R28" s="55"/>
      <c r="S28" s="55"/>
      <c r="T28" s="55"/>
      <c r="U28" s="55"/>
      <c r="V28" s="55"/>
      <c r="W28" s="55"/>
      <c r="X28" s="55"/>
      <c r="Y28" s="55"/>
      <c r="Z28" s="55"/>
      <c r="AA28" s="55"/>
      <c r="AB28" s="55"/>
      <c r="AC28" s="55"/>
      <c r="AD28" s="55"/>
      <c r="AE28" s="55"/>
      <c r="AF28" s="55"/>
      <c r="AG28" s="55"/>
      <c r="AH28" s="55"/>
      <c r="AI28" s="55"/>
      <c r="AJ28" s="55"/>
      <c r="AK28" s="55"/>
      <c r="AL28" s="55"/>
      <c r="AM28" s="55"/>
      <c r="AN28" s="55"/>
      <c r="AO28" s="55"/>
      <c r="AP28" s="34"/>
    </row>
    <row r="29" spans="1:57" ht="17.25" customHeight="1" x14ac:dyDescent="0.25">
      <c r="A29" s="34"/>
      <c r="B29" s="82" t="str">
        <f ca="1">'Charts data'!G60</f>
        <v>Around 2.08% of variation in dollar salaries is explained by years experience. On an average, one year of experience increases dollar salaries by 460.91 dollars in this region.</v>
      </c>
      <c r="C29" s="82"/>
      <c r="D29" s="82"/>
      <c r="E29" s="82"/>
      <c r="F29" s="82"/>
      <c r="G29" s="54"/>
      <c r="H29" s="55"/>
      <c r="I29" s="55"/>
      <c r="J29" s="55"/>
      <c r="K29" s="55"/>
      <c r="L29" s="55"/>
      <c r="M29" s="55"/>
      <c r="N29" s="55"/>
      <c r="O29" s="55"/>
      <c r="P29" s="55"/>
      <c r="Q29" s="55"/>
      <c r="R29" s="55"/>
      <c r="S29" s="55"/>
      <c r="T29" s="55"/>
      <c r="U29" s="55"/>
      <c r="V29" s="55"/>
      <c r="W29" s="55"/>
      <c r="X29" s="55"/>
      <c r="Y29" s="55"/>
      <c r="Z29" s="55"/>
      <c r="AA29" s="55"/>
      <c r="AB29" s="55"/>
      <c r="AC29" s="55"/>
      <c r="AD29" s="55"/>
      <c r="AE29" s="55"/>
      <c r="AF29" s="55"/>
      <c r="AG29" s="55"/>
      <c r="AH29" s="55"/>
      <c r="AI29" s="55"/>
      <c r="AJ29" s="55"/>
      <c r="AK29" s="55"/>
      <c r="AL29" s="55"/>
      <c r="AM29" s="55"/>
      <c r="AN29" s="55"/>
      <c r="AO29" s="55"/>
      <c r="AP29" s="34"/>
    </row>
    <row r="30" spans="1:57" ht="27" customHeight="1" x14ac:dyDescent="0.25">
      <c r="A30" s="34"/>
      <c r="B30" s="82"/>
      <c r="C30" s="82"/>
      <c r="D30" s="82"/>
      <c r="E30" s="82"/>
      <c r="F30" s="82"/>
      <c r="G30" s="54"/>
      <c r="H30" s="56" t="s">
        <v>2144</v>
      </c>
      <c r="I30" s="79" t="str">
        <f>'Charts data'!A36</f>
        <v>Accountant</v>
      </c>
      <c r="J30" s="79"/>
      <c r="K30" s="79" t="str">
        <f>'Charts data'!A37</f>
        <v>Analyst</v>
      </c>
      <c r="L30" s="79"/>
      <c r="M30" s="79" t="str">
        <f>'Charts data'!A38</f>
        <v>Consultant</v>
      </c>
      <c r="N30" s="79"/>
      <c r="O30" s="79" t="str">
        <f>'Charts data'!A39</f>
        <v>Controller</v>
      </c>
      <c r="P30" s="79"/>
      <c r="Q30" s="79" t="str">
        <f>'Charts data'!A40</f>
        <v>CXO or Top Mgmt.</v>
      </c>
      <c r="R30" s="79"/>
      <c r="S30" s="79" t="str">
        <f>'Charts data'!A41</f>
        <v>Engineer</v>
      </c>
      <c r="T30" s="79"/>
      <c r="U30" s="79" t="str">
        <f>'Charts data'!A42</f>
        <v>Manager</v>
      </c>
      <c r="V30" s="79"/>
      <c r="W30" s="79" t="str">
        <f>'Charts data'!A43</f>
        <v>Specialist</v>
      </c>
      <c r="X30" s="79"/>
      <c r="Y30" s="79" t="str">
        <f>'Charts data'!A44</f>
        <v>Reporting</v>
      </c>
      <c r="Z30" s="79"/>
      <c r="AA30" s="79" t="str">
        <f>'Charts data'!A45</f>
        <v>Misc.</v>
      </c>
      <c r="AB30" s="79"/>
      <c r="AC30" s="55"/>
      <c r="AD30" s="83" t="s">
        <v>2364</v>
      </c>
      <c r="AE30" s="84"/>
      <c r="AF30" s="80" t="str">
        <f>'Charts data'!A48</f>
        <v>0 Hrs</v>
      </c>
      <c r="AG30" s="80"/>
      <c r="AH30" s="80" t="str">
        <f>'Charts data'!A49</f>
        <v>1 or 2</v>
      </c>
      <c r="AI30" s="80"/>
      <c r="AJ30" s="80" t="str">
        <f>'Charts data'!A50</f>
        <v>2 to 3</v>
      </c>
      <c r="AK30" s="80"/>
      <c r="AL30" s="80" t="str">
        <f>'Charts data'!A51</f>
        <v>4 to 6</v>
      </c>
      <c r="AM30" s="80"/>
      <c r="AN30" s="80" t="str">
        <f>'Charts data'!A52</f>
        <v>8 Hrs</v>
      </c>
      <c r="AO30" s="80"/>
      <c r="AP30" s="34"/>
    </row>
    <row r="31" spans="1:57" x14ac:dyDescent="0.25">
      <c r="A31" s="34"/>
      <c r="B31" s="82"/>
      <c r="C31" s="82"/>
      <c r="D31" s="82"/>
      <c r="E31" s="82"/>
      <c r="F31" s="82"/>
      <c r="G31" s="54"/>
      <c r="H31" s="51" t="s">
        <v>2290</v>
      </c>
      <c r="I31" s="75">
        <f>'Charts data'!J36</f>
        <v>37</v>
      </c>
      <c r="J31" s="76"/>
      <c r="K31" s="76">
        <f>'Charts data'!J37</f>
        <v>207</v>
      </c>
      <c r="L31" s="76"/>
      <c r="M31" s="76">
        <f>'Charts data'!J38</f>
        <v>25</v>
      </c>
      <c r="N31" s="76"/>
      <c r="O31" s="76">
        <f>'Charts data'!J39</f>
        <v>10</v>
      </c>
      <c r="P31" s="76"/>
      <c r="Q31" s="76">
        <f>'Charts data'!J40</f>
        <v>14</v>
      </c>
      <c r="R31" s="76"/>
      <c r="S31" s="76">
        <f>'Charts data'!J41</f>
        <v>24</v>
      </c>
      <c r="T31" s="76"/>
      <c r="U31" s="76">
        <f>'Charts data'!J42</f>
        <v>246</v>
      </c>
      <c r="V31" s="76"/>
      <c r="W31" s="76">
        <f>'Charts data'!J43</f>
        <v>8</v>
      </c>
      <c r="X31" s="76"/>
      <c r="Y31" s="76">
        <f>'Charts data'!J44</f>
        <v>63</v>
      </c>
      <c r="Z31" s="76"/>
      <c r="AA31" s="76">
        <f>'Charts data'!J45</f>
        <v>4</v>
      </c>
      <c r="AB31" s="76"/>
      <c r="AC31" s="53"/>
      <c r="AD31" s="52"/>
      <c r="AE31" s="51" t="s">
        <v>2290</v>
      </c>
      <c r="AF31" s="81">
        <f>'Charts data'!J48</f>
        <v>2</v>
      </c>
      <c r="AG31" s="81"/>
      <c r="AH31" s="81">
        <f>'Charts data'!J49</f>
        <v>69</v>
      </c>
      <c r="AI31" s="81"/>
      <c r="AJ31" s="81">
        <f>'Charts data'!J50</f>
        <v>152</v>
      </c>
      <c r="AK31" s="81"/>
      <c r="AL31" s="81">
        <f>'Charts data'!J51</f>
        <v>237</v>
      </c>
      <c r="AM31" s="81"/>
      <c r="AN31" s="81">
        <f>'Charts data'!J52</f>
        <v>178</v>
      </c>
      <c r="AO31" s="81"/>
      <c r="AP31" s="34"/>
    </row>
    <row r="32" spans="1:57" ht="7.5" customHeight="1" x14ac:dyDescent="0.25">
      <c r="A32" s="34"/>
      <c r="B32" s="34"/>
      <c r="C32" s="34"/>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row>
  </sheetData>
  <mergeCells count="94">
    <mergeCell ref="B29:F31"/>
    <mergeCell ref="AH30:AI30"/>
    <mergeCell ref="AH31:AI31"/>
    <mergeCell ref="AF30:AG30"/>
    <mergeCell ref="AF31:AG31"/>
    <mergeCell ref="AA31:AB31"/>
    <mergeCell ref="W31:X31"/>
    <mergeCell ref="Y31:Z31"/>
    <mergeCell ref="S31:T31"/>
    <mergeCell ref="U31:V31"/>
    <mergeCell ref="AD30:AE30"/>
    <mergeCell ref="AN31:AO31"/>
    <mergeCell ref="AL30:AM30"/>
    <mergeCell ref="AL31:AM31"/>
    <mergeCell ref="AJ30:AK30"/>
    <mergeCell ref="AJ31:AK31"/>
    <mergeCell ref="AD20:AO20"/>
    <mergeCell ref="H20:AB20"/>
    <mergeCell ref="I30:J30"/>
    <mergeCell ref="K30:L30"/>
    <mergeCell ref="M30:N30"/>
    <mergeCell ref="O30:P30"/>
    <mergeCell ref="Q30:R30"/>
    <mergeCell ref="S30:T30"/>
    <mergeCell ref="U30:V30"/>
    <mergeCell ref="W30:X30"/>
    <mergeCell ref="Y30:Z30"/>
    <mergeCell ref="AA30:AB30"/>
    <mergeCell ref="AN30:AO30"/>
    <mergeCell ref="B2:AO2"/>
    <mergeCell ref="B20:F20"/>
    <mergeCell ref="I31:J31"/>
    <mergeCell ref="K31:L31"/>
    <mergeCell ref="M31:N31"/>
    <mergeCell ref="O31:P31"/>
    <mergeCell ref="Q31:R31"/>
    <mergeCell ref="AM15:AO15"/>
    <mergeCell ref="AM16:AO16"/>
    <mergeCell ref="AM17:AO17"/>
    <mergeCell ref="AM18:AO18"/>
    <mergeCell ref="AM19:AO19"/>
    <mergeCell ref="AJ15:AL15"/>
    <mergeCell ref="AJ16:AL16"/>
    <mergeCell ref="AJ17:AL17"/>
    <mergeCell ref="AJ18:AL18"/>
    <mergeCell ref="AJ19:AL19"/>
    <mergeCell ref="AG15:AI15"/>
    <mergeCell ref="AG16:AI16"/>
    <mergeCell ref="AG17:AI17"/>
    <mergeCell ref="AG18:AI18"/>
    <mergeCell ref="AG19:AI19"/>
    <mergeCell ref="AD15:AF15"/>
    <mergeCell ref="AD16:AF16"/>
    <mergeCell ref="AD17:AF17"/>
    <mergeCell ref="AD18:AF18"/>
    <mergeCell ref="AD19:AF19"/>
    <mergeCell ref="AA15:AC15"/>
    <mergeCell ref="AA16:AC16"/>
    <mergeCell ref="AA17:AC17"/>
    <mergeCell ref="AA18:AC18"/>
    <mergeCell ref="AA19:AC19"/>
    <mergeCell ref="X15:Z15"/>
    <mergeCell ref="X16:Z16"/>
    <mergeCell ref="X17:Z17"/>
    <mergeCell ref="X18:Z18"/>
    <mergeCell ref="X19:Z19"/>
    <mergeCell ref="U15:W15"/>
    <mergeCell ref="U16:W16"/>
    <mergeCell ref="U17:W17"/>
    <mergeCell ref="U18:W18"/>
    <mergeCell ref="U19:W19"/>
    <mergeCell ref="R15:T15"/>
    <mergeCell ref="R16:T16"/>
    <mergeCell ref="R17:T17"/>
    <mergeCell ref="R18:T18"/>
    <mergeCell ref="R19:T19"/>
    <mergeCell ref="L18:N18"/>
    <mergeCell ref="I19:K19"/>
    <mergeCell ref="L19:N19"/>
    <mergeCell ref="O15:Q15"/>
    <mergeCell ref="O16:Q16"/>
    <mergeCell ref="O17:Q17"/>
    <mergeCell ref="O18:Q18"/>
    <mergeCell ref="O19:Q19"/>
    <mergeCell ref="I17:K17"/>
    <mergeCell ref="I18:K18"/>
    <mergeCell ref="L15:N15"/>
    <mergeCell ref="L16:N16"/>
    <mergeCell ref="L17:N17"/>
    <mergeCell ref="B3:C3"/>
    <mergeCell ref="B8:C9"/>
    <mergeCell ref="E3:F4"/>
    <mergeCell ref="I15:K15"/>
    <mergeCell ref="I16:K16"/>
  </mergeCells>
  <conditionalFormatting sqref="I2:AO15 I19:AO19">
    <cfRule type="expression" dxfId="3" priority="4">
      <formula>$AR$19=OFFSET($I$15,0,QUOTIENT(COLUMN(I32)-9,3)*3,1,1)</formula>
    </cfRule>
  </conditionalFormatting>
  <conditionalFormatting sqref="I16:AO16">
    <cfRule type="expression" dxfId="2" priority="2">
      <formula>$AR$19=OFFSET($I$15,0,QUOTIENT(COLUMN(I32)-9,3)*3,1,1)</formula>
    </cfRule>
  </conditionalFormatting>
  <conditionalFormatting sqref="I18:AO18">
    <cfRule type="expression" dxfId="1" priority="1">
      <formula>$AR$19=OFFSET($I$15,0,QUOTIENT(COLUMN(I34)-9,3)*3,1,1)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9" r:id="rId4" name="Check Box 7">
              <controlPr defaultSize="0" autoFill="0" autoLine="0" autoPict="0">
                <anchor moveWithCells="1">
                  <from>
                    <xdr:col>4</xdr:col>
                    <xdr:colOff>28575</xdr:colOff>
                    <xdr:row>3</xdr:row>
                    <xdr:rowOff>180975</xdr:rowOff>
                  </from>
                  <to>
                    <xdr:col>5</xdr:col>
                    <xdr:colOff>657225</xdr:colOff>
                    <xdr:row>5</xdr:row>
                    <xdr:rowOff>19050</xdr:rowOff>
                  </to>
                </anchor>
              </controlPr>
            </control>
          </mc:Choice>
        </mc:AlternateContent>
        <mc:AlternateContent xmlns:mc="http://schemas.openxmlformats.org/markup-compatibility/2006">
          <mc:Choice Requires="x14">
            <control shapeId="8200" r:id="rId5" name="Check Box 8">
              <controlPr defaultSize="0" autoFill="0" autoLine="0" autoPict="0">
                <anchor moveWithCells="1">
                  <from>
                    <xdr:col>4</xdr:col>
                    <xdr:colOff>28575</xdr:colOff>
                    <xdr:row>4</xdr:row>
                    <xdr:rowOff>171450</xdr:rowOff>
                  </from>
                  <to>
                    <xdr:col>5</xdr:col>
                    <xdr:colOff>657225</xdr:colOff>
                    <xdr:row>6</xdr:row>
                    <xdr:rowOff>9525</xdr:rowOff>
                  </to>
                </anchor>
              </controlPr>
            </control>
          </mc:Choice>
        </mc:AlternateContent>
        <mc:AlternateContent xmlns:mc="http://schemas.openxmlformats.org/markup-compatibility/2006">
          <mc:Choice Requires="x14">
            <control shapeId="8201" r:id="rId6" name="Check Box 9">
              <controlPr defaultSize="0" autoFill="0" autoLine="0" autoPict="0">
                <anchor moveWithCells="1">
                  <from>
                    <xdr:col>4</xdr:col>
                    <xdr:colOff>28575</xdr:colOff>
                    <xdr:row>5</xdr:row>
                    <xdr:rowOff>171450</xdr:rowOff>
                  </from>
                  <to>
                    <xdr:col>5</xdr:col>
                    <xdr:colOff>657225</xdr:colOff>
                    <xdr:row>7</xdr:row>
                    <xdr:rowOff>9525</xdr:rowOff>
                  </to>
                </anchor>
              </controlPr>
            </control>
          </mc:Choice>
        </mc:AlternateContent>
        <mc:AlternateContent xmlns:mc="http://schemas.openxmlformats.org/markup-compatibility/2006">
          <mc:Choice Requires="x14">
            <control shapeId="8202" r:id="rId7" name="Check Box 10">
              <controlPr defaultSize="0" autoFill="0" autoLine="0" autoPict="0">
                <anchor moveWithCells="1">
                  <from>
                    <xdr:col>4</xdr:col>
                    <xdr:colOff>28575</xdr:colOff>
                    <xdr:row>6</xdr:row>
                    <xdr:rowOff>171450</xdr:rowOff>
                  </from>
                  <to>
                    <xdr:col>5</xdr:col>
                    <xdr:colOff>657225</xdr:colOff>
                    <xdr:row>8</xdr:row>
                    <xdr:rowOff>9525</xdr:rowOff>
                  </to>
                </anchor>
              </controlPr>
            </control>
          </mc:Choice>
        </mc:AlternateContent>
        <mc:AlternateContent xmlns:mc="http://schemas.openxmlformats.org/markup-compatibility/2006">
          <mc:Choice Requires="x14">
            <control shapeId="8203" r:id="rId8" name="Check Box 11">
              <controlPr defaultSize="0" autoFill="0" autoLine="0" autoPict="0">
                <anchor moveWithCells="1">
                  <from>
                    <xdr:col>4</xdr:col>
                    <xdr:colOff>28575</xdr:colOff>
                    <xdr:row>7</xdr:row>
                    <xdr:rowOff>171450</xdr:rowOff>
                  </from>
                  <to>
                    <xdr:col>5</xdr:col>
                    <xdr:colOff>657225</xdr:colOff>
                    <xdr:row>9</xdr:row>
                    <xdr:rowOff>0</xdr:rowOff>
                  </to>
                </anchor>
              </controlPr>
            </control>
          </mc:Choice>
        </mc:AlternateContent>
        <mc:AlternateContent xmlns:mc="http://schemas.openxmlformats.org/markup-compatibility/2006">
          <mc:Choice Requires="x14">
            <control shapeId="8204" r:id="rId9" name="Check Box 12">
              <controlPr defaultSize="0" autoFill="0" autoLine="0" autoPict="0">
                <anchor moveWithCells="1">
                  <from>
                    <xdr:col>4</xdr:col>
                    <xdr:colOff>28575</xdr:colOff>
                    <xdr:row>8</xdr:row>
                    <xdr:rowOff>180975</xdr:rowOff>
                  </from>
                  <to>
                    <xdr:col>5</xdr:col>
                    <xdr:colOff>657225</xdr:colOff>
                    <xdr:row>10</xdr:row>
                    <xdr:rowOff>9525</xdr:rowOff>
                  </to>
                </anchor>
              </controlPr>
            </control>
          </mc:Choice>
        </mc:AlternateContent>
        <mc:AlternateContent xmlns:mc="http://schemas.openxmlformats.org/markup-compatibility/2006">
          <mc:Choice Requires="x14">
            <control shapeId="8205" r:id="rId10" name="Check Box 13">
              <controlPr defaultSize="0" autoFill="0" autoLine="0" autoPict="0">
                <anchor moveWithCells="1">
                  <from>
                    <xdr:col>4</xdr:col>
                    <xdr:colOff>28575</xdr:colOff>
                    <xdr:row>9</xdr:row>
                    <xdr:rowOff>161925</xdr:rowOff>
                  </from>
                  <to>
                    <xdr:col>5</xdr:col>
                    <xdr:colOff>657225</xdr:colOff>
                    <xdr:row>11</xdr:row>
                    <xdr:rowOff>0</xdr:rowOff>
                  </to>
                </anchor>
              </controlPr>
            </control>
          </mc:Choice>
        </mc:AlternateContent>
        <mc:AlternateContent xmlns:mc="http://schemas.openxmlformats.org/markup-compatibility/2006">
          <mc:Choice Requires="x14">
            <control shapeId="8206" r:id="rId11" name="Check Box 14">
              <controlPr defaultSize="0" autoFill="0" autoLine="0" autoPict="0">
                <anchor moveWithCells="1">
                  <from>
                    <xdr:col>4</xdr:col>
                    <xdr:colOff>28575</xdr:colOff>
                    <xdr:row>12</xdr:row>
                    <xdr:rowOff>161925</xdr:rowOff>
                  </from>
                  <to>
                    <xdr:col>5</xdr:col>
                    <xdr:colOff>657225</xdr:colOff>
                    <xdr:row>14</xdr:row>
                    <xdr:rowOff>0</xdr:rowOff>
                  </to>
                </anchor>
              </controlPr>
            </control>
          </mc:Choice>
        </mc:AlternateContent>
        <mc:AlternateContent xmlns:mc="http://schemas.openxmlformats.org/markup-compatibility/2006">
          <mc:Choice Requires="x14">
            <control shapeId="8207" r:id="rId12" name="Check Box 15">
              <controlPr defaultSize="0" autoFill="0" autoLine="0" autoPict="0">
                <anchor moveWithCells="1">
                  <from>
                    <xdr:col>4</xdr:col>
                    <xdr:colOff>28575</xdr:colOff>
                    <xdr:row>10</xdr:row>
                    <xdr:rowOff>161925</xdr:rowOff>
                  </from>
                  <to>
                    <xdr:col>5</xdr:col>
                    <xdr:colOff>657225</xdr:colOff>
                    <xdr:row>12</xdr:row>
                    <xdr:rowOff>0</xdr:rowOff>
                  </to>
                </anchor>
              </controlPr>
            </control>
          </mc:Choice>
        </mc:AlternateContent>
        <mc:AlternateContent xmlns:mc="http://schemas.openxmlformats.org/markup-compatibility/2006">
          <mc:Choice Requires="x14">
            <control shapeId="8208" r:id="rId13" name="Check Box 16">
              <controlPr defaultSize="0" autoFill="0" autoLine="0" autoPict="0">
                <anchor moveWithCells="1">
                  <from>
                    <xdr:col>4</xdr:col>
                    <xdr:colOff>28575</xdr:colOff>
                    <xdr:row>11</xdr:row>
                    <xdr:rowOff>161925</xdr:rowOff>
                  </from>
                  <to>
                    <xdr:col>5</xdr:col>
                    <xdr:colOff>657225</xdr:colOff>
                    <xdr:row>13</xdr:row>
                    <xdr:rowOff>0</xdr:rowOff>
                  </to>
                </anchor>
              </controlPr>
            </control>
          </mc:Choice>
        </mc:AlternateContent>
        <mc:AlternateContent xmlns:mc="http://schemas.openxmlformats.org/markup-compatibility/2006">
          <mc:Choice Requires="x14">
            <control shapeId="8214" r:id="rId14" name="Check Box 22">
              <controlPr defaultSize="0" autoFill="0" autoLine="0" autoPict="0">
                <anchor moveWithCells="1">
                  <from>
                    <xdr:col>1</xdr:col>
                    <xdr:colOff>123825</xdr:colOff>
                    <xdr:row>8</xdr:row>
                    <xdr:rowOff>171450</xdr:rowOff>
                  </from>
                  <to>
                    <xdr:col>2</xdr:col>
                    <xdr:colOff>114300</xdr:colOff>
                    <xdr:row>10</xdr:row>
                    <xdr:rowOff>9525</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123825</xdr:colOff>
                    <xdr:row>9</xdr:row>
                    <xdr:rowOff>161925</xdr:rowOff>
                  </from>
                  <to>
                    <xdr:col>2</xdr:col>
                    <xdr:colOff>114300</xdr:colOff>
                    <xdr:row>11</xdr:row>
                    <xdr:rowOff>0</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123825</xdr:colOff>
                    <xdr:row>10</xdr:row>
                    <xdr:rowOff>161925</xdr:rowOff>
                  </from>
                  <to>
                    <xdr:col>2</xdr:col>
                    <xdr:colOff>114300</xdr:colOff>
                    <xdr:row>12</xdr:row>
                    <xdr:rowOff>0</xdr:rowOff>
                  </to>
                </anchor>
              </controlPr>
            </control>
          </mc:Choice>
        </mc:AlternateContent>
        <mc:AlternateContent xmlns:mc="http://schemas.openxmlformats.org/markup-compatibility/2006">
          <mc:Choice Requires="x14">
            <control shapeId="8217" r:id="rId17" name="Check Box 25">
              <controlPr defaultSize="0" autoFill="0" autoLine="0" autoPict="0">
                <anchor moveWithCells="1">
                  <from>
                    <xdr:col>1</xdr:col>
                    <xdr:colOff>123825</xdr:colOff>
                    <xdr:row>11</xdr:row>
                    <xdr:rowOff>161925</xdr:rowOff>
                  </from>
                  <to>
                    <xdr:col>2</xdr:col>
                    <xdr:colOff>114300</xdr:colOff>
                    <xdr:row>13</xdr:row>
                    <xdr:rowOff>0</xdr:rowOff>
                  </to>
                </anchor>
              </controlPr>
            </control>
          </mc:Choice>
        </mc:AlternateContent>
        <mc:AlternateContent xmlns:mc="http://schemas.openxmlformats.org/markup-compatibility/2006">
          <mc:Choice Requires="x14">
            <control shapeId="8218" r:id="rId18" name="Check Box 26">
              <controlPr defaultSize="0" autoFill="0" autoLine="0" autoPict="0">
                <anchor moveWithCells="1">
                  <from>
                    <xdr:col>1</xdr:col>
                    <xdr:colOff>123825</xdr:colOff>
                    <xdr:row>12</xdr:row>
                    <xdr:rowOff>161925</xdr:rowOff>
                  </from>
                  <to>
                    <xdr:col>2</xdr:col>
                    <xdr:colOff>114300</xdr:colOff>
                    <xdr:row>14</xdr:row>
                    <xdr:rowOff>0</xdr:rowOff>
                  </to>
                </anchor>
              </controlPr>
            </control>
          </mc:Choice>
        </mc:AlternateContent>
        <mc:AlternateContent xmlns:mc="http://schemas.openxmlformats.org/markup-compatibility/2006">
          <mc:Choice Requires="x14">
            <control shapeId="8219" r:id="rId19" name="Option Button 27">
              <controlPr defaultSize="0" autoFill="0" autoLine="0" autoPict="0">
                <anchor moveWithCells="1">
                  <from>
                    <xdr:col>1</xdr:col>
                    <xdr:colOff>28575</xdr:colOff>
                    <xdr:row>3</xdr:row>
                    <xdr:rowOff>9525</xdr:rowOff>
                  </from>
                  <to>
                    <xdr:col>2</xdr:col>
                    <xdr:colOff>590550</xdr:colOff>
                    <xdr:row>4</xdr:row>
                    <xdr:rowOff>19050</xdr:rowOff>
                  </to>
                </anchor>
              </controlPr>
            </control>
          </mc:Choice>
        </mc:AlternateContent>
        <mc:AlternateContent xmlns:mc="http://schemas.openxmlformats.org/markup-compatibility/2006">
          <mc:Choice Requires="x14">
            <control shapeId="8221" r:id="rId20" name="Option Button 29">
              <controlPr defaultSize="0" autoFill="0" autoLine="0" autoPict="0">
                <anchor moveWithCells="1">
                  <from>
                    <xdr:col>1</xdr:col>
                    <xdr:colOff>28575</xdr:colOff>
                    <xdr:row>3</xdr:row>
                    <xdr:rowOff>142875</xdr:rowOff>
                  </from>
                  <to>
                    <xdr:col>2</xdr:col>
                    <xdr:colOff>590550</xdr:colOff>
                    <xdr:row>5</xdr:row>
                    <xdr:rowOff>133350</xdr:rowOff>
                  </to>
                </anchor>
              </controlPr>
            </control>
          </mc:Choice>
        </mc:AlternateContent>
        <mc:AlternateContent xmlns:mc="http://schemas.openxmlformats.org/markup-compatibility/2006">
          <mc:Choice Requires="x14">
            <control shapeId="8222" r:id="rId21" name="Option Button 30">
              <controlPr defaultSize="0" autoFill="0" autoLine="0" autoPict="0">
                <anchor moveWithCells="1">
                  <from>
                    <xdr:col>1</xdr:col>
                    <xdr:colOff>28575</xdr:colOff>
                    <xdr:row>5</xdr:row>
                    <xdr:rowOff>9525</xdr:rowOff>
                  </from>
                  <to>
                    <xdr:col>2</xdr:col>
                    <xdr:colOff>523875</xdr:colOff>
                    <xdr:row>7</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3DE6E21B-0460-4B23-A513-AEFDCB808073}">
            <xm:f>'Charts data'!$E$2=3</xm:f>
            <x14:dxf>
              <numFmt numFmtId="2" formatCode="0.00"/>
            </x14:dxf>
          </x14:cfRule>
          <xm:sqref>I17:AO17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8"/>
  <sheetViews>
    <sheetView workbookViewId="0">
      <selection activeCell="C19" sqref="C19"/>
    </sheetView>
  </sheetViews>
  <sheetFormatPr defaultRowHeight="15" x14ac:dyDescent="0.25"/>
  <cols>
    <col min="1" max="1" width="4.85546875" customWidth="1"/>
    <col min="2" max="2" width="2.7109375" customWidth="1"/>
    <col min="4" max="12" width="13.28515625" customWidth="1"/>
  </cols>
  <sheetData>
    <row r="1" spans="1:12" ht="20.25" thickBot="1" x14ac:dyDescent="0.35">
      <c r="A1" s="57" t="s">
        <v>2367</v>
      </c>
      <c r="B1" s="57"/>
      <c r="C1" s="57"/>
      <c r="D1" s="57"/>
      <c r="E1" s="57"/>
      <c r="F1" s="57"/>
      <c r="G1" s="57"/>
      <c r="H1" s="57"/>
      <c r="I1" s="57"/>
      <c r="J1" s="57"/>
      <c r="K1" s="57"/>
      <c r="L1" s="57"/>
    </row>
    <row r="2" spans="1:12" ht="15.75" thickTop="1" x14ac:dyDescent="0.25">
      <c r="A2">
        <v>1</v>
      </c>
      <c r="B2" t="s">
        <v>2386</v>
      </c>
    </row>
    <row r="3" spans="1:12" x14ac:dyDescent="0.25">
      <c r="C3" t="s">
        <v>41</v>
      </c>
    </row>
    <row r="4" spans="1:12" x14ac:dyDescent="0.25">
      <c r="C4" t="s">
        <v>105</v>
      </c>
    </row>
    <row r="5" spans="1:12" x14ac:dyDescent="0.25">
      <c r="C5" t="s">
        <v>118</v>
      </c>
    </row>
    <row r="6" spans="1:12" x14ac:dyDescent="0.25">
      <c r="C6" t="s">
        <v>168</v>
      </c>
    </row>
    <row r="7" spans="1:12" x14ac:dyDescent="0.25">
      <c r="C7" t="s">
        <v>49</v>
      </c>
    </row>
    <row r="8" spans="1:12" x14ac:dyDescent="0.25">
      <c r="C8" t="s">
        <v>142</v>
      </c>
    </row>
    <row r="9" spans="1:12" x14ac:dyDescent="0.25">
      <c r="C9" t="s">
        <v>79</v>
      </c>
    </row>
    <row r="10" spans="1:12" x14ac:dyDescent="0.25">
      <c r="C10" t="s">
        <v>103</v>
      </c>
    </row>
    <row r="11" spans="1:12" x14ac:dyDescent="0.25">
      <c r="C11" t="s">
        <v>133</v>
      </c>
    </row>
    <row r="12" spans="1:12" x14ac:dyDescent="0.25">
      <c r="C12" t="s">
        <v>80</v>
      </c>
    </row>
    <row r="13" spans="1:12" x14ac:dyDescent="0.25">
      <c r="C13" t="s">
        <v>70</v>
      </c>
    </row>
    <row r="15" spans="1:12" x14ac:dyDescent="0.25">
      <c r="A15">
        <v>2</v>
      </c>
      <c r="B15" t="s">
        <v>2368</v>
      </c>
    </row>
    <row r="17" spans="1:12" x14ac:dyDescent="0.25">
      <c r="A17">
        <v>3</v>
      </c>
      <c r="B17" t="s">
        <v>2369</v>
      </c>
    </row>
    <row r="18" spans="1:12" x14ac:dyDescent="0.25">
      <c r="C18" t="s">
        <v>2388</v>
      </c>
    </row>
    <row r="19" spans="1:12" x14ac:dyDescent="0.25">
      <c r="C19" t="s">
        <v>2370</v>
      </c>
    </row>
    <row r="20" spans="1:12" x14ac:dyDescent="0.25">
      <c r="C20" t="s">
        <v>2371</v>
      </c>
    </row>
    <row r="22" spans="1:12" x14ac:dyDescent="0.25">
      <c r="A22">
        <v>4</v>
      </c>
      <c r="B22" t="s">
        <v>2372</v>
      </c>
    </row>
    <row r="24" spans="1:12" ht="20.25" thickBot="1" x14ac:dyDescent="0.35">
      <c r="A24" s="57" t="s">
        <v>2373</v>
      </c>
      <c r="B24" s="57"/>
      <c r="C24" s="57"/>
      <c r="D24" s="57"/>
      <c r="E24" s="57"/>
      <c r="F24" s="57"/>
      <c r="G24" s="57"/>
      <c r="H24" s="57"/>
      <c r="I24" s="57"/>
      <c r="J24" s="57"/>
      <c r="K24" s="57"/>
      <c r="L24" s="57"/>
    </row>
    <row r="25" spans="1:12" ht="15.75" thickTop="1" x14ac:dyDescent="0.25">
      <c r="A25">
        <v>1</v>
      </c>
      <c r="B25" t="s">
        <v>2376</v>
      </c>
    </row>
    <row r="26" spans="1:12" x14ac:dyDescent="0.25">
      <c r="C26" t="s">
        <v>2377</v>
      </c>
      <c r="F26" t="s">
        <v>2378</v>
      </c>
    </row>
    <row r="27" spans="1:12" x14ac:dyDescent="0.25">
      <c r="C27" t="s">
        <v>2375</v>
      </c>
      <c r="F27" t="s">
        <v>2379</v>
      </c>
    </row>
    <row r="28" spans="1:12" x14ac:dyDescent="0.25">
      <c r="C28" t="s">
        <v>2374</v>
      </c>
      <c r="F28" t="s">
        <v>2380</v>
      </c>
    </row>
    <row r="30" spans="1:12" x14ac:dyDescent="0.25">
      <c r="A30">
        <v>2</v>
      </c>
      <c r="B30" t="s">
        <v>2381</v>
      </c>
    </row>
    <row r="31" spans="1:12" x14ac:dyDescent="0.25">
      <c r="B31" t="s">
        <v>2382</v>
      </c>
    </row>
    <row r="51" spans="1:12" x14ac:dyDescent="0.25">
      <c r="A51">
        <v>3</v>
      </c>
      <c r="B51" s="85" t="s">
        <v>2383</v>
      </c>
      <c r="C51" s="85"/>
      <c r="D51" s="85"/>
      <c r="E51" s="85"/>
      <c r="F51" s="85"/>
      <c r="G51" s="85"/>
      <c r="H51" s="85"/>
      <c r="I51" s="85"/>
      <c r="J51" s="85"/>
      <c r="K51" s="85"/>
      <c r="L51" s="85"/>
    </row>
    <row r="52" spans="1:12" x14ac:dyDescent="0.25">
      <c r="B52" s="85"/>
      <c r="C52" s="85"/>
      <c r="D52" s="85"/>
      <c r="E52" s="85"/>
      <c r="F52" s="85"/>
      <c r="G52" s="85"/>
      <c r="H52" s="85"/>
      <c r="I52" s="85"/>
      <c r="J52" s="85"/>
      <c r="K52" s="85"/>
      <c r="L52" s="85"/>
    </row>
    <row r="54" spans="1:12" x14ac:dyDescent="0.25">
      <c r="A54">
        <v>4</v>
      </c>
      <c r="B54" t="s">
        <v>2384</v>
      </c>
    </row>
    <row r="56" spans="1:12" x14ac:dyDescent="0.25">
      <c r="A56">
        <v>5</v>
      </c>
      <c r="B56" t="s">
        <v>2385</v>
      </c>
    </row>
    <row r="58" spans="1:12" x14ac:dyDescent="0.25">
      <c r="A58">
        <v>6</v>
      </c>
      <c r="B58" t="s">
        <v>2387</v>
      </c>
    </row>
  </sheetData>
  <mergeCells count="1">
    <mergeCell ref="B51:L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mapping</vt:lpstr>
      <vt:lpstr>WTO Data</vt:lpstr>
      <vt:lpstr>Cleaned Data</vt:lpstr>
      <vt:lpstr>Charts data</vt:lpstr>
      <vt:lpstr>Dashboard</vt:lpstr>
      <vt:lpstr>Notes</vt:lpstr>
    </vt:vector>
  </TitlesOfParts>
  <Company>Chandoo.org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Purnachandra Rao Duggirala</dc:creator>
  <cp:lastModifiedBy>Saurabh</cp:lastModifiedBy>
  <dcterms:created xsi:type="dcterms:W3CDTF">2012-06-21T06:10:20Z</dcterms:created>
  <dcterms:modified xsi:type="dcterms:W3CDTF">2012-07-05T17:44:33Z</dcterms:modified>
</cp:coreProperties>
</file>