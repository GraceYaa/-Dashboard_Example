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DieseArbeitsmappe" defaultThemeVersion="124226"/>
  <bookViews>
    <workbookView xWindow="-15" yWindow="-15" windowWidth="17895" windowHeight="8595" tabRatio="473"/>
  </bookViews>
  <sheets>
    <sheet name="Main" sheetId="19" r:id="rId1"/>
    <sheet name="Data" sheetId="1" state="hidden" r:id="rId2"/>
    <sheet name="Control" sheetId="17" state="hidden" r:id="rId3"/>
    <sheet name="Pivot" sheetId="22" state="hidden" r:id="rId4"/>
    <sheet name="Sheet1" sheetId="20" state="hidden" r:id="rId5"/>
  </sheets>
  <functionGroups builtInGroupCount="17"/>
  <externalReferences>
    <externalReference r:id="rId6"/>
  </externalReferences>
  <definedNames>
    <definedName name="D_AFG">Data!$K$5</definedName>
    <definedName name="D_AGO">Data!$K$9</definedName>
    <definedName name="D_ALB">Data!$K$6</definedName>
    <definedName name="D_AND">Data!$K$8</definedName>
    <definedName name="D_ARE">Data!$K$183</definedName>
    <definedName name="D_ARG">Data!$K$11</definedName>
    <definedName name="D_ARM">Data!$K$12</definedName>
    <definedName name="D_ATG">Data!$K$10</definedName>
    <definedName name="D_AUS">Data!$K$13</definedName>
    <definedName name="D_AUT">Data!$K$14</definedName>
    <definedName name="D_AZE">Data!$K$15</definedName>
    <definedName name="D_BDI">Data!$K$32</definedName>
    <definedName name="D_BEL">Data!$K$21</definedName>
    <definedName name="D_BEN">Data!$K$23</definedName>
    <definedName name="D_BFA">Data!$K$30</definedName>
    <definedName name="D_BGD">Data!$K$18</definedName>
    <definedName name="D_BGR">Data!$K$29</definedName>
    <definedName name="D_BHR">Data!$K$17</definedName>
    <definedName name="D_BHS">Data!$K$16</definedName>
    <definedName name="D_BIH">Data!$K$26</definedName>
    <definedName name="D_BLR">Data!$K$20</definedName>
    <definedName name="D_BLZ">Data!$K$22</definedName>
    <definedName name="D_BOL">Data!$K$25</definedName>
    <definedName name="D_BRA">Data!$K$28</definedName>
    <definedName name="D_BRB">Data!$K$19</definedName>
    <definedName name="D_BTN">Data!$K$24</definedName>
    <definedName name="D_BWA">Data!$K$27</definedName>
    <definedName name="D_CAF">Data!$K$37</definedName>
    <definedName name="D_CAN">Data!$K$35</definedName>
    <definedName name="D_CG">Data!$K$121</definedName>
    <definedName name="D_CHE">Data!$K$166</definedName>
    <definedName name="D_CHL">Data!$K$39</definedName>
    <definedName name="D_CHN">Data!$K$40</definedName>
    <definedName name="D_CIV">Data!$K$46</definedName>
    <definedName name="D_CMR">Data!$K$34</definedName>
    <definedName name="D_COD">Data!$K$43</definedName>
    <definedName name="D_COG">Data!$K$44</definedName>
    <definedName name="D_COL">Data!$K$41</definedName>
    <definedName name="D_COM">Data!$K$42</definedName>
    <definedName name="D_CPV">Data!$K$36</definedName>
    <definedName name="D_CRI">Data!$K$45</definedName>
    <definedName name="D_CUB">Data!$K$48</definedName>
    <definedName name="D_CYP">Data!$K$49</definedName>
    <definedName name="D_CZE">Data!$K$50</definedName>
    <definedName name="D_DEU">Data!$K$68</definedName>
    <definedName name="D_DJI">Data!$K$52</definedName>
    <definedName name="D_DMA">Data!$K$53</definedName>
    <definedName name="D_DNK">Data!$K$51</definedName>
    <definedName name="D_DOM">Data!$K$54</definedName>
    <definedName name="D_DZA">Data!$K$7</definedName>
    <definedName name="D_ECU">Data!$K$55</definedName>
    <definedName name="D_EGY">Data!$K$56</definedName>
    <definedName name="D_ERI">Data!$K$59</definedName>
    <definedName name="D_ESH">Data!$K$191</definedName>
    <definedName name="D_ESP">Data!$K$160</definedName>
    <definedName name="D_EST">Data!$K$60</definedName>
    <definedName name="D_ETH">Data!$K$61</definedName>
    <definedName name="D_FIN">Data!$K$63</definedName>
    <definedName name="D_FJI">Data!$K$62</definedName>
    <definedName name="D_FRA">Data!$K$64</definedName>
    <definedName name="D_FSM">Data!$K$117</definedName>
    <definedName name="D_GAB">Data!$K$65</definedName>
    <definedName name="D_GBR">Data!$K$184</definedName>
    <definedName name="D_GEO">Data!$K$67</definedName>
    <definedName name="D_GHA">Data!$K$69</definedName>
    <definedName name="D_GIN">Data!$K$73</definedName>
    <definedName name="D_GMB">Data!$K$66</definedName>
    <definedName name="D_GNB">Data!$K$74</definedName>
    <definedName name="D_GNQ">Data!$K$58</definedName>
    <definedName name="D_GRC">Data!$K$70</definedName>
    <definedName name="D_GRD">Data!$K$71</definedName>
    <definedName name="D_GTM">Data!$K$72</definedName>
    <definedName name="D_GUY">Data!$K$75</definedName>
    <definedName name="D_HND">Data!$K$77</definedName>
    <definedName name="D_HRV">Data!$K$47</definedName>
    <definedName name="D_HTI">Data!$K$76</definedName>
    <definedName name="D_HUN">Data!$K$78</definedName>
    <definedName name="D_IDN">Data!$K$81</definedName>
    <definedName name="D_IND">Data!$K$80</definedName>
    <definedName name="D_IRL">Data!$K$84</definedName>
    <definedName name="D_IRN">Data!$K$82</definedName>
    <definedName name="D_IRQ">Data!$K$83</definedName>
    <definedName name="D_ISL">Data!$K$79</definedName>
    <definedName name="D_ISR">Data!$K$85</definedName>
    <definedName name="D_ITA">Data!$K$86</definedName>
    <definedName name="D_JAM">Data!$K$87</definedName>
    <definedName name="D_JOR">Data!$K$89</definedName>
    <definedName name="D_JPN">Data!$K$88</definedName>
    <definedName name="D_KAZ">Data!$K$90</definedName>
    <definedName name="D_KEN">Data!$K$91</definedName>
    <definedName name="D_KGZ">Data!$K$96</definedName>
    <definedName name="D_KHM">Data!$K$33</definedName>
    <definedName name="D_KIR">Data!$K$92</definedName>
    <definedName name="D_KOR">Data!$K$94</definedName>
    <definedName name="D_KWT">Data!$K$95</definedName>
    <definedName name="D_LAO">Data!$K$97</definedName>
    <definedName name="D_LBN">Data!$K$99</definedName>
    <definedName name="D_LBR">Data!$K$101</definedName>
    <definedName name="D_LBY">Data!$K$102</definedName>
    <definedName name="D_LCA">Data!$K$147</definedName>
    <definedName name="D_LIE">Data!$K$103</definedName>
    <definedName name="D_LKA">Data!$K$161</definedName>
    <definedName name="D_LSO">Data!$K$100</definedName>
    <definedName name="D_LTU">Data!$K$104</definedName>
    <definedName name="D_LUX">Data!$K$105</definedName>
    <definedName name="D_LVA">Data!$K$98</definedName>
    <definedName name="D_MAR">Data!$K$122</definedName>
    <definedName name="D_MCO">Data!$K$119</definedName>
    <definedName name="D_MDA">Data!$K$118</definedName>
    <definedName name="D_MDG">Data!$K$107</definedName>
    <definedName name="D_MDV">Data!$K$110</definedName>
    <definedName name="D_MEX">Data!$K$116</definedName>
    <definedName name="D_MHL">Data!$K$113</definedName>
    <definedName name="D_MKD">Data!$K$106</definedName>
    <definedName name="D_MLI">Data!$K$111</definedName>
    <definedName name="D_MLT">Data!$K$112</definedName>
    <definedName name="D_MMR">Data!$K$31</definedName>
    <definedName name="D_MNG">Data!$K$120</definedName>
    <definedName name="D_MOZ">Data!$K$123</definedName>
    <definedName name="D_MRT">Data!$K$114</definedName>
    <definedName name="D_MUS">Data!$K$115</definedName>
    <definedName name="D_MWI">Data!$K$108</definedName>
    <definedName name="D_MYS">Data!$K$109</definedName>
    <definedName name="D_NAM">Data!$K$124</definedName>
    <definedName name="D_NER">Data!$K$130</definedName>
    <definedName name="D_NGA">Data!$K$131</definedName>
    <definedName name="D_NIC">Data!$K$129</definedName>
    <definedName name="D_NLD">Data!$K$127</definedName>
    <definedName name="D_NOR">Data!$K$132</definedName>
    <definedName name="D_NPL">Data!$K$126</definedName>
    <definedName name="D_NRU">Data!$K$125</definedName>
    <definedName name="D_NZL">Data!$K$128</definedName>
    <definedName name="D_OMN">Data!$K$133</definedName>
    <definedName name="D_PAK">Data!$K$134</definedName>
    <definedName name="D_PAN">Data!$K$136</definedName>
    <definedName name="D_PER">Data!$K$139</definedName>
    <definedName name="D_PHL">Data!$K$140</definedName>
    <definedName name="D_PLW">Data!$K$135</definedName>
    <definedName name="D_PNG">Data!$K$137</definedName>
    <definedName name="D_POL">Data!$K$141</definedName>
    <definedName name="D_PRK">Data!$K$93</definedName>
    <definedName name="D_PRT">Data!$K$142</definedName>
    <definedName name="D_PRY">Data!$K$138</definedName>
    <definedName name="D_QAT">Data!$K$143</definedName>
    <definedName name="D_ROM">Data!$K$144</definedName>
    <definedName name="D_RUS">Data!$K$145</definedName>
    <definedName name="D_RWA">Data!$K$146</definedName>
    <definedName name="D_SAU">Data!$K$149</definedName>
    <definedName name="D_SDN">Data!$K$162</definedName>
    <definedName name="D_SEN">Data!$K$150</definedName>
    <definedName name="D_SGP">Data!$K$154</definedName>
    <definedName name="D_SLB">Data!$K$157</definedName>
    <definedName name="D_SLE">Data!$K$153</definedName>
    <definedName name="D_SLV">Data!$K$57</definedName>
    <definedName name="D_SOM">Data!$K$158</definedName>
    <definedName name="D_SR">Data!$K$151</definedName>
    <definedName name="D_SUR">Data!$K$163</definedName>
    <definedName name="D_SVK">Data!$K$155</definedName>
    <definedName name="D_SVN">Data!$K$156</definedName>
    <definedName name="D_SWE">Data!$K$165</definedName>
    <definedName name="D_SWZ">Data!$K$164</definedName>
    <definedName name="D_SYC">Data!$K$152</definedName>
    <definedName name="D_SYR">Data!$K$167</definedName>
    <definedName name="D_TAI">Data!$K$169</definedName>
    <definedName name="D_TCD">Data!$K$38</definedName>
    <definedName name="D_TGO">Data!$K$174</definedName>
    <definedName name="D_THA">Data!$K$172</definedName>
    <definedName name="D_TJK">Data!$K$170</definedName>
    <definedName name="D_TKM">Data!$K$179</definedName>
    <definedName name="D_TMP">Data!$K$173</definedName>
    <definedName name="D_TON">Data!$K$175</definedName>
    <definedName name="D_TTO">Data!$K$176</definedName>
    <definedName name="D_TUN">Data!$K$177</definedName>
    <definedName name="D_TUR">Data!$K$178</definedName>
    <definedName name="D_TUV">Data!$K$180</definedName>
    <definedName name="D_TWN">Data!$K$168</definedName>
    <definedName name="D_TZA">Data!$K$171</definedName>
    <definedName name="D_UGA">Data!$K$181</definedName>
    <definedName name="D_UKR">Data!$K$182</definedName>
    <definedName name="D_URY">Data!$K$186</definedName>
    <definedName name="D_USA">Data!$K$185</definedName>
    <definedName name="D_UZB">Data!$K$187</definedName>
    <definedName name="D_VEN">Data!$K$189</definedName>
    <definedName name="D_VNM">Data!$K$190</definedName>
    <definedName name="D_VUT">Data!$K$188</definedName>
    <definedName name="D_WSM">Data!$K$148</definedName>
    <definedName name="D_YEM">Data!$K$192</definedName>
    <definedName name="D_ZAF">Data!$K$159</definedName>
    <definedName name="D_ZWB">Data!$K$193</definedName>
    <definedName name="D_ZWE">Data!$K$194</definedName>
    <definedName name="MapNameToShape">Control!$B$67:$C$256</definedName>
    <definedName name="MapValueToColor">Control!$C$15:$D$64</definedName>
  </definedNames>
  <calcPr calcId="145621"/>
  <pivotCaches>
    <pivotCache cacheId="0" r:id="rId7"/>
  </pivotCaches>
</workbook>
</file>

<file path=xl/calcChain.xml><?xml version="1.0" encoding="utf-8"?>
<calcChain xmlns="http://schemas.openxmlformats.org/spreadsheetml/2006/main">
  <c r="F6" i="1" l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164" i="1"/>
  <c r="F165" i="1"/>
  <c r="F166" i="1"/>
  <c r="F167" i="1"/>
  <c r="F168" i="1"/>
  <c r="F169" i="1"/>
  <c r="F170" i="1"/>
  <c r="F171" i="1"/>
  <c r="F172" i="1"/>
  <c r="F173" i="1"/>
  <c r="F174" i="1"/>
  <c r="F175" i="1"/>
  <c r="F176" i="1"/>
  <c r="F177" i="1"/>
  <c r="F178" i="1"/>
  <c r="F179" i="1"/>
  <c r="F180" i="1"/>
  <c r="F181" i="1"/>
  <c r="F182" i="1"/>
  <c r="F183" i="1"/>
  <c r="F184" i="1"/>
  <c r="F185" i="1"/>
  <c r="F186" i="1"/>
  <c r="F187" i="1"/>
  <c r="F188" i="1"/>
  <c r="F189" i="1"/>
  <c r="F190" i="1"/>
  <c r="F191" i="1"/>
  <c r="F192" i="1"/>
  <c r="F193" i="1"/>
  <c r="F194" i="1"/>
  <c r="F5" i="1"/>
  <c r="R37" i="22"/>
  <c r="R36" i="22"/>
  <c r="R35" i="22"/>
  <c r="R34" i="22"/>
  <c r="R33" i="22"/>
  <c r="R32" i="22"/>
  <c r="R31" i="22"/>
  <c r="R30" i="22"/>
  <c r="R29" i="22"/>
  <c r="R28" i="22"/>
  <c r="AM6" i="22"/>
  <c r="AM7" i="22"/>
  <c r="AM8" i="22"/>
  <c r="AM9" i="22"/>
  <c r="AM10" i="22"/>
  <c r="AM11" i="22"/>
  <c r="AM12" i="22"/>
  <c r="AM13" i="22"/>
  <c r="AM14" i="22"/>
  <c r="AM15" i="22"/>
  <c r="AM16" i="22"/>
  <c r="AM17" i="22"/>
  <c r="AM18" i="22"/>
  <c r="AM19" i="22"/>
  <c r="AM20" i="22"/>
  <c r="AM21" i="22"/>
  <c r="AM22" i="22"/>
  <c r="AM23" i="22"/>
  <c r="AM24" i="22"/>
  <c r="AM25" i="22"/>
  <c r="AM26" i="22"/>
  <c r="AM27" i="22"/>
  <c r="AM28" i="22"/>
  <c r="AM29" i="22"/>
  <c r="AM30" i="22"/>
  <c r="AM31" i="22"/>
  <c r="AM32" i="22"/>
  <c r="AM33" i="22"/>
  <c r="AM34" i="22"/>
  <c r="AM35" i="22"/>
  <c r="AM36" i="22"/>
  <c r="AM37" i="22"/>
  <c r="AM38" i="22"/>
  <c r="AM39" i="22"/>
  <c r="AM40" i="22"/>
  <c r="AM41" i="22"/>
  <c r="AM42" i="22"/>
  <c r="AM43" i="22"/>
  <c r="AM44" i="22"/>
  <c r="AM45" i="22"/>
  <c r="AM46" i="22"/>
  <c r="AM47" i="22"/>
  <c r="AM48" i="22"/>
  <c r="AM49" i="22"/>
  <c r="AM50" i="22"/>
  <c r="AM51" i="22"/>
  <c r="AM52" i="22"/>
  <c r="AM53" i="22"/>
  <c r="AM54" i="22"/>
  <c r="AM55" i="22"/>
  <c r="AM56" i="22"/>
  <c r="AM57" i="22"/>
  <c r="AM58" i="22"/>
  <c r="AM59" i="22"/>
  <c r="AM60" i="22"/>
  <c r="AM61" i="22"/>
  <c r="AM62" i="22"/>
  <c r="AM63" i="22"/>
  <c r="AM64" i="22"/>
  <c r="AM65" i="22"/>
  <c r="AM66" i="22"/>
  <c r="AM67" i="22"/>
  <c r="AM68" i="22"/>
  <c r="AM69" i="22"/>
  <c r="AM70" i="22"/>
  <c r="AM71" i="22"/>
  <c r="AM72" i="22"/>
  <c r="AM73" i="22"/>
  <c r="AM74" i="22"/>
  <c r="AM75" i="22"/>
  <c r="AM76" i="22"/>
  <c r="AM77" i="22"/>
  <c r="AM78" i="22"/>
  <c r="AM79" i="22"/>
  <c r="AM80" i="22"/>
  <c r="AM81" i="22"/>
  <c r="AM82" i="22"/>
  <c r="AM83" i="22"/>
  <c r="AM84" i="22"/>
  <c r="AM85" i="22"/>
  <c r="AM86" i="22"/>
  <c r="AM87" i="22"/>
  <c r="AM88" i="22"/>
  <c r="AM89" i="22"/>
  <c r="AM90" i="22"/>
  <c r="AM91" i="22"/>
  <c r="AM92" i="22"/>
  <c r="AM93" i="22"/>
  <c r="AM94" i="22"/>
  <c r="AM95" i="22"/>
  <c r="AM96" i="22"/>
  <c r="AM97" i="22"/>
  <c r="AM98" i="22"/>
  <c r="AM99" i="22"/>
  <c r="AM100" i="22"/>
  <c r="AM101" i="22"/>
  <c r="AM102" i="22"/>
  <c r="AM103" i="22"/>
  <c r="AM104" i="22"/>
  <c r="AM105" i="22"/>
  <c r="AM106" i="22"/>
  <c r="AM107" i="22"/>
  <c r="AM108" i="22"/>
  <c r="AM109" i="22"/>
  <c r="AM110" i="22"/>
  <c r="AM111" i="22"/>
  <c r="AM112" i="22"/>
  <c r="AM113" i="22"/>
  <c r="AM114" i="22"/>
  <c r="AM115" i="22"/>
  <c r="AM116" i="22"/>
  <c r="AM117" i="22"/>
  <c r="AM118" i="22"/>
  <c r="AM119" i="22"/>
  <c r="AM120" i="22"/>
  <c r="AM121" i="22"/>
  <c r="AM122" i="22"/>
  <c r="AM123" i="22"/>
  <c r="AM124" i="22"/>
  <c r="AM125" i="22"/>
  <c r="AM126" i="22"/>
  <c r="AM127" i="22"/>
  <c r="AM128" i="22"/>
  <c r="AM129" i="22"/>
  <c r="AM130" i="22"/>
  <c r="AM131" i="22"/>
  <c r="AM132" i="22"/>
  <c r="AM133" i="22"/>
  <c r="AM134" i="22"/>
  <c r="AM135" i="22"/>
  <c r="AM136" i="22"/>
  <c r="AM137" i="22"/>
  <c r="AM138" i="22"/>
  <c r="AM139" i="22"/>
  <c r="AM140" i="22"/>
  <c r="AM141" i="22"/>
  <c r="AM142" i="22"/>
  <c r="AM143" i="22"/>
  <c r="AM144" i="22"/>
  <c r="AM145" i="22"/>
  <c r="AM146" i="22"/>
  <c r="AM147" i="22"/>
  <c r="AM148" i="22"/>
  <c r="AM149" i="22"/>
  <c r="AM150" i="22"/>
  <c r="AM151" i="22"/>
  <c r="AM152" i="22"/>
  <c r="AM153" i="22"/>
  <c r="AM154" i="22"/>
  <c r="AM155" i="22"/>
  <c r="AM156" i="22"/>
  <c r="AM157" i="22"/>
  <c r="AM158" i="22"/>
  <c r="AM159" i="22"/>
  <c r="AM160" i="22"/>
  <c r="AM161" i="22"/>
  <c r="AM5" i="22"/>
  <c r="AK6" i="22"/>
  <c r="AK7" i="22"/>
  <c r="AK8" i="22"/>
  <c r="AK9" i="22"/>
  <c r="AK10" i="22"/>
  <c r="AK11" i="22"/>
  <c r="AK12" i="22"/>
  <c r="AK13" i="22"/>
  <c r="AK14" i="22"/>
  <c r="AK15" i="22"/>
  <c r="AK16" i="22"/>
  <c r="AK17" i="22"/>
  <c r="AK18" i="22"/>
  <c r="AK19" i="22"/>
  <c r="AK20" i="22"/>
  <c r="AK21" i="22"/>
  <c r="AK22" i="22"/>
  <c r="AK23" i="22"/>
  <c r="AK24" i="22"/>
  <c r="AK25" i="22"/>
  <c r="AK26" i="22"/>
  <c r="AK27" i="22"/>
  <c r="AK28" i="22"/>
  <c r="AK29" i="22"/>
  <c r="AK30" i="22"/>
  <c r="AK31" i="22"/>
  <c r="AK32" i="22"/>
  <c r="AK33" i="22"/>
  <c r="AK34" i="22"/>
  <c r="AK35" i="22"/>
  <c r="AK36" i="22"/>
  <c r="AK37" i="22"/>
  <c r="AK38" i="22"/>
  <c r="AK39" i="22"/>
  <c r="AK40" i="22"/>
  <c r="AK41" i="22"/>
  <c r="AK42" i="22"/>
  <c r="AK43" i="22"/>
  <c r="AK44" i="22"/>
  <c r="AK45" i="22"/>
  <c r="AK46" i="22"/>
  <c r="AK47" i="22"/>
  <c r="AK48" i="22"/>
  <c r="AK49" i="22"/>
  <c r="AK50" i="22"/>
  <c r="AK51" i="22"/>
  <c r="AK52" i="22"/>
  <c r="AK53" i="22"/>
  <c r="AK54" i="22"/>
  <c r="AK55" i="22"/>
  <c r="AK56" i="22"/>
  <c r="AK57" i="22"/>
  <c r="AK58" i="22"/>
  <c r="AK59" i="22"/>
  <c r="AK60" i="22"/>
  <c r="AK61" i="22"/>
  <c r="AK62" i="22"/>
  <c r="AK63" i="22"/>
  <c r="AK64" i="22"/>
  <c r="AK65" i="22"/>
  <c r="AK66" i="22"/>
  <c r="AK67" i="22"/>
  <c r="AK68" i="22"/>
  <c r="AK69" i="22"/>
  <c r="AK70" i="22"/>
  <c r="AK71" i="22"/>
  <c r="AK72" i="22"/>
  <c r="AK73" i="22"/>
  <c r="AK74" i="22"/>
  <c r="AK75" i="22"/>
  <c r="AK76" i="22"/>
  <c r="AK77" i="22"/>
  <c r="AK78" i="22"/>
  <c r="AK79" i="22"/>
  <c r="AK80" i="22"/>
  <c r="AK81" i="22"/>
  <c r="AK82" i="22"/>
  <c r="AK83" i="22"/>
  <c r="AK84" i="22"/>
  <c r="AK85" i="22"/>
  <c r="AK86" i="22"/>
  <c r="AK87" i="22"/>
  <c r="AK88" i="22"/>
  <c r="AK89" i="22"/>
  <c r="AK90" i="22"/>
  <c r="AK91" i="22"/>
  <c r="AK92" i="22"/>
  <c r="AK93" i="22"/>
  <c r="AK94" i="22"/>
  <c r="AK95" i="22"/>
  <c r="AK96" i="22"/>
  <c r="AK97" i="22"/>
  <c r="AK98" i="22"/>
  <c r="AK99" i="22"/>
  <c r="AK100" i="22"/>
  <c r="AK101" i="22"/>
  <c r="AK102" i="22"/>
  <c r="AK103" i="22"/>
  <c r="AK104" i="22"/>
  <c r="AK105" i="22"/>
  <c r="AK106" i="22"/>
  <c r="AK107" i="22"/>
  <c r="AK108" i="22"/>
  <c r="AK109" i="22"/>
  <c r="AK110" i="22"/>
  <c r="AK111" i="22"/>
  <c r="AK112" i="22"/>
  <c r="AK113" i="22"/>
  <c r="AK114" i="22"/>
  <c r="AK115" i="22"/>
  <c r="AK116" i="22"/>
  <c r="AK117" i="22"/>
  <c r="AK118" i="22"/>
  <c r="AK119" i="22"/>
  <c r="AK120" i="22"/>
  <c r="AK121" i="22"/>
  <c r="AK122" i="22"/>
  <c r="AK123" i="22"/>
  <c r="AK124" i="22"/>
  <c r="AK125" i="22"/>
  <c r="AK126" i="22"/>
  <c r="AK127" i="22"/>
  <c r="AK128" i="22"/>
  <c r="AK129" i="22"/>
  <c r="AK130" i="22"/>
  <c r="AK131" i="22"/>
  <c r="AK132" i="22"/>
  <c r="AK133" i="22"/>
  <c r="AK134" i="22"/>
  <c r="AK135" i="22"/>
  <c r="AK136" i="22"/>
  <c r="AK137" i="22"/>
  <c r="AK138" i="22"/>
  <c r="AK139" i="22"/>
  <c r="AK140" i="22"/>
  <c r="AK141" i="22"/>
  <c r="AK142" i="22"/>
  <c r="AK143" i="22"/>
  <c r="AK144" i="22"/>
  <c r="AK145" i="22"/>
  <c r="AK146" i="22"/>
  <c r="AK147" i="22"/>
  <c r="AK148" i="22"/>
  <c r="AK149" i="22"/>
  <c r="AK150" i="22"/>
  <c r="AK151" i="22"/>
  <c r="AK152" i="22"/>
  <c r="AK153" i="22"/>
  <c r="AK154" i="22"/>
  <c r="AK155" i="22"/>
  <c r="AK156" i="22"/>
  <c r="AK157" i="22"/>
  <c r="AK158" i="22"/>
  <c r="AK159" i="22"/>
  <c r="AK160" i="22"/>
  <c r="AK161" i="22"/>
  <c r="AK5" i="22"/>
  <c r="E86" i="1"/>
  <c r="E64" i="1"/>
  <c r="E141" i="1"/>
  <c r="E144" i="1"/>
  <c r="E51" i="1"/>
  <c r="E132" i="1"/>
  <c r="E109" i="1"/>
  <c r="E81" i="1"/>
  <c r="E145" i="1"/>
  <c r="E142" i="1"/>
  <c r="E116" i="1"/>
  <c r="E160" i="1"/>
  <c r="E140" i="1"/>
  <c r="E149" i="1"/>
  <c r="E154" i="1"/>
  <c r="E128" i="1"/>
  <c r="E28" i="1"/>
  <c r="E68" i="1"/>
  <c r="E183" i="1"/>
  <c r="E159" i="1"/>
  <c r="E127" i="1"/>
  <c r="E134" i="1"/>
  <c r="E35" i="1"/>
  <c r="E13" i="1"/>
  <c r="E184" i="1"/>
  <c r="E80" i="1"/>
  <c r="I1884" i="20"/>
  <c r="E1884" i="20"/>
  <c r="I1883" i="20"/>
  <c r="E1883" i="20"/>
  <c r="I1882" i="20"/>
  <c r="E1882" i="20"/>
  <c r="I1881" i="20"/>
  <c r="E1881" i="20"/>
  <c r="I1880" i="20"/>
  <c r="E1880" i="20"/>
  <c r="I1879" i="20"/>
  <c r="E1879" i="20"/>
  <c r="I1878" i="20"/>
  <c r="E1878" i="20"/>
  <c r="I1877" i="20"/>
  <c r="E1877" i="20"/>
  <c r="I1876" i="20"/>
  <c r="E1876" i="20"/>
  <c r="I1875" i="20"/>
  <c r="E1875" i="20"/>
  <c r="I1874" i="20"/>
  <c r="E1874" i="20"/>
  <c r="I1873" i="20"/>
  <c r="E1873" i="20"/>
  <c r="I1872" i="20"/>
  <c r="E1872" i="20"/>
  <c r="I1871" i="20"/>
  <c r="E1871" i="20"/>
  <c r="I1870" i="20"/>
  <c r="E1870" i="20"/>
  <c r="I1869" i="20"/>
  <c r="E1869" i="20"/>
  <c r="I1868" i="20"/>
  <c r="E1868" i="20"/>
  <c r="I1867" i="20"/>
  <c r="E1867" i="20"/>
  <c r="I1866" i="20"/>
  <c r="E1866" i="20"/>
  <c r="I1865" i="20"/>
  <c r="E1865" i="20"/>
  <c r="I1864" i="20"/>
  <c r="E1864" i="20"/>
  <c r="I1863" i="20"/>
  <c r="E1863" i="20"/>
  <c r="I1862" i="20"/>
  <c r="E1862" i="20"/>
  <c r="I1861" i="20"/>
  <c r="E1861" i="20"/>
  <c r="I1860" i="20"/>
  <c r="E1860" i="20"/>
  <c r="I1859" i="20"/>
  <c r="E1859" i="20"/>
  <c r="I1858" i="20"/>
  <c r="E1858" i="20"/>
  <c r="I1857" i="20"/>
  <c r="E1857" i="20"/>
  <c r="I1856" i="20"/>
  <c r="E1856" i="20"/>
  <c r="I1855" i="20"/>
  <c r="E1855" i="20"/>
  <c r="I1854" i="20"/>
  <c r="E1854" i="20"/>
  <c r="I1853" i="20"/>
  <c r="E1853" i="20"/>
  <c r="I1852" i="20"/>
  <c r="E1852" i="20"/>
  <c r="I1851" i="20"/>
  <c r="E1851" i="20"/>
  <c r="I1850" i="20"/>
  <c r="E1850" i="20"/>
  <c r="I1849" i="20"/>
  <c r="E1849" i="20"/>
  <c r="I1848" i="20"/>
  <c r="E1848" i="20"/>
  <c r="I1847" i="20"/>
  <c r="E1847" i="20"/>
  <c r="I1846" i="20"/>
  <c r="E1846" i="20"/>
  <c r="I1845" i="20"/>
  <c r="E1845" i="20"/>
  <c r="I1844" i="20"/>
  <c r="E1844" i="20"/>
  <c r="I1843" i="20"/>
  <c r="E1843" i="20"/>
  <c r="I1842" i="20"/>
  <c r="E1842" i="20"/>
  <c r="I1841" i="20"/>
  <c r="E1841" i="20"/>
  <c r="I1840" i="20"/>
  <c r="E1840" i="20"/>
  <c r="I1839" i="20"/>
  <c r="E1839" i="20"/>
  <c r="I1838" i="20"/>
  <c r="E1838" i="20"/>
  <c r="I1837" i="20"/>
  <c r="E1837" i="20"/>
  <c r="I1836" i="20"/>
  <c r="E1836" i="20"/>
  <c r="I1835" i="20"/>
  <c r="E1835" i="20"/>
  <c r="I1834" i="20"/>
  <c r="E1834" i="20"/>
  <c r="I1833" i="20"/>
  <c r="E1833" i="20"/>
  <c r="I1832" i="20"/>
  <c r="E1832" i="20"/>
  <c r="I1831" i="20"/>
  <c r="E1831" i="20"/>
  <c r="I1830" i="20"/>
  <c r="E1830" i="20"/>
  <c r="I1829" i="20"/>
  <c r="E1829" i="20"/>
  <c r="I1828" i="20"/>
  <c r="E1828" i="20"/>
  <c r="I1827" i="20"/>
  <c r="E1827" i="20"/>
  <c r="I1826" i="20"/>
  <c r="E1826" i="20"/>
  <c r="I1825" i="20"/>
  <c r="E1825" i="20"/>
  <c r="I1824" i="20"/>
  <c r="E1824" i="20"/>
  <c r="I1823" i="20"/>
  <c r="E1823" i="20"/>
  <c r="I1822" i="20"/>
  <c r="E1822" i="20"/>
  <c r="I1821" i="20"/>
  <c r="E1821" i="20"/>
  <c r="I1820" i="20"/>
  <c r="E1820" i="20"/>
  <c r="I1819" i="20"/>
  <c r="E1819" i="20"/>
  <c r="I1818" i="20"/>
  <c r="E1818" i="20"/>
  <c r="I1817" i="20"/>
  <c r="E1817" i="20"/>
  <c r="I1816" i="20"/>
  <c r="E1816" i="20"/>
  <c r="I1815" i="20"/>
  <c r="E1815" i="20"/>
  <c r="I1814" i="20"/>
  <c r="E1814" i="20"/>
  <c r="I1813" i="20"/>
  <c r="E1813" i="20"/>
  <c r="I1812" i="20"/>
  <c r="E1812" i="20"/>
  <c r="I1811" i="20"/>
  <c r="E1811" i="20"/>
  <c r="I1810" i="20"/>
  <c r="E1810" i="20"/>
  <c r="I1809" i="20"/>
  <c r="E1809" i="20"/>
  <c r="I1808" i="20"/>
  <c r="E1808" i="20"/>
  <c r="I1807" i="20"/>
  <c r="E1807" i="20"/>
  <c r="I1806" i="20"/>
  <c r="E1806" i="20"/>
  <c r="I1805" i="20"/>
  <c r="E1805" i="20"/>
  <c r="I1804" i="20"/>
  <c r="E1804" i="20"/>
  <c r="I1803" i="20"/>
  <c r="E1803" i="20"/>
  <c r="I1802" i="20"/>
  <c r="E1802" i="20"/>
  <c r="I1801" i="20"/>
  <c r="E1801" i="20"/>
  <c r="I1800" i="20"/>
  <c r="E1800" i="20"/>
  <c r="I1799" i="20"/>
  <c r="E1799" i="20"/>
  <c r="I1798" i="20"/>
  <c r="E1798" i="20"/>
  <c r="I1797" i="20"/>
  <c r="E1797" i="20"/>
  <c r="I1796" i="20"/>
  <c r="E1796" i="20"/>
  <c r="I1795" i="20"/>
  <c r="E1795" i="20"/>
  <c r="I1794" i="20"/>
  <c r="E1794" i="20"/>
  <c r="I1793" i="20"/>
  <c r="E1793" i="20"/>
  <c r="I1792" i="20"/>
  <c r="E1792" i="20"/>
  <c r="I1791" i="20"/>
  <c r="E1791" i="20"/>
  <c r="I1790" i="20"/>
  <c r="E1790" i="20"/>
  <c r="I1789" i="20"/>
  <c r="E1789" i="20"/>
  <c r="I1788" i="20"/>
  <c r="E1788" i="20"/>
  <c r="I1787" i="20"/>
  <c r="E1787" i="20"/>
  <c r="I1786" i="20"/>
  <c r="E1786" i="20"/>
  <c r="I1785" i="20"/>
  <c r="E1785" i="20"/>
  <c r="I1784" i="20"/>
  <c r="E1784" i="20"/>
  <c r="I1783" i="20"/>
  <c r="E1783" i="20"/>
  <c r="I1782" i="20"/>
  <c r="E1782" i="20"/>
  <c r="I1781" i="20"/>
  <c r="E1781" i="20"/>
  <c r="I1780" i="20"/>
  <c r="E1780" i="20"/>
  <c r="I1779" i="20"/>
  <c r="E1779" i="20"/>
  <c r="I1778" i="20"/>
  <c r="E1778" i="20"/>
  <c r="I1777" i="20"/>
  <c r="E1777" i="20"/>
  <c r="I1776" i="20"/>
  <c r="E1776" i="20"/>
  <c r="I1775" i="20"/>
  <c r="E1775" i="20"/>
  <c r="I1774" i="20"/>
  <c r="E1774" i="20"/>
  <c r="I1773" i="20"/>
  <c r="E1773" i="20"/>
  <c r="I1772" i="20"/>
  <c r="E1772" i="20"/>
  <c r="I1771" i="20"/>
  <c r="E1771" i="20"/>
  <c r="I1770" i="20"/>
  <c r="E1770" i="20"/>
  <c r="I1769" i="20"/>
  <c r="E1769" i="20"/>
  <c r="I1768" i="20"/>
  <c r="E1768" i="20"/>
  <c r="I1767" i="20"/>
  <c r="E1767" i="20"/>
  <c r="I1766" i="20"/>
  <c r="E1766" i="20"/>
  <c r="I1765" i="20"/>
  <c r="E1765" i="20"/>
  <c r="I1764" i="20"/>
  <c r="E1764" i="20"/>
  <c r="I1763" i="20"/>
  <c r="E1763" i="20"/>
  <c r="I1762" i="20"/>
  <c r="E1762" i="20"/>
  <c r="I1761" i="20"/>
  <c r="E1761" i="20"/>
  <c r="I1760" i="20"/>
  <c r="E1760" i="20"/>
  <c r="I1759" i="20"/>
  <c r="E1759" i="20"/>
  <c r="I1758" i="20"/>
  <c r="E1758" i="20"/>
  <c r="I1757" i="20"/>
  <c r="E1757" i="20"/>
  <c r="I1756" i="20"/>
  <c r="E1756" i="20"/>
  <c r="I1755" i="20"/>
  <c r="E1755" i="20"/>
  <c r="I1754" i="20"/>
  <c r="E1754" i="20"/>
  <c r="I1753" i="20"/>
  <c r="E1753" i="20"/>
  <c r="I1752" i="20"/>
  <c r="E1752" i="20"/>
  <c r="I1751" i="20"/>
  <c r="E1751" i="20"/>
  <c r="I1750" i="20"/>
  <c r="E1750" i="20"/>
  <c r="I1749" i="20"/>
  <c r="E1749" i="20"/>
  <c r="I1748" i="20"/>
  <c r="E1748" i="20"/>
  <c r="I1747" i="20"/>
  <c r="E1747" i="20"/>
  <c r="I1746" i="20"/>
  <c r="E1746" i="20"/>
  <c r="I1745" i="20"/>
  <c r="E1745" i="20"/>
  <c r="I1744" i="20"/>
  <c r="E1744" i="20"/>
  <c r="I1743" i="20"/>
  <c r="E1743" i="20"/>
  <c r="I1742" i="20"/>
  <c r="E1742" i="20"/>
  <c r="I1741" i="20"/>
  <c r="E1741" i="20"/>
  <c r="I1740" i="20"/>
  <c r="E1740" i="20"/>
  <c r="I1739" i="20"/>
  <c r="E1739" i="20"/>
  <c r="I1738" i="20"/>
  <c r="E1738" i="20"/>
  <c r="I1737" i="20"/>
  <c r="E1737" i="20"/>
  <c r="I1736" i="20"/>
  <c r="E1736" i="20"/>
  <c r="I1735" i="20"/>
  <c r="E1735" i="20"/>
  <c r="I1734" i="20"/>
  <c r="E1734" i="20"/>
  <c r="I1733" i="20"/>
  <c r="E1733" i="20"/>
  <c r="I1732" i="20"/>
  <c r="E1732" i="20"/>
  <c r="I1731" i="20"/>
  <c r="E1731" i="20"/>
  <c r="I1730" i="20"/>
  <c r="E1730" i="20"/>
  <c r="I1729" i="20"/>
  <c r="E1729" i="20"/>
  <c r="I1728" i="20"/>
  <c r="E1728" i="20"/>
  <c r="I1727" i="20"/>
  <c r="E1727" i="20"/>
  <c r="I1726" i="20"/>
  <c r="E1726" i="20"/>
  <c r="I1725" i="20"/>
  <c r="E1725" i="20"/>
  <c r="I1724" i="20"/>
  <c r="E1724" i="20"/>
  <c r="I1723" i="20"/>
  <c r="E1723" i="20"/>
  <c r="I1722" i="20"/>
  <c r="E1722" i="20"/>
  <c r="I1721" i="20"/>
  <c r="E1721" i="20"/>
  <c r="I1720" i="20"/>
  <c r="E1720" i="20"/>
  <c r="I1719" i="20"/>
  <c r="E1719" i="20"/>
  <c r="I1718" i="20"/>
  <c r="E1718" i="20"/>
  <c r="I1717" i="20"/>
  <c r="E1717" i="20"/>
  <c r="I1716" i="20"/>
  <c r="E1716" i="20"/>
  <c r="I1715" i="20"/>
  <c r="E1715" i="20"/>
  <c r="I1714" i="20"/>
  <c r="E1714" i="20"/>
  <c r="I1713" i="20"/>
  <c r="E1713" i="20"/>
  <c r="I1712" i="20"/>
  <c r="E1712" i="20"/>
  <c r="I1711" i="20"/>
  <c r="E1711" i="20"/>
  <c r="I1710" i="20"/>
  <c r="E1710" i="20"/>
  <c r="I1709" i="20"/>
  <c r="E1709" i="20"/>
  <c r="I1708" i="20"/>
  <c r="E1708" i="20"/>
  <c r="I1707" i="20"/>
  <c r="E1707" i="20"/>
  <c r="I1706" i="20"/>
  <c r="E1706" i="20"/>
  <c r="I1705" i="20"/>
  <c r="E1705" i="20"/>
  <c r="I1704" i="20"/>
  <c r="E1704" i="20"/>
  <c r="I1703" i="20"/>
  <c r="E1703" i="20"/>
  <c r="I1702" i="20"/>
  <c r="E1702" i="20"/>
  <c r="I1701" i="20"/>
  <c r="E1701" i="20"/>
  <c r="I1700" i="20"/>
  <c r="E1700" i="20"/>
  <c r="I1699" i="20"/>
  <c r="E1699" i="20"/>
  <c r="I1698" i="20"/>
  <c r="E1698" i="20"/>
  <c r="I1697" i="20"/>
  <c r="E1697" i="20"/>
  <c r="I1696" i="20"/>
  <c r="E1696" i="20"/>
  <c r="I1695" i="20"/>
  <c r="E1695" i="20"/>
  <c r="I1694" i="20"/>
  <c r="E1694" i="20"/>
  <c r="I1693" i="20"/>
  <c r="E1693" i="20"/>
  <c r="I1692" i="20"/>
  <c r="E1692" i="20"/>
  <c r="I1691" i="20"/>
  <c r="E1691" i="20"/>
  <c r="I1690" i="20"/>
  <c r="E1690" i="20"/>
  <c r="I1689" i="20"/>
  <c r="E1689" i="20"/>
  <c r="I1688" i="20"/>
  <c r="E1688" i="20"/>
  <c r="I1687" i="20"/>
  <c r="E1687" i="20"/>
  <c r="I1686" i="20"/>
  <c r="E1686" i="20"/>
  <c r="I1685" i="20"/>
  <c r="E1685" i="20"/>
  <c r="I1684" i="20"/>
  <c r="E1684" i="20"/>
  <c r="I1683" i="20"/>
  <c r="E1683" i="20"/>
  <c r="I1682" i="20"/>
  <c r="E1682" i="20"/>
  <c r="I1681" i="20"/>
  <c r="E1681" i="20"/>
  <c r="I1680" i="20"/>
  <c r="E1680" i="20"/>
  <c r="I1679" i="20"/>
  <c r="E1679" i="20"/>
  <c r="I1678" i="20"/>
  <c r="E1678" i="20"/>
  <c r="I1677" i="20"/>
  <c r="E1677" i="20"/>
  <c r="I1676" i="20"/>
  <c r="E1676" i="20"/>
  <c r="I1675" i="20"/>
  <c r="E1675" i="20"/>
  <c r="I1674" i="20"/>
  <c r="E1674" i="20"/>
  <c r="I1673" i="20"/>
  <c r="E1673" i="20"/>
  <c r="I1672" i="20"/>
  <c r="E1672" i="20"/>
  <c r="I1671" i="20"/>
  <c r="E1671" i="20"/>
  <c r="I1670" i="20"/>
  <c r="E1670" i="20"/>
  <c r="I1669" i="20"/>
  <c r="E1669" i="20"/>
  <c r="I1668" i="20"/>
  <c r="E1668" i="20"/>
  <c r="I1667" i="20"/>
  <c r="E1667" i="20"/>
  <c r="I1666" i="20"/>
  <c r="E1666" i="20"/>
  <c r="I1665" i="20"/>
  <c r="E1665" i="20"/>
  <c r="I1664" i="20"/>
  <c r="E1664" i="20"/>
  <c r="I1663" i="20"/>
  <c r="E1663" i="20"/>
  <c r="I1662" i="20"/>
  <c r="E1662" i="20"/>
  <c r="I1661" i="20"/>
  <c r="E1661" i="20"/>
  <c r="I1660" i="20"/>
  <c r="E1660" i="20"/>
  <c r="I1659" i="20"/>
  <c r="E1659" i="20"/>
  <c r="I1658" i="20"/>
  <c r="E1658" i="20"/>
  <c r="I1657" i="20"/>
  <c r="E1657" i="20"/>
  <c r="I1656" i="20"/>
  <c r="E1656" i="20"/>
  <c r="I1655" i="20"/>
  <c r="E1655" i="20"/>
  <c r="I1654" i="20"/>
  <c r="E1654" i="20"/>
  <c r="I1653" i="20"/>
  <c r="E1653" i="20"/>
  <c r="I1652" i="20"/>
  <c r="E1652" i="20"/>
  <c r="I1651" i="20"/>
  <c r="E1651" i="20"/>
  <c r="I1650" i="20"/>
  <c r="E1650" i="20"/>
  <c r="I1649" i="20"/>
  <c r="E1649" i="20"/>
  <c r="I1648" i="20"/>
  <c r="E1648" i="20"/>
  <c r="I1647" i="20"/>
  <c r="E1647" i="20"/>
  <c r="I1646" i="20"/>
  <c r="E1646" i="20"/>
  <c r="I1645" i="20"/>
  <c r="E1645" i="20"/>
  <c r="I1644" i="20"/>
  <c r="E1644" i="20"/>
  <c r="I1643" i="20"/>
  <c r="E1643" i="20"/>
  <c r="I1642" i="20"/>
  <c r="E1642" i="20"/>
  <c r="I1641" i="20"/>
  <c r="E1641" i="20"/>
  <c r="I1640" i="20"/>
  <c r="E1640" i="20"/>
  <c r="I1639" i="20"/>
  <c r="E1639" i="20"/>
  <c r="I1638" i="20"/>
  <c r="E1638" i="20"/>
  <c r="I1637" i="20"/>
  <c r="E1637" i="20"/>
  <c r="I1636" i="20"/>
  <c r="E1636" i="20"/>
  <c r="I1635" i="20"/>
  <c r="E1635" i="20"/>
  <c r="I1634" i="20"/>
  <c r="E1634" i="20"/>
  <c r="I1633" i="20"/>
  <c r="E1633" i="20"/>
  <c r="I1632" i="20"/>
  <c r="E1632" i="20"/>
  <c r="I1631" i="20"/>
  <c r="E1631" i="20"/>
  <c r="I1630" i="20"/>
  <c r="E1630" i="20"/>
  <c r="I1629" i="20"/>
  <c r="E1629" i="20"/>
  <c r="I1628" i="20"/>
  <c r="E1628" i="20"/>
  <c r="I1627" i="20"/>
  <c r="E1627" i="20"/>
  <c r="I1626" i="20"/>
  <c r="E1626" i="20"/>
  <c r="I1625" i="20"/>
  <c r="E1625" i="20"/>
  <c r="I1624" i="20"/>
  <c r="E1624" i="20"/>
  <c r="I1623" i="20"/>
  <c r="E1623" i="20"/>
  <c r="I1622" i="20"/>
  <c r="E1622" i="20"/>
  <c r="I1621" i="20"/>
  <c r="E1621" i="20"/>
  <c r="I1620" i="20"/>
  <c r="E1620" i="20"/>
  <c r="I1619" i="20"/>
  <c r="E1619" i="20"/>
  <c r="I1618" i="20"/>
  <c r="E1618" i="20"/>
  <c r="I1617" i="20"/>
  <c r="E1617" i="20"/>
  <c r="I1616" i="20"/>
  <c r="E1616" i="20"/>
  <c r="I1615" i="20"/>
  <c r="E1615" i="20"/>
  <c r="I1614" i="20"/>
  <c r="E1614" i="20"/>
  <c r="I1613" i="20"/>
  <c r="E1613" i="20"/>
  <c r="I1612" i="20"/>
  <c r="E1612" i="20"/>
  <c r="I1611" i="20"/>
  <c r="E1611" i="20"/>
  <c r="I1610" i="20"/>
  <c r="E1610" i="20"/>
  <c r="I1609" i="20"/>
  <c r="E1609" i="20"/>
  <c r="I1608" i="20"/>
  <c r="E1608" i="20"/>
  <c r="I1607" i="20"/>
  <c r="E1607" i="20"/>
  <c r="I1606" i="20"/>
  <c r="E1606" i="20"/>
  <c r="I1605" i="20"/>
  <c r="E1605" i="20"/>
  <c r="I1604" i="20"/>
  <c r="E1604" i="20"/>
  <c r="I1603" i="20"/>
  <c r="E1603" i="20"/>
  <c r="I1602" i="20"/>
  <c r="E1602" i="20"/>
  <c r="I1601" i="20"/>
  <c r="E1601" i="20"/>
  <c r="I1600" i="20"/>
  <c r="E1600" i="20"/>
  <c r="I1599" i="20"/>
  <c r="E1599" i="20"/>
  <c r="I1598" i="20"/>
  <c r="E1598" i="20"/>
  <c r="I1597" i="20"/>
  <c r="E1597" i="20"/>
  <c r="I1596" i="20"/>
  <c r="E1596" i="20"/>
  <c r="I1595" i="20"/>
  <c r="E1595" i="20"/>
  <c r="I1594" i="20"/>
  <c r="E1594" i="20"/>
  <c r="I1593" i="20"/>
  <c r="E1593" i="20"/>
  <c r="I1592" i="20"/>
  <c r="E1592" i="20"/>
  <c r="I1591" i="20"/>
  <c r="E1591" i="20"/>
  <c r="I1590" i="20"/>
  <c r="E1590" i="20"/>
  <c r="I1589" i="20"/>
  <c r="E1589" i="20"/>
  <c r="I1588" i="20"/>
  <c r="E1588" i="20"/>
  <c r="I1587" i="20"/>
  <c r="E1587" i="20"/>
  <c r="I1586" i="20"/>
  <c r="E1586" i="20"/>
  <c r="I1585" i="20"/>
  <c r="E1585" i="20"/>
  <c r="I1584" i="20"/>
  <c r="E1584" i="20"/>
  <c r="I1583" i="20"/>
  <c r="E1583" i="20"/>
  <c r="I1582" i="20"/>
  <c r="E1582" i="20"/>
  <c r="I1581" i="20"/>
  <c r="E1581" i="20"/>
  <c r="I1580" i="20"/>
  <c r="E1580" i="20"/>
  <c r="I1579" i="20"/>
  <c r="E1579" i="20"/>
  <c r="I1578" i="20"/>
  <c r="E1578" i="20"/>
  <c r="I1577" i="20"/>
  <c r="E1577" i="20"/>
  <c r="I1576" i="20"/>
  <c r="E1576" i="20"/>
  <c r="I1575" i="20"/>
  <c r="E1575" i="20"/>
  <c r="I1574" i="20"/>
  <c r="E1574" i="20"/>
  <c r="I1573" i="20"/>
  <c r="E1573" i="20"/>
  <c r="I1572" i="20"/>
  <c r="E1572" i="20"/>
  <c r="I1571" i="20"/>
  <c r="E1571" i="20"/>
  <c r="I1570" i="20"/>
  <c r="E1570" i="20"/>
  <c r="I1569" i="20"/>
  <c r="E1569" i="20"/>
  <c r="I1568" i="20"/>
  <c r="E1568" i="20"/>
  <c r="I1567" i="20"/>
  <c r="E1567" i="20"/>
  <c r="I1566" i="20"/>
  <c r="E1566" i="20"/>
  <c r="I1565" i="20"/>
  <c r="E1565" i="20"/>
  <c r="I1564" i="20"/>
  <c r="E1564" i="20"/>
  <c r="I1563" i="20"/>
  <c r="E1563" i="20"/>
  <c r="I1562" i="20"/>
  <c r="E1562" i="20"/>
  <c r="I1561" i="20"/>
  <c r="E1561" i="20"/>
  <c r="I1560" i="20"/>
  <c r="E1560" i="20"/>
  <c r="I1559" i="20"/>
  <c r="E1559" i="20"/>
  <c r="I1558" i="20"/>
  <c r="E1558" i="20"/>
  <c r="I1557" i="20"/>
  <c r="E1557" i="20"/>
  <c r="I1556" i="20"/>
  <c r="E1556" i="20"/>
  <c r="I1555" i="20"/>
  <c r="E1555" i="20"/>
  <c r="I1554" i="20"/>
  <c r="E1554" i="20"/>
  <c r="I1553" i="20"/>
  <c r="E1553" i="20"/>
  <c r="I1552" i="20"/>
  <c r="E1552" i="20"/>
  <c r="I1551" i="20"/>
  <c r="E1551" i="20"/>
  <c r="I1550" i="20"/>
  <c r="E1550" i="20"/>
  <c r="I1549" i="20"/>
  <c r="E1549" i="20"/>
  <c r="I1548" i="20"/>
  <c r="E1548" i="20"/>
  <c r="I1547" i="20"/>
  <c r="E1547" i="20"/>
  <c r="I1546" i="20"/>
  <c r="E1546" i="20"/>
  <c r="I1545" i="20"/>
  <c r="E1545" i="20"/>
  <c r="I1544" i="20"/>
  <c r="E1544" i="20"/>
  <c r="I1543" i="20"/>
  <c r="E1543" i="20"/>
  <c r="I1542" i="20"/>
  <c r="E1542" i="20"/>
  <c r="I1541" i="20"/>
  <c r="E1541" i="20"/>
  <c r="I1540" i="20"/>
  <c r="E1540" i="20"/>
  <c r="I1539" i="20"/>
  <c r="E1539" i="20"/>
  <c r="I1538" i="20"/>
  <c r="E1538" i="20"/>
  <c r="I1537" i="20"/>
  <c r="E1537" i="20"/>
  <c r="I1536" i="20"/>
  <c r="E1536" i="20"/>
  <c r="I1535" i="20"/>
  <c r="E1535" i="20"/>
  <c r="I1534" i="20"/>
  <c r="E1534" i="20"/>
  <c r="I1533" i="20"/>
  <c r="E1533" i="20"/>
  <c r="I1532" i="20"/>
  <c r="E1532" i="20"/>
  <c r="I1531" i="20"/>
  <c r="E1531" i="20"/>
  <c r="I1530" i="20"/>
  <c r="E1530" i="20"/>
  <c r="I1529" i="20"/>
  <c r="E1529" i="20"/>
  <c r="I1528" i="20"/>
  <c r="E1528" i="20"/>
  <c r="I1527" i="20"/>
  <c r="E1527" i="20"/>
  <c r="I1526" i="20"/>
  <c r="E1526" i="20"/>
  <c r="I1525" i="20"/>
  <c r="E1525" i="20"/>
  <c r="I1524" i="20"/>
  <c r="E1524" i="20"/>
  <c r="I1523" i="20"/>
  <c r="E1523" i="20"/>
  <c r="I1522" i="20"/>
  <c r="E1522" i="20"/>
  <c r="I1521" i="20"/>
  <c r="E1521" i="20"/>
  <c r="I1520" i="20"/>
  <c r="E1520" i="20"/>
  <c r="I1519" i="20"/>
  <c r="E1519" i="20"/>
  <c r="I1518" i="20"/>
  <c r="E1518" i="20"/>
  <c r="I1517" i="20"/>
  <c r="E1517" i="20"/>
  <c r="I1516" i="20"/>
  <c r="E1516" i="20"/>
  <c r="I1515" i="20"/>
  <c r="E1515" i="20"/>
  <c r="I1514" i="20"/>
  <c r="E1514" i="20"/>
  <c r="I1513" i="20"/>
  <c r="E1513" i="20"/>
  <c r="I1512" i="20"/>
  <c r="E1512" i="20"/>
  <c r="I1511" i="20"/>
  <c r="E1511" i="20"/>
  <c r="I1510" i="20"/>
  <c r="E1510" i="20"/>
  <c r="I1509" i="20"/>
  <c r="E1509" i="20"/>
  <c r="I1508" i="20"/>
  <c r="E1508" i="20"/>
  <c r="I1507" i="20"/>
  <c r="E1507" i="20"/>
  <c r="I1506" i="20"/>
  <c r="E1506" i="20"/>
  <c r="I1505" i="20"/>
  <c r="E1505" i="20"/>
  <c r="I1504" i="20"/>
  <c r="E1504" i="20"/>
  <c r="I1503" i="20"/>
  <c r="E1503" i="20"/>
  <c r="I1502" i="20"/>
  <c r="E1502" i="20"/>
  <c r="I1501" i="20"/>
  <c r="E1501" i="20"/>
  <c r="I1500" i="20"/>
  <c r="E1500" i="20"/>
  <c r="I1499" i="20"/>
  <c r="E1499" i="20"/>
  <c r="I1498" i="20"/>
  <c r="E1498" i="20"/>
  <c r="I1497" i="20"/>
  <c r="E1497" i="20"/>
  <c r="I1496" i="20"/>
  <c r="E1496" i="20"/>
  <c r="I1495" i="20"/>
  <c r="E1495" i="20"/>
  <c r="I1494" i="20"/>
  <c r="E1494" i="20"/>
  <c r="I1493" i="20"/>
  <c r="E1493" i="20"/>
  <c r="I1492" i="20"/>
  <c r="E1492" i="20"/>
  <c r="I1491" i="20"/>
  <c r="E1491" i="20"/>
  <c r="I1490" i="20"/>
  <c r="E1490" i="20"/>
  <c r="I1489" i="20"/>
  <c r="E1489" i="20"/>
  <c r="I1488" i="20"/>
  <c r="E1488" i="20"/>
  <c r="I1487" i="20"/>
  <c r="E1487" i="20"/>
  <c r="I1486" i="20"/>
  <c r="E1486" i="20"/>
  <c r="I1485" i="20"/>
  <c r="E1485" i="20"/>
  <c r="I1484" i="20"/>
  <c r="E1484" i="20"/>
  <c r="I1483" i="20"/>
  <c r="E1483" i="20"/>
  <c r="I1482" i="20"/>
  <c r="E1482" i="20"/>
  <c r="I1481" i="20"/>
  <c r="E1481" i="20"/>
  <c r="I1480" i="20"/>
  <c r="E1480" i="20"/>
  <c r="I1479" i="20"/>
  <c r="E1479" i="20"/>
  <c r="I1478" i="20"/>
  <c r="E1478" i="20"/>
  <c r="I1477" i="20"/>
  <c r="E1477" i="20"/>
  <c r="I1476" i="20"/>
  <c r="E1476" i="20"/>
  <c r="I1475" i="20"/>
  <c r="E1475" i="20"/>
  <c r="I1474" i="20"/>
  <c r="E1474" i="20"/>
  <c r="I1473" i="20"/>
  <c r="E1473" i="20"/>
  <c r="I1472" i="20"/>
  <c r="E1472" i="20"/>
  <c r="I1471" i="20"/>
  <c r="E1471" i="20"/>
  <c r="I1470" i="20"/>
  <c r="E1470" i="20"/>
  <c r="I1469" i="20"/>
  <c r="E1469" i="20"/>
  <c r="I1468" i="20"/>
  <c r="E1468" i="20"/>
  <c r="I1467" i="20"/>
  <c r="E1467" i="20"/>
  <c r="I1466" i="20"/>
  <c r="E1466" i="20"/>
  <c r="I1465" i="20"/>
  <c r="E1465" i="20"/>
  <c r="I1464" i="20"/>
  <c r="E1464" i="20"/>
  <c r="I1463" i="20"/>
  <c r="E1463" i="20"/>
  <c r="I1462" i="20"/>
  <c r="E1462" i="20"/>
  <c r="I1461" i="20"/>
  <c r="E1461" i="20"/>
  <c r="I1460" i="20"/>
  <c r="E1460" i="20"/>
  <c r="I1459" i="20"/>
  <c r="E1459" i="20"/>
  <c r="I1458" i="20"/>
  <c r="E1458" i="20"/>
  <c r="I1457" i="20"/>
  <c r="E1457" i="20"/>
  <c r="I1456" i="20"/>
  <c r="E1456" i="20"/>
  <c r="I1455" i="20"/>
  <c r="E1455" i="20"/>
  <c r="I1454" i="20"/>
  <c r="E1454" i="20"/>
  <c r="I1453" i="20"/>
  <c r="E1453" i="20"/>
  <c r="I1452" i="20"/>
  <c r="E1452" i="20"/>
  <c r="I1451" i="20"/>
  <c r="E1451" i="20"/>
  <c r="I1450" i="20"/>
  <c r="E1450" i="20"/>
  <c r="I1449" i="20"/>
  <c r="E1449" i="20"/>
  <c r="I1448" i="20"/>
  <c r="E1448" i="20"/>
  <c r="I1447" i="20"/>
  <c r="E1447" i="20"/>
  <c r="I1446" i="20"/>
  <c r="E1446" i="20"/>
  <c r="I1445" i="20"/>
  <c r="E1445" i="20"/>
  <c r="I1444" i="20"/>
  <c r="E1444" i="20"/>
  <c r="I1443" i="20"/>
  <c r="E1443" i="20"/>
  <c r="I1442" i="20"/>
  <c r="E1442" i="20"/>
  <c r="I1441" i="20"/>
  <c r="E1441" i="20"/>
  <c r="I1440" i="20"/>
  <c r="E1440" i="20"/>
  <c r="I1439" i="20"/>
  <c r="E1439" i="20"/>
  <c r="I1438" i="20"/>
  <c r="E1438" i="20"/>
  <c r="I1437" i="20"/>
  <c r="E1437" i="20"/>
  <c r="I1436" i="20"/>
  <c r="E1436" i="20"/>
  <c r="I1435" i="20"/>
  <c r="E1435" i="20"/>
  <c r="I1434" i="20"/>
  <c r="E1434" i="20"/>
  <c r="I1433" i="20"/>
  <c r="E1433" i="20"/>
  <c r="I1432" i="20"/>
  <c r="E1432" i="20"/>
  <c r="I1431" i="20"/>
  <c r="E1431" i="20"/>
  <c r="I1430" i="20"/>
  <c r="E1430" i="20"/>
  <c r="I1429" i="20"/>
  <c r="E1429" i="20"/>
  <c r="I1428" i="20"/>
  <c r="E1428" i="20"/>
  <c r="I1427" i="20"/>
  <c r="E1427" i="20"/>
  <c r="I1426" i="20"/>
  <c r="E1426" i="20"/>
  <c r="I1425" i="20"/>
  <c r="E1425" i="20"/>
  <c r="I1424" i="20"/>
  <c r="E1424" i="20"/>
  <c r="I1423" i="20"/>
  <c r="E1423" i="20"/>
  <c r="I1422" i="20"/>
  <c r="E1422" i="20"/>
  <c r="I1421" i="20"/>
  <c r="E1421" i="20"/>
  <c r="I1420" i="20"/>
  <c r="E1420" i="20"/>
  <c r="I1419" i="20"/>
  <c r="E1419" i="20"/>
  <c r="I1418" i="20"/>
  <c r="E1418" i="20"/>
  <c r="I1417" i="20"/>
  <c r="E1417" i="20"/>
  <c r="I1416" i="20"/>
  <c r="E1416" i="20"/>
  <c r="I1415" i="20"/>
  <c r="E1415" i="20"/>
  <c r="I1414" i="20"/>
  <c r="E1414" i="20"/>
  <c r="I1413" i="20"/>
  <c r="E1413" i="20"/>
  <c r="I1412" i="20"/>
  <c r="E1412" i="20"/>
  <c r="I1411" i="20"/>
  <c r="E1411" i="20"/>
  <c r="I1410" i="20"/>
  <c r="E1410" i="20"/>
  <c r="I1409" i="20"/>
  <c r="E1409" i="20"/>
  <c r="I1408" i="20"/>
  <c r="E1408" i="20"/>
  <c r="I1407" i="20"/>
  <c r="E1407" i="20"/>
  <c r="I1406" i="20"/>
  <c r="E1406" i="20"/>
  <c r="I1405" i="20"/>
  <c r="E1405" i="20"/>
  <c r="I1404" i="20"/>
  <c r="E1404" i="20"/>
  <c r="I1403" i="20"/>
  <c r="E1403" i="20"/>
  <c r="I1402" i="20"/>
  <c r="E1402" i="20"/>
  <c r="I1401" i="20"/>
  <c r="E1401" i="20"/>
  <c r="I1400" i="20"/>
  <c r="E1400" i="20"/>
  <c r="I1399" i="20"/>
  <c r="E1399" i="20"/>
  <c r="I1398" i="20"/>
  <c r="E1398" i="20"/>
  <c r="I1397" i="20"/>
  <c r="E1397" i="20"/>
  <c r="I1396" i="20"/>
  <c r="E1396" i="20"/>
  <c r="I1395" i="20"/>
  <c r="E1395" i="20"/>
  <c r="I1394" i="20"/>
  <c r="E1394" i="20"/>
  <c r="I1393" i="20"/>
  <c r="E1393" i="20"/>
  <c r="I1392" i="20"/>
  <c r="E1392" i="20"/>
  <c r="I1391" i="20"/>
  <c r="E1391" i="20"/>
  <c r="I1390" i="20"/>
  <c r="E1390" i="20"/>
  <c r="I1389" i="20"/>
  <c r="E1389" i="20"/>
  <c r="I1388" i="20"/>
  <c r="E1388" i="20"/>
  <c r="I1387" i="20"/>
  <c r="E1387" i="20"/>
  <c r="I1386" i="20"/>
  <c r="E1386" i="20"/>
  <c r="I1385" i="20"/>
  <c r="E1385" i="20"/>
  <c r="I1384" i="20"/>
  <c r="E1384" i="20"/>
  <c r="I1383" i="20"/>
  <c r="E1383" i="20"/>
  <c r="I1382" i="20"/>
  <c r="E1382" i="20"/>
  <c r="I1381" i="20"/>
  <c r="E1381" i="20"/>
  <c r="I1380" i="20"/>
  <c r="E1380" i="20"/>
  <c r="I1379" i="20"/>
  <c r="E1379" i="20"/>
  <c r="I1378" i="20"/>
  <c r="E1378" i="20"/>
  <c r="I1377" i="20"/>
  <c r="E1377" i="20"/>
  <c r="I1376" i="20"/>
  <c r="E1376" i="20"/>
  <c r="I1375" i="20"/>
  <c r="E1375" i="20"/>
  <c r="I1374" i="20"/>
  <c r="E1374" i="20"/>
  <c r="I1373" i="20"/>
  <c r="E1373" i="20"/>
  <c r="I1372" i="20"/>
  <c r="E1372" i="20"/>
  <c r="I1371" i="20"/>
  <c r="E1371" i="20"/>
  <c r="I1370" i="20"/>
  <c r="E1370" i="20"/>
  <c r="I1369" i="20"/>
  <c r="E1369" i="20"/>
  <c r="I1368" i="20"/>
  <c r="E1368" i="20"/>
  <c r="I1367" i="20"/>
  <c r="E1367" i="20"/>
  <c r="I1366" i="20"/>
  <c r="E1366" i="20"/>
  <c r="I1365" i="20"/>
  <c r="E1365" i="20"/>
  <c r="I1364" i="20"/>
  <c r="E1364" i="20"/>
  <c r="I1363" i="20"/>
  <c r="E1363" i="20"/>
  <c r="I1362" i="20"/>
  <c r="E1362" i="20"/>
  <c r="I1361" i="20"/>
  <c r="E1361" i="20"/>
  <c r="I1360" i="20"/>
  <c r="E1360" i="20"/>
  <c r="I1359" i="20"/>
  <c r="E1359" i="20"/>
  <c r="I1358" i="20"/>
  <c r="E1358" i="20"/>
  <c r="I1357" i="20"/>
  <c r="E1357" i="20"/>
  <c r="I1356" i="20"/>
  <c r="E1356" i="20"/>
  <c r="I1355" i="20"/>
  <c r="E1355" i="20"/>
  <c r="I1354" i="20"/>
  <c r="E1354" i="20"/>
  <c r="I1353" i="20"/>
  <c r="E1353" i="20"/>
  <c r="I1352" i="20"/>
  <c r="E1352" i="20"/>
  <c r="I1351" i="20"/>
  <c r="E1351" i="20"/>
  <c r="I1350" i="20"/>
  <c r="E1350" i="20"/>
  <c r="I1349" i="20"/>
  <c r="E1349" i="20"/>
  <c r="I1348" i="20"/>
  <c r="E1348" i="20"/>
  <c r="I1347" i="20"/>
  <c r="E1347" i="20"/>
  <c r="I1346" i="20"/>
  <c r="E1346" i="20"/>
  <c r="I1345" i="20"/>
  <c r="E1345" i="20"/>
  <c r="I1344" i="20"/>
  <c r="E1344" i="20"/>
  <c r="I1343" i="20"/>
  <c r="E1343" i="20"/>
  <c r="I1342" i="20"/>
  <c r="E1342" i="20"/>
  <c r="I1341" i="20"/>
  <c r="E1341" i="20"/>
  <c r="I1340" i="20"/>
  <c r="E1340" i="20"/>
  <c r="I1339" i="20"/>
  <c r="E1339" i="20"/>
  <c r="I1338" i="20"/>
  <c r="E1338" i="20"/>
  <c r="I1337" i="20"/>
  <c r="E1337" i="20"/>
  <c r="I1336" i="20"/>
  <c r="E1336" i="20"/>
  <c r="I1335" i="20"/>
  <c r="E1335" i="20"/>
  <c r="I1334" i="20"/>
  <c r="E1334" i="20"/>
  <c r="I1333" i="20"/>
  <c r="E1333" i="20"/>
  <c r="I1332" i="20"/>
  <c r="E1332" i="20"/>
  <c r="I1331" i="20"/>
  <c r="E1331" i="20"/>
  <c r="I1330" i="20"/>
  <c r="E1330" i="20"/>
  <c r="I1329" i="20"/>
  <c r="E1329" i="20"/>
  <c r="I1328" i="20"/>
  <c r="E1328" i="20"/>
  <c r="I1327" i="20"/>
  <c r="E1327" i="20"/>
  <c r="I1326" i="20"/>
  <c r="E1326" i="20"/>
  <c r="I1325" i="20"/>
  <c r="E1325" i="20"/>
  <c r="I1324" i="20"/>
  <c r="E1324" i="20"/>
  <c r="I1323" i="20"/>
  <c r="E1323" i="20"/>
  <c r="I1322" i="20"/>
  <c r="E1322" i="20"/>
  <c r="I1321" i="20"/>
  <c r="E1321" i="20"/>
  <c r="I1320" i="20"/>
  <c r="E1320" i="20"/>
  <c r="I1319" i="20"/>
  <c r="E1319" i="20"/>
  <c r="I1318" i="20"/>
  <c r="E1318" i="20"/>
  <c r="I1317" i="20"/>
  <c r="E1317" i="20"/>
  <c r="I1316" i="20"/>
  <c r="E1316" i="20"/>
  <c r="I1315" i="20"/>
  <c r="E1315" i="20"/>
  <c r="I1314" i="20"/>
  <c r="E1314" i="20"/>
  <c r="I1313" i="20"/>
  <c r="E1313" i="20"/>
  <c r="I1312" i="20"/>
  <c r="E1312" i="20"/>
  <c r="I1311" i="20"/>
  <c r="E1311" i="20"/>
  <c r="I1310" i="20"/>
  <c r="E1310" i="20"/>
  <c r="I1309" i="20"/>
  <c r="E1309" i="20"/>
  <c r="I1308" i="20"/>
  <c r="E1308" i="20"/>
  <c r="I1307" i="20"/>
  <c r="E1307" i="20"/>
  <c r="I1306" i="20"/>
  <c r="E1306" i="20"/>
  <c r="I1305" i="20"/>
  <c r="E1305" i="20"/>
  <c r="I1304" i="20"/>
  <c r="E1304" i="20"/>
  <c r="I1303" i="20"/>
  <c r="E1303" i="20"/>
  <c r="I1302" i="20"/>
  <c r="E1302" i="20"/>
  <c r="I1301" i="20"/>
  <c r="E1301" i="20"/>
  <c r="I1300" i="20"/>
  <c r="E1300" i="20"/>
  <c r="I1299" i="20"/>
  <c r="E1299" i="20"/>
  <c r="I1298" i="20"/>
  <c r="E1298" i="20"/>
  <c r="I1297" i="20"/>
  <c r="E1297" i="20"/>
  <c r="I1296" i="20"/>
  <c r="E1296" i="20"/>
  <c r="I1295" i="20"/>
  <c r="E1295" i="20"/>
  <c r="I1294" i="20"/>
  <c r="E1294" i="20"/>
  <c r="I1293" i="20"/>
  <c r="E1293" i="20"/>
  <c r="I1292" i="20"/>
  <c r="E1292" i="20"/>
  <c r="I1291" i="20"/>
  <c r="E1291" i="20"/>
  <c r="I1290" i="20"/>
  <c r="E1290" i="20"/>
  <c r="I1289" i="20"/>
  <c r="E1289" i="20"/>
  <c r="I1288" i="20"/>
  <c r="E1288" i="20"/>
  <c r="I1287" i="20"/>
  <c r="E1287" i="20"/>
  <c r="I1286" i="20"/>
  <c r="E1286" i="20"/>
  <c r="I1285" i="20"/>
  <c r="E1285" i="20"/>
  <c r="I1284" i="20"/>
  <c r="E1284" i="20"/>
  <c r="I1283" i="20"/>
  <c r="E1283" i="20"/>
  <c r="I1282" i="20"/>
  <c r="E1282" i="20"/>
  <c r="I1281" i="20"/>
  <c r="E1281" i="20"/>
  <c r="I1280" i="20"/>
  <c r="E1280" i="20"/>
  <c r="I1279" i="20"/>
  <c r="E1279" i="20"/>
  <c r="I1278" i="20"/>
  <c r="E1278" i="20"/>
  <c r="I1277" i="20"/>
  <c r="E1277" i="20"/>
  <c r="I1276" i="20"/>
  <c r="E1276" i="20"/>
  <c r="I1275" i="20"/>
  <c r="E1275" i="20"/>
  <c r="I1274" i="20"/>
  <c r="E1274" i="20"/>
  <c r="I1273" i="20"/>
  <c r="E1273" i="20"/>
  <c r="I1272" i="20"/>
  <c r="E1272" i="20"/>
  <c r="I1271" i="20"/>
  <c r="E1271" i="20"/>
  <c r="I1270" i="20"/>
  <c r="E1270" i="20"/>
  <c r="I1269" i="20"/>
  <c r="E1269" i="20"/>
  <c r="I1268" i="20"/>
  <c r="E1268" i="20"/>
  <c r="I1267" i="20"/>
  <c r="E1267" i="20"/>
  <c r="I1266" i="20"/>
  <c r="E1266" i="20"/>
  <c r="I1265" i="20"/>
  <c r="E1265" i="20"/>
  <c r="I1264" i="20"/>
  <c r="E1264" i="20"/>
  <c r="I1263" i="20"/>
  <c r="E1263" i="20"/>
  <c r="I1262" i="20"/>
  <c r="E1262" i="20"/>
  <c r="I1261" i="20"/>
  <c r="E1261" i="20"/>
  <c r="I1260" i="20"/>
  <c r="E1260" i="20"/>
  <c r="I1259" i="20"/>
  <c r="E1259" i="20"/>
  <c r="I1258" i="20"/>
  <c r="E1258" i="20"/>
  <c r="I1257" i="20"/>
  <c r="E1257" i="20"/>
  <c r="I1256" i="20"/>
  <c r="E1256" i="20"/>
  <c r="I1255" i="20"/>
  <c r="E1255" i="20"/>
  <c r="I1254" i="20"/>
  <c r="E1254" i="20"/>
  <c r="I1253" i="20"/>
  <c r="E1253" i="20"/>
  <c r="I1252" i="20"/>
  <c r="E1252" i="20"/>
  <c r="I1251" i="20"/>
  <c r="E1251" i="20"/>
  <c r="I1250" i="20"/>
  <c r="E1250" i="20"/>
  <c r="I1249" i="20"/>
  <c r="E1249" i="20"/>
  <c r="I1248" i="20"/>
  <c r="E1248" i="20"/>
  <c r="I1247" i="20"/>
  <c r="E1247" i="20"/>
  <c r="I1246" i="20"/>
  <c r="E1246" i="20"/>
  <c r="I1245" i="20"/>
  <c r="E1245" i="20"/>
  <c r="I1244" i="20"/>
  <c r="E1244" i="20"/>
  <c r="I1243" i="20"/>
  <c r="E1243" i="20"/>
  <c r="I1242" i="20"/>
  <c r="E1242" i="20"/>
  <c r="I1241" i="20"/>
  <c r="E1241" i="20"/>
  <c r="I1240" i="20"/>
  <c r="E1240" i="20"/>
  <c r="I1239" i="20"/>
  <c r="E1239" i="20"/>
  <c r="I1238" i="20"/>
  <c r="E1238" i="20"/>
  <c r="I1237" i="20"/>
  <c r="E1237" i="20"/>
  <c r="I1236" i="20"/>
  <c r="E1236" i="20"/>
  <c r="I1235" i="20"/>
  <c r="E1235" i="20"/>
  <c r="I1234" i="20"/>
  <c r="E1234" i="20"/>
  <c r="I1233" i="20"/>
  <c r="E1233" i="20"/>
  <c r="I1232" i="20"/>
  <c r="E1232" i="20"/>
  <c r="I1231" i="20"/>
  <c r="E1231" i="20"/>
  <c r="I1230" i="20"/>
  <c r="E1230" i="20"/>
  <c r="I1229" i="20"/>
  <c r="E1229" i="20"/>
  <c r="I1228" i="20"/>
  <c r="E1228" i="20"/>
  <c r="I1227" i="20"/>
  <c r="E1227" i="20"/>
  <c r="I1226" i="20"/>
  <c r="E1226" i="20"/>
  <c r="I1225" i="20"/>
  <c r="E1225" i="20"/>
  <c r="I1224" i="20"/>
  <c r="E1224" i="20"/>
  <c r="I1223" i="20"/>
  <c r="E1223" i="20"/>
  <c r="I1222" i="20"/>
  <c r="E1222" i="20"/>
  <c r="I1221" i="20"/>
  <c r="E1221" i="20"/>
  <c r="I1220" i="20"/>
  <c r="E1220" i="20"/>
  <c r="I1219" i="20"/>
  <c r="E1219" i="20"/>
  <c r="I1218" i="20"/>
  <c r="E1218" i="20"/>
  <c r="I1217" i="20"/>
  <c r="E1217" i="20"/>
  <c r="I1216" i="20"/>
  <c r="E1216" i="20"/>
  <c r="I1215" i="20"/>
  <c r="E1215" i="20"/>
  <c r="I1214" i="20"/>
  <c r="E1214" i="20"/>
  <c r="I1213" i="20"/>
  <c r="E1213" i="20"/>
  <c r="I1212" i="20"/>
  <c r="E1212" i="20"/>
  <c r="I1211" i="20"/>
  <c r="E1211" i="20"/>
  <c r="I1210" i="20"/>
  <c r="E1210" i="20"/>
  <c r="I1209" i="20"/>
  <c r="E1209" i="20"/>
  <c r="I1208" i="20"/>
  <c r="E1208" i="20"/>
  <c r="I1207" i="20"/>
  <c r="E1207" i="20"/>
  <c r="I1206" i="20"/>
  <c r="E1206" i="20"/>
  <c r="I1205" i="20"/>
  <c r="E1205" i="20"/>
  <c r="I1204" i="20"/>
  <c r="E1204" i="20"/>
  <c r="I1203" i="20"/>
  <c r="E1203" i="20"/>
  <c r="I1202" i="20"/>
  <c r="E1202" i="20"/>
  <c r="I1201" i="20"/>
  <c r="E1201" i="20"/>
  <c r="I1200" i="20"/>
  <c r="E1200" i="20"/>
  <c r="I1199" i="20"/>
  <c r="E1199" i="20"/>
  <c r="I1198" i="20"/>
  <c r="E1198" i="20"/>
  <c r="I1197" i="20"/>
  <c r="E1197" i="20"/>
  <c r="I1196" i="20"/>
  <c r="E1196" i="20"/>
  <c r="I1195" i="20"/>
  <c r="E1195" i="20"/>
  <c r="I1194" i="20"/>
  <c r="E1194" i="20"/>
  <c r="I1193" i="20"/>
  <c r="E1193" i="20"/>
  <c r="I1192" i="20"/>
  <c r="E1192" i="20"/>
  <c r="I1191" i="20"/>
  <c r="E1191" i="20"/>
  <c r="I1190" i="20"/>
  <c r="E1190" i="20"/>
  <c r="I1189" i="20"/>
  <c r="E1189" i="20"/>
  <c r="I1188" i="20"/>
  <c r="E1188" i="20"/>
  <c r="I1187" i="20"/>
  <c r="E1187" i="20"/>
  <c r="I1186" i="20"/>
  <c r="E1186" i="20"/>
  <c r="I1185" i="20"/>
  <c r="E1185" i="20"/>
  <c r="I1184" i="20"/>
  <c r="E1184" i="20"/>
  <c r="I1183" i="20"/>
  <c r="E1183" i="20"/>
  <c r="I1182" i="20"/>
  <c r="E1182" i="20"/>
  <c r="I1181" i="20"/>
  <c r="E1181" i="20"/>
  <c r="I1180" i="20"/>
  <c r="E1180" i="20"/>
  <c r="I1179" i="20"/>
  <c r="E1179" i="20"/>
  <c r="I1178" i="20"/>
  <c r="E1178" i="20"/>
  <c r="I1177" i="20"/>
  <c r="E1177" i="20"/>
  <c r="I1176" i="20"/>
  <c r="E1176" i="20"/>
  <c r="I1175" i="20"/>
  <c r="E1175" i="20"/>
  <c r="I1174" i="20"/>
  <c r="E1174" i="20"/>
  <c r="I1173" i="20"/>
  <c r="E1173" i="20"/>
  <c r="I1172" i="20"/>
  <c r="E1172" i="20"/>
  <c r="I1171" i="20"/>
  <c r="E1171" i="20"/>
  <c r="I1170" i="20"/>
  <c r="E1170" i="20"/>
  <c r="I1169" i="20"/>
  <c r="E1169" i="20"/>
  <c r="I1168" i="20"/>
  <c r="E1168" i="20"/>
  <c r="I1167" i="20"/>
  <c r="E1167" i="20"/>
  <c r="I1166" i="20"/>
  <c r="E1166" i="20"/>
  <c r="I1165" i="20"/>
  <c r="E1165" i="20"/>
  <c r="I1164" i="20"/>
  <c r="E1164" i="20"/>
  <c r="I1163" i="20"/>
  <c r="E1163" i="20"/>
  <c r="I1162" i="20"/>
  <c r="E1162" i="20"/>
  <c r="I1161" i="20"/>
  <c r="E1161" i="20"/>
  <c r="I1160" i="20"/>
  <c r="E1160" i="20"/>
  <c r="I1159" i="20"/>
  <c r="E1159" i="20"/>
  <c r="I1158" i="20"/>
  <c r="E1158" i="20"/>
  <c r="I1157" i="20"/>
  <c r="E1157" i="20"/>
  <c r="I1156" i="20"/>
  <c r="E1156" i="20"/>
  <c r="I1155" i="20"/>
  <c r="E1155" i="20"/>
  <c r="I1154" i="20"/>
  <c r="E1154" i="20"/>
  <c r="I1153" i="20"/>
  <c r="E1153" i="20"/>
  <c r="I1152" i="20"/>
  <c r="E1152" i="20"/>
  <c r="I1151" i="20"/>
  <c r="E1151" i="20"/>
  <c r="I1150" i="20"/>
  <c r="E1150" i="20"/>
  <c r="I1149" i="20"/>
  <c r="E1149" i="20"/>
  <c r="I1148" i="20"/>
  <c r="E1148" i="20"/>
  <c r="I1147" i="20"/>
  <c r="E1147" i="20"/>
  <c r="I1146" i="20"/>
  <c r="E1146" i="20"/>
  <c r="I1145" i="20"/>
  <c r="E1145" i="20"/>
  <c r="I1144" i="20"/>
  <c r="E1144" i="20"/>
  <c r="I1143" i="20"/>
  <c r="E1143" i="20"/>
  <c r="I1142" i="20"/>
  <c r="E1142" i="20"/>
  <c r="I1141" i="20"/>
  <c r="E1141" i="20"/>
  <c r="I1140" i="20"/>
  <c r="E1140" i="20"/>
  <c r="I1139" i="20"/>
  <c r="E1139" i="20"/>
  <c r="I1138" i="20"/>
  <c r="E1138" i="20"/>
  <c r="I1137" i="20"/>
  <c r="E1137" i="20"/>
  <c r="I1136" i="20"/>
  <c r="E1136" i="20"/>
  <c r="I1135" i="20"/>
  <c r="E1135" i="20"/>
  <c r="I1134" i="20"/>
  <c r="E1134" i="20"/>
  <c r="I1133" i="20"/>
  <c r="E1133" i="20"/>
  <c r="I1132" i="20"/>
  <c r="E1132" i="20"/>
  <c r="I1131" i="20"/>
  <c r="E1131" i="20"/>
  <c r="I1130" i="20"/>
  <c r="E1130" i="20"/>
  <c r="I1129" i="20"/>
  <c r="E1129" i="20"/>
  <c r="I1128" i="20"/>
  <c r="E1128" i="20"/>
  <c r="I1127" i="20"/>
  <c r="E1127" i="20"/>
  <c r="I1126" i="20"/>
  <c r="E1126" i="20"/>
  <c r="I1125" i="20"/>
  <c r="E1125" i="20"/>
  <c r="I1124" i="20"/>
  <c r="E1124" i="20"/>
  <c r="I1123" i="20"/>
  <c r="E1123" i="20"/>
  <c r="I1122" i="20"/>
  <c r="E1122" i="20"/>
  <c r="I1121" i="20"/>
  <c r="E1121" i="20"/>
  <c r="I1120" i="20"/>
  <c r="E1120" i="20"/>
  <c r="I1119" i="20"/>
  <c r="E1119" i="20"/>
  <c r="I1118" i="20"/>
  <c r="E1118" i="20"/>
  <c r="I1117" i="20"/>
  <c r="E1117" i="20"/>
  <c r="I1116" i="20"/>
  <c r="E1116" i="20"/>
  <c r="I1115" i="20"/>
  <c r="E1115" i="20"/>
  <c r="I1114" i="20"/>
  <c r="E1114" i="20"/>
  <c r="I1113" i="20"/>
  <c r="E1113" i="20"/>
  <c r="I1112" i="20"/>
  <c r="E1112" i="20"/>
  <c r="I1111" i="20"/>
  <c r="E1111" i="20"/>
  <c r="I1110" i="20"/>
  <c r="E1110" i="20"/>
  <c r="I1109" i="20"/>
  <c r="E1109" i="20"/>
  <c r="I1108" i="20"/>
  <c r="E1108" i="20"/>
  <c r="I1107" i="20"/>
  <c r="E1107" i="20"/>
  <c r="I1106" i="20"/>
  <c r="E1106" i="20"/>
  <c r="I1105" i="20"/>
  <c r="E1105" i="20"/>
  <c r="I1104" i="20"/>
  <c r="E1104" i="20"/>
  <c r="I1103" i="20"/>
  <c r="E1103" i="20"/>
  <c r="I1102" i="20"/>
  <c r="E1102" i="20"/>
  <c r="I1101" i="20"/>
  <c r="E1101" i="20"/>
  <c r="I1100" i="20"/>
  <c r="E1100" i="20"/>
  <c r="I1099" i="20"/>
  <c r="E1099" i="20"/>
  <c r="I1098" i="20"/>
  <c r="E1098" i="20"/>
  <c r="I1097" i="20"/>
  <c r="E1097" i="20"/>
  <c r="I1096" i="20"/>
  <c r="E1096" i="20"/>
  <c r="I1095" i="20"/>
  <c r="E1095" i="20"/>
  <c r="I1094" i="20"/>
  <c r="E1094" i="20"/>
  <c r="I1093" i="20"/>
  <c r="E1093" i="20"/>
  <c r="I1092" i="20"/>
  <c r="E1092" i="20"/>
  <c r="I1091" i="20"/>
  <c r="E1091" i="20"/>
  <c r="I1090" i="20"/>
  <c r="E1090" i="20"/>
  <c r="I1089" i="20"/>
  <c r="E1089" i="20"/>
  <c r="I1088" i="20"/>
  <c r="E1088" i="20"/>
  <c r="I1087" i="20"/>
  <c r="E1087" i="20"/>
  <c r="I1086" i="20"/>
  <c r="E1086" i="20"/>
  <c r="I1085" i="20"/>
  <c r="E1085" i="20"/>
  <c r="I1084" i="20"/>
  <c r="E1084" i="20"/>
  <c r="I1083" i="20"/>
  <c r="E1083" i="20"/>
  <c r="I1082" i="20"/>
  <c r="E1082" i="20"/>
  <c r="I1081" i="20"/>
  <c r="E1081" i="20"/>
  <c r="I1080" i="20"/>
  <c r="E1080" i="20"/>
  <c r="I1079" i="20"/>
  <c r="E1079" i="20"/>
  <c r="I1078" i="20"/>
  <c r="E1078" i="20"/>
  <c r="I1077" i="20"/>
  <c r="E1077" i="20"/>
  <c r="I1076" i="20"/>
  <c r="E1076" i="20"/>
  <c r="I1075" i="20"/>
  <c r="E1075" i="20"/>
  <c r="I1074" i="20"/>
  <c r="E1074" i="20"/>
  <c r="I1073" i="20"/>
  <c r="E1073" i="20"/>
  <c r="I1072" i="20"/>
  <c r="E1072" i="20"/>
  <c r="I1071" i="20"/>
  <c r="E1071" i="20"/>
  <c r="I1070" i="20"/>
  <c r="E1070" i="20"/>
  <c r="I1069" i="20"/>
  <c r="E1069" i="20"/>
  <c r="I1068" i="20"/>
  <c r="E1068" i="20"/>
  <c r="I1067" i="20"/>
  <c r="E1067" i="20"/>
  <c r="I1066" i="20"/>
  <c r="E1066" i="20"/>
  <c r="I1065" i="20"/>
  <c r="E1065" i="20"/>
  <c r="I1064" i="20"/>
  <c r="E1064" i="20"/>
  <c r="I1063" i="20"/>
  <c r="E1063" i="20"/>
  <c r="I1062" i="20"/>
  <c r="E1062" i="20"/>
  <c r="I1061" i="20"/>
  <c r="E1061" i="20"/>
  <c r="I1060" i="20"/>
  <c r="E1060" i="20"/>
  <c r="I1059" i="20"/>
  <c r="E1059" i="20"/>
  <c r="I1058" i="20"/>
  <c r="E1058" i="20"/>
  <c r="I1057" i="20"/>
  <c r="E1057" i="20"/>
  <c r="I1056" i="20"/>
  <c r="E1056" i="20"/>
  <c r="I1055" i="20"/>
  <c r="E1055" i="20"/>
  <c r="I1054" i="20"/>
  <c r="E1054" i="20"/>
  <c r="I1053" i="20"/>
  <c r="E1053" i="20"/>
  <c r="I1052" i="20"/>
  <c r="E1052" i="20"/>
  <c r="I1051" i="20"/>
  <c r="E1051" i="20"/>
  <c r="I1050" i="20"/>
  <c r="E1050" i="20"/>
  <c r="I1049" i="20"/>
  <c r="E1049" i="20"/>
  <c r="I1048" i="20"/>
  <c r="E1048" i="20"/>
  <c r="I1047" i="20"/>
  <c r="E1047" i="20"/>
  <c r="I1046" i="20"/>
  <c r="E1046" i="20"/>
  <c r="I1045" i="20"/>
  <c r="E1045" i="20"/>
  <c r="I1044" i="20"/>
  <c r="E1044" i="20"/>
  <c r="I1043" i="20"/>
  <c r="E1043" i="20"/>
  <c r="I1042" i="20"/>
  <c r="E1042" i="20"/>
  <c r="I1041" i="20"/>
  <c r="E1041" i="20"/>
  <c r="I1040" i="20"/>
  <c r="E1040" i="20"/>
  <c r="I1039" i="20"/>
  <c r="E1039" i="20"/>
  <c r="I1038" i="20"/>
  <c r="E1038" i="20"/>
  <c r="I1037" i="20"/>
  <c r="E1037" i="20"/>
  <c r="I1036" i="20"/>
  <c r="E1036" i="20"/>
  <c r="I1035" i="20"/>
  <c r="E1035" i="20"/>
  <c r="I1034" i="20"/>
  <c r="E1034" i="20"/>
  <c r="I1033" i="20"/>
  <c r="E1033" i="20"/>
  <c r="I1032" i="20"/>
  <c r="E1032" i="20"/>
  <c r="I1031" i="20"/>
  <c r="E1031" i="20"/>
  <c r="I1030" i="20"/>
  <c r="E1030" i="20"/>
  <c r="I1029" i="20"/>
  <c r="E1029" i="20"/>
  <c r="I1028" i="20"/>
  <c r="E1028" i="20"/>
  <c r="I1027" i="20"/>
  <c r="E1027" i="20"/>
  <c r="I1026" i="20"/>
  <c r="E1026" i="20"/>
  <c r="I1025" i="20"/>
  <c r="E1025" i="20"/>
  <c r="I1024" i="20"/>
  <c r="E1024" i="20"/>
  <c r="I1023" i="20"/>
  <c r="E1023" i="20"/>
  <c r="I1022" i="20"/>
  <c r="E1022" i="20"/>
  <c r="I1021" i="20"/>
  <c r="E1021" i="20"/>
  <c r="I1020" i="20"/>
  <c r="E1020" i="20"/>
  <c r="I1019" i="20"/>
  <c r="E1019" i="20"/>
  <c r="I1018" i="20"/>
  <c r="E1018" i="20"/>
  <c r="I1017" i="20"/>
  <c r="E1017" i="20"/>
  <c r="I1016" i="20"/>
  <c r="E1016" i="20"/>
  <c r="I1015" i="20"/>
  <c r="E1015" i="20"/>
  <c r="I1014" i="20"/>
  <c r="E1014" i="20"/>
  <c r="I1013" i="20"/>
  <c r="E1013" i="20"/>
  <c r="I1012" i="20"/>
  <c r="E1012" i="20"/>
  <c r="I1011" i="20"/>
  <c r="E1011" i="20"/>
  <c r="I1010" i="20"/>
  <c r="E1010" i="20"/>
  <c r="I1009" i="20"/>
  <c r="E1009" i="20"/>
  <c r="I1008" i="20"/>
  <c r="E1008" i="20"/>
  <c r="I1007" i="20"/>
  <c r="E1007" i="20"/>
  <c r="I1006" i="20"/>
  <c r="E1006" i="20"/>
  <c r="I1005" i="20"/>
  <c r="E1005" i="20"/>
  <c r="I1004" i="20"/>
  <c r="E1004" i="20"/>
  <c r="I1003" i="20"/>
  <c r="E1003" i="20"/>
  <c r="I1002" i="20"/>
  <c r="E1002" i="20"/>
  <c r="I1001" i="20"/>
  <c r="E1001" i="20"/>
  <c r="I1000" i="20"/>
  <c r="E1000" i="20"/>
  <c r="I999" i="20"/>
  <c r="E999" i="20"/>
  <c r="I998" i="20"/>
  <c r="E998" i="20"/>
  <c r="I997" i="20"/>
  <c r="E997" i="20"/>
  <c r="I996" i="20"/>
  <c r="E996" i="20"/>
  <c r="I995" i="20"/>
  <c r="E995" i="20"/>
  <c r="I994" i="20"/>
  <c r="E994" i="20"/>
  <c r="I993" i="20"/>
  <c r="E993" i="20"/>
  <c r="I992" i="20"/>
  <c r="E992" i="20"/>
  <c r="I991" i="20"/>
  <c r="E991" i="20"/>
  <c r="I990" i="20"/>
  <c r="E990" i="20"/>
  <c r="I989" i="20"/>
  <c r="E989" i="20"/>
  <c r="I988" i="20"/>
  <c r="E988" i="20"/>
  <c r="I987" i="20"/>
  <c r="E987" i="20"/>
  <c r="I986" i="20"/>
  <c r="E986" i="20"/>
  <c r="I985" i="20"/>
  <c r="E985" i="20"/>
  <c r="I984" i="20"/>
  <c r="E984" i="20"/>
  <c r="I983" i="20"/>
  <c r="E983" i="20"/>
  <c r="I982" i="20"/>
  <c r="E982" i="20"/>
  <c r="I981" i="20"/>
  <c r="E981" i="20"/>
  <c r="I980" i="20"/>
  <c r="E980" i="20"/>
  <c r="I979" i="20"/>
  <c r="E979" i="20"/>
  <c r="I978" i="20"/>
  <c r="E978" i="20"/>
  <c r="I977" i="20"/>
  <c r="E977" i="20"/>
  <c r="I976" i="20"/>
  <c r="E976" i="20"/>
  <c r="I975" i="20"/>
  <c r="E975" i="20"/>
  <c r="I974" i="20"/>
  <c r="E974" i="20"/>
  <c r="I973" i="20"/>
  <c r="E973" i="20"/>
  <c r="I972" i="20"/>
  <c r="E972" i="20"/>
  <c r="I971" i="20"/>
  <c r="E971" i="20"/>
  <c r="I970" i="20"/>
  <c r="E970" i="20"/>
  <c r="I969" i="20"/>
  <c r="E969" i="20"/>
  <c r="I968" i="20"/>
  <c r="E968" i="20"/>
  <c r="I967" i="20"/>
  <c r="E967" i="20"/>
  <c r="I966" i="20"/>
  <c r="E966" i="20"/>
  <c r="I965" i="20"/>
  <c r="E965" i="20"/>
  <c r="I964" i="20"/>
  <c r="E964" i="20"/>
  <c r="I963" i="20"/>
  <c r="E963" i="20"/>
  <c r="I962" i="20"/>
  <c r="E962" i="20"/>
  <c r="I961" i="20"/>
  <c r="E961" i="20"/>
  <c r="I960" i="20"/>
  <c r="E960" i="20"/>
  <c r="I959" i="20"/>
  <c r="E959" i="20"/>
  <c r="I958" i="20"/>
  <c r="E958" i="20"/>
  <c r="I957" i="20"/>
  <c r="E957" i="20"/>
  <c r="I956" i="20"/>
  <c r="E956" i="20"/>
  <c r="I955" i="20"/>
  <c r="E955" i="20"/>
  <c r="I954" i="20"/>
  <c r="E954" i="20"/>
  <c r="I953" i="20"/>
  <c r="E953" i="20"/>
  <c r="I952" i="20"/>
  <c r="E952" i="20"/>
  <c r="I951" i="20"/>
  <c r="E951" i="20"/>
  <c r="I950" i="20"/>
  <c r="E950" i="20"/>
  <c r="I949" i="20"/>
  <c r="E949" i="20"/>
  <c r="I948" i="20"/>
  <c r="E948" i="20"/>
  <c r="I947" i="20"/>
  <c r="E947" i="20"/>
  <c r="I946" i="20"/>
  <c r="E946" i="20"/>
  <c r="I945" i="20"/>
  <c r="E945" i="20"/>
  <c r="I944" i="20"/>
  <c r="E944" i="20"/>
  <c r="I943" i="20"/>
  <c r="E943" i="20"/>
  <c r="I942" i="20"/>
  <c r="E942" i="20"/>
  <c r="I941" i="20"/>
  <c r="E941" i="20"/>
  <c r="I940" i="20"/>
  <c r="E940" i="20"/>
  <c r="I939" i="20"/>
  <c r="E939" i="20"/>
  <c r="I938" i="20"/>
  <c r="E938" i="20"/>
  <c r="I937" i="20"/>
  <c r="E937" i="20"/>
  <c r="I936" i="20"/>
  <c r="E936" i="20"/>
  <c r="I935" i="20"/>
  <c r="E935" i="20"/>
  <c r="I934" i="20"/>
  <c r="E934" i="20"/>
  <c r="I933" i="20"/>
  <c r="E933" i="20"/>
  <c r="I932" i="20"/>
  <c r="E932" i="20"/>
  <c r="I931" i="20"/>
  <c r="E931" i="20"/>
  <c r="I930" i="20"/>
  <c r="E930" i="20"/>
  <c r="I929" i="20"/>
  <c r="E929" i="20"/>
  <c r="I928" i="20"/>
  <c r="E928" i="20"/>
  <c r="I927" i="20"/>
  <c r="E927" i="20"/>
  <c r="I926" i="20"/>
  <c r="E926" i="20"/>
  <c r="I925" i="20"/>
  <c r="E925" i="20"/>
  <c r="I924" i="20"/>
  <c r="E924" i="20"/>
  <c r="I923" i="20"/>
  <c r="E923" i="20"/>
  <c r="I922" i="20"/>
  <c r="E922" i="20"/>
  <c r="I921" i="20"/>
  <c r="E921" i="20"/>
  <c r="I920" i="20"/>
  <c r="E920" i="20"/>
  <c r="I919" i="20"/>
  <c r="E919" i="20"/>
  <c r="I918" i="20"/>
  <c r="E918" i="20"/>
  <c r="I917" i="20"/>
  <c r="E917" i="20"/>
  <c r="I916" i="20"/>
  <c r="E916" i="20"/>
  <c r="I915" i="20"/>
  <c r="E915" i="20"/>
  <c r="I914" i="20"/>
  <c r="E914" i="20"/>
  <c r="I913" i="20"/>
  <c r="E913" i="20"/>
  <c r="I912" i="20"/>
  <c r="E912" i="20"/>
  <c r="I911" i="20"/>
  <c r="E911" i="20"/>
  <c r="I910" i="20"/>
  <c r="E910" i="20"/>
  <c r="I909" i="20"/>
  <c r="E909" i="20"/>
  <c r="I908" i="20"/>
  <c r="E908" i="20"/>
  <c r="I907" i="20"/>
  <c r="E907" i="20"/>
  <c r="I906" i="20"/>
  <c r="E906" i="20"/>
  <c r="I905" i="20"/>
  <c r="E905" i="20"/>
  <c r="I904" i="20"/>
  <c r="E904" i="20"/>
  <c r="I903" i="20"/>
  <c r="E903" i="20"/>
  <c r="I902" i="20"/>
  <c r="E902" i="20"/>
  <c r="I901" i="20"/>
  <c r="E901" i="20"/>
  <c r="I900" i="20"/>
  <c r="E900" i="20"/>
  <c r="I899" i="20"/>
  <c r="E899" i="20"/>
  <c r="I898" i="20"/>
  <c r="E898" i="20"/>
  <c r="I897" i="20"/>
  <c r="E897" i="20"/>
  <c r="I896" i="20"/>
  <c r="E896" i="20"/>
  <c r="I895" i="20"/>
  <c r="E895" i="20"/>
  <c r="I894" i="20"/>
  <c r="E894" i="20"/>
  <c r="I893" i="20"/>
  <c r="E893" i="20"/>
  <c r="I892" i="20"/>
  <c r="E892" i="20"/>
  <c r="I891" i="20"/>
  <c r="E891" i="20"/>
  <c r="I890" i="20"/>
  <c r="E890" i="20"/>
  <c r="I889" i="20"/>
  <c r="E889" i="20"/>
  <c r="I888" i="20"/>
  <c r="E888" i="20"/>
  <c r="I887" i="20"/>
  <c r="E887" i="20"/>
  <c r="I886" i="20"/>
  <c r="E886" i="20"/>
  <c r="I885" i="20"/>
  <c r="E885" i="20"/>
  <c r="I884" i="20"/>
  <c r="E884" i="20"/>
  <c r="I883" i="20"/>
  <c r="E883" i="20"/>
  <c r="I882" i="20"/>
  <c r="E882" i="20"/>
  <c r="I881" i="20"/>
  <c r="E881" i="20"/>
  <c r="I880" i="20"/>
  <c r="E880" i="20"/>
  <c r="I879" i="20"/>
  <c r="E879" i="20"/>
  <c r="I878" i="20"/>
  <c r="E878" i="20"/>
  <c r="I877" i="20"/>
  <c r="E877" i="20"/>
  <c r="I876" i="20"/>
  <c r="E876" i="20"/>
  <c r="I875" i="20"/>
  <c r="E875" i="20"/>
  <c r="I874" i="20"/>
  <c r="E874" i="20"/>
  <c r="I873" i="20"/>
  <c r="E873" i="20"/>
  <c r="I872" i="20"/>
  <c r="E872" i="20"/>
  <c r="I871" i="20"/>
  <c r="E871" i="20"/>
  <c r="I870" i="20"/>
  <c r="E870" i="20"/>
  <c r="I869" i="20"/>
  <c r="E869" i="20"/>
  <c r="I868" i="20"/>
  <c r="E868" i="20"/>
  <c r="I867" i="20"/>
  <c r="E867" i="20"/>
  <c r="I866" i="20"/>
  <c r="E866" i="20"/>
  <c r="I865" i="20"/>
  <c r="E865" i="20"/>
  <c r="I864" i="20"/>
  <c r="E864" i="20"/>
  <c r="I863" i="20"/>
  <c r="E863" i="20"/>
  <c r="I862" i="20"/>
  <c r="E862" i="20"/>
  <c r="I861" i="20"/>
  <c r="E861" i="20"/>
  <c r="I860" i="20"/>
  <c r="E860" i="20"/>
  <c r="I859" i="20"/>
  <c r="E859" i="20"/>
  <c r="I858" i="20"/>
  <c r="E858" i="20"/>
  <c r="I857" i="20"/>
  <c r="E857" i="20"/>
  <c r="I856" i="20"/>
  <c r="E856" i="20"/>
  <c r="I855" i="20"/>
  <c r="E855" i="20"/>
  <c r="I854" i="20"/>
  <c r="E854" i="20"/>
  <c r="I853" i="20"/>
  <c r="E853" i="20"/>
  <c r="I852" i="20"/>
  <c r="E852" i="20"/>
  <c r="I851" i="20"/>
  <c r="E851" i="20"/>
  <c r="I850" i="20"/>
  <c r="E850" i="20"/>
  <c r="I849" i="20"/>
  <c r="E849" i="20"/>
  <c r="I848" i="20"/>
  <c r="E848" i="20"/>
  <c r="I847" i="20"/>
  <c r="E847" i="20"/>
  <c r="I846" i="20"/>
  <c r="E846" i="20"/>
  <c r="I845" i="20"/>
  <c r="E845" i="20"/>
  <c r="I844" i="20"/>
  <c r="E844" i="20"/>
  <c r="I843" i="20"/>
  <c r="E843" i="20"/>
  <c r="I842" i="20"/>
  <c r="E842" i="20"/>
  <c r="I841" i="20"/>
  <c r="E841" i="20"/>
  <c r="I840" i="20"/>
  <c r="E840" i="20"/>
  <c r="I839" i="20"/>
  <c r="E839" i="20"/>
  <c r="I838" i="20"/>
  <c r="E838" i="20"/>
  <c r="I837" i="20"/>
  <c r="E837" i="20"/>
  <c r="I836" i="20"/>
  <c r="E836" i="20"/>
  <c r="I835" i="20"/>
  <c r="E835" i="20"/>
  <c r="I834" i="20"/>
  <c r="E834" i="20"/>
  <c r="I833" i="20"/>
  <c r="E833" i="20"/>
  <c r="I832" i="20"/>
  <c r="E832" i="20"/>
  <c r="I831" i="20"/>
  <c r="E831" i="20"/>
  <c r="I830" i="20"/>
  <c r="E830" i="20"/>
  <c r="I829" i="20"/>
  <c r="E829" i="20"/>
  <c r="I828" i="20"/>
  <c r="E828" i="20"/>
  <c r="I827" i="20"/>
  <c r="E827" i="20"/>
  <c r="I826" i="20"/>
  <c r="E826" i="20"/>
  <c r="I825" i="20"/>
  <c r="E825" i="20"/>
  <c r="I824" i="20"/>
  <c r="E824" i="20"/>
  <c r="I823" i="20"/>
  <c r="E823" i="20"/>
  <c r="I822" i="20"/>
  <c r="E822" i="20"/>
  <c r="I821" i="20"/>
  <c r="E821" i="20"/>
  <c r="I820" i="20"/>
  <c r="E820" i="20"/>
  <c r="I819" i="20"/>
  <c r="E819" i="20"/>
  <c r="I818" i="20"/>
  <c r="E818" i="20"/>
  <c r="I817" i="20"/>
  <c r="E817" i="20"/>
  <c r="I816" i="20"/>
  <c r="E816" i="20"/>
  <c r="I815" i="20"/>
  <c r="E815" i="20"/>
  <c r="I814" i="20"/>
  <c r="E814" i="20"/>
  <c r="I813" i="20"/>
  <c r="E813" i="20"/>
  <c r="I812" i="20"/>
  <c r="E812" i="20"/>
  <c r="I811" i="20"/>
  <c r="E811" i="20"/>
  <c r="I810" i="20"/>
  <c r="E810" i="20"/>
  <c r="I809" i="20"/>
  <c r="E809" i="20"/>
  <c r="I808" i="20"/>
  <c r="E808" i="20"/>
  <c r="I807" i="20"/>
  <c r="E807" i="20"/>
  <c r="I806" i="20"/>
  <c r="E806" i="20"/>
  <c r="I805" i="20"/>
  <c r="E805" i="20"/>
  <c r="I804" i="20"/>
  <c r="E804" i="20"/>
  <c r="I803" i="20"/>
  <c r="E803" i="20"/>
  <c r="I802" i="20"/>
  <c r="E802" i="20"/>
  <c r="I801" i="20"/>
  <c r="E801" i="20"/>
  <c r="I800" i="20"/>
  <c r="E800" i="20"/>
  <c r="I799" i="20"/>
  <c r="E799" i="20"/>
  <c r="I798" i="20"/>
  <c r="E798" i="20"/>
  <c r="I797" i="20"/>
  <c r="E797" i="20"/>
  <c r="I796" i="20"/>
  <c r="E796" i="20"/>
  <c r="I795" i="20"/>
  <c r="E795" i="20"/>
  <c r="I794" i="20"/>
  <c r="E794" i="20"/>
  <c r="I793" i="20"/>
  <c r="E793" i="20"/>
  <c r="I792" i="20"/>
  <c r="E792" i="20"/>
  <c r="I791" i="20"/>
  <c r="E791" i="20"/>
  <c r="I790" i="20"/>
  <c r="E790" i="20"/>
  <c r="I789" i="20"/>
  <c r="E789" i="20"/>
  <c r="I788" i="20"/>
  <c r="E788" i="20"/>
  <c r="I787" i="20"/>
  <c r="E787" i="20"/>
  <c r="I786" i="20"/>
  <c r="E786" i="20"/>
  <c r="I785" i="20"/>
  <c r="E785" i="20"/>
  <c r="I784" i="20"/>
  <c r="E784" i="20"/>
  <c r="I783" i="20"/>
  <c r="E783" i="20"/>
  <c r="I782" i="20"/>
  <c r="E782" i="20"/>
  <c r="I781" i="20"/>
  <c r="E781" i="20"/>
  <c r="I780" i="20"/>
  <c r="E780" i="20"/>
  <c r="I779" i="20"/>
  <c r="E779" i="20"/>
  <c r="I778" i="20"/>
  <c r="E778" i="20"/>
  <c r="I777" i="20"/>
  <c r="E777" i="20"/>
  <c r="I776" i="20"/>
  <c r="E776" i="20"/>
  <c r="I775" i="20"/>
  <c r="E775" i="20"/>
  <c r="I774" i="20"/>
  <c r="E774" i="20"/>
  <c r="I773" i="20"/>
  <c r="E773" i="20"/>
  <c r="I772" i="20"/>
  <c r="E772" i="20"/>
  <c r="I771" i="20"/>
  <c r="E771" i="20"/>
  <c r="I770" i="20"/>
  <c r="E770" i="20"/>
  <c r="I769" i="20"/>
  <c r="E769" i="20"/>
  <c r="I768" i="20"/>
  <c r="E768" i="20"/>
  <c r="I767" i="20"/>
  <c r="E767" i="20"/>
  <c r="I766" i="20"/>
  <c r="E766" i="20"/>
  <c r="I765" i="20"/>
  <c r="E765" i="20"/>
  <c r="I764" i="20"/>
  <c r="E764" i="20"/>
  <c r="I763" i="20"/>
  <c r="E763" i="20"/>
  <c r="I762" i="20"/>
  <c r="E762" i="20"/>
  <c r="I761" i="20"/>
  <c r="E761" i="20"/>
  <c r="I760" i="20"/>
  <c r="E760" i="20"/>
  <c r="I759" i="20"/>
  <c r="E759" i="20"/>
  <c r="I758" i="20"/>
  <c r="E758" i="20"/>
  <c r="I757" i="20"/>
  <c r="E757" i="20"/>
  <c r="I756" i="20"/>
  <c r="E756" i="20"/>
  <c r="I755" i="20"/>
  <c r="E755" i="20"/>
  <c r="I754" i="20"/>
  <c r="E754" i="20"/>
  <c r="I753" i="20"/>
  <c r="E753" i="20"/>
  <c r="I752" i="20"/>
  <c r="E752" i="20"/>
  <c r="I751" i="20"/>
  <c r="E751" i="20"/>
  <c r="I750" i="20"/>
  <c r="E750" i="20"/>
  <c r="I749" i="20"/>
  <c r="E749" i="20"/>
  <c r="I748" i="20"/>
  <c r="E748" i="20"/>
  <c r="I747" i="20"/>
  <c r="E747" i="20"/>
  <c r="I746" i="20"/>
  <c r="E746" i="20"/>
  <c r="I745" i="20"/>
  <c r="E745" i="20"/>
  <c r="I744" i="20"/>
  <c r="E744" i="20"/>
  <c r="I743" i="20"/>
  <c r="E743" i="20"/>
  <c r="I742" i="20"/>
  <c r="E742" i="20"/>
  <c r="I741" i="20"/>
  <c r="E741" i="20"/>
  <c r="I740" i="20"/>
  <c r="E740" i="20"/>
  <c r="I739" i="20"/>
  <c r="E739" i="20"/>
  <c r="I738" i="20"/>
  <c r="E738" i="20"/>
  <c r="I737" i="20"/>
  <c r="E737" i="20"/>
  <c r="I736" i="20"/>
  <c r="E736" i="20"/>
  <c r="I735" i="20"/>
  <c r="E735" i="20"/>
  <c r="I734" i="20"/>
  <c r="E734" i="20"/>
  <c r="I733" i="20"/>
  <c r="E733" i="20"/>
  <c r="I732" i="20"/>
  <c r="E732" i="20"/>
  <c r="I731" i="20"/>
  <c r="E731" i="20"/>
  <c r="I730" i="20"/>
  <c r="E730" i="20"/>
  <c r="I729" i="20"/>
  <c r="E729" i="20"/>
  <c r="I728" i="20"/>
  <c r="E728" i="20"/>
  <c r="I727" i="20"/>
  <c r="E727" i="20"/>
  <c r="I726" i="20"/>
  <c r="E726" i="20"/>
  <c r="I725" i="20"/>
  <c r="E725" i="20"/>
  <c r="I724" i="20"/>
  <c r="E724" i="20"/>
  <c r="I723" i="20"/>
  <c r="E723" i="20"/>
  <c r="I722" i="20"/>
  <c r="E722" i="20"/>
  <c r="I721" i="20"/>
  <c r="E721" i="20"/>
  <c r="I720" i="20"/>
  <c r="E720" i="20"/>
  <c r="I719" i="20"/>
  <c r="E719" i="20"/>
  <c r="I718" i="20"/>
  <c r="E718" i="20"/>
  <c r="I717" i="20"/>
  <c r="E717" i="20"/>
  <c r="I716" i="20"/>
  <c r="E716" i="20"/>
  <c r="I715" i="20"/>
  <c r="E715" i="20"/>
  <c r="I714" i="20"/>
  <c r="E714" i="20"/>
  <c r="I713" i="20"/>
  <c r="E713" i="20"/>
  <c r="I712" i="20"/>
  <c r="E712" i="20"/>
  <c r="I711" i="20"/>
  <c r="E711" i="20"/>
  <c r="I710" i="20"/>
  <c r="E710" i="20"/>
  <c r="I709" i="20"/>
  <c r="E709" i="20"/>
  <c r="I708" i="20"/>
  <c r="E708" i="20"/>
  <c r="I707" i="20"/>
  <c r="E707" i="20"/>
  <c r="I706" i="20"/>
  <c r="E706" i="20"/>
  <c r="I705" i="20"/>
  <c r="E705" i="20"/>
  <c r="I704" i="20"/>
  <c r="E704" i="20"/>
  <c r="I703" i="20"/>
  <c r="E703" i="20"/>
  <c r="I702" i="20"/>
  <c r="E702" i="20"/>
  <c r="I701" i="20"/>
  <c r="E701" i="20"/>
  <c r="I700" i="20"/>
  <c r="E700" i="20"/>
  <c r="I699" i="20"/>
  <c r="E699" i="20"/>
  <c r="I698" i="20"/>
  <c r="E698" i="20"/>
  <c r="I697" i="20"/>
  <c r="E697" i="20"/>
  <c r="I696" i="20"/>
  <c r="E696" i="20"/>
  <c r="I695" i="20"/>
  <c r="E695" i="20"/>
  <c r="I694" i="20"/>
  <c r="E694" i="20"/>
  <c r="I693" i="20"/>
  <c r="E693" i="20"/>
  <c r="I692" i="20"/>
  <c r="E692" i="20"/>
  <c r="I691" i="20"/>
  <c r="E691" i="20"/>
  <c r="I690" i="20"/>
  <c r="E690" i="20"/>
  <c r="I689" i="20"/>
  <c r="E689" i="20"/>
  <c r="I688" i="20"/>
  <c r="E688" i="20"/>
  <c r="I687" i="20"/>
  <c r="E687" i="20"/>
  <c r="I686" i="20"/>
  <c r="E686" i="20"/>
  <c r="I685" i="20"/>
  <c r="E685" i="20"/>
  <c r="I684" i="20"/>
  <c r="E684" i="20"/>
  <c r="I683" i="20"/>
  <c r="E683" i="20"/>
  <c r="I682" i="20"/>
  <c r="E682" i="20"/>
  <c r="I681" i="20"/>
  <c r="E681" i="20"/>
  <c r="I680" i="20"/>
  <c r="E680" i="20"/>
  <c r="I679" i="20"/>
  <c r="E679" i="20"/>
  <c r="I678" i="20"/>
  <c r="E678" i="20"/>
  <c r="I677" i="20"/>
  <c r="E677" i="20"/>
  <c r="I676" i="20"/>
  <c r="E676" i="20"/>
  <c r="I675" i="20"/>
  <c r="E675" i="20"/>
  <c r="I674" i="20"/>
  <c r="E674" i="20"/>
  <c r="I673" i="20"/>
  <c r="E673" i="20"/>
  <c r="I672" i="20"/>
  <c r="E672" i="20"/>
  <c r="I671" i="20"/>
  <c r="E671" i="20"/>
  <c r="I670" i="20"/>
  <c r="E670" i="20"/>
  <c r="I669" i="20"/>
  <c r="E669" i="20"/>
  <c r="I668" i="20"/>
  <c r="E668" i="20"/>
  <c r="I667" i="20"/>
  <c r="E667" i="20"/>
  <c r="I666" i="20"/>
  <c r="E666" i="20"/>
  <c r="I665" i="20"/>
  <c r="E665" i="20"/>
  <c r="I664" i="20"/>
  <c r="E664" i="20"/>
  <c r="I663" i="20"/>
  <c r="E663" i="20"/>
  <c r="I662" i="20"/>
  <c r="E662" i="20"/>
  <c r="I661" i="20"/>
  <c r="E661" i="20"/>
  <c r="I660" i="20"/>
  <c r="E660" i="20"/>
  <c r="I659" i="20"/>
  <c r="E659" i="20"/>
  <c r="I658" i="20"/>
  <c r="E658" i="20"/>
  <c r="I657" i="20"/>
  <c r="E657" i="20"/>
  <c r="I656" i="20"/>
  <c r="E656" i="20"/>
  <c r="I655" i="20"/>
  <c r="E655" i="20"/>
  <c r="I654" i="20"/>
  <c r="E654" i="20"/>
  <c r="I653" i="20"/>
  <c r="E653" i="20"/>
  <c r="I652" i="20"/>
  <c r="E652" i="20"/>
  <c r="I651" i="20"/>
  <c r="E651" i="20"/>
  <c r="I650" i="20"/>
  <c r="E650" i="20"/>
  <c r="I649" i="20"/>
  <c r="E649" i="20"/>
  <c r="I648" i="20"/>
  <c r="E648" i="20"/>
  <c r="I647" i="20"/>
  <c r="E647" i="20"/>
  <c r="I646" i="20"/>
  <c r="E646" i="20"/>
  <c r="I645" i="20"/>
  <c r="E645" i="20"/>
  <c r="I644" i="20"/>
  <c r="E644" i="20"/>
  <c r="I643" i="20"/>
  <c r="E643" i="20"/>
  <c r="I642" i="20"/>
  <c r="E642" i="20"/>
  <c r="I641" i="20"/>
  <c r="E641" i="20"/>
  <c r="I640" i="20"/>
  <c r="E640" i="20"/>
  <c r="I639" i="20"/>
  <c r="E639" i="20"/>
  <c r="I638" i="20"/>
  <c r="E638" i="20"/>
  <c r="I637" i="20"/>
  <c r="E637" i="20"/>
  <c r="I636" i="20"/>
  <c r="E636" i="20"/>
  <c r="I635" i="20"/>
  <c r="E635" i="20"/>
  <c r="I634" i="20"/>
  <c r="E634" i="20"/>
  <c r="I633" i="20"/>
  <c r="E633" i="20"/>
  <c r="I632" i="20"/>
  <c r="E632" i="20"/>
  <c r="I631" i="20"/>
  <c r="E631" i="20"/>
  <c r="I630" i="20"/>
  <c r="E630" i="20"/>
  <c r="I629" i="20"/>
  <c r="E629" i="20"/>
  <c r="I628" i="20"/>
  <c r="E628" i="20"/>
  <c r="I627" i="20"/>
  <c r="E627" i="20"/>
  <c r="I626" i="20"/>
  <c r="E626" i="20"/>
  <c r="I625" i="20"/>
  <c r="E625" i="20"/>
  <c r="I624" i="20"/>
  <c r="E624" i="20"/>
  <c r="I623" i="20"/>
  <c r="E623" i="20"/>
  <c r="I622" i="20"/>
  <c r="E622" i="20"/>
  <c r="I621" i="20"/>
  <c r="E621" i="20"/>
  <c r="I620" i="20"/>
  <c r="E620" i="20"/>
  <c r="I619" i="20"/>
  <c r="E619" i="20"/>
  <c r="I618" i="20"/>
  <c r="E618" i="20"/>
  <c r="I617" i="20"/>
  <c r="E617" i="20"/>
  <c r="I616" i="20"/>
  <c r="E616" i="20"/>
  <c r="I615" i="20"/>
  <c r="E615" i="20"/>
  <c r="I614" i="20"/>
  <c r="E614" i="20"/>
  <c r="I613" i="20"/>
  <c r="E613" i="20"/>
  <c r="I612" i="20"/>
  <c r="E612" i="20"/>
  <c r="I611" i="20"/>
  <c r="E611" i="20"/>
  <c r="I610" i="20"/>
  <c r="E610" i="20"/>
  <c r="I609" i="20"/>
  <c r="E609" i="20"/>
  <c r="I608" i="20"/>
  <c r="E608" i="20"/>
  <c r="I607" i="20"/>
  <c r="E607" i="20"/>
  <c r="I606" i="20"/>
  <c r="E606" i="20"/>
  <c r="I605" i="20"/>
  <c r="E605" i="20"/>
  <c r="I604" i="20"/>
  <c r="E604" i="20"/>
  <c r="I603" i="20"/>
  <c r="E603" i="20"/>
  <c r="I602" i="20"/>
  <c r="E602" i="20"/>
  <c r="I601" i="20"/>
  <c r="E601" i="20"/>
  <c r="I600" i="20"/>
  <c r="E600" i="20"/>
  <c r="I599" i="20"/>
  <c r="E599" i="20"/>
  <c r="I598" i="20"/>
  <c r="E598" i="20"/>
  <c r="I597" i="20"/>
  <c r="E597" i="20"/>
  <c r="I596" i="20"/>
  <c r="E596" i="20"/>
  <c r="I595" i="20"/>
  <c r="E595" i="20"/>
  <c r="I594" i="20"/>
  <c r="E594" i="20"/>
  <c r="I593" i="20"/>
  <c r="E593" i="20"/>
  <c r="I592" i="20"/>
  <c r="E592" i="20"/>
  <c r="I591" i="20"/>
  <c r="E591" i="20"/>
  <c r="I590" i="20"/>
  <c r="E590" i="20"/>
  <c r="I589" i="20"/>
  <c r="E589" i="20"/>
  <c r="I588" i="20"/>
  <c r="E588" i="20"/>
  <c r="I587" i="20"/>
  <c r="E587" i="20"/>
  <c r="I586" i="20"/>
  <c r="E586" i="20"/>
  <c r="I585" i="20"/>
  <c r="E585" i="20"/>
  <c r="I584" i="20"/>
  <c r="E584" i="20"/>
  <c r="I583" i="20"/>
  <c r="E583" i="20"/>
  <c r="I582" i="20"/>
  <c r="E582" i="20"/>
  <c r="I581" i="20"/>
  <c r="E581" i="20"/>
  <c r="I580" i="20"/>
  <c r="E580" i="20"/>
  <c r="I579" i="20"/>
  <c r="E579" i="20"/>
  <c r="I578" i="20"/>
  <c r="E578" i="20"/>
  <c r="I577" i="20"/>
  <c r="E577" i="20"/>
  <c r="I576" i="20"/>
  <c r="E576" i="20"/>
  <c r="I575" i="20"/>
  <c r="E575" i="20"/>
  <c r="I574" i="20"/>
  <c r="E574" i="20"/>
  <c r="I573" i="20"/>
  <c r="E573" i="20"/>
  <c r="I572" i="20"/>
  <c r="E572" i="20"/>
  <c r="I571" i="20"/>
  <c r="E571" i="20"/>
  <c r="I570" i="20"/>
  <c r="E570" i="20"/>
  <c r="I569" i="20"/>
  <c r="E569" i="20"/>
  <c r="I568" i="20"/>
  <c r="E568" i="20"/>
  <c r="I567" i="20"/>
  <c r="E567" i="20"/>
  <c r="I566" i="20"/>
  <c r="E566" i="20"/>
  <c r="I565" i="20"/>
  <c r="E565" i="20"/>
  <c r="I564" i="20"/>
  <c r="E564" i="20"/>
  <c r="I563" i="20"/>
  <c r="E563" i="20"/>
  <c r="I562" i="20"/>
  <c r="E562" i="20"/>
  <c r="I561" i="20"/>
  <c r="E561" i="20"/>
  <c r="I560" i="20"/>
  <c r="E560" i="20"/>
  <c r="I559" i="20"/>
  <c r="E559" i="20"/>
  <c r="I558" i="20"/>
  <c r="E558" i="20"/>
  <c r="I557" i="20"/>
  <c r="E557" i="20"/>
  <c r="I556" i="20"/>
  <c r="E556" i="20"/>
  <c r="I555" i="20"/>
  <c r="E555" i="20"/>
  <c r="I554" i="20"/>
  <c r="E554" i="20"/>
  <c r="I553" i="20"/>
  <c r="E553" i="20"/>
  <c r="I552" i="20"/>
  <c r="E552" i="20"/>
  <c r="I551" i="20"/>
  <c r="E551" i="20"/>
  <c r="I550" i="20"/>
  <c r="E550" i="20"/>
  <c r="I549" i="20"/>
  <c r="E549" i="20"/>
  <c r="I548" i="20"/>
  <c r="E548" i="20"/>
  <c r="I547" i="20"/>
  <c r="E547" i="20"/>
  <c r="I546" i="20"/>
  <c r="E546" i="20"/>
  <c r="I545" i="20"/>
  <c r="E545" i="20"/>
  <c r="I544" i="20"/>
  <c r="E544" i="20"/>
  <c r="I543" i="20"/>
  <c r="E543" i="20"/>
  <c r="I542" i="20"/>
  <c r="E542" i="20"/>
  <c r="I541" i="20"/>
  <c r="E541" i="20"/>
  <c r="I540" i="20"/>
  <c r="E540" i="20"/>
  <c r="I539" i="20"/>
  <c r="E539" i="20"/>
  <c r="I538" i="20"/>
  <c r="E538" i="20"/>
  <c r="I537" i="20"/>
  <c r="E537" i="20"/>
  <c r="I536" i="20"/>
  <c r="E536" i="20"/>
  <c r="I535" i="20"/>
  <c r="E535" i="20"/>
  <c r="I534" i="20"/>
  <c r="E534" i="20"/>
  <c r="I533" i="20"/>
  <c r="E533" i="20"/>
  <c r="I532" i="20"/>
  <c r="E532" i="20"/>
  <c r="I531" i="20"/>
  <c r="E531" i="20"/>
  <c r="I530" i="20"/>
  <c r="E530" i="20"/>
  <c r="I529" i="20"/>
  <c r="E529" i="20"/>
  <c r="I528" i="20"/>
  <c r="E528" i="20"/>
  <c r="I527" i="20"/>
  <c r="E527" i="20"/>
  <c r="I526" i="20"/>
  <c r="E526" i="20"/>
  <c r="I525" i="20"/>
  <c r="E525" i="20"/>
  <c r="I524" i="20"/>
  <c r="E524" i="20"/>
  <c r="I523" i="20"/>
  <c r="E523" i="20"/>
  <c r="I522" i="20"/>
  <c r="E522" i="20"/>
  <c r="I521" i="20"/>
  <c r="E521" i="20"/>
  <c r="I520" i="20"/>
  <c r="E520" i="20"/>
  <c r="I519" i="20"/>
  <c r="E519" i="20"/>
  <c r="I518" i="20"/>
  <c r="E518" i="20"/>
  <c r="I517" i="20"/>
  <c r="E517" i="20"/>
  <c r="I516" i="20"/>
  <c r="E516" i="20"/>
  <c r="I515" i="20"/>
  <c r="E515" i="20"/>
  <c r="I514" i="20"/>
  <c r="E514" i="20"/>
  <c r="I513" i="20"/>
  <c r="E513" i="20"/>
  <c r="I512" i="20"/>
  <c r="E512" i="20"/>
  <c r="I511" i="20"/>
  <c r="E511" i="20"/>
  <c r="I510" i="20"/>
  <c r="E510" i="20"/>
  <c r="I509" i="20"/>
  <c r="E509" i="20"/>
  <c r="I508" i="20"/>
  <c r="E508" i="20"/>
  <c r="I507" i="20"/>
  <c r="E507" i="20"/>
  <c r="I506" i="20"/>
  <c r="E506" i="20"/>
  <c r="I505" i="20"/>
  <c r="E505" i="20"/>
  <c r="I504" i="20"/>
  <c r="E504" i="20"/>
  <c r="I503" i="20"/>
  <c r="E503" i="20"/>
  <c r="I502" i="20"/>
  <c r="E502" i="20"/>
  <c r="I501" i="20"/>
  <c r="E501" i="20"/>
  <c r="I500" i="20"/>
  <c r="E500" i="20"/>
  <c r="I499" i="20"/>
  <c r="E499" i="20"/>
  <c r="I498" i="20"/>
  <c r="E498" i="20"/>
  <c r="I497" i="20"/>
  <c r="E497" i="20"/>
  <c r="I496" i="20"/>
  <c r="E496" i="20"/>
  <c r="I495" i="20"/>
  <c r="E495" i="20"/>
  <c r="I494" i="20"/>
  <c r="E494" i="20"/>
  <c r="I493" i="20"/>
  <c r="E493" i="20"/>
  <c r="I492" i="20"/>
  <c r="E492" i="20"/>
  <c r="I491" i="20"/>
  <c r="E491" i="20"/>
  <c r="I490" i="20"/>
  <c r="E490" i="20"/>
  <c r="I489" i="20"/>
  <c r="E489" i="20"/>
  <c r="I488" i="20"/>
  <c r="E488" i="20"/>
  <c r="I487" i="20"/>
  <c r="E487" i="20"/>
  <c r="I486" i="20"/>
  <c r="E486" i="20"/>
  <c r="I485" i="20"/>
  <c r="E485" i="20"/>
  <c r="I484" i="20"/>
  <c r="E484" i="20"/>
  <c r="I483" i="20"/>
  <c r="E483" i="20"/>
  <c r="I482" i="20"/>
  <c r="E482" i="20"/>
  <c r="I481" i="20"/>
  <c r="E481" i="20"/>
  <c r="I480" i="20"/>
  <c r="E480" i="20"/>
  <c r="I479" i="20"/>
  <c r="E479" i="20"/>
  <c r="I478" i="20"/>
  <c r="E478" i="20"/>
  <c r="I477" i="20"/>
  <c r="E477" i="20"/>
  <c r="I476" i="20"/>
  <c r="E476" i="20"/>
  <c r="I475" i="20"/>
  <c r="E475" i="20"/>
  <c r="I474" i="20"/>
  <c r="E474" i="20"/>
  <c r="I473" i="20"/>
  <c r="E473" i="20"/>
  <c r="I472" i="20"/>
  <c r="E472" i="20"/>
  <c r="I471" i="20"/>
  <c r="E471" i="20"/>
  <c r="I470" i="20"/>
  <c r="E470" i="20"/>
  <c r="I469" i="20"/>
  <c r="E469" i="20"/>
  <c r="I468" i="20"/>
  <c r="E468" i="20"/>
  <c r="I467" i="20"/>
  <c r="E467" i="20"/>
  <c r="I466" i="20"/>
  <c r="E466" i="20"/>
  <c r="I465" i="20"/>
  <c r="E465" i="20"/>
  <c r="I464" i="20"/>
  <c r="E464" i="20"/>
  <c r="I463" i="20"/>
  <c r="E463" i="20"/>
  <c r="I462" i="20"/>
  <c r="E462" i="20"/>
  <c r="I461" i="20"/>
  <c r="E461" i="20"/>
  <c r="I460" i="20"/>
  <c r="E460" i="20"/>
  <c r="I459" i="20"/>
  <c r="E459" i="20"/>
  <c r="I458" i="20"/>
  <c r="E458" i="20"/>
  <c r="I457" i="20"/>
  <c r="E457" i="20"/>
  <c r="I456" i="20"/>
  <c r="E456" i="20"/>
  <c r="I455" i="20"/>
  <c r="E455" i="20"/>
  <c r="I454" i="20"/>
  <c r="E454" i="20"/>
  <c r="I453" i="20"/>
  <c r="E453" i="20"/>
  <c r="I452" i="20"/>
  <c r="E452" i="20"/>
  <c r="I451" i="20"/>
  <c r="E451" i="20"/>
  <c r="I450" i="20"/>
  <c r="E450" i="20"/>
  <c r="I449" i="20"/>
  <c r="E449" i="20"/>
  <c r="I448" i="20"/>
  <c r="E448" i="20"/>
  <c r="I447" i="20"/>
  <c r="E447" i="20"/>
  <c r="I446" i="20"/>
  <c r="E446" i="20"/>
  <c r="I445" i="20"/>
  <c r="E445" i="20"/>
  <c r="I444" i="20"/>
  <c r="E444" i="20"/>
  <c r="I443" i="20"/>
  <c r="E443" i="20"/>
  <c r="I442" i="20"/>
  <c r="E442" i="20"/>
  <c r="I441" i="20"/>
  <c r="E441" i="20"/>
  <c r="I440" i="20"/>
  <c r="E440" i="20"/>
  <c r="I439" i="20"/>
  <c r="E439" i="20"/>
  <c r="I438" i="20"/>
  <c r="E438" i="20"/>
  <c r="I437" i="20"/>
  <c r="E437" i="20"/>
  <c r="I436" i="20"/>
  <c r="E436" i="20"/>
  <c r="I435" i="20"/>
  <c r="E435" i="20"/>
  <c r="I434" i="20"/>
  <c r="E434" i="20"/>
  <c r="I433" i="20"/>
  <c r="E433" i="20"/>
  <c r="I432" i="20"/>
  <c r="E432" i="20"/>
  <c r="I431" i="20"/>
  <c r="E431" i="20"/>
  <c r="I430" i="20"/>
  <c r="E430" i="20"/>
  <c r="I429" i="20"/>
  <c r="E429" i="20"/>
  <c r="I428" i="20"/>
  <c r="E428" i="20"/>
  <c r="I427" i="20"/>
  <c r="E427" i="20"/>
  <c r="I426" i="20"/>
  <c r="E426" i="20"/>
  <c r="I425" i="20"/>
  <c r="E425" i="20"/>
  <c r="I424" i="20"/>
  <c r="E424" i="20"/>
  <c r="I423" i="20"/>
  <c r="E423" i="20"/>
  <c r="I422" i="20"/>
  <c r="E422" i="20"/>
  <c r="I421" i="20"/>
  <c r="E421" i="20"/>
  <c r="I420" i="20"/>
  <c r="E420" i="20"/>
  <c r="I419" i="20"/>
  <c r="E419" i="20"/>
  <c r="I418" i="20"/>
  <c r="E418" i="20"/>
  <c r="I417" i="20"/>
  <c r="E417" i="20"/>
  <c r="I416" i="20"/>
  <c r="E416" i="20"/>
  <c r="I415" i="20"/>
  <c r="E415" i="20"/>
  <c r="I414" i="20"/>
  <c r="E414" i="20"/>
  <c r="I413" i="20"/>
  <c r="E413" i="20"/>
  <c r="I412" i="20"/>
  <c r="E412" i="20"/>
  <c r="I411" i="20"/>
  <c r="E411" i="20"/>
  <c r="I410" i="20"/>
  <c r="E410" i="20"/>
  <c r="I409" i="20"/>
  <c r="E409" i="20"/>
  <c r="I408" i="20"/>
  <c r="E408" i="20"/>
  <c r="I407" i="20"/>
  <c r="E407" i="20"/>
  <c r="I406" i="20"/>
  <c r="E406" i="20"/>
  <c r="I405" i="20"/>
  <c r="E405" i="20"/>
  <c r="I404" i="20"/>
  <c r="E404" i="20"/>
  <c r="I403" i="20"/>
  <c r="E403" i="20"/>
  <c r="I402" i="20"/>
  <c r="E402" i="20"/>
  <c r="I401" i="20"/>
  <c r="E401" i="20"/>
  <c r="I400" i="20"/>
  <c r="E400" i="20"/>
  <c r="I399" i="20"/>
  <c r="E399" i="20"/>
  <c r="I398" i="20"/>
  <c r="E398" i="20"/>
  <c r="I397" i="20"/>
  <c r="E397" i="20"/>
  <c r="I396" i="20"/>
  <c r="E396" i="20"/>
  <c r="I395" i="20"/>
  <c r="E395" i="20"/>
  <c r="I394" i="20"/>
  <c r="E394" i="20"/>
  <c r="I393" i="20"/>
  <c r="E393" i="20"/>
  <c r="I392" i="20"/>
  <c r="E392" i="20"/>
  <c r="I391" i="20"/>
  <c r="E391" i="20"/>
  <c r="I390" i="20"/>
  <c r="E390" i="20"/>
  <c r="I389" i="20"/>
  <c r="E389" i="20"/>
  <c r="I388" i="20"/>
  <c r="E388" i="20"/>
  <c r="I387" i="20"/>
  <c r="E387" i="20"/>
  <c r="I386" i="20"/>
  <c r="E386" i="20"/>
  <c r="I385" i="20"/>
  <c r="E385" i="20"/>
  <c r="I384" i="20"/>
  <c r="E384" i="20"/>
  <c r="I383" i="20"/>
  <c r="E383" i="20"/>
  <c r="I382" i="20"/>
  <c r="E382" i="20"/>
  <c r="I381" i="20"/>
  <c r="E381" i="20"/>
  <c r="I380" i="20"/>
  <c r="E380" i="20"/>
  <c r="I379" i="20"/>
  <c r="E379" i="20"/>
  <c r="I378" i="20"/>
  <c r="E378" i="20"/>
  <c r="I377" i="20"/>
  <c r="E377" i="20"/>
  <c r="I376" i="20"/>
  <c r="E376" i="20"/>
  <c r="I375" i="20"/>
  <c r="E375" i="20"/>
  <c r="I374" i="20"/>
  <c r="E374" i="20"/>
  <c r="I373" i="20"/>
  <c r="E373" i="20"/>
  <c r="I372" i="20"/>
  <c r="E372" i="20"/>
  <c r="I371" i="20"/>
  <c r="E371" i="20"/>
  <c r="I370" i="20"/>
  <c r="E370" i="20"/>
  <c r="I369" i="20"/>
  <c r="E369" i="20"/>
  <c r="I368" i="20"/>
  <c r="E368" i="20"/>
  <c r="I367" i="20"/>
  <c r="E367" i="20"/>
  <c r="I366" i="20"/>
  <c r="E366" i="20"/>
  <c r="I365" i="20"/>
  <c r="E365" i="20"/>
  <c r="I364" i="20"/>
  <c r="E364" i="20"/>
  <c r="I363" i="20"/>
  <c r="E363" i="20"/>
  <c r="I362" i="20"/>
  <c r="E362" i="20"/>
  <c r="I361" i="20"/>
  <c r="E361" i="20"/>
  <c r="I360" i="20"/>
  <c r="E360" i="20"/>
  <c r="I359" i="20"/>
  <c r="E359" i="20"/>
  <c r="I358" i="20"/>
  <c r="E358" i="20"/>
  <c r="I357" i="20"/>
  <c r="E357" i="20"/>
  <c r="I356" i="20"/>
  <c r="E356" i="20"/>
  <c r="I355" i="20"/>
  <c r="E355" i="20"/>
  <c r="I354" i="20"/>
  <c r="E354" i="20"/>
  <c r="I353" i="20"/>
  <c r="E353" i="20"/>
  <c r="I352" i="20"/>
  <c r="E352" i="20"/>
  <c r="I351" i="20"/>
  <c r="E351" i="20"/>
  <c r="I350" i="20"/>
  <c r="E350" i="20"/>
  <c r="I349" i="20"/>
  <c r="E349" i="20"/>
  <c r="I348" i="20"/>
  <c r="E348" i="20"/>
  <c r="I347" i="20"/>
  <c r="E347" i="20"/>
  <c r="I346" i="20"/>
  <c r="E346" i="20"/>
  <c r="I345" i="20"/>
  <c r="E345" i="20"/>
  <c r="I344" i="20"/>
  <c r="E344" i="20"/>
  <c r="I343" i="20"/>
  <c r="E343" i="20"/>
  <c r="I342" i="20"/>
  <c r="E342" i="20"/>
  <c r="I341" i="20"/>
  <c r="E341" i="20"/>
  <c r="I340" i="20"/>
  <c r="E340" i="20"/>
  <c r="I339" i="20"/>
  <c r="E339" i="20"/>
  <c r="I338" i="20"/>
  <c r="E338" i="20"/>
  <c r="I337" i="20"/>
  <c r="E337" i="20"/>
  <c r="I336" i="20"/>
  <c r="E336" i="20"/>
  <c r="I335" i="20"/>
  <c r="E335" i="20"/>
  <c r="I334" i="20"/>
  <c r="E334" i="20"/>
  <c r="I333" i="20"/>
  <c r="E333" i="20"/>
  <c r="I332" i="20"/>
  <c r="E332" i="20"/>
  <c r="I331" i="20"/>
  <c r="E331" i="20"/>
  <c r="I330" i="20"/>
  <c r="E330" i="20"/>
  <c r="I329" i="20"/>
  <c r="E329" i="20"/>
  <c r="I328" i="20"/>
  <c r="E328" i="20"/>
  <c r="I327" i="20"/>
  <c r="E327" i="20"/>
  <c r="I326" i="20"/>
  <c r="E326" i="20"/>
  <c r="I325" i="20"/>
  <c r="E325" i="20"/>
  <c r="I324" i="20"/>
  <c r="E324" i="20"/>
  <c r="I323" i="20"/>
  <c r="E323" i="20"/>
  <c r="I322" i="20"/>
  <c r="E322" i="20"/>
  <c r="I321" i="20"/>
  <c r="E321" i="20"/>
  <c r="I320" i="20"/>
  <c r="E320" i="20"/>
  <c r="I319" i="20"/>
  <c r="E319" i="20"/>
  <c r="I318" i="20"/>
  <c r="E318" i="20"/>
  <c r="I317" i="20"/>
  <c r="E317" i="20"/>
  <c r="I316" i="20"/>
  <c r="E316" i="20"/>
  <c r="I315" i="20"/>
  <c r="E315" i="20"/>
  <c r="I314" i="20"/>
  <c r="E314" i="20"/>
  <c r="I313" i="20"/>
  <c r="E313" i="20"/>
  <c r="I312" i="20"/>
  <c r="E312" i="20"/>
  <c r="I311" i="20"/>
  <c r="E311" i="20"/>
  <c r="I310" i="20"/>
  <c r="E310" i="20"/>
  <c r="I309" i="20"/>
  <c r="E309" i="20"/>
  <c r="I308" i="20"/>
  <c r="E308" i="20"/>
  <c r="I307" i="20"/>
  <c r="E307" i="20"/>
  <c r="I306" i="20"/>
  <c r="E306" i="20"/>
  <c r="I305" i="20"/>
  <c r="E305" i="20"/>
  <c r="I304" i="20"/>
  <c r="E304" i="20"/>
  <c r="I303" i="20"/>
  <c r="E303" i="20"/>
  <c r="I302" i="20"/>
  <c r="E302" i="20"/>
  <c r="I301" i="20"/>
  <c r="E301" i="20"/>
  <c r="I300" i="20"/>
  <c r="E300" i="20"/>
  <c r="I299" i="20"/>
  <c r="E299" i="20"/>
  <c r="I298" i="20"/>
  <c r="E298" i="20"/>
  <c r="I297" i="20"/>
  <c r="E297" i="20"/>
  <c r="I296" i="20"/>
  <c r="E296" i="20"/>
  <c r="I295" i="20"/>
  <c r="E295" i="20"/>
  <c r="I294" i="20"/>
  <c r="E294" i="20"/>
  <c r="I293" i="20"/>
  <c r="E293" i="20"/>
  <c r="I292" i="20"/>
  <c r="E292" i="20"/>
  <c r="I291" i="20"/>
  <c r="E291" i="20"/>
  <c r="I290" i="20"/>
  <c r="E290" i="20"/>
  <c r="I289" i="20"/>
  <c r="E289" i="20"/>
  <c r="I288" i="20"/>
  <c r="E288" i="20"/>
  <c r="I287" i="20"/>
  <c r="E287" i="20"/>
  <c r="I286" i="20"/>
  <c r="E286" i="20"/>
  <c r="I285" i="20"/>
  <c r="E285" i="20"/>
  <c r="I284" i="20"/>
  <c r="E284" i="20"/>
  <c r="I283" i="20"/>
  <c r="E283" i="20"/>
  <c r="I282" i="20"/>
  <c r="E282" i="20"/>
  <c r="I281" i="20"/>
  <c r="E281" i="20"/>
  <c r="I280" i="20"/>
  <c r="E280" i="20"/>
  <c r="I279" i="20"/>
  <c r="E279" i="20"/>
  <c r="I278" i="20"/>
  <c r="E278" i="20"/>
  <c r="I277" i="20"/>
  <c r="E277" i="20"/>
  <c r="I276" i="20"/>
  <c r="E276" i="20"/>
  <c r="I275" i="20"/>
  <c r="E275" i="20"/>
  <c r="I274" i="20"/>
  <c r="E274" i="20"/>
  <c r="I273" i="20"/>
  <c r="E273" i="20"/>
  <c r="I272" i="20"/>
  <c r="E272" i="20"/>
  <c r="I271" i="20"/>
  <c r="E271" i="20"/>
  <c r="I270" i="20"/>
  <c r="E270" i="20"/>
  <c r="I269" i="20"/>
  <c r="E269" i="20"/>
  <c r="I268" i="20"/>
  <c r="E268" i="20"/>
  <c r="I267" i="20"/>
  <c r="E267" i="20"/>
  <c r="I266" i="20"/>
  <c r="E266" i="20"/>
  <c r="I265" i="20"/>
  <c r="E265" i="20"/>
  <c r="I264" i="20"/>
  <c r="E264" i="20"/>
  <c r="I263" i="20"/>
  <c r="E263" i="20"/>
  <c r="I262" i="20"/>
  <c r="E262" i="20"/>
  <c r="I261" i="20"/>
  <c r="E261" i="20"/>
  <c r="I260" i="20"/>
  <c r="E260" i="20"/>
  <c r="I259" i="20"/>
  <c r="E259" i="20"/>
  <c r="I258" i="20"/>
  <c r="E258" i="20"/>
  <c r="I257" i="20"/>
  <c r="E257" i="20"/>
  <c r="I256" i="20"/>
  <c r="E256" i="20"/>
  <c r="I255" i="20"/>
  <c r="E255" i="20"/>
  <c r="I254" i="20"/>
  <c r="E254" i="20"/>
  <c r="I253" i="20"/>
  <c r="E253" i="20"/>
  <c r="I252" i="20"/>
  <c r="E252" i="20"/>
  <c r="I251" i="20"/>
  <c r="E251" i="20"/>
  <c r="I250" i="20"/>
  <c r="E250" i="20"/>
  <c r="I249" i="20"/>
  <c r="E249" i="20"/>
  <c r="I248" i="20"/>
  <c r="E248" i="20"/>
  <c r="I247" i="20"/>
  <c r="E247" i="20"/>
  <c r="I246" i="20"/>
  <c r="E246" i="20"/>
  <c r="I245" i="20"/>
  <c r="E245" i="20"/>
  <c r="I244" i="20"/>
  <c r="E244" i="20"/>
  <c r="I243" i="20"/>
  <c r="E243" i="20"/>
  <c r="I242" i="20"/>
  <c r="E242" i="20"/>
  <c r="I241" i="20"/>
  <c r="E241" i="20"/>
  <c r="I240" i="20"/>
  <c r="E240" i="20"/>
  <c r="I239" i="20"/>
  <c r="E239" i="20"/>
  <c r="I238" i="20"/>
  <c r="E238" i="20"/>
  <c r="I237" i="20"/>
  <c r="E237" i="20"/>
  <c r="I236" i="20"/>
  <c r="E236" i="20"/>
  <c r="I235" i="20"/>
  <c r="E235" i="20"/>
  <c r="I234" i="20"/>
  <c r="E234" i="20"/>
  <c r="I233" i="20"/>
  <c r="E233" i="20"/>
  <c r="I232" i="20"/>
  <c r="E232" i="20"/>
  <c r="I231" i="20"/>
  <c r="E231" i="20"/>
  <c r="I230" i="20"/>
  <c r="E230" i="20"/>
  <c r="I229" i="20"/>
  <c r="E229" i="20"/>
  <c r="I228" i="20"/>
  <c r="E228" i="20"/>
  <c r="I227" i="20"/>
  <c r="E227" i="20"/>
  <c r="I226" i="20"/>
  <c r="E226" i="20"/>
  <c r="I225" i="20"/>
  <c r="E225" i="20"/>
  <c r="I224" i="20"/>
  <c r="E224" i="20"/>
  <c r="I223" i="20"/>
  <c r="E223" i="20"/>
  <c r="I222" i="20"/>
  <c r="E222" i="20"/>
  <c r="I221" i="20"/>
  <c r="E221" i="20"/>
  <c r="I220" i="20"/>
  <c r="E220" i="20"/>
  <c r="I219" i="20"/>
  <c r="E219" i="20"/>
  <c r="I218" i="20"/>
  <c r="E218" i="20"/>
  <c r="I217" i="20"/>
  <c r="E217" i="20"/>
  <c r="I216" i="20"/>
  <c r="E216" i="20"/>
  <c r="I215" i="20"/>
  <c r="E215" i="20"/>
  <c r="I214" i="20"/>
  <c r="E214" i="20"/>
  <c r="I213" i="20"/>
  <c r="E213" i="20"/>
  <c r="I212" i="20"/>
  <c r="E212" i="20"/>
  <c r="I211" i="20"/>
  <c r="E211" i="20"/>
  <c r="I210" i="20"/>
  <c r="E210" i="20"/>
  <c r="I209" i="20"/>
  <c r="E209" i="20"/>
  <c r="I208" i="20"/>
  <c r="E208" i="20"/>
  <c r="I207" i="20"/>
  <c r="E207" i="20"/>
  <c r="I206" i="20"/>
  <c r="E206" i="20"/>
  <c r="I205" i="20"/>
  <c r="E205" i="20"/>
  <c r="I204" i="20"/>
  <c r="E204" i="20"/>
  <c r="I203" i="20"/>
  <c r="E203" i="20"/>
  <c r="I202" i="20"/>
  <c r="E202" i="20"/>
  <c r="I201" i="20"/>
  <c r="E201" i="20"/>
  <c r="I200" i="20"/>
  <c r="E200" i="20"/>
  <c r="I199" i="20"/>
  <c r="E199" i="20"/>
  <c r="I198" i="20"/>
  <c r="E198" i="20"/>
  <c r="I197" i="20"/>
  <c r="E197" i="20"/>
  <c r="I196" i="20"/>
  <c r="E196" i="20"/>
  <c r="I195" i="20"/>
  <c r="E195" i="20"/>
  <c r="I194" i="20"/>
  <c r="E194" i="20"/>
  <c r="I193" i="20"/>
  <c r="E193" i="20"/>
  <c r="I192" i="20"/>
  <c r="E192" i="20"/>
  <c r="I191" i="20"/>
  <c r="E191" i="20"/>
  <c r="I190" i="20"/>
  <c r="E190" i="20"/>
  <c r="I189" i="20"/>
  <c r="E189" i="20"/>
  <c r="I188" i="20"/>
  <c r="E188" i="20"/>
  <c r="I187" i="20"/>
  <c r="E187" i="20"/>
  <c r="I186" i="20"/>
  <c r="E186" i="20"/>
  <c r="I185" i="20"/>
  <c r="E185" i="20"/>
  <c r="I184" i="20"/>
  <c r="E184" i="20"/>
  <c r="I183" i="20"/>
  <c r="E183" i="20"/>
  <c r="I182" i="20"/>
  <c r="E182" i="20"/>
  <c r="I181" i="20"/>
  <c r="E181" i="20"/>
  <c r="I180" i="20"/>
  <c r="E180" i="20"/>
  <c r="I179" i="20"/>
  <c r="E179" i="20"/>
  <c r="I178" i="20"/>
  <c r="E178" i="20"/>
  <c r="I177" i="20"/>
  <c r="E177" i="20"/>
  <c r="I176" i="20"/>
  <c r="E176" i="20"/>
  <c r="I175" i="20"/>
  <c r="E175" i="20"/>
  <c r="I174" i="20"/>
  <c r="E174" i="20"/>
  <c r="I173" i="20"/>
  <c r="E173" i="20"/>
  <c r="I172" i="20"/>
  <c r="E172" i="20"/>
  <c r="I171" i="20"/>
  <c r="E171" i="20"/>
  <c r="I170" i="20"/>
  <c r="E170" i="20"/>
  <c r="I169" i="20"/>
  <c r="E169" i="20"/>
  <c r="I168" i="20"/>
  <c r="E168" i="20"/>
  <c r="I167" i="20"/>
  <c r="E167" i="20"/>
  <c r="I166" i="20"/>
  <c r="E166" i="20"/>
  <c r="I165" i="20"/>
  <c r="E165" i="20"/>
  <c r="I164" i="20"/>
  <c r="E164" i="20"/>
  <c r="I163" i="20"/>
  <c r="E163" i="20"/>
  <c r="I162" i="20"/>
  <c r="E162" i="20"/>
  <c r="I161" i="20"/>
  <c r="E161" i="20"/>
  <c r="I160" i="20"/>
  <c r="E160" i="20"/>
  <c r="I159" i="20"/>
  <c r="E159" i="20"/>
  <c r="I158" i="20"/>
  <c r="E158" i="20"/>
  <c r="I157" i="20"/>
  <c r="E157" i="20"/>
  <c r="I156" i="20"/>
  <c r="E156" i="20"/>
  <c r="I155" i="20"/>
  <c r="E155" i="20"/>
  <c r="I154" i="20"/>
  <c r="E154" i="20"/>
  <c r="I153" i="20"/>
  <c r="E153" i="20"/>
  <c r="I152" i="20"/>
  <c r="E152" i="20"/>
  <c r="I151" i="20"/>
  <c r="E151" i="20"/>
  <c r="I150" i="20"/>
  <c r="E150" i="20"/>
  <c r="I149" i="20"/>
  <c r="E149" i="20"/>
  <c r="I148" i="20"/>
  <c r="E148" i="20"/>
  <c r="I147" i="20"/>
  <c r="E147" i="20"/>
  <c r="I146" i="20"/>
  <c r="E146" i="20"/>
  <c r="I145" i="20"/>
  <c r="E145" i="20"/>
  <c r="I144" i="20"/>
  <c r="E144" i="20"/>
  <c r="I143" i="20"/>
  <c r="E143" i="20"/>
  <c r="I142" i="20"/>
  <c r="E142" i="20"/>
  <c r="I141" i="20"/>
  <c r="E141" i="20"/>
  <c r="I140" i="20"/>
  <c r="E140" i="20"/>
  <c r="I139" i="20"/>
  <c r="E139" i="20"/>
  <c r="I138" i="20"/>
  <c r="E138" i="20"/>
  <c r="I137" i="20"/>
  <c r="E137" i="20"/>
  <c r="I136" i="20"/>
  <c r="E136" i="20"/>
  <c r="I135" i="20"/>
  <c r="E135" i="20"/>
  <c r="I134" i="20"/>
  <c r="E134" i="20"/>
  <c r="I133" i="20"/>
  <c r="E133" i="20"/>
  <c r="I132" i="20"/>
  <c r="E132" i="20"/>
  <c r="I131" i="20"/>
  <c r="E131" i="20"/>
  <c r="I130" i="20"/>
  <c r="E130" i="20"/>
  <c r="I129" i="20"/>
  <c r="E129" i="20"/>
  <c r="I128" i="20"/>
  <c r="E128" i="20"/>
  <c r="I127" i="20"/>
  <c r="E127" i="20"/>
  <c r="I126" i="20"/>
  <c r="E126" i="20"/>
  <c r="I125" i="20"/>
  <c r="E125" i="20"/>
  <c r="I124" i="20"/>
  <c r="E124" i="20"/>
  <c r="I123" i="20"/>
  <c r="E123" i="20"/>
  <c r="I122" i="20"/>
  <c r="E122" i="20"/>
  <c r="I121" i="20"/>
  <c r="E121" i="20"/>
  <c r="I120" i="20"/>
  <c r="E120" i="20"/>
  <c r="I119" i="20"/>
  <c r="E119" i="20"/>
  <c r="I118" i="20"/>
  <c r="E118" i="20"/>
  <c r="I117" i="20"/>
  <c r="E117" i="20"/>
  <c r="I116" i="20"/>
  <c r="E116" i="20"/>
  <c r="I115" i="20"/>
  <c r="E115" i="20"/>
  <c r="I114" i="20"/>
  <c r="E114" i="20"/>
  <c r="I113" i="20"/>
  <c r="E113" i="20"/>
  <c r="I112" i="20"/>
  <c r="E112" i="20"/>
  <c r="I111" i="20"/>
  <c r="E111" i="20"/>
  <c r="I110" i="20"/>
  <c r="E110" i="20"/>
  <c r="I109" i="20"/>
  <c r="E109" i="20"/>
  <c r="I108" i="20"/>
  <c r="E108" i="20"/>
  <c r="I107" i="20"/>
  <c r="E107" i="20"/>
  <c r="I106" i="20"/>
  <c r="E106" i="20"/>
  <c r="I105" i="20"/>
  <c r="E105" i="20"/>
  <c r="I104" i="20"/>
  <c r="E104" i="20"/>
  <c r="I103" i="20"/>
  <c r="E103" i="20"/>
  <c r="I102" i="20"/>
  <c r="E102" i="20"/>
  <c r="I101" i="20"/>
  <c r="E101" i="20"/>
  <c r="I100" i="20"/>
  <c r="E100" i="20"/>
  <c r="I99" i="20"/>
  <c r="E99" i="20"/>
  <c r="I98" i="20"/>
  <c r="E98" i="20"/>
  <c r="I97" i="20"/>
  <c r="E97" i="20"/>
  <c r="I96" i="20"/>
  <c r="E96" i="20"/>
  <c r="I95" i="20"/>
  <c r="E95" i="20"/>
  <c r="I94" i="20"/>
  <c r="E94" i="20"/>
  <c r="I93" i="20"/>
  <c r="E93" i="20"/>
  <c r="I92" i="20"/>
  <c r="E92" i="20"/>
  <c r="I91" i="20"/>
  <c r="E91" i="20"/>
  <c r="I90" i="20"/>
  <c r="E90" i="20"/>
  <c r="I89" i="20"/>
  <c r="E89" i="20"/>
  <c r="I88" i="20"/>
  <c r="E88" i="20"/>
  <c r="I87" i="20"/>
  <c r="E87" i="20"/>
  <c r="I86" i="20"/>
  <c r="E86" i="20"/>
  <c r="I85" i="20"/>
  <c r="E85" i="20"/>
  <c r="I84" i="20"/>
  <c r="E84" i="20"/>
  <c r="I83" i="20"/>
  <c r="E83" i="20"/>
  <c r="I82" i="20"/>
  <c r="E82" i="20"/>
  <c r="I81" i="20"/>
  <c r="E81" i="20"/>
  <c r="I80" i="20"/>
  <c r="E80" i="20"/>
  <c r="I79" i="20"/>
  <c r="E79" i="20"/>
  <c r="I78" i="20"/>
  <c r="E78" i="20"/>
  <c r="I77" i="20"/>
  <c r="E77" i="20"/>
  <c r="I76" i="20"/>
  <c r="E76" i="20"/>
  <c r="I75" i="20"/>
  <c r="E75" i="20"/>
  <c r="I74" i="20"/>
  <c r="E74" i="20"/>
  <c r="I73" i="20"/>
  <c r="E73" i="20"/>
  <c r="I72" i="20"/>
  <c r="E72" i="20"/>
  <c r="I71" i="20"/>
  <c r="E71" i="20"/>
  <c r="I70" i="20"/>
  <c r="E70" i="20"/>
  <c r="I69" i="20"/>
  <c r="E69" i="20"/>
  <c r="I68" i="20"/>
  <c r="E68" i="20"/>
  <c r="I67" i="20"/>
  <c r="E67" i="20"/>
  <c r="I66" i="20"/>
  <c r="E66" i="20"/>
  <c r="I65" i="20"/>
  <c r="E65" i="20"/>
  <c r="I64" i="20"/>
  <c r="E64" i="20"/>
  <c r="I63" i="20"/>
  <c r="E63" i="20"/>
  <c r="I62" i="20"/>
  <c r="E62" i="20"/>
  <c r="I61" i="20"/>
  <c r="E61" i="20"/>
  <c r="I60" i="20"/>
  <c r="E60" i="20"/>
  <c r="I59" i="20"/>
  <c r="E59" i="20"/>
  <c r="I58" i="20"/>
  <c r="E58" i="20"/>
  <c r="I57" i="20"/>
  <c r="E57" i="20"/>
  <c r="I56" i="20"/>
  <c r="E56" i="20"/>
  <c r="I55" i="20"/>
  <c r="E55" i="20"/>
  <c r="I54" i="20"/>
  <c r="E54" i="20"/>
  <c r="I53" i="20"/>
  <c r="E53" i="20"/>
  <c r="I52" i="20"/>
  <c r="E52" i="20"/>
  <c r="I51" i="20"/>
  <c r="E51" i="20"/>
  <c r="I50" i="20"/>
  <c r="E50" i="20"/>
  <c r="I49" i="20"/>
  <c r="E49" i="20"/>
  <c r="I48" i="20"/>
  <c r="E48" i="20"/>
  <c r="I47" i="20"/>
  <c r="E47" i="20"/>
  <c r="I46" i="20"/>
  <c r="E46" i="20"/>
  <c r="I45" i="20"/>
  <c r="E45" i="20"/>
  <c r="I44" i="20"/>
  <c r="E44" i="20"/>
  <c r="I43" i="20"/>
  <c r="E43" i="20"/>
  <c r="I42" i="20"/>
  <c r="E42" i="20"/>
  <c r="I41" i="20"/>
  <c r="E41" i="20"/>
  <c r="I40" i="20"/>
  <c r="E40" i="20"/>
  <c r="I39" i="20"/>
  <c r="E39" i="20"/>
  <c r="I38" i="20"/>
  <c r="E38" i="20"/>
  <c r="I37" i="20"/>
  <c r="E37" i="20"/>
  <c r="I36" i="20"/>
  <c r="E36" i="20"/>
  <c r="I35" i="20"/>
  <c r="E35" i="20"/>
  <c r="I34" i="20"/>
  <c r="E34" i="20"/>
  <c r="I33" i="20"/>
  <c r="E33" i="20"/>
  <c r="I32" i="20"/>
  <c r="E32" i="20"/>
  <c r="I31" i="20"/>
  <c r="E31" i="20"/>
  <c r="I30" i="20"/>
  <c r="E30" i="20"/>
  <c r="I29" i="20"/>
  <c r="E29" i="20"/>
  <c r="I28" i="20"/>
  <c r="E28" i="20"/>
  <c r="I27" i="20"/>
  <c r="E27" i="20"/>
  <c r="I26" i="20"/>
  <c r="E26" i="20"/>
  <c r="I25" i="20"/>
  <c r="E25" i="20"/>
  <c r="I24" i="20"/>
  <c r="E24" i="20"/>
  <c r="I23" i="20"/>
  <c r="E23" i="20"/>
  <c r="I22" i="20"/>
  <c r="E22" i="20"/>
  <c r="I21" i="20"/>
  <c r="E21" i="20"/>
  <c r="I20" i="20"/>
  <c r="E20" i="20"/>
  <c r="I19" i="20"/>
  <c r="E19" i="20"/>
  <c r="I18" i="20"/>
  <c r="E18" i="20"/>
  <c r="I17" i="20"/>
  <c r="E17" i="20"/>
  <c r="I16" i="20"/>
  <c r="E16" i="20"/>
  <c r="I15" i="20"/>
  <c r="E15" i="20"/>
  <c r="I14" i="20"/>
  <c r="E14" i="20"/>
  <c r="I13" i="20"/>
  <c r="E13" i="20"/>
  <c r="I12" i="20"/>
  <c r="E12" i="20"/>
  <c r="I11" i="20"/>
  <c r="E11" i="20"/>
  <c r="I10" i="20"/>
  <c r="E10" i="20"/>
  <c r="I9" i="20"/>
  <c r="E9" i="20"/>
  <c r="I8" i="20"/>
  <c r="E8" i="20"/>
  <c r="I7" i="20"/>
  <c r="E7" i="20"/>
  <c r="I6" i="20"/>
  <c r="E6" i="20"/>
  <c r="I5" i="20"/>
  <c r="E5" i="20"/>
  <c r="I4" i="20"/>
  <c r="E4" i="20"/>
  <c r="I3" i="20"/>
  <c r="E3" i="20"/>
  <c r="I2" i="20"/>
  <c r="E2" i="20"/>
  <c r="D59" i="17"/>
  <c r="D51" i="17"/>
  <c r="D43" i="17"/>
  <c r="D35" i="17"/>
  <c r="D27" i="17"/>
  <c r="D19" i="17"/>
  <c r="D60" i="17"/>
  <c r="D52" i="17"/>
  <c r="D44" i="17"/>
  <c r="D36" i="17"/>
  <c r="D28" i="17"/>
  <c r="D20" i="17"/>
  <c r="D57" i="17"/>
  <c r="D49" i="17"/>
  <c r="D41" i="17"/>
  <c r="D33" i="17"/>
  <c r="D25" i="17"/>
  <c r="D17" i="17"/>
  <c r="D58" i="17"/>
  <c r="D50" i="17"/>
  <c r="D42" i="17"/>
  <c r="D34" i="17"/>
  <c r="D26" i="17"/>
  <c r="D18" i="17"/>
  <c r="D63" i="17"/>
  <c r="D55" i="17"/>
  <c r="D47" i="17"/>
  <c r="D39" i="17"/>
  <c r="D31" i="17"/>
  <c r="D23" i="17"/>
  <c r="D15" i="17"/>
  <c r="D56" i="17"/>
  <c r="D48" i="17"/>
  <c r="D40" i="17"/>
  <c r="D32" i="17"/>
  <c r="D24" i="17"/>
  <c r="D16" i="17"/>
  <c r="D61" i="17"/>
  <c r="D53" i="17"/>
  <c r="D45" i="17"/>
  <c r="D37" i="17"/>
  <c r="D29" i="17"/>
  <c r="D21" i="17"/>
  <c r="D62" i="17"/>
  <c r="D54" i="17"/>
  <c r="D46" i="17"/>
  <c r="D38" i="17"/>
  <c r="D30" i="17"/>
  <c r="D22" i="17"/>
  <c r="D64" i="17"/>
  <c r="G194" i="1" l="1"/>
  <c r="G192" i="1"/>
  <c r="G190" i="1"/>
  <c r="G188" i="1"/>
  <c r="G186" i="1"/>
  <c r="G184" i="1"/>
  <c r="G182" i="1"/>
  <c r="G180" i="1"/>
  <c r="G178" i="1"/>
  <c r="G176" i="1"/>
  <c r="G174" i="1"/>
  <c r="G172" i="1"/>
  <c r="G170" i="1"/>
  <c r="G168" i="1"/>
  <c r="G166" i="1"/>
  <c r="G164" i="1"/>
  <c r="G162" i="1"/>
  <c r="G160" i="1"/>
  <c r="G158" i="1"/>
  <c r="G156" i="1"/>
  <c r="G154" i="1"/>
  <c r="G152" i="1"/>
  <c r="G150" i="1"/>
  <c r="G148" i="1"/>
  <c r="G146" i="1"/>
  <c r="G193" i="1"/>
  <c r="G191" i="1"/>
  <c r="G189" i="1"/>
  <c r="G187" i="1"/>
  <c r="G185" i="1"/>
  <c r="G183" i="1"/>
  <c r="G181" i="1"/>
  <c r="G179" i="1"/>
  <c r="G177" i="1"/>
  <c r="G175" i="1"/>
  <c r="G173" i="1"/>
  <c r="G171" i="1"/>
  <c r="G169" i="1"/>
  <c r="G167" i="1"/>
  <c r="G165" i="1"/>
  <c r="G163" i="1"/>
  <c r="G161" i="1"/>
  <c r="G159" i="1"/>
  <c r="G157" i="1"/>
  <c r="G155" i="1"/>
  <c r="G153" i="1"/>
  <c r="G151" i="1"/>
  <c r="G149" i="1"/>
  <c r="G147" i="1"/>
  <c r="G145" i="1"/>
  <c r="G143" i="1"/>
  <c r="G141" i="1"/>
  <c r="G139" i="1"/>
  <c r="G137" i="1"/>
  <c r="G135" i="1"/>
  <c r="G133" i="1"/>
  <c r="G131" i="1"/>
  <c r="G129" i="1"/>
  <c r="G127" i="1"/>
  <c r="G125" i="1"/>
  <c r="G123" i="1"/>
  <c r="G121" i="1"/>
  <c r="G119" i="1"/>
  <c r="G117" i="1"/>
  <c r="G115" i="1"/>
  <c r="G113" i="1"/>
  <c r="G111" i="1"/>
  <c r="G109" i="1"/>
  <c r="G107" i="1"/>
  <c r="G105" i="1"/>
  <c r="G103" i="1"/>
  <c r="G101" i="1"/>
  <c r="G99" i="1"/>
  <c r="G97" i="1"/>
  <c r="G95" i="1"/>
  <c r="G93" i="1"/>
  <c r="G91" i="1"/>
  <c r="G89" i="1"/>
  <c r="G87" i="1"/>
  <c r="G85" i="1"/>
  <c r="G83" i="1"/>
  <c r="G81" i="1"/>
  <c r="G79" i="1"/>
  <c r="G77" i="1"/>
  <c r="G75" i="1"/>
  <c r="G73" i="1"/>
  <c r="G71" i="1"/>
  <c r="G69" i="1"/>
  <c r="G67" i="1"/>
  <c r="G65" i="1"/>
  <c r="G63" i="1"/>
  <c r="G61" i="1"/>
  <c r="G59" i="1"/>
  <c r="G57" i="1"/>
  <c r="G55" i="1"/>
  <c r="G53" i="1"/>
  <c r="G51" i="1"/>
  <c r="G49" i="1"/>
  <c r="G47" i="1"/>
  <c r="G45" i="1"/>
  <c r="G43" i="1"/>
  <c r="G41" i="1"/>
  <c r="G39" i="1"/>
  <c r="G37" i="1"/>
  <c r="G35" i="1"/>
  <c r="G33" i="1"/>
  <c r="G31" i="1"/>
  <c r="G29" i="1"/>
  <c r="G27" i="1"/>
  <c r="G25" i="1"/>
  <c r="G5" i="1"/>
  <c r="G7" i="1"/>
  <c r="G9" i="1"/>
  <c r="G11" i="1"/>
  <c r="G13" i="1"/>
  <c r="G15" i="1"/>
  <c r="G17" i="1"/>
  <c r="G19" i="1"/>
  <c r="G21" i="1"/>
  <c r="G23" i="1"/>
  <c r="G26" i="1"/>
  <c r="G30" i="1"/>
  <c r="G34" i="1"/>
  <c r="G38" i="1"/>
  <c r="G42" i="1"/>
  <c r="G46" i="1"/>
  <c r="G50" i="1"/>
  <c r="G54" i="1"/>
  <c r="G58" i="1"/>
  <c r="G62" i="1"/>
  <c r="G66" i="1"/>
  <c r="G70" i="1"/>
  <c r="G74" i="1"/>
  <c r="G78" i="1"/>
  <c r="G82" i="1"/>
  <c r="G86" i="1"/>
  <c r="G90" i="1"/>
  <c r="G94" i="1"/>
  <c r="G98" i="1"/>
  <c r="G102" i="1"/>
  <c r="G106" i="1"/>
  <c r="G110" i="1"/>
  <c r="G114" i="1"/>
  <c r="G118" i="1"/>
  <c r="G122" i="1"/>
  <c r="G126" i="1"/>
  <c r="G130" i="1"/>
  <c r="G134" i="1"/>
  <c r="G138" i="1"/>
  <c r="G142" i="1"/>
  <c r="G6" i="1"/>
  <c r="G8" i="1"/>
  <c r="G10" i="1"/>
  <c r="G12" i="1"/>
  <c r="G14" i="1"/>
  <c r="G16" i="1"/>
  <c r="G18" i="1"/>
  <c r="G20" i="1"/>
  <c r="G22" i="1"/>
  <c r="G24" i="1"/>
  <c r="G28" i="1"/>
  <c r="G32" i="1"/>
  <c r="G36" i="1"/>
  <c r="G40" i="1"/>
  <c r="G44" i="1"/>
  <c r="G48" i="1"/>
  <c r="G52" i="1"/>
  <c r="G56" i="1"/>
  <c r="G60" i="1"/>
  <c r="G64" i="1"/>
  <c r="G68" i="1"/>
  <c r="G72" i="1"/>
  <c r="G76" i="1"/>
  <c r="G80" i="1"/>
  <c r="G84" i="1"/>
  <c r="G88" i="1"/>
  <c r="G92" i="1"/>
  <c r="G96" i="1"/>
  <c r="G100" i="1"/>
  <c r="G104" i="1"/>
  <c r="G108" i="1"/>
  <c r="G112" i="1"/>
  <c r="G116" i="1"/>
  <c r="G120" i="1"/>
  <c r="G124" i="1"/>
  <c r="G128" i="1"/>
  <c r="G132" i="1"/>
  <c r="G136" i="1"/>
  <c r="G140" i="1"/>
  <c r="G144" i="1"/>
  <c r="E194" i="1"/>
  <c r="E192" i="1"/>
  <c r="E190" i="1"/>
  <c r="E188" i="1"/>
  <c r="E186" i="1"/>
  <c r="E182" i="1"/>
  <c r="E180" i="1"/>
  <c r="E178" i="1"/>
  <c r="E176" i="1"/>
  <c r="E174" i="1"/>
  <c r="E172" i="1"/>
  <c r="E170" i="1"/>
  <c r="E168" i="1"/>
  <c r="E166" i="1"/>
  <c r="E164" i="1"/>
  <c r="E162" i="1"/>
  <c r="E158" i="1"/>
  <c r="E156" i="1"/>
  <c r="E152" i="1"/>
  <c r="E150" i="1"/>
  <c r="E148" i="1"/>
  <c r="E146" i="1"/>
  <c r="E138" i="1"/>
  <c r="E136" i="1"/>
  <c r="E130" i="1"/>
  <c r="E126" i="1"/>
  <c r="E124" i="1"/>
  <c r="E122" i="1"/>
  <c r="E120" i="1"/>
  <c r="E118" i="1"/>
  <c r="E114" i="1"/>
  <c r="E112" i="1"/>
  <c r="E110" i="1"/>
  <c r="E108" i="1"/>
  <c r="E106" i="1"/>
  <c r="E104" i="1"/>
  <c r="E102" i="1"/>
  <c r="E100" i="1"/>
  <c r="E98" i="1"/>
  <c r="E96" i="1"/>
  <c r="E94" i="1"/>
  <c r="E92" i="1"/>
  <c r="E90" i="1"/>
  <c r="E88" i="1"/>
  <c r="E84" i="1"/>
  <c r="E82" i="1"/>
  <c r="E78" i="1"/>
  <c r="E76" i="1"/>
  <c r="E74" i="1"/>
  <c r="E72" i="1"/>
  <c r="E70" i="1"/>
  <c r="E66" i="1"/>
  <c r="E62" i="1"/>
  <c r="E60" i="1"/>
  <c r="E58" i="1"/>
  <c r="E56" i="1"/>
  <c r="E54" i="1"/>
  <c r="E52" i="1"/>
  <c r="E50" i="1"/>
  <c r="E48" i="1"/>
  <c r="E46" i="1"/>
  <c r="E44" i="1"/>
  <c r="E42" i="1"/>
  <c r="E40" i="1"/>
  <c r="E38" i="1"/>
  <c r="E36" i="1"/>
  <c r="E34" i="1"/>
  <c r="E32" i="1"/>
  <c r="E30" i="1"/>
  <c r="E26" i="1"/>
  <c r="E193" i="1"/>
  <c r="E191" i="1"/>
  <c r="E189" i="1"/>
  <c r="E187" i="1"/>
  <c r="E185" i="1"/>
  <c r="E181" i="1"/>
  <c r="E179" i="1"/>
  <c r="E177" i="1"/>
  <c r="E175" i="1"/>
  <c r="E173" i="1"/>
  <c r="E171" i="1"/>
  <c r="E169" i="1"/>
  <c r="E167" i="1"/>
  <c r="E165" i="1"/>
  <c r="E163" i="1"/>
  <c r="E161" i="1"/>
  <c r="E157" i="1"/>
  <c r="E155" i="1"/>
  <c r="E153" i="1"/>
  <c r="E151" i="1"/>
  <c r="E147" i="1"/>
  <c r="E143" i="1"/>
  <c r="E139" i="1"/>
  <c r="E137" i="1"/>
  <c r="E135" i="1"/>
  <c r="E133" i="1"/>
  <c r="E131" i="1"/>
  <c r="E129" i="1"/>
  <c r="E125" i="1"/>
  <c r="E123" i="1"/>
  <c r="E121" i="1"/>
  <c r="E119" i="1"/>
  <c r="E117" i="1"/>
  <c r="E115" i="1"/>
  <c r="E113" i="1"/>
  <c r="E111" i="1"/>
  <c r="E107" i="1"/>
  <c r="E105" i="1"/>
  <c r="E103" i="1"/>
  <c r="E101" i="1"/>
  <c r="E99" i="1"/>
  <c r="E97" i="1"/>
  <c r="E95" i="1"/>
  <c r="E93" i="1"/>
  <c r="E91" i="1"/>
  <c r="E89" i="1"/>
  <c r="E87" i="1"/>
  <c r="E85" i="1"/>
  <c r="E83" i="1"/>
  <c r="E79" i="1"/>
  <c r="E77" i="1"/>
  <c r="E75" i="1"/>
  <c r="E73" i="1"/>
  <c r="E71" i="1"/>
  <c r="E69" i="1"/>
  <c r="E67" i="1"/>
  <c r="E65" i="1"/>
  <c r="E63" i="1"/>
  <c r="E61" i="1"/>
  <c r="E59" i="1"/>
  <c r="E57" i="1"/>
  <c r="E55" i="1"/>
  <c r="E53" i="1"/>
  <c r="E49" i="1"/>
  <c r="E47" i="1"/>
  <c r="E45" i="1"/>
  <c r="E43" i="1"/>
  <c r="E41" i="1"/>
  <c r="E39" i="1"/>
  <c r="E37" i="1"/>
  <c r="E33" i="1"/>
  <c r="E31" i="1"/>
  <c r="E29" i="1"/>
  <c r="E27" i="1"/>
  <c r="E6" i="1"/>
  <c r="E8" i="1"/>
  <c r="K8" i="1" s="1"/>
  <c r="E10" i="1"/>
  <c r="E12" i="1"/>
  <c r="K12" i="1" s="1"/>
  <c r="E14" i="1"/>
  <c r="E16" i="1"/>
  <c r="K16" i="1" s="1"/>
  <c r="E18" i="1"/>
  <c r="E20" i="1"/>
  <c r="K20" i="1" s="1"/>
  <c r="E22" i="1"/>
  <c r="E24" i="1"/>
  <c r="K24" i="1" s="1"/>
  <c r="E5" i="1"/>
  <c r="E7" i="1"/>
  <c r="K7" i="1" s="1"/>
  <c r="E9" i="1"/>
  <c r="K9" i="1" s="1"/>
  <c r="E11" i="1"/>
  <c r="E15" i="1"/>
  <c r="E17" i="1"/>
  <c r="E19" i="1"/>
  <c r="K19" i="1" s="1"/>
  <c r="E21" i="1"/>
  <c r="E23" i="1"/>
  <c r="K23" i="1" s="1"/>
  <c r="E25" i="1"/>
  <c r="B6" i="1"/>
  <c r="B7" i="1" s="1"/>
  <c r="B8" i="1" s="1"/>
  <c r="B9" i="1" s="1"/>
  <c r="B10" i="1" s="1"/>
  <c r="B11" i="1" s="1"/>
  <c r="B12" i="1" s="1"/>
  <c r="B13" i="1" s="1"/>
  <c r="B14" i="1" s="1"/>
  <c r="B15" i="1" s="1"/>
  <c r="B16" i="1" s="1"/>
  <c r="B17" i="1" s="1"/>
  <c r="B18" i="1" s="1"/>
  <c r="B19" i="1" s="1"/>
  <c r="B20" i="1" s="1"/>
  <c r="B21" i="1" s="1"/>
  <c r="B22" i="1" s="1"/>
  <c r="B23" i="1" s="1"/>
  <c r="B24" i="1" s="1"/>
  <c r="B25" i="1" s="1"/>
  <c r="B26" i="1" s="1"/>
  <c r="B27" i="1" s="1"/>
  <c r="B28" i="1" s="1"/>
  <c r="B29" i="1" s="1"/>
  <c r="B30" i="1" s="1"/>
  <c r="B31" i="1" s="1"/>
  <c r="B32" i="1" s="1"/>
  <c r="B33" i="1" s="1"/>
  <c r="B34" i="1" s="1"/>
  <c r="B35" i="1" s="1"/>
  <c r="B36" i="1" s="1"/>
  <c r="B37" i="1" s="1"/>
  <c r="B38" i="1" s="1"/>
  <c r="B39" i="1" s="1"/>
  <c r="B40" i="1" s="1"/>
  <c r="B41" i="1" s="1"/>
  <c r="B42" i="1" s="1"/>
  <c r="B43" i="1" s="1"/>
  <c r="B44" i="1" s="1"/>
  <c r="B45" i="1" s="1"/>
  <c r="B46" i="1" s="1"/>
  <c r="B47" i="1" s="1"/>
  <c r="B48" i="1" s="1"/>
  <c r="B49" i="1" s="1"/>
  <c r="B50" i="1" s="1"/>
  <c r="B51" i="1" s="1"/>
  <c r="B52" i="1" s="1"/>
  <c r="B53" i="1" s="1"/>
  <c r="B54" i="1" s="1"/>
  <c r="B55" i="1" s="1"/>
  <c r="B56" i="1" s="1"/>
  <c r="B57" i="1" s="1"/>
  <c r="B58" i="1" s="1"/>
  <c r="B59" i="1" s="1"/>
  <c r="B60" i="1" s="1"/>
  <c r="B61" i="1" s="1"/>
  <c r="B62" i="1" s="1"/>
  <c r="B63" i="1" s="1"/>
  <c r="B64" i="1" s="1"/>
  <c r="B65" i="1" s="1"/>
  <c r="B66" i="1" s="1"/>
  <c r="B67" i="1" s="1"/>
  <c r="B68" i="1" s="1"/>
  <c r="B69" i="1" s="1"/>
  <c r="B70" i="1" s="1"/>
  <c r="B71" i="1" s="1"/>
  <c r="B72" i="1" s="1"/>
  <c r="B73" i="1" s="1"/>
  <c r="B74" i="1" s="1"/>
  <c r="B75" i="1" s="1"/>
  <c r="B76" i="1" s="1"/>
  <c r="B77" i="1" s="1"/>
  <c r="B78" i="1" s="1"/>
  <c r="B79" i="1" s="1"/>
  <c r="B80" i="1" s="1"/>
  <c r="B81" i="1" s="1"/>
  <c r="B82" i="1" s="1"/>
  <c r="B83" i="1" s="1"/>
  <c r="B84" i="1" s="1"/>
  <c r="B85" i="1" s="1"/>
  <c r="B86" i="1" s="1"/>
  <c r="B87" i="1" s="1"/>
  <c r="B88" i="1" s="1"/>
  <c r="B89" i="1" s="1"/>
  <c r="B90" i="1" s="1"/>
  <c r="B91" i="1" s="1"/>
  <c r="B92" i="1" s="1"/>
  <c r="B93" i="1" s="1"/>
  <c r="B94" i="1" s="1"/>
  <c r="B95" i="1" s="1"/>
  <c r="B96" i="1" s="1"/>
  <c r="B97" i="1" s="1"/>
  <c r="B98" i="1" s="1"/>
  <c r="B99" i="1" s="1"/>
  <c r="B100" i="1" s="1"/>
  <c r="B101" i="1" s="1"/>
  <c r="B102" i="1" s="1"/>
  <c r="B103" i="1" s="1"/>
  <c r="B104" i="1" s="1"/>
  <c r="B105" i="1" s="1"/>
  <c r="B106" i="1" s="1"/>
  <c r="B107" i="1" s="1"/>
  <c r="B108" i="1" s="1"/>
  <c r="B109" i="1" s="1"/>
  <c r="B110" i="1" s="1"/>
  <c r="B111" i="1" s="1"/>
  <c r="B112" i="1" s="1"/>
  <c r="B113" i="1" s="1"/>
  <c r="B114" i="1" s="1"/>
  <c r="B115" i="1" s="1"/>
  <c r="B116" i="1" s="1"/>
  <c r="B117" i="1" s="1"/>
  <c r="B118" i="1" s="1"/>
  <c r="B119" i="1" s="1"/>
  <c r="B120" i="1" s="1"/>
  <c r="B121" i="1" s="1"/>
  <c r="B122" i="1" s="1"/>
  <c r="B123" i="1" s="1"/>
  <c r="B124" i="1" s="1"/>
  <c r="B125" i="1" s="1"/>
  <c r="B126" i="1" s="1"/>
  <c r="B127" i="1" s="1"/>
  <c r="B128" i="1" s="1"/>
  <c r="B129" i="1" s="1"/>
  <c r="B130" i="1" s="1"/>
  <c r="B131" i="1" s="1"/>
  <c r="B132" i="1" s="1"/>
  <c r="B133" i="1" s="1"/>
  <c r="B134" i="1" s="1"/>
  <c r="B135" i="1" s="1"/>
  <c r="B136" i="1" s="1"/>
  <c r="B137" i="1" s="1"/>
  <c r="B138" i="1" s="1"/>
  <c r="B139" i="1" s="1"/>
  <c r="B140" i="1" s="1"/>
  <c r="B141" i="1" s="1"/>
  <c r="B142" i="1" s="1"/>
  <c r="B143" i="1" s="1"/>
  <c r="B144" i="1" s="1"/>
  <c r="B145" i="1" s="1"/>
  <c r="B146" i="1" s="1"/>
  <c r="B147" i="1" s="1"/>
  <c r="B148" i="1" s="1"/>
  <c r="B149" i="1" s="1"/>
  <c r="B150" i="1" s="1"/>
  <c r="B151" i="1" s="1"/>
  <c r="B152" i="1" s="1"/>
  <c r="B153" i="1" s="1"/>
  <c r="B154" i="1" s="1"/>
  <c r="B155" i="1" s="1"/>
  <c r="B156" i="1" s="1"/>
  <c r="B157" i="1" s="1"/>
  <c r="B158" i="1" s="1"/>
  <c r="B159" i="1" s="1"/>
  <c r="B160" i="1" s="1"/>
  <c r="B161" i="1" s="1"/>
  <c r="B162" i="1" s="1"/>
  <c r="B163" i="1" s="1"/>
  <c r="B164" i="1" s="1"/>
  <c r="B165" i="1" s="1"/>
  <c r="B166" i="1" s="1"/>
  <c r="B167" i="1" s="1"/>
  <c r="B168" i="1" s="1"/>
  <c r="B169" i="1" s="1"/>
  <c r="B170" i="1" s="1"/>
  <c r="B171" i="1" s="1"/>
  <c r="B172" i="1" s="1"/>
  <c r="B173" i="1" s="1"/>
  <c r="B174" i="1" s="1"/>
  <c r="B175" i="1" s="1"/>
  <c r="B176" i="1" s="1"/>
  <c r="B177" i="1" s="1"/>
  <c r="B178" i="1" s="1"/>
  <c r="B179" i="1" s="1"/>
  <c r="B180" i="1" s="1"/>
  <c r="B181" i="1" s="1"/>
  <c r="B182" i="1" s="1"/>
  <c r="B183" i="1" s="1"/>
  <c r="B184" i="1" s="1"/>
  <c r="B185" i="1" s="1"/>
  <c r="B186" i="1" s="1"/>
  <c r="B187" i="1" s="1"/>
  <c r="B188" i="1" s="1"/>
  <c r="B189" i="1" s="1"/>
  <c r="B190" i="1" s="1"/>
  <c r="B191" i="1" s="1"/>
  <c r="B192" i="1" s="1"/>
  <c r="B193" i="1" s="1"/>
  <c r="B194" i="1" s="1"/>
  <c r="K6" i="1"/>
  <c r="K84" i="1"/>
  <c r="K10" i="1"/>
  <c r="K11" i="1"/>
  <c r="K13" i="1"/>
  <c r="K14" i="1"/>
  <c r="K15" i="1"/>
  <c r="K17" i="1"/>
  <c r="K18" i="1"/>
  <c r="K21" i="1"/>
  <c r="K22" i="1"/>
  <c r="K25" i="1"/>
  <c r="K26" i="1"/>
  <c r="K27" i="1"/>
  <c r="K28" i="1"/>
  <c r="K29" i="1"/>
  <c r="K30" i="1"/>
  <c r="K32" i="1"/>
  <c r="K33" i="1"/>
  <c r="K34" i="1"/>
  <c r="K35" i="1"/>
  <c r="K36" i="1"/>
  <c r="K37" i="1"/>
  <c r="K38" i="1"/>
  <c r="K39" i="1"/>
  <c r="K168" i="1"/>
  <c r="K41" i="1"/>
  <c r="K42" i="1"/>
  <c r="K45" i="1"/>
  <c r="K47" i="1"/>
  <c r="K48" i="1"/>
  <c r="K49" i="1"/>
  <c r="K50" i="1"/>
  <c r="K93" i="1"/>
  <c r="K44" i="1"/>
  <c r="K43" i="1"/>
  <c r="K51" i="1"/>
  <c r="K52" i="1"/>
  <c r="K53" i="1"/>
  <c r="K54" i="1"/>
  <c r="K173" i="1"/>
  <c r="K55" i="1"/>
  <c r="K56" i="1"/>
  <c r="K57" i="1"/>
  <c r="K58" i="1"/>
  <c r="K59" i="1"/>
  <c r="K60" i="1"/>
  <c r="K61" i="1"/>
  <c r="K117" i="1"/>
  <c r="K62" i="1"/>
  <c r="K63" i="1"/>
  <c r="K106" i="1"/>
  <c r="K64" i="1"/>
  <c r="K65" i="1"/>
  <c r="K66" i="1"/>
  <c r="K67" i="1"/>
  <c r="K68" i="1"/>
  <c r="K69" i="1"/>
  <c r="K184" i="1"/>
  <c r="K70" i="1"/>
  <c r="K71" i="1"/>
  <c r="K72" i="1"/>
  <c r="K73" i="1"/>
  <c r="K74" i="1"/>
  <c r="K75" i="1"/>
  <c r="K76" i="1"/>
  <c r="K77" i="1"/>
  <c r="K78" i="1"/>
  <c r="K79" i="1"/>
  <c r="K80" i="1"/>
  <c r="K81" i="1"/>
  <c r="K82" i="1"/>
  <c r="K83" i="1"/>
  <c r="K85" i="1"/>
  <c r="K86" i="1"/>
  <c r="K46" i="1"/>
  <c r="K87" i="1"/>
  <c r="K88" i="1"/>
  <c r="K89" i="1"/>
  <c r="K90" i="1"/>
  <c r="K91" i="1"/>
  <c r="K149" i="1"/>
  <c r="K92" i="1"/>
  <c r="K95" i="1"/>
  <c r="K96" i="1"/>
  <c r="K97" i="1"/>
  <c r="K98" i="1"/>
  <c r="K99" i="1"/>
  <c r="K100" i="1"/>
  <c r="K101" i="1"/>
  <c r="K102" i="1"/>
  <c r="K103" i="1"/>
  <c r="K104" i="1"/>
  <c r="K105" i="1"/>
  <c r="K107" i="1"/>
  <c r="K108" i="1"/>
  <c r="K109" i="1"/>
  <c r="K110" i="1"/>
  <c r="K111" i="1"/>
  <c r="K112" i="1"/>
  <c r="K113" i="1"/>
  <c r="K114" i="1"/>
  <c r="K115" i="1"/>
  <c r="K116" i="1"/>
  <c r="K118" i="1"/>
  <c r="K119" i="1"/>
  <c r="K120" i="1"/>
  <c r="K121" i="1"/>
  <c r="K122" i="1"/>
  <c r="K123" i="1"/>
  <c r="K31" i="1"/>
  <c r="K124" i="1"/>
  <c r="K125" i="1"/>
  <c r="K126" i="1"/>
  <c r="K127" i="1"/>
  <c r="K128" i="1"/>
  <c r="K129" i="1"/>
  <c r="K130" i="1"/>
  <c r="K131" i="1"/>
  <c r="K132" i="1"/>
  <c r="K133" i="1"/>
  <c r="K134" i="1"/>
  <c r="K135" i="1"/>
  <c r="K136" i="1"/>
  <c r="K137" i="1"/>
  <c r="K138" i="1"/>
  <c r="K40" i="1"/>
  <c r="K139" i="1"/>
  <c r="K140" i="1"/>
  <c r="K141" i="1"/>
  <c r="K142" i="1"/>
  <c r="K143" i="1"/>
  <c r="K94" i="1"/>
  <c r="K144" i="1"/>
  <c r="K145" i="1"/>
  <c r="K146" i="1"/>
  <c r="K150" i="1"/>
  <c r="K151" i="1"/>
  <c r="K152" i="1"/>
  <c r="K153" i="1"/>
  <c r="K154" i="1"/>
  <c r="K155" i="1"/>
  <c r="K156" i="1"/>
  <c r="K157" i="1"/>
  <c r="K158" i="1"/>
  <c r="K159" i="1"/>
  <c r="K160" i="1"/>
  <c r="K161" i="1"/>
  <c r="K147" i="1"/>
  <c r="K162" i="1"/>
  <c r="K163" i="1"/>
  <c r="K164" i="1"/>
  <c r="K165" i="1"/>
  <c r="K166" i="1"/>
  <c r="K167" i="1"/>
  <c r="K170" i="1"/>
  <c r="K169" i="1"/>
  <c r="K171" i="1"/>
  <c r="K172" i="1"/>
  <c r="K174" i="1"/>
  <c r="K175" i="1"/>
  <c r="K176" i="1"/>
  <c r="K177" i="1"/>
  <c r="K178" i="1"/>
  <c r="K179" i="1"/>
  <c r="K180" i="1"/>
  <c r="K181" i="1"/>
  <c r="K182" i="1"/>
  <c r="K183" i="1"/>
  <c r="K185" i="1"/>
  <c r="K186" i="1"/>
  <c r="K187" i="1"/>
  <c r="K188" i="1"/>
  <c r="K189" i="1"/>
  <c r="K190" i="1"/>
  <c r="K191" i="1"/>
  <c r="K148" i="1"/>
  <c r="K192" i="1"/>
  <c r="K193" i="1"/>
  <c r="K194" i="1"/>
  <c r="K5" i="1"/>
  <c r="B63" i="17"/>
  <c r="B62" i="17" s="1"/>
  <c r="B61" i="17" s="1"/>
  <c r="B60" i="17" s="1"/>
  <c r="B59" i="17" s="1"/>
  <c r="B58" i="17" s="1"/>
  <c r="B57" i="17" s="1"/>
  <c r="B56" i="17" s="1"/>
  <c r="B55" i="17" s="1"/>
  <c r="B54" i="17" s="1"/>
  <c r="B53" i="17" s="1"/>
  <c r="B52" i="17" s="1"/>
  <c r="B51" i="17" s="1"/>
  <c r="B50" i="17" s="1"/>
  <c r="B49" i="17" s="1"/>
  <c r="B48" i="17" s="1"/>
  <c r="B47" i="17" s="1"/>
  <c r="B46" i="17" s="1"/>
  <c r="B45" i="17" s="1"/>
  <c r="B44" i="17" s="1"/>
  <c r="B43" i="17" s="1"/>
  <c r="B42" i="17" s="1"/>
  <c r="B41" i="17" s="1"/>
  <c r="B40" i="17" s="1"/>
  <c r="B39" i="17" s="1"/>
  <c r="B38" i="17" s="1"/>
  <c r="B37" i="17" s="1"/>
  <c r="B36" i="17" s="1"/>
  <c r="B35" i="17" s="1"/>
  <c r="B34" i="17" s="1"/>
  <c r="B33" i="17" s="1"/>
  <c r="B32" i="17" s="1"/>
  <c r="B31" i="17" s="1"/>
  <c r="B30" i="17" s="1"/>
  <c r="B29" i="17" s="1"/>
  <c r="B28" i="17" s="1"/>
  <c r="B27" i="17" s="1"/>
  <c r="B26" i="17" s="1"/>
  <c r="B25" i="17" s="1"/>
  <c r="B24" i="17" s="1"/>
  <c r="B23" i="17" s="1"/>
  <c r="B22" i="17" s="1"/>
  <c r="B21" i="17" s="1"/>
  <c r="B20" i="17" s="1"/>
  <c r="B19" i="17" s="1"/>
  <c r="B18" i="17" s="1"/>
  <c r="B17" i="17" s="1"/>
  <c r="B16" i="17" s="1"/>
  <c r="B15" i="17" s="1"/>
  <c r="E16" i="17" l="1"/>
  <c r="E15" i="17"/>
  <c r="O3" i="19" s="1"/>
  <c r="C15" i="17" l="1"/>
  <c r="J3" i="19"/>
  <c r="E17" i="17"/>
  <c r="C16" i="17" s="1"/>
  <c r="C17" i="17" s="1"/>
  <c r="C18" i="17" s="1"/>
  <c r="C19" i="17" s="1"/>
  <c r="C20" i="17" s="1"/>
  <c r="C21" i="17" s="1"/>
  <c r="C22" i="17" s="1"/>
  <c r="C23" i="17" s="1"/>
  <c r="C24" i="17" s="1"/>
  <c r="C25" i="17" s="1"/>
  <c r="C26" i="17" s="1"/>
  <c r="C27" i="17" s="1"/>
  <c r="C28" i="17" s="1"/>
  <c r="C29" i="17" s="1"/>
  <c r="C30" i="17" s="1"/>
  <c r="C31" i="17" s="1"/>
  <c r="C32" i="17" s="1"/>
  <c r="C33" i="17" s="1"/>
  <c r="C34" i="17" s="1"/>
  <c r="C35" i="17" s="1"/>
  <c r="C36" i="17" s="1"/>
  <c r="C37" i="17" s="1"/>
  <c r="C38" i="17" s="1"/>
  <c r="C39" i="17" s="1"/>
  <c r="C40" i="17" s="1"/>
  <c r="C41" i="17" s="1"/>
  <c r="C42" i="17" s="1"/>
  <c r="C43" i="17" s="1"/>
  <c r="C44" i="17" s="1"/>
  <c r="C45" i="17" s="1"/>
  <c r="C46" i="17" s="1"/>
  <c r="C47" i="17" s="1"/>
  <c r="C48" i="17" s="1"/>
  <c r="C49" i="17" s="1"/>
  <c r="C50" i="17" s="1"/>
  <c r="C51" i="17" s="1"/>
  <c r="C52" i="17" s="1"/>
  <c r="C53" i="17" s="1"/>
  <c r="C54" i="17" s="1"/>
  <c r="C55" i="17" s="1"/>
  <c r="C56" i="17" s="1"/>
  <c r="C57" i="17" s="1"/>
  <c r="C58" i="17" s="1"/>
  <c r="C59" i="17" s="1"/>
  <c r="C60" i="17" s="1"/>
  <c r="C61" i="17" s="1"/>
  <c r="C62" i="17" s="1"/>
  <c r="C63" i="17" s="1"/>
  <c r="C64" i="17" s="1"/>
</calcChain>
</file>

<file path=xl/comments1.xml><?xml version="1.0" encoding="utf-8"?>
<comments xmlns="http://schemas.openxmlformats.org/spreadsheetml/2006/main">
  <authors>
    <author>Bryan Munch</author>
  </authors>
  <commentList>
    <comment ref="I3" authorId="0">
      <text>
        <r>
          <rPr>
            <b/>
            <sz val="8"/>
            <color indexed="81"/>
            <rFont val="Tahoma"/>
            <family val="2"/>
          </rPr>
          <t>Bryan Munch:</t>
        </r>
        <r>
          <rPr>
            <sz val="8"/>
            <color indexed="81"/>
            <rFont val="Tahoma"/>
            <family val="2"/>
          </rPr>
          <t xml:space="preserve">
average by country data limited to countries with &gt;5 respondents</t>
        </r>
      </text>
    </comment>
  </commentList>
</comments>
</file>

<file path=xl/sharedStrings.xml><?xml version="1.0" encoding="utf-8"?>
<sst xmlns="http://schemas.openxmlformats.org/spreadsheetml/2006/main" count="12769" uniqueCount="4055">
  <si>
    <t>No.</t>
  </si>
  <si>
    <t>Country</t>
  </si>
  <si>
    <t>Mexico</t>
  </si>
  <si>
    <t>Selection</t>
  </si>
  <si>
    <t>Control</t>
  </si>
  <si>
    <t>Steps</t>
  </si>
  <si>
    <t>Abbreviation</t>
  </si>
  <si>
    <t>Afghanistan</t>
  </si>
  <si>
    <t>AFG</t>
  </si>
  <si>
    <t>Egypt</t>
  </si>
  <si>
    <t>EGY</t>
  </si>
  <si>
    <t>Albania</t>
  </si>
  <si>
    <t>ALB</t>
  </si>
  <si>
    <t>Algeria</t>
  </si>
  <si>
    <t>DZA</t>
  </si>
  <si>
    <t>USA</t>
  </si>
  <si>
    <t>Andorra</t>
  </si>
  <si>
    <t>AND</t>
  </si>
  <si>
    <t>Angola</t>
  </si>
  <si>
    <t>AGO</t>
  </si>
  <si>
    <t>GBR</t>
  </si>
  <si>
    <t>ATG</t>
  </si>
  <si>
    <t>Equatorial Guinea</t>
  </si>
  <si>
    <t>GNQ</t>
  </si>
  <si>
    <t>Argentina</t>
  </si>
  <si>
    <t>ARG</t>
  </si>
  <si>
    <t>Armenia</t>
  </si>
  <si>
    <t>ARM</t>
  </si>
  <si>
    <t>NLD</t>
  </si>
  <si>
    <t>Azerbaijan</t>
  </si>
  <si>
    <t>AZE</t>
  </si>
  <si>
    <t>Ethiopia</t>
  </si>
  <si>
    <t>ETH</t>
  </si>
  <si>
    <t>Australia</t>
  </si>
  <si>
    <t>AUS</t>
  </si>
  <si>
    <t>BHS</t>
  </si>
  <si>
    <t>Bahrain</t>
  </si>
  <si>
    <t>BHR</t>
  </si>
  <si>
    <t>Bangladesh</t>
  </si>
  <si>
    <t>BGD</t>
  </si>
  <si>
    <t>Barbados</t>
  </si>
  <si>
    <t>BRB</t>
  </si>
  <si>
    <t>Belgium</t>
  </si>
  <si>
    <t>BEL</t>
  </si>
  <si>
    <t>Belize</t>
  </si>
  <si>
    <t>BLZ</t>
  </si>
  <si>
    <t>Benin</t>
  </si>
  <si>
    <t>BEN</t>
  </si>
  <si>
    <t>Bhutan</t>
  </si>
  <si>
    <t>BTN</t>
  </si>
  <si>
    <t>Bolivia</t>
  </si>
  <si>
    <t>BOL</t>
  </si>
  <si>
    <t>BIH</t>
  </si>
  <si>
    <t>BWA</t>
  </si>
  <si>
    <t>Brazil</t>
  </si>
  <si>
    <t>BRA</t>
  </si>
  <si>
    <t>Bulgaria</t>
  </si>
  <si>
    <t>BGR</t>
  </si>
  <si>
    <t>Burkina Faso</t>
  </si>
  <si>
    <t>BFA</t>
  </si>
  <si>
    <t>Burundi</t>
  </si>
  <si>
    <t>BDI</t>
  </si>
  <si>
    <t>Chile</t>
  </si>
  <si>
    <t>CHL</t>
  </si>
  <si>
    <t>CHN</t>
  </si>
  <si>
    <t>NZL</t>
  </si>
  <si>
    <t>Costa Rica</t>
  </si>
  <si>
    <t>CRI</t>
  </si>
  <si>
    <t>CIV</t>
  </si>
  <si>
    <t>CUB</t>
  </si>
  <si>
    <t>Denmark</t>
  </si>
  <si>
    <t>DNK</t>
  </si>
  <si>
    <t>Germany</t>
  </si>
  <si>
    <t>DEU</t>
  </si>
  <si>
    <t>Dominica</t>
  </si>
  <si>
    <t>DMA</t>
  </si>
  <si>
    <t>Dominican Republic</t>
  </si>
  <si>
    <t>DOM</t>
  </si>
  <si>
    <t>Djibouti</t>
  </si>
  <si>
    <t>DJI</t>
  </si>
  <si>
    <t>Ecuador</t>
  </si>
  <si>
    <t>ECU</t>
  </si>
  <si>
    <t>El Salvador</t>
  </si>
  <si>
    <t>SLV</t>
  </si>
  <si>
    <t>Eritrea</t>
  </si>
  <si>
    <t>ERI</t>
  </si>
  <si>
    <t>Estonia</t>
  </si>
  <si>
    <t>EST</t>
  </si>
  <si>
    <t>Fiji</t>
  </si>
  <si>
    <t>FJI</t>
  </si>
  <si>
    <t>Finland</t>
  </si>
  <si>
    <t>FIN</t>
  </si>
  <si>
    <t>France</t>
  </si>
  <si>
    <t>FRA</t>
  </si>
  <si>
    <t>Gabon</t>
  </si>
  <si>
    <t>GAB</t>
  </si>
  <si>
    <t>GMB</t>
  </si>
  <si>
    <t>Georgia</t>
  </si>
  <si>
    <t>GEO</t>
  </si>
  <si>
    <t>Ghana</t>
  </si>
  <si>
    <t>GHA</t>
  </si>
  <si>
    <t>Grenada</t>
  </si>
  <si>
    <t>GRD</t>
  </si>
  <si>
    <t>Greece</t>
  </si>
  <si>
    <t>GRC</t>
  </si>
  <si>
    <t>Guatemala</t>
  </si>
  <si>
    <t>GTM</t>
  </si>
  <si>
    <t>Guinea</t>
  </si>
  <si>
    <t>GIN</t>
  </si>
  <si>
    <t>Guinea-Bissau</t>
  </si>
  <si>
    <t>GNB</t>
  </si>
  <si>
    <t>Guyana</t>
  </si>
  <si>
    <t>GUY</t>
  </si>
  <si>
    <t>Haiti</t>
  </si>
  <si>
    <t>HTI</t>
  </si>
  <si>
    <t>Honduras</t>
  </si>
  <si>
    <t>HND</t>
  </si>
  <si>
    <t>India</t>
  </si>
  <si>
    <t>IND</t>
  </si>
  <si>
    <t>Indonesia</t>
  </si>
  <si>
    <t>IDN</t>
  </si>
  <si>
    <t>Iraq</t>
  </si>
  <si>
    <t>IRQ</t>
  </si>
  <si>
    <t>Iran</t>
  </si>
  <si>
    <t>IRN</t>
  </si>
  <si>
    <t>IRL</t>
  </si>
  <si>
    <t>Iceland</t>
  </si>
  <si>
    <t>ISL</t>
  </si>
  <si>
    <t>Israel</t>
  </si>
  <si>
    <t>ISR</t>
  </si>
  <si>
    <t>Italy</t>
  </si>
  <si>
    <t>ITA</t>
  </si>
  <si>
    <t>JAM</t>
  </si>
  <si>
    <t>Japan</t>
  </si>
  <si>
    <t>JPN</t>
  </si>
  <si>
    <t>Yemen</t>
  </si>
  <si>
    <t>YEM</t>
  </si>
  <si>
    <t>Jordan</t>
  </si>
  <si>
    <t>JOR</t>
  </si>
  <si>
    <t>Cambodia</t>
  </si>
  <si>
    <t>KHM</t>
  </si>
  <si>
    <t>Cameroon</t>
  </si>
  <si>
    <t>CMR</t>
  </si>
  <si>
    <t>Canada</t>
  </si>
  <si>
    <t>CAN</t>
  </si>
  <si>
    <t>Cape Verde</t>
  </si>
  <si>
    <t>CPV</t>
  </si>
  <si>
    <t>Kazakhstan</t>
  </si>
  <si>
    <t>KAZ</t>
  </si>
  <si>
    <t>Qatar</t>
  </si>
  <si>
    <t>QAT</t>
  </si>
  <si>
    <t>Kenya</t>
  </si>
  <si>
    <t>KEN</t>
  </si>
  <si>
    <t>Kyrgyzstan</t>
  </si>
  <si>
    <t>KGZ</t>
  </si>
  <si>
    <t>Kiribati</t>
  </si>
  <si>
    <t>KIR</t>
  </si>
  <si>
    <t>Colombia</t>
  </si>
  <si>
    <t>COL</t>
  </si>
  <si>
    <t>Comoros</t>
  </si>
  <si>
    <t>COM</t>
  </si>
  <si>
    <t>COD</t>
  </si>
  <si>
    <t>COG</t>
  </si>
  <si>
    <t>PRK</t>
  </si>
  <si>
    <t>KOR</t>
  </si>
  <si>
    <t>Croatia</t>
  </si>
  <si>
    <t>HRV</t>
  </si>
  <si>
    <t>Kuwait</t>
  </si>
  <si>
    <t>KWT</t>
  </si>
  <si>
    <t>Laos</t>
  </si>
  <si>
    <t>LAO</t>
  </si>
  <si>
    <t>Lesotho</t>
  </si>
  <si>
    <t>LSO</t>
  </si>
  <si>
    <t>Latvia</t>
  </si>
  <si>
    <t>LVA</t>
  </si>
  <si>
    <t>Lebanon</t>
  </si>
  <si>
    <t>LBN</t>
  </si>
  <si>
    <t>LBR</t>
  </si>
  <si>
    <t>Libya</t>
  </si>
  <si>
    <t>LBY</t>
  </si>
  <si>
    <t>Liechtenstein</t>
  </si>
  <si>
    <t>LIE</t>
  </si>
  <si>
    <t>Lithuania</t>
  </si>
  <si>
    <t>LTU</t>
  </si>
  <si>
    <t>Luxembourg</t>
  </si>
  <si>
    <t>LUX</t>
  </si>
  <si>
    <t>Madagascar</t>
  </si>
  <si>
    <t>MDG</t>
  </si>
  <si>
    <t>Malawi</t>
  </si>
  <si>
    <t>MWI</t>
  </si>
  <si>
    <t>Malaysia</t>
  </si>
  <si>
    <t>MYS</t>
  </si>
  <si>
    <t>Maldives</t>
  </si>
  <si>
    <t>MDV</t>
  </si>
  <si>
    <t>Mali</t>
  </si>
  <si>
    <t>MLI</t>
  </si>
  <si>
    <t>Malta</t>
  </si>
  <si>
    <t>MLT</t>
  </si>
  <si>
    <t>Morocco</t>
  </si>
  <si>
    <t>MAR</t>
  </si>
  <si>
    <t>Marshall Islands</t>
  </si>
  <si>
    <t>MHL</t>
  </si>
  <si>
    <t>Mauritania</t>
  </si>
  <si>
    <t>MRT</t>
  </si>
  <si>
    <t>Mauritius</t>
  </si>
  <si>
    <t>MUS</t>
  </si>
  <si>
    <t>MKD</t>
  </si>
  <si>
    <t>MEX</t>
  </si>
  <si>
    <t>FSM</t>
  </si>
  <si>
    <t>MDA</t>
  </si>
  <si>
    <t>Monaco</t>
  </si>
  <si>
    <t>MCO</t>
  </si>
  <si>
    <t>Mongolia</t>
  </si>
  <si>
    <t>MNG</t>
  </si>
  <si>
    <t>Montenegro</t>
  </si>
  <si>
    <t>CG</t>
  </si>
  <si>
    <t>Mozambique</t>
  </si>
  <si>
    <t>MOZ</t>
  </si>
  <si>
    <t>MMR</t>
  </si>
  <si>
    <t>Namibia</t>
  </si>
  <si>
    <t>NAM</t>
  </si>
  <si>
    <t>Nauru</t>
  </si>
  <si>
    <t>NRU</t>
  </si>
  <si>
    <t>Nepal</t>
  </si>
  <si>
    <t>NPL</t>
  </si>
  <si>
    <t>New Zealand</t>
  </si>
  <si>
    <t>Nicaragua</t>
  </si>
  <si>
    <t>NIC</t>
  </si>
  <si>
    <t>Netherlands</t>
  </si>
  <si>
    <t>Niger</t>
  </si>
  <si>
    <t>NER</t>
  </si>
  <si>
    <t>Nigeria</t>
  </si>
  <si>
    <t>NGA</t>
  </si>
  <si>
    <t>Norway</t>
  </si>
  <si>
    <t>NOR</t>
  </si>
  <si>
    <t>Oman</t>
  </si>
  <si>
    <t>OMN</t>
  </si>
  <si>
    <t>Austria</t>
  </si>
  <si>
    <t>AUT</t>
  </si>
  <si>
    <t>TMP</t>
  </si>
  <si>
    <t>Pakistan</t>
  </si>
  <si>
    <t>PAK</t>
  </si>
  <si>
    <t>Palau</t>
  </si>
  <si>
    <t>PLW</t>
  </si>
  <si>
    <t>Panama</t>
  </si>
  <si>
    <t>PAN</t>
  </si>
  <si>
    <t>Papua New Guinea</t>
  </si>
  <si>
    <t>PNG</t>
  </si>
  <si>
    <t>Paraguay</t>
  </si>
  <si>
    <t>PRY</t>
  </si>
  <si>
    <t>Peru</t>
  </si>
  <si>
    <t>PER</t>
  </si>
  <si>
    <t>Philippines</t>
  </si>
  <si>
    <t>PHL</t>
  </si>
  <si>
    <t>Poland</t>
  </si>
  <si>
    <t>POL</t>
  </si>
  <si>
    <t>Portugal</t>
  </si>
  <si>
    <t>PRT</t>
  </si>
  <si>
    <t>Rwanda</t>
  </si>
  <si>
    <t>RWA</t>
  </si>
  <si>
    <t>ROM</t>
  </si>
  <si>
    <t>RUS</t>
  </si>
  <si>
    <t>LCA</t>
  </si>
  <si>
    <t>Solomon Islands</t>
  </si>
  <si>
    <t>SLB</t>
  </si>
  <si>
    <t>Zambia</t>
  </si>
  <si>
    <t>ZWB</t>
  </si>
  <si>
    <t>WSM</t>
  </si>
  <si>
    <t>SAU</t>
  </si>
  <si>
    <t>Sweden</t>
  </si>
  <si>
    <t>SWE</t>
  </si>
  <si>
    <t>Switzerland</t>
  </si>
  <si>
    <t>CHE</t>
  </si>
  <si>
    <t>Senegal</t>
  </si>
  <si>
    <t>SEN</t>
  </si>
  <si>
    <t>Serbia</t>
  </si>
  <si>
    <t>SR</t>
  </si>
  <si>
    <t>Seychelles</t>
  </si>
  <si>
    <t>SYC</t>
  </si>
  <si>
    <t>Sierra Leone</t>
  </si>
  <si>
    <t>SLE</t>
  </si>
  <si>
    <t>Zimbabwe</t>
  </si>
  <si>
    <t>ZWE</t>
  </si>
  <si>
    <t>Singapore</t>
  </si>
  <si>
    <t>SGP</t>
  </si>
  <si>
    <t>Slovakia</t>
  </si>
  <si>
    <t>SVK</t>
  </si>
  <si>
    <t>Slovenia</t>
  </si>
  <si>
    <t>SVN</t>
  </si>
  <si>
    <t>SOM</t>
  </si>
  <si>
    <t>Spain</t>
  </si>
  <si>
    <t>ESP</t>
  </si>
  <si>
    <t>Sri Lanka</t>
  </si>
  <si>
    <t>LKA</t>
  </si>
  <si>
    <t>South Africa</t>
  </si>
  <si>
    <t>ZAF</t>
  </si>
  <si>
    <t>Sudan</t>
  </si>
  <si>
    <t>SDN</t>
  </si>
  <si>
    <t>SUR</t>
  </si>
  <si>
    <t>Swaziland</t>
  </si>
  <si>
    <t>SWZ</t>
  </si>
  <si>
    <t>Syria</t>
  </si>
  <si>
    <t>SYR</t>
  </si>
  <si>
    <t>Tajikistan</t>
  </si>
  <si>
    <t>TJK</t>
  </si>
  <si>
    <t>TWN</t>
  </si>
  <si>
    <t>Tanzania</t>
  </si>
  <si>
    <t>TZA</t>
  </si>
  <si>
    <t>Thailand</t>
  </si>
  <si>
    <t>THA</t>
  </si>
  <si>
    <t>Togo</t>
  </si>
  <si>
    <t>TGO</t>
  </si>
  <si>
    <t>Tonga</t>
  </si>
  <si>
    <t>TON</t>
  </si>
  <si>
    <t>TTO</t>
  </si>
  <si>
    <t>Chad</t>
  </si>
  <si>
    <t>TCD</t>
  </si>
  <si>
    <t>Czech Republic</t>
  </si>
  <si>
    <t>CZE</t>
  </si>
  <si>
    <t>Tunisia</t>
  </si>
  <si>
    <t>TUN</t>
  </si>
  <si>
    <t>Turkey</t>
  </si>
  <si>
    <t>TUR</t>
  </si>
  <si>
    <t>Turkmenistan</t>
  </si>
  <si>
    <t>TKM</t>
  </si>
  <si>
    <t>Tuvalu</t>
  </si>
  <si>
    <t>TUV</t>
  </si>
  <si>
    <t>Uganda</t>
  </si>
  <si>
    <t>UGA</t>
  </si>
  <si>
    <t>Ukraine</t>
  </si>
  <si>
    <t>UKR</t>
  </si>
  <si>
    <t>Hungary</t>
  </si>
  <si>
    <t>HUN</t>
  </si>
  <si>
    <t>Uruguay</t>
  </si>
  <si>
    <t>URY</t>
  </si>
  <si>
    <t>Uzbekistan</t>
  </si>
  <si>
    <t>UZB</t>
  </si>
  <si>
    <t>Vanuatu</t>
  </si>
  <si>
    <t>VUT</t>
  </si>
  <si>
    <t>Venezuela</t>
  </si>
  <si>
    <t>VEN</t>
  </si>
  <si>
    <t>United Arab Emirates</t>
  </si>
  <si>
    <t>ARE</t>
  </si>
  <si>
    <t>Vietnam</t>
  </si>
  <si>
    <t>VNM</t>
  </si>
  <si>
    <t>BLR</t>
  </si>
  <si>
    <t>ESH</t>
  </si>
  <si>
    <t>Central African Republic</t>
  </si>
  <si>
    <t>CAF</t>
  </si>
  <si>
    <t>Cyprus</t>
  </si>
  <si>
    <t>CYP</t>
  </si>
  <si>
    <t>Ireland</t>
  </si>
  <si>
    <t>D_AFG</t>
  </si>
  <si>
    <t>D_ALB</t>
  </si>
  <si>
    <t>D_DZA</t>
  </si>
  <si>
    <t>D_IRL</t>
  </si>
  <si>
    <t>D_AND</t>
  </si>
  <si>
    <t>D_AGO</t>
  </si>
  <si>
    <t>D_ATG</t>
  </si>
  <si>
    <t>D_ARG</t>
  </si>
  <si>
    <t>D_ARM</t>
  </si>
  <si>
    <t>D_AUS</t>
  </si>
  <si>
    <t>D_AUT</t>
  </si>
  <si>
    <t>D_AZE</t>
  </si>
  <si>
    <t>D_BHS</t>
  </si>
  <si>
    <t>D_BHR</t>
  </si>
  <si>
    <t>D_BGD</t>
  </si>
  <si>
    <t>D_BRB</t>
  </si>
  <si>
    <t>D_BLR</t>
  </si>
  <si>
    <t>D_BEL</t>
  </si>
  <si>
    <t>D_BLZ</t>
  </si>
  <si>
    <t>D_BEN</t>
  </si>
  <si>
    <t>D_BTN</t>
  </si>
  <si>
    <t>D_BOL</t>
  </si>
  <si>
    <t>D_BIH</t>
  </si>
  <si>
    <t>D_BWA</t>
  </si>
  <si>
    <t>D_BRA</t>
  </si>
  <si>
    <t>D_BGR</t>
  </si>
  <si>
    <t>D_BFA</t>
  </si>
  <si>
    <t>D_BDI</t>
  </si>
  <si>
    <t>D_KHM</t>
  </si>
  <si>
    <t>D_CMR</t>
  </si>
  <si>
    <t>D_CAN</t>
  </si>
  <si>
    <t>D_CPV</t>
  </si>
  <si>
    <t>D_CAF</t>
  </si>
  <si>
    <t>D_TCD</t>
  </si>
  <si>
    <t>D_CHL</t>
  </si>
  <si>
    <t>D_TWN</t>
  </si>
  <si>
    <t>D_COL</t>
  </si>
  <si>
    <t>D_COM</t>
  </si>
  <si>
    <t>D_CRI</t>
  </si>
  <si>
    <t>D_HRV</t>
  </si>
  <si>
    <t>D_CUB</t>
  </si>
  <si>
    <t>D_CYP</t>
  </si>
  <si>
    <t>D_CZE</t>
  </si>
  <si>
    <t>D_PRK</t>
  </si>
  <si>
    <t>D_COG</t>
  </si>
  <si>
    <t>D_COD</t>
  </si>
  <si>
    <t>D_DNK</t>
  </si>
  <si>
    <t>D_DJI</t>
  </si>
  <si>
    <t>D_DMA</t>
  </si>
  <si>
    <t>D_DOM</t>
  </si>
  <si>
    <t>D_TMP</t>
  </si>
  <si>
    <t>D_ECU</t>
  </si>
  <si>
    <t>D_EGY</t>
  </si>
  <si>
    <t>D_SLV</t>
  </si>
  <si>
    <t>D_GNQ</t>
  </si>
  <si>
    <t>D_ERI</t>
  </si>
  <si>
    <t>D_EST</t>
  </si>
  <si>
    <t>D_ETH</t>
  </si>
  <si>
    <t>D_FSM</t>
  </si>
  <si>
    <t>D_FJI</t>
  </si>
  <si>
    <t>D_FIN</t>
  </si>
  <si>
    <t>D_MKD</t>
  </si>
  <si>
    <t>D_FRA</t>
  </si>
  <si>
    <t>D_GAB</t>
  </si>
  <si>
    <t>D_GMB</t>
  </si>
  <si>
    <t>D_GEO</t>
  </si>
  <si>
    <t>D_DEU</t>
  </si>
  <si>
    <t>D_GHA</t>
  </si>
  <si>
    <t>D_GBR</t>
  </si>
  <si>
    <t>D_GRC</t>
  </si>
  <si>
    <t>D_GRD</t>
  </si>
  <si>
    <t>D_GTM</t>
  </si>
  <si>
    <t>D_GIN</t>
  </si>
  <si>
    <t>D_GNB</t>
  </si>
  <si>
    <t>D_GUY</t>
  </si>
  <si>
    <t>D_HTI</t>
  </si>
  <si>
    <t>D_HND</t>
  </si>
  <si>
    <t>D_HUN</t>
  </si>
  <si>
    <t>D_ISL</t>
  </si>
  <si>
    <t>D_IND</t>
  </si>
  <si>
    <t>D_IDN</t>
  </si>
  <si>
    <t>D_IRN</t>
  </si>
  <si>
    <t>D_IRQ</t>
  </si>
  <si>
    <t>D_ISR</t>
  </si>
  <si>
    <t>D_ITA</t>
  </si>
  <si>
    <t>D_CIV</t>
  </si>
  <si>
    <t>D_JAM</t>
  </si>
  <si>
    <t>D_JPN</t>
  </si>
  <si>
    <t>D_JOR</t>
  </si>
  <si>
    <t>D_KAZ</t>
  </si>
  <si>
    <t>D_KEN</t>
  </si>
  <si>
    <t>D_SAU</t>
  </si>
  <si>
    <t>D_KIR</t>
  </si>
  <si>
    <t>D_KWT</t>
  </si>
  <si>
    <t>D_KGZ</t>
  </si>
  <si>
    <t>D_LAO</t>
  </si>
  <si>
    <t>D_LVA</t>
  </si>
  <si>
    <t>D_LBN</t>
  </si>
  <si>
    <t>D_LSO</t>
  </si>
  <si>
    <t>D_LBR</t>
  </si>
  <si>
    <t>D_LBY</t>
  </si>
  <si>
    <t>D_LIE</t>
  </si>
  <si>
    <t>D_LTU</t>
  </si>
  <si>
    <t>D_LUX</t>
  </si>
  <si>
    <t>D_MDG</t>
  </si>
  <si>
    <t>D_MWI</t>
  </si>
  <si>
    <t>D_MYS</t>
  </si>
  <si>
    <t>D_MDV</t>
  </si>
  <si>
    <t>D_MLI</t>
  </si>
  <si>
    <t>D_MLT</t>
  </si>
  <si>
    <t>D_MHL</t>
  </si>
  <si>
    <t>D_MRT</t>
  </si>
  <si>
    <t>D_MUS</t>
  </si>
  <si>
    <t>D_MEX</t>
  </si>
  <si>
    <t>D_MDA</t>
  </si>
  <si>
    <t>D_MCO</t>
  </si>
  <si>
    <t>D_MNG</t>
  </si>
  <si>
    <t>D_CG</t>
  </si>
  <si>
    <t>D_MAR</t>
  </si>
  <si>
    <t>D_MOZ</t>
  </si>
  <si>
    <t>D_MMR</t>
  </si>
  <si>
    <t>D_NAM</t>
  </si>
  <si>
    <t>D_NRU</t>
  </si>
  <si>
    <t>D_NPL</t>
  </si>
  <si>
    <t>D_NLD</t>
  </si>
  <si>
    <t>D_NZL</t>
  </si>
  <si>
    <t>D_NIC</t>
  </si>
  <si>
    <t>D_NER</t>
  </si>
  <si>
    <t>D_NGA</t>
  </si>
  <si>
    <t>D_NOR</t>
  </si>
  <si>
    <t>D_OMN</t>
  </si>
  <si>
    <t>D_PAK</t>
  </si>
  <si>
    <t>D_PLW</t>
  </si>
  <si>
    <t>D_PAN</t>
  </si>
  <si>
    <t>D_PNG</t>
  </si>
  <si>
    <t>D_PRY</t>
  </si>
  <si>
    <t>D_CHN</t>
  </si>
  <si>
    <t>D_PER</t>
  </si>
  <si>
    <t>D_PHL</t>
  </si>
  <si>
    <t>D_POL</t>
  </si>
  <si>
    <t>D_PRT</t>
  </si>
  <si>
    <t>D_QAT</t>
  </si>
  <si>
    <t>D_KOR</t>
  </si>
  <si>
    <t>D_ROM</t>
  </si>
  <si>
    <t>D_RUS</t>
  </si>
  <si>
    <t>D_RWA</t>
  </si>
  <si>
    <t>D_SEN</t>
  </si>
  <si>
    <t>D_SR</t>
  </si>
  <si>
    <t>D_SYC</t>
  </si>
  <si>
    <t>D_SLE</t>
  </si>
  <si>
    <t>D_SGP</t>
  </si>
  <si>
    <t>D_SVK</t>
  </si>
  <si>
    <t>D_SVN</t>
  </si>
  <si>
    <t>D_SLB</t>
  </si>
  <si>
    <t>D_SOM</t>
  </si>
  <si>
    <t>D_ZAF</t>
  </si>
  <si>
    <t>D_ESP</t>
  </si>
  <si>
    <t>D_LKA</t>
  </si>
  <si>
    <t>D_LCA</t>
  </si>
  <si>
    <t>D_SDN</t>
  </si>
  <si>
    <t>D_SUR</t>
  </si>
  <si>
    <t>D_SWZ</t>
  </si>
  <si>
    <t>D_SWE</t>
  </si>
  <si>
    <t>D_CHE</t>
  </si>
  <si>
    <t>D_SYR</t>
  </si>
  <si>
    <t>D_TJK</t>
  </si>
  <si>
    <t>D_TZA</t>
  </si>
  <si>
    <t>D_THA</t>
  </si>
  <si>
    <t>D_TGO</t>
  </si>
  <si>
    <t>D_TON</t>
  </si>
  <si>
    <t>D_TTO</t>
  </si>
  <si>
    <t>D_TUN</t>
  </si>
  <si>
    <t>D_TUR</t>
  </si>
  <si>
    <t>D_TKM</t>
  </si>
  <si>
    <t>D_TUV</t>
  </si>
  <si>
    <t>D_UGA</t>
  </si>
  <si>
    <t>D_UKR</t>
  </si>
  <si>
    <t>D_ARE</t>
  </si>
  <si>
    <t>D_USA</t>
  </si>
  <si>
    <t>D_URY</t>
  </si>
  <si>
    <t>D_UZB</t>
  </si>
  <si>
    <t>D_VUT</t>
  </si>
  <si>
    <t>D_VEN</t>
  </si>
  <si>
    <t>D_VNM</t>
  </si>
  <si>
    <t>D_ESH</t>
  </si>
  <si>
    <t>D_WSM</t>
  </si>
  <si>
    <t>D_YEM</t>
  </si>
  <si>
    <t>D_ZWB</t>
  </si>
  <si>
    <t>D_ZWE</t>
  </si>
  <si>
    <t>S_AFG</t>
  </si>
  <si>
    <t>S_ALB</t>
  </si>
  <si>
    <t>S_DZA</t>
  </si>
  <si>
    <t>S_IRL</t>
  </si>
  <si>
    <t>S_AND</t>
  </si>
  <si>
    <t>S_AGO</t>
  </si>
  <si>
    <t>S_ATG</t>
  </si>
  <si>
    <t>S_ARG</t>
  </si>
  <si>
    <t>S_ARM</t>
  </si>
  <si>
    <t>S_AUS</t>
  </si>
  <si>
    <t>S_AUT</t>
  </si>
  <si>
    <t>S_AZE</t>
  </si>
  <si>
    <t>S_BHS</t>
  </si>
  <si>
    <t>S_BHR</t>
  </si>
  <si>
    <t>S_BGD</t>
  </si>
  <si>
    <t>S_BRB</t>
  </si>
  <si>
    <t>S_BLR</t>
  </si>
  <si>
    <t>S_BEL</t>
  </si>
  <si>
    <t>S_BLZ</t>
  </si>
  <si>
    <t>S_BEN</t>
  </si>
  <si>
    <t>S_BTN</t>
  </si>
  <si>
    <t>S_BOL</t>
  </si>
  <si>
    <t>S_BIH</t>
  </si>
  <si>
    <t>S_BWA</t>
  </si>
  <si>
    <t>S_BRA</t>
  </si>
  <si>
    <t>S_BGR</t>
  </si>
  <si>
    <t>S_BFA</t>
  </si>
  <si>
    <t>S_BDI</t>
  </si>
  <si>
    <t>S_KHM</t>
  </si>
  <si>
    <t>S_CMR</t>
  </si>
  <si>
    <t>S_CAN</t>
  </si>
  <si>
    <t>S_CPV</t>
  </si>
  <si>
    <t>S_CAF</t>
  </si>
  <si>
    <t>S_TCD</t>
  </si>
  <si>
    <t>S_CHL</t>
  </si>
  <si>
    <t>S_TWN</t>
  </si>
  <si>
    <t>S_COL</t>
  </si>
  <si>
    <t>S_COM</t>
  </si>
  <si>
    <t>S_CRI</t>
  </si>
  <si>
    <t>S_HRV</t>
  </si>
  <si>
    <t>S_CUB</t>
  </si>
  <si>
    <t>S_CYP</t>
  </si>
  <si>
    <t>S_CZE</t>
  </si>
  <si>
    <t>S_PRK</t>
  </si>
  <si>
    <t>S_COG</t>
  </si>
  <si>
    <t>S_COD</t>
  </si>
  <si>
    <t>S_DNK</t>
  </si>
  <si>
    <t>S_DJI</t>
  </si>
  <si>
    <t>S_DMA</t>
  </si>
  <si>
    <t>S_DOM</t>
  </si>
  <si>
    <t>S_TMP</t>
  </si>
  <si>
    <t>S_ECU</t>
  </si>
  <si>
    <t>S_EGY</t>
  </si>
  <si>
    <t>S_SLV</t>
  </si>
  <si>
    <t>S_GNQ</t>
  </si>
  <si>
    <t>S_ERI</t>
  </si>
  <si>
    <t>S_EST</t>
  </si>
  <si>
    <t>S_ETH</t>
  </si>
  <si>
    <t>S_FSM</t>
  </si>
  <si>
    <t>S_FJI</t>
  </si>
  <si>
    <t>S_FIN</t>
  </si>
  <si>
    <t>S_MKD</t>
  </si>
  <si>
    <t>S_FRA</t>
  </si>
  <si>
    <t>S_GAB</t>
  </si>
  <si>
    <t>S_GMB</t>
  </si>
  <si>
    <t>S_GEO</t>
  </si>
  <si>
    <t>S_DEU</t>
  </si>
  <si>
    <t>S_GHA</t>
  </si>
  <si>
    <t>S_GBR</t>
  </si>
  <si>
    <t>S_GRC</t>
  </si>
  <si>
    <t>S_GRD</t>
  </si>
  <si>
    <t>S_GTM</t>
  </si>
  <si>
    <t>S_GIN</t>
  </si>
  <si>
    <t>S_GNB</t>
  </si>
  <si>
    <t>S_GUY</t>
  </si>
  <si>
    <t>S_HTI</t>
  </si>
  <si>
    <t>S_HND</t>
  </si>
  <si>
    <t>S_HUN</t>
  </si>
  <si>
    <t>S_ISL</t>
  </si>
  <si>
    <t>S_IND</t>
  </si>
  <si>
    <t>S_IDN</t>
  </si>
  <si>
    <t>S_IRN</t>
  </si>
  <si>
    <t>S_IRQ</t>
  </si>
  <si>
    <t>S_ISR</t>
  </si>
  <si>
    <t>S_ITA</t>
  </si>
  <si>
    <t>S_CIV</t>
  </si>
  <si>
    <t>S_JAM</t>
  </si>
  <si>
    <t>S_JPN</t>
  </si>
  <si>
    <t>S_JOR</t>
  </si>
  <si>
    <t>S_KAZ</t>
  </si>
  <si>
    <t>S_KEN</t>
  </si>
  <si>
    <t>S_SAU</t>
  </si>
  <si>
    <t>S_KIR</t>
  </si>
  <si>
    <t>S_KWT</t>
  </si>
  <si>
    <t>S_KGZ</t>
  </si>
  <si>
    <t>S_LAO</t>
  </si>
  <si>
    <t>S_LVA</t>
  </si>
  <si>
    <t>S_LBN</t>
  </si>
  <si>
    <t>S_LSO</t>
  </si>
  <si>
    <t>S_LBR</t>
  </si>
  <si>
    <t>S_LBY</t>
  </si>
  <si>
    <t>S_LIE</t>
  </si>
  <si>
    <t>S_LTU</t>
  </si>
  <si>
    <t>S_LUX</t>
  </si>
  <si>
    <t>S_MDG</t>
  </si>
  <si>
    <t>S_MWI</t>
  </si>
  <si>
    <t>S_MYS</t>
  </si>
  <si>
    <t>S_MDV</t>
  </si>
  <si>
    <t>S_MLI</t>
  </si>
  <si>
    <t>S_MLT</t>
  </si>
  <si>
    <t>S_MHL</t>
  </si>
  <si>
    <t>S_MRT</t>
  </si>
  <si>
    <t>S_MUS</t>
  </si>
  <si>
    <t>S_MEX</t>
  </si>
  <si>
    <t>S_MDA</t>
  </si>
  <si>
    <t>S_MCO</t>
  </si>
  <si>
    <t>S_MNG</t>
  </si>
  <si>
    <t>S_CG</t>
  </si>
  <si>
    <t>S_MAR</t>
  </si>
  <si>
    <t>S_MOZ</t>
  </si>
  <si>
    <t>S_MMR</t>
  </si>
  <si>
    <t>S_NAM</t>
  </si>
  <si>
    <t>S_NRU</t>
  </si>
  <si>
    <t>S_NPL</t>
  </si>
  <si>
    <t>S_NLD</t>
  </si>
  <si>
    <t>S_NZL</t>
  </si>
  <si>
    <t>S_NIC</t>
  </si>
  <si>
    <t>S_NER</t>
  </si>
  <si>
    <t>S_NGA</t>
  </si>
  <si>
    <t>S_NOR</t>
  </si>
  <si>
    <t>S_OMN</t>
  </si>
  <si>
    <t>S_PAK</t>
  </si>
  <si>
    <t>S_PLW</t>
  </si>
  <si>
    <t>S_PAN</t>
  </si>
  <si>
    <t>S_PNG</t>
  </si>
  <si>
    <t>S_PRY</t>
  </si>
  <si>
    <t>S_CHN</t>
  </si>
  <si>
    <t>S_PER</t>
  </si>
  <si>
    <t>S_PHL</t>
  </si>
  <si>
    <t>S_POL</t>
  </si>
  <si>
    <t>S_PRT</t>
  </si>
  <si>
    <t>S_QAT</t>
  </si>
  <si>
    <t>S_KOR</t>
  </si>
  <si>
    <t>S_ROM</t>
  </si>
  <si>
    <t>S_RUS</t>
  </si>
  <si>
    <t>S_RWA</t>
  </si>
  <si>
    <t>S_SEN</t>
  </si>
  <si>
    <t>S_SR</t>
  </si>
  <si>
    <t>S_SYC</t>
  </si>
  <si>
    <t>S_SLE</t>
  </si>
  <si>
    <t>S_SGP</t>
  </si>
  <si>
    <t>S_SVK</t>
  </si>
  <si>
    <t>S_SVN</t>
  </si>
  <si>
    <t>S_SLB</t>
  </si>
  <si>
    <t>S_SOM</t>
  </si>
  <si>
    <t>S_ZAF</t>
  </si>
  <si>
    <t>S_ESP</t>
  </si>
  <si>
    <t>S_LKA</t>
  </si>
  <si>
    <t>S_LCA</t>
  </si>
  <si>
    <t>S_SDN</t>
  </si>
  <si>
    <t>S_SUR</t>
  </si>
  <si>
    <t>S_SWZ</t>
  </si>
  <si>
    <t>S_SWE</t>
  </si>
  <si>
    <t>S_CHE</t>
  </si>
  <si>
    <t>S_SYR</t>
  </si>
  <si>
    <t>S_TJK</t>
  </si>
  <si>
    <t>S_TZA</t>
  </si>
  <si>
    <t>S_THA</t>
  </si>
  <si>
    <t>S_TGO</t>
  </si>
  <si>
    <t>S_TON</t>
  </si>
  <si>
    <t>S_TTO</t>
  </si>
  <si>
    <t>S_TUN</t>
  </si>
  <si>
    <t>S_TUR</t>
  </si>
  <si>
    <t>S_TKM</t>
  </si>
  <si>
    <t>S_TUV</t>
  </si>
  <si>
    <t>S_UGA</t>
  </si>
  <si>
    <t>S_UKR</t>
  </si>
  <si>
    <t>S_ARE</t>
  </si>
  <si>
    <t>S_USA</t>
  </si>
  <si>
    <t>S_URY</t>
  </si>
  <si>
    <t>S_UZB</t>
  </si>
  <si>
    <t>S_VUT</t>
  </si>
  <si>
    <t>S_VEN</t>
  </si>
  <si>
    <t>S_VNM</t>
  </si>
  <si>
    <t>S_ESH</t>
  </si>
  <si>
    <t>S_WSM</t>
  </si>
  <si>
    <t>S_YEM</t>
  </si>
  <si>
    <t>S_ZWB</t>
  </si>
  <si>
    <t>S_ZWE</t>
  </si>
  <si>
    <t>Name</t>
  </si>
  <si>
    <t>Autoshape</t>
  </si>
  <si>
    <t>Threshold</t>
  </si>
  <si>
    <t>RGB</t>
  </si>
  <si>
    <t>Min / Max</t>
  </si>
  <si>
    <t>Darkness</t>
  </si>
  <si>
    <t>the smaller the darker (max: 5,21)</t>
  </si>
  <si>
    <t>Taiwan</t>
  </si>
  <si>
    <t>TAI</t>
  </si>
  <si>
    <t>D_TAI</t>
  </si>
  <si>
    <t>S_TAI</t>
  </si>
  <si>
    <t>Data</t>
  </si>
  <si>
    <t>China</t>
  </si>
  <si>
    <t>United States</t>
  </si>
  <si>
    <t>Russia</t>
  </si>
  <si>
    <t>Congo, Democratic Republic of the</t>
  </si>
  <si>
    <t>United Kingdom</t>
  </si>
  <si>
    <t>Korea, South</t>
  </si>
  <si>
    <t>Burma</t>
  </si>
  <si>
    <t>Saudi Arabia</t>
  </si>
  <si>
    <t>Korea, North</t>
  </si>
  <si>
    <t>Romania</t>
  </si>
  <si>
    <t>Cote d'Ivoire</t>
  </si>
  <si>
    <t>Cuba</t>
  </si>
  <si>
    <t>Somalia</t>
  </si>
  <si>
    <t>Belarus</t>
  </si>
  <si>
    <t>Bosnia and Herzegovina</t>
  </si>
  <si>
    <t>Moldova</t>
  </si>
  <si>
    <t>Congo, Republic of the</t>
  </si>
  <si>
    <t>Liberia</t>
  </si>
  <si>
    <t>Jamaica</t>
  </si>
  <si>
    <t>Macedonia</t>
  </si>
  <si>
    <t>Botswana</t>
  </si>
  <si>
    <t>Gambia, The</t>
  </si>
  <si>
    <t>Trinidad and Tobago</t>
  </si>
  <si>
    <t>Timor-Leste</t>
  </si>
  <si>
    <t>Suriname</t>
  </si>
  <si>
    <t>Western Sahara</t>
  </si>
  <si>
    <t>Bahamas, The</t>
  </si>
  <si>
    <t>Samoa</t>
  </si>
  <si>
    <t>Saint Lucia</t>
  </si>
  <si>
    <t>Micronesia, Federated States of</t>
  </si>
  <si>
    <t>Antigua and Barbuda</t>
  </si>
  <si>
    <t>List of metrics</t>
  </si>
  <si>
    <t>Unique ID</t>
  </si>
  <si>
    <t>Timestamp</t>
  </si>
  <si>
    <t>clean Salary (in local currency)</t>
  </si>
  <si>
    <t>Currency</t>
  </si>
  <si>
    <t>Salary in USD</t>
  </si>
  <si>
    <t>Your Job Title</t>
  </si>
  <si>
    <t>Job Type</t>
  </si>
  <si>
    <t>Where do you work</t>
  </si>
  <si>
    <t>clean Country</t>
  </si>
  <si>
    <t>How many hours of a day you work on Excel</t>
  </si>
  <si>
    <t>Years of Experience</t>
  </si>
  <si>
    <t>ID0001</t>
  </si>
  <si>
    <t>USD</t>
  </si>
  <si>
    <t>MIS Analyst</t>
  </si>
  <si>
    <t>Analyst</t>
  </si>
  <si>
    <t>4 to 6 hours a day</t>
  </si>
  <si>
    <t>ID0002</t>
  </si>
  <si>
    <t>cost control</t>
  </si>
  <si>
    <t>Controller</t>
  </si>
  <si>
    <t>europe/Croatia</t>
  </si>
  <si>
    <t>All the 8 hours baby, all the 8!</t>
  </si>
  <si>
    <t>ID0003</t>
  </si>
  <si>
    <t>Financial Analyst</t>
  </si>
  <si>
    <t>ID0004</t>
  </si>
  <si>
    <t>Quality Control</t>
  </si>
  <si>
    <t>2 to 3 hours per day</t>
  </si>
  <si>
    <t>ID0005</t>
  </si>
  <si>
    <t>Quality Engineer</t>
  </si>
  <si>
    <t>Engineer</t>
  </si>
  <si>
    <t>ID0006</t>
  </si>
  <si>
    <t>ID0007</t>
  </si>
  <si>
    <t>EUR</t>
  </si>
  <si>
    <t>senior project manager</t>
  </si>
  <si>
    <t>Manager</t>
  </si>
  <si>
    <t>1 or 2 hours a day</t>
  </si>
  <si>
    <t>ID0008</t>
  </si>
  <si>
    <t>Assistant SP&amp;A</t>
  </si>
  <si>
    <t>ID0009</t>
  </si>
  <si>
    <t>CFO</t>
  </si>
  <si>
    <t>CXO or Top Mgmt.</t>
  </si>
  <si>
    <t>ID0010</t>
  </si>
  <si>
    <t>PKR</t>
  </si>
  <si>
    <t xml:space="preserve">Audit Trainee </t>
  </si>
  <si>
    <t>Accountant</t>
  </si>
  <si>
    <t>ID0011</t>
  </si>
  <si>
    <t>Training Specialist</t>
  </si>
  <si>
    <t>Specialist</t>
  </si>
  <si>
    <t>ID0012</t>
  </si>
  <si>
    <t>quality engineer</t>
  </si>
  <si>
    <t>ID0013</t>
  </si>
  <si>
    <t>INR</t>
  </si>
  <si>
    <t>Senion Analyst</t>
  </si>
  <si>
    <t>ID0014</t>
  </si>
  <si>
    <t>business analyst</t>
  </si>
  <si>
    <t>ID0015</t>
  </si>
  <si>
    <t>Project Engineer</t>
  </si>
  <si>
    <t>ID0016</t>
  </si>
  <si>
    <t>Sr Project Engineer</t>
  </si>
  <si>
    <t>ID0017</t>
  </si>
  <si>
    <t>Business Development</t>
  </si>
  <si>
    <t>ID0018</t>
  </si>
  <si>
    <t>Excel Report Writer</t>
  </si>
  <si>
    <t>Reporting</t>
  </si>
  <si>
    <t>ID0019</t>
  </si>
  <si>
    <t>AGM</t>
  </si>
  <si>
    <t>ID0020</t>
  </si>
  <si>
    <t>GM</t>
  </si>
  <si>
    <t>ID0021</t>
  </si>
  <si>
    <t>DSE Co-ordinator</t>
  </si>
  <si>
    <t>ID0022</t>
  </si>
  <si>
    <t>ID0023</t>
  </si>
  <si>
    <t>ID0024</t>
  </si>
  <si>
    <t>Marketing Director</t>
  </si>
  <si>
    <t>ID0025</t>
  </si>
  <si>
    <t>sales and marketing</t>
  </si>
  <si>
    <t>ID0026</t>
  </si>
  <si>
    <t>Analyst II</t>
  </si>
  <si>
    <t>ID0028</t>
  </si>
  <si>
    <t>Project Leader</t>
  </si>
  <si>
    <t>ID0029</t>
  </si>
  <si>
    <t>Applications Engineer</t>
  </si>
  <si>
    <t>ID0030</t>
  </si>
  <si>
    <t>strategy manager</t>
  </si>
  <si>
    <t>ID0031</t>
  </si>
  <si>
    <t>Chief of the department of public budget analisis and forecasting</t>
  </si>
  <si>
    <t>ID0032</t>
  </si>
  <si>
    <t>ID0033</t>
  </si>
  <si>
    <t>GBP</t>
  </si>
  <si>
    <t>Management Information Analyst</t>
  </si>
  <si>
    <t>UK</t>
  </si>
  <si>
    <t>ID0035</t>
  </si>
  <si>
    <t>ID0036</t>
  </si>
  <si>
    <t>Senior Consultant</t>
  </si>
  <si>
    <t>Consultant</t>
  </si>
  <si>
    <t>ID0037</t>
  </si>
  <si>
    <t>Portfolio Manager</t>
  </si>
  <si>
    <t>ID0038</t>
  </si>
  <si>
    <t>Design Engineer</t>
  </si>
  <si>
    <t>ID0039</t>
  </si>
  <si>
    <t>Academic Advisor</t>
  </si>
  <si>
    <t>ID0040</t>
  </si>
  <si>
    <t>Coordination</t>
  </si>
  <si>
    <t>ID0041</t>
  </si>
  <si>
    <t>AUD</t>
  </si>
  <si>
    <t>consultant</t>
  </si>
  <si>
    <t>ID0042</t>
  </si>
  <si>
    <t>Business Analsyt</t>
  </si>
  <si>
    <t>ID0043</t>
  </si>
  <si>
    <t>CAD</t>
  </si>
  <si>
    <t>Product Engineer</t>
  </si>
  <si>
    <t>ID0044</t>
  </si>
  <si>
    <t>Senior Accountant</t>
  </si>
  <si>
    <t>ID0045</t>
  </si>
  <si>
    <t>Scientist</t>
  </si>
  <si>
    <t>Misc.</t>
  </si>
  <si>
    <t>ID0046</t>
  </si>
  <si>
    <t>Team Lead</t>
  </si>
  <si>
    <t>ID0047</t>
  </si>
  <si>
    <t>Senior intelligence analyst</t>
  </si>
  <si>
    <t>ID0048</t>
  </si>
  <si>
    <t>Freelance consultant</t>
  </si>
  <si>
    <t>ID0049</t>
  </si>
  <si>
    <t>Online Traffic Manager / Web Analist</t>
  </si>
  <si>
    <t>The Netherlands</t>
  </si>
  <si>
    <t>ID0050</t>
  </si>
  <si>
    <t>Seinor Financial Analyst</t>
  </si>
  <si>
    <t>ID0051</t>
  </si>
  <si>
    <t>Senior Accounting Supervisor</t>
  </si>
  <si>
    <t>ID0052</t>
  </si>
  <si>
    <t>ID0053</t>
  </si>
  <si>
    <t>PPC Manager</t>
  </si>
  <si>
    <t>ID0054</t>
  </si>
  <si>
    <t>Financial Planner</t>
  </si>
  <si>
    <t>ID0055</t>
  </si>
  <si>
    <t>ID0056</t>
  </si>
  <si>
    <t>ID0057</t>
  </si>
  <si>
    <t>Building Design and Performance Researcher</t>
  </si>
  <si>
    <t>ID0058</t>
  </si>
  <si>
    <t>Project leader</t>
  </si>
  <si>
    <t>ID0059</t>
  </si>
  <si>
    <t>Senior Analyst</t>
  </si>
  <si>
    <t>ID0060</t>
  </si>
  <si>
    <t>ID0061</t>
  </si>
  <si>
    <t>Engineering Data Analyst</t>
  </si>
  <si>
    <t>ID0062</t>
  </si>
  <si>
    <t>Sales Analyst</t>
  </si>
  <si>
    <t>CANADA</t>
  </si>
  <si>
    <t>ID0063</t>
  </si>
  <si>
    <t>Coordinator Of Costa and Buget</t>
  </si>
  <si>
    <t>Brasil</t>
  </si>
  <si>
    <t>ID0064</t>
  </si>
  <si>
    <t>SAP consultant</t>
  </si>
  <si>
    <t>FR</t>
  </si>
  <si>
    <t>ID0065</t>
  </si>
  <si>
    <t>ID0066</t>
  </si>
  <si>
    <t>busines analist</t>
  </si>
  <si>
    <t>ID0067</t>
  </si>
  <si>
    <t>head of data</t>
  </si>
  <si>
    <t>ID0068</t>
  </si>
  <si>
    <t>Business Systems Analyst</t>
  </si>
  <si>
    <t>ID0069</t>
  </si>
  <si>
    <t>Financial Analyst II</t>
  </si>
  <si>
    <t>ID0070</t>
  </si>
  <si>
    <t>Mngr MI</t>
  </si>
  <si>
    <t>RSA</t>
  </si>
  <si>
    <t>ID0071</t>
  </si>
  <si>
    <t>sales analyst</t>
  </si>
  <si>
    <t>ID0072</t>
  </si>
  <si>
    <t>Consumer Research Program Manager</t>
  </si>
  <si>
    <t>ID0073</t>
  </si>
  <si>
    <t>technical trainer</t>
  </si>
  <si>
    <t>ID0074</t>
  </si>
  <si>
    <t>Process Flow Coordinator</t>
  </si>
  <si>
    <t>ID0075</t>
  </si>
  <si>
    <t>Process Improvement Specialist</t>
  </si>
  <si>
    <t>ID0076</t>
  </si>
  <si>
    <t>Excel Programmer Consultant</t>
  </si>
  <si>
    <t>ID0077</t>
  </si>
  <si>
    <t>Statistical Analyst</t>
  </si>
  <si>
    <t>ID0078</t>
  </si>
  <si>
    <t>ID0079</t>
  </si>
  <si>
    <t>Operational Analyst</t>
  </si>
  <si>
    <t>ID0080</t>
  </si>
  <si>
    <t>Exceler</t>
  </si>
  <si>
    <t>ID0081</t>
  </si>
  <si>
    <t>Marketing Analyst</t>
  </si>
  <si>
    <t>ID0082</t>
  </si>
  <si>
    <t>Database Manager</t>
  </si>
  <si>
    <t>ID0083</t>
  </si>
  <si>
    <t>Director</t>
  </si>
  <si>
    <t>ID0084</t>
  </si>
  <si>
    <t>Manager, Forecasts &amp; Budgets</t>
  </si>
  <si>
    <t>ID0085</t>
  </si>
  <si>
    <t>ID0086</t>
  </si>
  <si>
    <t>VBA Analyst</t>
  </si>
  <si>
    <t>ID0087</t>
  </si>
  <si>
    <t>Senior Scheduling Engineer</t>
  </si>
  <si>
    <t>ID0088</t>
  </si>
  <si>
    <t>Strategy Consultant</t>
  </si>
  <si>
    <t>ID0089</t>
  </si>
  <si>
    <t>Admin</t>
  </si>
  <si>
    <t>ID0090</t>
  </si>
  <si>
    <t>IT Asset Administrator</t>
  </si>
  <si>
    <t>ID0091</t>
  </si>
  <si>
    <t>Director of Marketing</t>
  </si>
  <si>
    <t>ID0092</t>
  </si>
  <si>
    <t>Graphic Design Manager</t>
  </si>
  <si>
    <t>ID0093</t>
  </si>
  <si>
    <t>Financial Consultant</t>
  </si>
  <si>
    <t>ID0094</t>
  </si>
  <si>
    <t>Data Analyst</t>
  </si>
  <si>
    <t>ID0095</t>
  </si>
  <si>
    <t>ID0096</t>
  </si>
  <si>
    <t>Paraeducator</t>
  </si>
  <si>
    <t>ID0097</t>
  </si>
  <si>
    <t>Channel Marketing Manager</t>
  </si>
  <si>
    <t>ID0098</t>
  </si>
  <si>
    <t xml:space="preserve">Sales and Marketing Analyst </t>
  </si>
  <si>
    <t>ID0099</t>
  </si>
  <si>
    <t>Production Scheduler</t>
  </si>
  <si>
    <t>ID0100</t>
  </si>
  <si>
    <t>ID0101</t>
  </si>
  <si>
    <t>financial analyst</t>
  </si>
  <si>
    <t>ID0102</t>
  </si>
  <si>
    <t>Product Specialist</t>
  </si>
  <si>
    <t>ID0103</t>
  </si>
  <si>
    <t>IT support</t>
  </si>
  <si>
    <t>arabian Gulf</t>
  </si>
  <si>
    <t>ID0104</t>
  </si>
  <si>
    <t>sr. project coordinator</t>
  </si>
  <si>
    <t>ID0105</t>
  </si>
  <si>
    <t>Sr Administrative Assistant</t>
  </si>
  <si>
    <t>ID0106</t>
  </si>
  <si>
    <t>ID0107</t>
  </si>
  <si>
    <t>IT Analyst</t>
  </si>
  <si>
    <t>ID0108</t>
  </si>
  <si>
    <t>ID0109</t>
  </si>
  <si>
    <t>Project manager</t>
  </si>
  <si>
    <t>ID0111</t>
  </si>
  <si>
    <t>Strategic Analyst</t>
  </si>
  <si>
    <t>ID0112</t>
  </si>
  <si>
    <t>Transportation Specialist</t>
  </si>
  <si>
    <t>ID0113</t>
  </si>
  <si>
    <t>Operations Programs Support</t>
  </si>
  <si>
    <t>ID0114</t>
  </si>
  <si>
    <t>Accounting Coordinator</t>
  </si>
  <si>
    <t>ID0115</t>
  </si>
  <si>
    <t>Asst.Manager Finance</t>
  </si>
  <si>
    <t>UAE</t>
  </si>
  <si>
    <t>ID0116</t>
  </si>
  <si>
    <t>Operations Cost Analyst</t>
  </si>
  <si>
    <t>ID0117</t>
  </si>
  <si>
    <t>Financial Controller</t>
  </si>
  <si>
    <t>ID0118</t>
  </si>
  <si>
    <t>Utilization Analyst</t>
  </si>
  <si>
    <t>ID0119</t>
  </si>
  <si>
    <t>Researcher</t>
  </si>
  <si>
    <t>ID0120</t>
  </si>
  <si>
    <t>Market Analyst</t>
  </si>
  <si>
    <t>Excel ?!? What Excel?</t>
  </si>
  <si>
    <t>ID0121</t>
  </si>
  <si>
    <t>Web Developer</t>
  </si>
  <si>
    <t>ID0122</t>
  </si>
  <si>
    <t>Sr. Acct</t>
  </si>
  <si>
    <t>ID0123</t>
  </si>
  <si>
    <t>Information Systems Specialist</t>
  </si>
  <si>
    <t>ID0124</t>
  </si>
  <si>
    <t>Analytics lead</t>
  </si>
  <si>
    <t>ID0125</t>
  </si>
  <si>
    <t>ID0126</t>
  </si>
  <si>
    <t>Actuary</t>
  </si>
  <si>
    <t>ID0127</t>
  </si>
  <si>
    <t>School Tech Coordinator</t>
  </si>
  <si>
    <t>ID0128</t>
  </si>
  <si>
    <t>sr accountant</t>
  </si>
  <si>
    <t>ID0129</t>
  </si>
  <si>
    <t>senior accountant</t>
  </si>
  <si>
    <t>ID0130</t>
  </si>
  <si>
    <t>Freelance</t>
  </si>
  <si>
    <t>ID0131</t>
  </si>
  <si>
    <t>ID0132</t>
  </si>
  <si>
    <t>DBA</t>
  </si>
  <si>
    <t>ID0133</t>
  </si>
  <si>
    <t>Research Analyst</t>
  </si>
  <si>
    <t>ID0134</t>
  </si>
  <si>
    <t>Project Manager</t>
  </si>
  <si>
    <t>ID0135</t>
  </si>
  <si>
    <t>Market Research Analyst</t>
  </si>
  <si>
    <t>ID0136</t>
  </si>
  <si>
    <t>Manager : Accounts</t>
  </si>
  <si>
    <t>ID0137</t>
  </si>
  <si>
    <t>project manager</t>
  </si>
  <si>
    <t>canada</t>
  </si>
  <si>
    <t>ID0138</t>
  </si>
  <si>
    <t>Inventory manger</t>
  </si>
  <si>
    <t>ID0139</t>
  </si>
  <si>
    <t>Business Analyst</t>
  </si>
  <si>
    <t>ID0140</t>
  </si>
  <si>
    <t>Process Technician</t>
  </si>
  <si>
    <t>ID0141</t>
  </si>
  <si>
    <t>MIS Team Leader</t>
  </si>
  <si>
    <t>ID0142</t>
  </si>
  <si>
    <t>ID0143</t>
  </si>
  <si>
    <t>Finance Director</t>
  </si>
  <si>
    <t>ID0144</t>
  </si>
  <si>
    <t>Industrial Engineer</t>
  </si>
  <si>
    <t>ID0145</t>
  </si>
  <si>
    <t>data analyst</t>
  </si>
  <si>
    <t>ID0146</t>
  </si>
  <si>
    <t>Senior Financial &amp; Systems Analyst</t>
  </si>
  <si>
    <t>ID0147</t>
  </si>
  <si>
    <t>project manager - metrics</t>
  </si>
  <si>
    <t>ID0148</t>
  </si>
  <si>
    <t>Informatics Research Analyst</t>
  </si>
  <si>
    <t>ID0149</t>
  </si>
  <si>
    <t>Business Technical Consultant</t>
  </si>
  <si>
    <t>ID0150</t>
  </si>
  <si>
    <t>Business Operations Reporting Analyst</t>
  </si>
  <si>
    <t>ID0151</t>
  </si>
  <si>
    <t>Program Services Coordinator</t>
  </si>
  <si>
    <t>ID0152</t>
  </si>
  <si>
    <t>Specialist - Finance Planning and Analysis</t>
  </si>
  <si>
    <t>ID0153</t>
  </si>
  <si>
    <t>Sr Accountant</t>
  </si>
  <si>
    <t>ID0154</t>
  </si>
  <si>
    <t>ID0155</t>
  </si>
  <si>
    <t>Proces auditor</t>
  </si>
  <si>
    <t>ID0156</t>
  </si>
  <si>
    <t>Senior Data Quality Analyst</t>
  </si>
  <si>
    <t>ID0157</t>
  </si>
  <si>
    <t>Sr Business Analyst</t>
  </si>
  <si>
    <t>ID0158</t>
  </si>
  <si>
    <t>COST ACCOUNTANT</t>
  </si>
  <si>
    <t>ID0159</t>
  </si>
  <si>
    <t>project Support</t>
  </si>
  <si>
    <t>ID0160</t>
  </si>
  <si>
    <t>managerial</t>
  </si>
  <si>
    <t>ID0161</t>
  </si>
  <si>
    <t>Program Analyst</t>
  </si>
  <si>
    <t>ID0162</t>
  </si>
  <si>
    <t>Team Lead - Computer Discounts</t>
  </si>
  <si>
    <t>ID0163</t>
  </si>
  <si>
    <t>Change Architect</t>
  </si>
  <si>
    <t>ID0164</t>
  </si>
  <si>
    <t>Telecom Technician</t>
  </si>
  <si>
    <t>ID0165</t>
  </si>
  <si>
    <t>ID0166</t>
  </si>
  <si>
    <t>Manager, Asset Optimization</t>
  </si>
  <si>
    <t>ID0167</t>
  </si>
  <si>
    <t>Financialcontroller</t>
  </si>
  <si>
    <t>ID0168</t>
  </si>
  <si>
    <t xml:space="preserve">Accounting </t>
  </si>
  <si>
    <t>ID0169</t>
  </si>
  <si>
    <t>Consultant, HR Services &amp; Governance</t>
  </si>
  <si>
    <t>ID0170</t>
  </si>
  <si>
    <t>QA Executive</t>
  </si>
  <si>
    <t>ID0171</t>
  </si>
  <si>
    <t>Senior Actuarial Analyst</t>
  </si>
  <si>
    <t>ID0172</t>
  </si>
  <si>
    <t>Sr. Associate</t>
  </si>
  <si>
    <t>ID0173</t>
  </si>
  <si>
    <t>Budget Analyst</t>
  </si>
  <si>
    <t>ID0174</t>
  </si>
  <si>
    <t>B.I. Data Analyst II</t>
  </si>
  <si>
    <t>ID0175</t>
  </si>
  <si>
    <t>Asst manager investor relations and business analytics</t>
  </si>
  <si>
    <t>ID0176</t>
  </si>
  <si>
    <t>Industrial Engineer (Fed)</t>
  </si>
  <si>
    <t>ID0177</t>
  </si>
  <si>
    <t>Informatics specialist</t>
  </si>
  <si>
    <t>ID0178</t>
  </si>
  <si>
    <t>ID0179</t>
  </si>
  <si>
    <t>Trainee Management Accountant</t>
  </si>
  <si>
    <t>ID0180</t>
  </si>
  <si>
    <t>Senior analyst</t>
  </si>
  <si>
    <t>ID0181</t>
  </si>
  <si>
    <t>Director of Analytics</t>
  </si>
  <si>
    <t>ID0182</t>
  </si>
  <si>
    <t>Executive Assistant</t>
  </si>
  <si>
    <t>ID0183</t>
  </si>
  <si>
    <t>Project Speciast</t>
  </si>
  <si>
    <t>ID0184</t>
  </si>
  <si>
    <t>Sales Coordinator &amp; Analytical Support</t>
  </si>
  <si>
    <t>ID0185</t>
  </si>
  <si>
    <t>analyst</t>
  </si>
  <si>
    <t>ID0186</t>
  </si>
  <si>
    <t>Senior Staff Accountant</t>
  </si>
  <si>
    <t>ID0187</t>
  </si>
  <si>
    <t>Consultant - Retail Mkts</t>
  </si>
  <si>
    <t>ID0188</t>
  </si>
  <si>
    <t>Process Manager</t>
  </si>
  <si>
    <t>ID0189</t>
  </si>
  <si>
    <t>Project Manager (Process Owner)</t>
  </si>
  <si>
    <t>ID0190</t>
  </si>
  <si>
    <t>Demographer</t>
  </si>
  <si>
    <t>ID0192</t>
  </si>
  <si>
    <t>Administrative Assistant</t>
  </si>
  <si>
    <t>ID0193</t>
  </si>
  <si>
    <t>Accounting/Financial Analyst</t>
  </si>
  <si>
    <t>ID0194</t>
  </si>
  <si>
    <t>Business Process Specialist</t>
  </si>
  <si>
    <t>ID0195</t>
  </si>
  <si>
    <t>ID0196</t>
  </si>
  <si>
    <t>Sr Financial Analyst</t>
  </si>
  <si>
    <t>ID0197</t>
  </si>
  <si>
    <t>Asst. Manager (MIS)</t>
  </si>
  <si>
    <t>ID0198</t>
  </si>
  <si>
    <t>Business Controller</t>
  </si>
  <si>
    <t>ID0200</t>
  </si>
  <si>
    <t>ID0201</t>
  </si>
  <si>
    <t>low level monitoring</t>
  </si>
  <si>
    <t>ID0202</t>
  </si>
  <si>
    <t>Administrative</t>
  </si>
  <si>
    <t>ID0203</t>
  </si>
  <si>
    <t>Service Line Coordinator</t>
  </si>
  <si>
    <t>ID0204</t>
  </si>
  <si>
    <t>Strategic Sourcing Manager</t>
  </si>
  <si>
    <t>ID0205</t>
  </si>
  <si>
    <t>Chief Manager</t>
  </si>
  <si>
    <t>ID0207</t>
  </si>
  <si>
    <t>Business Intelligence Analyst</t>
  </si>
  <si>
    <t>ID0208</t>
  </si>
  <si>
    <t>ID0209</t>
  </si>
  <si>
    <t>Sr. Financial Analyst</t>
  </si>
  <si>
    <t>ID0210</t>
  </si>
  <si>
    <t>Buyer</t>
  </si>
  <si>
    <t>ID0211</t>
  </si>
  <si>
    <t>program manager</t>
  </si>
  <si>
    <t>ID0212</t>
  </si>
  <si>
    <t>Reporting Analyst Team Lead</t>
  </si>
  <si>
    <t>ID0213</t>
  </si>
  <si>
    <t>Innovation Analyst</t>
  </si>
  <si>
    <t>ID0214</t>
  </si>
  <si>
    <t>Operations Expert</t>
  </si>
  <si>
    <t>ID0215</t>
  </si>
  <si>
    <t>Director of Finance</t>
  </si>
  <si>
    <t>ID0216</t>
  </si>
  <si>
    <t>Information Analyst II</t>
  </si>
  <si>
    <t>ID0217</t>
  </si>
  <si>
    <t>ID0218</t>
  </si>
  <si>
    <t>ID0219</t>
  </si>
  <si>
    <t>Accounting Assistant</t>
  </si>
  <si>
    <t>ID0220</t>
  </si>
  <si>
    <t>Tax Professional</t>
  </si>
  <si>
    <t>Bermuda</t>
  </si>
  <si>
    <t>ID0221</t>
  </si>
  <si>
    <t>ID0222</t>
  </si>
  <si>
    <t>Jr. Executive Finance</t>
  </si>
  <si>
    <t>ID0223</t>
  </si>
  <si>
    <t>Assistant Controller</t>
  </si>
  <si>
    <t>ID0224</t>
  </si>
  <si>
    <t>Project engineer</t>
  </si>
  <si>
    <t>ID0225</t>
  </si>
  <si>
    <t>Cash Officer</t>
  </si>
  <si>
    <t>ID0226</t>
  </si>
  <si>
    <t>ID0227</t>
  </si>
  <si>
    <t>ID0228</t>
  </si>
  <si>
    <t>Technical support specialist</t>
  </si>
  <si>
    <t>ID0229</t>
  </si>
  <si>
    <t>ServiceDesk Supervisor</t>
  </si>
  <si>
    <t>ID0230</t>
  </si>
  <si>
    <t>medical biller</t>
  </si>
  <si>
    <t>ID0231</t>
  </si>
  <si>
    <t>Sr. Strategic Development Specialist</t>
  </si>
  <si>
    <t>ID0232</t>
  </si>
  <si>
    <t>ID0233</t>
  </si>
  <si>
    <t>VP - Procurment</t>
  </si>
  <si>
    <t>ID0234</t>
  </si>
  <si>
    <t>HRIS Analyst</t>
  </si>
  <si>
    <t>ID0235</t>
  </si>
  <si>
    <t>Procurement manager</t>
  </si>
  <si>
    <t>ID0236</t>
  </si>
  <si>
    <t>Energy Analyst</t>
  </si>
  <si>
    <t>ID0237</t>
  </si>
  <si>
    <t>ID0238</t>
  </si>
  <si>
    <t>Branch head -sales</t>
  </si>
  <si>
    <t>ID0239</t>
  </si>
  <si>
    <t>retail buyer</t>
  </si>
  <si>
    <t>ID0240</t>
  </si>
  <si>
    <t>HR Specialist</t>
  </si>
  <si>
    <t>ID0241</t>
  </si>
  <si>
    <t>ID0242</t>
  </si>
  <si>
    <t>ID0243</t>
  </si>
  <si>
    <t>Director of Finance and Accounting</t>
  </si>
  <si>
    <t>ID0244</t>
  </si>
  <si>
    <t>Manager Business Control</t>
  </si>
  <si>
    <t>ID0245</t>
  </si>
  <si>
    <t>Manager Pricing</t>
  </si>
  <si>
    <t>ID0246</t>
  </si>
  <si>
    <t>Insurance Manager</t>
  </si>
  <si>
    <t>ID0247</t>
  </si>
  <si>
    <t>ID0248</t>
  </si>
  <si>
    <t>ID0249</t>
  </si>
  <si>
    <t>Freellance</t>
  </si>
  <si>
    <t>ID0250</t>
  </si>
  <si>
    <t>category manager</t>
  </si>
  <si>
    <t>ID0251</t>
  </si>
  <si>
    <t>Customer Operations Analyst</t>
  </si>
  <si>
    <t>ID0252</t>
  </si>
  <si>
    <t>ID0253</t>
  </si>
  <si>
    <t>ID0254</t>
  </si>
  <si>
    <t>ID0255</t>
  </si>
  <si>
    <t>Site Technician</t>
  </si>
  <si>
    <t>ID0256</t>
  </si>
  <si>
    <t>Excel Consultant</t>
  </si>
  <si>
    <t>ID0257</t>
  </si>
  <si>
    <t>Senior Project Manager</t>
  </si>
  <si>
    <t>ID0258</t>
  </si>
  <si>
    <t>Web Statistics Analyst</t>
  </si>
  <si>
    <t>ID0259</t>
  </si>
  <si>
    <t>Business Data Analyst I</t>
  </si>
  <si>
    <t>ID0260</t>
  </si>
  <si>
    <t>Decision Analyst &amp; Modeller</t>
  </si>
  <si>
    <t>ID0261</t>
  </si>
  <si>
    <t>ID0262</t>
  </si>
  <si>
    <t>Ops Adminstrator</t>
  </si>
  <si>
    <t>ID0263</t>
  </si>
  <si>
    <t>Sr. Global marketing Specialist</t>
  </si>
  <si>
    <t>ID0264</t>
  </si>
  <si>
    <t>financial accountant</t>
  </si>
  <si>
    <t>ID0265</t>
  </si>
  <si>
    <t>Software Consultant</t>
  </si>
  <si>
    <t>ID0266</t>
  </si>
  <si>
    <t>Anaylst</t>
  </si>
  <si>
    <t>ID0267</t>
  </si>
  <si>
    <t>ID0268</t>
  </si>
  <si>
    <t>senior accounting coordinator</t>
  </si>
  <si>
    <t>ID0269</t>
  </si>
  <si>
    <t>Demand Planning Mgr</t>
  </si>
  <si>
    <t>ID0270</t>
  </si>
  <si>
    <t>VP / Credit Administrator</t>
  </si>
  <si>
    <t>ID0271</t>
  </si>
  <si>
    <t>DP specialist</t>
  </si>
  <si>
    <t>ID0272</t>
  </si>
  <si>
    <t>Analyst 2</t>
  </si>
  <si>
    <t>ID0273</t>
  </si>
  <si>
    <t>VP</t>
  </si>
  <si>
    <t>ID0274</t>
  </si>
  <si>
    <t>ID0275</t>
  </si>
  <si>
    <t>ID0276</t>
  </si>
  <si>
    <t>PHP</t>
  </si>
  <si>
    <t>Global Problem Management - IT</t>
  </si>
  <si>
    <t>ID0277</t>
  </si>
  <si>
    <t>ID0278</t>
  </si>
  <si>
    <t>Enterprise Performance Metrics Manager</t>
  </si>
  <si>
    <t>ID0279</t>
  </si>
  <si>
    <t>ID0280</t>
  </si>
  <si>
    <t>ID0281</t>
  </si>
  <si>
    <t>University Relations Intern</t>
  </si>
  <si>
    <t>ID0282</t>
  </si>
  <si>
    <t>Auxiliar Administrativo</t>
  </si>
  <si>
    <t>ID0283</t>
  </si>
  <si>
    <t>Engineering Tech Sr.</t>
  </si>
  <si>
    <t>ID0284</t>
  </si>
  <si>
    <t>Senior Specialist</t>
  </si>
  <si>
    <t>ID0285</t>
  </si>
  <si>
    <t>moneymaker</t>
  </si>
  <si>
    <t>ID0286</t>
  </si>
  <si>
    <t>ID0287</t>
  </si>
  <si>
    <t>AED</t>
  </si>
  <si>
    <t>Dubai</t>
  </si>
  <si>
    <t>ID0288</t>
  </si>
  <si>
    <t>MIS</t>
  </si>
  <si>
    <t>ID0289</t>
  </si>
  <si>
    <t>management accountant</t>
  </si>
  <si>
    <t>ID0290</t>
  </si>
  <si>
    <t>ID0291</t>
  </si>
  <si>
    <t>Telecoms Engineer</t>
  </si>
  <si>
    <t>ID0292</t>
  </si>
  <si>
    <t>Software Support</t>
  </si>
  <si>
    <t>ID0293</t>
  </si>
  <si>
    <t>Projects Planner</t>
  </si>
  <si>
    <t>ID0294</t>
  </si>
  <si>
    <t>ID0295</t>
  </si>
  <si>
    <t>Mathematical Data Analyist</t>
  </si>
  <si>
    <t>ID0296</t>
  </si>
  <si>
    <t>sales support</t>
  </si>
  <si>
    <t>ID0297</t>
  </si>
  <si>
    <t>Administrative Officer</t>
  </si>
  <si>
    <t>ID0298</t>
  </si>
  <si>
    <t>IS Manager</t>
  </si>
  <si>
    <t>ID0299</t>
  </si>
  <si>
    <t xml:space="preserve">Support Specialist </t>
  </si>
  <si>
    <t>ID0300</t>
  </si>
  <si>
    <t>FA</t>
  </si>
  <si>
    <t>ID0301</t>
  </si>
  <si>
    <t>VP of Finance</t>
  </si>
  <si>
    <t>ID0302</t>
  </si>
  <si>
    <t>PRODUCTION ASSISTANT</t>
  </si>
  <si>
    <t>ID0303</t>
  </si>
  <si>
    <t>ID0304</t>
  </si>
  <si>
    <t>ID0305</t>
  </si>
  <si>
    <t>controller</t>
  </si>
  <si>
    <t>germany</t>
  </si>
  <si>
    <t>ID0306</t>
  </si>
  <si>
    <t>HR Analyst</t>
  </si>
  <si>
    <t>ID0307</t>
  </si>
  <si>
    <t>ID0308</t>
  </si>
  <si>
    <t>Plant Controller</t>
  </si>
  <si>
    <t>ID0309</t>
  </si>
  <si>
    <t>consultant bi</t>
  </si>
  <si>
    <t>The netherlands</t>
  </si>
  <si>
    <t>ID0310</t>
  </si>
  <si>
    <t>Royalties Coordinator</t>
  </si>
  <si>
    <t>ID0311</t>
  </si>
  <si>
    <t>Graduate Structural Engineer</t>
  </si>
  <si>
    <t>ID0312</t>
  </si>
  <si>
    <t>Operations Analyst</t>
  </si>
  <si>
    <t>ID0313</t>
  </si>
  <si>
    <t>Marketing</t>
  </si>
  <si>
    <t>ID0314</t>
  </si>
  <si>
    <t xml:space="preserve">Finance, Manager </t>
  </si>
  <si>
    <t>ID0315</t>
  </si>
  <si>
    <t>Sr. Business Analyst</t>
  </si>
  <si>
    <t>ID0316</t>
  </si>
  <si>
    <t>MXN</t>
  </si>
  <si>
    <t>Information Analyst</t>
  </si>
  <si>
    <t>ID0317</t>
  </si>
  <si>
    <t>ID0318</t>
  </si>
  <si>
    <t>Financial Specialist</t>
  </si>
  <si>
    <t>ID0319</t>
  </si>
  <si>
    <t>ID0320</t>
  </si>
  <si>
    <t>Management Analyst</t>
  </si>
  <si>
    <t>ID0321</t>
  </si>
  <si>
    <t>ID0322</t>
  </si>
  <si>
    <t>Dp manager</t>
  </si>
  <si>
    <t>ID0323</t>
  </si>
  <si>
    <t>director of analytics</t>
  </si>
  <si>
    <t>ID0324</t>
  </si>
  <si>
    <t>Supply Processes Analyst</t>
  </si>
  <si>
    <t>ID0325</t>
  </si>
  <si>
    <t>ICT Technical Analyst</t>
  </si>
  <si>
    <t>ID0326</t>
  </si>
  <si>
    <t>Sourcing Specialist</t>
  </si>
  <si>
    <t>ID0327</t>
  </si>
  <si>
    <t>ID0328</t>
  </si>
  <si>
    <t>Reporting Shared Services Oferring Lead</t>
  </si>
  <si>
    <t>ID0329</t>
  </si>
  <si>
    <t>Sales Analytics Manager</t>
  </si>
  <si>
    <t>ID0330</t>
  </si>
  <si>
    <t>Product Manager Sr</t>
  </si>
  <si>
    <t>ID0331</t>
  </si>
  <si>
    <t>Database Architect</t>
  </si>
  <si>
    <t>ID0332</t>
  </si>
  <si>
    <t>ID0333</t>
  </si>
  <si>
    <t>Product developer</t>
  </si>
  <si>
    <t>ID0334</t>
  </si>
  <si>
    <t>Supply Chain Analyst</t>
  </si>
  <si>
    <t>ID0335</t>
  </si>
  <si>
    <t>financial planning</t>
  </si>
  <si>
    <t>ID0336</t>
  </si>
  <si>
    <t>Test Analyst</t>
  </si>
  <si>
    <t>ID0337</t>
  </si>
  <si>
    <t>project manager, project finance consultant</t>
  </si>
  <si>
    <t>ID0338</t>
  </si>
  <si>
    <t>QC Fabrication Inspector</t>
  </si>
  <si>
    <t>ID0339</t>
  </si>
  <si>
    <t>Manager of Trade Investment &amp; Analysis</t>
  </si>
  <si>
    <t>ID0340</t>
  </si>
  <si>
    <t>Business Analysit</t>
  </si>
  <si>
    <t>ID0341</t>
  </si>
  <si>
    <t>Assistant Outside Plant Project Manager</t>
  </si>
  <si>
    <t>ID0342</t>
  </si>
  <si>
    <t>operation-manager</t>
  </si>
  <si>
    <t>ID0343</t>
  </si>
  <si>
    <t>ID0344</t>
  </si>
  <si>
    <t>Senior Financial Analyst</t>
  </si>
  <si>
    <t>ID0346</t>
  </si>
  <si>
    <t>Senior Data Analyst</t>
  </si>
  <si>
    <t>ID0347</t>
  </si>
  <si>
    <t>MIS EXCUTIVE</t>
  </si>
  <si>
    <t>ID0348</t>
  </si>
  <si>
    <t>Advisor</t>
  </si>
  <si>
    <t>ID0349</t>
  </si>
  <si>
    <t>Online Analyst</t>
  </si>
  <si>
    <t>ID0350</t>
  </si>
  <si>
    <t>General Manager</t>
  </si>
  <si>
    <t>ID0351</t>
  </si>
  <si>
    <t>Sr Staff Engineer</t>
  </si>
  <si>
    <t>ID0352</t>
  </si>
  <si>
    <t>Senior Design Associate</t>
  </si>
  <si>
    <t>ID0353</t>
  </si>
  <si>
    <t>ID0354</t>
  </si>
  <si>
    <t>Planning and Analysis Supervisor</t>
  </si>
  <si>
    <t>ID0355</t>
  </si>
  <si>
    <t>asset manager</t>
  </si>
  <si>
    <t>ID0356</t>
  </si>
  <si>
    <t>Transportation Engineer</t>
  </si>
  <si>
    <t>ID0357</t>
  </si>
  <si>
    <t>web marketing analyst</t>
  </si>
  <si>
    <t>ID0358</t>
  </si>
  <si>
    <t>RS</t>
  </si>
  <si>
    <t>ID0359</t>
  </si>
  <si>
    <t>ID0360</t>
  </si>
  <si>
    <t>ID0361</t>
  </si>
  <si>
    <t>Director of Payroll</t>
  </si>
  <si>
    <t>ID0362</t>
  </si>
  <si>
    <t>ID0363</t>
  </si>
  <si>
    <t>SEK</t>
  </si>
  <si>
    <t>IT consultant</t>
  </si>
  <si>
    <t>ID0365</t>
  </si>
  <si>
    <t>ID0366</t>
  </si>
  <si>
    <t>Commercial Manager</t>
  </si>
  <si>
    <t>ID0367</t>
  </si>
  <si>
    <t>Quality Assurance Officer</t>
  </si>
  <si>
    <t>ID0368</t>
  </si>
  <si>
    <t>Senior Treasury Analyst</t>
  </si>
  <si>
    <t>ID0369</t>
  </si>
  <si>
    <t>Supervisor, Contracts, Rebates, Chargebacks and Returns</t>
  </si>
  <si>
    <t>ID0370</t>
  </si>
  <si>
    <t>ID0371</t>
  </si>
  <si>
    <t>ceo</t>
  </si>
  <si>
    <t>ID0372</t>
  </si>
  <si>
    <t>System Manager</t>
  </si>
  <si>
    <t>ID0373</t>
  </si>
  <si>
    <t>ID0374</t>
  </si>
  <si>
    <t>ID0375</t>
  </si>
  <si>
    <t>director</t>
  </si>
  <si>
    <t>ID0376</t>
  </si>
  <si>
    <t>ID0377</t>
  </si>
  <si>
    <t>Owner</t>
  </si>
  <si>
    <t>ID0378</t>
  </si>
  <si>
    <t>Senior Business Analyst</t>
  </si>
  <si>
    <t>ID0379</t>
  </si>
  <si>
    <t xml:space="preserve">marketing and sales </t>
  </si>
  <si>
    <t>ID0380</t>
  </si>
  <si>
    <t>Managing Director</t>
  </si>
  <si>
    <t>ID0381</t>
  </si>
  <si>
    <t>ID0382</t>
  </si>
  <si>
    <t>Senior Billing Engineer</t>
  </si>
  <si>
    <t>ID0383</t>
  </si>
  <si>
    <t>Quality Analyst</t>
  </si>
  <si>
    <t>ID0384</t>
  </si>
  <si>
    <t>Financial analyst</t>
  </si>
  <si>
    <t>ID0385</t>
  </si>
  <si>
    <t>Economist</t>
  </si>
  <si>
    <t>ID0386</t>
  </si>
  <si>
    <t>assistant manager (finance)</t>
  </si>
  <si>
    <t>ID0387</t>
  </si>
  <si>
    <t>Central Services Manager</t>
  </si>
  <si>
    <t>ID0388</t>
  </si>
  <si>
    <t xml:space="preserve">Trainer </t>
  </si>
  <si>
    <t>ID0389</t>
  </si>
  <si>
    <t>continuous improvement team member</t>
  </si>
  <si>
    <t>ID0390</t>
  </si>
  <si>
    <t>ID0391</t>
  </si>
  <si>
    <t>MIS Officer</t>
  </si>
  <si>
    <t>ID0392</t>
  </si>
  <si>
    <t>IR Manager</t>
  </si>
  <si>
    <t>ID0393</t>
  </si>
  <si>
    <t>ID0394</t>
  </si>
  <si>
    <t>Chief Specialist of Economics &amp; Planning</t>
  </si>
  <si>
    <t>ID0395</t>
  </si>
  <si>
    <t>Campus Budget Officer</t>
  </si>
  <si>
    <t>ID0396</t>
  </si>
  <si>
    <t>Management Ananlyst</t>
  </si>
  <si>
    <t>ID0397</t>
  </si>
  <si>
    <t>Sales Operations Analyst</t>
  </si>
  <si>
    <t>ID0398</t>
  </si>
  <si>
    <t>BDT</t>
  </si>
  <si>
    <t>Computer Operator</t>
  </si>
  <si>
    <t>ID0399</t>
  </si>
  <si>
    <t>ENGINEER</t>
  </si>
  <si>
    <t>ID0400</t>
  </si>
  <si>
    <t>Sr Management Analytst 2</t>
  </si>
  <si>
    <t>ID0401</t>
  </si>
  <si>
    <t>Accounting Manager</t>
  </si>
  <si>
    <t>ID0402</t>
  </si>
  <si>
    <t>ID0403</t>
  </si>
  <si>
    <t>ID0404</t>
  </si>
  <si>
    <t>Information Research Technician II</t>
  </si>
  <si>
    <t>ID0405</t>
  </si>
  <si>
    <t>ID0406</t>
  </si>
  <si>
    <t>Sr. Systems Engineer</t>
  </si>
  <si>
    <t>ID0407</t>
  </si>
  <si>
    <t>ID0408</t>
  </si>
  <si>
    <t>Senior Purchasing Officer</t>
  </si>
  <si>
    <t>United Arab Emriate</t>
  </si>
  <si>
    <t>ID0409</t>
  </si>
  <si>
    <t>Mgmt Accountant</t>
  </si>
  <si>
    <t>ID0410</t>
  </si>
  <si>
    <t xml:space="preserve">Sr financial analyst </t>
  </si>
  <si>
    <t>ID0411</t>
  </si>
  <si>
    <t>Department Manager</t>
  </si>
  <si>
    <t>ID0412</t>
  </si>
  <si>
    <t>COSTARICAN</t>
  </si>
  <si>
    <t>Businees Adminstratot</t>
  </si>
  <si>
    <t>ID0413</t>
  </si>
  <si>
    <t xml:space="preserve">Staff assistant </t>
  </si>
  <si>
    <t>ID0414</t>
  </si>
  <si>
    <t>Sr. Accountant</t>
  </si>
  <si>
    <t>ID0415</t>
  </si>
  <si>
    <t>Air Planning Analyst</t>
  </si>
  <si>
    <t>ID0416</t>
  </si>
  <si>
    <t>Credit Analyst</t>
  </si>
  <si>
    <t>ID0417</t>
  </si>
  <si>
    <t>financial management consultant</t>
  </si>
  <si>
    <t>ID0418</t>
  </si>
  <si>
    <t>ID0419</t>
  </si>
  <si>
    <t>IT Project Manager, EMEA</t>
  </si>
  <si>
    <t>ID0420</t>
  </si>
  <si>
    <t>ID0421</t>
  </si>
  <si>
    <t>IS Director</t>
  </si>
  <si>
    <t>ID0422</t>
  </si>
  <si>
    <t>ID0423</t>
  </si>
  <si>
    <t>ID0424</t>
  </si>
  <si>
    <t>teacher</t>
  </si>
  <si>
    <t>iran</t>
  </si>
  <si>
    <t>ID0425</t>
  </si>
  <si>
    <t>ID0426</t>
  </si>
  <si>
    <t>Excel trainer</t>
  </si>
  <si>
    <t>ID0427</t>
  </si>
  <si>
    <t>WFM Team Lead</t>
  </si>
  <si>
    <t>ID0428</t>
  </si>
  <si>
    <t>Supervisor</t>
  </si>
  <si>
    <t>ID0429</t>
  </si>
  <si>
    <t>BI Developer</t>
  </si>
  <si>
    <t>ID0430</t>
  </si>
  <si>
    <t>engineer</t>
  </si>
  <si>
    <t>ID0431</t>
  </si>
  <si>
    <t>Planner</t>
  </si>
  <si>
    <t>ID0432</t>
  </si>
  <si>
    <t>ID0433</t>
  </si>
  <si>
    <t>ID0434</t>
  </si>
  <si>
    <t>ID0435</t>
  </si>
  <si>
    <t>senior analyst</t>
  </si>
  <si>
    <t>ID0436</t>
  </si>
  <si>
    <t>Assesor</t>
  </si>
  <si>
    <t>ID0437</t>
  </si>
  <si>
    <t>Financial Analys</t>
  </si>
  <si>
    <t>ID0438</t>
  </si>
  <si>
    <t>Sr. Information Systems Analyst</t>
  </si>
  <si>
    <t>ID0439</t>
  </si>
  <si>
    <t>Senior Claims Analyst</t>
  </si>
  <si>
    <t>ID0440</t>
  </si>
  <si>
    <t>ID0441</t>
  </si>
  <si>
    <t>Sr Mgr Finance</t>
  </si>
  <si>
    <t>ID0442</t>
  </si>
  <si>
    <t>Web Portal Manager</t>
  </si>
  <si>
    <t>ID0443</t>
  </si>
  <si>
    <t>manager - MIS &amp; operations planning</t>
  </si>
  <si>
    <t>ID0444</t>
  </si>
  <si>
    <t>web analyst</t>
  </si>
  <si>
    <t>ID0445</t>
  </si>
  <si>
    <t>Management Consultant</t>
  </si>
  <si>
    <t>ID0446</t>
  </si>
  <si>
    <t>Continuos improvment</t>
  </si>
  <si>
    <t>Canad</t>
  </si>
  <si>
    <t>ID0447</t>
  </si>
  <si>
    <t>Direct marketing manager</t>
  </si>
  <si>
    <t>ID0448</t>
  </si>
  <si>
    <t>mis</t>
  </si>
  <si>
    <t>ID0449</t>
  </si>
  <si>
    <t>ID0450</t>
  </si>
  <si>
    <t>ID0451</t>
  </si>
  <si>
    <t>Wine Analyst</t>
  </si>
  <si>
    <t>ID0452</t>
  </si>
  <si>
    <t>ID0453</t>
  </si>
  <si>
    <t>FinanceManager</t>
  </si>
  <si>
    <t>ID0454</t>
  </si>
  <si>
    <t>Regional Manager</t>
  </si>
  <si>
    <t>ID0455</t>
  </si>
  <si>
    <t>HR reporting analyst</t>
  </si>
  <si>
    <t>ID0456</t>
  </si>
  <si>
    <t>Finalcial Reporting Analyst</t>
  </si>
  <si>
    <t>ID0457</t>
  </si>
  <si>
    <t>Partner</t>
  </si>
  <si>
    <t>ID0458</t>
  </si>
  <si>
    <t>operations tech</t>
  </si>
  <si>
    <t>ID0459</t>
  </si>
  <si>
    <t>Commercial Accountant</t>
  </si>
  <si>
    <t>ID0460</t>
  </si>
  <si>
    <t>Office Manager</t>
  </si>
  <si>
    <t>ID0461</t>
  </si>
  <si>
    <t>Prod Mgr</t>
  </si>
  <si>
    <t>ID0462</t>
  </si>
  <si>
    <t>Graphics/Web Document Designer</t>
  </si>
  <si>
    <t>ID0463</t>
  </si>
  <si>
    <t>ID0464</t>
  </si>
  <si>
    <t>ID0465</t>
  </si>
  <si>
    <t>Business intelligence manager</t>
  </si>
  <si>
    <t>ID0466</t>
  </si>
  <si>
    <t>Program Manager</t>
  </si>
  <si>
    <t>ID0467</t>
  </si>
  <si>
    <t>Treasure Specialist</t>
  </si>
  <si>
    <t>Republic of Georgia</t>
  </si>
  <si>
    <t>ID0468</t>
  </si>
  <si>
    <t>Business Manager</t>
  </si>
  <si>
    <t>ID0469</t>
  </si>
  <si>
    <t>clerk</t>
  </si>
  <si>
    <t>ID0470</t>
  </si>
  <si>
    <t>ID0471</t>
  </si>
  <si>
    <t>Researcher &amp; Data Analyst</t>
  </si>
  <si>
    <t>ID0472</t>
  </si>
  <si>
    <t>ID0473</t>
  </si>
  <si>
    <t>Data Quality &amp; Analysis Manager</t>
  </si>
  <si>
    <t>ID0474</t>
  </si>
  <si>
    <t>ID0476</t>
  </si>
  <si>
    <t>Resource managment Analyst</t>
  </si>
  <si>
    <t>ID0477</t>
  </si>
  <si>
    <t>Account Executive</t>
  </si>
  <si>
    <t>ID0478</t>
  </si>
  <si>
    <t>video production</t>
  </si>
  <si>
    <t>ID0479</t>
  </si>
  <si>
    <t>mozambique</t>
  </si>
  <si>
    <t>ID0480</t>
  </si>
  <si>
    <t>principal engineer</t>
  </si>
  <si>
    <t>ID0481</t>
  </si>
  <si>
    <t>budget analyst</t>
  </si>
  <si>
    <t>ID0482</t>
  </si>
  <si>
    <t>Category Director (Marketing)</t>
  </si>
  <si>
    <t>ID0484</t>
  </si>
  <si>
    <t>Senior consultant accounting</t>
  </si>
  <si>
    <t>ID0485</t>
  </si>
  <si>
    <t>ZAR</t>
  </si>
  <si>
    <t>Finance manager</t>
  </si>
  <si>
    <t>South africa</t>
  </si>
  <si>
    <t>ID0486</t>
  </si>
  <si>
    <t>Health and safety advisor</t>
  </si>
  <si>
    <t>ID0487</t>
  </si>
  <si>
    <t>Workforce Analyst</t>
  </si>
  <si>
    <t>ID0488</t>
  </si>
  <si>
    <t>ID0489</t>
  </si>
  <si>
    <t>Sr. Marketing Solutions Analyst</t>
  </si>
  <si>
    <t>ID0490</t>
  </si>
  <si>
    <t>ID0491</t>
  </si>
  <si>
    <t>ID0492</t>
  </si>
  <si>
    <t>ID0493</t>
  </si>
  <si>
    <t>Managing Partner</t>
  </si>
  <si>
    <t>ID0494</t>
  </si>
  <si>
    <t>Administration Officer</t>
  </si>
  <si>
    <t>ID0495</t>
  </si>
  <si>
    <t>BAS</t>
  </si>
  <si>
    <t>ID0496</t>
  </si>
  <si>
    <t>ID0497</t>
  </si>
  <si>
    <t>chemist</t>
  </si>
  <si>
    <t>ID0498</t>
  </si>
  <si>
    <t>ID0499</t>
  </si>
  <si>
    <t>LOGISTIC MANAGER</t>
  </si>
  <si>
    <t>ID0500</t>
  </si>
  <si>
    <t>Manager Finance</t>
  </si>
  <si>
    <t>ID0501</t>
  </si>
  <si>
    <t>ID0502</t>
  </si>
  <si>
    <t>IT solutions coordinator</t>
  </si>
  <si>
    <t>ID0503</t>
  </si>
  <si>
    <t>Business Modeller</t>
  </si>
  <si>
    <t>ID0504</t>
  </si>
  <si>
    <t>ID0505</t>
  </si>
  <si>
    <t>ID0506</t>
  </si>
  <si>
    <t>Sr QS</t>
  </si>
  <si>
    <t>ID0507</t>
  </si>
  <si>
    <t>Report Analyst</t>
  </si>
  <si>
    <t>ID0508</t>
  </si>
  <si>
    <t>Business Co ordinator</t>
  </si>
  <si>
    <t>ID0509</t>
  </si>
  <si>
    <t>ID0510</t>
  </si>
  <si>
    <t>duty manager</t>
  </si>
  <si>
    <t>ID0511</t>
  </si>
  <si>
    <t>ID0512</t>
  </si>
  <si>
    <t>Retail Store Manager</t>
  </si>
  <si>
    <t>ID0513</t>
  </si>
  <si>
    <t>Job Build analyst</t>
  </si>
  <si>
    <t>ID0514</t>
  </si>
  <si>
    <t>Associate</t>
  </si>
  <si>
    <t>ID0515</t>
  </si>
  <si>
    <t>ID0516</t>
  </si>
  <si>
    <t>ID0517</t>
  </si>
  <si>
    <t>ID0518</t>
  </si>
  <si>
    <t>project finance manager</t>
  </si>
  <si>
    <t>israel</t>
  </si>
  <si>
    <t>ID0519</t>
  </si>
  <si>
    <t>ID0520</t>
  </si>
  <si>
    <t>Metrics Analyst</t>
  </si>
  <si>
    <t>ID0521</t>
  </si>
  <si>
    <t>Asst.Manager</t>
  </si>
  <si>
    <t>ID0522</t>
  </si>
  <si>
    <t>ID0523</t>
  </si>
  <si>
    <t>Accounting Operations Manager</t>
  </si>
  <si>
    <t>ID0524</t>
  </si>
  <si>
    <t>ID0525</t>
  </si>
  <si>
    <t>Vice President, Analyst</t>
  </si>
  <si>
    <t>ID0526</t>
  </si>
  <si>
    <t>ID0527</t>
  </si>
  <si>
    <t>COO</t>
  </si>
  <si>
    <t>ID0528</t>
  </si>
  <si>
    <t>Financial Advisor</t>
  </si>
  <si>
    <t>ID0529</t>
  </si>
  <si>
    <t>Production Manager</t>
  </si>
  <si>
    <t>ID0530</t>
  </si>
  <si>
    <t>Manager - Finance</t>
  </si>
  <si>
    <t>ID0531</t>
  </si>
  <si>
    <t>Process Design Consultant</t>
  </si>
  <si>
    <t>ID0532</t>
  </si>
  <si>
    <t>vba specialist</t>
  </si>
  <si>
    <t>ID0533</t>
  </si>
  <si>
    <t xml:space="preserve">Analytical Department Director </t>
  </si>
  <si>
    <t>ID0534</t>
  </si>
  <si>
    <t>ID0535</t>
  </si>
  <si>
    <t>manager</t>
  </si>
  <si>
    <t>nz</t>
  </si>
  <si>
    <t>ID0536</t>
  </si>
  <si>
    <t>Director of Supply Chain</t>
  </si>
  <si>
    <t>Central America</t>
  </si>
  <si>
    <t>ID0537</t>
  </si>
  <si>
    <t>Research Assistant</t>
  </si>
  <si>
    <t>ID0538</t>
  </si>
  <si>
    <t>Finance Manager</t>
  </si>
  <si>
    <t>ID0539</t>
  </si>
  <si>
    <t>Excel professional</t>
  </si>
  <si>
    <t>self-employed</t>
  </si>
  <si>
    <t>ID0540</t>
  </si>
  <si>
    <t>ID0541</t>
  </si>
  <si>
    <t>Trainer</t>
  </si>
  <si>
    <t>ID0543</t>
  </si>
  <si>
    <t>Business analyst</t>
  </si>
  <si>
    <t>ID0544</t>
  </si>
  <si>
    <t>deputy manager</t>
  </si>
  <si>
    <t>ID0545</t>
  </si>
  <si>
    <t>ID0546</t>
  </si>
  <si>
    <t>ID0547</t>
  </si>
  <si>
    <t>ID0548</t>
  </si>
  <si>
    <t>Research Associate</t>
  </si>
  <si>
    <t>ID0549</t>
  </si>
  <si>
    <t>Reports Coordinator</t>
  </si>
  <si>
    <t>ID0550</t>
  </si>
  <si>
    <t>Quality Compliance Manager</t>
  </si>
  <si>
    <t>ID0551</t>
  </si>
  <si>
    <t>Cost Analyst</t>
  </si>
  <si>
    <t>ID0552</t>
  </si>
  <si>
    <t>ID0553</t>
  </si>
  <si>
    <t>ID0554</t>
  </si>
  <si>
    <t>ID0555</t>
  </si>
  <si>
    <t>IT Consultant</t>
  </si>
  <si>
    <t>ID0556</t>
  </si>
  <si>
    <t>Intelligence Analyst</t>
  </si>
  <si>
    <t>ID0557</t>
  </si>
  <si>
    <t>Marketing Specialist</t>
  </si>
  <si>
    <t>ID0558</t>
  </si>
  <si>
    <t>ID0559</t>
  </si>
  <si>
    <t>Proyect Manager</t>
  </si>
  <si>
    <t>ID0560</t>
  </si>
  <si>
    <t>IT Specialist</t>
  </si>
  <si>
    <t>ID0561</t>
  </si>
  <si>
    <t>CONTROLLER</t>
  </si>
  <si>
    <t>ID0562</t>
  </si>
  <si>
    <t>Technical Support Technician</t>
  </si>
  <si>
    <t>ID0563</t>
  </si>
  <si>
    <t>Director, Supply Chain Operations</t>
  </si>
  <si>
    <t>ID0564</t>
  </si>
  <si>
    <t>ID0565</t>
  </si>
  <si>
    <t>ID0566</t>
  </si>
  <si>
    <t>ID0567</t>
  </si>
  <si>
    <t>Workflow Analyst</t>
  </si>
  <si>
    <t>ID0568</t>
  </si>
  <si>
    <t>ID0569</t>
  </si>
  <si>
    <t>Finance Manager Business Services</t>
  </si>
  <si>
    <t>ID0570</t>
  </si>
  <si>
    <t>NZD</t>
  </si>
  <si>
    <t>Accountant/Analyst</t>
  </si>
  <si>
    <t>ID0572</t>
  </si>
  <si>
    <t>Costing Analysis</t>
  </si>
  <si>
    <t>ID0573</t>
  </si>
  <si>
    <t>Sales Operations Supervisor</t>
  </si>
  <si>
    <t>ID0574</t>
  </si>
  <si>
    <t>ID0575</t>
  </si>
  <si>
    <t>ID0576</t>
  </si>
  <si>
    <t>Assistant</t>
  </si>
  <si>
    <t>ID0577</t>
  </si>
  <si>
    <t>In Charge</t>
  </si>
  <si>
    <t>ID0578</t>
  </si>
  <si>
    <t>ID0579</t>
  </si>
  <si>
    <t>ID0580</t>
  </si>
  <si>
    <t>ID0581</t>
  </si>
  <si>
    <t>ID0582</t>
  </si>
  <si>
    <t>ID0583</t>
  </si>
  <si>
    <t>ID0584</t>
  </si>
  <si>
    <t>CEO</t>
  </si>
  <si>
    <t>ID0585</t>
  </si>
  <si>
    <t>coordinator lismore regional airport</t>
  </si>
  <si>
    <t>ID0586</t>
  </si>
  <si>
    <t>Mgr Op Excellence</t>
  </si>
  <si>
    <t>ID0587</t>
  </si>
  <si>
    <t>ID0588</t>
  </si>
  <si>
    <t>Pricing and Strategy Specialist</t>
  </si>
  <si>
    <t>ID0589</t>
  </si>
  <si>
    <t>Sr. Human Resources Analyst</t>
  </si>
  <si>
    <t>ID0590</t>
  </si>
  <si>
    <t>Performance Improvement Analyst</t>
  </si>
  <si>
    <t>ID0591</t>
  </si>
  <si>
    <t>ID0592</t>
  </si>
  <si>
    <t>Sr. Analyst</t>
  </si>
  <si>
    <t>ID0593</t>
  </si>
  <si>
    <t>CNY</t>
  </si>
  <si>
    <t>finance</t>
  </si>
  <si>
    <t>china</t>
  </si>
  <si>
    <t>ID0594</t>
  </si>
  <si>
    <t>Consulting</t>
  </si>
  <si>
    <t>ID0595</t>
  </si>
  <si>
    <t>ID0596</t>
  </si>
  <si>
    <t xml:space="preserve">Technology consultant </t>
  </si>
  <si>
    <t>ID0597</t>
  </si>
  <si>
    <t>ID0598</t>
  </si>
  <si>
    <t>BPO</t>
  </si>
  <si>
    <t>ID0599</t>
  </si>
  <si>
    <t>General manager</t>
  </si>
  <si>
    <t>ID0600</t>
  </si>
  <si>
    <t>Technical Analyst</t>
  </si>
  <si>
    <t>ID0601</t>
  </si>
  <si>
    <t>Head Accounts</t>
  </si>
  <si>
    <t>ID0602</t>
  </si>
  <si>
    <t>Operations</t>
  </si>
  <si>
    <t>ID0603</t>
  </si>
  <si>
    <t>Talati</t>
  </si>
  <si>
    <t>ID0604</t>
  </si>
  <si>
    <t>Product manager</t>
  </si>
  <si>
    <t>ID0605</t>
  </si>
  <si>
    <t>Helicopter Mechanic</t>
  </si>
  <si>
    <t>ID0606</t>
  </si>
  <si>
    <t>Program/Mgt Analyst</t>
  </si>
  <si>
    <t>ID0608</t>
  </si>
  <si>
    <t>Director, Analytics</t>
  </si>
  <si>
    <t>ID0609</t>
  </si>
  <si>
    <t>Purchasing Manager</t>
  </si>
  <si>
    <t>ID0611</t>
  </si>
  <si>
    <t>Incharge</t>
  </si>
  <si>
    <t>ID0612</t>
  </si>
  <si>
    <t>Sales Assistant</t>
  </si>
  <si>
    <t>ID0613</t>
  </si>
  <si>
    <t>Assistant EDP</t>
  </si>
  <si>
    <t>ID0614</t>
  </si>
  <si>
    <t>Sales ops</t>
  </si>
  <si>
    <t>ID0615</t>
  </si>
  <si>
    <t>QS</t>
  </si>
  <si>
    <t>ID0616</t>
  </si>
  <si>
    <t>ID0617</t>
  </si>
  <si>
    <t>AGM Finance</t>
  </si>
  <si>
    <t>ID0618</t>
  </si>
  <si>
    <t>Sales Controller</t>
  </si>
  <si>
    <t>ID0619</t>
  </si>
  <si>
    <t>ID0620</t>
  </si>
  <si>
    <t>ID0621</t>
  </si>
  <si>
    <t>MIS Executive</t>
  </si>
  <si>
    <t>ID0622</t>
  </si>
  <si>
    <t>SYSTEM MANAGER</t>
  </si>
  <si>
    <t>ID0623</t>
  </si>
  <si>
    <t>ID0624</t>
  </si>
  <si>
    <t>Project coordinator</t>
  </si>
  <si>
    <t>ID0625</t>
  </si>
  <si>
    <t>ID0626</t>
  </si>
  <si>
    <t>ID0627</t>
  </si>
  <si>
    <t>ID0628</t>
  </si>
  <si>
    <t>executive</t>
  </si>
  <si>
    <t>ID0629</t>
  </si>
  <si>
    <t>ID0630</t>
  </si>
  <si>
    <t>Quantity Surveyor</t>
  </si>
  <si>
    <t>ID0631</t>
  </si>
  <si>
    <t xml:space="preserve">Content Analyst </t>
  </si>
  <si>
    <t>ID0632</t>
  </si>
  <si>
    <t>ID0633</t>
  </si>
  <si>
    <t>senior business analyst</t>
  </si>
  <si>
    <t>ID0634</t>
  </si>
  <si>
    <t>ID0635</t>
  </si>
  <si>
    <t>Corporate Accountant</t>
  </si>
  <si>
    <t>ID0636</t>
  </si>
  <si>
    <t>Auditor</t>
  </si>
  <si>
    <t>ID0637</t>
  </si>
  <si>
    <t>program coordinator - automotive</t>
  </si>
  <si>
    <t>ID0638</t>
  </si>
  <si>
    <t>ID0639</t>
  </si>
  <si>
    <t>Planning Engineer</t>
  </si>
  <si>
    <t>ID0640</t>
  </si>
  <si>
    <t>Senior Executive</t>
  </si>
  <si>
    <t>ID0641</t>
  </si>
  <si>
    <t>cmo</t>
  </si>
  <si>
    <t>ID0642</t>
  </si>
  <si>
    <t>ID0643</t>
  </si>
  <si>
    <t>ID0644</t>
  </si>
  <si>
    <t>ID0645</t>
  </si>
  <si>
    <t>Sr Processor</t>
  </si>
  <si>
    <t>ID0646</t>
  </si>
  <si>
    <t>Organiser</t>
  </si>
  <si>
    <t>ID0647</t>
  </si>
  <si>
    <t>ID0648</t>
  </si>
  <si>
    <t>Quality officer</t>
  </si>
  <si>
    <t>bangkok</t>
  </si>
  <si>
    <t>ID0649</t>
  </si>
  <si>
    <t>Executive</t>
  </si>
  <si>
    <t>ID0650</t>
  </si>
  <si>
    <t>ID0651</t>
  </si>
  <si>
    <t>BI Consultant</t>
  </si>
  <si>
    <t>ID0652</t>
  </si>
  <si>
    <t>Assistant Manager - IT</t>
  </si>
  <si>
    <t>ID0653</t>
  </si>
  <si>
    <t>Coordinator</t>
  </si>
  <si>
    <t>ID0654</t>
  </si>
  <si>
    <t>ID0655</t>
  </si>
  <si>
    <t>MANAGER</t>
  </si>
  <si>
    <t>ID0657</t>
  </si>
  <si>
    <t>Asst Mgr</t>
  </si>
  <si>
    <t>ID0658</t>
  </si>
  <si>
    <t>ID0659</t>
  </si>
  <si>
    <t>Accounts Officer</t>
  </si>
  <si>
    <t>ID0660</t>
  </si>
  <si>
    <t>Investment Banker</t>
  </si>
  <si>
    <t>ID0661</t>
  </si>
  <si>
    <t>Co-operative bank</t>
  </si>
  <si>
    <t>ID0662</t>
  </si>
  <si>
    <t>ID0663</t>
  </si>
  <si>
    <t>Cad Engineer</t>
  </si>
  <si>
    <t>ID0664</t>
  </si>
  <si>
    <t>Mis Analyst</t>
  </si>
  <si>
    <t>ID0665</t>
  </si>
  <si>
    <t>MIS EXECUTIVE</t>
  </si>
  <si>
    <t>ID0666</t>
  </si>
  <si>
    <t>PMO</t>
  </si>
  <si>
    <t>ID0667</t>
  </si>
  <si>
    <t>Asst. Manager(Commercial)</t>
  </si>
  <si>
    <t>ID0668</t>
  </si>
  <si>
    <t>ID0669</t>
  </si>
  <si>
    <t>Education Officer</t>
  </si>
  <si>
    <t>ID0670</t>
  </si>
  <si>
    <t>Management Accountant</t>
  </si>
  <si>
    <t>Saudi Arabai</t>
  </si>
  <si>
    <t>ID0671</t>
  </si>
  <si>
    <t>ID0672</t>
  </si>
  <si>
    <t>Sales Coordinator</t>
  </si>
  <si>
    <t>ID0673</t>
  </si>
  <si>
    <t>TA</t>
  </si>
  <si>
    <t>ID0674</t>
  </si>
  <si>
    <t>ID0675</t>
  </si>
  <si>
    <t>ID0676</t>
  </si>
  <si>
    <t>ID0677</t>
  </si>
  <si>
    <t>ID0678</t>
  </si>
  <si>
    <t>ASM</t>
  </si>
  <si>
    <t>ID0679</t>
  </si>
  <si>
    <t>ID0680</t>
  </si>
  <si>
    <t>ID0681</t>
  </si>
  <si>
    <t>principal developer</t>
  </si>
  <si>
    <t>ID0682</t>
  </si>
  <si>
    <t>Accounts Payable Analyst</t>
  </si>
  <si>
    <t>ID0683</t>
  </si>
  <si>
    <t>Maint Sys Support Specialist</t>
  </si>
  <si>
    <t>ID0684</t>
  </si>
  <si>
    <t>ID0685</t>
  </si>
  <si>
    <t>ID0686</t>
  </si>
  <si>
    <t>ID0687</t>
  </si>
  <si>
    <t>Team Leader</t>
  </si>
  <si>
    <t>ID0688</t>
  </si>
  <si>
    <t>manager portfolio monitoring</t>
  </si>
  <si>
    <t>ID0689</t>
  </si>
  <si>
    <t>Sr. Executive Finance &amp; Accounts</t>
  </si>
  <si>
    <t>ID0690</t>
  </si>
  <si>
    <t>AREA SALES MANAGER</t>
  </si>
  <si>
    <t>ID0691</t>
  </si>
  <si>
    <t>govt</t>
  </si>
  <si>
    <t>ID0692</t>
  </si>
  <si>
    <t>COMPUTER OPERATOR</t>
  </si>
  <si>
    <t>ID0693</t>
  </si>
  <si>
    <t>Business Executive</t>
  </si>
  <si>
    <t>ID0694</t>
  </si>
  <si>
    <t>Team Lead Mis</t>
  </si>
  <si>
    <t>ID0695</t>
  </si>
  <si>
    <t>Call Centre Consultant</t>
  </si>
  <si>
    <t>ID0696</t>
  </si>
  <si>
    <t>MIS executive</t>
  </si>
  <si>
    <t>ID0697</t>
  </si>
  <si>
    <t>Oprations head</t>
  </si>
  <si>
    <t>ID0698</t>
  </si>
  <si>
    <t>Asst. Manager</t>
  </si>
  <si>
    <t>ID0699</t>
  </si>
  <si>
    <t>accounts</t>
  </si>
  <si>
    <t>ID0700</t>
  </si>
  <si>
    <t>ID0701</t>
  </si>
  <si>
    <t>ID0702</t>
  </si>
  <si>
    <t>ID0703</t>
  </si>
  <si>
    <t>ID0704</t>
  </si>
  <si>
    <t>ID0705</t>
  </si>
  <si>
    <t>Cost Accountant</t>
  </si>
  <si>
    <t>ID0706</t>
  </si>
  <si>
    <t>senior executive</t>
  </si>
  <si>
    <t>ID0707</t>
  </si>
  <si>
    <t>ID0708</t>
  </si>
  <si>
    <t>Intern</t>
  </si>
  <si>
    <t>ID0709</t>
  </si>
  <si>
    <t>ID0710</t>
  </si>
  <si>
    <t>ID0711</t>
  </si>
  <si>
    <t>ID0712</t>
  </si>
  <si>
    <t>ID0713</t>
  </si>
  <si>
    <t>Audit Manager</t>
  </si>
  <si>
    <t>ID0714</t>
  </si>
  <si>
    <t>Audit - senior assistant</t>
  </si>
  <si>
    <t>ID0715</t>
  </si>
  <si>
    <t>tech operator (oil)</t>
  </si>
  <si>
    <t>uae</t>
  </si>
  <si>
    <t>ID0716</t>
  </si>
  <si>
    <t xml:space="preserve">mis </t>
  </si>
  <si>
    <t>ID0717</t>
  </si>
  <si>
    <t>ID0718</t>
  </si>
  <si>
    <t>Asstt manager</t>
  </si>
  <si>
    <t>ID0719</t>
  </si>
  <si>
    <t>Import &amp; Export Documentation Executive</t>
  </si>
  <si>
    <t>ID0720</t>
  </si>
  <si>
    <t>ID0721</t>
  </si>
  <si>
    <t>Systems Manager</t>
  </si>
  <si>
    <t>ID0722</t>
  </si>
  <si>
    <t>Program management</t>
  </si>
  <si>
    <t>ID0723</t>
  </si>
  <si>
    <t>Accounts Manager</t>
  </si>
  <si>
    <t>ID0724</t>
  </si>
  <si>
    <t>sr. mis executive</t>
  </si>
  <si>
    <t>ID0725</t>
  </si>
  <si>
    <t>Modeller</t>
  </si>
  <si>
    <t>ID0726</t>
  </si>
  <si>
    <t>ID0727</t>
  </si>
  <si>
    <t>ID0728</t>
  </si>
  <si>
    <t>ID0729</t>
  </si>
  <si>
    <t>Sr Financial Execative</t>
  </si>
  <si>
    <t>ID0730</t>
  </si>
  <si>
    <t>Asst Mngr</t>
  </si>
  <si>
    <t>ID0731</t>
  </si>
  <si>
    <t>ID0732</t>
  </si>
  <si>
    <t>Sr Associate</t>
  </si>
  <si>
    <t>ID0733</t>
  </si>
  <si>
    <t>ID0734</t>
  </si>
  <si>
    <t>ID0735</t>
  </si>
  <si>
    <t>ID0736</t>
  </si>
  <si>
    <t>ERP Co-Ordinator</t>
  </si>
  <si>
    <t>ID0737</t>
  </si>
  <si>
    <t>Revenue Manager</t>
  </si>
  <si>
    <t>ID0738</t>
  </si>
  <si>
    <t>Accounts analyst</t>
  </si>
  <si>
    <t>ID0739</t>
  </si>
  <si>
    <t>ID0740</t>
  </si>
  <si>
    <t>EGYPT</t>
  </si>
  <si>
    <t>Estimator</t>
  </si>
  <si>
    <t>ID0741</t>
  </si>
  <si>
    <t>ID0742</t>
  </si>
  <si>
    <t>Data Analysis</t>
  </si>
  <si>
    <t>ID0743</t>
  </si>
  <si>
    <t>Logistics Analyst</t>
  </si>
  <si>
    <t>ID0744</t>
  </si>
  <si>
    <t>PROCSS ASOCIATE</t>
  </si>
  <si>
    <t>ID0745</t>
  </si>
  <si>
    <t>Reporting Analyst</t>
  </si>
  <si>
    <t>ID0746</t>
  </si>
  <si>
    <t>Corporate Finance Manager</t>
  </si>
  <si>
    <t>ID0747</t>
  </si>
  <si>
    <t>ID0748</t>
  </si>
  <si>
    <t>compliance manager</t>
  </si>
  <si>
    <t>ID0749</t>
  </si>
  <si>
    <t>ID0750</t>
  </si>
  <si>
    <t>Merchandiser</t>
  </si>
  <si>
    <t>ID0751</t>
  </si>
  <si>
    <t>Project Lead</t>
  </si>
  <si>
    <t>ID0752</t>
  </si>
  <si>
    <t>ID0753</t>
  </si>
  <si>
    <t>ID0754</t>
  </si>
  <si>
    <t>SR. ACCOUNTS EXECUTIVE</t>
  </si>
  <si>
    <t>ID0755</t>
  </si>
  <si>
    <t>Business Support Specialist</t>
  </si>
  <si>
    <t>ID0756</t>
  </si>
  <si>
    <t>Assistant Manager - Group MIS</t>
  </si>
  <si>
    <t>ID0757</t>
  </si>
  <si>
    <t>ID0758</t>
  </si>
  <si>
    <t>ID0759</t>
  </si>
  <si>
    <t>NAIRA</t>
  </si>
  <si>
    <t>Company Systems Integration Manager</t>
  </si>
  <si>
    <t>ID0760</t>
  </si>
  <si>
    <t>EXECUTIVE</t>
  </si>
  <si>
    <t>ID0761</t>
  </si>
  <si>
    <t>Sales Management Analyst</t>
  </si>
  <si>
    <t>ID0762</t>
  </si>
  <si>
    <t>Asst Production Planner</t>
  </si>
  <si>
    <t>ID0763</t>
  </si>
  <si>
    <t>Consultat</t>
  </si>
  <si>
    <t>ID0764</t>
  </si>
  <si>
    <t xml:space="preserve">System Analyst </t>
  </si>
  <si>
    <t>ID0765</t>
  </si>
  <si>
    <t>Stock Controller</t>
  </si>
  <si>
    <t>ID0766</t>
  </si>
  <si>
    <t>ACCOUNTANT</t>
  </si>
  <si>
    <t>ID0767</t>
  </si>
  <si>
    <t>Accounts Supervisor</t>
  </si>
  <si>
    <t>KSA</t>
  </si>
  <si>
    <t>ID0768</t>
  </si>
  <si>
    <t>ID0769</t>
  </si>
  <si>
    <t>Data Analyst - Report Writer</t>
  </si>
  <si>
    <t>ID0770</t>
  </si>
  <si>
    <t xml:space="preserve">Regional Formwork Head </t>
  </si>
  <si>
    <t>ID0771</t>
  </si>
  <si>
    <t>BRANCH ACCOUNTANT</t>
  </si>
  <si>
    <t>ID0772</t>
  </si>
  <si>
    <t>Accounting Head</t>
  </si>
  <si>
    <t>ID0773</t>
  </si>
  <si>
    <t>OPEX CONTROL</t>
  </si>
  <si>
    <t>ID0774</t>
  </si>
  <si>
    <t>ID0775</t>
  </si>
  <si>
    <t>Associate Software Engineer</t>
  </si>
  <si>
    <t>ID0776</t>
  </si>
  <si>
    <t>ID0777</t>
  </si>
  <si>
    <t>ID0778</t>
  </si>
  <si>
    <t>italy</t>
  </si>
  <si>
    <t>ID0779</t>
  </si>
  <si>
    <t>Banker</t>
  </si>
  <si>
    <t>ID0780</t>
  </si>
  <si>
    <t>ID0781</t>
  </si>
  <si>
    <t>ID0782</t>
  </si>
  <si>
    <t>ID0783</t>
  </si>
  <si>
    <t>S&amp;D Reporting &amp; Analysis Team Leader</t>
  </si>
  <si>
    <t>ID0784</t>
  </si>
  <si>
    <t>Key Expert User</t>
  </si>
  <si>
    <t>ID0785</t>
  </si>
  <si>
    <t>company secretary</t>
  </si>
  <si>
    <t>ID0786</t>
  </si>
  <si>
    <t>Mis executiv</t>
  </si>
  <si>
    <t>ID0787</t>
  </si>
  <si>
    <t>ID0788</t>
  </si>
  <si>
    <t>ID0789</t>
  </si>
  <si>
    <t>BDM</t>
  </si>
  <si>
    <t>ID0790</t>
  </si>
  <si>
    <t>Programmer-analyst</t>
  </si>
  <si>
    <t>ID0791</t>
  </si>
  <si>
    <t>security analyst</t>
  </si>
  <si>
    <t>ID0792</t>
  </si>
  <si>
    <t>Material Planner</t>
  </si>
  <si>
    <t>ID0793</t>
  </si>
  <si>
    <t>VP Infrastructure</t>
  </si>
  <si>
    <t>ID0794</t>
  </si>
  <si>
    <t>WORKING WITH PRODUCT TEAM OF MAKEMYTRIP.COM</t>
  </si>
  <si>
    <t>ID0795</t>
  </si>
  <si>
    <t>ID0796</t>
  </si>
  <si>
    <t>Cashier</t>
  </si>
  <si>
    <t>ID0797</t>
  </si>
  <si>
    <t>Technician</t>
  </si>
  <si>
    <t>ID0798</t>
  </si>
  <si>
    <t>Market analyst</t>
  </si>
  <si>
    <t>ID0799</t>
  </si>
  <si>
    <t>Team Developer</t>
  </si>
  <si>
    <t>ID0800</t>
  </si>
  <si>
    <t>Reporting Assistant</t>
  </si>
  <si>
    <t>ID0801</t>
  </si>
  <si>
    <t>Loss Prevention Finance Coordinator</t>
  </si>
  <si>
    <t>ID0802</t>
  </si>
  <si>
    <t>ID0803</t>
  </si>
  <si>
    <t>ID0804</t>
  </si>
  <si>
    <t>ID0805</t>
  </si>
  <si>
    <t>Senior Research Analyst</t>
  </si>
  <si>
    <t>ID0806</t>
  </si>
  <si>
    <t>Director, IT/Operations</t>
  </si>
  <si>
    <t>ID0807</t>
  </si>
  <si>
    <t>Sr. Executive</t>
  </si>
  <si>
    <t>ID0808</t>
  </si>
  <si>
    <t>Operations Support Coordinator</t>
  </si>
  <si>
    <t>ID0809</t>
  </si>
  <si>
    <t>Sr. Executive MIS</t>
  </si>
  <si>
    <t>ID0810</t>
  </si>
  <si>
    <t>accountant</t>
  </si>
  <si>
    <t>ID0811</t>
  </si>
  <si>
    <t>ID0812</t>
  </si>
  <si>
    <t>Logistic KA Manager</t>
  </si>
  <si>
    <t>ID0813</t>
  </si>
  <si>
    <t>ID0814</t>
  </si>
  <si>
    <t>Deputy Manager</t>
  </si>
  <si>
    <t>ID0815</t>
  </si>
  <si>
    <t>ID0816</t>
  </si>
  <si>
    <t>Management Trainee</t>
  </si>
  <si>
    <t>ID0817</t>
  </si>
  <si>
    <t>MNR</t>
  </si>
  <si>
    <t>ID0818</t>
  </si>
  <si>
    <t>BPO information process enabler</t>
  </si>
  <si>
    <t>ID0820</t>
  </si>
  <si>
    <t>Financial controller</t>
  </si>
  <si>
    <t>ID0821</t>
  </si>
  <si>
    <t>ID0822</t>
  </si>
  <si>
    <t>BRL</t>
  </si>
  <si>
    <t>Market Intelligence Analyst</t>
  </si>
  <si>
    <t>ID0823</t>
  </si>
  <si>
    <t>ID0824</t>
  </si>
  <si>
    <t>sr financial analyst</t>
  </si>
  <si>
    <t>ID0825</t>
  </si>
  <si>
    <t>Investment manager</t>
  </si>
  <si>
    <t>ID0826</t>
  </si>
  <si>
    <t>Operations Lead</t>
  </si>
  <si>
    <t>ID0827</t>
  </si>
  <si>
    <t>Financial Control Section Headm</t>
  </si>
  <si>
    <t>Inonesia</t>
  </si>
  <si>
    <t>ID0828</t>
  </si>
  <si>
    <t>Application Developer</t>
  </si>
  <si>
    <t>ID0829</t>
  </si>
  <si>
    <t>ID0830</t>
  </si>
  <si>
    <t>ID0831</t>
  </si>
  <si>
    <t>High School Teacher</t>
  </si>
  <si>
    <t>ID0832</t>
  </si>
  <si>
    <t>ID0833</t>
  </si>
  <si>
    <t>RON</t>
  </si>
  <si>
    <t>HR Planning Specialist</t>
  </si>
  <si>
    <t>ID0834</t>
  </si>
  <si>
    <t>Managment controller</t>
  </si>
  <si>
    <t>ID0835</t>
  </si>
  <si>
    <t>AO</t>
  </si>
  <si>
    <t>ID0836</t>
  </si>
  <si>
    <t>ID0837</t>
  </si>
  <si>
    <t>business analyist</t>
  </si>
  <si>
    <t>ID0838</t>
  </si>
  <si>
    <t>ID0839</t>
  </si>
  <si>
    <t>ID0840</t>
  </si>
  <si>
    <t>actuary</t>
  </si>
  <si>
    <t>ID0841</t>
  </si>
  <si>
    <t>Analysis Quality</t>
  </si>
  <si>
    <t>Colombia - South America</t>
  </si>
  <si>
    <t>ID0842</t>
  </si>
  <si>
    <t>ID0844</t>
  </si>
  <si>
    <t>ID0845</t>
  </si>
  <si>
    <t>ID0846</t>
  </si>
  <si>
    <t>Bio-Statiscian</t>
  </si>
  <si>
    <t>ID0847</t>
  </si>
  <si>
    <t>Management Intern</t>
  </si>
  <si>
    <t>ID0848</t>
  </si>
  <si>
    <t>ID0849</t>
  </si>
  <si>
    <t>financialcotroller</t>
  </si>
  <si>
    <t>portugal</t>
  </si>
  <si>
    <t>ID0850</t>
  </si>
  <si>
    <t>ID0851</t>
  </si>
  <si>
    <t>Financial Analyist</t>
  </si>
  <si>
    <t>ID0852</t>
  </si>
  <si>
    <t>Marketing Manager</t>
  </si>
  <si>
    <t>ID0854</t>
  </si>
  <si>
    <t>Dir of Analytics</t>
  </si>
  <si>
    <t>ID0855</t>
  </si>
  <si>
    <t>ID0856</t>
  </si>
  <si>
    <t>Reporting Manager</t>
  </si>
  <si>
    <t>ID0857</t>
  </si>
  <si>
    <t>ID0858</t>
  </si>
  <si>
    <t>Data Research Assistant</t>
  </si>
  <si>
    <t>ID0859</t>
  </si>
  <si>
    <t>ID0860</t>
  </si>
  <si>
    <t>ID0861</t>
  </si>
  <si>
    <t>ID0862</t>
  </si>
  <si>
    <t>ID0863</t>
  </si>
  <si>
    <t>Guide for About.com</t>
  </si>
  <si>
    <t>ID0864</t>
  </si>
  <si>
    <t>Policy advisor</t>
  </si>
  <si>
    <t>Aruba</t>
  </si>
  <si>
    <t>ID0865</t>
  </si>
  <si>
    <t>ID0866</t>
  </si>
  <si>
    <t>Security Access Governance Analyst</t>
  </si>
  <si>
    <t>ID0867</t>
  </si>
  <si>
    <t>IT Capacity Planner</t>
  </si>
  <si>
    <t>ID0868</t>
  </si>
  <si>
    <t>supply chain manager</t>
  </si>
  <si>
    <t>indonesia</t>
  </si>
  <si>
    <t>ID0869</t>
  </si>
  <si>
    <t>Boss</t>
  </si>
  <si>
    <t>ID0870</t>
  </si>
  <si>
    <t>Director, P&amp;A</t>
  </si>
  <si>
    <t>ID0871</t>
  </si>
  <si>
    <t>Project controls manager</t>
  </si>
  <si>
    <t>ID0872</t>
  </si>
  <si>
    <t>senior associate</t>
  </si>
  <si>
    <t>ID0873</t>
  </si>
  <si>
    <t>Principal Financial Analyst</t>
  </si>
  <si>
    <t>ID0874</t>
  </si>
  <si>
    <t>ID0875</t>
  </si>
  <si>
    <t>Store keeper</t>
  </si>
  <si>
    <t>ID0876</t>
  </si>
  <si>
    <t xml:space="preserve">qa team supervisor </t>
  </si>
  <si>
    <t>ID0877</t>
  </si>
  <si>
    <t>Supply Chain Administrator</t>
  </si>
  <si>
    <t>ID0878</t>
  </si>
  <si>
    <t>sup</t>
  </si>
  <si>
    <t>ID0879</t>
  </si>
  <si>
    <t>Cost Trainee</t>
  </si>
  <si>
    <t>ID0880</t>
  </si>
  <si>
    <t>Deputy Manager Finance</t>
  </si>
  <si>
    <t>ID0881</t>
  </si>
  <si>
    <t>Sales</t>
  </si>
  <si>
    <t>ID0882</t>
  </si>
  <si>
    <t>Medical information analist</t>
  </si>
  <si>
    <t>ID0883</t>
  </si>
  <si>
    <t>Training Coordinator</t>
  </si>
  <si>
    <t>saudi arabia</t>
  </si>
  <si>
    <t>ID0884</t>
  </si>
  <si>
    <t>Article (Internship) - CA</t>
  </si>
  <si>
    <t>ID0885</t>
  </si>
  <si>
    <t>Asst Manager</t>
  </si>
  <si>
    <t>ID0886</t>
  </si>
  <si>
    <t>Assistant Manager</t>
  </si>
  <si>
    <t>ID0887</t>
  </si>
  <si>
    <t>Commercial Director</t>
  </si>
  <si>
    <t>ID0888</t>
  </si>
  <si>
    <t>ID0889</t>
  </si>
  <si>
    <t>ID0890</t>
  </si>
  <si>
    <t>Finance Staff</t>
  </si>
  <si>
    <t>Viet Nam</t>
  </si>
  <si>
    <t>ID0891</t>
  </si>
  <si>
    <t>team coach</t>
  </si>
  <si>
    <t>ID0892</t>
  </si>
  <si>
    <t>ID0893</t>
  </si>
  <si>
    <t>MÃ©xico</t>
  </si>
  <si>
    <t>ID0894</t>
  </si>
  <si>
    <t>Accountancy</t>
  </si>
  <si>
    <t>ID0895</t>
  </si>
  <si>
    <t>Manager - Business Planning &amp; Reporting</t>
  </si>
  <si>
    <t>ID0896</t>
  </si>
  <si>
    <t>ASST VICE PREDISDENT</t>
  </si>
  <si>
    <t>ID0897</t>
  </si>
  <si>
    <t>co ordinator</t>
  </si>
  <si>
    <t>ID0898</t>
  </si>
  <si>
    <t>ID0899</t>
  </si>
  <si>
    <t>Engagement Lead</t>
  </si>
  <si>
    <t>ID0900</t>
  </si>
  <si>
    <t>ID0901</t>
  </si>
  <si>
    <t>Clerk</t>
  </si>
  <si>
    <t>ID0903</t>
  </si>
  <si>
    <t xml:space="preserve">Document controller </t>
  </si>
  <si>
    <t xml:space="preserve">Kuwait </t>
  </si>
  <si>
    <t>ID0904</t>
  </si>
  <si>
    <t>ID0905</t>
  </si>
  <si>
    <t>ID0906</t>
  </si>
  <si>
    <t>ID0907</t>
  </si>
  <si>
    <t>ID0908</t>
  </si>
  <si>
    <t>ID0909</t>
  </si>
  <si>
    <t>Financial Modeller</t>
  </si>
  <si>
    <t>ID0910</t>
  </si>
  <si>
    <t>Cost accountant</t>
  </si>
  <si>
    <t>ID0911</t>
  </si>
  <si>
    <t>banker</t>
  </si>
  <si>
    <t>ID0912</t>
  </si>
  <si>
    <t>ID0913</t>
  </si>
  <si>
    <t>Manager Market Reesrach</t>
  </si>
  <si>
    <t>ID0914</t>
  </si>
  <si>
    <t>QA Supervisor</t>
  </si>
  <si>
    <t>ID0915</t>
  </si>
  <si>
    <t>Assistant manager</t>
  </si>
  <si>
    <t>ID0916</t>
  </si>
  <si>
    <t>ID0917</t>
  </si>
  <si>
    <t>ID0918</t>
  </si>
  <si>
    <t>HR Advisor - Systems &amp; MI</t>
  </si>
  <si>
    <t>ID0919</t>
  </si>
  <si>
    <t>ANALYST</t>
  </si>
  <si>
    <t>ID0920</t>
  </si>
  <si>
    <t>ID0921</t>
  </si>
  <si>
    <t>C&amp;B Manager</t>
  </si>
  <si>
    <t>ID0922</t>
  </si>
  <si>
    <t>Senior Marketing Analyst</t>
  </si>
  <si>
    <t>ID0923</t>
  </si>
  <si>
    <t>operation supervisor</t>
  </si>
  <si>
    <t>ID0924</t>
  </si>
  <si>
    <t>MIS TEAM MEMBER</t>
  </si>
  <si>
    <t>ID0925</t>
  </si>
  <si>
    <t>ID0927</t>
  </si>
  <si>
    <t>ID0928</t>
  </si>
  <si>
    <t>Business Support Executive</t>
  </si>
  <si>
    <t>ID0929</t>
  </si>
  <si>
    <t>analytic</t>
  </si>
  <si>
    <t>ID0930</t>
  </si>
  <si>
    <t>ID0931</t>
  </si>
  <si>
    <t>ID0932</t>
  </si>
  <si>
    <t>Finance Analyst</t>
  </si>
  <si>
    <t>ID0933</t>
  </si>
  <si>
    <t>Credit Controller</t>
  </si>
  <si>
    <t>ID0934</t>
  </si>
  <si>
    <t>Programmer</t>
  </si>
  <si>
    <t>ID0935</t>
  </si>
  <si>
    <t>ID0936</t>
  </si>
  <si>
    <t>business</t>
  </si>
  <si>
    <t>ID0937</t>
  </si>
  <si>
    <t>ID0938</t>
  </si>
  <si>
    <t>ID0939</t>
  </si>
  <si>
    <t>Reconciliation Manager in Textile Mill</t>
  </si>
  <si>
    <t>ID0940</t>
  </si>
  <si>
    <t>Reporting Supervisor</t>
  </si>
  <si>
    <t>ID0941</t>
  </si>
  <si>
    <t>Financial Expert</t>
  </si>
  <si>
    <t>ID0943</t>
  </si>
  <si>
    <t>sr manager</t>
  </si>
  <si>
    <t>ID0944</t>
  </si>
  <si>
    <t>ID0945</t>
  </si>
  <si>
    <t>Client Manager</t>
  </si>
  <si>
    <t>ID0946</t>
  </si>
  <si>
    <t>ID0948</t>
  </si>
  <si>
    <t>Asst. Mgr. Finance</t>
  </si>
  <si>
    <t>ID0949</t>
  </si>
  <si>
    <t>ID0950</t>
  </si>
  <si>
    <t>ID0951</t>
  </si>
  <si>
    <t>ID0952</t>
  </si>
  <si>
    <t>ID0953</t>
  </si>
  <si>
    <t>Construction Engineer</t>
  </si>
  <si>
    <t>ID0954</t>
  </si>
  <si>
    <t>Marketing Insights Manager</t>
  </si>
  <si>
    <t>ID0955</t>
  </si>
  <si>
    <t>Risk analyst</t>
  </si>
  <si>
    <t>ID0957</t>
  </si>
  <si>
    <t>data analist</t>
  </si>
  <si>
    <t>netherlands</t>
  </si>
  <si>
    <t>ID0958</t>
  </si>
  <si>
    <t>Head Business Advisory</t>
  </si>
  <si>
    <t>ID0959</t>
  </si>
  <si>
    <t>ID0960</t>
  </si>
  <si>
    <t>Merchandise planner</t>
  </si>
  <si>
    <t>ID0961</t>
  </si>
  <si>
    <t>NZ</t>
  </si>
  <si>
    <t>ID0962</t>
  </si>
  <si>
    <t>New  Zealand</t>
  </si>
  <si>
    <t>ID0963</t>
  </si>
  <si>
    <t>Software Tester</t>
  </si>
  <si>
    <t>ID0964</t>
  </si>
  <si>
    <t>Billing manager</t>
  </si>
  <si>
    <t>ID0965</t>
  </si>
  <si>
    <t>ID0966</t>
  </si>
  <si>
    <t>ID0967</t>
  </si>
  <si>
    <t>Quality Executive</t>
  </si>
  <si>
    <t>ID0968</t>
  </si>
  <si>
    <t xml:space="preserve">Business Support </t>
  </si>
  <si>
    <t>ID0969</t>
  </si>
  <si>
    <t>ID0970</t>
  </si>
  <si>
    <t>Sales Manager</t>
  </si>
  <si>
    <t>ID0971</t>
  </si>
  <si>
    <t>Finance Officer</t>
  </si>
  <si>
    <t>ID0972</t>
  </si>
  <si>
    <t>Assistant Fleet Analyst</t>
  </si>
  <si>
    <t>ID0973</t>
  </si>
  <si>
    <t>ID0974</t>
  </si>
  <si>
    <t>Operations Coordinator</t>
  </si>
  <si>
    <t>ID0975</t>
  </si>
  <si>
    <t>ID0976</t>
  </si>
  <si>
    <t>ID0977</t>
  </si>
  <si>
    <t>ID0978</t>
  </si>
  <si>
    <t>Director, Informatics</t>
  </si>
  <si>
    <t>ID0979</t>
  </si>
  <si>
    <t>ID0980</t>
  </si>
  <si>
    <t>ID0981</t>
  </si>
  <si>
    <t>ID0983</t>
  </si>
  <si>
    <t>Sustainability Strategy Advisor</t>
  </si>
  <si>
    <t>ID0984</t>
  </si>
  <si>
    <t>ID0985</t>
  </si>
  <si>
    <t>Reporting and DB Analyist</t>
  </si>
  <si>
    <t>ID0986</t>
  </si>
  <si>
    <t>ID0987</t>
  </si>
  <si>
    <t>ID0988</t>
  </si>
  <si>
    <t>malaysia</t>
  </si>
  <si>
    <t>ID0989</t>
  </si>
  <si>
    <t>ID0990</t>
  </si>
  <si>
    <t>Shipping Administrator</t>
  </si>
  <si>
    <t>ID0991</t>
  </si>
  <si>
    <t>VP, Operational Analytics</t>
  </si>
  <si>
    <t>ID0992</t>
  </si>
  <si>
    <t>Finance analyst</t>
  </si>
  <si>
    <t>ID0993</t>
  </si>
  <si>
    <t>ID0994</t>
  </si>
  <si>
    <t>ID0995</t>
  </si>
  <si>
    <t>HSLP Data Analyst</t>
  </si>
  <si>
    <t>ID0996</t>
  </si>
  <si>
    <t>ID0997</t>
  </si>
  <si>
    <t>Asia</t>
  </si>
  <si>
    <t>ID0998</t>
  </si>
  <si>
    <t>Retired Government Officer, having knowledge in excel.</t>
  </si>
  <si>
    <t>ID0999</t>
  </si>
  <si>
    <t>ID1000</t>
  </si>
  <si>
    <t>ID1001</t>
  </si>
  <si>
    <t>MYR</t>
  </si>
  <si>
    <t>Credit Risk Manager</t>
  </si>
  <si>
    <t>ID1002</t>
  </si>
  <si>
    <t>ID1003</t>
  </si>
  <si>
    <t>ID1004</t>
  </si>
  <si>
    <t>Credit Manager - Loans</t>
  </si>
  <si>
    <t>ID1005</t>
  </si>
  <si>
    <t>Audit executive</t>
  </si>
  <si>
    <t>INDIA</t>
  </si>
  <si>
    <t>ID1006</t>
  </si>
  <si>
    <t>Staff accountant -- Auditing</t>
  </si>
  <si>
    <t>ID1007</t>
  </si>
  <si>
    <t>Asst Manager - Quality</t>
  </si>
  <si>
    <t>ID1008</t>
  </si>
  <si>
    <t>Principal Analyst</t>
  </si>
  <si>
    <t>ID1009</t>
  </si>
  <si>
    <t>Business Consultant</t>
  </si>
  <si>
    <t>ID1010</t>
  </si>
  <si>
    <t>Ass Research  Manager</t>
  </si>
  <si>
    <t>ID1011</t>
  </si>
  <si>
    <t>Data Specialist</t>
  </si>
  <si>
    <t>ID1012</t>
  </si>
  <si>
    <t>ID1013</t>
  </si>
  <si>
    <t>ID1014</t>
  </si>
  <si>
    <t>LKR</t>
  </si>
  <si>
    <t>ID1015</t>
  </si>
  <si>
    <t>Sr.Analyst - Process Excellence</t>
  </si>
  <si>
    <t>ID1016</t>
  </si>
  <si>
    <t>Operations Management</t>
  </si>
  <si>
    <t>ID1017</t>
  </si>
  <si>
    <t>Management Information Consultant</t>
  </si>
  <si>
    <t>ID1018</t>
  </si>
  <si>
    <t>associate analyst</t>
  </si>
  <si>
    <t>ID1019</t>
  </si>
  <si>
    <t>Head of Financial Reporting</t>
  </si>
  <si>
    <t>ID1020</t>
  </si>
  <si>
    <t>Softwar Engineer</t>
  </si>
  <si>
    <t>ID1021</t>
  </si>
  <si>
    <t>SGD</t>
  </si>
  <si>
    <t>ID1023</t>
  </si>
  <si>
    <t>ID1024</t>
  </si>
  <si>
    <t>MIS &amp; Analysis</t>
  </si>
  <si>
    <t>ID1025</t>
  </si>
  <si>
    <t>ID1026</t>
  </si>
  <si>
    <t>ID1027</t>
  </si>
  <si>
    <t xml:space="preserve">Asst. Manager </t>
  </si>
  <si>
    <t>ID1028</t>
  </si>
  <si>
    <t>Project Managment Office</t>
  </si>
  <si>
    <t>ID1029</t>
  </si>
  <si>
    <t>Audit Assistant</t>
  </si>
  <si>
    <t>ID1030</t>
  </si>
  <si>
    <t>singapore</t>
  </si>
  <si>
    <t>ID1031</t>
  </si>
  <si>
    <t>ID1032</t>
  </si>
  <si>
    <t>ACCOUNTS</t>
  </si>
  <si>
    <t>ID1033</t>
  </si>
  <si>
    <t>Area Sales Manager</t>
  </si>
  <si>
    <t>ID1034</t>
  </si>
  <si>
    <t>Strategic Planning Executive</t>
  </si>
  <si>
    <t>ID1035</t>
  </si>
  <si>
    <t>ID1036</t>
  </si>
  <si>
    <t>ID1037</t>
  </si>
  <si>
    <t>Category Operations Supv.</t>
  </si>
  <si>
    <t>ID1038</t>
  </si>
  <si>
    <t>BI</t>
  </si>
  <si>
    <t>ID1039</t>
  </si>
  <si>
    <t>ID1040</t>
  </si>
  <si>
    <t>ID1041</t>
  </si>
  <si>
    <t>Teaching</t>
  </si>
  <si>
    <t>ID1042</t>
  </si>
  <si>
    <t>ID1043</t>
  </si>
  <si>
    <t>Excel Developer</t>
  </si>
  <si>
    <t>ID1044</t>
  </si>
  <si>
    <t>Report Specialist</t>
  </si>
  <si>
    <t>ID1045</t>
  </si>
  <si>
    <t>Project Controlling (MIS Reports)</t>
  </si>
  <si>
    <t>ID1046</t>
  </si>
  <si>
    <t>Monitoring &amp; evaluation officer</t>
  </si>
  <si>
    <t>ID1047</t>
  </si>
  <si>
    <t>ID1048</t>
  </si>
  <si>
    <t>Accounts Exec</t>
  </si>
  <si>
    <t>ID1049</t>
  </si>
  <si>
    <t>ID1050</t>
  </si>
  <si>
    <t>ID1051</t>
  </si>
  <si>
    <t>ID1052</t>
  </si>
  <si>
    <t>planning &amp; Sales Control emploee</t>
  </si>
  <si>
    <t>ID1053</t>
  </si>
  <si>
    <t>RRHH</t>
  </si>
  <si>
    <t>SPAIN</t>
  </si>
  <si>
    <t>ID1054</t>
  </si>
  <si>
    <t>ID1055</t>
  </si>
  <si>
    <t>ID1056</t>
  </si>
  <si>
    <t>BA</t>
  </si>
  <si>
    <t>ID1057</t>
  </si>
  <si>
    <t>Management Information Systems</t>
  </si>
  <si>
    <t>ID1058</t>
  </si>
  <si>
    <t>ID1059</t>
  </si>
  <si>
    <t>Bookkeeper</t>
  </si>
  <si>
    <t>ID1060</t>
  </si>
  <si>
    <t>ID1061</t>
  </si>
  <si>
    <t>Sr Exec - Finance</t>
  </si>
  <si>
    <t>ID1062</t>
  </si>
  <si>
    <t>ID1063</t>
  </si>
  <si>
    <t>Project Administrator</t>
  </si>
  <si>
    <t>ID1064</t>
  </si>
  <si>
    <t>ID1065</t>
  </si>
  <si>
    <t>Business Development Executive</t>
  </si>
  <si>
    <t>ID1066</t>
  </si>
  <si>
    <t>ID1067</t>
  </si>
  <si>
    <t>ID1068</t>
  </si>
  <si>
    <t>ID1069</t>
  </si>
  <si>
    <t>Professional consultant-Finance</t>
  </si>
  <si>
    <t>ID1070</t>
  </si>
  <si>
    <t>ID1071</t>
  </si>
  <si>
    <t>Manager Fin</t>
  </si>
  <si>
    <t>ID1072</t>
  </si>
  <si>
    <t>business data analyst</t>
  </si>
  <si>
    <t>ID1074</t>
  </si>
  <si>
    <t>ID1075</t>
  </si>
  <si>
    <t>Assistant Professor</t>
  </si>
  <si>
    <t>ID1076</t>
  </si>
  <si>
    <t>Production manager</t>
  </si>
  <si>
    <t>ID1077</t>
  </si>
  <si>
    <t>ID1078</t>
  </si>
  <si>
    <t xml:space="preserve">SR. MIS </t>
  </si>
  <si>
    <t>ID1079</t>
  </si>
  <si>
    <t>ID1080</t>
  </si>
  <si>
    <t>Data Entry Operator</t>
  </si>
  <si>
    <t>ID1081</t>
  </si>
  <si>
    <t>Vice President</t>
  </si>
  <si>
    <t>ID1082</t>
  </si>
  <si>
    <t>ID1083</t>
  </si>
  <si>
    <t>finance assistant</t>
  </si>
  <si>
    <t>ID1084</t>
  </si>
  <si>
    <t>finance controller</t>
  </si>
  <si>
    <t>ID1085</t>
  </si>
  <si>
    <t>Manufacturing consultant</t>
  </si>
  <si>
    <t>ID1086</t>
  </si>
  <si>
    <t>Business Improvement Specialist</t>
  </si>
  <si>
    <t>ID1087</t>
  </si>
  <si>
    <t>ID1088</t>
  </si>
  <si>
    <t>Sr. Manager MIS</t>
  </si>
  <si>
    <t>ID1089</t>
  </si>
  <si>
    <t>ID1090</t>
  </si>
  <si>
    <t>ID1091</t>
  </si>
  <si>
    <t>Sr.Supervisor</t>
  </si>
  <si>
    <t>ID1092</t>
  </si>
  <si>
    <t>Policy, Performance and Research Officer</t>
  </si>
  <si>
    <t>ID1093</t>
  </si>
  <si>
    <t>ID1094</t>
  </si>
  <si>
    <t>ID1095</t>
  </si>
  <si>
    <t>ID1096</t>
  </si>
  <si>
    <t>Accounting analyst</t>
  </si>
  <si>
    <t>ID1097</t>
  </si>
  <si>
    <t>ID1098</t>
  </si>
  <si>
    <t>Business Operations Co-ordinator</t>
  </si>
  <si>
    <t>ID1099</t>
  </si>
  <si>
    <t>ID1100</t>
  </si>
  <si>
    <t>Project Control Analyst</t>
  </si>
  <si>
    <t>ID1101</t>
  </si>
  <si>
    <t>MDM Executive (Business Analyst)</t>
  </si>
  <si>
    <t>ID1102</t>
  </si>
  <si>
    <t>Data analyst</t>
  </si>
  <si>
    <t>ID1103</t>
  </si>
  <si>
    <t>ID1104</t>
  </si>
  <si>
    <t>ID1105</t>
  </si>
  <si>
    <t>OFFICER</t>
  </si>
  <si>
    <t>PAKISTAN</t>
  </si>
  <si>
    <t>ID1107</t>
  </si>
  <si>
    <t>ID1108</t>
  </si>
  <si>
    <t>Spare Part Coordinator</t>
  </si>
  <si>
    <t>ID1109</t>
  </si>
  <si>
    <t>ID1110</t>
  </si>
  <si>
    <t>coordinator</t>
  </si>
  <si>
    <t>ID1111</t>
  </si>
  <si>
    <t>Systems Analyst</t>
  </si>
  <si>
    <t>ID1112</t>
  </si>
  <si>
    <t>Logistics Operation Analyst</t>
  </si>
  <si>
    <t>ID1113</t>
  </si>
  <si>
    <t>Company Secretary</t>
  </si>
  <si>
    <t>ID1114</t>
  </si>
  <si>
    <t>ID1115</t>
  </si>
  <si>
    <t>ID1116</t>
  </si>
  <si>
    <t>Q.A.Officer</t>
  </si>
  <si>
    <t>ID1117</t>
  </si>
  <si>
    <t>Assistant Director - Performance Information</t>
  </si>
  <si>
    <t>ID1118</t>
  </si>
  <si>
    <t>Developer</t>
  </si>
  <si>
    <t>ID1119</t>
  </si>
  <si>
    <t>ID1120</t>
  </si>
  <si>
    <t>Development (Project &amp; Planning) Manager</t>
  </si>
  <si>
    <t>ID1121</t>
  </si>
  <si>
    <t>ID1122</t>
  </si>
  <si>
    <t>Clinical audit manager</t>
  </si>
  <si>
    <t>ID1123</t>
  </si>
  <si>
    <t>Inventory Manager</t>
  </si>
  <si>
    <t>ID1124</t>
  </si>
  <si>
    <t>ID1125</t>
  </si>
  <si>
    <t>information Analyst</t>
  </si>
  <si>
    <t>ID1126</t>
  </si>
  <si>
    <t>Development Manager</t>
  </si>
  <si>
    <t>ID1127</t>
  </si>
  <si>
    <t>ID1128</t>
  </si>
  <si>
    <t>MI Specialist</t>
  </si>
  <si>
    <t>ID1129</t>
  </si>
  <si>
    <t>Network Enginer</t>
  </si>
  <si>
    <t>ID1130</t>
  </si>
  <si>
    <t>officer</t>
  </si>
  <si>
    <t>ID1131</t>
  </si>
  <si>
    <t>Sr. Team Lead - MIS</t>
  </si>
  <si>
    <t>ID1132</t>
  </si>
  <si>
    <t>KEY</t>
  </si>
  <si>
    <t>ID1133</t>
  </si>
  <si>
    <t>ID1134</t>
  </si>
  <si>
    <t>Sales Planning</t>
  </si>
  <si>
    <t>ID1135</t>
  </si>
  <si>
    <t>GM Finance</t>
  </si>
  <si>
    <t>ID1136</t>
  </si>
  <si>
    <t>ID1137</t>
  </si>
  <si>
    <t>ID1138</t>
  </si>
  <si>
    <t>Performance manager</t>
  </si>
  <si>
    <t>ID1139</t>
  </si>
  <si>
    <t>software engineer</t>
  </si>
  <si>
    <t>ID1140</t>
  </si>
  <si>
    <t>ID1141</t>
  </si>
  <si>
    <t>ID1142</t>
  </si>
  <si>
    <t>MIS Sr. Executive</t>
  </si>
  <si>
    <t>ID1143</t>
  </si>
  <si>
    <t>Translator</t>
  </si>
  <si>
    <t>ID1144</t>
  </si>
  <si>
    <t>Business Anaylyst</t>
  </si>
  <si>
    <t>ID1145</t>
  </si>
  <si>
    <t>ID1146</t>
  </si>
  <si>
    <t>Lead Research Analyst</t>
  </si>
  <si>
    <t>ID1147</t>
  </si>
  <si>
    <t>Management Information Manager</t>
  </si>
  <si>
    <t>Continental Europe</t>
  </si>
  <si>
    <t>ID1148</t>
  </si>
  <si>
    <t>Data Management Officer</t>
  </si>
  <si>
    <t>ID1149</t>
  </si>
  <si>
    <t>Reporting Accountant</t>
  </si>
  <si>
    <t>ID1150</t>
  </si>
  <si>
    <t>Construction Planner</t>
  </si>
  <si>
    <t>ID1151</t>
  </si>
  <si>
    <t>Assistant Accountant</t>
  </si>
  <si>
    <t>ID1152</t>
  </si>
  <si>
    <t>BI Analyst</t>
  </si>
  <si>
    <t>ID1153</t>
  </si>
  <si>
    <t>MI Analyst</t>
  </si>
  <si>
    <t>ID1154</t>
  </si>
  <si>
    <t>Accounts Assistant</t>
  </si>
  <si>
    <t>ID1155</t>
  </si>
  <si>
    <t>ID1156</t>
  </si>
  <si>
    <t>Corporate Finance Executive</t>
  </si>
  <si>
    <t>ID1157</t>
  </si>
  <si>
    <t>Manager-Operation</t>
  </si>
  <si>
    <t>ID1158</t>
  </si>
  <si>
    <t>ID1159</t>
  </si>
  <si>
    <t>Financial Analysist</t>
  </si>
  <si>
    <t>ID1160</t>
  </si>
  <si>
    <t>AM Ops</t>
  </si>
  <si>
    <t>ID1161</t>
  </si>
  <si>
    <t>ID1162</t>
  </si>
  <si>
    <t>pricing and cost manager</t>
  </si>
  <si>
    <t>mexico</t>
  </si>
  <si>
    <t>ID1163</t>
  </si>
  <si>
    <t>Catlog associates</t>
  </si>
  <si>
    <t>ID1164</t>
  </si>
  <si>
    <t>Business Analyst - Central Finance</t>
  </si>
  <si>
    <t>ID1165</t>
  </si>
  <si>
    <t>DOP</t>
  </si>
  <si>
    <t>Analista de Produccion</t>
  </si>
  <si>
    <t>Republica Dominicana</t>
  </si>
  <si>
    <t>ID1166</t>
  </si>
  <si>
    <t>IT Analyst (Reporting)</t>
  </si>
  <si>
    <t>ID1167</t>
  </si>
  <si>
    <t>ID1168</t>
  </si>
  <si>
    <t>ID1169</t>
  </si>
  <si>
    <t>ID1170</t>
  </si>
  <si>
    <t>ID1171</t>
  </si>
  <si>
    <t>Logistics Coordinator</t>
  </si>
  <si>
    <t>ID1172</t>
  </si>
  <si>
    <t>ID1173</t>
  </si>
  <si>
    <t>ID1175</t>
  </si>
  <si>
    <t>Service Analyst</t>
  </si>
  <si>
    <t>ID1176</t>
  </si>
  <si>
    <t>Head of Finance</t>
  </si>
  <si>
    <t>ID1177</t>
  </si>
  <si>
    <t>ID1178</t>
  </si>
  <si>
    <t>ID1179</t>
  </si>
  <si>
    <t>ID1180</t>
  </si>
  <si>
    <t>Business Intelligence Manager</t>
  </si>
  <si>
    <t>ID1181</t>
  </si>
  <si>
    <t>Network Administrator</t>
  </si>
  <si>
    <t>ID1182</t>
  </si>
  <si>
    <t>Performance Analyst</t>
  </si>
  <si>
    <t>ID1183</t>
  </si>
  <si>
    <t>Data Entry Clerk III</t>
  </si>
  <si>
    <t>ID1184</t>
  </si>
  <si>
    <t>officer accounts</t>
  </si>
  <si>
    <t>ID1185</t>
  </si>
  <si>
    <t>ID1186</t>
  </si>
  <si>
    <t>Cost Controlling Executive</t>
  </si>
  <si>
    <t>ID1187</t>
  </si>
  <si>
    <t>Administration Manager</t>
  </si>
  <si>
    <t>ID1188</t>
  </si>
  <si>
    <t>ID1189</t>
  </si>
  <si>
    <t>ID1190</t>
  </si>
  <si>
    <t>Excel Corporate Trainer</t>
  </si>
  <si>
    <t>ID1191</t>
  </si>
  <si>
    <t>Quality Management</t>
  </si>
  <si>
    <t>ID1192</t>
  </si>
  <si>
    <t>PLN</t>
  </si>
  <si>
    <t>ID1193</t>
  </si>
  <si>
    <t>Supervisor MIS</t>
  </si>
  <si>
    <t>ID1194</t>
  </si>
  <si>
    <t>ID1195</t>
  </si>
  <si>
    <t>Business Analyst - Solutions</t>
  </si>
  <si>
    <t>ID1196</t>
  </si>
  <si>
    <t>KENYA</t>
  </si>
  <si>
    <t>ID1197</t>
  </si>
  <si>
    <t>Finance Project Manager</t>
  </si>
  <si>
    <t>ID1198</t>
  </si>
  <si>
    <t>Manager, Strategy &amp; Insights</t>
  </si>
  <si>
    <t>ID1199</t>
  </si>
  <si>
    <t>Financial/Data Analyst</t>
  </si>
  <si>
    <t>ID1200</t>
  </si>
  <si>
    <t>ID1201</t>
  </si>
  <si>
    <t>business consultant</t>
  </si>
  <si>
    <t>ID1202</t>
  </si>
  <si>
    <t>Documentation Consultant</t>
  </si>
  <si>
    <t>ID1203</t>
  </si>
  <si>
    <t>Sr. Consultant</t>
  </si>
  <si>
    <t>ID1204</t>
  </si>
  <si>
    <t>ID1205</t>
  </si>
  <si>
    <t>investment accountant</t>
  </si>
  <si>
    <t>ID1206</t>
  </si>
  <si>
    <t>ID1207</t>
  </si>
  <si>
    <t>Officer Production</t>
  </si>
  <si>
    <t>ID1208</t>
  </si>
  <si>
    <t>warehouse management</t>
  </si>
  <si>
    <t>GREECE</t>
  </si>
  <si>
    <t>ID1209</t>
  </si>
  <si>
    <t>Chief Accountant</t>
  </si>
  <si>
    <t>ID1210</t>
  </si>
  <si>
    <t>Manager F &amp; A</t>
  </si>
  <si>
    <t>ID1211</t>
  </si>
  <si>
    <t>Quality Assurance Engineer</t>
  </si>
  <si>
    <t>ID1212</t>
  </si>
  <si>
    <t>ID1213</t>
  </si>
  <si>
    <t>DKK</t>
  </si>
  <si>
    <t>Manager Business Controlling</t>
  </si>
  <si>
    <t>ID1214</t>
  </si>
  <si>
    <t>ID1215</t>
  </si>
  <si>
    <t>sample manager</t>
  </si>
  <si>
    <t>ID1216</t>
  </si>
  <si>
    <t>Practice Manager</t>
  </si>
  <si>
    <t>ID1217</t>
  </si>
  <si>
    <t>ID1218</t>
  </si>
  <si>
    <t>marketing specialist</t>
  </si>
  <si>
    <t>ID1219</t>
  </si>
  <si>
    <t>ID1220</t>
  </si>
  <si>
    <t>Staff Accountant</t>
  </si>
  <si>
    <t>ID1221</t>
  </si>
  <si>
    <t>Manager Corporate Finance</t>
  </si>
  <si>
    <t>Latin America</t>
  </si>
  <si>
    <t>ID1222</t>
  </si>
  <si>
    <t>ID1223</t>
  </si>
  <si>
    <t>ASSISTANT MANAGER</t>
  </si>
  <si>
    <t>ID1224</t>
  </si>
  <si>
    <t>ID1225</t>
  </si>
  <si>
    <t>Lead Executive MIS</t>
  </si>
  <si>
    <t>ID1226</t>
  </si>
  <si>
    <t>Snr Business Analyst</t>
  </si>
  <si>
    <t>ID1227</t>
  </si>
  <si>
    <t>ID1228</t>
  </si>
  <si>
    <t>QATAR</t>
  </si>
  <si>
    <t>ID1229</t>
  </si>
  <si>
    <t>assurance manager</t>
  </si>
  <si>
    <t>ID1230</t>
  </si>
  <si>
    <t>ID1231</t>
  </si>
  <si>
    <t>SOX,SAP, Insurance Coordinator</t>
  </si>
  <si>
    <t>Pakistan, Angola</t>
  </si>
  <si>
    <t>ID1232</t>
  </si>
  <si>
    <t>ID1233</t>
  </si>
  <si>
    <t>Financial Accountant</t>
  </si>
  <si>
    <t>ID1234</t>
  </si>
  <si>
    <t>Pmo</t>
  </si>
  <si>
    <t>ID1235</t>
  </si>
  <si>
    <t>ID1236</t>
  </si>
  <si>
    <t>Stafmember</t>
  </si>
  <si>
    <t>ID1237</t>
  </si>
  <si>
    <t>ID1238</t>
  </si>
  <si>
    <t>ID1239</t>
  </si>
  <si>
    <t>education advisor</t>
  </si>
  <si>
    <t>the Netherlands</t>
  </si>
  <si>
    <t>ID1240</t>
  </si>
  <si>
    <t>ID1241</t>
  </si>
  <si>
    <t>Senior Accounts Clerk</t>
  </si>
  <si>
    <t>ID1242</t>
  </si>
  <si>
    <t>ID1243</t>
  </si>
  <si>
    <t>Infection Prevention Surveillance Specialist</t>
  </si>
  <si>
    <t>ID1244</t>
  </si>
  <si>
    <t>ID1245</t>
  </si>
  <si>
    <t>IDR</t>
  </si>
  <si>
    <t>Office Instructor</t>
  </si>
  <si>
    <t>ID1246</t>
  </si>
  <si>
    <t>Investment Accountant</t>
  </si>
  <si>
    <t>ID1247</t>
  </si>
  <si>
    <t>owner</t>
  </si>
  <si>
    <t>ID1248</t>
  </si>
  <si>
    <t xml:space="preserve">Senior Executive Compensation Analyst </t>
  </si>
  <si>
    <t>ID1249</t>
  </si>
  <si>
    <t>Markets Adviser</t>
  </si>
  <si>
    <t>ID1250</t>
  </si>
  <si>
    <t>ID1251</t>
  </si>
  <si>
    <t>ID1252</t>
  </si>
  <si>
    <t>ID1253</t>
  </si>
  <si>
    <t>Program &amp; Policy Analyst-Advanced</t>
  </si>
  <si>
    <t>ID1254</t>
  </si>
  <si>
    <t>ID1255</t>
  </si>
  <si>
    <t>systems accountant</t>
  </si>
  <si>
    <t>ID1256</t>
  </si>
  <si>
    <t>Sr. Systems Analyst</t>
  </si>
  <si>
    <t>ID1257</t>
  </si>
  <si>
    <t>Environmental Information Analyst</t>
  </si>
  <si>
    <t>ID1258</t>
  </si>
  <si>
    <t>Develope</t>
  </si>
  <si>
    <t>ID1259</t>
  </si>
  <si>
    <t>it manager</t>
  </si>
  <si>
    <t>ID1260</t>
  </si>
  <si>
    <t>MONGOLIAN</t>
  </si>
  <si>
    <t>ID1261</t>
  </si>
  <si>
    <t>Process Engineering</t>
  </si>
  <si>
    <t>ID1262</t>
  </si>
  <si>
    <t>Consultant - Process Improvement</t>
  </si>
  <si>
    <t>ID1263</t>
  </si>
  <si>
    <t>ID1264</t>
  </si>
  <si>
    <t>ID1265</t>
  </si>
  <si>
    <t>Senior Materials Handler</t>
  </si>
  <si>
    <t>ID1266</t>
  </si>
  <si>
    <t>Certified Public Accountant</t>
  </si>
  <si>
    <t>ID1267</t>
  </si>
  <si>
    <t>Manager - Marketing Analytics</t>
  </si>
  <si>
    <t>ID1268</t>
  </si>
  <si>
    <t>Contractor/Consultant</t>
  </si>
  <si>
    <t>ID1270</t>
  </si>
  <si>
    <t>Operations Support Officer</t>
  </si>
  <si>
    <t>ID1271</t>
  </si>
  <si>
    <t>master scheduler</t>
  </si>
  <si>
    <t>ID1273</t>
  </si>
  <si>
    <t>Practice Manager - Business Operations</t>
  </si>
  <si>
    <t>ID1274</t>
  </si>
  <si>
    <t>ID1275</t>
  </si>
  <si>
    <t>ID1276</t>
  </si>
  <si>
    <t>Staff Assistant</t>
  </si>
  <si>
    <t>ID1277</t>
  </si>
  <si>
    <t>AVP Securitisation</t>
  </si>
  <si>
    <t>ID1278</t>
  </si>
  <si>
    <t>Asstt. Manager</t>
  </si>
  <si>
    <t>ID1279</t>
  </si>
  <si>
    <t>ID1280</t>
  </si>
  <si>
    <t>Assistant Data Analyst</t>
  </si>
  <si>
    <t>ID1281</t>
  </si>
  <si>
    <t>Team Leader WFM</t>
  </si>
  <si>
    <t>ID1282</t>
  </si>
  <si>
    <t>ID1283</t>
  </si>
  <si>
    <t>manager operation</t>
  </si>
  <si>
    <t>srilanka</t>
  </si>
  <si>
    <t>ID1284</t>
  </si>
  <si>
    <t>ID1285</t>
  </si>
  <si>
    <t>RENTAL INVENTORY CONTROLLER</t>
  </si>
  <si>
    <t>ID1286</t>
  </si>
  <si>
    <t>Publisher</t>
  </si>
  <si>
    <t>ID1287</t>
  </si>
  <si>
    <t>Resource Planning Analyst</t>
  </si>
  <si>
    <t>ID1288</t>
  </si>
  <si>
    <t>ID1289</t>
  </si>
  <si>
    <t>MIS OFFICER</t>
  </si>
  <si>
    <t>ID1290</t>
  </si>
  <si>
    <t>ID1291</t>
  </si>
  <si>
    <t>Monitoring &amp; Evaluation officer</t>
  </si>
  <si>
    <t>Myanmar</t>
  </si>
  <si>
    <t>ID1292</t>
  </si>
  <si>
    <t>Pricing Analyst</t>
  </si>
  <si>
    <t>ID1294</t>
  </si>
  <si>
    <t>ID1295</t>
  </si>
  <si>
    <t>ID1296</t>
  </si>
  <si>
    <t>ID1297</t>
  </si>
  <si>
    <t>excel prof</t>
  </si>
  <si>
    <t>pakistan</t>
  </si>
  <si>
    <t>ID1298</t>
  </si>
  <si>
    <t>Employee</t>
  </si>
  <si>
    <t>ID1299</t>
  </si>
  <si>
    <t>Senior Business Executive</t>
  </si>
  <si>
    <t>ID1301</t>
  </si>
  <si>
    <t>I dont know</t>
  </si>
  <si>
    <t>ID1302</t>
  </si>
  <si>
    <t>Financial Analysis</t>
  </si>
  <si>
    <t>ID1303</t>
  </si>
  <si>
    <t>ID1304</t>
  </si>
  <si>
    <t>ID1305</t>
  </si>
  <si>
    <t>ID1306</t>
  </si>
  <si>
    <t>Project Support Officer</t>
  </si>
  <si>
    <t>ID1307</t>
  </si>
  <si>
    <t>Document Control</t>
  </si>
  <si>
    <t>ID1308</t>
  </si>
  <si>
    <t>Asst Manager HR</t>
  </si>
  <si>
    <t>ID1309</t>
  </si>
  <si>
    <t>Senior software engineer</t>
  </si>
  <si>
    <t>ID1310</t>
  </si>
  <si>
    <t>ID1311</t>
  </si>
  <si>
    <t>MIS cum Purchase Executive</t>
  </si>
  <si>
    <t>ID1312</t>
  </si>
  <si>
    <t>Information analyst</t>
  </si>
  <si>
    <t>ID1313</t>
  </si>
  <si>
    <t>ID1314</t>
  </si>
  <si>
    <t>Sr. Executive -HR</t>
  </si>
  <si>
    <t>ID1315</t>
  </si>
  <si>
    <t>Salary Professsional</t>
  </si>
  <si>
    <t>ID1316</t>
  </si>
  <si>
    <t>ID1317</t>
  </si>
  <si>
    <t>FANANCE</t>
  </si>
  <si>
    <t>SRI LANKA</t>
  </si>
  <si>
    <t>ID1318</t>
  </si>
  <si>
    <t>Manager - Corporate strategy and Planning</t>
  </si>
  <si>
    <t>ID1319</t>
  </si>
  <si>
    <t>ID1320</t>
  </si>
  <si>
    <t>NAF Support Manager</t>
  </si>
  <si>
    <t>ID1322</t>
  </si>
  <si>
    <t>Project manager of IT infrastructure</t>
  </si>
  <si>
    <t>ID1323</t>
  </si>
  <si>
    <t>ID1324</t>
  </si>
  <si>
    <t>relationship manager</t>
  </si>
  <si>
    <t>ID1325</t>
  </si>
  <si>
    <t>ID1326</t>
  </si>
  <si>
    <t>ID1327</t>
  </si>
  <si>
    <t>ID1328</t>
  </si>
  <si>
    <t>ID1329</t>
  </si>
  <si>
    <t>AM business Intelligence</t>
  </si>
  <si>
    <t>ID1330</t>
  </si>
  <si>
    <t>MIS Associate</t>
  </si>
  <si>
    <t>ID1331</t>
  </si>
  <si>
    <t>ID1332</t>
  </si>
  <si>
    <t>ID1333</t>
  </si>
  <si>
    <t>ID1334</t>
  </si>
  <si>
    <t>TL WFM</t>
  </si>
  <si>
    <t>ID1335</t>
  </si>
  <si>
    <t>new zealand</t>
  </si>
  <si>
    <t>ID1336</t>
  </si>
  <si>
    <t>Dir. Revenue Mgt</t>
  </si>
  <si>
    <t>Kingdom of Saudi Arabia</t>
  </si>
  <si>
    <t>ID1337</t>
  </si>
  <si>
    <t>Controlling Manager</t>
  </si>
  <si>
    <t>CEE</t>
  </si>
  <si>
    <t>ID1338</t>
  </si>
  <si>
    <t>Financial Modelling Analyst</t>
  </si>
  <si>
    <t>ID1339</t>
  </si>
  <si>
    <t>support manager</t>
  </si>
  <si>
    <t>ID1340</t>
  </si>
  <si>
    <t>Web Analyst</t>
  </si>
  <si>
    <t>ID1341</t>
  </si>
  <si>
    <t>ID1342</t>
  </si>
  <si>
    <t>ID1343</t>
  </si>
  <si>
    <t>liquidity manager</t>
  </si>
  <si>
    <t>ID1344</t>
  </si>
  <si>
    <t>PO/PMO/Planner/PM</t>
  </si>
  <si>
    <t>ID1345</t>
  </si>
  <si>
    <t xml:space="preserve">Senior Associate </t>
  </si>
  <si>
    <t>ID1346</t>
  </si>
  <si>
    <t>ID1347</t>
  </si>
  <si>
    <t>MIS HR,HRIS</t>
  </si>
  <si>
    <t>ID1348</t>
  </si>
  <si>
    <t>ID1349</t>
  </si>
  <si>
    <t>ID1350</t>
  </si>
  <si>
    <t>Asst. Production Manager</t>
  </si>
  <si>
    <t>ID1351</t>
  </si>
  <si>
    <t>ID1352</t>
  </si>
  <si>
    <t>ID1353</t>
  </si>
  <si>
    <t>assistant</t>
  </si>
  <si>
    <t>ID1354</t>
  </si>
  <si>
    <t>Bus Analyst</t>
  </si>
  <si>
    <t>ID1355</t>
  </si>
  <si>
    <t>Vice President of Performance Management</t>
  </si>
  <si>
    <t>ID1356</t>
  </si>
  <si>
    <t>Principal advisor</t>
  </si>
  <si>
    <t>ID1357</t>
  </si>
  <si>
    <t>Director of Technology</t>
  </si>
  <si>
    <t>ID1358</t>
  </si>
  <si>
    <t>ID1359</t>
  </si>
  <si>
    <t>ID1360</t>
  </si>
  <si>
    <t>Credit Executive</t>
  </si>
  <si>
    <t>ID1361</t>
  </si>
  <si>
    <t>Business Analytics Associate</t>
  </si>
  <si>
    <t>ID1362</t>
  </si>
  <si>
    <t>Engineering Tech</t>
  </si>
  <si>
    <t>ID1363</t>
  </si>
  <si>
    <t>Mechanical Design engineer</t>
  </si>
  <si>
    <t>ID1364</t>
  </si>
  <si>
    <t>ID1365</t>
  </si>
  <si>
    <t>Business Information Analyst</t>
  </si>
  <si>
    <t>ID1366</t>
  </si>
  <si>
    <t>ID1367</t>
  </si>
  <si>
    <t>Junior Controller</t>
  </si>
  <si>
    <t>ID1368</t>
  </si>
  <si>
    <t>JPY</t>
  </si>
  <si>
    <t>System Analyst (Configuration Mgmt)</t>
  </si>
  <si>
    <t>ID1369</t>
  </si>
  <si>
    <t>Planning Supervisor</t>
  </si>
  <si>
    <t>ID1370</t>
  </si>
  <si>
    <t>ID1371</t>
  </si>
  <si>
    <t>Manager of Data Analytics</t>
  </si>
  <si>
    <t>ID1372</t>
  </si>
  <si>
    <t>ID1373</t>
  </si>
  <si>
    <t>Quality Control Supervisor</t>
  </si>
  <si>
    <t>ID1374</t>
  </si>
  <si>
    <t>ID1375</t>
  </si>
  <si>
    <t>ID1376</t>
  </si>
  <si>
    <t>ID1377</t>
  </si>
  <si>
    <t>clerk 24 hrs per week</t>
  </si>
  <si>
    <t>ID1378</t>
  </si>
  <si>
    <t>Engineering Intern</t>
  </si>
  <si>
    <t>ID1379</t>
  </si>
  <si>
    <t>ID1380</t>
  </si>
  <si>
    <t>ID1381</t>
  </si>
  <si>
    <t>ID1382</t>
  </si>
  <si>
    <t>Vice Head of Dpt in Education</t>
  </si>
  <si>
    <t>ID1383</t>
  </si>
  <si>
    <t>Senior Planning Analyst</t>
  </si>
  <si>
    <t>ID1384</t>
  </si>
  <si>
    <t>energy engineer</t>
  </si>
  <si>
    <t>ID1385</t>
  </si>
  <si>
    <t>ID1386</t>
  </si>
  <si>
    <t>Measurement &amp; Verification Engineer</t>
  </si>
  <si>
    <t>ID1387</t>
  </si>
  <si>
    <t>Sr. Manager of Finance</t>
  </si>
  <si>
    <t>ID1388</t>
  </si>
  <si>
    <t>ID1389</t>
  </si>
  <si>
    <t>I.T Manager</t>
  </si>
  <si>
    <t>ID1390</t>
  </si>
  <si>
    <t>ID1391</t>
  </si>
  <si>
    <t>Measurement Specialist</t>
  </si>
  <si>
    <t>ID1392</t>
  </si>
  <si>
    <t>Test engineer</t>
  </si>
  <si>
    <t>ID1393</t>
  </si>
  <si>
    <t>VP, Business Management</t>
  </si>
  <si>
    <t>ID1394</t>
  </si>
  <si>
    <t>MIS Controller</t>
  </si>
  <si>
    <t>Europe</t>
  </si>
  <si>
    <t>ID1395</t>
  </si>
  <si>
    <t>Senior Underwriting Analyst</t>
  </si>
  <si>
    <t>ID1396</t>
  </si>
  <si>
    <t>ID1397</t>
  </si>
  <si>
    <t>Data Integrity &amp; Reporting Tool Analyst</t>
  </si>
  <si>
    <t>ID1398</t>
  </si>
  <si>
    <t>Manager FP and A</t>
  </si>
  <si>
    <t>ID1399</t>
  </si>
  <si>
    <t>Business Operation Specialist</t>
  </si>
  <si>
    <t>ID1400</t>
  </si>
  <si>
    <t>Stress Engineer</t>
  </si>
  <si>
    <t>ID1401</t>
  </si>
  <si>
    <t>ID1402</t>
  </si>
  <si>
    <t>eeo analyst</t>
  </si>
  <si>
    <t>ID1403</t>
  </si>
  <si>
    <t>Sr Process Consultant</t>
  </si>
  <si>
    <t>ID1404</t>
  </si>
  <si>
    <t>Credentialing Coordinator &amp; Productivity Reports "Guru"</t>
  </si>
  <si>
    <t>ID1405</t>
  </si>
  <si>
    <t>Transportation Planner</t>
  </si>
  <si>
    <t>ID1406</t>
  </si>
  <si>
    <t>ID1407</t>
  </si>
  <si>
    <t>ID1408</t>
  </si>
  <si>
    <t>Risk Analyst</t>
  </si>
  <si>
    <t>ID1409</t>
  </si>
  <si>
    <t>Project Coordinator</t>
  </si>
  <si>
    <t>ID1410</t>
  </si>
  <si>
    <t>ID1411</t>
  </si>
  <si>
    <t>Data Analytics Consultant</t>
  </si>
  <si>
    <t>ID1412</t>
  </si>
  <si>
    <t>ID1413</t>
  </si>
  <si>
    <t>Manager, Financial Planning &amp; Analysis</t>
  </si>
  <si>
    <t>ID1414</t>
  </si>
  <si>
    <t>Lead Budget/Financial Analyst</t>
  </si>
  <si>
    <t>ID1415</t>
  </si>
  <si>
    <t>SAR</t>
  </si>
  <si>
    <t>Senior Electrical Engineer</t>
  </si>
  <si>
    <t>ID1416</t>
  </si>
  <si>
    <t>Accounting Supervisor</t>
  </si>
  <si>
    <t>ID1417</t>
  </si>
  <si>
    <t>ID1418</t>
  </si>
  <si>
    <t>Tax Manager</t>
  </si>
  <si>
    <t>ID1419</t>
  </si>
  <si>
    <t>ID1420</t>
  </si>
  <si>
    <t>Finance &amp; IT Manager</t>
  </si>
  <si>
    <t>ID1421</t>
  </si>
  <si>
    <t>Technical Support Specialist</t>
  </si>
  <si>
    <t>ID1422</t>
  </si>
  <si>
    <t>Clinical Data Specialist</t>
  </si>
  <si>
    <t>ID1423</t>
  </si>
  <si>
    <t>Associate - Indirect Tax</t>
  </si>
  <si>
    <t>ID1424</t>
  </si>
  <si>
    <t>ID1425</t>
  </si>
  <si>
    <t>Digital Analyst</t>
  </si>
  <si>
    <t>ID1426</t>
  </si>
  <si>
    <t>ID1427</t>
  </si>
  <si>
    <t>Senior Budget Analyst</t>
  </si>
  <si>
    <t>ID1428</t>
  </si>
  <si>
    <t>HR Cordinator</t>
  </si>
  <si>
    <t>ID1429</t>
  </si>
  <si>
    <t>Treasury Analyst</t>
  </si>
  <si>
    <t>ID1430</t>
  </si>
  <si>
    <t>Assistant Engineer</t>
  </si>
  <si>
    <t>ID1431</t>
  </si>
  <si>
    <t>ID1432</t>
  </si>
  <si>
    <t>sr. senior analyst</t>
  </si>
  <si>
    <t>ID1433</t>
  </si>
  <si>
    <t>ID1434</t>
  </si>
  <si>
    <t>Project Manager - Finance</t>
  </si>
  <si>
    <t>ID1435</t>
  </si>
  <si>
    <t>Senior analyst, ops support</t>
  </si>
  <si>
    <t>ID1436</t>
  </si>
  <si>
    <t>ISO TS Documentation</t>
  </si>
  <si>
    <t>ID1437</t>
  </si>
  <si>
    <t>ID1438</t>
  </si>
  <si>
    <t>inventory controller</t>
  </si>
  <si>
    <t>ID1439</t>
  </si>
  <si>
    <t>Accounting manager</t>
  </si>
  <si>
    <t>ID1440</t>
  </si>
  <si>
    <t>PA</t>
  </si>
  <si>
    <t>ID1442</t>
  </si>
  <si>
    <t>ID1443</t>
  </si>
  <si>
    <t>Manager, Data Management</t>
  </si>
  <si>
    <t>ID1444</t>
  </si>
  <si>
    <t>ID1445</t>
  </si>
  <si>
    <t>ID1446</t>
  </si>
  <si>
    <t>Liquidity Management Executive</t>
  </si>
  <si>
    <t>ID1447</t>
  </si>
  <si>
    <t>ID1448</t>
  </si>
  <si>
    <t>ID1449</t>
  </si>
  <si>
    <t xml:space="preserve">accounting systems manager </t>
  </si>
  <si>
    <t>ID1450</t>
  </si>
  <si>
    <t>ID1451</t>
  </si>
  <si>
    <t>ID1452</t>
  </si>
  <si>
    <t>ID1453</t>
  </si>
  <si>
    <t>Accounting Specialist</t>
  </si>
  <si>
    <t>ID1454</t>
  </si>
  <si>
    <t>Project Management</t>
  </si>
  <si>
    <t>ID1455</t>
  </si>
  <si>
    <t>ID1456</t>
  </si>
  <si>
    <t>ID1457</t>
  </si>
  <si>
    <t>project management</t>
  </si>
  <si>
    <t>ID1458</t>
  </si>
  <si>
    <t>ID1459</t>
  </si>
  <si>
    <t>Business Intelligence Supervisor</t>
  </si>
  <si>
    <t>ID1460</t>
  </si>
  <si>
    <t>SouthAfrica</t>
  </si>
  <si>
    <t>ID1461</t>
  </si>
  <si>
    <t>stress engineer</t>
  </si>
  <si>
    <t>nld</t>
  </si>
  <si>
    <t>ID1462</t>
  </si>
  <si>
    <t>ID1463</t>
  </si>
  <si>
    <t>ID1464</t>
  </si>
  <si>
    <t>Manager Commercial</t>
  </si>
  <si>
    <t>ID1465</t>
  </si>
  <si>
    <t>ID1466</t>
  </si>
  <si>
    <t>ID1467</t>
  </si>
  <si>
    <t>Catalog Auditor</t>
  </si>
  <si>
    <t>ID1468</t>
  </si>
  <si>
    <t>ID1469</t>
  </si>
  <si>
    <t>ID1470</t>
  </si>
  <si>
    <t>Verification Agent</t>
  </si>
  <si>
    <t>ID1471</t>
  </si>
  <si>
    <t>M &amp; E Officer</t>
  </si>
  <si>
    <t>Myanmar [Burma]</t>
  </si>
  <si>
    <t>ID1472</t>
  </si>
  <si>
    <t>Assistant Financial Accountant</t>
  </si>
  <si>
    <t>ID1473</t>
  </si>
  <si>
    <t>Support</t>
  </si>
  <si>
    <t>EU</t>
  </si>
  <si>
    <t>ID1474</t>
  </si>
  <si>
    <t>Process Assocaite</t>
  </si>
  <si>
    <t>ID1475</t>
  </si>
  <si>
    <t>Financial Application Developer</t>
  </si>
  <si>
    <t>ID1476</t>
  </si>
  <si>
    <t>Planning &amp; Scheduling Manager</t>
  </si>
  <si>
    <t>ID1477</t>
  </si>
  <si>
    <t>Online Stats Controller</t>
  </si>
  <si>
    <t>ID1478</t>
  </si>
  <si>
    <t>DEO</t>
  </si>
  <si>
    <t>ID1479</t>
  </si>
  <si>
    <t>M I S Executive</t>
  </si>
  <si>
    <t>ID1480</t>
  </si>
  <si>
    <t>Service Solution Rep</t>
  </si>
  <si>
    <t>ID1481</t>
  </si>
  <si>
    <t xml:space="preserve">Regional Business Manager </t>
  </si>
  <si>
    <t>ID1482</t>
  </si>
  <si>
    <t>sales&amp;marketing</t>
  </si>
  <si>
    <t>turkey</t>
  </si>
  <si>
    <t>ID1483</t>
  </si>
  <si>
    <t>sr analyst</t>
  </si>
  <si>
    <t>ID1484</t>
  </si>
  <si>
    <t>Mgr Technology</t>
  </si>
  <si>
    <t>ID1485</t>
  </si>
  <si>
    <t>ID1486</t>
  </si>
  <si>
    <t>Chemical Engineer</t>
  </si>
  <si>
    <t>ID1487</t>
  </si>
  <si>
    <t>ID1488</t>
  </si>
  <si>
    <t>ID1489</t>
  </si>
  <si>
    <t>Senior Planning Engineer</t>
  </si>
  <si>
    <t>ID1490</t>
  </si>
  <si>
    <t>ID1491</t>
  </si>
  <si>
    <t>ID1492</t>
  </si>
  <si>
    <t>ID1493</t>
  </si>
  <si>
    <t>ID1494</t>
  </si>
  <si>
    <t>control process auxiliary</t>
  </si>
  <si>
    <t>ID1495</t>
  </si>
  <si>
    <t>Business Intelligence Consultant</t>
  </si>
  <si>
    <t>ID1496</t>
  </si>
  <si>
    <t>ID1497</t>
  </si>
  <si>
    <t>Officer MIS</t>
  </si>
  <si>
    <t>ID1498</t>
  </si>
  <si>
    <t>operations Administrator</t>
  </si>
  <si>
    <t>ID1499</t>
  </si>
  <si>
    <t>ID1500</t>
  </si>
  <si>
    <t>Controller / VBA Developet</t>
  </si>
  <si>
    <t>ID1501</t>
  </si>
  <si>
    <t>ID1502</t>
  </si>
  <si>
    <t>Director of Business Analytics</t>
  </si>
  <si>
    <t>ID1503</t>
  </si>
  <si>
    <t>ID1504</t>
  </si>
  <si>
    <t>Supplier Manager</t>
  </si>
  <si>
    <t>ID1505</t>
  </si>
  <si>
    <t>Reports Writer</t>
  </si>
  <si>
    <t>ID1506</t>
  </si>
  <si>
    <t>Process Associate</t>
  </si>
  <si>
    <t>ID1507</t>
  </si>
  <si>
    <t>HR/ADMINISTRATION</t>
  </si>
  <si>
    <t>ID1508</t>
  </si>
  <si>
    <t>ID1509</t>
  </si>
  <si>
    <t>Operational Specialist</t>
  </si>
  <si>
    <t>ID1510</t>
  </si>
  <si>
    <t>Trainee</t>
  </si>
  <si>
    <t>ID1511</t>
  </si>
  <si>
    <t>Senior Business Research Analyst</t>
  </si>
  <si>
    <t>ID1512</t>
  </si>
  <si>
    <t>Senior Consultant - PMO</t>
  </si>
  <si>
    <t>ID1513</t>
  </si>
  <si>
    <t>ID1514</t>
  </si>
  <si>
    <t>ID1515</t>
  </si>
  <si>
    <t>Financial Analst</t>
  </si>
  <si>
    <t>ID1516</t>
  </si>
  <si>
    <t>ID1519</t>
  </si>
  <si>
    <t>ID1520</t>
  </si>
  <si>
    <t>ID1521</t>
  </si>
  <si>
    <t>Excel Business Analyst</t>
  </si>
  <si>
    <t>ID1522</t>
  </si>
  <si>
    <t>SVP</t>
  </si>
  <si>
    <t>ID1523</t>
  </si>
  <si>
    <t>ID1524</t>
  </si>
  <si>
    <t>ID1525</t>
  </si>
  <si>
    <t>info analyst</t>
  </si>
  <si>
    <t>ID1526</t>
  </si>
  <si>
    <t>Data Manager</t>
  </si>
  <si>
    <t>ID1527</t>
  </si>
  <si>
    <t>ID1528</t>
  </si>
  <si>
    <t>ID1529</t>
  </si>
  <si>
    <t>ID1530</t>
  </si>
  <si>
    <t>ID1531</t>
  </si>
  <si>
    <t>ID1532</t>
  </si>
  <si>
    <t>ID1533</t>
  </si>
  <si>
    <t>Project management</t>
  </si>
  <si>
    <t>ID1534</t>
  </si>
  <si>
    <t>Business Banker</t>
  </si>
  <si>
    <t>ID1535</t>
  </si>
  <si>
    <t>Associate Analyst</t>
  </si>
  <si>
    <t>ID1536</t>
  </si>
  <si>
    <t>Accounts Executive</t>
  </si>
  <si>
    <t>ID1537</t>
  </si>
  <si>
    <t>Demand Planner</t>
  </si>
  <si>
    <t>ID1539</t>
  </si>
  <si>
    <t>ID1540</t>
  </si>
  <si>
    <t>reporting analyst</t>
  </si>
  <si>
    <t>ID1541</t>
  </si>
  <si>
    <t>Construction Estimator</t>
  </si>
  <si>
    <t>ID1542</t>
  </si>
  <si>
    <t>Trade Marketing</t>
  </si>
  <si>
    <t>NL</t>
  </si>
  <si>
    <t>ID1543</t>
  </si>
  <si>
    <t>Merchandise Planning Manager</t>
  </si>
  <si>
    <t>ID1544</t>
  </si>
  <si>
    <t>pricing manager</t>
  </si>
  <si>
    <t>ID1545</t>
  </si>
  <si>
    <t>Marketing Services Manager</t>
  </si>
  <si>
    <t>ID1546</t>
  </si>
  <si>
    <t>Sr Analyst</t>
  </si>
  <si>
    <t>ID1547</t>
  </si>
  <si>
    <t>Asst Store Manager</t>
  </si>
  <si>
    <t>ID1548</t>
  </si>
  <si>
    <t>Junior Reporting Manager</t>
  </si>
  <si>
    <t>ID1549</t>
  </si>
  <si>
    <t>Brand manager</t>
  </si>
  <si>
    <t>ID1550</t>
  </si>
  <si>
    <t>ID1551</t>
  </si>
  <si>
    <t>ID1552</t>
  </si>
  <si>
    <t>ID1553</t>
  </si>
  <si>
    <t>Risk Officer</t>
  </si>
  <si>
    <t>ID1554</t>
  </si>
  <si>
    <t>Sr. Risk Analyst</t>
  </si>
  <si>
    <t>ID1555</t>
  </si>
  <si>
    <t>Business Engineer</t>
  </si>
  <si>
    <t>ID1556</t>
  </si>
  <si>
    <t>ID1557</t>
  </si>
  <si>
    <t>FA /financial Analyst</t>
  </si>
  <si>
    <t>ID1558</t>
  </si>
  <si>
    <t>ID1559</t>
  </si>
  <si>
    <t>ID1560</t>
  </si>
  <si>
    <t>Operations Manager</t>
  </si>
  <si>
    <t>ID1561</t>
  </si>
  <si>
    <t>Management Reporting Analyst</t>
  </si>
  <si>
    <t>ID1562</t>
  </si>
  <si>
    <t>Reporting Team Lead</t>
  </si>
  <si>
    <t>ID1563</t>
  </si>
  <si>
    <t>Specialist Learning Technology</t>
  </si>
  <si>
    <t>ID1564</t>
  </si>
  <si>
    <t>Operationsl Regional Manager</t>
  </si>
  <si>
    <t>ID1565</t>
  </si>
  <si>
    <t>Manager - Business Development</t>
  </si>
  <si>
    <t>ID1566</t>
  </si>
  <si>
    <t>QA Data Analyst</t>
  </si>
  <si>
    <t>ID1567</t>
  </si>
  <si>
    <t>SME</t>
  </si>
  <si>
    <t>ID1569</t>
  </si>
  <si>
    <t>Work Force Scheduler for Call Center</t>
  </si>
  <si>
    <t>ID1570</t>
  </si>
  <si>
    <t>ID1571</t>
  </si>
  <si>
    <t>ID1572</t>
  </si>
  <si>
    <t>ID1573</t>
  </si>
  <si>
    <t>Asistente</t>
  </si>
  <si>
    <t>ID1574</t>
  </si>
  <si>
    <t>Sr Business analyst</t>
  </si>
  <si>
    <t>ID1575</t>
  </si>
  <si>
    <t>ID1576</t>
  </si>
  <si>
    <t>ID1577</t>
  </si>
  <si>
    <t>finance director</t>
  </si>
  <si>
    <t>ID1578</t>
  </si>
  <si>
    <t>IT Coordinator</t>
  </si>
  <si>
    <t>ID1579</t>
  </si>
  <si>
    <t>ID1580</t>
  </si>
  <si>
    <t>MAD</t>
  </si>
  <si>
    <t>Supply chain Controller</t>
  </si>
  <si>
    <t>ID1581</t>
  </si>
  <si>
    <t>ID1582</t>
  </si>
  <si>
    <t>Business Operations Analyst</t>
  </si>
  <si>
    <t>ID1583</t>
  </si>
  <si>
    <t>Sr Report Developer</t>
  </si>
  <si>
    <t>ID1584</t>
  </si>
  <si>
    <t>ID1585</t>
  </si>
  <si>
    <t>ID1586</t>
  </si>
  <si>
    <t>Administrator</t>
  </si>
  <si>
    <t>ID1587</t>
  </si>
  <si>
    <t>ID1588</t>
  </si>
  <si>
    <t xml:space="preserve">team leader </t>
  </si>
  <si>
    <t>ID1589</t>
  </si>
  <si>
    <t>Quality Assurance Analyst</t>
  </si>
  <si>
    <t>ID1590</t>
  </si>
  <si>
    <t>Analytics engineer</t>
  </si>
  <si>
    <t>ID1591</t>
  </si>
  <si>
    <t>Assistant Manger Service Quality Assurance</t>
  </si>
  <si>
    <t>ID1592</t>
  </si>
  <si>
    <t>AVP</t>
  </si>
  <si>
    <t>ID1593</t>
  </si>
  <si>
    <t>ID1594</t>
  </si>
  <si>
    <t>ID1595</t>
  </si>
  <si>
    <t>ID1596</t>
  </si>
  <si>
    <t>ID1597</t>
  </si>
  <si>
    <t>ID1598</t>
  </si>
  <si>
    <t>Coordenador PeÃ§as Grupo</t>
  </si>
  <si>
    <t>ID1600</t>
  </si>
  <si>
    <t>Owner of Business Improvement Consultancy</t>
  </si>
  <si>
    <t>ID1601</t>
  </si>
  <si>
    <t>ID1602</t>
  </si>
  <si>
    <t>ID1603</t>
  </si>
  <si>
    <t>ID1604</t>
  </si>
  <si>
    <t>dgm</t>
  </si>
  <si>
    <t>ID1605</t>
  </si>
  <si>
    <t>Catalog Circulation Analyst</t>
  </si>
  <si>
    <t>ID1606</t>
  </si>
  <si>
    <t>ID1607</t>
  </si>
  <si>
    <t>ID1608</t>
  </si>
  <si>
    <t>ID1609</t>
  </si>
  <si>
    <t>ID1610</t>
  </si>
  <si>
    <t>ID1611</t>
  </si>
  <si>
    <t>ID1612</t>
  </si>
  <si>
    <t>ID1613</t>
  </si>
  <si>
    <t>SAS Adminstrator</t>
  </si>
  <si>
    <t>ID1614</t>
  </si>
  <si>
    <t>ID1615</t>
  </si>
  <si>
    <t>ID1616</t>
  </si>
  <si>
    <t>ID1617</t>
  </si>
  <si>
    <t>ID1618</t>
  </si>
  <si>
    <t>production clerk</t>
  </si>
  <si>
    <t>ID1619</t>
  </si>
  <si>
    <t>ID1620</t>
  </si>
  <si>
    <t>ID1621</t>
  </si>
  <si>
    <t>Dss Analyst</t>
  </si>
  <si>
    <t>ID1623</t>
  </si>
  <si>
    <t xml:space="preserve">Business Analysis &amp; MIS </t>
  </si>
  <si>
    <t>ID1624</t>
  </si>
  <si>
    <t>Associate Vice President</t>
  </si>
  <si>
    <t>ID1625</t>
  </si>
  <si>
    <t>M.I.S</t>
  </si>
  <si>
    <t>ID1626</t>
  </si>
  <si>
    <t>ID1627</t>
  </si>
  <si>
    <t>application dev</t>
  </si>
  <si>
    <t>ID1628</t>
  </si>
  <si>
    <t>Technical Web Analyst</t>
  </si>
  <si>
    <t>ID1629</t>
  </si>
  <si>
    <t>ID1630</t>
  </si>
  <si>
    <t>ID1631</t>
  </si>
  <si>
    <t>Head of Business</t>
  </si>
  <si>
    <t>ID1632</t>
  </si>
  <si>
    <t>ID1633</t>
  </si>
  <si>
    <t>MUR</t>
  </si>
  <si>
    <t>IT Support Engineer</t>
  </si>
  <si>
    <t>ID1634</t>
  </si>
  <si>
    <t>ID1635</t>
  </si>
  <si>
    <t>Environmental Adviser</t>
  </si>
  <si>
    <t>ID1636</t>
  </si>
  <si>
    <t>Senior Officer</t>
  </si>
  <si>
    <t>ID1637</t>
  </si>
  <si>
    <t>IT Developer</t>
  </si>
  <si>
    <t>ID1638</t>
  </si>
  <si>
    <t>ID1639</t>
  </si>
  <si>
    <t>business support analyst</t>
  </si>
  <si>
    <t>New zealand</t>
  </si>
  <si>
    <t>ID1640</t>
  </si>
  <si>
    <t>ID1641</t>
  </si>
  <si>
    <t>Category Manager</t>
  </si>
  <si>
    <t>ID1642</t>
  </si>
  <si>
    <t>assistant director of finance</t>
  </si>
  <si>
    <t>ID1643</t>
  </si>
  <si>
    <t>ID1644</t>
  </si>
  <si>
    <t>ID1645</t>
  </si>
  <si>
    <t>Clinical Intake Specialist</t>
  </si>
  <si>
    <t>ID1646</t>
  </si>
  <si>
    <t>Marketing services</t>
  </si>
  <si>
    <t>ID1647</t>
  </si>
  <si>
    <t>Senior Associate, Finance</t>
  </si>
  <si>
    <t>ID1648</t>
  </si>
  <si>
    <t xml:space="preserve">MIS </t>
  </si>
  <si>
    <t>ID1649</t>
  </si>
  <si>
    <t>No</t>
  </si>
  <si>
    <t>ID1650</t>
  </si>
  <si>
    <t>ID1651</t>
  </si>
  <si>
    <t>ID1652</t>
  </si>
  <si>
    <t>service executive</t>
  </si>
  <si>
    <t>ID1653</t>
  </si>
  <si>
    <t>ID1654</t>
  </si>
  <si>
    <t>Sr financial analyst</t>
  </si>
  <si>
    <t>ID1655</t>
  </si>
  <si>
    <t>Consulting Practice Manager</t>
  </si>
  <si>
    <t>ID1656</t>
  </si>
  <si>
    <t>SVP of Acquisitions</t>
  </si>
  <si>
    <t>ID1657</t>
  </si>
  <si>
    <t>ID1658</t>
  </si>
  <si>
    <t>Store Inventory</t>
  </si>
  <si>
    <t>ID1659</t>
  </si>
  <si>
    <t>ID1660</t>
  </si>
  <si>
    <t>Exicutive TQM</t>
  </si>
  <si>
    <t>ID1661</t>
  </si>
  <si>
    <t>ID1662</t>
  </si>
  <si>
    <t>ID1663</t>
  </si>
  <si>
    <t>ID1664</t>
  </si>
  <si>
    <t>Supply/Demand Planner</t>
  </si>
  <si>
    <t>ID1665</t>
  </si>
  <si>
    <t>ISRAEL</t>
  </si>
  <si>
    <t>ID1666</t>
  </si>
  <si>
    <t>ID1667</t>
  </si>
  <si>
    <t>logistics analyst</t>
  </si>
  <si>
    <t>ID1668</t>
  </si>
  <si>
    <t>BI director</t>
  </si>
  <si>
    <t>ID1669</t>
  </si>
  <si>
    <t>Sr Manager</t>
  </si>
  <si>
    <t>ID1670</t>
  </si>
  <si>
    <t>Dataminer</t>
  </si>
  <si>
    <t>ID1671</t>
  </si>
  <si>
    <t>Safety technician</t>
  </si>
  <si>
    <t>ID1672</t>
  </si>
  <si>
    <t>Marketing Data Analyst</t>
  </si>
  <si>
    <t>ID1673</t>
  </si>
  <si>
    <t>Category Leader</t>
  </si>
  <si>
    <t>ID1674</t>
  </si>
  <si>
    <t>Customer Sales Analyst</t>
  </si>
  <si>
    <t>ID1675</t>
  </si>
  <si>
    <t>ID1677</t>
  </si>
  <si>
    <t>Maintenance Manager</t>
  </si>
  <si>
    <t>ID1678</t>
  </si>
  <si>
    <t>ID1679</t>
  </si>
  <si>
    <t>Data Resource Specialist</t>
  </si>
  <si>
    <t>ID1680</t>
  </si>
  <si>
    <t>Waiter</t>
  </si>
  <si>
    <t>ID1681</t>
  </si>
  <si>
    <t>Business Systems Analyst I</t>
  </si>
  <si>
    <t>ID1682</t>
  </si>
  <si>
    <t>Technical Specialist</t>
  </si>
  <si>
    <t>ID1683</t>
  </si>
  <si>
    <t>ID1684</t>
  </si>
  <si>
    <t>Enterprise Portfolio Manager</t>
  </si>
  <si>
    <t>ID1685</t>
  </si>
  <si>
    <t>ID1686</t>
  </si>
  <si>
    <t>Sr Executive - MIS</t>
  </si>
  <si>
    <t>ID1687</t>
  </si>
  <si>
    <t>ID1688</t>
  </si>
  <si>
    <t>ID1689</t>
  </si>
  <si>
    <t>ID1690</t>
  </si>
  <si>
    <t>ID1691</t>
  </si>
  <si>
    <t>france</t>
  </si>
  <si>
    <t>ID1692</t>
  </si>
  <si>
    <t>Senior QA Tester</t>
  </si>
  <si>
    <t>ID1693</t>
  </si>
  <si>
    <t>NOK</t>
  </si>
  <si>
    <t>Economic analyst</t>
  </si>
  <si>
    <t>ID1694</t>
  </si>
  <si>
    <t>ID1695</t>
  </si>
  <si>
    <t>ID1696</t>
  </si>
  <si>
    <t>ID1697</t>
  </si>
  <si>
    <t>Directer of Sales Support</t>
  </si>
  <si>
    <t>ID1698</t>
  </si>
  <si>
    <t>Anallyst</t>
  </si>
  <si>
    <t>ID1699</t>
  </si>
  <si>
    <t>ID1700</t>
  </si>
  <si>
    <t>ID1701</t>
  </si>
  <si>
    <t>Bussiness Analyst</t>
  </si>
  <si>
    <t>ID1702</t>
  </si>
  <si>
    <t>ID1703</t>
  </si>
  <si>
    <t>functional analyst</t>
  </si>
  <si>
    <t>ID1704</t>
  </si>
  <si>
    <t>ID1705</t>
  </si>
  <si>
    <t>ID1706</t>
  </si>
  <si>
    <t>Actuarial Analyst</t>
  </si>
  <si>
    <t>ID1707</t>
  </si>
  <si>
    <t>process coordinator</t>
  </si>
  <si>
    <t>ID1708</t>
  </si>
  <si>
    <t>ID1710</t>
  </si>
  <si>
    <t>Contact Operations Analyst</t>
  </si>
  <si>
    <t>ID1711</t>
  </si>
  <si>
    <t>Student assistant</t>
  </si>
  <si>
    <t>ID1712</t>
  </si>
  <si>
    <t>ID1713</t>
  </si>
  <si>
    <t>PPC Search Specialist</t>
  </si>
  <si>
    <t>ID1714</t>
  </si>
  <si>
    <t>data organizer</t>
  </si>
  <si>
    <t>ID1716</t>
  </si>
  <si>
    <t>ID1717</t>
  </si>
  <si>
    <t>admin</t>
  </si>
  <si>
    <t>ID1718</t>
  </si>
  <si>
    <t>gov employee</t>
  </si>
  <si>
    <t>ID1719</t>
  </si>
  <si>
    <t>Accounts manager</t>
  </si>
  <si>
    <t>ID1720</t>
  </si>
  <si>
    <t>ID1721</t>
  </si>
  <si>
    <t>ID1722</t>
  </si>
  <si>
    <t>Manager (MIS)</t>
  </si>
  <si>
    <t>ID1723</t>
  </si>
  <si>
    <t>financial analyst (real estate)</t>
  </si>
  <si>
    <t>ID1724</t>
  </si>
  <si>
    <t>ID1725</t>
  </si>
  <si>
    <t>contracts officer</t>
  </si>
  <si>
    <t>ID1726</t>
  </si>
  <si>
    <t>exe</t>
  </si>
  <si>
    <t>ID1727</t>
  </si>
  <si>
    <t>ID1729</t>
  </si>
  <si>
    <t>Network Designer</t>
  </si>
  <si>
    <t>ID1730</t>
  </si>
  <si>
    <t>Senior Production Accountant</t>
  </si>
  <si>
    <t>ID1731</t>
  </si>
  <si>
    <t>ID1732</t>
  </si>
  <si>
    <t>Reporting Coordinator</t>
  </si>
  <si>
    <t>ID1733</t>
  </si>
  <si>
    <t>ID1734</t>
  </si>
  <si>
    <t>PMO Analyst</t>
  </si>
  <si>
    <t>ID1735</t>
  </si>
  <si>
    <t>AGM - Operations &amp; Customer Support</t>
  </si>
  <si>
    <t>ID1736</t>
  </si>
  <si>
    <t>Baan ERP Functional Consultant</t>
  </si>
  <si>
    <t>ID1737</t>
  </si>
  <si>
    <t>ID1738</t>
  </si>
  <si>
    <t>ID1739</t>
  </si>
  <si>
    <t>ID1740</t>
  </si>
  <si>
    <t>Sourcing Analyst</t>
  </si>
  <si>
    <t>ID1741</t>
  </si>
  <si>
    <t>ID1742</t>
  </si>
  <si>
    <t>Tax Associate</t>
  </si>
  <si>
    <t>ID1743</t>
  </si>
  <si>
    <t>ID1744</t>
  </si>
  <si>
    <t>Senior Fiancial Analyst</t>
  </si>
  <si>
    <t>ID1745</t>
  </si>
  <si>
    <t>Senior Data Associate</t>
  </si>
  <si>
    <t>ID1746</t>
  </si>
  <si>
    <t>Business Analyst II</t>
  </si>
  <si>
    <t>ID1747</t>
  </si>
  <si>
    <t>ID1748</t>
  </si>
  <si>
    <t>Sales / Finance Manager</t>
  </si>
  <si>
    <t>ID1749</t>
  </si>
  <si>
    <t>ID1750</t>
  </si>
  <si>
    <t>ID1751</t>
  </si>
  <si>
    <t>ID1752</t>
  </si>
  <si>
    <t>Associate Manager, Drug Safety Operations</t>
  </si>
  <si>
    <t>ID1753</t>
  </si>
  <si>
    <t>ID1754</t>
  </si>
  <si>
    <t xml:space="preserve">Project Lead </t>
  </si>
  <si>
    <t>ID1755</t>
  </si>
  <si>
    <t>ID1756</t>
  </si>
  <si>
    <t>ID1757</t>
  </si>
  <si>
    <t>ID1758</t>
  </si>
  <si>
    <t>ID1759</t>
  </si>
  <si>
    <t xml:space="preserve">Financial Analyst </t>
  </si>
  <si>
    <t>ID1760</t>
  </si>
  <si>
    <t>ID1761</t>
  </si>
  <si>
    <t>bUSINESS aNALYST</t>
  </si>
  <si>
    <t>ID1762</t>
  </si>
  <si>
    <t>ID1763</t>
  </si>
  <si>
    <t>Customer Service</t>
  </si>
  <si>
    <t>ID1764</t>
  </si>
  <si>
    <t>CHF</t>
  </si>
  <si>
    <t>Projektleiter</t>
  </si>
  <si>
    <t>ID1765</t>
  </si>
  <si>
    <t>Pricing Manager</t>
  </si>
  <si>
    <t>ID1766</t>
  </si>
  <si>
    <t>ID1767</t>
  </si>
  <si>
    <t>ID1768</t>
  </si>
  <si>
    <t>Compliance Officer</t>
  </si>
  <si>
    <t>ID1769</t>
  </si>
  <si>
    <t>ID1770</t>
  </si>
  <si>
    <t>Data Management Solutions Supervisor</t>
  </si>
  <si>
    <t>ID1771</t>
  </si>
  <si>
    <t>Officer</t>
  </si>
  <si>
    <t>ID1772</t>
  </si>
  <si>
    <t>ID1773</t>
  </si>
  <si>
    <t>magic</t>
  </si>
  <si>
    <t>ID1774</t>
  </si>
  <si>
    <t>account</t>
  </si>
  <si>
    <t>ID1775</t>
  </si>
  <si>
    <t>purchasing manager</t>
  </si>
  <si>
    <t>ID1776</t>
  </si>
  <si>
    <t>ID1777</t>
  </si>
  <si>
    <t>equity research trainee</t>
  </si>
  <si>
    <t>ID1778</t>
  </si>
  <si>
    <t>ID1779</t>
  </si>
  <si>
    <t>ID1780</t>
  </si>
  <si>
    <t xml:space="preserve">project engineer </t>
  </si>
  <si>
    <t>ID1781</t>
  </si>
  <si>
    <t>Teacher</t>
  </si>
  <si>
    <t>ID1782</t>
  </si>
  <si>
    <t>regional sales manager</t>
  </si>
  <si>
    <t>croatia</t>
  </si>
  <si>
    <t>ID1783</t>
  </si>
  <si>
    <t>Analysis &amp; insight consultant</t>
  </si>
  <si>
    <t>ID1784</t>
  </si>
  <si>
    <t>Data Team Leader</t>
  </si>
  <si>
    <t>ID1785</t>
  </si>
  <si>
    <t>ID1786</t>
  </si>
  <si>
    <t>assistant account manager</t>
  </si>
  <si>
    <t>ID1787</t>
  </si>
  <si>
    <t>ID1788</t>
  </si>
  <si>
    <t>Scientist III</t>
  </si>
  <si>
    <t>ID1789</t>
  </si>
  <si>
    <t>Compliance Manager</t>
  </si>
  <si>
    <t>ID1790</t>
  </si>
  <si>
    <t>Development Analyst</t>
  </si>
  <si>
    <t>ID1791</t>
  </si>
  <si>
    <t>computer operator</t>
  </si>
  <si>
    <t>ID1792</t>
  </si>
  <si>
    <t>ID1793</t>
  </si>
  <si>
    <t>ID1794</t>
  </si>
  <si>
    <t>ID1795</t>
  </si>
  <si>
    <t>ID1796</t>
  </si>
  <si>
    <t>ECommerce Manager</t>
  </si>
  <si>
    <t>ID1797</t>
  </si>
  <si>
    <t>ID1798</t>
  </si>
  <si>
    <t>ID1799</t>
  </si>
  <si>
    <t>ID1800</t>
  </si>
  <si>
    <t>Machine Scheduler</t>
  </si>
  <si>
    <t>ID1801</t>
  </si>
  <si>
    <t>ID1802</t>
  </si>
  <si>
    <t>Sr Financial Systems Analyst</t>
  </si>
  <si>
    <t>ID1803</t>
  </si>
  <si>
    <t>ID1804</t>
  </si>
  <si>
    <t>ID1805</t>
  </si>
  <si>
    <t>SFA</t>
  </si>
  <si>
    <t>ID1806</t>
  </si>
  <si>
    <t>ID1807</t>
  </si>
  <si>
    <t>Ð˜Ð¨ Ð¤Ñ‚Ñ„Ð´Ð½Ñ‹Ðµ</t>
  </si>
  <si>
    <t>ID1808</t>
  </si>
  <si>
    <t>ba</t>
  </si>
  <si>
    <t>ID1809</t>
  </si>
  <si>
    <t>Lead Financial Analyst</t>
  </si>
  <si>
    <t>ID1810</t>
  </si>
  <si>
    <t>Senior Associate Engineer</t>
  </si>
  <si>
    <t>ID1811</t>
  </si>
  <si>
    <t>Associate Manager</t>
  </si>
  <si>
    <t>ID1812</t>
  </si>
  <si>
    <t>ID1813</t>
  </si>
  <si>
    <t>ID1814</t>
  </si>
  <si>
    <t>ID1815</t>
  </si>
  <si>
    <t>Manager MIS &amp; Analytics</t>
  </si>
  <si>
    <t>ID1816</t>
  </si>
  <si>
    <t>ID1818</t>
  </si>
  <si>
    <t>Sales Cordinator</t>
  </si>
  <si>
    <t>ID1819</t>
  </si>
  <si>
    <t>Sr Executive</t>
  </si>
  <si>
    <t>ID1820</t>
  </si>
  <si>
    <t>ID1821</t>
  </si>
  <si>
    <t>Manager, Operations</t>
  </si>
  <si>
    <t>ID1822</t>
  </si>
  <si>
    <t>IT Trainer</t>
  </si>
  <si>
    <t>ID1823</t>
  </si>
  <si>
    <t>administrator</t>
  </si>
  <si>
    <t>ID1824</t>
  </si>
  <si>
    <t>ID1825</t>
  </si>
  <si>
    <t>Assistant Corporate Controller</t>
  </si>
  <si>
    <t>ID1826</t>
  </si>
  <si>
    <t>Data Integration Engenieer</t>
  </si>
  <si>
    <t>ID1827</t>
  </si>
  <si>
    <t>purchasing operations administrator</t>
  </si>
  <si>
    <t>ID1828</t>
  </si>
  <si>
    <t>Planning and Logistics Coordinator</t>
  </si>
  <si>
    <t>ID1829</t>
  </si>
  <si>
    <t>bank clerk</t>
  </si>
  <si>
    <t>ID1830</t>
  </si>
  <si>
    <t>Financial Modeler</t>
  </si>
  <si>
    <t>ID1831</t>
  </si>
  <si>
    <t>Personal Assistant</t>
  </si>
  <si>
    <t>Hong Kong</t>
  </si>
  <si>
    <t>ID1832</t>
  </si>
  <si>
    <t>ID1833</t>
  </si>
  <si>
    <t>Mnanager- Customer Project finance &amp; recovery</t>
  </si>
  <si>
    <t>ID1834</t>
  </si>
  <si>
    <t xml:space="preserve">Lead </t>
  </si>
  <si>
    <t>ID1835</t>
  </si>
  <si>
    <t>Senior officer data reporting</t>
  </si>
  <si>
    <t>ID1836</t>
  </si>
  <si>
    <t>AM</t>
  </si>
  <si>
    <t>ID1837</t>
  </si>
  <si>
    <t>ID1838</t>
  </si>
  <si>
    <t>ID1839</t>
  </si>
  <si>
    <t>ID1840</t>
  </si>
  <si>
    <t>ID1841</t>
  </si>
  <si>
    <t>Rates Analyst</t>
  </si>
  <si>
    <t>ID1842</t>
  </si>
  <si>
    <t>Project Controller</t>
  </si>
  <si>
    <t>ID1843</t>
  </si>
  <si>
    <t>ID1844</t>
  </si>
  <si>
    <t>ID1845</t>
  </si>
  <si>
    <t>accoutant</t>
  </si>
  <si>
    <t>ID1846</t>
  </si>
  <si>
    <t>Programme Officer</t>
  </si>
  <si>
    <t>ID1847</t>
  </si>
  <si>
    <t>Digital Media Analyst</t>
  </si>
  <si>
    <t>ID1848</t>
  </si>
  <si>
    <t>ID1849</t>
  </si>
  <si>
    <t>ID1850</t>
  </si>
  <si>
    <t>ID1851</t>
  </si>
  <si>
    <t>Research Support Specialist</t>
  </si>
  <si>
    <t>ID1852</t>
  </si>
  <si>
    <t>Chief Financial Officer</t>
  </si>
  <si>
    <t>ID1853</t>
  </si>
  <si>
    <t>ID1854</t>
  </si>
  <si>
    <t>Senior Manufacturing Engineer</t>
  </si>
  <si>
    <t>ID1855</t>
  </si>
  <si>
    <t>Customer Experence Engineer</t>
  </si>
  <si>
    <t>ID1857</t>
  </si>
  <si>
    <t>ID1858</t>
  </si>
  <si>
    <t>ID1859</t>
  </si>
  <si>
    <t>Baltic</t>
  </si>
  <si>
    <t>ID1860</t>
  </si>
  <si>
    <t>ID1861</t>
  </si>
  <si>
    <t>Manager - Controlling</t>
  </si>
  <si>
    <t>ID1862</t>
  </si>
  <si>
    <t>Sr. System Analyst</t>
  </si>
  <si>
    <t>ID1863</t>
  </si>
  <si>
    <t>ID1864</t>
  </si>
  <si>
    <t>Sr.Manager</t>
  </si>
  <si>
    <t>ID1865</t>
  </si>
  <si>
    <t>ID1866</t>
  </si>
  <si>
    <t>ID1867</t>
  </si>
  <si>
    <t>mainland Europe (Euro zone)</t>
  </si>
  <si>
    <t>ID1868</t>
  </si>
  <si>
    <t>INFORMATION ANALIST</t>
  </si>
  <si>
    <t>COLOMBIA</t>
  </si>
  <si>
    <t>ID1869</t>
  </si>
  <si>
    <t>HR Supervisor</t>
  </si>
  <si>
    <t>ID1870</t>
  </si>
  <si>
    <t>Marketing Initatities Analyst</t>
  </si>
  <si>
    <t>ID1871</t>
  </si>
  <si>
    <t>Sales Compensation Analyst</t>
  </si>
  <si>
    <t>ID1872</t>
  </si>
  <si>
    <t>materials</t>
  </si>
  <si>
    <t>ID1873</t>
  </si>
  <si>
    <t>Actuarial Specialist</t>
  </si>
  <si>
    <t>ID1874</t>
  </si>
  <si>
    <t>Marketing Database Analyst</t>
  </si>
  <si>
    <t>ID1875</t>
  </si>
  <si>
    <t>ID1876</t>
  </si>
  <si>
    <t>ID1877</t>
  </si>
  <si>
    <t>Manager- Customer Support</t>
  </si>
  <si>
    <t>ID1878</t>
  </si>
  <si>
    <t>ID1879</t>
  </si>
  <si>
    <t>ID1880</t>
  </si>
  <si>
    <t>3r23regedf</t>
  </si>
  <si>
    <t>ID1881</t>
  </si>
  <si>
    <t>Revenue Focus Manager</t>
  </si>
  <si>
    <t>ID1882</t>
  </si>
  <si>
    <t>ID1883</t>
  </si>
  <si>
    <t>technical analyst</t>
  </si>
  <si>
    <t>ID1884</t>
  </si>
  <si>
    <t>Senior Manager MIS</t>
  </si>
  <si>
    <t>ID1885</t>
  </si>
  <si>
    <t>ID1886</t>
  </si>
  <si>
    <t>ID1887</t>
  </si>
  <si>
    <t>ID1888</t>
  </si>
  <si>
    <t>Financial Modelling adviser</t>
  </si>
  <si>
    <t>ID1889</t>
  </si>
  <si>
    <t>pm</t>
  </si>
  <si>
    <t>ID1890</t>
  </si>
  <si>
    <t>DK</t>
  </si>
  <si>
    <t>ID1891</t>
  </si>
  <si>
    <t>AML Analyst</t>
  </si>
  <si>
    <t>ID1892</t>
  </si>
  <si>
    <t xml:space="preserve">analyst </t>
  </si>
  <si>
    <t>ID1893</t>
  </si>
  <si>
    <t>ID1894</t>
  </si>
  <si>
    <t>manager purchase</t>
  </si>
  <si>
    <t>ID1895</t>
  </si>
  <si>
    <t>Process Analyst</t>
  </si>
  <si>
    <t>ID1896</t>
  </si>
  <si>
    <t>ID1897</t>
  </si>
  <si>
    <t>buyer</t>
  </si>
  <si>
    <t>ID1898</t>
  </si>
  <si>
    <t>ID1899</t>
  </si>
  <si>
    <t>ID1900</t>
  </si>
  <si>
    <t>Inventory Analyst</t>
  </si>
  <si>
    <t>ID1901</t>
  </si>
  <si>
    <t>ID1902</t>
  </si>
  <si>
    <t>operator</t>
  </si>
  <si>
    <t>ID1903</t>
  </si>
  <si>
    <t>ID1904</t>
  </si>
  <si>
    <t>ETB</t>
  </si>
  <si>
    <t>Project Costing &amp;Dashboard reporting</t>
  </si>
  <si>
    <t>ID1905</t>
  </si>
  <si>
    <t>ID1906</t>
  </si>
  <si>
    <t>ID1907</t>
  </si>
  <si>
    <t>ID1908</t>
  </si>
  <si>
    <t>ID1909</t>
  </si>
  <si>
    <t>ID1910</t>
  </si>
  <si>
    <t>ID1911</t>
  </si>
  <si>
    <t>Marketing Analyst Co-op</t>
  </si>
  <si>
    <t>ID1912</t>
  </si>
  <si>
    <t>abc</t>
  </si>
  <si>
    <t>ID1914</t>
  </si>
  <si>
    <t>MIS specialist</t>
  </si>
  <si>
    <t>ID1915</t>
  </si>
  <si>
    <t>ID1916</t>
  </si>
  <si>
    <t>research associate</t>
  </si>
  <si>
    <t>ID1917</t>
  </si>
  <si>
    <t>ID1918</t>
  </si>
  <si>
    <t>Monitoring and Evaluation Officer</t>
  </si>
  <si>
    <t>ID1919</t>
  </si>
  <si>
    <t>Vice President - Finance</t>
  </si>
  <si>
    <t>ID1920</t>
  </si>
  <si>
    <t xml:space="preserve">Operations Analyst </t>
  </si>
  <si>
    <t>ID1921</t>
  </si>
  <si>
    <t>Poultry Analyst</t>
  </si>
  <si>
    <t>ID1922</t>
  </si>
  <si>
    <t>ID1924</t>
  </si>
  <si>
    <t>Customer Resolution</t>
  </si>
  <si>
    <t>ID1925</t>
  </si>
  <si>
    <t>ID1927</t>
  </si>
  <si>
    <t>Business Analist</t>
  </si>
  <si>
    <t>south africa</t>
  </si>
  <si>
    <t>ID1928</t>
  </si>
  <si>
    <t>ID1929</t>
  </si>
  <si>
    <t>eorl</t>
  </si>
  <si>
    <t>ID1930</t>
  </si>
  <si>
    <t>Corporate Trainer</t>
  </si>
  <si>
    <t>ID1931</t>
  </si>
  <si>
    <t>ID1932</t>
  </si>
  <si>
    <t>Administrative Coordinator</t>
  </si>
  <si>
    <t>Average of Salary in USD</t>
  </si>
  <si>
    <t>Row Labels</t>
  </si>
  <si>
    <t>Grand Total</t>
  </si>
  <si>
    <t>Count of Unique ID</t>
  </si>
  <si>
    <t>34-139-34</t>
  </si>
  <si>
    <t>211-211-211</t>
  </si>
  <si>
    <t>245-255-250</t>
  </si>
  <si>
    <t>(All)</t>
  </si>
  <si>
    <t>(Multiple Items)</t>
  </si>
  <si>
    <t>Values</t>
  </si>
  <si>
    <t>Job</t>
  </si>
  <si>
    <t>Salary (USD)</t>
  </si>
  <si>
    <t>Respondants</t>
  </si>
  <si>
    <t>salary</t>
  </si>
  <si>
    <t>count</t>
  </si>
  <si>
    <t>Count of Years of Experience2</t>
  </si>
  <si>
    <t>Sum of Years of Experience</t>
  </si>
  <si>
    <t>Average of Years of Experience</t>
  </si>
  <si>
    <t>Where does it pay to know Excel?</t>
  </si>
  <si>
    <r>
      <t xml:space="preserve">Chandoo salary survey </t>
    </r>
    <r>
      <rPr>
        <sz val="8"/>
        <color theme="0" tint="-0.499984740745262"/>
        <rFont val="Arial"/>
        <family val="2"/>
      </rPr>
      <t>(http://chandoo.org/wp/2012/06/25/excel-salary-data-contest/)</t>
    </r>
  </si>
  <si>
    <t>Avg Overall</t>
  </si>
  <si>
    <t>Avg ANALYST</t>
  </si>
  <si>
    <t>AVG MANAGER</t>
  </si>
  <si>
    <t>Salary for All</t>
  </si>
  <si>
    <t>Salary for Analyst</t>
  </si>
  <si>
    <t>Salary for Mgr</t>
  </si>
  <si>
    <t>choropleth template:</t>
  </si>
  <si>
    <t>data source:</t>
  </si>
  <si>
    <r>
      <t xml:space="preserve">Clearly and Simply </t>
    </r>
    <r>
      <rPr>
        <sz val="8"/>
        <color theme="0" tint="-0.499984740745262"/>
        <rFont val="Arial"/>
        <family val="2"/>
      </rPr>
      <t>(http://www.clearlyandsimply.com/clearly_and_simply/2009/06/choropleth-maps-with-excel.html)</t>
    </r>
  </si>
  <si>
    <t>Salary for only Analysts</t>
  </si>
  <si>
    <t>Salary for only Managers</t>
  </si>
  <si>
    <t>Min:</t>
  </si>
  <si>
    <t>Max: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</si>
</sst>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44" formatCode="_(&quot;$&quot;* #,##0.00_);_(&quot;$&quot;* \(#,##0.00\);_(&quot;$&quot;* &quot;-&quot;??_);_(@_)"/>
    <numFmt numFmtId="164" formatCode="#,##0.0,"/>
    <numFmt numFmtId="165" formatCode="d\ mmmm\ yyyy\,\ h:mm\ AM/PM"/>
    <numFmt numFmtId="166" formatCode="0.0"/>
    <numFmt numFmtId="167" formatCode="_(&quot;$&quot;* #,##0_);_(&quot;$&quot;* \(#,##0\);_(&quot;$&quot;* &quot;-&quot;??_);_(@_)"/>
    <numFmt numFmtId="168" formatCode="&quot;$&quot;#,##0"/>
  </numFmts>
  <fonts count="20" x14ac:knownFonts="1">
    <font>
      <sz val="10"/>
      <name val="Arial"/>
    </font>
    <font>
      <sz val="8"/>
      <name val="MS Sans Serif"/>
      <family val="2"/>
    </font>
    <font>
      <sz val="10"/>
      <name val="Arial"/>
      <family val="2"/>
    </font>
    <font>
      <sz val="9"/>
      <name val="Arial"/>
      <family val="2"/>
    </font>
    <font>
      <b/>
      <sz val="10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sz val="12"/>
      <name val="Arial"/>
      <family val="2"/>
    </font>
    <font>
      <b/>
      <sz val="9"/>
      <name val="Arial"/>
      <family val="2"/>
    </font>
    <font>
      <sz val="10"/>
      <name val="Arial"/>
      <family val="2"/>
    </font>
    <font>
      <sz val="14"/>
      <color rgb="FF000000"/>
      <name val="Times New Roman"/>
      <family val="1"/>
    </font>
    <font>
      <sz val="8"/>
      <color theme="0" tint="-0.499984740745262"/>
      <name val="Arial"/>
      <family val="2"/>
    </font>
    <font>
      <b/>
      <sz val="18"/>
      <name val="Calibri"/>
      <family val="2"/>
      <scheme val="minor"/>
    </font>
    <font>
      <b/>
      <sz val="8"/>
      <name val="Arial"/>
      <family val="2"/>
    </font>
    <font>
      <sz val="12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name val="Arial"/>
      <family val="2"/>
    </font>
    <font>
      <sz val="11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</fonts>
  <fills count="3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/>
      <diagonal/>
    </border>
  </borders>
  <cellStyleXfs count="2">
    <xf numFmtId="0" fontId="0" fillId="0" borderId="0"/>
    <xf numFmtId="44" fontId="9" fillId="0" borderId="0" applyFont="0" applyFill="0" applyBorder="0" applyAlignment="0" applyProtection="0"/>
  </cellStyleXfs>
  <cellXfs count="79">
    <xf numFmtId="0" fontId="0" fillId="0" borderId="0" xfId="0"/>
    <xf numFmtId="0" fontId="2" fillId="0" borderId="0" xfId="0" applyNumberFormat="1" applyFont="1" applyBorder="1" applyAlignment="1" applyProtection="1">
      <alignment vertical="center"/>
      <protection hidden="1"/>
    </xf>
    <xf numFmtId="0" fontId="2" fillId="0" borderId="0" xfId="0" applyNumberFormat="1" applyFont="1" applyAlignment="1" applyProtection="1">
      <alignment vertical="center"/>
      <protection hidden="1"/>
    </xf>
    <xf numFmtId="0" fontId="3" fillId="0" borderId="0" xfId="0" applyNumberFormat="1" applyFont="1" applyFill="1" applyProtection="1">
      <protection hidden="1"/>
    </xf>
    <xf numFmtId="0" fontId="3" fillId="0" borderId="0" xfId="0" quotePrefix="1" applyNumberFormat="1" applyFont="1" applyFill="1" applyProtection="1">
      <protection hidden="1"/>
    </xf>
    <xf numFmtId="0" fontId="3" fillId="0" borderId="1" xfId="0" applyNumberFormat="1" applyFont="1" applyFill="1" applyBorder="1" applyAlignment="1" applyProtection="1">
      <alignment horizontal="center" vertical="top" wrapText="1"/>
      <protection hidden="1"/>
    </xf>
    <xf numFmtId="0" fontId="3" fillId="0" borderId="1" xfId="0" applyNumberFormat="1" applyFont="1" applyFill="1" applyBorder="1" applyAlignment="1" applyProtection="1">
      <alignment horizontal="left" vertical="top" wrapText="1" indent="1"/>
      <protection hidden="1"/>
    </xf>
    <xf numFmtId="0" fontId="3" fillId="0" borderId="2" xfId="0" applyNumberFormat="1" applyFont="1" applyFill="1" applyBorder="1" applyAlignment="1" applyProtection="1">
      <alignment horizontal="center" vertical="center"/>
      <protection hidden="1"/>
    </xf>
    <xf numFmtId="0" fontId="3" fillId="0" borderId="3" xfId="0" applyNumberFormat="1" applyFont="1" applyFill="1" applyBorder="1" applyAlignment="1" applyProtection="1">
      <alignment horizontal="center" vertical="center"/>
      <protection hidden="1"/>
    </xf>
    <xf numFmtId="0" fontId="3" fillId="0" borderId="4" xfId="0" applyNumberFormat="1" applyFont="1" applyFill="1" applyBorder="1" applyAlignment="1" applyProtection="1">
      <alignment horizontal="center" vertical="center"/>
      <protection hidden="1"/>
    </xf>
    <xf numFmtId="0" fontId="3" fillId="0" borderId="2" xfId="0" applyNumberFormat="1" applyFont="1" applyFill="1" applyBorder="1" applyAlignment="1" applyProtection="1">
      <alignment horizontal="left" vertical="center" indent="1"/>
      <protection locked="0" hidden="1"/>
    </xf>
    <xf numFmtId="0" fontId="3" fillId="0" borderId="2" xfId="0" applyNumberFormat="1" applyFont="1" applyFill="1" applyBorder="1" applyAlignment="1" applyProtection="1">
      <alignment horizontal="center" vertical="center"/>
      <protection locked="0" hidden="1"/>
    </xf>
    <xf numFmtId="3" fontId="3" fillId="0" borderId="2" xfId="0" applyNumberFormat="1" applyFont="1" applyFill="1" applyBorder="1" applyAlignment="1" applyProtection="1">
      <alignment vertical="center"/>
      <protection locked="0" hidden="1"/>
    </xf>
    <xf numFmtId="0" fontId="3" fillId="0" borderId="3" xfId="0" applyNumberFormat="1" applyFont="1" applyFill="1" applyBorder="1" applyAlignment="1" applyProtection="1">
      <alignment horizontal="center" vertical="center"/>
      <protection locked="0" hidden="1"/>
    </xf>
    <xf numFmtId="0" fontId="3" fillId="0" borderId="3" xfId="0" applyNumberFormat="1" applyFont="1" applyFill="1" applyBorder="1" applyAlignment="1" applyProtection="1">
      <alignment horizontal="left" vertical="center" indent="1"/>
      <protection locked="0" hidden="1"/>
    </xf>
    <xf numFmtId="0" fontId="3" fillId="0" borderId="4" xfId="0" applyNumberFormat="1" applyFont="1" applyFill="1" applyBorder="1" applyAlignment="1" applyProtection="1">
      <alignment horizontal="left" vertical="center" indent="1"/>
      <protection locked="0" hidden="1"/>
    </xf>
    <xf numFmtId="0" fontId="3" fillId="0" borderId="4" xfId="0" applyNumberFormat="1" applyFont="1" applyFill="1" applyBorder="1" applyAlignment="1" applyProtection="1">
      <alignment horizontal="center" vertical="center"/>
      <protection locked="0" hidden="1"/>
    </xf>
    <xf numFmtId="0" fontId="6" fillId="0" borderId="0" xfId="0" applyNumberFormat="1" applyFont="1" applyAlignment="1" applyProtection="1">
      <alignment vertical="center"/>
      <protection hidden="1"/>
    </xf>
    <xf numFmtId="0" fontId="6" fillId="0" borderId="0" xfId="0" applyNumberFormat="1" applyFont="1" applyBorder="1" applyAlignment="1" applyProtection="1">
      <alignment vertical="center"/>
      <protection hidden="1"/>
    </xf>
    <xf numFmtId="4" fontId="3" fillId="0" borderId="2" xfId="0" applyNumberFormat="1" applyFont="1" applyFill="1" applyBorder="1" applyAlignment="1" applyProtection="1">
      <alignment vertical="center"/>
      <protection locked="0" hidden="1"/>
    </xf>
    <xf numFmtId="0" fontId="3" fillId="0" borderId="2" xfId="0" quotePrefix="1" applyNumberFormat="1" applyFont="1" applyFill="1" applyBorder="1" applyAlignment="1" applyProtection="1">
      <alignment vertical="center"/>
      <protection hidden="1"/>
    </xf>
    <xf numFmtId="0" fontId="3" fillId="0" borderId="3" xfId="0" quotePrefix="1" applyNumberFormat="1" applyFont="1" applyFill="1" applyBorder="1" applyAlignment="1" applyProtection="1">
      <alignment vertical="center"/>
      <protection hidden="1"/>
    </xf>
    <xf numFmtId="0" fontId="3" fillId="0" borderId="4" xfId="0" quotePrefix="1" applyNumberFormat="1" applyFont="1" applyFill="1" applyBorder="1" applyAlignment="1" applyProtection="1">
      <alignment vertical="center"/>
      <protection hidden="1"/>
    </xf>
    <xf numFmtId="4" fontId="3" fillId="0" borderId="3" xfId="0" applyNumberFormat="1" applyFont="1" applyFill="1" applyBorder="1" applyAlignment="1" applyProtection="1">
      <alignment vertical="center"/>
      <protection locked="0" hidden="1"/>
    </xf>
    <xf numFmtId="4" fontId="3" fillId="0" borderId="4" xfId="0" applyNumberFormat="1" applyFont="1" applyFill="1" applyBorder="1" applyAlignment="1" applyProtection="1">
      <alignment vertical="center"/>
      <protection locked="0" hidden="1"/>
    </xf>
    <xf numFmtId="0" fontId="3" fillId="0" borderId="0" xfId="0" applyNumberFormat="1" applyFont="1" applyFill="1" applyBorder="1" applyAlignment="1" applyProtection="1">
      <alignment vertical="center"/>
      <protection hidden="1"/>
    </xf>
    <xf numFmtId="0" fontId="3" fillId="0" borderId="6" xfId="0" applyNumberFormat="1" applyFont="1" applyFill="1" applyBorder="1" applyAlignment="1" applyProtection="1">
      <alignment horizontal="left" vertical="top"/>
      <protection hidden="1"/>
    </xf>
    <xf numFmtId="0" fontId="3" fillId="0" borderId="7" xfId="0" applyNumberFormat="1" applyFont="1" applyFill="1" applyBorder="1" applyAlignment="1" applyProtection="1">
      <alignment horizontal="left" vertical="top"/>
      <protection hidden="1"/>
    </xf>
    <xf numFmtId="0" fontId="3" fillId="0" borderId="8" xfId="0" applyNumberFormat="1" applyFont="1" applyFill="1" applyBorder="1" applyAlignment="1" applyProtection="1">
      <alignment horizontal="left" vertical="top"/>
      <protection hidden="1"/>
    </xf>
    <xf numFmtId="0" fontId="3" fillId="0" borderId="0" xfId="0" applyFont="1" applyProtection="1">
      <protection hidden="1"/>
    </xf>
    <xf numFmtId="0" fontId="3" fillId="0" borderId="0" xfId="0" applyFont="1" applyBorder="1" applyProtection="1">
      <protection hidden="1"/>
    </xf>
    <xf numFmtId="0" fontId="3" fillId="0" borderId="9" xfId="0" applyNumberFormat="1" applyFont="1" applyFill="1" applyBorder="1" applyAlignment="1" applyProtection="1">
      <alignment horizontal="left" indent="1"/>
      <protection hidden="1"/>
    </xf>
    <xf numFmtId="0" fontId="3" fillId="0" borderId="10" xfId="0" applyFont="1" applyBorder="1" applyProtection="1">
      <protection hidden="1"/>
    </xf>
    <xf numFmtId="0" fontId="3" fillId="0" borderId="11" xfId="0" applyFont="1" applyBorder="1" applyProtection="1">
      <protection hidden="1"/>
    </xf>
    <xf numFmtId="0" fontId="3" fillId="0" borderId="12" xfId="0" applyFont="1" applyBorder="1" applyProtection="1">
      <protection hidden="1"/>
    </xf>
    <xf numFmtId="3" fontId="3" fillId="0" borderId="13" xfId="0" applyNumberFormat="1" applyFont="1" applyFill="1" applyBorder="1" applyAlignment="1" applyProtection="1">
      <alignment horizontal="center"/>
      <protection locked="0" hidden="1"/>
    </xf>
    <xf numFmtId="4" fontId="3" fillId="0" borderId="13" xfId="0" applyNumberFormat="1" applyFont="1" applyFill="1" applyBorder="1" applyAlignment="1" applyProtection="1">
      <alignment horizontal="center"/>
      <protection hidden="1"/>
    </xf>
    <xf numFmtId="0" fontId="3" fillId="0" borderId="14" xfId="0" applyNumberFormat="1" applyFont="1" applyFill="1" applyBorder="1" applyAlignment="1" applyProtection="1">
      <alignment horizontal="center"/>
      <protection hidden="1"/>
    </xf>
    <xf numFmtId="3" fontId="3" fillId="0" borderId="2" xfId="0" applyNumberFormat="1" applyFont="1" applyFill="1" applyBorder="1" applyProtection="1">
      <protection hidden="1"/>
    </xf>
    <xf numFmtId="0" fontId="3" fillId="0" borderId="2" xfId="0" applyNumberFormat="1" applyFont="1" applyFill="1" applyBorder="1" applyProtection="1">
      <protection hidden="1"/>
    </xf>
    <xf numFmtId="0" fontId="3" fillId="0" borderId="10" xfId="0" applyNumberFormat="1" applyFont="1" applyFill="1" applyBorder="1" applyProtection="1">
      <protection hidden="1"/>
    </xf>
    <xf numFmtId="3" fontId="3" fillId="0" borderId="3" xfId="0" applyNumberFormat="1" applyFont="1" applyFill="1" applyBorder="1" applyProtection="1">
      <protection hidden="1"/>
    </xf>
    <xf numFmtId="0" fontId="3" fillId="0" borderId="3" xfId="0" applyNumberFormat="1" applyFont="1" applyFill="1" applyBorder="1" applyProtection="1">
      <protection hidden="1"/>
    </xf>
    <xf numFmtId="0" fontId="3" fillId="0" borderId="11" xfId="0" applyNumberFormat="1" applyFont="1" applyFill="1" applyBorder="1" applyProtection="1">
      <protection hidden="1"/>
    </xf>
    <xf numFmtId="0" fontId="3" fillId="0" borderId="12" xfId="0" applyNumberFormat="1" applyFont="1" applyFill="1" applyBorder="1" applyProtection="1">
      <protection hidden="1"/>
    </xf>
    <xf numFmtId="3" fontId="3" fillId="0" borderId="4" xfId="0" applyNumberFormat="1" applyFont="1" applyFill="1" applyBorder="1" applyProtection="1">
      <protection hidden="1"/>
    </xf>
    <xf numFmtId="0" fontId="3" fillId="0" borderId="4" xfId="0" applyNumberFormat="1" applyFont="1" applyFill="1" applyBorder="1" applyProtection="1">
      <protection hidden="1"/>
    </xf>
    <xf numFmtId="3" fontId="3" fillId="0" borderId="0" xfId="0" applyNumberFormat="1" applyFont="1" applyFill="1" applyBorder="1" applyProtection="1">
      <protection hidden="1"/>
    </xf>
    <xf numFmtId="164" fontId="3" fillId="0" borderId="0" xfId="0" applyNumberFormat="1" applyFont="1" applyFill="1" applyBorder="1" applyProtection="1">
      <protection hidden="1"/>
    </xf>
    <xf numFmtId="0" fontId="3" fillId="0" borderId="1" xfId="0" applyNumberFormat="1" applyFont="1" applyFill="1" applyBorder="1" applyAlignment="1" applyProtection="1">
      <alignment horizontal="center"/>
      <protection hidden="1"/>
    </xf>
    <xf numFmtId="3" fontId="3" fillId="2" borderId="2" xfId="0" applyNumberFormat="1" applyFont="1" applyFill="1" applyBorder="1" applyAlignment="1" applyProtection="1">
      <alignment horizontal="center" vertical="center"/>
      <protection hidden="1"/>
    </xf>
    <xf numFmtId="3" fontId="3" fillId="2" borderId="3" xfId="0" applyNumberFormat="1" applyFont="1" applyFill="1" applyBorder="1" applyAlignment="1" applyProtection="1">
      <alignment horizontal="center" vertical="center"/>
      <protection hidden="1"/>
    </xf>
    <xf numFmtId="3" fontId="3" fillId="2" borderId="4" xfId="0" applyNumberFormat="1" applyFont="1" applyFill="1" applyBorder="1" applyAlignment="1" applyProtection="1">
      <alignment horizontal="center" vertical="center"/>
      <protection hidden="1"/>
    </xf>
    <xf numFmtId="0" fontId="8" fillId="0" borderId="0" xfId="0" applyNumberFormat="1" applyFont="1" applyFill="1" applyBorder="1" applyAlignment="1" applyProtection="1">
      <alignment horizontal="left" vertical="center" indent="2"/>
      <protection hidden="1"/>
    </xf>
    <xf numFmtId="0" fontId="5" fillId="0" borderId="0" xfId="0" applyNumberFormat="1" applyFont="1" applyFill="1" applyBorder="1" applyAlignment="1" applyProtection="1">
      <alignment vertical="center"/>
      <protection hidden="1"/>
    </xf>
    <xf numFmtId="0" fontId="5" fillId="0" borderId="0" xfId="0" applyNumberFormat="1" applyFont="1" applyFill="1" applyBorder="1" applyAlignment="1" applyProtection="1">
      <alignment horizontal="left" vertical="center" indent="1"/>
      <protection hidden="1"/>
    </xf>
    <xf numFmtId="0" fontId="4" fillId="0" borderId="0" xfId="0" applyNumberFormat="1" applyFont="1" applyFill="1" applyBorder="1" applyAlignment="1" applyProtection="1">
      <alignment horizontal="left" vertical="center" indent="1"/>
      <protection hidden="1"/>
    </xf>
    <xf numFmtId="0" fontId="7" fillId="0" borderId="5" xfId="0" applyNumberFormat="1" applyFont="1" applyBorder="1" applyAlignment="1" applyProtection="1">
      <alignment horizontal="left" vertical="center" wrapText="1" indent="2"/>
      <protection hidden="1"/>
    </xf>
    <xf numFmtId="0" fontId="7" fillId="0" borderId="5" xfId="0" applyNumberFormat="1" applyFont="1" applyFill="1" applyBorder="1" applyAlignment="1" applyProtection="1">
      <alignment horizontal="left" vertical="center" indent="2"/>
      <protection hidden="1"/>
    </xf>
    <xf numFmtId="165" fontId="0" fillId="0" borderId="0" xfId="0" applyNumberFormat="1" applyAlignment="1">
      <alignment horizontal="left"/>
    </xf>
    <xf numFmtId="0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10" fillId="0" borderId="0" xfId="0" applyFont="1"/>
    <xf numFmtId="0" fontId="2" fillId="0" borderId="0" xfId="0" applyFont="1"/>
    <xf numFmtId="166" fontId="0" fillId="0" borderId="0" xfId="0" applyNumberFormat="1"/>
    <xf numFmtId="1" fontId="0" fillId="0" borderId="0" xfId="0" applyNumberFormat="1"/>
    <xf numFmtId="167" fontId="0" fillId="0" borderId="0" xfId="1" applyNumberFormat="1" applyFont="1"/>
    <xf numFmtId="1" fontId="3" fillId="0" borderId="2" xfId="0" applyNumberFormat="1" applyFont="1" applyFill="1" applyBorder="1" applyAlignment="1" applyProtection="1">
      <alignment vertical="center"/>
      <protection locked="0" hidden="1"/>
    </xf>
    <xf numFmtId="0" fontId="12" fillId="0" borderId="0" xfId="0" applyNumberFormat="1" applyFont="1" applyFill="1" applyBorder="1" applyAlignment="1" applyProtection="1">
      <alignment horizontal="left" vertical="center" indent="1"/>
      <protection hidden="1"/>
    </xf>
    <xf numFmtId="0" fontId="7" fillId="0" borderId="0" xfId="0" applyNumberFormat="1" applyFont="1" applyFill="1" applyBorder="1" applyAlignment="1" applyProtection="1">
      <alignment horizontal="left" vertical="center" indent="1"/>
      <protection hidden="1"/>
    </xf>
    <xf numFmtId="0" fontId="13" fillId="0" borderId="0" xfId="0" applyNumberFormat="1" applyFont="1" applyFill="1" applyBorder="1" applyAlignment="1" applyProtection="1">
      <alignment horizontal="right" vertical="center"/>
      <protection hidden="1"/>
    </xf>
    <xf numFmtId="168" fontId="14" fillId="0" borderId="0" xfId="1" applyNumberFormat="1" applyFont="1" applyBorder="1" applyAlignment="1" applyProtection="1">
      <alignment vertical="center"/>
      <protection hidden="1"/>
    </xf>
    <xf numFmtId="168" fontId="14" fillId="0" borderId="0" xfId="1" applyNumberFormat="1" applyFont="1" applyBorder="1" applyAlignment="1" applyProtection="1">
      <alignment horizontal="left" vertical="center"/>
      <protection hidden="1"/>
    </xf>
    <xf numFmtId="0" fontId="15" fillId="0" borderId="0" xfId="0" applyNumberFormat="1" applyFont="1" applyFill="1" applyBorder="1" applyAlignment="1" applyProtection="1">
      <alignment horizontal="right" indent="1"/>
      <protection hidden="1"/>
    </xf>
    <xf numFmtId="0" fontId="16" fillId="0" borderId="0" xfId="0" applyNumberFormat="1" applyFont="1" applyFill="1" applyBorder="1" applyAlignment="1" applyProtection="1">
      <alignment horizontal="left" vertical="center" indent="1"/>
      <protection hidden="1"/>
    </xf>
    <xf numFmtId="0" fontId="17" fillId="0" borderId="0" xfId="0" applyNumberFormat="1" applyFont="1" applyAlignment="1" applyProtection="1">
      <alignment vertical="center"/>
      <protection hidden="1"/>
    </xf>
    <xf numFmtId="0" fontId="15" fillId="0" borderId="0" xfId="0" applyNumberFormat="1" applyFont="1" applyFill="1" applyBorder="1" applyAlignment="1" applyProtection="1">
      <alignment horizontal="left" indent="1"/>
      <protection hidden="1"/>
    </xf>
    <xf numFmtId="0" fontId="4" fillId="0" borderId="0" xfId="0" applyFont="1" applyAlignment="1">
      <alignment horizontal="center"/>
    </xf>
  </cellXfs>
  <cellStyles count="2">
    <cellStyle name="Currency" xfId="1" builtinId="4"/>
    <cellStyle name="Normal" xfId="0" builtinId="0"/>
  </cellStyles>
  <dxfs count="5">
    <dxf>
      <numFmt numFmtId="0" formatCode="General"/>
    </dxf>
    <dxf>
      <numFmt numFmtId="0" formatCode="General"/>
    </dxf>
    <dxf>
      <numFmt numFmtId="0" formatCode="General"/>
    </dxf>
    <dxf>
      <numFmt numFmtId="165" formatCode="d\ mmmm\ yyyy\,\ h:mm\ AM/PM"/>
      <alignment horizontal="left" vertical="bottom" textRotation="0" wrapText="0" indent="0" justifyLastLine="0" shrinkToFit="0" readingOrder="0"/>
    </dxf>
    <dxf>
      <font>
        <strike/>
        <color theme="1" tint="0.499984740745262"/>
      </font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DDDDDD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l">
              <a:defRPr/>
            </a:pPr>
            <a:r>
              <a:rPr lang="en-US"/>
              <a:t>Salary by </a:t>
            </a:r>
            <a:r>
              <a:rPr lang="en-US">
                <a:solidFill>
                  <a:schemeClr val="accent1">
                    <a:lumMod val="60000"/>
                    <a:lumOff val="40000"/>
                  </a:schemeClr>
                </a:solidFill>
              </a:rPr>
              <a:t>Job Type </a:t>
            </a:r>
            <a:r>
              <a:rPr lang="en-US" b="0">
                <a:solidFill>
                  <a:sysClr val="windowText" lastClr="000000"/>
                </a:solidFill>
              </a:rPr>
              <a:t>(f</a:t>
            </a:r>
            <a:r>
              <a:rPr lang="en-US" b="0"/>
              <a:t>or countries</a:t>
            </a:r>
            <a:r>
              <a:rPr lang="en-US" b="0" baseline="0"/>
              <a:t> with &gt;5 respondents)</a:t>
            </a:r>
          </a:p>
          <a:p>
            <a:pPr algn="l">
              <a:defRPr/>
            </a:pPr>
            <a:r>
              <a:rPr lang="en-US" sz="1200" b="0" baseline="0"/>
              <a:t>bubble size = number of respondents</a:t>
            </a:r>
            <a:endParaRPr lang="en-US" sz="1200"/>
          </a:p>
        </c:rich>
      </c:tx>
      <c:layout>
        <c:manualLayout>
          <c:xMode val="edge"/>
          <c:yMode val="edge"/>
          <c:x val="0.11279153251548427"/>
          <c:y val="3.0970886738151841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9.3507836766850982E-2"/>
          <c:y val="4.0016613259088042E-2"/>
          <c:w val="0.89486473036842573"/>
          <c:h val="0.89415399553309316"/>
        </c:manualLayout>
      </c:layout>
      <c:bubbleChart>
        <c:varyColors val="0"/>
        <c:ser>
          <c:idx val="0"/>
          <c:order val="0"/>
          <c:tx>
            <c:strRef>
              <c:f>Pivot!$R$3</c:f>
              <c:strCache>
                <c:ptCount val="1"/>
                <c:pt idx="0">
                  <c:v>salary</c:v>
                </c:pt>
              </c:strCache>
            </c:strRef>
          </c:tx>
          <c:spPr>
            <a:solidFill>
              <a:schemeClr val="accent1">
                <a:alpha val="44000"/>
              </a:schemeClr>
            </a:solidFill>
          </c:spPr>
          <c:invertIfNegative val="0"/>
          <c:dLbls>
            <c:dLbl>
              <c:idx val="0"/>
              <c:layout>
                <c:manualLayout>
                  <c:x val="-8.0671927541734242E-3"/>
                  <c:y val="0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Accountant,</a:t>
                    </a:r>
                    <a:r>
                      <a:rPr lang="en-US" baseline="0"/>
                      <a:t> </a:t>
                    </a:r>
                    <a:r>
                      <a:rPr lang="en-US" b="1" baseline="0"/>
                      <a:t>$56k</a:t>
                    </a:r>
                    <a:endParaRPr lang="en-US" b="1"/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1"/>
            </c:dLbl>
            <c:dLbl>
              <c:idx val="1"/>
              <c:layout/>
              <c:tx>
                <c:rich>
                  <a:bodyPr/>
                  <a:lstStyle/>
                  <a:p>
                    <a:r>
                      <a:rPr lang="en-US"/>
                      <a:t>Analyst,</a:t>
                    </a:r>
                    <a:r>
                      <a:rPr lang="en-US" baseline="0"/>
                      <a:t> </a:t>
                    </a:r>
                    <a:r>
                      <a:rPr lang="en-US" b="1" baseline="0"/>
                      <a:t>$47k</a:t>
                    </a:r>
                    <a:endParaRPr lang="en-US" b="1"/>
                  </a:p>
                </c:rich>
              </c:tx>
              <c:dLblPos val="ctr"/>
              <c:showLegendKey val="0"/>
              <c:showVal val="0"/>
              <c:showCatName val="1"/>
              <c:showSerName val="0"/>
              <c:showPercent val="0"/>
              <c:showBubbleSize val="1"/>
            </c:dLbl>
            <c:dLbl>
              <c:idx val="2"/>
              <c:layout>
                <c:manualLayout>
                  <c:x val="-6.7159572400909886E-3"/>
                  <c:y val="-5.7778533546692708E-3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Consultant, </a:t>
                    </a:r>
                    <a:r>
                      <a:rPr lang="en-US" b="1"/>
                      <a:t>$64k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1"/>
            </c:dLbl>
            <c:dLbl>
              <c:idx val="3"/>
              <c:layout>
                <c:manualLayout>
                  <c:x val="-5.0211111864219345E-2"/>
                  <c:y val="-2.2168030310989705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Controller, </a:t>
                    </a:r>
                    <a:r>
                      <a:rPr lang="en-US" b="1"/>
                      <a:t>$67k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1"/>
            </c:dLbl>
            <c:dLbl>
              <c:idx val="4"/>
              <c:layout>
                <c:manualLayout>
                  <c:x val="-6.9027508226508216E-2"/>
                  <c:y val="-2.5623982191636897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CXO or Top Mgmt,</a:t>
                    </a:r>
                    <a:r>
                      <a:rPr lang="en-US" baseline="0"/>
                      <a:t> </a:t>
                    </a:r>
                    <a:r>
                      <a:rPr lang="en-US" b="1" baseline="0"/>
                      <a:t>$98k</a:t>
                    </a:r>
                    <a:endParaRPr lang="en-US" b="1"/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1"/>
            </c:dLbl>
            <c:dLbl>
              <c:idx val="5"/>
              <c:layout>
                <c:manualLayout>
                  <c:x val="-4.6996659529540137E-2"/>
                  <c:y val="-2.7970687119142676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Engineer, </a:t>
                    </a:r>
                    <a:r>
                      <a:rPr lang="en-US" b="1"/>
                      <a:t>$53k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1"/>
            </c:dLbl>
            <c:dLbl>
              <c:idx val="6"/>
              <c:layout/>
              <c:tx>
                <c:rich>
                  <a:bodyPr/>
                  <a:lstStyle/>
                  <a:p>
                    <a:r>
                      <a:rPr lang="en-US"/>
                      <a:t>Manager, </a:t>
                    </a:r>
                    <a:r>
                      <a:rPr lang="en-US" b="1"/>
                      <a:t>$47k</a:t>
                    </a:r>
                  </a:p>
                </c:rich>
              </c:tx>
              <c:dLblPos val="ctr"/>
              <c:showLegendKey val="0"/>
              <c:showVal val="0"/>
              <c:showCatName val="1"/>
              <c:showSerName val="0"/>
              <c:showPercent val="0"/>
              <c:showBubbleSize val="1"/>
            </c:dLbl>
            <c:dLbl>
              <c:idx val="7"/>
              <c:layout/>
              <c:tx>
                <c:rich>
                  <a:bodyPr/>
                  <a:lstStyle/>
                  <a:p>
                    <a:r>
                      <a:rPr lang="en-US"/>
                      <a:t>Misc., </a:t>
                    </a:r>
                    <a:r>
                      <a:rPr lang="en-US" b="1"/>
                      <a:t>$46k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1"/>
            </c:dLbl>
            <c:dLbl>
              <c:idx val="8"/>
              <c:layout/>
              <c:tx>
                <c:rich>
                  <a:bodyPr/>
                  <a:lstStyle/>
                  <a:p>
                    <a:r>
                      <a:rPr lang="en-US"/>
                      <a:t>Reporting,</a:t>
                    </a:r>
                    <a:r>
                      <a:rPr lang="en-US" baseline="0"/>
                      <a:t> </a:t>
                    </a:r>
                    <a:r>
                      <a:rPr lang="en-US" b="1" baseline="0"/>
                      <a:t>$19k</a:t>
                    </a:r>
                    <a:endParaRPr lang="en-US" b="1"/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1"/>
            </c:dLbl>
            <c:dLbl>
              <c:idx val="9"/>
              <c:layout>
                <c:manualLayout>
                  <c:x val="-4.6787196896334732E-3"/>
                  <c:y val="5.7264029323833901E-4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Specialist, </a:t>
                    </a:r>
                    <a:r>
                      <a:rPr lang="en-US" b="1"/>
                      <a:t>$62k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1"/>
            </c:dLbl>
            <c:dLblPos val="t"/>
            <c:showLegendKey val="0"/>
            <c:showVal val="0"/>
            <c:showCatName val="1"/>
            <c:showSerName val="0"/>
            <c:showPercent val="0"/>
            <c:showBubbleSize val="1"/>
            <c:showLeaderLines val="0"/>
          </c:dLbls>
          <c:xVal>
            <c:numRef>
              <c:f>Pivot!$T$4:$T$13</c:f>
              <c:numCache>
                <c:formatCode>0.0</c:formatCode>
                <c:ptCount val="10"/>
                <c:pt idx="0">
                  <c:v>9.3333333333333339</c:v>
                </c:pt>
                <c:pt idx="1">
                  <c:v>7.2947261663285996</c:v>
                </c:pt>
                <c:pt idx="2">
                  <c:v>9.2452830188679247</c:v>
                </c:pt>
                <c:pt idx="3">
                  <c:v>11.733333333333333</c:v>
                </c:pt>
                <c:pt idx="4">
                  <c:v>13.602272727272727</c:v>
                </c:pt>
                <c:pt idx="5">
                  <c:v>7.958333333333333</c:v>
                </c:pt>
                <c:pt idx="6">
                  <c:v>9.9102493074792246</c:v>
                </c:pt>
                <c:pt idx="7">
                  <c:v>6.166666666666667</c:v>
                </c:pt>
                <c:pt idx="8">
                  <c:v>5.21060606060606</c:v>
                </c:pt>
                <c:pt idx="9">
                  <c:v>9.2592592592592595</c:v>
                </c:pt>
              </c:numCache>
            </c:numRef>
          </c:xVal>
          <c:yVal>
            <c:numRef>
              <c:f>Pivot!$R$4:$R$13</c:f>
              <c:numCache>
                <c:formatCode>_("$"* #,##0_);_("$"* \(#,##0\);_("$"* "-"??_);_(@_)</c:formatCode>
                <c:ptCount val="10"/>
                <c:pt idx="0">
                  <c:v>56254.205053704041</c:v>
                </c:pt>
                <c:pt idx="1">
                  <c:v>47076.271579145701</c:v>
                </c:pt>
                <c:pt idx="2">
                  <c:v>64329.565583209107</c:v>
                </c:pt>
                <c:pt idx="3">
                  <c:v>66864.484858455166</c:v>
                </c:pt>
                <c:pt idx="4">
                  <c:v>98289.713681683977</c:v>
                </c:pt>
                <c:pt idx="5">
                  <c:v>52679.941362757236</c:v>
                </c:pt>
                <c:pt idx="6">
                  <c:v>46683.104881983985</c:v>
                </c:pt>
                <c:pt idx="7">
                  <c:v>45952.334217962802</c:v>
                </c:pt>
                <c:pt idx="8">
                  <c:v>19409.107948456251</c:v>
                </c:pt>
                <c:pt idx="9">
                  <c:v>61916.568790768935</c:v>
                </c:pt>
              </c:numCache>
            </c:numRef>
          </c:yVal>
          <c:bubbleSize>
            <c:numRef>
              <c:f>Pivot!$S$4:$S$13</c:f>
              <c:numCache>
                <c:formatCode>General</c:formatCode>
                <c:ptCount val="10"/>
                <c:pt idx="0">
                  <c:v>121</c:v>
                </c:pt>
                <c:pt idx="1">
                  <c:v>694</c:v>
                </c:pt>
                <c:pt idx="2">
                  <c:v>84</c:v>
                </c:pt>
                <c:pt idx="3">
                  <c:v>55</c:v>
                </c:pt>
                <c:pt idx="4">
                  <c:v>71</c:v>
                </c:pt>
                <c:pt idx="5">
                  <c:v>69</c:v>
                </c:pt>
                <c:pt idx="6">
                  <c:v>514</c:v>
                </c:pt>
                <c:pt idx="7">
                  <c:v>7</c:v>
                </c:pt>
                <c:pt idx="8">
                  <c:v>77</c:v>
                </c:pt>
                <c:pt idx="9">
                  <c:v>48</c:v>
                </c:pt>
              </c:numCache>
            </c:numRef>
          </c:bubbleSize>
          <c:bubble3D val="0"/>
        </c:ser>
        <c:ser>
          <c:idx val="1"/>
          <c:order val="1"/>
          <c:tx>
            <c:strRef>
              <c:f>Pivot!$T$3</c:f>
              <c:strCache>
                <c:ptCount val="1"/>
                <c:pt idx="0">
                  <c:v>Average of Years of Experience</c:v>
                </c:pt>
              </c:strCache>
            </c:strRef>
          </c:tx>
          <c:spPr>
            <a:ln w="25400">
              <a:noFill/>
            </a:ln>
          </c:spPr>
          <c:invertIfNegative val="0"/>
          <c:xVal>
            <c:strRef>
              <c:f>Pivot!$Q$4:$Q$13</c:f>
              <c:strCache>
                <c:ptCount val="10"/>
                <c:pt idx="0">
                  <c:v>Accountant</c:v>
                </c:pt>
                <c:pt idx="1">
                  <c:v>Analyst</c:v>
                </c:pt>
                <c:pt idx="2">
                  <c:v>Consultant</c:v>
                </c:pt>
                <c:pt idx="3">
                  <c:v>Controller</c:v>
                </c:pt>
                <c:pt idx="4">
                  <c:v>CXO or Top Mgmt.</c:v>
                </c:pt>
                <c:pt idx="5">
                  <c:v>Engineer</c:v>
                </c:pt>
                <c:pt idx="6">
                  <c:v>Manager</c:v>
                </c:pt>
                <c:pt idx="7">
                  <c:v>Misc.</c:v>
                </c:pt>
                <c:pt idx="8">
                  <c:v>Reporting</c:v>
                </c:pt>
                <c:pt idx="9">
                  <c:v>Specialist</c:v>
                </c:pt>
              </c:strCache>
            </c:strRef>
          </c:xVal>
          <c:yVal>
            <c:numRef>
              <c:f>Pivot!$T$4:$T$13</c:f>
              <c:numCache>
                <c:formatCode>0.0</c:formatCode>
                <c:ptCount val="10"/>
                <c:pt idx="0">
                  <c:v>9.3333333333333339</c:v>
                </c:pt>
                <c:pt idx="1">
                  <c:v>7.2947261663285996</c:v>
                </c:pt>
                <c:pt idx="2">
                  <c:v>9.2452830188679247</c:v>
                </c:pt>
                <c:pt idx="3">
                  <c:v>11.733333333333333</c:v>
                </c:pt>
                <c:pt idx="4">
                  <c:v>13.602272727272727</c:v>
                </c:pt>
                <c:pt idx="5">
                  <c:v>7.958333333333333</c:v>
                </c:pt>
                <c:pt idx="6">
                  <c:v>9.9102493074792246</c:v>
                </c:pt>
                <c:pt idx="7">
                  <c:v>6.166666666666667</c:v>
                </c:pt>
                <c:pt idx="8">
                  <c:v>5.21060606060606</c:v>
                </c:pt>
                <c:pt idx="9">
                  <c:v>9.2592592592592595</c:v>
                </c:pt>
              </c:numCache>
            </c:numRef>
          </c:yVal>
          <c:bubbleSize>
            <c:numLit>
              <c:formatCode>General</c:formatCode>
              <c:ptCount val="10"/>
              <c:pt idx="0">
                <c:v>1</c:v>
              </c:pt>
              <c:pt idx="1">
                <c:v>1</c:v>
              </c:pt>
              <c:pt idx="2">
                <c:v>1</c:v>
              </c:pt>
              <c:pt idx="3">
                <c:v>1</c:v>
              </c:pt>
              <c:pt idx="4">
                <c:v>1</c:v>
              </c:pt>
              <c:pt idx="5">
                <c:v>1</c:v>
              </c:pt>
              <c:pt idx="6">
                <c:v>1</c:v>
              </c:pt>
              <c:pt idx="7">
                <c:v>1</c:v>
              </c:pt>
              <c:pt idx="8">
                <c:v>1</c:v>
              </c:pt>
              <c:pt idx="9">
                <c:v>1</c:v>
              </c:pt>
            </c:numLit>
          </c:bubbleSize>
          <c:bubble3D val="0"/>
        </c:ser>
        <c:ser>
          <c:idx val="2"/>
          <c:order val="2"/>
          <c:spPr>
            <a:ln w="25400">
              <a:noFill/>
            </a:ln>
          </c:spPr>
          <c:invertIfNegative val="0"/>
          <c:xVal>
            <c:numRef>
              <c:f>Pivot!$T$4:$T$13</c:f>
              <c:numCache>
                <c:formatCode>0.0</c:formatCode>
                <c:ptCount val="10"/>
                <c:pt idx="0">
                  <c:v>9.3333333333333339</c:v>
                </c:pt>
                <c:pt idx="1">
                  <c:v>7.2947261663285996</c:v>
                </c:pt>
                <c:pt idx="2">
                  <c:v>9.2452830188679247</c:v>
                </c:pt>
                <c:pt idx="3">
                  <c:v>11.733333333333333</c:v>
                </c:pt>
                <c:pt idx="4">
                  <c:v>13.602272727272727</c:v>
                </c:pt>
                <c:pt idx="5">
                  <c:v>7.958333333333333</c:v>
                </c:pt>
                <c:pt idx="6">
                  <c:v>9.9102493074792246</c:v>
                </c:pt>
                <c:pt idx="7">
                  <c:v>6.166666666666667</c:v>
                </c:pt>
                <c:pt idx="8">
                  <c:v>5.21060606060606</c:v>
                </c:pt>
                <c:pt idx="9">
                  <c:v>9.2592592592592595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1</c:v>
              </c:pt>
            </c:numLit>
          </c:yVal>
          <c:bubbleSize>
            <c:numLit>
              <c:formatCode>General</c:formatCode>
              <c:ptCount val="1"/>
              <c:pt idx="0">
                <c:v>1</c:v>
              </c:pt>
            </c:numLit>
          </c:bubbleSize>
          <c:bubble3D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bubbleScale val="80"/>
        <c:showNegBubbles val="0"/>
        <c:sizeRepresents val="w"/>
        <c:axId val="260151552"/>
        <c:axId val="260448640"/>
      </c:bubbleChart>
      <c:valAx>
        <c:axId val="260151552"/>
        <c:scaling>
          <c:orientation val="minMax"/>
          <c:max val="15"/>
          <c:min val="4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Avg. Years of Experience</a:t>
                </a:r>
              </a:p>
            </c:rich>
          </c:tx>
          <c:layout/>
          <c:overlay val="0"/>
        </c:title>
        <c:numFmt formatCode="0" sourceLinked="0"/>
        <c:majorTickMark val="out"/>
        <c:minorTickMark val="none"/>
        <c:tickLblPos val="nextTo"/>
        <c:crossAx val="260448640"/>
        <c:crosses val="autoZero"/>
        <c:crossBetween val="midCat"/>
        <c:majorUnit val="1"/>
      </c:valAx>
      <c:valAx>
        <c:axId val="260448640"/>
        <c:scaling>
          <c:orientation val="minMax"/>
          <c:max val="100000"/>
          <c:min val="0"/>
        </c:scaling>
        <c:delete val="0"/>
        <c:axPos val="l"/>
        <c:majorGridlines>
          <c:spPr>
            <a:ln>
              <a:noFill/>
            </a:ln>
          </c:spPr>
        </c:majorGridlines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US"/>
                  <a:t>Salary</a:t>
                </a:r>
              </a:p>
              <a:p>
                <a:pPr>
                  <a:defRPr/>
                </a:pPr>
                <a:r>
                  <a:rPr lang="en-US"/>
                  <a:t>(USD)</a:t>
                </a:r>
              </a:p>
            </c:rich>
          </c:tx>
          <c:layout>
            <c:manualLayout>
              <c:xMode val="edge"/>
              <c:yMode val="edge"/>
              <c:x val="1.0503552723327241E-3"/>
              <c:y val="0.45948499122801378"/>
            </c:manualLayout>
          </c:layout>
          <c:overlay val="0"/>
        </c:title>
        <c:numFmt formatCode="_(&quot;$&quot;* #,##0_);_(&quot;$&quot;* \(#,##0\);_(&quot;$&quot;* &quot;-&quot;??_);_(@_)" sourceLinked="1"/>
        <c:majorTickMark val="out"/>
        <c:minorTickMark val="none"/>
        <c:tickLblPos val="nextTo"/>
        <c:crossAx val="260151552"/>
        <c:crosses val="autoZero"/>
        <c:crossBetween val="midCat"/>
        <c:majorUnit val="50000"/>
      </c:valAx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l">
              <a:defRPr/>
            </a:pPr>
            <a:r>
              <a:rPr lang="en-US"/>
              <a:t>Salary</a:t>
            </a:r>
            <a:r>
              <a:rPr lang="en-US" baseline="0"/>
              <a:t> and Experience by Daily Excel Usage</a:t>
            </a:r>
            <a:r>
              <a:rPr lang="en-US"/>
              <a:t> </a:t>
            </a:r>
            <a:r>
              <a:rPr lang="en-US" b="0"/>
              <a:t>for </a:t>
            </a:r>
            <a:r>
              <a:rPr lang="en-US" b="1">
                <a:solidFill>
                  <a:schemeClr val="accent6">
                    <a:lumMod val="60000"/>
                    <a:lumOff val="40000"/>
                  </a:schemeClr>
                </a:solidFill>
              </a:rPr>
              <a:t>Analysts</a:t>
            </a:r>
            <a:r>
              <a:rPr lang="en-US" b="0">
                <a:solidFill>
                  <a:schemeClr val="accent6">
                    <a:lumMod val="60000"/>
                    <a:lumOff val="40000"/>
                  </a:schemeClr>
                </a:solidFill>
              </a:rPr>
              <a:t> </a:t>
            </a:r>
            <a:r>
              <a:rPr lang="en-US" b="0"/>
              <a:t>and </a:t>
            </a:r>
            <a:r>
              <a:rPr lang="en-US" b="1">
                <a:solidFill>
                  <a:schemeClr val="accent6">
                    <a:lumMod val="75000"/>
                  </a:schemeClr>
                </a:solidFill>
              </a:rPr>
              <a:t>Managers</a:t>
            </a:r>
          </a:p>
          <a:p>
            <a:pPr algn="l">
              <a:defRPr/>
            </a:pPr>
            <a:r>
              <a:rPr lang="en-US" sz="1200" b="0" baseline="0"/>
              <a:t>bubble size = number of respondents</a:t>
            </a:r>
            <a:endParaRPr lang="en-US" sz="1200"/>
          </a:p>
        </c:rich>
      </c:tx>
      <c:layout>
        <c:manualLayout>
          <c:xMode val="edge"/>
          <c:yMode val="edge"/>
          <c:x val="0.11517496823233447"/>
          <c:y val="3.3590555821322809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9.9698595128751039E-2"/>
          <c:y val="2.243005867382903E-2"/>
          <c:w val="0.87497344801158961"/>
          <c:h val="0.89291613384668245"/>
        </c:manualLayout>
      </c:layout>
      <c:bubbleChart>
        <c:varyColors val="0"/>
        <c:ser>
          <c:idx val="0"/>
          <c:order val="0"/>
          <c:tx>
            <c:strRef>
              <c:f>Pivot!$R$3</c:f>
              <c:strCache>
                <c:ptCount val="1"/>
                <c:pt idx="0">
                  <c:v>salary</c:v>
                </c:pt>
              </c:strCache>
            </c:strRef>
          </c:tx>
          <c:spPr>
            <a:solidFill>
              <a:schemeClr val="accent6">
                <a:alpha val="49000"/>
              </a:schemeClr>
            </a:solidFill>
          </c:spPr>
          <c:invertIfNegative val="0"/>
          <c:dPt>
            <c:idx val="5"/>
            <c:invertIfNegative val="0"/>
            <c:bubble3D val="0"/>
            <c:spPr>
              <a:solidFill>
                <a:schemeClr val="accent6"/>
              </a:solidFill>
            </c:spPr>
          </c:dPt>
          <c:dPt>
            <c:idx val="6"/>
            <c:invertIfNegative val="0"/>
            <c:bubble3D val="0"/>
            <c:spPr>
              <a:solidFill>
                <a:schemeClr val="accent6"/>
              </a:solidFill>
            </c:spPr>
          </c:dPt>
          <c:dPt>
            <c:idx val="7"/>
            <c:invertIfNegative val="0"/>
            <c:bubble3D val="0"/>
            <c:spPr>
              <a:solidFill>
                <a:schemeClr val="accent6"/>
              </a:solidFill>
            </c:spPr>
          </c:dPt>
          <c:dPt>
            <c:idx val="8"/>
            <c:invertIfNegative val="0"/>
            <c:bubble3D val="0"/>
            <c:spPr>
              <a:solidFill>
                <a:schemeClr val="accent6"/>
              </a:solidFill>
            </c:spPr>
          </c:dPt>
          <c:dLbls>
            <c:dLbl>
              <c:idx val="0"/>
              <c:layout>
                <c:manualLayout>
                  <c:x val="-8.0671927541734242E-3"/>
                  <c:y val="0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1 or</a:t>
                    </a:r>
                    <a:r>
                      <a:rPr lang="en-US" baseline="0"/>
                      <a:t> 2 hours a day</a:t>
                    </a:r>
                    <a:endParaRPr lang="en-US" b="1"/>
                  </a:p>
                </c:rich>
              </c:tx>
              <c:dLblPos val="r"/>
              <c:showLegendKey val="0"/>
              <c:showVal val="1"/>
              <c:showCatName val="1"/>
              <c:showSerName val="0"/>
              <c:showPercent val="0"/>
              <c:showBubbleSize val="1"/>
            </c:dLbl>
            <c:dLbl>
              <c:idx val="1"/>
              <c:layout>
                <c:manualLayout>
                  <c:x val="-7.0742235997055689E-2"/>
                  <c:y val="-5.093328725985697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2 to</a:t>
                    </a:r>
                    <a:r>
                      <a:rPr lang="en-US" baseline="0"/>
                      <a:t> 3 hours per day</a:t>
                    </a:r>
                    <a:endParaRPr lang="en-US" b="1"/>
                  </a:p>
                </c:rich>
              </c:tx>
              <c:dLblPos val="r"/>
              <c:showLegendKey val="0"/>
              <c:showVal val="1"/>
              <c:showCatName val="1"/>
              <c:showSerName val="0"/>
              <c:showPercent val="0"/>
              <c:showBubbleSize val="1"/>
            </c:dLbl>
            <c:dLbl>
              <c:idx val="2"/>
              <c:layout>
                <c:manualLayout>
                  <c:x val="-0.10674727044309314"/>
                  <c:y val="-0.1110410431055454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4 to 6 hours a day</a:t>
                    </a:r>
                    <a:endParaRPr lang="en-US" b="1"/>
                  </a:p>
                </c:rich>
              </c:tx>
              <c:dLblPos val="r"/>
              <c:showLegendKey val="0"/>
              <c:showVal val="1"/>
              <c:showCatName val="1"/>
              <c:showSerName val="0"/>
              <c:showPercent val="0"/>
              <c:showBubbleSize val="1"/>
            </c:dLbl>
            <c:dLbl>
              <c:idx val="3"/>
              <c:layout>
                <c:manualLayout>
                  <c:x val="-7.9849673163730345E-2"/>
                  <c:y val="-7.4592495454136681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All</a:t>
                    </a:r>
                    <a:r>
                      <a:rPr lang="en-US" baseline="0"/>
                      <a:t> the 8 hours!</a:t>
                    </a:r>
                    <a:endParaRPr lang="en-US"/>
                  </a:p>
                </c:rich>
              </c:tx>
              <c:dLblPos val="r"/>
              <c:showLegendKey val="0"/>
              <c:showVal val="1"/>
              <c:showCatName val="1"/>
              <c:showSerName val="0"/>
              <c:showPercent val="0"/>
              <c:showBubbleSize val="1"/>
            </c:dLbl>
            <c:dLbl>
              <c:idx val="5"/>
              <c:layout>
                <c:manualLayout>
                  <c:x val="-5.8078781553335054E-2"/>
                  <c:y val="-3.4697376235266648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1 or 2 hours a</a:t>
                    </a:r>
                    <a:r>
                      <a:rPr lang="en-US" baseline="0"/>
                      <a:t> day</a:t>
                    </a:r>
                    <a:endParaRPr lang="en-US"/>
                  </a:p>
                </c:rich>
              </c:tx>
              <c:dLblPos val="r"/>
              <c:showLegendKey val="0"/>
              <c:showVal val="1"/>
              <c:showCatName val="1"/>
              <c:showSerName val="0"/>
              <c:showPercent val="0"/>
              <c:showBubbleSize val="1"/>
            </c:dLbl>
            <c:dLbl>
              <c:idx val="6"/>
              <c:layout>
                <c:manualLayout>
                  <c:x val="-7.663724095033668E-2"/>
                  <c:y val="-6.157167005802806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2 to 3 hours per day</a:t>
                    </a:r>
                    <a:endParaRPr lang="en-US" b="1"/>
                  </a:p>
                </c:rich>
              </c:tx>
              <c:dLblPos val="r"/>
              <c:showLegendKey val="0"/>
              <c:showVal val="1"/>
              <c:showCatName val="1"/>
              <c:showSerName val="0"/>
              <c:showPercent val="0"/>
              <c:showBubbleSize val="1"/>
            </c:dLbl>
            <c:dLbl>
              <c:idx val="7"/>
              <c:layout>
                <c:manualLayout>
                  <c:x val="-8.5364718374314363E-2"/>
                  <c:y val="-7.8101267868665267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4</a:t>
                    </a:r>
                    <a:r>
                      <a:rPr lang="en-US" baseline="0"/>
                      <a:t> to 6 hours a day</a:t>
                    </a:r>
                    <a:endParaRPr lang="en-US"/>
                  </a:p>
                </c:rich>
              </c:tx>
              <c:dLblPos val="r"/>
              <c:showLegendKey val="0"/>
              <c:showVal val="1"/>
              <c:showCatName val="1"/>
              <c:showSerName val="0"/>
              <c:showPercent val="0"/>
              <c:showBubbleSize val="1"/>
            </c:dLbl>
            <c:dLbl>
              <c:idx val="8"/>
              <c:layout>
                <c:manualLayout>
                  <c:x val="-6.1444095877558592E-2"/>
                  <c:y val="-4.4248935522715228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All the 8</a:t>
                    </a:r>
                    <a:r>
                      <a:rPr lang="en-US" baseline="0"/>
                      <a:t> hours!</a:t>
                    </a:r>
                    <a:endParaRPr lang="en-US"/>
                  </a:p>
                </c:rich>
              </c:tx>
              <c:dLblPos val="r"/>
              <c:showLegendKey val="0"/>
              <c:showVal val="1"/>
              <c:showCatName val="1"/>
              <c:showSerName val="0"/>
              <c:showPercent val="0"/>
              <c:showBubbleSize val="1"/>
            </c:dLbl>
            <c:dLbl>
              <c:idx val="9"/>
              <c:layout>
                <c:manualLayout>
                  <c:x val="-4.6787196896334732E-3"/>
                  <c:y val="5.7264029323833901E-4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1"/>
            </c:dLbl>
            <c:dLblPos val="t"/>
            <c:showLegendKey val="0"/>
            <c:showVal val="1"/>
            <c:showCatName val="1"/>
            <c:showSerName val="0"/>
            <c:showPercent val="0"/>
            <c:showBubbleSize val="1"/>
            <c:showLeaderLines val="0"/>
          </c:dLbls>
          <c:xVal>
            <c:numRef>
              <c:f>Pivot!$T$15:$T$24</c:f>
              <c:numCache>
                <c:formatCode>0.0</c:formatCode>
                <c:ptCount val="10"/>
                <c:pt idx="0">
                  <c:v>8.0878048780487806</c:v>
                </c:pt>
                <c:pt idx="1">
                  <c:v>7.9584158415841584</c:v>
                </c:pt>
                <c:pt idx="2">
                  <c:v>7.4029914529914524</c:v>
                </c:pt>
                <c:pt idx="3">
                  <c:v>6.5853333333333337</c:v>
                </c:pt>
                <c:pt idx="5">
                  <c:v>11.502083333333333</c:v>
                </c:pt>
                <c:pt idx="6">
                  <c:v>10.153043478260869</c:v>
                </c:pt>
                <c:pt idx="7">
                  <c:v>9.2328767123287676</c:v>
                </c:pt>
                <c:pt idx="8">
                  <c:v>9.7277108433734956</c:v>
                </c:pt>
              </c:numCache>
            </c:numRef>
          </c:xVal>
          <c:yVal>
            <c:numRef>
              <c:f>Pivot!$R$15:$R$24</c:f>
              <c:numCache>
                <c:formatCode>_("$"* #,##0_);_("$"* \(#,##0\);_("$"* "-"??_);_(@_)</c:formatCode>
                <c:ptCount val="10"/>
                <c:pt idx="0">
                  <c:v>43819.276613241367</c:v>
                </c:pt>
                <c:pt idx="1">
                  <c:v>48572.511802634945</c:v>
                </c:pt>
                <c:pt idx="2">
                  <c:v>47705.91094588126</c:v>
                </c:pt>
                <c:pt idx="3">
                  <c:v>42953.141493969306</c:v>
                </c:pt>
                <c:pt idx="5">
                  <c:v>57523.37251198075</c:v>
                </c:pt>
                <c:pt idx="6">
                  <c:v>48023.281907762757</c:v>
                </c:pt>
                <c:pt idx="7">
                  <c:v>47649.893196817437</c:v>
                </c:pt>
                <c:pt idx="8">
                  <c:v>35434.79336782475</c:v>
                </c:pt>
              </c:numCache>
            </c:numRef>
          </c:yVal>
          <c:bubbleSize>
            <c:numRef>
              <c:f>Pivot!$S$15:$S$24</c:f>
              <c:numCache>
                <c:formatCode>General</c:formatCode>
                <c:ptCount val="10"/>
                <c:pt idx="0">
                  <c:v>57</c:v>
                </c:pt>
                <c:pt idx="1">
                  <c:v>137</c:v>
                </c:pt>
                <c:pt idx="2">
                  <c:v>329</c:v>
                </c:pt>
                <c:pt idx="3">
                  <c:v>215</c:v>
                </c:pt>
                <c:pt idx="5">
                  <c:v>65</c:v>
                </c:pt>
                <c:pt idx="6">
                  <c:v>166</c:v>
                </c:pt>
                <c:pt idx="7">
                  <c:v>215</c:v>
                </c:pt>
                <c:pt idx="8">
                  <c:v>110</c:v>
                </c:pt>
              </c:numCache>
            </c:numRef>
          </c:bubbleSize>
          <c:bubble3D val="0"/>
        </c:ser>
        <c:ser>
          <c:idx val="1"/>
          <c:order val="1"/>
          <c:tx>
            <c:strRef>
              <c:f>Pivot!$T$3</c:f>
              <c:strCache>
                <c:ptCount val="1"/>
                <c:pt idx="0">
                  <c:v>Average of Years of Experience</c:v>
                </c:pt>
              </c:strCache>
            </c:strRef>
          </c:tx>
          <c:spPr>
            <a:ln w="25400">
              <a:noFill/>
            </a:ln>
          </c:spPr>
          <c:invertIfNegative val="0"/>
          <c:xVal>
            <c:strRef>
              <c:f>Pivot!$Q$4:$Q$13</c:f>
              <c:strCache>
                <c:ptCount val="10"/>
                <c:pt idx="0">
                  <c:v>Accountant</c:v>
                </c:pt>
                <c:pt idx="1">
                  <c:v>Analyst</c:v>
                </c:pt>
                <c:pt idx="2">
                  <c:v>Consultant</c:v>
                </c:pt>
                <c:pt idx="3">
                  <c:v>Controller</c:v>
                </c:pt>
                <c:pt idx="4">
                  <c:v>CXO or Top Mgmt.</c:v>
                </c:pt>
                <c:pt idx="5">
                  <c:v>Engineer</c:v>
                </c:pt>
                <c:pt idx="6">
                  <c:v>Manager</c:v>
                </c:pt>
                <c:pt idx="7">
                  <c:v>Misc.</c:v>
                </c:pt>
                <c:pt idx="8">
                  <c:v>Reporting</c:v>
                </c:pt>
                <c:pt idx="9">
                  <c:v>Specialist</c:v>
                </c:pt>
              </c:strCache>
            </c:strRef>
          </c:xVal>
          <c:yVal>
            <c:numRef>
              <c:f>Pivot!$T$4:$T$13</c:f>
              <c:numCache>
                <c:formatCode>0.0</c:formatCode>
                <c:ptCount val="10"/>
                <c:pt idx="0">
                  <c:v>9.3333333333333339</c:v>
                </c:pt>
                <c:pt idx="1">
                  <c:v>7.2947261663285996</c:v>
                </c:pt>
                <c:pt idx="2">
                  <c:v>9.2452830188679247</c:v>
                </c:pt>
                <c:pt idx="3">
                  <c:v>11.733333333333333</c:v>
                </c:pt>
                <c:pt idx="4">
                  <c:v>13.602272727272727</c:v>
                </c:pt>
                <c:pt idx="5">
                  <c:v>7.958333333333333</c:v>
                </c:pt>
                <c:pt idx="6">
                  <c:v>9.9102493074792246</c:v>
                </c:pt>
                <c:pt idx="7">
                  <c:v>6.166666666666667</c:v>
                </c:pt>
                <c:pt idx="8">
                  <c:v>5.21060606060606</c:v>
                </c:pt>
                <c:pt idx="9">
                  <c:v>9.2592592592592595</c:v>
                </c:pt>
              </c:numCache>
            </c:numRef>
          </c:yVal>
          <c:bubbleSize>
            <c:numLit>
              <c:formatCode>General</c:formatCode>
              <c:ptCount val="10"/>
              <c:pt idx="0">
                <c:v>1</c:v>
              </c:pt>
              <c:pt idx="1">
                <c:v>1</c:v>
              </c:pt>
              <c:pt idx="2">
                <c:v>1</c:v>
              </c:pt>
              <c:pt idx="3">
                <c:v>1</c:v>
              </c:pt>
              <c:pt idx="4">
                <c:v>1</c:v>
              </c:pt>
              <c:pt idx="5">
                <c:v>1</c:v>
              </c:pt>
              <c:pt idx="6">
                <c:v>1</c:v>
              </c:pt>
              <c:pt idx="7">
                <c:v>1</c:v>
              </c:pt>
              <c:pt idx="8">
                <c:v>1</c:v>
              </c:pt>
              <c:pt idx="9">
                <c:v>1</c:v>
              </c:pt>
            </c:numLit>
          </c:bubbleSize>
          <c:bubble3D val="0"/>
        </c:ser>
        <c:ser>
          <c:idx val="2"/>
          <c:order val="2"/>
          <c:spPr>
            <a:ln w="25400">
              <a:noFill/>
            </a:ln>
          </c:spPr>
          <c:invertIfNegative val="0"/>
          <c:xVal>
            <c:numRef>
              <c:f>Pivot!$T$4:$T$13</c:f>
              <c:numCache>
                <c:formatCode>0.0</c:formatCode>
                <c:ptCount val="10"/>
                <c:pt idx="0">
                  <c:v>9.3333333333333339</c:v>
                </c:pt>
                <c:pt idx="1">
                  <c:v>7.2947261663285996</c:v>
                </c:pt>
                <c:pt idx="2">
                  <c:v>9.2452830188679247</c:v>
                </c:pt>
                <c:pt idx="3">
                  <c:v>11.733333333333333</c:v>
                </c:pt>
                <c:pt idx="4">
                  <c:v>13.602272727272727</c:v>
                </c:pt>
                <c:pt idx="5">
                  <c:v>7.958333333333333</c:v>
                </c:pt>
                <c:pt idx="6">
                  <c:v>9.9102493074792246</c:v>
                </c:pt>
                <c:pt idx="7">
                  <c:v>6.166666666666667</c:v>
                </c:pt>
                <c:pt idx="8">
                  <c:v>5.21060606060606</c:v>
                </c:pt>
                <c:pt idx="9">
                  <c:v>9.2592592592592595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1</c:v>
              </c:pt>
            </c:numLit>
          </c:yVal>
          <c:bubbleSize>
            <c:numLit>
              <c:formatCode>General</c:formatCode>
              <c:ptCount val="1"/>
              <c:pt idx="0">
                <c:v>1</c:v>
              </c:pt>
            </c:numLit>
          </c:bubbleSize>
          <c:bubble3D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bubbleScale val="80"/>
        <c:showNegBubbles val="0"/>
        <c:sizeRepresents val="w"/>
        <c:axId val="260502272"/>
        <c:axId val="260504192"/>
      </c:bubbleChart>
      <c:valAx>
        <c:axId val="260502272"/>
        <c:scaling>
          <c:orientation val="minMax"/>
          <c:max val="12"/>
          <c:min val="6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Avg. Years of</a:t>
                </a:r>
                <a:r>
                  <a:rPr lang="en-US" baseline="0"/>
                  <a:t> Experience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0.47774119100752777"/>
              <c:y val="0.95385895204571791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crossAx val="260504192"/>
        <c:crosses val="autoZero"/>
        <c:crossBetween val="midCat"/>
        <c:majorUnit val="1"/>
      </c:valAx>
      <c:valAx>
        <c:axId val="260504192"/>
        <c:scaling>
          <c:orientation val="minMax"/>
          <c:max val="70000"/>
          <c:min val="30000"/>
        </c:scaling>
        <c:delete val="0"/>
        <c:axPos val="l"/>
        <c:majorGridlines>
          <c:spPr>
            <a:ln>
              <a:noFill/>
            </a:ln>
          </c:spPr>
        </c:majorGridlines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US"/>
                  <a:t>Salary </a:t>
                </a:r>
              </a:p>
              <a:p>
                <a:pPr>
                  <a:defRPr/>
                </a:pPr>
                <a:r>
                  <a:rPr lang="en-US"/>
                  <a:t>(USD)</a:t>
                </a:r>
              </a:p>
            </c:rich>
          </c:tx>
          <c:layout>
            <c:manualLayout>
              <c:xMode val="edge"/>
              <c:yMode val="edge"/>
              <c:x val="8.0174711479141045E-3"/>
              <c:y val="0.44923020434178806"/>
            </c:manualLayout>
          </c:layout>
          <c:overlay val="0"/>
        </c:title>
        <c:numFmt formatCode="_(&quot;$&quot;* #,##0_);_(&quot;$&quot;* \(#,##0\);_(&quot;$&quot;* &quot;-&quot;??_);_(@_)" sourceLinked="1"/>
        <c:majorTickMark val="out"/>
        <c:minorTickMark val="none"/>
        <c:tickLblPos val="nextTo"/>
        <c:crossAx val="260502272"/>
        <c:crosses val="autoZero"/>
        <c:crossBetween val="midCat"/>
        <c:majorUnit val="4000"/>
      </c:valAx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l">
              <a:defRPr/>
            </a:pPr>
            <a:r>
              <a:rPr lang="en-US"/>
              <a:t>Salary and Experience</a:t>
            </a:r>
            <a:r>
              <a:rPr lang="en-US" baseline="0"/>
              <a:t> </a:t>
            </a:r>
            <a:r>
              <a:rPr lang="en-US"/>
              <a:t>by Job Type </a:t>
            </a:r>
            <a:r>
              <a:rPr lang="en-US" b="0"/>
              <a:t>for countries</a:t>
            </a:r>
            <a:r>
              <a:rPr lang="en-US" b="0" baseline="0"/>
              <a:t> with &gt;5 respondents</a:t>
            </a:r>
          </a:p>
          <a:p>
            <a:pPr algn="l">
              <a:defRPr/>
            </a:pPr>
            <a:r>
              <a:rPr lang="en-US" sz="1200" b="0" baseline="0"/>
              <a:t>bubble size = number of respondents</a:t>
            </a:r>
            <a:endParaRPr lang="en-US" sz="1200"/>
          </a:p>
        </c:rich>
      </c:tx>
      <c:layout>
        <c:manualLayout>
          <c:xMode val="edge"/>
          <c:yMode val="edge"/>
          <c:x val="7.0168639655419029E-2"/>
          <c:y val="4.0608045160099471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5.6699521369689941E-2"/>
          <c:y val="2.243005867382903E-2"/>
          <c:w val="0.91797256353408674"/>
          <c:h val="0.93853024410776065"/>
        </c:manualLayout>
      </c:layout>
      <c:bubbleChart>
        <c:varyColors val="0"/>
        <c:ser>
          <c:idx val="0"/>
          <c:order val="0"/>
          <c:tx>
            <c:strRef>
              <c:f>Pivot!$R$3</c:f>
              <c:strCache>
                <c:ptCount val="1"/>
                <c:pt idx="0">
                  <c:v>salary</c:v>
                </c:pt>
              </c:strCache>
            </c:strRef>
          </c:tx>
          <c:spPr>
            <a:solidFill>
              <a:schemeClr val="accent1">
                <a:alpha val="44000"/>
              </a:schemeClr>
            </a:solidFill>
          </c:spPr>
          <c:invertIfNegative val="0"/>
          <c:dLbls>
            <c:dLbl>
              <c:idx val="0"/>
              <c:layout>
                <c:manualLayout>
                  <c:x val="-8.0671927541734242E-3"/>
                  <c:y val="0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Accountant,</a:t>
                    </a:r>
                    <a:r>
                      <a:rPr lang="en-US" baseline="0"/>
                      <a:t> </a:t>
                    </a:r>
                    <a:r>
                      <a:rPr lang="en-US" b="1" baseline="0"/>
                      <a:t>$56k</a:t>
                    </a:r>
                    <a:endParaRPr lang="en-US" b="1"/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1"/>
            </c:dLbl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Analyst,</a:t>
                    </a:r>
                    <a:r>
                      <a:rPr lang="en-US" baseline="0"/>
                      <a:t> </a:t>
                    </a:r>
                    <a:r>
                      <a:rPr lang="en-US" b="1" baseline="0"/>
                      <a:t>$47k</a:t>
                    </a:r>
                    <a:endParaRPr lang="en-US" b="1"/>
                  </a:p>
                </c:rich>
              </c:tx>
              <c:dLblPos val="ctr"/>
              <c:showLegendKey val="0"/>
              <c:showVal val="0"/>
              <c:showCatName val="1"/>
              <c:showSerName val="0"/>
              <c:showPercent val="0"/>
              <c:showBubbleSize val="1"/>
            </c:dLbl>
            <c:dLbl>
              <c:idx val="2"/>
              <c:layout>
                <c:manualLayout>
                  <c:x val="-6.7159572400909886E-3"/>
                  <c:y val="-5.7778533546692708E-3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Consultant, </a:t>
                    </a:r>
                    <a:r>
                      <a:rPr lang="en-US" b="1"/>
                      <a:t>$64k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1"/>
            </c:dLbl>
            <c:dLbl>
              <c:idx val="3"/>
              <c:tx>
                <c:rich>
                  <a:bodyPr/>
                  <a:lstStyle/>
                  <a:p>
                    <a:r>
                      <a:rPr lang="en-US"/>
                      <a:t>Controller, </a:t>
                    </a:r>
                    <a:r>
                      <a:rPr lang="en-US" b="1"/>
                      <a:t>$67k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1"/>
            </c:dLbl>
            <c:dLbl>
              <c:idx val="4"/>
              <c:tx>
                <c:rich>
                  <a:bodyPr/>
                  <a:lstStyle/>
                  <a:p>
                    <a:r>
                      <a:rPr lang="en-US"/>
                      <a:t>CXO or Top Mgmt,</a:t>
                    </a:r>
                    <a:r>
                      <a:rPr lang="en-US" baseline="0"/>
                      <a:t> </a:t>
                    </a:r>
                    <a:r>
                      <a:rPr lang="en-US" b="1" baseline="0"/>
                      <a:t>$98k</a:t>
                    </a:r>
                    <a:endParaRPr lang="en-US" b="1"/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1"/>
            </c:dLbl>
            <c:dLbl>
              <c:idx val="5"/>
              <c:tx>
                <c:rich>
                  <a:bodyPr/>
                  <a:lstStyle/>
                  <a:p>
                    <a:r>
                      <a:rPr lang="en-US"/>
                      <a:t>Engineer, </a:t>
                    </a:r>
                    <a:r>
                      <a:rPr lang="en-US" b="1"/>
                      <a:t>$53k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1"/>
            </c:dLbl>
            <c:dLbl>
              <c:idx val="6"/>
              <c:tx>
                <c:rich>
                  <a:bodyPr/>
                  <a:lstStyle/>
                  <a:p>
                    <a:r>
                      <a:rPr lang="en-US"/>
                      <a:t>Manager, </a:t>
                    </a:r>
                    <a:r>
                      <a:rPr lang="en-US" b="1"/>
                      <a:t>$47k</a:t>
                    </a:r>
                  </a:p>
                </c:rich>
              </c:tx>
              <c:dLblPos val="ctr"/>
              <c:showLegendKey val="0"/>
              <c:showVal val="0"/>
              <c:showCatName val="1"/>
              <c:showSerName val="0"/>
              <c:showPercent val="0"/>
              <c:showBubbleSize val="1"/>
            </c:dLbl>
            <c:dLbl>
              <c:idx val="7"/>
              <c:tx>
                <c:rich>
                  <a:bodyPr/>
                  <a:lstStyle/>
                  <a:p>
                    <a:r>
                      <a:rPr lang="en-US"/>
                      <a:t>Misc., </a:t>
                    </a:r>
                    <a:r>
                      <a:rPr lang="en-US" b="1"/>
                      <a:t>$46k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1"/>
            </c:dLbl>
            <c:dLbl>
              <c:idx val="8"/>
              <c:tx>
                <c:rich>
                  <a:bodyPr/>
                  <a:lstStyle/>
                  <a:p>
                    <a:r>
                      <a:rPr lang="en-US"/>
                      <a:t>Reporting,</a:t>
                    </a:r>
                    <a:r>
                      <a:rPr lang="en-US" baseline="0"/>
                      <a:t> </a:t>
                    </a:r>
                    <a:r>
                      <a:rPr lang="en-US" b="1" baseline="0"/>
                      <a:t>$19k</a:t>
                    </a:r>
                    <a:endParaRPr lang="en-US" b="1"/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1"/>
            </c:dLbl>
            <c:dLbl>
              <c:idx val="9"/>
              <c:layout>
                <c:manualLayout>
                  <c:x val="-4.6787196896334732E-3"/>
                  <c:y val="5.7264029323833901E-4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Specialist, </a:t>
                    </a:r>
                    <a:r>
                      <a:rPr lang="en-US" b="1"/>
                      <a:t>$62k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1"/>
            </c:dLbl>
            <c:dLblPos val="t"/>
            <c:showLegendKey val="0"/>
            <c:showVal val="0"/>
            <c:showCatName val="1"/>
            <c:showSerName val="0"/>
            <c:showPercent val="0"/>
            <c:showBubbleSize val="1"/>
            <c:showLeaderLines val="0"/>
          </c:dLbls>
          <c:xVal>
            <c:numRef>
              <c:f>Pivot!$T$4:$T$13</c:f>
              <c:numCache>
                <c:formatCode>0.0</c:formatCode>
                <c:ptCount val="10"/>
                <c:pt idx="0">
                  <c:v>9.3333333333333339</c:v>
                </c:pt>
                <c:pt idx="1">
                  <c:v>7.2947261663285996</c:v>
                </c:pt>
                <c:pt idx="2">
                  <c:v>9.2452830188679247</c:v>
                </c:pt>
                <c:pt idx="3">
                  <c:v>11.733333333333333</c:v>
                </c:pt>
                <c:pt idx="4">
                  <c:v>13.602272727272727</c:v>
                </c:pt>
                <c:pt idx="5">
                  <c:v>7.958333333333333</c:v>
                </c:pt>
                <c:pt idx="6">
                  <c:v>9.9102493074792246</c:v>
                </c:pt>
                <c:pt idx="7">
                  <c:v>6.166666666666667</c:v>
                </c:pt>
                <c:pt idx="8">
                  <c:v>5.21060606060606</c:v>
                </c:pt>
                <c:pt idx="9">
                  <c:v>9.2592592592592595</c:v>
                </c:pt>
              </c:numCache>
            </c:numRef>
          </c:xVal>
          <c:yVal>
            <c:numRef>
              <c:f>Pivot!$R$4:$R$13</c:f>
              <c:numCache>
                <c:formatCode>_("$"* #,##0_);_("$"* \(#,##0\);_("$"* "-"??_);_(@_)</c:formatCode>
                <c:ptCount val="10"/>
                <c:pt idx="0">
                  <c:v>56254.205053704041</c:v>
                </c:pt>
                <c:pt idx="1">
                  <c:v>47076.271579145701</c:v>
                </c:pt>
                <c:pt idx="2">
                  <c:v>64329.565583209107</c:v>
                </c:pt>
                <c:pt idx="3">
                  <c:v>66864.484858455166</c:v>
                </c:pt>
                <c:pt idx="4">
                  <c:v>98289.713681683977</c:v>
                </c:pt>
                <c:pt idx="5">
                  <c:v>52679.941362757236</c:v>
                </c:pt>
                <c:pt idx="6">
                  <c:v>46683.104881983985</c:v>
                </c:pt>
                <c:pt idx="7">
                  <c:v>45952.334217962802</c:v>
                </c:pt>
                <c:pt idx="8">
                  <c:v>19409.107948456251</c:v>
                </c:pt>
                <c:pt idx="9">
                  <c:v>61916.568790768935</c:v>
                </c:pt>
              </c:numCache>
            </c:numRef>
          </c:yVal>
          <c:bubbleSize>
            <c:numRef>
              <c:f>Pivot!$S$4:$S$13</c:f>
              <c:numCache>
                <c:formatCode>General</c:formatCode>
                <c:ptCount val="10"/>
                <c:pt idx="0">
                  <c:v>121</c:v>
                </c:pt>
                <c:pt idx="1">
                  <c:v>694</c:v>
                </c:pt>
                <c:pt idx="2">
                  <c:v>84</c:v>
                </c:pt>
                <c:pt idx="3">
                  <c:v>55</c:v>
                </c:pt>
                <c:pt idx="4">
                  <c:v>71</c:v>
                </c:pt>
                <c:pt idx="5">
                  <c:v>69</c:v>
                </c:pt>
                <c:pt idx="6">
                  <c:v>514</c:v>
                </c:pt>
                <c:pt idx="7">
                  <c:v>7</c:v>
                </c:pt>
                <c:pt idx="8">
                  <c:v>77</c:v>
                </c:pt>
                <c:pt idx="9">
                  <c:v>48</c:v>
                </c:pt>
              </c:numCache>
            </c:numRef>
          </c:bubbleSize>
          <c:bubble3D val="0"/>
        </c:ser>
        <c:ser>
          <c:idx val="1"/>
          <c:order val="1"/>
          <c:tx>
            <c:strRef>
              <c:f>Pivot!$T$3</c:f>
              <c:strCache>
                <c:ptCount val="1"/>
                <c:pt idx="0">
                  <c:v>Average of Years of Experience</c:v>
                </c:pt>
              </c:strCache>
            </c:strRef>
          </c:tx>
          <c:spPr>
            <a:ln w="25400">
              <a:noFill/>
            </a:ln>
          </c:spPr>
          <c:invertIfNegative val="0"/>
          <c:xVal>
            <c:strRef>
              <c:f>Pivot!$Q$4:$Q$13</c:f>
              <c:strCache>
                <c:ptCount val="10"/>
                <c:pt idx="0">
                  <c:v>Accountant</c:v>
                </c:pt>
                <c:pt idx="1">
                  <c:v>Analyst</c:v>
                </c:pt>
                <c:pt idx="2">
                  <c:v>Consultant</c:v>
                </c:pt>
                <c:pt idx="3">
                  <c:v>Controller</c:v>
                </c:pt>
                <c:pt idx="4">
                  <c:v>CXO or Top Mgmt.</c:v>
                </c:pt>
                <c:pt idx="5">
                  <c:v>Engineer</c:v>
                </c:pt>
                <c:pt idx="6">
                  <c:v>Manager</c:v>
                </c:pt>
                <c:pt idx="7">
                  <c:v>Misc.</c:v>
                </c:pt>
                <c:pt idx="8">
                  <c:v>Reporting</c:v>
                </c:pt>
                <c:pt idx="9">
                  <c:v>Specialist</c:v>
                </c:pt>
              </c:strCache>
            </c:strRef>
          </c:xVal>
          <c:yVal>
            <c:numRef>
              <c:f>Pivot!$T$4:$T$13</c:f>
              <c:numCache>
                <c:formatCode>0.0</c:formatCode>
                <c:ptCount val="10"/>
                <c:pt idx="0">
                  <c:v>9.3333333333333339</c:v>
                </c:pt>
                <c:pt idx="1">
                  <c:v>7.2947261663285996</c:v>
                </c:pt>
                <c:pt idx="2">
                  <c:v>9.2452830188679247</c:v>
                </c:pt>
                <c:pt idx="3">
                  <c:v>11.733333333333333</c:v>
                </c:pt>
                <c:pt idx="4">
                  <c:v>13.602272727272727</c:v>
                </c:pt>
                <c:pt idx="5">
                  <c:v>7.958333333333333</c:v>
                </c:pt>
                <c:pt idx="6">
                  <c:v>9.9102493074792246</c:v>
                </c:pt>
                <c:pt idx="7">
                  <c:v>6.166666666666667</c:v>
                </c:pt>
                <c:pt idx="8">
                  <c:v>5.21060606060606</c:v>
                </c:pt>
                <c:pt idx="9">
                  <c:v>9.2592592592592595</c:v>
                </c:pt>
              </c:numCache>
            </c:numRef>
          </c:yVal>
          <c:bubbleSize>
            <c:numLit>
              <c:formatCode>General</c:formatCode>
              <c:ptCount val="10"/>
              <c:pt idx="0">
                <c:v>1</c:v>
              </c:pt>
              <c:pt idx="1">
                <c:v>1</c:v>
              </c:pt>
              <c:pt idx="2">
                <c:v>1</c:v>
              </c:pt>
              <c:pt idx="3">
                <c:v>1</c:v>
              </c:pt>
              <c:pt idx="4">
                <c:v>1</c:v>
              </c:pt>
              <c:pt idx="5">
                <c:v>1</c:v>
              </c:pt>
              <c:pt idx="6">
                <c:v>1</c:v>
              </c:pt>
              <c:pt idx="7">
                <c:v>1</c:v>
              </c:pt>
              <c:pt idx="8">
                <c:v>1</c:v>
              </c:pt>
              <c:pt idx="9">
                <c:v>1</c:v>
              </c:pt>
            </c:numLit>
          </c:bubbleSize>
          <c:bubble3D val="0"/>
        </c:ser>
        <c:ser>
          <c:idx val="2"/>
          <c:order val="2"/>
          <c:spPr>
            <a:ln w="25400">
              <a:noFill/>
            </a:ln>
          </c:spPr>
          <c:invertIfNegative val="0"/>
          <c:xVal>
            <c:numRef>
              <c:f>Pivot!$T$4:$T$13</c:f>
              <c:numCache>
                <c:formatCode>0.0</c:formatCode>
                <c:ptCount val="10"/>
                <c:pt idx="0">
                  <c:v>9.3333333333333339</c:v>
                </c:pt>
                <c:pt idx="1">
                  <c:v>7.2947261663285996</c:v>
                </c:pt>
                <c:pt idx="2">
                  <c:v>9.2452830188679247</c:v>
                </c:pt>
                <c:pt idx="3">
                  <c:v>11.733333333333333</c:v>
                </c:pt>
                <c:pt idx="4">
                  <c:v>13.602272727272727</c:v>
                </c:pt>
                <c:pt idx="5">
                  <c:v>7.958333333333333</c:v>
                </c:pt>
                <c:pt idx="6">
                  <c:v>9.9102493074792246</c:v>
                </c:pt>
                <c:pt idx="7">
                  <c:v>6.166666666666667</c:v>
                </c:pt>
                <c:pt idx="8">
                  <c:v>5.21060606060606</c:v>
                </c:pt>
                <c:pt idx="9">
                  <c:v>9.2592592592592595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1</c:v>
              </c:pt>
            </c:numLit>
          </c:yVal>
          <c:bubbleSize>
            <c:numLit>
              <c:formatCode>General</c:formatCode>
              <c:ptCount val="1"/>
              <c:pt idx="0">
                <c:v>1</c:v>
              </c:pt>
            </c:numLit>
          </c:bubbleSize>
          <c:bubble3D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bubbleScale val="80"/>
        <c:showNegBubbles val="0"/>
        <c:sizeRepresents val="w"/>
        <c:axId val="261209088"/>
        <c:axId val="261211264"/>
      </c:bubbleChart>
      <c:valAx>
        <c:axId val="261209088"/>
        <c:scaling>
          <c:orientation val="minMax"/>
          <c:max val="15"/>
          <c:min val="4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Avg. Years of Experience:</a:t>
                </a:r>
              </a:p>
            </c:rich>
          </c:tx>
          <c:layout>
            <c:manualLayout>
              <c:xMode val="edge"/>
              <c:yMode val="edge"/>
              <c:x val="0.42857342761760825"/>
              <c:y val="0.92578872479983021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crossAx val="261211264"/>
        <c:crosses val="autoZero"/>
        <c:crossBetween val="midCat"/>
        <c:majorUnit val="1"/>
      </c:valAx>
      <c:valAx>
        <c:axId val="261211264"/>
        <c:scaling>
          <c:orientation val="minMax"/>
          <c:max val="100000"/>
          <c:min val="0"/>
        </c:scaling>
        <c:delete val="0"/>
        <c:axPos val="l"/>
        <c:majorGridlines>
          <c:spPr>
            <a:ln>
              <a:noFill/>
            </a:ln>
          </c:spPr>
        </c:majorGridlines>
        <c:numFmt formatCode="_(&quot;$&quot;* #,##0_);_(&quot;$&quot;* \(#,##0\);_(&quot;$&quot;* &quot;-&quot;??_);_(@_)" sourceLinked="1"/>
        <c:majorTickMark val="out"/>
        <c:minorTickMark val="none"/>
        <c:tickLblPos val="nextTo"/>
        <c:crossAx val="261209088"/>
        <c:crosses val="autoZero"/>
        <c:crossBetween val="midCat"/>
        <c:majorUnit val="50000"/>
      </c:valAx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l">
              <a:defRPr/>
            </a:pPr>
            <a:r>
              <a:rPr lang="en-US"/>
              <a:t>Salary</a:t>
            </a:r>
            <a:r>
              <a:rPr lang="en-US" baseline="0"/>
              <a:t> and Experience by Daily Excel Usage</a:t>
            </a:r>
            <a:r>
              <a:rPr lang="en-US"/>
              <a:t> </a:t>
            </a:r>
            <a:r>
              <a:rPr lang="en-US" b="0"/>
              <a:t>for </a:t>
            </a:r>
            <a:r>
              <a:rPr lang="en-US" b="1">
                <a:solidFill>
                  <a:schemeClr val="accent6">
                    <a:lumMod val="60000"/>
                    <a:lumOff val="40000"/>
                  </a:schemeClr>
                </a:solidFill>
              </a:rPr>
              <a:t>Analysts</a:t>
            </a:r>
            <a:r>
              <a:rPr lang="en-US" b="0">
                <a:solidFill>
                  <a:schemeClr val="accent6">
                    <a:lumMod val="60000"/>
                    <a:lumOff val="40000"/>
                  </a:schemeClr>
                </a:solidFill>
              </a:rPr>
              <a:t> </a:t>
            </a:r>
            <a:r>
              <a:rPr lang="en-US" b="0"/>
              <a:t>and </a:t>
            </a:r>
            <a:r>
              <a:rPr lang="en-US" b="1">
                <a:solidFill>
                  <a:schemeClr val="accent6">
                    <a:lumMod val="75000"/>
                  </a:schemeClr>
                </a:solidFill>
              </a:rPr>
              <a:t>Managers</a:t>
            </a:r>
          </a:p>
          <a:p>
            <a:pPr algn="l">
              <a:defRPr/>
            </a:pPr>
            <a:r>
              <a:rPr lang="en-US" sz="1200" b="0" baseline="0"/>
              <a:t>bubble size = number of respondents</a:t>
            </a:r>
            <a:endParaRPr lang="en-US" sz="1200"/>
          </a:p>
        </c:rich>
      </c:tx>
      <c:layout>
        <c:manualLayout>
          <c:xMode val="edge"/>
          <c:yMode val="edge"/>
          <c:x val="6.9104476749004121E-2"/>
          <c:y val="4.5871259272172851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5.6699521369689941E-2"/>
          <c:y val="2.243005867382903E-2"/>
          <c:w val="0.91797256353408674"/>
          <c:h val="0.93853024410776065"/>
        </c:manualLayout>
      </c:layout>
      <c:bubbleChart>
        <c:varyColors val="0"/>
        <c:ser>
          <c:idx val="0"/>
          <c:order val="0"/>
          <c:tx>
            <c:strRef>
              <c:f>Pivot!$R$3</c:f>
              <c:strCache>
                <c:ptCount val="1"/>
                <c:pt idx="0">
                  <c:v>salary</c:v>
                </c:pt>
              </c:strCache>
            </c:strRef>
          </c:tx>
          <c:spPr>
            <a:solidFill>
              <a:schemeClr val="accent6">
                <a:alpha val="49000"/>
              </a:schemeClr>
            </a:solidFill>
          </c:spPr>
          <c:invertIfNegative val="0"/>
          <c:dPt>
            <c:idx val="5"/>
            <c:invertIfNegative val="0"/>
            <c:bubble3D val="0"/>
            <c:spPr>
              <a:solidFill>
                <a:schemeClr val="accent6"/>
              </a:solidFill>
            </c:spPr>
          </c:dPt>
          <c:dPt>
            <c:idx val="6"/>
            <c:invertIfNegative val="0"/>
            <c:bubble3D val="0"/>
            <c:spPr>
              <a:solidFill>
                <a:schemeClr val="accent6"/>
              </a:solidFill>
            </c:spPr>
          </c:dPt>
          <c:dPt>
            <c:idx val="7"/>
            <c:invertIfNegative val="0"/>
            <c:bubble3D val="0"/>
            <c:spPr>
              <a:solidFill>
                <a:schemeClr val="accent6"/>
              </a:solidFill>
            </c:spPr>
          </c:dPt>
          <c:dPt>
            <c:idx val="8"/>
            <c:invertIfNegative val="0"/>
            <c:bubble3D val="0"/>
            <c:spPr>
              <a:solidFill>
                <a:schemeClr val="accent6"/>
              </a:solidFill>
            </c:spPr>
          </c:dPt>
          <c:dLbls>
            <c:dLbl>
              <c:idx val="0"/>
              <c:layout>
                <c:manualLayout>
                  <c:x val="-8.0671927541734242E-3"/>
                  <c:y val="0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1 or</a:t>
                    </a:r>
                    <a:r>
                      <a:rPr lang="en-US" baseline="0"/>
                      <a:t> 2 hours a day</a:t>
                    </a:r>
                    <a:endParaRPr lang="en-US" b="1"/>
                  </a:p>
                </c:rich>
              </c:tx>
              <c:dLblPos val="r"/>
              <c:showLegendKey val="0"/>
              <c:showVal val="1"/>
              <c:showCatName val="1"/>
              <c:showSerName val="0"/>
              <c:showPercent val="0"/>
              <c:showBubbleSize val="1"/>
            </c:dLbl>
            <c:dLbl>
              <c:idx val="1"/>
              <c:layout>
                <c:manualLayout>
                  <c:x val="-7.0742198324270172E-2"/>
                  <c:y val="-4.9122813803400167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2 to</a:t>
                    </a:r>
                    <a:r>
                      <a:rPr lang="en-US" baseline="0"/>
                      <a:t> 3 hours per day</a:t>
                    </a:r>
                    <a:endParaRPr lang="en-US" b="1"/>
                  </a:p>
                </c:rich>
              </c:tx>
              <c:dLblPos val="r"/>
              <c:showLegendKey val="0"/>
              <c:showVal val="1"/>
              <c:showCatName val="1"/>
              <c:showSerName val="0"/>
              <c:showPercent val="0"/>
              <c:showBubbleSize val="1"/>
            </c:dLbl>
            <c:dLbl>
              <c:idx val="2"/>
              <c:layout>
                <c:manualLayout>
                  <c:x val="-0.10674727044309314"/>
                  <c:y val="-0.1110410431055454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4 to 6 hours a day</a:t>
                    </a:r>
                    <a:endParaRPr lang="en-US" b="1"/>
                  </a:p>
                </c:rich>
              </c:tx>
              <c:dLblPos val="r"/>
              <c:showLegendKey val="0"/>
              <c:showVal val="1"/>
              <c:showCatName val="1"/>
              <c:showSerName val="0"/>
              <c:showPercent val="0"/>
              <c:showBubbleSize val="1"/>
            </c:dLbl>
            <c:dLbl>
              <c:idx val="3"/>
              <c:layout/>
              <c:tx>
                <c:rich>
                  <a:bodyPr/>
                  <a:lstStyle/>
                  <a:p>
                    <a:r>
                      <a:rPr lang="en-US"/>
                      <a:t>All</a:t>
                    </a:r>
                    <a:r>
                      <a:rPr lang="en-US" baseline="0"/>
                      <a:t> the 8 hours!</a:t>
                    </a:r>
                    <a:endParaRPr lang="en-US"/>
                  </a:p>
                </c:rich>
              </c:tx>
              <c:dLblPos val="t"/>
              <c:showLegendKey val="0"/>
              <c:showVal val="1"/>
              <c:showCatName val="1"/>
              <c:showSerName val="0"/>
              <c:showPercent val="0"/>
              <c:showBubbleSize val="1"/>
            </c:dLbl>
            <c:dLbl>
              <c:idx val="5"/>
              <c:layout/>
              <c:tx>
                <c:rich>
                  <a:bodyPr/>
                  <a:lstStyle/>
                  <a:p>
                    <a:r>
                      <a:rPr lang="en-US"/>
                      <a:t>1 or 2 hours a</a:t>
                    </a:r>
                    <a:r>
                      <a:rPr lang="en-US" baseline="0"/>
                      <a:t> day</a:t>
                    </a:r>
                    <a:endParaRPr lang="en-US"/>
                  </a:p>
                </c:rich>
              </c:tx>
              <c:dLblPos val="t"/>
              <c:showLegendKey val="0"/>
              <c:showVal val="1"/>
              <c:showCatName val="1"/>
              <c:showSerName val="0"/>
              <c:showPercent val="0"/>
              <c:showBubbleSize val="1"/>
            </c:dLbl>
            <c:dLbl>
              <c:idx val="6"/>
              <c:layout>
                <c:manualLayout>
                  <c:x val="-8.2779975604693731E-2"/>
                  <c:y val="-5.6140358632457331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2 to 3 hours per day</a:t>
                    </a:r>
                    <a:endParaRPr lang="en-US" b="1"/>
                  </a:p>
                </c:rich>
              </c:tx>
              <c:dLblPos val="r"/>
              <c:showLegendKey val="0"/>
              <c:showVal val="1"/>
              <c:showCatName val="1"/>
              <c:showSerName val="0"/>
              <c:showPercent val="0"/>
              <c:showBubbleSize val="1"/>
            </c:dLbl>
            <c:dLbl>
              <c:idx val="7"/>
              <c:layout/>
              <c:tx>
                <c:rich>
                  <a:bodyPr/>
                  <a:lstStyle/>
                  <a:p>
                    <a:r>
                      <a:rPr lang="en-US"/>
                      <a:t>4</a:t>
                    </a:r>
                    <a:r>
                      <a:rPr lang="en-US" baseline="0"/>
                      <a:t> to 6 hours a day</a:t>
                    </a:r>
                    <a:endParaRPr lang="en-US"/>
                  </a:p>
                </c:rich>
              </c:tx>
              <c:dLblPos val="t"/>
              <c:showLegendKey val="0"/>
              <c:showVal val="1"/>
              <c:showCatName val="1"/>
              <c:showSerName val="0"/>
              <c:showPercent val="0"/>
              <c:showBubbleSize val="1"/>
            </c:dLbl>
            <c:dLbl>
              <c:idx val="8"/>
              <c:layout/>
              <c:tx>
                <c:rich>
                  <a:bodyPr/>
                  <a:lstStyle/>
                  <a:p>
                    <a:r>
                      <a:rPr lang="en-US"/>
                      <a:t>All the 8</a:t>
                    </a:r>
                    <a:r>
                      <a:rPr lang="en-US" baseline="0"/>
                      <a:t> hours!</a:t>
                    </a:r>
                    <a:endParaRPr lang="en-US"/>
                  </a:p>
                </c:rich>
              </c:tx>
              <c:dLblPos val="t"/>
              <c:showLegendKey val="0"/>
              <c:showVal val="1"/>
              <c:showCatName val="1"/>
              <c:showSerName val="0"/>
              <c:showPercent val="0"/>
              <c:showBubbleSize val="1"/>
            </c:dLbl>
            <c:dLbl>
              <c:idx val="9"/>
              <c:layout>
                <c:manualLayout>
                  <c:x val="-4.6787196896334732E-3"/>
                  <c:y val="5.7264029323833901E-4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1"/>
            </c:dLbl>
            <c:dLblPos val="t"/>
            <c:showLegendKey val="0"/>
            <c:showVal val="1"/>
            <c:showCatName val="1"/>
            <c:showSerName val="0"/>
            <c:showPercent val="0"/>
            <c:showBubbleSize val="1"/>
            <c:showLeaderLines val="0"/>
          </c:dLbls>
          <c:xVal>
            <c:numRef>
              <c:f>Pivot!$T$15:$T$24</c:f>
              <c:numCache>
                <c:formatCode>0.0</c:formatCode>
                <c:ptCount val="10"/>
                <c:pt idx="0">
                  <c:v>8.0878048780487806</c:v>
                </c:pt>
                <c:pt idx="1">
                  <c:v>7.9584158415841584</c:v>
                </c:pt>
                <c:pt idx="2">
                  <c:v>7.4029914529914524</c:v>
                </c:pt>
                <c:pt idx="3">
                  <c:v>6.5853333333333337</c:v>
                </c:pt>
                <c:pt idx="5">
                  <c:v>11.502083333333333</c:v>
                </c:pt>
                <c:pt idx="6">
                  <c:v>10.153043478260869</c:v>
                </c:pt>
                <c:pt idx="7">
                  <c:v>9.2328767123287676</c:v>
                </c:pt>
                <c:pt idx="8">
                  <c:v>9.7277108433734956</c:v>
                </c:pt>
              </c:numCache>
            </c:numRef>
          </c:xVal>
          <c:yVal>
            <c:numRef>
              <c:f>Pivot!$R$15:$R$24</c:f>
              <c:numCache>
                <c:formatCode>_("$"* #,##0_);_("$"* \(#,##0\);_("$"* "-"??_);_(@_)</c:formatCode>
                <c:ptCount val="10"/>
                <c:pt idx="0">
                  <c:v>43819.276613241367</c:v>
                </c:pt>
                <c:pt idx="1">
                  <c:v>48572.511802634945</c:v>
                </c:pt>
                <c:pt idx="2">
                  <c:v>47705.91094588126</c:v>
                </c:pt>
                <c:pt idx="3">
                  <c:v>42953.141493969306</c:v>
                </c:pt>
                <c:pt idx="5">
                  <c:v>57523.37251198075</c:v>
                </c:pt>
                <c:pt idx="6">
                  <c:v>48023.281907762757</c:v>
                </c:pt>
                <c:pt idx="7">
                  <c:v>47649.893196817437</c:v>
                </c:pt>
                <c:pt idx="8">
                  <c:v>35434.79336782475</c:v>
                </c:pt>
              </c:numCache>
            </c:numRef>
          </c:yVal>
          <c:bubbleSize>
            <c:numRef>
              <c:f>Pivot!$S$15:$S$24</c:f>
              <c:numCache>
                <c:formatCode>General</c:formatCode>
                <c:ptCount val="10"/>
                <c:pt idx="0">
                  <c:v>57</c:v>
                </c:pt>
                <c:pt idx="1">
                  <c:v>137</c:v>
                </c:pt>
                <c:pt idx="2">
                  <c:v>329</c:v>
                </c:pt>
                <c:pt idx="3">
                  <c:v>215</c:v>
                </c:pt>
                <c:pt idx="5">
                  <c:v>65</c:v>
                </c:pt>
                <c:pt idx="6">
                  <c:v>166</c:v>
                </c:pt>
                <c:pt idx="7">
                  <c:v>215</c:v>
                </c:pt>
                <c:pt idx="8">
                  <c:v>110</c:v>
                </c:pt>
              </c:numCache>
            </c:numRef>
          </c:bubbleSize>
          <c:bubble3D val="0"/>
        </c:ser>
        <c:ser>
          <c:idx val="1"/>
          <c:order val="1"/>
          <c:tx>
            <c:strRef>
              <c:f>Pivot!$T$3</c:f>
              <c:strCache>
                <c:ptCount val="1"/>
                <c:pt idx="0">
                  <c:v>Average of Years of Experience</c:v>
                </c:pt>
              </c:strCache>
            </c:strRef>
          </c:tx>
          <c:spPr>
            <a:ln w="25400">
              <a:noFill/>
            </a:ln>
          </c:spPr>
          <c:invertIfNegative val="0"/>
          <c:xVal>
            <c:strRef>
              <c:f>Pivot!$Q$4:$Q$13</c:f>
              <c:strCache>
                <c:ptCount val="10"/>
                <c:pt idx="0">
                  <c:v>Accountant</c:v>
                </c:pt>
                <c:pt idx="1">
                  <c:v>Analyst</c:v>
                </c:pt>
                <c:pt idx="2">
                  <c:v>Consultant</c:v>
                </c:pt>
                <c:pt idx="3">
                  <c:v>Controller</c:v>
                </c:pt>
                <c:pt idx="4">
                  <c:v>CXO or Top Mgmt.</c:v>
                </c:pt>
                <c:pt idx="5">
                  <c:v>Engineer</c:v>
                </c:pt>
                <c:pt idx="6">
                  <c:v>Manager</c:v>
                </c:pt>
                <c:pt idx="7">
                  <c:v>Misc.</c:v>
                </c:pt>
                <c:pt idx="8">
                  <c:v>Reporting</c:v>
                </c:pt>
                <c:pt idx="9">
                  <c:v>Specialist</c:v>
                </c:pt>
              </c:strCache>
            </c:strRef>
          </c:xVal>
          <c:yVal>
            <c:numRef>
              <c:f>Pivot!$T$4:$T$13</c:f>
              <c:numCache>
                <c:formatCode>0.0</c:formatCode>
                <c:ptCount val="10"/>
                <c:pt idx="0">
                  <c:v>9.3333333333333339</c:v>
                </c:pt>
                <c:pt idx="1">
                  <c:v>7.2947261663285996</c:v>
                </c:pt>
                <c:pt idx="2">
                  <c:v>9.2452830188679247</c:v>
                </c:pt>
                <c:pt idx="3">
                  <c:v>11.733333333333333</c:v>
                </c:pt>
                <c:pt idx="4">
                  <c:v>13.602272727272727</c:v>
                </c:pt>
                <c:pt idx="5">
                  <c:v>7.958333333333333</c:v>
                </c:pt>
                <c:pt idx="6">
                  <c:v>9.9102493074792246</c:v>
                </c:pt>
                <c:pt idx="7">
                  <c:v>6.166666666666667</c:v>
                </c:pt>
                <c:pt idx="8">
                  <c:v>5.21060606060606</c:v>
                </c:pt>
                <c:pt idx="9">
                  <c:v>9.2592592592592595</c:v>
                </c:pt>
              </c:numCache>
            </c:numRef>
          </c:yVal>
          <c:bubbleSize>
            <c:numLit>
              <c:formatCode>General</c:formatCode>
              <c:ptCount val="10"/>
              <c:pt idx="0">
                <c:v>1</c:v>
              </c:pt>
              <c:pt idx="1">
                <c:v>1</c:v>
              </c:pt>
              <c:pt idx="2">
                <c:v>1</c:v>
              </c:pt>
              <c:pt idx="3">
                <c:v>1</c:v>
              </c:pt>
              <c:pt idx="4">
                <c:v>1</c:v>
              </c:pt>
              <c:pt idx="5">
                <c:v>1</c:v>
              </c:pt>
              <c:pt idx="6">
                <c:v>1</c:v>
              </c:pt>
              <c:pt idx="7">
                <c:v>1</c:v>
              </c:pt>
              <c:pt idx="8">
                <c:v>1</c:v>
              </c:pt>
              <c:pt idx="9">
                <c:v>1</c:v>
              </c:pt>
            </c:numLit>
          </c:bubbleSize>
          <c:bubble3D val="0"/>
        </c:ser>
        <c:ser>
          <c:idx val="2"/>
          <c:order val="2"/>
          <c:spPr>
            <a:ln w="25400">
              <a:noFill/>
            </a:ln>
          </c:spPr>
          <c:invertIfNegative val="0"/>
          <c:xVal>
            <c:numRef>
              <c:f>Pivot!$T$4:$T$13</c:f>
              <c:numCache>
                <c:formatCode>0.0</c:formatCode>
                <c:ptCount val="10"/>
                <c:pt idx="0">
                  <c:v>9.3333333333333339</c:v>
                </c:pt>
                <c:pt idx="1">
                  <c:v>7.2947261663285996</c:v>
                </c:pt>
                <c:pt idx="2">
                  <c:v>9.2452830188679247</c:v>
                </c:pt>
                <c:pt idx="3">
                  <c:v>11.733333333333333</c:v>
                </c:pt>
                <c:pt idx="4">
                  <c:v>13.602272727272727</c:v>
                </c:pt>
                <c:pt idx="5">
                  <c:v>7.958333333333333</c:v>
                </c:pt>
                <c:pt idx="6">
                  <c:v>9.9102493074792246</c:v>
                </c:pt>
                <c:pt idx="7">
                  <c:v>6.166666666666667</c:v>
                </c:pt>
                <c:pt idx="8">
                  <c:v>5.21060606060606</c:v>
                </c:pt>
                <c:pt idx="9">
                  <c:v>9.2592592592592595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1</c:v>
              </c:pt>
            </c:numLit>
          </c:yVal>
          <c:bubbleSize>
            <c:numLit>
              <c:formatCode>General</c:formatCode>
              <c:ptCount val="1"/>
              <c:pt idx="0">
                <c:v>1</c:v>
              </c:pt>
            </c:numLit>
          </c:bubbleSize>
          <c:bubble3D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bubbleScale val="80"/>
        <c:showNegBubbles val="0"/>
        <c:sizeRepresents val="w"/>
        <c:axId val="261268224"/>
        <c:axId val="261270144"/>
      </c:bubbleChart>
      <c:valAx>
        <c:axId val="261268224"/>
        <c:scaling>
          <c:orientation val="minMax"/>
          <c:max val="12"/>
          <c:min val="6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Avg. Years of Experience:</a:t>
                </a:r>
              </a:p>
            </c:rich>
          </c:tx>
          <c:layout>
            <c:manualLayout>
              <c:xMode val="edge"/>
              <c:yMode val="edge"/>
              <c:x val="0.42857342761760825"/>
              <c:y val="0.92578872479983021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crossAx val="261270144"/>
        <c:crosses val="autoZero"/>
        <c:crossBetween val="midCat"/>
        <c:majorUnit val="1"/>
      </c:valAx>
      <c:valAx>
        <c:axId val="261270144"/>
        <c:scaling>
          <c:orientation val="minMax"/>
          <c:max val="70000"/>
          <c:min val="30000"/>
        </c:scaling>
        <c:delete val="0"/>
        <c:axPos val="l"/>
        <c:majorGridlines>
          <c:spPr>
            <a:ln>
              <a:noFill/>
            </a:ln>
          </c:spPr>
        </c:majorGridlines>
        <c:numFmt formatCode="_(&quot;$&quot;* #,##0_);_(&quot;$&quot;* \(#,##0\);_(&quot;$&quot;* &quot;-&quot;??_);_(@_)" sourceLinked="1"/>
        <c:majorTickMark val="out"/>
        <c:minorTickMark val="none"/>
        <c:tickLblPos val="nextTo"/>
        <c:crossAx val="261268224"/>
        <c:crosses val="autoZero"/>
        <c:crossBetween val="midCat"/>
        <c:majorUnit val="2000"/>
      </c:valAx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Drop" dropLines="5" dropStyle="combo" dx="15" fmlaLink="Control!$C$10" fmlaRange="Control!$C$4:$C$8" val="0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685800</xdr:colOff>
      <xdr:row>37</xdr:row>
      <xdr:rowOff>95250</xdr:rowOff>
    </xdr:from>
    <xdr:to>
      <xdr:col>16</xdr:col>
      <xdr:colOff>276225</xdr:colOff>
      <xdr:row>40</xdr:row>
      <xdr:rowOff>9525</xdr:rowOff>
    </xdr:to>
    <xdr:grpSp>
      <xdr:nvGrpSpPr>
        <xdr:cNvPr id="25743" name="S_NZL"/>
        <xdr:cNvGrpSpPr>
          <a:grpSpLocks/>
        </xdr:cNvGrpSpPr>
      </xdr:nvGrpSpPr>
      <xdr:grpSpPr bwMode="auto">
        <a:xfrm>
          <a:off x="10883153" y="6224868"/>
          <a:ext cx="307601" cy="384922"/>
          <a:chOff x="1071" y="635"/>
          <a:chExt cx="32" cy="42"/>
        </a:xfrm>
      </xdr:grpSpPr>
      <xdr:sp macro="" textlink="">
        <xdr:nvSpPr>
          <xdr:cNvPr id="25993" name="Freeform 25"/>
          <xdr:cNvSpPr>
            <a:spLocks/>
          </xdr:cNvSpPr>
        </xdr:nvSpPr>
        <xdr:spPr bwMode="auto">
          <a:xfrm>
            <a:off x="1071" y="655"/>
            <a:ext cx="21" cy="22"/>
          </a:xfrm>
          <a:custGeom>
            <a:avLst/>
            <a:gdLst>
              <a:gd name="T0" fmla="*/ 1 w 98"/>
              <a:gd name="T1" fmla="*/ 0 h 99"/>
              <a:gd name="T2" fmla="*/ 1 w 98"/>
              <a:gd name="T3" fmla="*/ 0 h 99"/>
              <a:gd name="T4" fmla="*/ 1 w 98"/>
              <a:gd name="T5" fmla="*/ 0 h 99"/>
              <a:gd name="T6" fmla="*/ 1 w 98"/>
              <a:gd name="T7" fmla="*/ 0 h 99"/>
              <a:gd name="T8" fmla="*/ 1 w 98"/>
              <a:gd name="T9" fmla="*/ 0 h 99"/>
              <a:gd name="T10" fmla="*/ 1 w 98"/>
              <a:gd name="T11" fmla="*/ 0 h 99"/>
              <a:gd name="T12" fmla="*/ 1 w 98"/>
              <a:gd name="T13" fmla="*/ 0 h 99"/>
              <a:gd name="T14" fmla="*/ 1 w 98"/>
              <a:gd name="T15" fmla="*/ 0 h 99"/>
              <a:gd name="T16" fmla="*/ 1 w 98"/>
              <a:gd name="T17" fmla="*/ 0 h 99"/>
              <a:gd name="T18" fmla="*/ 1 w 98"/>
              <a:gd name="T19" fmla="*/ 0 h 99"/>
              <a:gd name="T20" fmla="*/ 1 w 98"/>
              <a:gd name="T21" fmla="*/ 1 h 99"/>
              <a:gd name="T22" fmla="*/ 1 w 98"/>
              <a:gd name="T23" fmla="*/ 1 h 99"/>
              <a:gd name="T24" fmla="*/ 0 w 98"/>
              <a:gd name="T25" fmla="*/ 1 h 99"/>
              <a:gd name="T26" fmla="*/ 0 w 98"/>
              <a:gd name="T27" fmla="*/ 1 h 99"/>
              <a:gd name="T28" fmla="*/ 0 w 98"/>
              <a:gd name="T29" fmla="*/ 1 h 99"/>
              <a:gd name="T30" fmla="*/ 0 w 98"/>
              <a:gd name="T31" fmla="*/ 1 h 99"/>
              <a:gd name="T32" fmla="*/ 0 w 98"/>
              <a:gd name="T33" fmla="*/ 1 h 99"/>
              <a:gd name="T34" fmla="*/ 0 w 98"/>
              <a:gd name="T35" fmla="*/ 1 h 99"/>
              <a:gd name="T36" fmla="*/ 0 w 98"/>
              <a:gd name="T37" fmla="*/ 1 h 99"/>
              <a:gd name="T38" fmla="*/ 0 w 98"/>
              <a:gd name="T39" fmla="*/ 1 h 99"/>
              <a:gd name="T40" fmla="*/ 0 w 98"/>
              <a:gd name="T41" fmla="*/ 1 h 99"/>
              <a:gd name="T42" fmla="*/ 0 w 98"/>
              <a:gd name="T43" fmla="*/ 1 h 99"/>
              <a:gd name="T44" fmla="*/ 0 w 98"/>
              <a:gd name="T45" fmla="*/ 1 h 99"/>
              <a:gd name="T46" fmla="*/ 0 w 98"/>
              <a:gd name="T47" fmla="*/ 1 h 99"/>
              <a:gd name="T48" fmla="*/ 0 w 98"/>
              <a:gd name="T49" fmla="*/ 0 h 99"/>
              <a:gd name="T50" fmla="*/ 1 w 98"/>
              <a:gd name="T51" fmla="*/ 0 h 99"/>
              <a:gd name="T52" fmla="*/ 0 60000 65536"/>
              <a:gd name="T53" fmla="*/ 0 60000 65536"/>
              <a:gd name="T54" fmla="*/ 0 60000 65536"/>
              <a:gd name="T55" fmla="*/ 0 60000 65536"/>
              <a:gd name="T56" fmla="*/ 0 60000 65536"/>
              <a:gd name="T57" fmla="*/ 0 60000 65536"/>
              <a:gd name="T58" fmla="*/ 0 60000 65536"/>
              <a:gd name="T59" fmla="*/ 0 60000 65536"/>
              <a:gd name="T60" fmla="*/ 0 60000 65536"/>
              <a:gd name="T61" fmla="*/ 0 60000 65536"/>
              <a:gd name="T62" fmla="*/ 0 60000 65536"/>
              <a:gd name="T63" fmla="*/ 0 60000 65536"/>
              <a:gd name="T64" fmla="*/ 0 60000 65536"/>
              <a:gd name="T65" fmla="*/ 0 60000 65536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w 98"/>
              <a:gd name="T79" fmla="*/ 0 h 99"/>
              <a:gd name="T80" fmla="*/ 98 w 98"/>
              <a:gd name="T81" fmla="*/ 99 h 99"/>
            </a:gdLst>
            <a:ahLst/>
            <a:cxnLst>
              <a:cxn ang="T52">
                <a:pos x="T0" y="T1"/>
              </a:cxn>
              <a:cxn ang="T53">
                <a:pos x="T2" y="T3"/>
              </a:cxn>
              <a:cxn ang="T54">
                <a:pos x="T4" y="T5"/>
              </a:cxn>
              <a:cxn ang="T55">
                <a:pos x="T6" y="T7"/>
              </a:cxn>
              <a:cxn ang="T56">
                <a:pos x="T8" y="T9"/>
              </a:cxn>
              <a:cxn ang="T57">
                <a:pos x="T10" y="T11"/>
              </a:cxn>
              <a:cxn ang="T58">
                <a:pos x="T12" y="T13"/>
              </a:cxn>
              <a:cxn ang="T59">
                <a:pos x="T14" y="T15"/>
              </a:cxn>
              <a:cxn ang="T60">
                <a:pos x="T16" y="T17"/>
              </a:cxn>
              <a:cxn ang="T61">
                <a:pos x="T18" y="T19"/>
              </a:cxn>
              <a:cxn ang="T62">
                <a:pos x="T20" y="T21"/>
              </a:cxn>
              <a:cxn ang="T63">
                <a:pos x="T22" y="T23"/>
              </a:cxn>
              <a:cxn ang="T64">
                <a:pos x="T24" y="T25"/>
              </a:cxn>
              <a:cxn ang="T65">
                <a:pos x="T26" y="T27"/>
              </a:cxn>
              <a:cxn ang="T66">
                <a:pos x="T28" y="T29"/>
              </a:cxn>
              <a:cxn ang="T67">
                <a:pos x="T30" y="T31"/>
              </a:cxn>
              <a:cxn ang="T68">
                <a:pos x="T32" y="T33"/>
              </a:cxn>
              <a:cxn ang="T69">
                <a:pos x="T34" y="T35"/>
              </a:cxn>
              <a:cxn ang="T70">
                <a:pos x="T36" y="T37"/>
              </a:cxn>
              <a:cxn ang="T71">
                <a:pos x="T38" y="T39"/>
              </a:cxn>
              <a:cxn ang="T72">
                <a:pos x="T40" y="T41"/>
              </a:cxn>
              <a:cxn ang="T73">
                <a:pos x="T42" y="T43"/>
              </a:cxn>
              <a:cxn ang="T74">
                <a:pos x="T44" y="T45"/>
              </a:cxn>
              <a:cxn ang="T75">
                <a:pos x="T46" y="T47"/>
              </a:cxn>
              <a:cxn ang="T76">
                <a:pos x="T48" y="T49"/>
              </a:cxn>
              <a:cxn ang="T77">
                <a:pos x="T50" y="T51"/>
              </a:cxn>
            </a:cxnLst>
            <a:rect l="T78" t="T79" r="T80" b="T81"/>
            <a:pathLst>
              <a:path w="98" h="99">
                <a:moveTo>
                  <a:pt x="71" y="8"/>
                </a:moveTo>
                <a:lnTo>
                  <a:pt x="78" y="0"/>
                </a:lnTo>
                <a:lnTo>
                  <a:pt x="81" y="7"/>
                </a:lnTo>
                <a:lnTo>
                  <a:pt x="83" y="10"/>
                </a:lnTo>
                <a:lnTo>
                  <a:pt x="93" y="7"/>
                </a:lnTo>
                <a:lnTo>
                  <a:pt x="93" y="12"/>
                </a:lnTo>
                <a:lnTo>
                  <a:pt x="94" y="8"/>
                </a:lnTo>
                <a:lnTo>
                  <a:pt x="98" y="13"/>
                </a:lnTo>
                <a:lnTo>
                  <a:pt x="93" y="27"/>
                </a:lnTo>
                <a:lnTo>
                  <a:pt x="79" y="44"/>
                </a:lnTo>
                <a:lnTo>
                  <a:pt x="83" y="54"/>
                </a:lnTo>
                <a:lnTo>
                  <a:pt x="64" y="55"/>
                </a:lnTo>
                <a:lnTo>
                  <a:pt x="51" y="91"/>
                </a:lnTo>
                <a:lnTo>
                  <a:pt x="36" y="99"/>
                </a:lnTo>
                <a:lnTo>
                  <a:pt x="26" y="99"/>
                </a:lnTo>
                <a:lnTo>
                  <a:pt x="24" y="97"/>
                </a:lnTo>
                <a:lnTo>
                  <a:pt x="17" y="96"/>
                </a:lnTo>
                <a:lnTo>
                  <a:pt x="12" y="92"/>
                </a:lnTo>
                <a:lnTo>
                  <a:pt x="2" y="92"/>
                </a:lnTo>
                <a:lnTo>
                  <a:pt x="6" y="87"/>
                </a:lnTo>
                <a:lnTo>
                  <a:pt x="2" y="91"/>
                </a:lnTo>
                <a:lnTo>
                  <a:pt x="4" y="87"/>
                </a:lnTo>
                <a:lnTo>
                  <a:pt x="0" y="89"/>
                </a:lnTo>
                <a:lnTo>
                  <a:pt x="26" y="55"/>
                </a:lnTo>
                <a:lnTo>
                  <a:pt x="51" y="37"/>
                </a:lnTo>
                <a:lnTo>
                  <a:pt x="71" y="8"/>
                </a:lnTo>
              </a:path>
            </a:pathLst>
          </a:custGeom>
          <a:solidFill>
            <a:srgbClr val="87B955"/>
          </a:solidFill>
          <a:ln w="9525">
            <a:solidFill>
              <a:srgbClr val="FFFFFF"/>
            </a:solidFill>
            <a:miter lim="800000"/>
            <a:headEnd/>
            <a:tailEnd/>
          </a:ln>
        </xdr:spPr>
        <xdr:txBody>
          <a:bodyPr vertOverflow="clip" wrap="square" lIns="36576" tIns="32004" rIns="0" bIns="0" anchor="t"/>
          <a:lstStyle/>
          <a:p>
            <a:pPr algn="l" rtl="0">
              <a:defRPr sz="1000"/>
            </a:pPr>
            <a:endParaRPr lang="en-US" sz="1600" b="0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 algn="l" rtl="0">
              <a:defRPr sz="1000"/>
            </a:pPr>
            <a:endParaRPr lang="en-US"/>
          </a:p>
        </xdr:txBody>
      </xdr:sp>
      <xdr:sp macro="" textlink="">
        <xdr:nvSpPr>
          <xdr:cNvPr id="25994" name="Freeform 26"/>
          <xdr:cNvSpPr>
            <a:spLocks/>
          </xdr:cNvSpPr>
        </xdr:nvSpPr>
        <xdr:spPr bwMode="auto">
          <a:xfrm>
            <a:off x="1088" y="635"/>
            <a:ext cx="15" cy="24"/>
          </a:xfrm>
          <a:custGeom>
            <a:avLst/>
            <a:gdLst>
              <a:gd name="T0" fmla="*/ 0 w 70"/>
              <a:gd name="T1" fmla="*/ 0 h 108"/>
              <a:gd name="T2" fmla="*/ 0 w 70"/>
              <a:gd name="T3" fmla="*/ 0 h 108"/>
              <a:gd name="T4" fmla="*/ 0 w 70"/>
              <a:gd name="T5" fmla="*/ 0 h 108"/>
              <a:gd name="T6" fmla="*/ 0 w 70"/>
              <a:gd name="T7" fmla="*/ 0 h 108"/>
              <a:gd name="T8" fmla="*/ 0 w 70"/>
              <a:gd name="T9" fmla="*/ 0 h 108"/>
              <a:gd name="T10" fmla="*/ 0 w 70"/>
              <a:gd name="T11" fmla="*/ 0 h 108"/>
              <a:gd name="T12" fmla="*/ 0 w 70"/>
              <a:gd name="T13" fmla="*/ 0 h 108"/>
              <a:gd name="T14" fmla="*/ 0 w 70"/>
              <a:gd name="T15" fmla="*/ 0 h 108"/>
              <a:gd name="T16" fmla="*/ 0 w 70"/>
              <a:gd name="T17" fmla="*/ 0 h 108"/>
              <a:gd name="T18" fmla="*/ 0 w 70"/>
              <a:gd name="T19" fmla="*/ 0 h 108"/>
              <a:gd name="T20" fmla="*/ 0 w 70"/>
              <a:gd name="T21" fmla="*/ 0 h 108"/>
              <a:gd name="T22" fmla="*/ 1 w 70"/>
              <a:gd name="T23" fmla="*/ 0 h 108"/>
              <a:gd name="T24" fmla="*/ 1 w 70"/>
              <a:gd name="T25" fmla="*/ 0 h 108"/>
              <a:gd name="T26" fmla="*/ 1 w 70"/>
              <a:gd name="T27" fmla="*/ 1 h 108"/>
              <a:gd name="T28" fmla="*/ 1 w 70"/>
              <a:gd name="T29" fmla="*/ 1 h 108"/>
              <a:gd name="T30" fmla="*/ 0 w 70"/>
              <a:gd name="T31" fmla="*/ 1 h 108"/>
              <a:gd name="T32" fmla="*/ 0 w 70"/>
              <a:gd name="T33" fmla="*/ 1 h 108"/>
              <a:gd name="T34" fmla="*/ 0 w 70"/>
              <a:gd name="T35" fmla="*/ 1 h 108"/>
              <a:gd name="T36" fmla="*/ 0 w 70"/>
              <a:gd name="T37" fmla="*/ 1 h 108"/>
              <a:gd name="T38" fmla="*/ 0 w 70"/>
              <a:gd name="T39" fmla="*/ 1 h 108"/>
              <a:gd name="T40" fmla="*/ 0 w 70"/>
              <a:gd name="T41" fmla="*/ 1 h 108"/>
              <a:gd name="T42" fmla="*/ 0 w 70"/>
              <a:gd name="T43" fmla="*/ 1 h 108"/>
              <a:gd name="T44" fmla="*/ 0 w 70"/>
              <a:gd name="T45" fmla="*/ 1 h 108"/>
              <a:gd name="T46" fmla="*/ 0 w 70"/>
              <a:gd name="T47" fmla="*/ 1 h 108"/>
              <a:gd name="T48" fmla="*/ 0 w 70"/>
              <a:gd name="T49" fmla="*/ 0 h 108"/>
              <a:gd name="T50" fmla="*/ 0 w 70"/>
              <a:gd name="T51" fmla="*/ 0 h 108"/>
              <a:gd name="T52" fmla="*/ 0 w 70"/>
              <a:gd name="T53" fmla="*/ 0 h 108"/>
              <a:gd name="T54" fmla="*/ 0 w 70"/>
              <a:gd name="T55" fmla="*/ 0 h 108"/>
              <a:gd name="T56" fmla="*/ 0 w 70"/>
              <a:gd name="T57" fmla="*/ 0 h 108"/>
              <a:gd name="T58" fmla="*/ 0 w 70"/>
              <a:gd name="T59" fmla="*/ 0 h 108"/>
              <a:gd name="T60" fmla="*/ 0 w 70"/>
              <a:gd name="T61" fmla="*/ 0 h 108"/>
              <a:gd name="T62" fmla="*/ 0 w 70"/>
              <a:gd name="T63" fmla="*/ 0 h 108"/>
              <a:gd name="T64" fmla="*/ 0 w 70"/>
              <a:gd name="T65" fmla="*/ 0 h 108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70"/>
              <a:gd name="T100" fmla="*/ 0 h 108"/>
              <a:gd name="T101" fmla="*/ 70 w 70"/>
              <a:gd name="T102" fmla="*/ 108 h 108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70" h="108">
                <a:moveTo>
                  <a:pt x="1" y="0"/>
                </a:moveTo>
                <a:lnTo>
                  <a:pt x="6" y="7"/>
                </a:lnTo>
                <a:lnTo>
                  <a:pt x="16" y="10"/>
                </a:lnTo>
                <a:lnTo>
                  <a:pt x="18" y="15"/>
                </a:lnTo>
                <a:lnTo>
                  <a:pt x="23" y="20"/>
                </a:lnTo>
                <a:lnTo>
                  <a:pt x="20" y="19"/>
                </a:lnTo>
                <a:lnTo>
                  <a:pt x="25" y="34"/>
                </a:lnTo>
                <a:lnTo>
                  <a:pt x="28" y="35"/>
                </a:lnTo>
                <a:lnTo>
                  <a:pt x="33" y="41"/>
                </a:lnTo>
                <a:lnTo>
                  <a:pt x="33" y="30"/>
                </a:lnTo>
                <a:lnTo>
                  <a:pt x="45" y="47"/>
                </a:lnTo>
                <a:lnTo>
                  <a:pt x="60" y="51"/>
                </a:lnTo>
                <a:lnTo>
                  <a:pt x="68" y="46"/>
                </a:lnTo>
                <a:lnTo>
                  <a:pt x="70" y="54"/>
                </a:lnTo>
                <a:lnTo>
                  <a:pt x="67" y="67"/>
                </a:lnTo>
                <a:lnTo>
                  <a:pt x="53" y="76"/>
                </a:lnTo>
                <a:lnTo>
                  <a:pt x="48" y="89"/>
                </a:lnTo>
                <a:lnTo>
                  <a:pt x="33" y="108"/>
                </a:lnTo>
                <a:lnTo>
                  <a:pt x="31" y="104"/>
                </a:lnTo>
                <a:lnTo>
                  <a:pt x="26" y="104"/>
                </a:lnTo>
                <a:lnTo>
                  <a:pt x="28" y="96"/>
                </a:lnTo>
                <a:lnTo>
                  <a:pt x="26" y="84"/>
                </a:lnTo>
                <a:lnTo>
                  <a:pt x="16" y="69"/>
                </a:lnTo>
                <a:lnTo>
                  <a:pt x="23" y="64"/>
                </a:lnTo>
                <a:lnTo>
                  <a:pt x="25" y="35"/>
                </a:lnTo>
                <a:lnTo>
                  <a:pt x="18" y="30"/>
                </a:lnTo>
                <a:lnTo>
                  <a:pt x="20" y="32"/>
                </a:lnTo>
                <a:lnTo>
                  <a:pt x="20" y="25"/>
                </a:lnTo>
                <a:lnTo>
                  <a:pt x="16" y="29"/>
                </a:lnTo>
                <a:lnTo>
                  <a:pt x="11" y="20"/>
                </a:lnTo>
                <a:lnTo>
                  <a:pt x="10" y="12"/>
                </a:lnTo>
                <a:lnTo>
                  <a:pt x="0" y="0"/>
                </a:lnTo>
                <a:lnTo>
                  <a:pt x="1" y="0"/>
                </a:lnTo>
              </a:path>
            </a:pathLst>
          </a:custGeom>
          <a:solidFill>
            <a:srgbClr val="87B955"/>
          </a:solidFill>
          <a:ln w="9525">
            <a:solidFill>
              <a:srgbClr val="FFFFFF"/>
            </a:solidFill>
            <a:miter lim="800000"/>
            <a:headEnd/>
            <a:tailEnd/>
          </a:ln>
        </xdr:spPr>
        <xdr:txBody>
          <a:bodyPr vertOverflow="clip" wrap="square" lIns="36576" tIns="32004" rIns="0" bIns="0" anchor="t"/>
          <a:lstStyle/>
          <a:p>
            <a:pPr algn="l" rtl="0">
              <a:defRPr sz="1000"/>
            </a:pPr>
            <a:endParaRPr lang="en-US" sz="1600" b="0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 algn="l" rtl="0">
              <a:defRPr sz="1000"/>
            </a:pPr>
            <a:endParaRPr lang="en-US"/>
          </a:p>
        </xdr:txBody>
      </xdr:sp>
    </xdr:grpSp>
    <xdr:clientData/>
  </xdr:twoCellAnchor>
  <xdr:twoCellAnchor>
    <xdr:from>
      <xdr:col>2</xdr:col>
      <xdr:colOff>647700</xdr:colOff>
      <xdr:row>11</xdr:row>
      <xdr:rowOff>142875</xdr:rowOff>
    </xdr:from>
    <xdr:to>
      <xdr:col>6</xdr:col>
      <xdr:colOff>609600</xdr:colOff>
      <xdr:row>26</xdr:row>
      <xdr:rowOff>47625</xdr:rowOff>
    </xdr:to>
    <xdr:grpSp>
      <xdr:nvGrpSpPr>
        <xdr:cNvPr id="25744" name="S_USA"/>
        <xdr:cNvGrpSpPr>
          <a:grpSpLocks/>
        </xdr:cNvGrpSpPr>
      </xdr:nvGrpSpPr>
      <xdr:grpSpPr bwMode="auto">
        <a:xfrm>
          <a:off x="1376082" y="2193551"/>
          <a:ext cx="2976283" cy="2257986"/>
          <a:chOff x="92" y="198"/>
          <a:chExt cx="296" cy="245"/>
        </a:xfrm>
      </xdr:grpSpPr>
      <xdr:sp macro="" textlink="">
        <xdr:nvSpPr>
          <xdr:cNvPr id="25991" name="Freeform 32"/>
          <xdr:cNvSpPr>
            <a:spLocks/>
          </xdr:cNvSpPr>
        </xdr:nvSpPr>
        <xdr:spPr bwMode="auto">
          <a:xfrm>
            <a:off x="218" y="345"/>
            <a:ext cx="170" cy="98"/>
          </a:xfrm>
          <a:custGeom>
            <a:avLst/>
            <a:gdLst>
              <a:gd name="T0" fmla="*/ 4 w 774"/>
              <a:gd name="T1" fmla="*/ 0 h 450"/>
              <a:gd name="T2" fmla="*/ 4 w 774"/>
              <a:gd name="T3" fmla="*/ 0 h 450"/>
              <a:gd name="T4" fmla="*/ 5 w 774"/>
              <a:gd name="T5" fmla="*/ 0 h 450"/>
              <a:gd name="T6" fmla="*/ 5 w 774"/>
              <a:gd name="T7" fmla="*/ 1 h 450"/>
              <a:gd name="T8" fmla="*/ 5 w 774"/>
              <a:gd name="T9" fmla="*/ 1 h 450"/>
              <a:gd name="T10" fmla="*/ 5 w 774"/>
              <a:gd name="T11" fmla="*/ 1 h 450"/>
              <a:gd name="T12" fmla="*/ 5 w 774"/>
              <a:gd name="T13" fmla="*/ 1 h 450"/>
              <a:gd name="T14" fmla="*/ 6 w 774"/>
              <a:gd name="T15" fmla="*/ 1 h 450"/>
              <a:gd name="T16" fmla="*/ 5 w 774"/>
              <a:gd name="T17" fmla="*/ 1 h 450"/>
              <a:gd name="T18" fmla="*/ 5 w 774"/>
              <a:gd name="T19" fmla="*/ 1 h 450"/>
              <a:gd name="T20" fmla="*/ 5 w 774"/>
              <a:gd name="T21" fmla="*/ 2 h 450"/>
              <a:gd name="T22" fmla="*/ 5 w 774"/>
              <a:gd name="T23" fmla="*/ 2 h 450"/>
              <a:gd name="T24" fmla="*/ 6 w 774"/>
              <a:gd name="T25" fmla="*/ 1 h 450"/>
              <a:gd name="T26" fmla="*/ 6 w 774"/>
              <a:gd name="T27" fmla="*/ 1 h 450"/>
              <a:gd name="T28" fmla="*/ 6 w 774"/>
              <a:gd name="T29" fmla="*/ 1 h 450"/>
              <a:gd name="T30" fmla="*/ 6 w 774"/>
              <a:gd name="T31" fmla="*/ 2 h 450"/>
              <a:gd name="T32" fmla="*/ 6 w 774"/>
              <a:gd name="T33" fmla="*/ 2 h 450"/>
              <a:gd name="T34" fmla="*/ 7 w 774"/>
              <a:gd name="T35" fmla="*/ 2 h 450"/>
              <a:gd name="T36" fmla="*/ 7 w 774"/>
              <a:gd name="T37" fmla="*/ 1 h 450"/>
              <a:gd name="T38" fmla="*/ 7 w 774"/>
              <a:gd name="T39" fmla="*/ 1 h 450"/>
              <a:gd name="T40" fmla="*/ 8 w 774"/>
              <a:gd name="T41" fmla="*/ 1 h 450"/>
              <a:gd name="T42" fmla="*/ 8 w 774"/>
              <a:gd name="T43" fmla="*/ 1 h 450"/>
              <a:gd name="T44" fmla="*/ 8 w 774"/>
              <a:gd name="T45" fmla="*/ 1 h 450"/>
              <a:gd name="T46" fmla="*/ 8 w 774"/>
              <a:gd name="T47" fmla="*/ 1 h 450"/>
              <a:gd name="T48" fmla="*/ 8 w 774"/>
              <a:gd name="T49" fmla="*/ 1 h 450"/>
              <a:gd name="T50" fmla="*/ 8 w 774"/>
              <a:gd name="T51" fmla="*/ 2 h 450"/>
              <a:gd name="T52" fmla="*/ 8 w 774"/>
              <a:gd name="T53" fmla="*/ 2 h 450"/>
              <a:gd name="T54" fmla="*/ 7 w 774"/>
              <a:gd name="T55" fmla="*/ 2 h 450"/>
              <a:gd name="T56" fmla="*/ 7 w 774"/>
              <a:gd name="T57" fmla="*/ 2 h 450"/>
              <a:gd name="T58" fmla="*/ 7 w 774"/>
              <a:gd name="T59" fmla="*/ 3 h 450"/>
              <a:gd name="T60" fmla="*/ 7 w 774"/>
              <a:gd name="T61" fmla="*/ 2 h 450"/>
              <a:gd name="T62" fmla="*/ 7 w 774"/>
              <a:gd name="T63" fmla="*/ 2 h 450"/>
              <a:gd name="T64" fmla="*/ 7 w 774"/>
              <a:gd name="T65" fmla="*/ 3 h 450"/>
              <a:gd name="T66" fmla="*/ 6 w 774"/>
              <a:gd name="T67" fmla="*/ 4 h 450"/>
              <a:gd name="T68" fmla="*/ 6 w 774"/>
              <a:gd name="T69" fmla="*/ 5 h 450"/>
              <a:gd name="T70" fmla="*/ 6 w 774"/>
              <a:gd name="T71" fmla="*/ 4 h 450"/>
              <a:gd name="T72" fmla="*/ 6 w 774"/>
              <a:gd name="T73" fmla="*/ 4 h 450"/>
              <a:gd name="T74" fmla="*/ 6 w 774"/>
              <a:gd name="T75" fmla="*/ 4 h 450"/>
              <a:gd name="T76" fmla="*/ 5 w 774"/>
              <a:gd name="T77" fmla="*/ 4 h 450"/>
              <a:gd name="T78" fmla="*/ 5 w 774"/>
              <a:gd name="T79" fmla="*/ 4 h 450"/>
              <a:gd name="T80" fmla="*/ 4 w 774"/>
              <a:gd name="T81" fmla="*/ 4 h 450"/>
              <a:gd name="T82" fmla="*/ 4 w 774"/>
              <a:gd name="T83" fmla="*/ 4 h 450"/>
              <a:gd name="T84" fmla="*/ 4 w 774"/>
              <a:gd name="T85" fmla="*/ 5 h 450"/>
              <a:gd name="T86" fmla="*/ 3 w 774"/>
              <a:gd name="T87" fmla="*/ 4 h 450"/>
              <a:gd name="T88" fmla="*/ 3 w 774"/>
              <a:gd name="T89" fmla="*/ 4 h 450"/>
              <a:gd name="T90" fmla="*/ 3 w 774"/>
              <a:gd name="T91" fmla="*/ 4 h 450"/>
              <a:gd name="T92" fmla="*/ 2 w 774"/>
              <a:gd name="T93" fmla="*/ 4 h 450"/>
              <a:gd name="T94" fmla="*/ 1 w 774"/>
              <a:gd name="T95" fmla="*/ 3 h 450"/>
              <a:gd name="T96" fmla="*/ 1 w 774"/>
              <a:gd name="T97" fmla="*/ 3 h 450"/>
              <a:gd name="T98" fmla="*/ 0 w 774"/>
              <a:gd name="T99" fmla="*/ 3 h 450"/>
              <a:gd name="T100" fmla="*/ 0 w 774"/>
              <a:gd name="T101" fmla="*/ 3 h 450"/>
              <a:gd name="T102" fmla="*/ 0 w 774"/>
              <a:gd name="T103" fmla="*/ 3 h 450"/>
              <a:gd name="T104" fmla="*/ 0 w 774"/>
              <a:gd name="T105" fmla="*/ 3 h 450"/>
              <a:gd name="T106" fmla="*/ 0 w 774"/>
              <a:gd name="T107" fmla="*/ 2 h 450"/>
              <a:gd name="T108" fmla="*/ 0 w 774"/>
              <a:gd name="T109" fmla="*/ 2 h 450"/>
              <a:gd name="T110" fmla="*/ 0 w 774"/>
              <a:gd name="T111" fmla="*/ 2 h 450"/>
              <a:gd name="T112" fmla="*/ 0 w 774"/>
              <a:gd name="T113" fmla="*/ 2 h 450"/>
              <a:gd name="T114" fmla="*/ 0 w 774"/>
              <a:gd name="T115" fmla="*/ 0 h 450"/>
              <a:gd name="T116" fmla="*/ 0 w 774"/>
              <a:gd name="T117" fmla="*/ 0 h 450"/>
              <a:gd name="T118" fmla="*/ 0 w 774"/>
              <a:gd name="T119" fmla="*/ 0 h 450"/>
              <a:gd name="T120" fmla="*/ 0 w 774"/>
              <a:gd name="T121" fmla="*/ 0 h 450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60000 65536"/>
              <a:gd name="T169" fmla="*/ 0 60000 65536"/>
              <a:gd name="T170" fmla="*/ 0 60000 65536"/>
              <a:gd name="T171" fmla="*/ 0 60000 65536"/>
              <a:gd name="T172" fmla="*/ 0 60000 65536"/>
              <a:gd name="T173" fmla="*/ 0 60000 65536"/>
              <a:gd name="T174" fmla="*/ 0 60000 65536"/>
              <a:gd name="T175" fmla="*/ 0 60000 65536"/>
              <a:gd name="T176" fmla="*/ 0 60000 65536"/>
              <a:gd name="T177" fmla="*/ 0 60000 65536"/>
              <a:gd name="T178" fmla="*/ 0 60000 65536"/>
              <a:gd name="T179" fmla="*/ 0 60000 65536"/>
              <a:gd name="T180" fmla="*/ 0 60000 65536"/>
              <a:gd name="T181" fmla="*/ 0 60000 65536"/>
              <a:gd name="T182" fmla="*/ 0 60000 65536"/>
              <a:gd name="T183" fmla="*/ 0 w 774"/>
              <a:gd name="T184" fmla="*/ 0 h 450"/>
              <a:gd name="T185" fmla="*/ 774 w 774"/>
              <a:gd name="T186" fmla="*/ 450 h 450"/>
            </a:gdLst>
            <a:ahLst/>
            <a:cxnLst>
              <a:cxn ang="T122">
                <a:pos x="T0" y="T1"/>
              </a:cxn>
              <a:cxn ang="T123">
                <a:pos x="T2" y="T3"/>
              </a:cxn>
              <a:cxn ang="T124">
                <a:pos x="T4" y="T5"/>
              </a:cxn>
              <a:cxn ang="T125">
                <a:pos x="T6" y="T7"/>
              </a:cxn>
              <a:cxn ang="T126">
                <a:pos x="T8" y="T9"/>
              </a:cxn>
              <a:cxn ang="T127">
                <a:pos x="T10" y="T11"/>
              </a:cxn>
              <a:cxn ang="T128">
                <a:pos x="T12" y="T13"/>
              </a:cxn>
              <a:cxn ang="T129">
                <a:pos x="T14" y="T15"/>
              </a:cxn>
              <a:cxn ang="T130">
                <a:pos x="T16" y="T17"/>
              </a:cxn>
              <a:cxn ang="T131">
                <a:pos x="T18" y="T19"/>
              </a:cxn>
              <a:cxn ang="T132">
                <a:pos x="T20" y="T21"/>
              </a:cxn>
              <a:cxn ang="T133">
                <a:pos x="T22" y="T23"/>
              </a:cxn>
              <a:cxn ang="T134">
                <a:pos x="T24" y="T25"/>
              </a:cxn>
              <a:cxn ang="T135">
                <a:pos x="T26" y="T27"/>
              </a:cxn>
              <a:cxn ang="T136">
                <a:pos x="T28" y="T29"/>
              </a:cxn>
              <a:cxn ang="T137">
                <a:pos x="T30" y="T31"/>
              </a:cxn>
              <a:cxn ang="T138">
                <a:pos x="T32" y="T33"/>
              </a:cxn>
              <a:cxn ang="T139">
                <a:pos x="T34" y="T35"/>
              </a:cxn>
              <a:cxn ang="T140">
                <a:pos x="T36" y="T37"/>
              </a:cxn>
              <a:cxn ang="T141">
                <a:pos x="T38" y="T39"/>
              </a:cxn>
              <a:cxn ang="T142">
                <a:pos x="T40" y="T41"/>
              </a:cxn>
              <a:cxn ang="T143">
                <a:pos x="T42" y="T43"/>
              </a:cxn>
              <a:cxn ang="T144">
                <a:pos x="T44" y="T45"/>
              </a:cxn>
              <a:cxn ang="T145">
                <a:pos x="T46" y="T47"/>
              </a:cxn>
              <a:cxn ang="T146">
                <a:pos x="T48" y="T49"/>
              </a:cxn>
              <a:cxn ang="T147">
                <a:pos x="T50" y="T51"/>
              </a:cxn>
              <a:cxn ang="T148">
                <a:pos x="T52" y="T53"/>
              </a:cxn>
              <a:cxn ang="T149">
                <a:pos x="T54" y="T55"/>
              </a:cxn>
              <a:cxn ang="T150">
                <a:pos x="T56" y="T57"/>
              </a:cxn>
              <a:cxn ang="T151">
                <a:pos x="T58" y="T59"/>
              </a:cxn>
              <a:cxn ang="T152">
                <a:pos x="T60" y="T61"/>
              </a:cxn>
              <a:cxn ang="T153">
                <a:pos x="T62" y="T63"/>
              </a:cxn>
              <a:cxn ang="T154">
                <a:pos x="T64" y="T65"/>
              </a:cxn>
              <a:cxn ang="T155">
                <a:pos x="T66" y="T67"/>
              </a:cxn>
              <a:cxn ang="T156">
                <a:pos x="T68" y="T69"/>
              </a:cxn>
              <a:cxn ang="T157">
                <a:pos x="T70" y="T71"/>
              </a:cxn>
              <a:cxn ang="T158">
                <a:pos x="T72" y="T73"/>
              </a:cxn>
              <a:cxn ang="T159">
                <a:pos x="T74" y="T75"/>
              </a:cxn>
              <a:cxn ang="T160">
                <a:pos x="T76" y="T77"/>
              </a:cxn>
              <a:cxn ang="T161">
                <a:pos x="T78" y="T79"/>
              </a:cxn>
              <a:cxn ang="T162">
                <a:pos x="T80" y="T81"/>
              </a:cxn>
              <a:cxn ang="T163">
                <a:pos x="T82" y="T83"/>
              </a:cxn>
              <a:cxn ang="T164">
                <a:pos x="T84" y="T85"/>
              </a:cxn>
              <a:cxn ang="T165">
                <a:pos x="T86" y="T87"/>
              </a:cxn>
              <a:cxn ang="T166">
                <a:pos x="T88" y="T89"/>
              </a:cxn>
              <a:cxn ang="T167">
                <a:pos x="T90" y="T91"/>
              </a:cxn>
              <a:cxn ang="T168">
                <a:pos x="T92" y="T93"/>
              </a:cxn>
              <a:cxn ang="T169">
                <a:pos x="T94" y="T95"/>
              </a:cxn>
              <a:cxn ang="T170">
                <a:pos x="T96" y="T97"/>
              </a:cxn>
              <a:cxn ang="T171">
                <a:pos x="T98" y="T99"/>
              </a:cxn>
              <a:cxn ang="T172">
                <a:pos x="T100" y="T101"/>
              </a:cxn>
              <a:cxn ang="T173">
                <a:pos x="T102" y="T103"/>
              </a:cxn>
              <a:cxn ang="T174">
                <a:pos x="T104" y="T105"/>
              </a:cxn>
              <a:cxn ang="T175">
                <a:pos x="T106" y="T107"/>
              </a:cxn>
              <a:cxn ang="T176">
                <a:pos x="T108" y="T109"/>
              </a:cxn>
              <a:cxn ang="T177">
                <a:pos x="T110" y="T111"/>
              </a:cxn>
              <a:cxn ang="T178">
                <a:pos x="T112" y="T113"/>
              </a:cxn>
              <a:cxn ang="T179">
                <a:pos x="T114" y="T115"/>
              </a:cxn>
              <a:cxn ang="T180">
                <a:pos x="T116" y="T117"/>
              </a:cxn>
              <a:cxn ang="T181">
                <a:pos x="T118" y="T119"/>
              </a:cxn>
              <a:cxn ang="T182">
                <a:pos x="T120" y="T121"/>
              </a:cxn>
            </a:cxnLst>
            <a:rect l="T183" t="T184" r="T185" b="T186"/>
            <a:pathLst>
              <a:path w="774" h="450">
                <a:moveTo>
                  <a:pt x="25" y="10"/>
                </a:moveTo>
                <a:lnTo>
                  <a:pt x="397" y="10"/>
                </a:lnTo>
                <a:lnTo>
                  <a:pt x="402" y="0"/>
                </a:lnTo>
                <a:lnTo>
                  <a:pt x="412" y="18"/>
                </a:lnTo>
                <a:lnTo>
                  <a:pt x="424" y="18"/>
                </a:lnTo>
                <a:lnTo>
                  <a:pt x="445" y="39"/>
                </a:lnTo>
                <a:lnTo>
                  <a:pt x="465" y="39"/>
                </a:lnTo>
                <a:lnTo>
                  <a:pt x="440" y="62"/>
                </a:lnTo>
                <a:lnTo>
                  <a:pt x="454" y="54"/>
                </a:lnTo>
                <a:lnTo>
                  <a:pt x="459" y="62"/>
                </a:lnTo>
                <a:lnTo>
                  <a:pt x="487" y="54"/>
                </a:lnTo>
                <a:lnTo>
                  <a:pt x="487" y="62"/>
                </a:lnTo>
                <a:lnTo>
                  <a:pt x="496" y="54"/>
                </a:lnTo>
                <a:lnTo>
                  <a:pt x="504" y="62"/>
                </a:lnTo>
                <a:lnTo>
                  <a:pt x="539" y="62"/>
                </a:lnTo>
                <a:lnTo>
                  <a:pt x="546" y="71"/>
                </a:lnTo>
                <a:lnTo>
                  <a:pt x="546" y="84"/>
                </a:lnTo>
                <a:lnTo>
                  <a:pt x="504" y="84"/>
                </a:lnTo>
                <a:lnTo>
                  <a:pt x="496" y="113"/>
                </a:lnTo>
                <a:lnTo>
                  <a:pt x="504" y="101"/>
                </a:lnTo>
                <a:lnTo>
                  <a:pt x="496" y="138"/>
                </a:lnTo>
                <a:lnTo>
                  <a:pt x="496" y="166"/>
                </a:lnTo>
                <a:lnTo>
                  <a:pt x="504" y="166"/>
                </a:lnTo>
                <a:lnTo>
                  <a:pt x="509" y="160"/>
                </a:lnTo>
                <a:lnTo>
                  <a:pt x="509" y="121"/>
                </a:lnTo>
                <a:lnTo>
                  <a:pt x="531" y="92"/>
                </a:lnTo>
                <a:lnTo>
                  <a:pt x="531" y="84"/>
                </a:lnTo>
                <a:lnTo>
                  <a:pt x="551" y="92"/>
                </a:lnTo>
                <a:lnTo>
                  <a:pt x="551" y="113"/>
                </a:lnTo>
                <a:lnTo>
                  <a:pt x="546" y="129"/>
                </a:lnTo>
                <a:lnTo>
                  <a:pt x="561" y="121"/>
                </a:lnTo>
                <a:lnTo>
                  <a:pt x="561" y="138"/>
                </a:lnTo>
                <a:lnTo>
                  <a:pt x="573" y="138"/>
                </a:lnTo>
                <a:lnTo>
                  <a:pt x="551" y="166"/>
                </a:lnTo>
                <a:lnTo>
                  <a:pt x="581" y="166"/>
                </a:lnTo>
                <a:lnTo>
                  <a:pt x="616" y="138"/>
                </a:lnTo>
                <a:lnTo>
                  <a:pt x="616" y="129"/>
                </a:lnTo>
                <a:lnTo>
                  <a:pt x="645" y="129"/>
                </a:lnTo>
                <a:lnTo>
                  <a:pt x="645" y="113"/>
                </a:lnTo>
                <a:lnTo>
                  <a:pt x="666" y="101"/>
                </a:lnTo>
                <a:lnTo>
                  <a:pt x="708" y="101"/>
                </a:lnTo>
                <a:lnTo>
                  <a:pt x="723" y="92"/>
                </a:lnTo>
                <a:lnTo>
                  <a:pt x="745" y="47"/>
                </a:lnTo>
                <a:lnTo>
                  <a:pt x="752" y="54"/>
                </a:lnTo>
                <a:lnTo>
                  <a:pt x="759" y="47"/>
                </a:lnTo>
                <a:lnTo>
                  <a:pt x="765" y="84"/>
                </a:lnTo>
                <a:lnTo>
                  <a:pt x="774" y="92"/>
                </a:lnTo>
                <a:lnTo>
                  <a:pt x="774" y="101"/>
                </a:lnTo>
                <a:lnTo>
                  <a:pt x="765" y="113"/>
                </a:lnTo>
                <a:lnTo>
                  <a:pt x="752" y="113"/>
                </a:lnTo>
                <a:lnTo>
                  <a:pt x="715" y="145"/>
                </a:lnTo>
                <a:lnTo>
                  <a:pt x="723" y="166"/>
                </a:lnTo>
                <a:lnTo>
                  <a:pt x="730" y="160"/>
                </a:lnTo>
                <a:lnTo>
                  <a:pt x="730" y="175"/>
                </a:lnTo>
                <a:lnTo>
                  <a:pt x="708" y="166"/>
                </a:lnTo>
                <a:lnTo>
                  <a:pt x="678" y="183"/>
                </a:lnTo>
                <a:lnTo>
                  <a:pt x="671" y="220"/>
                </a:lnTo>
                <a:lnTo>
                  <a:pt x="666" y="213"/>
                </a:lnTo>
                <a:lnTo>
                  <a:pt x="666" y="220"/>
                </a:lnTo>
                <a:lnTo>
                  <a:pt x="658" y="250"/>
                </a:lnTo>
                <a:lnTo>
                  <a:pt x="658" y="234"/>
                </a:lnTo>
                <a:lnTo>
                  <a:pt x="645" y="220"/>
                </a:lnTo>
                <a:lnTo>
                  <a:pt x="645" y="203"/>
                </a:lnTo>
                <a:lnTo>
                  <a:pt x="638" y="220"/>
                </a:lnTo>
                <a:lnTo>
                  <a:pt x="658" y="277"/>
                </a:lnTo>
                <a:lnTo>
                  <a:pt x="645" y="294"/>
                </a:lnTo>
                <a:lnTo>
                  <a:pt x="588" y="339"/>
                </a:lnTo>
                <a:lnTo>
                  <a:pt x="581" y="361"/>
                </a:lnTo>
                <a:lnTo>
                  <a:pt x="596" y="422"/>
                </a:lnTo>
                <a:lnTo>
                  <a:pt x="596" y="450"/>
                </a:lnTo>
                <a:lnTo>
                  <a:pt x="588" y="450"/>
                </a:lnTo>
                <a:lnTo>
                  <a:pt x="561" y="422"/>
                </a:lnTo>
                <a:lnTo>
                  <a:pt x="561" y="385"/>
                </a:lnTo>
                <a:lnTo>
                  <a:pt x="546" y="368"/>
                </a:lnTo>
                <a:lnTo>
                  <a:pt x="531" y="376"/>
                </a:lnTo>
                <a:lnTo>
                  <a:pt x="531" y="368"/>
                </a:lnTo>
                <a:lnTo>
                  <a:pt x="480" y="368"/>
                </a:lnTo>
                <a:lnTo>
                  <a:pt x="465" y="376"/>
                </a:lnTo>
                <a:lnTo>
                  <a:pt x="480" y="385"/>
                </a:lnTo>
                <a:lnTo>
                  <a:pt x="454" y="385"/>
                </a:lnTo>
                <a:lnTo>
                  <a:pt x="445" y="376"/>
                </a:lnTo>
                <a:lnTo>
                  <a:pt x="418" y="376"/>
                </a:lnTo>
                <a:lnTo>
                  <a:pt x="402" y="385"/>
                </a:lnTo>
                <a:lnTo>
                  <a:pt x="370" y="415"/>
                </a:lnTo>
                <a:lnTo>
                  <a:pt x="370" y="442"/>
                </a:lnTo>
                <a:lnTo>
                  <a:pt x="340" y="437"/>
                </a:lnTo>
                <a:lnTo>
                  <a:pt x="311" y="376"/>
                </a:lnTo>
                <a:lnTo>
                  <a:pt x="296" y="376"/>
                </a:lnTo>
                <a:lnTo>
                  <a:pt x="291" y="385"/>
                </a:lnTo>
                <a:lnTo>
                  <a:pt x="283" y="385"/>
                </a:lnTo>
                <a:lnTo>
                  <a:pt x="269" y="376"/>
                </a:lnTo>
                <a:lnTo>
                  <a:pt x="269" y="361"/>
                </a:lnTo>
                <a:lnTo>
                  <a:pt x="248" y="339"/>
                </a:lnTo>
                <a:lnTo>
                  <a:pt x="177" y="353"/>
                </a:lnTo>
                <a:lnTo>
                  <a:pt x="127" y="331"/>
                </a:lnTo>
                <a:lnTo>
                  <a:pt x="105" y="331"/>
                </a:lnTo>
                <a:lnTo>
                  <a:pt x="90" y="316"/>
                </a:lnTo>
                <a:lnTo>
                  <a:pt x="83" y="316"/>
                </a:lnTo>
                <a:lnTo>
                  <a:pt x="83" y="301"/>
                </a:lnTo>
                <a:lnTo>
                  <a:pt x="48" y="294"/>
                </a:lnTo>
                <a:lnTo>
                  <a:pt x="48" y="286"/>
                </a:lnTo>
                <a:lnTo>
                  <a:pt x="35" y="266"/>
                </a:lnTo>
                <a:lnTo>
                  <a:pt x="35" y="250"/>
                </a:lnTo>
                <a:lnTo>
                  <a:pt x="25" y="250"/>
                </a:lnTo>
                <a:lnTo>
                  <a:pt x="25" y="242"/>
                </a:lnTo>
                <a:lnTo>
                  <a:pt x="35" y="242"/>
                </a:lnTo>
                <a:lnTo>
                  <a:pt x="35" y="234"/>
                </a:lnTo>
                <a:lnTo>
                  <a:pt x="20" y="234"/>
                </a:lnTo>
                <a:lnTo>
                  <a:pt x="25" y="234"/>
                </a:lnTo>
                <a:lnTo>
                  <a:pt x="6" y="213"/>
                </a:lnTo>
                <a:lnTo>
                  <a:pt x="6" y="203"/>
                </a:lnTo>
                <a:lnTo>
                  <a:pt x="0" y="197"/>
                </a:lnTo>
                <a:lnTo>
                  <a:pt x="6" y="166"/>
                </a:lnTo>
                <a:lnTo>
                  <a:pt x="0" y="138"/>
                </a:lnTo>
                <a:lnTo>
                  <a:pt x="6" y="71"/>
                </a:lnTo>
                <a:lnTo>
                  <a:pt x="0" y="23"/>
                </a:lnTo>
                <a:lnTo>
                  <a:pt x="20" y="23"/>
                </a:lnTo>
                <a:lnTo>
                  <a:pt x="20" y="47"/>
                </a:lnTo>
                <a:lnTo>
                  <a:pt x="25" y="47"/>
                </a:lnTo>
                <a:lnTo>
                  <a:pt x="25" y="10"/>
                </a:lnTo>
                <a:close/>
              </a:path>
            </a:pathLst>
          </a:custGeom>
          <a:solidFill>
            <a:srgbClr val="82B450"/>
          </a:solidFill>
          <a:ln w="9525">
            <a:solidFill>
              <a:srgbClr val="FFFFFF"/>
            </a:solidFill>
            <a:miter lim="800000"/>
            <a:headEnd/>
            <a:tailEnd/>
          </a:ln>
        </xdr:spPr>
        <xdr:txBody>
          <a:bodyPr vertOverflow="clip" wrap="square" lIns="36576" tIns="32004" rIns="0" bIns="0" anchor="t"/>
          <a:lstStyle/>
          <a:p>
            <a:pPr algn="l" rtl="0">
              <a:defRPr sz="1000"/>
            </a:pPr>
            <a:endParaRPr lang="en-US" sz="1600" b="0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 algn="l" rtl="0">
              <a:defRPr sz="1000"/>
            </a:pPr>
            <a:endParaRPr lang="en-US"/>
          </a:p>
        </xdr:txBody>
      </xdr:sp>
      <xdr:sp macro="" textlink="">
        <xdr:nvSpPr>
          <xdr:cNvPr id="25992" name="Freeform 33"/>
          <xdr:cNvSpPr>
            <a:spLocks/>
          </xdr:cNvSpPr>
        </xdr:nvSpPr>
        <xdr:spPr bwMode="auto">
          <a:xfrm>
            <a:off x="92" y="198"/>
            <a:ext cx="109" cy="122"/>
          </a:xfrm>
          <a:custGeom>
            <a:avLst/>
            <a:gdLst>
              <a:gd name="T0" fmla="*/ 5 w 494"/>
              <a:gd name="T1" fmla="*/ 5 h 559"/>
              <a:gd name="T2" fmla="*/ 5 w 494"/>
              <a:gd name="T3" fmla="*/ 5 h 559"/>
              <a:gd name="T4" fmla="*/ 5 w 494"/>
              <a:gd name="T5" fmla="*/ 4 h 559"/>
              <a:gd name="T6" fmla="*/ 4 w 494"/>
              <a:gd name="T7" fmla="*/ 5 h 559"/>
              <a:gd name="T8" fmla="*/ 4 w 494"/>
              <a:gd name="T9" fmla="*/ 4 h 559"/>
              <a:gd name="T10" fmla="*/ 4 w 494"/>
              <a:gd name="T11" fmla="*/ 1 h 559"/>
              <a:gd name="T12" fmla="*/ 3 w 494"/>
              <a:gd name="T13" fmla="*/ 1 h 559"/>
              <a:gd name="T14" fmla="*/ 3 w 494"/>
              <a:gd name="T15" fmla="*/ 1 h 559"/>
              <a:gd name="T16" fmla="*/ 2 w 494"/>
              <a:gd name="T17" fmla="*/ 0 h 559"/>
              <a:gd name="T18" fmla="*/ 2 w 494"/>
              <a:gd name="T19" fmla="*/ 0 h 559"/>
              <a:gd name="T20" fmla="*/ 2 w 494"/>
              <a:gd name="T21" fmla="*/ 0 h 559"/>
              <a:gd name="T22" fmla="*/ 1 w 494"/>
              <a:gd name="T23" fmla="*/ 0 h 559"/>
              <a:gd name="T24" fmla="*/ 1 w 494"/>
              <a:gd name="T25" fmla="*/ 1 h 559"/>
              <a:gd name="T26" fmla="*/ 0 w 494"/>
              <a:gd name="T27" fmla="*/ 1 h 559"/>
              <a:gd name="T28" fmla="*/ 0 w 494"/>
              <a:gd name="T29" fmla="*/ 2 h 559"/>
              <a:gd name="T30" fmla="*/ 1 w 494"/>
              <a:gd name="T31" fmla="*/ 2 h 559"/>
              <a:gd name="T32" fmla="*/ 0 w 494"/>
              <a:gd name="T33" fmla="*/ 2 h 559"/>
              <a:gd name="T34" fmla="*/ 0 w 494"/>
              <a:gd name="T35" fmla="*/ 2 h 559"/>
              <a:gd name="T36" fmla="*/ 0 w 494"/>
              <a:gd name="T37" fmla="*/ 2 h 559"/>
              <a:gd name="T38" fmla="*/ 0 w 494"/>
              <a:gd name="T39" fmla="*/ 3 h 559"/>
              <a:gd name="T40" fmla="*/ 1 w 494"/>
              <a:gd name="T41" fmla="*/ 3 h 559"/>
              <a:gd name="T42" fmla="*/ 1 w 494"/>
              <a:gd name="T43" fmla="*/ 3 h 559"/>
              <a:gd name="T44" fmla="*/ 1 w 494"/>
              <a:gd name="T45" fmla="*/ 3 h 559"/>
              <a:gd name="T46" fmla="*/ 0 w 494"/>
              <a:gd name="T47" fmla="*/ 3 h 559"/>
              <a:gd name="T48" fmla="*/ 0 w 494"/>
              <a:gd name="T49" fmla="*/ 4 h 559"/>
              <a:gd name="T50" fmla="*/ 1 w 494"/>
              <a:gd name="T51" fmla="*/ 4 h 559"/>
              <a:gd name="T52" fmla="*/ 1 w 494"/>
              <a:gd name="T53" fmla="*/ 5 h 559"/>
              <a:gd name="T54" fmla="*/ 1 w 494"/>
              <a:gd name="T55" fmla="*/ 5 h 559"/>
              <a:gd name="T56" fmla="*/ 1 w 494"/>
              <a:gd name="T57" fmla="*/ 5 h 559"/>
              <a:gd name="T58" fmla="*/ 1 w 494"/>
              <a:gd name="T59" fmla="*/ 5 h 559"/>
              <a:gd name="T60" fmla="*/ 0 w 494"/>
              <a:gd name="T61" fmla="*/ 6 h 559"/>
              <a:gd name="T62" fmla="*/ 1 w 494"/>
              <a:gd name="T63" fmla="*/ 5 h 559"/>
              <a:gd name="T64" fmla="*/ 2 w 494"/>
              <a:gd name="T65" fmla="*/ 5 h 559"/>
              <a:gd name="T66" fmla="*/ 2 w 494"/>
              <a:gd name="T67" fmla="*/ 5 h 559"/>
              <a:gd name="T68" fmla="*/ 2 w 494"/>
              <a:gd name="T69" fmla="*/ 4 h 559"/>
              <a:gd name="T70" fmla="*/ 2 w 494"/>
              <a:gd name="T71" fmla="*/ 4 h 559"/>
              <a:gd name="T72" fmla="*/ 2 w 494"/>
              <a:gd name="T73" fmla="*/ 4 h 559"/>
              <a:gd name="T74" fmla="*/ 2 w 494"/>
              <a:gd name="T75" fmla="*/ 5 h 559"/>
              <a:gd name="T76" fmla="*/ 3 w 494"/>
              <a:gd name="T77" fmla="*/ 4 h 559"/>
              <a:gd name="T78" fmla="*/ 3 w 494"/>
              <a:gd name="T79" fmla="*/ 4 h 559"/>
              <a:gd name="T80" fmla="*/ 3 w 494"/>
              <a:gd name="T81" fmla="*/ 4 h 559"/>
              <a:gd name="T82" fmla="*/ 4 w 494"/>
              <a:gd name="T83" fmla="*/ 4 h 559"/>
              <a:gd name="T84" fmla="*/ 4 w 494"/>
              <a:gd name="T85" fmla="*/ 4 h 559"/>
              <a:gd name="T86" fmla="*/ 5 w 494"/>
              <a:gd name="T87" fmla="*/ 5 h 559"/>
              <a:gd name="T88" fmla="*/ 5 w 494"/>
              <a:gd name="T89" fmla="*/ 5 h 559"/>
              <a:gd name="T90" fmla="*/ 5 w 494"/>
              <a:gd name="T91" fmla="*/ 5 h 559"/>
              <a:gd name="T92" fmla="*/ 5 w 494"/>
              <a:gd name="T93" fmla="*/ 5 h 559"/>
              <a:gd name="T94" fmla="*/ 5 w 494"/>
              <a:gd name="T95" fmla="*/ 5 h 559"/>
              <a:gd name="T96" fmla="*/ 5 w 494"/>
              <a:gd name="T97" fmla="*/ 5 h 559"/>
              <a:gd name="T98" fmla="*/ 5 w 494"/>
              <a:gd name="T99" fmla="*/ 6 h 559"/>
              <a:gd name="T100" fmla="*/ 5 w 494"/>
              <a:gd name="T101" fmla="*/ 5 h 559"/>
              <a:gd name="T102" fmla="*/ 5 w 494"/>
              <a:gd name="T103" fmla="*/ 5 h 559"/>
              <a:gd name="T104" fmla="*/ 5 w 494"/>
              <a:gd name="T105" fmla="*/ 6 h 559"/>
              <a:gd name="T106" fmla="*/ 5 w 494"/>
              <a:gd name="T107" fmla="*/ 6 h 559"/>
              <a:gd name="T108" fmla="*/ 0 60000 65536"/>
              <a:gd name="T109" fmla="*/ 0 60000 65536"/>
              <a:gd name="T110" fmla="*/ 0 60000 65536"/>
              <a:gd name="T111" fmla="*/ 0 60000 65536"/>
              <a:gd name="T112" fmla="*/ 0 60000 65536"/>
              <a:gd name="T113" fmla="*/ 0 60000 65536"/>
              <a:gd name="T114" fmla="*/ 0 60000 65536"/>
              <a:gd name="T115" fmla="*/ 0 60000 65536"/>
              <a:gd name="T116" fmla="*/ 0 60000 65536"/>
              <a:gd name="T117" fmla="*/ 0 60000 65536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w 494"/>
              <a:gd name="T163" fmla="*/ 0 h 559"/>
              <a:gd name="T164" fmla="*/ 494 w 494"/>
              <a:gd name="T165" fmla="*/ 559 h 559"/>
            </a:gdLst>
            <a:ahLst/>
            <a:cxnLst>
              <a:cxn ang="T108">
                <a:pos x="T0" y="T1"/>
              </a:cxn>
              <a:cxn ang="T109">
                <a:pos x="T2" y="T3"/>
              </a:cxn>
              <a:cxn ang="T110">
                <a:pos x="T4" y="T5"/>
              </a:cxn>
              <a:cxn ang="T111">
                <a:pos x="T6" y="T7"/>
              </a:cxn>
              <a:cxn ang="T112">
                <a:pos x="T8" y="T9"/>
              </a:cxn>
              <a:cxn ang="T113">
                <a:pos x="T10" y="T11"/>
              </a:cxn>
              <a:cxn ang="T114">
                <a:pos x="T12" y="T13"/>
              </a:cxn>
              <a:cxn ang="T115">
                <a:pos x="T14" y="T15"/>
              </a:cxn>
              <a:cxn ang="T116">
                <a:pos x="T16" y="T17"/>
              </a:cxn>
              <a:cxn ang="T117">
                <a:pos x="T18" y="T19"/>
              </a:cxn>
              <a:cxn ang="T118">
                <a:pos x="T20" y="T21"/>
              </a:cxn>
              <a:cxn ang="T119">
                <a:pos x="T22" y="T23"/>
              </a:cxn>
              <a:cxn ang="T120">
                <a:pos x="T24" y="T25"/>
              </a:cxn>
              <a:cxn ang="T121">
                <a:pos x="T26" y="T27"/>
              </a:cxn>
              <a:cxn ang="T122">
                <a:pos x="T28" y="T29"/>
              </a:cxn>
              <a:cxn ang="T123">
                <a:pos x="T30" y="T31"/>
              </a:cxn>
              <a:cxn ang="T124">
                <a:pos x="T32" y="T33"/>
              </a:cxn>
              <a:cxn ang="T125">
                <a:pos x="T34" y="T35"/>
              </a:cxn>
              <a:cxn ang="T126">
                <a:pos x="T36" y="T37"/>
              </a:cxn>
              <a:cxn ang="T127">
                <a:pos x="T38" y="T39"/>
              </a:cxn>
              <a:cxn ang="T128">
                <a:pos x="T40" y="T41"/>
              </a:cxn>
              <a:cxn ang="T129">
                <a:pos x="T42" y="T43"/>
              </a:cxn>
              <a:cxn ang="T130">
                <a:pos x="T44" y="T45"/>
              </a:cxn>
              <a:cxn ang="T131">
                <a:pos x="T46" y="T47"/>
              </a:cxn>
              <a:cxn ang="T132">
                <a:pos x="T48" y="T49"/>
              </a:cxn>
              <a:cxn ang="T133">
                <a:pos x="T50" y="T51"/>
              </a:cxn>
              <a:cxn ang="T134">
                <a:pos x="T52" y="T53"/>
              </a:cxn>
              <a:cxn ang="T135">
                <a:pos x="T54" y="T55"/>
              </a:cxn>
              <a:cxn ang="T136">
                <a:pos x="T56" y="T57"/>
              </a:cxn>
              <a:cxn ang="T137">
                <a:pos x="T58" y="T59"/>
              </a:cxn>
              <a:cxn ang="T138">
                <a:pos x="T60" y="T61"/>
              </a:cxn>
              <a:cxn ang="T139">
                <a:pos x="T62" y="T63"/>
              </a:cxn>
              <a:cxn ang="T140">
                <a:pos x="T64" y="T65"/>
              </a:cxn>
              <a:cxn ang="T141">
                <a:pos x="T66" y="T67"/>
              </a:cxn>
              <a:cxn ang="T142">
                <a:pos x="T68" y="T69"/>
              </a:cxn>
              <a:cxn ang="T143">
                <a:pos x="T70" y="T71"/>
              </a:cxn>
              <a:cxn ang="T144">
                <a:pos x="T72" y="T73"/>
              </a:cxn>
              <a:cxn ang="T145">
                <a:pos x="T74" y="T75"/>
              </a:cxn>
              <a:cxn ang="T146">
                <a:pos x="T76" y="T77"/>
              </a:cxn>
              <a:cxn ang="T147">
                <a:pos x="T78" y="T79"/>
              </a:cxn>
              <a:cxn ang="T148">
                <a:pos x="T80" y="T81"/>
              </a:cxn>
              <a:cxn ang="T149">
                <a:pos x="T82" y="T83"/>
              </a:cxn>
              <a:cxn ang="T150">
                <a:pos x="T84" y="T85"/>
              </a:cxn>
              <a:cxn ang="T151">
                <a:pos x="T86" y="T87"/>
              </a:cxn>
              <a:cxn ang="T152">
                <a:pos x="T88" y="T89"/>
              </a:cxn>
              <a:cxn ang="T153">
                <a:pos x="T90" y="T91"/>
              </a:cxn>
              <a:cxn ang="T154">
                <a:pos x="T92" y="T93"/>
              </a:cxn>
              <a:cxn ang="T155">
                <a:pos x="T94" y="T95"/>
              </a:cxn>
              <a:cxn ang="T156">
                <a:pos x="T96" y="T97"/>
              </a:cxn>
              <a:cxn ang="T157">
                <a:pos x="T98" y="T99"/>
              </a:cxn>
              <a:cxn ang="T158">
                <a:pos x="T100" y="T101"/>
              </a:cxn>
              <a:cxn ang="T159">
                <a:pos x="T102" y="T103"/>
              </a:cxn>
              <a:cxn ang="T160">
                <a:pos x="T104" y="T105"/>
              </a:cxn>
              <a:cxn ang="T161">
                <a:pos x="T106" y="T107"/>
              </a:cxn>
            </a:cxnLst>
            <a:rect l="T162" t="T163" r="T164" b="T165"/>
            <a:pathLst>
              <a:path w="494" h="559">
                <a:moveTo>
                  <a:pt x="494" y="546"/>
                </a:moveTo>
                <a:lnTo>
                  <a:pt x="494" y="516"/>
                </a:lnTo>
                <a:lnTo>
                  <a:pt x="474" y="494"/>
                </a:lnTo>
                <a:lnTo>
                  <a:pt x="446" y="440"/>
                </a:lnTo>
                <a:lnTo>
                  <a:pt x="439" y="440"/>
                </a:lnTo>
                <a:lnTo>
                  <a:pt x="431" y="411"/>
                </a:lnTo>
                <a:lnTo>
                  <a:pt x="419" y="428"/>
                </a:lnTo>
                <a:lnTo>
                  <a:pt x="402" y="435"/>
                </a:lnTo>
                <a:lnTo>
                  <a:pt x="382" y="405"/>
                </a:lnTo>
                <a:lnTo>
                  <a:pt x="382" y="395"/>
                </a:lnTo>
                <a:lnTo>
                  <a:pt x="353" y="405"/>
                </a:lnTo>
                <a:lnTo>
                  <a:pt x="353" y="74"/>
                </a:lnTo>
                <a:lnTo>
                  <a:pt x="332" y="53"/>
                </a:lnTo>
                <a:lnTo>
                  <a:pt x="302" y="65"/>
                </a:lnTo>
                <a:lnTo>
                  <a:pt x="291" y="53"/>
                </a:lnTo>
                <a:lnTo>
                  <a:pt x="270" y="53"/>
                </a:lnTo>
                <a:lnTo>
                  <a:pt x="248" y="38"/>
                </a:lnTo>
                <a:lnTo>
                  <a:pt x="213" y="38"/>
                </a:lnTo>
                <a:lnTo>
                  <a:pt x="206" y="21"/>
                </a:lnTo>
                <a:lnTo>
                  <a:pt x="176" y="21"/>
                </a:lnTo>
                <a:lnTo>
                  <a:pt x="168" y="8"/>
                </a:lnTo>
                <a:lnTo>
                  <a:pt x="149" y="0"/>
                </a:lnTo>
                <a:lnTo>
                  <a:pt x="132" y="21"/>
                </a:lnTo>
                <a:lnTo>
                  <a:pt x="90" y="45"/>
                </a:lnTo>
                <a:lnTo>
                  <a:pt x="84" y="45"/>
                </a:lnTo>
                <a:lnTo>
                  <a:pt x="62" y="65"/>
                </a:lnTo>
                <a:lnTo>
                  <a:pt x="57" y="104"/>
                </a:lnTo>
                <a:lnTo>
                  <a:pt x="20" y="111"/>
                </a:lnTo>
                <a:lnTo>
                  <a:pt x="13" y="127"/>
                </a:lnTo>
                <a:lnTo>
                  <a:pt x="49" y="156"/>
                </a:lnTo>
                <a:lnTo>
                  <a:pt x="77" y="201"/>
                </a:lnTo>
                <a:lnTo>
                  <a:pt x="77" y="210"/>
                </a:lnTo>
                <a:lnTo>
                  <a:pt x="49" y="210"/>
                </a:lnTo>
                <a:lnTo>
                  <a:pt x="49" y="195"/>
                </a:lnTo>
                <a:lnTo>
                  <a:pt x="42" y="195"/>
                </a:lnTo>
                <a:lnTo>
                  <a:pt x="5" y="210"/>
                </a:lnTo>
                <a:lnTo>
                  <a:pt x="0" y="232"/>
                </a:lnTo>
                <a:lnTo>
                  <a:pt x="13" y="240"/>
                </a:lnTo>
                <a:lnTo>
                  <a:pt x="13" y="253"/>
                </a:lnTo>
                <a:lnTo>
                  <a:pt x="35" y="270"/>
                </a:lnTo>
                <a:lnTo>
                  <a:pt x="62" y="270"/>
                </a:lnTo>
                <a:lnTo>
                  <a:pt x="84" y="253"/>
                </a:lnTo>
                <a:lnTo>
                  <a:pt x="84" y="270"/>
                </a:lnTo>
                <a:lnTo>
                  <a:pt x="90" y="285"/>
                </a:lnTo>
                <a:lnTo>
                  <a:pt x="84" y="306"/>
                </a:lnTo>
                <a:lnTo>
                  <a:pt x="62" y="306"/>
                </a:lnTo>
                <a:lnTo>
                  <a:pt x="57" y="314"/>
                </a:lnTo>
                <a:lnTo>
                  <a:pt x="42" y="314"/>
                </a:lnTo>
                <a:lnTo>
                  <a:pt x="20" y="359"/>
                </a:lnTo>
                <a:lnTo>
                  <a:pt x="49" y="411"/>
                </a:lnTo>
                <a:lnTo>
                  <a:pt x="57" y="411"/>
                </a:lnTo>
                <a:lnTo>
                  <a:pt x="77" y="405"/>
                </a:lnTo>
                <a:lnTo>
                  <a:pt x="77" y="435"/>
                </a:lnTo>
                <a:lnTo>
                  <a:pt x="84" y="440"/>
                </a:lnTo>
                <a:lnTo>
                  <a:pt x="106" y="440"/>
                </a:lnTo>
                <a:lnTo>
                  <a:pt x="119" y="448"/>
                </a:lnTo>
                <a:lnTo>
                  <a:pt x="119" y="440"/>
                </a:lnTo>
                <a:lnTo>
                  <a:pt x="132" y="440"/>
                </a:lnTo>
                <a:lnTo>
                  <a:pt x="132" y="479"/>
                </a:lnTo>
                <a:lnTo>
                  <a:pt x="90" y="516"/>
                </a:lnTo>
                <a:lnTo>
                  <a:pt x="62" y="526"/>
                </a:lnTo>
                <a:lnTo>
                  <a:pt x="35" y="554"/>
                </a:lnTo>
                <a:lnTo>
                  <a:pt x="42" y="559"/>
                </a:lnTo>
                <a:lnTo>
                  <a:pt x="119" y="516"/>
                </a:lnTo>
                <a:lnTo>
                  <a:pt x="142" y="485"/>
                </a:lnTo>
                <a:lnTo>
                  <a:pt x="184" y="448"/>
                </a:lnTo>
                <a:lnTo>
                  <a:pt x="189" y="440"/>
                </a:lnTo>
                <a:lnTo>
                  <a:pt x="176" y="435"/>
                </a:lnTo>
                <a:lnTo>
                  <a:pt x="206" y="405"/>
                </a:lnTo>
                <a:lnTo>
                  <a:pt x="206" y="388"/>
                </a:lnTo>
                <a:lnTo>
                  <a:pt x="226" y="368"/>
                </a:lnTo>
                <a:lnTo>
                  <a:pt x="233" y="368"/>
                </a:lnTo>
                <a:lnTo>
                  <a:pt x="218" y="388"/>
                </a:lnTo>
                <a:lnTo>
                  <a:pt x="213" y="411"/>
                </a:lnTo>
                <a:lnTo>
                  <a:pt x="218" y="428"/>
                </a:lnTo>
                <a:lnTo>
                  <a:pt x="213" y="435"/>
                </a:lnTo>
                <a:lnTo>
                  <a:pt x="218" y="435"/>
                </a:lnTo>
                <a:lnTo>
                  <a:pt x="248" y="411"/>
                </a:lnTo>
                <a:lnTo>
                  <a:pt x="255" y="411"/>
                </a:lnTo>
                <a:lnTo>
                  <a:pt x="261" y="395"/>
                </a:lnTo>
                <a:lnTo>
                  <a:pt x="255" y="374"/>
                </a:lnTo>
                <a:lnTo>
                  <a:pt x="310" y="405"/>
                </a:lnTo>
                <a:lnTo>
                  <a:pt x="338" y="405"/>
                </a:lnTo>
                <a:lnTo>
                  <a:pt x="360" y="411"/>
                </a:lnTo>
                <a:lnTo>
                  <a:pt x="374" y="411"/>
                </a:lnTo>
                <a:lnTo>
                  <a:pt x="374" y="428"/>
                </a:lnTo>
                <a:lnTo>
                  <a:pt x="419" y="462"/>
                </a:lnTo>
                <a:lnTo>
                  <a:pt x="439" y="516"/>
                </a:lnTo>
                <a:lnTo>
                  <a:pt x="431" y="472"/>
                </a:lnTo>
                <a:lnTo>
                  <a:pt x="426" y="462"/>
                </a:lnTo>
                <a:lnTo>
                  <a:pt x="431" y="462"/>
                </a:lnTo>
                <a:lnTo>
                  <a:pt x="431" y="440"/>
                </a:lnTo>
                <a:lnTo>
                  <a:pt x="439" y="485"/>
                </a:lnTo>
                <a:lnTo>
                  <a:pt x="446" y="479"/>
                </a:lnTo>
                <a:lnTo>
                  <a:pt x="467" y="494"/>
                </a:lnTo>
                <a:lnTo>
                  <a:pt x="446" y="485"/>
                </a:lnTo>
                <a:lnTo>
                  <a:pt x="446" y="516"/>
                </a:lnTo>
                <a:lnTo>
                  <a:pt x="461" y="509"/>
                </a:lnTo>
                <a:lnTo>
                  <a:pt x="461" y="526"/>
                </a:lnTo>
                <a:lnTo>
                  <a:pt x="474" y="554"/>
                </a:lnTo>
                <a:lnTo>
                  <a:pt x="474" y="531"/>
                </a:lnTo>
                <a:lnTo>
                  <a:pt x="467" y="516"/>
                </a:lnTo>
                <a:lnTo>
                  <a:pt x="474" y="516"/>
                </a:lnTo>
                <a:lnTo>
                  <a:pt x="474" y="526"/>
                </a:lnTo>
                <a:lnTo>
                  <a:pt x="488" y="554"/>
                </a:lnTo>
                <a:lnTo>
                  <a:pt x="494" y="546"/>
                </a:lnTo>
                <a:close/>
              </a:path>
            </a:pathLst>
          </a:custGeom>
          <a:solidFill>
            <a:srgbClr val="82B450"/>
          </a:solidFill>
          <a:ln w="9525">
            <a:solidFill>
              <a:srgbClr val="FFFFFF"/>
            </a:solidFill>
            <a:miter lim="800000"/>
            <a:headEnd/>
            <a:tailEnd/>
          </a:ln>
        </xdr:spPr>
        <xdr:txBody>
          <a:bodyPr vertOverflow="clip" wrap="square" lIns="36576" tIns="32004" rIns="0" bIns="0" anchor="t"/>
          <a:lstStyle/>
          <a:p>
            <a:pPr algn="l" rtl="0">
              <a:defRPr sz="1000"/>
            </a:pPr>
            <a:endParaRPr lang="en-US" sz="1600" b="0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 algn="l" rtl="0">
              <a:defRPr sz="1000"/>
            </a:pPr>
            <a:endParaRPr lang="en-US"/>
          </a:p>
        </xdr:txBody>
      </xdr:sp>
    </xdr:grpSp>
    <xdr:clientData/>
  </xdr:twoCellAnchor>
  <xdr:twoCellAnchor>
    <xdr:from>
      <xdr:col>4</xdr:col>
      <xdr:colOff>638175</xdr:colOff>
      <xdr:row>24</xdr:row>
      <xdr:rowOff>123825</xdr:rowOff>
    </xdr:from>
    <xdr:to>
      <xdr:col>6</xdr:col>
      <xdr:colOff>47625</xdr:colOff>
      <xdr:row>28</xdr:row>
      <xdr:rowOff>76200</xdr:rowOff>
    </xdr:to>
    <xdr:sp macro="" textlink="">
      <xdr:nvSpPr>
        <xdr:cNvPr id="25745" name="S_MEX"/>
        <xdr:cNvSpPr>
          <a:spLocks/>
        </xdr:cNvSpPr>
      </xdr:nvSpPr>
      <xdr:spPr bwMode="auto">
        <a:xfrm>
          <a:off x="2181225" y="3857625"/>
          <a:ext cx="838200" cy="600075"/>
        </a:xfrm>
        <a:custGeom>
          <a:avLst/>
          <a:gdLst>
            <a:gd name="T0" fmla="*/ 1144324294 w 398"/>
            <a:gd name="T1" fmla="*/ 576701465 h 286"/>
            <a:gd name="T2" fmla="*/ 1170936083 w 398"/>
            <a:gd name="T3" fmla="*/ 779205710 h 286"/>
            <a:gd name="T4" fmla="*/ 1237465555 w 398"/>
            <a:gd name="T5" fmla="*/ 1008125832 h 286"/>
            <a:gd name="T6" fmla="*/ 1552378041 w 398"/>
            <a:gd name="T7" fmla="*/ 1008125832 h 286"/>
            <a:gd name="T8" fmla="*/ 1552378041 w 398"/>
            <a:gd name="T9" fmla="*/ 942090334 h 286"/>
            <a:gd name="T10" fmla="*/ 1738662669 w 398"/>
            <a:gd name="T11" fmla="*/ 779205710 h 286"/>
            <a:gd name="T12" fmla="*/ 1738662669 w 398"/>
            <a:gd name="T13" fmla="*/ 1030135566 h 286"/>
            <a:gd name="T14" fmla="*/ 1667695792 w 398"/>
            <a:gd name="T15" fmla="*/ 1030135566 h 286"/>
            <a:gd name="T16" fmla="*/ 1512458252 w 398"/>
            <a:gd name="T17" fmla="*/ 1074159232 h 286"/>
            <a:gd name="T18" fmla="*/ 1512458252 w 398"/>
            <a:gd name="T19" fmla="*/ 1140194992 h 286"/>
            <a:gd name="T20" fmla="*/ 1366091307 w 398"/>
            <a:gd name="T21" fmla="*/ 1140194992 h 286"/>
            <a:gd name="T22" fmla="*/ 1237465555 w 398"/>
            <a:gd name="T23" fmla="*/ 1197424498 h 286"/>
            <a:gd name="T24" fmla="*/ 949166701 w 398"/>
            <a:gd name="T25" fmla="*/ 1074159232 h 286"/>
            <a:gd name="T26" fmla="*/ 793929160 w 398"/>
            <a:gd name="T27" fmla="*/ 1030135566 h 286"/>
            <a:gd name="T28" fmla="*/ 660870216 w 398"/>
            <a:gd name="T29" fmla="*/ 871652889 h 286"/>
            <a:gd name="T30" fmla="*/ 660870216 w 398"/>
            <a:gd name="T31" fmla="*/ 739586090 h 286"/>
            <a:gd name="T32" fmla="*/ 443536263 w 398"/>
            <a:gd name="T33" fmla="*/ 501861943 h 286"/>
            <a:gd name="T34" fmla="*/ 377006791 w 398"/>
            <a:gd name="T35" fmla="*/ 378596939 h 286"/>
            <a:gd name="T36" fmla="*/ 319345810 w 398"/>
            <a:gd name="T37" fmla="*/ 334573273 h 286"/>
            <a:gd name="T38" fmla="*/ 199590588 w 398"/>
            <a:gd name="T39" fmla="*/ 105655151 h 286"/>
            <a:gd name="T40" fmla="*/ 124190487 w 398"/>
            <a:gd name="T41" fmla="*/ 171688584 h 286"/>
            <a:gd name="T42" fmla="*/ 412489176 w 398"/>
            <a:gd name="T43" fmla="*/ 607517192 h 286"/>
            <a:gd name="T44" fmla="*/ 412489176 w 398"/>
            <a:gd name="T45" fmla="*/ 708768265 h 286"/>
            <a:gd name="T46" fmla="*/ 288298723 w 398"/>
            <a:gd name="T47" fmla="*/ 532677669 h 286"/>
            <a:gd name="T48" fmla="*/ 124190487 w 398"/>
            <a:gd name="T49" fmla="*/ 409412665 h 286"/>
            <a:gd name="T50" fmla="*/ 124190487 w 398"/>
            <a:gd name="T51" fmla="*/ 378596939 h 286"/>
            <a:gd name="T52" fmla="*/ 70964803 w 398"/>
            <a:gd name="T53" fmla="*/ 198102363 h 286"/>
            <a:gd name="T54" fmla="*/ 102013996 w 398"/>
            <a:gd name="T55" fmla="*/ 0 h 286"/>
            <a:gd name="T56" fmla="*/ 629821023 w 398"/>
            <a:gd name="T57" fmla="*/ 44023682 h 286"/>
            <a:gd name="T58" fmla="*/ 731834986 w 398"/>
            <a:gd name="T59" fmla="*/ 198102363 h 286"/>
            <a:gd name="T60" fmla="*/ 829413651 w 398"/>
            <a:gd name="T61" fmla="*/ 246527975 h 286"/>
            <a:gd name="T62" fmla="*/ 918119614 w 398"/>
            <a:gd name="T63" fmla="*/ 198102363 h 286"/>
            <a:gd name="T64" fmla="*/ 1170936083 w 398"/>
            <a:gd name="T65" fmla="*/ 501861943 h 286"/>
            <a:gd name="T66" fmla="*/ 0 60000 65536"/>
            <a:gd name="T67" fmla="*/ 0 60000 65536"/>
            <a:gd name="T68" fmla="*/ 0 60000 65536"/>
            <a:gd name="T69" fmla="*/ 0 60000 65536"/>
            <a:gd name="T70" fmla="*/ 0 60000 65536"/>
            <a:gd name="T71" fmla="*/ 0 60000 65536"/>
            <a:gd name="T72" fmla="*/ 0 60000 65536"/>
            <a:gd name="T73" fmla="*/ 0 60000 65536"/>
            <a:gd name="T74" fmla="*/ 0 60000 65536"/>
            <a:gd name="T75" fmla="*/ 0 60000 65536"/>
            <a:gd name="T76" fmla="*/ 0 60000 65536"/>
            <a:gd name="T77" fmla="*/ 0 60000 65536"/>
            <a:gd name="T78" fmla="*/ 0 60000 65536"/>
            <a:gd name="T79" fmla="*/ 0 60000 65536"/>
            <a:gd name="T80" fmla="*/ 0 60000 65536"/>
            <a:gd name="T81" fmla="*/ 0 60000 65536"/>
            <a:gd name="T82" fmla="*/ 0 60000 65536"/>
            <a:gd name="T83" fmla="*/ 0 60000 65536"/>
            <a:gd name="T84" fmla="*/ 0 60000 65536"/>
            <a:gd name="T85" fmla="*/ 0 60000 65536"/>
            <a:gd name="T86" fmla="*/ 0 60000 65536"/>
            <a:gd name="T87" fmla="*/ 0 60000 65536"/>
            <a:gd name="T88" fmla="*/ 0 60000 65536"/>
            <a:gd name="T89" fmla="*/ 0 60000 65536"/>
            <a:gd name="T90" fmla="*/ 0 60000 65536"/>
            <a:gd name="T91" fmla="*/ 0 60000 65536"/>
            <a:gd name="T92" fmla="*/ 0 60000 65536"/>
            <a:gd name="T93" fmla="*/ 0 60000 65536"/>
            <a:gd name="T94" fmla="*/ 0 60000 65536"/>
            <a:gd name="T95" fmla="*/ 0 60000 65536"/>
            <a:gd name="T96" fmla="*/ 0 60000 65536"/>
            <a:gd name="T97" fmla="*/ 0 60000 65536"/>
            <a:gd name="T98" fmla="*/ 0 60000 65536"/>
            <a:gd name="T99" fmla="*/ 0 w 398"/>
            <a:gd name="T100" fmla="*/ 0 h 286"/>
            <a:gd name="T101" fmla="*/ 398 w 398"/>
            <a:gd name="T102" fmla="*/ 286 h 286"/>
          </a:gdLst>
          <a:ahLst/>
          <a:cxnLst>
            <a:cxn ang="T66">
              <a:pos x="T0" y="T1"/>
            </a:cxn>
            <a:cxn ang="T67">
              <a:pos x="T2" y="T3"/>
            </a:cxn>
            <a:cxn ang="T68">
              <a:pos x="T4" y="T5"/>
            </a:cxn>
            <a:cxn ang="T69">
              <a:pos x="T6" y="T7"/>
            </a:cxn>
            <a:cxn ang="T70">
              <a:pos x="T8" y="T9"/>
            </a:cxn>
            <a:cxn ang="T71">
              <a:pos x="T10" y="T11"/>
            </a:cxn>
            <a:cxn ang="T72">
              <a:pos x="T12" y="T13"/>
            </a:cxn>
            <a:cxn ang="T73">
              <a:pos x="T14" y="T15"/>
            </a:cxn>
            <a:cxn ang="T74">
              <a:pos x="T16" y="T17"/>
            </a:cxn>
            <a:cxn ang="T75">
              <a:pos x="T18" y="T19"/>
            </a:cxn>
            <a:cxn ang="T76">
              <a:pos x="T20" y="T21"/>
            </a:cxn>
            <a:cxn ang="T77">
              <a:pos x="T22" y="T23"/>
            </a:cxn>
            <a:cxn ang="T78">
              <a:pos x="T24" y="T25"/>
            </a:cxn>
            <a:cxn ang="T79">
              <a:pos x="T26" y="T27"/>
            </a:cxn>
            <a:cxn ang="T80">
              <a:pos x="T28" y="T29"/>
            </a:cxn>
            <a:cxn ang="T81">
              <a:pos x="T30" y="T31"/>
            </a:cxn>
            <a:cxn ang="T82">
              <a:pos x="T32" y="T33"/>
            </a:cxn>
            <a:cxn ang="T83">
              <a:pos x="T34" y="T35"/>
            </a:cxn>
            <a:cxn ang="T84">
              <a:pos x="T36" y="T37"/>
            </a:cxn>
            <a:cxn ang="T85">
              <a:pos x="T38" y="T39"/>
            </a:cxn>
            <a:cxn ang="T86">
              <a:pos x="T40" y="T41"/>
            </a:cxn>
            <a:cxn ang="T87">
              <a:pos x="T42" y="T43"/>
            </a:cxn>
            <a:cxn ang="T88">
              <a:pos x="T44" y="T45"/>
            </a:cxn>
            <a:cxn ang="T89">
              <a:pos x="T46" y="T47"/>
            </a:cxn>
            <a:cxn ang="T90">
              <a:pos x="T48" y="T49"/>
            </a:cxn>
            <a:cxn ang="T91">
              <a:pos x="T50" y="T51"/>
            </a:cxn>
            <a:cxn ang="T92">
              <a:pos x="T52" y="T53"/>
            </a:cxn>
            <a:cxn ang="T93">
              <a:pos x="T54" y="T55"/>
            </a:cxn>
            <a:cxn ang="T94">
              <a:pos x="T56" y="T57"/>
            </a:cxn>
            <a:cxn ang="T95">
              <a:pos x="T58" y="T59"/>
            </a:cxn>
            <a:cxn ang="T96">
              <a:pos x="T60" y="T61"/>
            </a:cxn>
            <a:cxn ang="T97">
              <a:pos x="T62" y="T63"/>
            </a:cxn>
            <a:cxn ang="T98">
              <a:pos x="T64" y="T65"/>
            </a:cxn>
          </a:cxnLst>
          <a:rect l="T99" t="T100" r="T101" b="T102"/>
          <a:pathLst>
            <a:path w="398" h="286">
              <a:moveTo>
                <a:pt x="264" y="114"/>
              </a:moveTo>
              <a:lnTo>
                <a:pt x="258" y="131"/>
              </a:lnTo>
              <a:lnTo>
                <a:pt x="258" y="168"/>
              </a:lnTo>
              <a:lnTo>
                <a:pt x="264" y="177"/>
              </a:lnTo>
              <a:lnTo>
                <a:pt x="264" y="183"/>
              </a:lnTo>
              <a:lnTo>
                <a:pt x="279" y="229"/>
              </a:lnTo>
              <a:lnTo>
                <a:pt x="308" y="234"/>
              </a:lnTo>
              <a:lnTo>
                <a:pt x="350" y="229"/>
              </a:lnTo>
              <a:lnTo>
                <a:pt x="341" y="229"/>
              </a:lnTo>
              <a:lnTo>
                <a:pt x="350" y="214"/>
              </a:lnTo>
              <a:lnTo>
                <a:pt x="355" y="183"/>
              </a:lnTo>
              <a:lnTo>
                <a:pt x="392" y="177"/>
              </a:lnTo>
              <a:lnTo>
                <a:pt x="398" y="183"/>
              </a:lnTo>
              <a:lnTo>
                <a:pt x="392" y="234"/>
              </a:lnTo>
              <a:lnTo>
                <a:pt x="383" y="229"/>
              </a:lnTo>
              <a:lnTo>
                <a:pt x="376" y="234"/>
              </a:lnTo>
              <a:lnTo>
                <a:pt x="350" y="234"/>
              </a:lnTo>
              <a:lnTo>
                <a:pt x="341" y="244"/>
              </a:lnTo>
              <a:lnTo>
                <a:pt x="355" y="259"/>
              </a:lnTo>
              <a:lnTo>
                <a:pt x="341" y="259"/>
              </a:lnTo>
              <a:lnTo>
                <a:pt x="335" y="286"/>
              </a:lnTo>
              <a:lnTo>
                <a:pt x="308" y="259"/>
              </a:lnTo>
              <a:lnTo>
                <a:pt x="293" y="259"/>
              </a:lnTo>
              <a:lnTo>
                <a:pt x="279" y="272"/>
              </a:lnTo>
              <a:lnTo>
                <a:pt x="258" y="259"/>
              </a:lnTo>
              <a:lnTo>
                <a:pt x="214" y="244"/>
              </a:lnTo>
              <a:lnTo>
                <a:pt x="207" y="234"/>
              </a:lnTo>
              <a:lnTo>
                <a:pt x="179" y="234"/>
              </a:lnTo>
              <a:lnTo>
                <a:pt x="165" y="214"/>
              </a:lnTo>
              <a:lnTo>
                <a:pt x="149" y="198"/>
              </a:lnTo>
              <a:lnTo>
                <a:pt x="165" y="183"/>
              </a:lnTo>
              <a:lnTo>
                <a:pt x="149" y="168"/>
              </a:lnTo>
              <a:lnTo>
                <a:pt x="122" y="121"/>
              </a:lnTo>
              <a:lnTo>
                <a:pt x="100" y="114"/>
              </a:lnTo>
              <a:lnTo>
                <a:pt x="100" y="108"/>
              </a:lnTo>
              <a:lnTo>
                <a:pt x="85" y="86"/>
              </a:lnTo>
              <a:lnTo>
                <a:pt x="85" y="76"/>
              </a:lnTo>
              <a:lnTo>
                <a:pt x="72" y="76"/>
              </a:lnTo>
              <a:lnTo>
                <a:pt x="50" y="24"/>
              </a:lnTo>
              <a:lnTo>
                <a:pt x="45" y="24"/>
              </a:lnTo>
              <a:lnTo>
                <a:pt x="23" y="10"/>
              </a:lnTo>
              <a:lnTo>
                <a:pt x="28" y="39"/>
              </a:lnTo>
              <a:lnTo>
                <a:pt x="85" y="138"/>
              </a:lnTo>
              <a:lnTo>
                <a:pt x="93" y="138"/>
              </a:lnTo>
              <a:lnTo>
                <a:pt x="100" y="155"/>
              </a:lnTo>
              <a:lnTo>
                <a:pt x="93" y="161"/>
              </a:lnTo>
              <a:lnTo>
                <a:pt x="56" y="131"/>
              </a:lnTo>
              <a:lnTo>
                <a:pt x="65" y="121"/>
              </a:lnTo>
              <a:lnTo>
                <a:pt x="56" y="108"/>
              </a:lnTo>
              <a:lnTo>
                <a:pt x="28" y="93"/>
              </a:lnTo>
              <a:lnTo>
                <a:pt x="23" y="76"/>
              </a:lnTo>
              <a:lnTo>
                <a:pt x="28" y="86"/>
              </a:lnTo>
              <a:lnTo>
                <a:pt x="45" y="61"/>
              </a:lnTo>
              <a:lnTo>
                <a:pt x="16" y="45"/>
              </a:lnTo>
              <a:lnTo>
                <a:pt x="0" y="0"/>
              </a:lnTo>
              <a:lnTo>
                <a:pt x="23" y="0"/>
              </a:lnTo>
              <a:lnTo>
                <a:pt x="72" y="24"/>
              </a:lnTo>
              <a:lnTo>
                <a:pt x="142" y="10"/>
              </a:lnTo>
              <a:lnTo>
                <a:pt x="165" y="32"/>
              </a:lnTo>
              <a:lnTo>
                <a:pt x="165" y="45"/>
              </a:lnTo>
              <a:lnTo>
                <a:pt x="179" y="56"/>
              </a:lnTo>
              <a:lnTo>
                <a:pt x="187" y="56"/>
              </a:lnTo>
              <a:lnTo>
                <a:pt x="192" y="45"/>
              </a:lnTo>
              <a:lnTo>
                <a:pt x="207" y="45"/>
              </a:lnTo>
              <a:lnTo>
                <a:pt x="234" y="108"/>
              </a:lnTo>
              <a:lnTo>
                <a:pt x="264" y="114"/>
              </a:lnTo>
              <a:close/>
            </a:path>
          </a:pathLst>
        </a:custGeom>
        <a:solidFill>
          <a:srgbClr val="F0F5BE"/>
        </a:solidFill>
        <a:ln w="9525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36576" tIns="32004" rIns="0" bIns="0" anchor="t"/>
        <a:lstStyle/>
        <a:p>
          <a:pPr algn="l" rtl="0">
            <a:defRPr sz="1000"/>
          </a:pPr>
          <a:endParaRPr lang="en-US" sz="16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en-US"/>
        </a:p>
      </xdr:txBody>
    </xdr:sp>
    <xdr:clientData/>
  </xdr:twoCellAnchor>
  <xdr:twoCellAnchor>
    <xdr:from>
      <xdr:col>3</xdr:col>
      <xdr:colOff>676275</xdr:colOff>
      <xdr:row>4</xdr:row>
      <xdr:rowOff>104775</xdr:rowOff>
    </xdr:from>
    <xdr:to>
      <xdr:col>8</xdr:col>
      <xdr:colOff>561975</xdr:colOff>
      <xdr:row>22</xdr:row>
      <xdr:rowOff>114300</xdr:rowOff>
    </xdr:to>
    <xdr:grpSp>
      <xdr:nvGrpSpPr>
        <xdr:cNvPr id="25746" name="S_CAN"/>
        <xdr:cNvGrpSpPr>
          <a:grpSpLocks/>
        </xdr:cNvGrpSpPr>
      </xdr:nvGrpSpPr>
      <xdr:grpSpPr bwMode="auto">
        <a:xfrm>
          <a:off x="2267510" y="1057275"/>
          <a:ext cx="3471583" cy="2833407"/>
          <a:chOff x="170" y="75"/>
          <a:chExt cx="363" cy="307"/>
        </a:xfrm>
      </xdr:grpSpPr>
      <xdr:sp macro="" textlink="">
        <xdr:nvSpPr>
          <xdr:cNvPr id="25967" name="Freeform 4"/>
          <xdr:cNvSpPr>
            <a:spLocks/>
          </xdr:cNvSpPr>
        </xdr:nvSpPr>
        <xdr:spPr bwMode="auto">
          <a:xfrm>
            <a:off x="377" y="75"/>
            <a:ext cx="156" cy="189"/>
          </a:xfrm>
          <a:custGeom>
            <a:avLst/>
            <a:gdLst>
              <a:gd name="T0" fmla="*/ 4 w 707"/>
              <a:gd name="T1" fmla="*/ 9 h 861"/>
              <a:gd name="T2" fmla="*/ 4 w 707"/>
              <a:gd name="T3" fmla="*/ 9 h 861"/>
              <a:gd name="T4" fmla="*/ 3 w 707"/>
              <a:gd name="T5" fmla="*/ 9 h 861"/>
              <a:gd name="T6" fmla="*/ 3 w 707"/>
              <a:gd name="T7" fmla="*/ 9 h 861"/>
              <a:gd name="T8" fmla="*/ 3 w 707"/>
              <a:gd name="T9" fmla="*/ 9 h 861"/>
              <a:gd name="T10" fmla="*/ 3 w 707"/>
              <a:gd name="T11" fmla="*/ 8 h 861"/>
              <a:gd name="T12" fmla="*/ 3 w 707"/>
              <a:gd name="T13" fmla="*/ 8 h 861"/>
              <a:gd name="T14" fmla="*/ 2 w 707"/>
              <a:gd name="T15" fmla="*/ 8 h 861"/>
              <a:gd name="T16" fmla="*/ 2 w 707"/>
              <a:gd name="T17" fmla="*/ 8 h 861"/>
              <a:gd name="T18" fmla="*/ 3 w 707"/>
              <a:gd name="T19" fmla="*/ 7 h 861"/>
              <a:gd name="T20" fmla="*/ 2 w 707"/>
              <a:gd name="T21" fmla="*/ 7 h 861"/>
              <a:gd name="T22" fmla="*/ 3 w 707"/>
              <a:gd name="T23" fmla="*/ 6 h 861"/>
              <a:gd name="T24" fmla="*/ 3 w 707"/>
              <a:gd name="T25" fmla="*/ 6 h 861"/>
              <a:gd name="T26" fmla="*/ 3 w 707"/>
              <a:gd name="T27" fmla="*/ 6 h 861"/>
              <a:gd name="T28" fmla="*/ 2 w 707"/>
              <a:gd name="T29" fmla="*/ 5 h 861"/>
              <a:gd name="T30" fmla="*/ 2 w 707"/>
              <a:gd name="T31" fmla="*/ 5 h 861"/>
              <a:gd name="T32" fmla="*/ 1 w 707"/>
              <a:gd name="T33" fmla="*/ 5 h 861"/>
              <a:gd name="T34" fmla="*/ 0 w 707"/>
              <a:gd name="T35" fmla="*/ 4 h 861"/>
              <a:gd name="T36" fmla="*/ 0 w 707"/>
              <a:gd name="T37" fmla="*/ 4 h 861"/>
              <a:gd name="T38" fmla="*/ 0 w 707"/>
              <a:gd name="T39" fmla="*/ 4 h 861"/>
              <a:gd name="T40" fmla="*/ 1 w 707"/>
              <a:gd name="T41" fmla="*/ 2 h 861"/>
              <a:gd name="T42" fmla="*/ 1 w 707"/>
              <a:gd name="T43" fmla="*/ 2 h 861"/>
              <a:gd name="T44" fmla="*/ 2 w 707"/>
              <a:gd name="T45" fmla="*/ 1 h 861"/>
              <a:gd name="T46" fmla="*/ 2 w 707"/>
              <a:gd name="T47" fmla="*/ 2 h 861"/>
              <a:gd name="T48" fmla="*/ 3 w 707"/>
              <a:gd name="T49" fmla="*/ 1 h 861"/>
              <a:gd name="T50" fmla="*/ 3 w 707"/>
              <a:gd name="T51" fmla="*/ 1 h 861"/>
              <a:gd name="T52" fmla="*/ 4 w 707"/>
              <a:gd name="T53" fmla="*/ 1 h 861"/>
              <a:gd name="T54" fmla="*/ 3 w 707"/>
              <a:gd name="T55" fmla="*/ 0 h 861"/>
              <a:gd name="T56" fmla="*/ 5 w 707"/>
              <a:gd name="T57" fmla="*/ 0 h 861"/>
              <a:gd name="T58" fmla="*/ 5 w 707"/>
              <a:gd name="T59" fmla="*/ 0 h 861"/>
              <a:gd name="T60" fmla="*/ 6 w 707"/>
              <a:gd name="T61" fmla="*/ 1 h 861"/>
              <a:gd name="T62" fmla="*/ 6 w 707"/>
              <a:gd name="T63" fmla="*/ 1 h 861"/>
              <a:gd name="T64" fmla="*/ 6 w 707"/>
              <a:gd name="T65" fmla="*/ 1 h 861"/>
              <a:gd name="T66" fmla="*/ 7 w 707"/>
              <a:gd name="T67" fmla="*/ 2 h 861"/>
              <a:gd name="T68" fmla="*/ 6 w 707"/>
              <a:gd name="T69" fmla="*/ 2 h 861"/>
              <a:gd name="T70" fmla="*/ 7 w 707"/>
              <a:gd name="T71" fmla="*/ 3 h 861"/>
              <a:gd name="T72" fmla="*/ 7 w 707"/>
              <a:gd name="T73" fmla="*/ 3 h 861"/>
              <a:gd name="T74" fmla="*/ 6 w 707"/>
              <a:gd name="T75" fmla="*/ 4 h 861"/>
              <a:gd name="T76" fmla="*/ 7 w 707"/>
              <a:gd name="T77" fmla="*/ 4 h 861"/>
              <a:gd name="T78" fmla="*/ 7 w 707"/>
              <a:gd name="T79" fmla="*/ 5 h 861"/>
              <a:gd name="T80" fmla="*/ 7 w 707"/>
              <a:gd name="T81" fmla="*/ 5 h 861"/>
              <a:gd name="T82" fmla="*/ 6 w 707"/>
              <a:gd name="T83" fmla="*/ 5 h 861"/>
              <a:gd name="T84" fmla="*/ 6 w 707"/>
              <a:gd name="T85" fmla="*/ 6 h 861"/>
              <a:gd name="T86" fmla="*/ 6 w 707"/>
              <a:gd name="T87" fmla="*/ 6 h 861"/>
              <a:gd name="T88" fmla="*/ 6 w 707"/>
              <a:gd name="T89" fmla="*/ 7 h 861"/>
              <a:gd name="T90" fmla="*/ 6 w 707"/>
              <a:gd name="T91" fmla="*/ 6 h 861"/>
              <a:gd name="T92" fmla="*/ 6 w 707"/>
              <a:gd name="T93" fmla="*/ 7 h 861"/>
              <a:gd name="T94" fmla="*/ 5 w 707"/>
              <a:gd name="T95" fmla="*/ 7 h 861"/>
              <a:gd name="T96" fmla="*/ 5 w 707"/>
              <a:gd name="T97" fmla="*/ 7 h 861"/>
              <a:gd name="T98" fmla="*/ 5 w 707"/>
              <a:gd name="T99" fmla="*/ 7 h 861"/>
              <a:gd name="T100" fmla="*/ 5 w 707"/>
              <a:gd name="T101" fmla="*/ 8 h 861"/>
              <a:gd name="T102" fmla="*/ 4 w 707"/>
              <a:gd name="T103" fmla="*/ 8 h 861"/>
              <a:gd name="T104" fmla="*/ 4 w 707"/>
              <a:gd name="T105" fmla="*/ 8 h 861"/>
              <a:gd name="T106" fmla="*/ 4 w 707"/>
              <a:gd name="T107" fmla="*/ 8 h 861"/>
              <a:gd name="T108" fmla="*/ 4 w 707"/>
              <a:gd name="T109" fmla="*/ 8 h 861"/>
              <a:gd name="T110" fmla="*/ 4 w 707"/>
              <a:gd name="T111" fmla="*/ 9 h 861"/>
              <a:gd name="T112" fmla="*/ 0 60000 65536"/>
              <a:gd name="T113" fmla="*/ 0 60000 65536"/>
              <a:gd name="T114" fmla="*/ 0 60000 65536"/>
              <a:gd name="T115" fmla="*/ 0 60000 65536"/>
              <a:gd name="T116" fmla="*/ 0 60000 65536"/>
              <a:gd name="T117" fmla="*/ 0 60000 65536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w 707"/>
              <a:gd name="T169" fmla="*/ 0 h 861"/>
              <a:gd name="T170" fmla="*/ 707 w 707"/>
              <a:gd name="T171" fmla="*/ 861 h 861"/>
            </a:gdLst>
            <a:ahLst/>
            <a:cxnLst>
              <a:cxn ang="T112">
                <a:pos x="T0" y="T1"/>
              </a:cxn>
              <a:cxn ang="T113">
                <a:pos x="T2" y="T3"/>
              </a:cxn>
              <a:cxn ang="T114">
                <a:pos x="T4" y="T5"/>
              </a:cxn>
              <a:cxn ang="T115">
                <a:pos x="T6" y="T7"/>
              </a:cxn>
              <a:cxn ang="T116">
                <a:pos x="T8" y="T9"/>
              </a:cxn>
              <a:cxn ang="T117">
                <a:pos x="T10" y="T11"/>
              </a:cxn>
              <a:cxn ang="T118">
                <a:pos x="T12" y="T13"/>
              </a:cxn>
              <a:cxn ang="T119">
                <a:pos x="T14" y="T15"/>
              </a:cxn>
              <a:cxn ang="T120">
                <a:pos x="T16" y="T17"/>
              </a:cxn>
              <a:cxn ang="T121">
                <a:pos x="T18" y="T19"/>
              </a:cxn>
              <a:cxn ang="T122">
                <a:pos x="T20" y="T21"/>
              </a:cxn>
              <a:cxn ang="T123">
                <a:pos x="T22" y="T23"/>
              </a:cxn>
              <a:cxn ang="T124">
                <a:pos x="T24" y="T25"/>
              </a:cxn>
              <a:cxn ang="T125">
                <a:pos x="T26" y="T27"/>
              </a:cxn>
              <a:cxn ang="T126">
                <a:pos x="T28" y="T29"/>
              </a:cxn>
              <a:cxn ang="T127">
                <a:pos x="T30" y="T31"/>
              </a:cxn>
              <a:cxn ang="T128">
                <a:pos x="T32" y="T33"/>
              </a:cxn>
              <a:cxn ang="T129">
                <a:pos x="T34" y="T35"/>
              </a:cxn>
              <a:cxn ang="T130">
                <a:pos x="T36" y="T37"/>
              </a:cxn>
              <a:cxn ang="T131">
                <a:pos x="T38" y="T39"/>
              </a:cxn>
              <a:cxn ang="T132">
                <a:pos x="T40" y="T41"/>
              </a:cxn>
              <a:cxn ang="T133">
                <a:pos x="T42" y="T43"/>
              </a:cxn>
              <a:cxn ang="T134">
                <a:pos x="T44" y="T45"/>
              </a:cxn>
              <a:cxn ang="T135">
                <a:pos x="T46" y="T47"/>
              </a:cxn>
              <a:cxn ang="T136">
                <a:pos x="T48" y="T49"/>
              </a:cxn>
              <a:cxn ang="T137">
                <a:pos x="T50" y="T51"/>
              </a:cxn>
              <a:cxn ang="T138">
                <a:pos x="T52" y="T53"/>
              </a:cxn>
              <a:cxn ang="T139">
                <a:pos x="T54" y="T55"/>
              </a:cxn>
              <a:cxn ang="T140">
                <a:pos x="T56" y="T57"/>
              </a:cxn>
              <a:cxn ang="T141">
                <a:pos x="T58" y="T59"/>
              </a:cxn>
              <a:cxn ang="T142">
                <a:pos x="T60" y="T61"/>
              </a:cxn>
              <a:cxn ang="T143">
                <a:pos x="T62" y="T63"/>
              </a:cxn>
              <a:cxn ang="T144">
                <a:pos x="T64" y="T65"/>
              </a:cxn>
              <a:cxn ang="T145">
                <a:pos x="T66" y="T67"/>
              </a:cxn>
              <a:cxn ang="T146">
                <a:pos x="T68" y="T69"/>
              </a:cxn>
              <a:cxn ang="T147">
                <a:pos x="T70" y="T71"/>
              </a:cxn>
              <a:cxn ang="T148">
                <a:pos x="T72" y="T73"/>
              </a:cxn>
              <a:cxn ang="T149">
                <a:pos x="T74" y="T75"/>
              </a:cxn>
              <a:cxn ang="T150">
                <a:pos x="T76" y="T77"/>
              </a:cxn>
              <a:cxn ang="T151">
                <a:pos x="T78" y="T79"/>
              </a:cxn>
              <a:cxn ang="T152">
                <a:pos x="T80" y="T81"/>
              </a:cxn>
              <a:cxn ang="T153">
                <a:pos x="T82" y="T83"/>
              </a:cxn>
              <a:cxn ang="T154">
                <a:pos x="T84" y="T85"/>
              </a:cxn>
              <a:cxn ang="T155">
                <a:pos x="T86" y="T87"/>
              </a:cxn>
              <a:cxn ang="T156">
                <a:pos x="T88" y="T89"/>
              </a:cxn>
              <a:cxn ang="T157">
                <a:pos x="T90" y="T91"/>
              </a:cxn>
              <a:cxn ang="T158">
                <a:pos x="T92" y="T93"/>
              </a:cxn>
              <a:cxn ang="T159">
                <a:pos x="T94" y="T95"/>
              </a:cxn>
              <a:cxn ang="T160">
                <a:pos x="T96" y="T97"/>
              </a:cxn>
              <a:cxn ang="T161">
                <a:pos x="T98" y="T99"/>
              </a:cxn>
              <a:cxn ang="T162">
                <a:pos x="T100" y="T101"/>
              </a:cxn>
              <a:cxn ang="T163">
                <a:pos x="T102" y="T103"/>
              </a:cxn>
              <a:cxn ang="T164">
                <a:pos x="T104" y="T105"/>
              </a:cxn>
              <a:cxn ang="T165">
                <a:pos x="T106" y="T107"/>
              </a:cxn>
              <a:cxn ang="T166">
                <a:pos x="T108" y="T109"/>
              </a:cxn>
              <a:cxn ang="T167">
                <a:pos x="T110" y="T111"/>
              </a:cxn>
            </a:cxnLst>
            <a:rect l="T168" t="T169" r="T170" b="T171"/>
            <a:pathLst>
              <a:path w="707" h="861">
                <a:moveTo>
                  <a:pt x="365" y="809"/>
                </a:moveTo>
                <a:lnTo>
                  <a:pt x="367" y="809"/>
                </a:lnTo>
                <a:lnTo>
                  <a:pt x="325" y="859"/>
                </a:lnTo>
                <a:lnTo>
                  <a:pt x="327" y="859"/>
                </a:lnTo>
                <a:lnTo>
                  <a:pt x="323" y="861"/>
                </a:lnTo>
                <a:lnTo>
                  <a:pt x="323" y="858"/>
                </a:lnTo>
                <a:lnTo>
                  <a:pt x="320" y="861"/>
                </a:lnTo>
                <a:lnTo>
                  <a:pt x="322" y="851"/>
                </a:lnTo>
                <a:lnTo>
                  <a:pt x="312" y="854"/>
                </a:lnTo>
                <a:lnTo>
                  <a:pt x="318" y="851"/>
                </a:lnTo>
                <a:lnTo>
                  <a:pt x="313" y="851"/>
                </a:lnTo>
                <a:lnTo>
                  <a:pt x="315" y="849"/>
                </a:lnTo>
                <a:lnTo>
                  <a:pt x="290" y="854"/>
                </a:lnTo>
                <a:lnTo>
                  <a:pt x="297" y="849"/>
                </a:lnTo>
                <a:lnTo>
                  <a:pt x="280" y="843"/>
                </a:lnTo>
                <a:lnTo>
                  <a:pt x="288" y="839"/>
                </a:lnTo>
                <a:lnTo>
                  <a:pt x="250" y="792"/>
                </a:lnTo>
                <a:lnTo>
                  <a:pt x="265" y="775"/>
                </a:lnTo>
                <a:lnTo>
                  <a:pt x="258" y="774"/>
                </a:lnTo>
                <a:lnTo>
                  <a:pt x="266" y="772"/>
                </a:lnTo>
                <a:lnTo>
                  <a:pt x="243" y="782"/>
                </a:lnTo>
                <a:lnTo>
                  <a:pt x="241" y="757"/>
                </a:lnTo>
                <a:lnTo>
                  <a:pt x="240" y="760"/>
                </a:lnTo>
                <a:lnTo>
                  <a:pt x="231" y="748"/>
                </a:lnTo>
                <a:lnTo>
                  <a:pt x="228" y="742"/>
                </a:lnTo>
                <a:lnTo>
                  <a:pt x="233" y="737"/>
                </a:lnTo>
                <a:lnTo>
                  <a:pt x="231" y="728"/>
                </a:lnTo>
                <a:lnTo>
                  <a:pt x="256" y="688"/>
                </a:lnTo>
                <a:lnTo>
                  <a:pt x="253" y="679"/>
                </a:lnTo>
                <a:lnTo>
                  <a:pt x="250" y="678"/>
                </a:lnTo>
                <a:lnTo>
                  <a:pt x="251" y="681"/>
                </a:lnTo>
                <a:lnTo>
                  <a:pt x="256" y="669"/>
                </a:lnTo>
                <a:lnTo>
                  <a:pt x="214" y="616"/>
                </a:lnTo>
                <a:lnTo>
                  <a:pt x="260" y="626"/>
                </a:lnTo>
                <a:lnTo>
                  <a:pt x="253" y="619"/>
                </a:lnTo>
                <a:lnTo>
                  <a:pt x="245" y="606"/>
                </a:lnTo>
                <a:lnTo>
                  <a:pt x="241" y="602"/>
                </a:lnTo>
                <a:lnTo>
                  <a:pt x="248" y="597"/>
                </a:lnTo>
                <a:lnTo>
                  <a:pt x="238" y="602"/>
                </a:lnTo>
                <a:lnTo>
                  <a:pt x="245" y="592"/>
                </a:lnTo>
                <a:lnTo>
                  <a:pt x="233" y="594"/>
                </a:lnTo>
                <a:lnTo>
                  <a:pt x="246" y="585"/>
                </a:lnTo>
                <a:lnTo>
                  <a:pt x="233" y="579"/>
                </a:lnTo>
                <a:lnTo>
                  <a:pt x="204" y="594"/>
                </a:lnTo>
                <a:lnTo>
                  <a:pt x="208" y="530"/>
                </a:lnTo>
                <a:lnTo>
                  <a:pt x="198" y="518"/>
                </a:lnTo>
                <a:lnTo>
                  <a:pt x="199" y="520"/>
                </a:lnTo>
                <a:lnTo>
                  <a:pt x="181" y="470"/>
                </a:lnTo>
                <a:lnTo>
                  <a:pt x="144" y="431"/>
                </a:lnTo>
                <a:lnTo>
                  <a:pt x="67" y="427"/>
                </a:lnTo>
                <a:lnTo>
                  <a:pt x="77" y="439"/>
                </a:lnTo>
                <a:lnTo>
                  <a:pt x="40" y="417"/>
                </a:lnTo>
                <a:lnTo>
                  <a:pt x="55" y="405"/>
                </a:lnTo>
                <a:lnTo>
                  <a:pt x="37" y="390"/>
                </a:lnTo>
                <a:lnTo>
                  <a:pt x="84" y="380"/>
                </a:lnTo>
                <a:lnTo>
                  <a:pt x="74" y="363"/>
                </a:lnTo>
                <a:lnTo>
                  <a:pt x="34" y="365"/>
                </a:lnTo>
                <a:lnTo>
                  <a:pt x="39" y="358"/>
                </a:lnTo>
                <a:lnTo>
                  <a:pt x="27" y="360"/>
                </a:lnTo>
                <a:lnTo>
                  <a:pt x="0" y="338"/>
                </a:lnTo>
                <a:lnTo>
                  <a:pt x="49" y="296"/>
                </a:lnTo>
                <a:lnTo>
                  <a:pt x="67" y="262"/>
                </a:lnTo>
                <a:lnTo>
                  <a:pt x="106" y="236"/>
                </a:lnTo>
                <a:lnTo>
                  <a:pt x="60" y="227"/>
                </a:lnTo>
                <a:lnTo>
                  <a:pt x="109" y="174"/>
                </a:lnTo>
                <a:lnTo>
                  <a:pt x="117" y="142"/>
                </a:lnTo>
                <a:lnTo>
                  <a:pt x="142" y="123"/>
                </a:lnTo>
                <a:lnTo>
                  <a:pt x="178" y="158"/>
                </a:lnTo>
                <a:lnTo>
                  <a:pt x="189" y="126"/>
                </a:lnTo>
                <a:lnTo>
                  <a:pt x="208" y="91"/>
                </a:lnTo>
                <a:lnTo>
                  <a:pt x="225" y="124"/>
                </a:lnTo>
                <a:lnTo>
                  <a:pt x="218" y="148"/>
                </a:lnTo>
                <a:lnTo>
                  <a:pt x="260" y="138"/>
                </a:lnTo>
                <a:lnTo>
                  <a:pt x="248" y="121"/>
                </a:lnTo>
                <a:lnTo>
                  <a:pt x="265" y="125"/>
                </a:lnTo>
                <a:lnTo>
                  <a:pt x="248" y="79"/>
                </a:lnTo>
                <a:lnTo>
                  <a:pt x="285" y="86"/>
                </a:lnTo>
                <a:lnTo>
                  <a:pt x="309" y="112"/>
                </a:lnTo>
                <a:lnTo>
                  <a:pt x="307" y="92"/>
                </a:lnTo>
                <a:lnTo>
                  <a:pt x="308" y="59"/>
                </a:lnTo>
                <a:lnTo>
                  <a:pt x="350" y="83"/>
                </a:lnTo>
                <a:lnTo>
                  <a:pt x="352" y="61"/>
                </a:lnTo>
                <a:lnTo>
                  <a:pt x="374" y="88"/>
                </a:lnTo>
                <a:lnTo>
                  <a:pt x="310" y="36"/>
                </a:lnTo>
                <a:lnTo>
                  <a:pt x="387" y="61"/>
                </a:lnTo>
                <a:lnTo>
                  <a:pt x="412" y="14"/>
                </a:lnTo>
                <a:lnTo>
                  <a:pt x="441" y="4"/>
                </a:lnTo>
                <a:lnTo>
                  <a:pt x="473" y="0"/>
                </a:lnTo>
                <a:lnTo>
                  <a:pt x="501" y="8"/>
                </a:lnTo>
                <a:lnTo>
                  <a:pt x="487" y="30"/>
                </a:lnTo>
                <a:lnTo>
                  <a:pt x="495" y="38"/>
                </a:lnTo>
                <a:lnTo>
                  <a:pt x="548" y="32"/>
                </a:lnTo>
                <a:lnTo>
                  <a:pt x="533" y="63"/>
                </a:lnTo>
                <a:lnTo>
                  <a:pt x="561" y="63"/>
                </a:lnTo>
                <a:lnTo>
                  <a:pt x="590" y="73"/>
                </a:lnTo>
                <a:lnTo>
                  <a:pt x="539" y="108"/>
                </a:lnTo>
                <a:lnTo>
                  <a:pt x="523" y="116"/>
                </a:lnTo>
                <a:lnTo>
                  <a:pt x="549" y="128"/>
                </a:lnTo>
                <a:lnTo>
                  <a:pt x="581" y="115"/>
                </a:lnTo>
                <a:lnTo>
                  <a:pt x="585" y="174"/>
                </a:lnTo>
                <a:lnTo>
                  <a:pt x="613" y="142"/>
                </a:lnTo>
                <a:lnTo>
                  <a:pt x="653" y="142"/>
                </a:lnTo>
                <a:lnTo>
                  <a:pt x="707" y="147"/>
                </a:lnTo>
                <a:lnTo>
                  <a:pt x="631" y="176"/>
                </a:lnTo>
                <a:lnTo>
                  <a:pt x="600" y="210"/>
                </a:lnTo>
                <a:lnTo>
                  <a:pt x="631" y="206"/>
                </a:lnTo>
                <a:lnTo>
                  <a:pt x="660" y="212"/>
                </a:lnTo>
                <a:lnTo>
                  <a:pt x="615" y="256"/>
                </a:lnTo>
                <a:lnTo>
                  <a:pt x="642" y="237"/>
                </a:lnTo>
                <a:lnTo>
                  <a:pt x="618" y="289"/>
                </a:lnTo>
                <a:lnTo>
                  <a:pt x="628" y="281"/>
                </a:lnTo>
                <a:lnTo>
                  <a:pt x="625" y="286"/>
                </a:lnTo>
                <a:lnTo>
                  <a:pt x="623" y="284"/>
                </a:lnTo>
                <a:lnTo>
                  <a:pt x="605" y="326"/>
                </a:lnTo>
                <a:lnTo>
                  <a:pt x="600" y="362"/>
                </a:lnTo>
                <a:lnTo>
                  <a:pt x="627" y="365"/>
                </a:lnTo>
                <a:lnTo>
                  <a:pt x="608" y="362"/>
                </a:lnTo>
                <a:lnTo>
                  <a:pt x="615" y="367"/>
                </a:lnTo>
                <a:lnTo>
                  <a:pt x="610" y="369"/>
                </a:lnTo>
                <a:lnTo>
                  <a:pt x="610" y="427"/>
                </a:lnTo>
                <a:lnTo>
                  <a:pt x="605" y="421"/>
                </a:lnTo>
                <a:lnTo>
                  <a:pt x="620" y="429"/>
                </a:lnTo>
                <a:lnTo>
                  <a:pt x="622" y="466"/>
                </a:lnTo>
                <a:lnTo>
                  <a:pt x="591" y="454"/>
                </a:lnTo>
                <a:lnTo>
                  <a:pt x="627" y="496"/>
                </a:lnTo>
                <a:lnTo>
                  <a:pt x="593" y="490"/>
                </a:lnTo>
                <a:lnTo>
                  <a:pt x="610" y="527"/>
                </a:lnTo>
                <a:lnTo>
                  <a:pt x="558" y="521"/>
                </a:lnTo>
                <a:lnTo>
                  <a:pt x="536" y="538"/>
                </a:lnTo>
                <a:lnTo>
                  <a:pt x="558" y="542"/>
                </a:lnTo>
                <a:lnTo>
                  <a:pt x="538" y="553"/>
                </a:lnTo>
                <a:lnTo>
                  <a:pt x="553" y="574"/>
                </a:lnTo>
                <a:lnTo>
                  <a:pt x="586" y="599"/>
                </a:lnTo>
                <a:lnTo>
                  <a:pt x="596" y="592"/>
                </a:lnTo>
                <a:lnTo>
                  <a:pt x="598" y="622"/>
                </a:lnTo>
                <a:lnTo>
                  <a:pt x="586" y="612"/>
                </a:lnTo>
                <a:lnTo>
                  <a:pt x="586" y="622"/>
                </a:lnTo>
                <a:lnTo>
                  <a:pt x="528" y="582"/>
                </a:lnTo>
                <a:lnTo>
                  <a:pt x="551" y="600"/>
                </a:lnTo>
                <a:lnTo>
                  <a:pt x="513" y="622"/>
                </a:lnTo>
                <a:lnTo>
                  <a:pt x="541" y="626"/>
                </a:lnTo>
                <a:lnTo>
                  <a:pt x="516" y="634"/>
                </a:lnTo>
                <a:lnTo>
                  <a:pt x="591" y="631"/>
                </a:lnTo>
                <a:lnTo>
                  <a:pt x="491" y="683"/>
                </a:lnTo>
                <a:lnTo>
                  <a:pt x="494" y="688"/>
                </a:lnTo>
                <a:lnTo>
                  <a:pt x="489" y="686"/>
                </a:lnTo>
                <a:lnTo>
                  <a:pt x="489" y="690"/>
                </a:lnTo>
                <a:lnTo>
                  <a:pt x="479" y="685"/>
                </a:lnTo>
                <a:lnTo>
                  <a:pt x="481" y="685"/>
                </a:lnTo>
                <a:lnTo>
                  <a:pt x="472" y="679"/>
                </a:lnTo>
                <a:lnTo>
                  <a:pt x="471" y="674"/>
                </a:lnTo>
                <a:lnTo>
                  <a:pt x="451" y="725"/>
                </a:lnTo>
                <a:lnTo>
                  <a:pt x="449" y="721"/>
                </a:lnTo>
                <a:lnTo>
                  <a:pt x="441" y="733"/>
                </a:lnTo>
                <a:lnTo>
                  <a:pt x="429" y="742"/>
                </a:lnTo>
                <a:lnTo>
                  <a:pt x="417" y="738"/>
                </a:lnTo>
                <a:lnTo>
                  <a:pt x="414" y="742"/>
                </a:lnTo>
                <a:lnTo>
                  <a:pt x="416" y="745"/>
                </a:lnTo>
                <a:lnTo>
                  <a:pt x="417" y="733"/>
                </a:lnTo>
                <a:lnTo>
                  <a:pt x="407" y="732"/>
                </a:lnTo>
                <a:lnTo>
                  <a:pt x="399" y="750"/>
                </a:lnTo>
                <a:lnTo>
                  <a:pt x="372" y="762"/>
                </a:lnTo>
                <a:lnTo>
                  <a:pt x="367" y="780"/>
                </a:lnTo>
                <a:lnTo>
                  <a:pt x="377" y="792"/>
                </a:lnTo>
                <a:lnTo>
                  <a:pt x="367" y="790"/>
                </a:lnTo>
                <a:lnTo>
                  <a:pt x="365" y="802"/>
                </a:lnTo>
                <a:lnTo>
                  <a:pt x="369" y="807"/>
                </a:lnTo>
                <a:lnTo>
                  <a:pt x="360" y="806"/>
                </a:lnTo>
                <a:lnTo>
                  <a:pt x="365" y="809"/>
                </a:lnTo>
              </a:path>
            </a:pathLst>
          </a:custGeom>
          <a:solidFill>
            <a:srgbClr val="558723"/>
          </a:solidFill>
          <a:ln w="9525">
            <a:solidFill>
              <a:srgbClr val="FFFFFF"/>
            </a:solidFill>
            <a:miter lim="800000"/>
            <a:headEnd/>
            <a:tailEnd/>
          </a:ln>
        </xdr:spPr>
        <xdr:txBody>
          <a:bodyPr vertOverflow="clip" wrap="square" lIns="36576" tIns="32004" rIns="0" bIns="0" anchor="t"/>
          <a:lstStyle/>
          <a:p>
            <a:pPr algn="l" rtl="0">
              <a:defRPr sz="1000"/>
            </a:pPr>
            <a:endParaRPr lang="en-US" sz="1600" b="0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 algn="l" rtl="0">
              <a:defRPr sz="1000"/>
            </a:pPr>
            <a:endParaRPr lang="en-US"/>
          </a:p>
        </xdr:txBody>
      </xdr:sp>
      <xdr:sp macro="" textlink="">
        <xdr:nvSpPr>
          <xdr:cNvPr id="25968" name="Freeform 5"/>
          <xdr:cNvSpPr>
            <a:spLocks/>
          </xdr:cNvSpPr>
        </xdr:nvSpPr>
        <xdr:spPr bwMode="auto">
          <a:xfrm>
            <a:off x="328" y="76"/>
            <a:ext cx="81" cy="77"/>
          </a:xfrm>
          <a:custGeom>
            <a:avLst/>
            <a:gdLst>
              <a:gd name="T0" fmla="*/ 1 w 368"/>
              <a:gd name="T1" fmla="*/ 4 h 351"/>
              <a:gd name="T2" fmla="*/ 1 w 368"/>
              <a:gd name="T3" fmla="*/ 4 h 351"/>
              <a:gd name="T4" fmla="*/ 2 w 368"/>
              <a:gd name="T5" fmla="*/ 4 h 351"/>
              <a:gd name="T6" fmla="*/ 2 w 368"/>
              <a:gd name="T7" fmla="*/ 4 h 351"/>
              <a:gd name="T8" fmla="*/ 2 w 368"/>
              <a:gd name="T9" fmla="*/ 3 h 351"/>
              <a:gd name="T10" fmla="*/ 2 w 368"/>
              <a:gd name="T11" fmla="*/ 3 h 351"/>
              <a:gd name="T12" fmla="*/ 2 w 368"/>
              <a:gd name="T13" fmla="*/ 3 h 351"/>
              <a:gd name="T14" fmla="*/ 2 w 368"/>
              <a:gd name="T15" fmla="*/ 2 h 351"/>
              <a:gd name="T16" fmla="*/ 3 w 368"/>
              <a:gd name="T17" fmla="*/ 2 h 351"/>
              <a:gd name="T18" fmla="*/ 3 w 368"/>
              <a:gd name="T19" fmla="*/ 2 h 351"/>
              <a:gd name="T20" fmla="*/ 3 w 368"/>
              <a:gd name="T21" fmla="*/ 2 h 351"/>
              <a:gd name="T22" fmla="*/ 4 w 368"/>
              <a:gd name="T23" fmla="*/ 1 h 351"/>
              <a:gd name="T24" fmla="*/ 3 w 368"/>
              <a:gd name="T25" fmla="*/ 1 h 351"/>
              <a:gd name="T26" fmla="*/ 4 w 368"/>
              <a:gd name="T27" fmla="*/ 0 h 351"/>
              <a:gd name="T28" fmla="*/ 3 w 368"/>
              <a:gd name="T29" fmla="*/ 0 h 351"/>
              <a:gd name="T30" fmla="*/ 3 w 368"/>
              <a:gd name="T31" fmla="*/ 0 h 351"/>
              <a:gd name="T32" fmla="*/ 2 w 368"/>
              <a:gd name="T33" fmla="*/ 0 h 351"/>
              <a:gd name="T34" fmla="*/ 1 w 368"/>
              <a:gd name="T35" fmla="*/ 0 h 351"/>
              <a:gd name="T36" fmla="*/ 1 w 368"/>
              <a:gd name="T37" fmla="*/ 0 h 351"/>
              <a:gd name="T38" fmla="*/ 1 w 368"/>
              <a:gd name="T39" fmla="*/ 0 h 351"/>
              <a:gd name="T40" fmla="*/ 1 w 368"/>
              <a:gd name="T41" fmla="*/ 0 h 351"/>
              <a:gd name="T42" fmla="*/ 1 w 368"/>
              <a:gd name="T43" fmla="*/ 1 h 351"/>
              <a:gd name="T44" fmla="*/ 0 w 368"/>
              <a:gd name="T45" fmla="*/ 1 h 351"/>
              <a:gd name="T46" fmla="*/ 0 w 368"/>
              <a:gd name="T47" fmla="*/ 1 h 351"/>
              <a:gd name="T48" fmla="*/ 0 w 368"/>
              <a:gd name="T49" fmla="*/ 1 h 351"/>
              <a:gd name="T50" fmla="*/ 0 w 368"/>
              <a:gd name="T51" fmla="*/ 1 h 351"/>
              <a:gd name="T52" fmla="*/ 0 w 368"/>
              <a:gd name="T53" fmla="*/ 1 h 351"/>
              <a:gd name="T54" fmla="*/ 1 w 368"/>
              <a:gd name="T55" fmla="*/ 1 h 351"/>
              <a:gd name="T56" fmla="*/ 1 w 368"/>
              <a:gd name="T57" fmla="*/ 1 h 351"/>
              <a:gd name="T58" fmla="*/ 1 w 368"/>
              <a:gd name="T59" fmla="*/ 2 h 351"/>
              <a:gd name="T60" fmla="*/ 1 w 368"/>
              <a:gd name="T61" fmla="*/ 2 h 351"/>
              <a:gd name="T62" fmla="*/ 1 w 368"/>
              <a:gd name="T63" fmla="*/ 1 h 351"/>
              <a:gd name="T64" fmla="*/ 1 w 368"/>
              <a:gd name="T65" fmla="*/ 2 h 351"/>
              <a:gd name="T66" fmla="*/ 2 w 368"/>
              <a:gd name="T67" fmla="*/ 1 h 351"/>
              <a:gd name="T68" fmla="*/ 1 w 368"/>
              <a:gd name="T69" fmla="*/ 2 h 351"/>
              <a:gd name="T70" fmla="*/ 1 w 368"/>
              <a:gd name="T71" fmla="*/ 2 h 351"/>
              <a:gd name="T72" fmla="*/ 1 w 368"/>
              <a:gd name="T73" fmla="*/ 2 h 351"/>
              <a:gd name="T74" fmla="*/ 0 w 368"/>
              <a:gd name="T75" fmla="*/ 3 h 351"/>
              <a:gd name="T76" fmla="*/ 1 w 368"/>
              <a:gd name="T77" fmla="*/ 3 h 351"/>
              <a:gd name="T78" fmla="*/ 1 w 368"/>
              <a:gd name="T79" fmla="*/ 3 h 351"/>
              <a:gd name="T80" fmla="*/ 1 w 368"/>
              <a:gd name="T81" fmla="*/ 3 h 351"/>
              <a:gd name="T82" fmla="*/ 1 w 368"/>
              <a:gd name="T83" fmla="*/ 3 h 351"/>
              <a:gd name="T84" fmla="*/ 1 w 368"/>
              <a:gd name="T85" fmla="*/ 3 h 351"/>
              <a:gd name="T86" fmla="*/ 0 w 368"/>
              <a:gd name="T87" fmla="*/ 3 h 351"/>
              <a:gd name="T88" fmla="*/ 0 w 368"/>
              <a:gd name="T89" fmla="*/ 4 h 351"/>
              <a:gd name="T90" fmla="*/ 0 w 368"/>
              <a:gd name="T91" fmla="*/ 4 h 351"/>
              <a:gd name="T92" fmla="*/ 0 w 368"/>
              <a:gd name="T93" fmla="*/ 4 h 351"/>
              <a:gd name="T94" fmla="*/ 1 w 368"/>
              <a:gd name="T95" fmla="*/ 4 h 351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60000 65536"/>
              <a:gd name="T106" fmla="*/ 0 60000 65536"/>
              <a:gd name="T107" fmla="*/ 0 60000 65536"/>
              <a:gd name="T108" fmla="*/ 0 60000 65536"/>
              <a:gd name="T109" fmla="*/ 0 60000 65536"/>
              <a:gd name="T110" fmla="*/ 0 60000 65536"/>
              <a:gd name="T111" fmla="*/ 0 60000 65536"/>
              <a:gd name="T112" fmla="*/ 0 60000 65536"/>
              <a:gd name="T113" fmla="*/ 0 60000 65536"/>
              <a:gd name="T114" fmla="*/ 0 60000 65536"/>
              <a:gd name="T115" fmla="*/ 0 60000 65536"/>
              <a:gd name="T116" fmla="*/ 0 60000 65536"/>
              <a:gd name="T117" fmla="*/ 0 60000 65536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w 368"/>
              <a:gd name="T145" fmla="*/ 0 h 351"/>
              <a:gd name="T146" fmla="*/ 368 w 368"/>
              <a:gd name="T147" fmla="*/ 351 h 351"/>
            </a:gdLst>
            <a:ahLst/>
            <a:cxnLst>
              <a:cxn ang="T96">
                <a:pos x="T0" y="T1"/>
              </a:cxn>
              <a:cxn ang="T97">
                <a:pos x="T2" y="T3"/>
              </a:cxn>
              <a:cxn ang="T98">
                <a:pos x="T4" y="T5"/>
              </a:cxn>
              <a:cxn ang="T99">
                <a:pos x="T6" y="T7"/>
              </a:cxn>
              <a:cxn ang="T100">
                <a:pos x="T8" y="T9"/>
              </a:cxn>
              <a:cxn ang="T101">
                <a:pos x="T10" y="T11"/>
              </a:cxn>
              <a:cxn ang="T102">
                <a:pos x="T12" y="T13"/>
              </a:cxn>
              <a:cxn ang="T103">
                <a:pos x="T14" y="T15"/>
              </a:cxn>
              <a:cxn ang="T104">
                <a:pos x="T16" y="T17"/>
              </a:cxn>
              <a:cxn ang="T105">
                <a:pos x="T18" y="T19"/>
              </a:cxn>
              <a:cxn ang="T106">
                <a:pos x="T20" y="T21"/>
              </a:cxn>
              <a:cxn ang="T107">
                <a:pos x="T22" y="T23"/>
              </a:cxn>
              <a:cxn ang="T108">
                <a:pos x="T24" y="T25"/>
              </a:cxn>
              <a:cxn ang="T109">
                <a:pos x="T26" y="T27"/>
              </a:cxn>
              <a:cxn ang="T110">
                <a:pos x="T28" y="T29"/>
              </a:cxn>
              <a:cxn ang="T111">
                <a:pos x="T30" y="T31"/>
              </a:cxn>
              <a:cxn ang="T112">
                <a:pos x="T32" y="T33"/>
              </a:cxn>
              <a:cxn ang="T113">
                <a:pos x="T34" y="T35"/>
              </a:cxn>
              <a:cxn ang="T114">
                <a:pos x="T36" y="T37"/>
              </a:cxn>
              <a:cxn ang="T115">
                <a:pos x="T38" y="T39"/>
              </a:cxn>
              <a:cxn ang="T116">
                <a:pos x="T40" y="T41"/>
              </a:cxn>
              <a:cxn ang="T117">
                <a:pos x="T42" y="T43"/>
              </a:cxn>
              <a:cxn ang="T118">
                <a:pos x="T44" y="T45"/>
              </a:cxn>
              <a:cxn ang="T119">
                <a:pos x="T46" y="T47"/>
              </a:cxn>
              <a:cxn ang="T120">
                <a:pos x="T48" y="T49"/>
              </a:cxn>
              <a:cxn ang="T121">
                <a:pos x="T50" y="T51"/>
              </a:cxn>
              <a:cxn ang="T122">
                <a:pos x="T52" y="T53"/>
              </a:cxn>
              <a:cxn ang="T123">
                <a:pos x="T54" y="T55"/>
              </a:cxn>
              <a:cxn ang="T124">
                <a:pos x="T56" y="T57"/>
              </a:cxn>
              <a:cxn ang="T125">
                <a:pos x="T58" y="T59"/>
              </a:cxn>
              <a:cxn ang="T126">
                <a:pos x="T60" y="T61"/>
              </a:cxn>
              <a:cxn ang="T127">
                <a:pos x="T62" y="T63"/>
              </a:cxn>
              <a:cxn ang="T128">
                <a:pos x="T64" y="T65"/>
              </a:cxn>
              <a:cxn ang="T129">
                <a:pos x="T66" y="T67"/>
              </a:cxn>
              <a:cxn ang="T130">
                <a:pos x="T68" y="T69"/>
              </a:cxn>
              <a:cxn ang="T131">
                <a:pos x="T70" y="T71"/>
              </a:cxn>
              <a:cxn ang="T132">
                <a:pos x="T72" y="T73"/>
              </a:cxn>
              <a:cxn ang="T133">
                <a:pos x="T74" y="T75"/>
              </a:cxn>
              <a:cxn ang="T134">
                <a:pos x="T76" y="T77"/>
              </a:cxn>
              <a:cxn ang="T135">
                <a:pos x="T78" y="T79"/>
              </a:cxn>
              <a:cxn ang="T136">
                <a:pos x="T80" y="T81"/>
              </a:cxn>
              <a:cxn ang="T137">
                <a:pos x="T82" y="T83"/>
              </a:cxn>
              <a:cxn ang="T138">
                <a:pos x="T84" y="T85"/>
              </a:cxn>
              <a:cxn ang="T139">
                <a:pos x="T86" y="T87"/>
              </a:cxn>
              <a:cxn ang="T140">
                <a:pos x="T88" y="T89"/>
              </a:cxn>
              <a:cxn ang="T141">
                <a:pos x="T90" y="T91"/>
              </a:cxn>
              <a:cxn ang="T142">
                <a:pos x="T92" y="T93"/>
              </a:cxn>
              <a:cxn ang="T143">
                <a:pos x="T94" y="T95"/>
              </a:cxn>
            </a:cxnLst>
            <a:rect l="T144" t="T145" r="T146" b="T147"/>
            <a:pathLst>
              <a:path w="368" h="351">
                <a:moveTo>
                  <a:pt x="59" y="348"/>
                </a:moveTo>
                <a:lnTo>
                  <a:pt x="84" y="351"/>
                </a:lnTo>
                <a:lnTo>
                  <a:pt x="77" y="339"/>
                </a:lnTo>
                <a:lnTo>
                  <a:pt x="110" y="346"/>
                </a:lnTo>
                <a:lnTo>
                  <a:pt x="109" y="334"/>
                </a:lnTo>
                <a:lnTo>
                  <a:pt x="152" y="339"/>
                </a:lnTo>
                <a:lnTo>
                  <a:pt x="154" y="344"/>
                </a:lnTo>
                <a:lnTo>
                  <a:pt x="162" y="323"/>
                </a:lnTo>
                <a:lnTo>
                  <a:pt x="136" y="319"/>
                </a:lnTo>
                <a:lnTo>
                  <a:pt x="139" y="314"/>
                </a:lnTo>
                <a:lnTo>
                  <a:pt x="126" y="311"/>
                </a:lnTo>
                <a:lnTo>
                  <a:pt x="201" y="265"/>
                </a:lnTo>
                <a:lnTo>
                  <a:pt x="184" y="259"/>
                </a:lnTo>
                <a:lnTo>
                  <a:pt x="186" y="240"/>
                </a:lnTo>
                <a:lnTo>
                  <a:pt x="191" y="235"/>
                </a:lnTo>
                <a:lnTo>
                  <a:pt x="208" y="228"/>
                </a:lnTo>
                <a:lnTo>
                  <a:pt x="172" y="222"/>
                </a:lnTo>
                <a:lnTo>
                  <a:pt x="246" y="193"/>
                </a:lnTo>
                <a:lnTo>
                  <a:pt x="241" y="191"/>
                </a:lnTo>
                <a:lnTo>
                  <a:pt x="253" y="181"/>
                </a:lnTo>
                <a:lnTo>
                  <a:pt x="229" y="183"/>
                </a:lnTo>
                <a:lnTo>
                  <a:pt x="255" y="161"/>
                </a:lnTo>
                <a:lnTo>
                  <a:pt x="255" y="168"/>
                </a:lnTo>
                <a:lnTo>
                  <a:pt x="328" y="96"/>
                </a:lnTo>
                <a:lnTo>
                  <a:pt x="260" y="126"/>
                </a:lnTo>
                <a:lnTo>
                  <a:pt x="298" y="97"/>
                </a:lnTo>
                <a:lnTo>
                  <a:pt x="273" y="99"/>
                </a:lnTo>
                <a:lnTo>
                  <a:pt x="368" y="45"/>
                </a:lnTo>
                <a:lnTo>
                  <a:pt x="323" y="3"/>
                </a:lnTo>
                <a:lnTo>
                  <a:pt x="317" y="17"/>
                </a:lnTo>
                <a:lnTo>
                  <a:pt x="273" y="25"/>
                </a:lnTo>
                <a:lnTo>
                  <a:pt x="301" y="0"/>
                </a:lnTo>
                <a:lnTo>
                  <a:pt x="131" y="2"/>
                </a:lnTo>
                <a:lnTo>
                  <a:pt x="139" y="20"/>
                </a:lnTo>
                <a:lnTo>
                  <a:pt x="112" y="13"/>
                </a:lnTo>
                <a:lnTo>
                  <a:pt x="126" y="35"/>
                </a:lnTo>
                <a:lnTo>
                  <a:pt x="110" y="35"/>
                </a:lnTo>
                <a:lnTo>
                  <a:pt x="100" y="39"/>
                </a:lnTo>
                <a:lnTo>
                  <a:pt x="122" y="64"/>
                </a:lnTo>
                <a:lnTo>
                  <a:pt x="94" y="52"/>
                </a:lnTo>
                <a:lnTo>
                  <a:pt x="102" y="62"/>
                </a:lnTo>
                <a:lnTo>
                  <a:pt x="62" y="40"/>
                </a:lnTo>
                <a:lnTo>
                  <a:pt x="52" y="57"/>
                </a:lnTo>
                <a:lnTo>
                  <a:pt x="69" y="67"/>
                </a:lnTo>
                <a:lnTo>
                  <a:pt x="69" y="74"/>
                </a:lnTo>
                <a:lnTo>
                  <a:pt x="28" y="77"/>
                </a:lnTo>
                <a:lnTo>
                  <a:pt x="23" y="72"/>
                </a:lnTo>
                <a:lnTo>
                  <a:pt x="23" y="81"/>
                </a:lnTo>
                <a:lnTo>
                  <a:pt x="0" y="94"/>
                </a:lnTo>
                <a:lnTo>
                  <a:pt x="27" y="92"/>
                </a:lnTo>
                <a:lnTo>
                  <a:pt x="15" y="107"/>
                </a:lnTo>
                <a:lnTo>
                  <a:pt x="43" y="94"/>
                </a:lnTo>
                <a:lnTo>
                  <a:pt x="23" y="109"/>
                </a:lnTo>
                <a:lnTo>
                  <a:pt x="35" y="114"/>
                </a:lnTo>
                <a:lnTo>
                  <a:pt x="22" y="124"/>
                </a:lnTo>
                <a:lnTo>
                  <a:pt x="62" y="129"/>
                </a:lnTo>
                <a:lnTo>
                  <a:pt x="28" y="136"/>
                </a:lnTo>
                <a:lnTo>
                  <a:pt x="75" y="128"/>
                </a:lnTo>
                <a:lnTo>
                  <a:pt x="67" y="156"/>
                </a:lnTo>
                <a:lnTo>
                  <a:pt x="79" y="153"/>
                </a:lnTo>
                <a:lnTo>
                  <a:pt x="77" y="158"/>
                </a:lnTo>
                <a:lnTo>
                  <a:pt x="95" y="143"/>
                </a:lnTo>
                <a:lnTo>
                  <a:pt x="94" y="151"/>
                </a:lnTo>
                <a:lnTo>
                  <a:pt x="114" y="134"/>
                </a:lnTo>
                <a:lnTo>
                  <a:pt x="117" y="141"/>
                </a:lnTo>
                <a:lnTo>
                  <a:pt x="100" y="160"/>
                </a:lnTo>
                <a:lnTo>
                  <a:pt x="139" y="118"/>
                </a:lnTo>
                <a:lnTo>
                  <a:pt x="169" y="101"/>
                </a:lnTo>
                <a:lnTo>
                  <a:pt x="183" y="139"/>
                </a:lnTo>
                <a:lnTo>
                  <a:pt x="100" y="168"/>
                </a:lnTo>
                <a:lnTo>
                  <a:pt x="141" y="202"/>
                </a:lnTo>
                <a:lnTo>
                  <a:pt x="62" y="170"/>
                </a:lnTo>
                <a:lnTo>
                  <a:pt x="92" y="223"/>
                </a:lnTo>
                <a:lnTo>
                  <a:pt x="82" y="230"/>
                </a:lnTo>
                <a:lnTo>
                  <a:pt x="112" y="255"/>
                </a:lnTo>
                <a:lnTo>
                  <a:pt x="52" y="276"/>
                </a:lnTo>
                <a:lnTo>
                  <a:pt x="69" y="264"/>
                </a:lnTo>
                <a:lnTo>
                  <a:pt x="70" y="276"/>
                </a:lnTo>
                <a:lnTo>
                  <a:pt x="84" y="254"/>
                </a:lnTo>
                <a:lnTo>
                  <a:pt x="80" y="279"/>
                </a:lnTo>
                <a:lnTo>
                  <a:pt x="70" y="284"/>
                </a:lnTo>
                <a:lnTo>
                  <a:pt x="80" y="296"/>
                </a:lnTo>
                <a:lnTo>
                  <a:pt x="84" y="291"/>
                </a:lnTo>
                <a:lnTo>
                  <a:pt x="82" y="299"/>
                </a:lnTo>
                <a:lnTo>
                  <a:pt x="112" y="279"/>
                </a:lnTo>
                <a:lnTo>
                  <a:pt x="87" y="309"/>
                </a:lnTo>
                <a:lnTo>
                  <a:pt x="38" y="289"/>
                </a:lnTo>
                <a:lnTo>
                  <a:pt x="52" y="311"/>
                </a:lnTo>
                <a:lnTo>
                  <a:pt x="55" y="311"/>
                </a:lnTo>
                <a:lnTo>
                  <a:pt x="33" y="339"/>
                </a:lnTo>
                <a:lnTo>
                  <a:pt x="33" y="344"/>
                </a:lnTo>
                <a:lnTo>
                  <a:pt x="35" y="331"/>
                </a:lnTo>
                <a:lnTo>
                  <a:pt x="45" y="348"/>
                </a:lnTo>
                <a:lnTo>
                  <a:pt x="47" y="339"/>
                </a:lnTo>
                <a:lnTo>
                  <a:pt x="59" y="338"/>
                </a:lnTo>
                <a:lnTo>
                  <a:pt x="59" y="348"/>
                </a:lnTo>
              </a:path>
            </a:pathLst>
          </a:custGeom>
          <a:solidFill>
            <a:srgbClr val="558723"/>
          </a:solidFill>
          <a:ln w="9525">
            <a:solidFill>
              <a:srgbClr val="FFFFFF"/>
            </a:solidFill>
            <a:miter lim="800000"/>
            <a:headEnd/>
            <a:tailEnd/>
          </a:ln>
        </xdr:spPr>
        <xdr:txBody>
          <a:bodyPr vertOverflow="clip" wrap="square" lIns="36576" tIns="32004" rIns="0" bIns="0" anchor="t"/>
          <a:lstStyle/>
          <a:p>
            <a:pPr algn="l" rtl="0">
              <a:defRPr sz="1000"/>
            </a:pPr>
            <a:endParaRPr lang="en-US" sz="1600" b="0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 algn="l" rtl="0">
              <a:defRPr sz="1000"/>
            </a:pPr>
            <a:endParaRPr lang="en-US"/>
          </a:p>
        </xdr:txBody>
      </xdr:sp>
      <xdr:sp macro="" textlink="">
        <xdr:nvSpPr>
          <xdr:cNvPr id="25969" name="Freeform 6"/>
          <xdr:cNvSpPr>
            <a:spLocks/>
          </xdr:cNvSpPr>
        </xdr:nvSpPr>
        <xdr:spPr bwMode="auto">
          <a:xfrm>
            <a:off x="316" y="100"/>
            <a:ext cx="28" cy="36"/>
          </a:xfrm>
          <a:custGeom>
            <a:avLst/>
            <a:gdLst>
              <a:gd name="T0" fmla="*/ 0 w 125"/>
              <a:gd name="T1" fmla="*/ 0 h 165"/>
              <a:gd name="T2" fmla="*/ 0 w 125"/>
              <a:gd name="T3" fmla="*/ 0 h 165"/>
              <a:gd name="T4" fmla="*/ 0 w 125"/>
              <a:gd name="T5" fmla="*/ 0 h 165"/>
              <a:gd name="T6" fmla="*/ 0 w 125"/>
              <a:gd name="T7" fmla="*/ 0 h 165"/>
              <a:gd name="T8" fmla="*/ 0 w 125"/>
              <a:gd name="T9" fmla="*/ 0 h 165"/>
              <a:gd name="T10" fmla="*/ 1 w 125"/>
              <a:gd name="T11" fmla="*/ 1 h 165"/>
              <a:gd name="T12" fmla="*/ 1 w 125"/>
              <a:gd name="T13" fmla="*/ 0 h 165"/>
              <a:gd name="T14" fmla="*/ 1 w 125"/>
              <a:gd name="T15" fmla="*/ 1 h 165"/>
              <a:gd name="T16" fmla="*/ 1 w 125"/>
              <a:gd name="T17" fmla="*/ 1 h 165"/>
              <a:gd name="T18" fmla="*/ 1 w 125"/>
              <a:gd name="T19" fmla="*/ 2 h 165"/>
              <a:gd name="T20" fmla="*/ 1 w 125"/>
              <a:gd name="T21" fmla="*/ 1 h 165"/>
              <a:gd name="T22" fmla="*/ 1 w 125"/>
              <a:gd name="T23" fmla="*/ 2 h 165"/>
              <a:gd name="T24" fmla="*/ 1 w 125"/>
              <a:gd name="T25" fmla="*/ 2 h 165"/>
              <a:gd name="T26" fmla="*/ 1 w 125"/>
              <a:gd name="T27" fmla="*/ 2 h 165"/>
              <a:gd name="T28" fmla="*/ 1 w 125"/>
              <a:gd name="T29" fmla="*/ 2 h 165"/>
              <a:gd name="T30" fmla="*/ 1 w 125"/>
              <a:gd name="T31" fmla="*/ 2 h 165"/>
              <a:gd name="T32" fmla="*/ 1 w 125"/>
              <a:gd name="T33" fmla="*/ 2 h 165"/>
              <a:gd name="T34" fmla="*/ 1 w 125"/>
              <a:gd name="T35" fmla="*/ 2 h 165"/>
              <a:gd name="T36" fmla="*/ 0 w 125"/>
              <a:gd name="T37" fmla="*/ 2 h 165"/>
              <a:gd name="T38" fmla="*/ 1 w 125"/>
              <a:gd name="T39" fmla="*/ 2 h 165"/>
              <a:gd name="T40" fmla="*/ 0 w 125"/>
              <a:gd name="T41" fmla="*/ 1 h 165"/>
              <a:gd name="T42" fmla="*/ 0 w 125"/>
              <a:gd name="T43" fmla="*/ 1 h 165"/>
              <a:gd name="T44" fmla="*/ 0 w 125"/>
              <a:gd name="T45" fmla="*/ 1 h 165"/>
              <a:gd name="T46" fmla="*/ 0 w 125"/>
              <a:gd name="T47" fmla="*/ 1 h 165"/>
              <a:gd name="T48" fmla="*/ 0 w 125"/>
              <a:gd name="T49" fmla="*/ 1 h 165"/>
              <a:gd name="T50" fmla="*/ 0 w 125"/>
              <a:gd name="T51" fmla="*/ 1 h 165"/>
              <a:gd name="T52" fmla="*/ 0 w 125"/>
              <a:gd name="T53" fmla="*/ 1 h 165"/>
              <a:gd name="T54" fmla="*/ 0 w 125"/>
              <a:gd name="T55" fmla="*/ 1 h 165"/>
              <a:gd name="T56" fmla="*/ 0 w 125"/>
              <a:gd name="T57" fmla="*/ 1 h 165"/>
              <a:gd name="T58" fmla="*/ 0 w 125"/>
              <a:gd name="T59" fmla="*/ 1 h 165"/>
              <a:gd name="T60" fmla="*/ 0 w 125"/>
              <a:gd name="T61" fmla="*/ 0 h 165"/>
              <a:gd name="T62" fmla="*/ 0 60000 65536"/>
              <a:gd name="T63" fmla="*/ 0 60000 65536"/>
              <a:gd name="T64" fmla="*/ 0 60000 65536"/>
              <a:gd name="T65" fmla="*/ 0 60000 65536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w 125"/>
              <a:gd name="T94" fmla="*/ 0 h 165"/>
              <a:gd name="T95" fmla="*/ 125 w 125"/>
              <a:gd name="T96" fmla="*/ 165 h 165"/>
            </a:gdLst>
            <a:ahLst/>
            <a:cxnLst>
              <a:cxn ang="T62">
                <a:pos x="T0" y="T1"/>
              </a:cxn>
              <a:cxn ang="T63">
                <a:pos x="T2" y="T3"/>
              </a:cxn>
              <a:cxn ang="T64">
                <a:pos x="T4" y="T5"/>
              </a:cxn>
              <a:cxn ang="T65">
                <a:pos x="T6" y="T7"/>
              </a:cxn>
              <a:cxn ang="T66">
                <a:pos x="T8" y="T9"/>
              </a:cxn>
              <a:cxn ang="T67">
                <a:pos x="T10" y="T11"/>
              </a:cxn>
              <a:cxn ang="T68">
                <a:pos x="T12" y="T13"/>
              </a:cxn>
              <a:cxn ang="T69">
                <a:pos x="T14" y="T15"/>
              </a:cxn>
              <a:cxn ang="T70">
                <a:pos x="T16" y="T17"/>
              </a:cxn>
              <a:cxn ang="T71">
                <a:pos x="T18" y="T19"/>
              </a:cxn>
              <a:cxn ang="T72">
                <a:pos x="T20" y="T21"/>
              </a:cxn>
              <a:cxn ang="T73">
                <a:pos x="T22" y="T23"/>
              </a:cxn>
              <a:cxn ang="T74">
                <a:pos x="T24" y="T25"/>
              </a:cxn>
              <a:cxn ang="T75">
                <a:pos x="T26" y="T27"/>
              </a:cxn>
              <a:cxn ang="T76">
                <a:pos x="T28" y="T29"/>
              </a:cxn>
              <a:cxn ang="T77">
                <a:pos x="T30" y="T31"/>
              </a:cxn>
              <a:cxn ang="T78">
                <a:pos x="T32" y="T33"/>
              </a:cxn>
              <a:cxn ang="T79">
                <a:pos x="T34" y="T35"/>
              </a:cxn>
              <a:cxn ang="T80">
                <a:pos x="T36" y="T37"/>
              </a:cxn>
              <a:cxn ang="T81">
                <a:pos x="T38" y="T39"/>
              </a:cxn>
              <a:cxn ang="T82">
                <a:pos x="T40" y="T41"/>
              </a:cxn>
              <a:cxn ang="T83">
                <a:pos x="T42" y="T43"/>
              </a:cxn>
              <a:cxn ang="T84">
                <a:pos x="T44" y="T45"/>
              </a:cxn>
              <a:cxn ang="T85">
                <a:pos x="T46" y="T47"/>
              </a:cxn>
              <a:cxn ang="T86">
                <a:pos x="T48" y="T49"/>
              </a:cxn>
              <a:cxn ang="T87">
                <a:pos x="T50" y="T51"/>
              </a:cxn>
              <a:cxn ang="T88">
                <a:pos x="T52" y="T53"/>
              </a:cxn>
              <a:cxn ang="T89">
                <a:pos x="T54" y="T55"/>
              </a:cxn>
              <a:cxn ang="T90">
                <a:pos x="T56" y="T57"/>
              </a:cxn>
              <a:cxn ang="T91">
                <a:pos x="T58" y="T59"/>
              </a:cxn>
              <a:cxn ang="T92">
                <a:pos x="T60" y="T61"/>
              </a:cxn>
            </a:cxnLst>
            <a:rect l="T93" t="T94" r="T95" b="T96"/>
            <a:pathLst>
              <a:path w="125" h="165">
                <a:moveTo>
                  <a:pt x="11" y="42"/>
                </a:moveTo>
                <a:lnTo>
                  <a:pt x="31" y="45"/>
                </a:lnTo>
                <a:lnTo>
                  <a:pt x="18" y="17"/>
                </a:lnTo>
                <a:lnTo>
                  <a:pt x="43" y="10"/>
                </a:lnTo>
                <a:lnTo>
                  <a:pt x="20" y="0"/>
                </a:lnTo>
                <a:lnTo>
                  <a:pt x="97" y="67"/>
                </a:lnTo>
                <a:lnTo>
                  <a:pt x="93" y="50"/>
                </a:lnTo>
                <a:lnTo>
                  <a:pt x="120" y="99"/>
                </a:lnTo>
                <a:lnTo>
                  <a:pt x="125" y="92"/>
                </a:lnTo>
                <a:lnTo>
                  <a:pt x="102" y="139"/>
                </a:lnTo>
                <a:lnTo>
                  <a:pt x="97" y="119"/>
                </a:lnTo>
                <a:lnTo>
                  <a:pt x="97" y="149"/>
                </a:lnTo>
                <a:lnTo>
                  <a:pt x="88" y="141"/>
                </a:lnTo>
                <a:lnTo>
                  <a:pt x="90" y="163"/>
                </a:lnTo>
                <a:lnTo>
                  <a:pt x="73" y="143"/>
                </a:lnTo>
                <a:lnTo>
                  <a:pt x="82" y="165"/>
                </a:lnTo>
                <a:lnTo>
                  <a:pt x="67" y="158"/>
                </a:lnTo>
                <a:lnTo>
                  <a:pt x="73" y="165"/>
                </a:lnTo>
                <a:lnTo>
                  <a:pt x="40" y="148"/>
                </a:lnTo>
                <a:lnTo>
                  <a:pt x="55" y="146"/>
                </a:lnTo>
                <a:lnTo>
                  <a:pt x="30" y="124"/>
                </a:lnTo>
                <a:lnTo>
                  <a:pt x="40" y="101"/>
                </a:lnTo>
                <a:lnTo>
                  <a:pt x="30" y="109"/>
                </a:lnTo>
                <a:lnTo>
                  <a:pt x="33" y="104"/>
                </a:lnTo>
                <a:lnTo>
                  <a:pt x="28" y="89"/>
                </a:lnTo>
                <a:lnTo>
                  <a:pt x="0" y="65"/>
                </a:lnTo>
                <a:lnTo>
                  <a:pt x="25" y="75"/>
                </a:lnTo>
                <a:lnTo>
                  <a:pt x="31" y="65"/>
                </a:lnTo>
                <a:lnTo>
                  <a:pt x="0" y="54"/>
                </a:lnTo>
                <a:lnTo>
                  <a:pt x="16" y="54"/>
                </a:lnTo>
                <a:lnTo>
                  <a:pt x="11" y="42"/>
                </a:lnTo>
              </a:path>
            </a:pathLst>
          </a:custGeom>
          <a:solidFill>
            <a:srgbClr val="558723"/>
          </a:solidFill>
          <a:ln w="9525">
            <a:solidFill>
              <a:srgbClr val="FFFFFF"/>
            </a:solidFill>
            <a:miter lim="800000"/>
            <a:headEnd/>
            <a:tailEnd/>
          </a:ln>
        </xdr:spPr>
        <xdr:txBody>
          <a:bodyPr vertOverflow="clip" wrap="square" lIns="36576" tIns="32004" rIns="0" bIns="0" anchor="t"/>
          <a:lstStyle/>
          <a:p>
            <a:pPr algn="l" rtl="0">
              <a:defRPr sz="1000"/>
            </a:pPr>
            <a:endParaRPr lang="en-US" sz="1600" b="0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 algn="l" rtl="0">
              <a:defRPr sz="1000"/>
            </a:pPr>
            <a:endParaRPr lang="en-US"/>
          </a:p>
        </xdr:txBody>
      </xdr:sp>
      <xdr:sp macro="" textlink="">
        <xdr:nvSpPr>
          <xdr:cNvPr id="25970" name="Freeform 7"/>
          <xdr:cNvSpPr>
            <a:spLocks/>
          </xdr:cNvSpPr>
        </xdr:nvSpPr>
        <xdr:spPr bwMode="auto">
          <a:xfrm>
            <a:off x="279" y="151"/>
            <a:ext cx="14" cy="16"/>
          </a:xfrm>
          <a:custGeom>
            <a:avLst/>
            <a:gdLst>
              <a:gd name="T0" fmla="*/ 0 w 64"/>
              <a:gd name="T1" fmla="*/ 1 h 74"/>
              <a:gd name="T2" fmla="*/ 0 w 64"/>
              <a:gd name="T3" fmla="*/ 0 h 74"/>
              <a:gd name="T4" fmla="*/ 0 w 64"/>
              <a:gd name="T5" fmla="*/ 0 h 74"/>
              <a:gd name="T6" fmla="*/ 0 w 64"/>
              <a:gd name="T7" fmla="*/ 0 h 74"/>
              <a:gd name="T8" fmla="*/ 0 w 64"/>
              <a:gd name="T9" fmla="*/ 0 h 74"/>
              <a:gd name="T10" fmla="*/ 0 w 64"/>
              <a:gd name="T11" fmla="*/ 0 h 74"/>
              <a:gd name="T12" fmla="*/ 0 w 64"/>
              <a:gd name="T13" fmla="*/ 0 h 74"/>
              <a:gd name="T14" fmla="*/ 0 w 64"/>
              <a:gd name="T15" fmla="*/ 0 h 74"/>
              <a:gd name="T16" fmla="*/ 0 w 64"/>
              <a:gd name="T17" fmla="*/ 0 h 74"/>
              <a:gd name="T18" fmla="*/ 1 w 64"/>
              <a:gd name="T19" fmla="*/ 0 h 74"/>
              <a:gd name="T20" fmla="*/ 0 w 64"/>
              <a:gd name="T21" fmla="*/ 1 h 74"/>
              <a:gd name="T22" fmla="*/ 0 60000 65536"/>
              <a:gd name="T23" fmla="*/ 0 60000 65536"/>
              <a:gd name="T24" fmla="*/ 0 60000 65536"/>
              <a:gd name="T25" fmla="*/ 0 60000 65536"/>
              <a:gd name="T26" fmla="*/ 0 60000 65536"/>
              <a:gd name="T27" fmla="*/ 0 60000 65536"/>
              <a:gd name="T28" fmla="*/ 0 60000 65536"/>
              <a:gd name="T29" fmla="*/ 0 60000 65536"/>
              <a:gd name="T30" fmla="*/ 0 60000 65536"/>
              <a:gd name="T31" fmla="*/ 0 60000 65536"/>
              <a:gd name="T32" fmla="*/ 0 60000 65536"/>
              <a:gd name="T33" fmla="*/ 0 w 64"/>
              <a:gd name="T34" fmla="*/ 0 h 74"/>
              <a:gd name="T35" fmla="*/ 64 w 64"/>
              <a:gd name="T36" fmla="*/ 74 h 74"/>
            </a:gdLst>
            <a:ahLst/>
            <a:cxnLst>
              <a:cxn ang="T22">
                <a:pos x="T0" y="T1"/>
              </a:cxn>
              <a:cxn ang="T23">
                <a:pos x="T2" y="T3"/>
              </a:cxn>
              <a:cxn ang="T24">
                <a:pos x="T4" y="T5"/>
              </a:cxn>
              <a:cxn ang="T25">
                <a:pos x="T6" y="T7"/>
              </a:cxn>
              <a:cxn ang="T26">
                <a:pos x="T8" y="T9"/>
              </a:cxn>
              <a:cxn ang="T27">
                <a:pos x="T10" y="T11"/>
              </a:cxn>
              <a:cxn ang="T28">
                <a:pos x="T12" y="T13"/>
              </a:cxn>
              <a:cxn ang="T29">
                <a:pos x="T14" y="T15"/>
              </a:cxn>
              <a:cxn ang="T30">
                <a:pos x="T16" y="T17"/>
              </a:cxn>
              <a:cxn ang="T31">
                <a:pos x="T18" y="T19"/>
              </a:cxn>
              <a:cxn ang="T32">
                <a:pos x="T20" y="T21"/>
              </a:cxn>
            </a:cxnLst>
            <a:rect l="T33" t="T34" r="T35" b="T36"/>
            <a:pathLst>
              <a:path w="64" h="74">
                <a:moveTo>
                  <a:pt x="27" y="74"/>
                </a:moveTo>
                <a:lnTo>
                  <a:pt x="0" y="35"/>
                </a:lnTo>
                <a:lnTo>
                  <a:pt x="25" y="38"/>
                </a:lnTo>
                <a:lnTo>
                  <a:pt x="27" y="27"/>
                </a:lnTo>
                <a:lnTo>
                  <a:pt x="10" y="15"/>
                </a:lnTo>
                <a:lnTo>
                  <a:pt x="18" y="17"/>
                </a:lnTo>
                <a:lnTo>
                  <a:pt x="12" y="7"/>
                </a:lnTo>
                <a:lnTo>
                  <a:pt x="20" y="0"/>
                </a:lnTo>
                <a:lnTo>
                  <a:pt x="44" y="37"/>
                </a:lnTo>
                <a:lnTo>
                  <a:pt x="64" y="42"/>
                </a:lnTo>
                <a:lnTo>
                  <a:pt x="27" y="74"/>
                </a:lnTo>
              </a:path>
            </a:pathLst>
          </a:custGeom>
          <a:solidFill>
            <a:srgbClr val="558723"/>
          </a:solidFill>
          <a:ln w="9525">
            <a:solidFill>
              <a:srgbClr val="FFFFFF"/>
            </a:solidFill>
            <a:miter lim="800000"/>
            <a:headEnd/>
            <a:tailEnd/>
          </a:ln>
        </xdr:spPr>
        <xdr:txBody>
          <a:bodyPr vertOverflow="clip" wrap="square" lIns="36576" tIns="32004" rIns="0" bIns="0" anchor="t"/>
          <a:lstStyle/>
          <a:p>
            <a:pPr algn="l" rtl="0">
              <a:defRPr sz="1000"/>
            </a:pPr>
            <a:endParaRPr lang="en-US" sz="1600" b="0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 algn="l" rtl="0">
              <a:defRPr sz="1000"/>
            </a:pPr>
            <a:endParaRPr lang="en-US"/>
          </a:p>
        </xdr:txBody>
      </xdr:sp>
      <xdr:sp macro="" textlink="">
        <xdr:nvSpPr>
          <xdr:cNvPr id="25971" name="Freeform 8"/>
          <xdr:cNvSpPr>
            <a:spLocks/>
          </xdr:cNvSpPr>
        </xdr:nvSpPr>
        <xdr:spPr bwMode="auto">
          <a:xfrm>
            <a:off x="298" y="141"/>
            <a:ext cx="14" cy="15"/>
          </a:xfrm>
          <a:custGeom>
            <a:avLst/>
            <a:gdLst>
              <a:gd name="T0" fmla="*/ 1 w 64"/>
              <a:gd name="T1" fmla="*/ 0 h 69"/>
              <a:gd name="T2" fmla="*/ 1 w 64"/>
              <a:gd name="T3" fmla="*/ 0 h 69"/>
              <a:gd name="T4" fmla="*/ 1 w 64"/>
              <a:gd name="T5" fmla="*/ 0 h 69"/>
              <a:gd name="T6" fmla="*/ 1 w 64"/>
              <a:gd name="T7" fmla="*/ 1 h 69"/>
              <a:gd name="T8" fmla="*/ 1 w 64"/>
              <a:gd name="T9" fmla="*/ 1 h 69"/>
              <a:gd name="T10" fmla="*/ 0 w 64"/>
              <a:gd name="T11" fmla="*/ 1 h 69"/>
              <a:gd name="T12" fmla="*/ 0 w 64"/>
              <a:gd name="T13" fmla="*/ 1 h 69"/>
              <a:gd name="T14" fmla="*/ 0 w 64"/>
              <a:gd name="T15" fmla="*/ 0 h 69"/>
              <a:gd name="T16" fmla="*/ 0 w 64"/>
              <a:gd name="T17" fmla="*/ 0 h 69"/>
              <a:gd name="T18" fmla="*/ 0 w 64"/>
              <a:gd name="T19" fmla="*/ 0 h 69"/>
              <a:gd name="T20" fmla="*/ 0 w 64"/>
              <a:gd name="T21" fmla="*/ 0 h 69"/>
              <a:gd name="T22" fmla="*/ 0 w 64"/>
              <a:gd name="T23" fmla="*/ 0 h 69"/>
              <a:gd name="T24" fmla="*/ 0 w 64"/>
              <a:gd name="T25" fmla="*/ 0 h 69"/>
              <a:gd name="T26" fmla="*/ 1 w 64"/>
              <a:gd name="T27" fmla="*/ 0 h 69"/>
              <a:gd name="T28" fmla="*/ 0 60000 65536"/>
              <a:gd name="T29" fmla="*/ 0 60000 65536"/>
              <a:gd name="T30" fmla="*/ 0 60000 65536"/>
              <a:gd name="T31" fmla="*/ 0 60000 65536"/>
              <a:gd name="T32" fmla="*/ 0 60000 65536"/>
              <a:gd name="T33" fmla="*/ 0 60000 65536"/>
              <a:gd name="T34" fmla="*/ 0 60000 65536"/>
              <a:gd name="T35" fmla="*/ 0 60000 65536"/>
              <a:gd name="T36" fmla="*/ 0 60000 65536"/>
              <a:gd name="T37" fmla="*/ 0 60000 65536"/>
              <a:gd name="T38" fmla="*/ 0 60000 65536"/>
              <a:gd name="T39" fmla="*/ 0 60000 65536"/>
              <a:gd name="T40" fmla="*/ 0 60000 65536"/>
              <a:gd name="T41" fmla="*/ 0 60000 65536"/>
              <a:gd name="T42" fmla="*/ 0 w 64"/>
              <a:gd name="T43" fmla="*/ 0 h 69"/>
              <a:gd name="T44" fmla="*/ 64 w 64"/>
              <a:gd name="T45" fmla="*/ 69 h 69"/>
            </a:gdLst>
            <a:ahLst/>
            <a:cxnLst>
              <a:cxn ang="T28">
                <a:pos x="T0" y="T1"/>
              </a:cxn>
              <a:cxn ang="T29">
                <a:pos x="T2" y="T3"/>
              </a:cxn>
              <a:cxn ang="T30">
                <a:pos x="T4" y="T5"/>
              </a:cxn>
              <a:cxn ang="T31">
                <a:pos x="T6" y="T7"/>
              </a:cxn>
              <a:cxn ang="T32">
                <a:pos x="T8" y="T9"/>
              </a:cxn>
              <a:cxn ang="T33">
                <a:pos x="T10" y="T11"/>
              </a:cxn>
              <a:cxn ang="T34">
                <a:pos x="T12" y="T13"/>
              </a:cxn>
              <a:cxn ang="T35">
                <a:pos x="T14" y="T15"/>
              </a:cxn>
              <a:cxn ang="T36">
                <a:pos x="T16" y="T17"/>
              </a:cxn>
              <a:cxn ang="T37">
                <a:pos x="T18" y="T19"/>
              </a:cxn>
              <a:cxn ang="T38">
                <a:pos x="T20" y="T21"/>
              </a:cxn>
              <a:cxn ang="T39">
                <a:pos x="T22" y="T23"/>
              </a:cxn>
              <a:cxn ang="T40">
                <a:pos x="T24" y="T25"/>
              </a:cxn>
              <a:cxn ang="T41">
                <a:pos x="T26" y="T27"/>
              </a:cxn>
            </a:cxnLst>
            <a:rect l="T42" t="T43" r="T44" b="T45"/>
            <a:pathLst>
              <a:path w="64" h="69">
                <a:moveTo>
                  <a:pt x="62" y="28"/>
                </a:moveTo>
                <a:lnTo>
                  <a:pt x="64" y="52"/>
                </a:lnTo>
                <a:lnTo>
                  <a:pt x="59" y="43"/>
                </a:lnTo>
                <a:lnTo>
                  <a:pt x="61" y="62"/>
                </a:lnTo>
                <a:lnTo>
                  <a:pt x="55" y="60"/>
                </a:lnTo>
                <a:lnTo>
                  <a:pt x="39" y="64"/>
                </a:lnTo>
                <a:lnTo>
                  <a:pt x="30" y="69"/>
                </a:lnTo>
                <a:lnTo>
                  <a:pt x="0" y="43"/>
                </a:lnTo>
                <a:lnTo>
                  <a:pt x="19" y="37"/>
                </a:lnTo>
                <a:lnTo>
                  <a:pt x="12" y="10"/>
                </a:lnTo>
                <a:lnTo>
                  <a:pt x="37" y="28"/>
                </a:lnTo>
                <a:lnTo>
                  <a:pt x="20" y="8"/>
                </a:lnTo>
                <a:lnTo>
                  <a:pt x="49" y="0"/>
                </a:lnTo>
                <a:lnTo>
                  <a:pt x="62" y="28"/>
                </a:lnTo>
              </a:path>
            </a:pathLst>
          </a:custGeom>
          <a:solidFill>
            <a:srgbClr val="558723"/>
          </a:solidFill>
          <a:ln w="9525">
            <a:solidFill>
              <a:srgbClr val="FFFFFF"/>
            </a:solidFill>
            <a:miter lim="800000"/>
            <a:headEnd/>
            <a:tailEnd/>
          </a:ln>
        </xdr:spPr>
        <xdr:txBody>
          <a:bodyPr vertOverflow="clip" wrap="square" lIns="36576" tIns="32004" rIns="0" bIns="0" anchor="t"/>
          <a:lstStyle/>
          <a:p>
            <a:pPr algn="l" rtl="0">
              <a:defRPr sz="1000"/>
            </a:pPr>
            <a:endParaRPr lang="en-US" sz="1600" b="0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 algn="l" rtl="0">
              <a:defRPr sz="1000"/>
            </a:pPr>
            <a:endParaRPr lang="en-US"/>
          </a:p>
        </xdr:txBody>
      </xdr:sp>
      <xdr:sp macro="" textlink="">
        <xdr:nvSpPr>
          <xdr:cNvPr id="25972" name="Freeform 9"/>
          <xdr:cNvSpPr>
            <a:spLocks/>
          </xdr:cNvSpPr>
        </xdr:nvSpPr>
        <xdr:spPr bwMode="auto">
          <a:xfrm>
            <a:off x="311" y="129"/>
            <a:ext cx="8" cy="9"/>
          </a:xfrm>
          <a:custGeom>
            <a:avLst/>
            <a:gdLst>
              <a:gd name="T0" fmla="*/ 0 w 39"/>
              <a:gd name="T1" fmla="*/ 0 h 42"/>
              <a:gd name="T2" fmla="*/ 0 w 39"/>
              <a:gd name="T3" fmla="*/ 0 h 42"/>
              <a:gd name="T4" fmla="*/ 0 w 39"/>
              <a:gd name="T5" fmla="*/ 0 h 42"/>
              <a:gd name="T6" fmla="*/ 0 60000 65536"/>
              <a:gd name="T7" fmla="*/ 0 60000 65536"/>
              <a:gd name="T8" fmla="*/ 0 60000 65536"/>
              <a:gd name="T9" fmla="*/ 0 w 39"/>
              <a:gd name="T10" fmla="*/ 0 h 42"/>
              <a:gd name="T11" fmla="*/ 39 w 39"/>
              <a:gd name="T12" fmla="*/ 42 h 42"/>
            </a:gdLst>
            <a:ahLst/>
            <a:cxnLst>
              <a:cxn ang="T6">
                <a:pos x="T0" y="T1"/>
              </a:cxn>
              <a:cxn ang="T7">
                <a:pos x="T2" y="T3"/>
              </a:cxn>
              <a:cxn ang="T8">
                <a:pos x="T4" y="T5"/>
              </a:cxn>
            </a:cxnLst>
            <a:rect l="T9" t="T10" r="T11" b="T12"/>
            <a:pathLst>
              <a:path w="39" h="42">
                <a:moveTo>
                  <a:pt x="39" y="42"/>
                </a:moveTo>
                <a:lnTo>
                  <a:pt x="0" y="0"/>
                </a:lnTo>
                <a:lnTo>
                  <a:pt x="39" y="42"/>
                </a:lnTo>
              </a:path>
            </a:pathLst>
          </a:custGeom>
          <a:solidFill>
            <a:srgbClr val="558723"/>
          </a:solidFill>
          <a:ln w="9525">
            <a:solidFill>
              <a:srgbClr val="FFFFFF"/>
            </a:solidFill>
            <a:miter lim="800000"/>
            <a:headEnd/>
            <a:tailEnd/>
          </a:ln>
        </xdr:spPr>
        <xdr:txBody>
          <a:bodyPr vertOverflow="clip" wrap="square" lIns="36576" tIns="32004" rIns="0" bIns="0" anchor="t"/>
          <a:lstStyle/>
          <a:p>
            <a:pPr algn="l" rtl="0">
              <a:defRPr sz="1000"/>
            </a:pPr>
            <a:endParaRPr lang="en-US" sz="1600" b="0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 algn="l" rtl="0">
              <a:defRPr sz="1000"/>
            </a:pPr>
            <a:endParaRPr lang="en-US"/>
          </a:p>
        </xdr:txBody>
      </xdr:sp>
      <xdr:sp macro="" textlink="">
        <xdr:nvSpPr>
          <xdr:cNvPr id="25973" name="Freeform 10"/>
          <xdr:cNvSpPr>
            <a:spLocks/>
          </xdr:cNvSpPr>
        </xdr:nvSpPr>
        <xdr:spPr bwMode="auto">
          <a:xfrm>
            <a:off x="292" y="128"/>
            <a:ext cx="15" cy="11"/>
          </a:xfrm>
          <a:custGeom>
            <a:avLst/>
            <a:gdLst>
              <a:gd name="T0" fmla="*/ 1 w 67"/>
              <a:gd name="T1" fmla="*/ 0 h 51"/>
              <a:gd name="T2" fmla="*/ 1 w 67"/>
              <a:gd name="T3" fmla="*/ 0 h 51"/>
              <a:gd name="T4" fmla="*/ 0 w 67"/>
              <a:gd name="T5" fmla="*/ 0 h 51"/>
              <a:gd name="T6" fmla="*/ 0 w 67"/>
              <a:gd name="T7" fmla="*/ 0 h 51"/>
              <a:gd name="T8" fmla="*/ 0 w 67"/>
              <a:gd name="T9" fmla="*/ 0 h 51"/>
              <a:gd name="T10" fmla="*/ 0 w 67"/>
              <a:gd name="T11" fmla="*/ 0 h 51"/>
              <a:gd name="T12" fmla="*/ 0 w 67"/>
              <a:gd name="T13" fmla="*/ 0 h 51"/>
              <a:gd name="T14" fmla="*/ 0 w 67"/>
              <a:gd name="T15" fmla="*/ 0 h 51"/>
              <a:gd name="T16" fmla="*/ 0 w 67"/>
              <a:gd name="T17" fmla="*/ 0 h 51"/>
              <a:gd name="T18" fmla="*/ 1 w 67"/>
              <a:gd name="T19" fmla="*/ 0 h 51"/>
              <a:gd name="T20" fmla="*/ 0 60000 65536"/>
              <a:gd name="T21" fmla="*/ 0 60000 65536"/>
              <a:gd name="T22" fmla="*/ 0 60000 65536"/>
              <a:gd name="T23" fmla="*/ 0 60000 65536"/>
              <a:gd name="T24" fmla="*/ 0 60000 65536"/>
              <a:gd name="T25" fmla="*/ 0 60000 65536"/>
              <a:gd name="T26" fmla="*/ 0 60000 65536"/>
              <a:gd name="T27" fmla="*/ 0 60000 65536"/>
              <a:gd name="T28" fmla="*/ 0 60000 65536"/>
              <a:gd name="T29" fmla="*/ 0 60000 65536"/>
              <a:gd name="T30" fmla="*/ 0 w 67"/>
              <a:gd name="T31" fmla="*/ 0 h 51"/>
              <a:gd name="T32" fmla="*/ 67 w 67"/>
              <a:gd name="T33" fmla="*/ 51 h 51"/>
            </a:gdLst>
            <a:ahLst/>
            <a:cxnLst>
              <a:cxn ang="T20">
                <a:pos x="T0" y="T1"/>
              </a:cxn>
              <a:cxn ang="T21">
                <a:pos x="T2" y="T3"/>
              </a:cxn>
              <a:cxn ang="T22">
                <a:pos x="T4" y="T5"/>
              </a:cxn>
              <a:cxn ang="T23">
                <a:pos x="T6" y="T7"/>
              </a:cxn>
              <a:cxn ang="T24">
                <a:pos x="T8" y="T9"/>
              </a:cxn>
              <a:cxn ang="T25">
                <a:pos x="T10" y="T11"/>
              </a:cxn>
              <a:cxn ang="T26">
                <a:pos x="T12" y="T13"/>
              </a:cxn>
              <a:cxn ang="T27">
                <a:pos x="T14" y="T15"/>
              </a:cxn>
              <a:cxn ang="T28">
                <a:pos x="T16" y="T17"/>
              </a:cxn>
              <a:cxn ang="T29">
                <a:pos x="T18" y="T19"/>
              </a:cxn>
            </a:cxnLst>
            <a:rect l="T30" t="T31" r="T32" b="T33"/>
            <a:pathLst>
              <a:path w="67" h="51">
                <a:moveTo>
                  <a:pt x="61" y="10"/>
                </a:moveTo>
                <a:lnTo>
                  <a:pt x="67" y="51"/>
                </a:lnTo>
                <a:lnTo>
                  <a:pt x="0" y="20"/>
                </a:lnTo>
                <a:lnTo>
                  <a:pt x="19" y="17"/>
                </a:lnTo>
                <a:lnTo>
                  <a:pt x="12" y="17"/>
                </a:lnTo>
                <a:lnTo>
                  <a:pt x="19" y="9"/>
                </a:lnTo>
                <a:lnTo>
                  <a:pt x="9" y="0"/>
                </a:lnTo>
                <a:lnTo>
                  <a:pt x="0" y="9"/>
                </a:lnTo>
                <a:lnTo>
                  <a:pt x="22" y="0"/>
                </a:lnTo>
                <a:lnTo>
                  <a:pt x="61" y="10"/>
                </a:lnTo>
              </a:path>
            </a:pathLst>
          </a:custGeom>
          <a:solidFill>
            <a:srgbClr val="558723"/>
          </a:solidFill>
          <a:ln w="9525">
            <a:solidFill>
              <a:srgbClr val="FFFFFF"/>
            </a:solidFill>
            <a:miter lim="800000"/>
            <a:headEnd/>
            <a:tailEnd/>
          </a:ln>
        </xdr:spPr>
        <xdr:txBody>
          <a:bodyPr vertOverflow="clip" wrap="square" lIns="36576" tIns="32004" rIns="0" bIns="0" anchor="t"/>
          <a:lstStyle/>
          <a:p>
            <a:pPr algn="l" rtl="0">
              <a:defRPr sz="1000"/>
            </a:pPr>
            <a:endParaRPr lang="en-US" sz="1600" b="0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 algn="l" rtl="0">
              <a:defRPr sz="1000"/>
            </a:pPr>
            <a:endParaRPr lang="en-US"/>
          </a:p>
        </xdr:txBody>
      </xdr:sp>
      <xdr:sp macro="" textlink="">
        <xdr:nvSpPr>
          <xdr:cNvPr id="25974" name="Freeform 11"/>
          <xdr:cNvSpPr>
            <a:spLocks/>
          </xdr:cNvSpPr>
        </xdr:nvSpPr>
        <xdr:spPr bwMode="auto">
          <a:xfrm>
            <a:off x="290" y="140"/>
            <a:ext cx="4" cy="5"/>
          </a:xfrm>
          <a:custGeom>
            <a:avLst/>
            <a:gdLst>
              <a:gd name="T0" fmla="*/ 0 w 18"/>
              <a:gd name="T1" fmla="*/ 0 h 23"/>
              <a:gd name="T2" fmla="*/ 0 w 18"/>
              <a:gd name="T3" fmla="*/ 0 h 23"/>
              <a:gd name="T4" fmla="*/ 0 w 18"/>
              <a:gd name="T5" fmla="*/ 0 h 23"/>
              <a:gd name="T6" fmla="*/ 0 w 18"/>
              <a:gd name="T7" fmla="*/ 0 h 23"/>
              <a:gd name="T8" fmla="*/ 0 60000 65536"/>
              <a:gd name="T9" fmla="*/ 0 60000 65536"/>
              <a:gd name="T10" fmla="*/ 0 60000 65536"/>
              <a:gd name="T11" fmla="*/ 0 60000 65536"/>
              <a:gd name="T12" fmla="*/ 0 w 18"/>
              <a:gd name="T13" fmla="*/ 0 h 23"/>
              <a:gd name="T14" fmla="*/ 18 w 18"/>
              <a:gd name="T15" fmla="*/ 23 h 23"/>
            </a:gdLst>
            <a:ahLst/>
            <a:cxnLst>
              <a:cxn ang="T8">
                <a:pos x="T0" y="T1"/>
              </a:cxn>
              <a:cxn ang="T9">
                <a:pos x="T2" y="T3"/>
              </a:cxn>
              <a:cxn ang="T10">
                <a:pos x="T4" y="T5"/>
              </a:cxn>
              <a:cxn ang="T11">
                <a:pos x="T6" y="T7"/>
              </a:cxn>
            </a:cxnLst>
            <a:rect l="T12" t="T13" r="T14" b="T15"/>
            <a:pathLst>
              <a:path w="18" h="23">
                <a:moveTo>
                  <a:pt x="11" y="6"/>
                </a:moveTo>
                <a:lnTo>
                  <a:pt x="18" y="23"/>
                </a:lnTo>
                <a:lnTo>
                  <a:pt x="0" y="0"/>
                </a:lnTo>
                <a:lnTo>
                  <a:pt x="11" y="6"/>
                </a:lnTo>
              </a:path>
            </a:pathLst>
          </a:custGeom>
          <a:solidFill>
            <a:srgbClr val="558723"/>
          </a:solidFill>
          <a:ln w="9525">
            <a:solidFill>
              <a:srgbClr val="FFFFFF"/>
            </a:solidFill>
            <a:miter lim="800000"/>
            <a:headEnd/>
            <a:tailEnd/>
          </a:ln>
        </xdr:spPr>
        <xdr:txBody>
          <a:bodyPr vertOverflow="clip" wrap="square" lIns="36576" tIns="32004" rIns="0" bIns="0" anchor="t"/>
          <a:lstStyle/>
          <a:p>
            <a:pPr algn="l" rtl="0">
              <a:defRPr sz="1000"/>
            </a:pPr>
            <a:endParaRPr lang="en-US" sz="1600" b="0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 algn="l" rtl="0">
              <a:defRPr sz="1000"/>
            </a:pPr>
            <a:endParaRPr lang="en-US"/>
          </a:p>
        </xdr:txBody>
      </xdr:sp>
      <xdr:sp macro="" textlink="">
        <xdr:nvSpPr>
          <xdr:cNvPr id="25975" name="Freeform 12"/>
          <xdr:cNvSpPr>
            <a:spLocks/>
          </xdr:cNvSpPr>
        </xdr:nvSpPr>
        <xdr:spPr bwMode="auto">
          <a:xfrm>
            <a:off x="258" y="147"/>
            <a:ext cx="30" cy="20"/>
          </a:xfrm>
          <a:custGeom>
            <a:avLst/>
            <a:gdLst>
              <a:gd name="T0" fmla="*/ 1 w 134"/>
              <a:gd name="T1" fmla="*/ 0 h 95"/>
              <a:gd name="T2" fmla="*/ 1 w 134"/>
              <a:gd name="T3" fmla="*/ 0 h 95"/>
              <a:gd name="T4" fmla="*/ 1 w 134"/>
              <a:gd name="T5" fmla="*/ 0 h 95"/>
              <a:gd name="T6" fmla="*/ 1 w 134"/>
              <a:gd name="T7" fmla="*/ 0 h 95"/>
              <a:gd name="T8" fmla="*/ 2 w 134"/>
              <a:gd name="T9" fmla="*/ 0 h 95"/>
              <a:gd name="T10" fmla="*/ 1 w 134"/>
              <a:gd name="T11" fmla="*/ 1 h 95"/>
              <a:gd name="T12" fmla="*/ 0 w 134"/>
              <a:gd name="T13" fmla="*/ 1 h 95"/>
              <a:gd name="T14" fmla="*/ 1 w 134"/>
              <a:gd name="T15" fmla="*/ 1 h 95"/>
              <a:gd name="T16" fmla="*/ 0 w 134"/>
              <a:gd name="T17" fmla="*/ 1 h 95"/>
              <a:gd name="T18" fmla="*/ 1 w 134"/>
              <a:gd name="T19" fmla="*/ 1 h 95"/>
              <a:gd name="T20" fmla="*/ 0 w 134"/>
              <a:gd name="T21" fmla="*/ 1 h 95"/>
              <a:gd name="T22" fmla="*/ 0 w 134"/>
              <a:gd name="T23" fmla="*/ 1 h 95"/>
              <a:gd name="T24" fmla="*/ 0 w 134"/>
              <a:gd name="T25" fmla="*/ 0 h 95"/>
              <a:gd name="T26" fmla="*/ 0 w 134"/>
              <a:gd name="T27" fmla="*/ 0 h 95"/>
              <a:gd name="T28" fmla="*/ 1 w 134"/>
              <a:gd name="T29" fmla="*/ 0 h 95"/>
              <a:gd name="T30" fmla="*/ 1 w 134"/>
              <a:gd name="T31" fmla="*/ 0 h 95"/>
              <a:gd name="T32" fmla="*/ 0 60000 65536"/>
              <a:gd name="T33" fmla="*/ 0 60000 65536"/>
              <a:gd name="T34" fmla="*/ 0 60000 65536"/>
              <a:gd name="T35" fmla="*/ 0 60000 65536"/>
              <a:gd name="T36" fmla="*/ 0 60000 65536"/>
              <a:gd name="T37" fmla="*/ 0 60000 65536"/>
              <a:gd name="T38" fmla="*/ 0 60000 65536"/>
              <a:gd name="T39" fmla="*/ 0 60000 65536"/>
              <a:gd name="T40" fmla="*/ 0 60000 65536"/>
              <a:gd name="T41" fmla="*/ 0 60000 65536"/>
              <a:gd name="T42" fmla="*/ 0 60000 65536"/>
              <a:gd name="T43" fmla="*/ 0 60000 65536"/>
              <a:gd name="T44" fmla="*/ 0 60000 65536"/>
              <a:gd name="T45" fmla="*/ 0 60000 65536"/>
              <a:gd name="T46" fmla="*/ 0 60000 65536"/>
              <a:gd name="T47" fmla="*/ 0 60000 65536"/>
              <a:gd name="T48" fmla="*/ 0 w 134"/>
              <a:gd name="T49" fmla="*/ 0 h 95"/>
              <a:gd name="T50" fmla="*/ 134 w 134"/>
              <a:gd name="T51" fmla="*/ 95 h 95"/>
            </a:gdLst>
            <a:ahLst/>
            <a:cxnLst>
              <a:cxn ang="T32">
                <a:pos x="T0" y="T1"/>
              </a:cxn>
              <a:cxn ang="T33">
                <a:pos x="T2" y="T3"/>
              </a:cxn>
              <a:cxn ang="T34">
                <a:pos x="T4" y="T5"/>
              </a:cxn>
              <a:cxn ang="T35">
                <a:pos x="T6" y="T7"/>
              </a:cxn>
              <a:cxn ang="T36">
                <a:pos x="T8" y="T9"/>
              </a:cxn>
              <a:cxn ang="T37">
                <a:pos x="T10" y="T11"/>
              </a:cxn>
              <a:cxn ang="T38">
                <a:pos x="T12" y="T13"/>
              </a:cxn>
              <a:cxn ang="T39">
                <a:pos x="T14" y="T15"/>
              </a:cxn>
              <a:cxn ang="T40">
                <a:pos x="T16" y="T17"/>
              </a:cxn>
              <a:cxn ang="T41">
                <a:pos x="T18" y="T19"/>
              </a:cxn>
              <a:cxn ang="T42">
                <a:pos x="T20" y="T21"/>
              </a:cxn>
              <a:cxn ang="T43">
                <a:pos x="T22" y="T23"/>
              </a:cxn>
              <a:cxn ang="T44">
                <a:pos x="T24" y="T25"/>
              </a:cxn>
              <a:cxn ang="T45">
                <a:pos x="T26" y="T27"/>
              </a:cxn>
              <a:cxn ang="T46">
                <a:pos x="T28" y="T29"/>
              </a:cxn>
              <a:cxn ang="T47">
                <a:pos x="T30" y="T31"/>
              </a:cxn>
            </a:cxnLst>
            <a:rect l="T48" t="T49" r="T50" b="T51"/>
            <a:pathLst>
              <a:path w="134" h="95">
                <a:moveTo>
                  <a:pt x="92" y="15"/>
                </a:moveTo>
                <a:lnTo>
                  <a:pt x="107" y="0"/>
                </a:lnTo>
                <a:lnTo>
                  <a:pt x="118" y="45"/>
                </a:lnTo>
                <a:lnTo>
                  <a:pt x="131" y="48"/>
                </a:lnTo>
                <a:lnTo>
                  <a:pt x="134" y="33"/>
                </a:lnTo>
                <a:lnTo>
                  <a:pt x="109" y="72"/>
                </a:lnTo>
                <a:lnTo>
                  <a:pt x="49" y="95"/>
                </a:lnTo>
                <a:lnTo>
                  <a:pt x="81" y="65"/>
                </a:lnTo>
                <a:lnTo>
                  <a:pt x="45" y="75"/>
                </a:lnTo>
                <a:lnTo>
                  <a:pt x="52" y="58"/>
                </a:lnTo>
                <a:lnTo>
                  <a:pt x="37" y="63"/>
                </a:lnTo>
                <a:lnTo>
                  <a:pt x="0" y="67"/>
                </a:lnTo>
                <a:lnTo>
                  <a:pt x="30" y="47"/>
                </a:lnTo>
                <a:lnTo>
                  <a:pt x="5" y="53"/>
                </a:lnTo>
                <a:lnTo>
                  <a:pt x="104" y="53"/>
                </a:lnTo>
                <a:lnTo>
                  <a:pt x="92" y="15"/>
                </a:lnTo>
              </a:path>
            </a:pathLst>
          </a:custGeom>
          <a:solidFill>
            <a:srgbClr val="558723"/>
          </a:solidFill>
          <a:ln w="9525">
            <a:solidFill>
              <a:srgbClr val="FFFFFF"/>
            </a:solidFill>
            <a:miter lim="800000"/>
            <a:headEnd/>
            <a:tailEnd/>
          </a:ln>
        </xdr:spPr>
        <xdr:txBody>
          <a:bodyPr vertOverflow="clip" wrap="square" lIns="36576" tIns="32004" rIns="0" bIns="0" anchor="t"/>
          <a:lstStyle/>
          <a:p>
            <a:pPr algn="l" rtl="0">
              <a:defRPr sz="1000"/>
            </a:pPr>
            <a:endParaRPr lang="en-US" sz="1600" b="0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 algn="l" rtl="0">
              <a:defRPr sz="1000"/>
            </a:pPr>
            <a:endParaRPr lang="en-US"/>
          </a:p>
        </xdr:txBody>
      </xdr:sp>
      <xdr:sp macro="" textlink="">
        <xdr:nvSpPr>
          <xdr:cNvPr id="25976" name="Freeform 13"/>
          <xdr:cNvSpPr>
            <a:spLocks/>
          </xdr:cNvSpPr>
        </xdr:nvSpPr>
        <xdr:spPr bwMode="auto">
          <a:xfrm>
            <a:off x="245" y="142"/>
            <a:ext cx="15" cy="14"/>
          </a:xfrm>
          <a:custGeom>
            <a:avLst/>
            <a:gdLst>
              <a:gd name="T0" fmla="*/ 0 w 70"/>
              <a:gd name="T1" fmla="*/ 0 h 64"/>
              <a:gd name="T2" fmla="*/ 1 w 70"/>
              <a:gd name="T3" fmla="*/ 0 h 64"/>
              <a:gd name="T4" fmla="*/ 1 w 70"/>
              <a:gd name="T5" fmla="*/ 0 h 64"/>
              <a:gd name="T6" fmla="*/ 1 w 70"/>
              <a:gd name="T7" fmla="*/ 0 h 64"/>
              <a:gd name="T8" fmla="*/ 1 w 70"/>
              <a:gd name="T9" fmla="*/ 0 h 64"/>
              <a:gd name="T10" fmla="*/ 1 w 70"/>
              <a:gd name="T11" fmla="*/ 0 h 64"/>
              <a:gd name="T12" fmla="*/ 1 w 70"/>
              <a:gd name="T13" fmla="*/ 0 h 64"/>
              <a:gd name="T14" fmla="*/ 0 w 70"/>
              <a:gd name="T15" fmla="*/ 1 h 64"/>
              <a:gd name="T16" fmla="*/ 0 w 70"/>
              <a:gd name="T17" fmla="*/ 0 h 64"/>
              <a:gd name="T18" fmla="*/ 0 w 70"/>
              <a:gd name="T19" fmla="*/ 1 h 64"/>
              <a:gd name="T20" fmla="*/ 0 w 70"/>
              <a:gd name="T21" fmla="*/ 0 h 64"/>
              <a:gd name="T22" fmla="*/ 0 w 70"/>
              <a:gd name="T23" fmla="*/ 1 h 64"/>
              <a:gd name="T24" fmla="*/ 0 w 70"/>
              <a:gd name="T25" fmla="*/ 0 h 64"/>
              <a:gd name="T26" fmla="*/ 0 60000 65536"/>
              <a:gd name="T27" fmla="*/ 0 60000 65536"/>
              <a:gd name="T28" fmla="*/ 0 60000 65536"/>
              <a:gd name="T29" fmla="*/ 0 60000 65536"/>
              <a:gd name="T30" fmla="*/ 0 60000 65536"/>
              <a:gd name="T31" fmla="*/ 0 60000 65536"/>
              <a:gd name="T32" fmla="*/ 0 60000 65536"/>
              <a:gd name="T33" fmla="*/ 0 60000 65536"/>
              <a:gd name="T34" fmla="*/ 0 60000 65536"/>
              <a:gd name="T35" fmla="*/ 0 60000 65536"/>
              <a:gd name="T36" fmla="*/ 0 60000 65536"/>
              <a:gd name="T37" fmla="*/ 0 60000 65536"/>
              <a:gd name="T38" fmla="*/ 0 60000 65536"/>
              <a:gd name="T39" fmla="*/ 0 w 70"/>
              <a:gd name="T40" fmla="*/ 0 h 64"/>
              <a:gd name="T41" fmla="*/ 70 w 70"/>
              <a:gd name="T42" fmla="*/ 64 h 64"/>
            </a:gdLst>
            <a:ahLst/>
            <a:cxnLst>
              <a:cxn ang="T26">
                <a:pos x="T0" y="T1"/>
              </a:cxn>
              <a:cxn ang="T27">
                <a:pos x="T2" y="T3"/>
              </a:cxn>
              <a:cxn ang="T28">
                <a:pos x="T4" y="T5"/>
              </a:cxn>
              <a:cxn ang="T29">
                <a:pos x="T6" y="T7"/>
              </a:cxn>
              <a:cxn ang="T30">
                <a:pos x="T8" y="T9"/>
              </a:cxn>
              <a:cxn ang="T31">
                <a:pos x="T10" y="T11"/>
              </a:cxn>
              <a:cxn ang="T32">
                <a:pos x="T12" y="T13"/>
              </a:cxn>
              <a:cxn ang="T33">
                <a:pos x="T14" y="T15"/>
              </a:cxn>
              <a:cxn ang="T34">
                <a:pos x="T16" y="T17"/>
              </a:cxn>
              <a:cxn ang="T35">
                <a:pos x="T18" y="T19"/>
              </a:cxn>
              <a:cxn ang="T36">
                <a:pos x="T20" y="T21"/>
              </a:cxn>
              <a:cxn ang="T37">
                <a:pos x="T22" y="T23"/>
              </a:cxn>
              <a:cxn ang="T38">
                <a:pos x="T24" y="T25"/>
              </a:cxn>
            </a:cxnLst>
            <a:rect l="T39" t="T40" r="T41" b="T42"/>
            <a:pathLst>
              <a:path w="70" h="64">
                <a:moveTo>
                  <a:pt x="33" y="19"/>
                </a:moveTo>
                <a:lnTo>
                  <a:pt x="58" y="4"/>
                </a:lnTo>
                <a:lnTo>
                  <a:pt x="58" y="9"/>
                </a:lnTo>
                <a:lnTo>
                  <a:pt x="70" y="5"/>
                </a:lnTo>
                <a:lnTo>
                  <a:pt x="67" y="0"/>
                </a:lnTo>
                <a:lnTo>
                  <a:pt x="60" y="44"/>
                </a:lnTo>
                <a:lnTo>
                  <a:pt x="60" y="27"/>
                </a:lnTo>
                <a:lnTo>
                  <a:pt x="30" y="64"/>
                </a:lnTo>
                <a:lnTo>
                  <a:pt x="25" y="49"/>
                </a:lnTo>
                <a:lnTo>
                  <a:pt x="5" y="59"/>
                </a:lnTo>
                <a:lnTo>
                  <a:pt x="5" y="51"/>
                </a:lnTo>
                <a:lnTo>
                  <a:pt x="0" y="54"/>
                </a:lnTo>
                <a:lnTo>
                  <a:pt x="33" y="19"/>
                </a:lnTo>
              </a:path>
            </a:pathLst>
          </a:custGeom>
          <a:solidFill>
            <a:srgbClr val="558723"/>
          </a:solidFill>
          <a:ln w="9525">
            <a:solidFill>
              <a:srgbClr val="FFFFFF"/>
            </a:solidFill>
            <a:miter lim="800000"/>
            <a:headEnd/>
            <a:tailEnd/>
          </a:ln>
        </xdr:spPr>
        <xdr:txBody>
          <a:bodyPr vertOverflow="clip" wrap="square" lIns="36576" tIns="32004" rIns="0" bIns="0" anchor="t"/>
          <a:lstStyle/>
          <a:p>
            <a:pPr algn="l" rtl="0">
              <a:defRPr sz="1000"/>
            </a:pPr>
            <a:endParaRPr lang="en-US" sz="1600" b="0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 algn="l" rtl="0">
              <a:defRPr sz="1000"/>
            </a:pPr>
            <a:endParaRPr lang="en-US"/>
          </a:p>
        </xdr:txBody>
      </xdr:sp>
      <xdr:sp macro="" textlink="">
        <xdr:nvSpPr>
          <xdr:cNvPr id="25977" name="Freeform 14"/>
          <xdr:cNvSpPr>
            <a:spLocks/>
          </xdr:cNvSpPr>
        </xdr:nvSpPr>
        <xdr:spPr bwMode="auto">
          <a:xfrm>
            <a:off x="273" y="137"/>
            <a:ext cx="6" cy="2"/>
          </a:xfrm>
          <a:custGeom>
            <a:avLst/>
            <a:gdLst>
              <a:gd name="T0" fmla="*/ 0 w 27"/>
              <a:gd name="T1" fmla="*/ 0 h 12"/>
              <a:gd name="T2" fmla="*/ 0 w 27"/>
              <a:gd name="T3" fmla="*/ 0 h 12"/>
              <a:gd name="T4" fmla="*/ 0 w 27"/>
              <a:gd name="T5" fmla="*/ 0 h 12"/>
              <a:gd name="T6" fmla="*/ 0 w 27"/>
              <a:gd name="T7" fmla="*/ 0 h 12"/>
              <a:gd name="T8" fmla="*/ 0 w 27"/>
              <a:gd name="T9" fmla="*/ 0 h 12"/>
              <a:gd name="T10" fmla="*/ 0 60000 65536"/>
              <a:gd name="T11" fmla="*/ 0 60000 65536"/>
              <a:gd name="T12" fmla="*/ 0 60000 65536"/>
              <a:gd name="T13" fmla="*/ 0 60000 65536"/>
              <a:gd name="T14" fmla="*/ 0 60000 65536"/>
              <a:gd name="T15" fmla="*/ 0 w 27"/>
              <a:gd name="T16" fmla="*/ 0 h 12"/>
              <a:gd name="T17" fmla="*/ 27 w 27"/>
              <a:gd name="T18" fmla="*/ 12 h 12"/>
            </a:gdLst>
            <a:ahLst/>
            <a:cxnLst>
              <a:cxn ang="T10">
                <a:pos x="T0" y="T1"/>
              </a:cxn>
              <a:cxn ang="T11">
                <a:pos x="T2" y="T3"/>
              </a:cxn>
              <a:cxn ang="T12">
                <a:pos x="T4" y="T5"/>
              </a:cxn>
              <a:cxn ang="T13">
                <a:pos x="T6" y="T7"/>
              </a:cxn>
              <a:cxn ang="T14">
                <a:pos x="T8" y="T9"/>
              </a:cxn>
            </a:cxnLst>
            <a:rect l="T15" t="T16" r="T17" b="T18"/>
            <a:pathLst>
              <a:path w="27" h="12">
                <a:moveTo>
                  <a:pt x="0" y="0"/>
                </a:moveTo>
                <a:lnTo>
                  <a:pt x="27" y="2"/>
                </a:lnTo>
                <a:lnTo>
                  <a:pt x="7" y="10"/>
                </a:lnTo>
                <a:lnTo>
                  <a:pt x="22" y="12"/>
                </a:lnTo>
                <a:lnTo>
                  <a:pt x="0" y="0"/>
                </a:lnTo>
              </a:path>
            </a:pathLst>
          </a:custGeom>
          <a:solidFill>
            <a:srgbClr val="558723"/>
          </a:solidFill>
          <a:ln w="9525">
            <a:solidFill>
              <a:srgbClr val="FFFFFF"/>
            </a:solidFill>
            <a:miter lim="800000"/>
            <a:headEnd/>
            <a:tailEnd/>
          </a:ln>
        </xdr:spPr>
        <xdr:txBody>
          <a:bodyPr vertOverflow="clip" wrap="square" lIns="36576" tIns="32004" rIns="0" bIns="0" anchor="t"/>
          <a:lstStyle/>
          <a:p>
            <a:pPr algn="l" rtl="0">
              <a:defRPr sz="1000"/>
            </a:pPr>
            <a:endParaRPr lang="en-US" sz="1600" b="0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 algn="l" rtl="0">
              <a:defRPr sz="1000"/>
            </a:pPr>
            <a:endParaRPr lang="en-US"/>
          </a:p>
        </xdr:txBody>
      </xdr:sp>
      <xdr:sp macro="" textlink="">
        <xdr:nvSpPr>
          <xdr:cNvPr id="25978" name="Freeform 15"/>
          <xdr:cNvSpPr>
            <a:spLocks/>
          </xdr:cNvSpPr>
        </xdr:nvSpPr>
        <xdr:spPr bwMode="auto">
          <a:xfrm>
            <a:off x="270" y="131"/>
            <a:ext cx="10" cy="3"/>
          </a:xfrm>
          <a:custGeom>
            <a:avLst/>
            <a:gdLst>
              <a:gd name="T0" fmla="*/ 0 w 46"/>
              <a:gd name="T1" fmla="*/ 0 h 15"/>
              <a:gd name="T2" fmla="*/ 0 w 46"/>
              <a:gd name="T3" fmla="*/ 0 h 15"/>
              <a:gd name="T4" fmla="*/ 0 w 46"/>
              <a:gd name="T5" fmla="*/ 0 h 15"/>
              <a:gd name="T6" fmla="*/ 0 w 46"/>
              <a:gd name="T7" fmla="*/ 0 h 15"/>
              <a:gd name="T8" fmla="*/ 0 60000 65536"/>
              <a:gd name="T9" fmla="*/ 0 60000 65536"/>
              <a:gd name="T10" fmla="*/ 0 60000 65536"/>
              <a:gd name="T11" fmla="*/ 0 60000 65536"/>
              <a:gd name="T12" fmla="*/ 0 w 46"/>
              <a:gd name="T13" fmla="*/ 0 h 15"/>
              <a:gd name="T14" fmla="*/ 46 w 46"/>
              <a:gd name="T15" fmla="*/ 15 h 15"/>
            </a:gdLst>
            <a:ahLst/>
            <a:cxnLst>
              <a:cxn ang="T8">
                <a:pos x="T0" y="T1"/>
              </a:cxn>
              <a:cxn ang="T9">
                <a:pos x="T2" y="T3"/>
              </a:cxn>
              <a:cxn ang="T10">
                <a:pos x="T4" y="T5"/>
              </a:cxn>
              <a:cxn ang="T11">
                <a:pos x="T6" y="T7"/>
              </a:cxn>
            </a:cxnLst>
            <a:rect l="T12" t="T13" r="T14" b="T15"/>
            <a:pathLst>
              <a:path w="46" h="15">
                <a:moveTo>
                  <a:pt x="41" y="0"/>
                </a:moveTo>
                <a:lnTo>
                  <a:pt x="46" y="14"/>
                </a:lnTo>
                <a:lnTo>
                  <a:pt x="0" y="15"/>
                </a:lnTo>
                <a:lnTo>
                  <a:pt x="41" y="0"/>
                </a:lnTo>
              </a:path>
            </a:pathLst>
          </a:custGeom>
          <a:solidFill>
            <a:srgbClr val="558723"/>
          </a:solidFill>
          <a:ln w="9525">
            <a:solidFill>
              <a:srgbClr val="FFFFFF"/>
            </a:solidFill>
            <a:miter lim="800000"/>
            <a:headEnd/>
            <a:tailEnd/>
          </a:ln>
        </xdr:spPr>
        <xdr:txBody>
          <a:bodyPr vertOverflow="clip" wrap="square" lIns="36576" tIns="32004" rIns="0" bIns="0" anchor="t"/>
          <a:lstStyle/>
          <a:p>
            <a:pPr algn="l" rtl="0">
              <a:defRPr sz="1000"/>
            </a:pPr>
            <a:endParaRPr lang="en-US" sz="1600" b="0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 algn="l" rtl="0">
              <a:defRPr sz="1000"/>
            </a:pPr>
            <a:endParaRPr lang="en-US"/>
          </a:p>
        </xdr:txBody>
      </xdr:sp>
      <xdr:sp macro="" textlink="">
        <xdr:nvSpPr>
          <xdr:cNvPr id="25979" name="Freeform 16"/>
          <xdr:cNvSpPr>
            <a:spLocks/>
          </xdr:cNvSpPr>
        </xdr:nvSpPr>
        <xdr:spPr bwMode="auto">
          <a:xfrm>
            <a:off x="308" y="116"/>
            <a:ext cx="2" cy="5"/>
          </a:xfrm>
          <a:custGeom>
            <a:avLst/>
            <a:gdLst>
              <a:gd name="T0" fmla="*/ 0 w 9"/>
              <a:gd name="T1" fmla="*/ 0 h 23"/>
              <a:gd name="T2" fmla="*/ 0 w 9"/>
              <a:gd name="T3" fmla="*/ 0 h 23"/>
              <a:gd name="T4" fmla="*/ 0 w 9"/>
              <a:gd name="T5" fmla="*/ 0 h 23"/>
              <a:gd name="T6" fmla="*/ 0 60000 65536"/>
              <a:gd name="T7" fmla="*/ 0 60000 65536"/>
              <a:gd name="T8" fmla="*/ 0 60000 65536"/>
              <a:gd name="T9" fmla="*/ 0 w 9"/>
              <a:gd name="T10" fmla="*/ 0 h 23"/>
              <a:gd name="T11" fmla="*/ 9 w 9"/>
              <a:gd name="T12" fmla="*/ 23 h 23"/>
            </a:gdLst>
            <a:ahLst/>
            <a:cxnLst>
              <a:cxn ang="T6">
                <a:pos x="T0" y="T1"/>
              </a:cxn>
              <a:cxn ang="T7">
                <a:pos x="T2" y="T3"/>
              </a:cxn>
              <a:cxn ang="T8">
                <a:pos x="T4" y="T5"/>
              </a:cxn>
            </a:cxnLst>
            <a:rect l="T9" t="T10" r="T11" b="T12"/>
            <a:pathLst>
              <a:path w="9" h="23">
                <a:moveTo>
                  <a:pt x="0" y="0"/>
                </a:moveTo>
                <a:lnTo>
                  <a:pt x="9" y="23"/>
                </a:lnTo>
                <a:lnTo>
                  <a:pt x="0" y="0"/>
                </a:lnTo>
              </a:path>
            </a:pathLst>
          </a:custGeom>
          <a:solidFill>
            <a:srgbClr val="558723"/>
          </a:solidFill>
          <a:ln w="9525">
            <a:solidFill>
              <a:srgbClr val="FFFFFF"/>
            </a:solidFill>
            <a:miter lim="800000"/>
            <a:headEnd/>
            <a:tailEnd/>
          </a:ln>
        </xdr:spPr>
        <xdr:txBody>
          <a:bodyPr vertOverflow="clip" wrap="square" lIns="36576" tIns="32004" rIns="0" bIns="0" anchor="t"/>
          <a:lstStyle/>
          <a:p>
            <a:pPr algn="l" rtl="0">
              <a:defRPr sz="1000"/>
            </a:pPr>
            <a:endParaRPr lang="en-US" sz="1600" b="0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 algn="l" rtl="0">
              <a:defRPr sz="1000"/>
            </a:pPr>
            <a:endParaRPr lang="en-US"/>
          </a:p>
        </xdr:txBody>
      </xdr:sp>
      <xdr:sp macro="" textlink="">
        <xdr:nvSpPr>
          <xdr:cNvPr id="25980" name="Freeform 17"/>
          <xdr:cNvSpPr>
            <a:spLocks/>
          </xdr:cNvSpPr>
        </xdr:nvSpPr>
        <xdr:spPr bwMode="auto">
          <a:xfrm>
            <a:off x="316" y="140"/>
            <a:ext cx="3" cy="1"/>
          </a:xfrm>
          <a:custGeom>
            <a:avLst/>
            <a:gdLst>
              <a:gd name="T0" fmla="*/ 0 w 12"/>
              <a:gd name="T1" fmla="*/ 0 h 6"/>
              <a:gd name="T2" fmla="*/ 0 w 12"/>
              <a:gd name="T3" fmla="*/ 0 h 6"/>
              <a:gd name="T4" fmla="*/ 0 w 12"/>
              <a:gd name="T5" fmla="*/ 0 h 6"/>
              <a:gd name="T6" fmla="*/ 0 60000 65536"/>
              <a:gd name="T7" fmla="*/ 0 60000 65536"/>
              <a:gd name="T8" fmla="*/ 0 60000 65536"/>
              <a:gd name="T9" fmla="*/ 0 w 12"/>
              <a:gd name="T10" fmla="*/ 0 h 6"/>
              <a:gd name="T11" fmla="*/ 12 w 12"/>
              <a:gd name="T12" fmla="*/ 6 h 6"/>
            </a:gdLst>
            <a:ahLst/>
            <a:cxnLst>
              <a:cxn ang="T6">
                <a:pos x="T0" y="T1"/>
              </a:cxn>
              <a:cxn ang="T7">
                <a:pos x="T2" y="T3"/>
              </a:cxn>
              <a:cxn ang="T8">
                <a:pos x="T4" y="T5"/>
              </a:cxn>
            </a:cxnLst>
            <a:rect l="T9" t="T10" r="T11" b="T12"/>
            <a:pathLst>
              <a:path w="12" h="6">
                <a:moveTo>
                  <a:pt x="12" y="0"/>
                </a:moveTo>
                <a:lnTo>
                  <a:pt x="0" y="6"/>
                </a:lnTo>
                <a:lnTo>
                  <a:pt x="12" y="0"/>
                </a:lnTo>
              </a:path>
            </a:pathLst>
          </a:custGeom>
          <a:solidFill>
            <a:srgbClr val="558723"/>
          </a:solidFill>
          <a:ln w="9525">
            <a:solidFill>
              <a:srgbClr val="FFFFFF"/>
            </a:solidFill>
            <a:miter lim="800000"/>
            <a:headEnd/>
            <a:tailEnd/>
          </a:ln>
        </xdr:spPr>
        <xdr:txBody>
          <a:bodyPr vertOverflow="clip" wrap="square" lIns="36576" tIns="32004" rIns="0" bIns="0" anchor="t"/>
          <a:lstStyle/>
          <a:p>
            <a:pPr algn="l" rtl="0">
              <a:defRPr sz="1000"/>
            </a:pPr>
            <a:endParaRPr lang="en-US" sz="1600" b="0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 algn="l" rtl="0">
              <a:defRPr sz="1000"/>
            </a:pPr>
            <a:endParaRPr lang="en-US"/>
          </a:p>
        </xdr:txBody>
      </xdr:sp>
      <xdr:sp macro="" textlink="">
        <xdr:nvSpPr>
          <xdr:cNvPr id="25981" name="Freeform 18"/>
          <xdr:cNvSpPr>
            <a:spLocks/>
          </xdr:cNvSpPr>
        </xdr:nvSpPr>
        <xdr:spPr bwMode="auto">
          <a:xfrm>
            <a:off x="314" y="145"/>
            <a:ext cx="43" cy="23"/>
          </a:xfrm>
          <a:custGeom>
            <a:avLst/>
            <a:gdLst>
              <a:gd name="T0" fmla="*/ 0 w 196"/>
              <a:gd name="T1" fmla="*/ 0 h 108"/>
              <a:gd name="T2" fmla="*/ 0 w 196"/>
              <a:gd name="T3" fmla="*/ 0 h 108"/>
              <a:gd name="T4" fmla="*/ 0 w 196"/>
              <a:gd name="T5" fmla="*/ 0 h 108"/>
              <a:gd name="T6" fmla="*/ 0 w 196"/>
              <a:gd name="T7" fmla="*/ 0 h 108"/>
              <a:gd name="T8" fmla="*/ 1 w 196"/>
              <a:gd name="T9" fmla="*/ 1 h 108"/>
              <a:gd name="T10" fmla="*/ 1 w 196"/>
              <a:gd name="T11" fmla="*/ 1 h 108"/>
              <a:gd name="T12" fmla="*/ 1 w 196"/>
              <a:gd name="T13" fmla="*/ 1 h 108"/>
              <a:gd name="T14" fmla="*/ 1 w 196"/>
              <a:gd name="T15" fmla="*/ 1 h 108"/>
              <a:gd name="T16" fmla="*/ 1 w 196"/>
              <a:gd name="T17" fmla="*/ 1 h 108"/>
              <a:gd name="T18" fmla="*/ 1 w 196"/>
              <a:gd name="T19" fmla="*/ 1 h 108"/>
              <a:gd name="T20" fmla="*/ 1 w 196"/>
              <a:gd name="T21" fmla="*/ 1 h 108"/>
              <a:gd name="T22" fmla="*/ 1 w 196"/>
              <a:gd name="T23" fmla="*/ 1 h 108"/>
              <a:gd name="T24" fmla="*/ 2 w 196"/>
              <a:gd name="T25" fmla="*/ 1 h 108"/>
              <a:gd name="T26" fmla="*/ 2 w 196"/>
              <a:gd name="T27" fmla="*/ 1 h 108"/>
              <a:gd name="T28" fmla="*/ 2 w 196"/>
              <a:gd name="T29" fmla="*/ 1 h 108"/>
              <a:gd name="T30" fmla="*/ 1 w 196"/>
              <a:gd name="T31" fmla="*/ 1 h 108"/>
              <a:gd name="T32" fmla="*/ 2 w 196"/>
              <a:gd name="T33" fmla="*/ 1 h 108"/>
              <a:gd name="T34" fmla="*/ 1 w 196"/>
              <a:gd name="T35" fmla="*/ 1 h 108"/>
              <a:gd name="T36" fmla="*/ 1 w 196"/>
              <a:gd name="T37" fmla="*/ 1 h 108"/>
              <a:gd name="T38" fmla="*/ 1 w 196"/>
              <a:gd name="T39" fmla="*/ 1 h 108"/>
              <a:gd name="T40" fmla="*/ 1 w 196"/>
              <a:gd name="T41" fmla="*/ 1 h 108"/>
              <a:gd name="T42" fmla="*/ 1 w 196"/>
              <a:gd name="T43" fmla="*/ 1 h 108"/>
              <a:gd name="T44" fmla="*/ 1 w 196"/>
              <a:gd name="T45" fmla="*/ 0 h 108"/>
              <a:gd name="T46" fmla="*/ 0 w 196"/>
              <a:gd name="T47" fmla="*/ 0 h 108"/>
              <a:gd name="T48" fmla="*/ 0 60000 65536"/>
              <a:gd name="T49" fmla="*/ 0 60000 65536"/>
              <a:gd name="T50" fmla="*/ 0 60000 65536"/>
              <a:gd name="T51" fmla="*/ 0 60000 65536"/>
              <a:gd name="T52" fmla="*/ 0 60000 65536"/>
              <a:gd name="T53" fmla="*/ 0 60000 65536"/>
              <a:gd name="T54" fmla="*/ 0 60000 65536"/>
              <a:gd name="T55" fmla="*/ 0 60000 65536"/>
              <a:gd name="T56" fmla="*/ 0 60000 65536"/>
              <a:gd name="T57" fmla="*/ 0 60000 65536"/>
              <a:gd name="T58" fmla="*/ 0 60000 65536"/>
              <a:gd name="T59" fmla="*/ 0 60000 65536"/>
              <a:gd name="T60" fmla="*/ 0 60000 65536"/>
              <a:gd name="T61" fmla="*/ 0 60000 65536"/>
              <a:gd name="T62" fmla="*/ 0 60000 65536"/>
              <a:gd name="T63" fmla="*/ 0 60000 65536"/>
              <a:gd name="T64" fmla="*/ 0 60000 65536"/>
              <a:gd name="T65" fmla="*/ 0 60000 65536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w 196"/>
              <a:gd name="T73" fmla="*/ 0 h 108"/>
              <a:gd name="T74" fmla="*/ 196 w 196"/>
              <a:gd name="T75" fmla="*/ 108 h 108"/>
            </a:gdLst>
            <a:ahLst/>
            <a:cxnLst>
              <a:cxn ang="T48">
                <a:pos x="T0" y="T1"/>
              </a:cxn>
              <a:cxn ang="T49">
                <a:pos x="T2" y="T3"/>
              </a:cxn>
              <a:cxn ang="T50">
                <a:pos x="T4" y="T5"/>
              </a:cxn>
              <a:cxn ang="T51">
                <a:pos x="T6" y="T7"/>
              </a:cxn>
              <a:cxn ang="T52">
                <a:pos x="T8" y="T9"/>
              </a:cxn>
              <a:cxn ang="T53">
                <a:pos x="T10" y="T11"/>
              </a:cxn>
              <a:cxn ang="T54">
                <a:pos x="T12" y="T13"/>
              </a:cxn>
              <a:cxn ang="T55">
                <a:pos x="T14" y="T15"/>
              </a:cxn>
              <a:cxn ang="T56">
                <a:pos x="T16" y="T17"/>
              </a:cxn>
              <a:cxn ang="T57">
                <a:pos x="T18" y="T19"/>
              </a:cxn>
              <a:cxn ang="T58">
                <a:pos x="T20" y="T21"/>
              </a:cxn>
              <a:cxn ang="T59">
                <a:pos x="T22" y="T23"/>
              </a:cxn>
              <a:cxn ang="T60">
                <a:pos x="T24" y="T25"/>
              </a:cxn>
              <a:cxn ang="T61">
                <a:pos x="T26" y="T27"/>
              </a:cxn>
              <a:cxn ang="T62">
                <a:pos x="T28" y="T29"/>
              </a:cxn>
              <a:cxn ang="T63">
                <a:pos x="T30" y="T31"/>
              </a:cxn>
              <a:cxn ang="T64">
                <a:pos x="T32" y="T33"/>
              </a:cxn>
              <a:cxn ang="T65">
                <a:pos x="T34" y="T35"/>
              </a:cxn>
              <a:cxn ang="T66">
                <a:pos x="T36" y="T37"/>
              </a:cxn>
              <a:cxn ang="T67">
                <a:pos x="T38" y="T39"/>
              </a:cxn>
              <a:cxn ang="T68">
                <a:pos x="T40" y="T41"/>
              </a:cxn>
              <a:cxn ang="T69">
                <a:pos x="T42" y="T43"/>
              </a:cxn>
              <a:cxn ang="T70">
                <a:pos x="T44" y="T45"/>
              </a:cxn>
              <a:cxn ang="T71">
                <a:pos x="T46" y="T47"/>
              </a:cxn>
            </a:cxnLst>
            <a:rect l="T72" t="T73" r="T74" b="T75"/>
            <a:pathLst>
              <a:path w="196" h="108">
                <a:moveTo>
                  <a:pt x="24" y="0"/>
                </a:moveTo>
                <a:lnTo>
                  <a:pt x="0" y="4"/>
                </a:lnTo>
                <a:lnTo>
                  <a:pt x="7" y="12"/>
                </a:lnTo>
                <a:lnTo>
                  <a:pt x="0" y="9"/>
                </a:lnTo>
                <a:lnTo>
                  <a:pt x="66" y="101"/>
                </a:lnTo>
                <a:lnTo>
                  <a:pt x="71" y="94"/>
                </a:lnTo>
                <a:lnTo>
                  <a:pt x="72" y="101"/>
                </a:lnTo>
                <a:lnTo>
                  <a:pt x="72" y="96"/>
                </a:lnTo>
                <a:lnTo>
                  <a:pt x="91" y="94"/>
                </a:lnTo>
                <a:lnTo>
                  <a:pt x="94" y="99"/>
                </a:lnTo>
                <a:lnTo>
                  <a:pt x="128" y="103"/>
                </a:lnTo>
                <a:lnTo>
                  <a:pt x="131" y="108"/>
                </a:lnTo>
                <a:lnTo>
                  <a:pt x="141" y="106"/>
                </a:lnTo>
                <a:lnTo>
                  <a:pt x="143" y="98"/>
                </a:lnTo>
                <a:lnTo>
                  <a:pt x="196" y="61"/>
                </a:lnTo>
                <a:lnTo>
                  <a:pt x="128" y="66"/>
                </a:lnTo>
                <a:lnTo>
                  <a:pt x="136" y="72"/>
                </a:lnTo>
                <a:lnTo>
                  <a:pt x="121" y="74"/>
                </a:lnTo>
                <a:lnTo>
                  <a:pt x="109" y="69"/>
                </a:lnTo>
                <a:lnTo>
                  <a:pt x="97" y="61"/>
                </a:lnTo>
                <a:lnTo>
                  <a:pt x="94" y="71"/>
                </a:lnTo>
                <a:lnTo>
                  <a:pt x="67" y="56"/>
                </a:lnTo>
                <a:lnTo>
                  <a:pt x="77" y="46"/>
                </a:lnTo>
                <a:lnTo>
                  <a:pt x="24" y="0"/>
                </a:lnTo>
              </a:path>
            </a:pathLst>
          </a:custGeom>
          <a:solidFill>
            <a:srgbClr val="558723"/>
          </a:solidFill>
          <a:ln w="9525">
            <a:solidFill>
              <a:srgbClr val="FFFFFF"/>
            </a:solidFill>
            <a:miter lim="800000"/>
            <a:headEnd/>
            <a:tailEnd/>
          </a:ln>
        </xdr:spPr>
        <xdr:txBody>
          <a:bodyPr vertOverflow="clip" wrap="square" lIns="36576" tIns="32004" rIns="0" bIns="0" anchor="t"/>
          <a:lstStyle/>
          <a:p>
            <a:pPr algn="l" rtl="0">
              <a:defRPr sz="1000"/>
            </a:pPr>
            <a:endParaRPr lang="en-US" sz="1600" b="0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 algn="l" rtl="0">
              <a:defRPr sz="1000"/>
            </a:pPr>
            <a:endParaRPr lang="en-US"/>
          </a:p>
        </xdr:txBody>
      </xdr:sp>
      <xdr:sp macro="" textlink="">
        <xdr:nvSpPr>
          <xdr:cNvPr id="25982" name="Freeform 19"/>
          <xdr:cNvSpPr>
            <a:spLocks/>
          </xdr:cNvSpPr>
        </xdr:nvSpPr>
        <xdr:spPr bwMode="auto">
          <a:xfrm>
            <a:off x="316" y="149"/>
            <a:ext cx="7" cy="9"/>
          </a:xfrm>
          <a:custGeom>
            <a:avLst/>
            <a:gdLst>
              <a:gd name="T0" fmla="*/ 0 w 32"/>
              <a:gd name="T1" fmla="*/ 0 h 42"/>
              <a:gd name="T2" fmla="*/ 0 w 32"/>
              <a:gd name="T3" fmla="*/ 0 h 42"/>
              <a:gd name="T4" fmla="*/ 0 w 32"/>
              <a:gd name="T5" fmla="*/ 0 h 42"/>
              <a:gd name="T6" fmla="*/ 0 w 32"/>
              <a:gd name="T7" fmla="*/ 0 h 42"/>
              <a:gd name="T8" fmla="*/ 0 60000 65536"/>
              <a:gd name="T9" fmla="*/ 0 60000 65536"/>
              <a:gd name="T10" fmla="*/ 0 60000 65536"/>
              <a:gd name="T11" fmla="*/ 0 60000 65536"/>
              <a:gd name="T12" fmla="*/ 0 w 32"/>
              <a:gd name="T13" fmla="*/ 0 h 42"/>
              <a:gd name="T14" fmla="*/ 32 w 32"/>
              <a:gd name="T15" fmla="*/ 42 h 42"/>
            </a:gdLst>
            <a:ahLst/>
            <a:cxnLst>
              <a:cxn ang="T8">
                <a:pos x="T0" y="T1"/>
              </a:cxn>
              <a:cxn ang="T9">
                <a:pos x="T2" y="T3"/>
              </a:cxn>
              <a:cxn ang="T10">
                <a:pos x="T4" y="T5"/>
              </a:cxn>
              <a:cxn ang="T11">
                <a:pos x="T6" y="T7"/>
              </a:cxn>
            </a:cxnLst>
            <a:rect l="T12" t="T13" r="T14" b="T15"/>
            <a:pathLst>
              <a:path w="32" h="42">
                <a:moveTo>
                  <a:pt x="15" y="0"/>
                </a:moveTo>
                <a:lnTo>
                  <a:pt x="32" y="42"/>
                </a:lnTo>
                <a:lnTo>
                  <a:pt x="0" y="32"/>
                </a:lnTo>
                <a:lnTo>
                  <a:pt x="15" y="0"/>
                </a:lnTo>
              </a:path>
            </a:pathLst>
          </a:custGeom>
          <a:solidFill>
            <a:srgbClr val="558723"/>
          </a:solidFill>
          <a:ln w="9525">
            <a:solidFill>
              <a:srgbClr val="FFFFFF"/>
            </a:solidFill>
            <a:miter lim="800000"/>
            <a:headEnd/>
            <a:tailEnd/>
          </a:ln>
        </xdr:spPr>
        <xdr:txBody>
          <a:bodyPr vertOverflow="clip" wrap="square" lIns="36576" tIns="32004" rIns="0" bIns="0" anchor="t"/>
          <a:lstStyle/>
          <a:p>
            <a:pPr algn="l" rtl="0">
              <a:defRPr sz="1000"/>
            </a:pPr>
            <a:endParaRPr lang="en-US" sz="1600" b="0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 algn="l" rtl="0">
              <a:defRPr sz="1000"/>
            </a:pPr>
            <a:endParaRPr lang="en-US"/>
          </a:p>
        </xdr:txBody>
      </xdr:sp>
      <xdr:sp macro="" textlink="">
        <xdr:nvSpPr>
          <xdr:cNvPr id="25983" name="Freeform 20"/>
          <xdr:cNvSpPr>
            <a:spLocks/>
          </xdr:cNvSpPr>
        </xdr:nvSpPr>
        <xdr:spPr bwMode="auto">
          <a:xfrm>
            <a:off x="297" y="149"/>
            <a:ext cx="12" cy="17"/>
          </a:xfrm>
          <a:custGeom>
            <a:avLst/>
            <a:gdLst>
              <a:gd name="T0" fmla="*/ 0 w 56"/>
              <a:gd name="T1" fmla="*/ 0 h 77"/>
              <a:gd name="T2" fmla="*/ 1 w 56"/>
              <a:gd name="T3" fmla="*/ 0 h 77"/>
              <a:gd name="T4" fmla="*/ 0 w 56"/>
              <a:gd name="T5" fmla="*/ 1 h 77"/>
              <a:gd name="T6" fmla="*/ 0 w 56"/>
              <a:gd name="T7" fmla="*/ 0 h 77"/>
              <a:gd name="T8" fmla="*/ 0 60000 65536"/>
              <a:gd name="T9" fmla="*/ 0 60000 65536"/>
              <a:gd name="T10" fmla="*/ 0 60000 65536"/>
              <a:gd name="T11" fmla="*/ 0 60000 65536"/>
              <a:gd name="T12" fmla="*/ 0 w 56"/>
              <a:gd name="T13" fmla="*/ 0 h 77"/>
              <a:gd name="T14" fmla="*/ 56 w 56"/>
              <a:gd name="T15" fmla="*/ 77 h 77"/>
            </a:gdLst>
            <a:ahLst/>
            <a:cxnLst>
              <a:cxn ang="T8">
                <a:pos x="T0" y="T1"/>
              </a:cxn>
              <a:cxn ang="T9">
                <a:pos x="T2" y="T3"/>
              </a:cxn>
              <a:cxn ang="T10">
                <a:pos x="T4" y="T5"/>
              </a:cxn>
              <a:cxn ang="T11">
                <a:pos x="T6" y="T7"/>
              </a:cxn>
            </a:cxnLst>
            <a:rect l="T12" t="T13" r="T14" b="T15"/>
            <a:pathLst>
              <a:path w="56" h="77">
                <a:moveTo>
                  <a:pt x="2" y="0"/>
                </a:moveTo>
                <a:lnTo>
                  <a:pt x="56" y="6"/>
                </a:lnTo>
                <a:lnTo>
                  <a:pt x="0" y="77"/>
                </a:lnTo>
                <a:lnTo>
                  <a:pt x="2" y="0"/>
                </a:lnTo>
              </a:path>
            </a:pathLst>
          </a:custGeom>
          <a:solidFill>
            <a:srgbClr val="558723"/>
          </a:solidFill>
          <a:ln w="9525">
            <a:solidFill>
              <a:srgbClr val="FFFFFF"/>
            </a:solidFill>
            <a:miter lim="800000"/>
            <a:headEnd/>
            <a:tailEnd/>
          </a:ln>
        </xdr:spPr>
        <xdr:txBody>
          <a:bodyPr vertOverflow="clip" wrap="square" lIns="36576" tIns="32004" rIns="0" bIns="0" anchor="t"/>
          <a:lstStyle/>
          <a:p>
            <a:pPr algn="l" rtl="0">
              <a:defRPr sz="1000"/>
            </a:pPr>
            <a:endParaRPr lang="en-US" sz="1600" b="0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 algn="l" rtl="0">
              <a:defRPr sz="1000"/>
            </a:pPr>
            <a:endParaRPr lang="en-US"/>
          </a:p>
        </xdr:txBody>
      </xdr:sp>
      <xdr:sp macro="" textlink="">
        <xdr:nvSpPr>
          <xdr:cNvPr id="25984" name="Freeform 30"/>
          <xdr:cNvSpPr>
            <a:spLocks/>
          </xdr:cNvSpPr>
        </xdr:nvSpPr>
        <xdr:spPr bwMode="auto">
          <a:xfrm>
            <a:off x="235" y="172"/>
            <a:ext cx="55" cy="51"/>
          </a:xfrm>
          <a:custGeom>
            <a:avLst/>
            <a:gdLst>
              <a:gd name="T0" fmla="*/ 0 w 249"/>
              <a:gd name="T1" fmla="*/ 1 h 232"/>
              <a:gd name="T2" fmla="*/ 0 w 249"/>
              <a:gd name="T3" fmla="*/ 1 h 232"/>
              <a:gd name="T4" fmla="*/ 0 w 249"/>
              <a:gd name="T5" fmla="*/ 1 h 232"/>
              <a:gd name="T6" fmla="*/ 0 w 249"/>
              <a:gd name="T7" fmla="*/ 2 h 232"/>
              <a:gd name="T8" fmla="*/ 1 w 249"/>
              <a:gd name="T9" fmla="*/ 2 h 232"/>
              <a:gd name="T10" fmla="*/ 1 w 249"/>
              <a:gd name="T11" fmla="*/ 2 h 232"/>
              <a:gd name="T12" fmla="*/ 1 w 249"/>
              <a:gd name="T13" fmla="*/ 2 h 232"/>
              <a:gd name="T14" fmla="*/ 0 w 249"/>
              <a:gd name="T15" fmla="*/ 2 h 232"/>
              <a:gd name="T16" fmla="*/ 0 w 249"/>
              <a:gd name="T17" fmla="*/ 2 h 232"/>
              <a:gd name="T18" fmla="*/ 0 w 249"/>
              <a:gd name="T19" fmla="*/ 2 h 232"/>
              <a:gd name="T20" fmla="*/ 1 w 249"/>
              <a:gd name="T21" fmla="*/ 2 h 232"/>
              <a:gd name="T22" fmla="*/ 1 w 249"/>
              <a:gd name="T23" fmla="*/ 2 h 232"/>
              <a:gd name="T24" fmla="*/ 1 w 249"/>
              <a:gd name="T25" fmla="*/ 2 h 232"/>
              <a:gd name="T26" fmla="*/ 2 w 249"/>
              <a:gd name="T27" fmla="*/ 2 h 232"/>
              <a:gd name="T28" fmla="*/ 2 w 249"/>
              <a:gd name="T29" fmla="*/ 2 h 232"/>
              <a:gd name="T30" fmla="*/ 2 w 249"/>
              <a:gd name="T31" fmla="*/ 2 h 232"/>
              <a:gd name="T32" fmla="*/ 2 w 249"/>
              <a:gd name="T33" fmla="*/ 2 h 232"/>
              <a:gd name="T34" fmla="*/ 2 w 249"/>
              <a:gd name="T35" fmla="*/ 2 h 232"/>
              <a:gd name="T36" fmla="*/ 2 w 249"/>
              <a:gd name="T37" fmla="*/ 2 h 232"/>
              <a:gd name="T38" fmla="*/ 3 w 249"/>
              <a:gd name="T39" fmla="*/ 2 h 232"/>
              <a:gd name="T40" fmla="*/ 3 w 249"/>
              <a:gd name="T41" fmla="*/ 2 h 232"/>
              <a:gd name="T42" fmla="*/ 2 w 249"/>
              <a:gd name="T43" fmla="*/ 1 h 232"/>
              <a:gd name="T44" fmla="*/ 2 w 249"/>
              <a:gd name="T45" fmla="*/ 1 h 232"/>
              <a:gd name="T46" fmla="*/ 2 w 249"/>
              <a:gd name="T47" fmla="*/ 1 h 232"/>
              <a:gd name="T48" fmla="*/ 2 w 249"/>
              <a:gd name="T49" fmla="*/ 0 h 232"/>
              <a:gd name="T50" fmla="*/ 2 w 249"/>
              <a:gd name="T51" fmla="*/ 0 h 232"/>
              <a:gd name="T52" fmla="*/ 2 w 249"/>
              <a:gd name="T53" fmla="*/ 0 h 232"/>
              <a:gd name="T54" fmla="*/ 2 w 249"/>
              <a:gd name="T55" fmla="*/ 0 h 232"/>
              <a:gd name="T56" fmla="*/ 1 w 249"/>
              <a:gd name="T57" fmla="*/ 0 h 232"/>
              <a:gd name="T58" fmla="*/ 1 w 249"/>
              <a:gd name="T59" fmla="*/ 0 h 232"/>
              <a:gd name="T60" fmla="*/ 1 w 249"/>
              <a:gd name="T61" fmla="*/ 0 h 232"/>
              <a:gd name="T62" fmla="*/ 1 w 249"/>
              <a:gd name="T63" fmla="*/ 0 h 232"/>
              <a:gd name="T64" fmla="*/ 1 w 249"/>
              <a:gd name="T65" fmla="*/ 0 h 232"/>
              <a:gd name="T66" fmla="*/ 0 w 249"/>
              <a:gd name="T67" fmla="*/ 0 h 232"/>
              <a:gd name="T68" fmla="*/ 0 w 249"/>
              <a:gd name="T69" fmla="*/ 1 h 232"/>
              <a:gd name="T70" fmla="*/ 0 w 249"/>
              <a:gd name="T71" fmla="*/ 1 h 232"/>
              <a:gd name="T72" fmla="*/ 0 w 249"/>
              <a:gd name="T73" fmla="*/ 1 h 232"/>
              <a:gd name="T74" fmla="*/ 0 w 249"/>
              <a:gd name="T75" fmla="*/ 1 h 232"/>
              <a:gd name="T76" fmla="*/ 0 w 249"/>
              <a:gd name="T77" fmla="*/ 1 h 232"/>
              <a:gd name="T78" fmla="*/ 0 w 249"/>
              <a:gd name="T79" fmla="*/ 1 h 232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60000 65536"/>
              <a:gd name="T106" fmla="*/ 0 60000 65536"/>
              <a:gd name="T107" fmla="*/ 0 60000 65536"/>
              <a:gd name="T108" fmla="*/ 0 60000 65536"/>
              <a:gd name="T109" fmla="*/ 0 60000 65536"/>
              <a:gd name="T110" fmla="*/ 0 60000 65536"/>
              <a:gd name="T111" fmla="*/ 0 60000 65536"/>
              <a:gd name="T112" fmla="*/ 0 60000 65536"/>
              <a:gd name="T113" fmla="*/ 0 60000 65536"/>
              <a:gd name="T114" fmla="*/ 0 60000 65536"/>
              <a:gd name="T115" fmla="*/ 0 60000 65536"/>
              <a:gd name="T116" fmla="*/ 0 60000 65536"/>
              <a:gd name="T117" fmla="*/ 0 60000 65536"/>
              <a:gd name="T118" fmla="*/ 0 60000 65536"/>
              <a:gd name="T119" fmla="*/ 0 60000 65536"/>
              <a:gd name="T120" fmla="*/ 0 w 249"/>
              <a:gd name="T121" fmla="*/ 0 h 232"/>
              <a:gd name="T122" fmla="*/ 249 w 249"/>
              <a:gd name="T123" fmla="*/ 232 h 232"/>
            </a:gdLst>
            <a:ahLst/>
            <a:cxnLst>
              <a:cxn ang="T80">
                <a:pos x="T0" y="T1"/>
              </a:cxn>
              <a:cxn ang="T81">
                <a:pos x="T2" y="T3"/>
              </a:cxn>
              <a:cxn ang="T82">
                <a:pos x="T4" y="T5"/>
              </a:cxn>
              <a:cxn ang="T83">
                <a:pos x="T6" y="T7"/>
              </a:cxn>
              <a:cxn ang="T84">
                <a:pos x="T8" y="T9"/>
              </a:cxn>
              <a:cxn ang="T85">
                <a:pos x="T10" y="T11"/>
              </a:cxn>
              <a:cxn ang="T86">
                <a:pos x="T12" y="T13"/>
              </a:cxn>
              <a:cxn ang="T87">
                <a:pos x="T14" y="T15"/>
              </a:cxn>
              <a:cxn ang="T88">
                <a:pos x="T16" y="T17"/>
              </a:cxn>
              <a:cxn ang="T89">
                <a:pos x="T18" y="T19"/>
              </a:cxn>
              <a:cxn ang="T90">
                <a:pos x="T20" y="T21"/>
              </a:cxn>
              <a:cxn ang="T91">
                <a:pos x="T22" y="T23"/>
              </a:cxn>
              <a:cxn ang="T92">
                <a:pos x="T24" y="T25"/>
              </a:cxn>
              <a:cxn ang="T93">
                <a:pos x="T26" y="T27"/>
              </a:cxn>
              <a:cxn ang="T94">
                <a:pos x="T28" y="T29"/>
              </a:cxn>
              <a:cxn ang="T95">
                <a:pos x="T30" y="T31"/>
              </a:cxn>
              <a:cxn ang="T96">
                <a:pos x="T32" y="T33"/>
              </a:cxn>
              <a:cxn ang="T97">
                <a:pos x="T34" y="T35"/>
              </a:cxn>
              <a:cxn ang="T98">
                <a:pos x="T36" y="T37"/>
              </a:cxn>
              <a:cxn ang="T99">
                <a:pos x="T38" y="T39"/>
              </a:cxn>
              <a:cxn ang="T100">
                <a:pos x="T40" y="T41"/>
              </a:cxn>
              <a:cxn ang="T101">
                <a:pos x="T42" y="T43"/>
              </a:cxn>
              <a:cxn ang="T102">
                <a:pos x="T44" y="T45"/>
              </a:cxn>
              <a:cxn ang="T103">
                <a:pos x="T46" y="T47"/>
              </a:cxn>
              <a:cxn ang="T104">
                <a:pos x="T48" y="T49"/>
              </a:cxn>
              <a:cxn ang="T105">
                <a:pos x="T50" y="T51"/>
              </a:cxn>
              <a:cxn ang="T106">
                <a:pos x="T52" y="T53"/>
              </a:cxn>
              <a:cxn ang="T107">
                <a:pos x="T54" y="T55"/>
              </a:cxn>
              <a:cxn ang="T108">
                <a:pos x="T56" y="T57"/>
              </a:cxn>
              <a:cxn ang="T109">
                <a:pos x="T58" y="T59"/>
              </a:cxn>
              <a:cxn ang="T110">
                <a:pos x="T60" y="T61"/>
              </a:cxn>
              <a:cxn ang="T111">
                <a:pos x="T62" y="T63"/>
              </a:cxn>
              <a:cxn ang="T112">
                <a:pos x="T64" y="T65"/>
              </a:cxn>
              <a:cxn ang="T113">
                <a:pos x="T66" y="T67"/>
              </a:cxn>
              <a:cxn ang="T114">
                <a:pos x="T68" y="T69"/>
              </a:cxn>
              <a:cxn ang="T115">
                <a:pos x="T70" y="T71"/>
              </a:cxn>
              <a:cxn ang="T116">
                <a:pos x="T72" y="T73"/>
              </a:cxn>
              <a:cxn ang="T117">
                <a:pos x="T74" y="T75"/>
              </a:cxn>
              <a:cxn ang="T118">
                <a:pos x="T76" y="T77"/>
              </a:cxn>
              <a:cxn ang="T119">
                <a:pos x="T78" y="T79"/>
              </a:cxn>
            </a:cxnLst>
            <a:rect l="T120" t="T121" r="T122" b="T123"/>
            <a:pathLst>
              <a:path w="249" h="232">
                <a:moveTo>
                  <a:pt x="0" y="103"/>
                </a:moveTo>
                <a:lnTo>
                  <a:pt x="13" y="110"/>
                </a:lnTo>
                <a:lnTo>
                  <a:pt x="6" y="133"/>
                </a:lnTo>
                <a:lnTo>
                  <a:pt x="27" y="140"/>
                </a:lnTo>
                <a:lnTo>
                  <a:pt x="70" y="140"/>
                </a:lnTo>
                <a:lnTo>
                  <a:pt x="83" y="157"/>
                </a:lnTo>
                <a:lnTo>
                  <a:pt x="70" y="165"/>
                </a:lnTo>
                <a:lnTo>
                  <a:pt x="27" y="165"/>
                </a:lnTo>
                <a:lnTo>
                  <a:pt x="33" y="194"/>
                </a:lnTo>
                <a:lnTo>
                  <a:pt x="48" y="200"/>
                </a:lnTo>
                <a:lnTo>
                  <a:pt x="70" y="200"/>
                </a:lnTo>
                <a:lnTo>
                  <a:pt x="78" y="232"/>
                </a:lnTo>
                <a:lnTo>
                  <a:pt x="120" y="224"/>
                </a:lnTo>
                <a:lnTo>
                  <a:pt x="162" y="200"/>
                </a:lnTo>
                <a:lnTo>
                  <a:pt x="169" y="194"/>
                </a:lnTo>
                <a:lnTo>
                  <a:pt x="206" y="224"/>
                </a:lnTo>
                <a:lnTo>
                  <a:pt x="219" y="215"/>
                </a:lnTo>
                <a:lnTo>
                  <a:pt x="234" y="200"/>
                </a:lnTo>
                <a:lnTo>
                  <a:pt x="234" y="187"/>
                </a:lnTo>
                <a:lnTo>
                  <a:pt x="241" y="187"/>
                </a:lnTo>
                <a:lnTo>
                  <a:pt x="249" y="165"/>
                </a:lnTo>
                <a:lnTo>
                  <a:pt x="192" y="133"/>
                </a:lnTo>
                <a:lnTo>
                  <a:pt x="192" y="103"/>
                </a:lnTo>
                <a:lnTo>
                  <a:pt x="176" y="59"/>
                </a:lnTo>
                <a:lnTo>
                  <a:pt x="197" y="14"/>
                </a:lnTo>
                <a:lnTo>
                  <a:pt x="192" y="0"/>
                </a:lnTo>
                <a:lnTo>
                  <a:pt x="162" y="0"/>
                </a:lnTo>
                <a:lnTo>
                  <a:pt x="149" y="44"/>
                </a:lnTo>
                <a:lnTo>
                  <a:pt x="127" y="37"/>
                </a:lnTo>
                <a:lnTo>
                  <a:pt x="112" y="37"/>
                </a:lnTo>
                <a:lnTo>
                  <a:pt x="92" y="29"/>
                </a:lnTo>
                <a:lnTo>
                  <a:pt x="78" y="44"/>
                </a:lnTo>
                <a:lnTo>
                  <a:pt x="70" y="22"/>
                </a:lnTo>
                <a:lnTo>
                  <a:pt x="48" y="22"/>
                </a:lnTo>
                <a:lnTo>
                  <a:pt x="6" y="59"/>
                </a:lnTo>
                <a:lnTo>
                  <a:pt x="6" y="68"/>
                </a:lnTo>
                <a:lnTo>
                  <a:pt x="0" y="89"/>
                </a:lnTo>
                <a:lnTo>
                  <a:pt x="0" y="103"/>
                </a:lnTo>
                <a:close/>
              </a:path>
            </a:pathLst>
          </a:custGeom>
          <a:solidFill>
            <a:srgbClr val="558723"/>
          </a:solidFill>
          <a:ln w="9525">
            <a:solidFill>
              <a:srgbClr val="FFFFFF"/>
            </a:solidFill>
            <a:miter lim="800000"/>
            <a:headEnd/>
            <a:tailEnd/>
          </a:ln>
        </xdr:spPr>
        <xdr:txBody>
          <a:bodyPr vertOverflow="clip" wrap="square" lIns="36576" tIns="32004" rIns="0" bIns="0" anchor="t"/>
          <a:lstStyle/>
          <a:p>
            <a:pPr algn="l" rtl="0">
              <a:defRPr sz="1000"/>
            </a:pPr>
            <a:endParaRPr lang="en-US" sz="1600" b="0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 algn="l" rtl="0">
              <a:defRPr sz="1000"/>
            </a:pPr>
            <a:endParaRPr lang="en-US"/>
          </a:p>
        </xdr:txBody>
      </xdr:sp>
      <xdr:sp macro="" textlink="">
        <xdr:nvSpPr>
          <xdr:cNvPr id="25985" name="Freeform 31"/>
          <xdr:cNvSpPr>
            <a:spLocks/>
          </xdr:cNvSpPr>
        </xdr:nvSpPr>
        <xdr:spPr bwMode="auto">
          <a:xfrm>
            <a:off x="321" y="171"/>
            <a:ext cx="85" cy="104"/>
          </a:xfrm>
          <a:custGeom>
            <a:avLst/>
            <a:gdLst>
              <a:gd name="T0" fmla="*/ 0 w 387"/>
              <a:gd name="T1" fmla="*/ 2 h 476"/>
              <a:gd name="T2" fmla="*/ 1 w 387"/>
              <a:gd name="T3" fmla="*/ 2 h 476"/>
              <a:gd name="T4" fmla="*/ 2 w 387"/>
              <a:gd name="T5" fmla="*/ 2 h 476"/>
              <a:gd name="T6" fmla="*/ 2 w 387"/>
              <a:gd name="T7" fmla="*/ 2 h 476"/>
              <a:gd name="T8" fmla="*/ 2 w 387"/>
              <a:gd name="T9" fmla="*/ 2 h 476"/>
              <a:gd name="T10" fmla="*/ 2 w 387"/>
              <a:gd name="T11" fmla="*/ 3 h 476"/>
              <a:gd name="T12" fmla="*/ 2 w 387"/>
              <a:gd name="T13" fmla="*/ 3 h 476"/>
              <a:gd name="T14" fmla="*/ 2 w 387"/>
              <a:gd name="T15" fmla="*/ 4 h 476"/>
              <a:gd name="T16" fmla="*/ 2 w 387"/>
              <a:gd name="T17" fmla="*/ 4 h 476"/>
              <a:gd name="T18" fmla="*/ 2 w 387"/>
              <a:gd name="T19" fmla="*/ 4 h 476"/>
              <a:gd name="T20" fmla="*/ 2 w 387"/>
              <a:gd name="T21" fmla="*/ 4 h 476"/>
              <a:gd name="T22" fmla="*/ 2 w 387"/>
              <a:gd name="T23" fmla="*/ 4 h 476"/>
              <a:gd name="T24" fmla="*/ 3 w 387"/>
              <a:gd name="T25" fmla="*/ 5 h 476"/>
              <a:gd name="T26" fmla="*/ 4 w 387"/>
              <a:gd name="T27" fmla="*/ 5 h 476"/>
              <a:gd name="T28" fmla="*/ 3 w 387"/>
              <a:gd name="T29" fmla="*/ 5 h 476"/>
              <a:gd name="T30" fmla="*/ 4 w 387"/>
              <a:gd name="T31" fmla="*/ 5 h 476"/>
              <a:gd name="T32" fmla="*/ 4 w 387"/>
              <a:gd name="T33" fmla="*/ 4 h 476"/>
              <a:gd name="T34" fmla="*/ 4 w 387"/>
              <a:gd name="T35" fmla="*/ 4 h 476"/>
              <a:gd name="T36" fmla="*/ 3 w 387"/>
              <a:gd name="T37" fmla="*/ 4 h 476"/>
              <a:gd name="T38" fmla="*/ 4 w 387"/>
              <a:gd name="T39" fmla="*/ 4 h 476"/>
              <a:gd name="T40" fmla="*/ 4 w 387"/>
              <a:gd name="T41" fmla="*/ 4 h 476"/>
              <a:gd name="T42" fmla="*/ 4 w 387"/>
              <a:gd name="T43" fmla="*/ 4 h 476"/>
              <a:gd name="T44" fmla="*/ 4 w 387"/>
              <a:gd name="T45" fmla="*/ 3 h 476"/>
              <a:gd name="T46" fmla="*/ 3 w 387"/>
              <a:gd name="T47" fmla="*/ 3 h 476"/>
              <a:gd name="T48" fmla="*/ 3 w 387"/>
              <a:gd name="T49" fmla="*/ 2 h 476"/>
              <a:gd name="T50" fmla="*/ 3 w 387"/>
              <a:gd name="T51" fmla="*/ 2 h 476"/>
              <a:gd name="T52" fmla="*/ 3 w 387"/>
              <a:gd name="T53" fmla="*/ 2 h 476"/>
              <a:gd name="T54" fmla="*/ 2 w 387"/>
              <a:gd name="T55" fmla="*/ 1 h 476"/>
              <a:gd name="T56" fmla="*/ 2 w 387"/>
              <a:gd name="T57" fmla="*/ 1 h 476"/>
              <a:gd name="T58" fmla="*/ 2 w 387"/>
              <a:gd name="T59" fmla="*/ 1 h 476"/>
              <a:gd name="T60" fmla="*/ 1 w 387"/>
              <a:gd name="T61" fmla="*/ 1 h 476"/>
              <a:gd name="T62" fmla="*/ 1 w 387"/>
              <a:gd name="T63" fmla="*/ 0 h 476"/>
              <a:gd name="T64" fmla="*/ 1 w 387"/>
              <a:gd name="T65" fmla="*/ 0 h 476"/>
              <a:gd name="T66" fmla="*/ 1 w 387"/>
              <a:gd name="T67" fmla="*/ 1 h 476"/>
              <a:gd name="T68" fmla="*/ 0 w 387"/>
              <a:gd name="T69" fmla="*/ 1 h 476"/>
              <a:gd name="T70" fmla="*/ 1 w 387"/>
              <a:gd name="T71" fmla="*/ 0 h 476"/>
              <a:gd name="T72" fmla="*/ 0 w 387"/>
              <a:gd name="T73" fmla="*/ 1 h 476"/>
              <a:gd name="T74" fmla="*/ 0 w 387"/>
              <a:gd name="T75" fmla="*/ 1 h 47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60000 65536"/>
              <a:gd name="T106" fmla="*/ 0 60000 65536"/>
              <a:gd name="T107" fmla="*/ 0 60000 65536"/>
              <a:gd name="T108" fmla="*/ 0 60000 65536"/>
              <a:gd name="T109" fmla="*/ 0 60000 65536"/>
              <a:gd name="T110" fmla="*/ 0 60000 65536"/>
              <a:gd name="T111" fmla="*/ 0 60000 65536"/>
              <a:gd name="T112" fmla="*/ 0 60000 65536"/>
              <a:gd name="T113" fmla="*/ 0 60000 65536"/>
              <a:gd name="T114" fmla="*/ 0 w 387"/>
              <a:gd name="T115" fmla="*/ 0 h 476"/>
              <a:gd name="T116" fmla="*/ 387 w 387"/>
              <a:gd name="T117" fmla="*/ 476 h 476"/>
            </a:gdLst>
            <a:ahLst/>
            <a:cxnLst>
              <a:cxn ang="T76">
                <a:pos x="T0" y="T1"/>
              </a:cxn>
              <a:cxn ang="T77">
                <a:pos x="T2" y="T3"/>
              </a:cxn>
              <a:cxn ang="T78">
                <a:pos x="T4" y="T5"/>
              </a:cxn>
              <a:cxn ang="T79">
                <a:pos x="T6" y="T7"/>
              </a:cxn>
              <a:cxn ang="T80">
                <a:pos x="T8" y="T9"/>
              </a:cxn>
              <a:cxn ang="T81">
                <a:pos x="T10" y="T11"/>
              </a:cxn>
              <a:cxn ang="T82">
                <a:pos x="T12" y="T13"/>
              </a:cxn>
              <a:cxn ang="T83">
                <a:pos x="T14" y="T15"/>
              </a:cxn>
              <a:cxn ang="T84">
                <a:pos x="T16" y="T17"/>
              </a:cxn>
              <a:cxn ang="T85">
                <a:pos x="T18" y="T19"/>
              </a:cxn>
              <a:cxn ang="T86">
                <a:pos x="T20" y="T21"/>
              </a:cxn>
              <a:cxn ang="T87">
                <a:pos x="T22" y="T23"/>
              </a:cxn>
              <a:cxn ang="T88">
                <a:pos x="T24" y="T25"/>
              </a:cxn>
              <a:cxn ang="T89">
                <a:pos x="T26" y="T27"/>
              </a:cxn>
              <a:cxn ang="T90">
                <a:pos x="T28" y="T29"/>
              </a:cxn>
              <a:cxn ang="T91">
                <a:pos x="T30" y="T31"/>
              </a:cxn>
              <a:cxn ang="T92">
                <a:pos x="T32" y="T33"/>
              </a:cxn>
              <a:cxn ang="T93">
                <a:pos x="T34" y="T35"/>
              </a:cxn>
              <a:cxn ang="T94">
                <a:pos x="T36" y="T37"/>
              </a:cxn>
              <a:cxn ang="T95">
                <a:pos x="T38" y="T39"/>
              </a:cxn>
              <a:cxn ang="T96">
                <a:pos x="T40" y="T41"/>
              </a:cxn>
              <a:cxn ang="T97">
                <a:pos x="T42" y="T43"/>
              </a:cxn>
              <a:cxn ang="T98">
                <a:pos x="T44" y="T45"/>
              </a:cxn>
              <a:cxn ang="T99">
                <a:pos x="T46" y="T47"/>
              </a:cxn>
              <a:cxn ang="T100">
                <a:pos x="T48" y="T49"/>
              </a:cxn>
              <a:cxn ang="T101">
                <a:pos x="T50" y="T51"/>
              </a:cxn>
              <a:cxn ang="T102">
                <a:pos x="T52" y="T53"/>
              </a:cxn>
              <a:cxn ang="T103">
                <a:pos x="T54" y="T55"/>
              </a:cxn>
              <a:cxn ang="T104">
                <a:pos x="T56" y="T57"/>
              </a:cxn>
              <a:cxn ang="T105">
                <a:pos x="T58" y="T59"/>
              </a:cxn>
              <a:cxn ang="T106">
                <a:pos x="T60" y="T61"/>
              </a:cxn>
              <a:cxn ang="T107">
                <a:pos x="T62" y="T63"/>
              </a:cxn>
              <a:cxn ang="T108">
                <a:pos x="T64" y="T65"/>
              </a:cxn>
              <a:cxn ang="T109">
                <a:pos x="T66" y="T67"/>
              </a:cxn>
              <a:cxn ang="T110">
                <a:pos x="T68" y="T69"/>
              </a:cxn>
              <a:cxn ang="T111">
                <a:pos x="T70" y="T71"/>
              </a:cxn>
              <a:cxn ang="T112">
                <a:pos x="T72" y="T73"/>
              </a:cxn>
              <a:cxn ang="T113">
                <a:pos x="T74" y="T75"/>
              </a:cxn>
            </a:cxnLst>
            <a:rect l="T114" t="T115" r="T116" b="T117"/>
            <a:pathLst>
              <a:path w="387" h="476">
                <a:moveTo>
                  <a:pt x="0" y="104"/>
                </a:moveTo>
                <a:lnTo>
                  <a:pt x="39" y="166"/>
                </a:lnTo>
                <a:lnTo>
                  <a:pt x="109" y="188"/>
                </a:lnTo>
                <a:lnTo>
                  <a:pt x="118" y="188"/>
                </a:lnTo>
                <a:lnTo>
                  <a:pt x="138" y="197"/>
                </a:lnTo>
                <a:lnTo>
                  <a:pt x="151" y="197"/>
                </a:lnTo>
                <a:lnTo>
                  <a:pt x="160" y="166"/>
                </a:lnTo>
                <a:lnTo>
                  <a:pt x="166" y="188"/>
                </a:lnTo>
                <a:lnTo>
                  <a:pt x="195" y="210"/>
                </a:lnTo>
                <a:lnTo>
                  <a:pt x="180" y="234"/>
                </a:lnTo>
                <a:lnTo>
                  <a:pt x="201" y="225"/>
                </a:lnTo>
                <a:lnTo>
                  <a:pt x="208" y="242"/>
                </a:lnTo>
                <a:lnTo>
                  <a:pt x="223" y="257"/>
                </a:lnTo>
                <a:lnTo>
                  <a:pt x="237" y="286"/>
                </a:lnTo>
                <a:lnTo>
                  <a:pt x="208" y="333"/>
                </a:lnTo>
                <a:lnTo>
                  <a:pt x="217" y="355"/>
                </a:lnTo>
                <a:lnTo>
                  <a:pt x="208" y="363"/>
                </a:lnTo>
                <a:lnTo>
                  <a:pt x="166" y="355"/>
                </a:lnTo>
                <a:lnTo>
                  <a:pt x="166" y="370"/>
                </a:lnTo>
                <a:lnTo>
                  <a:pt x="160" y="370"/>
                </a:lnTo>
                <a:lnTo>
                  <a:pt x="160" y="400"/>
                </a:lnTo>
                <a:lnTo>
                  <a:pt x="180" y="400"/>
                </a:lnTo>
                <a:lnTo>
                  <a:pt x="195" y="393"/>
                </a:lnTo>
                <a:lnTo>
                  <a:pt x="208" y="393"/>
                </a:lnTo>
                <a:lnTo>
                  <a:pt x="247" y="418"/>
                </a:lnTo>
                <a:lnTo>
                  <a:pt x="247" y="429"/>
                </a:lnTo>
                <a:lnTo>
                  <a:pt x="294" y="467"/>
                </a:lnTo>
                <a:lnTo>
                  <a:pt x="322" y="476"/>
                </a:lnTo>
                <a:lnTo>
                  <a:pt x="322" y="467"/>
                </a:lnTo>
                <a:lnTo>
                  <a:pt x="289" y="429"/>
                </a:lnTo>
                <a:lnTo>
                  <a:pt x="289" y="410"/>
                </a:lnTo>
                <a:lnTo>
                  <a:pt x="330" y="445"/>
                </a:lnTo>
                <a:lnTo>
                  <a:pt x="346" y="445"/>
                </a:lnTo>
                <a:lnTo>
                  <a:pt x="346" y="418"/>
                </a:lnTo>
                <a:lnTo>
                  <a:pt x="337" y="410"/>
                </a:lnTo>
                <a:lnTo>
                  <a:pt x="337" y="393"/>
                </a:lnTo>
                <a:lnTo>
                  <a:pt x="310" y="363"/>
                </a:lnTo>
                <a:lnTo>
                  <a:pt x="300" y="346"/>
                </a:lnTo>
                <a:lnTo>
                  <a:pt x="310" y="326"/>
                </a:lnTo>
                <a:lnTo>
                  <a:pt x="330" y="346"/>
                </a:lnTo>
                <a:lnTo>
                  <a:pt x="337" y="363"/>
                </a:lnTo>
                <a:lnTo>
                  <a:pt x="352" y="370"/>
                </a:lnTo>
                <a:lnTo>
                  <a:pt x="352" y="355"/>
                </a:lnTo>
                <a:lnTo>
                  <a:pt x="374" y="355"/>
                </a:lnTo>
                <a:lnTo>
                  <a:pt x="387" y="318"/>
                </a:lnTo>
                <a:lnTo>
                  <a:pt x="337" y="257"/>
                </a:lnTo>
                <a:lnTo>
                  <a:pt x="310" y="257"/>
                </a:lnTo>
                <a:lnTo>
                  <a:pt x="294" y="242"/>
                </a:lnTo>
                <a:lnTo>
                  <a:pt x="294" y="225"/>
                </a:lnTo>
                <a:lnTo>
                  <a:pt x="310" y="210"/>
                </a:lnTo>
                <a:lnTo>
                  <a:pt x="294" y="197"/>
                </a:lnTo>
                <a:lnTo>
                  <a:pt x="300" y="188"/>
                </a:lnTo>
                <a:lnTo>
                  <a:pt x="294" y="158"/>
                </a:lnTo>
                <a:lnTo>
                  <a:pt x="267" y="149"/>
                </a:lnTo>
                <a:lnTo>
                  <a:pt x="252" y="119"/>
                </a:lnTo>
                <a:lnTo>
                  <a:pt x="217" y="104"/>
                </a:lnTo>
                <a:lnTo>
                  <a:pt x="208" y="69"/>
                </a:lnTo>
                <a:lnTo>
                  <a:pt x="195" y="69"/>
                </a:lnTo>
                <a:lnTo>
                  <a:pt x="166" y="54"/>
                </a:lnTo>
                <a:lnTo>
                  <a:pt x="151" y="69"/>
                </a:lnTo>
                <a:lnTo>
                  <a:pt x="131" y="69"/>
                </a:lnTo>
                <a:lnTo>
                  <a:pt x="118" y="86"/>
                </a:lnTo>
                <a:lnTo>
                  <a:pt x="124" y="54"/>
                </a:lnTo>
                <a:lnTo>
                  <a:pt x="118" y="39"/>
                </a:lnTo>
                <a:lnTo>
                  <a:pt x="118" y="0"/>
                </a:lnTo>
                <a:lnTo>
                  <a:pt x="96" y="0"/>
                </a:lnTo>
                <a:lnTo>
                  <a:pt x="66" y="47"/>
                </a:lnTo>
                <a:lnTo>
                  <a:pt x="59" y="86"/>
                </a:lnTo>
                <a:lnTo>
                  <a:pt x="66" y="112"/>
                </a:lnTo>
                <a:lnTo>
                  <a:pt x="46" y="101"/>
                </a:lnTo>
                <a:lnTo>
                  <a:pt x="46" y="47"/>
                </a:lnTo>
                <a:lnTo>
                  <a:pt x="81" y="0"/>
                </a:lnTo>
                <a:lnTo>
                  <a:pt x="39" y="0"/>
                </a:lnTo>
                <a:lnTo>
                  <a:pt x="0" y="76"/>
                </a:lnTo>
                <a:lnTo>
                  <a:pt x="0" y="104"/>
                </a:lnTo>
                <a:close/>
              </a:path>
            </a:pathLst>
          </a:custGeom>
          <a:solidFill>
            <a:srgbClr val="558723"/>
          </a:solidFill>
          <a:ln w="9525">
            <a:solidFill>
              <a:srgbClr val="FFFFFF"/>
            </a:solidFill>
            <a:miter lim="800000"/>
            <a:headEnd/>
            <a:tailEnd/>
          </a:ln>
        </xdr:spPr>
        <xdr:txBody>
          <a:bodyPr vertOverflow="clip" wrap="square" lIns="36576" tIns="32004" rIns="0" bIns="0" anchor="t"/>
          <a:lstStyle/>
          <a:p>
            <a:pPr algn="l" rtl="0">
              <a:defRPr sz="1000"/>
            </a:pPr>
            <a:endParaRPr lang="en-US" sz="1600" b="0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 algn="l" rtl="0">
              <a:defRPr sz="1000"/>
            </a:pPr>
            <a:endParaRPr lang="en-US"/>
          </a:p>
        </xdr:txBody>
      </xdr:sp>
      <xdr:sp macro="" textlink="">
        <xdr:nvSpPr>
          <xdr:cNvPr id="25986" name="Freeform 34"/>
          <xdr:cNvSpPr>
            <a:spLocks/>
          </xdr:cNvSpPr>
        </xdr:nvSpPr>
        <xdr:spPr bwMode="auto">
          <a:xfrm>
            <a:off x="170" y="167"/>
            <a:ext cx="253" cy="215"/>
          </a:xfrm>
          <a:custGeom>
            <a:avLst/>
            <a:gdLst>
              <a:gd name="T0" fmla="*/ 8 w 1151"/>
              <a:gd name="T1" fmla="*/ 10 h 980"/>
              <a:gd name="T2" fmla="*/ 9 w 1151"/>
              <a:gd name="T3" fmla="*/ 10 h 980"/>
              <a:gd name="T4" fmla="*/ 9 w 1151"/>
              <a:gd name="T5" fmla="*/ 9 h 980"/>
              <a:gd name="T6" fmla="*/ 8 w 1151"/>
              <a:gd name="T7" fmla="*/ 9 h 980"/>
              <a:gd name="T8" fmla="*/ 7 w 1151"/>
              <a:gd name="T9" fmla="*/ 9 h 980"/>
              <a:gd name="T10" fmla="*/ 7 w 1151"/>
              <a:gd name="T11" fmla="*/ 9 h 980"/>
              <a:gd name="T12" fmla="*/ 2 w 1151"/>
              <a:gd name="T13" fmla="*/ 7 h 980"/>
              <a:gd name="T14" fmla="*/ 1 w 1151"/>
              <a:gd name="T15" fmla="*/ 6 h 980"/>
              <a:gd name="T16" fmla="*/ 0 w 1151"/>
              <a:gd name="T17" fmla="*/ 6 h 980"/>
              <a:gd name="T18" fmla="*/ 0 w 1151"/>
              <a:gd name="T19" fmla="*/ 2 h 980"/>
              <a:gd name="T20" fmla="*/ 1 w 1151"/>
              <a:gd name="T21" fmla="*/ 2 h 980"/>
              <a:gd name="T22" fmla="*/ 2 w 1151"/>
              <a:gd name="T23" fmla="*/ 2 h 980"/>
              <a:gd name="T24" fmla="*/ 2 w 1151"/>
              <a:gd name="T25" fmla="*/ 2 h 980"/>
              <a:gd name="T26" fmla="*/ 3 w 1151"/>
              <a:gd name="T27" fmla="*/ 2 h 980"/>
              <a:gd name="T28" fmla="*/ 3 w 1151"/>
              <a:gd name="T29" fmla="*/ 2 h 980"/>
              <a:gd name="T30" fmla="*/ 4 w 1151"/>
              <a:gd name="T31" fmla="*/ 3 h 980"/>
              <a:gd name="T32" fmla="*/ 5 w 1151"/>
              <a:gd name="T33" fmla="*/ 3 h 980"/>
              <a:gd name="T34" fmla="*/ 5 w 1151"/>
              <a:gd name="T35" fmla="*/ 3 h 980"/>
              <a:gd name="T36" fmla="*/ 6 w 1151"/>
              <a:gd name="T37" fmla="*/ 3 h 980"/>
              <a:gd name="T38" fmla="*/ 6 w 1151"/>
              <a:gd name="T39" fmla="*/ 2 h 980"/>
              <a:gd name="T40" fmla="*/ 6 w 1151"/>
              <a:gd name="T41" fmla="*/ 3 h 980"/>
              <a:gd name="T42" fmla="*/ 6 w 1151"/>
              <a:gd name="T43" fmla="*/ 2 h 980"/>
              <a:gd name="T44" fmla="*/ 7 w 1151"/>
              <a:gd name="T45" fmla="*/ 0 h 980"/>
              <a:gd name="T46" fmla="*/ 7 w 1151"/>
              <a:gd name="T47" fmla="*/ 1 h 980"/>
              <a:gd name="T48" fmla="*/ 7 w 1151"/>
              <a:gd name="T49" fmla="*/ 2 h 980"/>
              <a:gd name="T50" fmla="*/ 7 w 1151"/>
              <a:gd name="T51" fmla="*/ 2 h 980"/>
              <a:gd name="T52" fmla="*/ 8 w 1151"/>
              <a:gd name="T53" fmla="*/ 3 h 980"/>
              <a:gd name="T54" fmla="*/ 8 w 1151"/>
              <a:gd name="T55" fmla="*/ 2 h 980"/>
              <a:gd name="T56" fmla="*/ 9 w 1151"/>
              <a:gd name="T57" fmla="*/ 3 h 980"/>
              <a:gd name="T58" fmla="*/ 9 w 1151"/>
              <a:gd name="T59" fmla="*/ 3 h 980"/>
              <a:gd name="T60" fmla="*/ 8 w 1151"/>
              <a:gd name="T61" fmla="*/ 4 h 980"/>
              <a:gd name="T62" fmla="*/ 7 w 1151"/>
              <a:gd name="T63" fmla="*/ 4 h 980"/>
              <a:gd name="T64" fmla="*/ 7 w 1151"/>
              <a:gd name="T65" fmla="*/ 5 h 980"/>
              <a:gd name="T66" fmla="*/ 7 w 1151"/>
              <a:gd name="T67" fmla="*/ 6 h 980"/>
              <a:gd name="T68" fmla="*/ 7 w 1151"/>
              <a:gd name="T69" fmla="*/ 7 h 980"/>
              <a:gd name="T70" fmla="*/ 8 w 1151"/>
              <a:gd name="T71" fmla="*/ 7 h 980"/>
              <a:gd name="T72" fmla="*/ 9 w 1151"/>
              <a:gd name="T73" fmla="*/ 8 h 980"/>
              <a:gd name="T74" fmla="*/ 9 w 1151"/>
              <a:gd name="T75" fmla="*/ 6 h 980"/>
              <a:gd name="T76" fmla="*/ 9 w 1151"/>
              <a:gd name="T77" fmla="*/ 6 h 980"/>
              <a:gd name="T78" fmla="*/ 9 w 1151"/>
              <a:gd name="T79" fmla="*/ 5 h 980"/>
              <a:gd name="T80" fmla="*/ 10 w 1151"/>
              <a:gd name="T81" fmla="*/ 5 h 980"/>
              <a:gd name="T82" fmla="*/ 10 w 1151"/>
              <a:gd name="T83" fmla="*/ 6 h 980"/>
              <a:gd name="T84" fmla="*/ 11 w 1151"/>
              <a:gd name="T85" fmla="*/ 6 h 980"/>
              <a:gd name="T86" fmla="*/ 11 w 1151"/>
              <a:gd name="T87" fmla="*/ 7 h 980"/>
              <a:gd name="T88" fmla="*/ 12 w 1151"/>
              <a:gd name="T89" fmla="*/ 7 h 980"/>
              <a:gd name="T90" fmla="*/ 12 w 1151"/>
              <a:gd name="T91" fmla="*/ 8 h 980"/>
              <a:gd name="T92" fmla="*/ 12 w 1151"/>
              <a:gd name="T93" fmla="*/ 8 h 980"/>
              <a:gd name="T94" fmla="*/ 11 w 1151"/>
              <a:gd name="T95" fmla="*/ 8 h 980"/>
              <a:gd name="T96" fmla="*/ 10 w 1151"/>
              <a:gd name="T97" fmla="*/ 9 h 980"/>
              <a:gd name="T98" fmla="*/ 11 w 1151"/>
              <a:gd name="T99" fmla="*/ 9 h 980"/>
              <a:gd name="T100" fmla="*/ 11 w 1151"/>
              <a:gd name="T101" fmla="*/ 9 h 980"/>
              <a:gd name="T102" fmla="*/ 11 w 1151"/>
              <a:gd name="T103" fmla="*/ 9 h 980"/>
              <a:gd name="T104" fmla="*/ 11 w 1151"/>
              <a:gd name="T105" fmla="*/ 9 h 980"/>
              <a:gd name="T106" fmla="*/ 11 w 1151"/>
              <a:gd name="T107" fmla="*/ 10 h 980"/>
              <a:gd name="T108" fmla="*/ 11 w 1151"/>
              <a:gd name="T109" fmla="*/ 9 h 980"/>
              <a:gd name="T110" fmla="*/ 10 w 1151"/>
              <a:gd name="T111" fmla="*/ 9 h 980"/>
              <a:gd name="T112" fmla="*/ 10 w 1151"/>
              <a:gd name="T113" fmla="*/ 10 h 980"/>
              <a:gd name="T114" fmla="*/ 9 w 1151"/>
              <a:gd name="T115" fmla="*/ 10 h 980"/>
              <a:gd name="T116" fmla="*/ 0 60000 65536"/>
              <a:gd name="T117" fmla="*/ 0 60000 65536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60000 65536"/>
              <a:gd name="T169" fmla="*/ 0 60000 65536"/>
              <a:gd name="T170" fmla="*/ 0 60000 65536"/>
              <a:gd name="T171" fmla="*/ 0 60000 65536"/>
              <a:gd name="T172" fmla="*/ 0 60000 65536"/>
              <a:gd name="T173" fmla="*/ 0 60000 65536"/>
              <a:gd name="T174" fmla="*/ 0 w 1151"/>
              <a:gd name="T175" fmla="*/ 0 h 980"/>
              <a:gd name="T176" fmla="*/ 1151 w 1151"/>
              <a:gd name="T177" fmla="*/ 980 h 980"/>
            </a:gdLst>
            <a:ahLst/>
            <a:cxnLst>
              <a:cxn ang="T116">
                <a:pos x="T0" y="T1"/>
              </a:cxn>
              <a:cxn ang="T117">
                <a:pos x="T2" y="T3"/>
              </a:cxn>
              <a:cxn ang="T118">
                <a:pos x="T4" y="T5"/>
              </a:cxn>
              <a:cxn ang="T119">
                <a:pos x="T6" y="T7"/>
              </a:cxn>
              <a:cxn ang="T120">
                <a:pos x="T8" y="T9"/>
              </a:cxn>
              <a:cxn ang="T121">
                <a:pos x="T10" y="T11"/>
              </a:cxn>
              <a:cxn ang="T122">
                <a:pos x="T12" y="T13"/>
              </a:cxn>
              <a:cxn ang="T123">
                <a:pos x="T14" y="T15"/>
              </a:cxn>
              <a:cxn ang="T124">
                <a:pos x="T16" y="T17"/>
              </a:cxn>
              <a:cxn ang="T125">
                <a:pos x="T18" y="T19"/>
              </a:cxn>
              <a:cxn ang="T126">
                <a:pos x="T20" y="T21"/>
              </a:cxn>
              <a:cxn ang="T127">
                <a:pos x="T22" y="T23"/>
              </a:cxn>
              <a:cxn ang="T128">
                <a:pos x="T24" y="T25"/>
              </a:cxn>
              <a:cxn ang="T129">
                <a:pos x="T26" y="T27"/>
              </a:cxn>
              <a:cxn ang="T130">
                <a:pos x="T28" y="T29"/>
              </a:cxn>
              <a:cxn ang="T131">
                <a:pos x="T30" y="T31"/>
              </a:cxn>
              <a:cxn ang="T132">
                <a:pos x="T32" y="T33"/>
              </a:cxn>
              <a:cxn ang="T133">
                <a:pos x="T34" y="T35"/>
              </a:cxn>
              <a:cxn ang="T134">
                <a:pos x="T36" y="T37"/>
              </a:cxn>
              <a:cxn ang="T135">
                <a:pos x="T38" y="T39"/>
              </a:cxn>
              <a:cxn ang="T136">
                <a:pos x="T40" y="T41"/>
              </a:cxn>
              <a:cxn ang="T137">
                <a:pos x="T42" y="T43"/>
              </a:cxn>
              <a:cxn ang="T138">
                <a:pos x="T44" y="T45"/>
              </a:cxn>
              <a:cxn ang="T139">
                <a:pos x="T46" y="T47"/>
              </a:cxn>
              <a:cxn ang="T140">
                <a:pos x="T48" y="T49"/>
              </a:cxn>
              <a:cxn ang="T141">
                <a:pos x="T50" y="T51"/>
              </a:cxn>
              <a:cxn ang="T142">
                <a:pos x="T52" y="T53"/>
              </a:cxn>
              <a:cxn ang="T143">
                <a:pos x="T54" y="T55"/>
              </a:cxn>
              <a:cxn ang="T144">
                <a:pos x="T56" y="T57"/>
              </a:cxn>
              <a:cxn ang="T145">
                <a:pos x="T58" y="T59"/>
              </a:cxn>
              <a:cxn ang="T146">
                <a:pos x="T60" y="T61"/>
              </a:cxn>
              <a:cxn ang="T147">
                <a:pos x="T62" y="T63"/>
              </a:cxn>
              <a:cxn ang="T148">
                <a:pos x="T64" y="T65"/>
              </a:cxn>
              <a:cxn ang="T149">
                <a:pos x="T66" y="T67"/>
              </a:cxn>
              <a:cxn ang="T150">
                <a:pos x="T68" y="T69"/>
              </a:cxn>
              <a:cxn ang="T151">
                <a:pos x="T70" y="T71"/>
              </a:cxn>
              <a:cxn ang="T152">
                <a:pos x="T72" y="T73"/>
              </a:cxn>
              <a:cxn ang="T153">
                <a:pos x="T74" y="T75"/>
              </a:cxn>
              <a:cxn ang="T154">
                <a:pos x="T76" y="T77"/>
              </a:cxn>
              <a:cxn ang="T155">
                <a:pos x="T78" y="T79"/>
              </a:cxn>
              <a:cxn ang="T156">
                <a:pos x="T80" y="T81"/>
              </a:cxn>
              <a:cxn ang="T157">
                <a:pos x="T82" y="T83"/>
              </a:cxn>
              <a:cxn ang="T158">
                <a:pos x="T84" y="T85"/>
              </a:cxn>
              <a:cxn ang="T159">
                <a:pos x="T86" y="T87"/>
              </a:cxn>
              <a:cxn ang="T160">
                <a:pos x="T88" y="T89"/>
              </a:cxn>
              <a:cxn ang="T161">
                <a:pos x="T90" y="T91"/>
              </a:cxn>
              <a:cxn ang="T162">
                <a:pos x="T92" y="T93"/>
              </a:cxn>
              <a:cxn ang="T163">
                <a:pos x="T94" y="T95"/>
              </a:cxn>
              <a:cxn ang="T164">
                <a:pos x="T96" y="T97"/>
              </a:cxn>
              <a:cxn ang="T165">
                <a:pos x="T98" y="T99"/>
              </a:cxn>
              <a:cxn ang="T166">
                <a:pos x="T100" y="T101"/>
              </a:cxn>
              <a:cxn ang="T167">
                <a:pos x="T102" y="T103"/>
              </a:cxn>
              <a:cxn ang="T168">
                <a:pos x="T104" y="T105"/>
              </a:cxn>
              <a:cxn ang="T169">
                <a:pos x="T106" y="T107"/>
              </a:cxn>
              <a:cxn ang="T170">
                <a:pos x="T108" y="T109"/>
              </a:cxn>
              <a:cxn ang="T171">
                <a:pos x="T110" y="T111"/>
              </a:cxn>
              <a:cxn ang="T172">
                <a:pos x="T112" y="T113"/>
              </a:cxn>
              <a:cxn ang="T173">
                <a:pos x="T114" y="T115"/>
              </a:cxn>
            </a:cxnLst>
            <a:rect l="T174" t="T175" r="T176" b="T177"/>
            <a:pathLst>
              <a:path w="1151" h="980">
                <a:moveTo>
                  <a:pt x="836" y="933"/>
                </a:moveTo>
                <a:lnTo>
                  <a:pt x="836" y="949"/>
                </a:lnTo>
                <a:lnTo>
                  <a:pt x="803" y="956"/>
                </a:lnTo>
                <a:lnTo>
                  <a:pt x="796" y="971"/>
                </a:lnTo>
                <a:lnTo>
                  <a:pt x="775" y="980"/>
                </a:lnTo>
                <a:lnTo>
                  <a:pt x="796" y="949"/>
                </a:lnTo>
                <a:lnTo>
                  <a:pt x="783" y="949"/>
                </a:lnTo>
                <a:lnTo>
                  <a:pt x="803" y="941"/>
                </a:lnTo>
                <a:lnTo>
                  <a:pt x="803" y="904"/>
                </a:lnTo>
                <a:lnTo>
                  <a:pt x="816" y="926"/>
                </a:lnTo>
                <a:lnTo>
                  <a:pt x="825" y="911"/>
                </a:lnTo>
                <a:lnTo>
                  <a:pt x="810" y="897"/>
                </a:lnTo>
                <a:lnTo>
                  <a:pt x="768" y="879"/>
                </a:lnTo>
                <a:lnTo>
                  <a:pt x="761" y="874"/>
                </a:lnTo>
                <a:lnTo>
                  <a:pt x="753" y="850"/>
                </a:lnTo>
                <a:lnTo>
                  <a:pt x="746" y="850"/>
                </a:lnTo>
                <a:lnTo>
                  <a:pt x="731" y="828"/>
                </a:lnTo>
                <a:lnTo>
                  <a:pt x="718" y="822"/>
                </a:lnTo>
                <a:lnTo>
                  <a:pt x="687" y="850"/>
                </a:lnTo>
                <a:lnTo>
                  <a:pt x="667" y="850"/>
                </a:lnTo>
                <a:lnTo>
                  <a:pt x="646" y="828"/>
                </a:lnTo>
                <a:lnTo>
                  <a:pt x="634" y="828"/>
                </a:lnTo>
                <a:lnTo>
                  <a:pt x="624" y="813"/>
                </a:lnTo>
                <a:lnTo>
                  <a:pt x="619" y="822"/>
                </a:lnTo>
                <a:lnTo>
                  <a:pt x="240" y="822"/>
                </a:lnTo>
                <a:lnTo>
                  <a:pt x="178" y="775"/>
                </a:lnTo>
                <a:lnTo>
                  <a:pt x="170" y="746"/>
                </a:lnTo>
                <a:lnTo>
                  <a:pt x="135" y="709"/>
                </a:lnTo>
                <a:lnTo>
                  <a:pt x="141" y="699"/>
                </a:lnTo>
                <a:lnTo>
                  <a:pt x="141" y="655"/>
                </a:lnTo>
                <a:lnTo>
                  <a:pt x="119" y="632"/>
                </a:lnTo>
                <a:lnTo>
                  <a:pt x="93" y="580"/>
                </a:lnTo>
                <a:lnTo>
                  <a:pt x="86" y="580"/>
                </a:lnTo>
                <a:lnTo>
                  <a:pt x="78" y="549"/>
                </a:lnTo>
                <a:lnTo>
                  <a:pt x="64" y="565"/>
                </a:lnTo>
                <a:lnTo>
                  <a:pt x="47" y="573"/>
                </a:lnTo>
                <a:lnTo>
                  <a:pt x="27" y="543"/>
                </a:lnTo>
                <a:lnTo>
                  <a:pt x="27" y="534"/>
                </a:lnTo>
                <a:lnTo>
                  <a:pt x="0" y="543"/>
                </a:lnTo>
                <a:lnTo>
                  <a:pt x="0" y="210"/>
                </a:lnTo>
                <a:lnTo>
                  <a:pt x="21" y="210"/>
                </a:lnTo>
                <a:lnTo>
                  <a:pt x="71" y="247"/>
                </a:lnTo>
                <a:lnTo>
                  <a:pt x="71" y="223"/>
                </a:lnTo>
                <a:lnTo>
                  <a:pt x="78" y="217"/>
                </a:lnTo>
                <a:lnTo>
                  <a:pt x="93" y="210"/>
                </a:lnTo>
                <a:lnTo>
                  <a:pt x="106" y="217"/>
                </a:lnTo>
                <a:lnTo>
                  <a:pt x="156" y="180"/>
                </a:lnTo>
                <a:lnTo>
                  <a:pt x="156" y="201"/>
                </a:lnTo>
                <a:lnTo>
                  <a:pt x="170" y="201"/>
                </a:lnTo>
                <a:lnTo>
                  <a:pt x="178" y="171"/>
                </a:lnTo>
                <a:lnTo>
                  <a:pt x="200" y="188"/>
                </a:lnTo>
                <a:lnTo>
                  <a:pt x="200" y="210"/>
                </a:lnTo>
                <a:lnTo>
                  <a:pt x="215" y="217"/>
                </a:lnTo>
                <a:lnTo>
                  <a:pt x="222" y="201"/>
                </a:lnTo>
                <a:lnTo>
                  <a:pt x="222" y="217"/>
                </a:lnTo>
                <a:lnTo>
                  <a:pt x="240" y="217"/>
                </a:lnTo>
                <a:lnTo>
                  <a:pt x="240" y="201"/>
                </a:lnTo>
                <a:lnTo>
                  <a:pt x="262" y="201"/>
                </a:lnTo>
                <a:lnTo>
                  <a:pt x="300" y="223"/>
                </a:lnTo>
                <a:lnTo>
                  <a:pt x="312" y="238"/>
                </a:lnTo>
                <a:lnTo>
                  <a:pt x="334" y="238"/>
                </a:lnTo>
                <a:lnTo>
                  <a:pt x="354" y="247"/>
                </a:lnTo>
                <a:lnTo>
                  <a:pt x="354" y="264"/>
                </a:lnTo>
                <a:lnTo>
                  <a:pt x="349" y="270"/>
                </a:lnTo>
                <a:lnTo>
                  <a:pt x="349" y="284"/>
                </a:lnTo>
                <a:lnTo>
                  <a:pt x="377" y="292"/>
                </a:lnTo>
                <a:lnTo>
                  <a:pt x="419" y="270"/>
                </a:lnTo>
                <a:lnTo>
                  <a:pt x="448" y="292"/>
                </a:lnTo>
                <a:lnTo>
                  <a:pt x="448" y="270"/>
                </a:lnTo>
                <a:lnTo>
                  <a:pt x="433" y="264"/>
                </a:lnTo>
                <a:lnTo>
                  <a:pt x="475" y="238"/>
                </a:lnTo>
                <a:lnTo>
                  <a:pt x="491" y="264"/>
                </a:lnTo>
                <a:lnTo>
                  <a:pt x="555" y="292"/>
                </a:lnTo>
                <a:lnTo>
                  <a:pt x="577" y="292"/>
                </a:lnTo>
                <a:lnTo>
                  <a:pt x="577" y="264"/>
                </a:lnTo>
                <a:lnTo>
                  <a:pt x="584" y="254"/>
                </a:lnTo>
                <a:lnTo>
                  <a:pt x="555" y="238"/>
                </a:lnTo>
                <a:lnTo>
                  <a:pt x="577" y="223"/>
                </a:lnTo>
                <a:lnTo>
                  <a:pt x="584" y="201"/>
                </a:lnTo>
                <a:lnTo>
                  <a:pt x="597" y="223"/>
                </a:lnTo>
                <a:lnTo>
                  <a:pt x="619" y="247"/>
                </a:lnTo>
                <a:lnTo>
                  <a:pt x="597" y="264"/>
                </a:lnTo>
                <a:lnTo>
                  <a:pt x="597" y="284"/>
                </a:lnTo>
                <a:lnTo>
                  <a:pt x="604" y="292"/>
                </a:lnTo>
                <a:lnTo>
                  <a:pt x="634" y="254"/>
                </a:lnTo>
                <a:lnTo>
                  <a:pt x="624" y="238"/>
                </a:lnTo>
                <a:lnTo>
                  <a:pt x="634" y="217"/>
                </a:lnTo>
                <a:lnTo>
                  <a:pt x="597" y="180"/>
                </a:lnTo>
                <a:lnTo>
                  <a:pt x="604" y="126"/>
                </a:lnTo>
                <a:lnTo>
                  <a:pt x="624" y="117"/>
                </a:lnTo>
                <a:lnTo>
                  <a:pt x="619" y="6"/>
                </a:lnTo>
                <a:lnTo>
                  <a:pt x="646" y="0"/>
                </a:lnTo>
                <a:lnTo>
                  <a:pt x="676" y="6"/>
                </a:lnTo>
                <a:lnTo>
                  <a:pt x="681" y="15"/>
                </a:lnTo>
                <a:lnTo>
                  <a:pt x="661" y="67"/>
                </a:lnTo>
                <a:lnTo>
                  <a:pt x="646" y="67"/>
                </a:lnTo>
                <a:lnTo>
                  <a:pt x="634" y="82"/>
                </a:lnTo>
                <a:lnTo>
                  <a:pt x="639" y="99"/>
                </a:lnTo>
                <a:lnTo>
                  <a:pt x="634" y="114"/>
                </a:lnTo>
                <a:lnTo>
                  <a:pt x="667" y="188"/>
                </a:lnTo>
                <a:lnTo>
                  <a:pt x="661" y="210"/>
                </a:lnTo>
                <a:lnTo>
                  <a:pt x="667" y="217"/>
                </a:lnTo>
                <a:lnTo>
                  <a:pt x="687" y="254"/>
                </a:lnTo>
                <a:lnTo>
                  <a:pt x="702" y="223"/>
                </a:lnTo>
                <a:lnTo>
                  <a:pt x="718" y="247"/>
                </a:lnTo>
                <a:lnTo>
                  <a:pt x="709" y="284"/>
                </a:lnTo>
                <a:lnTo>
                  <a:pt x="726" y="299"/>
                </a:lnTo>
                <a:lnTo>
                  <a:pt x="731" y="299"/>
                </a:lnTo>
                <a:lnTo>
                  <a:pt x="731" y="284"/>
                </a:lnTo>
                <a:lnTo>
                  <a:pt x="753" y="270"/>
                </a:lnTo>
                <a:lnTo>
                  <a:pt x="753" y="201"/>
                </a:lnTo>
                <a:lnTo>
                  <a:pt x="768" y="201"/>
                </a:lnTo>
                <a:lnTo>
                  <a:pt x="783" y="210"/>
                </a:lnTo>
                <a:lnTo>
                  <a:pt x="783" y="223"/>
                </a:lnTo>
                <a:lnTo>
                  <a:pt x="803" y="223"/>
                </a:lnTo>
                <a:lnTo>
                  <a:pt x="803" y="254"/>
                </a:lnTo>
                <a:lnTo>
                  <a:pt x="783" y="264"/>
                </a:lnTo>
                <a:lnTo>
                  <a:pt x="783" y="284"/>
                </a:lnTo>
                <a:lnTo>
                  <a:pt x="803" y="292"/>
                </a:lnTo>
                <a:lnTo>
                  <a:pt x="803" y="307"/>
                </a:lnTo>
                <a:lnTo>
                  <a:pt x="768" y="344"/>
                </a:lnTo>
                <a:lnTo>
                  <a:pt x="753" y="338"/>
                </a:lnTo>
                <a:lnTo>
                  <a:pt x="753" y="331"/>
                </a:lnTo>
                <a:lnTo>
                  <a:pt x="731" y="331"/>
                </a:lnTo>
                <a:lnTo>
                  <a:pt x="746" y="344"/>
                </a:lnTo>
                <a:lnTo>
                  <a:pt x="726" y="366"/>
                </a:lnTo>
                <a:lnTo>
                  <a:pt x="726" y="383"/>
                </a:lnTo>
                <a:lnTo>
                  <a:pt x="709" y="422"/>
                </a:lnTo>
                <a:lnTo>
                  <a:pt x="687" y="422"/>
                </a:lnTo>
                <a:lnTo>
                  <a:pt x="676" y="442"/>
                </a:lnTo>
                <a:lnTo>
                  <a:pt x="681" y="457"/>
                </a:lnTo>
                <a:lnTo>
                  <a:pt x="661" y="465"/>
                </a:lnTo>
                <a:lnTo>
                  <a:pt x="661" y="487"/>
                </a:lnTo>
                <a:lnTo>
                  <a:pt x="646" y="487"/>
                </a:lnTo>
                <a:lnTo>
                  <a:pt x="624" y="543"/>
                </a:lnTo>
                <a:lnTo>
                  <a:pt x="624" y="573"/>
                </a:lnTo>
                <a:lnTo>
                  <a:pt x="634" y="580"/>
                </a:lnTo>
                <a:lnTo>
                  <a:pt x="646" y="580"/>
                </a:lnTo>
                <a:lnTo>
                  <a:pt x="661" y="632"/>
                </a:lnTo>
                <a:lnTo>
                  <a:pt x="676" y="625"/>
                </a:lnTo>
                <a:lnTo>
                  <a:pt x="702" y="632"/>
                </a:lnTo>
                <a:lnTo>
                  <a:pt x="718" y="655"/>
                </a:lnTo>
                <a:lnTo>
                  <a:pt x="753" y="670"/>
                </a:lnTo>
                <a:lnTo>
                  <a:pt x="783" y="670"/>
                </a:lnTo>
                <a:lnTo>
                  <a:pt x="796" y="686"/>
                </a:lnTo>
                <a:lnTo>
                  <a:pt x="796" y="739"/>
                </a:lnTo>
                <a:lnTo>
                  <a:pt x="825" y="775"/>
                </a:lnTo>
                <a:lnTo>
                  <a:pt x="847" y="753"/>
                </a:lnTo>
                <a:lnTo>
                  <a:pt x="825" y="692"/>
                </a:lnTo>
                <a:lnTo>
                  <a:pt x="847" y="686"/>
                </a:lnTo>
                <a:lnTo>
                  <a:pt x="858" y="655"/>
                </a:lnTo>
                <a:lnTo>
                  <a:pt x="853" y="600"/>
                </a:lnTo>
                <a:lnTo>
                  <a:pt x="836" y="580"/>
                </a:lnTo>
                <a:lnTo>
                  <a:pt x="847" y="573"/>
                </a:lnTo>
                <a:lnTo>
                  <a:pt x="853" y="573"/>
                </a:lnTo>
                <a:lnTo>
                  <a:pt x="853" y="534"/>
                </a:lnTo>
                <a:lnTo>
                  <a:pt x="847" y="524"/>
                </a:lnTo>
                <a:lnTo>
                  <a:pt x="853" y="497"/>
                </a:lnTo>
                <a:lnTo>
                  <a:pt x="847" y="487"/>
                </a:lnTo>
                <a:lnTo>
                  <a:pt x="847" y="480"/>
                </a:lnTo>
                <a:lnTo>
                  <a:pt x="853" y="465"/>
                </a:lnTo>
                <a:lnTo>
                  <a:pt x="880" y="480"/>
                </a:lnTo>
                <a:lnTo>
                  <a:pt x="900" y="465"/>
                </a:lnTo>
                <a:lnTo>
                  <a:pt x="937" y="497"/>
                </a:lnTo>
                <a:lnTo>
                  <a:pt x="930" y="504"/>
                </a:lnTo>
                <a:lnTo>
                  <a:pt x="937" y="512"/>
                </a:lnTo>
                <a:lnTo>
                  <a:pt x="966" y="512"/>
                </a:lnTo>
                <a:lnTo>
                  <a:pt x="966" y="573"/>
                </a:lnTo>
                <a:lnTo>
                  <a:pt x="986" y="600"/>
                </a:lnTo>
                <a:lnTo>
                  <a:pt x="1022" y="565"/>
                </a:lnTo>
                <a:lnTo>
                  <a:pt x="1016" y="549"/>
                </a:lnTo>
                <a:lnTo>
                  <a:pt x="1022" y="534"/>
                </a:lnTo>
                <a:lnTo>
                  <a:pt x="1073" y="625"/>
                </a:lnTo>
                <a:lnTo>
                  <a:pt x="1064" y="632"/>
                </a:lnTo>
                <a:lnTo>
                  <a:pt x="1064" y="655"/>
                </a:lnTo>
                <a:lnTo>
                  <a:pt x="1079" y="664"/>
                </a:lnTo>
                <a:lnTo>
                  <a:pt x="1079" y="670"/>
                </a:lnTo>
                <a:lnTo>
                  <a:pt x="1101" y="686"/>
                </a:lnTo>
                <a:lnTo>
                  <a:pt x="1108" y="686"/>
                </a:lnTo>
                <a:lnTo>
                  <a:pt x="1123" y="692"/>
                </a:lnTo>
                <a:lnTo>
                  <a:pt x="1108" y="699"/>
                </a:lnTo>
                <a:lnTo>
                  <a:pt x="1123" y="699"/>
                </a:lnTo>
                <a:lnTo>
                  <a:pt x="1123" y="723"/>
                </a:lnTo>
                <a:lnTo>
                  <a:pt x="1136" y="723"/>
                </a:lnTo>
                <a:lnTo>
                  <a:pt x="1145" y="731"/>
                </a:lnTo>
                <a:lnTo>
                  <a:pt x="1145" y="739"/>
                </a:lnTo>
                <a:lnTo>
                  <a:pt x="1151" y="753"/>
                </a:lnTo>
                <a:lnTo>
                  <a:pt x="1136" y="766"/>
                </a:lnTo>
                <a:lnTo>
                  <a:pt x="1108" y="775"/>
                </a:lnTo>
                <a:lnTo>
                  <a:pt x="1095" y="805"/>
                </a:lnTo>
                <a:lnTo>
                  <a:pt x="1064" y="805"/>
                </a:lnTo>
                <a:lnTo>
                  <a:pt x="1036" y="790"/>
                </a:lnTo>
                <a:lnTo>
                  <a:pt x="996" y="805"/>
                </a:lnTo>
                <a:lnTo>
                  <a:pt x="986" y="822"/>
                </a:lnTo>
                <a:lnTo>
                  <a:pt x="981" y="822"/>
                </a:lnTo>
                <a:lnTo>
                  <a:pt x="966" y="828"/>
                </a:lnTo>
                <a:lnTo>
                  <a:pt x="937" y="865"/>
                </a:lnTo>
                <a:lnTo>
                  <a:pt x="944" y="865"/>
                </a:lnTo>
                <a:lnTo>
                  <a:pt x="974" y="835"/>
                </a:lnTo>
                <a:lnTo>
                  <a:pt x="996" y="822"/>
                </a:lnTo>
                <a:lnTo>
                  <a:pt x="1031" y="822"/>
                </a:lnTo>
                <a:lnTo>
                  <a:pt x="1031" y="835"/>
                </a:lnTo>
                <a:lnTo>
                  <a:pt x="1016" y="850"/>
                </a:lnTo>
                <a:lnTo>
                  <a:pt x="1007" y="850"/>
                </a:lnTo>
                <a:lnTo>
                  <a:pt x="1016" y="857"/>
                </a:lnTo>
                <a:lnTo>
                  <a:pt x="1022" y="850"/>
                </a:lnTo>
                <a:lnTo>
                  <a:pt x="1022" y="874"/>
                </a:lnTo>
                <a:lnTo>
                  <a:pt x="1049" y="897"/>
                </a:lnTo>
                <a:lnTo>
                  <a:pt x="1064" y="897"/>
                </a:lnTo>
                <a:lnTo>
                  <a:pt x="1064" y="879"/>
                </a:lnTo>
                <a:lnTo>
                  <a:pt x="1079" y="865"/>
                </a:lnTo>
                <a:lnTo>
                  <a:pt x="1079" y="879"/>
                </a:lnTo>
                <a:lnTo>
                  <a:pt x="1095" y="879"/>
                </a:lnTo>
                <a:lnTo>
                  <a:pt x="1073" y="904"/>
                </a:lnTo>
                <a:lnTo>
                  <a:pt x="1031" y="926"/>
                </a:lnTo>
                <a:lnTo>
                  <a:pt x="1016" y="941"/>
                </a:lnTo>
                <a:lnTo>
                  <a:pt x="1007" y="926"/>
                </a:lnTo>
                <a:lnTo>
                  <a:pt x="1031" y="904"/>
                </a:lnTo>
                <a:lnTo>
                  <a:pt x="1022" y="904"/>
                </a:lnTo>
                <a:lnTo>
                  <a:pt x="1022" y="897"/>
                </a:lnTo>
                <a:lnTo>
                  <a:pt x="1007" y="904"/>
                </a:lnTo>
                <a:lnTo>
                  <a:pt x="996" y="904"/>
                </a:lnTo>
                <a:lnTo>
                  <a:pt x="986" y="897"/>
                </a:lnTo>
                <a:lnTo>
                  <a:pt x="981" y="857"/>
                </a:lnTo>
                <a:lnTo>
                  <a:pt x="974" y="865"/>
                </a:lnTo>
                <a:lnTo>
                  <a:pt x="966" y="857"/>
                </a:lnTo>
                <a:lnTo>
                  <a:pt x="944" y="904"/>
                </a:lnTo>
                <a:lnTo>
                  <a:pt x="930" y="911"/>
                </a:lnTo>
                <a:lnTo>
                  <a:pt x="887" y="911"/>
                </a:lnTo>
                <a:lnTo>
                  <a:pt x="858" y="933"/>
                </a:lnTo>
                <a:lnTo>
                  <a:pt x="836" y="933"/>
                </a:lnTo>
                <a:close/>
              </a:path>
            </a:pathLst>
          </a:custGeom>
          <a:solidFill>
            <a:srgbClr val="558723"/>
          </a:solidFill>
          <a:ln w="9525">
            <a:solidFill>
              <a:srgbClr val="FFFFFF"/>
            </a:solidFill>
            <a:miter lim="800000"/>
            <a:headEnd/>
            <a:tailEnd/>
          </a:ln>
        </xdr:spPr>
        <xdr:txBody>
          <a:bodyPr vertOverflow="clip" wrap="square" lIns="36576" tIns="32004" rIns="0" bIns="0" anchor="t"/>
          <a:lstStyle/>
          <a:p>
            <a:pPr algn="l" rtl="0">
              <a:defRPr sz="1000"/>
            </a:pPr>
            <a:endParaRPr lang="en-US" sz="1600" b="0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 algn="l" rtl="0">
              <a:defRPr sz="1000"/>
            </a:pPr>
            <a:endParaRPr lang="en-US"/>
          </a:p>
        </xdr:txBody>
      </xdr:sp>
      <xdr:sp macro="" textlink="">
        <xdr:nvSpPr>
          <xdr:cNvPr id="25987" name="Freeform 35"/>
          <xdr:cNvSpPr>
            <a:spLocks/>
          </xdr:cNvSpPr>
        </xdr:nvSpPr>
        <xdr:spPr bwMode="auto">
          <a:xfrm>
            <a:off x="412" y="335"/>
            <a:ext cx="19" cy="23"/>
          </a:xfrm>
          <a:custGeom>
            <a:avLst/>
            <a:gdLst>
              <a:gd name="T0" fmla="*/ 0 w 86"/>
              <a:gd name="T1" fmla="*/ 1 h 107"/>
              <a:gd name="T2" fmla="*/ 0 w 86"/>
              <a:gd name="T3" fmla="*/ 1 h 107"/>
              <a:gd name="T4" fmla="*/ 0 w 86"/>
              <a:gd name="T5" fmla="*/ 1 h 107"/>
              <a:gd name="T6" fmla="*/ 0 w 86"/>
              <a:gd name="T7" fmla="*/ 1 h 107"/>
              <a:gd name="T8" fmla="*/ 1 w 86"/>
              <a:gd name="T9" fmla="*/ 1 h 107"/>
              <a:gd name="T10" fmla="*/ 1 w 86"/>
              <a:gd name="T11" fmla="*/ 1 h 107"/>
              <a:gd name="T12" fmla="*/ 1 w 86"/>
              <a:gd name="T13" fmla="*/ 1 h 107"/>
              <a:gd name="T14" fmla="*/ 1 w 86"/>
              <a:gd name="T15" fmla="*/ 1 h 107"/>
              <a:gd name="T16" fmla="*/ 1 w 86"/>
              <a:gd name="T17" fmla="*/ 1 h 107"/>
              <a:gd name="T18" fmla="*/ 1 w 86"/>
              <a:gd name="T19" fmla="*/ 1 h 107"/>
              <a:gd name="T20" fmla="*/ 1 w 86"/>
              <a:gd name="T21" fmla="*/ 1 h 107"/>
              <a:gd name="T22" fmla="*/ 1 w 86"/>
              <a:gd name="T23" fmla="*/ 1 h 107"/>
              <a:gd name="T24" fmla="*/ 1 w 86"/>
              <a:gd name="T25" fmla="*/ 1 h 107"/>
              <a:gd name="T26" fmla="*/ 0 w 86"/>
              <a:gd name="T27" fmla="*/ 1 h 107"/>
              <a:gd name="T28" fmla="*/ 0 w 86"/>
              <a:gd name="T29" fmla="*/ 0 h 107"/>
              <a:gd name="T30" fmla="*/ 0 w 86"/>
              <a:gd name="T31" fmla="*/ 0 h 107"/>
              <a:gd name="T32" fmla="*/ 0 w 86"/>
              <a:gd name="T33" fmla="*/ 0 h 107"/>
              <a:gd name="T34" fmla="*/ 0 w 86"/>
              <a:gd name="T35" fmla="*/ 0 h 107"/>
              <a:gd name="T36" fmla="*/ 0 w 86"/>
              <a:gd name="T37" fmla="*/ 0 h 107"/>
              <a:gd name="T38" fmla="*/ 0 w 86"/>
              <a:gd name="T39" fmla="*/ 1 h 107"/>
              <a:gd name="T40" fmla="*/ 0 w 86"/>
              <a:gd name="T41" fmla="*/ 1 h 107"/>
              <a:gd name="T42" fmla="*/ 0 w 86"/>
              <a:gd name="T43" fmla="*/ 1 h 107"/>
              <a:gd name="T44" fmla="*/ 0 w 86"/>
              <a:gd name="T45" fmla="*/ 1 h 107"/>
              <a:gd name="T46" fmla="*/ 0 w 86"/>
              <a:gd name="T47" fmla="*/ 1 h 107"/>
              <a:gd name="T48" fmla="*/ 0 60000 65536"/>
              <a:gd name="T49" fmla="*/ 0 60000 65536"/>
              <a:gd name="T50" fmla="*/ 0 60000 65536"/>
              <a:gd name="T51" fmla="*/ 0 60000 65536"/>
              <a:gd name="T52" fmla="*/ 0 60000 65536"/>
              <a:gd name="T53" fmla="*/ 0 60000 65536"/>
              <a:gd name="T54" fmla="*/ 0 60000 65536"/>
              <a:gd name="T55" fmla="*/ 0 60000 65536"/>
              <a:gd name="T56" fmla="*/ 0 60000 65536"/>
              <a:gd name="T57" fmla="*/ 0 60000 65536"/>
              <a:gd name="T58" fmla="*/ 0 60000 65536"/>
              <a:gd name="T59" fmla="*/ 0 60000 65536"/>
              <a:gd name="T60" fmla="*/ 0 60000 65536"/>
              <a:gd name="T61" fmla="*/ 0 60000 65536"/>
              <a:gd name="T62" fmla="*/ 0 60000 65536"/>
              <a:gd name="T63" fmla="*/ 0 60000 65536"/>
              <a:gd name="T64" fmla="*/ 0 60000 65536"/>
              <a:gd name="T65" fmla="*/ 0 60000 65536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w 86"/>
              <a:gd name="T73" fmla="*/ 0 h 107"/>
              <a:gd name="T74" fmla="*/ 86 w 86"/>
              <a:gd name="T75" fmla="*/ 107 h 107"/>
            </a:gdLst>
            <a:ahLst/>
            <a:cxnLst>
              <a:cxn ang="T48">
                <a:pos x="T0" y="T1"/>
              </a:cxn>
              <a:cxn ang="T49">
                <a:pos x="T2" y="T3"/>
              </a:cxn>
              <a:cxn ang="T50">
                <a:pos x="T4" y="T5"/>
              </a:cxn>
              <a:cxn ang="T51">
                <a:pos x="T6" y="T7"/>
              </a:cxn>
              <a:cxn ang="T52">
                <a:pos x="T8" y="T9"/>
              </a:cxn>
              <a:cxn ang="T53">
                <a:pos x="T10" y="T11"/>
              </a:cxn>
              <a:cxn ang="T54">
                <a:pos x="T12" y="T13"/>
              </a:cxn>
              <a:cxn ang="T55">
                <a:pos x="T14" y="T15"/>
              </a:cxn>
              <a:cxn ang="T56">
                <a:pos x="T16" y="T17"/>
              </a:cxn>
              <a:cxn ang="T57">
                <a:pos x="T18" y="T19"/>
              </a:cxn>
              <a:cxn ang="T58">
                <a:pos x="T20" y="T21"/>
              </a:cxn>
              <a:cxn ang="T59">
                <a:pos x="T22" y="T23"/>
              </a:cxn>
              <a:cxn ang="T60">
                <a:pos x="T24" y="T25"/>
              </a:cxn>
              <a:cxn ang="T61">
                <a:pos x="T26" y="T27"/>
              </a:cxn>
              <a:cxn ang="T62">
                <a:pos x="T28" y="T29"/>
              </a:cxn>
              <a:cxn ang="T63">
                <a:pos x="T30" y="T31"/>
              </a:cxn>
              <a:cxn ang="T64">
                <a:pos x="T32" y="T33"/>
              </a:cxn>
              <a:cxn ang="T65">
                <a:pos x="T34" y="T35"/>
              </a:cxn>
              <a:cxn ang="T66">
                <a:pos x="T36" y="T37"/>
              </a:cxn>
              <a:cxn ang="T67">
                <a:pos x="T38" y="T39"/>
              </a:cxn>
              <a:cxn ang="T68">
                <a:pos x="T40" y="T41"/>
              </a:cxn>
              <a:cxn ang="T69">
                <a:pos x="T42" y="T43"/>
              </a:cxn>
              <a:cxn ang="T70">
                <a:pos x="T44" y="T45"/>
              </a:cxn>
              <a:cxn ang="T71">
                <a:pos x="T46" y="T47"/>
              </a:cxn>
            </a:cxnLst>
            <a:rect l="T72" t="T73" r="T74" b="T75"/>
            <a:pathLst>
              <a:path w="86" h="107">
                <a:moveTo>
                  <a:pt x="0" y="85"/>
                </a:moveTo>
                <a:lnTo>
                  <a:pt x="0" y="92"/>
                </a:lnTo>
                <a:lnTo>
                  <a:pt x="49" y="92"/>
                </a:lnTo>
                <a:lnTo>
                  <a:pt x="49" y="99"/>
                </a:lnTo>
                <a:lnTo>
                  <a:pt x="57" y="92"/>
                </a:lnTo>
                <a:lnTo>
                  <a:pt x="79" y="99"/>
                </a:lnTo>
                <a:lnTo>
                  <a:pt x="79" y="107"/>
                </a:lnTo>
                <a:lnTo>
                  <a:pt x="86" y="107"/>
                </a:lnTo>
                <a:lnTo>
                  <a:pt x="86" y="92"/>
                </a:lnTo>
                <a:lnTo>
                  <a:pt x="66" y="85"/>
                </a:lnTo>
                <a:lnTo>
                  <a:pt x="79" y="70"/>
                </a:lnTo>
                <a:lnTo>
                  <a:pt x="66" y="63"/>
                </a:lnTo>
                <a:lnTo>
                  <a:pt x="79" y="55"/>
                </a:lnTo>
                <a:lnTo>
                  <a:pt x="49" y="55"/>
                </a:lnTo>
                <a:lnTo>
                  <a:pt x="45" y="47"/>
                </a:lnTo>
                <a:lnTo>
                  <a:pt x="49" y="38"/>
                </a:lnTo>
                <a:lnTo>
                  <a:pt x="45" y="38"/>
                </a:lnTo>
                <a:lnTo>
                  <a:pt x="49" y="0"/>
                </a:lnTo>
                <a:lnTo>
                  <a:pt x="34" y="10"/>
                </a:lnTo>
                <a:lnTo>
                  <a:pt x="7" y="63"/>
                </a:lnTo>
                <a:lnTo>
                  <a:pt x="7" y="70"/>
                </a:lnTo>
                <a:lnTo>
                  <a:pt x="0" y="85"/>
                </a:lnTo>
                <a:close/>
              </a:path>
            </a:pathLst>
          </a:custGeom>
          <a:solidFill>
            <a:srgbClr val="558723"/>
          </a:solidFill>
          <a:ln w="9525">
            <a:solidFill>
              <a:srgbClr val="FFFFFF"/>
            </a:solidFill>
            <a:miter lim="800000"/>
            <a:headEnd/>
            <a:tailEnd/>
          </a:ln>
        </xdr:spPr>
        <xdr:txBody>
          <a:bodyPr vertOverflow="clip" wrap="square" lIns="36576" tIns="32004" rIns="0" bIns="0" anchor="t"/>
          <a:lstStyle/>
          <a:p>
            <a:pPr algn="l" rtl="0">
              <a:defRPr sz="1000"/>
            </a:pPr>
            <a:endParaRPr lang="en-US" sz="1600" b="0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 algn="l" rtl="0">
              <a:defRPr sz="1000"/>
            </a:pPr>
            <a:endParaRPr lang="en-US"/>
          </a:p>
        </xdr:txBody>
      </xdr:sp>
      <xdr:sp macro="" textlink="">
        <xdr:nvSpPr>
          <xdr:cNvPr id="25988" name="Freeform 37"/>
          <xdr:cNvSpPr>
            <a:spLocks/>
          </xdr:cNvSpPr>
        </xdr:nvSpPr>
        <xdr:spPr bwMode="auto">
          <a:xfrm>
            <a:off x="329" y="243"/>
            <a:ext cx="20" cy="24"/>
          </a:xfrm>
          <a:custGeom>
            <a:avLst/>
            <a:gdLst>
              <a:gd name="T0" fmla="*/ 0 w 90"/>
              <a:gd name="T1" fmla="*/ 1 h 108"/>
              <a:gd name="T2" fmla="*/ 0 w 90"/>
              <a:gd name="T3" fmla="*/ 1 h 108"/>
              <a:gd name="T4" fmla="*/ 0 w 90"/>
              <a:gd name="T5" fmla="*/ 1 h 108"/>
              <a:gd name="T6" fmla="*/ 0 w 90"/>
              <a:gd name="T7" fmla="*/ 1 h 108"/>
              <a:gd name="T8" fmla="*/ 0 w 90"/>
              <a:gd name="T9" fmla="*/ 1 h 108"/>
              <a:gd name="T10" fmla="*/ 1 w 90"/>
              <a:gd name="T11" fmla="*/ 1 h 108"/>
              <a:gd name="T12" fmla="*/ 1 w 90"/>
              <a:gd name="T13" fmla="*/ 1 h 108"/>
              <a:gd name="T14" fmla="*/ 1 w 90"/>
              <a:gd name="T15" fmla="*/ 1 h 108"/>
              <a:gd name="T16" fmla="*/ 1 w 90"/>
              <a:gd name="T17" fmla="*/ 1 h 108"/>
              <a:gd name="T18" fmla="*/ 0 w 90"/>
              <a:gd name="T19" fmla="*/ 0 h 108"/>
              <a:gd name="T20" fmla="*/ 0 w 90"/>
              <a:gd name="T21" fmla="*/ 0 h 108"/>
              <a:gd name="T22" fmla="*/ 0 w 90"/>
              <a:gd name="T23" fmla="*/ 0 h 108"/>
              <a:gd name="T24" fmla="*/ 0 w 90"/>
              <a:gd name="T25" fmla="*/ 0 h 108"/>
              <a:gd name="T26" fmla="*/ 0 w 90"/>
              <a:gd name="T27" fmla="*/ 1 h 108"/>
              <a:gd name="T28" fmla="*/ 0 w 90"/>
              <a:gd name="T29" fmla="*/ 1 h 108"/>
              <a:gd name="T30" fmla="*/ 0 w 90"/>
              <a:gd name="T31" fmla="*/ 1 h 108"/>
              <a:gd name="T32" fmla="*/ 0 w 90"/>
              <a:gd name="T33" fmla="*/ 1 h 108"/>
              <a:gd name="T34" fmla="*/ 0 60000 65536"/>
              <a:gd name="T35" fmla="*/ 0 60000 65536"/>
              <a:gd name="T36" fmla="*/ 0 60000 65536"/>
              <a:gd name="T37" fmla="*/ 0 60000 65536"/>
              <a:gd name="T38" fmla="*/ 0 60000 65536"/>
              <a:gd name="T39" fmla="*/ 0 60000 65536"/>
              <a:gd name="T40" fmla="*/ 0 60000 65536"/>
              <a:gd name="T41" fmla="*/ 0 60000 65536"/>
              <a:gd name="T42" fmla="*/ 0 60000 65536"/>
              <a:gd name="T43" fmla="*/ 0 60000 65536"/>
              <a:gd name="T44" fmla="*/ 0 60000 65536"/>
              <a:gd name="T45" fmla="*/ 0 60000 65536"/>
              <a:gd name="T46" fmla="*/ 0 60000 65536"/>
              <a:gd name="T47" fmla="*/ 0 60000 65536"/>
              <a:gd name="T48" fmla="*/ 0 60000 65536"/>
              <a:gd name="T49" fmla="*/ 0 60000 65536"/>
              <a:gd name="T50" fmla="*/ 0 60000 65536"/>
              <a:gd name="T51" fmla="*/ 0 w 90"/>
              <a:gd name="T52" fmla="*/ 0 h 108"/>
              <a:gd name="T53" fmla="*/ 90 w 90"/>
              <a:gd name="T54" fmla="*/ 108 h 108"/>
            </a:gdLst>
            <a:ahLst/>
            <a:cxnLst>
              <a:cxn ang="T34">
                <a:pos x="T0" y="T1"/>
              </a:cxn>
              <a:cxn ang="T35">
                <a:pos x="T2" y="T3"/>
              </a:cxn>
              <a:cxn ang="T36">
                <a:pos x="T4" y="T5"/>
              </a:cxn>
              <a:cxn ang="T37">
                <a:pos x="T6" y="T7"/>
              </a:cxn>
              <a:cxn ang="T38">
                <a:pos x="T8" y="T9"/>
              </a:cxn>
              <a:cxn ang="T39">
                <a:pos x="T10" y="T11"/>
              </a:cxn>
              <a:cxn ang="T40">
                <a:pos x="T12" y="T13"/>
              </a:cxn>
              <a:cxn ang="T41">
                <a:pos x="T14" y="T15"/>
              </a:cxn>
              <a:cxn ang="T42">
                <a:pos x="T16" y="T17"/>
              </a:cxn>
              <a:cxn ang="T43">
                <a:pos x="T18" y="T19"/>
              </a:cxn>
              <a:cxn ang="T44">
                <a:pos x="T20" y="T21"/>
              </a:cxn>
              <a:cxn ang="T45">
                <a:pos x="T22" y="T23"/>
              </a:cxn>
              <a:cxn ang="T46">
                <a:pos x="T24" y="T25"/>
              </a:cxn>
              <a:cxn ang="T47">
                <a:pos x="T26" y="T27"/>
              </a:cxn>
              <a:cxn ang="T48">
                <a:pos x="T28" y="T29"/>
              </a:cxn>
              <a:cxn ang="T49">
                <a:pos x="T30" y="T31"/>
              </a:cxn>
              <a:cxn ang="T50">
                <a:pos x="T32" y="T33"/>
              </a:cxn>
            </a:cxnLst>
            <a:rect l="T51" t="T52" r="T53" b="T54"/>
            <a:pathLst>
              <a:path w="90" h="108">
                <a:moveTo>
                  <a:pt x="0" y="86"/>
                </a:moveTo>
                <a:lnTo>
                  <a:pt x="20" y="86"/>
                </a:lnTo>
                <a:lnTo>
                  <a:pt x="20" y="108"/>
                </a:lnTo>
                <a:lnTo>
                  <a:pt x="35" y="108"/>
                </a:lnTo>
                <a:lnTo>
                  <a:pt x="47" y="79"/>
                </a:lnTo>
                <a:lnTo>
                  <a:pt x="57" y="79"/>
                </a:lnTo>
                <a:lnTo>
                  <a:pt x="77" y="99"/>
                </a:lnTo>
                <a:lnTo>
                  <a:pt x="90" y="79"/>
                </a:lnTo>
                <a:lnTo>
                  <a:pt x="77" y="79"/>
                </a:lnTo>
                <a:lnTo>
                  <a:pt x="35" y="22"/>
                </a:lnTo>
                <a:lnTo>
                  <a:pt x="25" y="0"/>
                </a:lnTo>
                <a:lnTo>
                  <a:pt x="20" y="22"/>
                </a:lnTo>
                <a:lnTo>
                  <a:pt x="5" y="32"/>
                </a:lnTo>
                <a:lnTo>
                  <a:pt x="20" y="79"/>
                </a:lnTo>
                <a:lnTo>
                  <a:pt x="0" y="86"/>
                </a:lnTo>
                <a:close/>
              </a:path>
            </a:pathLst>
          </a:custGeom>
          <a:solidFill>
            <a:srgbClr val="558723"/>
          </a:solidFill>
          <a:ln w="9525">
            <a:solidFill>
              <a:srgbClr val="FFFFFF"/>
            </a:solidFill>
            <a:miter lim="800000"/>
            <a:headEnd/>
            <a:tailEnd/>
          </a:ln>
        </xdr:spPr>
        <xdr:txBody>
          <a:bodyPr vertOverflow="clip" wrap="square" lIns="36576" tIns="32004" rIns="0" bIns="0" anchor="t"/>
          <a:lstStyle/>
          <a:p>
            <a:pPr algn="l" rtl="0">
              <a:defRPr sz="1000"/>
            </a:pPr>
            <a:endParaRPr lang="en-US" sz="1600" b="0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 algn="l" rtl="0">
              <a:defRPr sz="1000"/>
            </a:pPr>
            <a:endParaRPr lang="en-US"/>
          </a:p>
        </xdr:txBody>
      </xdr:sp>
      <xdr:sp macro="" textlink="">
        <xdr:nvSpPr>
          <xdr:cNvPr id="25989" name="Freeform 38"/>
          <xdr:cNvSpPr>
            <a:spLocks/>
          </xdr:cNvSpPr>
        </xdr:nvSpPr>
        <xdr:spPr bwMode="auto">
          <a:xfrm>
            <a:off x="358" y="225"/>
            <a:ext cx="7" cy="10"/>
          </a:xfrm>
          <a:custGeom>
            <a:avLst/>
            <a:gdLst>
              <a:gd name="T0" fmla="*/ 0 w 30"/>
              <a:gd name="T1" fmla="*/ 0 h 45"/>
              <a:gd name="T2" fmla="*/ 0 w 30"/>
              <a:gd name="T3" fmla="*/ 0 h 45"/>
              <a:gd name="T4" fmla="*/ 0 w 30"/>
              <a:gd name="T5" fmla="*/ 0 h 45"/>
              <a:gd name="T6" fmla="*/ 0 w 30"/>
              <a:gd name="T7" fmla="*/ 0 h 45"/>
              <a:gd name="T8" fmla="*/ 0 w 30"/>
              <a:gd name="T9" fmla="*/ 0 h 45"/>
              <a:gd name="T10" fmla="*/ 0 w 30"/>
              <a:gd name="T11" fmla="*/ 0 h 45"/>
              <a:gd name="T12" fmla="*/ 0 w 30"/>
              <a:gd name="T13" fmla="*/ 0 h 45"/>
              <a:gd name="T14" fmla="*/ 0 w 30"/>
              <a:gd name="T15" fmla="*/ 0 h 45"/>
              <a:gd name="T16" fmla="*/ 0 w 30"/>
              <a:gd name="T17" fmla="*/ 0 h 45"/>
              <a:gd name="T18" fmla="*/ 0 60000 65536"/>
              <a:gd name="T19" fmla="*/ 0 60000 65536"/>
              <a:gd name="T20" fmla="*/ 0 60000 65536"/>
              <a:gd name="T21" fmla="*/ 0 60000 65536"/>
              <a:gd name="T22" fmla="*/ 0 60000 65536"/>
              <a:gd name="T23" fmla="*/ 0 60000 65536"/>
              <a:gd name="T24" fmla="*/ 0 60000 65536"/>
              <a:gd name="T25" fmla="*/ 0 60000 65536"/>
              <a:gd name="T26" fmla="*/ 0 60000 65536"/>
              <a:gd name="T27" fmla="*/ 0 w 30"/>
              <a:gd name="T28" fmla="*/ 0 h 45"/>
              <a:gd name="T29" fmla="*/ 30 w 30"/>
              <a:gd name="T30" fmla="*/ 45 h 45"/>
            </a:gdLst>
            <a:ahLst/>
            <a:cxnLst>
              <a:cxn ang="T18">
                <a:pos x="T0" y="T1"/>
              </a:cxn>
              <a:cxn ang="T19">
                <a:pos x="T2" y="T3"/>
              </a:cxn>
              <a:cxn ang="T20">
                <a:pos x="T4" y="T5"/>
              </a:cxn>
              <a:cxn ang="T21">
                <a:pos x="T6" y="T7"/>
              </a:cxn>
              <a:cxn ang="T22">
                <a:pos x="T8" y="T9"/>
              </a:cxn>
              <a:cxn ang="T23">
                <a:pos x="T10" y="T11"/>
              </a:cxn>
              <a:cxn ang="T24">
                <a:pos x="T12" y="T13"/>
              </a:cxn>
              <a:cxn ang="T25">
                <a:pos x="T14" y="T15"/>
              </a:cxn>
              <a:cxn ang="T26">
                <a:pos x="T16" y="T17"/>
              </a:cxn>
            </a:cxnLst>
            <a:rect l="T27" t="T28" r="T29" b="T30"/>
            <a:pathLst>
              <a:path w="30" h="45">
                <a:moveTo>
                  <a:pt x="0" y="28"/>
                </a:moveTo>
                <a:lnTo>
                  <a:pt x="0" y="45"/>
                </a:lnTo>
                <a:lnTo>
                  <a:pt x="23" y="37"/>
                </a:lnTo>
                <a:lnTo>
                  <a:pt x="30" y="28"/>
                </a:lnTo>
                <a:lnTo>
                  <a:pt x="30" y="0"/>
                </a:lnTo>
                <a:lnTo>
                  <a:pt x="8" y="0"/>
                </a:lnTo>
                <a:lnTo>
                  <a:pt x="0" y="28"/>
                </a:lnTo>
                <a:close/>
              </a:path>
            </a:pathLst>
          </a:custGeom>
          <a:solidFill>
            <a:srgbClr val="558723"/>
          </a:solidFill>
          <a:ln w="9525">
            <a:solidFill>
              <a:srgbClr val="FFFFFF"/>
            </a:solidFill>
            <a:miter lim="800000"/>
            <a:headEnd/>
            <a:tailEnd/>
          </a:ln>
        </xdr:spPr>
        <xdr:txBody>
          <a:bodyPr vertOverflow="clip" wrap="square" lIns="36576" tIns="32004" rIns="0" bIns="0" anchor="t"/>
          <a:lstStyle/>
          <a:p>
            <a:pPr algn="l" rtl="0">
              <a:defRPr sz="1000"/>
            </a:pPr>
            <a:endParaRPr lang="en-US" sz="1600" b="0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 algn="l" rtl="0">
              <a:defRPr sz="1000"/>
            </a:pPr>
            <a:endParaRPr lang="en-US"/>
          </a:p>
        </xdr:txBody>
      </xdr:sp>
      <xdr:sp macro="" textlink="">
        <xdr:nvSpPr>
          <xdr:cNvPr id="25990" name="Freeform 39"/>
          <xdr:cNvSpPr>
            <a:spLocks/>
          </xdr:cNvSpPr>
        </xdr:nvSpPr>
        <xdr:spPr bwMode="auto">
          <a:xfrm>
            <a:off x="329" y="243"/>
            <a:ext cx="20" cy="24"/>
          </a:xfrm>
          <a:custGeom>
            <a:avLst/>
            <a:gdLst>
              <a:gd name="T0" fmla="*/ 0 w 90"/>
              <a:gd name="T1" fmla="*/ 1 h 108"/>
              <a:gd name="T2" fmla="*/ 0 w 90"/>
              <a:gd name="T3" fmla="*/ 1 h 108"/>
              <a:gd name="T4" fmla="*/ 0 w 90"/>
              <a:gd name="T5" fmla="*/ 1 h 108"/>
              <a:gd name="T6" fmla="*/ 0 w 90"/>
              <a:gd name="T7" fmla="*/ 1 h 108"/>
              <a:gd name="T8" fmla="*/ 0 w 90"/>
              <a:gd name="T9" fmla="*/ 1 h 108"/>
              <a:gd name="T10" fmla="*/ 1 w 90"/>
              <a:gd name="T11" fmla="*/ 1 h 108"/>
              <a:gd name="T12" fmla="*/ 1 w 90"/>
              <a:gd name="T13" fmla="*/ 1 h 108"/>
              <a:gd name="T14" fmla="*/ 1 w 90"/>
              <a:gd name="T15" fmla="*/ 1 h 108"/>
              <a:gd name="T16" fmla="*/ 1 w 90"/>
              <a:gd name="T17" fmla="*/ 1 h 108"/>
              <a:gd name="T18" fmla="*/ 0 w 90"/>
              <a:gd name="T19" fmla="*/ 0 h 108"/>
              <a:gd name="T20" fmla="*/ 0 w 90"/>
              <a:gd name="T21" fmla="*/ 0 h 108"/>
              <a:gd name="T22" fmla="*/ 0 w 90"/>
              <a:gd name="T23" fmla="*/ 0 h 108"/>
              <a:gd name="T24" fmla="*/ 0 w 90"/>
              <a:gd name="T25" fmla="*/ 0 h 108"/>
              <a:gd name="T26" fmla="*/ 0 w 90"/>
              <a:gd name="T27" fmla="*/ 1 h 108"/>
              <a:gd name="T28" fmla="*/ 0 w 90"/>
              <a:gd name="T29" fmla="*/ 1 h 108"/>
              <a:gd name="T30" fmla="*/ 0 w 90"/>
              <a:gd name="T31" fmla="*/ 1 h 108"/>
              <a:gd name="T32" fmla="*/ 0 w 90"/>
              <a:gd name="T33" fmla="*/ 1 h 108"/>
              <a:gd name="T34" fmla="*/ 0 60000 65536"/>
              <a:gd name="T35" fmla="*/ 0 60000 65536"/>
              <a:gd name="T36" fmla="*/ 0 60000 65536"/>
              <a:gd name="T37" fmla="*/ 0 60000 65536"/>
              <a:gd name="T38" fmla="*/ 0 60000 65536"/>
              <a:gd name="T39" fmla="*/ 0 60000 65536"/>
              <a:gd name="T40" fmla="*/ 0 60000 65536"/>
              <a:gd name="T41" fmla="*/ 0 60000 65536"/>
              <a:gd name="T42" fmla="*/ 0 60000 65536"/>
              <a:gd name="T43" fmla="*/ 0 60000 65536"/>
              <a:gd name="T44" fmla="*/ 0 60000 65536"/>
              <a:gd name="T45" fmla="*/ 0 60000 65536"/>
              <a:gd name="T46" fmla="*/ 0 60000 65536"/>
              <a:gd name="T47" fmla="*/ 0 60000 65536"/>
              <a:gd name="T48" fmla="*/ 0 60000 65536"/>
              <a:gd name="T49" fmla="*/ 0 60000 65536"/>
              <a:gd name="T50" fmla="*/ 0 60000 65536"/>
              <a:gd name="T51" fmla="*/ 0 w 90"/>
              <a:gd name="T52" fmla="*/ 0 h 108"/>
              <a:gd name="T53" fmla="*/ 90 w 90"/>
              <a:gd name="T54" fmla="*/ 108 h 108"/>
            </a:gdLst>
            <a:ahLst/>
            <a:cxnLst>
              <a:cxn ang="T34">
                <a:pos x="T0" y="T1"/>
              </a:cxn>
              <a:cxn ang="T35">
                <a:pos x="T2" y="T3"/>
              </a:cxn>
              <a:cxn ang="T36">
                <a:pos x="T4" y="T5"/>
              </a:cxn>
              <a:cxn ang="T37">
                <a:pos x="T6" y="T7"/>
              </a:cxn>
              <a:cxn ang="T38">
                <a:pos x="T8" y="T9"/>
              </a:cxn>
              <a:cxn ang="T39">
                <a:pos x="T10" y="T11"/>
              </a:cxn>
              <a:cxn ang="T40">
                <a:pos x="T12" y="T13"/>
              </a:cxn>
              <a:cxn ang="T41">
                <a:pos x="T14" y="T15"/>
              </a:cxn>
              <a:cxn ang="T42">
                <a:pos x="T16" y="T17"/>
              </a:cxn>
              <a:cxn ang="T43">
                <a:pos x="T18" y="T19"/>
              </a:cxn>
              <a:cxn ang="T44">
                <a:pos x="T20" y="T21"/>
              </a:cxn>
              <a:cxn ang="T45">
                <a:pos x="T22" y="T23"/>
              </a:cxn>
              <a:cxn ang="T46">
                <a:pos x="T24" y="T25"/>
              </a:cxn>
              <a:cxn ang="T47">
                <a:pos x="T26" y="T27"/>
              </a:cxn>
              <a:cxn ang="T48">
                <a:pos x="T28" y="T29"/>
              </a:cxn>
              <a:cxn ang="T49">
                <a:pos x="T30" y="T31"/>
              </a:cxn>
              <a:cxn ang="T50">
                <a:pos x="T32" y="T33"/>
              </a:cxn>
            </a:cxnLst>
            <a:rect l="T51" t="T52" r="T53" b="T54"/>
            <a:pathLst>
              <a:path w="90" h="108">
                <a:moveTo>
                  <a:pt x="0" y="86"/>
                </a:moveTo>
                <a:lnTo>
                  <a:pt x="20" y="86"/>
                </a:lnTo>
                <a:lnTo>
                  <a:pt x="20" y="108"/>
                </a:lnTo>
                <a:lnTo>
                  <a:pt x="35" y="108"/>
                </a:lnTo>
                <a:lnTo>
                  <a:pt x="47" y="79"/>
                </a:lnTo>
                <a:lnTo>
                  <a:pt x="57" y="79"/>
                </a:lnTo>
                <a:lnTo>
                  <a:pt x="77" y="99"/>
                </a:lnTo>
                <a:lnTo>
                  <a:pt x="90" y="79"/>
                </a:lnTo>
                <a:lnTo>
                  <a:pt x="77" y="79"/>
                </a:lnTo>
                <a:lnTo>
                  <a:pt x="35" y="22"/>
                </a:lnTo>
                <a:lnTo>
                  <a:pt x="25" y="0"/>
                </a:lnTo>
                <a:lnTo>
                  <a:pt x="20" y="22"/>
                </a:lnTo>
                <a:lnTo>
                  <a:pt x="5" y="32"/>
                </a:lnTo>
                <a:lnTo>
                  <a:pt x="20" y="79"/>
                </a:lnTo>
                <a:lnTo>
                  <a:pt x="0" y="86"/>
                </a:lnTo>
                <a:close/>
              </a:path>
            </a:pathLst>
          </a:custGeom>
          <a:solidFill>
            <a:srgbClr val="558723"/>
          </a:solidFill>
          <a:ln w="9525">
            <a:solidFill>
              <a:srgbClr val="FFFFFF"/>
            </a:solidFill>
            <a:miter lim="800000"/>
            <a:headEnd/>
            <a:tailEnd/>
          </a:ln>
        </xdr:spPr>
        <xdr:txBody>
          <a:bodyPr vertOverflow="clip" wrap="square" lIns="36576" tIns="32004" rIns="0" bIns="0" anchor="t"/>
          <a:lstStyle/>
          <a:p>
            <a:pPr algn="l" rtl="0">
              <a:defRPr sz="1000"/>
            </a:pPr>
            <a:endParaRPr lang="en-US" sz="1600" b="0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 algn="l" rtl="0">
              <a:defRPr sz="1000"/>
            </a:pPr>
            <a:endParaRPr lang="en-US"/>
          </a:p>
        </xdr:txBody>
      </xdr:sp>
    </xdr:grpSp>
    <xdr:clientData/>
  </xdr:twoCellAnchor>
  <xdr:twoCellAnchor>
    <xdr:from>
      <xdr:col>6</xdr:col>
      <xdr:colOff>381000</xdr:colOff>
      <xdr:row>34</xdr:row>
      <xdr:rowOff>95250</xdr:rowOff>
    </xdr:from>
    <xdr:to>
      <xdr:col>6</xdr:col>
      <xdr:colOff>600075</xdr:colOff>
      <xdr:row>43</xdr:row>
      <xdr:rowOff>114300</xdr:rowOff>
    </xdr:to>
    <xdr:grpSp>
      <xdr:nvGrpSpPr>
        <xdr:cNvPr id="25747" name="S_CHL"/>
        <xdr:cNvGrpSpPr>
          <a:grpSpLocks/>
        </xdr:cNvGrpSpPr>
      </xdr:nvGrpSpPr>
      <xdr:grpSpPr bwMode="auto">
        <a:xfrm>
          <a:off x="4123765" y="5754221"/>
          <a:ext cx="219075" cy="1430991"/>
          <a:chOff x="364" y="584"/>
          <a:chExt cx="23" cy="155"/>
        </a:xfrm>
      </xdr:grpSpPr>
      <xdr:sp macro="" textlink="">
        <xdr:nvSpPr>
          <xdr:cNvPr id="25965" name="Freeform 40"/>
          <xdr:cNvSpPr>
            <a:spLocks/>
          </xdr:cNvSpPr>
        </xdr:nvSpPr>
        <xdr:spPr bwMode="auto">
          <a:xfrm>
            <a:off x="364" y="584"/>
            <a:ext cx="23" cy="145"/>
          </a:xfrm>
          <a:custGeom>
            <a:avLst/>
            <a:gdLst>
              <a:gd name="T0" fmla="*/ 4 w 107"/>
              <a:gd name="T1" fmla="*/ 0 h 661"/>
              <a:gd name="T2" fmla="*/ 5 w 107"/>
              <a:gd name="T3" fmla="*/ 4 h 661"/>
              <a:gd name="T4" fmla="*/ 5 w 107"/>
              <a:gd name="T5" fmla="*/ 5 h 661"/>
              <a:gd name="T6" fmla="*/ 5 w 107"/>
              <a:gd name="T7" fmla="*/ 7 h 661"/>
              <a:gd name="T8" fmla="*/ 3 w 107"/>
              <a:gd name="T9" fmla="*/ 12 h 661"/>
              <a:gd name="T10" fmla="*/ 3 w 107"/>
              <a:gd name="T11" fmla="*/ 14 h 661"/>
              <a:gd name="T12" fmla="*/ 3 w 107"/>
              <a:gd name="T13" fmla="*/ 16 h 661"/>
              <a:gd name="T14" fmla="*/ 2 w 107"/>
              <a:gd name="T15" fmla="*/ 22 h 661"/>
              <a:gd name="T16" fmla="*/ 2 w 107"/>
              <a:gd name="T17" fmla="*/ 24 h 661"/>
              <a:gd name="T18" fmla="*/ 2 w 107"/>
              <a:gd name="T19" fmla="*/ 26 h 661"/>
              <a:gd name="T20" fmla="*/ 1 w 107"/>
              <a:gd name="T21" fmla="*/ 29 h 661"/>
              <a:gd name="T22" fmla="*/ 2 w 107"/>
              <a:gd name="T23" fmla="*/ 30 h 661"/>
              <a:gd name="T24" fmla="*/ 4 w 107"/>
              <a:gd name="T25" fmla="*/ 30 h 661"/>
              <a:gd name="T26" fmla="*/ 4 w 107"/>
              <a:gd name="T27" fmla="*/ 31 h 661"/>
              <a:gd name="T28" fmla="*/ 3 w 107"/>
              <a:gd name="T29" fmla="*/ 32 h 661"/>
              <a:gd name="T30" fmla="*/ 2 w 107"/>
              <a:gd name="T31" fmla="*/ 31 h 661"/>
              <a:gd name="T32" fmla="*/ 3 w 107"/>
              <a:gd name="T33" fmla="*/ 31 h 661"/>
              <a:gd name="T34" fmla="*/ 1 w 107"/>
              <a:gd name="T35" fmla="*/ 31 h 661"/>
              <a:gd name="T36" fmla="*/ 1 w 107"/>
              <a:gd name="T37" fmla="*/ 31 h 661"/>
              <a:gd name="T38" fmla="*/ 0 w 107"/>
              <a:gd name="T39" fmla="*/ 31 h 661"/>
              <a:gd name="T40" fmla="*/ 0 w 107"/>
              <a:gd name="T41" fmla="*/ 30 h 661"/>
              <a:gd name="T42" fmla="*/ 0 w 107"/>
              <a:gd name="T43" fmla="*/ 29 h 661"/>
              <a:gd name="T44" fmla="*/ 0 w 107"/>
              <a:gd name="T45" fmla="*/ 30 h 661"/>
              <a:gd name="T46" fmla="*/ 0 w 107"/>
              <a:gd name="T47" fmla="*/ 28 h 661"/>
              <a:gd name="T48" fmla="*/ 0 w 107"/>
              <a:gd name="T49" fmla="*/ 27 h 661"/>
              <a:gd name="T50" fmla="*/ 0 w 107"/>
              <a:gd name="T51" fmla="*/ 26 h 661"/>
              <a:gd name="T52" fmla="*/ 0 w 107"/>
              <a:gd name="T53" fmla="*/ 26 h 661"/>
              <a:gd name="T54" fmla="*/ 0 w 107"/>
              <a:gd name="T55" fmla="*/ 24 h 661"/>
              <a:gd name="T56" fmla="*/ 0 w 107"/>
              <a:gd name="T57" fmla="*/ 23 h 661"/>
              <a:gd name="T58" fmla="*/ 0 w 107"/>
              <a:gd name="T59" fmla="*/ 22 h 661"/>
              <a:gd name="T60" fmla="*/ 1 w 107"/>
              <a:gd name="T61" fmla="*/ 22 h 661"/>
              <a:gd name="T62" fmla="*/ 2 w 107"/>
              <a:gd name="T63" fmla="*/ 20 h 661"/>
              <a:gd name="T64" fmla="*/ 1 w 107"/>
              <a:gd name="T65" fmla="*/ 19 h 661"/>
              <a:gd name="T66" fmla="*/ 1 w 107"/>
              <a:gd name="T67" fmla="*/ 17 h 661"/>
              <a:gd name="T68" fmla="*/ 1 w 107"/>
              <a:gd name="T69" fmla="*/ 16 h 661"/>
              <a:gd name="T70" fmla="*/ 2 w 107"/>
              <a:gd name="T71" fmla="*/ 10 h 661"/>
              <a:gd name="T72" fmla="*/ 3 w 107"/>
              <a:gd name="T73" fmla="*/ 4 h 661"/>
              <a:gd name="T74" fmla="*/ 3 w 107"/>
              <a:gd name="T75" fmla="*/ 0 h 661"/>
              <a:gd name="T76" fmla="*/ 3 w 107"/>
              <a:gd name="T77" fmla="*/ 0 h 661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60000 65536"/>
              <a:gd name="T106" fmla="*/ 0 60000 65536"/>
              <a:gd name="T107" fmla="*/ 0 60000 65536"/>
              <a:gd name="T108" fmla="*/ 0 60000 65536"/>
              <a:gd name="T109" fmla="*/ 0 60000 65536"/>
              <a:gd name="T110" fmla="*/ 0 60000 65536"/>
              <a:gd name="T111" fmla="*/ 0 60000 65536"/>
              <a:gd name="T112" fmla="*/ 0 60000 65536"/>
              <a:gd name="T113" fmla="*/ 0 60000 65536"/>
              <a:gd name="T114" fmla="*/ 0 60000 65536"/>
              <a:gd name="T115" fmla="*/ 0 60000 65536"/>
              <a:gd name="T116" fmla="*/ 0 60000 65536"/>
              <a:gd name="T117" fmla="*/ 0 w 107"/>
              <a:gd name="T118" fmla="*/ 0 h 661"/>
              <a:gd name="T119" fmla="*/ 107 w 107"/>
              <a:gd name="T120" fmla="*/ 661 h 661"/>
            </a:gdLst>
            <a:ahLst/>
            <a:cxnLst>
              <a:cxn ang="T78">
                <a:pos x="T0" y="T1"/>
              </a:cxn>
              <a:cxn ang="T79">
                <a:pos x="T2" y="T3"/>
              </a:cxn>
              <a:cxn ang="T80">
                <a:pos x="T4" y="T5"/>
              </a:cxn>
              <a:cxn ang="T81">
                <a:pos x="T6" y="T7"/>
              </a:cxn>
              <a:cxn ang="T82">
                <a:pos x="T8" y="T9"/>
              </a:cxn>
              <a:cxn ang="T83">
                <a:pos x="T10" y="T11"/>
              </a:cxn>
              <a:cxn ang="T84">
                <a:pos x="T12" y="T13"/>
              </a:cxn>
              <a:cxn ang="T85">
                <a:pos x="T14" y="T15"/>
              </a:cxn>
              <a:cxn ang="T86">
                <a:pos x="T16" y="T17"/>
              </a:cxn>
              <a:cxn ang="T87">
                <a:pos x="T18" y="T19"/>
              </a:cxn>
              <a:cxn ang="T88">
                <a:pos x="T20" y="T21"/>
              </a:cxn>
              <a:cxn ang="T89">
                <a:pos x="T22" y="T23"/>
              </a:cxn>
              <a:cxn ang="T90">
                <a:pos x="T24" y="T25"/>
              </a:cxn>
              <a:cxn ang="T91">
                <a:pos x="T26" y="T27"/>
              </a:cxn>
              <a:cxn ang="T92">
                <a:pos x="T28" y="T29"/>
              </a:cxn>
              <a:cxn ang="T93">
                <a:pos x="T30" y="T31"/>
              </a:cxn>
              <a:cxn ang="T94">
                <a:pos x="T32" y="T33"/>
              </a:cxn>
              <a:cxn ang="T95">
                <a:pos x="T34" y="T35"/>
              </a:cxn>
              <a:cxn ang="T96">
                <a:pos x="T36" y="T37"/>
              </a:cxn>
              <a:cxn ang="T97">
                <a:pos x="T38" y="T39"/>
              </a:cxn>
              <a:cxn ang="T98">
                <a:pos x="T40" y="T41"/>
              </a:cxn>
              <a:cxn ang="T99">
                <a:pos x="T42" y="T43"/>
              </a:cxn>
              <a:cxn ang="T100">
                <a:pos x="T44" y="T45"/>
              </a:cxn>
              <a:cxn ang="T101">
                <a:pos x="T46" y="T47"/>
              </a:cxn>
              <a:cxn ang="T102">
                <a:pos x="T48" y="T49"/>
              </a:cxn>
              <a:cxn ang="T103">
                <a:pos x="T50" y="T51"/>
              </a:cxn>
              <a:cxn ang="T104">
                <a:pos x="T52" y="T53"/>
              </a:cxn>
              <a:cxn ang="T105">
                <a:pos x="T54" y="T55"/>
              </a:cxn>
              <a:cxn ang="T106">
                <a:pos x="T56" y="T57"/>
              </a:cxn>
              <a:cxn ang="T107">
                <a:pos x="T58" y="T59"/>
              </a:cxn>
              <a:cxn ang="T108">
                <a:pos x="T60" y="T61"/>
              </a:cxn>
              <a:cxn ang="T109">
                <a:pos x="T62" y="T63"/>
              </a:cxn>
              <a:cxn ang="T110">
                <a:pos x="T64" y="T65"/>
              </a:cxn>
              <a:cxn ang="T111">
                <a:pos x="T66" y="T67"/>
              </a:cxn>
              <a:cxn ang="T112">
                <a:pos x="T68" y="T69"/>
              </a:cxn>
              <a:cxn ang="T113">
                <a:pos x="T70" y="T71"/>
              </a:cxn>
              <a:cxn ang="T114">
                <a:pos x="T72" y="T73"/>
              </a:cxn>
              <a:cxn ang="T115">
                <a:pos x="T74" y="T75"/>
              </a:cxn>
              <a:cxn ang="T116">
                <a:pos x="T76" y="T77"/>
              </a:cxn>
            </a:cxnLst>
            <a:rect l="T117" t="T118" r="T119" b="T120"/>
            <a:pathLst>
              <a:path w="107" h="661">
                <a:moveTo>
                  <a:pt x="63" y="7"/>
                </a:moveTo>
                <a:lnTo>
                  <a:pt x="85" y="0"/>
                </a:lnTo>
                <a:lnTo>
                  <a:pt x="94" y="22"/>
                </a:lnTo>
                <a:lnTo>
                  <a:pt x="99" y="83"/>
                </a:lnTo>
                <a:lnTo>
                  <a:pt x="107" y="83"/>
                </a:lnTo>
                <a:lnTo>
                  <a:pt x="107" y="98"/>
                </a:lnTo>
                <a:lnTo>
                  <a:pt x="94" y="103"/>
                </a:lnTo>
                <a:lnTo>
                  <a:pt x="99" y="135"/>
                </a:lnTo>
                <a:lnTo>
                  <a:pt x="63" y="217"/>
                </a:lnTo>
                <a:lnTo>
                  <a:pt x="72" y="256"/>
                </a:lnTo>
                <a:lnTo>
                  <a:pt x="63" y="286"/>
                </a:lnTo>
                <a:lnTo>
                  <a:pt x="63" y="299"/>
                </a:lnTo>
                <a:lnTo>
                  <a:pt x="57" y="308"/>
                </a:lnTo>
                <a:lnTo>
                  <a:pt x="57" y="343"/>
                </a:lnTo>
                <a:lnTo>
                  <a:pt x="52" y="368"/>
                </a:lnTo>
                <a:lnTo>
                  <a:pt x="52" y="457"/>
                </a:lnTo>
                <a:lnTo>
                  <a:pt x="57" y="457"/>
                </a:lnTo>
                <a:lnTo>
                  <a:pt x="52" y="501"/>
                </a:lnTo>
                <a:lnTo>
                  <a:pt x="42" y="526"/>
                </a:lnTo>
                <a:lnTo>
                  <a:pt x="42" y="540"/>
                </a:lnTo>
                <a:lnTo>
                  <a:pt x="28" y="572"/>
                </a:lnTo>
                <a:lnTo>
                  <a:pt x="28" y="594"/>
                </a:lnTo>
                <a:lnTo>
                  <a:pt x="42" y="585"/>
                </a:lnTo>
                <a:lnTo>
                  <a:pt x="42" y="617"/>
                </a:lnTo>
                <a:lnTo>
                  <a:pt x="52" y="622"/>
                </a:lnTo>
                <a:lnTo>
                  <a:pt x="94" y="622"/>
                </a:lnTo>
                <a:lnTo>
                  <a:pt x="94" y="639"/>
                </a:lnTo>
                <a:lnTo>
                  <a:pt x="85" y="639"/>
                </a:lnTo>
                <a:lnTo>
                  <a:pt x="63" y="646"/>
                </a:lnTo>
                <a:lnTo>
                  <a:pt x="63" y="661"/>
                </a:lnTo>
                <a:lnTo>
                  <a:pt x="57" y="661"/>
                </a:lnTo>
                <a:lnTo>
                  <a:pt x="52" y="654"/>
                </a:lnTo>
                <a:lnTo>
                  <a:pt x="57" y="654"/>
                </a:lnTo>
                <a:lnTo>
                  <a:pt x="57" y="646"/>
                </a:lnTo>
                <a:lnTo>
                  <a:pt x="42" y="654"/>
                </a:lnTo>
                <a:lnTo>
                  <a:pt x="28" y="646"/>
                </a:lnTo>
                <a:lnTo>
                  <a:pt x="28" y="639"/>
                </a:lnTo>
                <a:lnTo>
                  <a:pt x="20" y="639"/>
                </a:lnTo>
                <a:lnTo>
                  <a:pt x="11" y="622"/>
                </a:lnTo>
                <a:lnTo>
                  <a:pt x="11" y="639"/>
                </a:lnTo>
                <a:lnTo>
                  <a:pt x="6" y="622"/>
                </a:lnTo>
                <a:lnTo>
                  <a:pt x="6" y="617"/>
                </a:lnTo>
                <a:lnTo>
                  <a:pt x="11" y="610"/>
                </a:lnTo>
                <a:lnTo>
                  <a:pt x="11" y="594"/>
                </a:lnTo>
                <a:lnTo>
                  <a:pt x="11" y="610"/>
                </a:lnTo>
                <a:lnTo>
                  <a:pt x="6" y="617"/>
                </a:lnTo>
                <a:lnTo>
                  <a:pt x="11" y="610"/>
                </a:lnTo>
                <a:lnTo>
                  <a:pt x="11" y="578"/>
                </a:lnTo>
                <a:lnTo>
                  <a:pt x="6" y="578"/>
                </a:lnTo>
                <a:lnTo>
                  <a:pt x="0" y="572"/>
                </a:lnTo>
                <a:lnTo>
                  <a:pt x="0" y="563"/>
                </a:lnTo>
                <a:lnTo>
                  <a:pt x="6" y="533"/>
                </a:lnTo>
                <a:lnTo>
                  <a:pt x="6" y="526"/>
                </a:lnTo>
                <a:lnTo>
                  <a:pt x="11" y="540"/>
                </a:lnTo>
                <a:lnTo>
                  <a:pt x="20" y="518"/>
                </a:lnTo>
                <a:lnTo>
                  <a:pt x="6" y="501"/>
                </a:lnTo>
                <a:lnTo>
                  <a:pt x="0" y="501"/>
                </a:lnTo>
                <a:lnTo>
                  <a:pt x="6" y="488"/>
                </a:lnTo>
                <a:lnTo>
                  <a:pt x="11" y="488"/>
                </a:lnTo>
                <a:lnTo>
                  <a:pt x="11" y="457"/>
                </a:lnTo>
                <a:lnTo>
                  <a:pt x="20" y="451"/>
                </a:lnTo>
                <a:lnTo>
                  <a:pt x="20" y="464"/>
                </a:lnTo>
                <a:lnTo>
                  <a:pt x="42" y="412"/>
                </a:lnTo>
                <a:lnTo>
                  <a:pt x="42" y="405"/>
                </a:lnTo>
                <a:lnTo>
                  <a:pt x="28" y="405"/>
                </a:lnTo>
                <a:lnTo>
                  <a:pt x="20" y="399"/>
                </a:lnTo>
                <a:lnTo>
                  <a:pt x="20" y="368"/>
                </a:lnTo>
                <a:lnTo>
                  <a:pt x="28" y="353"/>
                </a:lnTo>
                <a:lnTo>
                  <a:pt x="20" y="331"/>
                </a:lnTo>
                <a:lnTo>
                  <a:pt x="28" y="323"/>
                </a:lnTo>
                <a:lnTo>
                  <a:pt x="57" y="232"/>
                </a:lnTo>
                <a:lnTo>
                  <a:pt x="52" y="210"/>
                </a:lnTo>
                <a:lnTo>
                  <a:pt x="57" y="195"/>
                </a:lnTo>
                <a:lnTo>
                  <a:pt x="63" y="83"/>
                </a:lnTo>
                <a:lnTo>
                  <a:pt x="72" y="52"/>
                </a:lnTo>
                <a:lnTo>
                  <a:pt x="63" y="7"/>
                </a:lnTo>
                <a:close/>
              </a:path>
            </a:pathLst>
          </a:custGeom>
          <a:solidFill>
            <a:srgbClr val="F5F5F5"/>
          </a:solidFill>
          <a:ln w="9525">
            <a:solidFill>
              <a:srgbClr val="FFFFFF"/>
            </a:solidFill>
            <a:miter lim="800000"/>
            <a:headEnd/>
            <a:tailEnd/>
          </a:ln>
        </xdr:spPr>
        <xdr:txBody>
          <a:bodyPr vertOverflow="clip" wrap="square" lIns="36576" tIns="32004" rIns="0" bIns="0" anchor="t"/>
          <a:lstStyle/>
          <a:p>
            <a:pPr algn="l" rtl="0">
              <a:defRPr sz="1000"/>
            </a:pPr>
            <a:endParaRPr lang="en-US" sz="1600" b="0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 algn="l" rtl="0">
              <a:defRPr sz="1000"/>
            </a:pPr>
            <a:endParaRPr lang="en-US"/>
          </a:p>
        </xdr:txBody>
      </xdr:sp>
      <xdr:sp macro="" textlink="">
        <xdr:nvSpPr>
          <xdr:cNvPr id="25966" name="Freeform 41"/>
          <xdr:cNvSpPr>
            <a:spLocks/>
          </xdr:cNvSpPr>
        </xdr:nvSpPr>
        <xdr:spPr bwMode="auto">
          <a:xfrm>
            <a:off x="368" y="724"/>
            <a:ext cx="15" cy="15"/>
          </a:xfrm>
          <a:custGeom>
            <a:avLst/>
            <a:gdLst>
              <a:gd name="T0" fmla="*/ 3 w 70"/>
              <a:gd name="T1" fmla="*/ 3 h 67"/>
              <a:gd name="T2" fmla="*/ 3 w 70"/>
              <a:gd name="T3" fmla="*/ 0 h 67"/>
              <a:gd name="T4" fmla="*/ 2 w 70"/>
              <a:gd name="T5" fmla="*/ 0 h 67"/>
              <a:gd name="T6" fmla="*/ 2 w 70"/>
              <a:gd name="T7" fmla="*/ 1 h 67"/>
              <a:gd name="T8" fmla="*/ 2 w 70"/>
              <a:gd name="T9" fmla="*/ 2 h 67"/>
              <a:gd name="T10" fmla="*/ 2 w 70"/>
              <a:gd name="T11" fmla="*/ 2 h 67"/>
              <a:gd name="T12" fmla="*/ 0 w 70"/>
              <a:gd name="T13" fmla="*/ 1 h 67"/>
              <a:gd name="T14" fmla="*/ 0 w 70"/>
              <a:gd name="T15" fmla="*/ 1 h 67"/>
              <a:gd name="T16" fmla="*/ 0 w 70"/>
              <a:gd name="T17" fmla="*/ 2 h 67"/>
              <a:gd name="T18" fmla="*/ 1 w 70"/>
              <a:gd name="T19" fmla="*/ 2 h 67"/>
              <a:gd name="T20" fmla="*/ 1 w 70"/>
              <a:gd name="T21" fmla="*/ 2 h 67"/>
              <a:gd name="T22" fmla="*/ 1 w 70"/>
              <a:gd name="T23" fmla="*/ 2 h 67"/>
              <a:gd name="T24" fmla="*/ 1 w 70"/>
              <a:gd name="T25" fmla="*/ 3 h 67"/>
              <a:gd name="T26" fmla="*/ 2 w 70"/>
              <a:gd name="T27" fmla="*/ 3 h 67"/>
              <a:gd name="T28" fmla="*/ 2 w 70"/>
              <a:gd name="T29" fmla="*/ 3 h 67"/>
              <a:gd name="T30" fmla="*/ 3 w 70"/>
              <a:gd name="T31" fmla="*/ 3 h 67"/>
              <a:gd name="T32" fmla="*/ 3 w 70"/>
              <a:gd name="T33" fmla="*/ 3 h 67"/>
              <a:gd name="T34" fmla="*/ 3 w 70"/>
              <a:gd name="T35" fmla="*/ 3 h 67"/>
              <a:gd name="T36" fmla="*/ 3 w 70"/>
              <a:gd name="T37" fmla="*/ 3 h 67"/>
              <a:gd name="T38" fmla="*/ 0 60000 65536"/>
              <a:gd name="T39" fmla="*/ 0 60000 65536"/>
              <a:gd name="T40" fmla="*/ 0 60000 65536"/>
              <a:gd name="T41" fmla="*/ 0 60000 65536"/>
              <a:gd name="T42" fmla="*/ 0 60000 65536"/>
              <a:gd name="T43" fmla="*/ 0 60000 65536"/>
              <a:gd name="T44" fmla="*/ 0 60000 65536"/>
              <a:gd name="T45" fmla="*/ 0 60000 65536"/>
              <a:gd name="T46" fmla="*/ 0 60000 65536"/>
              <a:gd name="T47" fmla="*/ 0 60000 65536"/>
              <a:gd name="T48" fmla="*/ 0 60000 65536"/>
              <a:gd name="T49" fmla="*/ 0 60000 65536"/>
              <a:gd name="T50" fmla="*/ 0 60000 65536"/>
              <a:gd name="T51" fmla="*/ 0 60000 65536"/>
              <a:gd name="T52" fmla="*/ 0 60000 65536"/>
              <a:gd name="T53" fmla="*/ 0 60000 65536"/>
              <a:gd name="T54" fmla="*/ 0 60000 65536"/>
              <a:gd name="T55" fmla="*/ 0 60000 65536"/>
              <a:gd name="T56" fmla="*/ 0 60000 65536"/>
              <a:gd name="T57" fmla="*/ 0 w 70"/>
              <a:gd name="T58" fmla="*/ 0 h 67"/>
              <a:gd name="T59" fmla="*/ 70 w 70"/>
              <a:gd name="T60" fmla="*/ 67 h 67"/>
            </a:gdLst>
            <a:ahLst/>
            <a:cxnLst>
              <a:cxn ang="T38">
                <a:pos x="T0" y="T1"/>
              </a:cxn>
              <a:cxn ang="T39">
                <a:pos x="T2" y="T3"/>
              </a:cxn>
              <a:cxn ang="T40">
                <a:pos x="T4" y="T5"/>
              </a:cxn>
              <a:cxn ang="T41">
                <a:pos x="T6" y="T7"/>
              </a:cxn>
              <a:cxn ang="T42">
                <a:pos x="T8" y="T9"/>
              </a:cxn>
              <a:cxn ang="T43">
                <a:pos x="T10" y="T11"/>
              </a:cxn>
              <a:cxn ang="T44">
                <a:pos x="T12" y="T13"/>
              </a:cxn>
              <a:cxn ang="T45">
                <a:pos x="T14" y="T15"/>
              </a:cxn>
              <a:cxn ang="T46">
                <a:pos x="T16" y="T17"/>
              </a:cxn>
              <a:cxn ang="T47">
                <a:pos x="T18" y="T19"/>
              </a:cxn>
              <a:cxn ang="T48">
                <a:pos x="T20" y="T21"/>
              </a:cxn>
              <a:cxn ang="T49">
                <a:pos x="T22" y="T23"/>
              </a:cxn>
              <a:cxn ang="T50">
                <a:pos x="T24" y="T25"/>
              </a:cxn>
              <a:cxn ang="T51">
                <a:pos x="T26" y="T27"/>
              </a:cxn>
              <a:cxn ang="T52">
                <a:pos x="T28" y="T29"/>
              </a:cxn>
              <a:cxn ang="T53">
                <a:pos x="T30" y="T31"/>
              </a:cxn>
              <a:cxn ang="T54">
                <a:pos x="T32" y="T33"/>
              </a:cxn>
              <a:cxn ang="T55">
                <a:pos x="T34" y="T35"/>
              </a:cxn>
              <a:cxn ang="T56">
                <a:pos x="T36" y="T37"/>
              </a:cxn>
            </a:cxnLst>
            <a:rect l="T57" t="T58" r="T59" b="T60"/>
            <a:pathLst>
              <a:path w="70" h="67">
                <a:moveTo>
                  <a:pt x="70" y="52"/>
                </a:moveTo>
                <a:lnTo>
                  <a:pt x="70" y="0"/>
                </a:lnTo>
                <a:lnTo>
                  <a:pt x="50" y="8"/>
                </a:lnTo>
                <a:lnTo>
                  <a:pt x="50" y="22"/>
                </a:lnTo>
                <a:lnTo>
                  <a:pt x="42" y="30"/>
                </a:lnTo>
                <a:lnTo>
                  <a:pt x="35" y="30"/>
                </a:lnTo>
                <a:lnTo>
                  <a:pt x="7" y="15"/>
                </a:lnTo>
                <a:lnTo>
                  <a:pt x="0" y="22"/>
                </a:lnTo>
                <a:lnTo>
                  <a:pt x="7" y="30"/>
                </a:lnTo>
                <a:lnTo>
                  <a:pt x="20" y="30"/>
                </a:lnTo>
                <a:lnTo>
                  <a:pt x="20" y="45"/>
                </a:lnTo>
                <a:lnTo>
                  <a:pt x="30" y="45"/>
                </a:lnTo>
                <a:lnTo>
                  <a:pt x="30" y="52"/>
                </a:lnTo>
                <a:lnTo>
                  <a:pt x="42" y="60"/>
                </a:lnTo>
                <a:lnTo>
                  <a:pt x="50" y="60"/>
                </a:lnTo>
                <a:lnTo>
                  <a:pt x="62" y="67"/>
                </a:lnTo>
                <a:lnTo>
                  <a:pt x="70" y="52"/>
                </a:lnTo>
                <a:close/>
              </a:path>
            </a:pathLst>
          </a:custGeom>
          <a:solidFill>
            <a:srgbClr val="F5F5F5"/>
          </a:solidFill>
          <a:ln w="9525">
            <a:solidFill>
              <a:srgbClr val="FFFFFF"/>
            </a:solidFill>
            <a:miter lim="800000"/>
            <a:headEnd/>
            <a:tailEnd/>
          </a:ln>
        </xdr:spPr>
        <xdr:txBody>
          <a:bodyPr vertOverflow="clip" wrap="square" lIns="36576" tIns="32004" rIns="0" bIns="0" anchor="t"/>
          <a:lstStyle/>
          <a:p>
            <a:pPr algn="l" rtl="0">
              <a:defRPr sz="1000"/>
            </a:pPr>
            <a:endParaRPr lang="en-US" sz="1600" b="0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 algn="l" rtl="0">
              <a:defRPr sz="1000"/>
            </a:pPr>
            <a:endParaRPr lang="en-US"/>
          </a:p>
        </xdr:txBody>
      </xdr:sp>
    </xdr:grpSp>
    <xdr:clientData/>
  </xdr:twoCellAnchor>
  <xdr:twoCellAnchor>
    <xdr:from>
      <xdr:col>6</xdr:col>
      <xdr:colOff>438150</xdr:colOff>
      <xdr:row>35</xdr:row>
      <xdr:rowOff>57150</xdr:rowOff>
    </xdr:from>
    <xdr:to>
      <xdr:col>7</xdr:col>
      <xdr:colOff>285750</xdr:colOff>
      <xdr:row>42</xdr:row>
      <xdr:rowOff>104775</xdr:rowOff>
    </xdr:to>
    <xdr:sp macro="" textlink="">
      <xdr:nvSpPr>
        <xdr:cNvPr id="25748" name="S_ARG"/>
        <xdr:cNvSpPr>
          <a:spLocks/>
        </xdr:cNvSpPr>
      </xdr:nvSpPr>
      <xdr:spPr bwMode="auto">
        <a:xfrm>
          <a:off x="3409950" y="5572125"/>
          <a:ext cx="561975" cy="1181100"/>
        </a:xfrm>
        <a:custGeom>
          <a:avLst/>
          <a:gdLst>
            <a:gd name="T0" fmla="*/ 2147483647 w 268"/>
            <a:gd name="T1" fmla="*/ 2147483647 h 565"/>
            <a:gd name="T2" fmla="*/ 2147483647 w 268"/>
            <a:gd name="T3" fmla="*/ 2147483647 h 565"/>
            <a:gd name="T4" fmla="*/ 2147483647 w 268"/>
            <a:gd name="T5" fmla="*/ 2147483647 h 565"/>
            <a:gd name="T6" fmla="*/ 2147483647 w 268"/>
            <a:gd name="T7" fmla="*/ 2147483647 h 565"/>
            <a:gd name="T8" fmla="*/ 2147483647 w 268"/>
            <a:gd name="T9" fmla="*/ 2147483647 h 565"/>
            <a:gd name="T10" fmla="*/ 2147483647 w 268"/>
            <a:gd name="T11" fmla="*/ 2147483647 h 565"/>
            <a:gd name="T12" fmla="*/ 2147483647 w 268"/>
            <a:gd name="T13" fmla="*/ 2147483647 h 565"/>
            <a:gd name="T14" fmla="*/ 2147483647 w 268"/>
            <a:gd name="T15" fmla="*/ 0 h 565"/>
            <a:gd name="T16" fmla="*/ 2147483647 w 268"/>
            <a:gd name="T17" fmla="*/ 0 h 565"/>
            <a:gd name="T18" fmla="*/ 2147483647 w 268"/>
            <a:gd name="T19" fmla="*/ 2147483647 h 565"/>
            <a:gd name="T20" fmla="*/ 2147483647 w 268"/>
            <a:gd name="T21" fmla="*/ 2147483647 h 565"/>
            <a:gd name="T22" fmla="*/ 2147483647 w 268"/>
            <a:gd name="T23" fmla="*/ 2147483647 h 565"/>
            <a:gd name="T24" fmla="*/ 2147483647 w 268"/>
            <a:gd name="T25" fmla="*/ 2147483647 h 565"/>
            <a:gd name="T26" fmla="*/ 2147483647 w 268"/>
            <a:gd name="T27" fmla="*/ 2147483647 h 565"/>
            <a:gd name="T28" fmla="*/ 2147483647 w 268"/>
            <a:gd name="T29" fmla="*/ 2147483647 h 565"/>
            <a:gd name="T30" fmla="*/ 2147483647 w 268"/>
            <a:gd name="T31" fmla="*/ 2147483647 h 565"/>
            <a:gd name="T32" fmla="*/ 0 w 268"/>
            <a:gd name="T33" fmla="*/ 2147483647 h 565"/>
            <a:gd name="T34" fmla="*/ 2147483647 w 268"/>
            <a:gd name="T35" fmla="*/ 2147483647 h 565"/>
            <a:gd name="T36" fmla="*/ 2147483647 w 268"/>
            <a:gd name="T37" fmla="*/ 2147483647 h 565"/>
            <a:gd name="T38" fmla="*/ 2147483647 w 268"/>
            <a:gd name="T39" fmla="*/ 2147483647 h 565"/>
            <a:gd name="T40" fmla="*/ 2147483647 w 268"/>
            <a:gd name="T41" fmla="*/ 2147483647 h 565"/>
            <a:gd name="T42" fmla="*/ 2147483647 w 268"/>
            <a:gd name="T43" fmla="*/ 2147483647 h 565"/>
            <a:gd name="T44" fmla="*/ 2147483647 w 268"/>
            <a:gd name="T45" fmla="*/ 2147483647 h 565"/>
            <a:gd name="T46" fmla="*/ 2147483647 w 268"/>
            <a:gd name="T47" fmla="*/ 2147483647 h 565"/>
            <a:gd name="T48" fmla="*/ 2147483647 w 268"/>
            <a:gd name="T49" fmla="*/ 2147483647 h 565"/>
            <a:gd name="T50" fmla="*/ 2147483647 w 268"/>
            <a:gd name="T51" fmla="*/ 2147483647 h 565"/>
            <a:gd name="T52" fmla="*/ 2147483647 w 268"/>
            <a:gd name="T53" fmla="*/ 2147483647 h 565"/>
            <a:gd name="T54" fmla="*/ 2147483647 w 268"/>
            <a:gd name="T55" fmla="*/ 2147483647 h 565"/>
            <a:gd name="T56" fmla="*/ 2147483647 w 268"/>
            <a:gd name="T57" fmla="*/ 2147483647 h 565"/>
            <a:gd name="T58" fmla="*/ 2147483647 w 268"/>
            <a:gd name="T59" fmla="*/ 2147483647 h 565"/>
            <a:gd name="T60" fmla="*/ 2147483647 w 268"/>
            <a:gd name="T61" fmla="*/ 2147483647 h 565"/>
            <a:gd name="T62" fmla="*/ 2147483647 w 268"/>
            <a:gd name="T63" fmla="*/ 2147483647 h 565"/>
            <a:gd name="T64" fmla="*/ 2147483647 w 268"/>
            <a:gd name="T65" fmla="*/ 2147483647 h 565"/>
            <a:gd name="T66" fmla="*/ 2147483647 w 268"/>
            <a:gd name="T67" fmla="*/ 2147483647 h 565"/>
            <a:gd name="T68" fmla="*/ 2147483647 w 268"/>
            <a:gd name="T69" fmla="*/ 2147483647 h 565"/>
            <a:gd name="T70" fmla="*/ 0 60000 65536"/>
            <a:gd name="T71" fmla="*/ 0 60000 65536"/>
            <a:gd name="T72" fmla="*/ 0 60000 65536"/>
            <a:gd name="T73" fmla="*/ 0 60000 65536"/>
            <a:gd name="T74" fmla="*/ 0 60000 65536"/>
            <a:gd name="T75" fmla="*/ 0 60000 65536"/>
            <a:gd name="T76" fmla="*/ 0 60000 65536"/>
            <a:gd name="T77" fmla="*/ 0 60000 65536"/>
            <a:gd name="T78" fmla="*/ 0 60000 65536"/>
            <a:gd name="T79" fmla="*/ 0 60000 65536"/>
            <a:gd name="T80" fmla="*/ 0 60000 65536"/>
            <a:gd name="T81" fmla="*/ 0 60000 65536"/>
            <a:gd name="T82" fmla="*/ 0 60000 65536"/>
            <a:gd name="T83" fmla="*/ 0 60000 65536"/>
            <a:gd name="T84" fmla="*/ 0 60000 65536"/>
            <a:gd name="T85" fmla="*/ 0 60000 65536"/>
            <a:gd name="T86" fmla="*/ 0 60000 65536"/>
            <a:gd name="T87" fmla="*/ 0 60000 65536"/>
            <a:gd name="T88" fmla="*/ 0 60000 65536"/>
            <a:gd name="T89" fmla="*/ 0 60000 65536"/>
            <a:gd name="T90" fmla="*/ 0 60000 65536"/>
            <a:gd name="T91" fmla="*/ 0 60000 65536"/>
            <a:gd name="T92" fmla="*/ 0 60000 65536"/>
            <a:gd name="T93" fmla="*/ 0 60000 65536"/>
            <a:gd name="T94" fmla="*/ 0 60000 65536"/>
            <a:gd name="T95" fmla="*/ 0 60000 65536"/>
            <a:gd name="T96" fmla="*/ 0 60000 65536"/>
            <a:gd name="T97" fmla="*/ 0 60000 65536"/>
            <a:gd name="T98" fmla="*/ 0 60000 65536"/>
            <a:gd name="T99" fmla="*/ 0 60000 65536"/>
            <a:gd name="T100" fmla="*/ 0 60000 65536"/>
            <a:gd name="T101" fmla="*/ 0 60000 65536"/>
            <a:gd name="T102" fmla="*/ 0 60000 65536"/>
            <a:gd name="T103" fmla="*/ 0 60000 65536"/>
            <a:gd name="T104" fmla="*/ 0 60000 65536"/>
            <a:gd name="T105" fmla="*/ 0 w 268"/>
            <a:gd name="T106" fmla="*/ 0 h 565"/>
            <a:gd name="T107" fmla="*/ 268 w 268"/>
            <a:gd name="T108" fmla="*/ 565 h 565"/>
          </a:gdLst>
          <a:ahLst/>
          <a:cxnLst>
            <a:cxn ang="T70">
              <a:pos x="T0" y="T1"/>
            </a:cxn>
            <a:cxn ang="T71">
              <a:pos x="T2" y="T3"/>
            </a:cxn>
            <a:cxn ang="T72">
              <a:pos x="T4" y="T5"/>
            </a:cxn>
            <a:cxn ang="T73">
              <a:pos x="T6" y="T7"/>
            </a:cxn>
            <a:cxn ang="T74">
              <a:pos x="T8" y="T9"/>
            </a:cxn>
            <a:cxn ang="T75">
              <a:pos x="T10" y="T11"/>
            </a:cxn>
            <a:cxn ang="T76">
              <a:pos x="T12" y="T13"/>
            </a:cxn>
            <a:cxn ang="T77">
              <a:pos x="T14" y="T15"/>
            </a:cxn>
            <a:cxn ang="T78">
              <a:pos x="T16" y="T17"/>
            </a:cxn>
            <a:cxn ang="T79">
              <a:pos x="T18" y="T19"/>
            </a:cxn>
            <a:cxn ang="T80">
              <a:pos x="T20" y="T21"/>
            </a:cxn>
            <a:cxn ang="T81">
              <a:pos x="T22" y="T23"/>
            </a:cxn>
            <a:cxn ang="T82">
              <a:pos x="T24" y="T25"/>
            </a:cxn>
            <a:cxn ang="T83">
              <a:pos x="T26" y="T27"/>
            </a:cxn>
            <a:cxn ang="T84">
              <a:pos x="T28" y="T29"/>
            </a:cxn>
            <a:cxn ang="T85">
              <a:pos x="T30" y="T31"/>
            </a:cxn>
            <a:cxn ang="T86">
              <a:pos x="T32" y="T33"/>
            </a:cxn>
            <a:cxn ang="T87">
              <a:pos x="T34" y="T35"/>
            </a:cxn>
            <a:cxn ang="T88">
              <a:pos x="T36" y="T37"/>
            </a:cxn>
            <a:cxn ang="T89">
              <a:pos x="T38" y="T39"/>
            </a:cxn>
            <a:cxn ang="T90">
              <a:pos x="T40" y="T41"/>
            </a:cxn>
            <a:cxn ang="T91">
              <a:pos x="T42" y="T43"/>
            </a:cxn>
            <a:cxn ang="T92">
              <a:pos x="T44" y="T45"/>
            </a:cxn>
            <a:cxn ang="T93">
              <a:pos x="T46" y="T47"/>
            </a:cxn>
            <a:cxn ang="T94">
              <a:pos x="T48" y="T49"/>
            </a:cxn>
            <a:cxn ang="T95">
              <a:pos x="T50" y="T51"/>
            </a:cxn>
            <a:cxn ang="T96">
              <a:pos x="T52" y="T53"/>
            </a:cxn>
            <a:cxn ang="T97">
              <a:pos x="T54" y="T55"/>
            </a:cxn>
            <a:cxn ang="T98">
              <a:pos x="T56" y="T57"/>
            </a:cxn>
            <a:cxn ang="T99">
              <a:pos x="T58" y="T59"/>
            </a:cxn>
            <a:cxn ang="T100">
              <a:pos x="T60" y="T61"/>
            </a:cxn>
            <a:cxn ang="T101">
              <a:pos x="T62" y="T63"/>
            </a:cxn>
            <a:cxn ang="T102">
              <a:pos x="T64" y="T65"/>
            </a:cxn>
            <a:cxn ang="T103">
              <a:pos x="T66" y="T67"/>
            </a:cxn>
            <a:cxn ang="T104">
              <a:pos x="T68" y="T69"/>
            </a:cxn>
          </a:cxnLst>
          <a:rect l="T105" t="T106" r="T107" b="T108"/>
          <a:pathLst>
            <a:path w="268" h="565">
              <a:moveTo>
                <a:pt x="196" y="204"/>
              </a:moveTo>
              <a:lnTo>
                <a:pt x="211" y="143"/>
              </a:lnTo>
              <a:lnTo>
                <a:pt x="246" y="96"/>
              </a:lnTo>
              <a:lnTo>
                <a:pt x="268" y="81"/>
              </a:lnTo>
              <a:lnTo>
                <a:pt x="255" y="61"/>
              </a:lnTo>
              <a:lnTo>
                <a:pt x="246" y="61"/>
              </a:lnTo>
              <a:lnTo>
                <a:pt x="246" y="74"/>
              </a:lnTo>
              <a:lnTo>
                <a:pt x="233" y="81"/>
              </a:lnTo>
              <a:lnTo>
                <a:pt x="224" y="96"/>
              </a:lnTo>
              <a:lnTo>
                <a:pt x="196" y="81"/>
              </a:lnTo>
              <a:lnTo>
                <a:pt x="204" y="69"/>
              </a:lnTo>
              <a:lnTo>
                <a:pt x="204" y="61"/>
              </a:lnTo>
              <a:lnTo>
                <a:pt x="191" y="39"/>
              </a:lnTo>
              <a:lnTo>
                <a:pt x="161" y="39"/>
              </a:lnTo>
              <a:lnTo>
                <a:pt x="147" y="16"/>
              </a:lnTo>
              <a:lnTo>
                <a:pt x="126" y="0"/>
              </a:lnTo>
              <a:lnTo>
                <a:pt x="121" y="16"/>
              </a:lnTo>
              <a:lnTo>
                <a:pt x="99" y="0"/>
              </a:lnTo>
              <a:lnTo>
                <a:pt x="77" y="24"/>
              </a:lnTo>
              <a:lnTo>
                <a:pt x="77" y="39"/>
              </a:lnTo>
              <a:lnTo>
                <a:pt x="62" y="42"/>
              </a:lnTo>
              <a:lnTo>
                <a:pt x="70" y="74"/>
              </a:lnTo>
              <a:lnTo>
                <a:pt x="33" y="158"/>
              </a:lnTo>
              <a:lnTo>
                <a:pt x="43" y="197"/>
              </a:lnTo>
              <a:lnTo>
                <a:pt x="33" y="227"/>
              </a:lnTo>
              <a:lnTo>
                <a:pt x="33" y="241"/>
              </a:lnTo>
              <a:lnTo>
                <a:pt x="27" y="249"/>
              </a:lnTo>
              <a:lnTo>
                <a:pt x="22" y="400"/>
              </a:lnTo>
              <a:lnTo>
                <a:pt x="27" y="400"/>
              </a:lnTo>
              <a:lnTo>
                <a:pt x="22" y="444"/>
              </a:lnTo>
              <a:lnTo>
                <a:pt x="12" y="469"/>
              </a:lnTo>
              <a:lnTo>
                <a:pt x="12" y="484"/>
              </a:lnTo>
              <a:lnTo>
                <a:pt x="0" y="515"/>
              </a:lnTo>
              <a:lnTo>
                <a:pt x="0" y="537"/>
              </a:lnTo>
              <a:lnTo>
                <a:pt x="12" y="530"/>
              </a:lnTo>
              <a:lnTo>
                <a:pt x="12" y="560"/>
              </a:lnTo>
              <a:lnTo>
                <a:pt x="22" y="565"/>
              </a:lnTo>
              <a:lnTo>
                <a:pt x="62" y="565"/>
              </a:lnTo>
              <a:lnTo>
                <a:pt x="55" y="537"/>
              </a:lnTo>
              <a:lnTo>
                <a:pt x="70" y="521"/>
              </a:lnTo>
              <a:lnTo>
                <a:pt x="77" y="491"/>
              </a:lnTo>
              <a:lnTo>
                <a:pt x="105" y="476"/>
              </a:lnTo>
              <a:lnTo>
                <a:pt x="105" y="463"/>
              </a:lnTo>
              <a:lnTo>
                <a:pt x="99" y="463"/>
              </a:lnTo>
              <a:lnTo>
                <a:pt x="77" y="439"/>
              </a:lnTo>
              <a:lnTo>
                <a:pt x="77" y="431"/>
              </a:lnTo>
              <a:lnTo>
                <a:pt x="85" y="416"/>
              </a:lnTo>
              <a:lnTo>
                <a:pt x="105" y="407"/>
              </a:lnTo>
              <a:lnTo>
                <a:pt x="105" y="400"/>
              </a:lnTo>
              <a:lnTo>
                <a:pt x="114" y="400"/>
              </a:lnTo>
              <a:lnTo>
                <a:pt x="114" y="387"/>
              </a:lnTo>
              <a:lnTo>
                <a:pt x="121" y="370"/>
              </a:lnTo>
              <a:lnTo>
                <a:pt x="121" y="362"/>
              </a:lnTo>
              <a:lnTo>
                <a:pt x="126" y="362"/>
              </a:lnTo>
              <a:lnTo>
                <a:pt x="126" y="355"/>
              </a:lnTo>
              <a:lnTo>
                <a:pt x="114" y="355"/>
              </a:lnTo>
              <a:lnTo>
                <a:pt x="114" y="325"/>
              </a:lnTo>
              <a:lnTo>
                <a:pt x="126" y="340"/>
              </a:lnTo>
              <a:lnTo>
                <a:pt x="147" y="325"/>
              </a:lnTo>
              <a:lnTo>
                <a:pt x="156" y="295"/>
              </a:lnTo>
              <a:lnTo>
                <a:pt x="147" y="286"/>
              </a:lnTo>
              <a:lnTo>
                <a:pt x="211" y="281"/>
              </a:lnTo>
              <a:lnTo>
                <a:pt x="224" y="249"/>
              </a:lnTo>
              <a:lnTo>
                <a:pt x="224" y="241"/>
              </a:lnTo>
              <a:lnTo>
                <a:pt x="211" y="234"/>
              </a:lnTo>
              <a:lnTo>
                <a:pt x="211" y="227"/>
              </a:lnTo>
              <a:lnTo>
                <a:pt x="196" y="219"/>
              </a:lnTo>
              <a:lnTo>
                <a:pt x="196" y="204"/>
              </a:lnTo>
              <a:close/>
            </a:path>
          </a:pathLst>
        </a:custGeom>
        <a:solidFill>
          <a:srgbClr val="F5F5F5"/>
        </a:solidFill>
        <a:ln w="9525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36576" tIns="32004" rIns="0" bIns="0" anchor="t"/>
        <a:lstStyle/>
        <a:p>
          <a:pPr algn="l" rtl="0">
            <a:defRPr sz="1000"/>
          </a:pPr>
          <a:endParaRPr lang="en-US" sz="16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en-US"/>
        </a:p>
      </xdr:txBody>
    </xdr:sp>
    <xdr:clientData/>
  </xdr:twoCellAnchor>
  <xdr:twoCellAnchor>
    <xdr:from>
      <xdr:col>6</xdr:col>
      <xdr:colOff>0</xdr:colOff>
      <xdr:row>27</xdr:row>
      <xdr:rowOff>123825</xdr:rowOff>
    </xdr:from>
    <xdr:to>
      <xdr:col>6</xdr:col>
      <xdr:colOff>47625</xdr:colOff>
      <xdr:row>28</xdr:row>
      <xdr:rowOff>19050</xdr:rowOff>
    </xdr:to>
    <xdr:sp macro="" textlink="">
      <xdr:nvSpPr>
        <xdr:cNvPr id="25749" name="S_BLZ"/>
        <xdr:cNvSpPr>
          <a:spLocks/>
        </xdr:cNvSpPr>
      </xdr:nvSpPr>
      <xdr:spPr bwMode="auto">
        <a:xfrm>
          <a:off x="2971800" y="4343400"/>
          <a:ext cx="47625" cy="57150"/>
        </a:xfrm>
        <a:custGeom>
          <a:avLst/>
          <a:gdLst>
            <a:gd name="T0" fmla="*/ 0 w 24"/>
            <a:gd name="T1" fmla="*/ 112624915 h 29"/>
            <a:gd name="T2" fmla="*/ 94505860 w 24"/>
            <a:gd name="T3" fmla="*/ 112624915 h 29"/>
            <a:gd name="T4" fmla="*/ 94505860 w 24"/>
            <a:gd name="T5" fmla="*/ 0 h 29"/>
            <a:gd name="T6" fmla="*/ 0 w 24"/>
            <a:gd name="T7" fmla="*/ 19417208 h 29"/>
            <a:gd name="T8" fmla="*/ 0 w 24"/>
            <a:gd name="T9" fmla="*/ 112624915 h 29"/>
            <a:gd name="T10" fmla="*/ 0 w 24"/>
            <a:gd name="T11" fmla="*/ 112624915 h 29"/>
            <a:gd name="T12" fmla="*/ 0 w 24"/>
            <a:gd name="T13" fmla="*/ 112624915 h 29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24"/>
            <a:gd name="T22" fmla="*/ 0 h 29"/>
            <a:gd name="T23" fmla="*/ 24 w 24"/>
            <a:gd name="T24" fmla="*/ 29 h 29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24" h="29">
              <a:moveTo>
                <a:pt x="0" y="29"/>
              </a:moveTo>
              <a:lnTo>
                <a:pt x="24" y="29"/>
              </a:lnTo>
              <a:lnTo>
                <a:pt x="24" y="0"/>
              </a:lnTo>
              <a:lnTo>
                <a:pt x="0" y="5"/>
              </a:lnTo>
              <a:lnTo>
                <a:pt x="0" y="29"/>
              </a:lnTo>
              <a:close/>
            </a:path>
          </a:pathLst>
        </a:custGeom>
        <a:solidFill>
          <a:srgbClr val="F5F5F5"/>
        </a:solidFill>
        <a:ln w="9525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36576" tIns="32004" rIns="0" bIns="0" anchor="t"/>
        <a:lstStyle/>
        <a:p>
          <a:pPr algn="l" rtl="0">
            <a:defRPr sz="1000"/>
          </a:pPr>
          <a:endParaRPr lang="en-US" sz="16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en-US"/>
        </a:p>
      </xdr:txBody>
    </xdr:sp>
    <xdr:clientData/>
  </xdr:twoCellAnchor>
  <xdr:twoCellAnchor>
    <xdr:from>
      <xdr:col>5</xdr:col>
      <xdr:colOff>619125</xdr:colOff>
      <xdr:row>27</xdr:row>
      <xdr:rowOff>123825</xdr:rowOff>
    </xdr:from>
    <xdr:to>
      <xdr:col>6</xdr:col>
      <xdr:colOff>19050</xdr:colOff>
      <xdr:row>28</xdr:row>
      <xdr:rowOff>95250</xdr:rowOff>
    </xdr:to>
    <xdr:sp macro="" textlink="">
      <xdr:nvSpPr>
        <xdr:cNvPr id="25750" name="S_GTM"/>
        <xdr:cNvSpPr>
          <a:spLocks/>
        </xdr:cNvSpPr>
      </xdr:nvSpPr>
      <xdr:spPr bwMode="auto">
        <a:xfrm>
          <a:off x="2876550" y="4343400"/>
          <a:ext cx="114300" cy="133350"/>
        </a:xfrm>
        <a:custGeom>
          <a:avLst/>
          <a:gdLst>
            <a:gd name="T0" fmla="*/ 207755644 w 52"/>
            <a:gd name="T1" fmla="*/ 102055164 h 66"/>
            <a:gd name="T2" fmla="*/ 251240187 w 52"/>
            <a:gd name="T3" fmla="*/ 159207767 h 66"/>
            <a:gd name="T4" fmla="*/ 130451465 w 52"/>
            <a:gd name="T5" fmla="*/ 228604287 h 66"/>
            <a:gd name="T6" fmla="*/ 106294607 w 52"/>
            <a:gd name="T7" fmla="*/ 269427615 h 66"/>
            <a:gd name="T8" fmla="*/ 0 w 52"/>
            <a:gd name="T9" fmla="*/ 228604287 h 66"/>
            <a:gd name="T10" fmla="*/ 33821808 w 52"/>
            <a:gd name="T11" fmla="*/ 102055164 h 66"/>
            <a:gd name="T12" fmla="*/ 106294607 w 52"/>
            <a:gd name="T13" fmla="*/ 102055164 h 66"/>
            <a:gd name="T14" fmla="*/ 33821808 w 52"/>
            <a:gd name="T15" fmla="*/ 40823281 h 66"/>
            <a:gd name="T16" fmla="*/ 62810047 w 52"/>
            <a:gd name="T17" fmla="*/ 0 h 66"/>
            <a:gd name="T18" fmla="*/ 207755644 w 52"/>
            <a:gd name="T19" fmla="*/ 0 h 66"/>
            <a:gd name="T20" fmla="*/ 207755644 w 52"/>
            <a:gd name="T21" fmla="*/ 102055164 h 66"/>
            <a:gd name="T22" fmla="*/ 207755644 w 52"/>
            <a:gd name="T23" fmla="*/ 102055164 h 66"/>
            <a:gd name="T24" fmla="*/ 207755644 w 52"/>
            <a:gd name="T25" fmla="*/ 102055164 h 66"/>
            <a:gd name="T26" fmla="*/ 0 60000 65536"/>
            <a:gd name="T27" fmla="*/ 0 60000 65536"/>
            <a:gd name="T28" fmla="*/ 0 60000 65536"/>
            <a:gd name="T29" fmla="*/ 0 60000 65536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w 52"/>
            <a:gd name="T40" fmla="*/ 0 h 66"/>
            <a:gd name="T41" fmla="*/ 52 w 52"/>
            <a:gd name="T42" fmla="*/ 66 h 66"/>
          </a:gdLst>
          <a:ahLst/>
          <a:cxnLst>
            <a:cxn ang="T26">
              <a:pos x="T0" y="T1"/>
            </a:cxn>
            <a:cxn ang="T27">
              <a:pos x="T2" y="T3"/>
            </a:cxn>
            <a:cxn ang="T28">
              <a:pos x="T4" y="T5"/>
            </a:cxn>
            <a:cxn ang="T29">
              <a:pos x="T6" y="T7"/>
            </a:cxn>
            <a:cxn ang="T30">
              <a:pos x="T8" y="T9"/>
            </a:cxn>
            <a:cxn ang="T31">
              <a:pos x="T10" y="T11"/>
            </a:cxn>
            <a:cxn ang="T32">
              <a:pos x="T12" y="T13"/>
            </a:cxn>
            <a:cxn ang="T33">
              <a:pos x="T14" y="T15"/>
            </a:cxn>
            <a:cxn ang="T34">
              <a:pos x="T16" y="T17"/>
            </a:cxn>
            <a:cxn ang="T35">
              <a:pos x="T18" y="T19"/>
            </a:cxn>
            <a:cxn ang="T36">
              <a:pos x="T20" y="T21"/>
            </a:cxn>
            <a:cxn ang="T37">
              <a:pos x="T22" y="T23"/>
            </a:cxn>
            <a:cxn ang="T38">
              <a:pos x="T24" y="T25"/>
            </a:cxn>
          </a:cxnLst>
          <a:rect l="T39" t="T40" r="T41" b="T42"/>
          <a:pathLst>
            <a:path w="52" h="66">
              <a:moveTo>
                <a:pt x="43" y="25"/>
              </a:moveTo>
              <a:lnTo>
                <a:pt x="52" y="39"/>
              </a:lnTo>
              <a:lnTo>
                <a:pt x="27" y="56"/>
              </a:lnTo>
              <a:lnTo>
                <a:pt x="22" y="66"/>
              </a:lnTo>
              <a:lnTo>
                <a:pt x="0" y="56"/>
              </a:lnTo>
              <a:lnTo>
                <a:pt x="7" y="25"/>
              </a:lnTo>
              <a:lnTo>
                <a:pt x="22" y="25"/>
              </a:lnTo>
              <a:lnTo>
                <a:pt x="7" y="10"/>
              </a:lnTo>
              <a:lnTo>
                <a:pt x="13" y="0"/>
              </a:lnTo>
              <a:lnTo>
                <a:pt x="43" y="0"/>
              </a:lnTo>
              <a:lnTo>
                <a:pt x="43" y="25"/>
              </a:lnTo>
              <a:close/>
            </a:path>
          </a:pathLst>
        </a:custGeom>
        <a:solidFill>
          <a:srgbClr val="F5F5F5"/>
        </a:solidFill>
        <a:ln w="9525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36576" tIns="32004" rIns="0" bIns="0" anchor="t"/>
        <a:lstStyle/>
        <a:p>
          <a:pPr algn="l" rtl="0">
            <a:defRPr sz="1000"/>
          </a:pPr>
          <a:endParaRPr lang="en-US" sz="16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en-US"/>
        </a:p>
      </xdr:txBody>
    </xdr:sp>
    <xdr:clientData/>
  </xdr:twoCellAnchor>
  <xdr:twoCellAnchor>
    <xdr:from>
      <xdr:col>5</xdr:col>
      <xdr:colOff>685800</xdr:colOff>
      <xdr:row>28</xdr:row>
      <xdr:rowOff>38100</xdr:rowOff>
    </xdr:from>
    <xdr:to>
      <xdr:col>6</xdr:col>
      <xdr:colOff>142875</xdr:colOff>
      <xdr:row>28</xdr:row>
      <xdr:rowOff>104775</xdr:rowOff>
    </xdr:to>
    <xdr:sp macro="" textlink="">
      <xdr:nvSpPr>
        <xdr:cNvPr id="25751" name="S_HND"/>
        <xdr:cNvSpPr>
          <a:spLocks/>
        </xdr:cNvSpPr>
      </xdr:nvSpPr>
      <xdr:spPr bwMode="auto">
        <a:xfrm>
          <a:off x="2943225" y="4419600"/>
          <a:ext cx="171450" cy="66675"/>
        </a:xfrm>
        <a:custGeom>
          <a:avLst/>
          <a:gdLst>
            <a:gd name="T0" fmla="*/ 91652270 w 84"/>
            <a:gd name="T1" fmla="*/ 0 h 34"/>
            <a:gd name="T2" fmla="*/ 266623087 w 84"/>
            <a:gd name="T3" fmla="*/ 0 h 34"/>
            <a:gd name="T4" fmla="*/ 349941697 w 84"/>
            <a:gd name="T5" fmla="*/ 30764623 h 34"/>
            <a:gd name="T6" fmla="*/ 162473373 w 84"/>
            <a:gd name="T7" fmla="*/ 130751639 h 34"/>
            <a:gd name="T8" fmla="*/ 129144697 w 84"/>
            <a:gd name="T9" fmla="*/ 130751639 h 34"/>
            <a:gd name="T10" fmla="*/ 129144697 w 84"/>
            <a:gd name="T11" fmla="*/ 111523723 h 34"/>
            <a:gd name="T12" fmla="*/ 0 w 84"/>
            <a:gd name="T13" fmla="*/ 65376800 h 34"/>
            <a:gd name="T14" fmla="*/ 91652270 w 84"/>
            <a:gd name="T15" fmla="*/ 0 h 34"/>
            <a:gd name="T16" fmla="*/ 91652270 w 84"/>
            <a:gd name="T17" fmla="*/ 0 h 34"/>
            <a:gd name="T18" fmla="*/ 91652270 w 84"/>
            <a:gd name="T19" fmla="*/ 0 h 34"/>
            <a:gd name="T20" fmla="*/ 0 60000 65536"/>
            <a:gd name="T21" fmla="*/ 0 60000 65536"/>
            <a:gd name="T22" fmla="*/ 0 60000 65536"/>
            <a:gd name="T23" fmla="*/ 0 60000 65536"/>
            <a:gd name="T24" fmla="*/ 0 60000 65536"/>
            <a:gd name="T25" fmla="*/ 0 60000 65536"/>
            <a:gd name="T26" fmla="*/ 0 60000 65536"/>
            <a:gd name="T27" fmla="*/ 0 60000 65536"/>
            <a:gd name="T28" fmla="*/ 0 60000 65536"/>
            <a:gd name="T29" fmla="*/ 0 60000 65536"/>
            <a:gd name="T30" fmla="*/ 0 w 84"/>
            <a:gd name="T31" fmla="*/ 0 h 34"/>
            <a:gd name="T32" fmla="*/ 84 w 84"/>
            <a:gd name="T33" fmla="*/ 34 h 34"/>
          </a:gdLst>
          <a:ahLst/>
          <a:cxnLst>
            <a:cxn ang="T20">
              <a:pos x="T0" y="T1"/>
            </a:cxn>
            <a:cxn ang="T21">
              <a:pos x="T2" y="T3"/>
            </a:cxn>
            <a:cxn ang="T22">
              <a:pos x="T4" y="T5"/>
            </a:cxn>
            <a:cxn ang="T23">
              <a:pos x="T6" y="T7"/>
            </a:cxn>
            <a:cxn ang="T24">
              <a:pos x="T8" y="T9"/>
            </a:cxn>
            <a:cxn ang="T25">
              <a:pos x="T10" y="T11"/>
            </a:cxn>
            <a:cxn ang="T26">
              <a:pos x="T12" y="T13"/>
            </a:cxn>
            <a:cxn ang="T27">
              <a:pos x="T14" y="T15"/>
            </a:cxn>
            <a:cxn ang="T28">
              <a:pos x="T16" y="T17"/>
            </a:cxn>
            <a:cxn ang="T29">
              <a:pos x="T18" y="T19"/>
            </a:cxn>
          </a:cxnLst>
          <a:rect l="T30" t="T31" r="T32" b="T33"/>
          <a:pathLst>
            <a:path w="84" h="34">
              <a:moveTo>
                <a:pt x="22" y="0"/>
              </a:moveTo>
              <a:lnTo>
                <a:pt x="64" y="0"/>
              </a:lnTo>
              <a:lnTo>
                <a:pt x="84" y="8"/>
              </a:lnTo>
              <a:lnTo>
                <a:pt x="39" y="34"/>
              </a:lnTo>
              <a:lnTo>
                <a:pt x="31" y="34"/>
              </a:lnTo>
              <a:lnTo>
                <a:pt x="31" y="29"/>
              </a:lnTo>
              <a:lnTo>
                <a:pt x="0" y="17"/>
              </a:lnTo>
              <a:lnTo>
                <a:pt x="22" y="0"/>
              </a:lnTo>
              <a:close/>
            </a:path>
          </a:pathLst>
        </a:custGeom>
        <a:solidFill>
          <a:srgbClr val="F5F5F5"/>
        </a:solidFill>
        <a:ln w="9525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36576" tIns="32004" rIns="0" bIns="0" anchor="t"/>
        <a:lstStyle/>
        <a:p>
          <a:pPr algn="l" rtl="0">
            <a:defRPr sz="1000"/>
          </a:pPr>
          <a:endParaRPr lang="en-US" sz="16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en-US"/>
        </a:p>
      </xdr:txBody>
    </xdr:sp>
    <xdr:clientData/>
  </xdr:twoCellAnchor>
  <xdr:twoCellAnchor>
    <xdr:from>
      <xdr:col>5</xdr:col>
      <xdr:colOff>666750</xdr:colOff>
      <xdr:row>28</xdr:row>
      <xdr:rowOff>76200</xdr:rowOff>
    </xdr:from>
    <xdr:to>
      <xdr:col>6</xdr:col>
      <xdr:colOff>28575</xdr:colOff>
      <xdr:row>28</xdr:row>
      <xdr:rowOff>133350</xdr:rowOff>
    </xdr:to>
    <xdr:sp macro="" textlink="">
      <xdr:nvSpPr>
        <xdr:cNvPr id="25752" name="S_SLV"/>
        <xdr:cNvSpPr>
          <a:spLocks/>
        </xdr:cNvSpPr>
      </xdr:nvSpPr>
      <xdr:spPr bwMode="auto">
        <a:xfrm>
          <a:off x="2924175" y="4457700"/>
          <a:ext cx="76200" cy="57150"/>
        </a:xfrm>
        <a:custGeom>
          <a:avLst/>
          <a:gdLst>
            <a:gd name="T0" fmla="*/ 33931656 w 37"/>
            <a:gd name="T1" fmla="*/ 0 h 27"/>
            <a:gd name="T2" fmla="*/ 0 w 37"/>
            <a:gd name="T3" fmla="*/ 67204164 h 27"/>
            <a:gd name="T4" fmla="*/ 33931656 w 37"/>
            <a:gd name="T5" fmla="*/ 120967499 h 27"/>
            <a:gd name="T6" fmla="*/ 156930810 w 37"/>
            <a:gd name="T7" fmla="*/ 120967499 h 27"/>
            <a:gd name="T8" fmla="*/ 156930810 w 37"/>
            <a:gd name="T9" fmla="*/ 67204164 h 27"/>
            <a:gd name="T10" fmla="*/ 33931656 w 37"/>
            <a:gd name="T11" fmla="*/ 0 h 27"/>
            <a:gd name="T12" fmla="*/ 33931656 w 37"/>
            <a:gd name="T13" fmla="*/ 0 h 27"/>
            <a:gd name="T14" fmla="*/ 33931656 w 37"/>
            <a:gd name="T15" fmla="*/ 0 h 27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60000 65536"/>
            <a:gd name="T22" fmla="*/ 0 60000 65536"/>
            <a:gd name="T23" fmla="*/ 0 60000 65536"/>
            <a:gd name="T24" fmla="*/ 0 w 37"/>
            <a:gd name="T25" fmla="*/ 0 h 27"/>
            <a:gd name="T26" fmla="*/ 37 w 37"/>
            <a:gd name="T27" fmla="*/ 27 h 27"/>
          </a:gdLst>
          <a:ahLst/>
          <a:cxnLst>
            <a:cxn ang="T16">
              <a:pos x="T0" y="T1"/>
            </a:cxn>
            <a:cxn ang="T17">
              <a:pos x="T2" y="T3"/>
            </a:cxn>
            <a:cxn ang="T18">
              <a:pos x="T4" y="T5"/>
            </a:cxn>
            <a:cxn ang="T19">
              <a:pos x="T6" y="T7"/>
            </a:cxn>
            <a:cxn ang="T20">
              <a:pos x="T8" y="T9"/>
            </a:cxn>
            <a:cxn ang="T21">
              <a:pos x="T10" y="T11"/>
            </a:cxn>
            <a:cxn ang="T22">
              <a:pos x="T12" y="T13"/>
            </a:cxn>
            <a:cxn ang="T23">
              <a:pos x="T14" y="T15"/>
            </a:cxn>
          </a:cxnLst>
          <a:rect l="T24" t="T25" r="T26" b="T27"/>
          <a:pathLst>
            <a:path w="37" h="27">
              <a:moveTo>
                <a:pt x="8" y="0"/>
              </a:moveTo>
              <a:lnTo>
                <a:pt x="0" y="15"/>
              </a:lnTo>
              <a:lnTo>
                <a:pt x="8" y="27"/>
              </a:lnTo>
              <a:lnTo>
                <a:pt x="37" y="27"/>
              </a:lnTo>
              <a:lnTo>
                <a:pt x="37" y="15"/>
              </a:lnTo>
              <a:lnTo>
                <a:pt x="8" y="0"/>
              </a:lnTo>
              <a:close/>
            </a:path>
          </a:pathLst>
        </a:custGeom>
        <a:solidFill>
          <a:srgbClr val="F5F5F5"/>
        </a:solidFill>
        <a:ln w="9525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36576" tIns="32004" rIns="0" bIns="0" anchor="t"/>
        <a:lstStyle/>
        <a:p>
          <a:pPr algn="l" rtl="0">
            <a:defRPr sz="1000"/>
          </a:pPr>
          <a:endParaRPr lang="en-US" sz="16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en-US"/>
        </a:p>
      </xdr:txBody>
    </xdr:sp>
    <xdr:clientData/>
  </xdr:twoCellAnchor>
  <xdr:twoCellAnchor>
    <xdr:from>
      <xdr:col>6</xdr:col>
      <xdr:colOff>47625</xdr:colOff>
      <xdr:row>28</xdr:row>
      <xdr:rowOff>66675</xdr:rowOff>
    </xdr:from>
    <xdr:to>
      <xdr:col>6</xdr:col>
      <xdr:colOff>142875</xdr:colOff>
      <xdr:row>29</xdr:row>
      <xdr:rowOff>38100</xdr:rowOff>
    </xdr:to>
    <xdr:sp macro="" textlink="">
      <xdr:nvSpPr>
        <xdr:cNvPr id="25753" name="S_NIC"/>
        <xdr:cNvSpPr>
          <a:spLocks/>
        </xdr:cNvSpPr>
      </xdr:nvSpPr>
      <xdr:spPr bwMode="auto">
        <a:xfrm>
          <a:off x="3019425" y="4448175"/>
          <a:ext cx="95250" cy="133350"/>
        </a:xfrm>
        <a:custGeom>
          <a:avLst/>
          <a:gdLst>
            <a:gd name="T0" fmla="*/ 201612498 w 45"/>
            <a:gd name="T1" fmla="*/ 0 h 67"/>
            <a:gd name="T2" fmla="*/ 170249858 w 45"/>
            <a:gd name="T3" fmla="*/ 213909287 h 67"/>
            <a:gd name="T4" fmla="*/ 201612498 w 45"/>
            <a:gd name="T5" fmla="*/ 265406309 h 67"/>
            <a:gd name="T6" fmla="*/ 170249858 w 45"/>
            <a:gd name="T7" fmla="*/ 265406309 h 67"/>
            <a:gd name="T8" fmla="*/ 0 w 45"/>
            <a:gd name="T9" fmla="*/ 158451635 h 67"/>
            <a:gd name="T10" fmla="*/ 0 w 45"/>
            <a:gd name="T11" fmla="*/ 91109884 h 67"/>
            <a:gd name="T12" fmla="*/ 201612498 w 45"/>
            <a:gd name="T13" fmla="*/ 0 h 67"/>
            <a:gd name="T14" fmla="*/ 201612498 w 45"/>
            <a:gd name="T15" fmla="*/ 0 h 67"/>
            <a:gd name="T16" fmla="*/ 201612498 w 45"/>
            <a:gd name="T17" fmla="*/ 0 h 67"/>
            <a:gd name="T18" fmla="*/ 0 60000 65536"/>
            <a:gd name="T19" fmla="*/ 0 60000 65536"/>
            <a:gd name="T20" fmla="*/ 0 60000 65536"/>
            <a:gd name="T21" fmla="*/ 0 60000 65536"/>
            <a:gd name="T22" fmla="*/ 0 60000 65536"/>
            <a:gd name="T23" fmla="*/ 0 60000 65536"/>
            <a:gd name="T24" fmla="*/ 0 60000 65536"/>
            <a:gd name="T25" fmla="*/ 0 60000 65536"/>
            <a:gd name="T26" fmla="*/ 0 60000 65536"/>
            <a:gd name="T27" fmla="*/ 0 w 45"/>
            <a:gd name="T28" fmla="*/ 0 h 67"/>
            <a:gd name="T29" fmla="*/ 45 w 45"/>
            <a:gd name="T30" fmla="*/ 67 h 67"/>
          </a:gdLst>
          <a:ahLst/>
          <a:cxnLst>
            <a:cxn ang="T18">
              <a:pos x="T0" y="T1"/>
            </a:cxn>
            <a:cxn ang="T19">
              <a:pos x="T2" y="T3"/>
            </a:cxn>
            <a:cxn ang="T20">
              <a:pos x="T4" y="T5"/>
            </a:cxn>
            <a:cxn ang="T21">
              <a:pos x="T6" y="T7"/>
            </a:cxn>
            <a:cxn ang="T22">
              <a:pos x="T8" y="T9"/>
            </a:cxn>
            <a:cxn ang="T23">
              <a:pos x="T10" y="T11"/>
            </a:cxn>
            <a:cxn ang="T24">
              <a:pos x="T12" y="T13"/>
            </a:cxn>
            <a:cxn ang="T25">
              <a:pos x="T14" y="T15"/>
            </a:cxn>
            <a:cxn ang="T26">
              <a:pos x="T16" y="T17"/>
            </a:cxn>
          </a:cxnLst>
          <a:rect l="T27" t="T28" r="T29" b="T30"/>
          <a:pathLst>
            <a:path w="45" h="67">
              <a:moveTo>
                <a:pt x="45" y="0"/>
              </a:moveTo>
              <a:lnTo>
                <a:pt x="38" y="54"/>
              </a:lnTo>
              <a:lnTo>
                <a:pt x="45" y="67"/>
              </a:lnTo>
              <a:lnTo>
                <a:pt x="38" y="67"/>
              </a:lnTo>
              <a:lnTo>
                <a:pt x="0" y="40"/>
              </a:lnTo>
              <a:lnTo>
                <a:pt x="0" y="23"/>
              </a:lnTo>
              <a:lnTo>
                <a:pt x="45" y="0"/>
              </a:lnTo>
              <a:close/>
            </a:path>
          </a:pathLst>
        </a:custGeom>
        <a:solidFill>
          <a:srgbClr val="F5F5F5"/>
        </a:solidFill>
        <a:ln w="9525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36576" tIns="32004" rIns="0" bIns="0" anchor="t"/>
        <a:lstStyle/>
        <a:p>
          <a:pPr algn="l" rtl="0">
            <a:defRPr sz="1000"/>
          </a:pPr>
          <a:endParaRPr lang="en-US" sz="16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en-US"/>
        </a:p>
      </xdr:txBody>
    </xdr:sp>
    <xdr:clientData/>
  </xdr:twoCellAnchor>
  <xdr:twoCellAnchor>
    <xdr:from>
      <xdr:col>6</xdr:col>
      <xdr:colOff>85725</xdr:colOff>
      <xdr:row>29</xdr:row>
      <xdr:rowOff>19050</xdr:rowOff>
    </xdr:from>
    <xdr:to>
      <xdr:col>6</xdr:col>
      <xdr:colOff>171450</xdr:colOff>
      <xdr:row>29</xdr:row>
      <xdr:rowOff>104775</xdr:rowOff>
    </xdr:to>
    <xdr:sp macro="" textlink="">
      <xdr:nvSpPr>
        <xdr:cNvPr id="25754" name="S_CRI"/>
        <xdr:cNvSpPr>
          <a:spLocks/>
        </xdr:cNvSpPr>
      </xdr:nvSpPr>
      <xdr:spPr bwMode="auto">
        <a:xfrm>
          <a:off x="3057525" y="4562475"/>
          <a:ext cx="85725" cy="85725"/>
        </a:xfrm>
        <a:custGeom>
          <a:avLst/>
          <a:gdLst>
            <a:gd name="T0" fmla="*/ 188430139 w 39"/>
            <a:gd name="T1" fmla="*/ 170901760 h 43"/>
            <a:gd name="T2" fmla="*/ 188430139 w 39"/>
            <a:gd name="T3" fmla="*/ 111284997 h 43"/>
            <a:gd name="T4" fmla="*/ 140114195 w 39"/>
            <a:gd name="T5" fmla="*/ 79489008 h 43"/>
            <a:gd name="T6" fmla="*/ 140114195 w 39"/>
            <a:gd name="T7" fmla="*/ 51668249 h 43"/>
            <a:gd name="T8" fmla="*/ 115957339 w 39"/>
            <a:gd name="T9" fmla="*/ 51668249 h 43"/>
            <a:gd name="T10" fmla="*/ 0 w 39"/>
            <a:gd name="T11" fmla="*/ 0 h 43"/>
            <a:gd name="T12" fmla="*/ 0 w 39"/>
            <a:gd name="T13" fmla="*/ 79489008 h 43"/>
            <a:gd name="T14" fmla="*/ 33821805 w 39"/>
            <a:gd name="T15" fmla="*/ 111284997 h 43"/>
            <a:gd name="T16" fmla="*/ 82135543 w 39"/>
            <a:gd name="T17" fmla="*/ 79489008 h 43"/>
            <a:gd name="T18" fmla="*/ 115957339 w 39"/>
            <a:gd name="T19" fmla="*/ 139105771 h 43"/>
            <a:gd name="T20" fmla="*/ 188430139 w 39"/>
            <a:gd name="T21" fmla="*/ 170901760 h 43"/>
            <a:gd name="T22" fmla="*/ 188430139 w 39"/>
            <a:gd name="T23" fmla="*/ 170901760 h 43"/>
            <a:gd name="T24" fmla="*/ 188430139 w 39"/>
            <a:gd name="T25" fmla="*/ 170901760 h 43"/>
            <a:gd name="T26" fmla="*/ 0 60000 65536"/>
            <a:gd name="T27" fmla="*/ 0 60000 65536"/>
            <a:gd name="T28" fmla="*/ 0 60000 65536"/>
            <a:gd name="T29" fmla="*/ 0 60000 65536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w 39"/>
            <a:gd name="T40" fmla="*/ 0 h 43"/>
            <a:gd name="T41" fmla="*/ 39 w 39"/>
            <a:gd name="T42" fmla="*/ 43 h 43"/>
          </a:gdLst>
          <a:ahLst/>
          <a:cxnLst>
            <a:cxn ang="T26">
              <a:pos x="T0" y="T1"/>
            </a:cxn>
            <a:cxn ang="T27">
              <a:pos x="T2" y="T3"/>
            </a:cxn>
            <a:cxn ang="T28">
              <a:pos x="T4" y="T5"/>
            </a:cxn>
            <a:cxn ang="T29">
              <a:pos x="T6" y="T7"/>
            </a:cxn>
            <a:cxn ang="T30">
              <a:pos x="T8" y="T9"/>
            </a:cxn>
            <a:cxn ang="T31">
              <a:pos x="T10" y="T11"/>
            </a:cxn>
            <a:cxn ang="T32">
              <a:pos x="T12" y="T13"/>
            </a:cxn>
            <a:cxn ang="T33">
              <a:pos x="T14" y="T15"/>
            </a:cxn>
            <a:cxn ang="T34">
              <a:pos x="T16" y="T17"/>
            </a:cxn>
            <a:cxn ang="T35">
              <a:pos x="T18" y="T19"/>
            </a:cxn>
            <a:cxn ang="T36">
              <a:pos x="T20" y="T21"/>
            </a:cxn>
            <a:cxn ang="T37">
              <a:pos x="T22" y="T23"/>
            </a:cxn>
            <a:cxn ang="T38">
              <a:pos x="T24" y="T25"/>
            </a:cxn>
          </a:cxnLst>
          <a:rect l="T39" t="T40" r="T41" b="T42"/>
          <a:pathLst>
            <a:path w="39" h="43">
              <a:moveTo>
                <a:pt x="39" y="43"/>
              </a:moveTo>
              <a:lnTo>
                <a:pt x="39" y="28"/>
              </a:lnTo>
              <a:lnTo>
                <a:pt x="29" y="20"/>
              </a:lnTo>
              <a:lnTo>
                <a:pt x="29" y="13"/>
              </a:lnTo>
              <a:lnTo>
                <a:pt x="24" y="13"/>
              </a:lnTo>
              <a:lnTo>
                <a:pt x="0" y="0"/>
              </a:lnTo>
              <a:lnTo>
                <a:pt x="0" y="20"/>
              </a:lnTo>
              <a:lnTo>
                <a:pt x="7" y="28"/>
              </a:lnTo>
              <a:lnTo>
                <a:pt x="17" y="20"/>
              </a:lnTo>
              <a:lnTo>
                <a:pt x="24" y="35"/>
              </a:lnTo>
              <a:lnTo>
                <a:pt x="39" y="43"/>
              </a:lnTo>
              <a:close/>
            </a:path>
          </a:pathLst>
        </a:custGeom>
        <a:solidFill>
          <a:srgbClr val="F5F5F5"/>
        </a:solidFill>
        <a:ln w="9525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36576" tIns="32004" rIns="0" bIns="0" anchor="t"/>
        <a:lstStyle/>
        <a:p>
          <a:pPr algn="l" rtl="0">
            <a:defRPr sz="1000"/>
          </a:pPr>
          <a:endParaRPr lang="en-US" sz="16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en-US"/>
        </a:p>
      </xdr:txBody>
    </xdr:sp>
    <xdr:clientData/>
  </xdr:twoCellAnchor>
  <xdr:twoCellAnchor>
    <xdr:from>
      <xdr:col>6</xdr:col>
      <xdr:colOff>171450</xdr:colOff>
      <xdr:row>29</xdr:row>
      <xdr:rowOff>76200</xdr:rowOff>
    </xdr:from>
    <xdr:to>
      <xdr:col>6</xdr:col>
      <xdr:colOff>333375</xdr:colOff>
      <xdr:row>29</xdr:row>
      <xdr:rowOff>142875</xdr:rowOff>
    </xdr:to>
    <xdr:sp macro="" textlink="">
      <xdr:nvSpPr>
        <xdr:cNvPr id="25755" name="S_PAN"/>
        <xdr:cNvSpPr>
          <a:spLocks/>
        </xdr:cNvSpPr>
      </xdr:nvSpPr>
      <xdr:spPr bwMode="auto">
        <a:xfrm>
          <a:off x="3143250" y="4619625"/>
          <a:ext cx="161925" cy="66675"/>
        </a:xfrm>
        <a:custGeom>
          <a:avLst/>
          <a:gdLst>
            <a:gd name="T0" fmla="*/ 0 w 77"/>
            <a:gd name="T1" fmla="*/ 54435366 h 35"/>
            <a:gd name="T2" fmla="*/ 141514048 w 77"/>
            <a:gd name="T3" fmla="*/ 97983662 h 35"/>
            <a:gd name="T4" fmla="*/ 141514048 w 77"/>
            <a:gd name="T5" fmla="*/ 127015879 h 35"/>
            <a:gd name="T6" fmla="*/ 168046605 w 77"/>
            <a:gd name="T7" fmla="*/ 97983662 h 35"/>
            <a:gd name="T8" fmla="*/ 309560653 w 77"/>
            <a:gd name="T9" fmla="*/ 127015879 h 35"/>
            <a:gd name="T10" fmla="*/ 340515654 w 77"/>
            <a:gd name="T11" fmla="*/ 79838545 h 35"/>
            <a:gd name="T12" fmla="*/ 212268936 w 77"/>
            <a:gd name="T13" fmla="*/ 0 h 35"/>
            <a:gd name="T14" fmla="*/ 110556911 w 77"/>
            <a:gd name="T15" fmla="*/ 18145125 h 35"/>
            <a:gd name="T16" fmla="*/ 75179467 w 77"/>
            <a:gd name="T17" fmla="*/ 18145125 h 35"/>
            <a:gd name="T18" fmla="*/ 0 w 77"/>
            <a:gd name="T19" fmla="*/ 0 h 35"/>
            <a:gd name="T20" fmla="*/ 0 w 77"/>
            <a:gd name="T21" fmla="*/ 54435366 h 35"/>
            <a:gd name="T22" fmla="*/ 0 w 77"/>
            <a:gd name="T23" fmla="*/ 54435366 h 35"/>
            <a:gd name="T24" fmla="*/ 0 60000 65536"/>
            <a:gd name="T25" fmla="*/ 0 60000 65536"/>
            <a:gd name="T26" fmla="*/ 0 60000 65536"/>
            <a:gd name="T27" fmla="*/ 0 60000 65536"/>
            <a:gd name="T28" fmla="*/ 0 60000 65536"/>
            <a:gd name="T29" fmla="*/ 0 60000 65536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w 77"/>
            <a:gd name="T37" fmla="*/ 0 h 35"/>
            <a:gd name="T38" fmla="*/ 77 w 77"/>
            <a:gd name="T39" fmla="*/ 35 h 35"/>
          </a:gdLst>
          <a:ahLst/>
          <a:cxnLst>
            <a:cxn ang="T24">
              <a:pos x="T0" y="T1"/>
            </a:cxn>
            <a:cxn ang="T25">
              <a:pos x="T2" y="T3"/>
            </a:cxn>
            <a:cxn ang="T26">
              <a:pos x="T4" y="T5"/>
            </a:cxn>
            <a:cxn ang="T27">
              <a:pos x="T6" y="T7"/>
            </a:cxn>
            <a:cxn ang="T28">
              <a:pos x="T8" y="T9"/>
            </a:cxn>
            <a:cxn ang="T29">
              <a:pos x="T10" y="T11"/>
            </a:cxn>
            <a:cxn ang="T30">
              <a:pos x="T12" y="T13"/>
            </a:cxn>
            <a:cxn ang="T31">
              <a:pos x="T14" y="T15"/>
            </a:cxn>
            <a:cxn ang="T32">
              <a:pos x="T16" y="T17"/>
            </a:cxn>
            <a:cxn ang="T33">
              <a:pos x="T18" y="T19"/>
            </a:cxn>
            <a:cxn ang="T34">
              <a:pos x="T20" y="T21"/>
            </a:cxn>
            <a:cxn ang="T35">
              <a:pos x="T22" y="T23"/>
            </a:cxn>
          </a:cxnLst>
          <a:rect l="T36" t="T37" r="T38" b="T39"/>
          <a:pathLst>
            <a:path w="77" h="35">
              <a:moveTo>
                <a:pt x="0" y="15"/>
              </a:moveTo>
              <a:lnTo>
                <a:pt x="32" y="27"/>
              </a:lnTo>
              <a:lnTo>
                <a:pt x="32" y="35"/>
              </a:lnTo>
              <a:lnTo>
                <a:pt x="38" y="27"/>
              </a:lnTo>
              <a:lnTo>
                <a:pt x="70" y="35"/>
              </a:lnTo>
              <a:lnTo>
                <a:pt x="77" y="22"/>
              </a:lnTo>
              <a:lnTo>
                <a:pt x="48" y="0"/>
              </a:lnTo>
              <a:lnTo>
                <a:pt x="25" y="5"/>
              </a:lnTo>
              <a:lnTo>
                <a:pt x="17" y="5"/>
              </a:lnTo>
              <a:lnTo>
                <a:pt x="0" y="0"/>
              </a:lnTo>
              <a:lnTo>
                <a:pt x="0" y="15"/>
              </a:lnTo>
              <a:close/>
            </a:path>
          </a:pathLst>
        </a:custGeom>
        <a:solidFill>
          <a:srgbClr val="F5F5F5"/>
        </a:solidFill>
        <a:ln w="9525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36576" tIns="32004" rIns="0" bIns="0" anchor="t"/>
        <a:lstStyle/>
        <a:p>
          <a:pPr algn="l" rtl="0">
            <a:defRPr sz="1000"/>
          </a:pPr>
          <a:endParaRPr lang="en-US" sz="16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en-US"/>
        </a:p>
      </xdr:txBody>
    </xdr:sp>
    <xdr:clientData/>
  </xdr:twoCellAnchor>
  <xdr:twoCellAnchor>
    <xdr:from>
      <xdr:col>6</xdr:col>
      <xdr:colOff>285750</xdr:colOff>
      <xdr:row>28</xdr:row>
      <xdr:rowOff>142875</xdr:rowOff>
    </xdr:from>
    <xdr:to>
      <xdr:col>6</xdr:col>
      <xdr:colOff>600075</xdr:colOff>
      <xdr:row>32</xdr:row>
      <xdr:rowOff>0</xdr:rowOff>
    </xdr:to>
    <xdr:sp macro="" textlink="">
      <xdr:nvSpPr>
        <xdr:cNvPr id="25756" name="S_COL"/>
        <xdr:cNvSpPr>
          <a:spLocks/>
        </xdr:cNvSpPr>
      </xdr:nvSpPr>
      <xdr:spPr bwMode="auto">
        <a:xfrm>
          <a:off x="3257550" y="4524375"/>
          <a:ext cx="314325" cy="504825"/>
        </a:xfrm>
        <a:custGeom>
          <a:avLst/>
          <a:gdLst>
            <a:gd name="T0" fmla="*/ 511780090 w 149"/>
            <a:gd name="T1" fmla="*/ 1053092064 h 242"/>
            <a:gd name="T2" fmla="*/ 574084052 w 149"/>
            <a:gd name="T3" fmla="*/ 900785148 h 242"/>
            <a:gd name="T4" fmla="*/ 511780090 w 149"/>
            <a:gd name="T5" fmla="*/ 765884260 h 242"/>
            <a:gd name="T6" fmla="*/ 574084052 w 149"/>
            <a:gd name="T7" fmla="*/ 765884260 h 242"/>
            <a:gd name="T8" fmla="*/ 511780090 w 149"/>
            <a:gd name="T9" fmla="*/ 731072205 h 242"/>
            <a:gd name="T10" fmla="*/ 511780090 w 149"/>
            <a:gd name="T11" fmla="*/ 691908642 h 242"/>
            <a:gd name="T12" fmla="*/ 663088620 w 149"/>
            <a:gd name="T13" fmla="*/ 691908642 h 242"/>
            <a:gd name="T14" fmla="*/ 663088620 w 149"/>
            <a:gd name="T15" fmla="*/ 600522824 h 242"/>
            <a:gd name="T16" fmla="*/ 631936705 w 149"/>
            <a:gd name="T17" fmla="*/ 530898582 h 242"/>
            <a:gd name="T18" fmla="*/ 663088620 w 149"/>
            <a:gd name="T19" fmla="*/ 400349201 h 242"/>
            <a:gd name="T20" fmla="*/ 574084052 w 149"/>
            <a:gd name="T21" fmla="*/ 400349201 h 242"/>
            <a:gd name="T22" fmla="*/ 511780090 w 149"/>
            <a:gd name="T23" fmla="*/ 365537145 h 242"/>
            <a:gd name="T24" fmla="*/ 422775522 w 149"/>
            <a:gd name="T25" fmla="*/ 365537145 h 242"/>
            <a:gd name="T26" fmla="*/ 378272183 w 149"/>
            <a:gd name="T27" fmla="*/ 335074511 h 242"/>
            <a:gd name="T28" fmla="*/ 378272183 w 149"/>
            <a:gd name="T29" fmla="*/ 269799755 h 242"/>
            <a:gd name="T30" fmla="*/ 329319776 w 149"/>
            <a:gd name="T31" fmla="*/ 204527150 h 242"/>
            <a:gd name="T32" fmla="*/ 445025082 w 149"/>
            <a:gd name="T33" fmla="*/ 43517172 h 242"/>
            <a:gd name="T34" fmla="*/ 422775522 w 149"/>
            <a:gd name="T35" fmla="*/ 0 h 242"/>
            <a:gd name="T36" fmla="*/ 222512541 w 149"/>
            <a:gd name="T37" fmla="*/ 130549414 h 242"/>
            <a:gd name="T38" fmla="*/ 191360626 w 149"/>
            <a:gd name="T39" fmla="*/ 204527150 h 242"/>
            <a:gd name="T40" fmla="*/ 97904847 w 149"/>
            <a:gd name="T41" fmla="*/ 234987699 h 242"/>
            <a:gd name="T42" fmla="*/ 102356025 w 149"/>
            <a:gd name="T43" fmla="*/ 261096741 h 242"/>
            <a:gd name="T44" fmla="*/ 97904847 w 149"/>
            <a:gd name="T45" fmla="*/ 278502834 h 242"/>
            <a:gd name="T46" fmla="*/ 97904847 w 149"/>
            <a:gd name="T47" fmla="*/ 269799755 h 242"/>
            <a:gd name="T48" fmla="*/ 66752915 w 149"/>
            <a:gd name="T49" fmla="*/ 335074511 h 242"/>
            <a:gd name="T50" fmla="*/ 66752915 w 149"/>
            <a:gd name="T51" fmla="*/ 561359261 h 242"/>
            <a:gd name="T52" fmla="*/ 97904847 w 149"/>
            <a:gd name="T53" fmla="*/ 561359261 h 242"/>
            <a:gd name="T54" fmla="*/ 66752915 w 149"/>
            <a:gd name="T55" fmla="*/ 665797514 h 242"/>
            <a:gd name="T56" fmla="*/ 44503355 w 149"/>
            <a:gd name="T57" fmla="*/ 665797514 h 242"/>
            <a:gd name="T58" fmla="*/ 44503355 w 149"/>
            <a:gd name="T59" fmla="*/ 691908642 h 242"/>
            <a:gd name="T60" fmla="*/ 0 w 149"/>
            <a:gd name="T61" fmla="*/ 691908642 h 242"/>
            <a:gd name="T62" fmla="*/ 0 w 149"/>
            <a:gd name="T63" fmla="*/ 731072205 h 242"/>
            <a:gd name="T64" fmla="*/ 97904847 w 149"/>
            <a:gd name="T65" fmla="*/ 805049909 h 242"/>
            <a:gd name="T66" fmla="*/ 191360626 w 149"/>
            <a:gd name="T67" fmla="*/ 765884260 h 242"/>
            <a:gd name="T68" fmla="*/ 329319776 w 149"/>
            <a:gd name="T69" fmla="*/ 966059839 h 242"/>
            <a:gd name="T70" fmla="*/ 476176997 w 149"/>
            <a:gd name="T71" fmla="*/ 935599290 h 242"/>
            <a:gd name="T72" fmla="*/ 511780090 w 149"/>
            <a:gd name="T73" fmla="*/ 966059839 h 242"/>
            <a:gd name="T74" fmla="*/ 511780090 w 149"/>
            <a:gd name="T75" fmla="*/ 987817373 h 242"/>
            <a:gd name="T76" fmla="*/ 476176997 w 149"/>
            <a:gd name="T77" fmla="*/ 987817373 h 242"/>
            <a:gd name="T78" fmla="*/ 511780090 w 149"/>
            <a:gd name="T79" fmla="*/ 1053092064 h 242"/>
            <a:gd name="T80" fmla="*/ 511780090 w 149"/>
            <a:gd name="T81" fmla="*/ 1053092064 h 242"/>
            <a:gd name="T82" fmla="*/ 511780090 w 149"/>
            <a:gd name="T83" fmla="*/ 1053092064 h 242"/>
            <a:gd name="T84" fmla="*/ 0 60000 65536"/>
            <a:gd name="T85" fmla="*/ 0 60000 65536"/>
            <a:gd name="T86" fmla="*/ 0 60000 65536"/>
            <a:gd name="T87" fmla="*/ 0 60000 65536"/>
            <a:gd name="T88" fmla="*/ 0 60000 65536"/>
            <a:gd name="T89" fmla="*/ 0 60000 65536"/>
            <a:gd name="T90" fmla="*/ 0 60000 65536"/>
            <a:gd name="T91" fmla="*/ 0 60000 65536"/>
            <a:gd name="T92" fmla="*/ 0 60000 65536"/>
            <a:gd name="T93" fmla="*/ 0 60000 65536"/>
            <a:gd name="T94" fmla="*/ 0 60000 65536"/>
            <a:gd name="T95" fmla="*/ 0 60000 65536"/>
            <a:gd name="T96" fmla="*/ 0 60000 65536"/>
            <a:gd name="T97" fmla="*/ 0 60000 65536"/>
            <a:gd name="T98" fmla="*/ 0 60000 65536"/>
            <a:gd name="T99" fmla="*/ 0 60000 65536"/>
            <a:gd name="T100" fmla="*/ 0 60000 65536"/>
            <a:gd name="T101" fmla="*/ 0 60000 65536"/>
            <a:gd name="T102" fmla="*/ 0 60000 65536"/>
            <a:gd name="T103" fmla="*/ 0 60000 65536"/>
            <a:gd name="T104" fmla="*/ 0 60000 65536"/>
            <a:gd name="T105" fmla="*/ 0 60000 65536"/>
            <a:gd name="T106" fmla="*/ 0 60000 65536"/>
            <a:gd name="T107" fmla="*/ 0 60000 65536"/>
            <a:gd name="T108" fmla="*/ 0 60000 65536"/>
            <a:gd name="T109" fmla="*/ 0 60000 65536"/>
            <a:gd name="T110" fmla="*/ 0 60000 65536"/>
            <a:gd name="T111" fmla="*/ 0 60000 65536"/>
            <a:gd name="T112" fmla="*/ 0 60000 65536"/>
            <a:gd name="T113" fmla="*/ 0 60000 65536"/>
            <a:gd name="T114" fmla="*/ 0 60000 65536"/>
            <a:gd name="T115" fmla="*/ 0 60000 65536"/>
            <a:gd name="T116" fmla="*/ 0 60000 65536"/>
            <a:gd name="T117" fmla="*/ 0 60000 65536"/>
            <a:gd name="T118" fmla="*/ 0 60000 65536"/>
            <a:gd name="T119" fmla="*/ 0 60000 65536"/>
            <a:gd name="T120" fmla="*/ 0 60000 65536"/>
            <a:gd name="T121" fmla="*/ 0 60000 65536"/>
            <a:gd name="T122" fmla="*/ 0 60000 65536"/>
            <a:gd name="T123" fmla="*/ 0 60000 65536"/>
            <a:gd name="T124" fmla="*/ 0 60000 65536"/>
            <a:gd name="T125" fmla="*/ 0 60000 65536"/>
            <a:gd name="T126" fmla="*/ 0 w 149"/>
            <a:gd name="T127" fmla="*/ 0 h 242"/>
            <a:gd name="T128" fmla="*/ 149 w 149"/>
            <a:gd name="T129" fmla="*/ 242 h 242"/>
          </a:gdLst>
          <a:ahLst/>
          <a:cxnLst>
            <a:cxn ang="T84">
              <a:pos x="T0" y="T1"/>
            </a:cxn>
            <a:cxn ang="T85">
              <a:pos x="T2" y="T3"/>
            </a:cxn>
            <a:cxn ang="T86">
              <a:pos x="T4" y="T5"/>
            </a:cxn>
            <a:cxn ang="T87">
              <a:pos x="T6" y="T7"/>
            </a:cxn>
            <a:cxn ang="T88">
              <a:pos x="T8" y="T9"/>
            </a:cxn>
            <a:cxn ang="T89">
              <a:pos x="T10" y="T11"/>
            </a:cxn>
            <a:cxn ang="T90">
              <a:pos x="T12" y="T13"/>
            </a:cxn>
            <a:cxn ang="T91">
              <a:pos x="T14" y="T15"/>
            </a:cxn>
            <a:cxn ang="T92">
              <a:pos x="T16" y="T17"/>
            </a:cxn>
            <a:cxn ang="T93">
              <a:pos x="T18" y="T19"/>
            </a:cxn>
            <a:cxn ang="T94">
              <a:pos x="T20" y="T21"/>
            </a:cxn>
            <a:cxn ang="T95">
              <a:pos x="T22" y="T23"/>
            </a:cxn>
            <a:cxn ang="T96">
              <a:pos x="T24" y="T25"/>
            </a:cxn>
            <a:cxn ang="T97">
              <a:pos x="T26" y="T27"/>
            </a:cxn>
            <a:cxn ang="T98">
              <a:pos x="T28" y="T29"/>
            </a:cxn>
            <a:cxn ang="T99">
              <a:pos x="T30" y="T31"/>
            </a:cxn>
            <a:cxn ang="T100">
              <a:pos x="T32" y="T33"/>
            </a:cxn>
            <a:cxn ang="T101">
              <a:pos x="T34" y="T35"/>
            </a:cxn>
            <a:cxn ang="T102">
              <a:pos x="T36" y="T37"/>
            </a:cxn>
            <a:cxn ang="T103">
              <a:pos x="T38" y="T39"/>
            </a:cxn>
            <a:cxn ang="T104">
              <a:pos x="T40" y="T41"/>
            </a:cxn>
            <a:cxn ang="T105">
              <a:pos x="T42" y="T43"/>
            </a:cxn>
            <a:cxn ang="T106">
              <a:pos x="T44" y="T45"/>
            </a:cxn>
            <a:cxn ang="T107">
              <a:pos x="T46" y="T47"/>
            </a:cxn>
            <a:cxn ang="T108">
              <a:pos x="T48" y="T49"/>
            </a:cxn>
            <a:cxn ang="T109">
              <a:pos x="T50" y="T51"/>
            </a:cxn>
            <a:cxn ang="T110">
              <a:pos x="T52" y="T53"/>
            </a:cxn>
            <a:cxn ang="T111">
              <a:pos x="T54" y="T55"/>
            </a:cxn>
            <a:cxn ang="T112">
              <a:pos x="T56" y="T57"/>
            </a:cxn>
            <a:cxn ang="T113">
              <a:pos x="T58" y="T59"/>
            </a:cxn>
            <a:cxn ang="T114">
              <a:pos x="T60" y="T61"/>
            </a:cxn>
            <a:cxn ang="T115">
              <a:pos x="T62" y="T63"/>
            </a:cxn>
            <a:cxn ang="T116">
              <a:pos x="T64" y="T65"/>
            </a:cxn>
            <a:cxn ang="T117">
              <a:pos x="T66" y="T67"/>
            </a:cxn>
            <a:cxn ang="T118">
              <a:pos x="T68" y="T69"/>
            </a:cxn>
            <a:cxn ang="T119">
              <a:pos x="T70" y="T71"/>
            </a:cxn>
            <a:cxn ang="T120">
              <a:pos x="T72" y="T73"/>
            </a:cxn>
            <a:cxn ang="T121">
              <a:pos x="T74" y="T75"/>
            </a:cxn>
            <a:cxn ang="T122">
              <a:pos x="T76" y="T77"/>
            </a:cxn>
            <a:cxn ang="T123">
              <a:pos x="T78" y="T79"/>
            </a:cxn>
            <a:cxn ang="T124">
              <a:pos x="T80" y="T81"/>
            </a:cxn>
            <a:cxn ang="T125">
              <a:pos x="T82" y="T83"/>
            </a:cxn>
          </a:cxnLst>
          <a:rect l="T126" t="T127" r="T128" b="T129"/>
          <a:pathLst>
            <a:path w="149" h="242">
              <a:moveTo>
                <a:pt x="115" y="242"/>
              </a:moveTo>
              <a:lnTo>
                <a:pt x="129" y="207"/>
              </a:lnTo>
              <a:lnTo>
                <a:pt x="115" y="176"/>
              </a:lnTo>
              <a:lnTo>
                <a:pt x="129" y="176"/>
              </a:lnTo>
              <a:lnTo>
                <a:pt x="115" y="168"/>
              </a:lnTo>
              <a:lnTo>
                <a:pt x="115" y="159"/>
              </a:lnTo>
              <a:lnTo>
                <a:pt x="149" y="159"/>
              </a:lnTo>
              <a:lnTo>
                <a:pt x="149" y="138"/>
              </a:lnTo>
              <a:lnTo>
                <a:pt x="142" y="122"/>
              </a:lnTo>
              <a:lnTo>
                <a:pt x="149" y="92"/>
              </a:lnTo>
              <a:lnTo>
                <a:pt x="129" y="92"/>
              </a:lnTo>
              <a:lnTo>
                <a:pt x="115" y="84"/>
              </a:lnTo>
              <a:lnTo>
                <a:pt x="95" y="84"/>
              </a:lnTo>
              <a:lnTo>
                <a:pt x="85" y="77"/>
              </a:lnTo>
              <a:lnTo>
                <a:pt x="85" y="62"/>
              </a:lnTo>
              <a:lnTo>
                <a:pt x="74" y="47"/>
              </a:lnTo>
              <a:lnTo>
                <a:pt x="100" y="10"/>
              </a:lnTo>
              <a:lnTo>
                <a:pt x="95" y="0"/>
              </a:lnTo>
              <a:lnTo>
                <a:pt x="50" y="30"/>
              </a:lnTo>
              <a:lnTo>
                <a:pt x="43" y="47"/>
              </a:lnTo>
              <a:lnTo>
                <a:pt x="22" y="54"/>
              </a:lnTo>
              <a:lnTo>
                <a:pt x="23" y="60"/>
              </a:lnTo>
              <a:lnTo>
                <a:pt x="22" y="64"/>
              </a:lnTo>
              <a:lnTo>
                <a:pt x="22" y="62"/>
              </a:lnTo>
              <a:lnTo>
                <a:pt x="15" y="77"/>
              </a:lnTo>
              <a:lnTo>
                <a:pt x="15" y="129"/>
              </a:lnTo>
              <a:lnTo>
                <a:pt x="22" y="129"/>
              </a:lnTo>
              <a:lnTo>
                <a:pt x="15" y="153"/>
              </a:lnTo>
              <a:lnTo>
                <a:pt x="10" y="153"/>
              </a:lnTo>
              <a:lnTo>
                <a:pt x="10" y="159"/>
              </a:lnTo>
              <a:lnTo>
                <a:pt x="0" y="159"/>
              </a:lnTo>
              <a:lnTo>
                <a:pt x="0" y="168"/>
              </a:lnTo>
              <a:lnTo>
                <a:pt x="22" y="185"/>
              </a:lnTo>
              <a:lnTo>
                <a:pt x="43" y="176"/>
              </a:lnTo>
              <a:lnTo>
                <a:pt x="74" y="222"/>
              </a:lnTo>
              <a:lnTo>
                <a:pt x="107" y="215"/>
              </a:lnTo>
              <a:lnTo>
                <a:pt x="115" y="222"/>
              </a:lnTo>
              <a:lnTo>
                <a:pt x="115" y="227"/>
              </a:lnTo>
              <a:lnTo>
                <a:pt x="107" y="227"/>
              </a:lnTo>
              <a:lnTo>
                <a:pt x="115" y="242"/>
              </a:lnTo>
              <a:close/>
            </a:path>
          </a:pathLst>
        </a:custGeom>
        <a:solidFill>
          <a:srgbClr val="F5F5F5"/>
        </a:solidFill>
        <a:ln w="9525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36576" tIns="32004" rIns="0" bIns="0" anchor="t"/>
        <a:lstStyle/>
        <a:p>
          <a:pPr algn="l" rtl="0">
            <a:defRPr sz="1000"/>
          </a:pPr>
          <a:endParaRPr lang="en-US" sz="16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en-US"/>
        </a:p>
      </xdr:txBody>
    </xdr:sp>
    <xdr:clientData/>
  </xdr:twoCellAnchor>
  <xdr:twoCellAnchor>
    <xdr:from>
      <xdr:col>6</xdr:col>
      <xdr:colOff>228600</xdr:colOff>
      <xdr:row>31</xdr:row>
      <xdr:rowOff>0</xdr:rowOff>
    </xdr:from>
    <xdr:to>
      <xdr:col>6</xdr:col>
      <xdr:colOff>390525</xdr:colOff>
      <xdr:row>32</xdr:row>
      <xdr:rowOff>28575</xdr:rowOff>
    </xdr:to>
    <xdr:sp macro="" textlink="">
      <xdr:nvSpPr>
        <xdr:cNvPr id="25757" name="S_ECU"/>
        <xdr:cNvSpPr>
          <a:spLocks/>
        </xdr:cNvSpPr>
      </xdr:nvSpPr>
      <xdr:spPr bwMode="auto">
        <a:xfrm>
          <a:off x="3200400" y="4867275"/>
          <a:ext cx="161925" cy="190500"/>
        </a:xfrm>
        <a:custGeom>
          <a:avLst/>
          <a:gdLst>
            <a:gd name="T0" fmla="*/ 340515654 w 77"/>
            <a:gd name="T1" fmla="*/ 65735055 h 91"/>
            <a:gd name="T2" fmla="*/ 313980994 w 77"/>
            <a:gd name="T3" fmla="*/ 39441877 h 91"/>
            <a:gd name="T4" fmla="*/ 216691380 w 77"/>
            <a:gd name="T5" fmla="*/ 65735055 h 91"/>
            <a:gd name="T6" fmla="*/ 119401798 w 77"/>
            <a:gd name="T7" fmla="*/ 0 h 91"/>
            <a:gd name="T8" fmla="*/ 22112225 w 77"/>
            <a:gd name="T9" fmla="*/ 39441877 h 91"/>
            <a:gd name="T10" fmla="*/ 22112225 w 77"/>
            <a:gd name="T11" fmla="*/ 65735055 h 91"/>
            <a:gd name="T12" fmla="*/ 0 w 77"/>
            <a:gd name="T13" fmla="*/ 131470109 h 91"/>
            <a:gd name="T14" fmla="*/ 0 w 77"/>
            <a:gd name="T15" fmla="*/ 201588773 h 91"/>
            <a:gd name="T16" fmla="*/ 22112225 w 77"/>
            <a:gd name="T17" fmla="*/ 258558720 h 91"/>
            <a:gd name="T18" fmla="*/ 22112225 w 77"/>
            <a:gd name="T19" fmla="*/ 236647041 h 91"/>
            <a:gd name="T20" fmla="*/ 61912121 w 77"/>
            <a:gd name="T21" fmla="*/ 236647041 h 91"/>
            <a:gd name="T22" fmla="*/ 22112225 w 77"/>
            <a:gd name="T23" fmla="*/ 258558720 h 91"/>
            <a:gd name="T24" fmla="*/ 0 w 77"/>
            <a:gd name="T25" fmla="*/ 363735685 h 91"/>
            <a:gd name="T26" fmla="*/ 61912121 w 77"/>
            <a:gd name="T27" fmla="*/ 398793953 h 91"/>
            <a:gd name="T28" fmla="*/ 185736379 w 77"/>
            <a:gd name="T29" fmla="*/ 258558720 h 91"/>
            <a:gd name="T30" fmla="*/ 313980994 w 77"/>
            <a:gd name="T31" fmla="*/ 201588773 h 91"/>
            <a:gd name="T32" fmla="*/ 340515654 w 77"/>
            <a:gd name="T33" fmla="*/ 131470109 h 91"/>
            <a:gd name="T34" fmla="*/ 313980994 w 77"/>
            <a:gd name="T35" fmla="*/ 65735055 h 91"/>
            <a:gd name="T36" fmla="*/ 340515654 w 77"/>
            <a:gd name="T37" fmla="*/ 65735055 h 91"/>
            <a:gd name="T38" fmla="*/ 340515654 w 77"/>
            <a:gd name="T39" fmla="*/ 65735055 h 91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60000 65536"/>
            <a:gd name="T52" fmla="*/ 0 60000 65536"/>
            <a:gd name="T53" fmla="*/ 0 60000 65536"/>
            <a:gd name="T54" fmla="*/ 0 60000 65536"/>
            <a:gd name="T55" fmla="*/ 0 60000 65536"/>
            <a:gd name="T56" fmla="*/ 0 60000 65536"/>
            <a:gd name="T57" fmla="*/ 0 60000 65536"/>
            <a:gd name="T58" fmla="*/ 0 60000 65536"/>
            <a:gd name="T59" fmla="*/ 0 60000 65536"/>
            <a:gd name="T60" fmla="*/ 0 w 77"/>
            <a:gd name="T61" fmla="*/ 0 h 91"/>
            <a:gd name="T62" fmla="*/ 77 w 77"/>
            <a:gd name="T63" fmla="*/ 91 h 91"/>
          </a:gdLst>
          <a:ahLst/>
          <a:cxnLst>
            <a:cxn ang="T40">
              <a:pos x="T0" y="T1"/>
            </a:cxn>
            <a:cxn ang="T41">
              <a:pos x="T2" y="T3"/>
            </a:cxn>
            <a:cxn ang="T42">
              <a:pos x="T4" y="T5"/>
            </a:cxn>
            <a:cxn ang="T43">
              <a:pos x="T6" y="T7"/>
            </a:cxn>
            <a:cxn ang="T44">
              <a:pos x="T8" y="T9"/>
            </a:cxn>
            <a:cxn ang="T45">
              <a:pos x="T10" y="T11"/>
            </a:cxn>
            <a:cxn ang="T46">
              <a:pos x="T12" y="T13"/>
            </a:cxn>
            <a:cxn ang="T47">
              <a:pos x="T14" y="T15"/>
            </a:cxn>
            <a:cxn ang="T48">
              <a:pos x="T16" y="T17"/>
            </a:cxn>
            <a:cxn ang="T49">
              <a:pos x="T18" y="T19"/>
            </a:cxn>
            <a:cxn ang="T50">
              <a:pos x="T20" y="T21"/>
            </a:cxn>
            <a:cxn ang="T51">
              <a:pos x="T22" y="T23"/>
            </a:cxn>
            <a:cxn ang="T52">
              <a:pos x="T24" y="T25"/>
            </a:cxn>
            <a:cxn ang="T53">
              <a:pos x="T26" y="T27"/>
            </a:cxn>
            <a:cxn ang="T54">
              <a:pos x="T28" y="T29"/>
            </a:cxn>
            <a:cxn ang="T55">
              <a:pos x="T30" y="T31"/>
            </a:cxn>
            <a:cxn ang="T56">
              <a:pos x="T32" y="T33"/>
            </a:cxn>
            <a:cxn ang="T57">
              <a:pos x="T34" y="T35"/>
            </a:cxn>
            <a:cxn ang="T58">
              <a:pos x="T36" y="T37"/>
            </a:cxn>
            <a:cxn ang="T59">
              <a:pos x="T38" y="T39"/>
            </a:cxn>
          </a:cxnLst>
          <a:rect l="T60" t="T61" r="T62" b="T63"/>
          <a:pathLst>
            <a:path w="77" h="91">
              <a:moveTo>
                <a:pt x="77" y="15"/>
              </a:moveTo>
              <a:lnTo>
                <a:pt x="71" y="9"/>
              </a:lnTo>
              <a:lnTo>
                <a:pt x="49" y="15"/>
              </a:lnTo>
              <a:lnTo>
                <a:pt x="27" y="0"/>
              </a:lnTo>
              <a:lnTo>
                <a:pt x="5" y="9"/>
              </a:lnTo>
              <a:lnTo>
                <a:pt x="5" y="15"/>
              </a:lnTo>
              <a:lnTo>
                <a:pt x="0" y="30"/>
              </a:lnTo>
              <a:lnTo>
                <a:pt x="0" y="46"/>
              </a:lnTo>
              <a:lnTo>
                <a:pt x="5" y="59"/>
              </a:lnTo>
              <a:lnTo>
                <a:pt x="5" y="54"/>
              </a:lnTo>
              <a:lnTo>
                <a:pt x="14" y="54"/>
              </a:lnTo>
              <a:lnTo>
                <a:pt x="5" y="59"/>
              </a:lnTo>
              <a:lnTo>
                <a:pt x="0" y="83"/>
              </a:lnTo>
              <a:lnTo>
                <a:pt x="14" y="91"/>
              </a:lnTo>
              <a:lnTo>
                <a:pt x="42" y="59"/>
              </a:lnTo>
              <a:lnTo>
                <a:pt x="71" y="46"/>
              </a:lnTo>
              <a:lnTo>
                <a:pt x="77" y="30"/>
              </a:lnTo>
              <a:lnTo>
                <a:pt x="71" y="15"/>
              </a:lnTo>
              <a:lnTo>
                <a:pt x="77" y="15"/>
              </a:lnTo>
              <a:close/>
            </a:path>
          </a:pathLst>
        </a:custGeom>
        <a:solidFill>
          <a:srgbClr val="F5F5F5"/>
        </a:solidFill>
        <a:ln w="9525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36576" tIns="32004" rIns="0" bIns="0" anchor="t"/>
        <a:lstStyle/>
        <a:p>
          <a:pPr algn="l" rtl="0">
            <a:defRPr sz="1000"/>
          </a:pPr>
          <a:endParaRPr lang="en-US" sz="16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en-US"/>
        </a:p>
      </xdr:txBody>
    </xdr:sp>
    <xdr:clientData/>
  </xdr:twoCellAnchor>
  <xdr:twoCellAnchor>
    <xdr:from>
      <xdr:col>6</xdr:col>
      <xdr:colOff>209550</xdr:colOff>
      <xdr:row>31</xdr:row>
      <xdr:rowOff>28575</xdr:rowOff>
    </xdr:from>
    <xdr:to>
      <xdr:col>6</xdr:col>
      <xdr:colOff>571500</xdr:colOff>
      <xdr:row>34</xdr:row>
      <xdr:rowOff>114300</xdr:rowOff>
    </xdr:to>
    <xdr:sp macro="" textlink="">
      <xdr:nvSpPr>
        <xdr:cNvPr id="25758" name="S_PER"/>
        <xdr:cNvSpPr>
          <a:spLocks/>
        </xdr:cNvSpPr>
      </xdr:nvSpPr>
      <xdr:spPr bwMode="auto">
        <a:xfrm>
          <a:off x="3181350" y="4895850"/>
          <a:ext cx="361950" cy="571500"/>
        </a:xfrm>
        <a:custGeom>
          <a:avLst/>
          <a:gdLst>
            <a:gd name="T0" fmla="*/ 734764852 w 171"/>
            <a:gd name="T1" fmla="*/ 697511497 h 272"/>
            <a:gd name="T2" fmla="*/ 636200188 w 171"/>
            <a:gd name="T3" fmla="*/ 697511497 h 272"/>
            <a:gd name="T4" fmla="*/ 636200188 w 171"/>
            <a:gd name="T5" fmla="*/ 631293167 h 272"/>
            <a:gd name="T6" fmla="*/ 577955892 w 171"/>
            <a:gd name="T7" fmla="*/ 666610590 h 272"/>
            <a:gd name="T8" fmla="*/ 479388978 w 171"/>
            <a:gd name="T9" fmla="*/ 631293167 h 272"/>
            <a:gd name="T10" fmla="*/ 443547474 w 171"/>
            <a:gd name="T11" fmla="*/ 494437757 h 272"/>
            <a:gd name="T12" fmla="*/ 542114255 w 171"/>
            <a:gd name="T13" fmla="*/ 331098088 h 272"/>
            <a:gd name="T14" fmla="*/ 676522673 w 171"/>
            <a:gd name="T15" fmla="*/ 264877590 h 272"/>
            <a:gd name="T16" fmla="*/ 636200188 w 171"/>
            <a:gd name="T17" fmla="*/ 198659260 h 272"/>
            <a:gd name="T18" fmla="*/ 676522673 w 171"/>
            <a:gd name="T19" fmla="*/ 198659260 h 272"/>
            <a:gd name="T20" fmla="*/ 676522673 w 171"/>
            <a:gd name="T21" fmla="*/ 167756251 h 272"/>
            <a:gd name="T22" fmla="*/ 636200188 w 171"/>
            <a:gd name="T23" fmla="*/ 132438795 h 272"/>
            <a:gd name="T24" fmla="*/ 479388978 w 171"/>
            <a:gd name="T25" fmla="*/ 167756251 h 272"/>
            <a:gd name="T26" fmla="*/ 376343331 w 171"/>
            <a:gd name="T27" fmla="*/ 0 h 272"/>
            <a:gd name="T28" fmla="*/ 353942656 w 171"/>
            <a:gd name="T29" fmla="*/ 0 h 272"/>
            <a:gd name="T30" fmla="*/ 376343331 w 171"/>
            <a:gd name="T31" fmla="*/ 66220448 h 272"/>
            <a:gd name="T32" fmla="*/ 353942656 w 171"/>
            <a:gd name="T33" fmla="*/ 132438795 h 272"/>
            <a:gd name="T34" fmla="*/ 224013170 w 171"/>
            <a:gd name="T35" fmla="*/ 198659260 h 272"/>
            <a:gd name="T36" fmla="*/ 98566815 w 171"/>
            <a:gd name="T37" fmla="*/ 331098088 h 272"/>
            <a:gd name="T38" fmla="*/ 35841520 w 171"/>
            <a:gd name="T39" fmla="*/ 295780664 h 272"/>
            <a:gd name="T40" fmla="*/ 58244312 w 171"/>
            <a:gd name="T41" fmla="*/ 198659260 h 272"/>
            <a:gd name="T42" fmla="*/ 0 w 171"/>
            <a:gd name="T43" fmla="*/ 295780664 h 272"/>
            <a:gd name="T44" fmla="*/ 35841520 w 171"/>
            <a:gd name="T45" fmla="*/ 361998995 h 272"/>
            <a:gd name="T46" fmla="*/ 0 w 171"/>
            <a:gd name="T47" fmla="*/ 361998995 h 272"/>
            <a:gd name="T48" fmla="*/ 58244312 w 171"/>
            <a:gd name="T49" fmla="*/ 467951265 h 272"/>
            <a:gd name="T50" fmla="*/ 156809027 w 171"/>
            <a:gd name="T51" fmla="*/ 534169596 h 272"/>
            <a:gd name="T52" fmla="*/ 353942656 w 171"/>
            <a:gd name="T53" fmla="*/ 971219954 h 272"/>
            <a:gd name="T54" fmla="*/ 636200188 w 171"/>
            <a:gd name="T55" fmla="*/ 1200780317 h 272"/>
            <a:gd name="T56" fmla="*/ 734764852 w 171"/>
            <a:gd name="T57" fmla="*/ 1169877309 h 272"/>
            <a:gd name="T58" fmla="*/ 766127491 w 171"/>
            <a:gd name="T59" fmla="*/ 1068341292 h 272"/>
            <a:gd name="T60" fmla="*/ 734764852 w 171"/>
            <a:gd name="T61" fmla="*/ 1028609454 h 272"/>
            <a:gd name="T62" fmla="*/ 766127491 w 171"/>
            <a:gd name="T63" fmla="*/ 790218421 h 272"/>
            <a:gd name="T64" fmla="*/ 734764852 w 171"/>
            <a:gd name="T65" fmla="*/ 697511497 h 272"/>
            <a:gd name="T66" fmla="*/ 734764852 w 171"/>
            <a:gd name="T67" fmla="*/ 697511497 h 272"/>
            <a:gd name="T68" fmla="*/ 734764852 w 171"/>
            <a:gd name="T69" fmla="*/ 697511497 h 272"/>
            <a:gd name="T70" fmla="*/ 0 60000 65536"/>
            <a:gd name="T71" fmla="*/ 0 60000 65536"/>
            <a:gd name="T72" fmla="*/ 0 60000 65536"/>
            <a:gd name="T73" fmla="*/ 0 60000 65536"/>
            <a:gd name="T74" fmla="*/ 0 60000 65536"/>
            <a:gd name="T75" fmla="*/ 0 60000 65536"/>
            <a:gd name="T76" fmla="*/ 0 60000 65536"/>
            <a:gd name="T77" fmla="*/ 0 60000 65536"/>
            <a:gd name="T78" fmla="*/ 0 60000 65536"/>
            <a:gd name="T79" fmla="*/ 0 60000 65536"/>
            <a:gd name="T80" fmla="*/ 0 60000 65536"/>
            <a:gd name="T81" fmla="*/ 0 60000 65536"/>
            <a:gd name="T82" fmla="*/ 0 60000 65536"/>
            <a:gd name="T83" fmla="*/ 0 60000 65536"/>
            <a:gd name="T84" fmla="*/ 0 60000 65536"/>
            <a:gd name="T85" fmla="*/ 0 60000 65536"/>
            <a:gd name="T86" fmla="*/ 0 60000 65536"/>
            <a:gd name="T87" fmla="*/ 0 60000 65536"/>
            <a:gd name="T88" fmla="*/ 0 60000 65536"/>
            <a:gd name="T89" fmla="*/ 0 60000 65536"/>
            <a:gd name="T90" fmla="*/ 0 60000 65536"/>
            <a:gd name="T91" fmla="*/ 0 60000 65536"/>
            <a:gd name="T92" fmla="*/ 0 60000 65536"/>
            <a:gd name="T93" fmla="*/ 0 60000 65536"/>
            <a:gd name="T94" fmla="*/ 0 60000 65536"/>
            <a:gd name="T95" fmla="*/ 0 60000 65536"/>
            <a:gd name="T96" fmla="*/ 0 60000 65536"/>
            <a:gd name="T97" fmla="*/ 0 60000 65536"/>
            <a:gd name="T98" fmla="*/ 0 60000 65536"/>
            <a:gd name="T99" fmla="*/ 0 60000 65536"/>
            <a:gd name="T100" fmla="*/ 0 60000 65536"/>
            <a:gd name="T101" fmla="*/ 0 60000 65536"/>
            <a:gd name="T102" fmla="*/ 0 60000 65536"/>
            <a:gd name="T103" fmla="*/ 0 60000 65536"/>
            <a:gd name="T104" fmla="*/ 0 60000 65536"/>
            <a:gd name="T105" fmla="*/ 0 w 171"/>
            <a:gd name="T106" fmla="*/ 0 h 272"/>
            <a:gd name="T107" fmla="*/ 171 w 171"/>
            <a:gd name="T108" fmla="*/ 272 h 272"/>
          </a:gdLst>
          <a:ahLst/>
          <a:cxnLst>
            <a:cxn ang="T70">
              <a:pos x="T0" y="T1"/>
            </a:cxn>
            <a:cxn ang="T71">
              <a:pos x="T2" y="T3"/>
            </a:cxn>
            <a:cxn ang="T72">
              <a:pos x="T4" y="T5"/>
            </a:cxn>
            <a:cxn ang="T73">
              <a:pos x="T6" y="T7"/>
            </a:cxn>
            <a:cxn ang="T74">
              <a:pos x="T8" y="T9"/>
            </a:cxn>
            <a:cxn ang="T75">
              <a:pos x="T10" y="T11"/>
            </a:cxn>
            <a:cxn ang="T76">
              <a:pos x="T12" y="T13"/>
            </a:cxn>
            <a:cxn ang="T77">
              <a:pos x="T14" y="T15"/>
            </a:cxn>
            <a:cxn ang="T78">
              <a:pos x="T16" y="T17"/>
            </a:cxn>
            <a:cxn ang="T79">
              <a:pos x="T18" y="T19"/>
            </a:cxn>
            <a:cxn ang="T80">
              <a:pos x="T20" y="T21"/>
            </a:cxn>
            <a:cxn ang="T81">
              <a:pos x="T22" y="T23"/>
            </a:cxn>
            <a:cxn ang="T82">
              <a:pos x="T24" y="T25"/>
            </a:cxn>
            <a:cxn ang="T83">
              <a:pos x="T26" y="T27"/>
            </a:cxn>
            <a:cxn ang="T84">
              <a:pos x="T28" y="T29"/>
            </a:cxn>
            <a:cxn ang="T85">
              <a:pos x="T30" y="T31"/>
            </a:cxn>
            <a:cxn ang="T86">
              <a:pos x="T32" y="T33"/>
            </a:cxn>
            <a:cxn ang="T87">
              <a:pos x="T34" y="T35"/>
            </a:cxn>
            <a:cxn ang="T88">
              <a:pos x="T36" y="T37"/>
            </a:cxn>
            <a:cxn ang="T89">
              <a:pos x="T38" y="T39"/>
            </a:cxn>
            <a:cxn ang="T90">
              <a:pos x="T40" y="T41"/>
            </a:cxn>
            <a:cxn ang="T91">
              <a:pos x="T42" y="T43"/>
            </a:cxn>
            <a:cxn ang="T92">
              <a:pos x="T44" y="T45"/>
            </a:cxn>
            <a:cxn ang="T93">
              <a:pos x="T46" y="T47"/>
            </a:cxn>
            <a:cxn ang="T94">
              <a:pos x="T48" y="T49"/>
            </a:cxn>
            <a:cxn ang="T95">
              <a:pos x="T50" y="T51"/>
            </a:cxn>
            <a:cxn ang="T96">
              <a:pos x="T52" y="T53"/>
            </a:cxn>
            <a:cxn ang="T97">
              <a:pos x="T54" y="T55"/>
            </a:cxn>
            <a:cxn ang="T98">
              <a:pos x="T56" y="T57"/>
            </a:cxn>
            <a:cxn ang="T99">
              <a:pos x="T58" y="T59"/>
            </a:cxn>
            <a:cxn ang="T100">
              <a:pos x="T60" y="T61"/>
            </a:cxn>
            <a:cxn ang="T101">
              <a:pos x="T62" y="T63"/>
            </a:cxn>
            <a:cxn ang="T102">
              <a:pos x="T64" y="T65"/>
            </a:cxn>
            <a:cxn ang="T103">
              <a:pos x="T66" y="T67"/>
            </a:cxn>
            <a:cxn ang="T104">
              <a:pos x="T68" y="T69"/>
            </a:cxn>
          </a:cxnLst>
          <a:rect l="T105" t="T106" r="T107" b="T108"/>
          <a:pathLst>
            <a:path w="171" h="272">
              <a:moveTo>
                <a:pt x="164" y="158"/>
              </a:moveTo>
              <a:lnTo>
                <a:pt x="142" y="158"/>
              </a:lnTo>
              <a:lnTo>
                <a:pt x="142" y="143"/>
              </a:lnTo>
              <a:lnTo>
                <a:pt x="129" y="151"/>
              </a:lnTo>
              <a:lnTo>
                <a:pt x="107" y="143"/>
              </a:lnTo>
              <a:lnTo>
                <a:pt x="99" y="112"/>
              </a:lnTo>
              <a:lnTo>
                <a:pt x="121" y="75"/>
              </a:lnTo>
              <a:lnTo>
                <a:pt x="151" y="60"/>
              </a:lnTo>
              <a:lnTo>
                <a:pt x="142" y="45"/>
              </a:lnTo>
              <a:lnTo>
                <a:pt x="151" y="45"/>
              </a:lnTo>
              <a:lnTo>
                <a:pt x="151" y="38"/>
              </a:lnTo>
              <a:lnTo>
                <a:pt x="142" y="30"/>
              </a:lnTo>
              <a:lnTo>
                <a:pt x="107" y="38"/>
              </a:lnTo>
              <a:lnTo>
                <a:pt x="84" y="0"/>
              </a:lnTo>
              <a:lnTo>
                <a:pt x="79" y="0"/>
              </a:lnTo>
              <a:lnTo>
                <a:pt x="84" y="15"/>
              </a:lnTo>
              <a:lnTo>
                <a:pt x="79" y="30"/>
              </a:lnTo>
              <a:lnTo>
                <a:pt x="50" y="45"/>
              </a:lnTo>
              <a:lnTo>
                <a:pt x="22" y="75"/>
              </a:lnTo>
              <a:lnTo>
                <a:pt x="8" y="67"/>
              </a:lnTo>
              <a:lnTo>
                <a:pt x="13" y="45"/>
              </a:lnTo>
              <a:lnTo>
                <a:pt x="0" y="67"/>
              </a:lnTo>
              <a:lnTo>
                <a:pt x="8" y="82"/>
              </a:lnTo>
              <a:lnTo>
                <a:pt x="0" y="82"/>
              </a:lnTo>
              <a:lnTo>
                <a:pt x="13" y="106"/>
              </a:lnTo>
              <a:lnTo>
                <a:pt x="35" y="121"/>
              </a:lnTo>
              <a:lnTo>
                <a:pt x="79" y="220"/>
              </a:lnTo>
              <a:lnTo>
                <a:pt x="142" y="272"/>
              </a:lnTo>
              <a:lnTo>
                <a:pt x="164" y="265"/>
              </a:lnTo>
              <a:lnTo>
                <a:pt x="171" y="242"/>
              </a:lnTo>
              <a:lnTo>
                <a:pt x="164" y="233"/>
              </a:lnTo>
              <a:lnTo>
                <a:pt x="171" y="179"/>
              </a:lnTo>
              <a:lnTo>
                <a:pt x="164" y="158"/>
              </a:lnTo>
              <a:close/>
            </a:path>
          </a:pathLst>
        </a:custGeom>
        <a:solidFill>
          <a:srgbClr val="F5F5F5"/>
        </a:solidFill>
        <a:ln w="9525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36576" tIns="32004" rIns="0" bIns="0" anchor="t"/>
        <a:lstStyle/>
        <a:p>
          <a:pPr algn="l" rtl="0">
            <a:defRPr sz="1000"/>
          </a:pPr>
          <a:endParaRPr lang="en-US" sz="16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en-US"/>
        </a:p>
      </xdr:txBody>
    </xdr:sp>
    <xdr:clientData/>
  </xdr:twoCellAnchor>
  <xdr:twoCellAnchor>
    <xdr:from>
      <xdr:col>6</xdr:col>
      <xdr:colOff>552450</xdr:colOff>
      <xdr:row>33</xdr:row>
      <xdr:rowOff>9525</xdr:rowOff>
    </xdr:from>
    <xdr:to>
      <xdr:col>7</xdr:col>
      <xdr:colOff>152400</xdr:colOff>
      <xdr:row>35</xdr:row>
      <xdr:rowOff>104775</xdr:rowOff>
    </xdr:to>
    <xdr:sp macro="" textlink="">
      <xdr:nvSpPr>
        <xdr:cNvPr id="25759" name="S_BOL"/>
        <xdr:cNvSpPr>
          <a:spLocks/>
        </xdr:cNvSpPr>
      </xdr:nvSpPr>
      <xdr:spPr bwMode="auto">
        <a:xfrm>
          <a:off x="3524250" y="5200650"/>
          <a:ext cx="314325" cy="419100"/>
        </a:xfrm>
        <a:custGeom>
          <a:avLst/>
          <a:gdLst>
            <a:gd name="T0" fmla="*/ 650001350 w 152"/>
            <a:gd name="T1" fmla="*/ 677705400 h 203"/>
            <a:gd name="T2" fmla="*/ 650001350 w 152"/>
            <a:gd name="T3" fmla="*/ 549836583 h 203"/>
            <a:gd name="T4" fmla="*/ 620068110 w 152"/>
            <a:gd name="T5" fmla="*/ 447540988 h 203"/>
            <a:gd name="T6" fmla="*/ 620068110 w 152"/>
            <a:gd name="T7" fmla="*/ 426228830 h 203"/>
            <a:gd name="T8" fmla="*/ 555923088 w 152"/>
            <a:gd name="T9" fmla="*/ 426228830 h 203"/>
            <a:gd name="T10" fmla="*/ 491777938 w 152"/>
            <a:gd name="T11" fmla="*/ 358033229 h 203"/>
            <a:gd name="T12" fmla="*/ 491777938 w 152"/>
            <a:gd name="T13" fmla="*/ 328196621 h 203"/>
            <a:gd name="T14" fmla="*/ 461842629 w 152"/>
            <a:gd name="T15" fmla="*/ 234425540 h 203"/>
            <a:gd name="T16" fmla="*/ 248027205 w 152"/>
            <a:gd name="T17" fmla="*/ 161966682 h 203"/>
            <a:gd name="T18" fmla="*/ 213815424 w 152"/>
            <a:gd name="T19" fmla="*/ 98032241 h 203"/>
            <a:gd name="T20" fmla="*/ 213815424 w 152"/>
            <a:gd name="T21" fmla="*/ 0 h 203"/>
            <a:gd name="T22" fmla="*/ 132566548 w 152"/>
            <a:gd name="T23" fmla="*/ 0 h 203"/>
            <a:gd name="T24" fmla="*/ 64145038 w 152"/>
            <a:gd name="T25" fmla="*/ 76722148 h 203"/>
            <a:gd name="T26" fmla="*/ 0 w 152"/>
            <a:gd name="T27" fmla="*/ 76722148 h 203"/>
            <a:gd name="T28" fmla="*/ 34209729 w 152"/>
            <a:gd name="T29" fmla="*/ 161966682 h 203"/>
            <a:gd name="T30" fmla="*/ 0 w 152"/>
            <a:gd name="T31" fmla="*/ 392131029 h 203"/>
            <a:gd name="T32" fmla="*/ 34209729 w 152"/>
            <a:gd name="T33" fmla="*/ 426228830 h 203"/>
            <a:gd name="T34" fmla="*/ 0 w 152"/>
            <a:gd name="T35" fmla="*/ 519999846 h 203"/>
            <a:gd name="T36" fmla="*/ 34209729 w 152"/>
            <a:gd name="T37" fmla="*/ 613770991 h 203"/>
            <a:gd name="T38" fmla="*/ 64145038 w 152"/>
            <a:gd name="T39" fmla="*/ 865245367 h 203"/>
            <a:gd name="T40" fmla="*/ 89801822 w 152"/>
            <a:gd name="T41" fmla="*/ 865245367 h 203"/>
            <a:gd name="T42" fmla="*/ 183882184 w 152"/>
            <a:gd name="T43" fmla="*/ 771474351 h 203"/>
            <a:gd name="T44" fmla="*/ 277960510 w 152"/>
            <a:gd name="T45" fmla="*/ 843933210 h 203"/>
            <a:gd name="T46" fmla="*/ 312172291 w 152"/>
            <a:gd name="T47" fmla="*/ 771474351 h 203"/>
            <a:gd name="T48" fmla="*/ 406250553 w 152"/>
            <a:gd name="T49" fmla="*/ 843933210 h 203"/>
            <a:gd name="T50" fmla="*/ 436185861 w 152"/>
            <a:gd name="T51" fmla="*/ 613770991 h 203"/>
            <a:gd name="T52" fmla="*/ 594409274 w 152"/>
            <a:gd name="T53" fmla="*/ 613770991 h 203"/>
            <a:gd name="T54" fmla="*/ 650001350 w 152"/>
            <a:gd name="T55" fmla="*/ 677705400 h 203"/>
            <a:gd name="T56" fmla="*/ 650001350 w 152"/>
            <a:gd name="T57" fmla="*/ 677705400 h 203"/>
            <a:gd name="T58" fmla="*/ 650001350 w 152"/>
            <a:gd name="T59" fmla="*/ 677705400 h 203"/>
            <a:gd name="T60" fmla="*/ 0 60000 65536"/>
            <a:gd name="T61" fmla="*/ 0 60000 65536"/>
            <a:gd name="T62" fmla="*/ 0 60000 65536"/>
            <a:gd name="T63" fmla="*/ 0 60000 65536"/>
            <a:gd name="T64" fmla="*/ 0 60000 65536"/>
            <a:gd name="T65" fmla="*/ 0 60000 65536"/>
            <a:gd name="T66" fmla="*/ 0 60000 65536"/>
            <a:gd name="T67" fmla="*/ 0 60000 65536"/>
            <a:gd name="T68" fmla="*/ 0 60000 65536"/>
            <a:gd name="T69" fmla="*/ 0 60000 65536"/>
            <a:gd name="T70" fmla="*/ 0 60000 65536"/>
            <a:gd name="T71" fmla="*/ 0 60000 65536"/>
            <a:gd name="T72" fmla="*/ 0 60000 65536"/>
            <a:gd name="T73" fmla="*/ 0 60000 65536"/>
            <a:gd name="T74" fmla="*/ 0 60000 65536"/>
            <a:gd name="T75" fmla="*/ 0 60000 65536"/>
            <a:gd name="T76" fmla="*/ 0 60000 65536"/>
            <a:gd name="T77" fmla="*/ 0 60000 65536"/>
            <a:gd name="T78" fmla="*/ 0 60000 65536"/>
            <a:gd name="T79" fmla="*/ 0 60000 65536"/>
            <a:gd name="T80" fmla="*/ 0 60000 65536"/>
            <a:gd name="T81" fmla="*/ 0 60000 65536"/>
            <a:gd name="T82" fmla="*/ 0 60000 65536"/>
            <a:gd name="T83" fmla="*/ 0 60000 65536"/>
            <a:gd name="T84" fmla="*/ 0 60000 65536"/>
            <a:gd name="T85" fmla="*/ 0 60000 65536"/>
            <a:gd name="T86" fmla="*/ 0 60000 65536"/>
            <a:gd name="T87" fmla="*/ 0 60000 65536"/>
            <a:gd name="T88" fmla="*/ 0 60000 65536"/>
            <a:gd name="T89" fmla="*/ 0 60000 65536"/>
            <a:gd name="T90" fmla="*/ 0 w 152"/>
            <a:gd name="T91" fmla="*/ 0 h 203"/>
            <a:gd name="T92" fmla="*/ 152 w 152"/>
            <a:gd name="T93" fmla="*/ 203 h 203"/>
          </a:gdLst>
          <a:ahLst/>
          <a:cxnLst>
            <a:cxn ang="T60">
              <a:pos x="T0" y="T1"/>
            </a:cxn>
            <a:cxn ang="T61">
              <a:pos x="T2" y="T3"/>
            </a:cxn>
            <a:cxn ang="T62">
              <a:pos x="T4" y="T5"/>
            </a:cxn>
            <a:cxn ang="T63">
              <a:pos x="T6" y="T7"/>
            </a:cxn>
            <a:cxn ang="T64">
              <a:pos x="T8" y="T9"/>
            </a:cxn>
            <a:cxn ang="T65">
              <a:pos x="T10" y="T11"/>
            </a:cxn>
            <a:cxn ang="T66">
              <a:pos x="T12" y="T13"/>
            </a:cxn>
            <a:cxn ang="T67">
              <a:pos x="T14" y="T15"/>
            </a:cxn>
            <a:cxn ang="T68">
              <a:pos x="T16" y="T17"/>
            </a:cxn>
            <a:cxn ang="T69">
              <a:pos x="T18" y="T19"/>
            </a:cxn>
            <a:cxn ang="T70">
              <a:pos x="T20" y="T21"/>
            </a:cxn>
            <a:cxn ang="T71">
              <a:pos x="T22" y="T23"/>
            </a:cxn>
            <a:cxn ang="T72">
              <a:pos x="T24" y="T25"/>
            </a:cxn>
            <a:cxn ang="T73">
              <a:pos x="T26" y="T27"/>
            </a:cxn>
            <a:cxn ang="T74">
              <a:pos x="T28" y="T29"/>
            </a:cxn>
            <a:cxn ang="T75">
              <a:pos x="T30" y="T31"/>
            </a:cxn>
            <a:cxn ang="T76">
              <a:pos x="T32" y="T33"/>
            </a:cxn>
            <a:cxn ang="T77">
              <a:pos x="T34" y="T35"/>
            </a:cxn>
            <a:cxn ang="T78">
              <a:pos x="T36" y="T37"/>
            </a:cxn>
            <a:cxn ang="T79">
              <a:pos x="T38" y="T39"/>
            </a:cxn>
            <a:cxn ang="T80">
              <a:pos x="T40" y="T41"/>
            </a:cxn>
            <a:cxn ang="T81">
              <a:pos x="T42" y="T43"/>
            </a:cxn>
            <a:cxn ang="T82">
              <a:pos x="T44" y="T45"/>
            </a:cxn>
            <a:cxn ang="T83">
              <a:pos x="T46" y="T47"/>
            </a:cxn>
            <a:cxn ang="T84">
              <a:pos x="T48" y="T49"/>
            </a:cxn>
            <a:cxn ang="T85">
              <a:pos x="T50" y="T51"/>
            </a:cxn>
            <a:cxn ang="T86">
              <a:pos x="T52" y="T53"/>
            </a:cxn>
            <a:cxn ang="T87">
              <a:pos x="T54" y="T55"/>
            </a:cxn>
            <a:cxn ang="T88">
              <a:pos x="T56" y="T57"/>
            </a:cxn>
            <a:cxn ang="T89">
              <a:pos x="T58" y="T59"/>
            </a:cxn>
          </a:cxnLst>
          <a:rect l="T90" t="T91" r="T92" b="T93"/>
          <a:pathLst>
            <a:path w="152" h="203">
              <a:moveTo>
                <a:pt x="152" y="159"/>
              </a:moveTo>
              <a:lnTo>
                <a:pt x="152" y="129"/>
              </a:lnTo>
              <a:lnTo>
                <a:pt x="145" y="105"/>
              </a:lnTo>
              <a:lnTo>
                <a:pt x="145" y="100"/>
              </a:lnTo>
              <a:lnTo>
                <a:pt x="130" y="100"/>
              </a:lnTo>
              <a:lnTo>
                <a:pt x="115" y="84"/>
              </a:lnTo>
              <a:lnTo>
                <a:pt x="115" y="77"/>
              </a:lnTo>
              <a:lnTo>
                <a:pt x="108" y="55"/>
              </a:lnTo>
              <a:lnTo>
                <a:pt x="58" y="38"/>
              </a:lnTo>
              <a:lnTo>
                <a:pt x="50" y="23"/>
              </a:lnTo>
              <a:lnTo>
                <a:pt x="50" y="0"/>
              </a:lnTo>
              <a:lnTo>
                <a:pt x="31" y="0"/>
              </a:lnTo>
              <a:lnTo>
                <a:pt x="15" y="18"/>
              </a:lnTo>
              <a:lnTo>
                <a:pt x="0" y="18"/>
              </a:lnTo>
              <a:lnTo>
                <a:pt x="8" y="38"/>
              </a:lnTo>
              <a:lnTo>
                <a:pt x="0" y="92"/>
              </a:lnTo>
              <a:lnTo>
                <a:pt x="8" y="100"/>
              </a:lnTo>
              <a:lnTo>
                <a:pt x="0" y="122"/>
              </a:lnTo>
              <a:lnTo>
                <a:pt x="8" y="144"/>
              </a:lnTo>
              <a:lnTo>
                <a:pt x="15" y="203"/>
              </a:lnTo>
              <a:lnTo>
                <a:pt x="21" y="203"/>
              </a:lnTo>
              <a:lnTo>
                <a:pt x="43" y="181"/>
              </a:lnTo>
              <a:lnTo>
                <a:pt x="65" y="198"/>
              </a:lnTo>
              <a:lnTo>
                <a:pt x="73" y="181"/>
              </a:lnTo>
              <a:lnTo>
                <a:pt x="95" y="198"/>
              </a:lnTo>
              <a:lnTo>
                <a:pt x="102" y="144"/>
              </a:lnTo>
              <a:lnTo>
                <a:pt x="139" y="144"/>
              </a:lnTo>
              <a:lnTo>
                <a:pt x="152" y="159"/>
              </a:lnTo>
              <a:close/>
            </a:path>
          </a:pathLst>
        </a:custGeom>
        <a:solidFill>
          <a:srgbClr val="F5F5F5"/>
        </a:solidFill>
        <a:ln w="9525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36576" tIns="32004" rIns="0" bIns="0" anchor="t"/>
        <a:lstStyle/>
        <a:p>
          <a:pPr algn="l" rtl="0">
            <a:defRPr sz="1000"/>
          </a:pPr>
          <a:endParaRPr lang="en-US" sz="16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en-US"/>
        </a:p>
      </xdr:txBody>
    </xdr:sp>
    <xdr:clientData/>
  </xdr:twoCellAnchor>
  <xdr:twoCellAnchor>
    <xdr:from>
      <xdr:col>7</xdr:col>
      <xdr:colOff>38100</xdr:colOff>
      <xdr:row>34</xdr:row>
      <xdr:rowOff>142875</xdr:rowOff>
    </xdr:from>
    <xdr:to>
      <xdr:col>7</xdr:col>
      <xdr:colOff>257175</xdr:colOff>
      <xdr:row>36</xdr:row>
      <xdr:rowOff>95250</xdr:rowOff>
    </xdr:to>
    <xdr:sp macro="" textlink="">
      <xdr:nvSpPr>
        <xdr:cNvPr id="25760" name="S_PRY"/>
        <xdr:cNvSpPr>
          <a:spLocks/>
        </xdr:cNvSpPr>
      </xdr:nvSpPr>
      <xdr:spPr bwMode="auto">
        <a:xfrm>
          <a:off x="3724275" y="5495925"/>
          <a:ext cx="219075" cy="276225"/>
        </a:xfrm>
        <a:custGeom>
          <a:avLst/>
          <a:gdLst>
            <a:gd name="T0" fmla="*/ 422872626 w 106"/>
            <a:gd name="T1" fmla="*/ 418656779 h 135"/>
            <a:gd name="T2" fmla="*/ 452772222 w 106"/>
            <a:gd name="T3" fmla="*/ 326553175 h 135"/>
            <a:gd name="T4" fmla="*/ 392973031 w 106"/>
            <a:gd name="T5" fmla="*/ 288874056 h 135"/>
            <a:gd name="T6" fmla="*/ 392973031 w 106"/>
            <a:gd name="T7" fmla="*/ 234447461 h 135"/>
            <a:gd name="T8" fmla="*/ 371615291 w 106"/>
            <a:gd name="T9" fmla="*/ 234447461 h 135"/>
            <a:gd name="T10" fmla="*/ 243470856 w 106"/>
            <a:gd name="T11" fmla="*/ 154902882 h 135"/>
            <a:gd name="T12" fmla="*/ 243470856 w 106"/>
            <a:gd name="T13" fmla="*/ 66985571 h 135"/>
            <a:gd name="T14" fmla="*/ 187943626 w 106"/>
            <a:gd name="T15" fmla="*/ 0 h 135"/>
            <a:gd name="T16" fmla="*/ 38443534 w 106"/>
            <a:gd name="T17" fmla="*/ 0 h 135"/>
            <a:gd name="T18" fmla="*/ 0 w 106"/>
            <a:gd name="T19" fmla="*/ 234447461 h 135"/>
            <a:gd name="T20" fmla="*/ 59799207 w 106"/>
            <a:gd name="T21" fmla="*/ 326553175 h 135"/>
            <a:gd name="T22" fmla="*/ 187943626 w 106"/>
            <a:gd name="T23" fmla="*/ 326553175 h 135"/>
            <a:gd name="T24" fmla="*/ 243470856 w 106"/>
            <a:gd name="T25" fmla="*/ 418656779 h 135"/>
            <a:gd name="T26" fmla="*/ 243470856 w 106"/>
            <a:gd name="T27" fmla="*/ 443776874 h 135"/>
            <a:gd name="T28" fmla="*/ 217843222 w 106"/>
            <a:gd name="T29" fmla="*/ 506574042 h 135"/>
            <a:gd name="T30" fmla="*/ 324629918 w 106"/>
            <a:gd name="T31" fmla="*/ 565187042 h 135"/>
            <a:gd name="T32" fmla="*/ 371615291 w 106"/>
            <a:gd name="T33" fmla="*/ 506574042 h 135"/>
            <a:gd name="T34" fmla="*/ 422872626 w 106"/>
            <a:gd name="T35" fmla="*/ 481455993 h 135"/>
            <a:gd name="T36" fmla="*/ 422872626 w 106"/>
            <a:gd name="T37" fmla="*/ 418656779 h 135"/>
            <a:gd name="T38" fmla="*/ 422872626 w 106"/>
            <a:gd name="T39" fmla="*/ 418656779 h 135"/>
            <a:gd name="T40" fmla="*/ 422872626 w 106"/>
            <a:gd name="T41" fmla="*/ 418656779 h 135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60000 65536"/>
            <a:gd name="T52" fmla="*/ 0 60000 65536"/>
            <a:gd name="T53" fmla="*/ 0 60000 65536"/>
            <a:gd name="T54" fmla="*/ 0 60000 65536"/>
            <a:gd name="T55" fmla="*/ 0 60000 65536"/>
            <a:gd name="T56" fmla="*/ 0 60000 65536"/>
            <a:gd name="T57" fmla="*/ 0 60000 65536"/>
            <a:gd name="T58" fmla="*/ 0 60000 65536"/>
            <a:gd name="T59" fmla="*/ 0 60000 65536"/>
            <a:gd name="T60" fmla="*/ 0 60000 65536"/>
            <a:gd name="T61" fmla="*/ 0 60000 65536"/>
            <a:gd name="T62" fmla="*/ 0 60000 65536"/>
            <a:gd name="T63" fmla="*/ 0 w 106"/>
            <a:gd name="T64" fmla="*/ 0 h 135"/>
            <a:gd name="T65" fmla="*/ 106 w 106"/>
            <a:gd name="T66" fmla="*/ 135 h 135"/>
          </a:gdLst>
          <a:ahLst/>
          <a:cxnLst>
            <a:cxn ang="T42">
              <a:pos x="T0" y="T1"/>
            </a:cxn>
            <a:cxn ang="T43">
              <a:pos x="T2" y="T3"/>
            </a:cxn>
            <a:cxn ang="T44">
              <a:pos x="T4" y="T5"/>
            </a:cxn>
            <a:cxn ang="T45">
              <a:pos x="T6" y="T7"/>
            </a:cxn>
            <a:cxn ang="T46">
              <a:pos x="T8" y="T9"/>
            </a:cxn>
            <a:cxn ang="T47">
              <a:pos x="T10" y="T11"/>
            </a:cxn>
            <a:cxn ang="T48">
              <a:pos x="T12" y="T13"/>
            </a:cxn>
            <a:cxn ang="T49">
              <a:pos x="T14" y="T15"/>
            </a:cxn>
            <a:cxn ang="T50">
              <a:pos x="T16" y="T17"/>
            </a:cxn>
            <a:cxn ang="T51">
              <a:pos x="T18" y="T19"/>
            </a:cxn>
            <a:cxn ang="T52">
              <a:pos x="T20" y="T21"/>
            </a:cxn>
            <a:cxn ang="T53">
              <a:pos x="T22" y="T23"/>
            </a:cxn>
            <a:cxn ang="T54">
              <a:pos x="T24" y="T25"/>
            </a:cxn>
            <a:cxn ang="T55">
              <a:pos x="T26" y="T27"/>
            </a:cxn>
            <a:cxn ang="T56">
              <a:pos x="T28" y="T29"/>
            </a:cxn>
            <a:cxn ang="T57">
              <a:pos x="T30" y="T31"/>
            </a:cxn>
            <a:cxn ang="T58">
              <a:pos x="T32" y="T33"/>
            </a:cxn>
            <a:cxn ang="T59">
              <a:pos x="T34" y="T35"/>
            </a:cxn>
            <a:cxn ang="T60">
              <a:pos x="T36" y="T37"/>
            </a:cxn>
            <a:cxn ang="T61">
              <a:pos x="T38" y="T39"/>
            </a:cxn>
            <a:cxn ang="T62">
              <a:pos x="T40" y="T41"/>
            </a:cxn>
          </a:cxnLst>
          <a:rect l="T63" t="T64" r="T65" b="T66"/>
          <a:pathLst>
            <a:path w="106" h="135">
              <a:moveTo>
                <a:pt x="99" y="100"/>
              </a:moveTo>
              <a:lnTo>
                <a:pt x="106" y="78"/>
              </a:lnTo>
              <a:lnTo>
                <a:pt x="92" y="69"/>
              </a:lnTo>
              <a:lnTo>
                <a:pt x="92" y="56"/>
              </a:lnTo>
              <a:lnTo>
                <a:pt x="87" y="56"/>
              </a:lnTo>
              <a:lnTo>
                <a:pt x="57" y="37"/>
              </a:lnTo>
              <a:lnTo>
                <a:pt x="57" y="16"/>
              </a:lnTo>
              <a:lnTo>
                <a:pt x="44" y="0"/>
              </a:lnTo>
              <a:lnTo>
                <a:pt x="9" y="0"/>
              </a:lnTo>
              <a:lnTo>
                <a:pt x="0" y="56"/>
              </a:lnTo>
              <a:lnTo>
                <a:pt x="14" y="78"/>
              </a:lnTo>
              <a:lnTo>
                <a:pt x="44" y="78"/>
              </a:lnTo>
              <a:lnTo>
                <a:pt x="57" y="100"/>
              </a:lnTo>
              <a:lnTo>
                <a:pt x="57" y="106"/>
              </a:lnTo>
              <a:lnTo>
                <a:pt x="51" y="121"/>
              </a:lnTo>
              <a:lnTo>
                <a:pt x="76" y="135"/>
              </a:lnTo>
              <a:lnTo>
                <a:pt x="87" y="121"/>
              </a:lnTo>
              <a:lnTo>
                <a:pt x="99" y="115"/>
              </a:lnTo>
              <a:lnTo>
                <a:pt x="99" y="100"/>
              </a:lnTo>
              <a:close/>
            </a:path>
          </a:pathLst>
        </a:custGeom>
        <a:solidFill>
          <a:srgbClr val="F5F5F5"/>
        </a:solidFill>
        <a:ln w="9525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36576" tIns="32004" rIns="0" bIns="0" anchor="t"/>
        <a:lstStyle/>
        <a:p>
          <a:pPr algn="l" rtl="0">
            <a:defRPr sz="1000"/>
          </a:pPr>
          <a:endParaRPr lang="en-US" sz="16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en-US"/>
        </a:p>
      </xdr:txBody>
    </xdr:sp>
    <xdr:clientData/>
  </xdr:twoCellAnchor>
  <xdr:twoCellAnchor>
    <xdr:from>
      <xdr:col>6</xdr:col>
      <xdr:colOff>419100</xdr:colOff>
      <xdr:row>30</xdr:row>
      <xdr:rowOff>38100</xdr:rowOff>
    </xdr:from>
    <xdr:to>
      <xdr:col>8</xdr:col>
      <xdr:colOff>95250</xdr:colOff>
      <xdr:row>37</xdr:row>
      <xdr:rowOff>152400</xdr:rowOff>
    </xdr:to>
    <xdr:sp macro="" textlink="">
      <xdr:nvSpPr>
        <xdr:cNvPr id="25761" name="S_BRA"/>
        <xdr:cNvSpPr>
          <a:spLocks/>
        </xdr:cNvSpPr>
      </xdr:nvSpPr>
      <xdr:spPr bwMode="auto">
        <a:xfrm>
          <a:off x="3390900" y="4743450"/>
          <a:ext cx="1104900" cy="1247775"/>
        </a:xfrm>
        <a:custGeom>
          <a:avLst/>
          <a:gdLst>
            <a:gd name="T0" fmla="*/ 2147483647 w 530"/>
            <a:gd name="T1" fmla="*/ 2147483647 h 598"/>
            <a:gd name="T2" fmla="*/ 2147483647 w 530"/>
            <a:gd name="T3" fmla="*/ 2147483647 h 598"/>
            <a:gd name="T4" fmla="*/ 2147483647 w 530"/>
            <a:gd name="T5" fmla="*/ 2147483647 h 598"/>
            <a:gd name="T6" fmla="*/ 2147483647 w 530"/>
            <a:gd name="T7" fmla="*/ 2147483647 h 598"/>
            <a:gd name="T8" fmla="*/ 2147483647 w 530"/>
            <a:gd name="T9" fmla="*/ 2147483647 h 598"/>
            <a:gd name="T10" fmla="*/ 2147483647 w 530"/>
            <a:gd name="T11" fmla="*/ 0 h 598"/>
            <a:gd name="T12" fmla="*/ 2147483647 w 530"/>
            <a:gd name="T13" fmla="*/ 2147483647 h 598"/>
            <a:gd name="T14" fmla="*/ 2147483647 w 530"/>
            <a:gd name="T15" fmla="*/ 2147483647 h 598"/>
            <a:gd name="T16" fmla="*/ 2147483647 w 530"/>
            <a:gd name="T17" fmla="*/ 2147483647 h 598"/>
            <a:gd name="T18" fmla="*/ 2147483647 w 530"/>
            <a:gd name="T19" fmla="*/ 2147483647 h 598"/>
            <a:gd name="T20" fmla="*/ 2147483647 w 530"/>
            <a:gd name="T21" fmla="*/ 2147483647 h 598"/>
            <a:gd name="T22" fmla="*/ 2147483647 w 530"/>
            <a:gd name="T23" fmla="*/ 2147483647 h 598"/>
            <a:gd name="T24" fmla="*/ 2147483647 w 530"/>
            <a:gd name="T25" fmla="*/ 2147483647 h 598"/>
            <a:gd name="T26" fmla="*/ 2147483647 w 530"/>
            <a:gd name="T27" fmla="*/ 2147483647 h 598"/>
            <a:gd name="T28" fmla="*/ 2147483647 w 530"/>
            <a:gd name="T29" fmla="*/ 2147483647 h 598"/>
            <a:gd name="T30" fmla="*/ 2147483647 w 530"/>
            <a:gd name="T31" fmla="*/ 2147483647 h 598"/>
            <a:gd name="T32" fmla="*/ 2147483647 w 530"/>
            <a:gd name="T33" fmla="*/ 2147483647 h 598"/>
            <a:gd name="T34" fmla="*/ 2147483647 w 530"/>
            <a:gd name="T35" fmla="*/ 2147483647 h 598"/>
            <a:gd name="T36" fmla="*/ 2147483647 w 530"/>
            <a:gd name="T37" fmla="*/ 2147483647 h 598"/>
            <a:gd name="T38" fmla="*/ 2147483647 w 530"/>
            <a:gd name="T39" fmla="*/ 2147483647 h 598"/>
            <a:gd name="T40" fmla="*/ 2147483647 w 530"/>
            <a:gd name="T41" fmla="*/ 2147483647 h 598"/>
            <a:gd name="T42" fmla="*/ 2147483647 w 530"/>
            <a:gd name="T43" fmla="*/ 2147483647 h 598"/>
            <a:gd name="T44" fmla="*/ 2147483647 w 530"/>
            <a:gd name="T45" fmla="*/ 2147483647 h 598"/>
            <a:gd name="T46" fmla="*/ 2147483647 w 530"/>
            <a:gd name="T47" fmla="*/ 2147483647 h 598"/>
            <a:gd name="T48" fmla="*/ 2147483647 w 530"/>
            <a:gd name="T49" fmla="*/ 2147483647 h 598"/>
            <a:gd name="T50" fmla="*/ 2147483647 w 530"/>
            <a:gd name="T51" fmla="*/ 2147483647 h 598"/>
            <a:gd name="T52" fmla="*/ 2147483647 w 530"/>
            <a:gd name="T53" fmla="*/ 2147483647 h 598"/>
            <a:gd name="T54" fmla="*/ 2147483647 w 530"/>
            <a:gd name="T55" fmla="*/ 2147483647 h 598"/>
            <a:gd name="T56" fmla="*/ 2147483647 w 530"/>
            <a:gd name="T57" fmla="*/ 2147483647 h 598"/>
            <a:gd name="T58" fmla="*/ 2147483647 w 530"/>
            <a:gd name="T59" fmla="*/ 2147483647 h 598"/>
            <a:gd name="T60" fmla="*/ 2147483647 w 530"/>
            <a:gd name="T61" fmla="*/ 2147483647 h 598"/>
            <a:gd name="T62" fmla="*/ 2147483647 w 530"/>
            <a:gd name="T63" fmla="*/ 2147483647 h 598"/>
            <a:gd name="T64" fmla="*/ 2147483647 w 530"/>
            <a:gd name="T65" fmla="*/ 2147483647 h 598"/>
            <a:gd name="T66" fmla="*/ 2147483647 w 530"/>
            <a:gd name="T67" fmla="*/ 2147483647 h 598"/>
            <a:gd name="T68" fmla="*/ 2147483647 w 530"/>
            <a:gd name="T69" fmla="*/ 2147483647 h 598"/>
            <a:gd name="T70" fmla="*/ 2147483647 w 530"/>
            <a:gd name="T71" fmla="*/ 2147483647 h 598"/>
            <a:gd name="T72" fmla="*/ 2147483647 w 530"/>
            <a:gd name="T73" fmla="*/ 2147483647 h 598"/>
            <a:gd name="T74" fmla="*/ 2147483647 w 530"/>
            <a:gd name="T75" fmla="*/ 2147483647 h 598"/>
            <a:gd name="T76" fmla="*/ 2147483647 w 530"/>
            <a:gd name="T77" fmla="*/ 2147483647 h 598"/>
            <a:gd name="T78" fmla="*/ 2147483647 w 530"/>
            <a:gd name="T79" fmla="*/ 2147483647 h 598"/>
            <a:gd name="T80" fmla="*/ 2147483647 w 530"/>
            <a:gd name="T81" fmla="*/ 2147483647 h 598"/>
            <a:gd name="T82" fmla="*/ 2147483647 w 530"/>
            <a:gd name="T83" fmla="*/ 2147483647 h 598"/>
            <a:gd name="T84" fmla="*/ 2147483647 w 530"/>
            <a:gd name="T85" fmla="*/ 2147483647 h 598"/>
            <a:gd name="T86" fmla="*/ 2147483647 w 530"/>
            <a:gd name="T87" fmla="*/ 2147483647 h 598"/>
            <a:gd name="T88" fmla="*/ 2147483647 w 530"/>
            <a:gd name="T89" fmla="*/ 2147483647 h 598"/>
            <a:gd name="T90" fmla="*/ 2147483647 w 530"/>
            <a:gd name="T91" fmla="*/ 2147483647 h 598"/>
            <a:gd name="T92" fmla="*/ 2147483647 w 530"/>
            <a:gd name="T93" fmla="*/ 2147483647 h 598"/>
            <a:gd name="T94" fmla="*/ 2147483647 w 530"/>
            <a:gd name="T95" fmla="*/ 2147483647 h 598"/>
            <a:gd name="T96" fmla="*/ 2147483647 w 530"/>
            <a:gd name="T97" fmla="*/ 2147483647 h 598"/>
            <a:gd name="T98" fmla="*/ 0 60000 65536"/>
            <a:gd name="T99" fmla="*/ 0 60000 65536"/>
            <a:gd name="T100" fmla="*/ 0 60000 65536"/>
            <a:gd name="T101" fmla="*/ 0 60000 65536"/>
            <a:gd name="T102" fmla="*/ 0 60000 65536"/>
            <a:gd name="T103" fmla="*/ 0 60000 65536"/>
            <a:gd name="T104" fmla="*/ 0 60000 65536"/>
            <a:gd name="T105" fmla="*/ 0 60000 65536"/>
            <a:gd name="T106" fmla="*/ 0 60000 65536"/>
            <a:gd name="T107" fmla="*/ 0 60000 65536"/>
            <a:gd name="T108" fmla="*/ 0 60000 65536"/>
            <a:gd name="T109" fmla="*/ 0 60000 65536"/>
            <a:gd name="T110" fmla="*/ 0 60000 65536"/>
            <a:gd name="T111" fmla="*/ 0 60000 65536"/>
            <a:gd name="T112" fmla="*/ 0 60000 65536"/>
            <a:gd name="T113" fmla="*/ 0 60000 65536"/>
            <a:gd name="T114" fmla="*/ 0 60000 65536"/>
            <a:gd name="T115" fmla="*/ 0 60000 65536"/>
            <a:gd name="T116" fmla="*/ 0 60000 65536"/>
            <a:gd name="T117" fmla="*/ 0 60000 65536"/>
            <a:gd name="T118" fmla="*/ 0 60000 65536"/>
            <a:gd name="T119" fmla="*/ 0 60000 65536"/>
            <a:gd name="T120" fmla="*/ 0 60000 65536"/>
            <a:gd name="T121" fmla="*/ 0 60000 65536"/>
            <a:gd name="T122" fmla="*/ 0 60000 65536"/>
            <a:gd name="T123" fmla="*/ 0 60000 65536"/>
            <a:gd name="T124" fmla="*/ 0 60000 65536"/>
            <a:gd name="T125" fmla="*/ 0 60000 65536"/>
            <a:gd name="T126" fmla="*/ 0 60000 65536"/>
            <a:gd name="T127" fmla="*/ 0 60000 65536"/>
            <a:gd name="T128" fmla="*/ 0 60000 65536"/>
            <a:gd name="T129" fmla="*/ 0 60000 65536"/>
            <a:gd name="T130" fmla="*/ 0 60000 65536"/>
            <a:gd name="T131" fmla="*/ 0 60000 65536"/>
            <a:gd name="T132" fmla="*/ 0 60000 65536"/>
            <a:gd name="T133" fmla="*/ 0 60000 65536"/>
            <a:gd name="T134" fmla="*/ 0 60000 65536"/>
            <a:gd name="T135" fmla="*/ 0 60000 65536"/>
            <a:gd name="T136" fmla="*/ 0 60000 65536"/>
            <a:gd name="T137" fmla="*/ 0 60000 65536"/>
            <a:gd name="T138" fmla="*/ 0 60000 65536"/>
            <a:gd name="T139" fmla="*/ 0 60000 65536"/>
            <a:gd name="T140" fmla="*/ 0 60000 65536"/>
            <a:gd name="T141" fmla="*/ 0 60000 65536"/>
            <a:gd name="T142" fmla="*/ 0 60000 65536"/>
            <a:gd name="T143" fmla="*/ 0 60000 65536"/>
            <a:gd name="T144" fmla="*/ 0 60000 65536"/>
            <a:gd name="T145" fmla="*/ 0 60000 65536"/>
            <a:gd name="T146" fmla="*/ 0 60000 65536"/>
            <a:gd name="T147" fmla="*/ 0 w 530"/>
            <a:gd name="T148" fmla="*/ 0 h 598"/>
            <a:gd name="T149" fmla="*/ 530 w 530"/>
            <a:gd name="T150" fmla="*/ 598 h 598"/>
          </a:gdLst>
          <a:ahLst/>
          <a:cxnLst>
            <a:cxn ang="T98">
              <a:pos x="T0" y="T1"/>
            </a:cxn>
            <a:cxn ang="T99">
              <a:pos x="T2" y="T3"/>
            </a:cxn>
            <a:cxn ang="T100">
              <a:pos x="T4" y="T5"/>
            </a:cxn>
            <a:cxn ang="T101">
              <a:pos x="T6" y="T7"/>
            </a:cxn>
            <a:cxn ang="T102">
              <a:pos x="T8" y="T9"/>
            </a:cxn>
            <a:cxn ang="T103">
              <a:pos x="T10" y="T11"/>
            </a:cxn>
            <a:cxn ang="T104">
              <a:pos x="T12" y="T13"/>
            </a:cxn>
            <a:cxn ang="T105">
              <a:pos x="T14" y="T15"/>
            </a:cxn>
            <a:cxn ang="T106">
              <a:pos x="T16" y="T17"/>
            </a:cxn>
            <a:cxn ang="T107">
              <a:pos x="T18" y="T19"/>
            </a:cxn>
            <a:cxn ang="T108">
              <a:pos x="T20" y="T21"/>
            </a:cxn>
            <a:cxn ang="T109">
              <a:pos x="T22" y="T23"/>
            </a:cxn>
            <a:cxn ang="T110">
              <a:pos x="T24" y="T25"/>
            </a:cxn>
            <a:cxn ang="T111">
              <a:pos x="T26" y="T27"/>
            </a:cxn>
            <a:cxn ang="T112">
              <a:pos x="T28" y="T29"/>
            </a:cxn>
            <a:cxn ang="T113">
              <a:pos x="T30" y="T31"/>
            </a:cxn>
            <a:cxn ang="T114">
              <a:pos x="T32" y="T33"/>
            </a:cxn>
            <a:cxn ang="T115">
              <a:pos x="T34" y="T35"/>
            </a:cxn>
            <a:cxn ang="T116">
              <a:pos x="T36" y="T37"/>
            </a:cxn>
            <a:cxn ang="T117">
              <a:pos x="T38" y="T39"/>
            </a:cxn>
            <a:cxn ang="T118">
              <a:pos x="T40" y="T41"/>
            </a:cxn>
            <a:cxn ang="T119">
              <a:pos x="T42" y="T43"/>
            </a:cxn>
            <a:cxn ang="T120">
              <a:pos x="T44" y="T45"/>
            </a:cxn>
            <a:cxn ang="T121">
              <a:pos x="T46" y="T47"/>
            </a:cxn>
            <a:cxn ang="T122">
              <a:pos x="T48" y="T49"/>
            </a:cxn>
            <a:cxn ang="T123">
              <a:pos x="T50" y="T51"/>
            </a:cxn>
            <a:cxn ang="T124">
              <a:pos x="T52" y="T53"/>
            </a:cxn>
            <a:cxn ang="T125">
              <a:pos x="T54" y="T55"/>
            </a:cxn>
            <a:cxn ang="T126">
              <a:pos x="T56" y="T57"/>
            </a:cxn>
            <a:cxn ang="T127">
              <a:pos x="T58" y="T59"/>
            </a:cxn>
            <a:cxn ang="T128">
              <a:pos x="T60" y="T61"/>
            </a:cxn>
            <a:cxn ang="T129">
              <a:pos x="T62" y="T63"/>
            </a:cxn>
            <a:cxn ang="T130">
              <a:pos x="T64" y="T65"/>
            </a:cxn>
            <a:cxn ang="T131">
              <a:pos x="T66" y="T67"/>
            </a:cxn>
            <a:cxn ang="T132">
              <a:pos x="T68" y="T69"/>
            </a:cxn>
            <a:cxn ang="T133">
              <a:pos x="T70" y="T71"/>
            </a:cxn>
            <a:cxn ang="T134">
              <a:pos x="T72" y="T73"/>
            </a:cxn>
            <a:cxn ang="T135">
              <a:pos x="T74" y="T75"/>
            </a:cxn>
            <a:cxn ang="T136">
              <a:pos x="T76" y="T77"/>
            </a:cxn>
            <a:cxn ang="T137">
              <a:pos x="T78" y="T79"/>
            </a:cxn>
            <a:cxn ang="T138">
              <a:pos x="T80" y="T81"/>
            </a:cxn>
            <a:cxn ang="T139">
              <a:pos x="T82" y="T83"/>
            </a:cxn>
            <a:cxn ang="T140">
              <a:pos x="T84" y="T85"/>
            </a:cxn>
            <a:cxn ang="T141">
              <a:pos x="T86" y="T87"/>
            </a:cxn>
            <a:cxn ang="T142">
              <a:pos x="T88" y="T89"/>
            </a:cxn>
            <a:cxn ang="T143">
              <a:pos x="T90" y="T91"/>
            </a:cxn>
            <a:cxn ang="T144">
              <a:pos x="T92" y="T93"/>
            </a:cxn>
            <a:cxn ang="T145">
              <a:pos x="T94" y="T95"/>
            </a:cxn>
            <a:cxn ang="T146">
              <a:pos x="T96" y="T97"/>
            </a:cxn>
          </a:cxnLst>
          <a:rect l="T147" t="T148" r="T149" b="T150"/>
          <a:pathLst>
            <a:path w="530" h="598">
              <a:moveTo>
                <a:pt x="307" y="25"/>
              </a:moveTo>
              <a:lnTo>
                <a:pt x="297" y="25"/>
              </a:lnTo>
              <a:lnTo>
                <a:pt x="285" y="47"/>
              </a:lnTo>
              <a:lnTo>
                <a:pt x="277" y="55"/>
              </a:lnTo>
              <a:lnTo>
                <a:pt x="263" y="47"/>
              </a:lnTo>
              <a:lnTo>
                <a:pt x="250" y="47"/>
              </a:lnTo>
              <a:lnTo>
                <a:pt x="245" y="55"/>
              </a:lnTo>
              <a:lnTo>
                <a:pt x="235" y="55"/>
              </a:lnTo>
              <a:lnTo>
                <a:pt x="208" y="64"/>
              </a:lnTo>
              <a:lnTo>
                <a:pt x="200" y="64"/>
              </a:lnTo>
              <a:lnTo>
                <a:pt x="193" y="47"/>
              </a:lnTo>
              <a:lnTo>
                <a:pt x="193" y="0"/>
              </a:lnTo>
              <a:lnTo>
                <a:pt x="178" y="0"/>
              </a:lnTo>
              <a:lnTo>
                <a:pt x="171" y="17"/>
              </a:lnTo>
              <a:lnTo>
                <a:pt x="149" y="25"/>
              </a:lnTo>
              <a:lnTo>
                <a:pt x="122" y="17"/>
              </a:lnTo>
              <a:lnTo>
                <a:pt x="131" y="25"/>
              </a:lnTo>
              <a:lnTo>
                <a:pt x="131" y="47"/>
              </a:lnTo>
              <a:lnTo>
                <a:pt x="136" y="55"/>
              </a:lnTo>
              <a:lnTo>
                <a:pt x="116" y="71"/>
              </a:lnTo>
              <a:lnTo>
                <a:pt x="109" y="71"/>
              </a:lnTo>
              <a:lnTo>
                <a:pt x="96" y="64"/>
              </a:lnTo>
              <a:lnTo>
                <a:pt x="87" y="55"/>
              </a:lnTo>
              <a:lnTo>
                <a:pt x="52" y="55"/>
              </a:lnTo>
              <a:lnTo>
                <a:pt x="52" y="64"/>
              </a:lnTo>
              <a:lnTo>
                <a:pt x="66" y="71"/>
              </a:lnTo>
              <a:lnTo>
                <a:pt x="52" y="71"/>
              </a:lnTo>
              <a:lnTo>
                <a:pt x="66" y="99"/>
              </a:lnTo>
              <a:lnTo>
                <a:pt x="52" y="138"/>
              </a:lnTo>
              <a:lnTo>
                <a:pt x="24" y="155"/>
              </a:lnTo>
              <a:lnTo>
                <a:pt x="0" y="190"/>
              </a:lnTo>
              <a:lnTo>
                <a:pt x="10" y="220"/>
              </a:lnTo>
              <a:lnTo>
                <a:pt x="32" y="229"/>
              </a:lnTo>
              <a:lnTo>
                <a:pt x="45" y="220"/>
              </a:lnTo>
              <a:lnTo>
                <a:pt x="45" y="235"/>
              </a:lnTo>
              <a:lnTo>
                <a:pt x="81" y="235"/>
              </a:lnTo>
              <a:lnTo>
                <a:pt x="96" y="220"/>
              </a:lnTo>
              <a:lnTo>
                <a:pt x="116" y="220"/>
              </a:lnTo>
              <a:lnTo>
                <a:pt x="116" y="242"/>
              </a:lnTo>
              <a:lnTo>
                <a:pt x="122" y="257"/>
              </a:lnTo>
              <a:lnTo>
                <a:pt x="171" y="274"/>
              </a:lnTo>
              <a:lnTo>
                <a:pt x="178" y="298"/>
              </a:lnTo>
              <a:lnTo>
                <a:pt x="178" y="304"/>
              </a:lnTo>
              <a:lnTo>
                <a:pt x="193" y="319"/>
              </a:lnTo>
              <a:lnTo>
                <a:pt x="208" y="319"/>
              </a:lnTo>
              <a:lnTo>
                <a:pt x="208" y="326"/>
              </a:lnTo>
              <a:lnTo>
                <a:pt x="215" y="350"/>
              </a:lnTo>
              <a:lnTo>
                <a:pt x="215" y="402"/>
              </a:lnTo>
              <a:lnTo>
                <a:pt x="245" y="419"/>
              </a:lnTo>
              <a:lnTo>
                <a:pt x="250" y="419"/>
              </a:lnTo>
              <a:lnTo>
                <a:pt x="250" y="432"/>
              </a:lnTo>
              <a:lnTo>
                <a:pt x="263" y="439"/>
              </a:lnTo>
              <a:lnTo>
                <a:pt x="256" y="462"/>
              </a:lnTo>
              <a:lnTo>
                <a:pt x="263" y="462"/>
              </a:lnTo>
              <a:lnTo>
                <a:pt x="277" y="484"/>
              </a:lnTo>
              <a:lnTo>
                <a:pt x="256" y="498"/>
              </a:lnTo>
              <a:lnTo>
                <a:pt x="221" y="545"/>
              </a:lnTo>
              <a:lnTo>
                <a:pt x="235" y="545"/>
              </a:lnTo>
              <a:lnTo>
                <a:pt x="245" y="551"/>
              </a:lnTo>
              <a:lnTo>
                <a:pt x="250" y="551"/>
              </a:lnTo>
              <a:lnTo>
                <a:pt x="277" y="566"/>
              </a:lnTo>
              <a:lnTo>
                <a:pt x="285" y="575"/>
              </a:lnTo>
              <a:lnTo>
                <a:pt x="277" y="598"/>
              </a:lnTo>
              <a:lnTo>
                <a:pt x="329" y="519"/>
              </a:lnTo>
              <a:lnTo>
                <a:pt x="342" y="508"/>
              </a:lnTo>
              <a:lnTo>
                <a:pt x="342" y="469"/>
              </a:lnTo>
              <a:lnTo>
                <a:pt x="347" y="445"/>
              </a:lnTo>
              <a:lnTo>
                <a:pt x="369" y="439"/>
              </a:lnTo>
              <a:lnTo>
                <a:pt x="399" y="424"/>
              </a:lnTo>
              <a:lnTo>
                <a:pt x="427" y="424"/>
              </a:lnTo>
              <a:lnTo>
                <a:pt x="427" y="419"/>
              </a:lnTo>
              <a:lnTo>
                <a:pt x="446" y="402"/>
              </a:lnTo>
              <a:lnTo>
                <a:pt x="446" y="395"/>
              </a:lnTo>
              <a:lnTo>
                <a:pt x="461" y="365"/>
              </a:lnTo>
              <a:lnTo>
                <a:pt x="461" y="350"/>
              </a:lnTo>
              <a:lnTo>
                <a:pt x="468" y="343"/>
              </a:lnTo>
              <a:lnTo>
                <a:pt x="468" y="274"/>
              </a:lnTo>
              <a:lnTo>
                <a:pt x="530" y="190"/>
              </a:lnTo>
              <a:lnTo>
                <a:pt x="525" y="155"/>
              </a:lnTo>
              <a:lnTo>
                <a:pt x="496" y="155"/>
              </a:lnTo>
              <a:lnTo>
                <a:pt x="454" y="116"/>
              </a:lnTo>
              <a:lnTo>
                <a:pt x="439" y="121"/>
              </a:lnTo>
              <a:lnTo>
                <a:pt x="412" y="116"/>
              </a:lnTo>
              <a:lnTo>
                <a:pt x="399" y="116"/>
              </a:lnTo>
              <a:lnTo>
                <a:pt x="399" y="99"/>
              </a:lnTo>
              <a:lnTo>
                <a:pt x="347" y="92"/>
              </a:lnTo>
              <a:lnTo>
                <a:pt x="342" y="99"/>
              </a:lnTo>
              <a:lnTo>
                <a:pt x="342" y="77"/>
              </a:lnTo>
              <a:lnTo>
                <a:pt x="320" y="77"/>
              </a:lnTo>
              <a:lnTo>
                <a:pt x="320" y="99"/>
              </a:lnTo>
              <a:lnTo>
                <a:pt x="307" y="92"/>
              </a:lnTo>
              <a:lnTo>
                <a:pt x="297" y="99"/>
              </a:lnTo>
              <a:lnTo>
                <a:pt x="307" y="77"/>
              </a:lnTo>
              <a:lnTo>
                <a:pt x="329" y="64"/>
              </a:lnTo>
              <a:lnTo>
                <a:pt x="329" y="55"/>
              </a:lnTo>
              <a:lnTo>
                <a:pt x="320" y="55"/>
              </a:lnTo>
              <a:lnTo>
                <a:pt x="307" y="25"/>
              </a:lnTo>
              <a:close/>
            </a:path>
          </a:pathLst>
        </a:custGeom>
        <a:solidFill>
          <a:srgbClr val="D2F5A0"/>
        </a:solidFill>
        <a:ln w="9525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36576" tIns="32004" rIns="0" bIns="0" anchor="t"/>
        <a:lstStyle/>
        <a:p>
          <a:pPr algn="l" rtl="0">
            <a:defRPr sz="1000"/>
          </a:pPr>
          <a:endParaRPr lang="en-US" sz="16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en-US"/>
        </a:p>
      </xdr:txBody>
    </xdr:sp>
    <xdr:clientData/>
  </xdr:twoCellAnchor>
  <xdr:twoCellAnchor>
    <xdr:from>
      <xdr:col>7</xdr:col>
      <xdr:colOff>257175</xdr:colOff>
      <xdr:row>30</xdr:row>
      <xdr:rowOff>28575</xdr:rowOff>
    </xdr:from>
    <xdr:to>
      <xdr:col>7</xdr:col>
      <xdr:colOff>323850</xdr:colOff>
      <xdr:row>30</xdr:row>
      <xdr:rowOff>142875</xdr:rowOff>
    </xdr:to>
    <xdr:sp macro="" textlink="">
      <xdr:nvSpPr>
        <xdr:cNvPr id="25762" name="S_GUF"/>
        <xdr:cNvSpPr>
          <a:spLocks/>
        </xdr:cNvSpPr>
      </xdr:nvSpPr>
      <xdr:spPr bwMode="auto">
        <a:xfrm>
          <a:off x="3943350" y="4733925"/>
          <a:ext cx="66675" cy="114300"/>
        </a:xfrm>
        <a:custGeom>
          <a:avLst/>
          <a:gdLst>
            <a:gd name="T0" fmla="*/ 0 w 33"/>
            <a:gd name="T1" fmla="*/ 201053709 h 57"/>
            <a:gd name="T2" fmla="*/ 53069250 w 33"/>
            <a:gd name="T3" fmla="*/ 229201580 h 57"/>
            <a:gd name="T4" fmla="*/ 89809195 w 33"/>
            <a:gd name="T5" fmla="*/ 201053709 h 57"/>
            <a:gd name="T6" fmla="*/ 134713808 w 33"/>
            <a:gd name="T7" fmla="*/ 112589512 h 57"/>
            <a:gd name="T8" fmla="*/ 0 w 33"/>
            <a:gd name="T9" fmla="*/ 0 h 57"/>
            <a:gd name="T10" fmla="*/ 0 w 33"/>
            <a:gd name="T11" fmla="*/ 201053709 h 57"/>
            <a:gd name="T12" fmla="*/ 0 w 33"/>
            <a:gd name="T13" fmla="*/ 201053709 h 57"/>
            <a:gd name="T14" fmla="*/ 0 w 33"/>
            <a:gd name="T15" fmla="*/ 201053709 h 57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60000 65536"/>
            <a:gd name="T22" fmla="*/ 0 60000 65536"/>
            <a:gd name="T23" fmla="*/ 0 60000 65536"/>
            <a:gd name="T24" fmla="*/ 0 w 33"/>
            <a:gd name="T25" fmla="*/ 0 h 57"/>
            <a:gd name="T26" fmla="*/ 33 w 33"/>
            <a:gd name="T27" fmla="*/ 57 h 57"/>
          </a:gdLst>
          <a:ahLst/>
          <a:cxnLst>
            <a:cxn ang="T16">
              <a:pos x="T0" y="T1"/>
            </a:cxn>
            <a:cxn ang="T17">
              <a:pos x="T2" y="T3"/>
            </a:cxn>
            <a:cxn ang="T18">
              <a:pos x="T4" y="T5"/>
            </a:cxn>
            <a:cxn ang="T19">
              <a:pos x="T6" y="T7"/>
            </a:cxn>
            <a:cxn ang="T20">
              <a:pos x="T8" y="T9"/>
            </a:cxn>
            <a:cxn ang="T21">
              <a:pos x="T10" y="T11"/>
            </a:cxn>
            <a:cxn ang="T22">
              <a:pos x="T12" y="T13"/>
            </a:cxn>
            <a:cxn ang="T23">
              <a:pos x="T14" y="T15"/>
            </a:cxn>
          </a:cxnLst>
          <a:rect l="T24" t="T25" r="T26" b="T27"/>
          <a:pathLst>
            <a:path w="33" h="57">
              <a:moveTo>
                <a:pt x="0" y="50"/>
              </a:moveTo>
              <a:lnTo>
                <a:pt x="13" y="57"/>
              </a:lnTo>
              <a:lnTo>
                <a:pt x="22" y="50"/>
              </a:lnTo>
              <a:lnTo>
                <a:pt x="33" y="28"/>
              </a:lnTo>
              <a:lnTo>
                <a:pt x="0" y="0"/>
              </a:lnTo>
              <a:lnTo>
                <a:pt x="0" y="50"/>
              </a:lnTo>
              <a:close/>
            </a:path>
          </a:pathLst>
        </a:custGeom>
        <a:solidFill>
          <a:srgbClr xmlns:mc="http://schemas.openxmlformats.org/markup-compatibility/2006" xmlns:a14="http://schemas.microsoft.com/office/drawing/2010/main" val="DDDDDD" mc:Ignorable="a14" a14:legacySpreadsheetColorIndex="47"/>
        </a:solidFill>
        <a:ln w="9525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36576" tIns="32004" rIns="0" bIns="0" anchor="t"/>
        <a:lstStyle/>
        <a:p>
          <a:pPr algn="l" rtl="0">
            <a:defRPr sz="1000"/>
          </a:pPr>
          <a:endParaRPr lang="en-US" sz="16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en-US"/>
        </a:p>
      </xdr:txBody>
    </xdr:sp>
    <xdr:clientData/>
  </xdr:twoCellAnchor>
  <xdr:twoCellAnchor>
    <xdr:from>
      <xdr:col>7</xdr:col>
      <xdr:colOff>142875</xdr:colOff>
      <xdr:row>30</xdr:row>
      <xdr:rowOff>28575</xdr:rowOff>
    </xdr:from>
    <xdr:to>
      <xdr:col>7</xdr:col>
      <xdr:colOff>257175</xdr:colOff>
      <xdr:row>30</xdr:row>
      <xdr:rowOff>142875</xdr:rowOff>
    </xdr:to>
    <xdr:sp macro="" textlink="">
      <xdr:nvSpPr>
        <xdr:cNvPr id="25763" name="S_SUR"/>
        <xdr:cNvSpPr>
          <a:spLocks/>
        </xdr:cNvSpPr>
      </xdr:nvSpPr>
      <xdr:spPr bwMode="auto">
        <a:xfrm>
          <a:off x="3829050" y="4733925"/>
          <a:ext cx="114300" cy="114300"/>
        </a:xfrm>
        <a:custGeom>
          <a:avLst/>
          <a:gdLst>
            <a:gd name="T0" fmla="*/ 251240187 w 52"/>
            <a:gd name="T1" fmla="*/ 201053709 h 57"/>
            <a:gd name="T2" fmla="*/ 251240187 w 52"/>
            <a:gd name="T3" fmla="*/ 0 h 57"/>
            <a:gd name="T4" fmla="*/ 106294607 w 52"/>
            <a:gd name="T5" fmla="*/ 0 h 57"/>
            <a:gd name="T6" fmla="*/ 0 w 52"/>
            <a:gd name="T7" fmla="*/ 84443646 h 57"/>
            <a:gd name="T8" fmla="*/ 106294607 w 52"/>
            <a:gd name="T9" fmla="*/ 229201580 h 57"/>
            <a:gd name="T10" fmla="*/ 154608358 w 52"/>
            <a:gd name="T11" fmla="*/ 229201580 h 57"/>
            <a:gd name="T12" fmla="*/ 183598786 w 52"/>
            <a:gd name="T13" fmla="*/ 201053709 h 57"/>
            <a:gd name="T14" fmla="*/ 251240187 w 52"/>
            <a:gd name="T15" fmla="*/ 201053709 h 57"/>
            <a:gd name="T16" fmla="*/ 251240187 w 52"/>
            <a:gd name="T17" fmla="*/ 201053709 h 57"/>
            <a:gd name="T18" fmla="*/ 0 60000 65536"/>
            <a:gd name="T19" fmla="*/ 0 60000 65536"/>
            <a:gd name="T20" fmla="*/ 0 60000 65536"/>
            <a:gd name="T21" fmla="*/ 0 60000 65536"/>
            <a:gd name="T22" fmla="*/ 0 60000 65536"/>
            <a:gd name="T23" fmla="*/ 0 60000 65536"/>
            <a:gd name="T24" fmla="*/ 0 60000 65536"/>
            <a:gd name="T25" fmla="*/ 0 60000 65536"/>
            <a:gd name="T26" fmla="*/ 0 60000 65536"/>
            <a:gd name="T27" fmla="*/ 0 w 52"/>
            <a:gd name="T28" fmla="*/ 0 h 57"/>
            <a:gd name="T29" fmla="*/ 52 w 52"/>
            <a:gd name="T30" fmla="*/ 57 h 57"/>
          </a:gdLst>
          <a:ahLst/>
          <a:cxnLst>
            <a:cxn ang="T18">
              <a:pos x="T0" y="T1"/>
            </a:cxn>
            <a:cxn ang="T19">
              <a:pos x="T2" y="T3"/>
            </a:cxn>
            <a:cxn ang="T20">
              <a:pos x="T4" y="T5"/>
            </a:cxn>
            <a:cxn ang="T21">
              <a:pos x="T6" y="T7"/>
            </a:cxn>
            <a:cxn ang="T22">
              <a:pos x="T8" y="T9"/>
            </a:cxn>
            <a:cxn ang="T23">
              <a:pos x="T10" y="T11"/>
            </a:cxn>
            <a:cxn ang="T24">
              <a:pos x="T12" y="T13"/>
            </a:cxn>
            <a:cxn ang="T25">
              <a:pos x="T14" y="T15"/>
            </a:cxn>
            <a:cxn ang="T26">
              <a:pos x="T16" y="T17"/>
            </a:cxn>
          </a:cxnLst>
          <a:rect l="T27" t="T28" r="T29" b="T30"/>
          <a:pathLst>
            <a:path w="52" h="57">
              <a:moveTo>
                <a:pt x="52" y="50"/>
              </a:moveTo>
              <a:lnTo>
                <a:pt x="52" y="0"/>
              </a:lnTo>
              <a:lnTo>
                <a:pt x="22" y="0"/>
              </a:lnTo>
              <a:lnTo>
                <a:pt x="0" y="21"/>
              </a:lnTo>
              <a:lnTo>
                <a:pt x="22" y="57"/>
              </a:lnTo>
              <a:lnTo>
                <a:pt x="32" y="57"/>
              </a:lnTo>
              <a:lnTo>
                <a:pt x="38" y="50"/>
              </a:lnTo>
              <a:lnTo>
                <a:pt x="52" y="50"/>
              </a:lnTo>
              <a:close/>
            </a:path>
          </a:pathLst>
        </a:custGeom>
        <a:solidFill>
          <a:srgbClr val="F5F5F5"/>
        </a:solidFill>
        <a:ln w="9525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36576" tIns="32004" rIns="0" bIns="0" anchor="t"/>
        <a:lstStyle/>
        <a:p>
          <a:pPr algn="l" rtl="0">
            <a:defRPr sz="1000"/>
          </a:pPr>
          <a:endParaRPr lang="en-US" sz="16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en-US"/>
        </a:p>
      </xdr:txBody>
    </xdr:sp>
    <xdr:clientData/>
  </xdr:twoCellAnchor>
  <xdr:twoCellAnchor>
    <xdr:from>
      <xdr:col>7</xdr:col>
      <xdr:colOff>57150</xdr:colOff>
      <xdr:row>29</xdr:row>
      <xdr:rowOff>95250</xdr:rowOff>
    </xdr:from>
    <xdr:to>
      <xdr:col>7</xdr:col>
      <xdr:colOff>190500</xdr:colOff>
      <xdr:row>31</xdr:row>
      <xdr:rowOff>9525</xdr:rowOff>
    </xdr:to>
    <xdr:sp macro="" textlink="">
      <xdr:nvSpPr>
        <xdr:cNvPr id="25764" name="S_GUY"/>
        <xdr:cNvSpPr>
          <a:spLocks/>
        </xdr:cNvSpPr>
      </xdr:nvSpPr>
      <xdr:spPr bwMode="auto">
        <a:xfrm>
          <a:off x="3743325" y="4638675"/>
          <a:ext cx="133350" cy="238125"/>
        </a:xfrm>
        <a:custGeom>
          <a:avLst/>
          <a:gdLst>
            <a:gd name="T0" fmla="*/ 104192172 w 64"/>
            <a:gd name="T1" fmla="*/ 0 h 113"/>
            <a:gd name="T2" fmla="*/ 160630481 w 64"/>
            <a:gd name="T3" fmla="*/ 75491959 h 113"/>
            <a:gd name="T4" fmla="*/ 160630481 w 64"/>
            <a:gd name="T5" fmla="*/ 102136665 h 113"/>
            <a:gd name="T6" fmla="*/ 191019682 w 64"/>
            <a:gd name="T7" fmla="*/ 102136665 h 113"/>
            <a:gd name="T8" fmla="*/ 277847224 w 64"/>
            <a:gd name="T9" fmla="*/ 177628624 h 113"/>
            <a:gd name="T10" fmla="*/ 191019682 w 64"/>
            <a:gd name="T11" fmla="*/ 275325174 h 113"/>
            <a:gd name="T12" fmla="*/ 277847224 w 64"/>
            <a:gd name="T13" fmla="*/ 452953798 h 113"/>
            <a:gd name="T14" fmla="*/ 160630481 w 64"/>
            <a:gd name="T15" fmla="*/ 501801019 h 113"/>
            <a:gd name="T16" fmla="*/ 138923612 w 64"/>
            <a:gd name="T17" fmla="*/ 501801019 h 113"/>
            <a:gd name="T18" fmla="*/ 104192172 w 64"/>
            <a:gd name="T19" fmla="*/ 417426822 h 113"/>
            <a:gd name="T20" fmla="*/ 104192172 w 64"/>
            <a:gd name="T21" fmla="*/ 208713411 h 113"/>
            <a:gd name="T22" fmla="*/ 34731424 w 64"/>
            <a:gd name="T23" fmla="*/ 208713411 h 113"/>
            <a:gd name="T24" fmla="*/ 0 w 64"/>
            <a:gd name="T25" fmla="*/ 177628624 h 113"/>
            <a:gd name="T26" fmla="*/ 0 w 64"/>
            <a:gd name="T27" fmla="*/ 102136665 h 113"/>
            <a:gd name="T28" fmla="*/ 34731424 w 64"/>
            <a:gd name="T29" fmla="*/ 102136665 h 113"/>
            <a:gd name="T30" fmla="*/ 34731424 w 64"/>
            <a:gd name="T31" fmla="*/ 75491959 h 113"/>
            <a:gd name="T32" fmla="*/ 104192172 w 64"/>
            <a:gd name="T33" fmla="*/ 0 h 113"/>
            <a:gd name="T34" fmla="*/ 104192172 w 64"/>
            <a:gd name="T35" fmla="*/ 0 h 113"/>
            <a:gd name="T36" fmla="*/ 104192172 w 64"/>
            <a:gd name="T37" fmla="*/ 0 h 113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60000 65536"/>
            <a:gd name="T52" fmla="*/ 0 60000 65536"/>
            <a:gd name="T53" fmla="*/ 0 60000 65536"/>
            <a:gd name="T54" fmla="*/ 0 60000 65536"/>
            <a:gd name="T55" fmla="*/ 0 60000 65536"/>
            <a:gd name="T56" fmla="*/ 0 60000 65536"/>
            <a:gd name="T57" fmla="*/ 0 w 64"/>
            <a:gd name="T58" fmla="*/ 0 h 113"/>
            <a:gd name="T59" fmla="*/ 64 w 64"/>
            <a:gd name="T60" fmla="*/ 113 h 113"/>
          </a:gdLst>
          <a:ahLst/>
          <a:cxnLst>
            <a:cxn ang="T38">
              <a:pos x="T0" y="T1"/>
            </a:cxn>
            <a:cxn ang="T39">
              <a:pos x="T2" y="T3"/>
            </a:cxn>
            <a:cxn ang="T40">
              <a:pos x="T4" y="T5"/>
            </a:cxn>
            <a:cxn ang="T41">
              <a:pos x="T6" y="T7"/>
            </a:cxn>
            <a:cxn ang="T42">
              <a:pos x="T8" y="T9"/>
            </a:cxn>
            <a:cxn ang="T43">
              <a:pos x="T10" y="T11"/>
            </a:cxn>
            <a:cxn ang="T44">
              <a:pos x="T12" y="T13"/>
            </a:cxn>
            <a:cxn ang="T45">
              <a:pos x="T14" y="T15"/>
            </a:cxn>
            <a:cxn ang="T46">
              <a:pos x="T16" y="T17"/>
            </a:cxn>
            <a:cxn ang="T47">
              <a:pos x="T18" y="T19"/>
            </a:cxn>
            <a:cxn ang="T48">
              <a:pos x="T20" y="T21"/>
            </a:cxn>
            <a:cxn ang="T49">
              <a:pos x="T22" y="T23"/>
            </a:cxn>
            <a:cxn ang="T50">
              <a:pos x="T24" y="T25"/>
            </a:cxn>
            <a:cxn ang="T51">
              <a:pos x="T26" y="T27"/>
            </a:cxn>
            <a:cxn ang="T52">
              <a:pos x="T28" y="T29"/>
            </a:cxn>
            <a:cxn ang="T53">
              <a:pos x="T30" y="T31"/>
            </a:cxn>
            <a:cxn ang="T54">
              <a:pos x="T32" y="T33"/>
            </a:cxn>
            <a:cxn ang="T55">
              <a:pos x="T34" y="T35"/>
            </a:cxn>
            <a:cxn ang="T56">
              <a:pos x="T36" y="T37"/>
            </a:cxn>
          </a:cxnLst>
          <a:rect l="T57" t="T58" r="T59" b="T60"/>
          <a:pathLst>
            <a:path w="64" h="113">
              <a:moveTo>
                <a:pt x="24" y="0"/>
              </a:moveTo>
              <a:lnTo>
                <a:pt x="37" y="17"/>
              </a:lnTo>
              <a:lnTo>
                <a:pt x="37" y="23"/>
              </a:lnTo>
              <a:lnTo>
                <a:pt x="44" y="23"/>
              </a:lnTo>
              <a:lnTo>
                <a:pt x="64" y="40"/>
              </a:lnTo>
              <a:lnTo>
                <a:pt x="44" y="62"/>
              </a:lnTo>
              <a:lnTo>
                <a:pt x="64" y="102"/>
              </a:lnTo>
              <a:lnTo>
                <a:pt x="37" y="113"/>
              </a:lnTo>
              <a:lnTo>
                <a:pt x="32" y="113"/>
              </a:lnTo>
              <a:lnTo>
                <a:pt x="24" y="94"/>
              </a:lnTo>
              <a:lnTo>
                <a:pt x="24" y="47"/>
              </a:lnTo>
              <a:lnTo>
                <a:pt x="8" y="47"/>
              </a:lnTo>
              <a:lnTo>
                <a:pt x="0" y="40"/>
              </a:lnTo>
              <a:lnTo>
                <a:pt x="0" y="23"/>
              </a:lnTo>
              <a:lnTo>
                <a:pt x="8" y="23"/>
              </a:lnTo>
              <a:lnTo>
                <a:pt x="8" y="17"/>
              </a:lnTo>
              <a:lnTo>
                <a:pt x="24" y="0"/>
              </a:lnTo>
              <a:close/>
            </a:path>
          </a:pathLst>
        </a:custGeom>
        <a:solidFill>
          <a:srgbClr val="F5F5F5"/>
        </a:solidFill>
        <a:ln w="9525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36576" tIns="32004" rIns="0" bIns="0" anchor="t"/>
        <a:lstStyle/>
        <a:p>
          <a:pPr algn="l" rtl="0">
            <a:defRPr sz="1000"/>
          </a:pPr>
          <a:endParaRPr lang="en-US" sz="16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en-US"/>
        </a:p>
      </xdr:txBody>
    </xdr:sp>
    <xdr:clientData/>
  </xdr:twoCellAnchor>
  <xdr:twoCellAnchor>
    <xdr:from>
      <xdr:col>6</xdr:col>
      <xdr:colOff>438150</xdr:colOff>
      <xdr:row>29</xdr:row>
      <xdr:rowOff>0</xdr:rowOff>
    </xdr:from>
    <xdr:to>
      <xdr:col>7</xdr:col>
      <xdr:colOff>104775</xdr:colOff>
      <xdr:row>31</xdr:row>
      <xdr:rowOff>19050</xdr:rowOff>
    </xdr:to>
    <xdr:sp macro="" textlink="">
      <xdr:nvSpPr>
        <xdr:cNvPr id="25765" name="S_VEN"/>
        <xdr:cNvSpPr>
          <a:spLocks/>
        </xdr:cNvSpPr>
      </xdr:nvSpPr>
      <xdr:spPr bwMode="auto">
        <a:xfrm>
          <a:off x="3409950" y="4543425"/>
          <a:ext cx="381000" cy="342900"/>
        </a:xfrm>
        <a:custGeom>
          <a:avLst/>
          <a:gdLst>
            <a:gd name="T0" fmla="*/ 793229504 w 183"/>
            <a:gd name="T1" fmla="*/ 219232175 h 167"/>
            <a:gd name="T2" fmla="*/ 723877117 w 183"/>
            <a:gd name="T3" fmla="*/ 290904473 h 167"/>
            <a:gd name="T4" fmla="*/ 723877117 w 183"/>
            <a:gd name="T5" fmla="*/ 320416448 h 167"/>
            <a:gd name="T6" fmla="*/ 697869191 w 183"/>
            <a:gd name="T7" fmla="*/ 320416448 h 167"/>
            <a:gd name="T8" fmla="*/ 697869191 w 183"/>
            <a:gd name="T9" fmla="*/ 392088682 h 167"/>
            <a:gd name="T10" fmla="*/ 723877117 w 183"/>
            <a:gd name="T11" fmla="*/ 404736965 h 167"/>
            <a:gd name="T12" fmla="*/ 697869191 w 183"/>
            <a:gd name="T13" fmla="*/ 480624608 h 167"/>
            <a:gd name="T14" fmla="*/ 593839570 w 183"/>
            <a:gd name="T15" fmla="*/ 510136584 h 167"/>
            <a:gd name="T16" fmla="*/ 485473083 w 183"/>
            <a:gd name="T17" fmla="*/ 480624608 h 167"/>
            <a:gd name="T18" fmla="*/ 515815663 w 183"/>
            <a:gd name="T19" fmla="*/ 510136584 h 167"/>
            <a:gd name="T20" fmla="*/ 515815663 w 183"/>
            <a:gd name="T21" fmla="*/ 602890102 h 167"/>
            <a:gd name="T22" fmla="*/ 546158373 w 183"/>
            <a:gd name="T23" fmla="*/ 632402077 h 167"/>
            <a:gd name="T24" fmla="*/ 455132585 w 183"/>
            <a:gd name="T25" fmla="*/ 704074311 h 167"/>
            <a:gd name="T26" fmla="*/ 420455351 w 183"/>
            <a:gd name="T27" fmla="*/ 704074311 h 167"/>
            <a:gd name="T28" fmla="*/ 368439499 w 183"/>
            <a:gd name="T29" fmla="*/ 666129462 h 167"/>
            <a:gd name="T30" fmla="*/ 325095038 w 183"/>
            <a:gd name="T31" fmla="*/ 632402077 h 167"/>
            <a:gd name="T32" fmla="*/ 325095038 w 183"/>
            <a:gd name="T33" fmla="*/ 539650741 h 167"/>
            <a:gd name="T34" fmla="*/ 303421767 w 183"/>
            <a:gd name="T35" fmla="*/ 480624608 h 167"/>
            <a:gd name="T36" fmla="*/ 325095038 w 183"/>
            <a:gd name="T37" fmla="*/ 354145887 h 167"/>
            <a:gd name="T38" fmla="*/ 238401887 w 183"/>
            <a:gd name="T39" fmla="*/ 354145887 h 167"/>
            <a:gd name="T40" fmla="*/ 186388118 w 183"/>
            <a:gd name="T41" fmla="*/ 320416448 h 167"/>
            <a:gd name="T42" fmla="*/ 95360345 w 183"/>
            <a:gd name="T43" fmla="*/ 320416448 h 167"/>
            <a:gd name="T44" fmla="*/ 52015868 w 183"/>
            <a:gd name="T45" fmla="*/ 290904473 h 167"/>
            <a:gd name="T46" fmla="*/ 52015868 w 183"/>
            <a:gd name="T47" fmla="*/ 219232175 h 167"/>
            <a:gd name="T48" fmla="*/ 0 w 183"/>
            <a:gd name="T49" fmla="*/ 155992814 h 167"/>
            <a:gd name="T50" fmla="*/ 95360345 w 183"/>
            <a:gd name="T51" fmla="*/ 37944864 h 167"/>
            <a:gd name="T52" fmla="*/ 117033616 w 183"/>
            <a:gd name="T53" fmla="*/ 92751368 h 167"/>
            <a:gd name="T54" fmla="*/ 95360345 w 183"/>
            <a:gd name="T55" fmla="*/ 122265397 h 167"/>
            <a:gd name="T56" fmla="*/ 95360345 w 183"/>
            <a:gd name="T57" fmla="*/ 193935609 h 167"/>
            <a:gd name="T58" fmla="*/ 117033616 w 183"/>
            <a:gd name="T59" fmla="*/ 155992814 h 167"/>
            <a:gd name="T60" fmla="*/ 117033616 w 183"/>
            <a:gd name="T61" fmla="*/ 92751368 h 167"/>
            <a:gd name="T62" fmla="*/ 186388118 w 183"/>
            <a:gd name="T63" fmla="*/ 37944864 h 167"/>
            <a:gd name="T64" fmla="*/ 186388118 w 183"/>
            <a:gd name="T65" fmla="*/ 0 h 167"/>
            <a:gd name="T66" fmla="*/ 186388118 w 183"/>
            <a:gd name="T67" fmla="*/ 37944864 h 167"/>
            <a:gd name="T68" fmla="*/ 303421767 w 183"/>
            <a:gd name="T69" fmla="*/ 37944864 h 167"/>
            <a:gd name="T70" fmla="*/ 303421767 w 183"/>
            <a:gd name="T71" fmla="*/ 92751368 h 167"/>
            <a:gd name="T72" fmla="*/ 420455351 w 183"/>
            <a:gd name="T73" fmla="*/ 92751368 h 167"/>
            <a:gd name="T74" fmla="*/ 485473083 w 183"/>
            <a:gd name="T75" fmla="*/ 122265397 h 167"/>
            <a:gd name="T76" fmla="*/ 546158373 w 183"/>
            <a:gd name="T77" fmla="*/ 92751368 h 167"/>
            <a:gd name="T78" fmla="*/ 637184031 w 183"/>
            <a:gd name="T79" fmla="*/ 92751368 h 167"/>
            <a:gd name="T80" fmla="*/ 593839570 w 183"/>
            <a:gd name="T81" fmla="*/ 92751368 h 167"/>
            <a:gd name="T82" fmla="*/ 697869191 w 183"/>
            <a:gd name="T83" fmla="*/ 155992814 h 167"/>
            <a:gd name="T84" fmla="*/ 697869191 w 183"/>
            <a:gd name="T85" fmla="*/ 219232175 h 167"/>
            <a:gd name="T86" fmla="*/ 723877117 w 183"/>
            <a:gd name="T87" fmla="*/ 193935609 h 167"/>
            <a:gd name="T88" fmla="*/ 793229504 w 183"/>
            <a:gd name="T89" fmla="*/ 219232175 h 167"/>
            <a:gd name="T90" fmla="*/ 793229504 w 183"/>
            <a:gd name="T91" fmla="*/ 219232175 h 167"/>
            <a:gd name="T92" fmla="*/ 793229504 w 183"/>
            <a:gd name="T93" fmla="*/ 219232175 h 167"/>
            <a:gd name="T94" fmla="*/ 0 60000 65536"/>
            <a:gd name="T95" fmla="*/ 0 60000 65536"/>
            <a:gd name="T96" fmla="*/ 0 60000 65536"/>
            <a:gd name="T97" fmla="*/ 0 60000 65536"/>
            <a:gd name="T98" fmla="*/ 0 60000 65536"/>
            <a:gd name="T99" fmla="*/ 0 60000 65536"/>
            <a:gd name="T100" fmla="*/ 0 60000 65536"/>
            <a:gd name="T101" fmla="*/ 0 60000 65536"/>
            <a:gd name="T102" fmla="*/ 0 60000 65536"/>
            <a:gd name="T103" fmla="*/ 0 60000 65536"/>
            <a:gd name="T104" fmla="*/ 0 60000 65536"/>
            <a:gd name="T105" fmla="*/ 0 60000 65536"/>
            <a:gd name="T106" fmla="*/ 0 60000 65536"/>
            <a:gd name="T107" fmla="*/ 0 60000 65536"/>
            <a:gd name="T108" fmla="*/ 0 60000 65536"/>
            <a:gd name="T109" fmla="*/ 0 60000 65536"/>
            <a:gd name="T110" fmla="*/ 0 60000 65536"/>
            <a:gd name="T111" fmla="*/ 0 60000 65536"/>
            <a:gd name="T112" fmla="*/ 0 60000 65536"/>
            <a:gd name="T113" fmla="*/ 0 60000 65536"/>
            <a:gd name="T114" fmla="*/ 0 60000 65536"/>
            <a:gd name="T115" fmla="*/ 0 60000 65536"/>
            <a:gd name="T116" fmla="*/ 0 60000 65536"/>
            <a:gd name="T117" fmla="*/ 0 60000 65536"/>
            <a:gd name="T118" fmla="*/ 0 60000 65536"/>
            <a:gd name="T119" fmla="*/ 0 60000 65536"/>
            <a:gd name="T120" fmla="*/ 0 60000 65536"/>
            <a:gd name="T121" fmla="*/ 0 60000 65536"/>
            <a:gd name="T122" fmla="*/ 0 60000 65536"/>
            <a:gd name="T123" fmla="*/ 0 60000 65536"/>
            <a:gd name="T124" fmla="*/ 0 60000 65536"/>
            <a:gd name="T125" fmla="*/ 0 60000 65536"/>
            <a:gd name="T126" fmla="*/ 0 60000 65536"/>
            <a:gd name="T127" fmla="*/ 0 60000 65536"/>
            <a:gd name="T128" fmla="*/ 0 60000 65536"/>
            <a:gd name="T129" fmla="*/ 0 60000 65536"/>
            <a:gd name="T130" fmla="*/ 0 60000 65536"/>
            <a:gd name="T131" fmla="*/ 0 60000 65536"/>
            <a:gd name="T132" fmla="*/ 0 60000 65536"/>
            <a:gd name="T133" fmla="*/ 0 60000 65536"/>
            <a:gd name="T134" fmla="*/ 0 60000 65536"/>
            <a:gd name="T135" fmla="*/ 0 60000 65536"/>
            <a:gd name="T136" fmla="*/ 0 60000 65536"/>
            <a:gd name="T137" fmla="*/ 0 60000 65536"/>
            <a:gd name="T138" fmla="*/ 0 60000 65536"/>
            <a:gd name="T139" fmla="*/ 0 60000 65536"/>
            <a:gd name="T140" fmla="*/ 0 60000 65536"/>
            <a:gd name="T141" fmla="*/ 0 w 183"/>
            <a:gd name="T142" fmla="*/ 0 h 167"/>
            <a:gd name="T143" fmla="*/ 183 w 183"/>
            <a:gd name="T144" fmla="*/ 167 h 167"/>
          </a:gdLst>
          <a:ahLst/>
          <a:cxnLst>
            <a:cxn ang="T94">
              <a:pos x="T0" y="T1"/>
            </a:cxn>
            <a:cxn ang="T95">
              <a:pos x="T2" y="T3"/>
            </a:cxn>
            <a:cxn ang="T96">
              <a:pos x="T4" y="T5"/>
            </a:cxn>
            <a:cxn ang="T97">
              <a:pos x="T6" y="T7"/>
            </a:cxn>
            <a:cxn ang="T98">
              <a:pos x="T8" y="T9"/>
            </a:cxn>
            <a:cxn ang="T99">
              <a:pos x="T10" y="T11"/>
            </a:cxn>
            <a:cxn ang="T100">
              <a:pos x="T12" y="T13"/>
            </a:cxn>
            <a:cxn ang="T101">
              <a:pos x="T14" y="T15"/>
            </a:cxn>
            <a:cxn ang="T102">
              <a:pos x="T16" y="T17"/>
            </a:cxn>
            <a:cxn ang="T103">
              <a:pos x="T18" y="T19"/>
            </a:cxn>
            <a:cxn ang="T104">
              <a:pos x="T20" y="T21"/>
            </a:cxn>
            <a:cxn ang="T105">
              <a:pos x="T22" y="T23"/>
            </a:cxn>
            <a:cxn ang="T106">
              <a:pos x="T24" y="T25"/>
            </a:cxn>
            <a:cxn ang="T107">
              <a:pos x="T26" y="T27"/>
            </a:cxn>
            <a:cxn ang="T108">
              <a:pos x="T28" y="T29"/>
            </a:cxn>
            <a:cxn ang="T109">
              <a:pos x="T30" y="T31"/>
            </a:cxn>
            <a:cxn ang="T110">
              <a:pos x="T32" y="T33"/>
            </a:cxn>
            <a:cxn ang="T111">
              <a:pos x="T34" y="T35"/>
            </a:cxn>
            <a:cxn ang="T112">
              <a:pos x="T36" y="T37"/>
            </a:cxn>
            <a:cxn ang="T113">
              <a:pos x="T38" y="T39"/>
            </a:cxn>
            <a:cxn ang="T114">
              <a:pos x="T40" y="T41"/>
            </a:cxn>
            <a:cxn ang="T115">
              <a:pos x="T42" y="T43"/>
            </a:cxn>
            <a:cxn ang="T116">
              <a:pos x="T44" y="T45"/>
            </a:cxn>
            <a:cxn ang="T117">
              <a:pos x="T46" y="T47"/>
            </a:cxn>
            <a:cxn ang="T118">
              <a:pos x="T48" y="T49"/>
            </a:cxn>
            <a:cxn ang="T119">
              <a:pos x="T50" y="T51"/>
            </a:cxn>
            <a:cxn ang="T120">
              <a:pos x="T52" y="T53"/>
            </a:cxn>
            <a:cxn ang="T121">
              <a:pos x="T54" y="T55"/>
            </a:cxn>
            <a:cxn ang="T122">
              <a:pos x="T56" y="T57"/>
            </a:cxn>
            <a:cxn ang="T123">
              <a:pos x="T58" y="T59"/>
            </a:cxn>
            <a:cxn ang="T124">
              <a:pos x="T60" y="T61"/>
            </a:cxn>
            <a:cxn ang="T125">
              <a:pos x="T62" y="T63"/>
            </a:cxn>
            <a:cxn ang="T126">
              <a:pos x="T64" y="T65"/>
            </a:cxn>
            <a:cxn ang="T127">
              <a:pos x="T66" y="T67"/>
            </a:cxn>
            <a:cxn ang="T128">
              <a:pos x="T68" y="T69"/>
            </a:cxn>
            <a:cxn ang="T129">
              <a:pos x="T70" y="T71"/>
            </a:cxn>
            <a:cxn ang="T130">
              <a:pos x="T72" y="T73"/>
            </a:cxn>
            <a:cxn ang="T131">
              <a:pos x="T74" y="T75"/>
            </a:cxn>
            <a:cxn ang="T132">
              <a:pos x="T76" y="T77"/>
            </a:cxn>
            <a:cxn ang="T133">
              <a:pos x="T78" y="T79"/>
            </a:cxn>
            <a:cxn ang="T134">
              <a:pos x="T80" y="T81"/>
            </a:cxn>
            <a:cxn ang="T135">
              <a:pos x="T82" y="T83"/>
            </a:cxn>
            <a:cxn ang="T136">
              <a:pos x="T84" y="T85"/>
            </a:cxn>
            <a:cxn ang="T137">
              <a:pos x="T86" y="T87"/>
            </a:cxn>
            <a:cxn ang="T138">
              <a:pos x="T88" y="T89"/>
            </a:cxn>
            <a:cxn ang="T139">
              <a:pos x="T90" y="T91"/>
            </a:cxn>
            <a:cxn ang="T140">
              <a:pos x="T92" y="T93"/>
            </a:cxn>
          </a:cxnLst>
          <a:rect l="T141" t="T142" r="T143" b="T144"/>
          <a:pathLst>
            <a:path w="183" h="167">
              <a:moveTo>
                <a:pt x="183" y="52"/>
              </a:moveTo>
              <a:lnTo>
                <a:pt x="167" y="69"/>
              </a:lnTo>
              <a:lnTo>
                <a:pt x="167" y="76"/>
              </a:lnTo>
              <a:lnTo>
                <a:pt x="161" y="76"/>
              </a:lnTo>
              <a:lnTo>
                <a:pt x="161" y="93"/>
              </a:lnTo>
              <a:lnTo>
                <a:pt x="167" y="96"/>
              </a:lnTo>
              <a:lnTo>
                <a:pt x="161" y="114"/>
              </a:lnTo>
              <a:lnTo>
                <a:pt x="137" y="121"/>
              </a:lnTo>
              <a:lnTo>
                <a:pt x="112" y="114"/>
              </a:lnTo>
              <a:lnTo>
                <a:pt x="119" y="121"/>
              </a:lnTo>
              <a:lnTo>
                <a:pt x="119" y="143"/>
              </a:lnTo>
              <a:lnTo>
                <a:pt x="126" y="150"/>
              </a:lnTo>
              <a:lnTo>
                <a:pt x="105" y="167"/>
              </a:lnTo>
              <a:lnTo>
                <a:pt x="97" y="167"/>
              </a:lnTo>
              <a:lnTo>
                <a:pt x="85" y="158"/>
              </a:lnTo>
              <a:lnTo>
                <a:pt x="75" y="150"/>
              </a:lnTo>
              <a:lnTo>
                <a:pt x="75" y="128"/>
              </a:lnTo>
              <a:lnTo>
                <a:pt x="70" y="114"/>
              </a:lnTo>
              <a:lnTo>
                <a:pt x="75" y="84"/>
              </a:lnTo>
              <a:lnTo>
                <a:pt x="55" y="84"/>
              </a:lnTo>
              <a:lnTo>
                <a:pt x="43" y="76"/>
              </a:lnTo>
              <a:lnTo>
                <a:pt x="22" y="76"/>
              </a:lnTo>
              <a:lnTo>
                <a:pt x="12" y="69"/>
              </a:lnTo>
              <a:lnTo>
                <a:pt x="12" y="52"/>
              </a:lnTo>
              <a:lnTo>
                <a:pt x="0" y="37"/>
              </a:lnTo>
              <a:lnTo>
                <a:pt x="22" y="9"/>
              </a:lnTo>
              <a:lnTo>
                <a:pt x="27" y="22"/>
              </a:lnTo>
              <a:lnTo>
                <a:pt x="22" y="29"/>
              </a:lnTo>
              <a:lnTo>
                <a:pt x="22" y="46"/>
              </a:lnTo>
              <a:lnTo>
                <a:pt x="27" y="37"/>
              </a:lnTo>
              <a:lnTo>
                <a:pt x="27" y="22"/>
              </a:lnTo>
              <a:lnTo>
                <a:pt x="43" y="9"/>
              </a:lnTo>
              <a:lnTo>
                <a:pt x="43" y="0"/>
              </a:lnTo>
              <a:lnTo>
                <a:pt x="43" y="9"/>
              </a:lnTo>
              <a:lnTo>
                <a:pt x="70" y="9"/>
              </a:lnTo>
              <a:lnTo>
                <a:pt x="70" y="22"/>
              </a:lnTo>
              <a:lnTo>
                <a:pt x="97" y="22"/>
              </a:lnTo>
              <a:lnTo>
                <a:pt x="112" y="29"/>
              </a:lnTo>
              <a:lnTo>
                <a:pt x="126" y="22"/>
              </a:lnTo>
              <a:lnTo>
                <a:pt x="147" y="22"/>
              </a:lnTo>
              <a:lnTo>
                <a:pt x="137" y="22"/>
              </a:lnTo>
              <a:lnTo>
                <a:pt x="161" y="37"/>
              </a:lnTo>
              <a:lnTo>
                <a:pt x="161" y="52"/>
              </a:lnTo>
              <a:lnTo>
                <a:pt x="167" y="46"/>
              </a:lnTo>
              <a:lnTo>
                <a:pt x="183" y="52"/>
              </a:lnTo>
              <a:close/>
            </a:path>
          </a:pathLst>
        </a:custGeom>
        <a:solidFill>
          <a:srgbClr val="F5F5F5"/>
        </a:solidFill>
        <a:ln w="9525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36576" tIns="32004" rIns="0" bIns="0" anchor="t"/>
        <a:lstStyle/>
        <a:p>
          <a:pPr algn="l" rtl="0">
            <a:defRPr sz="1000"/>
          </a:pPr>
          <a:endParaRPr lang="en-US" sz="16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en-US"/>
        </a:p>
      </xdr:txBody>
    </xdr:sp>
    <xdr:clientData/>
  </xdr:twoCellAnchor>
  <xdr:twoCellAnchor>
    <xdr:from>
      <xdr:col>6</xdr:col>
      <xdr:colOff>485775</xdr:colOff>
      <xdr:row>27</xdr:row>
      <xdr:rowOff>76200</xdr:rowOff>
    </xdr:from>
    <xdr:to>
      <xdr:col>6</xdr:col>
      <xdr:colOff>581025</xdr:colOff>
      <xdr:row>27</xdr:row>
      <xdr:rowOff>152400</xdr:rowOff>
    </xdr:to>
    <xdr:sp macro="" textlink="">
      <xdr:nvSpPr>
        <xdr:cNvPr id="25766" name="S_DOM"/>
        <xdr:cNvSpPr>
          <a:spLocks/>
        </xdr:cNvSpPr>
      </xdr:nvSpPr>
      <xdr:spPr bwMode="auto">
        <a:xfrm>
          <a:off x="3457575" y="4295775"/>
          <a:ext cx="95250" cy="76200"/>
        </a:xfrm>
        <a:custGeom>
          <a:avLst/>
          <a:gdLst>
            <a:gd name="T0" fmla="*/ 0 w 48"/>
            <a:gd name="T1" fmla="*/ 118758713 h 37"/>
            <a:gd name="T2" fmla="*/ 0 w 48"/>
            <a:gd name="T3" fmla="*/ 0 h 37"/>
            <a:gd name="T4" fmla="*/ 82692880 w 48"/>
            <a:gd name="T5" fmla="*/ 0 h 37"/>
            <a:gd name="T6" fmla="*/ 82692880 w 48"/>
            <a:gd name="T7" fmla="*/ 29689163 h 37"/>
            <a:gd name="T8" fmla="*/ 137820815 w 48"/>
            <a:gd name="T9" fmla="*/ 29689163 h 37"/>
            <a:gd name="T10" fmla="*/ 189011721 w 48"/>
            <a:gd name="T11" fmla="*/ 93309983 h 37"/>
            <a:gd name="T12" fmla="*/ 165385759 w 48"/>
            <a:gd name="T13" fmla="*/ 118758713 h 37"/>
            <a:gd name="T14" fmla="*/ 165385759 w 48"/>
            <a:gd name="T15" fmla="*/ 93309983 h 37"/>
            <a:gd name="T16" fmla="*/ 51190921 w 48"/>
            <a:gd name="T17" fmla="*/ 118758713 h 37"/>
            <a:gd name="T18" fmla="*/ 51190921 w 48"/>
            <a:gd name="T19" fmla="*/ 93309983 h 37"/>
            <a:gd name="T20" fmla="*/ 23625969 w 48"/>
            <a:gd name="T21" fmla="*/ 118758713 h 37"/>
            <a:gd name="T22" fmla="*/ 23625969 w 48"/>
            <a:gd name="T23" fmla="*/ 156930810 h 37"/>
            <a:gd name="T24" fmla="*/ 0 w 48"/>
            <a:gd name="T25" fmla="*/ 118758713 h 37"/>
            <a:gd name="T26" fmla="*/ 0 w 48"/>
            <a:gd name="T27" fmla="*/ 118758713 h 37"/>
            <a:gd name="T28" fmla="*/ 0 w 48"/>
            <a:gd name="T29" fmla="*/ 118758713 h 37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w 48"/>
            <a:gd name="T46" fmla="*/ 0 h 37"/>
            <a:gd name="T47" fmla="*/ 48 w 48"/>
            <a:gd name="T48" fmla="*/ 37 h 37"/>
          </a:gdLst>
          <a:ahLst/>
          <a:cxnLst>
            <a:cxn ang="T30">
              <a:pos x="T0" y="T1"/>
            </a:cxn>
            <a:cxn ang="T31">
              <a:pos x="T2" y="T3"/>
            </a:cxn>
            <a:cxn ang="T32">
              <a:pos x="T4" y="T5"/>
            </a:cxn>
            <a:cxn ang="T33">
              <a:pos x="T6" y="T7"/>
            </a:cxn>
            <a:cxn ang="T34">
              <a:pos x="T8" y="T9"/>
            </a:cxn>
            <a:cxn ang="T35">
              <a:pos x="T10" y="T11"/>
            </a:cxn>
            <a:cxn ang="T36">
              <a:pos x="T12" y="T13"/>
            </a:cxn>
            <a:cxn ang="T37">
              <a:pos x="T14" y="T15"/>
            </a:cxn>
            <a:cxn ang="T38">
              <a:pos x="T16" y="T17"/>
            </a:cxn>
            <a:cxn ang="T39">
              <a:pos x="T18" y="T19"/>
            </a:cxn>
            <a:cxn ang="T40">
              <a:pos x="T20" y="T21"/>
            </a:cxn>
            <a:cxn ang="T41">
              <a:pos x="T22" y="T23"/>
            </a:cxn>
            <a:cxn ang="T42">
              <a:pos x="T24" y="T25"/>
            </a:cxn>
            <a:cxn ang="T43">
              <a:pos x="T26" y="T27"/>
            </a:cxn>
            <a:cxn ang="T44">
              <a:pos x="T28" y="T29"/>
            </a:cxn>
          </a:cxnLst>
          <a:rect l="T45" t="T46" r="T47" b="T48"/>
          <a:pathLst>
            <a:path w="48" h="37">
              <a:moveTo>
                <a:pt x="0" y="28"/>
              </a:moveTo>
              <a:lnTo>
                <a:pt x="0" y="0"/>
              </a:lnTo>
              <a:lnTo>
                <a:pt x="21" y="0"/>
              </a:lnTo>
              <a:lnTo>
                <a:pt x="21" y="7"/>
              </a:lnTo>
              <a:lnTo>
                <a:pt x="35" y="7"/>
              </a:lnTo>
              <a:lnTo>
                <a:pt x="48" y="22"/>
              </a:lnTo>
              <a:lnTo>
                <a:pt x="42" y="28"/>
              </a:lnTo>
              <a:lnTo>
                <a:pt x="42" y="22"/>
              </a:lnTo>
              <a:lnTo>
                <a:pt x="13" y="28"/>
              </a:lnTo>
              <a:lnTo>
                <a:pt x="13" y="22"/>
              </a:lnTo>
              <a:lnTo>
                <a:pt x="6" y="28"/>
              </a:lnTo>
              <a:lnTo>
                <a:pt x="6" y="37"/>
              </a:lnTo>
              <a:lnTo>
                <a:pt x="0" y="28"/>
              </a:lnTo>
              <a:close/>
            </a:path>
          </a:pathLst>
        </a:custGeom>
        <a:solidFill>
          <a:srgbClr val="F5F5F5"/>
        </a:solidFill>
        <a:ln w="9525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36576" tIns="32004" rIns="0" bIns="0" anchor="t"/>
        <a:lstStyle/>
        <a:p>
          <a:pPr algn="l" rtl="0">
            <a:defRPr sz="1000"/>
          </a:pPr>
          <a:endParaRPr lang="en-US" sz="16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en-US"/>
        </a:p>
      </xdr:txBody>
    </xdr:sp>
    <xdr:clientData/>
  </xdr:twoCellAnchor>
  <xdr:twoCellAnchor>
    <xdr:from>
      <xdr:col>6</xdr:col>
      <xdr:colOff>409575</xdr:colOff>
      <xdr:row>27</xdr:row>
      <xdr:rowOff>76200</xdr:rowOff>
    </xdr:from>
    <xdr:to>
      <xdr:col>6</xdr:col>
      <xdr:colOff>485775</xdr:colOff>
      <xdr:row>27</xdr:row>
      <xdr:rowOff>123825</xdr:rowOff>
    </xdr:to>
    <xdr:sp macro="" textlink="">
      <xdr:nvSpPr>
        <xdr:cNvPr id="25767" name="S_HTI"/>
        <xdr:cNvSpPr>
          <a:spLocks/>
        </xdr:cNvSpPr>
      </xdr:nvSpPr>
      <xdr:spPr bwMode="auto">
        <a:xfrm>
          <a:off x="3381375" y="4295775"/>
          <a:ext cx="76200" cy="47625"/>
        </a:xfrm>
        <a:custGeom>
          <a:avLst/>
          <a:gdLst>
            <a:gd name="T0" fmla="*/ 156930810 w 37"/>
            <a:gd name="T1" fmla="*/ 90725627 h 25"/>
            <a:gd name="T2" fmla="*/ 156930810 w 37"/>
            <a:gd name="T3" fmla="*/ 0 h 25"/>
            <a:gd name="T4" fmla="*/ 63620811 w 37"/>
            <a:gd name="T5" fmla="*/ 0 h 25"/>
            <a:gd name="T6" fmla="*/ 114516228 w 37"/>
            <a:gd name="T7" fmla="*/ 79838555 h 25"/>
            <a:gd name="T8" fmla="*/ 0 w 37"/>
            <a:gd name="T9" fmla="*/ 90725627 h 25"/>
            <a:gd name="T10" fmla="*/ 156930810 w 37"/>
            <a:gd name="T11" fmla="*/ 90725627 h 25"/>
            <a:gd name="T12" fmla="*/ 156930810 w 37"/>
            <a:gd name="T13" fmla="*/ 90725627 h 25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37"/>
            <a:gd name="T22" fmla="*/ 0 h 25"/>
            <a:gd name="T23" fmla="*/ 37 w 37"/>
            <a:gd name="T24" fmla="*/ 25 h 25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37" h="25">
              <a:moveTo>
                <a:pt x="37" y="25"/>
              </a:moveTo>
              <a:lnTo>
                <a:pt x="37" y="0"/>
              </a:lnTo>
              <a:lnTo>
                <a:pt x="15" y="0"/>
              </a:lnTo>
              <a:lnTo>
                <a:pt x="27" y="22"/>
              </a:lnTo>
              <a:lnTo>
                <a:pt x="0" y="25"/>
              </a:lnTo>
              <a:lnTo>
                <a:pt x="37" y="25"/>
              </a:lnTo>
              <a:close/>
            </a:path>
          </a:pathLst>
        </a:custGeom>
        <a:solidFill>
          <a:srgbClr val="F5F5F5"/>
        </a:solidFill>
        <a:ln w="9525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36576" tIns="32004" rIns="0" bIns="0" anchor="t"/>
        <a:lstStyle/>
        <a:p>
          <a:pPr algn="l" rtl="0">
            <a:defRPr sz="1000"/>
          </a:pPr>
          <a:endParaRPr lang="en-US" sz="16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en-US"/>
        </a:p>
      </xdr:txBody>
    </xdr:sp>
    <xdr:clientData/>
  </xdr:twoCellAnchor>
  <xdr:twoCellAnchor>
    <xdr:from>
      <xdr:col>7</xdr:col>
      <xdr:colOff>142875</xdr:colOff>
      <xdr:row>37</xdr:row>
      <xdr:rowOff>38100</xdr:rowOff>
    </xdr:from>
    <xdr:to>
      <xdr:col>7</xdr:col>
      <xdr:colOff>304800</xdr:colOff>
      <xdr:row>38</xdr:row>
      <xdr:rowOff>38100</xdr:rowOff>
    </xdr:to>
    <xdr:sp macro="" textlink="">
      <xdr:nvSpPr>
        <xdr:cNvPr id="25768" name="S_URY"/>
        <xdr:cNvSpPr>
          <a:spLocks/>
        </xdr:cNvSpPr>
      </xdr:nvSpPr>
      <xdr:spPr bwMode="auto">
        <a:xfrm>
          <a:off x="3829050" y="5876925"/>
          <a:ext cx="161925" cy="161925"/>
        </a:xfrm>
        <a:custGeom>
          <a:avLst/>
          <a:gdLst>
            <a:gd name="T0" fmla="*/ 294972714 w 80"/>
            <a:gd name="T1" fmla="*/ 247047860 h 75"/>
            <a:gd name="T2" fmla="*/ 327746322 w 80"/>
            <a:gd name="T3" fmla="*/ 139838407 h 75"/>
            <a:gd name="T4" fmla="*/ 294972714 w 80"/>
            <a:gd name="T5" fmla="*/ 97886895 h 75"/>
            <a:gd name="T6" fmla="*/ 176164276 w 80"/>
            <a:gd name="T7" fmla="*/ 27967683 h 75"/>
            <a:gd name="T8" fmla="*/ 147485345 w 80"/>
            <a:gd name="T9" fmla="*/ 27967683 h 75"/>
            <a:gd name="T10" fmla="*/ 106518304 w 80"/>
            <a:gd name="T11" fmla="*/ 0 h 75"/>
            <a:gd name="T12" fmla="*/ 53259152 w 80"/>
            <a:gd name="T13" fmla="*/ 0 h 75"/>
            <a:gd name="T14" fmla="*/ 0 w 80"/>
            <a:gd name="T15" fmla="*/ 270354255 h 75"/>
            <a:gd name="T16" fmla="*/ 24580214 w 80"/>
            <a:gd name="T17" fmla="*/ 270354255 h 75"/>
            <a:gd name="T18" fmla="*/ 147485345 w 80"/>
            <a:gd name="T19" fmla="*/ 349596068 h 75"/>
            <a:gd name="T20" fmla="*/ 237616814 w 80"/>
            <a:gd name="T21" fmla="*/ 349596068 h 75"/>
            <a:gd name="T22" fmla="*/ 294972714 w 80"/>
            <a:gd name="T23" fmla="*/ 247047860 h 75"/>
            <a:gd name="T24" fmla="*/ 294972714 w 80"/>
            <a:gd name="T25" fmla="*/ 247047860 h 75"/>
            <a:gd name="T26" fmla="*/ 294972714 w 80"/>
            <a:gd name="T27" fmla="*/ 247047860 h 75"/>
            <a:gd name="T28" fmla="*/ 0 60000 65536"/>
            <a:gd name="T29" fmla="*/ 0 60000 65536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w 80"/>
            <a:gd name="T43" fmla="*/ 0 h 75"/>
            <a:gd name="T44" fmla="*/ 80 w 80"/>
            <a:gd name="T45" fmla="*/ 75 h 75"/>
          </a:gdLst>
          <a:ahLst/>
          <a:cxnLst>
            <a:cxn ang="T28">
              <a:pos x="T0" y="T1"/>
            </a:cxn>
            <a:cxn ang="T29">
              <a:pos x="T2" y="T3"/>
            </a:cxn>
            <a:cxn ang="T30">
              <a:pos x="T4" y="T5"/>
            </a:cxn>
            <a:cxn ang="T31">
              <a:pos x="T6" y="T7"/>
            </a:cxn>
            <a:cxn ang="T32">
              <a:pos x="T8" y="T9"/>
            </a:cxn>
            <a:cxn ang="T33">
              <a:pos x="T10" y="T11"/>
            </a:cxn>
            <a:cxn ang="T34">
              <a:pos x="T12" y="T13"/>
            </a:cxn>
            <a:cxn ang="T35">
              <a:pos x="T14" y="T15"/>
            </a:cxn>
            <a:cxn ang="T36">
              <a:pos x="T16" y="T17"/>
            </a:cxn>
            <a:cxn ang="T37">
              <a:pos x="T18" y="T19"/>
            </a:cxn>
            <a:cxn ang="T38">
              <a:pos x="T20" y="T21"/>
            </a:cxn>
            <a:cxn ang="T39">
              <a:pos x="T22" y="T23"/>
            </a:cxn>
            <a:cxn ang="T40">
              <a:pos x="T24" y="T25"/>
            </a:cxn>
            <a:cxn ang="T41">
              <a:pos x="T26" y="T27"/>
            </a:cxn>
          </a:cxnLst>
          <a:rect l="T42" t="T43" r="T44" b="T45"/>
          <a:pathLst>
            <a:path w="80" h="75">
              <a:moveTo>
                <a:pt x="72" y="53"/>
              </a:moveTo>
              <a:lnTo>
                <a:pt x="80" y="30"/>
              </a:lnTo>
              <a:lnTo>
                <a:pt x="72" y="21"/>
              </a:lnTo>
              <a:lnTo>
                <a:pt x="43" y="6"/>
              </a:lnTo>
              <a:lnTo>
                <a:pt x="36" y="6"/>
              </a:lnTo>
              <a:lnTo>
                <a:pt x="26" y="0"/>
              </a:lnTo>
              <a:lnTo>
                <a:pt x="13" y="0"/>
              </a:lnTo>
              <a:lnTo>
                <a:pt x="0" y="58"/>
              </a:lnTo>
              <a:lnTo>
                <a:pt x="6" y="58"/>
              </a:lnTo>
              <a:lnTo>
                <a:pt x="36" y="75"/>
              </a:lnTo>
              <a:lnTo>
                <a:pt x="58" y="75"/>
              </a:lnTo>
              <a:lnTo>
                <a:pt x="72" y="53"/>
              </a:lnTo>
              <a:close/>
            </a:path>
          </a:pathLst>
        </a:custGeom>
        <a:solidFill>
          <a:srgbClr val="F5F5F5"/>
        </a:solidFill>
        <a:ln w="9525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36576" tIns="32004" rIns="0" bIns="0" anchor="t"/>
        <a:lstStyle/>
        <a:p>
          <a:pPr algn="l" rtl="0">
            <a:defRPr sz="1000"/>
          </a:pPr>
          <a:endParaRPr lang="en-US" sz="16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en-US"/>
        </a:p>
      </xdr:txBody>
    </xdr:sp>
    <xdr:clientData/>
  </xdr:twoCellAnchor>
  <xdr:twoCellAnchor>
    <xdr:from>
      <xdr:col>6</xdr:col>
      <xdr:colOff>304800</xdr:colOff>
      <xdr:row>27</xdr:row>
      <xdr:rowOff>123825</xdr:rowOff>
    </xdr:from>
    <xdr:to>
      <xdr:col>6</xdr:col>
      <xdr:colOff>342900</xdr:colOff>
      <xdr:row>28</xdr:row>
      <xdr:rowOff>9525</xdr:rowOff>
    </xdr:to>
    <xdr:sp macro="" textlink="">
      <xdr:nvSpPr>
        <xdr:cNvPr id="25769" name="S_JAM"/>
        <xdr:cNvSpPr>
          <a:spLocks/>
        </xdr:cNvSpPr>
      </xdr:nvSpPr>
      <xdr:spPr bwMode="auto">
        <a:xfrm>
          <a:off x="3276600" y="4343400"/>
          <a:ext cx="38100" cy="47625"/>
        </a:xfrm>
        <a:custGeom>
          <a:avLst/>
          <a:gdLst>
            <a:gd name="T0" fmla="*/ 0 w 21"/>
            <a:gd name="T1" fmla="*/ 2147483647 h 26"/>
            <a:gd name="T2" fmla="*/ 2147483647 w 21"/>
            <a:gd name="T3" fmla="*/ 2147483647 h 26"/>
            <a:gd name="T4" fmla="*/ 2147483647 w 21"/>
            <a:gd name="T5" fmla="*/ 2147483647 h 26"/>
            <a:gd name="T6" fmla="*/ 2147483647 w 21"/>
            <a:gd name="T7" fmla="*/ 0 h 26"/>
            <a:gd name="T8" fmla="*/ 0 w 21"/>
            <a:gd name="T9" fmla="*/ 2147483647 h 26"/>
            <a:gd name="T10" fmla="*/ 0 w 21"/>
            <a:gd name="T11" fmla="*/ 2147483647 h 26"/>
            <a:gd name="T12" fmla="*/ 0 w 21"/>
            <a:gd name="T13" fmla="*/ 2147483647 h 26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21"/>
            <a:gd name="T22" fmla="*/ 0 h 26"/>
            <a:gd name="T23" fmla="*/ 21 w 21"/>
            <a:gd name="T24" fmla="*/ 26 h 26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21" h="26">
              <a:moveTo>
                <a:pt x="0" y="10"/>
              </a:moveTo>
              <a:lnTo>
                <a:pt x="13" y="26"/>
              </a:lnTo>
              <a:lnTo>
                <a:pt x="21" y="10"/>
              </a:lnTo>
              <a:lnTo>
                <a:pt x="6" y="0"/>
              </a:lnTo>
              <a:lnTo>
                <a:pt x="0" y="10"/>
              </a:lnTo>
              <a:close/>
            </a:path>
          </a:pathLst>
        </a:custGeom>
        <a:solidFill>
          <a:srgbClr val="F5F5F5"/>
        </a:solidFill>
        <a:ln w="9525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36576" tIns="32004" rIns="0" bIns="0" anchor="t"/>
        <a:lstStyle/>
        <a:p>
          <a:pPr algn="l" rtl="0">
            <a:defRPr sz="1000"/>
          </a:pPr>
          <a:endParaRPr lang="en-US" sz="16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en-US"/>
        </a:p>
      </xdr:txBody>
    </xdr:sp>
    <xdr:clientData/>
  </xdr:twoCellAnchor>
  <xdr:twoCellAnchor>
    <xdr:from>
      <xdr:col>6</xdr:col>
      <xdr:colOff>123825</xdr:colOff>
      <xdr:row>26</xdr:row>
      <xdr:rowOff>123825</xdr:rowOff>
    </xdr:from>
    <xdr:to>
      <xdr:col>6</xdr:col>
      <xdr:colOff>409575</xdr:colOff>
      <xdr:row>27</xdr:row>
      <xdr:rowOff>76200</xdr:rowOff>
    </xdr:to>
    <xdr:sp macro="" textlink="">
      <xdr:nvSpPr>
        <xdr:cNvPr id="25770" name="S_CUB"/>
        <xdr:cNvSpPr>
          <a:spLocks/>
        </xdr:cNvSpPr>
      </xdr:nvSpPr>
      <xdr:spPr bwMode="auto">
        <a:xfrm>
          <a:off x="3095625" y="4181475"/>
          <a:ext cx="285750" cy="114300"/>
        </a:xfrm>
        <a:custGeom>
          <a:avLst/>
          <a:gdLst>
            <a:gd name="T0" fmla="*/ 0 w 134"/>
            <a:gd name="T1" fmla="*/ 2147483647 h 52"/>
            <a:gd name="T2" fmla="*/ 2147483647 w 134"/>
            <a:gd name="T3" fmla="*/ 2147483647 h 52"/>
            <a:gd name="T4" fmla="*/ 2147483647 w 134"/>
            <a:gd name="T5" fmla="*/ 2147483647 h 52"/>
            <a:gd name="T6" fmla="*/ 2147483647 w 134"/>
            <a:gd name="T7" fmla="*/ 2147483647 h 52"/>
            <a:gd name="T8" fmla="*/ 2147483647 w 134"/>
            <a:gd name="T9" fmla="*/ 2147483647 h 52"/>
            <a:gd name="T10" fmla="*/ 2147483647 w 134"/>
            <a:gd name="T11" fmla="*/ 2147483647 h 52"/>
            <a:gd name="T12" fmla="*/ 2147483647 w 134"/>
            <a:gd name="T13" fmla="*/ 2147483647 h 52"/>
            <a:gd name="T14" fmla="*/ 2147483647 w 134"/>
            <a:gd name="T15" fmla="*/ 2147483647 h 52"/>
            <a:gd name="T16" fmla="*/ 2147483647 w 134"/>
            <a:gd name="T17" fmla="*/ 2147483647 h 52"/>
            <a:gd name="T18" fmla="*/ 2147483647 w 134"/>
            <a:gd name="T19" fmla="*/ 2147483647 h 52"/>
            <a:gd name="T20" fmla="*/ 2147483647 w 134"/>
            <a:gd name="T21" fmla="*/ 2147483647 h 52"/>
            <a:gd name="T22" fmla="*/ 2147483647 w 134"/>
            <a:gd name="T23" fmla="*/ 2147483647 h 52"/>
            <a:gd name="T24" fmla="*/ 2147483647 w 134"/>
            <a:gd name="T25" fmla="*/ 2147483647 h 52"/>
            <a:gd name="T26" fmla="*/ 2147483647 w 134"/>
            <a:gd name="T27" fmla="*/ 2147483647 h 52"/>
            <a:gd name="T28" fmla="*/ 2147483647 w 134"/>
            <a:gd name="T29" fmla="*/ 0 h 52"/>
            <a:gd name="T30" fmla="*/ 2147483647 w 134"/>
            <a:gd name="T31" fmla="*/ 2147483647 h 52"/>
            <a:gd name="T32" fmla="*/ 0 w 134"/>
            <a:gd name="T33" fmla="*/ 2147483647 h 52"/>
            <a:gd name="T34" fmla="*/ 0 w 134"/>
            <a:gd name="T35" fmla="*/ 2147483647 h 52"/>
            <a:gd name="T36" fmla="*/ 0 w 134"/>
            <a:gd name="T37" fmla="*/ 2147483647 h 52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60000 65536"/>
            <a:gd name="T52" fmla="*/ 0 60000 65536"/>
            <a:gd name="T53" fmla="*/ 0 60000 65536"/>
            <a:gd name="T54" fmla="*/ 0 60000 65536"/>
            <a:gd name="T55" fmla="*/ 0 60000 65536"/>
            <a:gd name="T56" fmla="*/ 0 60000 65536"/>
            <a:gd name="T57" fmla="*/ 0 w 134"/>
            <a:gd name="T58" fmla="*/ 0 h 52"/>
            <a:gd name="T59" fmla="*/ 134 w 134"/>
            <a:gd name="T60" fmla="*/ 52 h 52"/>
          </a:gdLst>
          <a:ahLst/>
          <a:cxnLst>
            <a:cxn ang="T38">
              <a:pos x="T0" y="T1"/>
            </a:cxn>
            <a:cxn ang="T39">
              <a:pos x="T2" y="T3"/>
            </a:cxn>
            <a:cxn ang="T40">
              <a:pos x="T4" y="T5"/>
            </a:cxn>
            <a:cxn ang="T41">
              <a:pos x="T6" y="T7"/>
            </a:cxn>
            <a:cxn ang="T42">
              <a:pos x="T8" y="T9"/>
            </a:cxn>
            <a:cxn ang="T43">
              <a:pos x="T10" y="T11"/>
            </a:cxn>
            <a:cxn ang="T44">
              <a:pos x="T12" y="T13"/>
            </a:cxn>
            <a:cxn ang="T45">
              <a:pos x="T14" y="T15"/>
            </a:cxn>
            <a:cxn ang="T46">
              <a:pos x="T16" y="T17"/>
            </a:cxn>
            <a:cxn ang="T47">
              <a:pos x="T18" y="T19"/>
            </a:cxn>
            <a:cxn ang="T48">
              <a:pos x="T20" y="T21"/>
            </a:cxn>
            <a:cxn ang="T49">
              <a:pos x="T22" y="T23"/>
            </a:cxn>
            <a:cxn ang="T50">
              <a:pos x="T24" y="T25"/>
            </a:cxn>
            <a:cxn ang="T51">
              <a:pos x="T26" y="T27"/>
            </a:cxn>
            <a:cxn ang="T52">
              <a:pos x="T28" y="T29"/>
            </a:cxn>
            <a:cxn ang="T53">
              <a:pos x="T30" y="T31"/>
            </a:cxn>
            <a:cxn ang="T54">
              <a:pos x="T32" y="T33"/>
            </a:cxn>
            <a:cxn ang="T55">
              <a:pos x="T34" y="T35"/>
            </a:cxn>
            <a:cxn ang="T56">
              <a:pos x="T36" y="T37"/>
            </a:cxn>
          </a:cxnLst>
          <a:rect l="T57" t="T58" r="T59" b="T60"/>
          <a:pathLst>
            <a:path w="134" h="52">
              <a:moveTo>
                <a:pt x="0" y="22"/>
              </a:moveTo>
              <a:lnTo>
                <a:pt x="7" y="22"/>
              </a:lnTo>
              <a:lnTo>
                <a:pt x="22" y="6"/>
              </a:lnTo>
              <a:lnTo>
                <a:pt x="44" y="13"/>
              </a:lnTo>
              <a:lnTo>
                <a:pt x="35" y="13"/>
              </a:lnTo>
              <a:lnTo>
                <a:pt x="44" y="13"/>
              </a:lnTo>
              <a:lnTo>
                <a:pt x="77" y="22"/>
              </a:lnTo>
              <a:lnTo>
                <a:pt x="86" y="45"/>
              </a:lnTo>
              <a:lnTo>
                <a:pt x="99" y="45"/>
              </a:lnTo>
              <a:lnTo>
                <a:pt x="94" y="52"/>
              </a:lnTo>
              <a:lnTo>
                <a:pt x="134" y="52"/>
              </a:lnTo>
              <a:lnTo>
                <a:pt x="127" y="45"/>
              </a:lnTo>
              <a:lnTo>
                <a:pt x="121" y="45"/>
              </a:lnTo>
              <a:lnTo>
                <a:pt x="121" y="28"/>
              </a:lnTo>
              <a:lnTo>
                <a:pt x="44" y="0"/>
              </a:lnTo>
              <a:lnTo>
                <a:pt x="14" y="6"/>
              </a:lnTo>
              <a:lnTo>
                <a:pt x="0" y="22"/>
              </a:lnTo>
              <a:close/>
            </a:path>
          </a:pathLst>
        </a:custGeom>
        <a:solidFill>
          <a:srgbClr val="F5F5F5"/>
        </a:solidFill>
        <a:ln w="9525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36576" tIns="32004" rIns="0" bIns="0" anchor="t"/>
        <a:lstStyle/>
        <a:p>
          <a:pPr algn="l" rtl="0">
            <a:defRPr sz="1000"/>
          </a:pPr>
          <a:endParaRPr lang="en-US" sz="16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en-US"/>
        </a:p>
      </xdr:txBody>
    </xdr:sp>
    <xdr:clientData/>
  </xdr:twoCellAnchor>
  <xdr:twoCellAnchor>
    <xdr:from>
      <xdr:col>6</xdr:col>
      <xdr:colOff>304800</xdr:colOff>
      <xdr:row>26</xdr:row>
      <xdr:rowOff>47625</xdr:rowOff>
    </xdr:from>
    <xdr:to>
      <xdr:col>6</xdr:col>
      <xdr:colOff>381000</xdr:colOff>
      <xdr:row>26</xdr:row>
      <xdr:rowOff>123825</xdr:rowOff>
    </xdr:to>
    <xdr:grpSp>
      <xdr:nvGrpSpPr>
        <xdr:cNvPr id="25771" name="S_BHS"/>
        <xdr:cNvGrpSpPr>
          <a:grpSpLocks/>
        </xdr:cNvGrpSpPr>
      </xdr:nvGrpSpPr>
      <xdr:grpSpPr bwMode="auto">
        <a:xfrm>
          <a:off x="4047565" y="4451537"/>
          <a:ext cx="76200" cy="76200"/>
          <a:chOff x="356" y="443"/>
          <a:chExt cx="8" cy="8"/>
        </a:xfrm>
      </xdr:grpSpPr>
      <xdr:sp macro="" textlink="">
        <xdr:nvSpPr>
          <xdr:cNvPr id="25963" name="Freeform 66"/>
          <xdr:cNvSpPr>
            <a:spLocks/>
          </xdr:cNvSpPr>
        </xdr:nvSpPr>
        <xdr:spPr bwMode="auto">
          <a:xfrm>
            <a:off x="358" y="443"/>
            <a:ext cx="6" cy="6"/>
          </a:xfrm>
          <a:custGeom>
            <a:avLst/>
            <a:gdLst>
              <a:gd name="T0" fmla="*/ 0 w 25"/>
              <a:gd name="T1" fmla="*/ 0 h 27"/>
              <a:gd name="T2" fmla="*/ 0 w 25"/>
              <a:gd name="T3" fmla="*/ 0 h 27"/>
              <a:gd name="T4" fmla="*/ 1 w 25"/>
              <a:gd name="T5" fmla="*/ 1 h 27"/>
              <a:gd name="T6" fmla="*/ 1 w 25"/>
              <a:gd name="T7" fmla="*/ 0 h 27"/>
              <a:gd name="T8" fmla="*/ 0 w 25"/>
              <a:gd name="T9" fmla="*/ 0 h 27"/>
              <a:gd name="T10" fmla="*/ 0 w 25"/>
              <a:gd name="T11" fmla="*/ 0 h 27"/>
              <a:gd name="T12" fmla="*/ 0 w 25"/>
              <a:gd name="T13" fmla="*/ 0 h 27"/>
              <a:gd name="T14" fmla="*/ 0 60000 65536"/>
              <a:gd name="T15" fmla="*/ 0 60000 65536"/>
              <a:gd name="T16" fmla="*/ 0 60000 65536"/>
              <a:gd name="T17" fmla="*/ 0 60000 65536"/>
              <a:gd name="T18" fmla="*/ 0 60000 65536"/>
              <a:gd name="T19" fmla="*/ 0 60000 65536"/>
              <a:gd name="T20" fmla="*/ 0 60000 65536"/>
              <a:gd name="T21" fmla="*/ 0 w 25"/>
              <a:gd name="T22" fmla="*/ 0 h 27"/>
              <a:gd name="T23" fmla="*/ 25 w 25"/>
              <a:gd name="T24" fmla="*/ 27 h 27"/>
            </a:gdLst>
            <a:ahLst/>
            <a:cxnLst>
              <a:cxn ang="T14">
                <a:pos x="T0" y="T1"/>
              </a:cxn>
              <a:cxn ang="T15">
                <a:pos x="T2" y="T3"/>
              </a:cxn>
              <a:cxn ang="T16">
                <a:pos x="T4" y="T5"/>
              </a:cxn>
              <a:cxn ang="T17">
                <a:pos x="T6" y="T7"/>
              </a:cxn>
              <a:cxn ang="T18">
                <a:pos x="T8" y="T9"/>
              </a:cxn>
              <a:cxn ang="T19">
                <a:pos x="T10" y="T11"/>
              </a:cxn>
              <a:cxn ang="T20">
                <a:pos x="T12" y="T13"/>
              </a:cxn>
            </a:cxnLst>
            <a:rect l="T21" t="T22" r="T23" b="T24"/>
            <a:pathLst>
              <a:path w="25" h="27">
                <a:moveTo>
                  <a:pt x="0" y="0"/>
                </a:moveTo>
                <a:lnTo>
                  <a:pt x="0" y="10"/>
                </a:lnTo>
                <a:lnTo>
                  <a:pt x="25" y="27"/>
                </a:lnTo>
                <a:lnTo>
                  <a:pt x="25" y="10"/>
                </a:lnTo>
                <a:lnTo>
                  <a:pt x="0" y="0"/>
                </a:lnTo>
                <a:close/>
              </a:path>
            </a:pathLst>
          </a:custGeom>
          <a:solidFill>
            <a:srgbClr val="F5F5F5"/>
          </a:solidFill>
          <a:ln w="9525">
            <a:solidFill>
              <a:srgbClr val="FFFFFF"/>
            </a:solidFill>
            <a:miter lim="800000"/>
            <a:headEnd/>
            <a:tailEnd/>
          </a:ln>
        </xdr:spPr>
        <xdr:txBody>
          <a:bodyPr vertOverflow="clip" wrap="square" lIns="36576" tIns="32004" rIns="0" bIns="0" anchor="t"/>
          <a:lstStyle/>
          <a:p>
            <a:pPr algn="l" rtl="0">
              <a:defRPr sz="1000"/>
            </a:pPr>
            <a:endParaRPr lang="en-US" sz="1600" b="0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 algn="l" rtl="0">
              <a:defRPr sz="1000"/>
            </a:pPr>
            <a:endParaRPr lang="en-US"/>
          </a:p>
        </xdr:txBody>
      </xdr:sp>
      <xdr:sp macro="" textlink="">
        <xdr:nvSpPr>
          <xdr:cNvPr id="25964" name="Freeform 67"/>
          <xdr:cNvSpPr>
            <a:spLocks/>
          </xdr:cNvSpPr>
        </xdr:nvSpPr>
        <xdr:spPr bwMode="auto">
          <a:xfrm>
            <a:off x="356" y="444"/>
            <a:ext cx="5" cy="7"/>
          </a:xfrm>
          <a:custGeom>
            <a:avLst/>
            <a:gdLst>
              <a:gd name="T0" fmla="*/ 0 w 22"/>
              <a:gd name="T1" fmla="*/ 0 h 34"/>
              <a:gd name="T2" fmla="*/ 0 w 22"/>
              <a:gd name="T3" fmla="*/ 0 h 34"/>
              <a:gd name="T4" fmla="*/ 1 w 22"/>
              <a:gd name="T5" fmla="*/ 1 h 34"/>
              <a:gd name="T6" fmla="*/ 1 w 22"/>
              <a:gd name="T7" fmla="*/ 0 h 34"/>
              <a:gd name="T8" fmla="*/ 0 w 22"/>
              <a:gd name="T9" fmla="*/ 0 h 34"/>
              <a:gd name="T10" fmla="*/ 0 w 22"/>
              <a:gd name="T11" fmla="*/ 0 h 34"/>
              <a:gd name="T12" fmla="*/ 0 w 22"/>
              <a:gd name="T13" fmla="*/ 0 h 34"/>
              <a:gd name="T14" fmla="*/ 0 60000 65536"/>
              <a:gd name="T15" fmla="*/ 0 60000 65536"/>
              <a:gd name="T16" fmla="*/ 0 60000 65536"/>
              <a:gd name="T17" fmla="*/ 0 60000 65536"/>
              <a:gd name="T18" fmla="*/ 0 60000 65536"/>
              <a:gd name="T19" fmla="*/ 0 60000 65536"/>
              <a:gd name="T20" fmla="*/ 0 60000 65536"/>
              <a:gd name="T21" fmla="*/ 0 w 22"/>
              <a:gd name="T22" fmla="*/ 0 h 34"/>
              <a:gd name="T23" fmla="*/ 22 w 22"/>
              <a:gd name="T24" fmla="*/ 34 h 34"/>
            </a:gdLst>
            <a:ahLst/>
            <a:cxnLst>
              <a:cxn ang="T14">
                <a:pos x="T0" y="T1"/>
              </a:cxn>
              <a:cxn ang="T15">
                <a:pos x="T2" y="T3"/>
              </a:cxn>
              <a:cxn ang="T16">
                <a:pos x="T4" y="T5"/>
              </a:cxn>
              <a:cxn ang="T17">
                <a:pos x="T6" y="T7"/>
              </a:cxn>
              <a:cxn ang="T18">
                <a:pos x="T8" y="T9"/>
              </a:cxn>
              <a:cxn ang="T19">
                <a:pos x="T10" y="T11"/>
              </a:cxn>
              <a:cxn ang="T20">
                <a:pos x="T12" y="T13"/>
              </a:cxn>
            </a:cxnLst>
            <a:rect l="T21" t="T22" r="T23" b="T24"/>
            <a:pathLst>
              <a:path w="22" h="34">
                <a:moveTo>
                  <a:pt x="0" y="0"/>
                </a:moveTo>
                <a:lnTo>
                  <a:pt x="0" y="10"/>
                </a:lnTo>
                <a:lnTo>
                  <a:pt x="22" y="34"/>
                </a:lnTo>
                <a:lnTo>
                  <a:pt x="22" y="10"/>
                </a:lnTo>
                <a:lnTo>
                  <a:pt x="0" y="0"/>
                </a:lnTo>
                <a:close/>
              </a:path>
            </a:pathLst>
          </a:custGeom>
          <a:solidFill>
            <a:srgbClr val="F5F5F5"/>
          </a:solidFill>
          <a:ln w="9525">
            <a:solidFill>
              <a:srgbClr val="FFFFFF"/>
            </a:solidFill>
            <a:miter lim="800000"/>
            <a:headEnd/>
            <a:tailEnd/>
          </a:ln>
        </xdr:spPr>
        <xdr:txBody>
          <a:bodyPr vertOverflow="clip" wrap="square" lIns="36576" tIns="32004" rIns="0" bIns="0" anchor="t"/>
          <a:lstStyle/>
          <a:p>
            <a:pPr algn="l" rtl="0">
              <a:defRPr sz="1000"/>
            </a:pPr>
            <a:endParaRPr lang="en-US" sz="1600" b="0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 algn="l" rtl="0">
              <a:defRPr sz="1000"/>
            </a:pPr>
            <a:endParaRPr lang="en-US"/>
          </a:p>
        </xdr:txBody>
      </xdr:sp>
    </xdr:grpSp>
    <xdr:clientData/>
  </xdr:twoCellAnchor>
  <xdr:twoCellAnchor>
    <xdr:from>
      <xdr:col>10</xdr:col>
      <xdr:colOff>323850</xdr:colOff>
      <xdr:row>24</xdr:row>
      <xdr:rowOff>142875</xdr:rowOff>
    </xdr:from>
    <xdr:to>
      <xdr:col>10</xdr:col>
      <xdr:colOff>657225</xdr:colOff>
      <xdr:row>27</xdr:row>
      <xdr:rowOff>9525</xdr:rowOff>
    </xdr:to>
    <xdr:sp macro="" textlink="">
      <xdr:nvSpPr>
        <xdr:cNvPr id="25772" name="S_EGY"/>
        <xdr:cNvSpPr>
          <a:spLocks/>
        </xdr:cNvSpPr>
      </xdr:nvSpPr>
      <xdr:spPr bwMode="auto">
        <a:xfrm>
          <a:off x="6153150" y="3876675"/>
          <a:ext cx="333375" cy="352425"/>
        </a:xfrm>
        <a:custGeom>
          <a:avLst/>
          <a:gdLst>
            <a:gd name="T0" fmla="*/ 703410692 w 158"/>
            <a:gd name="T1" fmla="*/ 672477566 h 167"/>
            <a:gd name="T2" fmla="*/ 565399825 w 158"/>
            <a:gd name="T3" fmla="*/ 743732810 h 167"/>
            <a:gd name="T4" fmla="*/ 543139536 w 158"/>
            <a:gd name="T5" fmla="*/ 703651340 h 167"/>
            <a:gd name="T6" fmla="*/ 31164229 w 158"/>
            <a:gd name="T7" fmla="*/ 703651340 h 167"/>
            <a:gd name="T8" fmla="*/ 31164229 w 158"/>
            <a:gd name="T9" fmla="*/ 231581192 h 167"/>
            <a:gd name="T10" fmla="*/ 0 w 158"/>
            <a:gd name="T11" fmla="*/ 164778741 h 167"/>
            <a:gd name="T12" fmla="*/ 31164229 w 158"/>
            <a:gd name="T13" fmla="*/ 0 h 167"/>
            <a:gd name="T14" fmla="*/ 31164229 w 158"/>
            <a:gd name="T15" fmla="*/ 66802467 h 167"/>
            <a:gd name="T16" fmla="*/ 155819059 w 158"/>
            <a:gd name="T17" fmla="*/ 66802467 h 167"/>
            <a:gd name="T18" fmla="*/ 253761642 w 158"/>
            <a:gd name="T19" fmla="*/ 106883954 h 167"/>
            <a:gd name="T20" fmla="*/ 409580701 w 158"/>
            <a:gd name="T21" fmla="*/ 66802467 h 167"/>
            <a:gd name="T22" fmla="*/ 449648984 w 158"/>
            <a:gd name="T23" fmla="*/ 66802467 h 167"/>
            <a:gd name="T24" fmla="*/ 449648984 w 158"/>
            <a:gd name="T25" fmla="*/ 106883954 h 167"/>
            <a:gd name="T26" fmla="*/ 516427347 w 158"/>
            <a:gd name="T27" fmla="*/ 66802467 h 167"/>
            <a:gd name="T28" fmla="*/ 516427347 w 158"/>
            <a:gd name="T29" fmla="*/ 106883954 h 167"/>
            <a:gd name="T30" fmla="*/ 565399825 w 158"/>
            <a:gd name="T31" fmla="*/ 66802467 h 167"/>
            <a:gd name="T32" fmla="*/ 605468109 w 158"/>
            <a:gd name="T33" fmla="*/ 209313005 h 167"/>
            <a:gd name="T34" fmla="*/ 565399825 w 158"/>
            <a:gd name="T35" fmla="*/ 338465180 h 167"/>
            <a:gd name="T36" fmla="*/ 516427347 w 158"/>
            <a:gd name="T37" fmla="*/ 133604935 h 167"/>
            <a:gd name="T38" fmla="*/ 516427347 w 158"/>
            <a:gd name="T39" fmla="*/ 209313005 h 167"/>
            <a:gd name="T40" fmla="*/ 703410692 w 158"/>
            <a:gd name="T41" fmla="*/ 672477566 h 167"/>
            <a:gd name="T42" fmla="*/ 703410692 w 158"/>
            <a:gd name="T43" fmla="*/ 672477566 h 167"/>
            <a:gd name="T44" fmla="*/ 703410692 w 158"/>
            <a:gd name="T45" fmla="*/ 672477566 h 167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60000 65536"/>
            <a:gd name="T52" fmla="*/ 0 60000 65536"/>
            <a:gd name="T53" fmla="*/ 0 60000 65536"/>
            <a:gd name="T54" fmla="*/ 0 60000 65536"/>
            <a:gd name="T55" fmla="*/ 0 60000 65536"/>
            <a:gd name="T56" fmla="*/ 0 60000 65536"/>
            <a:gd name="T57" fmla="*/ 0 60000 65536"/>
            <a:gd name="T58" fmla="*/ 0 60000 65536"/>
            <a:gd name="T59" fmla="*/ 0 60000 65536"/>
            <a:gd name="T60" fmla="*/ 0 60000 65536"/>
            <a:gd name="T61" fmla="*/ 0 60000 65536"/>
            <a:gd name="T62" fmla="*/ 0 60000 65536"/>
            <a:gd name="T63" fmla="*/ 0 60000 65536"/>
            <a:gd name="T64" fmla="*/ 0 60000 65536"/>
            <a:gd name="T65" fmla="*/ 0 60000 65536"/>
            <a:gd name="T66" fmla="*/ 0 60000 65536"/>
            <a:gd name="T67" fmla="*/ 0 60000 65536"/>
            <a:gd name="T68" fmla="*/ 0 60000 65536"/>
            <a:gd name="T69" fmla="*/ 0 w 158"/>
            <a:gd name="T70" fmla="*/ 0 h 167"/>
            <a:gd name="T71" fmla="*/ 158 w 158"/>
            <a:gd name="T72" fmla="*/ 167 h 167"/>
          </a:gdLst>
          <a:ahLst/>
          <a:cxnLst>
            <a:cxn ang="T46">
              <a:pos x="T0" y="T1"/>
            </a:cxn>
            <a:cxn ang="T47">
              <a:pos x="T2" y="T3"/>
            </a:cxn>
            <a:cxn ang="T48">
              <a:pos x="T4" y="T5"/>
            </a:cxn>
            <a:cxn ang="T49">
              <a:pos x="T6" y="T7"/>
            </a:cxn>
            <a:cxn ang="T50">
              <a:pos x="T8" y="T9"/>
            </a:cxn>
            <a:cxn ang="T51">
              <a:pos x="T10" y="T11"/>
            </a:cxn>
            <a:cxn ang="T52">
              <a:pos x="T12" y="T13"/>
            </a:cxn>
            <a:cxn ang="T53">
              <a:pos x="T14" y="T15"/>
            </a:cxn>
            <a:cxn ang="T54">
              <a:pos x="T16" y="T17"/>
            </a:cxn>
            <a:cxn ang="T55">
              <a:pos x="T18" y="T19"/>
            </a:cxn>
            <a:cxn ang="T56">
              <a:pos x="T20" y="T21"/>
            </a:cxn>
            <a:cxn ang="T57">
              <a:pos x="T22" y="T23"/>
            </a:cxn>
            <a:cxn ang="T58">
              <a:pos x="T24" y="T25"/>
            </a:cxn>
            <a:cxn ang="T59">
              <a:pos x="T26" y="T27"/>
            </a:cxn>
            <a:cxn ang="T60">
              <a:pos x="T28" y="T29"/>
            </a:cxn>
            <a:cxn ang="T61">
              <a:pos x="T30" y="T31"/>
            </a:cxn>
            <a:cxn ang="T62">
              <a:pos x="T32" y="T33"/>
            </a:cxn>
            <a:cxn ang="T63">
              <a:pos x="T34" y="T35"/>
            </a:cxn>
            <a:cxn ang="T64">
              <a:pos x="T36" y="T37"/>
            </a:cxn>
            <a:cxn ang="T65">
              <a:pos x="T38" y="T39"/>
            </a:cxn>
            <a:cxn ang="T66">
              <a:pos x="T40" y="T41"/>
            </a:cxn>
            <a:cxn ang="T67">
              <a:pos x="T42" y="T43"/>
            </a:cxn>
            <a:cxn ang="T68">
              <a:pos x="T44" y="T45"/>
            </a:cxn>
          </a:cxnLst>
          <a:rect l="T69" t="T70" r="T71" b="T72"/>
          <a:pathLst>
            <a:path w="158" h="167">
              <a:moveTo>
                <a:pt x="158" y="151"/>
              </a:moveTo>
              <a:lnTo>
                <a:pt x="127" y="167"/>
              </a:lnTo>
              <a:lnTo>
                <a:pt x="122" y="158"/>
              </a:lnTo>
              <a:lnTo>
                <a:pt x="7" y="158"/>
              </a:lnTo>
              <a:lnTo>
                <a:pt x="7" y="52"/>
              </a:lnTo>
              <a:lnTo>
                <a:pt x="0" y="37"/>
              </a:lnTo>
              <a:lnTo>
                <a:pt x="7" y="0"/>
              </a:lnTo>
              <a:lnTo>
                <a:pt x="7" y="15"/>
              </a:lnTo>
              <a:lnTo>
                <a:pt x="35" y="15"/>
              </a:lnTo>
              <a:lnTo>
                <a:pt x="57" y="24"/>
              </a:lnTo>
              <a:lnTo>
                <a:pt x="92" y="15"/>
              </a:lnTo>
              <a:lnTo>
                <a:pt x="101" y="15"/>
              </a:lnTo>
              <a:lnTo>
                <a:pt x="101" y="24"/>
              </a:lnTo>
              <a:lnTo>
                <a:pt x="116" y="15"/>
              </a:lnTo>
              <a:lnTo>
                <a:pt x="116" y="24"/>
              </a:lnTo>
              <a:lnTo>
                <a:pt x="127" y="15"/>
              </a:lnTo>
              <a:lnTo>
                <a:pt x="136" y="47"/>
              </a:lnTo>
              <a:lnTo>
                <a:pt x="127" y="76"/>
              </a:lnTo>
              <a:lnTo>
                <a:pt x="116" y="30"/>
              </a:lnTo>
              <a:lnTo>
                <a:pt x="116" y="47"/>
              </a:lnTo>
              <a:lnTo>
                <a:pt x="158" y="151"/>
              </a:lnTo>
              <a:close/>
            </a:path>
          </a:pathLst>
        </a:custGeom>
        <a:solidFill>
          <a:srgbClr val="F5F5F5"/>
        </a:solidFill>
        <a:ln w="9525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36576" tIns="32004" rIns="0" bIns="0" anchor="t"/>
        <a:lstStyle/>
        <a:p>
          <a:pPr algn="l" rtl="0">
            <a:defRPr sz="1000"/>
          </a:pPr>
          <a:endParaRPr lang="en-US" sz="16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en-US"/>
        </a:p>
      </xdr:txBody>
    </xdr:sp>
    <xdr:clientData/>
  </xdr:twoCellAnchor>
  <xdr:twoCellAnchor>
    <xdr:from>
      <xdr:col>9</xdr:col>
      <xdr:colOff>628650</xdr:colOff>
      <xdr:row>24</xdr:row>
      <xdr:rowOff>123825</xdr:rowOff>
    </xdr:from>
    <xdr:to>
      <xdr:col>10</xdr:col>
      <xdr:colOff>342900</xdr:colOff>
      <xdr:row>27</xdr:row>
      <xdr:rowOff>76200</xdr:rowOff>
    </xdr:to>
    <xdr:sp macro="" textlink="">
      <xdr:nvSpPr>
        <xdr:cNvPr id="25773" name="S_LBY"/>
        <xdr:cNvSpPr>
          <a:spLocks/>
        </xdr:cNvSpPr>
      </xdr:nvSpPr>
      <xdr:spPr bwMode="auto">
        <a:xfrm>
          <a:off x="5743575" y="3857625"/>
          <a:ext cx="428625" cy="438150"/>
        </a:xfrm>
        <a:custGeom>
          <a:avLst/>
          <a:gdLst>
            <a:gd name="T0" fmla="*/ 128024399 w 204"/>
            <a:gd name="T1" fmla="*/ 660102870 h 213"/>
            <a:gd name="T2" fmla="*/ 88292554 w 204"/>
            <a:gd name="T3" fmla="*/ 567011450 h 213"/>
            <a:gd name="T4" fmla="*/ 66220458 w 204"/>
            <a:gd name="T5" fmla="*/ 567011450 h 213"/>
            <a:gd name="T6" fmla="*/ 0 w 204"/>
            <a:gd name="T7" fmla="*/ 473919901 h 213"/>
            <a:gd name="T8" fmla="*/ 35317445 w 204"/>
            <a:gd name="T9" fmla="*/ 410447823 h 213"/>
            <a:gd name="T10" fmla="*/ 35317445 w 204"/>
            <a:gd name="T11" fmla="*/ 262348987 h 213"/>
            <a:gd name="T12" fmla="*/ 0 w 204"/>
            <a:gd name="T13" fmla="*/ 211570914 h 213"/>
            <a:gd name="T14" fmla="*/ 0 w 204"/>
            <a:gd name="T15" fmla="*/ 181951571 h 213"/>
            <a:gd name="T16" fmla="*/ 35317445 w 204"/>
            <a:gd name="T17" fmla="*/ 160794897 h 213"/>
            <a:gd name="T18" fmla="*/ 35317445 w 204"/>
            <a:gd name="T19" fmla="*/ 118479461 h 213"/>
            <a:gd name="T20" fmla="*/ 88292554 w 204"/>
            <a:gd name="T21" fmla="*/ 33850694 h 213"/>
            <a:gd name="T22" fmla="*/ 88292554 w 204"/>
            <a:gd name="T23" fmla="*/ 0 h 213"/>
            <a:gd name="T24" fmla="*/ 176585108 w 204"/>
            <a:gd name="T25" fmla="*/ 0 h 213"/>
            <a:gd name="T26" fmla="*/ 282537460 w 204"/>
            <a:gd name="T27" fmla="*/ 33850694 h 213"/>
            <a:gd name="T28" fmla="*/ 375244398 w 204"/>
            <a:gd name="T29" fmla="*/ 33850694 h 213"/>
            <a:gd name="T30" fmla="*/ 375244398 w 204"/>
            <a:gd name="T31" fmla="*/ 118479461 h 213"/>
            <a:gd name="T32" fmla="*/ 591561417 w 204"/>
            <a:gd name="T33" fmla="*/ 181951571 h 213"/>
            <a:gd name="T34" fmla="*/ 622464429 w 204"/>
            <a:gd name="T35" fmla="*/ 160794897 h 213"/>
            <a:gd name="T36" fmla="*/ 622464429 w 204"/>
            <a:gd name="T37" fmla="*/ 71934779 h 213"/>
            <a:gd name="T38" fmla="*/ 719585783 w 204"/>
            <a:gd name="T39" fmla="*/ 0 h 213"/>
            <a:gd name="T40" fmla="*/ 812292720 w 204"/>
            <a:gd name="T41" fmla="*/ 33850694 h 213"/>
            <a:gd name="T42" fmla="*/ 812292720 w 204"/>
            <a:gd name="T43" fmla="*/ 71934779 h 213"/>
            <a:gd name="T44" fmla="*/ 900585241 w 204"/>
            <a:gd name="T45" fmla="*/ 71934779 h 213"/>
            <a:gd name="T46" fmla="*/ 878511060 w 204"/>
            <a:gd name="T47" fmla="*/ 211570914 h 213"/>
            <a:gd name="T48" fmla="*/ 900585241 w 204"/>
            <a:gd name="T49" fmla="*/ 283505725 h 213"/>
            <a:gd name="T50" fmla="*/ 900585241 w 204"/>
            <a:gd name="T51" fmla="*/ 846283654 h 213"/>
            <a:gd name="T52" fmla="*/ 878511060 w 204"/>
            <a:gd name="T53" fmla="*/ 880136389 h 213"/>
            <a:gd name="T54" fmla="*/ 843195733 w 204"/>
            <a:gd name="T55" fmla="*/ 901293062 h 213"/>
            <a:gd name="T56" fmla="*/ 414976242 w 204"/>
            <a:gd name="T57" fmla="*/ 660102870 h 213"/>
            <a:gd name="T58" fmla="*/ 309023956 w 204"/>
            <a:gd name="T59" fmla="*/ 689722213 h 213"/>
            <a:gd name="T60" fmla="*/ 282537460 w 204"/>
            <a:gd name="T61" fmla="*/ 660102870 h 213"/>
            <a:gd name="T62" fmla="*/ 128024399 w 204"/>
            <a:gd name="T63" fmla="*/ 660102870 h 213"/>
            <a:gd name="T64" fmla="*/ 128024399 w 204"/>
            <a:gd name="T65" fmla="*/ 660102870 h 213"/>
            <a:gd name="T66" fmla="*/ 128024399 w 204"/>
            <a:gd name="T67" fmla="*/ 660102870 h 213"/>
            <a:gd name="T68" fmla="*/ 0 60000 65536"/>
            <a:gd name="T69" fmla="*/ 0 60000 65536"/>
            <a:gd name="T70" fmla="*/ 0 60000 65536"/>
            <a:gd name="T71" fmla="*/ 0 60000 65536"/>
            <a:gd name="T72" fmla="*/ 0 60000 65536"/>
            <a:gd name="T73" fmla="*/ 0 60000 65536"/>
            <a:gd name="T74" fmla="*/ 0 60000 65536"/>
            <a:gd name="T75" fmla="*/ 0 60000 65536"/>
            <a:gd name="T76" fmla="*/ 0 60000 65536"/>
            <a:gd name="T77" fmla="*/ 0 60000 65536"/>
            <a:gd name="T78" fmla="*/ 0 60000 65536"/>
            <a:gd name="T79" fmla="*/ 0 60000 65536"/>
            <a:gd name="T80" fmla="*/ 0 60000 65536"/>
            <a:gd name="T81" fmla="*/ 0 60000 65536"/>
            <a:gd name="T82" fmla="*/ 0 60000 65536"/>
            <a:gd name="T83" fmla="*/ 0 60000 65536"/>
            <a:gd name="T84" fmla="*/ 0 60000 65536"/>
            <a:gd name="T85" fmla="*/ 0 60000 65536"/>
            <a:gd name="T86" fmla="*/ 0 60000 65536"/>
            <a:gd name="T87" fmla="*/ 0 60000 65536"/>
            <a:gd name="T88" fmla="*/ 0 60000 65536"/>
            <a:gd name="T89" fmla="*/ 0 60000 65536"/>
            <a:gd name="T90" fmla="*/ 0 60000 65536"/>
            <a:gd name="T91" fmla="*/ 0 60000 65536"/>
            <a:gd name="T92" fmla="*/ 0 60000 65536"/>
            <a:gd name="T93" fmla="*/ 0 60000 65536"/>
            <a:gd name="T94" fmla="*/ 0 60000 65536"/>
            <a:gd name="T95" fmla="*/ 0 60000 65536"/>
            <a:gd name="T96" fmla="*/ 0 60000 65536"/>
            <a:gd name="T97" fmla="*/ 0 60000 65536"/>
            <a:gd name="T98" fmla="*/ 0 60000 65536"/>
            <a:gd name="T99" fmla="*/ 0 60000 65536"/>
            <a:gd name="T100" fmla="*/ 0 60000 65536"/>
            <a:gd name="T101" fmla="*/ 0 60000 65536"/>
            <a:gd name="T102" fmla="*/ 0 w 204"/>
            <a:gd name="T103" fmla="*/ 0 h 213"/>
            <a:gd name="T104" fmla="*/ 204 w 204"/>
            <a:gd name="T105" fmla="*/ 213 h 213"/>
          </a:gdLst>
          <a:ahLst/>
          <a:cxnLst>
            <a:cxn ang="T68">
              <a:pos x="T0" y="T1"/>
            </a:cxn>
            <a:cxn ang="T69">
              <a:pos x="T2" y="T3"/>
            </a:cxn>
            <a:cxn ang="T70">
              <a:pos x="T4" y="T5"/>
            </a:cxn>
            <a:cxn ang="T71">
              <a:pos x="T6" y="T7"/>
            </a:cxn>
            <a:cxn ang="T72">
              <a:pos x="T8" y="T9"/>
            </a:cxn>
            <a:cxn ang="T73">
              <a:pos x="T10" y="T11"/>
            </a:cxn>
            <a:cxn ang="T74">
              <a:pos x="T12" y="T13"/>
            </a:cxn>
            <a:cxn ang="T75">
              <a:pos x="T14" y="T15"/>
            </a:cxn>
            <a:cxn ang="T76">
              <a:pos x="T16" y="T17"/>
            </a:cxn>
            <a:cxn ang="T77">
              <a:pos x="T18" y="T19"/>
            </a:cxn>
            <a:cxn ang="T78">
              <a:pos x="T20" y="T21"/>
            </a:cxn>
            <a:cxn ang="T79">
              <a:pos x="T22" y="T23"/>
            </a:cxn>
            <a:cxn ang="T80">
              <a:pos x="T24" y="T25"/>
            </a:cxn>
            <a:cxn ang="T81">
              <a:pos x="T26" y="T27"/>
            </a:cxn>
            <a:cxn ang="T82">
              <a:pos x="T28" y="T29"/>
            </a:cxn>
            <a:cxn ang="T83">
              <a:pos x="T30" y="T31"/>
            </a:cxn>
            <a:cxn ang="T84">
              <a:pos x="T32" y="T33"/>
            </a:cxn>
            <a:cxn ang="T85">
              <a:pos x="T34" y="T35"/>
            </a:cxn>
            <a:cxn ang="T86">
              <a:pos x="T36" y="T37"/>
            </a:cxn>
            <a:cxn ang="T87">
              <a:pos x="T38" y="T39"/>
            </a:cxn>
            <a:cxn ang="T88">
              <a:pos x="T40" y="T41"/>
            </a:cxn>
            <a:cxn ang="T89">
              <a:pos x="T42" y="T43"/>
            </a:cxn>
            <a:cxn ang="T90">
              <a:pos x="T44" y="T45"/>
            </a:cxn>
            <a:cxn ang="T91">
              <a:pos x="T46" y="T47"/>
            </a:cxn>
            <a:cxn ang="T92">
              <a:pos x="T48" y="T49"/>
            </a:cxn>
            <a:cxn ang="T93">
              <a:pos x="T50" y="T51"/>
            </a:cxn>
            <a:cxn ang="T94">
              <a:pos x="T52" y="T53"/>
            </a:cxn>
            <a:cxn ang="T95">
              <a:pos x="T54" y="T55"/>
            </a:cxn>
            <a:cxn ang="T96">
              <a:pos x="T56" y="T57"/>
            </a:cxn>
            <a:cxn ang="T97">
              <a:pos x="T58" y="T59"/>
            </a:cxn>
            <a:cxn ang="T98">
              <a:pos x="T60" y="T61"/>
            </a:cxn>
            <a:cxn ang="T99">
              <a:pos x="T62" y="T63"/>
            </a:cxn>
            <a:cxn ang="T100">
              <a:pos x="T64" y="T65"/>
            </a:cxn>
            <a:cxn ang="T101">
              <a:pos x="T66" y="T67"/>
            </a:cxn>
          </a:cxnLst>
          <a:rect l="T102" t="T103" r="T104" b="T105"/>
          <a:pathLst>
            <a:path w="204" h="213">
              <a:moveTo>
                <a:pt x="29" y="156"/>
              </a:moveTo>
              <a:lnTo>
                <a:pt x="20" y="134"/>
              </a:lnTo>
              <a:lnTo>
                <a:pt x="15" y="134"/>
              </a:lnTo>
              <a:lnTo>
                <a:pt x="0" y="112"/>
              </a:lnTo>
              <a:lnTo>
                <a:pt x="8" y="97"/>
              </a:lnTo>
              <a:lnTo>
                <a:pt x="8" y="62"/>
              </a:lnTo>
              <a:lnTo>
                <a:pt x="0" y="50"/>
              </a:lnTo>
              <a:lnTo>
                <a:pt x="0" y="43"/>
              </a:lnTo>
              <a:lnTo>
                <a:pt x="8" y="38"/>
              </a:lnTo>
              <a:lnTo>
                <a:pt x="8" y="28"/>
              </a:lnTo>
              <a:lnTo>
                <a:pt x="20" y="8"/>
              </a:lnTo>
              <a:lnTo>
                <a:pt x="20" y="0"/>
              </a:lnTo>
              <a:lnTo>
                <a:pt x="40" y="0"/>
              </a:lnTo>
              <a:lnTo>
                <a:pt x="64" y="8"/>
              </a:lnTo>
              <a:lnTo>
                <a:pt x="85" y="8"/>
              </a:lnTo>
              <a:lnTo>
                <a:pt x="85" y="28"/>
              </a:lnTo>
              <a:lnTo>
                <a:pt x="134" y="43"/>
              </a:lnTo>
              <a:lnTo>
                <a:pt x="141" y="38"/>
              </a:lnTo>
              <a:lnTo>
                <a:pt x="141" y="17"/>
              </a:lnTo>
              <a:lnTo>
                <a:pt x="163" y="0"/>
              </a:lnTo>
              <a:lnTo>
                <a:pt x="184" y="8"/>
              </a:lnTo>
              <a:lnTo>
                <a:pt x="184" y="17"/>
              </a:lnTo>
              <a:lnTo>
                <a:pt x="204" y="17"/>
              </a:lnTo>
              <a:lnTo>
                <a:pt x="199" y="50"/>
              </a:lnTo>
              <a:lnTo>
                <a:pt x="204" y="67"/>
              </a:lnTo>
              <a:lnTo>
                <a:pt x="204" y="200"/>
              </a:lnTo>
              <a:lnTo>
                <a:pt x="199" y="208"/>
              </a:lnTo>
              <a:lnTo>
                <a:pt x="191" y="213"/>
              </a:lnTo>
              <a:lnTo>
                <a:pt x="94" y="156"/>
              </a:lnTo>
              <a:lnTo>
                <a:pt x="70" y="163"/>
              </a:lnTo>
              <a:lnTo>
                <a:pt x="64" y="156"/>
              </a:lnTo>
              <a:lnTo>
                <a:pt x="29" y="156"/>
              </a:lnTo>
              <a:close/>
            </a:path>
          </a:pathLst>
        </a:custGeom>
        <a:solidFill>
          <a:srgbClr val="F5F5F5"/>
        </a:solidFill>
        <a:ln w="9525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36576" tIns="32004" rIns="0" bIns="0" anchor="t"/>
        <a:lstStyle/>
        <a:p>
          <a:pPr algn="l" rtl="0">
            <a:defRPr sz="1000"/>
          </a:pPr>
          <a:endParaRPr lang="en-US" sz="16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en-US"/>
        </a:p>
      </xdr:txBody>
    </xdr:sp>
    <xdr:clientData/>
  </xdr:twoCellAnchor>
  <xdr:twoCellAnchor>
    <xdr:from>
      <xdr:col>9</xdr:col>
      <xdr:colOff>123825</xdr:colOff>
      <xdr:row>23</xdr:row>
      <xdr:rowOff>123825</xdr:rowOff>
    </xdr:from>
    <xdr:to>
      <xdr:col>9</xdr:col>
      <xdr:colOff>695325</xdr:colOff>
      <xdr:row>27</xdr:row>
      <xdr:rowOff>76200</xdr:rowOff>
    </xdr:to>
    <xdr:sp macro="" textlink="">
      <xdr:nvSpPr>
        <xdr:cNvPr id="25774" name="S_DZA"/>
        <xdr:cNvSpPr>
          <a:spLocks/>
        </xdr:cNvSpPr>
      </xdr:nvSpPr>
      <xdr:spPr bwMode="auto">
        <a:xfrm>
          <a:off x="5238750" y="3695700"/>
          <a:ext cx="571500" cy="600075"/>
        </a:xfrm>
        <a:custGeom>
          <a:avLst/>
          <a:gdLst>
            <a:gd name="T0" fmla="*/ 2147483647 w 275"/>
            <a:gd name="T1" fmla="*/ 2147483647 h 287"/>
            <a:gd name="T2" fmla="*/ 2147483647 w 275"/>
            <a:gd name="T3" fmla="*/ 2147483647 h 287"/>
            <a:gd name="T4" fmla="*/ 2147483647 w 275"/>
            <a:gd name="T5" fmla="*/ 2147483647 h 287"/>
            <a:gd name="T6" fmla="*/ 2147483647 w 275"/>
            <a:gd name="T7" fmla="*/ 2147483647 h 287"/>
            <a:gd name="T8" fmla="*/ 2147483647 w 275"/>
            <a:gd name="T9" fmla="*/ 2147483647 h 287"/>
            <a:gd name="T10" fmla="*/ 0 w 275"/>
            <a:gd name="T11" fmla="*/ 2147483647 h 287"/>
            <a:gd name="T12" fmla="*/ 0 w 275"/>
            <a:gd name="T13" fmla="*/ 2147483647 h 287"/>
            <a:gd name="T14" fmla="*/ 2147483647 w 275"/>
            <a:gd name="T15" fmla="*/ 2147483647 h 287"/>
            <a:gd name="T16" fmla="*/ 2147483647 w 275"/>
            <a:gd name="T17" fmla="*/ 2147483647 h 287"/>
            <a:gd name="T18" fmla="*/ 2147483647 w 275"/>
            <a:gd name="T19" fmla="*/ 2147483647 h 287"/>
            <a:gd name="T20" fmla="*/ 2147483647 w 275"/>
            <a:gd name="T21" fmla="*/ 2147483647 h 287"/>
            <a:gd name="T22" fmla="*/ 2147483647 w 275"/>
            <a:gd name="T23" fmla="*/ 2147483647 h 287"/>
            <a:gd name="T24" fmla="*/ 2147483647 w 275"/>
            <a:gd name="T25" fmla="*/ 2147483647 h 287"/>
            <a:gd name="T26" fmla="*/ 2147483647 w 275"/>
            <a:gd name="T27" fmla="*/ 2147483647 h 287"/>
            <a:gd name="T28" fmla="*/ 2147483647 w 275"/>
            <a:gd name="T29" fmla="*/ 2147483647 h 287"/>
            <a:gd name="T30" fmla="*/ 2147483647 w 275"/>
            <a:gd name="T31" fmla="*/ 2147483647 h 287"/>
            <a:gd name="T32" fmla="*/ 2147483647 w 275"/>
            <a:gd name="T33" fmla="*/ 2147483647 h 287"/>
            <a:gd name="T34" fmla="*/ 2147483647 w 275"/>
            <a:gd name="T35" fmla="*/ 2147483647 h 287"/>
            <a:gd name="T36" fmla="*/ 2147483647 w 275"/>
            <a:gd name="T37" fmla="*/ 2147483647 h 287"/>
            <a:gd name="T38" fmla="*/ 2147483647 w 275"/>
            <a:gd name="T39" fmla="*/ 2147483647 h 287"/>
            <a:gd name="T40" fmla="*/ 2147483647 w 275"/>
            <a:gd name="T41" fmla="*/ 2147483647 h 287"/>
            <a:gd name="T42" fmla="*/ 2147483647 w 275"/>
            <a:gd name="T43" fmla="*/ 2147483647 h 287"/>
            <a:gd name="T44" fmla="*/ 2147483647 w 275"/>
            <a:gd name="T45" fmla="*/ 2147483647 h 287"/>
            <a:gd name="T46" fmla="*/ 2147483647 w 275"/>
            <a:gd name="T47" fmla="*/ 0 h 287"/>
            <a:gd name="T48" fmla="*/ 2147483647 w 275"/>
            <a:gd name="T49" fmla="*/ 2147483647 h 287"/>
            <a:gd name="T50" fmla="*/ 2147483647 w 275"/>
            <a:gd name="T51" fmla="*/ 0 h 287"/>
            <a:gd name="T52" fmla="*/ 2147483647 w 275"/>
            <a:gd name="T53" fmla="*/ 2147483647 h 287"/>
            <a:gd name="T54" fmla="*/ 2147483647 w 275"/>
            <a:gd name="T55" fmla="*/ 0 h 287"/>
            <a:gd name="T56" fmla="*/ 2147483647 w 275"/>
            <a:gd name="T57" fmla="*/ 2147483647 h 287"/>
            <a:gd name="T58" fmla="*/ 2147483647 w 275"/>
            <a:gd name="T59" fmla="*/ 2147483647 h 287"/>
            <a:gd name="T60" fmla="*/ 2147483647 w 275"/>
            <a:gd name="T61" fmla="*/ 2147483647 h 287"/>
            <a:gd name="T62" fmla="*/ 2147483647 w 275"/>
            <a:gd name="T63" fmla="*/ 2147483647 h 287"/>
            <a:gd name="T64" fmla="*/ 2147483647 w 275"/>
            <a:gd name="T65" fmla="*/ 2147483647 h 287"/>
            <a:gd name="T66" fmla="*/ 0 60000 65536"/>
            <a:gd name="T67" fmla="*/ 0 60000 65536"/>
            <a:gd name="T68" fmla="*/ 0 60000 65536"/>
            <a:gd name="T69" fmla="*/ 0 60000 65536"/>
            <a:gd name="T70" fmla="*/ 0 60000 65536"/>
            <a:gd name="T71" fmla="*/ 0 60000 65536"/>
            <a:gd name="T72" fmla="*/ 0 60000 65536"/>
            <a:gd name="T73" fmla="*/ 0 60000 65536"/>
            <a:gd name="T74" fmla="*/ 0 60000 65536"/>
            <a:gd name="T75" fmla="*/ 0 60000 65536"/>
            <a:gd name="T76" fmla="*/ 0 60000 65536"/>
            <a:gd name="T77" fmla="*/ 0 60000 65536"/>
            <a:gd name="T78" fmla="*/ 0 60000 65536"/>
            <a:gd name="T79" fmla="*/ 0 60000 65536"/>
            <a:gd name="T80" fmla="*/ 0 60000 65536"/>
            <a:gd name="T81" fmla="*/ 0 60000 65536"/>
            <a:gd name="T82" fmla="*/ 0 60000 65536"/>
            <a:gd name="T83" fmla="*/ 0 60000 65536"/>
            <a:gd name="T84" fmla="*/ 0 60000 65536"/>
            <a:gd name="T85" fmla="*/ 0 60000 65536"/>
            <a:gd name="T86" fmla="*/ 0 60000 65536"/>
            <a:gd name="T87" fmla="*/ 0 60000 65536"/>
            <a:gd name="T88" fmla="*/ 0 60000 65536"/>
            <a:gd name="T89" fmla="*/ 0 60000 65536"/>
            <a:gd name="T90" fmla="*/ 0 60000 65536"/>
            <a:gd name="T91" fmla="*/ 0 60000 65536"/>
            <a:gd name="T92" fmla="*/ 0 60000 65536"/>
            <a:gd name="T93" fmla="*/ 0 60000 65536"/>
            <a:gd name="T94" fmla="*/ 0 60000 65536"/>
            <a:gd name="T95" fmla="*/ 0 60000 65536"/>
            <a:gd name="T96" fmla="*/ 0 60000 65536"/>
            <a:gd name="T97" fmla="*/ 0 60000 65536"/>
            <a:gd name="T98" fmla="*/ 0 60000 65536"/>
            <a:gd name="T99" fmla="*/ 0 w 275"/>
            <a:gd name="T100" fmla="*/ 0 h 287"/>
            <a:gd name="T101" fmla="*/ 275 w 275"/>
            <a:gd name="T102" fmla="*/ 287 h 287"/>
          </a:gdLst>
          <a:ahLst/>
          <a:cxnLst>
            <a:cxn ang="T66">
              <a:pos x="T0" y="T1"/>
            </a:cxn>
            <a:cxn ang="T67">
              <a:pos x="T2" y="T3"/>
            </a:cxn>
            <a:cxn ang="T68">
              <a:pos x="T4" y="T5"/>
            </a:cxn>
            <a:cxn ang="T69">
              <a:pos x="T6" y="T7"/>
            </a:cxn>
            <a:cxn ang="T70">
              <a:pos x="T8" y="T9"/>
            </a:cxn>
            <a:cxn ang="T71">
              <a:pos x="T10" y="T11"/>
            </a:cxn>
            <a:cxn ang="T72">
              <a:pos x="T12" y="T13"/>
            </a:cxn>
            <a:cxn ang="T73">
              <a:pos x="T14" y="T15"/>
            </a:cxn>
            <a:cxn ang="T74">
              <a:pos x="T16" y="T17"/>
            </a:cxn>
            <a:cxn ang="T75">
              <a:pos x="T18" y="T19"/>
            </a:cxn>
            <a:cxn ang="T76">
              <a:pos x="T20" y="T21"/>
            </a:cxn>
            <a:cxn ang="T77">
              <a:pos x="T22" y="T23"/>
            </a:cxn>
            <a:cxn ang="T78">
              <a:pos x="T24" y="T25"/>
            </a:cxn>
            <a:cxn ang="T79">
              <a:pos x="T26" y="T27"/>
            </a:cxn>
            <a:cxn ang="T80">
              <a:pos x="T28" y="T29"/>
            </a:cxn>
            <a:cxn ang="T81">
              <a:pos x="T30" y="T31"/>
            </a:cxn>
            <a:cxn ang="T82">
              <a:pos x="T32" y="T33"/>
            </a:cxn>
            <a:cxn ang="T83">
              <a:pos x="T34" y="T35"/>
            </a:cxn>
            <a:cxn ang="T84">
              <a:pos x="T36" y="T37"/>
            </a:cxn>
            <a:cxn ang="T85">
              <a:pos x="T38" y="T39"/>
            </a:cxn>
            <a:cxn ang="T86">
              <a:pos x="T40" y="T41"/>
            </a:cxn>
            <a:cxn ang="T87">
              <a:pos x="T42" y="T43"/>
            </a:cxn>
            <a:cxn ang="T88">
              <a:pos x="T44" y="T45"/>
            </a:cxn>
            <a:cxn ang="T89">
              <a:pos x="T46" y="T47"/>
            </a:cxn>
            <a:cxn ang="T90">
              <a:pos x="T48" y="T49"/>
            </a:cxn>
            <a:cxn ang="T91">
              <a:pos x="T50" y="T51"/>
            </a:cxn>
            <a:cxn ang="T92">
              <a:pos x="T52" y="T53"/>
            </a:cxn>
            <a:cxn ang="T93">
              <a:pos x="T54" y="T55"/>
            </a:cxn>
            <a:cxn ang="T94">
              <a:pos x="T56" y="T57"/>
            </a:cxn>
            <a:cxn ang="T95">
              <a:pos x="T58" y="T59"/>
            </a:cxn>
            <a:cxn ang="T96">
              <a:pos x="T60" y="T61"/>
            </a:cxn>
            <a:cxn ang="T97">
              <a:pos x="T62" y="T63"/>
            </a:cxn>
            <a:cxn ang="T98">
              <a:pos x="T64" y="T65"/>
            </a:cxn>
          </a:cxnLst>
          <a:rect l="T99" t="T100" r="T101" b="T102"/>
          <a:pathLst>
            <a:path w="275" h="287">
              <a:moveTo>
                <a:pt x="87" y="33"/>
              </a:moveTo>
              <a:lnTo>
                <a:pt x="94" y="33"/>
              </a:lnTo>
              <a:lnTo>
                <a:pt x="101" y="79"/>
              </a:lnTo>
              <a:lnTo>
                <a:pt x="65" y="87"/>
              </a:lnTo>
              <a:lnTo>
                <a:pt x="65" y="101"/>
              </a:lnTo>
              <a:lnTo>
                <a:pt x="0" y="138"/>
              </a:lnTo>
              <a:lnTo>
                <a:pt x="0" y="163"/>
              </a:lnTo>
              <a:lnTo>
                <a:pt x="129" y="257"/>
              </a:lnTo>
              <a:lnTo>
                <a:pt x="136" y="274"/>
              </a:lnTo>
              <a:lnTo>
                <a:pt x="166" y="287"/>
              </a:lnTo>
              <a:lnTo>
                <a:pt x="188" y="287"/>
              </a:lnTo>
              <a:lnTo>
                <a:pt x="275" y="228"/>
              </a:lnTo>
              <a:lnTo>
                <a:pt x="265" y="207"/>
              </a:lnTo>
              <a:lnTo>
                <a:pt x="260" y="207"/>
              </a:lnTo>
              <a:lnTo>
                <a:pt x="243" y="185"/>
              </a:lnTo>
              <a:lnTo>
                <a:pt x="251" y="170"/>
              </a:lnTo>
              <a:lnTo>
                <a:pt x="251" y="134"/>
              </a:lnTo>
              <a:lnTo>
                <a:pt x="243" y="124"/>
              </a:lnTo>
              <a:lnTo>
                <a:pt x="243" y="87"/>
              </a:lnTo>
              <a:lnTo>
                <a:pt x="221" y="79"/>
              </a:lnTo>
              <a:lnTo>
                <a:pt x="215" y="65"/>
              </a:lnTo>
              <a:lnTo>
                <a:pt x="230" y="42"/>
              </a:lnTo>
              <a:lnTo>
                <a:pt x="221" y="6"/>
              </a:lnTo>
              <a:lnTo>
                <a:pt x="230" y="0"/>
              </a:lnTo>
              <a:lnTo>
                <a:pt x="221" y="6"/>
              </a:lnTo>
              <a:lnTo>
                <a:pt x="201" y="0"/>
              </a:lnTo>
              <a:lnTo>
                <a:pt x="188" y="6"/>
              </a:lnTo>
              <a:lnTo>
                <a:pt x="173" y="0"/>
              </a:lnTo>
              <a:lnTo>
                <a:pt x="151" y="6"/>
              </a:lnTo>
              <a:lnTo>
                <a:pt x="129" y="6"/>
              </a:lnTo>
              <a:lnTo>
                <a:pt x="87" y="33"/>
              </a:lnTo>
              <a:close/>
            </a:path>
          </a:pathLst>
        </a:custGeom>
        <a:solidFill>
          <a:srgbClr val="F5F5F5"/>
        </a:solidFill>
        <a:ln w="9525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36576" tIns="32004" rIns="0" bIns="0" anchor="t"/>
        <a:lstStyle/>
        <a:p>
          <a:pPr algn="l" rtl="0">
            <a:defRPr sz="1000"/>
          </a:pPr>
          <a:endParaRPr lang="en-US" sz="16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en-US"/>
        </a:p>
      </xdr:txBody>
    </xdr:sp>
    <xdr:clientData/>
  </xdr:twoCellAnchor>
  <xdr:twoCellAnchor>
    <xdr:from>
      <xdr:col>9</xdr:col>
      <xdr:colOff>19050</xdr:colOff>
      <xdr:row>26</xdr:row>
      <xdr:rowOff>57150</xdr:rowOff>
    </xdr:from>
    <xdr:to>
      <xdr:col>9</xdr:col>
      <xdr:colOff>485775</xdr:colOff>
      <xdr:row>29</xdr:row>
      <xdr:rowOff>47625</xdr:rowOff>
    </xdr:to>
    <xdr:sp macro="" textlink="">
      <xdr:nvSpPr>
        <xdr:cNvPr id="25775" name="S_MLI"/>
        <xdr:cNvSpPr>
          <a:spLocks/>
        </xdr:cNvSpPr>
      </xdr:nvSpPr>
      <xdr:spPr bwMode="auto">
        <a:xfrm>
          <a:off x="5133975" y="4114800"/>
          <a:ext cx="466725" cy="476250"/>
        </a:xfrm>
        <a:custGeom>
          <a:avLst/>
          <a:gdLst>
            <a:gd name="T0" fmla="*/ 438039213 w 223"/>
            <a:gd name="T1" fmla="*/ 0 h 232"/>
            <a:gd name="T2" fmla="*/ 784089675 w 223"/>
            <a:gd name="T3" fmla="*/ 257053881 h 232"/>
            <a:gd name="T4" fmla="*/ 814751197 w 223"/>
            <a:gd name="T5" fmla="*/ 320263799 h 232"/>
            <a:gd name="T6" fmla="*/ 946162503 w 223"/>
            <a:gd name="T7" fmla="*/ 383473653 h 232"/>
            <a:gd name="T8" fmla="*/ 976826118 w 223"/>
            <a:gd name="T9" fmla="*/ 383473653 h 232"/>
            <a:gd name="T10" fmla="*/ 976826118 w 223"/>
            <a:gd name="T11" fmla="*/ 573103344 h 232"/>
            <a:gd name="T12" fmla="*/ 946162503 w 223"/>
            <a:gd name="T13" fmla="*/ 632098797 h 232"/>
            <a:gd name="T14" fmla="*/ 661439402 w 223"/>
            <a:gd name="T15" fmla="*/ 665811951 h 232"/>
            <a:gd name="T16" fmla="*/ 600112172 w 223"/>
            <a:gd name="T17" fmla="*/ 729021805 h 232"/>
            <a:gd name="T18" fmla="*/ 503744866 w 223"/>
            <a:gd name="T19" fmla="*/ 758518505 h 232"/>
            <a:gd name="T20" fmla="*/ 411756115 w 223"/>
            <a:gd name="T21" fmla="*/ 948148068 h 232"/>
            <a:gd name="T22" fmla="*/ 381094593 w 223"/>
            <a:gd name="T23" fmla="*/ 977646821 h 232"/>
            <a:gd name="T24" fmla="*/ 315388940 w 223"/>
            <a:gd name="T25" fmla="*/ 948148068 h 232"/>
            <a:gd name="T26" fmla="*/ 284725325 w 223"/>
            <a:gd name="T27" fmla="*/ 977646821 h 232"/>
            <a:gd name="T28" fmla="*/ 249681129 w 223"/>
            <a:gd name="T29" fmla="*/ 977646821 h 232"/>
            <a:gd name="T30" fmla="*/ 183975475 w 223"/>
            <a:gd name="T31" fmla="*/ 830157161 h 232"/>
            <a:gd name="T32" fmla="*/ 96369301 w 223"/>
            <a:gd name="T33" fmla="*/ 859655914 h 232"/>
            <a:gd name="T34" fmla="*/ 30663623 w 223"/>
            <a:gd name="T35" fmla="*/ 859655914 h 232"/>
            <a:gd name="T36" fmla="*/ 56944637 w 223"/>
            <a:gd name="T37" fmla="*/ 830157161 h 232"/>
            <a:gd name="T38" fmla="*/ 0 w 223"/>
            <a:gd name="T39" fmla="*/ 665811951 h 232"/>
            <a:gd name="T40" fmla="*/ 56944637 w 223"/>
            <a:gd name="T41" fmla="*/ 632098797 h 232"/>
            <a:gd name="T42" fmla="*/ 96369301 w 223"/>
            <a:gd name="T43" fmla="*/ 665811951 h 232"/>
            <a:gd name="T44" fmla="*/ 118269790 w 223"/>
            <a:gd name="T45" fmla="*/ 632098797 h 232"/>
            <a:gd name="T46" fmla="*/ 411756115 w 223"/>
            <a:gd name="T47" fmla="*/ 632098797 h 232"/>
            <a:gd name="T48" fmla="*/ 315388940 w 223"/>
            <a:gd name="T49" fmla="*/ 0 h 232"/>
            <a:gd name="T50" fmla="*/ 438039213 w 223"/>
            <a:gd name="T51" fmla="*/ 0 h 232"/>
            <a:gd name="T52" fmla="*/ 438039213 w 223"/>
            <a:gd name="T53" fmla="*/ 0 h 232"/>
            <a:gd name="T54" fmla="*/ 0 60000 65536"/>
            <a:gd name="T55" fmla="*/ 0 60000 65536"/>
            <a:gd name="T56" fmla="*/ 0 60000 65536"/>
            <a:gd name="T57" fmla="*/ 0 60000 65536"/>
            <a:gd name="T58" fmla="*/ 0 60000 65536"/>
            <a:gd name="T59" fmla="*/ 0 60000 65536"/>
            <a:gd name="T60" fmla="*/ 0 60000 65536"/>
            <a:gd name="T61" fmla="*/ 0 60000 65536"/>
            <a:gd name="T62" fmla="*/ 0 60000 65536"/>
            <a:gd name="T63" fmla="*/ 0 60000 65536"/>
            <a:gd name="T64" fmla="*/ 0 60000 65536"/>
            <a:gd name="T65" fmla="*/ 0 60000 65536"/>
            <a:gd name="T66" fmla="*/ 0 60000 65536"/>
            <a:gd name="T67" fmla="*/ 0 60000 65536"/>
            <a:gd name="T68" fmla="*/ 0 60000 65536"/>
            <a:gd name="T69" fmla="*/ 0 60000 65536"/>
            <a:gd name="T70" fmla="*/ 0 60000 65536"/>
            <a:gd name="T71" fmla="*/ 0 60000 65536"/>
            <a:gd name="T72" fmla="*/ 0 60000 65536"/>
            <a:gd name="T73" fmla="*/ 0 60000 65536"/>
            <a:gd name="T74" fmla="*/ 0 60000 65536"/>
            <a:gd name="T75" fmla="*/ 0 60000 65536"/>
            <a:gd name="T76" fmla="*/ 0 60000 65536"/>
            <a:gd name="T77" fmla="*/ 0 60000 65536"/>
            <a:gd name="T78" fmla="*/ 0 60000 65536"/>
            <a:gd name="T79" fmla="*/ 0 60000 65536"/>
            <a:gd name="T80" fmla="*/ 0 60000 65536"/>
            <a:gd name="T81" fmla="*/ 0 w 223"/>
            <a:gd name="T82" fmla="*/ 0 h 232"/>
            <a:gd name="T83" fmla="*/ 223 w 223"/>
            <a:gd name="T84" fmla="*/ 232 h 232"/>
          </a:gdLst>
          <a:ahLst/>
          <a:cxnLst>
            <a:cxn ang="T54">
              <a:pos x="T0" y="T1"/>
            </a:cxn>
            <a:cxn ang="T55">
              <a:pos x="T2" y="T3"/>
            </a:cxn>
            <a:cxn ang="T56">
              <a:pos x="T4" y="T5"/>
            </a:cxn>
            <a:cxn ang="T57">
              <a:pos x="T6" y="T7"/>
            </a:cxn>
            <a:cxn ang="T58">
              <a:pos x="T8" y="T9"/>
            </a:cxn>
            <a:cxn ang="T59">
              <a:pos x="T10" y="T11"/>
            </a:cxn>
            <a:cxn ang="T60">
              <a:pos x="T12" y="T13"/>
            </a:cxn>
            <a:cxn ang="T61">
              <a:pos x="T14" y="T15"/>
            </a:cxn>
            <a:cxn ang="T62">
              <a:pos x="T16" y="T17"/>
            </a:cxn>
            <a:cxn ang="T63">
              <a:pos x="T18" y="T19"/>
            </a:cxn>
            <a:cxn ang="T64">
              <a:pos x="T20" y="T21"/>
            </a:cxn>
            <a:cxn ang="T65">
              <a:pos x="T22" y="T23"/>
            </a:cxn>
            <a:cxn ang="T66">
              <a:pos x="T24" y="T25"/>
            </a:cxn>
            <a:cxn ang="T67">
              <a:pos x="T26" y="T27"/>
            </a:cxn>
            <a:cxn ang="T68">
              <a:pos x="T28" y="T29"/>
            </a:cxn>
            <a:cxn ang="T69">
              <a:pos x="T30" y="T31"/>
            </a:cxn>
            <a:cxn ang="T70">
              <a:pos x="T32" y="T33"/>
            </a:cxn>
            <a:cxn ang="T71">
              <a:pos x="T34" y="T35"/>
            </a:cxn>
            <a:cxn ang="T72">
              <a:pos x="T36" y="T37"/>
            </a:cxn>
            <a:cxn ang="T73">
              <a:pos x="T38" y="T39"/>
            </a:cxn>
            <a:cxn ang="T74">
              <a:pos x="T40" y="T41"/>
            </a:cxn>
            <a:cxn ang="T75">
              <a:pos x="T42" y="T43"/>
            </a:cxn>
            <a:cxn ang="T76">
              <a:pos x="T44" y="T45"/>
            </a:cxn>
            <a:cxn ang="T77">
              <a:pos x="T46" y="T47"/>
            </a:cxn>
            <a:cxn ang="T78">
              <a:pos x="T48" y="T49"/>
            </a:cxn>
            <a:cxn ang="T79">
              <a:pos x="T50" y="T51"/>
            </a:cxn>
            <a:cxn ang="T80">
              <a:pos x="T52" y="T53"/>
            </a:cxn>
          </a:cxnLst>
          <a:rect l="T81" t="T82" r="T83" b="T84"/>
          <a:pathLst>
            <a:path w="223" h="232">
              <a:moveTo>
                <a:pt x="100" y="0"/>
              </a:moveTo>
              <a:lnTo>
                <a:pt x="179" y="61"/>
              </a:lnTo>
              <a:lnTo>
                <a:pt x="186" y="76"/>
              </a:lnTo>
              <a:lnTo>
                <a:pt x="216" y="91"/>
              </a:lnTo>
              <a:lnTo>
                <a:pt x="223" y="91"/>
              </a:lnTo>
              <a:lnTo>
                <a:pt x="223" y="136"/>
              </a:lnTo>
              <a:lnTo>
                <a:pt x="216" y="150"/>
              </a:lnTo>
              <a:lnTo>
                <a:pt x="151" y="158"/>
              </a:lnTo>
              <a:lnTo>
                <a:pt x="137" y="173"/>
              </a:lnTo>
              <a:lnTo>
                <a:pt x="115" y="180"/>
              </a:lnTo>
              <a:lnTo>
                <a:pt x="94" y="225"/>
              </a:lnTo>
              <a:lnTo>
                <a:pt x="87" y="232"/>
              </a:lnTo>
              <a:lnTo>
                <a:pt x="72" y="225"/>
              </a:lnTo>
              <a:lnTo>
                <a:pt x="65" y="232"/>
              </a:lnTo>
              <a:lnTo>
                <a:pt x="57" y="232"/>
              </a:lnTo>
              <a:lnTo>
                <a:pt x="42" y="197"/>
              </a:lnTo>
              <a:lnTo>
                <a:pt x="22" y="204"/>
              </a:lnTo>
              <a:lnTo>
                <a:pt x="7" y="204"/>
              </a:lnTo>
              <a:lnTo>
                <a:pt x="13" y="197"/>
              </a:lnTo>
              <a:lnTo>
                <a:pt x="0" y="158"/>
              </a:lnTo>
              <a:lnTo>
                <a:pt x="13" y="150"/>
              </a:lnTo>
              <a:lnTo>
                <a:pt x="22" y="158"/>
              </a:lnTo>
              <a:lnTo>
                <a:pt x="27" y="150"/>
              </a:lnTo>
              <a:lnTo>
                <a:pt x="94" y="150"/>
              </a:lnTo>
              <a:lnTo>
                <a:pt x="72" y="0"/>
              </a:lnTo>
              <a:lnTo>
                <a:pt x="100" y="0"/>
              </a:lnTo>
              <a:close/>
            </a:path>
          </a:pathLst>
        </a:custGeom>
        <a:solidFill>
          <a:srgbClr val="F5F5F5"/>
        </a:solidFill>
        <a:ln w="9525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36576" tIns="32004" rIns="0" bIns="0" anchor="t"/>
        <a:lstStyle/>
        <a:p>
          <a:pPr algn="l" rtl="0">
            <a:defRPr sz="1000"/>
          </a:pPr>
          <a:endParaRPr lang="en-US" sz="16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en-US"/>
        </a:p>
      </xdr:txBody>
    </xdr:sp>
    <xdr:clientData/>
  </xdr:twoCellAnchor>
  <xdr:twoCellAnchor>
    <xdr:from>
      <xdr:col>9</xdr:col>
      <xdr:colOff>123825</xdr:colOff>
      <xdr:row>29</xdr:row>
      <xdr:rowOff>38100</xdr:rowOff>
    </xdr:from>
    <xdr:to>
      <xdr:col>9</xdr:col>
      <xdr:colOff>304800</xdr:colOff>
      <xdr:row>30</xdr:row>
      <xdr:rowOff>66675</xdr:rowOff>
    </xdr:to>
    <xdr:sp macro="" textlink="">
      <xdr:nvSpPr>
        <xdr:cNvPr id="25776" name="S_CIV"/>
        <xdr:cNvSpPr>
          <a:spLocks/>
        </xdr:cNvSpPr>
      </xdr:nvSpPr>
      <xdr:spPr bwMode="auto">
        <a:xfrm>
          <a:off x="5238750" y="4581525"/>
          <a:ext cx="180975" cy="190500"/>
        </a:xfrm>
        <a:custGeom>
          <a:avLst/>
          <a:gdLst>
            <a:gd name="T0" fmla="*/ 349051813 w 85"/>
            <a:gd name="T1" fmla="*/ 339032225 h 89"/>
            <a:gd name="T2" fmla="*/ 349051813 w 85"/>
            <a:gd name="T3" fmla="*/ 247401690 h 89"/>
            <a:gd name="T4" fmla="*/ 385317061 w 85"/>
            <a:gd name="T5" fmla="*/ 146607960 h 89"/>
            <a:gd name="T6" fmla="*/ 349051813 w 85"/>
            <a:gd name="T7" fmla="*/ 77886681 h 89"/>
            <a:gd name="T8" fmla="*/ 285587097 w 85"/>
            <a:gd name="T9" fmla="*/ 36653060 h 89"/>
            <a:gd name="T10" fmla="*/ 217591554 w 85"/>
            <a:gd name="T11" fmla="*/ 36653060 h 89"/>
            <a:gd name="T12" fmla="*/ 190392086 w 85"/>
            <a:gd name="T13" fmla="*/ 0 h 89"/>
            <a:gd name="T14" fmla="*/ 167725507 w 85"/>
            <a:gd name="T15" fmla="*/ 36653060 h 89"/>
            <a:gd name="T16" fmla="*/ 90662088 w 85"/>
            <a:gd name="T17" fmla="*/ 0 h 89"/>
            <a:gd name="T18" fmla="*/ 67997623 w 85"/>
            <a:gd name="T19" fmla="*/ 36653060 h 89"/>
            <a:gd name="T20" fmla="*/ 27199476 w 85"/>
            <a:gd name="T21" fmla="*/ 36653060 h 89"/>
            <a:gd name="T22" fmla="*/ 27199476 w 85"/>
            <a:gd name="T23" fmla="*/ 215331347 h 89"/>
            <a:gd name="T24" fmla="*/ 0 w 85"/>
            <a:gd name="T25" fmla="*/ 215331347 h 89"/>
            <a:gd name="T26" fmla="*/ 0 w 85"/>
            <a:gd name="T27" fmla="*/ 284054800 h 89"/>
            <a:gd name="T28" fmla="*/ 67997623 w 85"/>
            <a:gd name="T29" fmla="*/ 316125143 h 89"/>
            <a:gd name="T30" fmla="*/ 67997623 w 85"/>
            <a:gd name="T31" fmla="*/ 407755612 h 89"/>
            <a:gd name="T32" fmla="*/ 167725507 w 85"/>
            <a:gd name="T33" fmla="*/ 339032225 h 89"/>
            <a:gd name="T34" fmla="*/ 349051813 w 85"/>
            <a:gd name="T35" fmla="*/ 339032225 h 89"/>
            <a:gd name="T36" fmla="*/ 349051813 w 85"/>
            <a:gd name="T37" fmla="*/ 339032225 h 89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60000 65536"/>
            <a:gd name="T52" fmla="*/ 0 60000 65536"/>
            <a:gd name="T53" fmla="*/ 0 60000 65536"/>
            <a:gd name="T54" fmla="*/ 0 60000 65536"/>
            <a:gd name="T55" fmla="*/ 0 60000 65536"/>
            <a:gd name="T56" fmla="*/ 0 60000 65536"/>
            <a:gd name="T57" fmla="*/ 0 w 85"/>
            <a:gd name="T58" fmla="*/ 0 h 89"/>
            <a:gd name="T59" fmla="*/ 85 w 85"/>
            <a:gd name="T60" fmla="*/ 89 h 89"/>
          </a:gdLst>
          <a:ahLst/>
          <a:cxnLst>
            <a:cxn ang="T38">
              <a:pos x="T0" y="T1"/>
            </a:cxn>
            <a:cxn ang="T39">
              <a:pos x="T2" y="T3"/>
            </a:cxn>
            <a:cxn ang="T40">
              <a:pos x="T4" y="T5"/>
            </a:cxn>
            <a:cxn ang="T41">
              <a:pos x="T6" y="T7"/>
            </a:cxn>
            <a:cxn ang="T42">
              <a:pos x="T8" y="T9"/>
            </a:cxn>
            <a:cxn ang="T43">
              <a:pos x="T10" y="T11"/>
            </a:cxn>
            <a:cxn ang="T44">
              <a:pos x="T12" y="T13"/>
            </a:cxn>
            <a:cxn ang="T45">
              <a:pos x="T14" y="T15"/>
            </a:cxn>
            <a:cxn ang="T46">
              <a:pos x="T16" y="T17"/>
            </a:cxn>
            <a:cxn ang="T47">
              <a:pos x="T18" y="T19"/>
            </a:cxn>
            <a:cxn ang="T48">
              <a:pos x="T20" y="T21"/>
            </a:cxn>
            <a:cxn ang="T49">
              <a:pos x="T22" y="T23"/>
            </a:cxn>
            <a:cxn ang="T50">
              <a:pos x="T24" y="T25"/>
            </a:cxn>
            <a:cxn ang="T51">
              <a:pos x="T26" y="T27"/>
            </a:cxn>
            <a:cxn ang="T52">
              <a:pos x="T28" y="T29"/>
            </a:cxn>
            <a:cxn ang="T53">
              <a:pos x="T30" y="T31"/>
            </a:cxn>
            <a:cxn ang="T54">
              <a:pos x="T32" y="T33"/>
            </a:cxn>
            <a:cxn ang="T55">
              <a:pos x="T34" y="T35"/>
            </a:cxn>
            <a:cxn ang="T56">
              <a:pos x="T36" y="T37"/>
            </a:cxn>
          </a:cxnLst>
          <a:rect l="T57" t="T58" r="T59" b="T60"/>
          <a:pathLst>
            <a:path w="85" h="89">
              <a:moveTo>
                <a:pt x="77" y="74"/>
              </a:moveTo>
              <a:lnTo>
                <a:pt x="77" y="54"/>
              </a:lnTo>
              <a:lnTo>
                <a:pt x="85" y="32"/>
              </a:lnTo>
              <a:lnTo>
                <a:pt x="77" y="17"/>
              </a:lnTo>
              <a:lnTo>
                <a:pt x="63" y="8"/>
              </a:lnTo>
              <a:lnTo>
                <a:pt x="48" y="8"/>
              </a:lnTo>
              <a:lnTo>
                <a:pt x="42" y="0"/>
              </a:lnTo>
              <a:lnTo>
                <a:pt x="37" y="8"/>
              </a:lnTo>
              <a:lnTo>
                <a:pt x="20" y="0"/>
              </a:lnTo>
              <a:lnTo>
                <a:pt x="15" y="8"/>
              </a:lnTo>
              <a:lnTo>
                <a:pt x="6" y="8"/>
              </a:lnTo>
              <a:lnTo>
                <a:pt x="6" y="47"/>
              </a:lnTo>
              <a:lnTo>
                <a:pt x="0" y="47"/>
              </a:lnTo>
              <a:lnTo>
                <a:pt x="0" y="62"/>
              </a:lnTo>
              <a:lnTo>
                <a:pt x="15" y="69"/>
              </a:lnTo>
              <a:lnTo>
                <a:pt x="15" y="89"/>
              </a:lnTo>
              <a:lnTo>
                <a:pt x="37" y="74"/>
              </a:lnTo>
              <a:lnTo>
                <a:pt x="77" y="74"/>
              </a:lnTo>
              <a:close/>
            </a:path>
          </a:pathLst>
        </a:custGeom>
        <a:solidFill>
          <a:srgbClr val="F5F5F5"/>
        </a:solidFill>
        <a:ln w="9525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36576" tIns="32004" rIns="0" bIns="0" anchor="t"/>
        <a:lstStyle/>
        <a:p>
          <a:pPr algn="l" rtl="0">
            <a:defRPr sz="1000"/>
          </a:pPr>
          <a:endParaRPr lang="en-US" sz="16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en-US"/>
        </a:p>
      </xdr:txBody>
    </xdr:sp>
    <xdr:clientData/>
  </xdr:twoCellAnchor>
  <xdr:twoCellAnchor>
    <xdr:from>
      <xdr:col>9</xdr:col>
      <xdr:colOff>295275</xdr:colOff>
      <xdr:row>29</xdr:row>
      <xdr:rowOff>19050</xdr:rowOff>
    </xdr:from>
    <xdr:to>
      <xdr:col>9</xdr:col>
      <xdr:colOff>381000</xdr:colOff>
      <xdr:row>30</xdr:row>
      <xdr:rowOff>38100</xdr:rowOff>
    </xdr:to>
    <xdr:sp macro="" textlink="">
      <xdr:nvSpPr>
        <xdr:cNvPr id="25777" name="S_GHA"/>
        <xdr:cNvSpPr>
          <a:spLocks/>
        </xdr:cNvSpPr>
      </xdr:nvSpPr>
      <xdr:spPr bwMode="auto">
        <a:xfrm>
          <a:off x="5410200" y="4562475"/>
          <a:ext cx="85725" cy="180975"/>
        </a:xfrm>
        <a:custGeom>
          <a:avLst/>
          <a:gdLst>
            <a:gd name="T0" fmla="*/ 0 w 46"/>
            <a:gd name="T1" fmla="*/ 129813146 h 87"/>
            <a:gd name="T2" fmla="*/ 0 w 46"/>
            <a:gd name="T3" fmla="*/ 0 h 87"/>
            <a:gd name="T4" fmla="*/ 90296378 w 46"/>
            <a:gd name="T5" fmla="*/ 0 h 87"/>
            <a:gd name="T6" fmla="*/ 159755997 w 46"/>
            <a:gd name="T7" fmla="*/ 281262224 h 87"/>
            <a:gd name="T8" fmla="*/ 159755997 w 46"/>
            <a:gd name="T9" fmla="*/ 320207198 h 87"/>
            <a:gd name="T10" fmla="*/ 27784216 w 46"/>
            <a:gd name="T11" fmla="*/ 376459201 h 87"/>
            <a:gd name="T12" fmla="*/ 0 w 46"/>
            <a:gd name="T13" fmla="*/ 376459201 h 87"/>
            <a:gd name="T14" fmla="*/ 0 w 46"/>
            <a:gd name="T15" fmla="*/ 281262224 h 87"/>
            <a:gd name="T16" fmla="*/ 27784216 w 46"/>
            <a:gd name="T17" fmla="*/ 186065182 h 87"/>
            <a:gd name="T18" fmla="*/ 0 w 46"/>
            <a:gd name="T19" fmla="*/ 129813146 h 87"/>
            <a:gd name="T20" fmla="*/ 0 w 46"/>
            <a:gd name="T21" fmla="*/ 129813146 h 87"/>
            <a:gd name="T22" fmla="*/ 0 w 46"/>
            <a:gd name="T23" fmla="*/ 129813146 h 87"/>
            <a:gd name="T24" fmla="*/ 0 60000 65536"/>
            <a:gd name="T25" fmla="*/ 0 60000 65536"/>
            <a:gd name="T26" fmla="*/ 0 60000 65536"/>
            <a:gd name="T27" fmla="*/ 0 60000 65536"/>
            <a:gd name="T28" fmla="*/ 0 60000 65536"/>
            <a:gd name="T29" fmla="*/ 0 60000 65536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w 46"/>
            <a:gd name="T37" fmla="*/ 0 h 87"/>
            <a:gd name="T38" fmla="*/ 46 w 46"/>
            <a:gd name="T39" fmla="*/ 87 h 87"/>
          </a:gdLst>
          <a:ahLst/>
          <a:cxnLst>
            <a:cxn ang="T24">
              <a:pos x="T0" y="T1"/>
            </a:cxn>
            <a:cxn ang="T25">
              <a:pos x="T2" y="T3"/>
            </a:cxn>
            <a:cxn ang="T26">
              <a:pos x="T4" y="T5"/>
            </a:cxn>
            <a:cxn ang="T27">
              <a:pos x="T6" y="T7"/>
            </a:cxn>
            <a:cxn ang="T28">
              <a:pos x="T8" y="T9"/>
            </a:cxn>
            <a:cxn ang="T29">
              <a:pos x="T10" y="T11"/>
            </a:cxn>
            <a:cxn ang="T30">
              <a:pos x="T12" y="T13"/>
            </a:cxn>
            <a:cxn ang="T31">
              <a:pos x="T14" y="T15"/>
            </a:cxn>
            <a:cxn ang="T32">
              <a:pos x="T16" y="T17"/>
            </a:cxn>
            <a:cxn ang="T33">
              <a:pos x="T18" y="T19"/>
            </a:cxn>
            <a:cxn ang="T34">
              <a:pos x="T20" y="T21"/>
            </a:cxn>
            <a:cxn ang="T35">
              <a:pos x="T22" y="T23"/>
            </a:cxn>
          </a:cxnLst>
          <a:rect l="T36" t="T37" r="T38" b="T39"/>
          <a:pathLst>
            <a:path w="46" h="87">
              <a:moveTo>
                <a:pt x="0" y="30"/>
              </a:moveTo>
              <a:lnTo>
                <a:pt x="0" y="0"/>
              </a:lnTo>
              <a:lnTo>
                <a:pt x="26" y="0"/>
              </a:lnTo>
              <a:lnTo>
                <a:pt x="46" y="65"/>
              </a:lnTo>
              <a:lnTo>
                <a:pt x="46" y="74"/>
              </a:lnTo>
              <a:lnTo>
                <a:pt x="8" y="87"/>
              </a:lnTo>
              <a:lnTo>
                <a:pt x="0" y="87"/>
              </a:lnTo>
              <a:lnTo>
                <a:pt x="0" y="65"/>
              </a:lnTo>
              <a:lnTo>
                <a:pt x="8" y="43"/>
              </a:lnTo>
              <a:lnTo>
                <a:pt x="0" y="30"/>
              </a:lnTo>
              <a:close/>
            </a:path>
          </a:pathLst>
        </a:custGeom>
        <a:solidFill>
          <a:srgbClr val="F5F5F5"/>
        </a:solidFill>
        <a:ln w="9525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36576" tIns="32004" rIns="0" bIns="0" anchor="t"/>
        <a:lstStyle/>
        <a:p>
          <a:pPr algn="l" rtl="0">
            <a:defRPr sz="1000"/>
          </a:pPr>
          <a:endParaRPr lang="en-US" sz="16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en-US"/>
        </a:p>
      </xdr:txBody>
    </xdr:sp>
    <xdr:clientData/>
  </xdr:twoCellAnchor>
  <xdr:twoCellAnchor>
    <xdr:from>
      <xdr:col>9</xdr:col>
      <xdr:colOff>600075</xdr:colOff>
      <xdr:row>30</xdr:row>
      <xdr:rowOff>133350</xdr:rowOff>
    </xdr:from>
    <xdr:to>
      <xdr:col>10</xdr:col>
      <xdr:colOff>47625</xdr:colOff>
      <xdr:row>32</xdr:row>
      <xdr:rowOff>0</xdr:rowOff>
    </xdr:to>
    <xdr:sp macro="" textlink="">
      <xdr:nvSpPr>
        <xdr:cNvPr id="25778" name="S_GAB"/>
        <xdr:cNvSpPr>
          <a:spLocks/>
        </xdr:cNvSpPr>
      </xdr:nvSpPr>
      <xdr:spPr bwMode="auto">
        <a:xfrm>
          <a:off x="5715000" y="4838700"/>
          <a:ext cx="161925" cy="190500"/>
        </a:xfrm>
        <a:custGeom>
          <a:avLst/>
          <a:gdLst>
            <a:gd name="T0" fmla="*/ 92426376 w 79"/>
            <a:gd name="T1" fmla="*/ 71330992 h 93"/>
            <a:gd name="T2" fmla="*/ 147042255 w 79"/>
            <a:gd name="T3" fmla="*/ 71330992 h 93"/>
            <a:gd name="T4" fmla="*/ 147042255 w 79"/>
            <a:gd name="T5" fmla="*/ 0 h 93"/>
            <a:gd name="T6" fmla="*/ 268877512 w 79"/>
            <a:gd name="T7" fmla="*/ 0 h 93"/>
            <a:gd name="T8" fmla="*/ 268877512 w 79"/>
            <a:gd name="T9" fmla="*/ 71330992 h 93"/>
            <a:gd name="T10" fmla="*/ 294084510 w 79"/>
            <a:gd name="T11" fmla="*/ 37762020 h 93"/>
            <a:gd name="T12" fmla="*/ 331895008 w 79"/>
            <a:gd name="T13" fmla="*/ 71330992 h 93"/>
            <a:gd name="T14" fmla="*/ 331895008 w 79"/>
            <a:gd name="T15" fmla="*/ 268537443 h 93"/>
            <a:gd name="T16" fmla="*/ 239468599 w 79"/>
            <a:gd name="T17" fmla="*/ 268537443 h 93"/>
            <a:gd name="T18" fmla="*/ 189054602 w 79"/>
            <a:gd name="T19" fmla="*/ 306299447 h 93"/>
            <a:gd name="T20" fmla="*/ 189054602 w 79"/>
            <a:gd name="T21" fmla="*/ 327279021 h 93"/>
            <a:gd name="T22" fmla="*/ 147042255 w 79"/>
            <a:gd name="T23" fmla="*/ 327279021 h 93"/>
            <a:gd name="T24" fmla="*/ 147042255 w 79"/>
            <a:gd name="T25" fmla="*/ 390217742 h 93"/>
            <a:gd name="T26" fmla="*/ 0 w 79"/>
            <a:gd name="T27" fmla="*/ 197206419 h 93"/>
            <a:gd name="T28" fmla="*/ 63017512 w 79"/>
            <a:gd name="T29" fmla="*/ 134267697 h 93"/>
            <a:gd name="T30" fmla="*/ 63017512 w 79"/>
            <a:gd name="T31" fmla="*/ 109092996 h 93"/>
            <a:gd name="T32" fmla="*/ 92426376 w 79"/>
            <a:gd name="T33" fmla="*/ 71330992 h 93"/>
            <a:gd name="T34" fmla="*/ 92426376 w 79"/>
            <a:gd name="T35" fmla="*/ 71330992 h 93"/>
            <a:gd name="T36" fmla="*/ 92426376 w 79"/>
            <a:gd name="T37" fmla="*/ 71330992 h 93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60000 65536"/>
            <a:gd name="T52" fmla="*/ 0 60000 65536"/>
            <a:gd name="T53" fmla="*/ 0 60000 65536"/>
            <a:gd name="T54" fmla="*/ 0 60000 65536"/>
            <a:gd name="T55" fmla="*/ 0 60000 65536"/>
            <a:gd name="T56" fmla="*/ 0 60000 65536"/>
            <a:gd name="T57" fmla="*/ 0 w 79"/>
            <a:gd name="T58" fmla="*/ 0 h 93"/>
            <a:gd name="T59" fmla="*/ 79 w 79"/>
            <a:gd name="T60" fmla="*/ 93 h 93"/>
          </a:gdLst>
          <a:ahLst/>
          <a:cxnLst>
            <a:cxn ang="T38">
              <a:pos x="T0" y="T1"/>
            </a:cxn>
            <a:cxn ang="T39">
              <a:pos x="T2" y="T3"/>
            </a:cxn>
            <a:cxn ang="T40">
              <a:pos x="T4" y="T5"/>
            </a:cxn>
            <a:cxn ang="T41">
              <a:pos x="T6" y="T7"/>
            </a:cxn>
            <a:cxn ang="T42">
              <a:pos x="T8" y="T9"/>
            </a:cxn>
            <a:cxn ang="T43">
              <a:pos x="T10" y="T11"/>
            </a:cxn>
            <a:cxn ang="T44">
              <a:pos x="T12" y="T13"/>
            </a:cxn>
            <a:cxn ang="T45">
              <a:pos x="T14" y="T15"/>
            </a:cxn>
            <a:cxn ang="T46">
              <a:pos x="T16" y="T17"/>
            </a:cxn>
            <a:cxn ang="T47">
              <a:pos x="T18" y="T19"/>
            </a:cxn>
            <a:cxn ang="T48">
              <a:pos x="T20" y="T21"/>
            </a:cxn>
            <a:cxn ang="T49">
              <a:pos x="T22" y="T23"/>
            </a:cxn>
            <a:cxn ang="T50">
              <a:pos x="T24" y="T25"/>
            </a:cxn>
            <a:cxn ang="T51">
              <a:pos x="T26" y="T27"/>
            </a:cxn>
            <a:cxn ang="T52">
              <a:pos x="T28" y="T29"/>
            </a:cxn>
            <a:cxn ang="T53">
              <a:pos x="T30" y="T31"/>
            </a:cxn>
            <a:cxn ang="T54">
              <a:pos x="T32" y="T33"/>
            </a:cxn>
            <a:cxn ang="T55">
              <a:pos x="T34" y="T35"/>
            </a:cxn>
            <a:cxn ang="T56">
              <a:pos x="T36" y="T37"/>
            </a:cxn>
          </a:cxnLst>
          <a:rect l="T57" t="T58" r="T59" b="T60"/>
          <a:pathLst>
            <a:path w="79" h="93">
              <a:moveTo>
                <a:pt x="22" y="17"/>
              </a:moveTo>
              <a:lnTo>
                <a:pt x="35" y="17"/>
              </a:lnTo>
              <a:lnTo>
                <a:pt x="35" y="0"/>
              </a:lnTo>
              <a:lnTo>
                <a:pt x="64" y="0"/>
              </a:lnTo>
              <a:lnTo>
                <a:pt x="64" y="17"/>
              </a:lnTo>
              <a:lnTo>
                <a:pt x="70" y="9"/>
              </a:lnTo>
              <a:lnTo>
                <a:pt x="79" y="17"/>
              </a:lnTo>
              <a:lnTo>
                <a:pt x="79" y="64"/>
              </a:lnTo>
              <a:lnTo>
                <a:pt x="57" y="64"/>
              </a:lnTo>
              <a:lnTo>
                <a:pt x="45" y="73"/>
              </a:lnTo>
              <a:lnTo>
                <a:pt x="45" y="78"/>
              </a:lnTo>
              <a:lnTo>
                <a:pt x="35" y="78"/>
              </a:lnTo>
              <a:lnTo>
                <a:pt x="35" y="93"/>
              </a:lnTo>
              <a:lnTo>
                <a:pt x="0" y="47"/>
              </a:lnTo>
              <a:lnTo>
                <a:pt x="15" y="32"/>
              </a:lnTo>
              <a:lnTo>
                <a:pt x="15" y="26"/>
              </a:lnTo>
              <a:lnTo>
                <a:pt x="22" y="17"/>
              </a:lnTo>
              <a:close/>
            </a:path>
          </a:pathLst>
        </a:custGeom>
        <a:solidFill>
          <a:srgbClr val="F5F5F5"/>
        </a:solidFill>
        <a:ln w="9525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36576" tIns="32004" rIns="0" bIns="0" anchor="t"/>
        <a:lstStyle/>
        <a:p>
          <a:pPr algn="l" rtl="0">
            <a:defRPr sz="1000"/>
          </a:pPr>
          <a:endParaRPr lang="en-US" sz="16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en-US"/>
        </a:p>
      </xdr:txBody>
    </xdr:sp>
    <xdr:clientData/>
  </xdr:twoCellAnchor>
  <xdr:twoCellAnchor>
    <xdr:from>
      <xdr:col>9</xdr:col>
      <xdr:colOff>600075</xdr:colOff>
      <xdr:row>28</xdr:row>
      <xdr:rowOff>104775</xdr:rowOff>
    </xdr:from>
    <xdr:to>
      <xdr:col>10</xdr:col>
      <xdr:colOff>104775</xdr:colOff>
      <xdr:row>30</xdr:row>
      <xdr:rowOff>142875</xdr:rowOff>
    </xdr:to>
    <xdr:sp macro="" textlink="">
      <xdr:nvSpPr>
        <xdr:cNvPr id="25779" name="S_CMR"/>
        <xdr:cNvSpPr>
          <a:spLocks/>
        </xdr:cNvSpPr>
      </xdr:nvSpPr>
      <xdr:spPr bwMode="auto">
        <a:xfrm>
          <a:off x="5715000" y="4486275"/>
          <a:ext cx="219075" cy="361950"/>
        </a:xfrm>
        <a:custGeom>
          <a:avLst/>
          <a:gdLst>
            <a:gd name="T0" fmla="*/ 0 w 105"/>
            <a:gd name="T1" fmla="*/ 533152292 h 171"/>
            <a:gd name="T2" fmla="*/ 91416874 w 105"/>
            <a:gd name="T3" fmla="*/ 434587627 h 171"/>
            <a:gd name="T4" fmla="*/ 113182490 w 105"/>
            <a:gd name="T5" fmla="*/ 434587627 h 171"/>
            <a:gd name="T6" fmla="*/ 143654803 w 105"/>
            <a:gd name="T7" fmla="*/ 474910113 h 171"/>
            <a:gd name="T8" fmla="*/ 187186037 w 105"/>
            <a:gd name="T9" fmla="*/ 434587627 h 171"/>
            <a:gd name="T10" fmla="*/ 269898300 w 105"/>
            <a:gd name="T11" fmla="*/ 309139189 h 171"/>
            <a:gd name="T12" fmla="*/ 326488551 w 105"/>
            <a:gd name="T13" fmla="*/ 103045680 h 171"/>
            <a:gd name="T14" fmla="*/ 326488551 w 105"/>
            <a:gd name="T15" fmla="*/ 0 h 171"/>
            <a:gd name="T16" fmla="*/ 326488551 w 105"/>
            <a:gd name="T17" fmla="*/ 71685157 h 171"/>
            <a:gd name="T18" fmla="*/ 422259768 w 105"/>
            <a:gd name="T19" fmla="*/ 232975133 h 171"/>
            <a:gd name="T20" fmla="*/ 326488551 w 105"/>
            <a:gd name="T21" fmla="*/ 232975133 h 171"/>
            <a:gd name="T22" fmla="*/ 326488551 w 105"/>
            <a:gd name="T23" fmla="*/ 268816637 h 171"/>
            <a:gd name="T24" fmla="*/ 422259768 w 105"/>
            <a:gd name="T25" fmla="*/ 403224988 h 171"/>
            <a:gd name="T26" fmla="*/ 326488551 w 105"/>
            <a:gd name="T27" fmla="*/ 501791770 h 171"/>
            <a:gd name="T28" fmla="*/ 361315207 w 105"/>
            <a:gd name="T29" fmla="*/ 533152292 h 171"/>
            <a:gd name="T30" fmla="*/ 457084337 w 105"/>
            <a:gd name="T31" fmla="*/ 667560710 h 171"/>
            <a:gd name="T32" fmla="*/ 457084337 w 105"/>
            <a:gd name="T33" fmla="*/ 766127491 h 171"/>
            <a:gd name="T34" fmla="*/ 91416874 w 105"/>
            <a:gd name="T35" fmla="*/ 730285987 h 171"/>
            <a:gd name="T36" fmla="*/ 91416874 w 105"/>
            <a:gd name="T37" fmla="*/ 667560710 h 171"/>
            <a:gd name="T38" fmla="*/ 56592288 w 105"/>
            <a:gd name="T39" fmla="*/ 640679053 h 171"/>
            <a:gd name="T40" fmla="*/ 0 w 105"/>
            <a:gd name="T41" fmla="*/ 600356567 h 171"/>
            <a:gd name="T42" fmla="*/ 0 w 105"/>
            <a:gd name="T43" fmla="*/ 533152292 h 171"/>
            <a:gd name="T44" fmla="*/ 0 w 105"/>
            <a:gd name="T45" fmla="*/ 533152292 h 171"/>
            <a:gd name="T46" fmla="*/ 0 w 105"/>
            <a:gd name="T47" fmla="*/ 533152292 h 171"/>
            <a:gd name="T48" fmla="*/ 0 60000 65536"/>
            <a:gd name="T49" fmla="*/ 0 60000 65536"/>
            <a:gd name="T50" fmla="*/ 0 60000 65536"/>
            <a:gd name="T51" fmla="*/ 0 60000 65536"/>
            <a:gd name="T52" fmla="*/ 0 60000 65536"/>
            <a:gd name="T53" fmla="*/ 0 60000 65536"/>
            <a:gd name="T54" fmla="*/ 0 60000 65536"/>
            <a:gd name="T55" fmla="*/ 0 60000 65536"/>
            <a:gd name="T56" fmla="*/ 0 60000 65536"/>
            <a:gd name="T57" fmla="*/ 0 60000 65536"/>
            <a:gd name="T58" fmla="*/ 0 60000 65536"/>
            <a:gd name="T59" fmla="*/ 0 60000 65536"/>
            <a:gd name="T60" fmla="*/ 0 60000 65536"/>
            <a:gd name="T61" fmla="*/ 0 60000 65536"/>
            <a:gd name="T62" fmla="*/ 0 60000 65536"/>
            <a:gd name="T63" fmla="*/ 0 60000 65536"/>
            <a:gd name="T64" fmla="*/ 0 60000 65536"/>
            <a:gd name="T65" fmla="*/ 0 60000 65536"/>
            <a:gd name="T66" fmla="*/ 0 60000 65536"/>
            <a:gd name="T67" fmla="*/ 0 60000 65536"/>
            <a:gd name="T68" fmla="*/ 0 60000 65536"/>
            <a:gd name="T69" fmla="*/ 0 60000 65536"/>
            <a:gd name="T70" fmla="*/ 0 60000 65536"/>
            <a:gd name="T71" fmla="*/ 0 60000 65536"/>
            <a:gd name="T72" fmla="*/ 0 w 105"/>
            <a:gd name="T73" fmla="*/ 0 h 171"/>
            <a:gd name="T74" fmla="*/ 105 w 105"/>
            <a:gd name="T75" fmla="*/ 171 h 171"/>
          </a:gdLst>
          <a:ahLst/>
          <a:cxnLst>
            <a:cxn ang="T48">
              <a:pos x="T0" y="T1"/>
            </a:cxn>
            <a:cxn ang="T49">
              <a:pos x="T2" y="T3"/>
            </a:cxn>
            <a:cxn ang="T50">
              <a:pos x="T4" y="T5"/>
            </a:cxn>
            <a:cxn ang="T51">
              <a:pos x="T6" y="T7"/>
            </a:cxn>
            <a:cxn ang="T52">
              <a:pos x="T8" y="T9"/>
            </a:cxn>
            <a:cxn ang="T53">
              <a:pos x="T10" y="T11"/>
            </a:cxn>
            <a:cxn ang="T54">
              <a:pos x="T12" y="T13"/>
            </a:cxn>
            <a:cxn ang="T55">
              <a:pos x="T14" y="T15"/>
            </a:cxn>
            <a:cxn ang="T56">
              <a:pos x="T16" y="T17"/>
            </a:cxn>
            <a:cxn ang="T57">
              <a:pos x="T18" y="T19"/>
            </a:cxn>
            <a:cxn ang="T58">
              <a:pos x="T20" y="T21"/>
            </a:cxn>
            <a:cxn ang="T59">
              <a:pos x="T22" y="T23"/>
            </a:cxn>
            <a:cxn ang="T60">
              <a:pos x="T24" y="T25"/>
            </a:cxn>
            <a:cxn ang="T61">
              <a:pos x="T26" y="T27"/>
            </a:cxn>
            <a:cxn ang="T62">
              <a:pos x="T28" y="T29"/>
            </a:cxn>
            <a:cxn ang="T63">
              <a:pos x="T30" y="T31"/>
            </a:cxn>
            <a:cxn ang="T64">
              <a:pos x="T32" y="T33"/>
            </a:cxn>
            <a:cxn ang="T65">
              <a:pos x="T34" y="T35"/>
            </a:cxn>
            <a:cxn ang="T66">
              <a:pos x="T36" y="T37"/>
            </a:cxn>
            <a:cxn ang="T67">
              <a:pos x="T38" y="T39"/>
            </a:cxn>
            <a:cxn ang="T68">
              <a:pos x="T40" y="T41"/>
            </a:cxn>
            <a:cxn ang="T69">
              <a:pos x="T42" y="T43"/>
            </a:cxn>
            <a:cxn ang="T70">
              <a:pos x="T44" y="T45"/>
            </a:cxn>
            <a:cxn ang="T71">
              <a:pos x="T46" y="T47"/>
            </a:cxn>
          </a:cxnLst>
          <a:rect l="T72" t="T73" r="T74" b="T75"/>
          <a:pathLst>
            <a:path w="105" h="171">
              <a:moveTo>
                <a:pt x="0" y="119"/>
              </a:moveTo>
              <a:lnTo>
                <a:pt x="21" y="97"/>
              </a:lnTo>
              <a:lnTo>
                <a:pt x="26" y="97"/>
              </a:lnTo>
              <a:lnTo>
                <a:pt x="33" y="106"/>
              </a:lnTo>
              <a:lnTo>
                <a:pt x="43" y="97"/>
              </a:lnTo>
              <a:lnTo>
                <a:pt x="62" y="69"/>
              </a:lnTo>
              <a:lnTo>
                <a:pt x="75" y="23"/>
              </a:lnTo>
              <a:lnTo>
                <a:pt x="75" y="0"/>
              </a:lnTo>
              <a:lnTo>
                <a:pt x="75" y="16"/>
              </a:lnTo>
              <a:lnTo>
                <a:pt x="97" y="52"/>
              </a:lnTo>
              <a:lnTo>
                <a:pt x="75" y="52"/>
              </a:lnTo>
              <a:lnTo>
                <a:pt x="75" y="60"/>
              </a:lnTo>
              <a:lnTo>
                <a:pt x="97" y="90"/>
              </a:lnTo>
              <a:lnTo>
                <a:pt x="75" y="112"/>
              </a:lnTo>
              <a:lnTo>
                <a:pt x="83" y="119"/>
              </a:lnTo>
              <a:lnTo>
                <a:pt x="105" y="149"/>
              </a:lnTo>
              <a:lnTo>
                <a:pt x="105" y="171"/>
              </a:lnTo>
              <a:lnTo>
                <a:pt x="21" y="163"/>
              </a:lnTo>
              <a:lnTo>
                <a:pt x="21" y="149"/>
              </a:lnTo>
              <a:lnTo>
                <a:pt x="13" y="143"/>
              </a:lnTo>
              <a:lnTo>
                <a:pt x="0" y="134"/>
              </a:lnTo>
              <a:lnTo>
                <a:pt x="0" y="119"/>
              </a:lnTo>
              <a:close/>
            </a:path>
          </a:pathLst>
        </a:custGeom>
        <a:solidFill>
          <a:srgbClr val="F5F5F5"/>
        </a:solidFill>
        <a:ln w="9525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36576" tIns="32004" rIns="0" bIns="0" anchor="t"/>
        <a:lstStyle/>
        <a:p>
          <a:pPr algn="l" rtl="0">
            <a:defRPr sz="1000"/>
          </a:pPr>
          <a:endParaRPr lang="en-US" sz="16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en-US"/>
        </a:p>
      </xdr:txBody>
    </xdr:sp>
    <xdr:clientData/>
  </xdr:twoCellAnchor>
  <xdr:twoCellAnchor>
    <xdr:from>
      <xdr:col>9</xdr:col>
      <xdr:colOff>438150</xdr:colOff>
      <xdr:row>28</xdr:row>
      <xdr:rowOff>85725</xdr:rowOff>
    </xdr:from>
    <xdr:to>
      <xdr:col>10</xdr:col>
      <xdr:colOff>47625</xdr:colOff>
      <xdr:row>30</xdr:row>
      <xdr:rowOff>66675</xdr:rowOff>
    </xdr:to>
    <xdr:sp macro="" textlink="">
      <xdr:nvSpPr>
        <xdr:cNvPr id="25780" name="S_NGA"/>
        <xdr:cNvSpPr>
          <a:spLocks/>
        </xdr:cNvSpPr>
      </xdr:nvSpPr>
      <xdr:spPr bwMode="auto">
        <a:xfrm>
          <a:off x="5553075" y="4467225"/>
          <a:ext cx="323850" cy="304800"/>
        </a:xfrm>
        <a:custGeom>
          <a:avLst/>
          <a:gdLst>
            <a:gd name="T0" fmla="*/ 2147483647 w 156"/>
            <a:gd name="T1" fmla="*/ 2147483647 h 144"/>
            <a:gd name="T2" fmla="*/ 2147483647 w 156"/>
            <a:gd name="T3" fmla="*/ 2147483647 h 144"/>
            <a:gd name="T4" fmla="*/ 2147483647 w 156"/>
            <a:gd name="T5" fmla="*/ 2147483647 h 144"/>
            <a:gd name="T6" fmla="*/ 2147483647 w 156"/>
            <a:gd name="T7" fmla="*/ 2147483647 h 144"/>
            <a:gd name="T8" fmla="*/ 2147483647 w 156"/>
            <a:gd name="T9" fmla="*/ 2147483647 h 144"/>
            <a:gd name="T10" fmla="*/ 2147483647 w 156"/>
            <a:gd name="T11" fmla="*/ 2147483647 h 144"/>
            <a:gd name="T12" fmla="*/ 2147483647 w 156"/>
            <a:gd name="T13" fmla="*/ 2147483647 h 144"/>
            <a:gd name="T14" fmla="*/ 2147483647 w 156"/>
            <a:gd name="T15" fmla="*/ 0 h 144"/>
            <a:gd name="T16" fmla="*/ 2147483647 w 156"/>
            <a:gd name="T17" fmla="*/ 0 h 144"/>
            <a:gd name="T18" fmla="*/ 2147483647 w 156"/>
            <a:gd name="T19" fmla="*/ 2147483647 h 144"/>
            <a:gd name="T20" fmla="*/ 2147483647 w 156"/>
            <a:gd name="T21" fmla="*/ 2147483647 h 144"/>
            <a:gd name="T22" fmla="*/ 2147483647 w 156"/>
            <a:gd name="T23" fmla="*/ 2147483647 h 144"/>
            <a:gd name="T24" fmla="*/ 2147483647 w 156"/>
            <a:gd name="T25" fmla="*/ 2147483647 h 144"/>
            <a:gd name="T26" fmla="*/ 2147483647 w 156"/>
            <a:gd name="T27" fmla="*/ 2147483647 h 144"/>
            <a:gd name="T28" fmla="*/ 2147483647 w 156"/>
            <a:gd name="T29" fmla="*/ 0 h 144"/>
            <a:gd name="T30" fmla="*/ 2147483647 w 156"/>
            <a:gd name="T31" fmla="*/ 0 h 144"/>
            <a:gd name="T32" fmla="*/ 2147483647 w 156"/>
            <a:gd name="T33" fmla="*/ 2147483647 h 144"/>
            <a:gd name="T34" fmla="*/ 2147483647 w 156"/>
            <a:gd name="T35" fmla="*/ 2147483647 h 144"/>
            <a:gd name="T36" fmla="*/ 0 w 156"/>
            <a:gd name="T37" fmla="*/ 2147483647 h 144"/>
            <a:gd name="T38" fmla="*/ 0 w 156"/>
            <a:gd name="T39" fmla="*/ 2147483647 h 144"/>
            <a:gd name="T40" fmla="*/ 2147483647 w 156"/>
            <a:gd name="T41" fmla="*/ 2147483647 h 144"/>
            <a:gd name="T42" fmla="*/ 2147483647 w 156"/>
            <a:gd name="T43" fmla="*/ 2147483647 h 144"/>
            <a:gd name="T44" fmla="*/ 2147483647 w 156"/>
            <a:gd name="T45" fmla="*/ 2147483647 h 144"/>
            <a:gd name="T46" fmla="*/ 2147483647 w 156"/>
            <a:gd name="T47" fmla="*/ 2147483647 h 144"/>
            <a:gd name="T48" fmla="*/ 2147483647 w 156"/>
            <a:gd name="T49" fmla="*/ 2147483647 h 144"/>
            <a:gd name="T50" fmla="*/ 2147483647 w 156"/>
            <a:gd name="T51" fmla="*/ 2147483647 h 144"/>
            <a:gd name="T52" fmla="*/ 2147483647 w 156"/>
            <a:gd name="T53" fmla="*/ 2147483647 h 144"/>
            <a:gd name="T54" fmla="*/ 0 60000 65536"/>
            <a:gd name="T55" fmla="*/ 0 60000 65536"/>
            <a:gd name="T56" fmla="*/ 0 60000 65536"/>
            <a:gd name="T57" fmla="*/ 0 60000 65536"/>
            <a:gd name="T58" fmla="*/ 0 60000 65536"/>
            <a:gd name="T59" fmla="*/ 0 60000 65536"/>
            <a:gd name="T60" fmla="*/ 0 60000 65536"/>
            <a:gd name="T61" fmla="*/ 0 60000 65536"/>
            <a:gd name="T62" fmla="*/ 0 60000 65536"/>
            <a:gd name="T63" fmla="*/ 0 60000 65536"/>
            <a:gd name="T64" fmla="*/ 0 60000 65536"/>
            <a:gd name="T65" fmla="*/ 0 60000 65536"/>
            <a:gd name="T66" fmla="*/ 0 60000 65536"/>
            <a:gd name="T67" fmla="*/ 0 60000 65536"/>
            <a:gd name="T68" fmla="*/ 0 60000 65536"/>
            <a:gd name="T69" fmla="*/ 0 60000 65536"/>
            <a:gd name="T70" fmla="*/ 0 60000 65536"/>
            <a:gd name="T71" fmla="*/ 0 60000 65536"/>
            <a:gd name="T72" fmla="*/ 0 60000 65536"/>
            <a:gd name="T73" fmla="*/ 0 60000 65536"/>
            <a:gd name="T74" fmla="*/ 0 60000 65536"/>
            <a:gd name="T75" fmla="*/ 0 60000 65536"/>
            <a:gd name="T76" fmla="*/ 0 60000 65536"/>
            <a:gd name="T77" fmla="*/ 0 60000 65536"/>
            <a:gd name="T78" fmla="*/ 0 60000 65536"/>
            <a:gd name="T79" fmla="*/ 0 60000 65536"/>
            <a:gd name="T80" fmla="*/ 0 60000 65536"/>
            <a:gd name="T81" fmla="*/ 0 w 156"/>
            <a:gd name="T82" fmla="*/ 0 h 144"/>
            <a:gd name="T83" fmla="*/ 156 w 156"/>
            <a:gd name="T84" fmla="*/ 144 h 144"/>
          </a:gdLst>
          <a:ahLst/>
          <a:cxnLst>
            <a:cxn ang="T54">
              <a:pos x="T0" y="T1"/>
            </a:cxn>
            <a:cxn ang="T55">
              <a:pos x="T2" y="T3"/>
            </a:cxn>
            <a:cxn ang="T56">
              <a:pos x="T4" y="T5"/>
            </a:cxn>
            <a:cxn ang="T57">
              <a:pos x="T6" y="T7"/>
            </a:cxn>
            <a:cxn ang="T58">
              <a:pos x="T8" y="T9"/>
            </a:cxn>
            <a:cxn ang="T59">
              <a:pos x="T10" y="T11"/>
            </a:cxn>
            <a:cxn ang="T60">
              <a:pos x="T12" y="T13"/>
            </a:cxn>
            <a:cxn ang="T61">
              <a:pos x="T14" y="T15"/>
            </a:cxn>
            <a:cxn ang="T62">
              <a:pos x="T16" y="T17"/>
            </a:cxn>
            <a:cxn ang="T63">
              <a:pos x="T18" y="T19"/>
            </a:cxn>
            <a:cxn ang="T64">
              <a:pos x="T20" y="T21"/>
            </a:cxn>
            <a:cxn ang="T65">
              <a:pos x="T22" y="T23"/>
            </a:cxn>
            <a:cxn ang="T66">
              <a:pos x="T24" y="T25"/>
            </a:cxn>
            <a:cxn ang="T67">
              <a:pos x="T26" y="T27"/>
            </a:cxn>
            <a:cxn ang="T68">
              <a:pos x="T28" y="T29"/>
            </a:cxn>
            <a:cxn ang="T69">
              <a:pos x="T30" y="T31"/>
            </a:cxn>
            <a:cxn ang="T70">
              <a:pos x="T32" y="T33"/>
            </a:cxn>
            <a:cxn ang="T71">
              <a:pos x="T34" y="T35"/>
            </a:cxn>
            <a:cxn ang="T72">
              <a:pos x="T36" y="T37"/>
            </a:cxn>
            <a:cxn ang="T73">
              <a:pos x="T38" y="T39"/>
            </a:cxn>
            <a:cxn ang="T74">
              <a:pos x="T40" y="T41"/>
            </a:cxn>
            <a:cxn ang="T75">
              <a:pos x="T42" y="T43"/>
            </a:cxn>
            <a:cxn ang="T76">
              <a:pos x="T44" y="T45"/>
            </a:cxn>
            <a:cxn ang="T77">
              <a:pos x="T46" y="T47"/>
            </a:cxn>
            <a:cxn ang="T78">
              <a:pos x="T48" y="T49"/>
            </a:cxn>
            <a:cxn ang="T79">
              <a:pos x="T50" y="T51"/>
            </a:cxn>
            <a:cxn ang="T80">
              <a:pos x="T52" y="T53"/>
            </a:cxn>
          </a:cxnLst>
          <a:rect l="T81" t="T82" r="T83" b="T84"/>
          <a:pathLst>
            <a:path w="156" h="144">
              <a:moveTo>
                <a:pt x="79" y="129"/>
              </a:moveTo>
              <a:lnTo>
                <a:pt x="100" y="107"/>
              </a:lnTo>
              <a:lnTo>
                <a:pt x="107" y="107"/>
              </a:lnTo>
              <a:lnTo>
                <a:pt x="114" y="117"/>
              </a:lnTo>
              <a:lnTo>
                <a:pt x="142" y="77"/>
              </a:lnTo>
              <a:lnTo>
                <a:pt x="156" y="32"/>
              </a:lnTo>
              <a:lnTo>
                <a:pt x="156" y="8"/>
              </a:lnTo>
              <a:lnTo>
                <a:pt x="151" y="0"/>
              </a:lnTo>
              <a:lnTo>
                <a:pt x="142" y="0"/>
              </a:lnTo>
              <a:lnTo>
                <a:pt x="134" y="8"/>
              </a:lnTo>
              <a:lnTo>
                <a:pt x="107" y="8"/>
              </a:lnTo>
              <a:lnTo>
                <a:pt x="94" y="23"/>
              </a:lnTo>
              <a:lnTo>
                <a:pt x="72" y="8"/>
              </a:lnTo>
              <a:lnTo>
                <a:pt x="64" y="8"/>
              </a:lnTo>
              <a:lnTo>
                <a:pt x="37" y="0"/>
              </a:lnTo>
              <a:lnTo>
                <a:pt x="30" y="0"/>
              </a:lnTo>
              <a:lnTo>
                <a:pt x="13" y="23"/>
              </a:lnTo>
              <a:lnTo>
                <a:pt x="13" y="53"/>
              </a:lnTo>
              <a:lnTo>
                <a:pt x="0" y="84"/>
              </a:lnTo>
              <a:lnTo>
                <a:pt x="0" y="117"/>
              </a:lnTo>
              <a:lnTo>
                <a:pt x="30" y="117"/>
              </a:lnTo>
              <a:lnTo>
                <a:pt x="30" y="124"/>
              </a:lnTo>
              <a:lnTo>
                <a:pt x="37" y="144"/>
              </a:lnTo>
              <a:lnTo>
                <a:pt x="79" y="144"/>
              </a:lnTo>
              <a:lnTo>
                <a:pt x="79" y="129"/>
              </a:lnTo>
              <a:close/>
            </a:path>
          </a:pathLst>
        </a:custGeom>
        <a:solidFill>
          <a:srgbClr val="F5F5F5"/>
        </a:solidFill>
        <a:ln w="9525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36576" tIns="32004" rIns="0" bIns="0" anchor="t"/>
        <a:lstStyle/>
        <a:p>
          <a:pPr algn="l" rtl="0">
            <a:defRPr sz="1000"/>
          </a:pPr>
          <a:endParaRPr lang="en-US" sz="16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en-US"/>
        </a:p>
      </xdr:txBody>
    </xdr:sp>
    <xdr:clientData/>
  </xdr:twoCellAnchor>
  <xdr:twoCellAnchor>
    <xdr:from>
      <xdr:col>9</xdr:col>
      <xdr:colOff>371475</xdr:colOff>
      <xdr:row>26</xdr:row>
      <xdr:rowOff>123825</xdr:rowOff>
    </xdr:from>
    <xdr:to>
      <xdr:col>10</xdr:col>
      <xdr:colOff>104775</xdr:colOff>
      <xdr:row>29</xdr:row>
      <xdr:rowOff>0</xdr:rowOff>
    </xdr:to>
    <xdr:sp macro="" textlink="">
      <xdr:nvSpPr>
        <xdr:cNvPr id="25781" name="S_NER"/>
        <xdr:cNvSpPr>
          <a:spLocks/>
        </xdr:cNvSpPr>
      </xdr:nvSpPr>
      <xdr:spPr bwMode="auto">
        <a:xfrm>
          <a:off x="5486400" y="4181475"/>
          <a:ext cx="447675" cy="361950"/>
        </a:xfrm>
        <a:custGeom>
          <a:avLst/>
          <a:gdLst>
            <a:gd name="T0" fmla="*/ 777493378 w 216"/>
            <a:gd name="T1" fmla="*/ 631719206 h 171"/>
            <a:gd name="T2" fmla="*/ 777493378 w 216"/>
            <a:gd name="T3" fmla="*/ 586915738 h 171"/>
            <a:gd name="T4" fmla="*/ 893472259 w 216"/>
            <a:gd name="T5" fmla="*/ 421146799 h 171"/>
            <a:gd name="T6" fmla="*/ 927837523 w 216"/>
            <a:gd name="T7" fmla="*/ 192652647 h 171"/>
            <a:gd name="T8" fmla="*/ 833334601 w 216"/>
            <a:gd name="T9" fmla="*/ 89604851 h 171"/>
            <a:gd name="T10" fmla="*/ 833334601 w 216"/>
            <a:gd name="T11" fmla="*/ 26881665 h 171"/>
            <a:gd name="T12" fmla="*/ 790380611 w 216"/>
            <a:gd name="T13" fmla="*/ 0 h 171"/>
            <a:gd name="T14" fmla="*/ 657218062 w 216"/>
            <a:gd name="T15" fmla="*/ 0 h 171"/>
            <a:gd name="T16" fmla="*/ 279210388 w 216"/>
            <a:gd name="T17" fmla="*/ 264335655 h 171"/>
            <a:gd name="T18" fmla="*/ 214776230 w 216"/>
            <a:gd name="T19" fmla="*/ 264335655 h 171"/>
            <a:gd name="T20" fmla="*/ 214776230 w 216"/>
            <a:gd name="T21" fmla="*/ 465948149 h 171"/>
            <a:gd name="T22" fmla="*/ 189003837 w 216"/>
            <a:gd name="T23" fmla="*/ 519711463 h 171"/>
            <a:gd name="T24" fmla="*/ 0 w 216"/>
            <a:gd name="T25" fmla="*/ 555555216 h 171"/>
            <a:gd name="T26" fmla="*/ 0 w 216"/>
            <a:gd name="T27" fmla="*/ 631719206 h 171"/>
            <a:gd name="T28" fmla="*/ 64434109 w 216"/>
            <a:gd name="T29" fmla="*/ 730285987 h 171"/>
            <a:gd name="T30" fmla="*/ 94502955 w 216"/>
            <a:gd name="T31" fmla="*/ 730285987 h 171"/>
            <a:gd name="T32" fmla="*/ 94502955 w 216"/>
            <a:gd name="T33" fmla="*/ 766127491 h 171"/>
            <a:gd name="T34" fmla="*/ 94502955 w 216"/>
            <a:gd name="T35" fmla="*/ 730285987 h 171"/>
            <a:gd name="T36" fmla="*/ 128866146 w 216"/>
            <a:gd name="T37" fmla="*/ 730285987 h 171"/>
            <a:gd name="T38" fmla="*/ 189003837 w 216"/>
            <a:gd name="T39" fmla="*/ 766127491 h 171"/>
            <a:gd name="T40" fmla="*/ 189003837 w 216"/>
            <a:gd name="T41" fmla="*/ 730285987 h 171"/>
            <a:gd name="T42" fmla="*/ 253437930 w 216"/>
            <a:gd name="T43" fmla="*/ 631719206 h 171"/>
            <a:gd name="T44" fmla="*/ 433850969 w 216"/>
            <a:gd name="T45" fmla="*/ 654119881 h 171"/>
            <a:gd name="T46" fmla="*/ 524055383 w 216"/>
            <a:gd name="T47" fmla="*/ 730285987 h 171"/>
            <a:gd name="T48" fmla="*/ 584193171 w 216"/>
            <a:gd name="T49" fmla="*/ 654119881 h 171"/>
            <a:gd name="T50" fmla="*/ 713061357 w 216"/>
            <a:gd name="T51" fmla="*/ 654119881 h 171"/>
            <a:gd name="T52" fmla="*/ 743130186 w 216"/>
            <a:gd name="T53" fmla="*/ 631719206 h 171"/>
            <a:gd name="T54" fmla="*/ 777493378 w 216"/>
            <a:gd name="T55" fmla="*/ 631719206 h 171"/>
            <a:gd name="T56" fmla="*/ 777493378 w 216"/>
            <a:gd name="T57" fmla="*/ 631719206 h 171"/>
            <a:gd name="T58" fmla="*/ 0 60000 65536"/>
            <a:gd name="T59" fmla="*/ 0 60000 65536"/>
            <a:gd name="T60" fmla="*/ 0 60000 65536"/>
            <a:gd name="T61" fmla="*/ 0 60000 65536"/>
            <a:gd name="T62" fmla="*/ 0 60000 65536"/>
            <a:gd name="T63" fmla="*/ 0 60000 65536"/>
            <a:gd name="T64" fmla="*/ 0 60000 65536"/>
            <a:gd name="T65" fmla="*/ 0 60000 65536"/>
            <a:gd name="T66" fmla="*/ 0 60000 65536"/>
            <a:gd name="T67" fmla="*/ 0 60000 65536"/>
            <a:gd name="T68" fmla="*/ 0 60000 65536"/>
            <a:gd name="T69" fmla="*/ 0 60000 65536"/>
            <a:gd name="T70" fmla="*/ 0 60000 65536"/>
            <a:gd name="T71" fmla="*/ 0 60000 65536"/>
            <a:gd name="T72" fmla="*/ 0 60000 65536"/>
            <a:gd name="T73" fmla="*/ 0 60000 65536"/>
            <a:gd name="T74" fmla="*/ 0 60000 65536"/>
            <a:gd name="T75" fmla="*/ 0 60000 65536"/>
            <a:gd name="T76" fmla="*/ 0 60000 65536"/>
            <a:gd name="T77" fmla="*/ 0 60000 65536"/>
            <a:gd name="T78" fmla="*/ 0 60000 65536"/>
            <a:gd name="T79" fmla="*/ 0 60000 65536"/>
            <a:gd name="T80" fmla="*/ 0 60000 65536"/>
            <a:gd name="T81" fmla="*/ 0 60000 65536"/>
            <a:gd name="T82" fmla="*/ 0 60000 65536"/>
            <a:gd name="T83" fmla="*/ 0 60000 65536"/>
            <a:gd name="T84" fmla="*/ 0 60000 65536"/>
            <a:gd name="T85" fmla="*/ 0 60000 65536"/>
            <a:gd name="T86" fmla="*/ 0 60000 65536"/>
            <a:gd name="T87" fmla="*/ 0 w 216"/>
            <a:gd name="T88" fmla="*/ 0 h 171"/>
            <a:gd name="T89" fmla="*/ 216 w 216"/>
            <a:gd name="T90" fmla="*/ 171 h 171"/>
          </a:gdLst>
          <a:ahLst/>
          <a:cxnLst>
            <a:cxn ang="T58">
              <a:pos x="T0" y="T1"/>
            </a:cxn>
            <a:cxn ang="T59">
              <a:pos x="T2" y="T3"/>
            </a:cxn>
            <a:cxn ang="T60">
              <a:pos x="T4" y="T5"/>
            </a:cxn>
            <a:cxn ang="T61">
              <a:pos x="T6" y="T7"/>
            </a:cxn>
            <a:cxn ang="T62">
              <a:pos x="T8" y="T9"/>
            </a:cxn>
            <a:cxn ang="T63">
              <a:pos x="T10" y="T11"/>
            </a:cxn>
            <a:cxn ang="T64">
              <a:pos x="T12" y="T13"/>
            </a:cxn>
            <a:cxn ang="T65">
              <a:pos x="T14" y="T15"/>
            </a:cxn>
            <a:cxn ang="T66">
              <a:pos x="T16" y="T17"/>
            </a:cxn>
            <a:cxn ang="T67">
              <a:pos x="T18" y="T19"/>
            </a:cxn>
            <a:cxn ang="T68">
              <a:pos x="T20" y="T21"/>
            </a:cxn>
            <a:cxn ang="T69">
              <a:pos x="T22" y="T23"/>
            </a:cxn>
            <a:cxn ang="T70">
              <a:pos x="T24" y="T25"/>
            </a:cxn>
            <a:cxn ang="T71">
              <a:pos x="T26" y="T27"/>
            </a:cxn>
            <a:cxn ang="T72">
              <a:pos x="T28" y="T29"/>
            </a:cxn>
            <a:cxn ang="T73">
              <a:pos x="T30" y="T31"/>
            </a:cxn>
            <a:cxn ang="T74">
              <a:pos x="T32" y="T33"/>
            </a:cxn>
            <a:cxn ang="T75">
              <a:pos x="T34" y="T35"/>
            </a:cxn>
            <a:cxn ang="T76">
              <a:pos x="T36" y="T37"/>
            </a:cxn>
            <a:cxn ang="T77">
              <a:pos x="T38" y="T39"/>
            </a:cxn>
            <a:cxn ang="T78">
              <a:pos x="T40" y="T41"/>
            </a:cxn>
            <a:cxn ang="T79">
              <a:pos x="T42" y="T43"/>
            </a:cxn>
            <a:cxn ang="T80">
              <a:pos x="T44" y="T45"/>
            </a:cxn>
            <a:cxn ang="T81">
              <a:pos x="T46" y="T47"/>
            </a:cxn>
            <a:cxn ang="T82">
              <a:pos x="T48" y="T49"/>
            </a:cxn>
            <a:cxn ang="T83">
              <a:pos x="T50" y="T51"/>
            </a:cxn>
            <a:cxn ang="T84">
              <a:pos x="T52" y="T53"/>
            </a:cxn>
            <a:cxn ang="T85">
              <a:pos x="T54" y="T55"/>
            </a:cxn>
            <a:cxn ang="T86">
              <a:pos x="T56" y="T57"/>
            </a:cxn>
          </a:cxnLst>
          <a:rect l="T87" t="T88" r="T89" b="T90"/>
          <a:pathLst>
            <a:path w="216" h="171">
              <a:moveTo>
                <a:pt x="181" y="141"/>
              </a:moveTo>
              <a:lnTo>
                <a:pt x="181" y="131"/>
              </a:lnTo>
              <a:lnTo>
                <a:pt x="208" y="94"/>
              </a:lnTo>
              <a:lnTo>
                <a:pt x="216" y="43"/>
              </a:lnTo>
              <a:lnTo>
                <a:pt x="194" y="20"/>
              </a:lnTo>
              <a:lnTo>
                <a:pt x="194" y="6"/>
              </a:lnTo>
              <a:lnTo>
                <a:pt x="184" y="0"/>
              </a:lnTo>
              <a:lnTo>
                <a:pt x="153" y="0"/>
              </a:lnTo>
              <a:lnTo>
                <a:pt x="65" y="59"/>
              </a:lnTo>
              <a:lnTo>
                <a:pt x="50" y="59"/>
              </a:lnTo>
              <a:lnTo>
                <a:pt x="50" y="104"/>
              </a:lnTo>
              <a:lnTo>
                <a:pt x="44" y="116"/>
              </a:lnTo>
              <a:lnTo>
                <a:pt x="0" y="124"/>
              </a:lnTo>
              <a:lnTo>
                <a:pt x="0" y="141"/>
              </a:lnTo>
              <a:lnTo>
                <a:pt x="15" y="163"/>
              </a:lnTo>
              <a:lnTo>
                <a:pt x="22" y="163"/>
              </a:lnTo>
              <a:lnTo>
                <a:pt x="22" y="171"/>
              </a:lnTo>
              <a:lnTo>
                <a:pt x="22" y="163"/>
              </a:lnTo>
              <a:lnTo>
                <a:pt x="30" y="163"/>
              </a:lnTo>
              <a:lnTo>
                <a:pt x="44" y="171"/>
              </a:lnTo>
              <a:lnTo>
                <a:pt x="44" y="163"/>
              </a:lnTo>
              <a:lnTo>
                <a:pt x="59" y="141"/>
              </a:lnTo>
              <a:lnTo>
                <a:pt x="101" y="146"/>
              </a:lnTo>
              <a:lnTo>
                <a:pt x="122" y="163"/>
              </a:lnTo>
              <a:lnTo>
                <a:pt x="136" y="146"/>
              </a:lnTo>
              <a:lnTo>
                <a:pt x="166" y="146"/>
              </a:lnTo>
              <a:lnTo>
                <a:pt x="173" y="141"/>
              </a:lnTo>
              <a:lnTo>
                <a:pt x="181" y="141"/>
              </a:lnTo>
              <a:close/>
            </a:path>
          </a:pathLst>
        </a:custGeom>
        <a:solidFill>
          <a:srgbClr val="F5F5F5"/>
        </a:solidFill>
        <a:ln w="9525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36576" tIns="32004" rIns="0" bIns="0" anchor="t"/>
        <a:lstStyle/>
        <a:p>
          <a:pPr algn="l" rtl="0">
            <a:defRPr sz="1000"/>
          </a:pPr>
          <a:endParaRPr lang="en-US" sz="16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en-US"/>
        </a:p>
      </xdr:txBody>
    </xdr:sp>
    <xdr:clientData/>
  </xdr:twoCellAnchor>
  <xdr:twoCellAnchor>
    <xdr:from>
      <xdr:col>10</xdr:col>
      <xdr:colOff>28575</xdr:colOff>
      <xdr:row>26</xdr:row>
      <xdr:rowOff>123825</xdr:rowOff>
    </xdr:from>
    <xdr:to>
      <xdr:col>10</xdr:col>
      <xdr:colOff>314325</xdr:colOff>
      <xdr:row>29</xdr:row>
      <xdr:rowOff>133350</xdr:rowOff>
    </xdr:to>
    <xdr:sp macro="" textlink="">
      <xdr:nvSpPr>
        <xdr:cNvPr id="25277" name="S_TCD"/>
        <xdr:cNvSpPr>
          <a:spLocks/>
        </xdr:cNvSpPr>
      </xdr:nvSpPr>
      <xdr:spPr bwMode="auto">
        <a:xfrm>
          <a:off x="5857875" y="4181475"/>
          <a:ext cx="285750" cy="495300"/>
        </a:xfrm>
        <a:custGeom>
          <a:avLst/>
          <a:gdLst>
            <a:gd name="T0" fmla="*/ 31286 w 137"/>
            <a:gd name="T1" fmla="*/ 16719 h 237"/>
            <a:gd name="T2" fmla="*/ 31286 w 137"/>
            <a:gd name="T3" fmla="*/ 45977 h 237"/>
            <a:gd name="T4" fmla="*/ 79259 w 137"/>
            <a:gd name="T5" fmla="*/ 89865 h 237"/>
            <a:gd name="T6" fmla="*/ 62573 w 137"/>
            <a:gd name="T7" fmla="*/ 200628 h 237"/>
            <a:gd name="T8" fmla="*/ 0 w 137"/>
            <a:gd name="T9" fmla="*/ 273773 h 237"/>
            <a:gd name="T10" fmla="*/ 0 w 137"/>
            <a:gd name="T11" fmla="*/ 290492 h 237"/>
            <a:gd name="T12" fmla="*/ 12515 w 137"/>
            <a:gd name="T13" fmla="*/ 309301 h 237"/>
            <a:gd name="T14" fmla="*/ 12515 w 137"/>
            <a:gd name="T15" fmla="*/ 340649 h 237"/>
            <a:gd name="T16" fmla="*/ 62573 w 137"/>
            <a:gd name="T17" fmla="*/ 417975 h 237"/>
            <a:gd name="T18" fmla="*/ 12515 w 137"/>
            <a:gd name="T19" fmla="*/ 417975 h 237"/>
            <a:gd name="T20" fmla="*/ 12515 w 137"/>
            <a:gd name="T21" fmla="*/ 434694 h 237"/>
            <a:gd name="T22" fmla="*/ 31286 w 137"/>
            <a:gd name="T23" fmla="*/ 449323 h 237"/>
            <a:gd name="T24" fmla="*/ 62573 w 137"/>
            <a:gd name="T25" fmla="*/ 495300 h 237"/>
            <a:gd name="T26" fmla="*/ 166861 w 137"/>
            <a:gd name="T27" fmla="*/ 449323 h 237"/>
            <a:gd name="T28" fmla="*/ 139746 w 137"/>
            <a:gd name="T29" fmla="*/ 449323 h 237"/>
            <a:gd name="T30" fmla="*/ 198148 w 137"/>
            <a:gd name="T31" fmla="*/ 434694 h 237"/>
            <a:gd name="T32" fmla="*/ 260721 w 137"/>
            <a:gd name="T33" fmla="*/ 371998 h 237"/>
            <a:gd name="T34" fmla="*/ 271150 w 137"/>
            <a:gd name="T35" fmla="*/ 371998 h 237"/>
            <a:gd name="T36" fmla="*/ 229434 w 137"/>
            <a:gd name="T37" fmla="*/ 309301 h 237"/>
            <a:gd name="T38" fmla="*/ 271150 w 137"/>
            <a:gd name="T39" fmla="*/ 244515 h 237"/>
            <a:gd name="T40" fmla="*/ 285750 w 137"/>
            <a:gd name="T41" fmla="*/ 244515 h 237"/>
            <a:gd name="T42" fmla="*/ 285750 w 137"/>
            <a:gd name="T43" fmla="*/ 123303 h 237"/>
            <a:gd name="T44" fmla="*/ 79259 w 137"/>
            <a:gd name="T45" fmla="*/ 0 h 237"/>
            <a:gd name="T46" fmla="*/ 31286 w 137"/>
            <a:gd name="T47" fmla="*/ 16719 h 237"/>
            <a:gd name="T48" fmla="*/ 31286 w 137"/>
            <a:gd name="T49" fmla="*/ 16719 h 237"/>
            <a:gd name="T50" fmla="*/ 31286 w 137"/>
            <a:gd name="T51" fmla="*/ 16719 h 237"/>
            <a:gd name="T52" fmla="*/ 0 60000 65536"/>
            <a:gd name="T53" fmla="*/ 0 60000 65536"/>
            <a:gd name="T54" fmla="*/ 0 60000 65536"/>
            <a:gd name="T55" fmla="*/ 0 60000 65536"/>
            <a:gd name="T56" fmla="*/ 0 60000 65536"/>
            <a:gd name="T57" fmla="*/ 0 60000 65536"/>
            <a:gd name="T58" fmla="*/ 0 60000 65536"/>
            <a:gd name="T59" fmla="*/ 0 60000 65536"/>
            <a:gd name="T60" fmla="*/ 0 60000 65536"/>
            <a:gd name="T61" fmla="*/ 0 60000 65536"/>
            <a:gd name="T62" fmla="*/ 0 60000 65536"/>
            <a:gd name="T63" fmla="*/ 0 60000 65536"/>
            <a:gd name="T64" fmla="*/ 0 60000 65536"/>
            <a:gd name="T65" fmla="*/ 0 60000 65536"/>
            <a:gd name="T66" fmla="*/ 0 60000 65536"/>
            <a:gd name="T67" fmla="*/ 0 60000 65536"/>
            <a:gd name="T68" fmla="*/ 0 60000 65536"/>
            <a:gd name="T69" fmla="*/ 0 60000 65536"/>
            <a:gd name="T70" fmla="*/ 0 60000 65536"/>
            <a:gd name="T71" fmla="*/ 0 60000 65536"/>
            <a:gd name="T72" fmla="*/ 0 60000 65536"/>
            <a:gd name="T73" fmla="*/ 0 60000 65536"/>
            <a:gd name="T74" fmla="*/ 0 60000 65536"/>
            <a:gd name="T75" fmla="*/ 0 60000 65536"/>
            <a:gd name="T76" fmla="*/ 0 60000 65536"/>
            <a:gd name="T77" fmla="*/ 0 60000 65536"/>
            <a:gd name="T78" fmla="*/ 0 w 137"/>
            <a:gd name="T79" fmla="*/ 0 h 237"/>
            <a:gd name="T80" fmla="*/ 137 w 137"/>
            <a:gd name="T81" fmla="*/ 237 h 237"/>
          </a:gdLst>
          <a:ahLst/>
          <a:cxnLst>
            <a:cxn ang="T52">
              <a:pos x="T0" y="T1"/>
            </a:cxn>
            <a:cxn ang="T53">
              <a:pos x="T2" y="T3"/>
            </a:cxn>
            <a:cxn ang="T54">
              <a:pos x="T4" y="T5"/>
            </a:cxn>
            <a:cxn ang="T55">
              <a:pos x="T6" y="T7"/>
            </a:cxn>
            <a:cxn ang="T56">
              <a:pos x="T8" y="T9"/>
            </a:cxn>
            <a:cxn ang="T57">
              <a:pos x="T10" y="T11"/>
            </a:cxn>
            <a:cxn ang="T58">
              <a:pos x="T12" y="T13"/>
            </a:cxn>
            <a:cxn ang="T59">
              <a:pos x="T14" y="T15"/>
            </a:cxn>
            <a:cxn ang="T60">
              <a:pos x="T16" y="T17"/>
            </a:cxn>
            <a:cxn ang="T61">
              <a:pos x="T18" y="T19"/>
            </a:cxn>
            <a:cxn ang="T62">
              <a:pos x="T20" y="T21"/>
            </a:cxn>
            <a:cxn ang="T63">
              <a:pos x="T22" y="T23"/>
            </a:cxn>
            <a:cxn ang="T64">
              <a:pos x="T24" y="T25"/>
            </a:cxn>
            <a:cxn ang="T65">
              <a:pos x="T26" y="T27"/>
            </a:cxn>
            <a:cxn ang="T66">
              <a:pos x="T28" y="T29"/>
            </a:cxn>
            <a:cxn ang="T67">
              <a:pos x="T30" y="T31"/>
            </a:cxn>
            <a:cxn ang="T68">
              <a:pos x="T32" y="T33"/>
            </a:cxn>
            <a:cxn ang="T69">
              <a:pos x="T34" y="T35"/>
            </a:cxn>
            <a:cxn ang="T70">
              <a:pos x="T36" y="T37"/>
            </a:cxn>
            <a:cxn ang="T71">
              <a:pos x="T38" y="T39"/>
            </a:cxn>
            <a:cxn ang="T72">
              <a:pos x="T40" y="T41"/>
            </a:cxn>
            <a:cxn ang="T73">
              <a:pos x="T42" y="T43"/>
            </a:cxn>
            <a:cxn ang="T74">
              <a:pos x="T44" y="T45"/>
            </a:cxn>
            <a:cxn ang="T75">
              <a:pos x="T46" y="T47"/>
            </a:cxn>
            <a:cxn ang="T76">
              <a:pos x="T48" y="T49"/>
            </a:cxn>
            <a:cxn ang="T77">
              <a:pos x="T50" y="T51"/>
            </a:cxn>
          </a:cxnLst>
          <a:rect l="T78" t="T79" r="T80" b="T81"/>
          <a:pathLst>
            <a:path w="137" h="237">
              <a:moveTo>
                <a:pt x="15" y="8"/>
              </a:moveTo>
              <a:lnTo>
                <a:pt x="15" y="22"/>
              </a:lnTo>
              <a:lnTo>
                <a:pt x="38" y="43"/>
              </a:lnTo>
              <a:lnTo>
                <a:pt x="30" y="96"/>
              </a:lnTo>
              <a:lnTo>
                <a:pt x="0" y="131"/>
              </a:lnTo>
              <a:lnTo>
                <a:pt x="0" y="139"/>
              </a:lnTo>
              <a:lnTo>
                <a:pt x="6" y="148"/>
              </a:lnTo>
              <a:lnTo>
                <a:pt x="6" y="163"/>
              </a:lnTo>
              <a:lnTo>
                <a:pt x="30" y="200"/>
              </a:lnTo>
              <a:lnTo>
                <a:pt x="6" y="200"/>
              </a:lnTo>
              <a:lnTo>
                <a:pt x="6" y="208"/>
              </a:lnTo>
              <a:lnTo>
                <a:pt x="15" y="215"/>
              </a:lnTo>
              <a:lnTo>
                <a:pt x="30" y="237"/>
              </a:lnTo>
              <a:lnTo>
                <a:pt x="80" y="215"/>
              </a:lnTo>
              <a:lnTo>
                <a:pt x="67" y="215"/>
              </a:lnTo>
              <a:lnTo>
                <a:pt x="95" y="208"/>
              </a:lnTo>
              <a:lnTo>
                <a:pt x="125" y="178"/>
              </a:lnTo>
              <a:lnTo>
                <a:pt x="130" y="178"/>
              </a:lnTo>
              <a:lnTo>
                <a:pt x="110" y="148"/>
              </a:lnTo>
              <a:lnTo>
                <a:pt x="130" y="117"/>
              </a:lnTo>
              <a:lnTo>
                <a:pt x="137" y="117"/>
              </a:lnTo>
              <a:lnTo>
                <a:pt x="137" y="59"/>
              </a:lnTo>
              <a:lnTo>
                <a:pt x="38" y="0"/>
              </a:lnTo>
              <a:lnTo>
                <a:pt x="15" y="8"/>
              </a:lnTo>
              <a:close/>
            </a:path>
          </a:pathLst>
        </a:custGeom>
        <a:solidFill>
          <a:srgbClr val="F5F5F5"/>
        </a:solidFill>
        <a:ln w="9525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36576" tIns="32004" rIns="0" bIns="0" anchor="t" upright="1"/>
        <a:lstStyle/>
        <a:p>
          <a:pPr algn="l" rtl="0">
            <a:defRPr sz="1000"/>
          </a:pPr>
          <a:endParaRPr lang="de-DE" sz="16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de-DE" sz="16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10</xdr:col>
      <xdr:colOff>257175</xdr:colOff>
      <xdr:row>26</xdr:row>
      <xdr:rowOff>133350</xdr:rowOff>
    </xdr:from>
    <xdr:to>
      <xdr:col>11</xdr:col>
      <xdr:colOff>19050</xdr:colOff>
      <xdr:row>30</xdr:row>
      <xdr:rowOff>85725</xdr:rowOff>
    </xdr:to>
    <xdr:sp macro="" textlink="">
      <xdr:nvSpPr>
        <xdr:cNvPr id="25783" name="S_SDN"/>
        <xdr:cNvSpPr>
          <a:spLocks/>
        </xdr:cNvSpPr>
      </xdr:nvSpPr>
      <xdr:spPr bwMode="auto">
        <a:xfrm>
          <a:off x="6086475" y="4191000"/>
          <a:ext cx="476250" cy="600075"/>
        </a:xfrm>
        <a:custGeom>
          <a:avLst/>
          <a:gdLst>
            <a:gd name="T0" fmla="*/ 69201843 w 229"/>
            <a:gd name="T1" fmla="*/ 754489396 h 289"/>
            <a:gd name="T2" fmla="*/ 121102680 w 229"/>
            <a:gd name="T3" fmla="*/ 849340657 h 289"/>
            <a:gd name="T4" fmla="*/ 121102680 w 229"/>
            <a:gd name="T5" fmla="*/ 922632832 h 289"/>
            <a:gd name="T6" fmla="*/ 185980840 w 229"/>
            <a:gd name="T7" fmla="*/ 957123633 h 289"/>
            <a:gd name="T8" fmla="*/ 346011260 w 229"/>
            <a:gd name="T9" fmla="*/ 1146824339 h 289"/>
            <a:gd name="T10" fmla="*/ 367635916 w 229"/>
            <a:gd name="T11" fmla="*/ 1215805942 h 289"/>
            <a:gd name="T12" fmla="*/ 488738564 w 229"/>
            <a:gd name="T13" fmla="*/ 1215805942 h 289"/>
            <a:gd name="T14" fmla="*/ 527666272 w 229"/>
            <a:gd name="T15" fmla="*/ 1245986171 h 289"/>
            <a:gd name="T16" fmla="*/ 592542449 w 229"/>
            <a:gd name="T17" fmla="*/ 1245986171 h 289"/>
            <a:gd name="T18" fmla="*/ 709321414 w 229"/>
            <a:gd name="T19" fmla="*/ 1215805942 h 289"/>
            <a:gd name="T20" fmla="*/ 830424062 w 229"/>
            <a:gd name="T21" fmla="*/ 1215805942 h 289"/>
            <a:gd name="T22" fmla="*/ 830424062 w 229"/>
            <a:gd name="T23" fmla="*/ 1125267328 h 289"/>
            <a:gd name="T24" fmla="*/ 804473643 w 229"/>
            <a:gd name="T25" fmla="*/ 1125267328 h 289"/>
            <a:gd name="T26" fmla="*/ 709321414 w 229"/>
            <a:gd name="T27" fmla="*/ 1013171445 h 289"/>
            <a:gd name="T28" fmla="*/ 679045232 w 229"/>
            <a:gd name="T29" fmla="*/ 957123633 h 289"/>
            <a:gd name="T30" fmla="*/ 860700243 w 229"/>
            <a:gd name="T31" fmla="*/ 616526190 h 289"/>
            <a:gd name="T32" fmla="*/ 895302188 w 229"/>
            <a:gd name="T33" fmla="*/ 392334813 h 289"/>
            <a:gd name="T34" fmla="*/ 990454417 w 229"/>
            <a:gd name="T35" fmla="*/ 362154583 h 289"/>
            <a:gd name="T36" fmla="*/ 990454417 w 229"/>
            <a:gd name="T37" fmla="*/ 327663782 h 289"/>
            <a:gd name="T38" fmla="*/ 925578370 w 229"/>
            <a:gd name="T39" fmla="*/ 297485628 h 289"/>
            <a:gd name="T40" fmla="*/ 895302188 w 229"/>
            <a:gd name="T41" fmla="*/ 34490818 h 289"/>
            <a:gd name="T42" fmla="*/ 830424062 w 229"/>
            <a:gd name="T43" fmla="*/ 0 h 289"/>
            <a:gd name="T44" fmla="*/ 709321414 w 229"/>
            <a:gd name="T45" fmla="*/ 73294283 h 289"/>
            <a:gd name="T46" fmla="*/ 679045232 w 229"/>
            <a:gd name="T47" fmla="*/ 34490818 h 289"/>
            <a:gd name="T48" fmla="*/ 185980840 w 229"/>
            <a:gd name="T49" fmla="*/ 34490818 h 289"/>
            <a:gd name="T50" fmla="*/ 185980840 w 229"/>
            <a:gd name="T51" fmla="*/ 168143501 h 289"/>
            <a:gd name="T52" fmla="*/ 121102680 w 229"/>
            <a:gd name="T53" fmla="*/ 224191312 h 289"/>
            <a:gd name="T54" fmla="*/ 121102680 w 229"/>
            <a:gd name="T55" fmla="*/ 487183998 h 289"/>
            <a:gd name="T56" fmla="*/ 90828578 w 229"/>
            <a:gd name="T57" fmla="*/ 487183998 h 289"/>
            <a:gd name="T58" fmla="*/ 0 w 229"/>
            <a:gd name="T59" fmla="*/ 616526190 h 289"/>
            <a:gd name="T60" fmla="*/ 90828578 w 229"/>
            <a:gd name="T61" fmla="*/ 754489396 h 289"/>
            <a:gd name="T62" fmla="*/ 69201843 w 229"/>
            <a:gd name="T63" fmla="*/ 754489396 h 289"/>
            <a:gd name="T64" fmla="*/ 69201843 w 229"/>
            <a:gd name="T65" fmla="*/ 754489396 h 289"/>
            <a:gd name="T66" fmla="*/ 69201843 w 229"/>
            <a:gd name="T67" fmla="*/ 754489396 h 289"/>
            <a:gd name="T68" fmla="*/ 0 60000 65536"/>
            <a:gd name="T69" fmla="*/ 0 60000 65536"/>
            <a:gd name="T70" fmla="*/ 0 60000 65536"/>
            <a:gd name="T71" fmla="*/ 0 60000 65536"/>
            <a:gd name="T72" fmla="*/ 0 60000 65536"/>
            <a:gd name="T73" fmla="*/ 0 60000 65536"/>
            <a:gd name="T74" fmla="*/ 0 60000 65536"/>
            <a:gd name="T75" fmla="*/ 0 60000 65536"/>
            <a:gd name="T76" fmla="*/ 0 60000 65536"/>
            <a:gd name="T77" fmla="*/ 0 60000 65536"/>
            <a:gd name="T78" fmla="*/ 0 60000 65536"/>
            <a:gd name="T79" fmla="*/ 0 60000 65536"/>
            <a:gd name="T80" fmla="*/ 0 60000 65536"/>
            <a:gd name="T81" fmla="*/ 0 60000 65536"/>
            <a:gd name="T82" fmla="*/ 0 60000 65536"/>
            <a:gd name="T83" fmla="*/ 0 60000 65536"/>
            <a:gd name="T84" fmla="*/ 0 60000 65536"/>
            <a:gd name="T85" fmla="*/ 0 60000 65536"/>
            <a:gd name="T86" fmla="*/ 0 60000 65536"/>
            <a:gd name="T87" fmla="*/ 0 60000 65536"/>
            <a:gd name="T88" fmla="*/ 0 60000 65536"/>
            <a:gd name="T89" fmla="*/ 0 60000 65536"/>
            <a:gd name="T90" fmla="*/ 0 60000 65536"/>
            <a:gd name="T91" fmla="*/ 0 60000 65536"/>
            <a:gd name="T92" fmla="*/ 0 60000 65536"/>
            <a:gd name="T93" fmla="*/ 0 60000 65536"/>
            <a:gd name="T94" fmla="*/ 0 60000 65536"/>
            <a:gd name="T95" fmla="*/ 0 60000 65536"/>
            <a:gd name="T96" fmla="*/ 0 60000 65536"/>
            <a:gd name="T97" fmla="*/ 0 60000 65536"/>
            <a:gd name="T98" fmla="*/ 0 60000 65536"/>
            <a:gd name="T99" fmla="*/ 0 60000 65536"/>
            <a:gd name="T100" fmla="*/ 0 60000 65536"/>
            <a:gd name="T101" fmla="*/ 0 60000 65536"/>
            <a:gd name="T102" fmla="*/ 0 w 229"/>
            <a:gd name="T103" fmla="*/ 0 h 289"/>
            <a:gd name="T104" fmla="*/ 229 w 229"/>
            <a:gd name="T105" fmla="*/ 289 h 289"/>
          </a:gdLst>
          <a:ahLst/>
          <a:cxnLst>
            <a:cxn ang="T68">
              <a:pos x="T0" y="T1"/>
            </a:cxn>
            <a:cxn ang="T69">
              <a:pos x="T2" y="T3"/>
            </a:cxn>
            <a:cxn ang="T70">
              <a:pos x="T4" y="T5"/>
            </a:cxn>
            <a:cxn ang="T71">
              <a:pos x="T6" y="T7"/>
            </a:cxn>
            <a:cxn ang="T72">
              <a:pos x="T8" y="T9"/>
            </a:cxn>
            <a:cxn ang="T73">
              <a:pos x="T10" y="T11"/>
            </a:cxn>
            <a:cxn ang="T74">
              <a:pos x="T12" y="T13"/>
            </a:cxn>
            <a:cxn ang="T75">
              <a:pos x="T14" y="T15"/>
            </a:cxn>
            <a:cxn ang="T76">
              <a:pos x="T16" y="T17"/>
            </a:cxn>
            <a:cxn ang="T77">
              <a:pos x="T18" y="T19"/>
            </a:cxn>
            <a:cxn ang="T78">
              <a:pos x="T20" y="T21"/>
            </a:cxn>
            <a:cxn ang="T79">
              <a:pos x="T22" y="T23"/>
            </a:cxn>
            <a:cxn ang="T80">
              <a:pos x="T24" y="T25"/>
            </a:cxn>
            <a:cxn ang="T81">
              <a:pos x="T26" y="T27"/>
            </a:cxn>
            <a:cxn ang="T82">
              <a:pos x="T28" y="T29"/>
            </a:cxn>
            <a:cxn ang="T83">
              <a:pos x="T30" y="T31"/>
            </a:cxn>
            <a:cxn ang="T84">
              <a:pos x="T32" y="T33"/>
            </a:cxn>
            <a:cxn ang="T85">
              <a:pos x="T34" y="T35"/>
            </a:cxn>
            <a:cxn ang="T86">
              <a:pos x="T36" y="T37"/>
            </a:cxn>
            <a:cxn ang="T87">
              <a:pos x="T38" y="T39"/>
            </a:cxn>
            <a:cxn ang="T88">
              <a:pos x="T40" y="T41"/>
            </a:cxn>
            <a:cxn ang="T89">
              <a:pos x="T42" y="T43"/>
            </a:cxn>
            <a:cxn ang="T90">
              <a:pos x="T44" y="T45"/>
            </a:cxn>
            <a:cxn ang="T91">
              <a:pos x="T46" y="T47"/>
            </a:cxn>
            <a:cxn ang="T92">
              <a:pos x="T48" y="T49"/>
            </a:cxn>
            <a:cxn ang="T93">
              <a:pos x="T50" y="T51"/>
            </a:cxn>
            <a:cxn ang="T94">
              <a:pos x="T52" y="T53"/>
            </a:cxn>
            <a:cxn ang="T95">
              <a:pos x="T54" y="T55"/>
            </a:cxn>
            <a:cxn ang="T96">
              <a:pos x="T56" y="T57"/>
            </a:cxn>
            <a:cxn ang="T97">
              <a:pos x="T58" y="T59"/>
            </a:cxn>
            <a:cxn ang="T98">
              <a:pos x="T60" y="T61"/>
            </a:cxn>
            <a:cxn ang="T99">
              <a:pos x="T62" y="T63"/>
            </a:cxn>
            <a:cxn ang="T100">
              <a:pos x="T64" y="T65"/>
            </a:cxn>
            <a:cxn ang="T101">
              <a:pos x="T66" y="T67"/>
            </a:cxn>
          </a:cxnLst>
          <a:rect l="T102" t="T103" r="T104" b="T105"/>
          <a:pathLst>
            <a:path w="229" h="289">
              <a:moveTo>
                <a:pt x="16" y="175"/>
              </a:moveTo>
              <a:lnTo>
                <a:pt x="28" y="197"/>
              </a:lnTo>
              <a:lnTo>
                <a:pt x="28" y="214"/>
              </a:lnTo>
              <a:lnTo>
                <a:pt x="43" y="222"/>
              </a:lnTo>
              <a:lnTo>
                <a:pt x="80" y="266"/>
              </a:lnTo>
              <a:lnTo>
                <a:pt x="85" y="282"/>
              </a:lnTo>
              <a:lnTo>
                <a:pt x="113" y="282"/>
              </a:lnTo>
              <a:lnTo>
                <a:pt x="122" y="289"/>
              </a:lnTo>
              <a:lnTo>
                <a:pt x="137" y="289"/>
              </a:lnTo>
              <a:lnTo>
                <a:pt x="164" y="282"/>
              </a:lnTo>
              <a:lnTo>
                <a:pt x="192" y="282"/>
              </a:lnTo>
              <a:lnTo>
                <a:pt x="192" y="261"/>
              </a:lnTo>
              <a:lnTo>
                <a:pt x="186" y="261"/>
              </a:lnTo>
              <a:lnTo>
                <a:pt x="164" y="235"/>
              </a:lnTo>
              <a:lnTo>
                <a:pt x="157" y="222"/>
              </a:lnTo>
              <a:lnTo>
                <a:pt x="199" y="143"/>
              </a:lnTo>
              <a:lnTo>
                <a:pt x="207" y="91"/>
              </a:lnTo>
              <a:lnTo>
                <a:pt x="229" y="84"/>
              </a:lnTo>
              <a:lnTo>
                <a:pt x="229" y="76"/>
              </a:lnTo>
              <a:lnTo>
                <a:pt x="214" y="69"/>
              </a:lnTo>
              <a:lnTo>
                <a:pt x="207" y="8"/>
              </a:lnTo>
              <a:lnTo>
                <a:pt x="192" y="0"/>
              </a:lnTo>
              <a:lnTo>
                <a:pt x="164" y="17"/>
              </a:lnTo>
              <a:lnTo>
                <a:pt x="157" y="8"/>
              </a:lnTo>
              <a:lnTo>
                <a:pt x="43" y="8"/>
              </a:lnTo>
              <a:lnTo>
                <a:pt x="43" y="39"/>
              </a:lnTo>
              <a:lnTo>
                <a:pt x="28" y="52"/>
              </a:lnTo>
              <a:lnTo>
                <a:pt x="28" y="113"/>
              </a:lnTo>
              <a:lnTo>
                <a:pt x="21" y="113"/>
              </a:lnTo>
              <a:lnTo>
                <a:pt x="0" y="143"/>
              </a:lnTo>
              <a:lnTo>
                <a:pt x="21" y="175"/>
              </a:lnTo>
              <a:lnTo>
                <a:pt x="16" y="175"/>
              </a:lnTo>
              <a:close/>
            </a:path>
          </a:pathLst>
        </a:custGeom>
        <a:solidFill>
          <a:srgbClr val="F5F5F5"/>
        </a:solidFill>
        <a:ln w="9525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36576" tIns="32004" rIns="0" bIns="0" anchor="t"/>
        <a:lstStyle/>
        <a:p>
          <a:pPr algn="l" rtl="0">
            <a:defRPr sz="1000"/>
          </a:pPr>
          <a:endParaRPr lang="en-US" sz="16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en-US"/>
        </a:p>
      </xdr:txBody>
    </xdr:sp>
    <xdr:clientData/>
  </xdr:twoCellAnchor>
  <xdr:twoCellAnchor>
    <xdr:from>
      <xdr:col>10</xdr:col>
      <xdr:colOff>600075</xdr:colOff>
      <xdr:row>30</xdr:row>
      <xdr:rowOff>66675</xdr:rowOff>
    </xdr:from>
    <xdr:to>
      <xdr:col>11</xdr:col>
      <xdr:colOff>123825</xdr:colOff>
      <xdr:row>32</xdr:row>
      <xdr:rowOff>9525</xdr:rowOff>
    </xdr:to>
    <xdr:sp macro="" textlink="">
      <xdr:nvSpPr>
        <xdr:cNvPr id="25784" name="S_KEN"/>
        <xdr:cNvSpPr>
          <a:spLocks/>
        </xdr:cNvSpPr>
      </xdr:nvSpPr>
      <xdr:spPr bwMode="auto">
        <a:xfrm>
          <a:off x="6429375" y="4772025"/>
          <a:ext cx="238125" cy="266700"/>
        </a:xfrm>
        <a:custGeom>
          <a:avLst/>
          <a:gdLst>
            <a:gd name="T0" fmla="*/ 2147483647 w 112"/>
            <a:gd name="T1" fmla="*/ 2147483647 h 130"/>
            <a:gd name="T2" fmla="*/ 2147483647 w 112"/>
            <a:gd name="T3" fmla="*/ 0 h 130"/>
            <a:gd name="T4" fmla="*/ 2147483647 w 112"/>
            <a:gd name="T5" fmla="*/ 2147483647 h 130"/>
            <a:gd name="T6" fmla="*/ 0 w 112"/>
            <a:gd name="T7" fmla="*/ 0 h 130"/>
            <a:gd name="T8" fmla="*/ 2147483647 w 112"/>
            <a:gd name="T9" fmla="*/ 2147483647 h 130"/>
            <a:gd name="T10" fmla="*/ 2147483647 w 112"/>
            <a:gd name="T11" fmla="*/ 2147483647 h 130"/>
            <a:gd name="T12" fmla="*/ 0 w 112"/>
            <a:gd name="T13" fmla="*/ 2147483647 h 130"/>
            <a:gd name="T14" fmla="*/ 0 w 112"/>
            <a:gd name="T15" fmla="*/ 2147483647 h 130"/>
            <a:gd name="T16" fmla="*/ 2147483647 w 112"/>
            <a:gd name="T17" fmla="*/ 2147483647 h 130"/>
            <a:gd name="T18" fmla="*/ 2147483647 w 112"/>
            <a:gd name="T19" fmla="*/ 2147483647 h 130"/>
            <a:gd name="T20" fmla="*/ 2147483647 w 112"/>
            <a:gd name="T21" fmla="*/ 2147483647 h 130"/>
            <a:gd name="T22" fmla="*/ 2147483647 w 112"/>
            <a:gd name="T23" fmla="*/ 2147483647 h 130"/>
            <a:gd name="T24" fmla="*/ 2147483647 w 112"/>
            <a:gd name="T25" fmla="*/ 2147483647 h 130"/>
            <a:gd name="T26" fmla="*/ 2147483647 w 112"/>
            <a:gd name="T27" fmla="*/ 2147483647 h 130"/>
            <a:gd name="T28" fmla="*/ 2147483647 w 112"/>
            <a:gd name="T29" fmla="*/ 2147483647 h 130"/>
            <a:gd name="T30" fmla="*/ 2147483647 w 112"/>
            <a:gd name="T31" fmla="*/ 2147483647 h 130"/>
            <a:gd name="T32" fmla="*/ 2147483647 w 112"/>
            <a:gd name="T33" fmla="*/ 2147483647 h 130"/>
            <a:gd name="T34" fmla="*/ 2147483647 w 112"/>
            <a:gd name="T35" fmla="*/ 2147483647 h 130"/>
            <a:gd name="T36" fmla="*/ 2147483647 w 112"/>
            <a:gd name="T37" fmla="*/ 2147483647 h 130"/>
            <a:gd name="T38" fmla="*/ 2147483647 w 112"/>
            <a:gd name="T39" fmla="*/ 2147483647 h 130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60000 65536"/>
            <a:gd name="T52" fmla="*/ 0 60000 65536"/>
            <a:gd name="T53" fmla="*/ 0 60000 65536"/>
            <a:gd name="T54" fmla="*/ 0 60000 65536"/>
            <a:gd name="T55" fmla="*/ 0 60000 65536"/>
            <a:gd name="T56" fmla="*/ 0 60000 65536"/>
            <a:gd name="T57" fmla="*/ 0 60000 65536"/>
            <a:gd name="T58" fmla="*/ 0 60000 65536"/>
            <a:gd name="T59" fmla="*/ 0 60000 65536"/>
            <a:gd name="T60" fmla="*/ 0 w 112"/>
            <a:gd name="T61" fmla="*/ 0 h 130"/>
            <a:gd name="T62" fmla="*/ 112 w 112"/>
            <a:gd name="T63" fmla="*/ 130 h 130"/>
          </a:gdLst>
          <a:ahLst/>
          <a:cxnLst>
            <a:cxn ang="T40">
              <a:pos x="T0" y="T1"/>
            </a:cxn>
            <a:cxn ang="T41">
              <a:pos x="T2" y="T3"/>
            </a:cxn>
            <a:cxn ang="T42">
              <a:pos x="T4" y="T5"/>
            </a:cxn>
            <a:cxn ang="T43">
              <a:pos x="T6" y="T7"/>
            </a:cxn>
            <a:cxn ang="T44">
              <a:pos x="T8" y="T9"/>
            </a:cxn>
            <a:cxn ang="T45">
              <a:pos x="T10" y="T11"/>
            </a:cxn>
            <a:cxn ang="T46">
              <a:pos x="T12" y="T13"/>
            </a:cxn>
            <a:cxn ang="T47">
              <a:pos x="T14" y="T15"/>
            </a:cxn>
            <a:cxn ang="T48">
              <a:pos x="T16" y="T17"/>
            </a:cxn>
            <a:cxn ang="T49">
              <a:pos x="T18" y="T19"/>
            </a:cxn>
            <a:cxn ang="T50">
              <a:pos x="T20" y="T21"/>
            </a:cxn>
            <a:cxn ang="T51">
              <a:pos x="T22" y="T23"/>
            </a:cxn>
            <a:cxn ang="T52">
              <a:pos x="T24" y="T25"/>
            </a:cxn>
            <a:cxn ang="T53">
              <a:pos x="T26" y="T27"/>
            </a:cxn>
            <a:cxn ang="T54">
              <a:pos x="T28" y="T29"/>
            </a:cxn>
            <a:cxn ang="T55">
              <a:pos x="T30" y="T31"/>
            </a:cxn>
            <a:cxn ang="T56">
              <a:pos x="T32" y="T33"/>
            </a:cxn>
            <a:cxn ang="T57">
              <a:pos x="T34" y="T35"/>
            </a:cxn>
            <a:cxn ang="T58">
              <a:pos x="T36" y="T37"/>
            </a:cxn>
            <a:cxn ang="T59">
              <a:pos x="T38" y="T39"/>
            </a:cxn>
          </a:cxnLst>
          <a:rect l="T60" t="T61" r="T62" b="T63"/>
          <a:pathLst>
            <a:path w="112" h="130">
              <a:moveTo>
                <a:pt x="112" y="10"/>
              </a:moveTo>
              <a:lnTo>
                <a:pt x="90" y="0"/>
              </a:lnTo>
              <a:lnTo>
                <a:pt x="70" y="10"/>
              </a:lnTo>
              <a:lnTo>
                <a:pt x="0" y="0"/>
              </a:lnTo>
              <a:lnTo>
                <a:pt x="8" y="10"/>
              </a:lnTo>
              <a:lnTo>
                <a:pt x="22" y="39"/>
              </a:lnTo>
              <a:lnTo>
                <a:pt x="0" y="62"/>
              </a:lnTo>
              <a:lnTo>
                <a:pt x="0" y="76"/>
              </a:lnTo>
              <a:lnTo>
                <a:pt x="8" y="76"/>
              </a:lnTo>
              <a:lnTo>
                <a:pt x="48" y="101"/>
              </a:lnTo>
              <a:lnTo>
                <a:pt x="48" y="121"/>
              </a:lnTo>
              <a:lnTo>
                <a:pt x="77" y="130"/>
              </a:lnTo>
              <a:lnTo>
                <a:pt x="83" y="101"/>
              </a:lnTo>
              <a:lnTo>
                <a:pt x="90" y="101"/>
              </a:lnTo>
              <a:lnTo>
                <a:pt x="105" y="84"/>
              </a:lnTo>
              <a:lnTo>
                <a:pt x="90" y="76"/>
              </a:lnTo>
              <a:lnTo>
                <a:pt x="90" y="30"/>
              </a:lnTo>
              <a:lnTo>
                <a:pt x="112" y="10"/>
              </a:lnTo>
              <a:close/>
            </a:path>
          </a:pathLst>
        </a:custGeom>
        <a:solidFill>
          <a:srgbClr val="F5F5F5"/>
        </a:solidFill>
        <a:ln w="9525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36576" tIns="32004" rIns="0" bIns="0" anchor="t"/>
        <a:lstStyle/>
        <a:p>
          <a:pPr algn="l" rtl="0">
            <a:defRPr sz="1000"/>
          </a:pPr>
          <a:endParaRPr lang="en-US" sz="16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en-US"/>
        </a:p>
      </xdr:txBody>
    </xdr:sp>
    <xdr:clientData/>
  </xdr:twoCellAnchor>
  <xdr:twoCellAnchor>
    <xdr:from>
      <xdr:col>10</xdr:col>
      <xdr:colOff>485775</xdr:colOff>
      <xdr:row>30</xdr:row>
      <xdr:rowOff>66675</xdr:rowOff>
    </xdr:from>
    <xdr:to>
      <xdr:col>10</xdr:col>
      <xdr:colOff>647700</xdr:colOff>
      <xdr:row>31</xdr:row>
      <xdr:rowOff>76200</xdr:rowOff>
    </xdr:to>
    <xdr:sp macro="" textlink="">
      <xdr:nvSpPr>
        <xdr:cNvPr id="25785" name="S_UGA"/>
        <xdr:cNvSpPr>
          <a:spLocks/>
        </xdr:cNvSpPr>
      </xdr:nvSpPr>
      <xdr:spPr bwMode="auto">
        <a:xfrm>
          <a:off x="6315075" y="4772025"/>
          <a:ext cx="161925" cy="171450"/>
        </a:xfrm>
        <a:custGeom>
          <a:avLst/>
          <a:gdLst>
            <a:gd name="T0" fmla="*/ 245128851 w 76"/>
            <a:gd name="T1" fmla="*/ 0 h 82"/>
            <a:gd name="T2" fmla="*/ 272366330 w 76"/>
            <a:gd name="T3" fmla="*/ 39345686 h 82"/>
            <a:gd name="T4" fmla="*/ 344996121 w 76"/>
            <a:gd name="T5" fmla="*/ 170494482 h 82"/>
            <a:gd name="T6" fmla="*/ 245128851 w 76"/>
            <a:gd name="T7" fmla="*/ 266671623 h 82"/>
            <a:gd name="T8" fmla="*/ 245128851 w 76"/>
            <a:gd name="T9" fmla="*/ 332247108 h 82"/>
            <a:gd name="T10" fmla="*/ 63551292 w 76"/>
            <a:gd name="T11" fmla="*/ 332247108 h 82"/>
            <a:gd name="T12" fmla="*/ 0 w 76"/>
            <a:gd name="T13" fmla="*/ 358476857 h 82"/>
            <a:gd name="T14" fmla="*/ 13618743 w 76"/>
            <a:gd name="T15" fmla="*/ 236069901 h 82"/>
            <a:gd name="T16" fmla="*/ 63551292 w 76"/>
            <a:gd name="T17" fmla="*/ 205468178 h 82"/>
            <a:gd name="T18" fmla="*/ 90788788 w 76"/>
            <a:gd name="T19" fmla="*/ 131150870 h 82"/>
            <a:gd name="T20" fmla="*/ 63551292 w 76"/>
            <a:gd name="T21" fmla="*/ 131150870 h 82"/>
            <a:gd name="T22" fmla="*/ 63551292 w 76"/>
            <a:gd name="T23" fmla="*/ 39345686 h 82"/>
            <a:gd name="T24" fmla="*/ 122564426 w 76"/>
            <a:gd name="T25" fmla="*/ 39345686 h 82"/>
            <a:gd name="T26" fmla="*/ 245128851 w 76"/>
            <a:gd name="T27" fmla="*/ 0 h 82"/>
            <a:gd name="T28" fmla="*/ 245128851 w 76"/>
            <a:gd name="T29" fmla="*/ 0 h 82"/>
            <a:gd name="T30" fmla="*/ 245128851 w 76"/>
            <a:gd name="T31" fmla="*/ 0 h 82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w 76"/>
            <a:gd name="T49" fmla="*/ 0 h 82"/>
            <a:gd name="T50" fmla="*/ 76 w 76"/>
            <a:gd name="T51" fmla="*/ 82 h 82"/>
          </a:gdLst>
          <a:ahLst/>
          <a:cxnLst>
            <a:cxn ang="T32">
              <a:pos x="T0" y="T1"/>
            </a:cxn>
            <a:cxn ang="T33">
              <a:pos x="T2" y="T3"/>
            </a:cxn>
            <a:cxn ang="T34">
              <a:pos x="T4" y="T5"/>
            </a:cxn>
            <a:cxn ang="T35">
              <a:pos x="T6" y="T7"/>
            </a:cxn>
            <a:cxn ang="T36">
              <a:pos x="T8" y="T9"/>
            </a:cxn>
            <a:cxn ang="T37">
              <a:pos x="T10" y="T11"/>
            </a:cxn>
            <a:cxn ang="T38">
              <a:pos x="T12" y="T13"/>
            </a:cxn>
            <a:cxn ang="T39">
              <a:pos x="T14" y="T15"/>
            </a:cxn>
            <a:cxn ang="T40">
              <a:pos x="T16" y="T17"/>
            </a:cxn>
            <a:cxn ang="T41">
              <a:pos x="T18" y="T19"/>
            </a:cxn>
            <a:cxn ang="T42">
              <a:pos x="T20" y="T21"/>
            </a:cxn>
            <a:cxn ang="T43">
              <a:pos x="T22" y="T23"/>
            </a:cxn>
            <a:cxn ang="T44">
              <a:pos x="T24" y="T25"/>
            </a:cxn>
            <a:cxn ang="T45">
              <a:pos x="T26" y="T27"/>
            </a:cxn>
            <a:cxn ang="T46">
              <a:pos x="T28" y="T29"/>
            </a:cxn>
            <a:cxn ang="T47">
              <a:pos x="T30" y="T31"/>
            </a:cxn>
          </a:cxnLst>
          <a:rect l="T48" t="T49" r="T50" b="T51"/>
          <a:pathLst>
            <a:path w="76" h="82">
              <a:moveTo>
                <a:pt x="54" y="0"/>
              </a:moveTo>
              <a:lnTo>
                <a:pt x="60" y="9"/>
              </a:lnTo>
              <a:lnTo>
                <a:pt x="76" y="39"/>
              </a:lnTo>
              <a:lnTo>
                <a:pt x="54" y="61"/>
              </a:lnTo>
              <a:lnTo>
                <a:pt x="54" y="76"/>
              </a:lnTo>
              <a:lnTo>
                <a:pt x="14" y="76"/>
              </a:lnTo>
              <a:lnTo>
                <a:pt x="0" y="82"/>
              </a:lnTo>
              <a:lnTo>
                <a:pt x="3" y="54"/>
              </a:lnTo>
              <a:lnTo>
                <a:pt x="14" y="47"/>
              </a:lnTo>
              <a:lnTo>
                <a:pt x="20" y="30"/>
              </a:lnTo>
              <a:lnTo>
                <a:pt x="14" y="30"/>
              </a:lnTo>
              <a:lnTo>
                <a:pt x="14" y="9"/>
              </a:lnTo>
              <a:lnTo>
                <a:pt x="27" y="9"/>
              </a:lnTo>
              <a:lnTo>
                <a:pt x="54" y="0"/>
              </a:lnTo>
              <a:close/>
            </a:path>
          </a:pathLst>
        </a:custGeom>
        <a:solidFill>
          <a:srgbClr val="F5F5F5"/>
        </a:solidFill>
        <a:ln w="9525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36576" tIns="32004" rIns="0" bIns="0" anchor="t"/>
        <a:lstStyle/>
        <a:p>
          <a:pPr algn="l" rtl="0">
            <a:defRPr sz="1000"/>
          </a:pPr>
          <a:endParaRPr lang="en-US" sz="16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en-US"/>
        </a:p>
      </xdr:txBody>
    </xdr:sp>
    <xdr:clientData/>
  </xdr:twoCellAnchor>
  <xdr:twoCellAnchor>
    <xdr:from>
      <xdr:col>10</xdr:col>
      <xdr:colOff>485775</xdr:colOff>
      <xdr:row>31</xdr:row>
      <xdr:rowOff>66675</xdr:rowOff>
    </xdr:from>
    <xdr:to>
      <xdr:col>11</xdr:col>
      <xdr:colOff>66675</xdr:colOff>
      <xdr:row>33</xdr:row>
      <xdr:rowOff>57150</xdr:rowOff>
    </xdr:to>
    <xdr:sp macro="" textlink="">
      <xdr:nvSpPr>
        <xdr:cNvPr id="25786" name="S_TZA"/>
        <xdr:cNvSpPr>
          <a:spLocks/>
        </xdr:cNvSpPr>
      </xdr:nvSpPr>
      <xdr:spPr bwMode="auto">
        <a:xfrm>
          <a:off x="6315075" y="4933950"/>
          <a:ext cx="295275" cy="314325"/>
        </a:xfrm>
        <a:custGeom>
          <a:avLst/>
          <a:gdLst>
            <a:gd name="T0" fmla="*/ 214886877 w 141"/>
            <a:gd name="T1" fmla="*/ 548680006 h 153"/>
            <a:gd name="T2" fmla="*/ 87709235 w 141"/>
            <a:gd name="T3" fmla="*/ 455824611 h 153"/>
            <a:gd name="T4" fmla="*/ 61396248 w 141"/>
            <a:gd name="T5" fmla="*/ 455824611 h 153"/>
            <a:gd name="T6" fmla="*/ 0 w 141"/>
            <a:gd name="T7" fmla="*/ 354531880 h 153"/>
            <a:gd name="T8" fmla="*/ 0 w 141"/>
            <a:gd name="T9" fmla="*/ 227912306 h 153"/>
            <a:gd name="T10" fmla="*/ 61396248 w 141"/>
            <a:gd name="T11" fmla="*/ 130839302 h 153"/>
            <a:gd name="T12" fmla="*/ 61396248 w 141"/>
            <a:gd name="T13" fmla="*/ 0 h 153"/>
            <a:gd name="T14" fmla="*/ 271897963 w 141"/>
            <a:gd name="T15" fmla="*/ 0 h 153"/>
            <a:gd name="T16" fmla="*/ 464859111 w 141"/>
            <a:gd name="T17" fmla="*/ 101294818 h 153"/>
            <a:gd name="T18" fmla="*/ 464859111 w 141"/>
            <a:gd name="T19" fmla="*/ 194148062 h 153"/>
            <a:gd name="T20" fmla="*/ 578881413 w 141"/>
            <a:gd name="T21" fmla="*/ 227912306 h 153"/>
            <a:gd name="T22" fmla="*/ 556953589 w 141"/>
            <a:gd name="T23" fmla="*/ 287001337 h 153"/>
            <a:gd name="T24" fmla="*/ 578881413 w 141"/>
            <a:gd name="T25" fmla="*/ 384074309 h 153"/>
            <a:gd name="T26" fmla="*/ 578881413 w 141"/>
            <a:gd name="T27" fmla="*/ 548680006 h 153"/>
            <a:gd name="T28" fmla="*/ 618349821 w 141"/>
            <a:gd name="T29" fmla="*/ 582444249 h 153"/>
            <a:gd name="T30" fmla="*/ 556953589 w 141"/>
            <a:gd name="T31" fmla="*/ 645752977 h 153"/>
            <a:gd name="T32" fmla="*/ 337679407 w 141"/>
            <a:gd name="T33" fmla="*/ 645752977 h 153"/>
            <a:gd name="T34" fmla="*/ 271897963 w 141"/>
            <a:gd name="T35" fmla="*/ 548680006 h 153"/>
            <a:gd name="T36" fmla="*/ 214886877 w 141"/>
            <a:gd name="T37" fmla="*/ 548680006 h 153"/>
            <a:gd name="T38" fmla="*/ 214886877 w 141"/>
            <a:gd name="T39" fmla="*/ 548680006 h 153"/>
            <a:gd name="T40" fmla="*/ 214886877 w 141"/>
            <a:gd name="T41" fmla="*/ 548680006 h 153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60000 65536"/>
            <a:gd name="T52" fmla="*/ 0 60000 65536"/>
            <a:gd name="T53" fmla="*/ 0 60000 65536"/>
            <a:gd name="T54" fmla="*/ 0 60000 65536"/>
            <a:gd name="T55" fmla="*/ 0 60000 65536"/>
            <a:gd name="T56" fmla="*/ 0 60000 65536"/>
            <a:gd name="T57" fmla="*/ 0 60000 65536"/>
            <a:gd name="T58" fmla="*/ 0 60000 65536"/>
            <a:gd name="T59" fmla="*/ 0 60000 65536"/>
            <a:gd name="T60" fmla="*/ 0 60000 65536"/>
            <a:gd name="T61" fmla="*/ 0 60000 65536"/>
            <a:gd name="T62" fmla="*/ 0 60000 65536"/>
            <a:gd name="T63" fmla="*/ 0 w 141"/>
            <a:gd name="T64" fmla="*/ 0 h 153"/>
            <a:gd name="T65" fmla="*/ 141 w 141"/>
            <a:gd name="T66" fmla="*/ 153 h 153"/>
          </a:gdLst>
          <a:ahLst/>
          <a:cxnLst>
            <a:cxn ang="T42">
              <a:pos x="T0" y="T1"/>
            </a:cxn>
            <a:cxn ang="T43">
              <a:pos x="T2" y="T3"/>
            </a:cxn>
            <a:cxn ang="T44">
              <a:pos x="T4" y="T5"/>
            </a:cxn>
            <a:cxn ang="T45">
              <a:pos x="T6" y="T7"/>
            </a:cxn>
            <a:cxn ang="T46">
              <a:pos x="T8" y="T9"/>
            </a:cxn>
            <a:cxn ang="T47">
              <a:pos x="T10" y="T11"/>
            </a:cxn>
            <a:cxn ang="T48">
              <a:pos x="T12" y="T13"/>
            </a:cxn>
            <a:cxn ang="T49">
              <a:pos x="T14" y="T15"/>
            </a:cxn>
            <a:cxn ang="T50">
              <a:pos x="T16" y="T17"/>
            </a:cxn>
            <a:cxn ang="T51">
              <a:pos x="T18" y="T19"/>
            </a:cxn>
            <a:cxn ang="T52">
              <a:pos x="T20" y="T21"/>
            </a:cxn>
            <a:cxn ang="T53">
              <a:pos x="T22" y="T23"/>
            </a:cxn>
            <a:cxn ang="T54">
              <a:pos x="T24" y="T25"/>
            </a:cxn>
            <a:cxn ang="T55">
              <a:pos x="T26" y="T27"/>
            </a:cxn>
            <a:cxn ang="T56">
              <a:pos x="T28" y="T29"/>
            </a:cxn>
            <a:cxn ang="T57">
              <a:pos x="T30" y="T31"/>
            </a:cxn>
            <a:cxn ang="T58">
              <a:pos x="T32" y="T33"/>
            </a:cxn>
            <a:cxn ang="T59">
              <a:pos x="T34" y="T35"/>
            </a:cxn>
            <a:cxn ang="T60">
              <a:pos x="T36" y="T37"/>
            </a:cxn>
            <a:cxn ang="T61">
              <a:pos x="T38" y="T39"/>
            </a:cxn>
            <a:cxn ang="T62">
              <a:pos x="T40" y="T41"/>
            </a:cxn>
          </a:cxnLst>
          <a:rect l="T63" t="T64" r="T65" b="T66"/>
          <a:pathLst>
            <a:path w="141" h="153">
              <a:moveTo>
                <a:pt x="49" y="130"/>
              </a:moveTo>
              <a:lnTo>
                <a:pt x="20" y="108"/>
              </a:lnTo>
              <a:lnTo>
                <a:pt x="14" y="108"/>
              </a:lnTo>
              <a:lnTo>
                <a:pt x="0" y="84"/>
              </a:lnTo>
              <a:lnTo>
                <a:pt x="0" y="54"/>
              </a:lnTo>
              <a:lnTo>
                <a:pt x="14" y="31"/>
              </a:lnTo>
              <a:lnTo>
                <a:pt x="14" y="0"/>
              </a:lnTo>
              <a:lnTo>
                <a:pt x="62" y="0"/>
              </a:lnTo>
              <a:lnTo>
                <a:pt x="106" y="24"/>
              </a:lnTo>
              <a:lnTo>
                <a:pt x="106" y="46"/>
              </a:lnTo>
              <a:lnTo>
                <a:pt x="132" y="54"/>
              </a:lnTo>
              <a:lnTo>
                <a:pt x="127" y="68"/>
              </a:lnTo>
              <a:lnTo>
                <a:pt x="132" y="91"/>
              </a:lnTo>
              <a:lnTo>
                <a:pt x="132" y="130"/>
              </a:lnTo>
              <a:lnTo>
                <a:pt x="141" y="138"/>
              </a:lnTo>
              <a:lnTo>
                <a:pt x="127" y="153"/>
              </a:lnTo>
              <a:lnTo>
                <a:pt x="77" y="153"/>
              </a:lnTo>
              <a:lnTo>
                <a:pt x="62" y="130"/>
              </a:lnTo>
              <a:lnTo>
                <a:pt x="49" y="130"/>
              </a:lnTo>
              <a:close/>
            </a:path>
          </a:pathLst>
        </a:custGeom>
        <a:solidFill>
          <a:srgbClr val="F5F5F5"/>
        </a:solidFill>
        <a:ln w="9525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36576" tIns="32004" rIns="0" bIns="0" anchor="t"/>
        <a:lstStyle/>
        <a:p>
          <a:pPr algn="l" rtl="0">
            <a:defRPr sz="1000"/>
          </a:pPr>
          <a:endParaRPr lang="en-US" sz="16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en-US"/>
        </a:p>
      </xdr:txBody>
    </xdr:sp>
    <xdr:clientData/>
  </xdr:twoCellAnchor>
  <xdr:twoCellAnchor>
    <xdr:from>
      <xdr:col>10</xdr:col>
      <xdr:colOff>0</xdr:colOff>
      <xdr:row>30</xdr:row>
      <xdr:rowOff>38100</xdr:rowOff>
    </xdr:from>
    <xdr:to>
      <xdr:col>10</xdr:col>
      <xdr:colOff>523875</xdr:colOff>
      <xdr:row>33</xdr:row>
      <xdr:rowOff>114300</xdr:rowOff>
    </xdr:to>
    <xdr:sp macro="" textlink="">
      <xdr:nvSpPr>
        <xdr:cNvPr id="25787" name="S_COD"/>
        <xdr:cNvSpPr>
          <a:spLocks/>
        </xdr:cNvSpPr>
      </xdr:nvSpPr>
      <xdr:spPr bwMode="auto">
        <a:xfrm>
          <a:off x="5829300" y="4743450"/>
          <a:ext cx="523875" cy="561975"/>
        </a:xfrm>
        <a:custGeom>
          <a:avLst/>
          <a:gdLst>
            <a:gd name="T0" fmla="*/ 874670445 w 253"/>
            <a:gd name="T1" fmla="*/ 0 h 272"/>
            <a:gd name="T2" fmla="*/ 617414751 w 253"/>
            <a:gd name="T3" fmla="*/ 0 h 272"/>
            <a:gd name="T4" fmla="*/ 595977294 w 253"/>
            <a:gd name="T5" fmla="*/ 64030014 h 272"/>
            <a:gd name="T6" fmla="*/ 463059963 w 253"/>
            <a:gd name="T7" fmla="*/ 64030014 h 272"/>
            <a:gd name="T8" fmla="*/ 428759618 w 253"/>
            <a:gd name="T9" fmla="*/ 0 h 272"/>
            <a:gd name="T10" fmla="*/ 398747593 w 253"/>
            <a:gd name="T11" fmla="*/ 0 h 272"/>
            <a:gd name="T12" fmla="*/ 343007721 w 253"/>
            <a:gd name="T13" fmla="*/ 102448855 h 272"/>
            <a:gd name="T14" fmla="*/ 278693280 w 253"/>
            <a:gd name="T15" fmla="*/ 388452777 h 272"/>
            <a:gd name="T16" fmla="*/ 218667093 w 253"/>
            <a:gd name="T17" fmla="*/ 461019832 h 272"/>
            <a:gd name="T18" fmla="*/ 184366748 w 253"/>
            <a:gd name="T19" fmla="*/ 580544966 h 272"/>
            <a:gd name="T20" fmla="*/ 90040250 w 253"/>
            <a:gd name="T21" fmla="*/ 618961725 h 272"/>
            <a:gd name="T22" fmla="*/ 34300361 w 253"/>
            <a:gd name="T23" fmla="*/ 618961725 h 272"/>
            <a:gd name="T24" fmla="*/ 0 w 253"/>
            <a:gd name="T25" fmla="*/ 674454665 h 272"/>
            <a:gd name="T26" fmla="*/ 0 w 253"/>
            <a:gd name="T27" fmla="*/ 747023787 h 272"/>
            <a:gd name="T28" fmla="*/ 64314457 w 253"/>
            <a:gd name="T29" fmla="*/ 674454665 h 272"/>
            <a:gd name="T30" fmla="*/ 248681189 w 253"/>
            <a:gd name="T31" fmla="*/ 674454665 h 272"/>
            <a:gd name="T32" fmla="*/ 248681189 w 253"/>
            <a:gd name="T33" fmla="*/ 776903488 h 272"/>
            <a:gd name="T34" fmla="*/ 308707376 w 253"/>
            <a:gd name="T35" fmla="*/ 840935552 h 272"/>
            <a:gd name="T36" fmla="*/ 398747593 w 253"/>
            <a:gd name="T37" fmla="*/ 802516727 h 272"/>
            <a:gd name="T38" fmla="*/ 398747593 w 253"/>
            <a:gd name="T39" fmla="*/ 776903488 h 272"/>
            <a:gd name="T40" fmla="*/ 463059963 w 253"/>
            <a:gd name="T41" fmla="*/ 776903488 h 272"/>
            <a:gd name="T42" fmla="*/ 531662724 w 253"/>
            <a:gd name="T43" fmla="*/ 802516727 h 272"/>
            <a:gd name="T44" fmla="*/ 531662724 w 253"/>
            <a:gd name="T45" fmla="*/ 934845251 h 272"/>
            <a:gd name="T46" fmla="*/ 595977294 w 253"/>
            <a:gd name="T47" fmla="*/ 977532605 h 272"/>
            <a:gd name="T48" fmla="*/ 531662724 w 253"/>
            <a:gd name="T49" fmla="*/ 1003145844 h 272"/>
            <a:gd name="T50" fmla="*/ 531662724 w 253"/>
            <a:gd name="T51" fmla="*/ 1024488488 h 272"/>
            <a:gd name="T52" fmla="*/ 643140528 w 253"/>
            <a:gd name="T53" fmla="*/ 1003145844 h 272"/>
            <a:gd name="T54" fmla="*/ 810356004 w 253"/>
            <a:gd name="T55" fmla="*/ 1097057868 h 272"/>
            <a:gd name="T56" fmla="*/ 831795531 w 253"/>
            <a:gd name="T57" fmla="*/ 1024488488 h 272"/>
            <a:gd name="T58" fmla="*/ 926121997 w 253"/>
            <a:gd name="T59" fmla="*/ 1126937569 h 272"/>
            <a:gd name="T60" fmla="*/ 990436438 w 253"/>
            <a:gd name="T61" fmla="*/ 1161087865 h 272"/>
            <a:gd name="T62" fmla="*/ 990436438 w 253"/>
            <a:gd name="T63" fmla="*/ 1097057868 h 272"/>
            <a:gd name="T64" fmla="*/ 926121997 w 253"/>
            <a:gd name="T65" fmla="*/ 1097057868 h 272"/>
            <a:gd name="T66" fmla="*/ 926121997 w 253"/>
            <a:gd name="T67" fmla="*/ 840935552 h 272"/>
            <a:gd name="T68" fmla="*/ 1046174240 w 253"/>
            <a:gd name="T69" fmla="*/ 840935552 h 272"/>
            <a:gd name="T70" fmla="*/ 990436438 w 253"/>
            <a:gd name="T71" fmla="*/ 747023787 h 272"/>
            <a:gd name="T72" fmla="*/ 990436438 w 253"/>
            <a:gd name="T73" fmla="*/ 486633071 h 272"/>
            <a:gd name="T74" fmla="*/ 926121997 w 253"/>
            <a:gd name="T75" fmla="*/ 486633071 h 272"/>
            <a:gd name="T76" fmla="*/ 990436438 w 253"/>
            <a:gd name="T77" fmla="*/ 422601007 h 272"/>
            <a:gd name="T78" fmla="*/ 1016162215 w 253"/>
            <a:gd name="T79" fmla="*/ 294541012 h 272"/>
            <a:gd name="T80" fmla="*/ 1046174240 w 253"/>
            <a:gd name="T81" fmla="*/ 264659180 h 272"/>
            <a:gd name="T82" fmla="*/ 1084762905 w 253"/>
            <a:gd name="T83" fmla="*/ 200629182 h 272"/>
            <a:gd name="T84" fmla="*/ 1046174240 w 253"/>
            <a:gd name="T85" fmla="*/ 200629182 h 272"/>
            <a:gd name="T86" fmla="*/ 1046174240 w 253"/>
            <a:gd name="T87" fmla="*/ 102448855 h 272"/>
            <a:gd name="T88" fmla="*/ 1016162215 w 253"/>
            <a:gd name="T89" fmla="*/ 64030014 h 272"/>
            <a:gd name="T90" fmla="*/ 896107901 w 253"/>
            <a:gd name="T91" fmla="*/ 64030014 h 272"/>
            <a:gd name="T92" fmla="*/ 874670445 w 253"/>
            <a:gd name="T93" fmla="*/ 0 h 272"/>
            <a:gd name="T94" fmla="*/ 874670445 w 253"/>
            <a:gd name="T95" fmla="*/ 0 h 272"/>
            <a:gd name="T96" fmla="*/ 874670445 w 253"/>
            <a:gd name="T97" fmla="*/ 0 h 272"/>
            <a:gd name="T98" fmla="*/ 0 60000 65536"/>
            <a:gd name="T99" fmla="*/ 0 60000 65536"/>
            <a:gd name="T100" fmla="*/ 0 60000 65536"/>
            <a:gd name="T101" fmla="*/ 0 60000 65536"/>
            <a:gd name="T102" fmla="*/ 0 60000 65536"/>
            <a:gd name="T103" fmla="*/ 0 60000 65536"/>
            <a:gd name="T104" fmla="*/ 0 60000 65536"/>
            <a:gd name="T105" fmla="*/ 0 60000 65536"/>
            <a:gd name="T106" fmla="*/ 0 60000 65536"/>
            <a:gd name="T107" fmla="*/ 0 60000 65536"/>
            <a:gd name="T108" fmla="*/ 0 60000 65536"/>
            <a:gd name="T109" fmla="*/ 0 60000 65536"/>
            <a:gd name="T110" fmla="*/ 0 60000 65536"/>
            <a:gd name="T111" fmla="*/ 0 60000 65536"/>
            <a:gd name="T112" fmla="*/ 0 60000 65536"/>
            <a:gd name="T113" fmla="*/ 0 60000 65536"/>
            <a:gd name="T114" fmla="*/ 0 60000 65536"/>
            <a:gd name="T115" fmla="*/ 0 60000 65536"/>
            <a:gd name="T116" fmla="*/ 0 60000 65536"/>
            <a:gd name="T117" fmla="*/ 0 60000 65536"/>
            <a:gd name="T118" fmla="*/ 0 60000 65536"/>
            <a:gd name="T119" fmla="*/ 0 60000 65536"/>
            <a:gd name="T120" fmla="*/ 0 60000 65536"/>
            <a:gd name="T121" fmla="*/ 0 60000 65536"/>
            <a:gd name="T122" fmla="*/ 0 60000 65536"/>
            <a:gd name="T123" fmla="*/ 0 60000 65536"/>
            <a:gd name="T124" fmla="*/ 0 60000 65536"/>
            <a:gd name="T125" fmla="*/ 0 60000 65536"/>
            <a:gd name="T126" fmla="*/ 0 60000 65536"/>
            <a:gd name="T127" fmla="*/ 0 60000 65536"/>
            <a:gd name="T128" fmla="*/ 0 60000 65536"/>
            <a:gd name="T129" fmla="*/ 0 60000 65536"/>
            <a:gd name="T130" fmla="*/ 0 60000 65536"/>
            <a:gd name="T131" fmla="*/ 0 60000 65536"/>
            <a:gd name="T132" fmla="*/ 0 60000 65536"/>
            <a:gd name="T133" fmla="*/ 0 60000 65536"/>
            <a:gd name="T134" fmla="*/ 0 60000 65536"/>
            <a:gd name="T135" fmla="*/ 0 60000 65536"/>
            <a:gd name="T136" fmla="*/ 0 60000 65536"/>
            <a:gd name="T137" fmla="*/ 0 60000 65536"/>
            <a:gd name="T138" fmla="*/ 0 60000 65536"/>
            <a:gd name="T139" fmla="*/ 0 60000 65536"/>
            <a:gd name="T140" fmla="*/ 0 60000 65536"/>
            <a:gd name="T141" fmla="*/ 0 60000 65536"/>
            <a:gd name="T142" fmla="*/ 0 60000 65536"/>
            <a:gd name="T143" fmla="*/ 0 60000 65536"/>
            <a:gd name="T144" fmla="*/ 0 60000 65536"/>
            <a:gd name="T145" fmla="*/ 0 60000 65536"/>
            <a:gd name="T146" fmla="*/ 0 60000 65536"/>
            <a:gd name="T147" fmla="*/ 0 w 253"/>
            <a:gd name="T148" fmla="*/ 0 h 272"/>
            <a:gd name="T149" fmla="*/ 253 w 253"/>
            <a:gd name="T150" fmla="*/ 272 h 272"/>
          </a:gdLst>
          <a:ahLst/>
          <a:cxnLst>
            <a:cxn ang="T98">
              <a:pos x="T0" y="T1"/>
            </a:cxn>
            <a:cxn ang="T99">
              <a:pos x="T2" y="T3"/>
            </a:cxn>
            <a:cxn ang="T100">
              <a:pos x="T4" y="T5"/>
            </a:cxn>
            <a:cxn ang="T101">
              <a:pos x="T6" y="T7"/>
            </a:cxn>
            <a:cxn ang="T102">
              <a:pos x="T8" y="T9"/>
            </a:cxn>
            <a:cxn ang="T103">
              <a:pos x="T10" y="T11"/>
            </a:cxn>
            <a:cxn ang="T104">
              <a:pos x="T12" y="T13"/>
            </a:cxn>
            <a:cxn ang="T105">
              <a:pos x="T14" y="T15"/>
            </a:cxn>
            <a:cxn ang="T106">
              <a:pos x="T16" y="T17"/>
            </a:cxn>
            <a:cxn ang="T107">
              <a:pos x="T18" y="T19"/>
            </a:cxn>
            <a:cxn ang="T108">
              <a:pos x="T20" y="T21"/>
            </a:cxn>
            <a:cxn ang="T109">
              <a:pos x="T22" y="T23"/>
            </a:cxn>
            <a:cxn ang="T110">
              <a:pos x="T24" y="T25"/>
            </a:cxn>
            <a:cxn ang="T111">
              <a:pos x="T26" y="T27"/>
            </a:cxn>
            <a:cxn ang="T112">
              <a:pos x="T28" y="T29"/>
            </a:cxn>
            <a:cxn ang="T113">
              <a:pos x="T30" y="T31"/>
            </a:cxn>
            <a:cxn ang="T114">
              <a:pos x="T32" y="T33"/>
            </a:cxn>
            <a:cxn ang="T115">
              <a:pos x="T34" y="T35"/>
            </a:cxn>
            <a:cxn ang="T116">
              <a:pos x="T36" y="T37"/>
            </a:cxn>
            <a:cxn ang="T117">
              <a:pos x="T38" y="T39"/>
            </a:cxn>
            <a:cxn ang="T118">
              <a:pos x="T40" y="T41"/>
            </a:cxn>
            <a:cxn ang="T119">
              <a:pos x="T42" y="T43"/>
            </a:cxn>
            <a:cxn ang="T120">
              <a:pos x="T44" y="T45"/>
            </a:cxn>
            <a:cxn ang="T121">
              <a:pos x="T46" y="T47"/>
            </a:cxn>
            <a:cxn ang="T122">
              <a:pos x="T48" y="T49"/>
            </a:cxn>
            <a:cxn ang="T123">
              <a:pos x="T50" y="T51"/>
            </a:cxn>
            <a:cxn ang="T124">
              <a:pos x="T52" y="T53"/>
            </a:cxn>
            <a:cxn ang="T125">
              <a:pos x="T54" y="T55"/>
            </a:cxn>
            <a:cxn ang="T126">
              <a:pos x="T56" y="T57"/>
            </a:cxn>
            <a:cxn ang="T127">
              <a:pos x="T58" y="T59"/>
            </a:cxn>
            <a:cxn ang="T128">
              <a:pos x="T60" y="T61"/>
            </a:cxn>
            <a:cxn ang="T129">
              <a:pos x="T62" y="T63"/>
            </a:cxn>
            <a:cxn ang="T130">
              <a:pos x="T64" y="T65"/>
            </a:cxn>
            <a:cxn ang="T131">
              <a:pos x="T66" y="T67"/>
            </a:cxn>
            <a:cxn ang="T132">
              <a:pos x="T68" y="T69"/>
            </a:cxn>
            <a:cxn ang="T133">
              <a:pos x="T70" y="T71"/>
            </a:cxn>
            <a:cxn ang="T134">
              <a:pos x="T72" y="T73"/>
            </a:cxn>
            <a:cxn ang="T135">
              <a:pos x="T74" y="T75"/>
            </a:cxn>
            <a:cxn ang="T136">
              <a:pos x="T76" y="T77"/>
            </a:cxn>
            <a:cxn ang="T137">
              <a:pos x="T78" y="T79"/>
            </a:cxn>
            <a:cxn ang="T138">
              <a:pos x="T80" y="T81"/>
            </a:cxn>
            <a:cxn ang="T139">
              <a:pos x="T82" y="T83"/>
            </a:cxn>
            <a:cxn ang="T140">
              <a:pos x="T84" y="T85"/>
            </a:cxn>
            <a:cxn ang="T141">
              <a:pos x="T86" y="T87"/>
            </a:cxn>
            <a:cxn ang="T142">
              <a:pos x="T88" y="T89"/>
            </a:cxn>
            <a:cxn ang="T143">
              <a:pos x="T90" y="T91"/>
            </a:cxn>
            <a:cxn ang="T144">
              <a:pos x="T92" y="T93"/>
            </a:cxn>
            <a:cxn ang="T145">
              <a:pos x="T94" y="T95"/>
            </a:cxn>
            <a:cxn ang="T146">
              <a:pos x="T96" y="T97"/>
            </a:cxn>
          </a:cxnLst>
          <a:rect l="T147" t="T148" r="T149" b="T150"/>
          <a:pathLst>
            <a:path w="253" h="272">
              <a:moveTo>
                <a:pt x="204" y="0"/>
              </a:moveTo>
              <a:lnTo>
                <a:pt x="144" y="0"/>
              </a:lnTo>
              <a:lnTo>
                <a:pt x="139" y="15"/>
              </a:lnTo>
              <a:lnTo>
                <a:pt x="108" y="15"/>
              </a:lnTo>
              <a:lnTo>
                <a:pt x="100" y="0"/>
              </a:lnTo>
              <a:lnTo>
                <a:pt x="93" y="0"/>
              </a:lnTo>
              <a:lnTo>
                <a:pt x="80" y="24"/>
              </a:lnTo>
              <a:lnTo>
                <a:pt x="65" y="91"/>
              </a:lnTo>
              <a:lnTo>
                <a:pt x="51" y="108"/>
              </a:lnTo>
              <a:lnTo>
                <a:pt x="43" y="136"/>
              </a:lnTo>
              <a:lnTo>
                <a:pt x="21" y="145"/>
              </a:lnTo>
              <a:lnTo>
                <a:pt x="8" y="145"/>
              </a:lnTo>
              <a:lnTo>
                <a:pt x="0" y="158"/>
              </a:lnTo>
              <a:lnTo>
                <a:pt x="0" y="175"/>
              </a:lnTo>
              <a:lnTo>
                <a:pt x="15" y="158"/>
              </a:lnTo>
              <a:lnTo>
                <a:pt x="58" y="158"/>
              </a:lnTo>
              <a:lnTo>
                <a:pt x="58" y="182"/>
              </a:lnTo>
              <a:lnTo>
                <a:pt x="72" y="197"/>
              </a:lnTo>
              <a:lnTo>
                <a:pt x="93" y="188"/>
              </a:lnTo>
              <a:lnTo>
                <a:pt x="93" y="182"/>
              </a:lnTo>
              <a:lnTo>
                <a:pt x="108" y="182"/>
              </a:lnTo>
              <a:lnTo>
                <a:pt x="124" y="188"/>
              </a:lnTo>
              <a:lnTo>
                <a:pt x="124" y="219"/>
              </a:lnTo>
              <a:lnTo>
                <a:pt x="139" y="229"/>
              </a:lnTo>
              <a:lnTo>
                <a:pt x="124" y="235"/>
              </a:lnTo>
              <a:lnTo>
                <a:pt x="124" y="240"/>
              </a:lnTo>
              <a:lnTo>
                <a:pt x="150" y="235"/>
              </a:lnTo>
              <a:lnTo>
                <a:pt x="189" y="257"/>
              </a:lnTo>
              <a:lnTo>
                <a:pt x="194" y="240"/>
              </a:lnTo>
              <a:lnTo>
                <a:pt x="216" y="264"/>
              </a:lnTo>
              <a:lnTo>
                <a:pt x="231" y="272"/>
              </a:lnTo>
              <a:lnTo>
                <a:pt x="231" y="257"/>
              </a:lnTo>
              <a:lnTo>
                <a:pt x="216" y="257"/>
              </a:lnTo>
              <a:lnTo>
                <a:pt x="216" y="197"/>
              </a:lnTo>
              <a:lnTo>
                <a:pt x="244" y="197"/>
              </a:lnTo>
              <a:lnTo>
                <a:pt x="231" y="175"/>
              </a:lnTo>
              <a:lnTo>
                <a:pt x="231" y="114"/>
              </a:lnTo>
              <a:lnTo>
                <a:pt x="216" y="114"/>
              </a:lnTo>
              <a:lnTo>
                <a:pt x="231" y="99"/>
              </a:lnTo>
              <a:lnTo>
                <a:pt x="237" y="69"/>
              </a:lnTo>
              <a:lnTo>
                <a:pt x="244" y="62"/>
              </a:lnTo>
              <a:lnTo>
                <a:pt x="253" y="47"/>
              </a:lnTo>
              <a:lnTo>
                <a:pt x="244" y="47"/>
              </a:lnTo>
              <a:lnTo>
                <a:pt x="244" y="24"/>
              </a:lnTo>
              <a:lnTo>
                <a:pt x="237" y="15"/>
              </a:lnTo>
              <a:lnTo>
                <a:pt x="209" y="15"/>
              </a:lnTo>
              <a:lnTo>
                <a:pt x="204" y="0"/>
              </a:lnTo>
              <a:close/>
            </a:path>
          </a:pathLst>
        </a:custGeom>
        <a:solidFill>
          <a:srgbClr val="F5F5F5"/>
        </a:solidFill>
        <a:ln w="9525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36576" tIns="32004" rIns="0" bIns="0" anchor="t"/>
        <a:lstStyle/>
        <a:p>
          <a:pPr algn="l" rtl="0">
            <a:defRPr sz="1000"/>
          </a:pPr>
          <a:endParaRPr lang="en-US" sz="16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en-US"/>
        </a:p>
      </xdr:txBody>
    </xdr:sp>
    <xdr:clientData/>
  </xdr:twoCellAnchor>
  <xdr:twoCellAnchor>
    <xdr:from>
      <xdr:col>10</xdr:col>
      <xdr:colOff>257175</xdr:colOff>
      <xdr:row>32</xdr:row>
      <xdr:rowOff>123825</xdr:rowOff>
    </xdr:from>
    <xdr:to>
      <xdr:col>10</xdr:col>
      <xdr:colOff>600075</xdr:colOff>
      <xdr:row>34</xdr:row>
      <xdr:rowOff>95250</xdr:rowOff>
    </xdr:to>
    <xdr:sp macro="" textlink="">
      <xdr:nvSpPr>
        <xdr:cNvPr id="25788" name="S_ZWB"/>
        <xdr:cNvSpPr>
          <a:spLocks/>
        </xdr:cNvSpPr>
      </xdr:nvSpPr>
      <xdr:spPr bwMode="auto">
        <a:xfrm>
          <a:off x="6086475" y="5153025"/>
          <a:ext cx="342900" cy="295275"/>
        </a:xfrm>
        <a:custGeom>
          <a:avLst/>
          <a:gdLst>
            <a:gd name="T0" fmla="*/ 122406924 w 164"/>
            <a:gd name="T1" fmla="*/ 157755312 h 143"/>
            <a:gd name="T2" fmla="*/ 275415635 w 164"/>
            <a:gd name="T3" fmla="*/ 251555673 h 143"/>
            <a:gd name="T4" fmla="*/ 306017358 w 164"/>
            <a:gd name="T5" fmla="*/ 187600788 h 143"/>
            <a:gd name="T6" fmla="*/ 402194500 w 164"/>
            <a:gd name="T7" fmla="*/ 281401214 h 143"/>
            <a:gd name="T8" fmla="*/ 467767828 w 164"/>
            <a:gd name="T9" fmla="*/ 324036428 h 143"/>
            <a:gd name="T10" fmla="*/ 467767828 w 164"/>
            <a:gd name="T11" fmla="*/ 251555673 h 143"/>
            <a:gd name="T12" fmla="*/ 402194500 w 164"/>
            <a:gd name="T13" fmla="*/ 251555673 h 143"/>
            <a:gd name="T14" fmla="*/ 402194500 w 164"/>
            <a:gd name="T15" fmla="*/ 0 h 143"/>
            <a:gd name="T16" fmla="*/ 563945100 w 164"/>
            <a:gd name="T17" fmla="*/ 0 h 143"/>
            <a:gd name="T18" fmla="*/ 686351991 w 164"/>
            <a:gd name="T19" fmla="*/ 93800394 h 143"/>
            <a:gd name="T20" fmla="*/ 716953714 w 164"/>
            <a:gd name="T21" fmla="*/ 157755312 h 143"/>
            <a:gd name="T22" fmla="*/ 686351991 w 164"/>
            <a:gd name="T23" fmla="*/ 187600788 h 143"/>
            <a:gd name="T24" fmla="*/ 686351991 w 164"/>
            <a:gd name="T25" fmla="*/ 251555673 h 143"/>
            <a:gd name="T26" fmla="*/ 655750269 w 164"/>
            <a:gd name="T27" fmla="*/ 324036428 h 143"/>
            <a:gd name="T28" fmla="*/ 686351991 w 164"/>
            <a:gd name="T29" fmla="*/ 353881903 h 143"/>
            <a:gd name="T30" fmla="*/ 493997577 w 164"/>
            <a:gd name="T31" fmla="*/ 447682265 h 143"/>
            <a:gd name="T32" fmla="*/ 493997577 w 164"/>
            <a:gd name="T33" fmla="*/ 481791675 h 143"/>
            <a:gd name="T34" fmla="*/ 402194500 w 164"/>
            <a:gd name="T35" fmla="*/ 481791675 h 143"/>
            <a:gd name="T36" fmla="*/ 402194500 w 164"/>
            <a:gd name="T37" fmla="*/ 515901085 h 143"/>
            <a:gd name="T38" fmla="*/ 306017358 w 164"/>
            <a:gd name="T39" fmla="*/ 609701576 h 143"/>
            <a:gd name="T40" fmla="*/ 187982375 w 164"/>
            <a:gd name="T41" fmla="*/ 609701576 h 143"/>
            <a:gd name="T42" fmla="*/ 122406924 w 164"/>
            <a:gd name="T43" fmla="*/ 537218692 h 143"/>
            <a:gd name="T44" fmla="*/ 91805201 w 164"/>
            <a:gd name="T45" fmla="*/ 609701576 h 143"/>
            <a:gd name="T46" fmla="*/ 0 w 164"/>
            <a:gd name="T47" fmla="*/ 515901085 h 143"/>
            <a:gd name="T48" fmla="*/ 0 w 164"/>
            <a:gd name="T49" fmla="*/ 324036428 h 143"/>
            <a:gd name="T50" fmla="*/ 153008679 w 164"/>
            <a:gd name="T51" fmla="*/ 281401214 h 143"/>
            <a:gd name="T52" fmla="*/ 122406924 w 164"/>
            <a:gd name="T53" fmla="*/ 157755312 h 143"/>
            <a:gd name="T54" fmla="*/ 122406924 w 164"/>
            <a:gd name="T55" fmla="*/ 157755312 h 143"/>
            <a:gd name="T56" fmla="*/ 122406924 w 164"/>
            <a:gd name="T57" fmla="*/ 157755312 h 143"/>
            <a:gd name="T58" fmla="*/ 0 60000 65536"/>
            <a:gd name="T59" fmla="*/ 0 60000 65536"/>
            <a:gd name="T60" fmla="*/ 0 60000 65536"/>
            <a:gd name="T61" fmla="*/ 0 60000 65536"/>
            <a:gd name="T62" fmla="*/ 0 60000 65536"/>
            <a:gd name="T63" fmla="*/ 0 60000 65536"/>
            <a:gd name="T64" fmla="*/ 0 60000 65536"/>
            <a:gd name="T65" fmla="*/ 0 60000 65536"/>
            <a:gd name="T66" fmla="*/ 0 60000 65536"/>
            <a:gd name="T67" fmla="*/ 0 60000 65536"/>
            <a:gd name="T68" fmla="*/ 0 60000 65536"/>
            <a:gd name="T69" fmla="*/ 0 60000 65536"/>
            <a:gd name="T70" fmla="*/ 0 60000 65536"/>
            <a:gd name="T71" fmla="*/ 0 60000 65536"/>
            <a:gd name="T72" fmla="*/ 0 60000 65536"/>
            <a:gd name="T73" fmla="*/ 0 60000 65536"/>
            <a:gd name="T74" fmla="*/ 0 60000 65536"/>
            <a:gd name="T75" fmla="*/ 0 60000 65536"/>
            <a:gd name="T76" fmla="*/ 0 60000 65536"/>
            <a:gd name="T77" fmla="*/ 0 60000 65536"/>
            <a:gd name="T78" fmla="*/ 0 60000 65536"/>
            <a:gd name="T79" fmla="*/ 0 60000 65536"/>
            <a:gd name="T80" fmla="*/ 0 60000 65536"/>
            <a:gd name="T81" fmla="*/ 0 60000 65536"/>
            <a:gd name="T82" fmla="*/ 0 60000 65536"/>
            <a:gd name="T83" fmla="*/ 0 60000 65536"/>
            <a:gd name="T84" fmla="*/ 0 60000 65536"/>
            <a:gd name="T85" fmla="*/ 0 60000 65536"/>
            <a:gd name="T86" fmla="*/ 0 60000 65536"/>
            <a:gd name="T87" fmla="*/ 0 w 164"/>
            <a:gd name="T88" fmla="*/ 0 h 143"/>
            <a:gd name="T89" fmla="*/ 164 w 164"/>
            <a:gd name="T90" fmla="*/ 143 h 143"/>
          </a:gdLst>
          <a:ahLst/>
          <a:cxnLst>
            <a:cxn ang="T58">
              <a:pos x="T0" y="T1"/>
            </a:cxn>
            <a:cxn ang="T59">
              <a:pos x="T2" y="T3"/>
            </a:cxn>
            <a:cxn ang="T60">
              <a:pos x="T4" y="T5"/>
            </a:cxn>
            <a:cxn ang="T61">
              <a:pos x="T6" y="T7"/>
            </a:cxn>
            <a:cxn ang="T62">
              <a:pos x="T8" y="T9"/>
            </a:cxn>
            <a:cxn ang="T63">
              <a:pos x="T10" y="T11"/>
            </a:cxn>
            <a:cxn ang="T64">
              <a:pos x="T12" y="T13"/>
            </a:cxn>
            <a:cxn ang="T65">
              <a:pos x="T14" y="T15"/>
            </a:cxn>
            <a:cxn ang="T66">
              <a:pos x="T16" y="T17"/>
            </a:cxn>
            <a:cxn ang="T67">
              <a:pos x="T18" y="T19"/>
            </a:cxn>
            <a:cxn ang="T68">
              <a:pos x="T20" y="T21"/>
            </a:cxn>
            <a:cxn ang="T69">
              <a:pos x="T22" y="T23"/>
            </a:cxn>
            <a:cxn ang="T70">
              <a:pos x="T24" y="T25"/>
            </a:cxn>
            <a:cxn ang="T71">
              <a:pos x="T26" y="T27"/>
            </a:cxn>
            <a:cxn ang="T72">
              <a:pos x="T28" y="T29"/>
            </a:cxn>
            <a:cxn ang="T73">
              <a:pos x="T30" y="T31"/>
            </a:cxn>
            <a:cxn ang="T74">
              <a:pos x="T32" y="T33"/>
            </a:cxn>
            <a:cxn ang="T75">
              <a:pos x="T34" y="T35"/>
            </a:cxn>
            <a:cxn ang="T76">
              <a:pos x="T36" y="T37"/>
            </a:cxn>
            <a:cxn ang="T77">
              <a:pos x="T38" y="T39"/>
            </a:cxn>
            <a:cxn ang="T78">
              <a:pos x="T40" y="T41"/>
            </a:cxn>
            <a:cxn ang="T79">
              <a:pos x="T42" y="T43"/>
            </a:cxn>
            <a:cxn ang="T80">
              <a:pos x="T44" y="T45"/>
            </a:cxn>
            <a:cxn ang="T81">
              <a:pos x="T46" y="T47"/>
            </a:cxn>
            <a:cxn ang="T82">
              <a:pos x="T48" y="T49"/>
            </a:cxn>
            <a:cxn ang="T83">
              <a:pos x="T50" y="T51"/>
            </a:cxn>
            <a:cxn ang="T84">
              <a:pos x="T52" y="T53"/>
            </a:cxn>
            <a:cxn ang="T85">
              <a:pos x="T54" y="T55"/>
            </a:cxn>
            <a:cxn ang="T86">
              <a:pos x="T56" y="T57"/>
            </a:cxn>
          </a:cxnLst>
          <a:rect l="T87" t="T88" r="T89" b="T90"/>
          <a:pathLst>
            <a:path w="164" h="143">
              <a:moveTo>
                <a:pt x="28" y="37"/>
              </a:moveTo>
              <a:lnTo>
                <a:pt x="63" y="59"/>
              </a:lnTo>
              <a:lnTo>
                <a:pt x="70" y="44"/>
              </a:lnTo>
              <a:lnTo>
                <a:pt x="92" y="66"/>
              </a:lnTo>
              <a:lnTo>
                <a:pt x="107" y="76"/>
              </a:lnTo>
              <a:lnTo>
                <a:pt x="107" y="59"/>
              </a:lnTo>
              <a:lnTo>
                <a:pt x="92" y="59"/>
              </a:lnTo>
              <a:lnTo>
                <a:pt x="92" y="0"/>
              </a:lnTo>
              <a:lnTo>
                <a:pt x="129" y="0"/>
              </a:lnTo>
              <a:lnTo>
                <a:pt x="157" y="22"/>
              </a:lnTo>
              <a:lnTo>
                <a:pt x="164" y="37"/>
              </a:lnTo>
              <a:lnTo>
                <a:pt x="157" y="44"/>
              </a:lnTo>
              <a:lnTo>
                <a:pt x="157" y="59"/>
              </a:lnTo>
              <a:lnTo>
                <a:pt x="150" y="76"/>
              </a:lnTo>
              <a:lnTo>
                <a:pt x="157" y="83"/>
              </a:lnTo>
              <a:lnTo>
                <a:pt x="113" y="105"/>
              </a:lnTo>
              <a:lnTo>
                <a:pt x="113" y="113"/>
              </a:lnTo>
              <a:lnTo>
                <a:pt x="92" y="113"/>
              </a:lnTo>
              <a:lnTo>
                <a:pt x="92" y="121"/>
              </a:lnTo>
              <a:lnTo>
                <a:pt x="70" y="143"/>
              </a:lnTo>
              <a:lnTo>
                <a:pt x="43" y="143"/>
              </a:lnTo>
              <a:lnTo>
                <a:pt x="28" y="126"/>
              </a:lnTo>
              <a:lnTo>
                <a:pt x="21" y="143"/>
              </a:lnTo>
              <a:lnTo>
                <a:pt x="0" y="121"/>
              </a:lnTo>
              <a:lnTo>
                <a:pt x="0" y="76"/>
              </a:lnTo>
              <a:lnTo>
                <a:pt x="35" y="66"/>
              </a:lnTo>
              <a:lnTo>
                <a:pt x="28" y="37"/>
              </a:lnTo>
              <a:close/>
            </a:path>
          </a:pathLst>
        </a:custGeom>
        <a:solidFill>
          <a:srgbClr val="F5F5F5"/>
        </a:solidFill>
        <a:ln w="9525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36576" tIns="32004" rIns="0" bIns="0" anchor="t"/>
        <a:lstStyle/>
        <a:p>
          <a:pPr algn="l" rtl="0">
            <a:defRPr sz="1000"/>
          </a:pPr>
          <a:endParaRPr lang="en-US" sz="16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en-US"/>
        </a:p>
      </xdr:txBody>
    </xdr:sp>
    <xdr:clientData/>
  </xdr:twoCellAnchor>
  <xdr:twoCellAnchor>
    <xdr:from>
      <xdr:col>8</xdr:col>
      <xdr:colOff>704850</xdr:colOff>
      <xdr:row>24</xdr:row>
      <xdr:rowOff>19050</xdr:rowOff>
    </xdr:from>
    <xdr:to>
      <xdr:col>9</xdr:col>
      <xdr:colOff>333375</xdr:colOff>
      <xdr:row>25</xdr:row>
      <xdr:rowOff>142875</xdr:rowOff>
    </xdr:to>
    <xdr:sp macro="" textlink="">
      <xdr:nvSpPr>
        <xdr:cNvPr id="25789" name="S_MAR"/>
        <xdr:cNvSpPr>
          <a:spLocks/>
        </xdr:cNvSpPr>
      </xdr:nvSpPr>
      <xdr:spPr bwMode="auto">
        <a:xfrm>
          <a:off x="5105400" y="3752850"/>
          <a:ext cx="342900" cy="285750"/>
        </a:xfrm>
        <a:custGeom>
          <a:avLst/>
          <a:gdLst>
            <a:gd name="T0" fmla="*/ 644311187 w 166"/>
            <a:gd name="T1" fmla="*/ 26488601 h 136"/>
            <a:gd name="T2" fmla="*/ 674180658 w 166"/>
            <a:gd name="T3" fmla="*/ 26488601 h 136"/>
            <a:gd name="T4" fmla="*/ 708315721 w 166"/>
            <a:gd name="T5" fmla="*/ 229560167 h 136"/>
            <a:gd name="T6" fmla="*/ 550439248 w 166"/>
            <a:gd name="T7" fmla="*/ 264877590 h 136"/>
            <a:gd name="T8" fmla="*/ 550439248 w 166"/>
            <a:gd name="T9" fmla="*/ 326683672 h 136"/>
            <a:gd name="T10" fmla="*/ 460832772 w 166"/>
            <a:gd name="T11" fmla="*/ 392902003 h 136"/>
            <a:gd name="T12" fmla="*/ 302954233 w 166"/>
            <a:gd name="T13" fmla="*/ 467951265 h 136"/>
            <a:gd name="T14" fmla="*/ 273084762 w 166"/>
            <a:gd name="T15" fmla="*/ 490023342 h 136"/>
            <a:gd name="T16" fmla="*/ 273084762 w 166"/>
            <a:gd name="T17" fmla="*/ 600390159 h 136"/>
            <a:gd name="T18" fmla="*/ 0 w 166"/>
            <a:gd name="T19" fmla="*/ 556243905 h 136"/>
            <a:gd name="T20" fmla="*/ 89606379 w 166"/>
            <a:gd name="T21" fmla="*/ 556243905 h 136"/>
            <a:gd name="T22" fmla="*/ 153610945 w 166"/>
            <a:gd name="T23" fmla="*/ 467951265 h 136"/>
            <a:gd name="T24" fmla="*/ 179212759 w 166"/>
            <a:gd name="T25" fmla="*/ 392902003 h 136"/>
            <a:gd name="T26" fmla="*/ 179212759 w 166"/>
            <a:gd name="T27" fmla="*/ 326683672 h 136"/>
            <a:gd name="T28" fmla="*/ 273084762 w 166"/>
            <a:gd name="T29" fmla="*/ 163341836 h 136"/>
            <a:gd name="T30" fmla="*/ 358425518 w 166"/>
            <a:gd name="T31" fmla="*/ 97121372 h 136"/>
            <a:gd name="T32" fmla="*/ 430963301 w 166"/>
            <a:gd name="T33" fmla="*/ 0 h 136"/>
            <a:gd name="T34" fmla="*/ 460832772 w 166"/>
            <a:gd name="T35" fmla="*/ 0 h 136"/>
            <a:gd name="T36" fmla="*/ 486434585 w 166"/>
            <a:gd name="T37" fmla="*/ 26488601 h 136"/>
            <a:gd name="T38" fmla="*/ 644311187 w 166"/>
            <a:gd name="T39" fmla="*/ 26488601 h 136"/>
            <a:gd name="T40" fmla="*/ 644311187 w 166"/>
            <a:gd name="T41" fmla="*/ 26488601 h 1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60000 65536"/>
            <a:gd name="T52" fmla="*/ 0 60000 65536"/>
            <a:gd name="T53" fmla="*/ 0 60000 65536"/>
            <a:gd name="T54" fmla="*/ 0 60000 65536"/>
            <a:gd name="T55" fmla="*/ 0 60000 65536"/>
            <a:gd name="T56" fmla="*/ 0 60000 65536"/>
            <a:gd name="T57" fmla="*/ 0 60000 65536"/>
            <a:gd name="T58" fmla="*/ 0 60000 65536"/>
            <a:gd name="T59" fmla="*/ 0 60000 65536"/>
            <a:gd name="T60" fmla="*/ 0 60000 65536"/>
            <a:gd name="T61" fmla="*/ 0 60000 65536"/>
            <a:gd name="T62" fmla="*/ 0 60000 65536"/>
            <a:gd name="T63" fmla="*/ 0 w 166"/>
            <a:gd name="T64" fmla="*/ 0 h 136"/>
            <a:gd name="T65" fmla="*/ 166 w 166"/>
            <a:gd name="T66" fmla="*/ 136 h 136"/>
          </a:gdLst>
          <a:ahLst/>
          <a:cxnLst>
            <a:cxn ang="T42">
              <a:pos x="T0" y="T1"/>
            </a:cxn>
            <a:cxn ang="T43">
              <a:pos x="T2" y="T3"/>
            </a:cxn>
            <a:cxn ang="T44">
              <a:pos x="T4" y="T5"/>
            </a:cxn>
            <a:cxn ang="T45">
              <a:pos x="T6" y="T7"/>
            </a:cxn>
            <a:cxn ang="T46">
              <a:pos x="T8" y="T9"/>
            </a:cxn>
            <a:cxn ang="T47">
              <a:pos x="T10" y="T11"/>
            </a:cxn>
            <a:cxn ang="T48">
              <a:pos x="T12" y="T13"/>
            </a:cxn>
            <a:cxn ang="T49">
              <a:pos x="T14" y="T15"/>
            </a:cxn>
            <a:cxn ang="T50">
              <a:pos x="T16" y="T17"/>
            </a:cxn>
            <a:cxn ang="T51">
              <a:pos x="T18" y="T19"/>
            </a:cxn>
            <a:cxn ang="T52">
              <a:pos x="T20" y="T21"/>
            </a:cxn>
            <a:cxn ang="T53">
              <a:pos x="T22" y="T23"/>
            </a:cxn>
            <a:cxn ang="T54">
              <a:pos x="T24" y="T25"/>
            </a:cxn>
            <a:cxn ang="T55">
              <a:pos x="T26" y="T27"/>
            </a:cxn>
            <a:cxn ang="T56">
              <a:pos x="T28" y="T29"/>
            </a:cxn>
            <a:cxn ang="T57">
              <a:pos x="T30" y="T31"/>
            </a:cxn>
            <a:cxn ang="T58">
              <a:pos x="T32" y="T33"/>
            </a:cxn>
            <a:cxn ang="T59">
              <a:pos x="T34" y="T35"/>
            </a:cxn>
            <a:cxn ang="T60">
              <a:pos x="T36" y="T37"/>
            </a:cxn>
            <a:cxn ang="T61">
              <a:pos x="T38" y="T39"/>
            </a:cxn>
            <a:cxn ang="T62">
              <a:pos x="T40" y="T41"/>
            </a:cxn>
          </a:cxnLst>
          <a:rect l="T63" t="T64" r="T65" b="T66"/>
          <a:pathLst>
            <a:path w="166" h="136">
              <a:moveTo>
                <a:pt x="151" y="6"/>
              </a:moveTo>
              <a:lnTo>
                <a:pt x="158" y="6"/>
              </a:lnTo>
              <a:lnTo>
                <a:pt x="166" y="52"/>
              </a:lnTo>
              <a:lnTo>
                <a:pt x="129" y="60"/>
              </a:lnTo>
              <a:lnTo>
                <a:pt x="129" y="74"/>
              </a:lnTo>
              <a:lnTo>
                <a:pt x="108" y="89"/>
              </a:lnTo>
              <a:lnTo>
                <a:pt x="71" y="106"/>
              </a:lnTo>
              <a:lnTo>
                <a:pt x="64" y="111"/>
              </a:lnTo>
              <a:lnTo>
                <a:pt x="64" y="136"/>
              </a:lnTo>
              <a:lnTo>
                <a:pt x="0" y="126"/>
              </a:lnTo>
              <a:lnTo>
                <a:pt x="21" y="126"/>
              </a:lnTo>
              <a:lnTo>
                <a:pt x="36" y="106"/>
              </a:lnTo>
              <a:lnTo>
                <a:pt x="42" y="89"/>
              </a:lnTo>
              <a:lnTo>
                <a:pt x="42" y="74"/>
              </a:lnTo>
              <a:lnTo>
                <a:pt x="64" y="37"/>
              </a:lnTo>
              <a:lnTo>
                <a:pt x="84" y="22"/>
              </a:lnTo>
              <a:lnTo>
                <a:pt x="101" y="0"/>
              </a:lnTo>
              <a:lnTo>
                <a:pt x="108" y="0"/>
              </a:lnTo>
              <a:lnTo>
                <a:pt x="114" y="6"/>
              </a:lnTo>
              <a:lnTo>
                <a:pt x="151" y="6"/>
              </a:lnTo>
              <a:close/>
            </a:path>
          </a:pathLst>
        </a:custGeom>
        <a:solidFill>
          <a:srgbClr val="F5F5F5"/>
        </a:solidFill>
        <a:ln w="9525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36576" tIns="32004" rIns="0" bIns="0" anchor="t"/>
        <a:lstStyle/>
        <a:p>
          <a:pPr algn="l" rtl="0">
            <a:defRPr sz="1000"/>
          </a:pPr>
          <a:endParaRPr lang="en-US" sz="16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en-US"/>
        </a:p>
      </xdr:txBody>
    </xdr:sp>
    <xdr:clientData/>
  </xdr:twoCellAnchor>
  <xdr:twoCellAnchor>
    <xdr:from>
      <xdr:col>10</xdr:col>
      <xdr:colOff>581025</xdr:colOff>
      <xdr:row>27</xdr:row>
      <xdr:rowOff>123825</xdr:rowOff>
    </xdr:from>
    <xdr:to>
      <xdr:col>11</xdr:col>
      <xdr:colOff>276225</xdr:colOff>
      <xdr:row>30</xdr:row>
      <xdr:rowOff>85725</xdr:rowOff>
    </xdr:to>
    <xdr:sp macro="" textlink="">
      <xdr:nvSpPr>
        <xdr:cNvPr id="25790" name="S_ETH"/>
        <xdr:cNvSpPr>
          <a:spLocks/>
        </xdr:cNvSpPr>
      </xdr:nvSpPr>
      <xdr:spPr bwMode="auto">
        <a:xfrm>
          <a:off x="6410325" y="4343400"/>
          <a:ext cx="409575" cy="447675"/>
        </a:xfrm>
        <a:custGeom>
          <a:avLst/>
          <a:gdLst>
            <a:gd name="T0" fmla="*/ 2147483647 w 199"/>
            <a:gd name="T1" fmla="*/ 2147483647 h 215"/>
            <a:gd name="T2" fmla="*/ 2147483647 w 199"/>
            <a:gd name="T3" fmla="*/ 2147483647 h 215"/>
            <a:gd name="T4" fmla="*/ 2147483647 w 199"/>
            <a:gd name="T5" fmla="*/ 2147483647 h 215"/>
            <a:gd name="T6" fmla="*/ 2147483647 w 199"/>
            <a:gd name="T7" fmla="*/ 2147483647 h 215"/>
            <a:gd name="T8" fmla="*/ 2147483647 w 199"/>
            <a:gd name="T9" fmla="*/ 2147483647 h 215"/>
            <a:gd name="T10" fmla="*/ 2147483647 w 199"/>
            <a:gd name="T11" fmla="*/ 2147483647 h 215"/>
            <a:gd name="T12" fmla="*/ 2147483647 w 199"/>
            <a:gd name="T13" fmla="*/ 2147483647 h 215"/>
            <a:gd name="T14" fmla="*/ 2147483647 w 199"/>
            <a:gd name="T15" fmla="*/ 2147483647 h 215"/>
            <a:gd name="T16" fmla="*/ 2147483647 w 199"/>
            <a:gd name="T17" fmla="*/ 2147483647 h 215"/>
            <a:gd name="T18" fmla="*/ 2147483647 w 199"/>
            <a:gd name="T19" fmla="*/ 2147483647 h 215"/>
            <a:gd name="T20" fmla="*/ 2147483647 w 199"/>
            <a:gd name="T21" fmla="*/ 2147483647 h 215"/>
            <a:gd name="T22" fmla="*/ 2147483647 w 199"/>
            <a:gd name="T23" fmla="*/ 2147483647 h 215"/>
            <a:gd name="T24" fmla="*/ 2147483647 w 199"/>
            <a:gd name="T25" fmla="*/ 2147483647 h 215"/>
            <a:gd name="T26" fmla="*/ 2147483647 w 199"/>
            <a:gd name="T27" fmla="*/ 2147483647 h 215"/>
            <a:gd name="T28" fmla="*/ 2147483647 w 199"/>
            <a:gd name="T29" fmla="*/ 2147483647 h 215"/>
            <a:gd name="T30" fmla="*/ 2147483647 w 199"/>
            <a:gd name="T31" fmla="*/ 2147483647 h 215"/>
            <a:gd name="T32" fmla="*/ 0 w 199"/>
            <a:gd name="T33" fmla="*/ 2147483647 h 215"/>
            <a:gd name="T34" fmla="*/ 2147483647 w 199"/>
            <a:gd name="T35" fmla="*/ 2147483647 h 215"/>
            <a:gd name="T36" fmla="*/ 2147483647 w 199"/>
            <a:gd name="T37" fmla="*/ 2147483647 h 215"/>
            <a:gd name="T38" fmla="*/ 2147483647 w 199"/>
            <a:gd name="T39" fmla="*/ 2147483647 h 215"/>
            <a:gd name="T40" fmla="*/ 2147483647 w 199"/>
            <a:gd name="T41" fmla="*/ 2147483647 h 215"/>
            <a:gd name="T42" fmla="*/ 2147483647 w 199"/>
            <a:gd name="T43" fmla="*/ 2147483647 h 215"/>
            <a:gd name="T44" fmla="*/ 2147483647 w 199"/>
            <a:gd name="T45" fmla="*/ 0 h 215"/>
            <a:gd name="T46" fmla="*/ 2147483647 w 199"/>
            <a:gd name="T47" fmla="*/ 2147483647 h 215"/>
            <a:gd name="T48" fmla="*/ 2147483647 w 199"/>
            <a:gd name="T49" fmla="*/ 2147483647 h 215"/>
            <a:gd name="T50" fmla="*/ 2147483647 w 199"/>
            <a:gd name="T51" fmla="*/ 2147483647 h 215"/>
            <a:gd name="T52" fmla="*/ 2147483647 w 199"/>
            <a:gd name="T53" fmla="*/ 2147483647 h 215"/>
            <a:gd name="T54" fmla="*/ 0 60000 65536"/>
            <a:gd name="T55" fmla="*/ 0 60000 65536"/>
            <a:gd name="T56" fmla="*/ 0 60000 65536"/>
            <a:gd name="T57" fmla="*/ 0 60000 65536"/>
            <a:gd name="T58" fmla="*/ 0 60000 65536"/>
            <a:gd name="T59" fmla="*/ 0 60000 65536"/>
            <a:gd name="T60" fmla="*/ 0 60000 65536"/>
            <a:gd name="T61" fmla="*/ 0 60000 65536"/>
            <a:gd name="T62" fmla="*/ 0 60000 65536"/>
            <a:gd name="T63" fmla="*/ 0 60000 65536"/>
            <a:gd name="T64" fmla="*/ 0 60000 65536"/>
            <a:gd name="T65" fmla="*/ 0 60000 65536"/>
            <a:gd name="T66" fmla="*/ 0 60000 65536"/>
            <a:gd name="T67" fmla="*/ 0 60000 65536"/>
            <a:gd name="T68" fmla="*/ 0 60000 65536"/>
            <a:gd name="T69" fmla="*/ 0 60000 65536"/>
            <a:gd name="T70" fmla="*/ 0 60000 65536"/>
            <a:gd name="T71" fmla="*/ 0 60000 65536"/>
            <a:gd name="T72" fmla="*/ 0 60000 65536"/>
            <a:gd name="T73" fmla="*/ 0 60000 65536"/>
            <a:gd name="T74" fmla="*/ 0 60000 65536"/>
            <a:gd name="T75" fmla="*/ 0 60000 65536"/>
            <a:gd name="T76" fmla="*/ 0 60000 65536"/>
            <a:gd name="T77" fmla="*/ 0 60000 65536"/>
            <a:gd name="T78" fmla="*/ 0 60000 65536"/>
            <a:gd name="T79" fmla="*/ 0 60000 65536"/>
            <a:gd name="T80" fmla="*/ 0 60000 65536"/>
            <a:gd name="T81" fmla="*/ 0 w 199"/>
            <a:gd name="T82" fmla="*/ 0 h 215"/>
            <a:gd name="T83" fmla="*/ 199 w 199"/>
            <a:gd name="T84" fmla="*/ 215 h 215"/>
          </a:gdLst>
          <a:ahLst/>
          <a:cxnLst>
            <a:cxn ang="T54">
              <a:pos x="T0" y="T1"/>
            </a:cxn>
            <a:cxn ang="T55">
              <a:pos x="T2" y="T3"/>
            </a:cxn>
            <a:cxn ang="T56">
              <a:pos x="T4" y="T5"/>
            </a:cxn>
            <a:cxn ang="T57">
              <a:pos x="T6" y="T7"/>
            </a:cxn>
            <a:cxn ang="T58">
              <a:pos x="T8" y="T9"/>
            </a:cxn>
            <a:cxn ang="T59">
              <a:pos x="T10" y="T11"/>
            </a:cxn>
            <a:cxn ang="T60">
              <a:pos x="T12" y="T13"/>
            </a:cxn>
            <a:cxn ang="T61">
              <a:pos x="T14" y="T15"/>
            </a:cxn>
            <a:cxn ang="T62">
              <a:pos x="T16" y="T17"/>
            </a:cxn>
            <a:cxn ang="T63">
              <a:pos x="T18" y="T19"/>
            </a:cxn>
            <a:cxn ang="T64">
              <a:pos x="T20" y="T21"/>
            </a:cxn>
            <a:cxn ang="T65">
              <a:pos x="T22" y="T23"/>
            </a:cxn>
            <a:cxn ang="T66">
              <a:pos x="T24" y="T25"/>
            </a:cxn>
            <a:cxn ang="T67">
              <a:pos x="T26" y="T27"/>
            </a:cxn>
            <a:cxn ang="T68">
              <a:pos x="T28" y="T29"/>
            </a:cxn>
            <a:cxn ang="T69">
              <a:pos x="T30" y="T31"/>
            </a:cxn>
            <a:cxn ang="T70">
              <a:pos x="T32" y="T33"/>
            </a:cxn>
            <a:cxn ang="T71">
              <a:pos x="T34" y="T35"/>
            </a:cxn>
            <a:cxn ang="T72">
              <a:pos x="T36" y="T37"/>
            </a:cxn>
            <a:cxn ang="T73">
              <a:pos x="T38" y="T39"/>
            </a:cxn>
            <a:cxn ang="T74">
              <a:pos x="T40" y="T41"/>
            </a:cxn>
            <a:cxn ang="T75">
              <a:pos x="T42" y="T43"/>
            </a:cxn>
            <a:cxn ang="T76">
              <a:pos x="T44" y="T45"/>
            </a:cxn>
            <a:cxn ang="T77">
              <a:pos x="T46" y="T47"/>
            </a:cxn>
            <a:cxn ang="T78">
              <a:pos x="T48" y="T49"/>
            </a:cxn>
            <a:cxn ang="T79">
              <a:pos x="T50" y="T51"/>
            </a:cxn>
            <a:cxn ang="T80">
              <a:pos x="T52" y="T53"/>
            </a:cxn>
          </a:cxnLst>
          <a:rect l="T81" t="T82" r="T83" b="T84"/>
          <a:pathLst>
            <a:path w="199" h="215">
              <a:moveTo>
                <a:pt x="127" y="86"/>
              </a:moveTo>
              <a:lnTo>
                <a:pt x="120" y="86"/>
              </a:lnTo>
              <a:lnTo>
                <a:pt x="120" y="114"/>
              </a:lnTo>
              <a:lnTo>
                <a:pt x="127" y="114"/>
              </a:lnTo>
              <a:lnTo>
                <a:pt x="127" y="123"/>
              </a:lnTo>
              <a:lnTo>
                <a:pt x="142" y="140"/>
              </a:lnTo>
              <a:lnTo>
                <a:pt x="199" y="146"/>
              </a:lnTo>
              <a:lnTo>
                <a:pt x="162" y="192"/>
              </a:lnTo>
              <a:lnTo>
                <a:pt x="137" y="192"/>
              </a:lnTo>
              <a:lnTo>
                <a:pt x="120" y="215"/>
              </a:lnTo>
              <a:lnTo>
                <a:pt x="99" y="208"/>
              </a:lnTo>
              <a:lnTo>
                <a:pt x="80" y="215"/>
              </a:lnTo>
              <a:lnTo>
                <a:pt x="35" y="208"/>
              </a:lnTo>
              <a:lnTo>
                <a:pt x="35" y="187"/>
              </a:lnTo>
              <a:lnTo>
                <a:pt x="28" y="187"/>
              </a:lnTo>
              <a:lnTo>
                <a:pt x="8" y="161"/>
              </a:lnTo>
              <a:lnTo>
                <a:pt x="0" y="146"/>
              </a:lnTo>
              <a:lnTo>
                <a:pt x="8" y="140"/>
              </a:lnTo>
              <a:lnTo>
                <a:pt x="15" y="114"/>
              </a:lnTo>
              <a:lnTo>
                <a:pt x="43" y="69"/>
              </a:lnTo>
              <a:lnTo>
                <a:pt x="50" y="15"/>
              </a:lnTo>
              <a:lnTo>
                <a:pt x="72" y="8"/>
              </a:lnTo>
              <a:lnTo>
                <a:pt x="72" y="0"/>
              </a:lnTo>
              <a:lnTo>
                <a:pt x="85" y="37"/>
              </a:lnTo>
              <a:lnTo>
                <a:pt x="127" y="86"/>
              </a:lnTo>
              <a:close/>
            </a:path>
          </a:pathLst>
        </a:custGeom>
        <a:solidFill>
          <a:srgbClr val="F5F5F5"/>
        </a:solidFill>
        <a:ln w="9525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36576" tIns="32004" rIns="0" bIns="0" anchor="t"/>
        <a:lstStyle/>
        <a:p>
          <a:pPr algn="l" rtl="0">
            <a:defRPr sz="1000"/>
          </a:pPr>
          <a:endParaRPr lang="en-US" sz="16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en-US"/>
        </a:p>
      </xdr:txBody>
    </xdr:sp>
    <xdr:clientData/>
  </xdr:twoCellAnchor>
  <xdr:twoCellAnchor>
    <xdr:from>
      <xdr:col>11</xdr:col>
      <xdr:colOff>76200</xdr:colOff>
      <xdr:row>29</xdr:row>
      <xdr:rowOff>0</xdr:rowOff>
    </xdr:from>
    <xdr:to>
      <xdr:col>11</xdr:col>
      <xdr:colOff>371475</xdr:colOff>
      <xdr:row>31</xdr:row>
      <xdr:rowOff>76200</xdr:rowOff>
    </xdr:to>
    <xdr:sp macro="" textlink="">
      <xdr:nvSpPr>
        <xdr:cNvPr id="25791" name="S_SOM"/>
        <xdr:cNvSpPr>
          <a:spLocks/>
        </xdr:cNvSpPr>
      </xdr:nvSpPr>
      <xdr:spPr bwMode="auto">
        <a:xfrm>
          <a:off x="6619875" y="4543425"/>
          <a:ext cx="295275" cy="400050"/>
        </a:xfrm>
        <a:custGeom>
          <a:avLst/>
          <a:gdLst>
            <a:gd name="T0" fmla="*/ 93800394 w 143"/>
            <a:gd name="T1" fmla="*/ 506985614 h 193"/>
            <a:gd name="T2" fmla="*/ 0 w 143"/>
            <a:gd name="T3" fmla="*/ 605806354 h 193"/>
            <a:gd name="T4" fmla="*/ 0 w 143"/>
            <a:gd name="T5" fmla="*/ 803443428 h 193"/>
            <a:gd name="T6" fmla="*/ 63954902 w 143"/>
            <a:gd name="T7" fmla="*/ 829222808 h 193"/>
            <a:gd name="T8" fmla="*/ 157755312 w 143"/>
            <a:gd name="T9" fmla="*/ 708921800 h 193"/>
            <a:gd name="T10" fmla="*/ 422100724 w 143"/>
            <a:gd name="T11" fmla="*/ 476911399 h 193"/>
            <a:gd name="T12" fmla="*/ 477527741 w 143"/>
            <a:gd name="T13" fmla="*/ 390981515 h 193"/>
            <a:gd name="T14" fmla="*/ 609701576 w 143"/>
            <a:gd name="T15" fmla="*/ 85929916 h 193"/>
            <a:gd name="T16" fmla="*/ 609701576 w 143"/>
            <a:gd name="T17" fmla="*/ 0 h 193"/>
            <a:gd name="T18" fmla="*/ 545746690 w 143"/>
            <a:gd name="T19" fmla="*/ 0 h 193"/>
            <a:gd name="T20" fmla="*/ 243027805 w 143"/>
            <a:gd name="T21" fmla="*/ 124597949 h 193"/>
            <a:gd name="T22" fmla="*/ 187600788 w 143"/>
            <a:gd name="T23" fmla="*/ 85929916 h 193"/>
            <a:gd name="T24" fmla="*/ 157755312 w 143"/>
            <a:gd name="T25" fmla="*/ 30076297 h 193"/>
            <a:gd name="T26" fmla="*/ 123645870 w 143"/>
            <a:gd name="T27" fmla="*/ 85929916 h 193"/>
            <a:gd name="T28" fmla="*/ 123645870 w 143"/>
            <a:gd name="T29" fmla="*/ 124597949 h 193"/>
            <a:gd name="T30" fmla="*/ 187600788 w 143"/>
            <a:gd name="T31" fmla="*/ 197639212 h 193"/>
            <a:gd name="T32" fmla="*/ 422100724 w 143"/>
            <a:gd name="T33" fmla="*/ 223416519 h 193"/>
            <a:gd name="T34" fmla="*/ 264345412 w 143"/>
            <a:gd name="T35" fmla="*/ 412463986 h 193"/>
            <a:gd name="T36" fmla="*/ 157755312 w 143"/>
            <a:gd name="T37" fmla="*/ 412463986 h 193"/>
            <a:gd name="T38" fmla="*/ 93800394 w 143"/>
            <a:gd name="T39" fmla="*/ 506985614 h 193"/>
            <a:gd name="T40" fmla="*/ 93800394 w 143"/>
            <a:gd name="T41" fmla="*/ 506985614 h 193"/>
            <a:gd name="T42" fmla="*/ 93800394 w 143"/>
            <a:gd name="T43" fmla="*/ 506985614 h 193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60000 65536"/>
            <a:gd name="T52" fmla="*/ 0 60000 65536"/>
            <a:gd name="T53" fmla="*/ 0 60000 65536"/>
            <a:gd name="T54" fmla="*/ 0 60000 65536"/>
            <a:gd name="T55" fmla="*/ 0 60000 65536"/>
            <a:gd name="T56" fmla="*/ 0 60000 65536"/>
            <a:gd name="T57" fmla="*/ 0 60000 65536"/>
            <a:gd name="T58" fmla="*/ 0 60000 65536"/>
            <a:gd name="T59" fmla="*/ 0 60000 65536"/>
            <a:gd name="T60" fmla="*/ 0 60000 65536"/>
            <a:gd name="T61" fmla="*/ 0 60000 65536"/>
            <a:gd name="T62" fmla="*/ 0 60000 65536"/>
            <a:gd name="T63" fmla="*/ 0 60000 65536"/>
            <a:gd name="T64" fmla="*/ 0 60000 65536"/>
            <a:gd name="T65" fmla="*/ 0 60000 65536"/>
            <a:gd name="T66" fmla="*/ 0 w 143"/>
            <a:gd name="T67" fmla="*/ 0 h 193"/>
            <a:gd name="T68" fmla="*/ 143 w 143"/>
            <a:gd name="T69" fmla="*/ 193 h 193"/>
          </a:gdLst>
          <a:ahLst/>
          <a:cxnLst>
            <a:cxn ang="T44">
              <a:pos x="T0" y="T1"/>
            </a:cxn>
            <a:cxn ang="T45">
              <a:pos x="T2" y="T3"/>
            </a:cxn>
            <a:cxn ang="T46">
              <a:pos x="T4" y="T5"/>
            </a:cxn>
            <a:cxn ang="T47">
              <a:pos x="T6" y="T7"/>
            </a:cxn>
            <a:cxn ang="T48">
              <a:pos x="T8" y="T9"/>
            </a:cxn>
            <a:cxn ang="T49">
              <a:pos x="T10" y="T11"/>
            </a:cxn>
            <a:cxn ang="T50">
              <a:pos x="T12" y="T13"/>
            </a:cxn>
            <a:cxn ang="T51">
              <a:pos x="T14" y="T15"/>
            </a:cxn>
            <a:cxn ang="T52">
              <a:pos x="T16" y="T17"/>
            </a:cxn>
            <a:cxn ang="T53">
              <a:pos x="T18" y="T19"/>
            </a:cxn>
            <a:cxn ang="T54">
              <a:pos x="T20" y="T21"/>
            </a:cxn>
            <a:cxn ang="T55">
              <a:pos x="T22" y="T23"/>
            </a:cxn>
            <a:cxn ang="T56">
              <a:pos x="T24" y="T25"/>
            </a:cxn>
            <a:cxn ang="T57">
              <a:pos x="T26" y="T27"/>
            </a:cxn>
            <a:cxn ang="T58">
              <a:pos x="T28" y="T29"/>
            </a:cxn>
            <a:cxn ang="T59">
              <a:pos x="T30" y="T31"/>
            </a:cxn>
            <a:cxn ang="T60">
              <a:pos x="T32" y="T33"/>
            </a:cxn>
            <a:cxn ang="T61">
              <a:pos x="T34" y="T35"/>
            </a:cxn>
            <a:cxn ang="T62">
              <a:pos x="T36" y="T37"/>
            </a:cxn>
            <a:cxn ang="T63">
              <a:pos x="T38" y="T39"/>
            </a:cxn>
            <a:cxn ang="T64">
              <a:pos x="T40" y="T41"/>
            </a:cxn>
            <a:cxn ang="T65">
              <a:pos x="T42" y="T43"/>
            </a:cxn>
          </a:cxnLst>
          <a:rect l="T66" t="T67" r="T68" b="T69"/>
          <a:pathLst>
            <a:path w="143" h="193">
              <a:moveTo>
                <a:pt x="22" y="118"/>
              </a:moveTo>
              <a:lnTo>
                <a:pt x="0" y="141"/>
              </a:lnTo>
              <a:lnTo>
                <a:pt x="0" y="187"/>
              </a:lnTo>
              <a:lnTo>
                <a:pt x="15" y="193"/>
              </a:lnTo>
              <a:lnTo>
                <a:pt x="37" y="165"/>
              </a:lnTo>
              <a:lnTo>
                <a:pt x="99" y="111"/>
              </a:lnTo>
              <a:lnTo>
                <a:pt x="112" y="91"/>
              </a:lnTo>
              <a:lnTo>
                <a:pt x="143" y="20"/>
              </a:lnTo>
              <a:lnTo>
                <a:pt x="143" y="0"/>
              </a:lnTo>
              <a:lnTo>
                <a:pt x="128" y="0"/>
              </a:lnTo>
              <a:lnTo>
                <a:pt x="57" y="29"/>
              </a:lnTo>
              <a:lnTo>
                <a:pt x="44" y="20"/>
              </a:lnTo>
              <a:lnTo>
                <a:pt x="37" y="7"/>
              </a:lnTo>
              <a:lnTo>
                <a:pt x="29" y="20"/>
              </a:lnTo>
              <a:lnTo>
                <a:pt x="29" y="29"/>
              </a:lnTo>
              <a:lnTo>
                <a:pt x="44" y="46"/>
              </a:lnTo>
              <a:lnTo>
                <a:pt x="99" y="52"/>
              </a:lnTo>
              <a:lnTo>
                <a:pt x="62" y="96"/>
              </a:lnTo>
              <a:lnTo>
                <a:pt x="37" y="96"/>
              </a:lnTo>
              <a:lnTo>
                <a:pt x="22" y="118"/>
              </a:lnTo>
              <a:close/>
            </a:path>
          </a:pathLst>
        </a:custGeom>
        <a:solidFill>
          <a:srgbClr val="F5F5F5"/>
        </a:solidFill>
        <a:ln w="9525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36576" tIns="32004" rIns="0" bIns="0" anchor="t"/>
        <a:lstStyle/>
        <a:p>
          <a:pPr algn="l" rtl="0">
            <a:defRPr sz="1000"/>
          </a:pPr>
          <a:endParaRPr lang="en-US" sz="16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en-US"/>
        </a:p>
      </xdr:txBody>
    </xdr:sp>
    <xdr:clientData/>
  </xdr:twoCellAnchor>
  <xdr:twoCellAnchor>
    <xdr:from>
      <xdr:col>8</xdr:col>
      <xdr:colOff>600075</xdr:colOff>
      <xdr:row>25</xdr:row>
      <xdr:rowOff>142875</xdr:rowOff>
    </xdr:from>
    <xdr:to>
      <xdr:col>9</xdr:col>
      <xdr:colOff>228600</xdr:colOff>
      <xdr:row>28</xdr:row>
      <xdr:rowOff>57150</xdr:rowOff>
    </xdr:to>
    <xdr:sp macro="" textlink="">
      <xdr:nvSpPr>
        <xdr:cNvPr id="25792" name="S_MRT"/>
        <xdr:cNvSpPr>
          <a:spLocks/>
        </xdr:cNvSpPr>
      </xdr:nvSpPr>
      <xdr:spPr bwMode="auto">
        <a:xfrm>
          <a:off x="5000625" y="4038600"/>
          <a:ext cx="342900" cy="400050"/>
        </a:xfrm>
        <a:custGeom>
          <a:avLst/>
          <a:gdLst>
            <a:gd name="T0" fmla="*/ 0 w 161"/>
            <a:gd name="T1" fmla="*/ 425592135 h 190"/>
            <a:gd name="T2" fmla="*/ 22680385 w 161"/>
            <a:gd name="T3" fmla="*/ 394558792 h 190"/>
            <a:gd name="T4" fmla="*/ 217732965 w 161"/>
            <a:gd name="T5" fmla="*/ 394558792 h 190"/>
            <a:gd name="T6" fmla="*/ 217732965 w 161"/>
            <a:gd name="T7" fmla="*/ 328059976 h 190"/>
            <a:gd name="T8" fmla="*/ 317527543 w 161"/>
            <a:gd name="T9" fmla="*/ 297026634 h 190"/>
            <a:gd name="T10" fmla="*/ 317527543 w 161"/>
            <a:gd name="T11" fmla="*/ 88665823 h 190"/>
            <a:gd name="T12" fmla="*/ 498970559 w 161"/>
            <a:gd name="T13" fmla="*/ 88665823 h 190"/>
            <a:gd name="T14" fmla="*/ 498970559 w 161"/>
            <a:gd name="T15" fmla="*/ 0 h 190"/>
            <a:gd name="T16" fmla="*/ 730313095 w 161"/>
            <a:gd name="T17" fmla="*/ 146296198 h 190"/>
            <a:gd name="T18" fmla="*/ 607838207 w 161"/>
            <a:gd name="T19" fmla="*/ 146296198 h 190"/>
            <a:gd name="T20" fmla="*/ 698559715 w 161"/>
            <a:gd name="T21" fmla="*/ 811282453 h 190"/>
            <a:gd name="T22" fmla="*/ 408249051 w 161"/>
            <a:gd name="T23" fmla="*/ 811282453 h 190"/>
            <a:gd name="T24" fmla="*/ 381032173 w 161"/>
            <a:gd name="T25" fmla="*/ 842315795 h 190"/>
            <a:gd name="T26" fmla="*/ 349280922 w 161"/>
            <a:gd name="T27" fmla="*/ 811282453 h 190"/>
            <a:gd name="T28" fmla="*/ 290310664 w 161"/>
            <a:gd name="T29" fmla="*/ 842315795 h 190"/>
            <a:gd name="T30" fmla="*/ 217732965 w 161"/>
            <a:gd name="T31" fmla="*/ 744783637 h 190"/>
            <a:gd name="T32" fmla="*/ 122474922 w 161"/>
            <a:gd name="T33" fmla="*/ 713752400 h 190"/>
            <a:gd name="T34" fmla="*/ 22680385 w 161"/>
            <a:gd name="T35" fmla="*/ 713752400 h 190"/>
            <a:gd name="T36" fmla="*/ 0 w 161"/>
            <a:gd name="T37" fmla="*/ 744783637 h 190"/>
            <a:gd name="T38" fmla="*/ 22680385 w 161"/>
            <a:gd name="T39" fmla="*/ 616220241 h 190"/>
            <a:gd name="T40" fmla="*/ 0 w 161"/>
            <a:gd name="T41" fmla="*/ 549721293 h 190"/>
            <a:gd name="T42" fmla="*/ 22680385 w 161"/>
            <a:gd name="T43" fmla="*/ 483222477 h 190"/>
            <a:gd name="T44" fmla="*/ 0 w 161"/>
            <a:gd name="T45" fmla="*/ 425592135 h 190"/>
            <a:gd name="T46" fmla="*/ 0 w 161"/>
            <a:gd name="T47" fmla="*/ 425592135 h 190"/>
            <a:gd name="T48" fmla="*/ 0 w 161"/>
            <a:gd name="T49" fmla="*/ 425592135 h 190"/>
            <a:gd name="T50" fmla="*/ 0 60000 65536"/>
            <a:gd name="T51" fmla="*/ 0 60000 65536"/>
            <a:gd name="T52" fmla="*/ 0 60000 65536"/>
            <a:gd name="T53" fmla="*/ 0 60000 65536"/>
            <a:gd name="T54" fmla="*/ 0 60000 65536"/>
            <a:gd name="T55" fmla="*/ 0 60000 65536"/>
            <a:gd name="T56" fmla="*/ 0 60000 65536"/>
            <a:gd name="T57" fmla="*/ 0 60000 65536"/>
            <a:gd name="T58" fmla="*/ 0 60000 65536"/>
            <a:gd name="T59" fmla="*/ 0 60000 65536"/>
            <a:gd name="T60" fmla="*/ 0 60000 65536"/>
            <a:gd name="T61" fmla="*/ 0 60000 65536"/>
            <a:gd name="T62" fmla="*/ 0 60000 65536"/>
            <a:gd name="T63" fmla="*/ 0 60000 65536"/>
            <a:gd name="T64" fmla="*/ 0 60000 65536"/>
            <a:gd name="T65" fmla="*/ 0 60000 65536"/>
            <a:gd name="T66" fmla="*/ 0 60000 65536"/>
            <a:gd name="T67" fmla="*/ 0 60000 65536"/>
            <a:gd name="T68" fmla="*/ 0 60000 65536"/>
            <a:gd name="T69" fmla="*/ 0 60000 65536"/>
            <a:gd name="T70" fmla="*/ 0 60000 65536"/>
            <a:gd name="T71" fmla="*/ 0 60000 65536"/>
            <a:gd name="T72" fmla="*/ 0 60000 65536"/>
            <a:gd name="T73" fmla="*/ 0 60000 65536"/>
            <a:gd name="T74" fmla="*/ 0 60000 65536"/>
            <a:gd name="T75" fmla="*/ 0 w 161"/>
            <a:gd name="T76" fmla="*/ 0 h 190"/>
            <a:gd name="T77" fmla="*/ 161 w 161"/>
            <a:gd name="T78" fmla="*/ 190 h 190"/>
          </a:gdLst>
          <a:ahLst/>
          <a:cxnLst>
            <a:cxn ang="T50">
              <a:pos x="T0" y="T1"/>
            </a:cxn>
            <a:cxn ang="T51">
              <a:pos x="T2" y="T3"/>
            </a:cxn>
            <a:cxn ang="T52">
              <a:pos x="T4" y="T5"/>
            </a:cxn>
            <a:cxn ang="T53">
              <a:pos x="T6" y="T7"/>
            </a:cxn>
            <a:cxn ang="T54">
              <a:pos x="T8" y="T9"/>
            </a:cxn>
            <a:cxn ang="T55">
              <a:pos x="T10" y="T11"/>
            </a:cxn>
            <a:cxn ang="T56">
              <a:pos x="T12" y="T13"/>
            </a:cxn>
            <a:cxn ang="T57">
              <a:pos x="T14" y="T15"/>
            </a:cxn>
            <a:cxn ang="T58">
              <a:pos x="T16" y="T17"/>
            </a:cxn>
            <a:cxn ang="T59">
              <a:pos x="T18" y="T19"/>
            </a:cxn>
            <a:cxn ang="T60">
              <a:pos x="T20" y="T21"/>
            </a:cxn>
            <a:cxn ang="T61">
              <a:pos x="T22" y="T23"/>
            </a:cxn>
            <a:cxn ang="T62">
              <a:pos x="T24" y="T25"/>
            </a:cxn>
            <a:cxn ang="T63">
              <a:pos x="T26" y="T27"/>
            </a:cxn>
            <a:cxn ang="T64">
              <a:pos x="T28" y="T29"/>
            </a:cxn>
            <a:cxn ang="T65">
              <a:pos x="T30" y="T31"/>
            </a:cxn>
            <a:cxn ang="T66">
              <a:pos x="T32" y="T33"/>
            </a:cxn>
            <a:cxn ang="T67">
              <a:pos x="T34" y="T35"/>
            </a:cxn>
            <a:cxn ang="T68">
              <a:pos x="T36" y="T37"/>
            </a:cxn>
            <a:cxn ang="T69">
              <a:pos x="T38" y="T39"/>
            </a:cxn>
            <a:cxn ang="T70">
              <a:pos x="T40" y="T41"/>
            </a:cxn>
            <a:cxn ang="T71">
              <a:pos x="T42" y="T43"/>
            </a:cxn>
            <a:cxn ang="T72">
              <a:pos x="T44" y="T45"/>
            </a:cxn>
            <a:cxn ang="T73">
              <a:pos x="T46" y="T47"/>
            </a:cxn>
            <a:cxn ang="T74">
              <a:pos x="T48" y="T49"/>
            </a:cxn>
          </a:cxnLst>
          <a:rect l="T75" t="T76" r="T77" b="T78"/>
          <a:pathLst>
            <a:path w="161" h="190">
              <a:moveTo>
                <a:pt x="0" y="96"/>
              </a:moveTo>
              <a:lnTo>
                <a:pt x="5" y="89"/>
              </a:lnTo>
              <a:lnTo>
                <a:pt x="48" y="89"/>
              </a:lnTo>
              <a:lnTo>
                <a:pt x="48" y="74"/>
              </a:lnTo>
              <a:lnTo>
                <a:pt x="70" y="67"/>
              </a:lnTo>
              <a:lnTo>
                <a:pt x="70" y="20"/>
              </a:lnTo>
              <a:lnTo>
                <a:pt x="110" y="20"/>
              </a:lnTo>
              <a:lnTo>
                <a:pt x="110" y="0"/>
              </a:lnTo>
              <a:lnTo>
                <a:pt x="161" y="33"/>
              </a:lnTo>
              <a:lnTo>
                <a:pt x="134" y="33"/>
              </a:lnTo>
              <a:lnTo>
                <a:pt x="154" y="183"/>
              </a:lnTo>
              <a:lnTo>
                <a:pt x="90" y="183"/>
              </a:lnTo>
              <a:lnTo>
                <a:pt x="84" y="190"/>
              </a:lnTo>
              <a:lnTo>
                <a:pt x="77" y="183"/>
              </a:lnTo>
              <a:lnTo>
                <a:pt x="64" y="190"/>
              </a:lnTo>
              <a:lnTo>
                <a:pt x="48" y="168"/>
              </a:lnTo>
              <a:lnTo>
                <a:pt x="27" y="161"/>
              </a:lnTo>
              <a:lnTo>
                <a:pt x="5" y="161"/>
              </a:lnTo>
              <a:lnTo>
                <a:pt x="0" y="168"/>
              </a:lnTo>
              <a:lnTo>
                <a:pt x="5" y="139"/>
              </a:lnTo>
              <a:lnTo>
                <a:pt x="0" y="124"/>
              </a:lnTo>
              <a:lnTo>
                <a:pt x="5" y="109"/>
              </a:lnTo>
              <a:lnTo>
                <a:pt x="0" y="96"/>
              </a:lnTo>
              <a:close/>
            </a:path>
          </a:pathLst>
        </a:custGeom>
        <a:solidFill>
          <a:srgbClr val="F5F5F5"/>
        </a:solidFill>
        <a:ln w="9525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36576" tIns="32004" rIns="0" bIns="0" anchor="t"/>
        <a:lstStyle/>
        <a:p>
          <a:pPr algn="l" rtl="0">
            <a:defRPr sz="1000"/>
          </a:pPr>
          <a:endParaRPr lang="en-US" sz="16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en-US"/>
        </a:p>
      </xdr:txBody>
    </xdr:sp>
    <xdr:clientData/>
  </xdr:twoCellAnchor>
  <xdr:twoCellAnchor>
    <xdr:from>
      <xdr:col>8</xdr:col>
      <xdr:colOff>600075</xdr:colOff>
      <xdr:row>25</xdr:row>
      <xdr:rowOff>123825</xdr:rowOff>
    </xdr:from>
    <xdr:to>
      <xdr:col>9</xdr:col>
      <xdr:colOff>123825</xdr:colOff>
      <xdr:row>27</xdr:row>
      <xdr:rowOff>19050</xdr:rowOff>
    </xdr:to>
    <xdr:sp macro="" textlink="">
      <xdr:nvSpPr>
        <xdr:cNvPr id="25793" name="S_ESH"/>
        <xdr:cNvSpPr>
          <a:spLocks/>
        </xdr:cNvSpPr>
      </xdr:nvSpPr>
      <xdr:spPr bwMode="auto">
        <a:xfrm>
          <a:off x="5000625" y="4019550"/>
          <a:ext cx="238125" cy="219075"/>
        </a:xfrm>
        <a:custGeom>
          <a:avLst/>
          <a:gdLst>
            <a:gd name="T0" fmla="*/ 0 w 114"/>
            <a:gd name="T1" fmla="*/ 448540707 h 107"/>
            <a:gd name="T2" fmla="*/ 30542664 w 114"/>
            <a:gd name="T3" fmla="*/ 423388038 h 107"/>
            <a:gd name="T4" fmla="*/ 218158017 w 114"/>
            <a:gd name="T5" fmla="*/ 423388038 h 107"/>
            <a:gd name="T6" fmla="*/ 218158017 w 114"/>
            <a:gd name="T7" fmla="*/ 364700523 h 107"/>
            <a:gd name="T8" fmla="*/ 305420427 w 114"/>
            <a:gd name="T9" fmla="*/ 322781456 h 107"/>
            <a:gd name="T10" fmla="*/ 305420427 w 114"/>
            <a:gd name="T11" fmla="*/ 134143506 h 107"/>
            <a:gd name="T12" fmla="*/ 497399257 w 114"/>
            <a:gd name="T13" fmla="*/ 134143506 h 107"/>
            <a:gd name="T14" fmla="*/ 497399257 w 114"/>
            <a:gd name="T15" fmla="*/ 41919084 h 107"/>
            <a:gd name="T16" fmla="*/ 218158017 w 114"/>
            <a:gd name="T17" fmla="*/ 0 h 107"/>
            <a:gd name="T18" fmla="*/ 117805034 w 114"/>
            <a:gd name="T19" fmla="*/ 230559033 h 107"/>
            <a:gd name="T20" fmla="*/ 0 w 114"/>
            <a:gd name="T21" fmla="*/ 385662105 h 107"/>
            <a:gd name="T22" fmla="*/ 0 w 114"/>
            <a:gd name="T23" fmla="*/ 448540707 h 107"/>
            <a:gd name="T24" fmla="*/ 0 w 114"/>
            <a:gd name="T25" fmla="*/ 448540707 h 107"/>
            <a:gd name="T26" fmla="*/ 0 w 114"/>
            <a:gd name="T27" fmla="*/ 448540707 h 107"/>
            <a:gd name="T28" fmla="*/ 0 60000 65536"/>
            <a:gd name="T29" fmla="*/ 0 60000 65536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w 114"/>
            <a:gd name="T43" fmla="*/ 0 h 107"/>
            <a:gd name="T44" fmla="*/ 114 w 114"/>
            <a:gd name="T45" fmla="*/ 107 h 107"/>
          </a:gdLst>
          <a:ahLst/>
          <a:cxnLst>
            <a:cxn ang="T28">
              <a:pos x="T0" y="T1"/>
            </a:cxn>
            <a:cxn ang="T29">
              <a:pos x="T2" y="T3"/>
            </a:cxn>
            <a:cxn ang="T30">
              <a:pos x="T4" y="T5"/>
            </a:cxn>
            <a:cxn ang="T31">
              <a:pos x="T6" y="T7"/>
            </a:cxn>
            <a:cxn ang="T32">
              <a:pos x="T8" y="T9"/>
            </a:cxn>
            <a:cxn ang="T33">
              <a:pos x="T10" y="T11"/>
            </a:cxn>
            <a:cxn ang="T34">
              <a:pos x="T12" y="T13"/>
            </a:cxn>
            <a:cxn ang="T35">
              <a:pos x="T14" y="T15"/>
            </a:cxn>
            <a:cxn ang="T36">
              <a:pos x="T16" y="T17"/>
            </a:cxn>
            <a:cxn ang="T37">
              <a:pos x="T18" y="T19"/>
            </a:cxn>
            <a:cxn ang="T38">
              <a:pos x="T20" y="T21"/>
            </a:cxn>
            <a:cxn ang="T39">
              <a:pos x="T22" y="T23"/>
            </a:cxn>
            <a:cxn ang="T40">
              <a:pos x="T24" y="T25"/>
            </a:cxn>
            <a:cxn ang="T41">
              <a:pos x="T26" y="T27"/>
            </a:cxn>
          </a:cxnLst>
          <a:rect l="T42" t="T43" r="T44" b="T45"/>
          <a:pathLst>
            <a:path w="114" h="107">
              <a:moveTo>
                <a:pt x="0" y="107"/>
              </a:moveTo>
              <a:lnTo>
                <a:pt x="7" y="101"/>
              </a:lnTo>
              <a:lnTo>
                <a:pt x="50" y="101"/>
              </a:lnTo>
              <a:lnTo>
                <a:pt x="50" y="87"/>
              </a:lnTo>
              <a:lnTo>
                <a:pt x="70" y="77"/>
              </a:lnTo>
              <a:lnTo>
                <a:pt x="70" y="32"/>
              </a:lnTo>
              <a:lnTo>
                <a:pt x="114" y="32"/>
              </a:lnTo>
              <a:lnTo>
                <a:pt x="114" y="10"/>
              </a:lnTo>
              <a:lnTo>
                <a:pt x="50" y="0"/>
              </a:lnTo>
              <a:lnTo>
                <a:pt x="27" y="55"/>
              </a:lnTo>
              <a:lnTo>
                <a:pt x="0" y="92"/>
              </a:lnTo>
              <a:lnTo>
                <a:pt x="0" y="107"/>
              </a:lnTo>
              <a:close/>
            </a:path>
          </a:pathLst>
        </a:custGeom>
        <a:solidFill>
          <a:srgbClr val="F5F5F5"/>
        </a:solidFill>
        <a:ln w="9525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36576" tIns="32004" rIns="0" bIns="0" anchor="t"/>
        <a:lstStyle/>
        <a:p>
          <a:pPr algn="l" rtl="0">
            <a:defRPr sz="1000"/>
          </a:pPr>
          <a:endParaRPr lang="en-US" sz="16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en-US"/>
        </a:p>
      </xdr:txBody>
    </xdr:sp>
    <xdr:clientData/>
  </xdr:twoCellAnchor>
  <xdr:twoCellAnchor>
    <xdr:from>
      <xdr:col>8</xdr:col>
      <xdr:colOff>581025</xdr:colOff>
      <xdr:row>28</xdr:row>
      <xdr:rowOff>0</xdr:rowOff>
    </xdr:from>
    <xdr:to>
      <xdr:col>9</xdr:col>
      <xdr:colOff>47625</xdr:colOff>
      <xdr:row>28</xdr:row>
      <xdr:rowOff>142875</xdr:rowOff>
    </xdr:to>
    <xdr:sp macro="" textlink="">
      <xdr:nvSpPr>
        <xdr:cNvPr id="25794" name="S_SEN"/>
        <xdr:cNvSpPr>
          <a:spLocks/>
        </xdr:cNvSpPr>
      </xdr:nvSpPr>
      <xdr:spPr bwMode="auto">
        <a:xfrm>
          <a:off x="4981575" y="4381500"/>
          <a:ext cx="180975" cy="142875"/>
        </a:xfrm>
        <a:custGeom>
          <a:avLst/>
          <a:gdLst>
            <a:gd name="T0" fmla="*/ 39854485 w 86"/>
            <a:gd name="T1" fmla="*/ 231529935 h 69"/>
            <a:gd name="T2" fmla="*/ 70853825 w 86"/>
            <a:gd name="T3" fmla="*/ 231529935 h 69"/>
            <a:gd name="T4" fmla="*/ 163847618 w 86"/>
            <a:gd name="T5" fmla="*/ 192941278 h 69"/>
            <a:gd name="T6" fmla="*/ 185989691 w 86"/>
            <a:gd name="T7" fmla="*/ 231529935 h 69"/>
            <a:gd name="T8" fmla="*/ 225844159 w 86"/>
            <a:gd name="T9" fmla="*/ 192941278 h 69"/>
            <a:gd name="T10" fmla="*/ 39854485 w 86"/>
            <a:gd name="T11" fmla="*/ 192941278 h 69"/>
            <a:gd name="T12" fmla="*/ 0 w 86"/>
            <a:gd name="T13" fmla="*/ 128628889 h 69"/>
            <a:gd name="T14" fmla="*/ 39854485 w 86"/>
            <a:gd name="T15" fmla="*/ 34300354 h 69"/>
            <a:gd name="T16" fmla="*/ 70853825 w 86"/>
            <a:gd name="T17" fmla="*/ 0 h 69"/>
            <a:gd name="T18" fmla="*/ 163847618 w 86"/>
            <a:gd name="T19" fmla="*/ 0 h 69"/>
            <a:gd name="T20" fmla="*/ 261271055 w 86"/>
            <a:gd name="T21" fmla="*/ 34300354 h 69"/>
            <a:gd name="T22" fmla="*/ 323267663 w 86"/>
            <a:gd name="T23" fmla="*/ 128628889 h 69"/>
            <a:gd name="T24" fmla="*/ 380836632 w 86"/>
            <a:gd name="T25" fmla="*/ 295844428 h 69"/>
            <a:gd name="T26" fmla="*/ 39854485 w 86"/>
            <a:gd name="T27" fmla="*/ 295844428 h 69"/>
            <a:gd name="T28" fmla="*/ 39854485 w 86"/>
            <a:gd name="T29" fmla="*/ 231529935 h 69"/>
            <a:gd name="T30" fmla="*/ 39854485 w 86"/>
            <a:gd name="T31" fmla="*/ 231529935 h 69"/>
            <a:gd name="T32" fmla="*/ 39854485 w 86"/>
            <a:gd name="T33" fmla="*/ 231529935 h 69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w 86"/>
            <a:gd name="T52" fmla="*/ 0 h 69"/>
            <a:gd name="T53" fmla="*/ 86 w 86"/>
            <a:gd name="T54" fmla="*/ 69 h 69"/>
          </a:gdLst>
          <a:ahLst/>
          <a:cxnLst>
            <a:cxn ang="T34">
              <a:pos x="T0" y="T1"/>
            </a:cxn>
            <a:cxn ang="T35">
              <a:pos x="T2" y="T3"/>
            </a:cxn>
            <a:cxn ang="T36">
              <a:pos x="T4" y="T5"/>
            </a:cxn>
            <a:cxn ang="T37">
              <a:pos x="T6" y="T7"/>
            </a:cxn>
            <a:cxn ang="T38">
              <a:pos x="T8" y="T9"/>
            </a:cxn>
            <a:cxn ang="T39">
              <a:pos x="T10" y="T11"/>
            </a:cxn>
            <a:cxn ang="T40">
              <a:pos x="T12" y="T13"/>
            </a:cxn>
            <a:cxn ang="T41">
              <a:pos x="T14" y="T15"/>
            </a:cxn>
            <a:cxn ang="T42">
              <a:pos x="T16" y="T17"/>
            </a:cxn>
            <a:cxn ang="T43">
              <a:pos x="T18" y="T19"/>
            </a:cxn>
            <a:cxn ang="T44">
              <a:pos x="T20" y="T21"/>
            </a:cxn>
            <a:cxn ang="T45">
              <a:pos x="T22" y="T23"/>
            </a:cxn>
            <a:cxn ang="T46">
              <a:pos x="T24" y="T25"/>
            </a:cxn>
            <a:cxn ang="T47">
              <a:pos x="T26" y="T27"/>
            </a:cxn>
            <a:cxn ang="T48">
              <a:pos x="T28" y="T29"/>
            </a:cxn>
            <a:cxn ang="T49">
              <a:pos x="T30" y="T31"/>
            </a:cxn>
            <a:cxn ang="T50">
              <a:pos x="T32" y="T33"/>
            </a:cxn>
          </a:cxnLst>
          <a:rect l="T51" t="T52" r="T53" b="T54"/>
          <a:pathLst>
            <a:path w="86" h="69">
              <a:moveTo>
                <a:pt x="9" y="54"/>
              </a:moveTo>
              <a:lnTo>
                <a:pt x="16" y="54"/>
              </a:lnTo>
              <a:lnTo>
                <a:pt x="37" y="45"/>
              </a:lnTo>
              <a:lnTo>
                <a:pt x="42" y="54"/>
              </a:lnTo>
              <a:lnTo>
                <a:pt x="51" y="45"/>
              </a:lnTo>
              <a:lnTo>
                <a:pt x="9" y="45"/>
              </a:lnTo>
              <a:lnTo>
                <a:pt x="0" y="30"/>
              </a:lnTo>
              <a:lnTo>
                <a:pt x="9" y="8"/>
              </a:lnTo>
              <a:lnTo>
                <a:pt x="16" y="0"/>
              </a:lnTo>
              <a:lnTo>
                <a:pt x="37" y="0"/>
              </a:lnTo>
              <a:lnTo>
                <a:pt x="59" y="8"/>
              </a:lnTo>
              <a:lnTo>
                <a:pt x="73" y="30"/>
              </a:lnTo>
              <a:lnTo>
                <a:pt x="86" y="69"/>
              </a:lnTo>
              <a:lnTo>
                <a:pt x="9" y="69"/>
              </a:lnTo>
              <a:lnTo>
                <a:pt x="9" y="54"/>
              </a:lnTo>
              <a:close/>
            </a:path>
          </a:pathLst>
        </a:custGeom>
        <a:solidFill>
          <a:srgbClr val="F5F5F5"/>
        </a:solidFill>
        <a:ln w="9525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36576" tIns="32004" rIns="0" bIns="0" anchor="t"/>
        <a:lstStyle/>
        <a:p>
          <a:pPr algn="l" rtl="0">
            <a:defRPr sz="1000"/>
          </a:pPr>
          <a:endParaRPr lang="en-US" sz="16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en-US"/>
        </a:p>
      </xdr:txBody>
    </xdr:sp>
    <xdr:clientData/>
  </xdr:twoCellAnchor>
  <xdr:twoCellAnchor>
    <xdr:from>
      <xdr:col>8</xdr:col>
      <xdr:colOff>600075</xdr:colOff>
      <xdr:row>28</xdr:row>
      <xdr:rowOff>95250</xdr:rowOff>
    </xdr:from>
    <xdr:to>
      <xdr:col>8</xdr:col>
      <xdr:colOff>685800</xdr:colOff>
      <xdr:row>28</xdr:row>
      <xdr:rowOff>152400</xdr:rowOff>
    </xdr:to>
    <xdr:sp macro="" textlink="">
      <xdr:nvSpPr>
        <xdr:cNvPr id="25795" name="S_GMB"/>
        <xdr:cNvSpPr>
          <a:spLocks/>
        </xdr:cNvSpPr>
      </xdr:nvSpPr>
      <xdr:spPr bwMode="auto">
        <a:xfrm>
          <a:off x="5000625" y="4476750"/>
          <a:ext cx="85725" cy="57150"/>
        </a:xfrm>
        <a:custGeom>
          <a:avLst/>
          <a:gdLst>
            <a:gd name="T0" fmla="*/ 0 w 42"/>
            <a:gd name="T1" fmla="*/ 130644896 h 25"/>
            <a:gd name="T2" fmla="*/ 29160785 w 42"/>
            <a:gd name="T3" fmla="*/ 130644896 h 25"/>
            <a:gd name="T4" fmla="*/ 116647222 w 42"/>
            <a:gd name="T5" fmla="*/ 0 h 25"/>
            <a:gd name="T6" fmla="*/ 137476380 w 42"/>
            <a:gd name="T7" fmla="*/ 130644896 h 25"/>
            <a:gd name="T8" fmla="*/ 174970848 w 42"/>
            <a:gd name="T9" fmla="*/ 0 h 25"/>
            <a:gd name="T10" fmla="*/ 0 w 42"/>
            <a:gd name="T11" fmla="*/ 0 h 25"/>
            <a:gd name="T12" fmla="*/ 0 w 42"/>
            <a:gd name="T13" fmla="*/ 130644896 h 25"/>
            <a:gd name="T14" fmla="*/ 0 w 42"/>
            <a:gd name="T15" fmla="*/ 130644896 h 25"/>
            <a:gd name="T16" fmla="*/ 0 w 42"/>
            <a:gd name="T17" fmla="*/ 130644896 h 25"/>
            <a:gd name="T18" fmla="*/ 0 60000 65536"/>
            <a:gd name="T19" fmla="*/ 0 60000 65536"/>
            <a:gd name="T20" fmla="*/ 0 60000 65536"/>
            <a:gd name="T21" fmla="*/ 0 60000 65536"/>
            <a:gd name="T22" fmla="*/ 0 60000 65536"/>
            <a:gd name="T23" fmla="*/ 0 60000 65536"/>
            <a:gd name="T24" fmla="*/ 0 60000 65536"/>
            <a:gd name="T25" fmla="*/ 0 60000 65536"/>
            <a:gd name="T26" fmla="*/ 0 60000 65536"/>
            <a:gd name="T27" fmla="*/ 0 w 42"/>
            <a:gd name="T28" fmla="*/ 0 h 25"/>
            <a:gd name="T29" fmla="*/ 42 w 42"/>
            <a:gd name="T30" fmla="*/ 25 h 25"/>
          </a:gdLst>
          <a:ahLst/>
          <a:cxnLst>
            <a:cxn ang="T18">
              <a:pos x="T0" y="T1"/>
            </a:cxn>
            <a:cxn ang="T19">
              <a:pos x="T2" y="T3"/>
            </a:cxn>
            <a:cxn ang="T20">
              <a:pos x="T4" y="T5"/>
            </a:cxn>
            <a:cxn ang="T21">
              <a:pos x="T6" y="T7"/>
            </a:cxn>
            <a:cxn ang="T22">
              <a:pos x="T8" y="T9"/>
            </a:cxn>
            <a:cxn ang="T23">
              <a:pos x="T10" y="T11"/>
            </a:cxn>
            <a:cxn ang="T24">
              <a:pos x="T12" y="T13"/>
            </a:cxn>
            <a:cxn ang="T25">
              <a:pos x="T14" y="T15"/>
            </a:cxn>
            <a:cxn ang="T26">
              <a:pos x="T16" y="T17"/>
            </a:cxn>
          </a:cxnLst>
          <a:rect l="T27" t="T28" r="T29" b="T30"/>
          <a:pathLst>
            <a:path w="42" h="25">
              <a:moveTo>
                <a:pt x="0" y="25"/>
              </a:moveTo>
              <a:lnTo>
                <a:pt x="7" y="25"/>
              </a:lnTo>
              <a:lnTo>
                <a:pt x="28" y="0"/>
              </a:lnTo>
              <a:lnTo>
                <a:pt x="33" y="25"/>
              </a:lnTo>
              <a:lnTo>
                <a:pt x="42" y="0"/>
              </a:lnTo>
              <a:lnTo>
                <a:pt x="0" y="0"/>
              </a:lnTo>
              <a:lnTo>
                <a:pt x="0" y="25"/>
              </a:lnTo>
              <a:close/>
            </a:path>
          </a:pathLst>
        </a:custGeom>
        <a:solidFill>
          <a:srgbClr val="F5F5F5"/>
        </a:solidFill>
        <a:ln w="9525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36576" tIns="32004" rIns="0" bIns="0" anchor="t"/>
        <a:lstStyle/>
        <a:p>
          <a:pPr algn="l" rtl="0">
            <a:defRPr sz="1000"/>
          </a:pPr>
          <a:endParaRPr lang="en-US" sz="16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en-US"/>
        </a:p>
      </xdr:txBody>
    </xdr:sp>
    <xdr:clientData/>
  </xdr:twoCellAnchor>
  <xdr:twoCellAnchor>
    <xdr:from>
      <xdr:col>8</xdr:col>
      <xdr:colOff>600075</xdr:colOff>
      <xdr:row>28</xdr:row>
      <xdr:rowOff>142875</xdr:rowOff>
    </xdr:from>
    <xdr:to>
      <xdr:col>8</xdr:col>
      <xdr:colOff>685800</xdr:colOff>
      <xdr:row>29</xdr:row>
      <xdr:rowOff>38100</xdr:rowOff>
    </xdr:to>
    <xdr:sp macro="" textlink="">
      <xdr:nvSpPr>
        <xdr:cNvPr id="25796" name="S_GNB"/>
        <xdr:cNvSpPr>
          <a:spLocks/>
        </xdr:cNvSpPr>
      </xdr:nvSpPr>
      <xdr:spPr bwMode="auto">
        <a:xfrm>
          <a:off x="5000625" y="4524375"/>
          <a:ext cx="85725" cy="57150"/>
        </a:xfrm>
        <a:custGeom>
          <a:avLst/>
          <a:gdLst>
            <a:gd name="T0" fmla="*/ 116647222 w 42"/>
            <a:gd name="T1" fmla="*/ 108870752 h 30"/>
            <a:gd name="T2" fmla="*/ 174970848 w 42"/>
            <a:gd name="T3" fmla="*/ 29032200 h 30"/>
            <a:gd name="T4" fmla="*/ 174970848 w 42"/>
            <a:gd name="T5" fmla="*/ 0 h 30"/>
            <a:gd name="T6" fmla="*/ 0 w 42"/>
            <a:gd name="T7" fmla="*/ 0 h 30"/>
            <a:gd name="T8" fmla="*/ 83318578 w 42"/>
            <a:gd name="T9" fmla="*/ 29032200 h 30"/>
            <a:gd name="T10" fmla="*/ 83318578 w 42"/>
            <a:gd name="T11" fmla="*/ 61693424 h 30"/>
            <a:gd name="T12" fmla="*/ 116647222 w 42"/>
            <a:gd name="T13" fmla="*/ 108870752 h 30"/>
            <a:gd name="T14" fmla="*/ 116647222 w 42"/>
            <a:gd name="T15" fmla="*/ 108870752 h 30"/>
            <a:gd name="T16" fmla="*/ 116647222 w 42"/>
            <a:gd name="T17" fmla="*/ 108870752 h 30"/>
            <a:gd name="T18" fmla="*/ 0 60000 65536"/>
            <a:gd name="T19" fmla="*/ 0 60000 65536"/>
            <a:gd name="T20" fmla="*/ 0 60000 65536"/>
            <a:gd name="T21" fmla="*/ 0 60000 65536"/>
            <a:gd name="T22" fmla="*/ 0 60000 65536"/>
            <a:gd name="T23" fmla="*/ 0 60000 65536"/>
            <a:gd name="T24" fmla="*/ 0 60000 65536"/>
            <a:gd name="T25" fmla="*/ 0 60000 65536"/>
            <a:gd name="T26" fmla="*/ 0 60000 65536"/>
            <a:gd name="T27" fmla="*/ 0 w 42"/>
            <a:gd name="T28" fmla="*/ 0 h 30"/>
            <a:gd name="T29" fmla="*/ 42 w 42"/>
            <a:gd name="T30" fmla="*/ 30 h 30"/>
          </a:gdLst>
          <a:ahLst/>
          <a:cxnLst>
            <a:cxn ang="T18">
              <a:pos x="T0" y="T1"/>
            </a:cxn>
            <a:cxn ang="T19">
              <a:pos x="T2" y="T3"/>
            </a:cxn>
            <a:cxn ang="T20">
              <a:pos x="T4" y="T5"/>
            </a:cxn>
            <a:cxn ang="T21">
              <a:pos x="T6" y="T7"/>
            </a:cxn>
            <a:cxn ang="T22">
              <a:pos x="T8" y="T9"/>
            </a:cxn>
            <a:cxn ang="T23">
              <a:pos x="T10" y="T11"/>
            </a:cxn>
            <a:cxn ang="T24">
              <a:pos x="T12" y="T13"/>
            </a:cxn>
            <a:cxn ang="T25">
              <a:pos x="T14" y="T15"/>
            </a:cxn>
            <a:cxn ang="T26">
              <a:pos x="T16" y="T17"/>
            </a:cxn>
          </a:cxnLst>
          <a:rect l="T27" t="T28" r="T29" b="T30"/>
          <a:pathLst>
            <a:path w="42" h="30">
              <a:moveTo>
                <a:pt x="28" y="30"/>
              </a:moveTo>
              <a:lnTo>
                <a:pt x="42" y="8"/>
              </a:lnTo>
              <a:lnTo>
                <a:pt x="42" y="0"/>
              </a:lnTo>
              <a:lnTo>
                <a:pt x="0" y="0"/>
              </a:lnTo>
              <a:lnTo>
                <a:pt x="20" y="8"/>
              </a:lnTo>
              <a:lnTo>
                <a:pt x="20" y="17"/>
              </a:lnTo>
              <a:lnTo>
                <a:pt x="28" y="30"/>
              </a:lnTo>
              <a:close/>
            </a:path>
          </a:pathLst>
        </a:custGeom>
        <a:solidFill>
          <a:srgbClr val="F5F5F5"/>
        </a:solidFill>
        <a:ln w="9525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36576" tIns="32004" rIns="0" bIns="0" anchor="t"/>
        <a:lstStyle/>
        <a:p>
          <a:pPr algn="l" rtl="0">
            <a:defRPr sz="1000"/>
          </a:pPr>
          <a:endParaRPr lang="en-US" sz="16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en-US"/>
        </a:p>
      </xdr:txBody>
    </xdr:sp>
    <xdr:clientData/>
  </xdr:twoCellAnchor>
  <xdr:twoCellAnchor>
    <xdr:from>
      <xdr:col>8</xdr:col>
      <xdr:colOff>657225</xdr:colOff>
      <xdr:row>28</xdr:row>
      <xdr:rowOff>142875</xdr:rowOff>
    </xdr:from>
    <xdr:to>
      <xdr:col>9</xdr:col>
      <xdr:colOff>133350</xdr:colOff>
      <xdr:row>29</xdr:row>
      <xdr:rowOff>133350</xdr:rowOff>
    </xdr:to>
    <xdr:sp macro="" textlink="">
      <xdr:nvSpPr>
        <xdr:cNvPr id="25797" name="S_GIN"/>
        <xdr:cNvSpPr>
          <a:spLocks/>
        </xdr:cNvSpPr>
      </xdr:nvSpPr>
      <xdr:spPr bwMode="auto">
        <a:xfrm>
          <a:off x="5057775" y="4524375"/>
          <a:ext cx="190500" cy="152400"/>
        </a:xfrm>
        <a:custGeom>
          <a:avLst/>
          <a:gdLst>
            <a:gd name="T0" fmla="*/ 364445144 w 92"/>
            <a:gd name="T1" fmla="*/ 322579996 h 72"/>
            <a:gd name="T2" fmla="*/ 394459238 w 92"/>
            <a:gd name="T3" fmla="*/ 322579996 h 72"/>
            <a:gd name="T4" fmla="*/ 394459238 w 92"/>
            <a:gd name="T5" fmla="*/ 156809016 h 72"/>
            <a:gd name="T6" fmla="*/ 334433122 w 92"/>
            <a:gd name="T7" fmla="*/ 0 h 72"/>
            <a:gd name="T8" fmla="*/ 248681167 w 92"/>
            <a:gd name="T9" fmla="*/ 35841518 h 72"/>
            <a:gd name="T10" fmla="*/ 184366732 w 92"/>
            <a:gd name="T11" fmla="*/ 35841518 h 72"/>
            <a:gd name="T12" fmla="*/ 205804187 w 92"/>
            <a:gd name="T13" fmla="*/ 0 h 72"/>
            <a:gd name="T14" fmla="*/ 64314451 w 92"/>
            <a:gd name="T15" fmla="*/ 0 h 72"/>
            <a:gd name="T16" fmla="*/ 64314451 w 92"/>
            <a:gd name="T17" fmla="*/ 35841518 h 72"/>
            <a:gd name="T18" fmla="*/ 0 w 92"/>
            <a:gd name="T19" fmla="*/ 125448463 h 72"/>
            <a:gd name="T20" fmla="*/ 90040242 w 92"/>
            <a:gd name="T21" fmla="*/ 192652634 h 72"/>
            <a:gd name="T22" fmla="*/ 158640958 w 92"/>
            <a:gd name="T23" fmla="*/ 156809016 h 72"/>
            <a:gd name="T24" fmla="*/ 184366732 w 92"/>
            <a:gd name="T25" fmla="*/ 156809016 h 72"/>
            <a:gd name="T26" fmla="*/ 248681167 w 92"/>
            <a:gd name="T27" fmla="*/ 232975117 h 72"/>
            <a:gd name="T28" fmla="*/ 248681167 w 92"/>
            <a:gd name="T29" fmla="*/ 264335637 h 72"/>
            <a:gd name="T30" fmla="*/ 270118622 w 92"/>
            <a:gd name="T31" fmla="*/ 232975117 h 72"/>
            <a:gd name="T32" fmla="*/ 334433122 w 92"/>
            <a:gd name="T33" fmla="*/ 322579996 h 72"/>
            <a:gd name="T34" fmla="*/ 364445144 w 92"/>
            <a:gd name="T35" fmla="*/ 322579996 h 72"/>
            <a:gd name="T36" fmla="*/ 364445144 w 92"/>
            <a:gd name="T37" fmla="*/ 322579996 h 72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60000 65536"/>
            <a:gd name="T52" fmla="*/ 0 60000 65536"/>
            <a:gd name="T53" fmla="*/ 0 60000 65536"/>
            <a:gd name="T54" fmla="*/ 0 60000 65536"/>
            <a:gd name="T55" fmla="*/ 0 60000 65536"/>
            <a:gd name="T56" fmla="*/ 0 60000 65536"/>
            <a:gd name="T57" fmla="*/ 0 w 92"/>
            <a:gd name="T58" fmla="*/ 0 h 72"/>
            <a:gd name="T59" fmla="*/ 92 w 92"/>
            <a:gd name="T60" fmla="*/ 72 h 72"/>
          </a:gdLst>
          <a:ahLst/>
          <a:cxnLst>
            <a:cxn ang="T38">
              <a:pos x="T0" y="T1"/>
            </a:cxn>
            <a:cxn ang="T39">
              <a:pos x="T2" y="T3"/>
            </a:cxn>
            <a:cxn ang="T40">
              <a:pos x="T4" y="T5"/>
            </a:cxn>
            <a:cxn ang="T41">
              <a:pos x="T6" y="T7"/>
            </a:cxn>
            <a:cxn ang="T42">
              <a:pos x="T8" y="T9"/>
            </a:cxn>
            <a:cxn ang="T43">
              <a:pos x="T10" y="T11"/>
            </a:cxn>
            <a:cxn ang="T44">
              <a:pos x="T12" y="T13"/>
            </a:cxn>
            <a:cxn ang="T45">
              <a:pos x="T14" y="T15"/>
            </a:cxn>
            <a:cxn ang="T46">
              <a:pos x="T16" y="T17"/>
            </a:cxn>
            <a:cxn ang="T47">
              <a:pos x="T18" y="T19"/>
            </a:cxn>
            <a:cxn ang="T48">
              <a:pos x="T20" y="T21"/>
            </a:cxn>
            <a:cxn ang="T49">
              <a:pos x="T22" y="T23"/>
            </a:cxn>
            <a:cxn ang="T50">
              <a:pos x="T24" y="T25"/>
            </a:cxn>
            <a:cxn ang="T51">
              <a:pos x="T26" y="T27"/>
            </a:cxn>
            <a:cxn ang="T52">
              <a:pos x="T28" y="T29"/>
            </a:cxn>
            <a:cxn ang="T53">
              <a:pos x="T30" y="T31"/>
            </a:cxn>
            <a:cxn ang="T54">
              <a:pos x="T32" y="T33"/>
            </a:cxn>
            <a:cxn ang="T55">
              <a:pos x="T34" y="T35"/>
            </a:cxn>
            <a:cxn ang="T56">
              <a:pos x="T36" y="T37"/>
            </a:cxn>
          </a:cxnLst>
          <a:rect l="T57" t="T58" r="T59" b="T60"/>
          <a:pathLst>
            <a:path w="92" h="72">
              <a:moveTo>
                <a:pt x="85" y="72"/>
              </a:moveTo>
              <a:lnTo>
                <a:pt x="92" y="72"/>
              </a:lnTo>
              <a:lnTo>
                <a:pt x="92" y="35"/>
              </a:lnTo>
              <a:lnTo>
                <a:pt x="78" y="0"/>
              </a:lnTo>
              <a:lnTo>
                <a:pt x="58" y="8"/>
              </a:lnTo>
              <a:lnTo>
                <a:pt x="43" y="8"/>
              </a:lnTo>
              <a:lnTo>
                <a:pt x="48" y="0"/>
              </a:lnTo>
              <a:lnTo>
                <a:pt x="15" y="0"/>
              </a:lnTo>
              <a:lnTo>
                <a:pt x="15" y="8"/>
              </a:lnTo>
              <a:lnTo>
                <a:pt x="0" y="28"/>
              </a:lnTo>
              <a:lnTo>
                <a:pt x="21" y="43"/>
              </a:lnTo>
              <a:lnTo>
                <a:pt x="37" y="35"/>
              </a:lnTo>
              <a:lnTo>
                <a:pt x="43" y="35"/>
              </a:lnTo>
              <a:lnTo>
                <a:pt x="58" y="52"/>
              </a:lnTo>
              <a:lnTo>
                <a:pt x="58" y="59"/>
              </a:lnTo>
              <a:lnTo>
                <a:pt x="63" y="52"/>
              </a:lnTo>
              <a:lnTo>
                <a:pt x="78" y="72"/>
              </a:lnTo>
              <a:lnTo>
                <a:pt x="85" y="72"/>
              </a:lnTo>
              <a:close/>
            </a:path>
          </a:pathLst>
        </a:custGeom>
        <a:solidFill>
          <a:srgbClr val="F5F5F5"/>
        </a:solidFill>
        <a:ln w="9525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36576" tIns="32004" rIns="0" bIns="0" anchor="t"/>
        <a:lstStyle/>
        <a:p>
          <a:pPr algn="l" rtl="0">
            <a:defRPr sz="1000"/>
          </a:pPr>
          <a:endParaRPr lang="en-US" sz="16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en-US"/>
        </a:p>
      </xdr:txBody>
    </xdr:sp>
    <xdr:clientData/>
  </xdr:twoCellAnchor>
  <xdr:twoCellAnchor>
    <xdr:from>
      <xdr:col>8</xdr:col>
      <xdr:colOff>695325</xdr:colOff>
      <xdr:row>29</xdr:row>
      <xdr:rowOff>47625</xdr:rowOff>
    </xdr:from>
    <xdr:to>
      <xdr:col>9</xdr:col>
      <xdr:colOff>57150</xdr:colOff>
      <xdr:row>29</xdr:row>
      <xdr:rowOff>152400</xdr:rowOff>
    </xdr:to>
    <xdr:sp macro="" textlink="">
      <xdr:nvSpPr>
        <xdr:cNvPr id="25798" name="S_SLE"/>
        <xdr:cNvSpPr>
          <a:spLocks/>
        </xdr:cNvSpPr>
      </xdr:nvSpPr>
      <xdr:spPr bwMode="auto">
        <a:xfrm>
          <a:off x="5095875" y="4591050"/>
          <a:ext cx="76200" cy="104775"/>
        </a:xfrm>
        <a:custGeom>
          <a:avLst/>
          <a:gdLst>
            <a:gd name="T0" fmla="*/ 0 w 37"/>
            <a:gd name="T1" fmla="*/ 39756544 h 47"/>
            <a:gd name="T2" fmla="*/ 63620811 w 37"/>
            <a:gd name="T3" fmla="*/ 0 h 47"/>
            <a:gd name="T4" fmla="*/ 93309983 w 37"/>
            <a:gd name="T5" fmla="*/ 0 h 47"/>
            <a:gd name="T6" fmla="*/ 156930810 w 37"/>
            <a:gd name="T7" fmla="*/ 84482096 h 47"/>
            <a:gd name="T8" fmla="*/ 156930810 w 37"/>
            <a:gd name="T9" fmla="*/ 124238623 h 47"/>
            <a:gd name="T10" fmla="*/ 93309983 w 37"/>
            <a:gd name="T11" fmla="*/ 233570220 h 47"/>
            <a:gd name="T12" fmla="*/ 63620811 w 37"/>
            <a:gd name="T13" fmla="*/ 193813693 h 47"/>
            <a:gd name="T14" fmla="*/ 0 w 37"/>
            <a:gd name="T15" fmla="*/ 193813693 h 47"/>
            <a:gd name="T16" fmla="*/ 0 w 37"/>
            <a:gd name="T17" fmla="*/ 39756544 h 47"/>
            <a:gd name="T18" fmla="*/ 0 w 37"/>
            <a:gd name="T19" fmla="*/ 39756544 h 47"/>
            <a:gd name="T20" fmla="*/ 0 w 37"/>
            <a:gd name="T21" fmla="*/ 39756544 h 47"/>
            <a:gd name="T22" fmla="*/ 0 60000 65536"/>
            <a:gd name="T23" fmla="*/ 0 60000 65536"/>
            <a:gd name="T24" fmla="*/ 0 60000 65536"/>
            <a:gd name="T25" fmla="*/ 0 60000 65536"/>
            <a:gd name="T26" fmla="*/ 0 60000 65536"/>
            <a:gd name="T27" fmla="*/ 0 60000 65536"/>
            <a:gd name="T28" fmla="*/ 0 60000 65536"/>
            <a:gd name="T29" fmla="*/ 0 60000 65536"/>
            <a:gd name="T30" fmla="*/ 0 60000 65536"/>
            <a:gd name="T31" fmla="*/ 0 60000 65536"/>
            <a:gd name="T32" fmla="*/ 0 60000 65536"/>
            <a:gd name="T33" fmla="*/ 0 w 37"/>
            <a:gd name="T34" fmla="*/ 0 h 47"/>
            <a:gd name="T35" fmla="*/ 37 w 37"/>
            <a:gd name="T36" fmla="*/ 47 h 47"/>
          </a:gdLst>
          <a:ahLst/>
          <a:cxnLst>
            <a:cxn ang="T22">
              <a:pos x="T0" y="T1"/>
            </a:cxn>
            <a:cxn ang="T23">
              <a:pos x="T2" y="T3"/>
            </a:cxn>
            <a:cxn ang="T24">
              <a:pos x="T4" y="T5"/>
            </a:cxn>
            <a:cxn ang="T25">
              <a:pos x="T6" y="T7"/>
            </a:cxn>
            <a:cxn ang="T26">
              <a:pos x="T8" y="T9"/>
            </a:cxn>
            <a:cxn ang="T27">
              <a:pos x="T10" y="T11"/>
            </a:cxn>
            <a:cxn ang="T28">
              <a:pos x="T12" y="T13"/>
            </a:cxn>
            <a:cxn ang="T29">
              <a:pos x="T14" y="T15"/>
            </a:cxn>
            <a:cxn ang="T30">
              <a:pos x="T16" y="T17"/>
            </a:cxn>
            <a:cxn ang="T31">
              <a:pos x="T18" y="T19"/>
            </a:cxn>
            <a:cxn ang="T32">
              <a:pos x="T20" y="T21"/>
            </a:cxn>
          </a:cxnLst>
          <a:rect l="T33" t="T34" r="T35" b="T36"/>
          <a:pathLst>
            <a:path w="37" h="47">
              <a:moveTo>
                <a:pt x="0" y="8"/>
              </a:moveTo>
              <a:lnTo>
                <a:pt x="15" y="0"/>
              </a:lnTo>
              <a:lnTo>
                <a:pt x="22" y="0"/>
              </a:lnTo>
              <a:lnTo>
                <a:pt x="37" y="17"/>
              </a:lnTo>
              <a:lnTo>
                <a:pt x="37" y="25"/>
              </a:lnTo>
              <a:lnTo>
                <a:pt x="22" y="47"/>
              </a:lnTo>
              <a:lnTo>
                <a:pt x="15" y="39"/>
              </a:lnTo>
              <a:lnTo>
                <a:pt x="0" y="39"/>
              </a:lnTo>
              <a:lnTo>
                <a:pt x="0" y="8"/>
              </a:lnTo>
              <a:close/>
            </a:path>
          </a:pathLst>
        </a:custGeom>
        <a:solidFill>
          <a:srgbClr val="F5F5F5"/>
        </a:solidFill>
        <a:ln w="9525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36576" tIns="32004" rIns="0" bIns="0" anchor="t"/>
        <a:lstStyle/>
        <a:p>
          <a:pPr algn="l" rtl="0">
            <a:defRPr sz="1000"/>
          </a:pPr>
          <a:endParaRPr lang="en-US" sz="16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en-US"/>
        </a:p>
      </xdr:txBody>
    </xdr:sp>
    <xdr:clientData/>
  </xdr:twoCellAnchor>
  <xdr:twoCellAnchor>
    <xdr:from>
      <xdr:col>9</xdr:col>
      <xdr:colOff>28575</xdr:colOff>
      <xdr:row>29</xdr:row>
      <xdr:rowOff>85725</xdr:rowOff>
    </xdr:from>
    <xdr:to>
      <xdr:col>9</xdr:col>
      <xdr:colOff>152400</xdr:colOff>
      <xdr:row>30</xdr:row>
      <xdr:rowOff>66675</xdr:rowOff>
    </xdr:to>
    <xdr:sp macro="" textlink="">
      <xdr:nvSpPr>
        <xdr:cNvPr id="25799" name="S_LBR"/>
        <xdr:cNvSpPr>
          <a:spLocks/>
        </xdr:cNvSpPr>
      </xdr:nvSpPr>
      <xdr:spPr bwMode="auto">
        <a:xfrm>
          <a:off x="5143500" y="4629150"/>
          <a:ext cx="123825" cy="142875"/>
        </a:xfrm>
        <a:custGeom>
          <a:avLst/>
          <a:gdLst>
            <a:gd name="T0" fmla="*/ 264355698 w 58"/>
            <a:gd name="T1" fmla="*/ 304675601 h 67"/>
            <a:gd name="T2" fmla="*/ 264355698 w 58"/>
            <a:gd name="T3" fmla="*/ 213728175 h 67"/>
            <a:gd name="T4" fmla="*/ 195987236 w 58"/>
            <a:gd name="T5" fmla="*/ 177348378 h 67"/>
            <a:gd name="T6" fmla="*/ 195987236 w 58"/>
            <a:gd name="T7" fmla="*/ 100042342 h 67"/>
            <a:gd name="T8" fmla="*/ 159525053 w 58"/>
            <a:gd name="T9" fmla="*/ 100042342 h 67"/>
            <a:gd name="T10" fmla="*/ 95714598 w 58"/>
            <a:gd name="T11" fmla="*/ 0 h 67"/>
            <a:gd name="T12" fmla="*/ 0 w 58"/>
            <a:gd name="T13" fmla="*/ 136422139 h 67"/>
            <a:gd name="T14" fmla="*/ 195987236 w 58"/>
            <a:gd name="T15" fmla="*/ 304675601 h 67"/>
            <a:gd name="T16" fmla="*/ 264355698 w 58"/>
            <a:gd name="T17" fmla="*/ 304675601 h 67"/>
            <a:gd name="T18" fmla="*/ 264355698 w 58"/>
            <a:gd name="T19" fmla="*/ 304675601 h 67"/>
            <a:gd name="T20" fmla="*/ 0 60000 65536"/>
            <a:gd name="T21" fmla="*/ 0 60000 65536"/>
            <a:gd name="T22" fmla="*/ 0 60000 65536"/>
            <a:gd name="T23" fmla="*/ 0 60000 65536"/>
            <a:gd name="T24" fmla="*/ 0 60000 65536"/>
            <a:gd name="T25" fmla="*/ 0 60000 65536"/>
            <a:gd name="T26" fmla="*/ 0 60000 65536"/>
            <a:gd name="T27" fmla="*/ 0 60000 65536"/>
            <a:gd name="T28" fmla="*/ 0 60000 65536"/>
            <a:gd name="T29" fmla="*/ 0 60000 65536"/>
            <a:gd name="T30" fmla="*/ 0 w 58"/>
            <a:gd name="T31" fmla="*/ 0 h 67"/>
            <a:gd name="T32" fmla="*/ 58 w 58"/>
            <a:gd name="T33" fmla="*/ 67 h 67"/>
          </a:gdLst>
          <a:ahLst/>
          <a:cxnLst>
            <a:cxn ang="T20">
              <a:pos x="T0" y="T1"/>
            </a:cxn>
            <a:cxn ang="T21">
              <a:pos x="T2" y="T3"/>
            </a:cxn>
            <a:cxn ang="T22">
              <a:pos x="T4" y="T5"/>
            </a:cxn>
            <a:cxn ang="T23">
              <a:pos x="T6" y="T7"/>
            </a:cxn>
            <a:cxn ang="T24">
              <a:pos x="T8" y="T9"/>
            </a:cxn>
            <a:cxn ang="T25">
              <a:pos x="T10" y="T11"/>
            </a:cxn>
            <a:cxn ang="T26">
              <a:pos x="T12" y="T13"/>
            </a:cxn>
            <a:cxn ang="T27">
              <a:pos x="T14" y="T15"/>
            </a:cxn>
            <a:cxn ang="T28">
              <a:pos x="T16" y="T17"/>
            </a:cxn>
            <a:cxn ang="T29">
              <a:pos x="T18" y="T19"/>
            </a:cxn>
          </a:cxnLst>
          <a:rect l="T30" t="T31" r="T32" b="T33"/>
          <a:pathLst>
            <a:path w="58" h="67">
              <a:moveTo>
                <a:pt x="58" y="67"/>
              </a:moveTo>
              <a:lnTo>
                <a:pt x="58" y="47"/>
              </a:lnTo>
              <a:lnTo>
                <a:pt x="43" y="39"/>
              </a:lnTo>
              <a:lnTo>
                <a:pt x="43" y="22"/>
              </a:lnTo>
              <a:lnTo>
                <a:pt x="35" y="22"/>
              </a:lnTo>
              <a:lnTo>
                <a:pt x="21" y="0"/>
              </a:lnTo>
              <a:lnTo>
                <a:pt x="0" y="30"/>
              </a:lnTo>
              <a:lnTo>
                <a:pt x="43" y="67"/>
              </a:lnTo>
              <a:lnTo>
                <a:pt x="58" y="67"/>
              </a:lnTo>
              <a:close/>
            </a:path>
          </a:pathLst>
        </a:custGeom>
        <a:solidFill>
          <a:srgbClr val="F5F5F5"/>
        </a:solidFill>
        <a:ln w="9525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36576" tIns="32004" rIns="0" bIns="0" anchor="t"/>
        <a:lstStyle/>
        <a:p>
          <a:pPr algn="l" rtl="0">
            <a:defRPr sz="1000"/>
          </a:pPr>
          <a:endParaRPr lang="en-US" sz="16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en-US"/>
        </a:p>
      </xdr:txBody>
    </xdr:sp>
    <xdr:clientData/>
  </xdr:twoCellAnchor>
  <xdr:twoCellAnchor>
    <xdr:from>
      <xdr:col>9</xdr:col>
      <xdr:colOff>209550</xdr:colOff>
      <xdr:row>28</xdr:row>
      <xdr:rowOff>66675</xdr:rowOff>
    </xdr:from>
    <xdr:to>
      <xdr:col>9</xdr:col>
      <xdr:colOff>419100</xdr:colOff>
      <xdr:row>29</xdr:row>
      <xdr:rowOff>66675</xdr:rowOff>
    </xdr:to>
    <xdr:sp macro="" textlink="">
      <xdr:nvSpPr>
        <xdr:cNvPr id="25800" name="S_BFA"/>
        <xdr:cNvSpPr>
          <a:spLocks/>
        </xdr:cNvSpPr>
      </xdr:nvSpPr>
      <xdr:spPr bwMode="auto">
        <a:xfrm>
          <a:off x="5324475" y="4448175"/>
          <a:ext cx="209550" cy="161925"/>
        </a:xfrm>
        <a:custGeom>
          <a:avLst/>
          <a:gdLst>
            <a:gd name="T0" fmla="*/ 0 w 99"/>
            <a:gd name="T1" fmla="*/ 266293784 h 80"/>
            <a:gd name="T2" fmla="*/ 94085837 w 99"/>
            <a:gd name="T3" fmla="*/ 90129476 h 80"/>
            <a:gd name="T4" fmla="*/ 179211828 w 99"/>
            <a:gd name="T5" fmla="*/ 69645972 h 80"/>
            <a:gd name="T6" fmla="*/ 255375821 w 99"/>
            <a:gd name="T7" fmla="*/ 0 h 80"/>
            <a:gd name="T8" fmla="*/ 344980709 w 99"/>
            <a:gd name="T9" fmla="*/ 0 h 80"/>
            <a:gd name="T10" fmla="*/ 344980709 w 99"/>
            <a:gd name="T11" fmla="*/ 69645972 h 80"/>
            <a:gd name="T12" fmla="*/ 403225008 w 99"/>
            <a:gd name="T13" fmla="*/ 155678747 h 80"/>
            <a:gd name="T14" fmla="*/ 443547496 w 99"/>
            <a:gd name="T15" fmla="*/ 155678747 h 80"/>
            <a:gd name="T16" fmla="*/ 443547496 w 99"/>
            <a:gd name="T17" fmla="*/ 184357678 h 80"/>
            <a:gd name="T18" fmla="*/ 371862368 w 99"/>
            <a:gd name="T19" fmla="*/ 213034584 h 80"/>
            <a:gd name="T20" fmla="*/ 156809034 w 99"/>
            <a:gd name="T21" fmla="*/ 213034584 h 80"/>
            <a:gd name="T22" fmla="*/ 156809034 w 99"/>
            <a:gd name="T23" fmla="*/ 327746322 h 80"/>
            <a:gd name="T24" fmla="*/ 94085837 w 99"/>
            <a:gd name="T25" fmla="*/ 303166116 h 80"/>
            <a:gd name="T26" fmla="*/ 22400685 w 99"/>
            <a:gd name="T27" fmla="*/ 303166116 h 80"/>
            <a:gd name="T28" fmla="*/ 0 w 99"/>
            <a:gd name="T29" fmla="*/ 266293784 h 80"/>
            <a:gd name="T30" fmla="*/ 0 w 99"/>
            <a:gd name="T31" fmla="*/ 266293784 h 80"/>
            <a:gd name="T32" fmla="*/ 0 w 99"/>
            <a:gd name="T33" fmla="*/ 266293784 h 80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w 99"/>
            <a:gd name="T52" fmla="*/ 0 h 80"/>
            <a:gd name="T53" fmla="*/ 99 w 99"/>
            <a:gd name="T54" fmla="*/ 80 h 80"/>
          </a:gdLst>
          <a:ahLst/>
          <a:cxnLst>
            <a:cxn ang="T34">
              <a:pos x="T0" y="T1"/>
            </a:cxn>
            <a:cxn ang="T35">
              <a:pos x="T2" y="T3"/>
            </a:cxn>
            <a:cxn ang="T36">
              <a:pos x="T4" y="T5"/>
            </a:cxn>
            <a:cxn ang="T37">
              <a:pos x="T6" y="T7"/>
            </a:cxn>
            <a:cxn ang="T38">
              <a:pos x="T8" y="T9"/>
            </a:cxn>
            <a:cxn ang="T39">
              <a:pos x="T10" y="T11"/>
            </a:cxn>
            <a:cxn ang="T40">
              <a:pos x="T12" y="T13"/>
            </a:cxn>
            <a:cxn ang="T41">
              <a:pos x="T14" y="T15"/>
            </a:cxn>
            <a:cxn ang="T42">
              <a:pos x="T16" y="T17"/>
            </a:cxn>
            <a:cxn ang="T43">
              <a:pos x="T18" y="T19"/>
            </a:cxn>
            <a:cxn ang="T44">
              <a:pos x="T20" y="T21"/>
            </a:cxn>
            <a:cxn ang="T45">
              <a:pos x="T22" y="T23"/>
            </a:cxn>
            <a:cxn ang="T46">
              <a:pos x="T24" y="T25"/>
            </a:cxn>
            <a:cxn ang="T47">
              <a:pos x="T26" y="T27"/>
            </a:cxn>
            <a:cxn ang="T48">
              <a:pos x="T28" y="T29"/>
            </a:cxn>
            <a:cxn ang="T49">
              <a:pos x="T30" y="T31"/>
            </a:cxn>
            <a:cxn ang="T50">
              <a:pos x="T32" y="T33"/>
            </a:cxn>
          </a:cxnLst>
          <a:rect l="T51" t="T52" r="T53" b="T54"/>
          <a:pathLst>
            <a:path w="99" h="80">
              <a:moveTo>
                <a:pt x="0" y="65"/>
              </a:moveTo>
              <a:lnTo>
                <a:pt x="21" y="22"/>
              </a:lnTo>
              <a:lnTo>
                <a:pt x="40" y="17"/>
              </a:lnTo>
              <a:lnTo>
                <a:pt x="57" y="0"/>
              </a:lnTo>
              <a:lnTo>
                <a:pt x="77" y="0"/>
              </a:lnTo>
              <a:lnTo>
                <a:pt x="77" y="17"/>
              </a:lnTo>
              <a:lnTo>
                <a:pt x="90" y="38"/>
              </a:lnTo>
              <a:lnTo>
                <a:pt x="99" y="38"/>
              </a:lnTo>
              <a:lnTo>
                <a:pt x="99" y="45"/>
              </a:lnTo>
              <a:lnTo>
                <a:pt x="83" y="52"/>
              </a:lnTo>
              <a:lnTo>
                <a:pt x="35" y="52"/>
              </a:lnTo>
              <a:lnTo>
                <a:pt x="35" y="80"/>
              </a:lnTo>
              <a:lnTo>
                <a:pt x="21" y="74"/>
              </a:lnTo>
              <a:lnTo>
                <a:pt x="5" y="74"/>
              </a:lnTo>
              <a:lnTo>
                <a:pt x="0" y="65"/>
              </a:lnTo>
              <a:close/>
            </a:path>
          </a:pathLst>
        </a:custGeom>
        <a:solidFill>
          <a:srgbClr val="F5F5F5"/>
        </a:solidFill>
        <a:ln w="9525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36576" tIns="32004" rIns="0" bIns="0" anchor="t"/>
        <a:lstStyle/>
        <a:p>
          <a:pPr algn="l" rtl="0">
            <a:defRPr sz="1000"/>
          </a:pPr>
          <a:endParaRPr lang="en-US" sz="16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en-US"/>
        </a:p>
      </xdr:txBody>
    </xdr:sp>
    <xdr:clientData/>
  </xdr:twoCellAnchor>
  <xdr:twoCellAnchor>
    <xdr:from>
      <xdr:col>9</xdr:col>
      <xdr:colOff>342900</xdr:colOff>
      <xdr:row>29</xdr:row>
      <xdr:rowOff>19050</xdr:rowOff>
    </xdr:from>
    <xdr:to>
      <xdr:col>9</xdr:col>
      <xdr:colOff>400050</xdr:colOff>
      <xdr:row>30</xdr:row>
      <xdr:rowOff>9525</xdr:rowOff>
    </xdr:to>
    <xdr:sp macro="" textlink="">
      <xdr:nvSpPr>
        <xdr:cNvPr id="25801" name="S_TGO"/>
        <xdr:cNvSpPr>
          <a:spLocks/>
        </xdr:cNvSpPr>
      </xdr:nvSpPr>
      <xdr:spPr bwMode="auto">
        <a:xfrm>
          <a:off x="5457825" y="4562475"/>
          <a:ext cx="57150" cy="152400"/>
        </a:xfrm>
        <a:custGeom>
          <a:avLst/>
          <a:gdLst>
            <a:gd name="T0" fmla="*/ 98566822 w 27"/>
            <a:gd name="T1" fmla="*/ 0 h 75"/>
            <a:gd name="T2" fmla="*/ 0 w 27"/>
            <a:gd name="T3" fmla="*/ 0 h 75"/>
            <a:gd name="T4" fmla="*/ 98566822 w 27"/>
            <a:gd name="T5" fmla="*/ 276644622 h 75"/>
            <a:gd name="T6" fmla="*/ 98566822 w 27"/>
            <a:gd name="T7" fmla="*/ 309676801 h 75"/>
            <a:gd name="T8" fmla="*/ 120967499 w 27"/>
            <a:gd name="T9" fmla="*/ 309676801 h 75"/>
            <a:gd name="T10" fmla="*/ 120967499 w 27"/>
            <a:gd name="T11" fmla="*/ 86709500 h 75"/>
            <a:gd name="T12" fmla="*/ 98566822 w 27"/>
            <a:gd name="T13" fmla="*/ 53677306 h 75"/>
            <a:gd name="T14" fmla="*/ 98566822 w 27"/>
            <a:gd name="T15" fmla="*/ 0 h 75"/>
            <a:gd name="T16" fmla="*/ 98566822 w 27"/>
            <a:gd name="T17" fmla="*/ 0 h 75"/>
            <a:gd name="T18" fmla="*/ 98566822 w 27"/>
            <a:gd name="T19" fmla="*/ 0 h 75"/>
            <a:gd name="T20" fmla="*/ 0 60000 65536"/>
            <a:gd name="T21" fmla="*/ 0 60000 65536"/>
            <a:gd name="T22" fmla="*/ 0 60000 65536"/>
            <a:gd name="T23" fmla="*/ 0 60000 65536"/>
            <a:gd name="T24" fmla="*/ 0 60000 65536"/>
            <a:gd name="T25" fmla="*/ 0 60000 65536"/>
            <a:gd name="T26" fmla="*/ 0 60000 65536"/>
            <a:gd name="T27" fmla="*/ 0 60000 65536"/>
            <a:gd name="T28" fmla="*/ 0 60000 65536"/>
            <a:gd name="T29" fmla="*/ 0 60000 65536"/>
            <a:gd name="T30" fmla="*/ 0 w 27"/>
            <a:gd name="T31" fmla="*/ 0 h 75"/>
            <a:gd name="T32" fmla="*/ 27 w 27"/>
            <a:gd name="T33" fmla="*/ 75 h 75"/>
          </a:gdLst>
          <a:ahLst/>
          <a:cxnLst>
            <a:cxn ang="T20">
              <a:pos x="T0" y="T1"/>
            </a:cxn>
            <a:cxn ang="T21">
              <a:pos x="T2" y="T3"/>
            </a:cxn>
            <a:cxn ang="T22">
              <a:pos x="T4" y="T5"/>
            </a:cxn>
            <a:cxn ang="T23">
              <a:pos x="T6" y="T7"/>
            </a:cxn>
            <a:cxn ang="T24">
              <a:pos x="T8" y="T9"/>
            </a:cxn>
            <a:cxn ang="T25">
              <a:pos x="T10" y="T11"/>
            </a:cxn>
            <a:cxn ang="T26">
              <a:pos x="T12" y="T13"/>
            </a:cxn>
            <a:cxn ang="T27">
              <a:pos x="T14" y="T15"/>
            </a:cxn>
            <a:cxn ang="T28">
              <a:pos x="T16" y="T17"/>
            </a:cxn>
            <a:cxn ang="T29">
              <a:pos x="T18" y="T19"/>
            </a:cxn>
          </a:cxnLst>
          <a:rect l="T30" t="T31" r="T32" b="T33"/>
          <a:pathLst>
            <a:path w="27" h="75">
              <a:moveTo>
                <a:pt x="22" y="0"/>
              </a:moveTo>
              <a:lnTo>
                <a:pt x="0" y="0"/>
              </a:lnTo>
              <a:lnTo>
                <a:pt x="22" y="67"/>
              </a:lnTo>
              <a:lnTo>
                <a:pt x="22" y="75"/>
              </a:lnTo>
              <a:lnTo>
                <a:pt x="27" y="75"/>
              </a:lnTo>
              <a:lnTo>
                <a:pt x="27" y="21"/>
              </a:lnTo>
              <a:lnTo>
                <a:pt x="22" y="13"/>
              </a:lnTo>
              <a:lnTo>
                <a:pt x="22" y="0"/>
              </a:lnTo>
              <a:close/>
            </a:path>
          </a:pathLst>
        </a:custGeom>
        <a:solidFill>
          <a:srgbClr val="F5F5F5"/>
        </a:solidFill>
        <a:ln w="9525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36576" tIns="32004" rIns="0" bIns="0" anchor="t"/>
        <a:lstStyle/>
        <a:p>
          <a:pPr algn="l" rtl="0">
            <a:defRPr sz="1000"/>
          </a:pPr>
          <a:endParaRPr lang="en-US" sz="16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en-US"/>
        </a:p>
      </xdr:txBody>
    </xdr:sp>
    <xdr:clientData/>
  </xdr:twoCellAnchor>
  <xdr:twoCellAnchor>
    <xdr:from>
      <xdr:col>9</xdr:col>
      <xdr:colOff>381000</xdr:colOff>
      <xdr:row>28</xdr:row>
      <xdr:rowOff>142875</xdr:rowOff>
    </xdr:from>
    <xdr:to>
      <xdr:col>9</xdr:col>
      <xdr:colOff>466725</xdr:colOff>
      <xdr:row>30</xdr:row>
      <xdr:rowOff>9525</xdr:rowOff>
    </xdr:to>
    <xdr:sp macro="" textlink="">
      <xdr:nvSpPr>
        <xdr:cNvPr id="25802" name="S_BEN"/>
        <xdr:cNvSpPr>
          <a:spLocks/>
        </xdr:cNvSpPr>
      </xdr:nvSpPr>
      <xdr:spPr bwMode="auto">
        <a:xfrm>
          <a:off x="5495925" y="4524375"/>
          <a:ext cx="85725" cy="190500"/>
        </a:xfrm>
        <a:custGeom>
          <a:avLst/>
          <a:gdLst>
            <a:gd name="T0" fmla="*/ 85887183 w 37"/>
            <a:gd name="T1" fmla="*/ 42876997 h 92"/>
            <a:gd name="T2" fmla="*/ 0 w 37"/>
            <a:gd name="T3" fmla="*/ 72889035 h 92"/>
            <a:gd name="T4" fmla="*/ 0 w 37"/>
            <a:gd name="T5" fmla="*/ 128628903 h 92"/>
            <a:gd name="T6" fmla="*/ 48311828 w 37"/>
            <a:gd name="T7" fmla="*/ 162929277 h 92"/>
            <a:gd name="T8" fmla="*/ 48311828 w 37"/>
            <a:gd name="T9" fmla="*/ 394459238 h 92"/>
            <a:gd name="T10" fmla="*/ 128830757 w 37"/>
            <a:gd name="T11" fmla="*/ 394459238 h 92"/>
            <a:gd name="T12" fmla="*/ 128830757 w 37"/>
            <a:gd name="T13" fmla="*/ 265830303 h 92"/>
            <a:gd name="T14" fmla="*/ 198615548 w 37"/>
            <a:gd name="T15" fmla="*/ 128628903 h 92"/>
            <a:gd name="T16" fmla="*/ 198615548 w 37"/>
            <a:gd name="T17" fmla="*/ 42876997 h 92"/>
            <a:gd name="T18" fmla="*/ 128830757 w 37"/>
            <a:gd name="T19" fmla="*/ 0 h 92"/>
            <a:gd name="T20" fmla="*/ 85887183 w 37"/>
            <a:gd name="T21" fmla="*/ 0 h 92"/>
            <a:gd name="T22" fmla="*/ 85887183 w 37"/>
            <a:gd name="T23" fmla="*/ 42876997 h 92"/>
            <a:gd name="T24" fmla="*/ 85887183 w 37"/>
            <a:gd name="T25" fmla="*/ 42876997 h 92"/>
            <a:gd name="T26" fmla="*/ 85887183 w 37"/>
            <a:gd name="T27" fmla="*/ 42876997 h 92"/>
            <a:gd name="T28" fmla="*/ 0 60000 65536"/>
            <a:gd name="T29" fmla="*/ 0 60000 65536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w 37"/>
            <a:gd name="T43" fmla="*/ 0 h 92"/>
            <a:gd name="T44" fmla="*/ 37 w 37"/>
            <a:gd name="T45" fmla="*/ 92 h 92"/>
          </a:gdLst>
          <a:ahLst/>
          <a:cxnLst>
            <a:cxn ang="T28">
              <a:pos x="T0" y="T1"/>
            </a:cxn>
            <a:cxn ang="T29">
              <a:pos x="T2" y="T3"/>
            </a:cxn>
            <a:cxn ang="T30">
              <a:pos x="T4" y="T5"/>
            </a:cxn>
            <a:cxn ang="T31">
              <a:pos x="T6" y="T7"/>
            </a:cxn>
            <a:cxn ang="T32">
              <a:pos x="T8" y="T9"/>
            </a:cxn>
            <a:cxn ang="T33">
              <a:pos x="T10" y="T11"/>
            </a:cxn>
            <a:cxn ang="T34">
              <a:pos x="T12" y="T13"/>
            </a:cxn>
            <a:cxn ang="T35">
              <a:pos x="T14" y="T15"/>
            </a:cxn>
            <a:cxn ang="T36">
              <a:pos x="T16" y="T17"/>
            </a:cxn>
            <a:cxn ang="T37">
              <a:pos x="T18" y="T19"/>
            </a:cxn>
            <a:cxn ang="T38">
              <a:pos x="T20" y="T21"/>
            </a:cxn>
            <a:cxn ang="T39">
              <a:pos x="T22" y="T23"/>
            </a:cxn>
            <a:cxn ang="T40">
              <a:pos x="T24" y="T25"/>
            </a:cxn>
            <a:cxn ang="T41">
              <a:pos x="T26" y="T27"/>
            </a:cxn>
          </a:cxnLst>
          <a:rect l="T42" t="T43" r="T44" b="T45"/>
          <a:pathLst>
            <a:path w="37" h="92">
              <a:moveTo>
                <a:pt x="16" y="10"/>
              </a:moveTo>
              <a:lnTo>
                <a:pt x="0" y="17"/>
              </a:lnTo>
              <a:lnTo>
                <a:pt x="0" y="30"/>
              </a:lnTo>
              <a:lnTo>
                <a:pt x="9" y="38"/>
              </a:lnTo>
              <a:lnTo>
                <a:pt x="9" y="92"/>
              </a:lnTo>
              <a:lnTo>
                <a:pt x="24" y="92"/>
              </a:lnTo>
              <a:lnTo>
                <a:pt x="24" y="62"/>
              </a:lnTo>
              <a:lnTo>
                <a:pt x="37" y="30"/>
              </a:lnTo>
              <a:lnTo>
                <a:pt x="37" y="10"/>
              </a:lnTo>
              <a:lnTo>
                <a:pt x="24" y="0"/>
              </a:lnTo>
              <a:lnTo>
                <a:pt x="16" y="0"/>
              </a:lnTo>
              <a:lnTo>
                <a:pt x="16" y="10"/>
              </a:lnTo>
              <a:close/>
            </a:path>
          </a:pathLst>
        </a:custGeom>
        <a:solidFill>
          <a:srgbClr val="F5F5F5"/>
        </a:solidFill>
        <a:ln w="9525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36576" tIns="32004" rIns="0" bIns="0" anchor="t"/>
        <a:lstStyle/>
        <a:p>
          <a:pPr algn="l" rtl="0">
            <a:defRPr sz="1000"/>
          </a:pPr>
          <a:endParaRPr lang="en-US" sz="16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en-US"/>
        </a:p>
      </xdr:txBody>
    </xdr:sp>
    <xdr:clientData/>
  </xdr:twoCellAnchor>
  <xdr:twoCellAnchor>
    <xdr:from>
      <xdr:col>9</xdr:col>
      <xdr:colOff>628650</xdr:colOff>
      <xdr:row>30</xdr:row>
      <xdr:rowOff>133350</xdr:rowOff>
    </xdr:from>
    <xdr:to>
      <xdr:col>9</xdr:col>
      <xdr:colOff>676275</xdr:colOff>
      <xdr:row>31</xdr:row>
      <xdr:rowOff>19050</xdr:rowOff>
    </xdr:to>
    <xdr:sp macro="" textlink="">
      <xdr:nvSpPr>
        <xdr:cNvPr id="25803" name="S_GNQ"/>
        <xdr:cNvSpPr>
          <a:spLocks/>
        </xdr:cNvSpPr>
      </xdr:nvSpPr>
      <xdr:spPr bwMode="auto">
        <a:xfrm>
          <a:off x="5743575" y="4838700"/>
          <a:ext cx="47625" cy="47625"/>
        </a:xfrm>
        <a:custGeom>
          <a:avLst/>
          <a:gdLst>
            <a:gd name="T0" fmla="*/ 113407025 w 20"/>
            <a:gd name="T1" fmla="*/ 0 h 27"/>
            <a:gd name="T2" fmla="*/ 113407025 w 20"/>
            <a:gd name="T3" fmla="*/ 84005212 h 27"/>
            <a:gd name="T4" fmla="*/ 0 w 20"/>
            <a:gd name="T5" fmla="*/ 84005212 h 27"/>
            <a:gd name="T6" fmla="*/ 45362814 w 20"/>
            <a:gd name="T7" fmla="*/ 0 h 27"/>
            <a:gd name="T8" fmla="*/ 113407025 w 20"/>
            <a:gd name="T9" fmla="*/ 0 h 27"/>
            <a:gd name="T10" fmla="*/ 113407025 w 20"/>
            <a:gd name="T11" fmla="*/ 0 h 27"/>
            <a:gd name="T12" fmla="*/ 0 60000 65536"/>
            <a:gd name="T13" fmla="*/ 0 60000 65536"/>
            <a:gd name="T14" fmla="*/ 0 60000 65536"/>
            <a:gd name="T15" fmla="*/ 0 60000 65536"/>
            <a:gd name="T16" fmla="*/ 0 60000 65536"/>
            <a:gd name="T17" fmla="*/ 0 60000 65536"/>
            <a:gd name="T18" fmla="*/ 0 w 20"/>
            <a:gd name="T19" fmla="*/ 0 h 27"/>
            <a:gd name="T20" fmla="*/ 20 w 20"/>
            <a:gd name="T21" fmla="*/ 27 h 27"/>
          </a:gdLst>
          <a:ahLst/>
          <a:cxnLst>
            <a:cxn ang="T12">
              <a:pos x="T0" y="T1"/>
            </a:cxn>
            <a:cxn ang="T13">
              <a:pos x="T2" y="T3"/>
            </a:cxn>
            <a:cxn ang="T14">
              <a:pos x="T4" y="T5"/>
            </a:cxn>
            <a:cxn ang="T15">
              <a:pos x="T6" y="T7"/>
            </a:cxn>
            <a:cxn ang="T16">
              <a:pos x="T8" y="T9"/>
            </a:cxn>
            <a:cxn ang="T17">
              <a:pos x="T10" y="T11"/>
            </a:cxn>
          </a:cxnLst>
          <a:rect l="T18" t="T19" r="T20" b="T21"/>
          <a:pathLst>
            <a:path w="20" h="27">
              <a:moveTo>
                <a:pt x="20" y="0"/>
              </a:moveTo>
              <a:lnTo>
                <a:pt x="20" y="27"/>
              </a:lnTo>
              <a:lnTo>
                <a:pt x="0" y="27"/>
              </a:lnTo>
              <a:lnTo>
                <a:pt x="8" y="0"/>
              </a:lnTo>
              <a:lnTo>
                <a:pt x="20" y="0"/>
              </a:lnTo>
              <a:close/>
            </a:path>
          </a:pathLst>
        </a:custGeom>
        <a:solidFill>
          <a:srgbClr val="F5F5F5"/>
        </a:solidFill>
        <a:ln w="9525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36576" tIns="32004" rIns="0" bIns="0" anchor="t"/>
        <a:lstStyle/>
        <a:p>
          <a:pPr algn="l" rtl="0">
            <a:defRPr sz="1000"/>
          </a:pPr>
          <a:endParaRPr lang="en-US" sz="16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en-US"/>
        </a:p>
      </xdr:txBody>
    </xdr:sp>
    <xdr:clientData/>
  </xdr:twoCellAnchor>
  <xdr:twoCellAnchor>
    <xdr:from>
      <xdr:col>9</xdr:col>
      <xdr:colOff>666750</xdr:colOff>
      <xdr:row>30</xdr:row>
      <xdr:rowOff>85725</xdr:rowOff>
    </xdr:from>
    <xdr:to>
      <xdr:col>10</xdr:col>
      <xdr:colOff>171450</xdr:colOff>
      <xdr:row>32</xdr:row>
      <xdr:rowOff>28575</xdr:rowOff>
    </xdr:to>
    <xdr:sp macro="" textlink="">
      <xdr:nvSpPr>
        <xdr:cNvPr id="25804" name="S_COG"/>
        <xdr:cNvSpPr>
          <a:spLocks/>
        </xdr:cNvSpPr>
      </xdr:nvSpPr>
      <xdr:spPr bwMode="auto">
        <a:xfrm>
          <a:off x="5781675" y="4791075"/>
          <a:ext cx="219075" cy="266700"/>
        </a:xfrm>
        <a:custGeom>
          <a:avLst/>
          <a:gdLst>
            <a:gd name="T0" fmla="*/ 343815911 w 103"/>
            <a:gd name="T1" fmla="*/ 39071548 h 128"/>
            <a:gd name="T2" fmla="*/ 343815911 w 103"/>
            <a:gd name="T3" fmla="*/ 130241249 h 128"/>
            <a:gd name="T4" fmla="*/ 140239929 w 103"/>
            <a:gd name="T5" fmla="*/ 95509841 h 128"/>
            <a:gd name="T6" fmla="*/ 140239929 w 103"/>
            <a:gd name="T7" fmla="*/ 169312813 h 128"/>
            <a:gd name="T8" fmla="*/ 176431959 w 103"/>
            <a:gd name="T9" fmla="*/ 130241249 h 128"/>
            <a:gd name="T10" fmla="*/ 199049851 w 103"/>
            <a:gd name="T11" fmla="*/ 169312813 h 128"/>
            <a:gd name="T12" fmla="*/ 199049851 w 103"/>
            <a:gd name="T13" fmla="*/ 360332494 h 128"/>
            <a:gd name="T14" fmla="*/ 108573996 w 103"/>
            <a:gd name="T15" fmla="*/ 360332494 h 128"/>
            <a:gd name="T16" fmla="*/ 49761931 w 103"/>
            <a:gd name="T17" fmla="*/ 395063902 h 128"/>
            <a:gd name="T18" fmla="*/ 49761931 w 103"/>
            <a:gd name="T19" fmla="*/ 416770771 h 128"/>
            <a:gd name="T20" fmla="*/ 0 w 103"/>
            <a:gd name="T21" fmla="*/ 416770771 h 128"/>
            <a:gd name="T22" fmla="*/ 0 w 103"/>
            <a:gd name="T23" fmla="*/ 490573710 h 128"/>
            <a:gd name="T24" fmla="*/ 108573996 w 103"/>
            <a:gd name="T25" fmla="*/ 555694449 h 128"/>
            <a:gd name="T26" fmla="*/ 108573996 w 103"/>
            <a:gd name="T27" fmla="*/ 520962911 h 128"/>
            <a:gd name="T28" fmla="*/ 199049851 w 103"/>
            <a:gd name="T29" fmla="*/ 520962911 h 128"/>
            <a:gd name="T30" fmla="*/ 298575873 w 103"/>
            <a:gd name="T31" fmla="*/ 490573710 h 128"/>
            <a:gd name="T32" fmla="*/ 343815911 w 103"/>
            <a:gd name="T33" fmla="*/ 360332494 h 128"/>
            <a:gd name="T34" fmla="*/ 402625833 w 103"/>
            <a:gd name="T35" fmla="*/ 290871763 h 128"/>
            <a:gd name="T36" fmla="*/ 465959758 w 103"/>
            <a:gd name="T37" fmla="*/ 0 h 128"/>
            <a:gd name="T38" fmla="*/ 366433803 w 103"/>
            <a:gd name="T39" fmla="*/ 39071548 h 128"/>
            <a:gd name="T40" fmla="*/ 343815911 w 103"/>
            <a:gd name="T41" fmla="*/ 39071548 h 128"/>
            <a:gd name="T42" fmla="*/ 343815911 w 103"/>
            <a:gd name="T43" fmla="*/ 39071548 h 128"/>
            <a:gd name="T44" fmla="*/ 343815911 w 103"/>
            <a:gd name="T45" fmla="*/ 39071548 h 128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60000 65536"/>
            <a:gd name="T52" fmla="*/ 0 60000 65536"/>
            <a:gd name="T53" fmla="*/ 0 60000 65536"/>
            <a:gd name="T54" fmla="*/ 0 60000 65536"/>
            <a:gd name="T55" fmla="*/ 0 60000 65536"/>
            <a:gd name="T56" fmla="*/ 0 60000 65536"/>
            <a:gd name="T57" fmla="*/ 0 60000 65536"/>
            <a:gd name="T58" fmla="*/ 0 60000 65536"/>
            <a:gd name="T59" fmla="*/ 0 60000 65536"/>
            <a:gd name="T60" fmla="*/ 0 60000 65536"/>
            <a:gd name="T61" fmla="*/ 0 60000 65536"/>
            <a:gd name="T62" fmla="*/ 0 60000 65536"/>
            <a:gd name="T63" fmla="*/ 0 60000 65536"/>
            <a:gd name="T64" fmla="*/ 0 60000 65536"/>
            <a:gd name="T65" fmla="*/ 0 60000 65536"/>
            <a:gd name="T66" fmla="*/ 0 60000 65536"/>
            <a:gd name="T67" fmla="*/ 0 60000 65536"/>
            <a:gd name="T68" fmla="*/ 0 60000 65536"/>
            <a:gd name="T69" fmla="*/ 0 w 103"/>
            <a:gd name="T70" fmla="*/ 0 h 128"/>
            <a:gd name="T71" fmla="*/ 103 w 103"/>
            <a:gd name="T72" fmla="*/ 128 h 128"/>
          </a:gdLst>
          <a:ahLst/>
          <a:cxnLst>
            <a:cxn ang="T46">
              <a:pos x="T0" y="T1"/>
            </a:cxn>
            <a:cxn ang="T47">
              <a:pos x="T2" y="T3"/>
            </a:cxn>
            <a:cxn ang="T48">
              <a:pos x="T4" y="T5"/>
            </a:cxn>
            <a:cxn ang="T49">
              <a:pos x="T6" y="T7"/>
            </a:cxn>
            <a:cxn ang="T50">
              <a:pos x="T8" y="T9"/>
            </a:cxn>
            <a:cxn ang="T51">
              <a:pos x="T10" y="T11"/>
            </a:cxn>
            <a:cxn ang="T52">
              <a:pos x="T12" y="T13"/>
            </a:cxn>
            <a:cxn ang="T53">
              <a:pos x="T14" y="T15"/>
            </a:cxn>
            <a:cxn ang="T54">
              <a:pos x="T16" y="T17"/>
            </a:cxn>
            <a:cxn ang="T55">
              <a:pos x="T18" y="T19"/>
            </a:cxn>
            <a:cxn ang="T56">
              <a:pos x="T20" y="T21"/>
            </a:cxn>
            <a:cxn ang="T57">
              <a:pos x="T22" y="T23"/>
            </a:cxn>
            <a:cxn ang="T58">
              <a:pos x="T24" y="T25"/>
            </a:cxn>
            <a:cxn ang="T59">
              <a:pos x="T26" y="T27"/>
            </a:cxn>
            <a:cxn ang="T60">
              <a:pos x="T28" y="T29"/>
            </a:cxn>
            <a:cxn ang="T61">
              <a:pos x="T30" y="T31"/>
            </a:cxn>
            <a:cxn ang="T62">
              <a:pos x="T32" y="T33"/>
            </a:cxn>
            <a:cxn ang="T63">
              <a:pos x="T34" y="T35"/>
            </a:cxn>
            <a:cxn ang="T64">
              <a:pos x="T36" y="T37"/>
            </a:cxn>
            <a:cxn ang="T65">
              <a:pos x="T38" y="T39"/>
            </a:cxn>
            <a:cxn ang="T66">
              <a:pos x="T40" y="T41"/>
            </a:cxn>
            <a:cxn ang="T67">
              <a:pos x="T42" y="T43"/>
            </a:cxn>
            <a:cxn ang="T68">
              <a:pos x="T44" y="T45"/>
            </a:cxn>
          </a:cxnLst>
          <a:rect l="T69" t="T70" r="T71" b="T72"/>
          <a:pathLst>
            <a:path w="103" h="128">
              <a:moveTo>
                <a:pt x="76" y="9"/>
              </a:moveTo>
              <a:lnTo>
                <a:pt x="76" y="30"/>
              </a:lnTo>
              <a:lnTo>
                <a:pt x="31" y="22"/>
              </a:lnTo>
              <a:lnTo>
                <a:pt x="31" y="39"/>
              </a:lnTo>
              <a:lnTo>
                <a:pt x="39" y="30"/>
              </a:lnTo>
              <a:lnTo>
                <a:pt x="44" y="39"/>
              </a:lnTo>
              <a:lnTo>
                <a:pt x="44" y="83"/>
              </a:lnTo>
              <a:lnTo>
                <a:pt x="24" y="83"/>
              </a:lnTo>
              <a:lnTo>
                <a:pt x="11" y="91"/>
              </a:lnTo>
              <a:lnTo>
                <a:pt x="11" y="96"/>
              </a:lnTo>
              <a:lnTo>
                <a:pt x="0" y="96"/>
              </a:lnTo>
              <a:lnTo>
                <a:pt x="0" y="113"/>
              </a:lnTo>
              <a:lnTo>
                <a:pt x="24" y="128"/>
              </a:lnTo>
              <a:lnTo>
                <a:pt x="24" y="120"/>
              </a:lnTo>
              <a:lnTo>
                <a:pt x="44" y="120"/>
              </a:lnTo>
              <a:lnTo>
                <a:pt x="66" y="113"/>
              </a:lnTo>
              <a:lnTo>
                <a:pt x="76" y="83"/>
              </a:lnTo>
              <a:lnTo>
                <a:pt x="89" y="67"/>
              </a:lnTo>
              <a:lnTo>
                <a:pt x="103" y="0"/>
              </a:lnTo>
              <a:lnTo>
                <a:pt x="81" y="9"/>
              </a:lnTo>
              <a:lnTo>
                <a:pt x="76" y="9"/>
              </a:lnTo>
              <a:close/>
            </a:path>
          </a:pathLst>
        </a:custGeom>
        <a:solidFill>
          <a:srgbClr val="F5F5F5"/>
        </a:solidFill>
        <a:ln w="9525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36576" tIns="32004" rIns="0" bIns="0" anchor="t"/>
        <a:lstStyle/>
        <a:p>
          <a:pPr algn="l" rtl="0">
            <a:defRPr sz="1000"/>
          </a:pPr>
          <a:endParaRPr lang="en-US" sz="16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en-US"/>
        </a:p>
      </xdr:txBody>
    </xdr:sp>
    <xdr:clientData/>
  </xdr:twoCellAnchor>
  <xdr:twoCellAnchor>
    <xdr:from>
      <xdr:col>10</xdr:col>
      <xdr:colOff>485775</xdr:colOff>
      <xdr:row>31</xdr:row>
      <xdr:rowOff>114300</xdr:rowOff>
    </xdr:from>
    <xdr:to>
      <xdr:col>10</xdr:col>
      <xdr:colOff>533400</xdr:colOff>
      <xdr:row>32</xdr:row>
      <xdr:rowOff>9525</xdr:rowOff>
    </xdr:to>
    <xdr:sp macro="" textlink="">
      <xdr:nvSpPr>
        <xdr:cNvPr id="25805" name="S_BDI"/>
        <xdr:cNvSpPr>
          <a:spLocks/>
        </xdr:cNvSpPr>
      </xdr:nvSpPr>
      <xdr:spPr bwMode="auto">
        <a:xfrm>
          <a:off x="6315075" y="4981575"/>
          <a:ext cx="47625" cy="57150"/>
        </a:xfrm>
        <a:custGeom>
          <a:avLst/>
          <a:gdLst>
            <a:gd name="T0" fmla="*/ 103097299 w 22"/>
            <a:gd name="T1" fmla="*/ 0 h 29"/>
            <a:gd name="T2" fmla="*/ 103097299 w 22"/>
            <a:gd name="T3" fmla="*/ 19417208 h 29"/>
            <a:gd name="T4" fmla="*/ 0 w 22"/>
            <a:gd name="T5" fmla="*/ 112624915 h 29"/>
            <a:gd name="T6" fmla="*/ 0 w 22"/>
            <a:gd name="T7" fmla="*/ 0 h 29"/>
            <a:gd name="T8" fmla="*/ 103097299 w 22"/>
            <a:gd name="T9" fmla="*/ 0 h 29"/>
            <a:gd name="T10" fmla="*/ 103097299 w 22"/>
            <a:gd name="T11" fmla="*/ 0 h 29"/>
            <a:gd name="T12" fmla="*/ 0 60000 65536"/>
            <a:gd name="T13" fmla="*/ 0 60000 65536"/>
            <a:gd name="T14" fmla="*/ 0 60000 65536"/>
            <a:gd name="T15" fmla="*/ 0 60000 65536"/>
            <a:gd name="T16" fmla="*/ 0 60000 65536"/>
            <a:gd name="T17" fmla="*/ 0 60000 65536"/>
            <a:gd name="T18" fmla="*/ 0 w 22"/>
            <a:gd name="T19" fmla="*/ 0 h 29"/>
            <a:gd name="T20" fmla="*/ 22 w 22"/>
            <a:gd name="T21" fmla="*/ 29 h 29"/>
          </a:gdLst>
          <a:ahLst/>
          <a:cxnLst>
            <a:cxn ang="T12">
              <a:pos x="T0" y="T1"/>
            </a:cxn>
            <a:cxn ang="T13">
              <a:pos x="T2" y="T3"/>
            </a:cxn>
            <a:cxn ang="T14">
              <a:pos x="T4" y="T5"/>
            </a:cxn>
            <a:cxn ang="T15">
              <a:pos x="T6" y="T7"/>
            </a:cxn>
            <a:cxn ang="T16">
              <a:pos x="T8" y="T9"/>
            </a:cxn>
            <a:cxn ang="T17">
              <a:pos x="T10" y="T11"/>
            </a:cxn>
          </a:cxnLst>
          <a:rect l="T18" t="T19" r="T20" b="T21"/>
          <a:pathLst>
            <a:path w="22" h="29">
              <a:moveTo>
                <a:pt x="22" y="0"/>
              </a:moveTo>
              <a:lnTo>
                <a:pt x="22" y="5"/>
              </a:lnTo>
              <a:lnTo>
                <a:pt x="0" y="29"/>
              </a:lnTo>
              <a:lnTo>
                <a:pt x="0" y="0"/>
              </a:lnTo>
              <a:lnTo>
                <a:pt x="22" y="0"/>
              </a:lnTo>
              <a:close/>
            </a:path>
          </a:pathLst>
        </a:custGeom>
        <a:solidFill>
          <a:srgbClr val="F5F5F5"/>
        </a:solidFill>
        <a:ln w="9525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36576" tIns="32004" rIns="0" bIns="0" anchor="t"/>
        <a:lstStyle/>
        <a:p>
          <a:pPr algn="l" rtl="0">
            <a:defRPr sz="1000"/>
          </a:pPr>
          <a:endParaRPr lang="en-US" sz="16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en-US"/>
        </a:p>
      </xdr:txBody>
    </xdr:sp>
    <xdr:clientData/>
  </xdr:twoCellAnchor>
  <xdr:twoCellAnchor>
    <xdr:from>
      <xdr:col>9</xdr:col>
      <xdr:colOff>695325</xdr:colOff>
      <xdr:row>34</xdr:row>
      <xdr:rowOff>66675</xdr:rowOff>
    </xdr:from>
    <xdr:to>
      <xdr:col>10</xdr:col>
      <xdr:colOff>342900</xdr:colOff>
      <xdr:row>36</xdr:row>
      <xdr:rowOff>142875</xdr:rowOff>
    </xdr:to>
    <xdr:sp macro="" textlink="">
      <xdr:nvSpPr>
        <xdr:cNvPr id="25806" name="S_NAM"/>
        <xdr:cNvSpPr>
          <a:spLocks/>
        </xdr:cNvSpPr>
      </xdr:nvSpPr>
      <xdr:spPr bwMode="auto">
        <a:xfrm>
          <a:off x="5810250" y="5419725"/>
          <a:ext cx="361950" cy="400050"/>
        </a:xfrm>
        <a:custGeom>
          <a:avLst/>
          <a:gdLst>
            <a:gd name="T0" fmla="*/ 276935466 w 174"/>
            <a:gd name="T1" fmla="*/ 829222808 h 193"/>
            <a:gd name="T2" fmla="*/ 142795530 w 174"/>
            <a:gd name="T3" fmla="*/ 498393870 h 193"/>
            <a:gd name="T4" fmla="*/ 142795530 w 174"/>
            <a:gd name="T5" fmla="*/ 403870168 h 193"/>
            <a:gd name="T6" fmla="*/ 0 w 174"/>
            <a:gd name="T7" fmla="*/ 73041263 h 193"/>
            <a:gd name="T8" fmla="*/ 0 w 174"/>
            <a:gd name="T9" fmla="*/ 0 h 193"/>
            <a:gd name="T10" fmla="*/ 142795530 w 174"/>
            <a:gd name="T11" fmla="*/ 0 h 193"/>
            <a:gd name="T12" fmla="*/ 354823335 w 174"/>
            <a:gd name="T13" fmla="*/ 73041263 h 193"/>
            <a:gd name="T14" fmla="*/ 454347069 w 174"/>
            <a:gd name="T15" fmla="*/ 73041263 h 193"/>
            <a:gd name="T16" fmla="*/ 571180042 w 174"/>
            <a:gd name="T17" fmla="*/ 107412387 h 193"/>
            <a:gd name="T18" fmla="*/ 666377019 w 174"/>
            <a:gd name="T19" fmla="*/ 73041263 h 193"/>
            <a:gd name="T20" fmla="*/ 696666398 w 174"/>
            <a:gd name="T21" fmla="*/ 0 h 193"/>
            <a:gd name="T22" fmla="*/ 752918401 w 174"/>
            <a:gd name="T23" fmla="*/ 73041263 h 193"/>
            <a:gd name="T24" fmla="*/ 696666398 w 174"/>
            <a:gd name="T25" fmla="*/ 137488708 h 193"/>
            <a:gd name="T26" fmla="*/ 666377019 w 174"/>
            <a:gd name="T27" fmla="*/ 107412387 h 193"/>
            <a:gd name="T28" fmla="*/ 549544176 w 174"/>
            <a:gd name="T29" fmla="*/ 107412387 h 193"/>
            <a:gd name="T30" fmla="*/ 514925829 w 174"/>
            <a:gd name="T31" fmla="*/ 330828938 h 193"/>
            <a:gd name="T32" fmla="*/ 484636449 w 174"/>
            <a:gd name="T33" fmla="*/ 403870168 h 193"/>
            <a:gd name="T34" fmla="*/ 484636449 w 174"/>
            <a:gd name="T35" fmla="*/ 794851683 h 193"/>
            <a:gd name="T36" fmla="*/ 389441552 w 174"/>
            <a:gd name="T37" fmla="*/ 829222808 h 193"/>
            <a:gd name="T38" fmla="*/ 333187469 w 174"/>
            <a:gd name="T39" fmla="*/ 829222808 h 193"/>
            <a:gd name="T40" fmla="*/ 302898089 w 174"/>
            <a:gd name="T41" fmla="*/ 794851683 h 193"/>
            <a:gd name="T42" fmla="*/ 276935466 w 174"/>
            <a:gd name="T43" fmla="*/ 829222808 h 193"/>
            <a:gd name="T44" fmla="*/ 276935466 w 174"/>
            <a:gd name="T45" fmla="*/ 829222808 h 193"/>
            <a:gd name="T46" fmla="*/ 276935466 w 174"/>
            <a:gd name="T47" fmla="*/ 829222808 h 193"/>
            <a:gd name="T48" fmla="*/ 0 60000 65536"/>
            <a:gd name="T49" fmla="*/ 0 60000 65536"/>
            <a:gd name="T50" fmla="*/ 0 60000 65536"/>
            <a:gd name="T51" fmla="*/ 0 60000 65536"/>
            <a:gd name="T52" fmla="*/ 0 60000 65536"/>
            <a:gd name="T53" fmla="*/ 0 60000 65536"/>
            <a:gd name="T54" fmla="*/ 0 60000 65536"/>
            <a:gd name="T55" fmla="*/ 0 60000 65536"/>
            <a:gd name="T56" fmla="*/ 0 60000 65536"/>
            <a:gd name="T57" fmla="*/ 0 60000 65536"/>
            <a:gd name="T58" fmla="*/ 0 60000 65536"/>
            <a:gd name="T59" fmla="*/ 0 60000 65536"/>
            <a:gd name="T60" fmla="*/ 0 60000 65536"/>
            <a:gd name="T61" fmla="*/ 0 60000 65536"/>
            <a:gd name="T62" fmla="*/ 0 60000 65536"/>
            <a:gd name="T63" fmla="*/ 0 60000 65536"/>
            <a:gd name="T64" fmla="*/ 0 60000 65536"/>
            <a:gd name="T65" fmla="*/ 0 60000 65536"/>
            <a:gd name="T66" fmla="*/ 0 60000 65536"/>
            <a:gd name="T67" fmla="*/ 0 60000 65536"/>
            <a:gd name="T68" fmla="*/ 0 60000 65536"/>
            <a:gd name="T69" fmla="*/ 0 60000 65536"/>
            <a:gd name="T70" fmla="*/ 0 60000 65536"/>
            <a:gd name="T71" fmla="*/ 0 60000 65536"/>
            <a:gd name="T72" fmla="*/ 0 w 174"/>
            <a:gd name="T73" fmla="*/ 0 h 193"/>
            <a:gd name="T74" fmla="*/ 174 w 174"/>
            <a:gd name="T75" fmla="*/ 193 h 193"/>
          </a:gdLst>
          <a:ahLst/>
          <a:cxnLst>
            <a:cxn ang="T48">
              <a:pos x="T0" y="T1"/>
            </a:cxn>
            <a:cxn ang="T49">
              <a:pos x="T2" y="T3"/>
            </a:cxn>
            <a:cxn ang="T50">
              <a:pos x="T4" y="T5"/>
            </a:cxn>
            <a:cxn ang="T51">
              <a:pos x="T6" y="T7"/>
            </a:cxn>
            <a:cxn ang="T52">
              <a:pos x="T8" y="T9"/>
            </a:cxn>
            <a:cxn ang="T53">
              <a:pos x="T10" y="T11"/>
            </a:cxn>
            <a:cxn ang="T54">
              <a:pos x="T12" y="T13"/>
            </a:cxn>
            <a:cxn ang="T55">
              <a:pos x="T14" y="T15"/>
            </a:cxn>
            <a:cxn ang="T56">
              <a:pos x="T16" y="T17"/>
            </a:cxn>
            <a:cxn ang="T57">
              <a:pos x="T18" y="T19"/>
            </a:cxn>
            <a:cxn ang="T58">
              <a:pos x="T20" y="T21"/>
            </a:cxn>
            <a:cxn ang="T59">
              <a:pos x="T22" y="T23"/>
            </a:cxn>
            <a:cxn ang="T60">
              <a:pos x="T24" y="T25"/>
            </a:cxn>
            <a:cxn ang="T61">
              <a:pos x="T26" y="T27"/>
            </a:cxn>
            <a:cxn ang="T62">
              <a:pos x="T28" y="T29"/>
            </a:cxn>
            <a:cxn ang="T63">
              <a:pos x="T30" y="T31"/>
            </a:cxn>
            <a:cxn ang="T64">
              <a:pos x="T32" y="T33"/>
            </a:cxn>
            <a:cxn ang="T65">
              <a:pos x="T34" y="T35"/>
            </a:cxn>
            <a:cxn ang="T66">
              <a:pos x="T36" y="T37"/>
            </a:cxn>
            <a:cxn ang="T67">
              <a:pos x="T38" y="T39"/>
            </a:cxn>
            <a:cxn ang="T68">
              <a:pos x="T40" y="T41"/>
            </a:cxn>
            <a:cxn ang="T69">
              <a:pos x="T42" y="T43"/>
            </a:cxn>
            <a:cxn ang="T70">
              <a:pos x="T44" y="T45"/>
            </a:cxn>
            <a:cxn ang="T71">
              <a:pos x="T46" y="T47"/>
            </a:cxn>
          </a:cxnLst>
          <a:rect l="T72" t="T73" r="T74" b="T75"/>
          <a:pathLst>
            <a:path w="174" h="193">
              <a:moveTo>
                <a:pt x="64" y="193"/>
              </a:moveTo>
              <a:lnTo>
                <a:pt x="33" y="116"/>
              </a:lnTo>
              <a:lnTo>
                <a:pt x="33" y="94"/>
              </a:lnTo>
              <a:lnTo>
                <a:pt x="0" y="17"/>
              </a:lnTo>
              <a:lnTo>
                <a:pt x="0" y="0"/>
              </a:lnTo>
              <a:lnTo>
                <a:pt x="33" y="0"/>
              </a:lnTo>
              <a:lnTo>
                <a:pt x="82" y="17"/>
              </a:lnTo>
              <a:lnTo>
                <a:pt x="105" y="17"/>
              </a:lnTo>
              <a:lnTo>
                <a:pt x="132" y="25"/>
              </a:lnTo>
              <a:lnTo>
                <a:pt x="154" y="17"/>
              </a:lnTo>
              <a:lnTo>
                <a:pt x="161" y="0"/>
              </a:lnTo>
              <a:lnTo>
                <a:pt x="174" y="17"/>
              </a:lnTo>
              <a:lnTo>
                <a:pt x="161" y="32"/>
              </a:lnTo>
              <a:lnTo>
                <a:pt x="154" y="25"/>
              </a:lnTo>
              <a:lnTo>
                <a:pt x="127" y="25"/>
              </a:lnTo>
              <a:lnTo>
                <a:pt x="119" y="77"/>
              </a:lnTo>
              <a:lnTo>
                <a:pt x="112" y="94"/>
              </a:lnTo>
              <a:lnTo>
                <a:pt x="112" y="185"/>
              </a:lnTo>
              <a:lnTo>
                <a:pt x="90" y="193"/>
              </a:lnTo>
              <a:lnTo>
                <a:pt x="77" y="193"/>
              </a:lnTo>
              <a:lnTo>
                <a:pt x="70" y="185"/>
              </a:lnTo>
              <a:lnTo>
                <a:pt x="64" y="193"/>
              </a:lnTo>
              <a:close/>
            </a:path>
          </a:pathLst>
        </a:custGeom>
        <a:solidFill>
          <a:srgbClr val="F5F5F5"/>
        </a:solidFill>
        <a:ln w="9525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36576" tIns="32004" rIns="0" bIns="0" anchor="t"/>
        <a:lstStyle/>
        <a:p>
          <a:pPr algn="l" rtl="0">
            <a:defRPr sz="1000"/>
          </a:pPr>
          <a:endParaRPr lang="en-US" sz="16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en-US"/>
        </a:p>
      </xdr:txBody>
    </xdr:sp>
    <xdr:clientData/>
  </xdr:twoCellAnchor>
  <xdr:twoCellAnchor>
    <xdr:from>
      <xdr:col>9</xdr:col>
      <xdr:colOff>695325</xdr:colOff>
      <xdr:row>32</xdr:row>
      <xdr:rowOff>47625</xdr:rowOff>
    </xdr:from>
    <xdr:to>
      <xdr:col>10</xdr:col>
      <xdr:colOff>323850</xdr:colOff>
      <xdr:row>34</xdr:row>
      <xdr:rowOff>114300</xdr:rowOff>
    </xdr:to>
    <xdr:sp macro="" textlink="">
      <xdr:nvSpPr>
        <xdr:cNvPr id="25807" name="S_AGO"/>
        <xdr:cNvSpPr>
          <a:spLocks/>
        </xdr:cNvSpPr>
      </xdr:nvSpPr>
      <xdr:spPr bwMode="auto">
        <a:xfrm>
          <a:off x="5810250" y="5076825"/>
          <a:ext cx="342900" cy="390525"/>
        </a:xfrm>
        <a:custGeom>
          <a:avLst/>
          <a:gdLst>
            <a:gd name="T0" fmla="*/ 0 w 164"/>
            <a:gd name="T1" fmla="*/ 703348020 h 188"/>
            <a:gd name="T2" fmla="*/ 139892759 w 164"/>
            <a:gd name="T3" fmla="*/ 703348020 h 188"/>
            <a:gd name="T4" fmla="*/ 349732910 w 164"/>
            <a:gd name="T5" fmla="*/ 776702301 h 188"/>
            <a:gd name="T6" fmla="*/ 445910052 w 164"/>
            <a:gd name="T7" fmla="*/ 776702301 h 188"/>
            <a:gd name="T8" fmla="*/ 572689047 w 164"/>
            <a:gd name="T9" fmla="*/ 811222207 h 188"/>
            <a:gd name="T10" fmla="*/ 660122242 w 164"/>
            <a:gd name="T11" fmla="*/ 776702301 h 188"/>
            <a:gd name="T12" fmla="*/ 572689047 w 164"/>
            <a:gd name="T13" fmla="*/ 686085990 h 188"/>
            <a:gd name="T14" fmla="*/ 572689047 w 164"/>
            <a:gd name="T15" fmla="*/ 483280892 h 188"/>
            <a:gd name="T16" fmla="*/ 716953714 w 164"/>
            <a:gd name="T17" fmla="*/ 448760986 h 188"/>
            <a:gd name="T18" fmla="*/ 681980018 w 164"/>
            <a:gd name="T19" fmla="*/ 323626846 h 188"/>
            <a:gd name="T20" fmla="*/ 572689047 w 164"/>
            <a:gd name="T21" fmla="*/ 353830206 h 188"/>
            <a:gd name="T22" fmla="*/ 572689047 w 164"/>
            <a:gd name="T23" fmla="*/ 323626846 h 188"/>
            <a:gd name="T24" fmla="*/ 638264466 w 164"/>
            <a:gd name="T25" fmla="*/ 297735878 h 188"/>
            <a:gd name="T26" fmla="*/ 572689047 w 164"/>
            <a:gd name="T27" fmla="*/ 258901438 h 188"/>
            <a:gd name="T28" fmla="*/ 572689047 w 164"/>
            <a:gd name="T29" fmla="*/ 138079689 h 188"/>
            <a:gd name="T30" fmla="*/ 502741524 w 164"/>
            <a:gd name="T31" fmla="*/ 99245282 h 188"/>
            <a:gd name="T32" fmla="*/ 445910052 w 164"/>
            <a:gd name="T33" fmla="*/ 99245282 h 188"/>
            <a:gd name="T34" fmla="*/ 445910052 w 164"/>
            <a:gd name="T35" fmla="*/ 138079689 h 188"/>
            <a:gd name="T36" fmla="*/ 349732910 w 164"/>
            <a:gd name="T37" fmla="*/ 163970657 h 188"/>
            <a:gd name="T38" fmla="*/ 301645385 w 164"/>
            <a:gd name="T39" fmla="*/ 99245282 h 188"/>
            <a:gd name="T40" fmla="*/ 301645385 w 164"/>
            <a:gd name="T41" fmla="*/ 0 h 188"/>
            <a:gd name="T42" fmla="*/ 109291004 w 164"/>
            <a:gd name="T43" fmla="*/ 0 h 188"/>
            <a:gd name="T44" fmla="*/ 43717659 w 164"/>
            <a:gd name="T45" fmla="*/ 69039845 h 188"/>
            <a:gd name="T46" fmla="*/ 109291004 w 164"/>
            <a:gd name="T47" fmla="*/ 353830206 h 188"/>
            <a:gd name="T48" fmla="*/ 109291004 w 164"/>
            <a:gd name="T49" fmla="*/ 448760986 h 188"/>
            <a:gd name="T50" fmla="*/ 43717659 w 164"/>
            <a:gd name="T51" fmla="*/ 483280892 h 188"/>
            <a:gd name="T52" fmla="*/ 0 w 164"/>
            <a:gd name="T53" fmla="*/ 651566083 h 188"/>
            <a:gd name="T54" fmla="*/ 0 w 164"/>
            <a:gd name="T55" fmla="*/ 703348020 h 188"/>
            <a:gd name="T56" fmla="*/ 0 w 164"/>
            <a:gd name="T57" fmla="*/ 703348020 h 188"/>
            <a:gd name="T58" fmla="*/ 0 w 164"/>
            <a:gd name="T59" fmla="*/ 703348020 h 188"/>
            <a:gd name="T60" fmla="*/ 0 60000 65536"/>
            <a:gd name="T61" fmla="*/ 0 60000 65536"/>
            <a:gd name="T62" fmla="*/ 0 60000 65536"/>
            <a:gd name="T63" fmla="*/ 0 60000 65536"/>
            <a:gd name="T64" fmla="*/ 0 60000 65536"/>
            <a:gd name="T65" fmla="*/ 0 60000 65536"/>
            <a:gd name="T66" fmla="*/ 0 60000 65536"/>
            <a:gd name="T67" fmla="*/ 0 60000 65536"/>
            <a:gd name="T68" fmla="*/ 0 60000 65536"/>
            <a:gd name="T69" fmla="*/ 0 60000 65536"/>
            <a:gd name="T70" fmla="*/ 0 60000 65536"/>
            <a:gd name="T71" fmla="*/ 0 60000 65536"/>
            <a:gd name="T72" fmla="*/ 0 60000 65536"/>
            <a:gd name="T73" fmla="*/ 0 60000 65536"/>
            <a:gd name="T74" fmla="*/ 0 60000 65536"/>
            <a:gd name="T75" fmla="*/ 0 60000 65536"/>
            <a:gd name="T76" fmla="*/ 0 60000 65536"/>
            <a:gd name="T77" fmla="*/ 0 60000 65536"/>
            <a:gd name="T78" fmla="*/ 0 60000 65536"/>
            <a:gd name="T79" fmla="*/ 0 60000 65536"/>
            <a:gd name="T80" fmla="*/ 0 60000 65536"/>
            <a:gd name="T81" fmla="*/ 0 60000 65536"/>
            <a:gd name="T82" fmla="*/ 0 60000 65536"/>
            <a:gd name="T83" fmla="*/ 0 60000 65536"/>
            <a:gd name="T84" fmla="*/ 0 60000 65536"/>
            <a:gd name="T85" fmla="*/ 0 60000 65536"/>
            <a:gd name="T86" fmla="*/ 0 60000 65536"/>
            <a:gd name="T87" fmla="*/ 0 60000 65536"/>
            <a:gd name="T88" fmla="*/ 0 60000 65536"/>
            <a:gd name="T89" fmla="*/ 0 60000 65536"/>
            <a:gd name="T90" fmla="*/ 0 w 164"/>
            <a:gd name="T91" fmla="*/ 0 h 188"/>
            <a:gd name="T92" fmla="*/ 164 w 164"/>
            <a:gd name="T93" fmla="*/ 188 h 188"/>
          </a:gdLst>
          <a:ahLst/>
          <a:cxnLst>
            <a:cxn ang="T60">
              <a:pos x="T0" y="T1"/>
            </a:cxn>
            <a:cxn ang="T61">
              <a:pos x="T2" y="T3"/>
            </a:cxn>
            <a:cxn ang="T62">
              <a:pos x="T4" y="T5"/>
            </a:cxn>
            <a:cxn ang="T63">
              <a:pos x="T6" y="T7"/>
            </a:cxn>
            <a:cxn ang="T64">
              <a:pos x="T8" y="T9"/>
            </a:cxn>
            <a:cxn ang="T65">
              <a:pos x="T10" y="T11"/>
            </a:cxn>
            <a:cxn ang="T66">
              <a:pos x="T12" y="T13"/>
            </a:cxn>
            <a:cxn ang="T67">
              <a:pos x="T14" y="T15"/>
            </a:cxn>
            <a:cxn ang="T68">
              <a:pos x="T16" y="T17"/>
            </a:cxn>
            <a:cxn ang="T69">
              <a:pos x="T18" y="T19"/>
            </a:cxn>
            <a:cxn ang="T70">
              <a:pos x="T20" y="T21"/>
            </a:cxn>
            <a:cxn ang="T71">
              <a:pos x="T22" y="T23"/>
            </a:cxn>
            <a:cxn ang="T72">
              <a:pos x="T24" y="T25"/>
            </a:cxn>
            <a:cxn ang="T73">
              <a:pos x="T26" y="T27"/>
            </a:cxn>
            <a:cxn ang="T74">
              <a:pos x="T28" y="T29"/>
            </a:cxn>
            <a:cxn ang="T75">
              <a:pos x="T30" y="T31"/>
            </a:cxn>
            <a:cxn ang="T76">
              <a:pos x="T32" y="T33"/>
            </a:cxn>
            <a:cxn ang="T77">
              <a:pos x="T34" y="T35"/>
            </a:cxn>
            <a:cxn ang="T78">
              <a:pos x="T36" y="T37"/>
            </a:cxn>
            <a:cxn ang="T79">
              <a:pos x="T38" y="T39"/>
            </a:cxn>
            <a:cxn ang="T80">
              <a:pos x="T40" y="T41"/>
            </a:cxn>
            <a:cxn ang="T81">
              <a:pos x="T42" y="T43"/>
            </a:cxn>
            <a:cxn ang="T82">
              <a:pos x="T44" y="T45"/>
            </a:cxn>
            <a:cxn ang="T83">
              <a:pos x="T46" y="T47"/>
            </a:cxn>
            <a:cxn ang="T84">
              <a:pos x="T48" y="T49"/>
            </a:cxn>
            <a:cxn ang="T85">
              <a:pos x="T50" y="T51"/>
            </a:cxn>
            <a:cxn ang="T86">
              <a:pos x="T52" y="T53"/>
            </a:cxn>
            <a:cxn ang="T87">
              <a:pos x="T54" y="T55"/>
            </a:cxn>
            <a:cxn ang="T88">
              <a:pos x="T56" y="T57"/>
            </a:cxn>
            <a:cxn ang="T89">
              <a:pos x="T58" y="T59"/>
            </a:cxn>
          </a:cxnLst>
          <a:rect l="T90" t="T91" r="T92" b="T93"/>
          <a:pathLst>
            <a:path w="164" h="188">
              <a:moveTo>
                <a:pt x="0" y="163"/>
              </a:moveTo>
              <a:lnTo>
                <a:pt x="32" y="163"/>
              </a:lnTo>
              <a:lnTo>
                <a:pt x="80" y="180"/>
              </a:lnTo>
              <a:lnTo>
                <a:pt x="102" y="180"/>
              </a:lnTo>
              <a:lnTo>
                <a:pt x="131" y="188"/>
              </a:lnTo>
              <a:lnTo>
                <a:pt x="151" y="180"/>
              </a:lnTo>
              <a:lnTo>
                <a:pt x="131" y="159"/>
              </a:lnTo>
              <a:lnTo>
                <a:pt x="131" y="112"/>
              </a:lnTo>
              <a:lnTo>
                <a:pt x="164" y="104"/>
              </a:lnTo>
              <a:lnTo>
                <a:pt x="156" y="75"/>
              </a:lnTo>
              <a:lnTo>
                <a:pt x="131" y="82"/>
              </a:lnTo>
              <a:lnTo>
                <a:pt x="131" y="75"/>
              </a:lnTo>
              <a:lnTo>
                <a:pt x="146" y="69"/>
              </a:lnTo>
              <a:lnTo>
                <a:pt x="131" y="60"/>
              </a:lnTo>
              <a:lnTo>
                <a:pt x="131" y="32"/>
              </a:lnTo>
              <a:lnTo>
                <a:pt x="115" y="23"/>
              </a:lnTo>
              <a:lnTo>
                <a:pt x="102" y="23"/>
              </a:lnTo>
              <a:lnTo>
                <a:pt x="102" y="32"/>
              </a:lnTo>
              <a:lnTo>
                <a:pt x="80" y="38"/>
              </a:lnTo>
              <a:lnTo>
                <a:pt x="69" y="23"/>
              </a:lnTo>
              <a:lnTo>
                <a:pt x="69" y="0"/>
              </a:lnTo>
              <a:lnTo>
                <a:pt x="25" y="0"/>
              </a:lnTo>
              <a:lnTo>
                <a:pt x="10" y="16"/>
              </a:lnTo>
              <a:lnTo>
                <a:pt x="25" y="82"/>
              </a:lnTo>
              <a:lnTo>
                <a:pt x="25" y="104"/>
              </a:lnTo>
              <a:lnTo>
                <a:pt x="10" y="112"/>
              </a:lnTo>
              <a:lnTo>
                <a:pt x="0" y="151"/>
              </a:lnTo>
              <a:lnTo>
                <a:pt x="0" y="163"/>
              </a:lnTo>
              <a:close/>
            </a:path>
          </a:pathLst>
        </a:custGeom>
        <a:solidFill>
          <a:srgbClr val="F5F5F5"/>
        </a:solidFill>
        <a:ln w="9525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36576" tIns="32004" rIns="0" bIns="0" anchor="t"/>
        <a:lstStyle/>
        <a:p>
          <a:pPr algn="l" rtl="0">
            <a:defRPr sz="1000"/>
          </a:pPr>
          <a:endParaRPr lang="en-US" sz="16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en-US"/>
        </a:p>
      </xdr:txBody>
    </xdr:sp>
    <xdr:clientData/>
  </xdr:twoCellAnchor>
  <xdr:twoCellAnchor>
    <xdr:from>
      <xdr:col>10</xdr:col>
      <xdr:colOff>104775</xdr:colOff>
      <xdr:row>35</xdr:row>
      <xdr:rowOff>57150</xdr:rowOff>
    </xdr:from>
    <xdr:to>
      <xdr:col>10</xdr:col>
      <xdr:colOff>571500</xdr:colOff>
      <xdr:row>38</xdr:row>
      <xdr:rowOff>28575</xdr:rowOff>
    </xdr:to>
    <xdr:sp macro="" textlink="">
      <xdr:nvSpPr>
        <xdr:cNvPr id="25808" name="S_ZAF"/>
        <xdr:cNvSpPr>
          <a:spLocks/>
        </xdr:cNvSpPr>
      </xdr:nvSpPr>
      <xdr:spPr bwMode="auto">
        <a:xfrm>
          <a:off x="5934075" y="5572125"/>
          <a:ext cx="466725" cy="457200"/>
        </a:xfrm>
        <a:custGeom>
          <a:avLst/>
          <a:gdLst>
            <a:gd name="T0" fmla="*/ 2147483647 w 220"/>
            <a:gd name="T1" fmla="*/ 2147483647 h 222"/>
            <a:gd name="T2" fmla="*/ 2147483647 w 220"/>
            <a:gd name="T3" fmla="*/ 2147483647 h 222"/>
            <a:gd name="T4" fmla="*/ 2147483647 w 220"/>
            <a:gd name="T5" fmla="*/ 2147483647 h 222"/>
            <a:gd name="T6" fmla="*/ 2147483647 w 220"/>
            <a:gd name="T7" fmla="*/ 2147483647 h 222"/>
            <a:gd name="T8" fmla="*/ 2147483647 w 220"/>
            <a:gd name="T9" fmla="*/ 2147483647 h 222"/>
            <a:gd name="T10" fmla="*/ 2147483647 w 220"/>
            <a:gd name="T11" fmla="*/ 2147483647 h 222"/>
            <a:gd name="T12" fmla="*/ 2147483647 w 220"/>
            <a:gd name="T13" fmla="*/ 2147483647 h 222"/>
            <a:gd name="T14" fmla="*/ 2147483647 w 220"/>
            <a:gd name="T15" fmla="*/ 2147483647 h 222"/>
            <a:gd name="T16" fmla="*/ 2147483647 w 220"/>
            <a:gd name="T17" fmla="*/ 2147483647 h 222"/>
            <a:gd name="T18" fmla="*/ 2147483647 w 220"/>
            <a:gd name="T19" fmla="*/ 2147483647 h 222"/>
            <a:gd name="T20" fmla="*/ 2147483647 w 220"/>
            <a:gd name="T21" fmla="*/ 2147483647 h 222"/>
            <a:gd name="T22" fmla="*/ 2147483647 w 220"/>
            <a:gd name="T23" fmla="*/ 2147483647 h 222"/>
            <a:gd name="T24" fmla="*/ 2147483647 w 220"/>
            <a:gd name="T25" fmla="*/ 2147483647 h 222"/>
            <a:gd name="T26" fmla="*/ 2147483647 w 220"/>
            <a:gd name="T27" fmla="*/ 2147483647 h 222"/>
            <a:gd name="T28" fmla="*/ 2147483647 w 220"/>
            <a:gd name="T29" fmla="*/ 2147483647 h 222"/>
            <a:gd name="T30" fmla="*/ 2147483647 w 220"/>
            <a:gd name="T31" fmla="*/ 2147483647 h 222"/>
            <a:gd name="T32" fmla="*/ 2147483647 w 220"/>
            <a:gd name="T33" fmla="*/ 2147483647 h 222"/>
            <a:gd name="T34" fmla="*/ 2147483647 w 220"/>
            <a:gd name="T35" fmla="*/ 2147483647 h 222"/>
            <a:gd name="T36" fmla="*/ 2147483647 w 220"/>
            <a:gd name="T37" fmla="*/ 2147483647 h 222"/>
            <a:gd name="T38" fmla="*/ 0 w 220"/>
            <a:gd name="T39" fmla="*/ 2147483647 h 222"/>
            <a:gd name="T40" fmla="*/ 2147483647 w 220"/>
            <a:gd name="T41" fmla="*/ 2147483647 h 222"/>
            <a:gd name="T42" fmla="*/ 2147483647 w 220"/>
            <a:gd name="T43" fmla="*/ 2147483647 h 222"/>
            <a:gd name="T44" fmla="*/ 2147483647 w 220"/>
            <a:gd name="T45" fmla="*/ 2147483647 h 222"/>
            <a:gd name="T46" fmla="*/ 2147483647 w 220"/>
            <a:gd name="T47" fmla="*/ 2147483647 h 222"/>
            <a:gd name="T48" fmla="*/ 2147483647 w 220"/>
            <a:gd name="T49" fmla="*/ 2147483647 h 222"/>
            <a:gd name="T50" fmla="*/ 2147483647 w 220"/>
            <a:gd name="T51" fmla="*/ 2147483647 h 222"/>
            <a:gd name="T52" fmla="*/ 2147483647 w 220"/>
            <a:gd name="T53" fmla="*/ 2147483647 h 222"/>
            <a:gd name="T54" fmla="*/ 2147483647 w 220"/>
            <a:gd name="T55" fmla="*/ 2147483647 h 222"/>
            <a:gd name="T56" fmla="*/ 2147483647 w 220"/>
            <a:gd name="T57" fmla="*/ 2147483647 h 222"/>
            <a:gd name="T58" fmla="*/ 2147483647 w 220"/>
            <a:gd name="T59" fmla="*/ 2147483647 h 222"/>
            <a:gd name="T60" fmla="*/ 2147483647 w 220"/>
            <a:gd name="T61" fmla="*/ 0 h 222"/>
            <a:gd name="T62" fmla="*/ 2147483647 w 220"/>
            <a:gd name="T63" fmla="*/ 2147483647 h 222"/>
            <a:gd name="T64" fmla="*/ 2147483647 w 220"/>
            <a:gd name="T65" fmla="*/ 2147483647 h 222"/>
            <a:gd name="T66" fmla="*/ 2147483647 w 220"/>
            <a:gd name="T67" fmla="*/ 2147483647 h 222"/>
            <a:gd name="T68" fmla="*/ 0 60000 65536"/>
            <a:gd name="T69" fmla="*/ 0 60000 65536"/>
            <a:gd name="T70" fmla="*/ 0 60000 65536"/>
            <a:gd name="T71" fmla="*/ 0 60000 65536"/>
            <a:gd name="T72" fmla="*/ 0 60000 65536"/>
            <a:gd name="T73" fmla="*/ 0 60000 65536"/>
            <a:gd name="T74" fmla="*/ 0 60000 65536"/>
            <a:gd name="T75" fmla="*/ 0 60000 65536"/>
            <a:gd name="T76" fmla="*/ 0 60000 65536"/>
            <a:gd name="T77" fmla="*/ 0 60000 65536"/>
            <a:gd name="T78" fmla="*/ 0 60000 65536"/>
            <a:gd name="T79" fmla="*/ 0 60000 65536"/>
            <a:gd name="T80" fmla="*/ 0 60000 65536"/>
            <a:gd name="T81" fmla="*/ 0 60000 65536"/>
            <a:gd name="T82" fmla="*/ 0 60000 65536"/>
            <a:gd name="T83" fmla="*/ 0 60000 65536"/>
            <a:gd name="T84" fmla="*/ 0 60000 65536"/>
            <a:gd name="T85" fmla="*/ 0 60000 65536"/>
            <a:gd name="T86" fmla="*/ 0 60000 65536"/>
            <a:gd name="T87" fmla="*/ 0 60000 65536"/>
            <a:gd name="T88" fmla="*/ 0 60000 65536"/>
            <a:gd name="T89" fmla="*/ 0 60000 65536"/>
            <a:gd name="T90" fmla="*/ 0 60000 65536"/>
            <a:gd name="T91" fmla="*/ 0 60000 65536"/>
            <a:gd name="T92" fmla="*/ 0 60000 65536"/>
            <a:gd name="T93" fmla="*/ 0 60000 65536"/>
            <a:gd name="T94" fmla="*/ 0 60000 65536"/>
            <a:gd name="T95" fmla="*/ 0 60000 65536"/>
            <a:gd name="T96" fmla="*/ 0 60000 65536"/>
            <a:gd name="T97" fmla="*/ 0 60000 65536"/>
            <a:gd name="T98" fmla="*/ 0 60000 65536"/>
            <a:gd name="T99" fmla="*/ 0 60000 65536"/>
            <a:gd name="T100" fmla="*/ 0 60000 65536"/>
            <a:gd name="T101" fmla="*/ 0 60000 65536"/>
            <a:gd name="T102" fmla="*/ 0 w 220"/>
            <a:gd name="T103" fmla="*/ 0 h 222"/>
            <a:gd name="T104" fmla="*/ 220 w 220"/>
            <a:gd name="T105" fmla="*/ 222 h 222"/>
          </a:gdLst>
          <a:ahLst/>
          <a:cxnLst>
            <a:cxn ang="T68">
              <a:pos x="T0" y="T1"/>
            </a:cxn>
            <a:cxn ang="T69">
              <a:pos x="T2" y="T3"/>
            </a:cxn>
            <a:cxn ang="T70">
              <a:pos x="T4" y="T5"/>
            </a:cxn>
            <a:cxn ang="T71">
              <a:pos x="T6" y="T7"/>
            </a:cxn>
            <a:cxn ang="T72">
              <a:pos x="T8" y="T9"/>
            </a:cxn>
            <a:cxn ang="T73">
              <a:pos x="T10" y="T11"/>
            </a:cxn>
            <a:cxn ang="T74">
              <a:pos x="T12" y="T13"/>
            </a:cxn>
            <a:cxn ang="T75">
              <a:pos x="T14" y="T15"/>
            </a:cxn>
            <a:cxn ang="T76">
              <a:pos x="T16" y="T17"/>
            </a:cxn>
            <a:cxn ang="T77">
              <a:pos x="T18" y="T19"/>
            </a:cxn>
            <a:cxn ang="T78">
              <a:pos x="T20" y="T21"/>
            </a:cxn>
            <a:cxn ang="T79">
              <a:pos x="T22" y="T23"/>
            </a:cxn>
            <a:cxn ang="T80">
              <a:pos x="T24" y="T25"/>
            </a:cxn>
            <a:cxn ang="T81">
              <a:pos x="T26" y="T27"/>
            </a:cxn>
            <a:cxn ang="T82">
              <a:pos x="T28" y="T29"/>
            </a:cxn>
            <a:cxn ang="T83">
              <a:pos x="T30" y="T31"/>
            </a:cxn>
            <a:cxn ang="T84">
              <a:pos x="T32" y="T33"/>
            </a:cxn>
            <a:cxn ang="T85">
              <a:pos x="T34" y="T35"/>
            </a:cxn>
            <a:cxn ang="T86">
              <a:pos x="T36" y="T37"/>
            </a:cxn>
            <a:cxn ang="T87">
              <a:pos x="T38" y="T39"/>
            </a:cxn>
            <a:cxn ang="T88">
              <a:pos x="T40" y="T41"/>
            </a:cxn>
            <a:cxn ang="T89">
              <a:pos x="T42" y="T43"/>
            </a:cxn>
            <a:cxn ang="T90">
              <a:pos x="T44" y="T45"/>
            </a:cxn>
            <a:cxn ang="T91">
              <a:pos x="T46" y="T47"/>
            </a:cxn>
            <a:cxn ang="T92">
              <a:pos x="T48" y="T49"/>
            </a:cxn>
            <a:cxn ang="T93">
              <a:pos x="T50" y="T51"/>
            </a:cxn>
            <a:cxn ang="T94">
              <a:pos x="T52" y="T53"/>
            </a:cxn>
            <a:cxn ang="T95">
              <a:pos x="T54" y="T55"/>
            </a:cxn>
            <a:cxn ang="T96">
              <a:pos x="T56" y="T57"/>
            </a:cxn>
            <a:cxn ang="T97">
              <a:pos x="T58" y="T59"/>
            </a:cxn>
            <a:cxn ang="T98">
              <a:pos x="T60" y="T61"/>
            </a:cxn>
            <a:cxn ang="T99">
              <a:pos x="T62" y="T63"/>
            </a:cxn>
            <a:cxn ang="T100">
              <a:pos x="T64" y="T65"/>
            </a:cxn>
            <a:cxn ang="T101">
              <a:pos x="T66" y="T67"/>
            </a:cxn>
          </a:cxnLst>
          <a:rect l="T102" t="T103" r="T104" b="T105"/>
          <a:pathLst>
            <a:path w="220" h="222">
              <a:moveTo>
                <a:pt x="198" y="17"/>
              </a:moveTo>
              <a:lnTo>
                <a:pt x="205" y="69"/>
              </a:lnTo>
              <a:lnTo>
                <a:pt x="198" y="69"/>
              </a:lnTo>
              <a:lnTo>
                <a:pt x="191" y="75"/>
              </a:lnTo>
              <a:lnTo>
                <a:pt x="198" y="82"/>
              </a:lnTo>
              <a:lnTo>
                <a:pt x="205" y="75"/>
              </a:lnTo>
              <a:lnTo>
                <a:pt x="220" y="75"/>
              </a:lnTo>
              <a:lnTo>
                <a:pt x="220" y="114"/>
              </a:lnTo>
              <a:lnTo>
                <a:pt x="198" y="122"/>
              </a:lnTo>
              <a:lnTo>
                <a:pt x="183" y="153"/>
              </a:lnTo>
              <a:lnTo>
                <a:pt x="154" y="176"/>
              </a:lnTo>
              <a:lnTo>
                <a:pt x="139" y="201"/>
              </a:lnTo>
              <a:lnTo>
                <a:pt x="71" y="206"/>
              </a:lnTo>
              <a:lnTo>
                <a:pt x="49" y="222"/>
              </a:lnTo>
              <a:lnTo>
                <a:pt x="42" y="222"/>
              </a:lnTo>
              <a:lnTo>
                <a:pt x="27" y="206"/>
              </a:lnTo>
              <a:lnTo>
                <a:pt x="20" y="176"/>
              </a:lnTo>
              <a:lnTo>
                <a:pt x="20" y="168"/>
              </a:lnTo>
              <a:lnTo>
                <a:pt x="7" y="114"/>
              </a:lnTo>
              <a:lnTo>
                <a:pt x="0" y="114"/>
              </a:lnTo>
              <a:lnTo>
                <a:pt x="7" y="107"/>
              </a:lnTo>
              <a:lnTo>
                <a:pt x="14" y="114"/>
              </a:lnTo>
              <a:lnTo>
                <a:pt x="27" y="114"/>
              </a:lnTo>
              <a:lnTo>
                <a:pt x="49" y="107"/>
              </a:lnTo>
              <a:lnTo>
                <a:pt x="49" y="43"/>
              </a:lnTo>
              <a:lnTo>
                <a:pt x="55" y="60"/>
              </a:lnTo>
              <a:lnTo>
                <a:pt x="55" y="75"/>
              </a:lnTo>
              <a:lnTo>
                <a:pt x="71" y="75"/>
              </a:lnTo>
              <a:lnTo>
                <a:pt x="97" y="60"/>
              </a:lnTo>
              <a:lnTo>
                <a:pt x="106" y="69"/>
              </a:lnTo>
              <a:lnTo>
                <a:pt x="176" y="0"/>
              </a:lnTo>
              <a:lnTo>
                <a:pt x="191" y="17"/>
              </a:lnTo>
              <a:lnTo>
                <a:pt x="198" y="17"/>
              </a:lnTo>
              <a:close/>
            </a:path>
          </a:pathLst>
        </a:custGeom>
        <a:solidFill>
          <a:srgbClr val="C3F591"/>
        </a:solidFill>
        <a:ln w="9525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36576" tIns="32004" rIns="0" bIns="0" anchor="t"/>
        <a:lstStyle/>
        <a:p>
          <a:pPr algn="l" rtl="0">
            <a:defRPr sz="1000"/>
          </a:pPr>
          <a:endParaRPr lang="en-US" sz="16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en-US"/>
        </a:p>
      </xdr:txBody>
    </xdr:sp>
    <xdr:clientData/>
  </xdr:twoCellAnchor>
  <xdr:twoCellAnchor>
    <xdr:from>
      <xdr:col>10</xdr:col>
      <xdr:colOff>209550</xdr:colOff>
      <xdr:row>34</xdr:row>
      <xdr:rowOff>95250</xdr:rowOff>
    </xdr:from>
    <xdr:to>
      <xdr:col>10</xdr:col>
      <xdr:colOff>485775</xdr:colOff>
      <xdr:row>36</xdr:row>
      <xdr:rowOff>57150</xdr:rowOff>
    </xdr:to>
    <xdr:sp macro="" textlink="">
      <xdr:nvSpPr>
        <xdr:cNvPr id="25809" name="S_BWA"/>
        <xdr:cNvSpPr>
          <a:spLocks/>
        </xdr:cNvSpPr>
      </xdr:nvSpPr>
      <xdr:spPr bwMode="auto">
        <a:xfrm>
          <a:off x="6038850" y="5448300"/>
          <a:ext cx="276225" cy="285750"/>
        </a:xfrm>
        <a:custGeom>
          <a:avLst/>
          <a:gdLst>
            <a:gd name="T0" fmla="*/ 0 w 130"/>
            <a:gd name="T1" fmla="*/ 459122434 h 136"/>
            <a:gd name="T2" fmla="*/ 36117481 w 130"/>
            <a:gd name="T3" fmla="*/ 534169596 h 136"/>
            <a:gd name="T4" fmla="*/ 36117481 w 130"/>
            <a:gd name="T5" fmla="*/ 600390159 h 136"/>
            <a:gd name="T6" fmla="*/ 103841461 w 130"/>
            <a:gd name="T7" fmla="*/ 600390159 h 136"/>
            <a:gd name="T8" fmla="*/ 225739530 w 130"/>
            <a:gd name="T9" fmla="*/ 534169596 h 136"/>
            <a:gd name="T10" fmla="*/ 257343904 w 130"/>
            <a:gd name="T11" fmla="*/ 565072735 h 136"/>
            <a:gd name="T12" fmla="*/ 586924995 w 130"/>
            <a:gd name="T13" fmla="*/ 269292005 h 136"/>
            <a:gd name="T14" fmla="*/ 483083434 w 130"/>
            <a:gd name="T15" fmla="*/ 269292005 h 136"/>
            <a:gd name="T16" fmla="*/ 460509488 w 130"/>
            <a:gd name="T17" fmla="*/ 207488090 h 136"/>
            <a:gd name="T18" fmla="*/ 284433131 w 130"/>
            <a:gd name="T19" fmla="*/ 0 h 136"/>
            <a:gd name="T20" fmla="*/ 225739530 w 130"/>
            <a:gd name="T21" fmla="*/ 66220448 h 136"/>
            <a:gd name="T22" fmla="*/ 194137280 w 130"/>
            <a:gd name="T23" fmla="*/ 30903016 h 136"/>
            <a:gd name="T24" fmla="*/ 67721856 w 130"/>
            <a:gd name="T25" fmla="*/ 30903016 h 136"/>
            <a:gd name="T26" fmla="*/ 36117481 w 130"/>
            <a:gd name="T27" fmla="*/ 269292005 h 136"/>
            <a:gd name="T28" fmla="*/ 0 w 130"/>
            <a:gd name="T29" fmla="*/ 344341333 h 136"/>
            <a:gd name="T30" fmla="*/ 0 w 130"/>
            <a:gd name="T31" fmla="*/ 459122434 h 136"/>
            <a:gd name="T32" fmla="*/ 0 w 130"/>
            <a:gd name="T33" fmla="*/ 459122434 h 136"/>
            <a:gd name="T34" fmla="*/ 0 w 130"/>
            <a:gd name="T35" fmla="*/ 459122434 h 1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60000 65536"/>
            <a:gd name="T52" fmla="*/ 0 60000 65536"/>
            <a:gd name="T53" fmla="*/ 0 60000 65536"/>
            <a:gd name="T54" fmla="*/ 0 w 130"/>
            <a:gd name="T55" fmla="*/ 0 h 136"/>
            <a:gd name="T56" fmla="*/ 130 w 130"/>
            <a:gd name="T57" fmla="*/ 136 h 136"/>
          </a:gdLst>
          <a:ahLst/>
          <a:cxnLst>
            <a:cxn ang="T36">
              <a:pos x="T0" y="T1"/>
            </a:cxn>
            <a:cxn ang="T37">
              <a:pos x="T2" y="T3"/>
            </a:cxn>
            <a:cxn ang="T38">
              <a:pos x="T4" y="T5"/>
            </a:cxn>
            <a:cxn ang="T39">
              <a:pos x="T6" y="T7"/>
            </a:cxn>
            <a:cxn ang="T40">
              <a:pos x="T8" y="T9"/>
            </a:cxn>
            <a:cxn ang="T41">
              <a:pos x="T10" y="T11"/>
            </a:cxn>
            <a:cxn ang="T42">
              <a:pos x="T12" y="T13"/>
            </a:cxn>
            <a:cxn ang="T43">
              <a:pos x="T14" y="T15"/>
            </a:cxn>
            <a:cxn ang="T44">
              <a:pos x="T16" y="T17"/>
            </a:cxn>
            <a:cxn ang="T45">
              <a:pos x="T18" y="T19"/>
            </a:cxn>
            <a:cxn ang="T46">
              <a:pos x="T20" y="T21"/>
            </a:cxn>
            <a:cxn ang="T47">
              <a:pos x="T22" y="T23"/>
            </a:cxn>
            <a:cxn ang="T48">
              <a:pos x="T24" y="T25"/>
            </a:cxn>
            <a:cxn ang="T49">
              <a:pos x="T26" y="T27"/>
            </a:cxn>
            <a:cxn ang="T50">
              <a:pos x="T28" y="T29"/>
            </a:cxn>
            <a:cxn ang="T51">
              <a:pos x="T30" y="T31"/>
            </a:cxn>
            <a:cxn ang="T52">
              <a:pos x="T32" y="T33"/>
            </a:cxn>
            <a:cxn ang="T53">
              <a:pos x="T34" y="T35"/>
            </a:cxn>
          </a:cxnLst>
          <a:rect l="T54" t="T55" r="T56" b="T57"/>
          <a:pathLst>
            <a:path w="130" h="136">
              <a:moveTo>
                <a:pt x="0" y="104"/>
              </a:moveTo>
              <a:lnTo>
                <a:pt x="8" y="121"/>
              </a:lnTo>
              <a:lnTo>
                <a:pt x="8" y="136"/>
              </a:lnTo>
              <a:lnTo>
                <a:pt x="23" y="136"/>
              </a:lnTo>
              <a:lnTo>
                <a:pt x="50" y="121"/>
              </a:lnTo>
              <a:lnTo>
                <a:pt x="57" y="128"/>
              </a:lnTo>
              <a:lnTo>
                <a:pt x="130" y="61"/>
              </a:lnTo>
              <a:lnTo>
                <a:pt x="107" y="61"/>
              </a:lnTo>
              <a:lnTo>
                <a:pt x="102" y="47"/>
              </a:lnTo>
              <a:lnTo>
                <a:pt x="63" y="0"/>
              </a:lnTo>
              <a:lnTo>
                <a:pt x="50" y="15"/>
              </a:lnTo>
              <a:lnTo>
                <a:pt x="43" y="7"/>
              </a:lnTo>
              <a:lnTo>
                <a:pt x="15" y="7"/>
              </a:lnTo>
              <a:lnTo>
                <a:pt x="8" y="61"/>
              </a:lnTo>
              <a:lnTo>
                <a:pt x="0" y="78"/>
              </a:lnTo>
              <a:lnTo>
                <a:pt x="0" y="104"/>
              </a:lnTo>
              <a:close/>
            </a:path>
          </a:pathLst>
        </a:custGeom>
        <a:solidFill>
          <a:srgbClr val="F5F5F5"/>
        </a:solidFill>
        <a:ln w="9525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36576" tIns="32004" rIns="0" bIns="0" anchor="t"/>
        <a:lstStyle/>
        <a:p>
          <a:pPr algn="l" rtl="0">
            <a:defRPr sz="1000"/>
          </a:pPr>
          <a:endParaRPr lang="en-US" sz="16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en-US"/>
        </a:p>
      </xdr:txBody>
    </xdr:sp>
    <xdr:clientData/>
  </xdr:twoCellAnchor>
  <xdr:twoCellAnchor>
    <xdr:from>
      <xdr:col>10</xdr:col>
      <xdr:colOff>342900</xdr:colOff>
      <xdr:row>34</xdr:row>
      <xdr:rowOff>38100</xdr:rowOff>
    </xdr:from>
    <xdr:to>
      <xdr:col>10</xdr:col>
      <xdr:colOff>581025</xdr:colOff>
      <xdr:row>35</xdr:row>
      <xdr:rowOff>95250</xdr:rowOff>
    </xdr:to>
    <xdr:sp macro="" textlink="">
      <xdr:nvSpPr>
        <xdr:cNvPr id="25810" name="S_ZWE"/>
        <xdr:cNvSpPr>
          <a:spLocks/>
        </xdr:cNvSpPr>
      </xdr:nvSpPr>
      <xdr:spPr bwMode="auto">
        <a:xfrm>
          <a:off x="6172200" y="5391150"/>
          <a:ext cx="238125" cy="219075"/>
        </a:xfrm>
        <a:custGeom>
          <a:avLst/>
          <a:gdLst>
            <a:gd name="T0" fmla="*/ 317551533 w 111"/>
            <a:gd name="T1" fmla="*/ 0 h 104"/>
            <a:gd name="T2" fmla="*/ 225506525 w 111"/>
            <a:gd name="T3" fmla="*/ 0 h 104"/>
            <a:gd name="T4" fmla="*/ 225506525 w 111"/>
            <a:gd name="T5" fmla="*/ 35498582 h 104"/>
            <a:gd name="T6" fmla="*/ 133463696 w 111"/>
            <a:gd name="T7" fmla="*/ 133119654 h 104"/>
            <a:gd name="T8" fmla="*/ 0 w 111"/>
            <a:gd name="T9" fmla="*/ 133119654 h 104"/>
            <a:gd name="T10" fmla="*/ 170280848 w 111"/>
            <a:gd name="T11" fmla="*/ 337234398 h 104"/>
            <a:gd name="T12" fmla="*/ 202496363 w 111"/>
            <a:gd name="T13" fmla="*/ 394920620 h 104"/>
            <a:gd name="T14" fmla="*/ 299142974 w 111"/>
            <a:gd name="T15" fmla="*/ 394920620 h 104"/>
            <a:gd name="T16" fmla="*/ 363571858 w 111"/>
            <a:gd name="T17" fmla="*/ 461479377 h 104"/>
            <a:gd name="T18" fmla="*/ 386584166 w 111"/>
            <a:gd name="T19" fmla="*/ 461479377 h 104"/>
            <a:gd name="T20" fmla="*/ 478626962 w 111"/>
            <a:gd name="T21" fmla="*/ 292861191 h 104"/>
            <a:gd name="T22" fmla="*/ 510842477 w 111"/>
            <a:gd name="T23" fmla="*/ 133119654 h 104"/>
            <a:gd name="T24" fmla="*/ 478626962 w 111"/>
            <a:gd name="T25" fmla="*/ 35498582 h 104"/>
            <a:gd name="T26" fmla="*/ 386584166 w 111"/>
            <a:gd name="T27" fmla="*/ 0 h 104"/>
            <a:gd name="T28" fmla="*/ 317551533 w 111"/>
            <a:gd name="T29" fmla="*/ 0 h 104"/>
            <a:gd name="T30" fmla="*/ 317551533 w 111"/>
            <a:gd name="T31" fmla="*/ 0 h 104"/>
            <a:gd name="T32" fmla="*/ 317551533 w 111"/>
            <a:gd name="T33" fmla="*/ 0 h 104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w 111"/>
            <a:gd name="T52" fmla="*/ 0 h 104"/>
            <a:gd name="T53" fmla="*/ 111 w 111"/>
            <a:gd name="T54" fmla="*/ 104 h 104"/>
          </a:gdLst>
          <a:ahLst/>
          <a:cxnLst>
            <a:cxn ang="T34">
              <a:pos x="T0" y="T1"/>
            </a:cxn>
            <a:cxn ang="T35">
              <a:pos x="T2" y="T3"/>
            </a:cxn>
            <a:cxn ang="T36">
              <a:pos x="T4" y="T5"/>
            </a:cxn>
            <a:cxn ang="T37">
              <a:pos x="T6" y="T7"/>
            </a:cxn>
            <a:cxn ang="T38">
              <a:pos x="T8" y="T9"/>
            </a:cxn>
            <a:cxn ang="T39">
              <a:pos x="T10" y="T11"/>
            </a:cxn>
            <a:cxn ang="T40">
              <a:pos x="T12" y="T13"/>
            </a:cxn>
            <a:cxn ang="T41">
              <a:pos x="T14" y="T15"/>
            </a:cxn>
            <a:cxn ang="T42">
              <a:pos x="T16" y="T17"/>
            </a:cxn>
            <a:cxn ang="T43">
              <a:pos x="T18" y="T19"/>
            </a:cxn>
            <a:cxn ang="T44">
              <a:pos x="T20" y="T21"/>
            </a:cxn>
            <a:cxn ang="T45">
              <a:pos x="T22" y="T23"/>
            </a:cxn>
            <a:cxn ang="T46">
              <a:pos x="T24" y="T25"/>
            </a:cxn>
            <a:cxn ang="T47">
              <a:pos x="T26" y="T27"/>
            </a:cxn>
            <a:cxn ang="T48">
              <a:pos x="T28" y="T29"/>
            </a:cxn>
            <a:cxn ang="T49">
              <a:pos x="T30" y="T31"/>
            </a:cxn>
            <a:cxn ang="T50">
              <a:pos x="T32" y="T33"/>
            </a:cxn>
          </a:cxnLst>
          <a:rect l="T51" t="T52" r="T53" b="T54"/>
          <a:pathLst>
            <a:path w="111" h="104">
              <a:moveTo>
                <a:pt x="69" y="0"/>
              </a:moveTo>
              <a:lnTo>
                <a:pt x="49" y="0"/>
              </a:lnTo>
              <a:lnTo>
                <a:pt x="49" y="8"/>
              </a:lnTo>
              <a:lnTo>
                <a:pt x="29" y="30"/>
              </a:lnTo>
              <a:lnTo>
                <a:pt x="0" y="30"/>
              </a:lnTo>
              <a:lnTo>
                <a:pt x="37" y="76"/>
              </a:lnTo>
              <a:lnTo>
                <a:pt x="44" y="89"/>
              </a:lnTo>
              <a:lnTo>
                <a:pt x="65" y="89"/>
              </a:lnTo>
              <a:lnTo>
                <a:pt x="79" y="104"/>
              </a:lnTo>
              <a:lnTo>
                <a:pt x="84" y="104"/>
              </a:lnTo>
              <a:lnTo>
                <a:pt x="104" y="66"/>
              </a:lnTo>
              <a:lnTo>
                <a:pt x="111" y="30"/>
              </a:lnTo>
              <a:lnTo>
                <a:pt x="104" y="8"/>
              </a:lnTo>
              <a:lnTo>
                <a:pt x="84" y="0"/>
              </a:lnTo>
              <a:lnTo>
                <a:pt x="69" y="0"/>
              </a:lnTo>
              <a:close/>
            </a:path>
          </a:pathLst>
        </a:custGeom>
        <a:solidFill>
          <a:srgbClr val="F5F5F5"/>
        </a:solidFill>
        <a:ln w="9525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36576" tIns="32004" rIns="0" bIns="0" anchor="t"/>
        <a:lstStyle/>
        <a:p>
          <a:pPr algn="l" rtl="0">
            <a:defRPr sz="1000"/>
          </a:pPr>
          <a:endParaRPr lang="en-US" sz="16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en-US"/>
        </a:p>
      </xdr:txBody>
    </xdr:sp>
    <xdr:clientData/>
  </xdr:twoCellAnchor>
  <xdr:twoCellAnchor>
    <xdr:from>
      <xdr:col>10</xdr:col>
      <xdr:colOff>495300</xdr:colOff>
      <xdr:row>33</xdr:row>
      <xdr:rowOff>28575</xdr:rowOff>
    </xdr:from>
    <xdr:to>
      <xdr:col>11</xdr:col>
      <xdr:colOff>76200</xdr:colOff>
      <xdr:row>36</xdr:row>
      <xdr:rowOff>47625</xdr:rowOff>
    </xdr:to>
    <xdr:sp macro="" textlink="">
      <xdr:nvSpPr>
        <xdr:cNvPr id="25811" name="S_MOZ"/>
        <xdr:cNvSpPr>
          <a:spLocks/>
        </xdr:cNvSpPr>
      </xdr:nvSpPr>
      <xdr:spPr bwMode="auto">
        <a:xfrm>
          <a:off x="6324600" y="5219700"/>
          <a:ext cx="295275" cy="504825"/>
        </a:xfrm>
        <a:custGeom>
          <a:avLst/>
          <a:gdLst>
            <a:gd name="T0" fmla="*/ 162263031 w 141"/>
            <a:gd name="T1" fmla="*/ 1040197062 h 245"/>
            <a:gd name="T2" fmla="*/ 162263031 w 141"/>
            <a:gd name="T3" fmla="*/ 985002189 h 245"/>
            <a:gd name="T4" fmla="*/ 320138823 w 141"/>
            <a:gd name="T5" fmla="*/ 912826656 h 245"/>
            <a:gd name="T6" fmla="*/ 346451793 w 141"/>
            <a:gd name="T7" fmla="*/ 891597224 h 245"/>
            <a:gd name="T8" fmla="*/ 346451793 w 141"/>
            <a:gd name="T9" fmla="*/ 798192260 h 245"/>
            <a:gd name="T10" fmla="*/ 249970139 w 141"/>
            <a:gd name="T11" fmla="*/ 632609701 h 245"/>
            <a:gd name="T12" fmla="*/ 618349821 w 141"/>
            <a:gd name="T13" fmla="*/ 318427175 h 245"/>
            <a:gd name="T14" fmla="*/ 587651705 w 141"/>
            <a:gd name="T15" fmla="*/ 0 h 245"/>
            <a:gd name="T16" fmla="*/ 530640488 w 141"/>
            <a:gd name="T17" fmla="*/ 55194889 h 245"/>
            <a:gd name="T18" fmla="*/ 320138823 w 141"/>
            <a:gd name="T19" fmla="*/ 55194889 h 245"/>
            <a:gd name="T20" fmla="*/ 249970139 w 141"/>
            <a:gd name="T21" fmla="*/ 127370439 h 245"/>
            <a:gd name="T22" fmla="*/ 320138823 w 141"/>
            <a:gd name="T23" fmla="*/ 191056704 h 245"/>
            <a:gd name="T24" fmla="*/ 346451793 w 141"/>
            <a:gd name="T25" fmla="*/ 284461734 h 245"/>
            <a:gd name="T26" fmla="*/ 346451793 w 141"/>
            <a:gd name="T27" fmla="*/ 348147967 h 245"/>
            <a:gd name="T28" fmla="*/ 320138823 w 141"/>
            <a:gd name="T29" fmla="*/ 403340780 h 245"/>
            <a:gd name="T30" fmla="*/ 249970139 w 141"/>
            <a:gd name="T31" fmla="*/ 348147967 h 245"/>
            <a:gd name="T32" fmla="*/ 249970139 w 141"/>
            <a:gd name="T33" fmla="*/ 284461734 h 245"/>
            <a:gd name="T34" fmla="*/ 214886877 w 141"/>
            <a:gd name="T35" fmla="*/ 284461734 h 245"/>
            <a:gd name="T36" fmla="*/ 192961147 w 141"/>
            <a:gd name="T37" fmla="*/ 212286136 h 245"/>
            <a:gd name="T38" fmla="*/ 0 w 141"/>
            <a:gd name="T39" fmla="*/ 318427175 h 245"/>
            <a:gd name="T40" fmla="*/ 0 w 141"/>
            <a:gd name="T41" fmla="*/ 348147967 h 245"/>
            <a:gd name="T42" fmla="*/ 70166557 w 141"/>
            <a:gd name="T43" fmla="*/ 348147967 h 245"/>
            <a:gd name="T44" fmla="*/ 162263031 w 141"/>
            <a:gd name="T45" fmla="*/ 382113409 h 245"/>
            <a:gd name="T46" fmla="*/ 192961147 w 141"/>
            <a:gd name="T47" fmla="*/ 475518374 h 245"/>
            <a:gd name="T48" fmla="*/ 162263031 w 141"/>
            <a:gd name="T49" fmla="*/ 632609701 h 245"/>
            <a:gd name="T50" fmla="*/ 70166557 w 141"/>
            <a:gd name="T51" fmla="*/ 798192260 h 245"/>
            <a:gd name="T52" fmla="*/ 105251913 w 141"/>
            <a:gd name="T53" fmla="*/ 1040197062 h 245"/>
            <a:gd name="T54" fmla="*/ 162263031 w 141"/>
            <a:gd name="T55" fmla="*/ 1040197062 h 245"/>
            <a:gd name="T56" fmla="*/ 162263031 w 141"/>
            <a:gd name="T57" fmla="*/ 1040197062 h 245"/>
            <a:gd name="T58" fmla="*/ 0 60000 65536"/>
            <a:gd name="T59" fmla="*/ 0 60000 65536"/>
            <a:gd name="T60" fmla="*/ 0 60000 65536"/>
            <a:gd name="T61" fmla="*/ 0 60000 65536"/>
            <a:gd name="T62" fmla="*/ 0 60000 65536"/>
            <a:gd name="T63" fmla="*/ 0 60000 65536"/>
            <a:gd name="T64" fmla="*/ 0 60000 65536"/>
            <a:gd name="T65" fmla="*/ 0 60000 65536"/>
            <a:gd name="T66" fmla="*/ 0 60000 65536"/>
            <a:gd name="T67" fmla="*/ 0 60000 65536"/>
            <a:gd name="T68" fmla="*/ 0 60000 65536"/>
            <a:gd name="T69" fmla="*/ 0 60000 65536"/>
            <a:gd name="T70" fmla="*/ 0 60000 65536"/>
            <a:gd name="T71" fmla="*/ 0 60000 65536"/>
            <a:gd name="T72" fmla="*/ 0 60000 65536"/>
            <a:gd name="T73" fmla="*/ 0 60000 65536"/>
            <a:gd name="T74" fmla="*/ 0 60000 65536"/>
            <a:gd name="T75" fmla="*/ 0 60000 65536"/>
            <a:gd name="T76" fmla="*/ 0 60000 65536"/>
            <a:gd name="T77" fmla="*/ 0 60000 65536"/>
            <a:gd name="T78" fmla="*/ 0 60000 65536"/>
            <a:gd name="T79" fmla="*/ 0 60000 65536"/>
            <a:gd name="T80" fmla="*/ 0 60000 65536"/>
            <a:gd name="T81" fmla="*/ 0 60000 65536"/>
            <a:gd name="T82" fmla="*/ 0 60000 65536"/>
            <a:gd name="T83" fmla="*/ 0 60000 65536"/>
            <a:gd name="T84" fmla="*/ 0 60000 65536"/>
            <a:gd name="T85" fmla="*/ 0 60000 65536"/>
            <a:gd name="T86" fmla="*/ 0 60000 65536"/>
            <a:gd name="T87" fmla="*/ 0 w 141"/>
            <a:gd name="T88" fmla="*/ 0 h 245"/>
            <a:gd name="T89" fmla="*/ 141 w 141"/>
            <a:gd name="T90" fmla="*/ 245 h 245"/>
          </a:gdLst>
          <a:ahLst/>
          <a:cxnLst>
            <a:cxn ang="T58">
              <a:pos x="T0" y="T1"/>
            </a:cxn>
            <a:cxn ang="T59">
              <a:pos x="T2" y="T3"/>
            </a:cxn>
            <a:cxn ang="T60">
              <a:pos x="T4" y="T5"/>
            </a:cxn>
            <a:cxn ang="T61">
              <a:pos x="T6" y="T7"/>
            </a:cxn>
            <a:cxn ang="T62">
              <a:pos x="T8" y="T9"/>
            </a:cxn>
            <a:cxn ang="T63">
              <a:pos x="T10" y="T11"/>
            </a:cxn>
            <a:cxn ang="T64">
              <a:pos x="T12" y="T13"/>
            </a:cxn>
            <a:cxn ang="T65">
              <a:pos x="T14" y="T15"/>
            </a:cxn>
            <a:cxn ang="T66">
              <a:pos x="T16" y="T17"/>
            </a:cxn>
            <a:cxn ang="T67">
              <a:pos x="T18" y="T19"/>
            </a:cxn>
            <a:cxn ang="T68">
              <a:pos x="T20" y="T21"/>
            </a:cxn>
            <a:cxn ang="T69">
              <a:pos x="T22" y="T23"/>
            </a:cxn>
            <a:cxn ang="T70">
              <a:pos x="T24" y="T25"/>
            </a:cxn>
            <a:cxn ang="T71">
              <a:pos x="T26" y="T27"/>
            </a:cxn>
            <a:cxn ang="T72">
              <a:pos x="T28" y="T29"/>
            </a:cxn>
            <a:cxn ang="T73">
              <a:pos x="T30" y="T31"/>
            </a:cxn>
            <a:cxn ang="T74">
              <a:pos x="T32" y="T33"/>
            </a:cxn>
            <a:cxn ang="T75">
              <a:pos x="T34" y="T35"/>
            </a:cxn>
            <a:cxn ang="T76">
              <a:pos x="T36" y="T37"/>
            </a:cxn>
            <a:cxn ang="T77">
              <a:pos x="T38" y="T39"/>
            </a:cxn>
            <a:cxn ang="T78">
              <a:pos x="T40" y="T41"/>
            </a:cxn>
            <a:cxn ang="T79">
              <a:pos x="T42" y="T43"/>
            </a:cxn>
            <a:cxn ang="T80">
              <a:pos x="T44" y="T45"/>
            </a:cxn>
            <a:cxn ang="T81">
              <a:pos x="T46" y="T47"/>
            </a:cxn>
            <a:cxn ang="T82">
              <a:pos x="T48" y="T49"/>
            </a:cxn>
            <a:cxn ang="T83">
              <a:pos x="T50" y="T51"/>
            </a:cxn>
            <a:cxn ang="T84">
              <a:pos x="T52" y="T53"/>
            </a:cxn>
            <a:cxn ang="T85">
              <a:pos x="T54" y="T55"/>
            </a:cxn>
            <a:cxn ang="T86">
              <a:pos x="T56" y="T57"/>
            </a:cxn>
          </a:cxnLst>
          <a:rect l="T87" t="T88" r="T89" b="T90"/>
          <a:pathLst>
            <a:path w="141" h="245">
              <a:moveTo>
                <a:pt x="37" y="245"/>
              </a:moveTo>
              <a:lnTo>
                <a:pt x="37" y="232"/>
              </a:lnTo>
              <a:lnTo>
                <a:pt x="73" y="215"/>
              </a:lnTo>
              <a:lnTo>
                <a:pt x="79" y="210"/>
              </a:lnTo>
              <a:lnTo>
                <a:pt x="79" y="188"/>
              </a:lnTo>
              <a:lnTo>
                <a:pt x="57" y="149"/>
              </a:lnTo>
              <a:lnTo>
                <a:pt x="141" y="75"/>
              </a:lnTo>
              <a:lnTo>
                <a:pt x="134" y="0"/>
              </a:lnTo>
              <a:lnTo>
                <a:pt x="121" y="13"/>
              </a:lnTo>
              <a:lnTo>
                <a:pt x="73" y="13"/>
              </a:lnTo>
              <a:lnTo>
                <a:pt x="57" y="30"/>
              </a:lnTo>
              <a:lnTo>
                <a:pt x="73" y="45"/>
              </a:lnTo>
              <a:lnTo>
                <a:pt x="79" y="67"/>
              </a:lnTo>
              <a:lnTo>
                <a:pt x="79" y="82"/>
              </a:lnTo>
              <a:lnTo>
                <a:pt x="73" y="95"/>
              </a:lnTo>
              <a:lnTo>
                <a:pt x="57" y="82"/>
              </a:lnTo>
              <a:lnTo>
                <a:pt x="57" y="67"/>
              </a:lnTo>
              <a:lnTo>
                <a:pt x="49" y="67"/>
              </a:lnTo>
              <a:lnTo>
                <a:pt x="44" y="50"/>
              </a:lnTo>
              <a:lnTo>
                <a:pt x="0" y="75"/>
              </a:lnTo>
              <a:lnTo>
                <a:pt x="0" y="82"/>
              </a:lnTo>
              <a:lnTo>
                <a:pt x="16" y="82"/>
              </a:lnTo>
              <a:lnTo>
                <a:pt x="37" y="90"/>
              </a:lnTo>
              <a:lnTo>
                <a:pt x="44" y="112"/>
              </a:lnTo>
              <a:lnTo>
                <a:pt x="37" y="149"/>
              </a:lnTo>
              <a:lnTo>
                <a:pt x="16" y="188"/>
              </a:lnTo>
              <a:lnTo>
                <a:pt x="24" y="245"/>
              </a:lnTo>
              <a:lnTo>
                <a:pt x="37" y="245"/>
              </a:lnTo>
              <a:close/>
            </a:path>
          </a:pathLst>
        </a:custGeom>
        <a:solidFill>
          <a:srgbClr val="F5F5F5"/>
        </a:solidFill>
        <a:ln w="9525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36576" tIns="32004" rIns="0" bIns="0" anchor="t"/>
        <a:lstStyle/>
        <a:p>
          <a:pPr algn="l" rtl="0">
            <a:defRPr sz="1000"/>
          </a:pPr>
          <a:endParaRPr lang="en-US" sz="16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en-US"/>
        </a:p>
      </xdr:txBody>
    </xdr:sp>
    <xdr:clientData/>
  </xdr:twoCellAnchor>
  <xdr:twoCellAnchor>
    <xdr:from>
      <xdr:col>11</xdr:col>
      <xdr:colOff>161925</xdr:colOff>
      <xdr:row>33</xdr:row>
      <xdr:rowOff>85725</xdr:rowOff>
    </xdr:from>
    <xdr:to>
      <xdr:col>11</xdr:col>
      <xdr:colOff>333375</xdr:colOff>
      <xdr:row>36</xdr:row>
      <xdr:rowOff>28575</xdr:rowOff>
    </xdr:to>
    <xdr:sp macro="" textlink="">
      <xdr:nvSpPr>
        <xdr:cNvPr id="25812" name="S_MDG"/>
        <xdr:cNvSpPr>
          <a:spLocks/>
        </xdr:cNvSpPr>
      </xdr:nvSpPr>
      <xdr:spPr bwMode="auto">
        <a:xfrm>
          <a:off x="6705600" y="5276850"/>
          <a:ext cx="171450" cy="428625"/>
        </a:xfrm>
        <a:custGeom>
          <a:avLst/>
          <a:gdLst>
            <a:gd name="T0" fmla="*/ 0 w 86"/>
            <a:gd name="T1" fmla="*/ 648356917 h 202"/>
            <a:gd name="T2" fmla="*/ 19872252 w 86"/>
            <a:gd name="T3" fmla="*/ 810447141 h 202"/>
            <a:gd name="T4" fmla="*/ 75513761 w 86"/>
            <a:gd name="T5" fmla="*/ 909501924 h 202"/>
            <a:gd name="T6" fmla="*/ 162953261 w 86"/>
            <a:gd name="T7" fmla="*/ 909501924 h 202"/>
            <a:gd name="T8" fmla="*/ 313982778 w 86"/>
            <a:gd name="T9" fmla="*/ 211617682 h 202"/>
            <a:gd name="T10" fmla="*/ 341803521 w 86"/>
            <a:gd name="T11" fmla="*/ 243134341 h 202"/>
            <a:gd name="T12" fmla="*/ 313982778 w 86"/>
            <a:gd name="T13" fmla="*/ 45024725 h 202"/>
            <a:gd name="T14" fmla="*/ 286162035 w 86"/>
            <a:gd name="T15" fmla="*/ 0 h 202"/>
            <a:gd name="T16" fmla="*/ 266289791 w 86"/>
            <a:gd name="T17" fmla="*/ 76541401 h 202"/>
            <a:gd name="T18" fmla="*/ 242442238 w 86"/>
            <a:gd name="T19" fmla="*/ 76541401 h 202"/>
            <a:gd name="T20" fmla="*/ 242442238 w 86"/>
            <a:gd name="T21" fmla="*/ 180098901 h 202"/>
            <a:gd name="T22" fmla="*/ 75513761 w 86"/>
            <a:gd name="T23" fmla="*/ 279153750 h 202"/>
            <a:gd name="T24" fmla="*/ 19872252 w 86"/>
            <a:gd name="T25" fmla="*/ 378208533 h 202"/>
            <a:gd name="T26" fmla="*/ 75513761 w 86"/>
            <a:gd name="T27" fmla="*/ 544801440 h 202"/>
            <a:gd name="T28" fmla="*/ 0 w 86"/>
            <a:gd name="T29" fmla="*/ 648356917 h 202"/>
            <a:gd name="T30" fmla="*/ 0 w 86"/>
            <a:gd name="T31" fmla="*/ 648356917 h 202"/>
            <a:gd name="T32" fmla="*/ 0 w 86"/>
            <a:gd name="T33" fmla="*/ 648356917 h 202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w 86"/>
            <a:gd name="T52" fmla="*/ 0 h 202"/>
            <a:gd name="T53" fmla="*/ 86 w 86"/>
            <a:gd name="T54" fmla="*/ 202 h 202"/>
          </a:gdLst>
          <a:ahLst/>
          <a:cxnLst>
            <a:cxn ang="T34">
              <a:pos x="T0" y="T1"/>
            </a:cxn>
            <a:cxn ang="T35">
              <a:pos x="T2" y="T3"/>
            </a:cxn>
            <a:cxn ang="T36">
              <a:pos x="T4" y="T5"/>
            </a:cxn>
            <a:cxn ang="T37">
              <a:pos x="T6" y="T7"/>
            </a:cxn>
            <a:cxn ang="T38">
              <a:pos x="T8" y="T9"/>
            </a:cxn>
            <a:cxn ang="T39">
              <a:pos x="T10" y="T11"/>
            </a:cxn>
            <a:cxn ang="T40">
              <a:pos x="T12" y="T13"/>
            </a:cxn>
            <a:cxn ang="T41">
              <a:pos x="T14" y="T15"/>
            </a:cxn>
            <a:cxn ang="T42">
              <a:pos x="T16" y="T17"/>
            </a:cxn>
            <a:cxn ang="T43">
              <a:pos x="T18" y="T19"/>
            </a:cxn>
            <a:cxn ang="T44">
              <a:pos x="T20" y="T21"/>
            </a:cxn>
            <a:cxn ang="T45">
              <a:pos x="T22" y="T23"/>
            </a:cxn>
            <a:cxn ang="T46">
              <a:pos x="T24" y="T25"/>
            </a:cxn>
            <a:cxn ang="T47">
              <a:pos x="T26" y="T27"/>
            </a:cxn>
            <a:cxn ang="T48">
              <a:pos x="T28" y="T29"/>
            </a:cxn>
            <a:cxn ang="T49">
              <a:pos x="T30" y="T31"/>
            </a:cxn>
            <a:cxn ang="T50">
              <a:pos x="T32" y="T33"/>
            </a:cxn>
          </a:cxnLst>
          <a:rect l="T51" t="T52" r="T53" b="T54"/>
          <a:pathLst>
            <a:path w="86" h="202">
              <a:moveTo>
                <a:pt x="0" y="144"/>
              </a:moveTo>
              <a:lnTo>
                <a:pt x="5" y="180"/>
              </a:lnTo>
              <a:lnTo>
                <a:pt x="19" y="202"/>
              </a:lnTo>
              <a:lnTo>
                <a:pt x="41" y="202"/>
              </a:lnTo>
              <a:lnTo>
                <a:pt x="79" y="47"/>
              </a:lnTo>
              <a:lnTo>
                <a:pt x="86" y="54"/>
              </a:lnTo>
              <a:lnTo>
                <a:pt x="79" y="10"/>
              </a:lnTo>
              <a:lnTo>
                <a:pt x="72" y="0"/>
              </a:lnTo>
              <a:lnTo>
                <a:pt x="67" y="17"/>
              </a:lnTo>
              <a:lnTo>
                <a:pt x="61" y="17"/>
              </a:lnTo>
              <a:lnTo>
                <a:pt x="61" y="40"/>
              </a:lnTo>
              <a:lnTo>
                <a:pt x="19" y="62"/>
              </a:lnTo>
              <a:lnTo>
                <a:pt x="5" y="84"/>
              </a:lnTo>
              <a:lnTo>
                <a:pt x="19" y="121"/>
              </a:lnTo>
              <a:lnTo>
                <a:pt x="0" y="144"/>
              </a:lnTo>
              <a:close/>
            </a:path>
          </a:pathLst>
        </a:custGeom>
        <a:solidFill>
          <a:srgbClr val="F5F5F5"/>
        </a:solidFill>
        <a:ln w="9525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36576" tIns="32004" rIns="0" bIns="0" anchor="t"/>
        <a:lstStyle/>
        <a:p>
          <a:pPr algn="l" rtl="0">
            <a:defRPr sz="1000"/>
          </a:pPr>
          <a:endParaRPr lang="en-US" sz="16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en-US"/>
        </a:p>
      </xdr:txBody>
    </xdr:sp>
    <xdr:clientData/>
  </xdr:twoCellAnchor>
  <xdr:twoCellAnchor>
    <xdr:from>
      <xdr:col>10</xdr:col>
      <xdr:colOff>400050</xdr:colOff>
      <xdr:row>36</xdr:row>
      <xdr:rowOff>114300</xdr:rowOff>
    </xdr:from>
    <xdr:to>
      <xdr:col>10</xdr:col>
      <xdr:colOff>485775</xdr:colOff>
      <xdr:row>37</xdr:row>
      <xdr:rowOff>38100</xdr:rowOff>
    </xdr:to>
    <xdr:sp macro="" textlink="">
      <xdr:nvSpPr>
        <xdr:cNvPr id="25813" name="S_LSO"/>
        <xdr:cNvSpPr>
          <a:spLocks/>
        </xdr:cNvSpPr>
      </xdr:nvSpPr>
      <xdr:spPr bwMode="auto">
        <a:xfrm>
          <a:off x="6229350" y="5791200"/>
          <a:ext cx="85725" cy="85725"/>
        </a:xfrm>
        <a:custGeom>
          <a:avLst/>
          <a:gdLst>
            <a:gd name="T0" fmla="*/ 193388825 w 38"/>
            <a:gd name="T1" fmla="*/ 62810041 h 39"/>
            <a:gd name="T2" fmla="*/ 111961352 w 38"/>
            <a:gd name="T3" fmla="*/ 154608343 h 39"/>
            <a:gd name="T4" fmla="*/ 40712609 w 38"/>
            <a:gd name="T5" fmla="*/ 188430139 h 39"/>
            <a:gd name="T6" fmla="*/ 0 w 38"/>
            <a:gd name="T7" fmla="*/ 154608343 h 39"/>
            <a:gd name="T8" fmla="*/ 76338117 w 38"/>
            <a:gd name="T9" fmla="*/ 0 h 39"/>
            <a:gd name="T10" fmla="*/ 111961352 w 38"/>
            <a:gd name="T11" fmla="*/ 33821805 h 39"/>
            <a:gd name="T12" fmla="*/ 193388825 w 38"/>
            <a:gd name="T13" fmla="*/ 62810041 h 39"/>
            <a:gd name="T14" fmla="*/ 193388825 w 38"/>
            <a:gd name="T15" fmla="*/ 62810041 h 39"/>
            <a:gd name="T16" fmla="*/ 193388825 w 38"/>
            <a:gd name="T17" fmla="*/ 62810041 h 39"/>
            <a:gd name="T18" fmla="*/ 0 60000 65536"/>
            <a:gd name="T19" fmla="*/ 0 60000 65536"/>
            <a:gd name="T20" fmla="*/ 0 60000 65536"/>
            <a:gd name="T21" fmla="*/ 0 60000 65536"/>
            <a:gd name="T22" fmla="*/ 0 60000 65536"/>
            <a:gd name="T23" fmla="*/ 0 60000 65536"/>
            <a:gd name="T24" fmla="*/ 0 60000 65536"/>
            <a:gd name="T25" fmla="*/ 0 60000 65536"/>
            <a:gd name="T26" fmla="*/ 0 60000 65536"/>
            <a:gd name="T27" fmla="*/ 0 w 38"/>
            <a:gd name="T28" fmla="*/ 0 h 39"/>
            <a:gd name="T29" fmla="*/ 38 w 38"/>
            <a:gd name="T30" fmla="*/ 39 h 39"/>
          </a:gdLst>
          <a:ahLst/>
          <a:cxnLst>
            <a:cxn ang="T18">
              <a:pos x="T0" y="T1"/>
            </a:cxn>
            <a:cxn ang="T19">
              <a:pos x="T2" y="T3"/>
            </a:cxn>
            <a:cxn ang="T20">
              <a:pos x="T4" y="T5"/>
            </a:cxn>
            <a:cxn ang="T21">
              <a:pos x="T6" y="T7"/>
            </a:cxn>
            <a:cxn ang="T22">
              <a:pos x="T8" y="T9"/>
            </a:cxn>
            <a:cxn ang="T23">
              <a:pos x="T10" y="T11"/>
            </a:cxn>
            <a:cxn ang="T24">
              <a:pos x="T12" y="T13"/>
            </a:cxn>
            <a:cxn ang="T25">
              <a:pos x="T14" y="T15"/>
            </a:cxn>
            <a:cxn ang="T26">
              <a:pos x="T16" y="T17"/>
            </a:cxn>
          </a:cxnLst>
          <a:rect l="T27" t="T28" r="T29" b="T30"/>
          <a:pathLst>
            <a:path w="38" h="39">
              <a:moveTo>
                <a:pt x="38" y="13"/>
              </a:moveTo>
              <a:lnTo>
                <a:pt x="22" y="32"/>
              </a:lnTo>
              <a:lnTo>
                <a:pt x="8" y="39"/>
              </a:lnTo>
              <a:lnTo>
                <a:pt x="0" y="32"/>
              </a:lnTo>
              <a:lnTo>
                <a:pt x="15" y="0"/>
              </a:lnTo>
              <a:lnTo>
                <a:pt x="22" y="7"/>
              </a:lnTo>
              <a:lnTo>
                <a:pt x="38" y="13"/>
              </a:lnTo>
              <a:close/>
            </a:path>
          </a:pathLst>
        </a:custGeom>
        <a:solidFill>
          <a:srgbClr val="F5F5F5"/>
        </a:solidFill>
        <a:ln w="9525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36576" tIns="32004" rIns="0" bIns="0" anchor="t"/>
        <a:lstStyle/>
        <a:p>
          <a:pPr algn="l" rtl="0">
            <a:defRPr sz="1000"/>
          </a:pPr>
          <a:endParaRPr lang="en-US" sz="16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en-US"/>
        </a:p>
      </xdr:txBody>
    </xdr:sp>
    <xdr:clientData/>
  </xdr:twoCellAnchor>
  <xdr:twoCellAnchor>
    <xdr:from>
      <xdr:col>10</xdr:col>
      <xdr:colOff>571500</xdr:colOff>
      <xdr:row>33</xdr:row>
      <xdr:rowOff>9525</xdr:rowOff>
    </xdr:from>
    <xdr:to>
      <xdr:col>10</xdr:col>
      <xdr:colOff>657225</xdr:colOff>
      <xdr:row>34</xdr:row>
      <xdr:rowOff>66675</xdr:rowOff>
    </xdr:to>
    <xdr:sp macro="" textlink="">
      <xdr:nvSpPr>
        <xdr:cNvPr id="25814" name="S_MWI"/>
        <xdr:cNvSpPr>
          <a:spLocks/>
        </xdr:cNvSpPr>
      </xdr:nvSpPr>
      <xdr:spPr bwMode="auto">
        <a:xfrm>
          <a:off x="6400800" y="5200650"/>
          <a:ext cx="85725" cy="219075"/>
        </a:xfrm>
        <a:custGeom>
          <a:avLst/>
          <a:gdLst>
            <a:gd name="T0" fmla="*/ 33328651 w 42"/>
            <a:gd name="T1" fmla="*/ 266237201 h 104"/>
            <a:gd name="T2" fmla="*/ 0 w 42"/>
            <a:gd name="T3" fmla="*/ 235177009 h 104"/>
            <a:gd name="T4" fmla="*/ 33328651 w 42"/>
            <a:gd name="T5" fmla="*/ 159743611 h 104"/>
            <a:gd name="T6" fmla="*/ 33328651 w 42"/>
            <a:gd name="T7" fmla="*/ 102057356 h 104"/>
            <a:gd name="T8" fmla="*/ 54157786 w 42"/>
            <a:gd name="T9" fmla="*/ 70997164 h 104"/>
            <a:gd name="T10" fmla="*/ 33328651 w 42"/>
            <a:gd name="T11" fmla="*/ 0 h 104"/>
            <a:gd name="T12" fmla="*/ 87486445 w 42"/>
            <a:gd name="T13" fmla="*/ 0 h 104"/>
            <a:gd name="T14" fmla="*/ 145810072 w 42"/>
            <a:gd name="T15" fmla="*/ 102057356 h 104"/>
            <a:gd name="T16" fmla="*/ 87486445 w 42"/>
            <a:gd name="T17" fmla="*/ 159743611 h 104"/>
            <a:gd name="T18" fmla="*/ 145810072 w 42"/>
            <a:gd name="T19" fmla="*/ 235177009 h 104"/>
            <a:gd name="T20" fmla="*/ 174970848 w 42"/>
            <a:gd name="T21" fmla="*/ 332798130 h 104"/>
            <a:gd name="T22" fmla="*/ 174970848 w 42"/>
            <a:gd name="T23" fmla="*/ 399356888 h 104"/>
            <a:gd name="T24" fmla="*/ 145810072 w 42"/>
            <a:gd name="T25" fmla="*/ 461479377 h 104"/>
            <a:gd name="T26" fmla="*/ 87486445 w 42"/>
            <a:gd name="T27" fmla="*/ 399356888 h 104"/>
            <a:gd name="T28" fmla="*/ 87486445 w 42"/>
            <a:gd name="T29" fmla="*/ 332798130 h 104"/>
            <a:gd name="T30" fmla="*/ 54157786 w 42"/>
            <a:gd name="T31" fmla="*/ 332798130 h 104"/>
            <a:gd name="T32" fmla="*/ 33328651 w 42"/>
            <a:gd name="T33" fmla="*/ 266237201 h 104"/>
            <a:gd name="T34" fmla="*/ 33328651 w 42"/>
            <a:gd name="T35" fmla="*/ 266237201 h 104"/>
            <a:gd name="T36" fmla="*/ 33328651 w 42"/>
            <a:gd name="T37" fmla="*/ 266237201 h 104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60000 65536"/>
            <a:gd name="T52" fmla="*/ 0 60000 65536"/>
            <a:gd name="T53" fmla="*/ 0 60000 65536"/>
            <a:gd name="T54" fmla="*/ 0 60000 65536"/>
            <a:gd name="T55" fmla="*/ 0 60000 65536"/>
            <a:gd name="T56" fmla="*/ 0 60000 65536"/>
            <a:gd name="T57" fmla="*/ 0 w 42"/>
            <a:gd name="T58" fmla="*/ 0 h 104"/>
            <a:gd name="T59" fmla="*/ 42 w 42"/>
            <a:gd name="T60" fmla="*/ 104 h 104"/>
          </a:gdLst>
          <a:ahLst/>
          <a:cxnLst>
            <a:cxn ang="T38">
              <a:pos x="T0" y="T1"/>
            </a:cxn>
            <a:cxn ang="T39">
              <a:pos x="T2" y="T3"/>
            </a:cxn>
            <a:cxn ang="T40">
              <a:pos x="T4" y="T5"/>
            </a:cxn>
            <a:cxn ang="T41">
              <a:pos x="T6" y="T7"/>
            </a:cxn>
            <a:cxn ang="T42">
              <a:pos x="T8" y="T9"/>
            </a:cxn>
            <a:cxn ang="T43">
              <a:pos x="T10" y="T11"/>
            </a:cxn>
            <a:cxn ang="T44">
              <a:pos x="T12" y="T13"/>
            </a:cxn>
            <a:cxn ang="T45">
              <a:pos x="T14" y="T15"/>
            </a:cxn>
            <a:cxn ang="T46">
              <a:pos x="T16" y="T17"/>
            </a:cxn>
            <a:cxn ang="T47">
              <a:pos x="T18" y="T19"/>
            </a:cxn>
            <a:cxn ang="T48">
              <a:pos x="T20" y="T21"/>
            </a:cxn>
            <a:cxn ang="T49">
              <a:pos x="T22" y="T23"/>
            </a:cxn>
            <a:cxn ang="T50">
              <a:pos x="T24" y="T25"/>
            </a:cxn>
            <a:cxn ang="T51">
              <a:pos x="T26" y="T27"/>
            </a:cxn>
            <a:cxn ang="T52">
              <a:pos x="T28" y="T29"/>
            </a:cxn>
            <a:cxn ang="T53">
              <a:pos x="T30" y="T31"/>
            </a:cxn>
            <a:cxn ang="T54">
              <a:pos x="T32" y="T33"/>
            </a:cxn>
            <a:cxn ang="T55">
              <a:pos x="T34" y="T35"/>
            </a:cxn>
            <a:cxn ang="T56">
              <a:pos x="T36" y="T37"/>
            </a:cxn>
          </a:cxnLst>
          <a:rect l="T57" t="T58" r="T59" b="T60"/>
          <a:pathLst>
            <a:path w="42" h="104">
              <a:moveTo>
                <a:pt x="8" y="60"/>
              </a:moveTo>
              <a:lnTo>
                <a:pt x="0" y="53"/>
              </a:lnTo>
              <a:lnTo>
                <a:pt x="8" y="36"/>
              </a:lnTo>
              <a:lnTo>
                <a:pt x="8" y="23"/>
              </a:lnTo>
              <a:lnTo>
                <a:pt x="13" y="16"/>
              </a:lnTo>
              <a:lnTo>
                <a:pt x="8" y="0"/>
              </a:lnTo>
              <a:lnTo>
                <a:pt x="21" y="0"/>
              </a:lnTo>
              <a:lnTo>
                <a:pt x="35" y="23"/>
              </a:lnTo>
              <a:lnTo>
                <a:pt x="21" y="36"/>
              </a:lnTo>
              <a:lnTo>
                <a:pt x="35" y="53"/>
              </a:lnTo>
              <a:lnTo>
                <a:pt x="42" y="75"/>
              </a:lnTo>
              <a:lnTo>
                <a:pt x="42" y="90"/>
              </a:lnTo>
              <a:lnTo>
                <a:pt x="35" y="104"/>
              </a:lnTo>
              <a:lnTo>
                <a:pt x="21" y="90"/>
              </a:lnTo>
              <a:lnTo>
                <a:pt x="21" y="75"/>
              </a:lnTo>
              <a:lnTo>
                <a:pt x="13" y="75"/>
              </a:lnTo>
              <a:lnTo>
                <a:pt x="8" y="60"/>
              </a:lnTo>
              <a:close/>
            </a:path>
          </a:pathLst>
        </a:custGeom>
        <a:solidFill>
          <a:srgbClr val="F5F5F5"/>
        </a:solidFill>
        <a:ln w="9525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36576" tIns="32004" rIns="0" bIns="0" anchor="t"/>
        <a:lstStyle/>
        <a:p>
          <a:pPr algn="l" rtl="0">
            <a:defRPr sz="1000"/>
          </a:pPr>
          <a:endParaRPr lang="en-US" sz="16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en-US"/>
        </a:p>
      </xdr:txBody>
    </xdr:sp>
    <xdr:clientData/>
  </xdr:twoCellAnchor>
  <xdr:twoCellAnchor>
    <xdr:from>
      <xdr:col>9</xdr:col>
      <xdr:colOff>561975</xdr:colOff>
      <xdr:row>23</xdr:row>
      <xdr:rowOff>123825</xdr:rowOff>
    </xdr:from>
    <xdr:to>
      <xdr:col>9</xdr:col>
      <xdr:colOff>666750</xdr:colOff>
      <xdr:row>25</xdr:row>
      <xdr:rowOff>38100</xdr:rowOff>
    </xdr:to>
    <xdr:sp macro="" textlink="">
      <xdr:nvSpPr>
        <xdr:cNvPr id="25815" name="S_TUN"/>
        <xdr:cNvSpPr>
          <a:spLocks/>
        </xdr:cNvSpPr>
      </xdr:nvSpPr>
      <xdr:spPr bwMode="auto">
        <a:xfrm>
          <a:off x="5676900" y="3695700"/>
          <a:ext cx="104775" cy="238125"/>
        </a:xfrm>
        <a:custGeom>
          <a:avLst/>
          <a:gdLst>
            <a:gd name="T0" fmla="*/ 219556011 w 50"/>
            <a:gd name="T1" fmla="*/ 309783962 h 114"/>
            <a:gd name="T2" fmla="*/ 219556011 w 50"/>
            <a:gd name="T3" fmla="*/ 344688065 h 114"/>
            <a:gd name="T4" fmla="*/ 171254751 w 50"/>
            <a:gd name="T5" fmla="*/ 440677480 h 114"/>
            <a:gd name="T6" fmla="*/ 171254751 w 50"/>
            <a:gd name="T7" fmla="*/ 475583671 h 114"/>
            <a:gd name="T8" fmla="*/ 131733600 w 50"/>
            <a:gd name="T9" fmla="*/ 497399257 h 114"/>
            <a:gd name="T10" fmla="*/ 131733600 w 50"/>
            <a:gd name="T11" fmla="*/ 379594256 h 114"/>
            <a:gd name="T12" fmla="*/ 39521134 w 50"/>
            <a:gd name="T13" fmla="*/ 344688065 h 114"/>
            <a:gd name="T14" fmla="*/ 0 w 50"/>
            <a:gd name="T15" fmla="*/ 279241306 h 114"/>
            <a:gd name="T16" fmla="*/ 65865752 w 50"/>
            <a:gd name="T17" fmla="*/ 183251825 h 114"/>
            <a:gd name="T18" fmla="*/ 39521134 w 50"/>
            <a:gd name="T19" fmla="*/ 34906208 h 114"/>
            <a:gd name="T20" fmla="*/ 65865752 w 50"/>
            <a:gd name="T21" fmla="*/ 0 h 114"/>
            <a:gd name="T22" fmla="*/ 171254751 w 50"/>
            <a:gd name="T23" fmla="*/ 0 h 114"/>
            <a:gd name="T24" fmla="*/ 193209298 w 50"/>
            <a:gd name="T25" fmla="*/ 34906208 h 114"/>
            <a:gd name="T26" fmla="*/ 219556011 w 50"/>
            <a:gd name="T27" fmla="*/ 0 h 114"/>
            <a:gd name="T28" fmla="*/ 193209298 w 50"/>
            <a:gd name="T29" fmla="*/ 65446775 h 114"/>
            <a:gd name="T30" fmla="*/ 219556011 w 50"/>
            <a:gd name="T31" fmla="*/ 148347723 h 114"/>
            <a:gd name="T32" fmla="*/ 171254751 w 50"/>
            <a:gd name="T33" fmla="*/ 222521552 h 114"/>
            <a:gd name="T34" fmla="*/ 171254751 w 50"/>
            <a:gd name="T35" fmla="*/ 279241306 h 114"/>
            <a:gd name="T36" fmla="*/ 219556011 w 50"/>
            <a:gd name="T37" fmla="*/ 279241306 h 114"/>
            <a:gd name="T38" fmla="*/ 219556011 w 50"/>
            <a:gd name="T39" fmla="*/ 309783962 h 114"/>
            <a:gd name="T40" fmla="*/ 219556011 w 50"/>
            <a:gd name="T41" fmla="*/ 309783962 h 114"/>
            <a:gd name="T42" fmla="*/ 219556011 w 50"/>
            <a:gd name="T43" fmla="*/ 309783962 h 114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60000 65536"/>
            <a:gd name="T52" fmla="*/ 0 60000 65536"/>
            <a:gd name="T53" fmla="*/ 0 60000 65536"/>
            <a:gd name="T54" fmla="*/ 0 60000 65536"/>
            <a:gd name="T55" fmla="*/ 0 60000 65536"/>
            <a:gd name="T56" fmla="*/ 0 60000 65536"/>
            <a:gd name="T57" fmla="*/ 0 60000 65536"/>
            <a:gd name="T58" fmla="*/ 0 60000 65536"/>
            <a:gd name="T59" fmla="*/ 0 60000 65536"/>
            <a:gd name="T60" fmla="*/ 0 60000 65536"/>
            <a:gd name="T61" fmla="*/ 0 60000 65536"/>
            <a:gd name="T62" fmla="*/ 0 60000 65536"/>
            <a:gd name="T63" fmla="*/ 0 60000 65536"/>
            <a:gd name="T64" fmla="*/ 0 60000 65536"/>
            <a:gd name="T65" fmla="*/ 0 60000 65536"/>
            <a:gd name="T66" fmla="*/ 0 w 50"/>
            <a:gd name="T67" fmla="*/ 0 h 114"/>
            <a:gd name="T68" fmla="*/ 50 w 50"/>
            <a:gd name="T69" fmla="*/ 114 h 114"/>
          </a:gdLst>
          <a:ahLst/>
          <a:cxnLst>
            <a:cxn ang="T44">
              <a:pos x="T0" y="T1"/>
            </a:cxn>
            <a:cxn ang="T45">
              <a:pos x="T2" y="T3"/>
            </a:cxn>
            <a:cxn ang="T46">
              <a:pos x="T4" y="T5"/>
            </a:cxn>
            <a:cxn ang="T47">
              <a:pos x="T6" y="T7"/>
            </a:cxn>
            <a:cxn ang="T48">
              <a:pos x="T8" y="T9"/>
            </a:cxn>
            <a:cxn ang="T49">
              <a:pos x="T10" y="T11"/>
            </a:cxn>
            <a:cxn ang="T50">
              <a:pos x="T12" y="T13"/>
            </a:cxn>
            <a:cxn ang="T51">
              <a:pos x="T14" y="T15"/>
            </a:cxn>
            <a:cxn ang="T52">
              <a:pos x="T16" y="T17"/>
            </a:cxn>
            <a:cxn ang="T53">
              <a:pos x="T18" y="T19"/>
            </a:cxn>
            <a:cxn ang="T54">
              <a:pos x="T20" y="T21"/>
            </a:cxn>
            <a:cxn ang="T55">
              <a:pos x="T22" y="T23"/>
            </a:cxn>
            <a:cxn ang="T56">
              <a:pos x="T24" y="T25"/>
            </a:cxn>
            <a:cxn ang="T57">
              <a:pos x="T26" y="T27"/>
            </a:cxn>
            <a:cxn ang="T58">
              <a:pos x="T28" y="T29"/>
            </a:cxn>
            <a:cxn ang="T59">
              <a:pos x="T30" y="T31"/>
            </a:cxn>
            <a:cxn ang="T60">
              <a:pos x="T32" y="T33"/>
            </a:cxn>
            <a:cxn ang="T61">
              <a:pos x="T34" y="T35"/>
            </a:cxn>
            <a:cxn ang="T62">
              <a:pos x="T36" y="T37"/>
            </a:cxn>
            <a:cxn ang="T63">
              <a:pos x="T38" y="T39"/>
            </a:cxn>
            <a:cxn ang="T64">
              <a:pos x="T40" y="T41"/>
            </a:cxn>
            <a:cxn ang="T65">
              <a:pos x="T42" y="T43"/>
            </a:cxn>
          </a:cxnLst>
          <a:rect l="T66" t="T67" r="T68" b="T69"/>
          <a:pathLst>
            <a:path w="50" h="114">
              <a:moveTo>
                <a:pt x="50" y="71"/>
              </a:moveTo>
              <a:lnTo>
                <a:pt x="50" y="79"/>
              </a:lnTo>
              <a:lnTo>
                <a:pt x="39" y="101"/>
              </a:lnTo>
              <a:lnTo>
                <a:pt x="39" y="109"/>
              </a:lnTo>
              <a:lnTo>
                <a:pt x="30" y="114"/>
              </a:lnTo>
              <a:lnTo>
                <a:pt x="30" y="87"/>
              </a:lnTo>
              <a:lnTo>
                <a:pt x="9" y="79"/>
              </a:lnTo>
              <a:lnTo>
                <a:pt x="0" y="64"/>
              </a:lnTo>
              <a:lnTo>
                <a:pt x="15" y="42"/>
              </a:lnTo>
              <a:lnTo>
                <a:pt x="9" y="8"/>
              </a:lnTo>
              <a:lnTo>
                <a:pt x="15" y="0"/>
              </a:lnTo>
              <a:lnTo>
                <a:pt x="39" y="0"/>
              </a:lnTo>
              <a:lnTo>
                <a:pt x="44" y="8"/>
              </a:lnTo>
              <a:lnTo>
                <a:pt x="50" y="0"/>
              </a:lnTo>
              <a:lnTo>
                <a:pt x="44" y="15"/>
              </a:lnTo>
              <a:lnTo>
                <a:pt x="50" y="34"/>
              </a:lnTo>
              <a:lnTo>
                <a:pt x="39" y="51"/>
              </a:lnTo>
              <a:lnTo>
                <a:pt x="39" y="64"/>
              </a:lnTo>
              <a:lnTo>
                <a:pt x="50" y="64"/>
              </a:lnTo>
              <a:lnTo>
                <a:pt x="50" y="71"/>
              </a:lnTo>
              <a:close/>
            </a:path>
          </a:pathLst>
        </a:custGeom>
        <a:solidFill>
          <a:srgbClr val="F5F5F5"/>
        </a:solidFill>
        <a:ln w="9525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36576" tIns="32004" rIns="0" bIns="0" anchor="t"/>
        <a:lstStyle/>
        <a:p>
          <a:pPr algn="l" rtl="0">
            <a:defRPr sz="1000"/>
          </a:pPr>
          <a:endParaRPr lang="en-US" sz="16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en-US"/>
        </a:p>
      </xdr:txBody>
    </xdr:sp>
    <xdr:clientData/>
  </xdr:twoCellAnchor>
  <xdr:twoCellAnchor>
    <xdr:from>
      <xdr:col>10</xdr:col>
      <xdr:colOff>47625</xdr:colOff>
      <xdr:row>29</xdr:row>
      <xdr:rowOff>19050</xdr:rowOff>
    </xdr:from>
    <xdr:to>
      <xdr:col>10</xdr:col>
      <xdr:colOff>419100</xdr:colOff>
      <xdr:row>30</xdr:row>
      <xdr:rowOff>104775</xdr:rowOff>
    </xdr:to>
    <xdr:sp macro="" textlink="">
      <xdr:nvSpPr>
        <xdr:cNvPr id="25816" name="S_CAF"/>
        <xdr:cNvSpPr>
          <a:spLocks/>
        </xdr:cNvSpPr>
      </xdr:nvSpPr>
      <xdr:spPr bwMode="auto">
        <a:xfrm>
          <a:off x="5876925" y="4562475"/>
          <a:ext cx="371475" cy="247650"/>
        </a:xfrm>
        <a:custGeom>
          <a:avLst/>
          <a:gdLst>
            <a:gd name="T0" fmla="*/ 507852715 w 176"/>
            <a:gd name="T1" fmla="*/ 0 h 119"/>
            <a:gd name="T2" fmla="*/ 556857981 w 176"/>
            <a:gd name="T3" fmla="*/ 90949992 h 119"/>
            <a:gd name="T4" fmla="*/ 556857981 w 176"/>
            <a:gd name="T5" fmla="*/ 160244142 h 119"/>
            <a:gd name="T6" fmla="*/ 619225657 w 176"/>
            <a:gd name="T7" fmla="*/ 194892241 h 119"/>
            <a:gd name="T8" fmla="*/ 784054967 w 176"/>
            <a:gd name="T9" fmla="*/ 385453729 h 119"/>
            <a:gd name="T10" fmla="*/ 530128544 w 176"/>
            <a:gd name="T11" fmla="*/ 385453729 h 119"/>
            <a:gd name="T12" fmla="*/ 507852715 w 176"/>
            <a:gd name="T13" fmla="*/ 454749927 h 119"/>
            <a:gd name="T14" fmla="*/ 378663886 w 176"/>
            <a:gd name="T15" fmla="*/ 454749927 h 119"/>
            <a:gd name="T16" fmla="*/ 343023405 w 176"/>
            <a:gd name="T17" fmla="*/ 385453729 h 119"/>
            <a:gd name="T18" fmla="*/ 311840622 w 176"/>
            <a:gd name="T19" fmla="*/ 385453729 h 119"/>
            <a:gd name="T20" fmla="*/ 253926358 w 176"/>
            <a:gd name="T21" fmla="*/ 485065193 h 119"/>
            <a:gd name="T22" fmla="*/ 164829376 w 176"/>
            <a:gd name="T23" fmla="*/ 515382540 h 119"/>
            <a:gd name="T24" fmla="*/ 133646560 w 176"/>
            <a:gd name="T25" fmla="*/ 515382540 h 119"/>
            <a:gd name="T26" fmla="*/ 35638387 w 176"/>
            <a:gd name="T27" fmla="*/ 385453729 h 119"/>
            <a:gd name="T28" fmla="*/ 0 w 176"/>
            <a:gd name="T29" fmla="*/ 363799968 h 119"/>
            <a:gd name="T30" fmla="*/ 93552602 w 176"/>
            <a:gd name="T31" fmla="*/ 259857687 h 119"/>
            <a:gd name="T32" fmla="*/ 311840622 w 176"/>
            <a:gd name="T33" fmla="*/ 160244142 h 119"/>
            <a:gd name="T34" fmla="*/ 253926358 w 176"/>
            <a:gd name="T35" fmla="*/ 160244142 h 119"/>
            <a:gd name="T36" fmla="*/ 378663886 w 176"/>
            <a:gd name="T37" fmla="*/ 129928843 h 119"/>
            <a:gd name="T38" fmla="*/ 507852715 w 176"/>
            <a:gd name="T39" fmla="*/ 0 h 119"/>
            <a:gd name="T40" fmla="*/ 507852715 w 176"/>
            <a:gd name="T41" fmla="*/ 0 h 119"/>
            <a:gd name="T42" fmla="*/ 507852715 w 176"/>
            <a:gd name="T43" fmla="*/ 0 h 119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60000 65536"/>
            <a:gd name="T52" fmla="*/ 0 60000 65536"/>
            <a:gd name="T53" fmla="*/ 0 60000 65536"/>
            <a:gd name="T54" fmla="*/ 0 60000 65536"/>
            <a:gd name="T55" fmla="*/ 0 60000 65536"/>
            <a:gd name="T56" fmla="*/ 0 60000 65536"/>
            <a:gd name="T57" fmla="*/ 0 60000 65536"/>
            <a:gd name="T58" fmla="*/ 0 60000 65536"/>
            <a:gd name="T59" fmla="*/ 0 60000 65536"/>
            <a:gd name="T60" fmla="*/ 0 60000 65536"/>
            <a:gd name="T61" fmla="*/ 0 60000 65536"/>
            <a:gd name="T62" fmla="*/ 0 60000 65536"/>
            <a:gd name="T63" fmla="*/ 0 60000 65536"/>
            <a:gd name="T64" fmla="*/ 0 60000 65536"/>
            <a:gd name="T65" fmla="*/ 0 60000 65536"/>
            <a:gd name="T66" fmla="*/ 0 w 176"/>
            <a:gd name="T67" fmla="*/ 0 h 119"/>
            <a:gd name="T68" fmla="*/ 176 w 176"/>
            <a:gd name="T69" fmla="*/ 119 h 119"/>
          </a:gdLst>
          <a:ahLst/>
          <a:cxnLst>
            <a:cxn ang="T44">
              <a:pos x="T0" y="T1"/>
            </a:cxn>
            <a:cxn ang="T45">
              <a:pos x="T2" y="T3"/>
            </a:cxn>
            <a:cxn ang="T46">
              <a:pos x="T4" y="T5"/>
            </a:cxn>
            <a:cxn ang="T47">
              <a:pos x="T6" y="T7"/>
            </a:cxn>
            <a:cxn ang="T48">
              <a:pos x="T8" y="T9"/>
            </a:cxn>
            <a:cxn ang="T49">
              <a:pos x="T10" y="T11"/>
            </a:cxn>
            <a:cxn ang="T50">
              <a:pos x="T12" y="T13"/>
            </a:cxn>
            <a:cxn ang="T51">
              <a:pos x="T14" y="T15"/>
            </a:cxn>
            <a:cxn ang="T52">
              <a:pos x="T16" y="T17"/>
            </a:cxn>
            <a:cxn ang="T53">
              <a:pos x="T18" y="T19"/>
            </a:cxn>
            <a:cxn ang="T54">
              <a:pos x="T20" y="T21"/>
            </a:cxn>
            <a:cxn ang="T55">
              <a:pos x="T22" y="T23"/>
            </a:cxn>
            <a:cxn ang="T56">
              <a:pos x="T24" y="T25"/>
            </a:cxn>
            <a:cxn ang="T57">
              <a:pos x="T26" y="T27"/>
            </a:cxn>
            <a:cxn ang="T58">
              <a:pos x="T28" y="T29"/>
            </a:cxn>
            <a:cxn ang="T59">
              <a:pos x="T30" y="T31"/>
            </a:cxn>
            <a:cxn ang="T60">
              <a:pos x="T32" y="T33"/>
            </a:cxn>
            <a:cxn ang="T61">
              <a:pos x="T34" y="T35"/>
            </a:cxn>
            <a:cxn ang="T62">
              <a:pos x="T36" y="T37"/>
            </a:cxn>
            <a:cxn ang="T63">
              <a:pos x="T38" y="T39"/>
            </a:cxn>
            <a:cxn ang="T64">
              <a:pos x="T40" y="T41"/>
            </a:cxn>
            <a:cxn ang="T65">
              <a:pos x="T42" y="T43"/>
            </a:cxn>
          </a:cxnLst>
          <a:rect l="T66" t="T67" r="T68" b="T69"/>
          <a:pathLst>
            <a:path w="176" h="119">
              <a:moveTo>
                <a:pt x="114" y="0"/>
              </a:moveTo>
              <a:lnTo>
                <a:pt x="125" y="21"/>
              </a:lnTo>
              <a:lnTo>
                <a:pt x="125" y="37"/>
              </a:lnTo>
              <a:lnTo>
                <a:pt x="139" y="45"/>
              </a:lnTo>
              <a:lnTo>
                <a:pt x="176" y="89"/>
              </a:lnTo>
              <a:lnTo>
                <a:pt x="119" y="89"/>
              </a:lnTo>
              <a:lnTo>
                <a:pt x="114" y="105"/>
              </a:lnTo>
              <a:lnTo>
                <a:pt x="85" y="105"/>
              </a:lnTo>
              <a:lnTo>
                <a:pt x="77" y="89"/>
              </a:lnTo>
              <a:lnTo>
                <a:pt x="70" y="89"/>
              </a:lnTo>
              <a:lnTo>
                <a:pt x="57" y="112"/>
              </a:lnTo>
              <a:lnTo>
                <a:pt x="37" y="119"/>
              </a:lnTo>
              <a:lnTo>
                <a:pt x="30" y="119"/>
              </a:lnTo>
              <a:lnTo>
                <a:pt x="8" y="89"/>
              </a:lnTo>
              <a:lnTo>
                <a:pt x="0" y="84"/>
              </a:lnTo>
              <a:lnTo>
                <a:pt x="21" y="60"/>
              </a:lnTo>
              <a:lnTo>
                <a:pt x="70" y="37"/>
              </a:lnTo>
              <a:lnTo>
                <a:pt x="57" y="37"/>
              </a:lnTo>
              <a:lnTo>
                <a:pt x="85" y="30"/>
              </a:lnTo>
              <a:lnTo>
                <a:pt x="114" y="0"/>
              </a:lnTo>
              <a:close/>
            </a:path>
          </a:pathLst>
        </a:custGeom>
        <a:solidFill>
          <a:srgbClr val="F5F5F5"/>
        </a:solidFill>
        <a:ln w="9525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36576" tIns="32004" rIns="0" bIns="0" anchor="t"/>
        <a:lstStyle/>
        <a:p>
          <a:pPr algn="l" rtl="0">
            <a:defRPr sz="1000"/>
          </a:pPr>
          <a:endParaRPr lang="en-US" sz="16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en-US"/>
        </a:p>
      </xdr:txBody>
    </xdr:sp>
    <xdr:clientData/>
  </xdr:twoCellAnchor>
  <xdr:twoCellAnchor>
    <xdr:from>
      <xdr:col>10</xdr:col>
      <xdr:colOff>447675</xdr:colOff>
      <xdr:row>31</xdr:row>
      <xdr:rowOff>66675</xdr:rowOff>
    </xdr:from>
    <xdr:to>
      <xdr:col>10</xdr:col>
      <xdr:colOff>514350</xdr:colOff>
      <xdr:row>31</xdr:row>
      <xdr:rowOff>123825</xdr:rowOff>
    </xdr:to>
    <xdr:sp macro="" textlink="">
      <xdr:nvSpPr>
        <xdr:cNvPr id="25817" name="S_RWA"/>
        <xdr:cNvSpPr>
          <a:spLocks/>
        </xdr:cNvSpPr>
      </xdr:nvSpPr>
      <xdr:spPr bwMode="auto">
        <a:xfrm>
          <a:off x="6276975" y="4933950"/>
          <a:ext cx="66675" cy="57150"/>
        </a:xfrm>
        <a:custGeom>
          <a:avLst/>
          <a:gdLst>
            <a:gd name="T0" fmla="*/ 153295053 w 29"/>
            <a:gd name="T1" fmla="*/ 120967499 h 27"/>
            <a:gd name="T2" fmla="*/ 0 w 29"/>
            <a:gd name="T3" fmla="*/ 120967499 h 27"/>
            <a:gd name="T4" fmla="*/ 153295053 w 29"/>
            <a:gd name="T5" fmla="*/ 0 h 27"/>
            <a:gd name="T6" fmla="*/ 153295053 w 29"/>
            <a:gd name="T7" fmla="*/ 120967499 h 27"/>
            <a:gd name="T8" fmla="*/ 153295053 w 29"/>
            <a:gd name="T9" fmla="*/ 120967499 h 27"/>
            <a:gd name="T10" fmla="*/ 153295053 w 29"/>
            <a:gd name="T11" fmla="*/ 120967499 h 27"/>
            <a:gd name="T12" fmla="*/ 0 60000 65536"/>
            <a:gd name="T13" fmla="*/ 0 60000 65536"/>
            <a:gd name="T14" fmla="*/ 0 60000 65536"/>
            <a:gd name="T15" fmla="*/ 0 60000 65536"/>
            <a:gd name="T16" fmla="*/ 0 60000 65536"/>
            <a:gd name="T17" fmla="*/ 0 60000 65536"/>
            <a:gd name="T18" fmla="*/ 0 w 29"/>
            <a:gd name="T19" fmla="*/ 0 h 27"/>
            <a:gd name="T20" fmla="*/ 29 w 29"/>
            <a:gd name="T21" fmla="*/ 27 h 27"/>
          </a:gdLst>
          <a:ahLst/>
          <a:cxnLst>
            <a:cxn ang="T12">
              <a:pos x="T0" y="T1"/>
            </a:cxn>
            <a:cxn ang="T13">
              <a:pos x="T2" y="T3"/>
            </a:cxn>
            <a:cxn ang="T14">
              <a:pos x="T4" y="T5"/>
            </a:cxn>
            <a:cxn ang="T15">
              <a:pos x="T6" y="T7"/>
            </a:cxn>
            <a:cxn ang="T16">
              <a:pos x="T8" y="T9"/>
            </a:cxn>
            <a:cxn ang="T17">
              <a:pos x="T10" y="T11"/>
            </a:cxn>
          </a:cxnLst>
          <a:rect l="T18" t="T19" r="T20" b="T21"/>
          <a:pathLst>
            <a:path w="29" h="27">
              <a:moveTo>
                <a:pt x="29" y="27"/>
              </a:moveTo>
              <a:lnTo>
                <a:pt x="0" y="27"/>
              </a:lnTo>
              <a:lnTo>
                <a:pt x="29" y="0"/>
              </a:lnTo>
              <a:lnTo>
                <a:pt x="29" y="27"/>
              </a:lnTo>
              <a:close/>
            </a:path>
          </a:pathLst>
        </a:custGeom>
        <a:solidFill>
          <a:srgbClr val="F5F5F5"/>
        </a:solidFill>
        <a:ln w="9525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36576" tIns="32004" rIns="0" bIns="0" anchor="t"/>
        <a:lstStyle/>
        <a:p>
          <a:pPr algn="l" rtl="0">
            <a:defRPr sz="1000"/>
          </a:pPr>
          <a:endParaRPr lang="en-US" sz="16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en-US"/>
        </a:p>
      </xdr:txBody>
    </xdr:sp>
    <xdr:clientData/>
  </xdr:twoCellAnchor>
  <xdr:twoCellAnchor>
    <xdr:from>
      <xdr:col>13</xdr:col>
      <xdr:colOff>257175</xdr:colOff>
      <xdr:row>27</xdr:row>
      <xdr:rowOff>47625</xdr:rowOff>
    </xdr:from>
    <xdr:to>
      <xdr:col>13</xdr:col>
      <xdr:colOff>476250</xdr:colOff>
      <xdr:row>30</xdr:row>
      <xdr:rowOff>28575</xdr:rowOff>
    </xdr:to>
    <xdr:sp macro="" textlink="">
      <xdr:nvSpPr>
        <xdr:cNvPr id="25818" name="S_THA"/>
        <xdr:cNvSpPr>
          <a:spLocks/>
        </xdr:cNvSpPr>
      </xdr:nvSpPr>
      <xdr:spPr bwMode="auto">
        <a:xfrm>
          <a:off x="8229600" y="4267200"/>
          <a:ext cx="219075" cy="466725"/>
        </a:xfrm>
        <a:custGeom>
          <a:avLst/>
          <a:gdLst>
            <a:gd name="T0" fmla="*/ 155305237 w 104"/>
            <a:gd name="T1" fmla="*/ 0 h 220"/>
            <a:gd name="T2" fmla="*/ 0 w 104"/>
            <a:gd name="T3" fmla="*/ 67509648 h 220"/>
            <a:gd name="T4" fmla="*/ 0 w 104"/>
            <a:gd name="T5" fmla="*/ 157523953 h 220"/>
            <a:gd name="T6" fmla="*/ 57684132 w 104"/>
            <a:gd name="T7" fmla="*/ 270040712 h 220"/>
            <a:gd name="T8" fmla="*/ 57684132 w 104"/>
            <a:gd name="T9" fmla="*/ 369054338 h 220"/>
            <a:gd name="T10" fmla="*/ 97621088 w 104"/>
            <a:gd name="T11" fmla="*/ 445565395 h 220"/>
            <a:gd name="T12" fmla="*/ 124245012 w 104"/>
            <a:gd name="T13" fmla="*/ 576085137 h 220"/>
            <a:gd name="T14" fmla="*/ 57684132 w 104"/>
            <a:gd name="T15" fmla="*/ 738108676 h 220"/>
            <a:gd name="T16" fmla="*/ 57684132 w 104"/>
            <a:gd name="T17" fmla="*/ 810120081 h 220"/>
            <a:gd name="T18" fmla="*/ 155305237 w 104"/>
            <a:gd name="T19" fmla="*/ 954140768 h 220"/>
            <a:gd name="T20" fmla="*/ 155305237 w 104"/>
            <a:gd name="T21" fmla="*/ 904633988 h 220"/>
            <a:gd name="T22" fmla="*/ 186367535 w 104"/>
            <a:gd name="T23" fmla="*/ 954140768 h 220"/>
            <a:gd name="T24" fmla="*/ 252926292 w 104"/>
            <a:gd name="T25" fmla="*/ 990146471 h 220"/>
            <a:gd name="T26" fmla="*/ 275111842 w 104"/>
            <a:gd name="T27" fmla="*/ 954140768 h 220"/>
            <a:gd name="T28" fmla="*/ 252926292 w 104"/>
            <a:gd name="T29" fmla="*/ 904633988 h 220"/>
            <a:gd name="T30" fmla="*/ 155305237 w 104"/>
            <a:gd name="T31" fmla="*/ 904633988 h 220"/>
            <a:gd name="T32" fmla="*/ 124245012 w 104"/>
            <a:gd name="T33" fmla="*/ 738108676 h 220"/>
            <a:gd name="T34" fmla="*/ 97621088 w 104"/>
            <a:gd name="T35" fmla="*/ 738108676 h 220"/>
            <a:gd name="T36" fmla="*/ 97621088 w 104"/>
            <a:gd name="T37" fmla="*/ 702102974 h 220"/>
            <a:gd name="T38" fmla="*/ 124245012 w 104"/>
            <a:gd name="T39" fmla="*/ 576085137 h 220"/>
            <a:gd name="T40" fmla="*/ 124245012 w 104"/>
            <a:gd name="T41" fmla="*/ 468070019 h 220"/>
            <a:gd name="T42" fmla="*/ 186367535 w 104"/>
            <a:gd name="T43" fmla="*/ 468070019 h 220"/>
            <a:gd name="T44" fmla="*/ 186367535 w 104"/>
            <a:gd name="T45" fmla="*/ 535579650 h 220"/>
            <a:gd name="T46" fmla="*/ 252926292 w 104"/>
            <a:gd name="T47" fmla="*/ 535579650 h 220"/>
            <a:gd name="T48" fmla="*/ 310610474 w 104"/>
            <a:gd name="T49" fmla="*/ 612090840 h 220"/>
            <a:gd name="T50" fmla="*/ 310610474 w 104"/>
            <a:gd name="T51" fmla="*/ 576085137 h 220"/>
            <a:gd name="T52" fmla="*/ 275111842 w 104"/>
            <a:gd name="T53" fmla="*/ 468070019 h 220"/>
            <a:gd name="T54" fmla="*/ 310610474 w 104"/>
            <a:gd name="T55" fmla="*/ 391558963 h 220"/>
            <a:gd name="T56" fmla="*/ 461479377 w 104"/>
            <a:gd name="T57" fmla="*/ 391558963 h 220"/>
            <a:gd name="T58" fmla="*/ 461479377 w 104"/>
            <a:gd name="T59" fmla="*/ 333048636 h 220"/>
            <a:gd name="T60" fmla="*/ 350547413 w 104"/>
            <a:gd name="T61" fmla="*/ 144020754 h 220"/>
            <a:gd name="T62" fmla="*/ 186367535 w 104"/>
            <a:gd name="T63" fmla="*/ 202528959 h 220"/>
            <a:gd name="T64" fmla="*/ 186367535 w 104"/>
            <a:gd name="T65" fmla="*/ 67509648 h 220"/>
            <a:gd name="T66" fmla="*/ 155305237 w 104"/>
            <a:gd name="T67" fmla="*/ 45007144 h 220"/>
            <a:gd name="T68" fmla="*/ 155305237 w 104"/>
            <a:gd name="T69" fmla="*/ 0 h 220"/>
            <a:gd name="T70" fmla="*/ 155305237 w 104"/>
            <a:gd name="T71" fmla="*/ 0 h 220"/>
            <a:gd name="T72" fmla="*/ 155305237 w 104"/>
            <a:gd name="T73" fmla="*/ 0 h 220"/>
            <a:gd name="T74" fmla="*/ 0 60000 65536"/>
            <a:gd name="T75" fmla="*/ 0 60000 65536"/>
            <a:gd name="T76" fmla="*/ 0 60000 65536"/>
            <a:gd name="T77" fmla="*/ 0 60000 65536"/>
            <a:gd name="T78" fmla="*/ 0 60000 65536"/>
            <a:gd name="T79" fmla="*/ 0 60000 65536"/>
            <a:gd name="T80" fmla="*/ 0 60000 65536"/>
            <a:gd name="T81" fmla="*/ 0 60000 65536"/>
            <a:gd name="T82" fmla="*/ 0 60000 65536"/>
            <a:gd name="T83" fmla="*/ 0 60000 65536"/>
            <a:gd name="T84" fmla="*/ 0 60000 65536"/>
            <a:gd name="T85" fmla="*/ 0 60000 65536"/>
            <a:gd name="T86" fmla="*/ 0 60000 65536"/>
            <a:gd name="T87" fmla="*/ 0 60000 65536"/>
            <a:gd name="T88" fmla="*/ 0 60000 65536"/>
            <a:gd name="T89" fmla="*/ 0 60000 65536"/>
            <a:gd name="T90" fmla="*/ 0 60000 65536"/>
            <a:gd name="T91" fmla="*/ 0 60000 65536"/>
            <a:gd name="T92" fmla="*/ 0 60000 65536"/>
            <a:gd name="T93" fmla="*/ 0 60000 65536"/>
            <a:gd name="T94" fmla="*/ 0 60000 65536"/>
            <a:gd name="T95" fmla="*/ 0 60000 65536"/>
            <a:gd name="T96" fmla="*/ 0 60000 65536"/>
            <a:gd name="T97" fmla="*/ 0 60000 65536"/>
            <a:gd name="T98" fmla="*/ 0 60000 65536"/>
            <a:gd name="T99" fmla="*/ 0 60000 65536"/>
            <a:gd name="T100" fmla="*/ 0 60000 65536"/>
            <a:gd name="T101" fmla="*/ 0 60000 65536"/>
            <a:gd name="T102" fmla="*/ 0 60000 65536"/>
            <a:gd name="T103" fmla="*/ 0 60000 65536"/>
            <a:gd name="T104" fmla="*/ 0 60000 65536"/>
            <a:gd name="T105" fmla="*/ 0 60000 65536"/>
            <a:gd name="T106" fmla="*/ 0 60000 65536"/>
            <a:gd name="T107" fmla="*/ 0 60000 65536"/>
            <a:gd name="T108" fmla="*/ 0 60000 65536"/>
            <a:gd name="T109" fmla="*/ 0 60000 65536"/>
            <a:gd name="T110" fmla="*/ 0 60000 65536"/>
            <a:gd name="T111" fmla="*/ 0 w 104"/>
            <a:gd name="T112" fmla="*/ 0 h 220"/>
            <a:gd name="T113" fmla="*/ 104 w 104"/>
            <a:gd name="T114" fmla="*/ 220 h 220"/>
          </a:gdLst>
          <a:ahLst/>
          <a:cxnLst>
            <a:cxn ang="T74">
              <a:pos x="T0" y="T1"/>
            </a:cxn>
            <a:cxn ang="T75">
              <a:pos x="T2" y="T3"/>
            </a:cxn>
            <a:cxn ang="T76">
              <a:pos x="T4" y="T5"/>
            </a:cxn>
            <a:cxn ang="T77">
              <a:pos x="T6" y="T7"/>
            </a:cxn>
            <a:cxn ang="T78">
              <a:pos x="T8" y="T9"/>
            </a:cxn>
            <a:cxn ang="T79">
              <a:pos x="T10" y="T11"/>
            </a:cxn>
            <a:cxn ang="T80">
              <a:pos x="T12" y="T13"/>
            </a:cxn>
            <a:cxn ang="T81">
              <a:pos x="T14" y="T15"/>
            </a:cxn>
            <a:cxn ang="T82">
              <a:pos x="T16" y="T17"/>
            </a:cxn>
            <a:cxn ang="T83">
              <a:pos x="T18" y="T19"/>
            </a:cxn>
            <a:cxn ang="T84">
              <a:pos x="T20" y="T21"/>
            </a:cxn>
            <a:cxn ang="T85">
              <a:pos x="T22" y="T23"/>
            </a:cxn>
            <a:cxn ang="T86">
              <a:pos x="T24" y="T25"/>
            </a:cxn>
            <a:cxn ang="T87">
              <a:pos x="T26" y="T27"/>
            </a:cxn>
            <a:cxn ang="T88">
              <a:pos x="T28" y="T29"/>
            </a:cxn>
            <a:cxn ang="T89">
              <a:pos x="T30" y="T31"/>
            </a:cxn>
            <a:cxn ang="T90">
              <a:pos x="T32" y="T33"/>
            </a:cxn>
            <a:cxn ang="T91">
              <a:pos x="T34" y="T35"/>
            </a:cxn>
            <a:cxn ang="T92">
              <a:pos x="T36" y="T37"/>
            </a:cxn>
            <a:cxn ang="T93">
              <a:pos x="T38" y="T39"/>
            </a:cxn>
            <a:cxn ang="T94">
              <a:pos x="T40" y="T41"/>
            </a:cxn>
            <a:cxn ang="T95">
              <a:pos x="T42" y="T43"/>
            </a:cxn>
            <a:cxn ang="T96">
              <a:pos x="T44" y="T45"/>
            </a:cxn>
            <a:cxn ang="T97">
              <a:pos x="T46" y="T47"/>
            </a:cxn>
            <a:cxn ang="T98">
              <a:pos x="T48" y="T49"/>
            </a:cxn>
            <a:cxn ang="T99">
              <a:pos x="T50" y="T51"/>
            </a:cxn>
            <a:cxn ang="T100">
              <a:pos x="T52" y="T53"/>
            </a:cxn>
            <a:cxn ang="T101">
              <a:pos x="T54" y="T55"/>
            </a:cxn>
            <a:cxn ang="T102">
              <a:pos x="T56" y="T57"/>
            </a:cxn>
            <a:cxn ang="T103">
              <a:pos x="T58" y="T59"/>
            </a:cxn>
            <a:cxn ang="T104">
              <a:pos x="T60" y="T61"/>
            </a:cxn>
            <a:cxn ang="T105">
              <a:pos x="T62" y="T63"/>
            </a:cxn>
            <a:cxn ang="T106">
              <a:pos x="T64" y="T65"/>
            </a:cxn>
            <a:cxn ang="T107">
              <a:pos x="T66" y="T67"/>
            </a:cxn>
            <a:cxn ang="T108">
              <a:pos x="T68" y="T69"/>
            </a:cxn>
            <a:cxn ang="T109">
              <a:pos x="T70" y="T71"/>
            </a:cxn>
            <a:cxn ang="T110">
              <a:pos x="T72" y="T73"/>
            </a:cxn>
          </a:cxnLst>
          <a:rect l="T111" t="T112" r="T113" b="T114"/>
          <a:pathLst>
            <a:path w="104" h="220">
              <a:moveTo>
                <a:pt x="35" y="0"/>
              </a:moveTo>
              <a:lnTo>
                <a:pt x="0" y="15"/>
              </a:lnTo>
              <a:lnTo>
                <a:pt x="0" y="35"/>
              </a:lnTo>
              <a:lnTo>
                <a:pt x="13" y="60"/>
              </a:lnTo>
              <a:lnTo>
                <a:pt x="13" y="82"/>
              </a:lnTo>
              <a:lnTo>
                <a:pt x="22" y="99"/>
              </a:lnTo>
              <a:lnTo>
                <a:pt x="28" y="128"/>
              </a:lnTo>
              <a:lnTo>
                <a:pt x="13" y="164"/>
              </a:lnTo>
              <a:lnTo>
                <a:pt x="13" y="180"/>
              </a:lnTo>
              <a:lnTo>
                <a:pt x="35" y="212"/>
              </a:lnTo>
              <a:lnTo>
                <a:pt x="35" y="201"/>
              </a:lnTo>
              <a:lnTo>
                <a:pt x="42" y="212"/>
              </a:lnTo>
              <a:lnTo>
                <a:pt x="57" y="220"/>
              </a:lnTo>
              <a:lnTo>
                <a:pt x="62" y="212"/>
              </a:lnTo>
              <a:lnTo>
                <a:pt x="57" y="201"/>
              </a:lnTo>
              <a:lnTo>
                <a:pt x="35" y="201"/>
              </a:lnTo>
              <a:lnTo>
                <a:pt x="28" y="164"/>
              </a:lnTo>
              <a:lnTo>
                <a:pt x="22" y="164"/>
              </a:lnTo>
              <a:lnTo>
                <a:pt x="22" y="156"/>
              </a:lnTo>
              <a:lnTo>
                <a:pt x="28" y="128"/>
              </a:lnTo>
              <a:lnTo>
                <a:pt x="28" y="104"/>
              </a:lnTo>
              <a:lnTo>
                <a:pt x="42" y="104"/>
              </a:lnTo>
              <a:lnTo>
                <a:pt x="42" y="119"/>
              </a:lnTo>
              <a:lnTo>
                <a:pt x="57" y="119"/>
              </a:lnTo>
              <a:lnTo>
                <a:pt x="70" y="136"/>
              </a:lnTo>
              <a:lnTo>
                <a:pt x="70" y="128"/>
              </a:lnTo>
              <a:lnTo>
                <a:pt x="62" y="104"/>
              </a:lnTo>
              <a:lnTo>
                <a:pt x="70" y="87"/>
              </a:lnTo>
              <a:lnTo>
                <a:pt x="104" y="87"/>
              </a:lnTo>
              <a:lnTo>
                <a:pt x="104" y="74"/>
              </a:lnTo>
              <a:lnTo>
                <a:pt x="79" y="32"/>
              </a:lnTo>
              <a:lnTo>
                <a:pt x="42" y="45"/>
              </a:lnTo>
              <a:lnTo>
                <a:pt x="42" y="15"/>
              </a:lnTo>
              <a:lnTo>
                <a:pt x="35" y="10"/>
              </a:lnTo>
              <a:lnTo>
                <a:pt x="35" y="0"/>
              </a:lnTo>
              <a:close/>
            </a:path>
          </a:pathLst>
        </a:custGeom>
        <a:solidFill>
          <a:srgbClr val="F5F5F5"/>
        </a:solidFill>
        <a:ln w="9525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36576" tIns="32004" rIns="0" bIns="0" anchor="t"/>
        <a:lstStyle/>
        <a:p>
          <a:pPr algn="l" rtl="0">
            <a:defRPr sz="1000"/>
          </a:pPr>
          <a:endParaRPr lang="en-US" sz="16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en-US"/>
        </a:p>
      </xdr:txBody>
    </xdr:sp>
    <xdr:clientData/>
  </xdr:twoCellAnchor>
  <xdr:twoCellAnchor>
    <xdr:from>
      <xdr:col>13</xdr:col>
      <xdr:colOff>390525</xdr:colOff>
      <xdr:row>26</xdr:row>
      <xdr:rowOff>133350</xdr:rowOff>
    </xdr:from>
    <xdr:to>
      <xdr:col>13</xdr:col>
      <xdr:colOff>581025</xdr:colOff>
      <xdr:row>29</xdr:row>
      <xdr:rowOff>85725</xdr:rowOff>
    </xdr:to>
    <xdr:sp macro="" textlink="">
      <xdr:nvSpPr>
        <xdr:cNvPr id="25819" name="S_VNM"/>
        <xdr:cNvSpPr>
          <a:spLocks/>
        </xdr:cNvSpPr>
      </xdr:nvSpPr>
      <xdr:spPr bwMode="auto">
        <a:xfrm>
          <a:off x="8362950" y="4191000"/>
          <a:ext cx="190500" cy="438150"/>
        </a:xfrm>
        <a:custGeom>
          <a:avLst/>
          <a:gdLst>
            <a:gd name="T0" fmla="*/ 0 w 92"/>
            <a:gd name="T1" fmla="*/ 34171573 h 212"/>
            <a:gd name="T2" fmla="*/ 0 w 92"/>
            <a:gd name="T3" fmla="*/ 0 h 212"/>
            <a:gd name="T4" fmla="*/ 34300358 w 92"/>
            <a:gd name="T5" fmla="*/ 34171573 h 212"/>
            <a:gd name="T6" fmla="*/ 244392848 w 92"/>
            <a:gd name="T7" fmla="*/ 0 h 212"/>
            <a:gd name="T8" fmla="*/ 244392848 w 92"/>
            <a:gd name="T9" fmla="*/ 72615107 h 212"/>
            <a:gd name="T10" fmla="*/ 338721441 w 92"/>
            <a:gd name="T11" fmla="*/ 72615107 h 212"/>
            <a:gd name="T12" fmla="*/ 244392848 w 92"/>
            <a:gd name="T13" fmla="*/ 93970780 h 212"/>
            <a:gd name="T14" fmla="*/ 214380825 w 92"/>
            <a:gd name="T15" fmla="*/ 192215588 h 212"/>
            <a:gd name="T16" fmla="*/ 180078413 w 92"/>
            <a:gd name="T17" fmla="*/ 230657039 h 212"/>
            <a:gd name="T18" fmla="*/ 394459238 w 92"/>
            <a:gd name="T19" fmla="*/ 580914655 h 212"/>
            <a:gd name="T20" fmla="*/ 364445144 w 92"/>
            <a:gd name="T21" fmla="*/ 747500477 h 212"/>
            <a:gd name="T22" fmla="*/ 265830303 w 92"/>
            <a:gd name="T23" fmla="*/ 798757812 h 212"/>
            <a:gd name="T24" fmla="*/ 244392848 w 92"/>
            <a:gd name="T25" fmla="*/ 798757812 h 212"/>
            <a:gd name="T26" fmla="*/ 214380825 w 92"/>
            <a:gd name="T27" fmla="*/ 875644848 h 212"/>
            <a:gd name="T28" fmla="*/ 150066390 w 92"/>
            <a:gd name="T29" fmla="*/ 905544443 h 212"/>
            <a:gd name="T30" fmla="*/ 150066390 w 92"/>
            <a:gd name="T31" fmla="*/ 841473291 h 212"/>
            <a:gd name="T32" fmla="*/ 98614809 w 92"/>
            <a:gd name="T33" fmla="*/ 798757812 h 212"/>
            <a:gd name="T34" fmla="*/ 265830303 w 92"/>
            <a:gd name="T35" fmla="*/ 674887469 h 212"/>
            <a:gd name="T36" fmla="*/ 265830303 w 92"/>
            <a:gd name="T37" fmla="*/ 482671817 h 212"/>
            <a:gd name="T38" fmla="*/ 214380825 w 92"/>
            <a:gd name="T39" fmla="*/ 388701070 h 212"/>
            <a:gd name="T40" fmla="*/ 214380825 w 92"/>
            <a:gd name="T41" fmla="*/ 350257552 h 212"/>
            <a:gd name="T42" fmla="*/ 55737813 w 92"/>
            <a:gd name="T43" fmla="*/ 230657039 h 212"/>
            <a:gd name="T44" fmla="*/ 150066390 w 92"/>
            <a:gd name="T45" fmla="*/ 192215588 h 212"/>
            <a:gd name="T46" fmla="*/ 98614809 w 92"/>
            <a:gd name="T47" fmla="*/ 166585887 h 212"/>
            <a:gd name="T48" fmla="*/ 34300358 w 92"/>
            <a:gd name="T49" fmla="*/ 93970780 h 212"/>
            <a:gd name="T50" fmla="*/ 0 w 92"/>
            <a:gd name="T51" fmla="*/ 34171573 h 212"/>
            <a:gd name="T52" fmla="*/ 0 w 92"/>
            <a:gd name="T53" fmla="*/ 34171573 h 212"/>
            <a:gd name="T54" fmla="*/ 0 w 92"/>
            <a:gd name="T55" fmla="*/ 34171573 h 212"/>
            <a:gd name="T56" fmla="*/ 0 60000 65536"/>
            <a:gd name="T57" fmla="*/ 0 60000 65536"/>
            <a:gd name="T58" fmla="*/ 0 60000 65536"/>
            <a:gd name="T59" fmla="*/ 0 60000 65536"/>
            <a:gd name="T60" fmla="*/ 0 60000 65536"/>
            <a:gd name="T61" fmla="*/ 0 60000 65536"/>
            <a:gd name="T62" fmla="*/ 0 60000 65536"/>
            <a:gd name="T63" fmla="*/ 0 60000 65536"/>
            <a:gd name="T64" fmla="*/ 0 60000 65536"/>
            <a:gd name="T65" fmla="*/ 0 60000 65536"/>
            <a:gd name="T66" fmla="*/ 0 60000 65536"/>
            <a:gd name="T67" fmla="*/ 0 60000 65536"/>
            <a:gd name="T68" fmla="*/ 0 60000 65536"/>
            <a:gd name="T69" fmla="*/ 0 60000 65536"/>
            <a:gd name="T70" fmla="*/ 0 60000 65536"/>
            <a:gd name="T71" fmla="*/ 0 60000 65536"/>
            <a:gd name="T72" fmla="*/ 0 60000 65536"/>
            <a:gd name="T73" fmla="*/ 0 60000 65536"/>
            <a:gd name="T74" fmla="*/ 0 60000 65536"/>
            <a:gd name="T75" fmla="*/ 0 60000 65536"/>
            <a:gd name="T76" fmla="*/ 0 60000 65536"/>
            <a:gd name="T77" fmla="*/ 0 60000 65536"/>
            <a:gd name="T78" fmla="*/ 0 60000 65536"/>
            <a:gd name="T79" fmla="*/ 0 60000 65536"/>
            <a:gd name="T80" fmla="*/ 0 60000 65536"/>
            <a:gd name="T81" fmla="*/ 0 60000 65536"/>
            <a:gd name="T82" fmla="*/ 0 60000 65536"/>
            <a:gd name="T83" fmla="*/ 0 60000 65536"/>
            <a:gd name="T84" fmla="*/ 0 w 92"/>
            <a:gd name="T85" fmla="*/ 0 h 212"/>
            <a:gd name="T86" fmla="*/ 92 w 92"/>
            <a:gd name="T87" fmla="*/ 212 h 212"/>
          </a:gdLst>
          <a:ahLst/>
          <a:cxnLst>
            <a:cxn ang="T56">
              <a:pos x="T0" y="T1"/>
            </a:cxn>
            <a:cxn ang="T57">
              <a:pos x="T2" y="T3"/>
            </a:cxn>
            <a:cxn ang="T58">
              <a:pos x="T4" y="T5"/>
            </a:cxn>
            <a:cxn ang="T59">
              <a:pos x="T6" y="T7"/>
            </a:cxn>
            <a:cxn ang="T60">
              <a:pos x="T8" y="T9"/>
            </a:cxn>
            <a:cxn ang="T61">
              <a:pos x="T10" y="T11"/>
            </a:cxn>
            <a:cxn ang="T62">
              <a:pos x="T12" y="T13"/>
            </a:cxn>
            <a:cxn ang="T63">
              <a:pos x="T14" y="T15"/>
            </a:cxn>
            <a:cxn ang="T64">
              <a:pos x="T16" y="T17"/>
            </a:cxn>
            <a:cxn ang="T65">
              <a:pos x="T18" y="T19"/>
            </a:cxn>
            <a:cxn ang="T66">
              <a:pos x="T20" y="T21"/>
            </a:cxn>
            <a:cxn ang="T67">
              <a:pos x="T22" y="T23"/>
            </a:cxn>
            <a:cxn ang="T68">
              <a:pos x="T24" y="T25"/>
            </a:cxn>
            <a:cxn ang="T69">
              <a:pos x="T26" y="T27"/>
            </a:cxn>
            <a:cxn ang="T70">
              <a:pos x="T28" y="T29"/>
            </a:cxn>
            <a:cxn ang="T71">
              <a:pos x="T30" y="T31"/>
            </a:cxn>
            <a:cxn ang="T72">
              <a:pos x="T32" y="T33"/>
            </a:cxn>
            <a:cxn ang="T73">
              <a:pos x="T34" y="T35"/>
            </a:cxn>
            <a:cxn ang="T74">
              <a:pos x="T36" y="T37"/>
            </a:cxn>
            <a:cxn ang="T75">
              <a:pos x="T38" y="T39"/>
            </a:cxn>
            <a:cxn ang="T76">
              <a:pos x="T40" y="T41"/>
            </a:cxn>
            <a:cxn ang="T77">
              <a:pos x="T42" y="T43"/>
            </a:cxn>
            <a:cxn ang="T78">
              <a:pos x="T44" y="T45"/>
            </a:cxn>
            <a:cxn ang="T79">
              <a:pos x="T46" y="T47"/>
            </a:cxn>
            <a:cxn ang="T80">
              <a:pos x="T48" y="T49"/>
            </a:cxn>
            <a:cxn ang="T81">
              <a:pos x="T50" y="T51"/>
            </a:cxn>
            <a:cxn ang="T82">
              <a:pos x="T52" y="T53"/>
            </a:cxn>
            <a:cxn ang="T83">
              <a:pos x="T54" y="T55"/>
            </a:cxn>
          </a:cxnLst>
          <a:rect l="T84" t="T85" r="T86" b="T87"/>
          <a:pathLst>
            <a:path w="92" h="212">
              <a:moveTo>
                <a:pt x="0" y="8"/>
              </a:moveTo>
              <a:lnTo>
                <a:pt x="0" y="0"/>
              </a:lnTo>
              <a:lnTo>
                <a:pt x="8" y="8"/>
              </a:lnTo>
              <a:lnTo>
                <a:pt x="57" y="0"/>
              </a:lnTo>
              <a:lnTo>
                <a:pt x="57" y="17"/>
              </a:lnTo>
              <a:lnTo>
                <a:pt x="79" y="17"/>
              </a:lnTo>
              <a:lnTo>
                <a:pt x="57" y="22"/>
              </a:lnTo>
              <a:lnTo>
                <a:pt x="50" y="45"/>
              </a:lnTo>
              <a:lnTo>
                <a:pt x="42" y="54"/>
              </a:lnTo>
              <a:lnTo>
                <a:pt x="92" y="136"/>
              </a:lnTo>
              <a:lnTo>
                <a:pt x="85" y="175"/>
              </a:lnTo>
              <a:lnTo>
                <a:pt x="62" y="187"/>
              </a:lnTo>
              <a:lnTo>
                <a:pt x="57" y="187"/>
              </a:lnTo>
              <a:lnTo>
                <a:pt x="50" y="205"/>
              </a:lnTo>
              <a:lnTo>
                <a:pt x="35" y="212"/>
              </a:lnTo>
              <a:lnTo>
                <a:pt x="35" y="197"/>
              </a:lnTo>
              <a:lnTo>
                <a:pt x="23" y="187"/>
              </a:lnTo>
              <a:lnTo>
                <a:pt x="62" y="158"/>
              </a:lnTo>
              <a:lnTo>
                <a:pt x="62" y="113"/>
              </a:lnTo>
              <a:lnTo>
                <a:pt x="50" y="91"/>
              </a:lnTo>
              <a:lnTo>
                <a:pt x="50" y="82"/>
              </a:lnTo>
              <a:lnTo>
                <a:pt x="13" y="54"/>
              </a:lnTo>
              <a:lnTo>
                <a:pt x="35" y="45"/>
              </a:lnTo>
              <a:lnTo>
                <a:pt x="23" y="39"/>
              </a:lnTo>
              <a:lnTo>
                <a:pt x="8" y="22"/>
              </a:lnTo>
              <a:lnTo>
                <a:pt x="0" y="8"/>
              </a:lnTo>
              <a:close/>
            </a:path>
          </a:pathLst>
        </a:custGeom>
        <a:solidFill>
          <a:srgbClr val="F5F5F5"/>
        </a:solidFill>
        <a:ln w="9525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36576" tIns="32004" rIns="0" bIns="0" anchor="t"/>
        <a:lstStyle/>
        <a:p>
          <a:pPr algn="l" rtl="0">
            <a:defRPr sz="1000"/>
          </a:pPr>
          <a:endParaRPr lang="en-US" sz="16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en-US"/>
        </a:p>
      </xdr:txBody>
    </xdr:sp>
    <xdr:clientData/>
  </xdr:twoCellAnchor>
  <xdr:twoCellAnchor>
    <xdr:from>
      <xdr:col>13</xdr:col>
      <xdr:colOff>390525</xdr:colOff>
      <xdr:row>28</xdr:row>
      <xdr:rowOff>76200</xdr:rowOff>
    </xdr:from>
    <xdr:to>
      <xdr:col>13</xdr:col>
      <xdr:colOff>523875</xdr:colOff>
      <xdr:row>29</xdr:row>
      <xdr:rowOff>38100</xdr:rowOff>
    </xdr:to>
    <xdr:sp macro="" textlink="">
      <xdr:nvSpPr>
        <xdr:cNvPr id="25820" name="S_KHM"/>
        <xdr:cNvSpPr>
          <a:spLocks/>
        </xdr:cNvSpPr>
      </xdr:nvSpPr>
      <xdr:spPr bwMode="auto">
        <a:xfrm>
          <a:off x="8362950" y="4457700"/>
          <a:ext cx="133350" cy="123825"/>
        </a:xfrm>
        <a:custGeom>
          <a:avLst/>
          <a:gdLst>
            <a:gd name="T0" fmla="*/ 96801829 w 65"/>
            <a:gd name="T1" fmla="*/ 255543843 h 60"/>
            <a:gd name="T2" fmla="*/ 273572654 w 65"/>
            <a:gd name="T3" fmla="*/ 132030469 h 60"/>
            <a:gd name="T4" fmla="*/ 273572654 w 65"/>
            <a:gd name="T5" fmla="*/ 0 h 60"/>
            <a:gd name="T6" fmla="*/ 218858084 w 65"/>
            <a:gd name="T7" fmla="*/ 0 h 60"/>
            <a:gd name="T8" fmla="*/ 218858084 w 65"/>
            <a:gd name="T9" fmla="*/ 42591678 h 60"/>
            <a:gd name="T10" fmla="*/ 176770793 w 65"/>
            <a:gd name="T11" fmla="*/ 0 h 60"/>
            <a:gd name="T12" fmla="*/ 33669849 w 65"/>
            <a:gd name="T13" fmla="*/ 0 h 60"/>
            <a:gd name="T14" fmla="*/ 0 w 65"/>
            <a:gd name="T15" fmla="*/ 63885445 h 60"/>
            <a:gd name="T16" fmla="*/ 33669849 w 65"/>
            <a:gd name="T17" fmla="*/ 170362584 h 60"/>
            <a:gd name="T18" fmla="*/ 33669849 w 65"/>
            <a:gd name="T19" fmla="*/ 255543843 h 60"/>
            <a:gd name="T20" fmla="*/ 96801829 w 65"/>
            <a:gd name="T21" fmla="*/ 255543843 h 60"/>
            <a:gd name="T22" fmla="*/ 96801829 w 65"/>
            <a:gd name="T23" fmla="*/ 255543843 h 60"/>
            <a:gd name="T24" fmla="*/ 0 60000 65536"/>
            <a:gd name="T25" fmla="*/ 0 60000 65536"/>
            <a:gd name="T26" fmla="*/ 0 60000 65536"/>
            <a:gd name="T27" fmla="*/ 0 60000 65536"/>
            <a:gd name="T28" fmla="*/ 0 60000 65536"/>
            <a:gd name="T29" fmla="*/ 0 60000 65536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w 65"/>
            <a:gd name="T37" fmla="*/ 0 h 60"/>
            <a:gd name="T38" fmla="*/ 65 w 65"/>
            <a:gd name="T39" fmla="*/ 60 h 60"/>
          </a:gdLst>
          <a:ahLst/>
          <a:cxnLst>
            <a:cxn ang="T24">
              <a:pos x="T0" y="T1"/>
            </a:cxn>
            <a:cxn ang="T25">
              <a:pos x="T2" y="T3"/>
            </a:cxn>
            <a:cxn ang="T26">
              <a:pos x="T4" y="T5"/>
            </a:cxn>
            <a:cxn ang="T27">
              <a:pos x="T6" y="T7"/>
            </a:cxn>
            <a:cxn ang="T28">
              <a:pos x="T8" y="T9"/>
            </a:cxn>
            <a:cxn ang="T29">
              <a:pos x="T10" y="T11"/>
            </a:cxn>
            <a:cxn ang="T30">
              <a:pos x="T12" y="T13"/>
            </a:cxn>
            <a:cxn ang="T31">
              <a:pos x="T14" y="T15"/>
            </a:cxn>
            <a:cxn ang="T32">
              <a:pos x="T16" y="T17"/>
            </a:cxn>
            <a:cxn ang="T33">
              <a:pos x="T18" y="T19"/>
            </a:cxn>
            <a:cxn ang="T34">
              <a:pos x="T20" y="T21"/>
            </a:cxn>
            <a:cxn ang="T35">
              <a:pos x="T22" y="T23"/>
            </a:cxn>
          </a:cxnLst>
          <a:rect l="T36" t="T37" r="T38" b="T39"/>
          <a:pathLst>
            <a:path w="65" h="60">
              <a:moveTo>
                <a:pt x="23" y="60"/>
              </a:moveTo>
              <a:lnTo>
                <a:pt x="65" y="31"/>
              </a:lnTo>
              <a:lnTo>
                <a:pt x="65" y="0"/>
              </a:lnTo>
              <a:lnTo>
                <a:pt x="52" y="0"/>
              </a:lnTo>
              <a:lnTo>
                <a:pt x="52" y="10"/>
              </a:lnTo>
              <a:lnTo>
                <a:pt x="42" y="0"/>
              </a:lnTo>
              <a:lnTo>
                <a:pt x="8" y="0"/>
              </a:lnTo>
              <a:lnTo>
                <a:pt x="0" y="15"/>
              </a:lnTo>
              <a:lnTo>
                <a:pt x="8" y="40"/>
              </a:lnTo>
              <a:lnTo>
                <a:pt x="8" y="60"/>
              </a:lnTo>
              <a:lnTo>
                <a:pt x="23" y="60"/>
              </a:lnTo>
              <a:close/>
            </a:path>
          </a:pathLst>
        </a:custGeom>
        <a:solidFill>
          <a:srgbClr val="F5F5F5"/>
        </a:solidFill>
        <a:ln w="9525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36576" tIns="32004" rIns="0" bIns="0" anchor="t"/>
        <a:lstStyle/>
        <a:p>
          <a:pPr algn="l" rtl="0">
            <a:defRPr sz="1000"/>
          </a:pPr>
          <a:endParaRPr lang="en-US" sz="16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en-US"/>
        </a:p>
      </xdr:txBody>
    </xdr:sp>
    <xdr:clientData/>
  </xdr:twoCellAnchor>
  <xdr:twoCellAnchor>
    <xdr:from>
      <xdr:col>13</xdr:col>
      <xdr:colOff>333375</xdr:colOff>
      <xdr:row>29</xdr:row>
      <xdr:rowOff>152400</xdr:rowOff>
    </xdr:from>
    <xdr:to>
      <xdr:col>14</xdr:col>
      <xdr:colOff>152400</xdr:colOff>
      <xdr:row>31</xdr:row>
      <xdr:rowOff>0</xdr:rowOff>
    </xdr:to>
    <xdr:grpSp>
      <xdr:nvGrpSpPr>
        <xdr:cNvPr id="25821" name="S_MYS"/>
        <xdr:cNvGrpSpPr>
          <a:grpSpLocks/>
        </xdr:cNvGrpSpPr>
      </xdr:nvGrpSpPr>
      <xdr:grpSpPr bwMode="auto">
        <a:xfrm>
          <a:off x="9096375" y="5026959"/>
          <a:ext cx="536201" cy="161365"/>
          <a:chOff x="884" y="505"/>
          <a:chExt cx="56" cy="18"/>
        </a:xfrm>
      </xdr:grpSpPr>
      <xdr:sp macro="" textlink="">
        <xdr:nvSpPr>
          <xdr:cNvPr id="25961" name="Freeform 117"/>
          <xdr:cNvSpPr>
            <a:spLocks/>
          </xdr:cNvSpPr>
        </xdr:nvSpPr>
        <xdr:spPr bwMode="auto">
          <a:xfrm>
            <a:off x="884" y="505"/>
            <a:ext cx="11" cy="18"/>
          </a:xfrm>
          <a:custGeom>
            <a:avLst/>
            <a:gdLst>
              <a:gd name="T0" fmla="*/ 1 w 52"/>
              <a:gd name="T1" fmla="*/ 0 h 84"/>
              <a:gd name="T2" fmla="*/ 1 w 52"/>
              <a:gd name="T3" fmla="*/ 1 h 84"/>
              <a:gd name="T4" fmla="*/ 0 w 52"/>
              <a:gd name="T5" fmla="*/ 0 h 84"/>
              <a:gd name="T6" fmla="*/ 0 w 52"/>
              <a:gd name="T7" fmla="*/ 0 h 84"/>
              <a:gd name="T8" fmla="*/ 0 w 52"/>
              <a:gd name="T9" fmla="*/ 2 h 84"/>
              <a:gd name="T10" fmla="*/ 1 w 52"/>
              <a:gd name="T11" fmla="*/ 2 h 84"/>
              <a:gd name="T12" fmla="*/ 2 w 52"/>
              <a:gd name="T13" fmla="*/ 4 h 84"/>
              <a:gd name="T14" fmla="*/ 2 w 52"/>
              <a:gd name="T15" fmla="*/ 4 h 84"/>
              <a:gd name="T16" fmla="*/ 2 w 52"/>
              <a:gd name="T17" fmla="*/ 2 h 84"/>
              <a:gd name="T18" fmla="*/ 2 w 52"/>
              <a:gd name="T19" fmla="*/ 1 h 84"/>
              <a:gd name="T20" fmla="*/ 1 w 52"/>
              <a:gd name="T21" fmla="*/ 0 h 84"/>
              <a:gd name="T22" fmla="*/ 1 w 52"/>
              <a:gd name="T23" fmla="*/ 0 h 84"/>
              <a:gd name="T24" fmla="*/ 1 w 52"/>
              <a:gd name="T25" fmla="*/ 0 h 84"/>
              <a:gd name="T26" fmla="*/ 0 60000 65536"/>
              <a:gd name="T27" fmla="*/ 0 60000 65536"/>
              <a:gd name="T28" fmla="*/ 0 60000 65536"/>
              <a:gd name="T29" fmla="*/ 0 60000 65536"/>
              <a:gd name="T30" fmla="*/ 0 60000 65536"/>
              <a:gd name="T31" fmla="*/ 0 60000 65536"/>
              <a:gd name="T32" fmla="*/ 0 60000 65536"/>
              <a:gd name="T33" fmla="*/ 0 60000 65536"/>
              <a:gd name="T34" fmla="*/ 0 60000 65536"/>
              <a:gd name="T35" fmla="*/ 0 60000 65536"/>
              <a:gd name="T36" fmla="*/ 0 60000 65536"/>
              <a:gd name="T37" fmla="*/ 0 60000 65536"/>
              <a:gd name="T38" fmla="*/ 0 60000 65536"/>
              <a:gd name="T39" fmla="*/ 0 w 52"/>
              <a:gd name="T40" fmla="*/ 0 h 84"/>
              <a:gd name="T41" fmla="*/ 52 w 52"/>
              <a:gd name="T42" fmla="*/ 84 h 84"/>
            </a:gdLst>
            <a:ahLst/>
            <a:cxnLst>
              <a:cxn ang="T26">
                <a:pos x="T0" y="T1"/>
              </a:cxn>
              <a:cxn ang="T27">
                <a:pos x="T2" y="T3"/>
              </a:cxn>
              <a:cxn ang="T28">
                <a:pos x="T4" y="T5"/>
              </a:cxn>
              <a:cxn ang="T29">
                <a:pos x="T6" y="T7"/>
              </a:cxn>
              <a:cxn ang="T30">
                <a:pos x="T8" y="T9"/>
              </a:cxn>
              <a:cxn ang="T31">
                <a:pos x="T10" y="T11"/>
              </a:cxn>
              <a:cxn ang="T32">
                <a:pos x="T12" y="T13"/>
              </a:cxn>
              <a:cxn ang="T33">
                <a:pos x="T14" y="T15"/>
              </a:cxn>
              <a:cxn ang="T34">
                <a:pos x="T16" y="T17"/>
              </a:cxn>
              <a:cxn ang="T35">
                <a:pos x="T18" y="T19"/>
              </a:cxn>
              <a:cxn ang="T36">
                <a:pos x="T20" y="T21"/>
              </a:cxn>
              <a:cxn ang="T37">
                <a:pos x="T22" y="T23"/>
              </a:cxn>
              <a:cxn ang="T38">
                <a:pos x="T24" y="T25"/>
              </a:cxn>
            </a:cxnLst>
            <a:rect l="T39" t="T40" r="T41" b="T42"/>
            <a:pathLst>
              <a:path w="52" h="84">
                <a:moveTo>
                  <a:pt x="29" y="9"/>
                </a:moveTo>
                <a:lnTo>
                  <a:pt x="24" y="17"/>
                </a:lnTo>
                <a:lnTo>
                  <a:pt x="9" y="9"/>
                </a:lnTo>
                <a:lnTo>
                  <a:pt x="0" y="0"/>
                </a:lnTo>
                <a:lnTo>
                  <a:pt x="0" y="39"/>
                </a:lnTo>
                <a:lnTo>
                  <a:pt x="24" y="52"/>
                </a:lnTo>
                <a:lnTo>
                  <a:pt x="44" y="84"/>
                </a:lnTo>
                <a:lnTo>
                  <a:pt x="52" y="84"/>
                </a:lnTo>
                <a:lnTo>
                  <a:pt x="44" y="52"/>
                </a:lnTo>
                <a:lnTo>
                  <a:pt x="44" y="22"/>
                </a:lnTo>
                <a:lnTo>
                  <a:pt x="29" y="9"/>
                </a:lnTo>
                <a:close/>
              </a:path>
            </a:pathLst>
          </a:custGeom>
          <a:solidFill>
            <a:srgbClr val="F5F5D2"/>
          </a:solidFill>
          <a:ln w="9525">
            <a:solidFill>
              <a:srgbClr val="FFFFFF"/>
            </a:solidFill>
            <a:miter lim="800000"/>
            <a:headEnd/>
            <a:tailEnd/>
          </a:ln>
        </xdr:spPr>
        <xdr:txBody>
          <a:bodyPr vertOverflow="clip" wrap="square" lIns="36576" tIns="32004" rIns="0" bIns="0" anchor="t"/>
          <a:lstStyle/>
          <a:p>
            <a:pPr algn="l" rtl="0">
              <a:defRPr sz="1000"/>
            </a:pPr>
            <a:endParaRPr lang="en-US" sz="1600" b="0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 algn="l" rtl="0">
              <a:defRPr sz="1000"/>
            </a:pPr>
            <a:endParaRPr lang="en-US"/>
          </a:p>
        </xdr:txBody>
      </xdr:sp>
      <xdr:sp macro="" textlink="">
        <xdr:nvSpPr>
          <xdr:cNvPr id="25962" name="Freeform 118"/>
          <xdr:cNvSpPr>
            <a:spLocks/>
          </xdr:cNvSpPr>
        </xdr:nvSpPr>
        <xdr:spPr bwMode="auto">
          <a:xfrm>
            <a:off x="910" y="505"/>
            <a:ext cx="30" cy="18"/>
          </a:xfrm>
          <a:custGeom>
            <a:avLst/>
            <a:gdLst>
              <a:gd name="T0" fmla="*/ 4 w 136"/>
              <a:gd name="T1" fmla="*/ 1 h 84"/>
              <a:gd name="T2" fmla="*/ 4 w 136"/>
              <a:gd name="T3" fmla="*/ 1 h 84"/>
              <a:gd name="T4" fmla="*/ 4 w 136"/>
              <a:gd name="T5" fmla="*/ 2 h 84"/>
              <a:gd name="T6" fmla="*/ 3 w 136"/>
              <a:gd name="T7" fmla="*/ 2 h 84"/>
              <a:gd name="T8" fmla="*/ 2 w 136"/>
              <a:gd name="T9" fmla="*/ 2 h 84"/>
              <a:gd name="T10" fmla="*/ 1 w 136"/>
              <a:gd name="T11" fmla="*/ 2 h 84"/>
              <a:gd name="T12" fmla="*/ 1 w 136"/>
              <a:gd name="T13" fmla="*/ 3 h 84"/>
              <a:gd name="T14" fmla="*/ 0 w 136"/>
              <a:gd name="T15" fmla="*/ 3 h 84"/>
              <a:gd name="T16" fmla="*/ 1 w 136"/>
              <a:gd name="T17" fmla="*/ 4 h 84"/>
              <a:gd name="T18" fmla="*/ 2 w 136"/>
              <a:gd name="T19" fmla="*/ 4 h 84"/>
              <a:gd name="T20" fmla="*/ 2 w 136"/>
              <a:gd name="T21" fmla="*/ 3 h 84"/>
              <a:gd name="T22" fmla="*/ 3 w 136"/>
              <a:gd name="T23" fmla="*/ 4 h 84"/>
              <a:gd name="T24" fmla="*/ 3 w 136"/>
              <a:gd name="T25" fmla="*/ 3 h 84"/>
              <a:gd name="T26" fmla="*/ 4 w 136"/>
              <a:gd name="T27" fmla="*/ 2 h 84"/>
              <a:gd name="T28" fmla="*/ 6 w 136"/>
              <a:gd name="T29" fmla="*/ 2 h 84"/>
              <a:gd name="T30" fmla="*/ 6 w 136"/>
              <a:gd name="T31" fmla="*/ 1 h 84"/>
              <a:gd name="T32" fmla="*/ 7 w 136"/>
              <a:gd name="T33" fmla="*/ 1 h 84"/>
              <a:gd name="T34" fmla="*/ 6 w 136"/>
              <a:gd name="T35" fmla="*/ 1 h 84"/>
              <a:gd name="T36" fmla="*/ 6 w 136"/>
              <a:gd name="T37" fmla="*/ 0 h 84"/>
              <a:gd name="T38" fmla="*/ 5 w 136"/>
              <a:gd name="T39" fmla="*/ 0 h 84"/>
              <a:gd name="T40" fmla="*/ 4 w 136"/>
              <a:gd name="T41" fmla="*/ 1 h 84"/>
              <a:gd name="T42" fmla="*/ 4 w 136"/>
              <a:gd name="T43" fmla="*/ 1 h 84"/>
              <a:gd name="T44" fmla="*/ 4 w 136"/>
              <a:gd name="T45" fmla="*/ 1 h 84"/>
              <a:gd name="T46" fmla="*/ 4 w 136"/>
              <a:gd name="T47" fmla="*/ 1 h 84"/>
              <a:gd name="T48" fmla="*/ 0 60000 65536"/>
              <a:gd name="T49" fmla="*/ 0 60000 65536"/>
              <a:gd name="T50" fmla="*/ 0 60000 65536"/>
              <a:gd name="T51" fmla="*/ 0 60000 65536"/>
              <a:gd name="T52" fmla="*/ 0 60000 65536"/>
              <a:gd name="T53" fmla="*/ 0 60000 65536"/>
              <a:gd name="T54" fmla="*/ 0 60000 65536"/>
              <a:gd name="T55" fmla="*/ 0 60000 65536"/>
              <a:gd name="T56" fmla="*/ 0 60000 65536"/>
              <a:gd name="T57" fmla="*/ 0 60000 65536"/>
              <a:gd name="T58" fmla="*/ 0 60000 65536"/>
              <a:gd name="T59" fmla="*/ 0 60000 65536"/>
              <a:gd name="T60" fmla="*/ 0 60000 65536"/>
              <a:gd name="T61" fmla="*/ 0 60000 65536"/>
              <a:gd name="T62" fmla="*/ 0 60000 65536"/>
              <a:gd name="T63" fmla="*/ 0 60000 65536"/>
              <a:gd name="T64" fmla="*/ 0 60000 65536"/>
              <a:gd name="T65" fmla="*/ 0 60000 65536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w 136"/>
              <a:gd name="T73" fmla="*/ 0 h 84"/>
              <a:gd name="T74" fmla="*/ 136 w 136"/>
              <a:gd name="T75" fmla="*/ 84 h 84"/>
            </a:gdLst>
            <a:ahLst/>
            <a:cxnLst>
              <a:cxn ang="T48">
                <a:pos x="T0" y="T1"/>
              </a:cxn>
              <a:cxn ang="T49">
                <a:pos x="T2" y="T3"/>
              </a:cxn>
              <a:cxn ang="T50">
                <a:pos x="T4" y="T5"/>
              </a:cxn>
              <a:cxn ang="T51">
                <a:pos x="T6" y="T7"/>
              </a:cxn>
              <a:cxn ang="T52">
                <a:pos x="T8" y="T9"/>
              </a:cxn>
              <a:cxn ang="T53">
                <a:pos x="T10" y="T11"/>
              </a:cxn>
              <a:cxn ang="T54">
                <a:pos x="T12" y="T13"/>
              </a:cxn>
              <a:cxn ang="T55">
                <a:pos x="T14" y="T15"/>
              </a:cxn>
              <a:cxn ang="T56">
                <a:pos x="T16" y="T17"/>
              </a:cxn>
              <a:cxn ang="T57">
                <a:pos x="T18" y="T19"/>
              </a:cxn>
              <a:cxn ang="T58">
                <a:pos x="T20" y="T21"/>
              </a:cxn>
              <a:cxn ang="T59">
                <a:pos x="T22" y="T23"/>
              </a:cxn>
              <a:cxn ang="T60">
                <a:pos x="T24" y="T25"/>
              </a:cxn>
              <a:cxn ang="T61">
                <a:pos x="T26" y="T27"/>
              </a:cxn>
              <a:cxn ang="T62">
                <a:pos x="T28" y="T29"/>
              </a:cxn>
              <a:cxn ang="T63">
                <a:pos x="T30" y="T31"/>
              </a:cxn>
              <a:cxn ang="T64">
                <a:pos x="T32" y="T33"/>
              </a:cxn>
              <a:cxn ang="T65">
                <a:pos x="T34" y="T35"/>
              </a:cxn>
              <a:cxn ang="T66">
                <a:pos x="T36" y="T37"/>
              </a:cxn>
              <a:cxn ang="T67">
                <a:pos x="T38" y="T39"/>
              </a:cxn>
              <a:cxn ang="T68">
                <a:pos x="T40" y="T41"/>
              </a:cxn>
              <a:cxn ang="T69">
                <a:pos x="T42" y="T43"/>
              </a:cxn>
              <a:cxn ang="T70">
                <a:pos x="T44" y="T45"/>
              </a:cxn>
              <a:cxn ang="T71">
                <a:pos x="T46" y="T47"/>
              </a:cxn>
            </a:cxnLst>
            <a:rect l="T72" t="T73" r="T74" b="T75"/>
            <a:pathLst>
              <a:path w="136" h="84">
                <a:moveTo>
                  <a:pt x="77" y="22"/>
                </a:moveTo>
                <a:lnTo>
                  <a:pt x="85" y="22"/>
                </a:lnTo>
                <a:lnTo>
                  <a:pt x="77" y="39"/>
                </a:lnTo>
                <a:lnTo>
                  <a:pt x="55" y="39"/>
                </a:lnTo>
                <a:lnTo>
                  <a:pt x="45" y="52"/>
                </a:lnTo>
                <a:lnTo>
                  <a:pt x="28" y="52"/>
                </a:lnTo>
                <a:lnTo>
                  <a:pt x="28" y="76"/>
                </a:lnTo>
                <a:lnTo>
                  <a:pt x="0" y="76"/>
                </a:lnTo>
                <a:lnTo>
                  <a:pt x="12" y="84"/>
                </a:lnTo>
                <a:lnTo>
                  <a:pt x="34" y="84"/>
                </a:lnTo>
                <a:lnTo>
                  <a:pt x="45" y="76"/>
                </a:lnTo>
                <a:lnTo>
                  <a:pt x="55" y="84"/>
                </a:lnTo>
                <a:lnTo>
                  <a:pt x="70" y="76"/>
                </a:lnTo>
                <a:lnTo>
                  <a:pt x="90" y="39"/>
                </a:lnTo>
                <a:lnTo>
                  <a:pt x="127" y="39"/>
                </a:lnTo>
                <a:lnTo>
                  <a:pt x="119" y="22"/>
                </a:lnTo>
                <a:lnTo>
                  <a:pt x="136" y="22"/>
                </a:lnTo>
                <a:lnTo>
                  <a:pt x="112" y="17"/>
                </a:lnTo>
                <a:lnTo>
                  <a:pt x="112" y="9"/>
                </a:lnTo>
                <a:lnTo>
                  <a:pt x="97" y="0"/>
                </a:lnTo>
                <a:lnTo>
                  <a:pt x="85" y="17"/>
                </a:lnTo>
                <a:lnTo>
                  <a:pt x="77" y="22"/>
                </a:lnTo>
                <a:close/>
              </a:path>
            </a:pathLst>
          </a:custGeom>
          <a:solidFill>
            <a:srgbClr val="F5F5D2"/>
          </a:solidFill>
          <a:ln w="9525">
            <a:solidFill>
              <a:srgbClr val="FFFFFF"/>
            </a:solidFill>
            <a:miter lim="800000"/>
            <a:headEnd/>
            <a:tailEnd/>
          </a:ln>
        </xdr:spPr>
        <xdr:txBody>
          <a:bodyPr vertOverflow="clip" wrap="square" lIns="36576" tIns="32004" rIns="0" bIns="0" anchor="t"/>
          <a:lstStyle/>
          <a:p>
            <a:pPr algn="l" rtl="0">
              <a:defRPr sz="1000"/>
            </a:pPr>
            <a:endParaRPr lang="en-US" sz="1600" b="0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 algn="l" rtl="0">
              <a:defRPr sz="1000"/>
            </a:pPr>
            <a:endParaRPr lang="en-US"/>
          </a:p>
        </xdr:txBody>
      </xdr:sp>
    </xdr:grpSp>
    <xdr:clientData/>
  </xdr:twoCellAnchor>
  <xdr:twoCellAnchor>
    <xdr:from>
      <xdr:col>13</xdr:col>
      <xdr:colOff>704850</xdr:colOff>
      <xdr:row>33</xdr:row>
      <xdr:rowOff>47625</xdr:rowOff>
    </xdr:from>
    <xdr:to>
      <xdr:col>15</xdr:col>
      <xdr:colOff>419100</xdr:colOff>
      <xdr:row>40</xdr:row>
      <xdr:rowOff>28575</xdr:rowOff>
    </xdr:to>
    <xdr:grpSp>
      <xdr:nvGrpSpPr>
        <xdr:cNvPr id="25822" name="S_AUS"/>
        <xdr:cNvGrpSpPr>
          <a:grpSpLocks/>
        </xdr:cNvGrpSpPr>
      </xdr:nvGrpSpPr>
      <xdr:grpSpPr bwMode="auto">
        <a:xfrm>
          <a:off x="9467850" y="5549713"/>
          <a:ext cx="1148603" cy="1079127"/>
          <a:chOff x="923" y="562"/>
          <a:chExt cx="120" cy="117"/>
        </a:xfrm>
      </xdr:grpSpPr>
      <xdr:sp macro="" textlink="">
        <xdr:nvSpPr>
          <xdr:cNvPr id="25959" name="Freeform 24"/>
          <xdr:cNvSpPr>
            <a:spLocks/>
          </xdr:cNvSpPr>
        </xdr:nvSpPr>
        <xdr:spPr bwMode="auto">
          <a:xfrm>
            <a:off x="1022" y="669"/>
            <a:ext cx="9" cy="10"/>
          </a:xfrm>
          <a:custGeom>
            <a:avLst/>
            <a:gdLst>
              <a:gd name="T0" fmla="*/ 0 w 40"/>
              <a:gd name="T1" fmla="*/ 0 h 44"/>
              <a:gd name="T2" fmla="*/ 0 w 40"/>
              <a:gd name="T3" fmla="*/ 0 h 44"/>
              <a:gd name="T4" fmla="*/ 0 w 40"/>
              <a:gd name="T5" fmla="*/ 0 h 44"/>
              <a:gd name="T6" fmla="*/ 0 w 40"/>
              <a:gd name="T7" fmla="*/ 0 h 44"/>
              <a:gd name="T8" fmla="*/ 0 w 40"/>
              <a:gd name="T9" fmla="*/ 0 h 44"/>
              <a:gd name="T10" fmla="*/ 0 w 40"/>
              <a:gd name="T11" fmla="*/ 0 h 44"/>
              <a:gd name="T12" fmla="*/ 0 w 40"/>
              <a:gd name="T13" fmla="*/ 0 h 44"/>
              <a:gd name="T14" fmla="*/ 0 w 40"/>
              <a:gd name="T15" fmla="*/ 0 h 44"/>
              <a:gd name="T16" fmla="*/ 0 w 40"/>
              <a:gd name="T17" fmla="*/ 0 h 44"/>
              <a:gd name="T18" fmla="*/ 0 w 40"/>
              <a:gd name="T19" fmla="*/ 0 h 44"/>
              <a:gd name="T20" fmla="*/ 0 w 40"/>
              <a:gd name="T21" fmla="*/ 0 h 44"/>
              <a:gd name="T22" fmla="*/ 0 w 40"/>
              <a:gd name="T23" fmla="*/ 0 h 44"/>
              <a:gd name="T24" fmla="*/ 0 60000 65536"/>
              <a:gd name="T25" fmla="*/ 0 60000 65536"/>
              <a:gd name="T26" fmla="*/ 0 60000 65536"/>
              <a:gd name="T27" fmla="*/ 0 60000 65536"/>
              <a:gd name="T28" fmla="*/ 0 60000 65536"/>
              <a:gd name="T29" fmla="*/ 0 60000 65536"/>
              <a:gd name="T30" fmla="*/ 0 60000 65536"/>
              <a:gd name="T31" fmla="*/ 0 60000 65536"/>
              <a:gd name="T32" fmla="*/ 0 60000 65536"/>
              <a:gd name="T33" fmla="*/ 0 60000 65536"/>
              <a:gd name="T34" fmla="*/ 0 60000 65536"/>
              <a:gd name="T35" fmla="*/ 0 60000 65536"/>
              <a:gd name="T36" fmla="*/ 0 w 40"/>
              <a:gd name="T37" fmla="*/ 0 h 44"/>
              <a:gd name="T38" fmla="*/ 40 w 40"/>
              <a:gd name="T39" fmla="*/ 44 h 44"/>
            </a:gdLst>
            <a:ahLst/>
            <a:cxnLst>
              <a:cxn ang="T24">
                <a:pos x="T0" y="T1"/>
              </a:cxn>
              <a:cxn ang="T25">
                <a:pos x="T2" y="T3"/>
              </a:cxn>
              <a:cxn ang="T26">
                <a:pos x="T4" y="T5"/>
              </a:cxn>
              <a:cxn ang="T27">
                <a:pos x="T6" y="T7"/>
              </a:cxn>
              <a:cxn ang="T28">
                <a:pos x="T8" y="T9"/>
              </a:cxn>
              <a:cxn ang="T29">
                <a:pos x="T10" y="T11"/>
              </a:cxn>
              <a:cxn ang="T30">
                <a:pos x="T12" y="T13"/>
              </a:cxn>
              <a:cxn ang="T31">
                <a:pos x="T14" y="T15"/>
              </a:cxn>
              <a:cxn ang="T32">
                <a:pos x="T16" y="T17"/>
              </a:cxn>
              <a:cxn ang="T33">
                <a:pos x="T18" y="T19"/>
              </a:cxn>
              <a:cxn ang="T34">
                <a:pos x="T20" y="T21"/>
              </a:cxn>
              <a:cxn ang="T35">
                <a:pos x="T22" y="T23"/>
              </a:cxn>
            </a:cxnLst>
            <a:rect l="T36" t="T37" r="T38" b="T39"/>
            <a:pathLst>
              <a:path w="40" h="44">
                <a:moveTo>
                  <a:pt x="1" y="18"/>
                </a:moveTo>
                <a:lnTo>
                  <a:pt x="8" y="20"/>
                </a:lnTo>
                <a:lnTo>
                  <a:pt x="33" y="0"/>
                </a:lnTo>
                <a:lnTo>
                  <a:pt x="40" y="25"/>
                </a:lnTo>
                <a:lnTo>
                  <a:pt x="38" y="20"/>
                </a:lnTo>
                <a:lnTo>
                  <a:pt x="35" y="30"/>
                </a:lnTo>
                <a:lnTo>
                  <a:pt x="28" y="35"/>
                </a:lnTo>
                <a:lnTo>
                  <a:pt x="25" y="42"/>
                </a:lnTo>
                <a:lnTo>
                  <a:pt x="16" y="44"/>
                </a:lnTo>
                <a:lnTo>
                  <a:pt x="0" y="28"/>
                </a:lnTo>
                <a:lnTo>
                  <a:pt x="3" y="33"/>
                </a:lnTo>
                <a:lnTo>
                  <a:pt x="1" y="18"/>
                </a:lnTo>
              </a:path>
            </a:pathLst>
          </a:custGeom>
          <a:solidFill>
            <a:srgbClr val="4B7D19"/>
          </a:solidFill>
          <a:ln w="9525">
            <a:solidFill>
              <a:srgbClr val="FFFFFF"/>
            </a:solidFill>
            <a:miter lim="800000"/>
            <a:headEnd/>
            <a:tailEnd/>
          </a:ln>
        </xdr:spPr>
        <xdr:txBody>
          <a:bodyPr vertOverflow="clip" wrap="square" lIns="36576" tIns="32004" rIns="0" bIns="0" anchor="t"/>
          <a:lstStyle/>
          <a:p>
            <a:pPr algn="l" rtl="0">
              <a:defRPr sz="1000"/>
            </a:pPr>
            <a:endParaRPr lang="en-US" sz="1600" b="0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 algn="l" rtl="0">
              <a:defRPr sz="1000"/>
            </a:pPr>
            <a:endParaRPr lang="en-US"/>
          </a:p>
        </xdr:txBody>
      </xdr:sp>
      <xdr:sp macro="" textlink="">
        <xdr:nvSpPr>
          <xdr:cNvPr id="25960" name="Freeform 125"/>
          <xdr:cNvSpPr>
            <a:spLocks/>
          </xdr:cNvSpPr>
        </xdr:nvSpPr>
        <xdr:spPr bwMode="auto">
          <a:xfrm>
            <a:off x="923" y="562"/>
            <a:ext cx="120" cy="100"/>
          </a:xfrm>
          <a:custGeom>
            <a:avLst/>
            <a:gdLst>
              <a:gd name="T0" fmla="*/ 0 w 544"/>
              <a:gd name="T1" fmla="*/ 4 h 455"/>
              <a:gd name="T2" fmla="*/ 1 w 544"/>
              <a:gd name="T3" fmla="*/ 4 h 455"/>
              <a:gd name="T4" fmla="*/ 2 w 544"/>
              <a:gd name="T5" fmla="*/ 4 h 455"/>
              <a:gd name="T6" fmla="*/ 3 w 544"/>
              <a:gd name="T7" fmla="*/ 3 h 455"/>
              <a:gd name="T8" fmla="*/ 3 w 544"/>
              <a:gd name="T9" fmla="*/ 4 h 455"/>
              <a:gd name="T10" fmla="*/ 3 w 544"/>
              <a:gd name="T11" fmla="*/ 4 h 455"/>
              <a:gd name="T12" fmla="*/ 4 w 544"/>
              <a:gd name="T13" fmla="*/ 4 h 455"/>
              <a:gd name="T14" fmla="*/ 4 w 544"/>
              <a:gd name="T15" fmla="*/ 4 h 455"/>
              <a:gd name="T16" fmla="*/ 4 w 544"/>
              <a:gd name="T17" fmla="*/ 4 h 455"/>
              <a:gd name="T18" fmla="*/ 4 w 544"/>
              <a:gd name="T19" fmla="*/ 4 h 455"/>
              <a:gd name="T20" fmla="*/ 4 w 544"/>
              <a:gd name="T21" fmla="*/ 4 h 455"/>
              <a:gd name="T22" fmla="*/ 4 w 544"/>
              <a:gd name="T23" fmla="*/ 5 h 455"/>
              <a:gd name="T24" fmla="*/ 5 w 544"/>
              <a:gd name="T25" fmla="*/ 5 h 455"/>
              <a:gd name="T26" fmla="*/ 5 w 544"/>
              <a:gd name="T27" fmla="*/ 5 h 455"/>
              <a:gd name="T28" fmla="*/ 5 w 544"/>
              <a:gd name="T29" fmla="*/ 5 h 455"/>
              <a:gd name="T30" fmla="*/ 5 w 544"/>
              <a:gd name="T31" fmla="*/ 5 h 455"/>
              <a:gd name="T32" fmla="*/ 6 w 544"/>
              <a:gd name="T33" fmla="*/ 3 h 455"/>
              <a:gd name="T34" fmla="*/ 6 w 544"/>
              <a:gd name="T35" fmla="*/ 2 h 455"/>
              <a:gd name="T36" fmla="*/ 6 w 544"/>
              <a:gd name="T37" fmla="*/ 2 h 455"/>
              <a:gd name="T38" fmla="*/ 5 w 544"/>
              <a:gd name="T39" fmla="*/ 2 h 455"/>
              <a:gd name="T40" fmla="*/ 5 w 544"/>
              <a:gd name="T41" fmla="*/ 1 h 455"/>
              <a:gd name="T42" fmla="*/ 5 w 544"/>
              <a:gd name="T43" fmla="*/ 1 h 455"/>
              <a:gd name="T44" fmla="*/ 4 w 544"/>
              <a:gd name="T45" fmla="*/ 0 h 455"/>
              <a:gd name="T46" fmla="*/ 4 w 544"/>
              <a:gd name="T47" fmla="*/ 0 h 455"/>
              <a:gd name="T48" fmla="*/ 4 w 544"/>
              <a:gd name="T49" fmla="*/ 1 h 455"/>
              <a:gd name="T50" fmla="*/ 3 w 544"/>
              <a:gd name="T51" fmla="*/ 1 h 455"/>
              <a:gd name="T52" fmla="*/ 3 w 544"/>
              <a:gd name="T53" fmla="*/ 1 h 455"/>
              <a:gd name="T54" fmla="*/ 3 w 544"/>
              <a:gd name="T55" fmla="*/ 0 h 455"/>
              <a:gd name="T56" fmla="*/ 3 w 544"/>
              <a:gd name="T57" fmla="*/ 0 h 455"/>
              <a:gd name="T58" fmla="*/ 3 w 544"/>
              <a:gd name="T59" fmla="*/ 0 h 455"/>
              <a:gd name="T60" fmla="*/ 3 w 544"/>
              <a:gd name="T61" fmla="*/ 0 h 455"/>
              <a:gd name="T62" fmla="*/ 3 w 544"/>
              <a:gd name="T63" fmla="*/ 0 h 455"/>
              <a:gd name="T64" fmla="*/ 2 w 544"/>
              <a:gd name="T65" fmla="*/ 0 h 455"/>
              <a:gd name="T66" fmla="*/ 2 w 544"/>
              <a:gd name="T67" fmla="*/ 1 h 455"/>
              <a:gd name="T68" fmla="*/ 2 w 544"/>
              <a:gd name="T69" fmla="*/ 1 h 455"/>
              <a:gd name="T70" fmla="*/ 2 w 544"/>
              <a:gd name="T71" fmla="*/ 0 h 455"/>
              <a:gd name="T72" fmla="*/ 2 w 544"/>
              <a:gd name="T73" fmla="*/ 1 h 455"/>
              <a:gd name="T74" fmla="*/ 2 w 544"/>
              <a:gd name="T75" fmla="*/ 1 h 455"/>
              <a:gd name="T76" fmla="*/ 2 w 544"/>
              <a:gd name="T77" fmla="*/ 1 h 455"/>
              <a:gd name="T78" fmla="*/ 1 w 544"/>
              <a:gd name="T79" fmla="*/ 1 h 455"/>
              <a:gd name="T80" fmla="*/ 1 w 544"/>
              <a:gd name="T81" fmla="*/ 1 h 455"/>
              <a:gd name="T82" fmla="*/ 0 w 544"/>
              <a:gd name="T83" fmla="*/ 2 h 455"/>
              <a:gd name="T84" fmla="*/ 0 w 544"/>
              <a:gd name="T85" fmla="*/ 2 h 455"/>
              <a:gd name="T86" fmla="*/ 0 w 544"/>
              <a:gd name="T87" fmla="*/ 2 h 455"/>
              <a:gd name="T88" fmla="*/ 0 w 544"/>
              <a:gd name="T89" fmla="*/ 2 h 455"/>
              <a:gd name="T90" fmla="*/ 0 w 544"/>
              <a:gd name="T91" fmla="*/ 2 h 455"/>
              <a:gd name="T92" fmla="*/ 0 w 544"/>
              <a:gd name="T93" fmla="*/ 4 h 455"/>
              <a:gd name="T94" fmla="*/ 0 w 544"/>
              <a:gd name="T95" fmla="*/ 4 h 455"/>
              <a:gd name="T96" fmla="*/ 0 w 544"/>
              <a:gd name="T97" fmla="*/ 4 h 455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60000 65536"/>
              <a:gd name="T106" fmla="*/ 0 60000 65536"/>
              <a:gd name="T107" fmla="*/ 0 60000 65536"/>
              <a:gd name="T108" fmla="*/ 0 60000 65536"/>
              <a:gd name="T109" fmla="*/ 0 60000 65536"/>
              <a:gd name="T110" fmla="*/ 0 60000 65536"/>
              <a:gd name="T111" fmla="*/ 0 60000 65536"/>
              <a:gd name="T112" fmla="*/ 0 60000 65536"/>
              <a:gd name="T113" fmla="*/ 0 60000 65536"/>
              <a:gd name="T114" fmla="*/ 0 60000 65536"/>
              <a:gd name="T115" fmla="*/ 0 60000 65536"/>
              <a:gd name="T116" fmla="*/ 0 60000 65536"/>
              <a:gd name="T117" fmla="*/ 0 60000 65536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w 544"/>
              <a:gd name="T148" fmla="*/ 0 h 455"/>
              <a:gd name="T149" fmla="*/ 544 w 544"/>
              <a:gd name="T150" fmla="*/ 455 h 455"/>
            </a:gdLst>
            <a:ahLst/>
            <a:cxnLst>
              <a:cxn ang="T98">
                <a:pos x="T0" y="T1"/>
              </a:cxn>
              <a:cxn ang="T99">
                <a:pos x="T2" y="T3"/>
              </a:cxn>
              <a:cxn ang="T100">
                <a:pos x="T4" y="T5"/>
              </a:cxn>
              <a:cxn ang="T101">
                <a:pos x="T6" y="T7"/>
              </a:cxn>
              <a:cxn ang="T102">
                <a:pos x="T8" y="T9"/>
              </a:cxn>
              <a:cxn ang="T103">
                <a:pos x="T10" y="T11"/>
              </a:cxn>
              <a:cxn ang="T104">
                <a:pos x="T12" y="T13"/>
              </a:cxn>
              <a:cxn ang="T105">
                <a:pos x="T14" y="T15"/>
              </a:cxn>
              <a:cxn ang="T106">
                <a:pos x="T16" y="T17"/>
              </a:cxn>
              <a:cxn ang="T107">
                <a:pos x="T18" y="T19"/>
              </a:cxn>
              <a:cxn ang="T108">
                <a:pos x="T20" y="T21"/>
              </a:cxn>
              <a:cxn ang="T109">
                <a:pos x="T22" y="T23"/>
              </a:cxn>
              <a:cxn ang="T110">
                <a:pos x="T24" y="T25"/>
              </a:cxn>
              <a:cxn ang="T111">
                <a:pos x="T26" y="T27"/>
              </a:cxn>
              <a:cxn ang="T112">
                <a:pos x="T28" y="T29"/>
              </a:cxn>
              <a:cxn ang="T113">
                <a:pos x="T30" y="T31"/>
              </a:cxn>
              <a:cxn ang="T114">
                <a:pos x="T32" y="T33"/>
              </a:cxn>
              <a:cxn ang="T115">
                <a:pos x="T34" y="T35"/>
              </a:cxn>
              <a:cxn ang="T116">
                <a:pos x="T36" y="T37"/>
              </a:cxn>
              <a:cxn ang="T117">
                <a:pos x="T38" y="T39"/>
              </a:cxn>
              <a:cxn ang="T118">
                <a:pos x="T40" y="T41"/>
              </a:cxn>
              <a:cxn ang="T119">
                <a:pos x="T42" y="T43"/>
              </a:cxn>
              <a:cxn ang="T120">
                <a:pos x="T44" y="T45"/>
              </a:cxn>
              <a:cxn ang="T121">
                <a:pos x="T46" y="T47"/>
              </a:cxn>
              <a:cxn ang="T122">
                <a:pos x="T48" y="T49"/>
              </a:cxn>
              <a:cxn ang="T123">
                <a:pos x="T50" y="T51"/>
              </a:cxn>
              <a:cxn ang="T124">
                <a:pos x="T52" y="T53"/>
              </a:cxn>
              <a:cxn ang="T125">
                <a:pos x="T54" y="T55"/>
              </a:cxn>
              <a:cxn ang="T126">
                <a:pos x="T56" y="T57"/>
              </a:cxn>
              <a:cxn ang="T127">
                <a:pos x="T58" y="T59"/>
              </a:cxn>
              <a:cxn ang="T128">
                <a:pos x="T60" y="T61"/>
              </a:cxn>
              <a:cxn ang="T129">
                <a:pos x="T62" y="T63"/>
              </a:cxn>
              <a:cxn ang="T130">
                <a:pos x="T64" y="T65"/>
              </a:cxn>
              <a:cxn ang="T131">
                <a:pos x="T66" y="T67"/>
              </a:cxn>
              <a:cxn ang="T132">
                <a:pos x="T68" y="T69"/>
              </a:cxn>
              <a:cxn ang="T133">
                <a:pos x="T70" y="T71"/>
              </a:cxn>
              <a:cxn ang="T134">
                <a:pos x="T72" y="T73"/>
              </a:cxn>
              <a:cxn ang="T135">
                <a:pos x="T74" y="T75"/>
              </a:cxn>
              <a:cxn ang="T136">
                <a:pos x="T76" y="T77"/>
              </a:cxn>
              <a:cxn ang="T137">
                <a:pos x="T78" y="T79"/>
              </a:cxn>
              <a:cxn ang="T138">
                <a:pos x="T80" y="T81"/>
              </a:cxn>
              <a:cxn ang="T139">
                <a:pos x="T82" y="T83"/>
              </a:cxn>
              <a:cxn ang="T140">
                <a:pos x="T84" y="T85"/>
              </a:cxn>
              <a:cxn ang="T141">
                <a:pos x="T86" y="T87"/>
              </a:cxn>
              <a:cxn ang="T142">
                <a:pos x="T88" y="T89"/>
              </a:cxn>
              <a:cxn ang="T143">
                <a:pos x="T90" y="T91"/>
              </a:cxn>
              <a:cxn ang="T144">
                <a:pos x="T92" y="T93"/>
              </a:cxn>
              <a:cxn ang="T145">
                <a:pos x="T94" y="T95"/>
              </a:cxn>
              <a:cxn ang="T146">
                <a:pos x="T96" y="T97"/>
              </a:cxn>
            </a:cxnLst>
            <a:rect l="T147" t="T148" r="T149" b="T150"/>
            <a:pathLst>
              <a:path w="544" h="455">
                <a:moveTo>
                  <a:pt x="25" y="364"/>
                </a:moveTo>
                <a:lnTo>
                  <a:pt x="47" y="388"/>
                </a:lnTo>
                <a:lnTo>
                  <a:pt x="68" y="388"/>
                </a:lnTo>
                <a:lnTo>
                  <a:pt x="90" y="358"/>
                </a:lnTo>
                <a:lnTo>
                  <a:pt x="132" y="358"/>
                </a:lnTo>
                <a:lnTo>
                  <a:pt x="147" y="349"/>
                </a:lnTo>
                <a:lnTo>
                  <a:pt x="176" y="326"/>
                </a:lnTo>
                <a:lnTo>
                  <a:pt x="246" y="319"/>
                </a:lnTo>
                <a:lnTo>
                  <a:pt x="281" y="334"/>
                </a:lnTo>
                <a:lnTo>
                  <a:pt x="281" y="349"/>
                </a:lnTo>
                <a:lnTo>
                  <a:pt x="288" y="349"/>
                </a:lnTo>
                <a:lnTo>
                  <a:pt x="303" y="388"/>
                </a:lnTo>
                <a:lnTo>
                  <a:pt x="331" y="334"/>
                </a:lnTo>
                <a:lnTo>
                  <a:pt x="331" y="358"/>
                </a:lnTo>
                <a:lnTo>
                  <a:pt x="323" y="388"/>
                </a:lnTo>
                <a:lnTo>
                  <a:pt x="331" y="388"/>
                </a:lnTo>
                <a:lnTo>
                  <a:pt x="331" y="364"/>
                </a:lnTo>
                <a:lnTo>
                  <a:pt x="338" y="388"/>
                </a:lnTo>
                <a:lnTo>
                  <a:pt x="331" y="396"/>
                </a:lnTo>
                <a:lnTo>
                  <a:pt x="346" y="396"/>
                </a:lnTo>
                <a:lnTo>
                  <a:pt x="353" y="410"/>
                </a:lnTo>
                <a:lnTo>
                  <a:pt x="353" y="425"/>
                </a:lnTo>
                <a:lnTo>
                  <a:pt x="380" y="440"/>
                </a:lnTo>
                <a:lnTo>
                  <a:pt x="395" y="440"/>
                </a:lnTo>
                <a:lnTo>
                  <a:pt x="408" y="447"/>
                </a:lnTo>
                <a:lnTo>
                  <a:pt x="424" y="433"/>
                </a:lnTo>
                <a:lnTo>
                  <a:pt x="424" y="440"/>
                </a:lnTo>
                <a:lnTo>
                  <a:pt x="432" y="440"/>
                </a:lnTo>
                <a:lnTo>
                  <a:pt x="432" y="447"/>
                </a:lnTo>
                <a:lnTo>
                  <a:pt x="454" y="455"/>
                </a:lnTo>
                <a:lnTo>
                  <a:pt x="465" y="433"/>
                </a:lnTo>
                <a:lnTo>
                  <a:pt x="496" y="433"/>
                </a:lnTo>
                <a:lnTo>
                  <a:pt x="502" y="396"/>
                </a:lnTo>
                <a:lnTo>
                  <a:pt x="537" y="312"/>
                </a:lnTo>
                <a:lnTo>
                  <a:pt x="544" y="275"/>
                </a:lnTo>
                <a:lnTo>
                  <a:pt x="537" y="230"/>
                </a:lnTo>
                <a:lnTo>
                  <a:pt x="519" y="200"/>
                </a:lnTo>
                <a:lnTo>
                  <a:pt x="511" y="193"/>
                </a:lnTo>
                <a:lnTo>
                  <a:pt x="496" y="163"/>
                </a:lnTo>
                <a:lnTo>
                  <a:pt x="496" y="180"/>
                </a:lnTo>
                <a:lnTo>
                  <a:pt x="439" y="87"/>
                </a:lnTo>
                <a:lnTo>
                  <a:pt x="432" y="82"/>
                </a:lnTo>
                <a:lnTo>
                  <a:pt x="432" y="67"/>
                </a:lnTo>
                <a:lnTo>
                  <a:pt x="424" y="59"/>
                </a:lnTo>
                <a:lnTo>
                  <a:pt x="408" y="59"/>
                </a:lnTo>
                <a:lnTo>
                  <a:pt x="395" y="0"/>
                </a:lnTo>
                <a:lnTo>
                  <a:pt x="390" y="0"/>
                </a:lnTo>
                <a:lnTo>
                  <a:pt x="380" y="22"/>
                </a:lnTo>
                <a:lnTo>
                  <a:pt x="373" y="104"/>
                </a:lnTo>
                <a:lnTo>
                  <a:pt x="353" y="104"/>
                </a:lnTo>
                <a:lnTo>
                  <a:pt x="323" y="74"/>
                </a:lnTo>
                <a:lnTo>
                  <a:pt x="311" y="74"/>
                </a:lnTo>
                <a:lnTo>
                  <a:pt x="311" y="67"/>
                </a:lnTo>
                <a:lnTo>
                  <a:pt x="296" y="67"/>
                </a:lnTo>
                <a:lnTo>
                  <a:pt x="303" y="37"/>
                </a:lnTo>
                <a:lnTo>
                  <a:pt x="311" y="37"/>
                </a:lnTo>
                <a:lnTo>
                  <a:pt x="323" y="22"/>
                </a:lnTo>
                <a:lnTo>
                  <a:pt x="311" y="22"/>
                </a:lnTo>
                <a:lnTo>
                  <a:pt x="303" y="28"/>
                </a:lnTo>
                <a:lnTo>
                  <a:pt x="303" y="22"/>
                </a:lnTo>
                <a:lnTo>
                  <a:pt x="296" y="22"/>
                </a:lnTo>
                <a:lnTo>
                  <a:pt x="253" y="5"/>
                </a:lnTo>
                <a:lnTo>
                  <a:pt x="259" y="22"/>
                </a:lnTo>
                <a:lnTo>
                  <a:pt x="239" y="22"/>
                </a:lnTo>
                <a:lnTo>
                  <a:pt x="226" y="28"/>
                </a:lnTo>
                <a:lnTo>
                  <a:pt x="226" y="37"/>
                </a:lnTo>
                <a:lnTo>
                  <a:pt x="217" y="37"/>
                </a:lnTo>
                <a:lnTo>
                  <a:pt x="217" y="67"/>
                </a:lnTo>
                <a:lnTo>
                  <a:pt x="206" y="59"/>
                </a:lnTo>
                <a:lnTo>
                  <a:pt x="206" y="67"/>
                </a:lnTo>
                <a:lnTo>
                  <a:pt x="206" y="59"/>
                </a:lnTo>
                <a:lnTo>
                  <a:pt x="196" y="43"/>
                </a:lnTo>
                <a:lnTo>
                  <a:pt x="189" y="43"/>
                </a:lnTo>
                <a:lnTo>
                  <a:pt x="169" y="59"/>
                </a:lnTo>
                <a:lnTo>
                  <a:pt x="162" y="59"/>
                </a:lnTo>
                <a:lnTo>
                  <a:pt x="154" y="82"/>
                </a:lnTo>
                <a:lnTo>
                  <a:pt x="132" y="82"/>
                </a:lnTo>
                <a:lnTo>
                  <a:pt x="147" y="87"/>
                </a:lnTo>
                <a:lnTo>
                  <a:pt x="132" y="104"/>
                </a:lnTo>
                <a:lnTo>
                  <a:pt x="132" y="82"/>
                </a:lnTo>
                <a:lnTo>
                  <a:pt x="119" y="104"/>
                </a:lnTo>
                <a:lnTo>
                  <a:pt x="125" y="112"/>
                </a:lnTo>
                <a:lnTo>
                  <a:pt x="104" y="127"/>
                </a:lnTo>
                <a:lnTo>
                  <a:pt x="40" y="151"/>
                </a:lnTo>
                <a:lnTo>
                  <a:pt x="20" y="180"/>
                </a:lnTo>
                <a:lnTo>
                  <a:pt x="5" y="163"/>
                </a:lnTo>
                <a:lnTo>
                  <a:pt x="5" y="193"/>
                </a:lnTo>
                <a:lnTo>
                  <a:pt x="0" y="193"/>
                </a:lnTo>
                <a:lnTo>
                  <a:pt x="20" y="237"/>
                </a:lnTo>
                <a:lnTo>
                  <a:pt x="5" y="223"/>
                </a:lnTo>
                <a:lnTo>
                  <a:pt x="5" y="237"/>
                </a:lnTo>
                <a:lnTo>
                  <a:pt x="0" y="230"/>
                </a:lnTo>
                <a:lnTo>
                  <a:pt x="25" y="280"/>
                </a:lnTo>
                <a:lnTo>
                  <a:pt x="33" y="349"/>
                </a:lnTo>
                <a:lnTo>
                  <a:pt x="25" y="358"/>
                </a:lnTo>
                <a:lnTo>
                  <a:pt x="25" y="364"/>
                </a:lnTo>
                <a:close/>
              </a:path>
            </a:pathLst>
          </a:custGeom>
          <a:solidFill>
            <a:srgbClr val="4B7D19"/>
          </a:solidFill>
          <a:ln w="9525">
            <a:solidFill>
              <a:srgbClr val="FFFFFF"/>
            </a:solidFill>
            <a:miter lim="800000"/>
            <a:headEnd/>
            <a:tailEnd/>
          </a:ln>
        </xdr:spPr>
        <xdr:txBody>
          <a:bodyPr vertOverflow="clip" wrap="square" lIns="36576" tIns="32004" rIns="0" bIns="0" anchor="t"/>
          <a:lstStyle/>
          <a:p>
            <a:pPr algn="l" rtl="0">
              <a:defRPr sz="1000"/>
            </a:pPr>
            <a:endParaRPr lang="en-US" sz="1600" b="0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 algn="l" rtl="0">
              <a:defRPr sz="1000"/>
            </a:pPr>
            <a:endParaRPr lang="en-US"/>
          </a:p>
        </xdr:txBody>
      </xdr:sp>
    </xdr:grpSp>
    <xdr:clientData/>
  </xdr:twoCellAnchor>
  <xdr:twoCellAnchor>
    <xdr:from>
      <xdr:col>14</xdr:col>
      <xdr:colOff>257175</xdr:colOff>
      <xdr:row>32</xdr:row>
      <xdr:rowOff>123825</xdr:rowOff>
    </xdr:from>
    <xdr:to>
      <xdr:col>14</xdr:col>
      <xdr:colOff>371475</xdr:colOff>
      <xdr:row>33</xdr:row>
      <xdr:rowOff>28575</xdr:rowOff>
    </xdr:to>
    <xdr:sp macro="" textlink="">
      <xdr:nvSpPr>
        <xdr:cNvPr id="25823" name="S_TMP"/>
        <xdr:cNvSpPr>
          <a:spLocks/>
        </xdr:cNvSpPr>
      </xdr:nvSpPr>
      <xdr:spPr bwMode="auto">
        <a:xfrm>
          <a:off x="8943975" y="5153025"/>
          <a:ext cx="114300" cy="66675"/>
        </a:xfrm>
        <a:custGeom>
          <a:avLst/>
          <a:gdLst>
            <a:gd name="T0" fmla="*/ 0 w 55"/>
            <a:gd name="T1" fmla="*/ 143405052 h 31"/>
            <a:gd name="T2" fmla="*/ 95014479 w 55"/>
            <a:gd name="T3" fmla="*/ 143405052 h 31"/>
            <a:gd name="T4" fmla="*/ 237536181 w 55"/>
            <a:gd name="T5" fmla="*/ 0 h 31"/>
            <a:gd name="T6" fmla="*/ 129564242 w 55"/>
            <a:gd name="T7" fmla="*/ 0 h 31"/>
            <a:gd name="T8" fmla="*/ 64783160 w 55"/>
            <a:gd name="T9" fmla="*/ 101771868 h 31"/>
            <a:gd name="T10" fmla="*/ 0 w 55"/>
            <a:gd name="T11" fmla="*/ 143405052 h 31"/>
            <a:gd name="T12" fmla="*/ 0 w 55"/>
            <a:gd name="T13" fmla="*/ 143405052 h 31"/>
            <a:gd name="T14" fmla="*/ 0 w 55"/>
            <a:gd name="T15" fmla="*/ 143405052 h 31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60000 65536"/>
            <a:gd name="T22" fmla="*/ 0 60000 65536"/>
            <a:gd name="T23" fmla="*/ 0 60000 65536"/>
            <a:gd name="T24" fmla="*/ 0 w 55"/>
            <a:gd name="T25" fmla="*/ 0 h 31"/>
            <a:gd name="T26" fmla="*/ 55 w 55"/>
            <a:gd name="T27" fmla="*/ 31 h 31"/>
          </a:gdLst>
          <a:ahLst/>
          <a:cxnLst>
            <a:cxn ang="T16">
              <a:pos x="T0" y="T1"/>
            </a:cxn>
            <a:cxn ang="T17">
              <a:pos x="T2" y="T3"/>
            </a:cxn>
            <a:cxn ang="T18">
              <a:pos x="T4" y="T5"/>
            </a:cxn>
            <a:cxn ang="T19">
              <a:pos x="T6" y="T7"/>
            </a:cxn>
            <a:cxn ang="T20">
              <a:pos x="T8" y="T9"/>
            </a:cxn>
            <a:cxn ang="T21">
              <a:pos x="T10" y="T11"/>
            </a:cxn>
            <a:cxn ang="T22">
              <a:pos x="T12" y="T13"/>
            </a:cxn>
            <a:cxn ang="T23">
              <a:pos x="T14" y="T15"/>
            </a:cxn>
          </a:cxnLst>
          <a:rect l="T24" t="T25" r="T26" b="T27"/>
          <a:pathLst>
            <a:path w="55" h="31">
              <a:moveTo>
                <a:pt x="0" y="31"/>
              </a:moveTo>
              <a:lnTo>
                <a:pt x="22" y="31"/>
              </a:lnTo>
              <a:lnTo>
                <a:pt x="55" y="0"/>
              </a:lnTo>
              <a:lnTo>
                <a:pt x="30" y="0"/>
              </a:lnTo>
              <a:lnTo>
                <a:pt x="15" y="22"/>
              </a:lnTo>
              <a:lnTo>
                <a:pt x="0" y="31"/>
              </a:lnTo>
              <a:close/>
            </a:path>
          </a:pathLst>
        </a:custGeom>
        <a:solidFill>
          <a:srgbClr val="F5F5F5"/>
        </a:solidFill>
        <a:ln w="9525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36576" tIns="32004" rIns="0" bIns="0" anchor="t"/>
        <a:lstStyle/>
        <a:p>
          <a:pPr algn="l" rtl="0">
            <a:defRPr sz="1000"/>
          </a:pPr>
          <a:endParaRPr lang="en-US" sz="16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en-US"/>
        </a:p>
      </xdr:txBody>
    </xdr:sp>
    <xdr:clientData/>
  </xdr:twoCellAnchor>
  <xdr:twoCellAnchor>
    <xdr:from>
      <xdr:col>13</xdr:col>
      <xdr:colOff>190500</xdr:colOff>
      <xdr:row>30</xdr:row>
      <xdr:rowOff>19050</xdr:rowOff>
    </xdr:from>
    <xdr:to>
      <xdr:col>15</xdr:col>
      <xdr:colOff>47625</xdr:colOff>
      <xdr:row>33</xdr:row>
      <xdr:rowOff>66675</xdr:rowOff>
    </xdr:to>
    <xdr:grpSp>
      <xdr:nvGrpSpPr>
        <xdr:cNvPr id="25824" name="S_IDN"/>
        <xdr:cNvGrpSpPr>
          <a:grpSpLocks/>
        </xdr:cNvGrpSpPr>
      </xdr:nvGrpSpPr>
      <xdr:grpSpPr bwMode="auto">
        <a:xfrm>
          <a:off x="8953500" y="5050491"/>
          <a:ext cx="1291478" cy="518272"/>
          <a:chOff x="869" y="508"/>
          <a:chExt cx="135" cy="56"/>
        </a:xfrm>
      </xdr:grpSpPr>
      <xdr:sp macro="" textlink="">
        <xdr:nvSpPr>
          <xdr:cNvPr id="25944" name="Freeform 119"/>
          <xdr:cNvSpPr>
            <a:spLocks/>
          </xdr:cNvSpPr>
        </xdr:nvSpPr>
        <xdr:spPr bwMode="auto">
          <a:xfrm>
            <a:off x="909" y="513"/>
            <a:ext cx="29" cy="27"/>
          </a:xfrm>
          <a:custGeom>
            <a:avLst/>
            <a:gdLst>
              <a:gd name="T0" fmla="*/ 0 w 134"/>
              <a:gd name="T1" fmla="*/ 0 h 123"/>
              <a:gd name="T2" fmla="*/ 0 w 134"/>
              <a:gd name="T3" fmla="*/ 0 h 123"/>
              <a:gd name="T4" fmla="*/ 0 w 134"/>
              <a:gd name="T5" fmla="*/ 0 h 123"/>
              <a:gd name="T6" fmla="*/ 0 w 134"/>
              <a:gd name="T7" fmla="*/ 0 h 123"/>
              <a:gd name="T8" fmla="*/ 1 w 134"/>
              <a:gd name="T9" fmla="*/ 0 h 123"/>
              <a:gd name="T10" fmla="*/ 1 w 134"/>
              <a:gd name="T11" fmla="*/ 0 h 123"/>
              <a:gd name="T12" fmla="*/ 1 w 134"/>
              <a:gd name="T13" fmla="*/ 0 h 123"/>
              <a:gd name="T14" fmla="*/ 1 w 134"/>
              <a:gd name="T15" fmla="*/ 0 h 123"/>
              <a:gd name="T16" fmla="*/ 1 w 134"/>
              <a:gd name="T17" fmla="*/ 0 h 123"/>
              <a:gd name="T18" fmla="*/ 1 w 134"/>
              <a:gd name="T19" fmla="*/ 0 h 123"/>
              <a:gd name="T20" fmla="*/ 1 w 134"/>
              <a:gd name="T21" fmla="*/ 0 h 123"/>
              <a:gd name="T22" fmla="*/ 1 w 134"/>
              <a:gd name="T23" fmla="*/ 0 h 123"/>
              <a:gd name="T24" fmla="*/ 1 w 134"/>
              <a:gd name="T25" fmla="*/ 1 h 123"/>
              <a:gd name="T26" fmla="*/ 1 w 134"/>
              <a:gd name="T27" fmla="*/ 1 h 123"/>
              <a:gd name="T28" fmla="*/ 1 w 134"/>
              <a:gd name="T29" fmla="*/ 1 h 123"/>
              <a:gd name="T30" fmla="*/ 1 w 134"/>
              <a:gd name="T31" fmla="*/ 1 h 123"/>
              <a:gd name="T32" fmla="*/ 1 w 134"/>
              <a:gd name="T33" fmla="*/ 1 h 123"/>
              <a:gd name="T34" fmla="*/ 1 w 134"/>
              <a:gd name="T35" fmla="*/ 1 h 123"/>
              <a:gd name="T36" fmla="*/ 0 w 134"/>
              <a:gd name="T37" fmla="*/ 1 h 123"/>
              <a:gd name="T38" fmla="*/ 0 w 134"/>
              <a:gd name="T39" fmla="*/ 1 h 123"/>
              <a:gd name="T40" fmla="*/ 0 w 134"/>
              <a:gd name="T41" fmla="*/ 1 h 123"/>
              <a:gd name="T42" fmla="*/ 0 w 134"/>
              <a:gd name="T43" fmla="*/ 0 h 123"/>
              <a:gd name="T44" fmla="*/ 0 w 134"/>
              <a:gd name="T45" fmla="*/ 0 h 123"/>
              <a:gd name="T46" fmla="*/ 0 w 134"/>
              <a:gd name="T47" fmla="*/ 0 h 123"/>
              <a:gd name="T48" fmla="*/ 0 w 134"/>
              <a:gd name="T49" fmla="*/ 0 h 123"/>
              <a:gd name="T50" fmla="*/ 0 60000 65536"/>
              <a:gd name="T51" fmla="*/ 0 60000 65536"/>
              <a:gd name="T52" fmla="*/ 0 60000 65536"/>
              <a:gd name="T53" fmla="*/ 0 60000 65536"/>
              <a:gd name="T54" fmla="*/ 0 60000 65536"/>
              <a:gd name="T55" fmla="*/ 0 60000 65536"/>
              <a:gd name="T56" fmla="*/ 0 60000 65536"/>
              <a:gd name="T57" fmla="*/ 0 60000 65536"/>
              <a:gd name="T58" fmla="*/ 0 60000 65536"/>
              <a:gd name="T59" fmla="*/ 0 60000 65536"/>
              <a:gd name="T60" fmla="*/ 0 60000 65536"/>
              <a:gd name="T61" fmla="*/ 0 60000 65536"/>
              <a:gd name="T62" fmla="*/ 0 60000 65536"/>
              <a:gd name="T63" fmla="*/ 0 60000 65536"/>
              <a:gd name="T64" fmla="*/ 0 60000 65536"/>
              <a:gd name="T65" fmla="*/ 0 60000 65536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w 134"/>
              <a:gd name="T76" fmla="*/ 0 h 123"/>
              <a:gd name="T77" fmla="*/ 134 w 134"/>
              <a:gd name="T78" fmla="*/ 123 h 123"/>
            </a:gdLst>
            <a:ahLst/>
            <a:cxnLst>
              <a:cxn ang="T50">
                <a:pos x="T0" y="T1"/>
              </a:cxn>
              <a:cxn ang="T51">
                <a:pos x="T2" y="T3"/>
              </a:cxn>
              <a:cxn ang="T52">
                <a:pos x="T4" y="T5"/>
              </a:cxn>
              <a:cxn ang="T53">
                <a:pos x="T6" y="T7"/>
              </a:cxn>
              <a:cxn ang="T54">
                <a:pos x="T8" y="T9"/>
              </a:cxn>
              <a:cxn ang="T55">
                <a:pos x="T10" y="T11"/>
              </a:cxn>
              <a:cxn ang="T56">
                <a:pos x="T12" y="T13"/>
              </a:cxn>
              <a:cxn ang="T57">
                <a:pos x="T14" y="T15"/>
              </a:cxn>
              <a:cxn ang="T58">
                <a:pos x="T16" y="T17"/>
              </a:cxn>
              <a:cxn ang="T59">
                <a:pos x="T18" y="T19"/>
              </a:cxn>
              <a:cxn ang="T60">
                <a:pos x="T20" y="T21"/>
              </a:cxn>
              <a:cxn ang="T61">
                <a:pos x="T22" y="T23"/>
              </a:cxn>
              <a:cxn ang="T62">
                <a:pos x="T24" y="T25"/>
              </a:cxn>
              <a:cxn ang="T63">
                <a:pos x="T26" y="T27"/>
              </a:cxn>
              <a:cxn ang="T64">
                <a:pos x="T28" y="T29"/>
              </a:cxn>
              <a:cxn ang="T65">
                <a:pos x="T30" y="T31"/>
              </a:cxn>
              <a:cxn ang="T66">
                <a:pos x="T32" y="T33"/>
              </a:cxn>
              <a:cxn ang="T67">
                <a:pos x="T34" y="T35"/>
              </a:cxn>
              <a:cxn ang="T68">
                <a:pos x="T36" y="T37"/>
              </a:cxn>
              <a:cxn ang="T69">
                <a:pos x="T38" y="T39"/>
              </a:cxn>
              <a:cxn ang="T70">
                <a:pos x="T40" y="T41"/>
              </a:cxn>
              <a:cxn ang="T71">
                <a:pos x="T42" y="T43"/>
              </a:cxn>
              <a:cxn ang="T72">
                <a:pos x="T44" y="T45"/>
              </a:cxn>
              <a:cxn ang="T73">
                <a:pos x="T46" y="T47"/>
              </a:cxn>
              <a:cxn ang="T74">
                <a:pos x="T48" y="T49"/>
              </a:cxn>
            </a:cxnLst>
            <a:rect l="T75" t="T76" r="T77" b="T78"/>
            <a:pathLst>
              <a:path w="134" h="123">
                <a:moveTo>
                  <a:pt x="9" y="39"/>
                </a:moveTo>
                <a:lnTo>
                  <a:pt x="20" y="47"/>
                </a:lnTo>
                <a:lnTo>
                  <a:pt x="42" y="47"/>
                </a:lnTo>
                <a:lnTo>
                  <a:pt x="51" y="39"/>
                </a:lnTo>
                <a:lnTo>
                  <a:pt x="64" y="47"/>
                </a:lnTo>
                <a:lnTo>
                  <a:pt x="77" y="39"/>
                </a:lnTo>
                <a:lnTo>
                  <a:pt x="99" y="0"/>
                </a:lnTo>
                <a:lnTo>
                  <a:pt x="126" y="0"/>
                </a:lnTo>
                <a:lnTo>
                  <a:pt x="121" y="17"/>
                </a:lnTo>
                <a:lnTo>
                  <a:pt x="126" y="32"/>
                </a:lnTo>
                <a:lnTo>
                  <a:pt x="121" y="39"/>
                </a:lnTo>
                <a:lnTo>
                  <a:pt x="134" y="47"/>
                </a:lnTo>
                <a:lnTo>
                  <a:pt x="104" y="77"/>
                </a:lnTo>
                <a:lnTo>
                  <a:pt x="99" y="94"/>
                </a:lnTo>
                <a:lnTo>
                  <a:pt x="104" y="94"/>
                </a:lnTo>
                <a:lnTo>
                  <a:pt x="99" y="108"/>
                </a:lnTo>
                <a:lnTo>
                  <a:pt x="84" y="123"/>
                </a:lnTo>
                <a:lnTo>
                  <a:pt x="77" y="108"/>
                </a:lnTo>
                <a:lnTo>
                  <a:pt x="42" y="108"/>
                </a:lnTo>
                <a:lnTo>
                  <a:pt x="42" y="101"/>
                </a:lnTo>
                <a:lnTo>
                  <a:pt x="20" y="101"/>
                </a:lnTo>
                <a:lnTo>
                  <a:pt x="0" y="47"/>
                </a:lnTo>
                <a:lnTo>
                  <a:pt x="9" y="39"/>
                </a:lnTo>
                <a:close/>
              </a:path>
            </a:pathLst>
          </a:custGeom>
          <a:solidFill>
            <a:srgbClr val="F5F5C8"/>
          </a:solidFill>
          <a:ln w="9525">
            <a:solidFill>
              <a:srgbClr val="FFFFFF"/>
            </a:solidFill>
            <a:miter lim="800000"/>
            <a:headEnd/>
            <a:tailEnd/>
          </a:ln>
        </xdr:spPr>
        <xdr:txBody>
          <a:bodyPr vertOverflow="clip" wrap="square" lIns="36576" tIns="32004" rIns="0" bIns="0" anchor="t"/>
          <a:lstStyle/>
          <a:p>
            <a:pPr algn="l" rtl="0">
              <a:defRPr sz="1000"/>
            </a:pPr>
            <a:endParaRPr lang="en-US" sz="1600" b="0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 algn="l" rtl="0">
              <a:defRPr sz="1000"/>
            </a:pPr>
            <a:endParaRPr lang="en-US"/>
          </a:p>
        </xdr:txBody>
      </xdr:sp>
      <xdr:sp macro="" textlink="">
        <xdr:nvSpPr>
          <xdr:cNvPr id="25945" name="Freeform 120"/>
          <xdr:cNvSpPr>
            <a:spLocks/>
          </xdr:cNvSpPr>
        </xdr:nvSpPr>
        <xdr:spPr bwMode="auto">
          <a:xfrm>
            <a:off x="974" y="527"/>
            <a:ext cx="30" cy="27"/>
          </a:xfrm>
          <a:custGeom>
            <a:avLst/>
            <a:gdLst>
              <a:gd name="T0" fmla="*/ 2 w 136"/>
              <a:gd name="T1" fmla="*/ 0 h 126"/>
              <a:gd name="T2" fmla="*/ 2 w 136"/>
              <a:gd name="T3" fmla="*/ 1 h 126"/>
              <a:gd name="T4" fmla="*/ 1 w 136"/>
              <a:gd name="T5" fmla="*/ 1 h 126"/>
              <a:gd name="T6" fmla="*/ 1 w 136"/>
              <a:gd name="T7" fmla="*/ 1 h 126"/>
              <a:gd name="T8" fmla="*/ 1 w 136"/>
              <a:gd name="T9" fmla="*/ 1 h 126"/>
              <a:gd name="T10" fmla="*/ 1 w 136"/>
              <a:gd name="T11" fmla="*/ 1 h 126"/>
              <a:gd name="T12" fmla="*/ 0 w 136"/>
              <a:gd name="T13" fmla="*/ 0 h 126"/>
              <a:gd name="T14" fmla="*/ 0 w 136"/>
              <a:gd name="T15" fmla="*/ 1 h 126"/>
              <a:gd name="T16" fmla="*/ 0 w 136"/>
              <a:gd name="T17" fmla="*/ 0 h 126"/>
              <a:gd name="T18" fmla="*/ 0 w 136"/>
              <a:gd name="T19" fmla="*/ 0 h 126"/>
              <a:gd name="T20" fmla="*/ 0 w 136"/>
              <a:gd name="T21" fmla="*/ 0 h 126"/>
              <a:gd name="T22" fmla="*/ 0 w 136"/>
              <a:gd name="T23" fmla="*/ 0 h 126"/>
              <a:gd name="T24" fmla="*/ 0 w 136"/>
              <a:gd name="T25" fmla="*/ 0 h 126"/>
              <a:gd name="T26" fmla="*/ 0 w 136"/>
              <a:gd name="T27" fmla="*/ 0 h 126"/>
              <a:gd name="T28" fmla="*/ 0 w 136"/>
              <a:gd name="T29" fmla="*/ 0 h 126"/>
              <a:gd name="T30" fmla="*/ 0 w 136"/>
              <a:gd name="T31" fmla="*/ 0 h 126"/>
              <a:gd name="T32" fmla="*/ 0 w 136"/>
              <a:gd name="T33" fmla="*/ 0 h 126"/>
              <a:gd name="T34" fmla="*/ 0 w 136"/>
              <a:gd name="T35" fmla="*/ 0 h 126"/>
              <a:gd name="T36" fmla="*/ 0 w 136"/>
              <a:gd name="T37" fmla="*/ 0 h 126"/>
              <a:gd name="T38" fmla="*/ 1 w 136"/>
              <a:gd name="T39" fmla="*/ 0 h 126"/>
              <a:gd name="T40" fmla="*/ 1 w 136"/>
              <a:gd name="T41" fmla="*/ 0 h 126"/>
              <a:gd name="T42" fmla="*/ 1 w 136"/>
              <a:gd name="T43" fmla="*/ 0 h 126"/>
              <a:gd name="T44" fmla="*/ 2 w 136"/>
              <a:gd name="T45" fmla="*/ 0 h 126"/>
              <a:gd name="T46" fmla="*/ 2 w 136"/>
              <a:gd name="T47" fmla="*/ 0 h 126"/>
              <a:gd name="T48" fmla="*/ 2 w 136"/>
              <a:gd name="T49" fmla="*/ 0 h 126"/>
              <a:gd name="T50" fmla="*/ 0 60000 65536"/>
              <a:gd name="T51" fmla="*/ 0 60000 65536"/>
              <a:gd name="T52" fmla="*/ 0 60000 65536"/>
              <a:gd name="T53" fmla="*/ 0 60000 65536"/>
              <a:gd name="T54" fmla="*/ 0 60000 65536"/>
              <a:gd name="T55" fmla="*/ 0 60000 65536"/>
              <a:gd name="T56" fmla="*/ 0 60000 65536"/>
              <a:gd name="T57" fmla="*/ 0 60000 65536"/>
              <a:gd name="T58" fmla="*/ 0 60000 65536"/>
              <a:gd name="T59" fmla="*/ 0 60000 65536"/>
              <a:gd name="T60" fmla="*/ 0 60000 65536"/>
              <a:gd name="T61" fmla="*/ 0 60000 65536"/>
              <a:gd name="T62" fmla="*/ 0 60000 65536"/>
              <a:gd name="T63" fmla="*/ 0 60000 65536"/>
              <a:gd name="T64" fmla="*/ 0 60000 65536"/>
              <a:gd name="T65" fmla="*/ 0 60000 65536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w 136"/>
              <a:gd name="T76" fmla="*/ 0 h 126"/>
              <a:gd name="T77" fmla="*/ 136 w 136"/>
              <a:gd name="T78" fmla="*/ 126 h 126"/>
            </a:gdLst>
            <a:ahLst/>
            <a:cxnLst>
              <a:cxn ang="T50">
                <a:pos x="T0" y="T1"/>
              </a:cxn>
              <a:cxn ang="T51">
                <a:pos x="T2" y="T3"/>
              </a:cxn>
              <a:cxn ang="T52">
                <a:pos x="T4" y="T5"/>
              </a:cxn>
              <a:cxn ang="T53">
                <a:pos x="T6" y="T7"/>
              </a:cxn>
              <a:cxn ang="T54">
                <a:pos x="T8" y="T9"/>
              </a:cxn>
              <a:cxn ang="T55">
                <a:pos x="T10" y="T11"/>
              </a:cxn>
              <a:cxn ang="T56">
                <a:pos x="T12" y="T13"/>
              </a:cxn>
              <a:cxn ang="T57">
                <a:pos x="T14" y="T15"/>
              </a:cxn>
              <a:cxn ang="T58">
                <a:pos x="T16" y="T17"/>
              </a:cxn>
              <a:cxn ang="T59">
                <a:pos x="T18" y="T19"/>
              </a:cxn>
              <a:cxn ang="T60">
                <a:pos x="T20" y="T21"/>
              </a:cxn>
              <a:cxn ang="T61">
                <a:pos x="T22" y="T23"/>
              </a:cxn>
              <a:cxn ang="T62">
                <a:pos x="T24" y="T25"/>
              </a:cxn>
              <a:cxn ang="T63">
                <a:pos x="T26" y="T27"/>
              </a:cxn>
              <a:cxn ang="T64">
                <a:pos x="T28" y="T29"/>
              </a:cxn>
              <a:cxn ang="T65">
                <a:pos x="T30" y="T31"/>
              </a:cxn>
              <a:cxn ang="T66">
                <a:pos x="T32" y="T33"/>
              </a:cxn>
              <a:cxn ang="T67">
                <a:pos x="T34" y="T35"/>
              </a:cxn>
              <a:cxn ang="T68">
                <a:pos x="T36" y="T37"/>
              </a:cxn>
              <a:cxn ang="T69">
                <a:pos x="T38" y="T39"/>
              </a:cxn>
              <a:cxn ang="T70">
                <a:pos x="T40" y="T41"/>
              </a:cxn>
              <a:cxn ang="T71">
                <a:pos x="T42" y="T43"/>
              </a:cxn>
              <a:cxn ang="T72">
                <a:pos x="T44" y="T45"/>
              </a:cxn>
              <a:cxn ang="T73">
                <a:pos x="T46" y="T47"/>
              </a:cxn>
              <a:cxn ang="T74">
                <a:pos x="T48" y="T49"/>
              </a:cxn>
            </a:cxnLst>
            <a:rect l="T75" t="T76" r="T77" b="T78"/>
            <a:pathLst>
              <a:path w="136" h="126">
                <a:moveTo>
                  <a:pt x="136" y="37"/>
                </a:moveTo>
                <a:lnTo>
                  <a:pt x="136" y="126"/>
                </a:lnTo>
                <a:lnTo>
                  <a:pt x="112" y="111"/>
                </a:lnTo>
                <a:lnTo>
                  <a:pt x="94" y="120"/>
                </a:lnTo>
                <a:lnTo>
                  <a:pt x="99" y="105"/>
                </a:lnTo>
                <a:lnTo>
                  <a:pt x="94" y="81"/>
                </a:lnTo>
                <a:lnTo>
                  <a:pt x="28" y="44"/>
                </a:lnTo>
                <a:lnTo>
                  <a:pt x="22" y="59"/>
                </a:lnTo>
                <a:lnTo>
                  <a:pt x="22" y="44"/>
                </a:lnTo>
                <a:lnTo>
                  <a:pt x="13" y="37"/>
                </a:lnTo>
                <a:lnTo>
                  <a:pt x="28" y="37"/>
                </a:lnTo>
                <a:lnTo>
                  <a:pt x="42" y="29"/>
                </a:lnTo>
                <a:lnTo>
                  <a:pt x="13" y="29"/>
                </a:lnTo>
                <a:lnTo>
                  <a:pt x="7" y="20"/>
                </a:lnTo>
                <a:lnTo>
                  <a:pt x="0" y="20"/>
                </a:lnTo>
                <a:lnTo>
                  <a:pt x="13" y="0"/>
                </a:lnTo>
                <a:lnTo>
                  <a:pt x="22" y="0"/>
                </a:lnTo>
                <a:lnTo>
                  <a:pt x="42" y="12"/>
                </a:lnTo>
                <a:lnTo>
                  <a:pt x="42" y="29"/>
                </a:lnTo>
                <a:lnTo>
                  <a:pt x="58" y="44"/>
                </a:lnTo>
                <a:lnTo>
                  <a:pt x="72" y="29"/>
                </a:lnTo>
                <a:lnTo>
                  <a:pt x="94" y="20"/>
                </a:lnTo>
                <a:lnTo>
                  <a:pt x="136" y="37"/>
                </a:lnTo>
                <a:close/>
              </a:path>
            </a:pathLst>
          </a:custGeom>
          <a:solidFill>
            <a:srgbClr val="F5F5C8"/>
          </a:solidFill>
          <a:ln w="9525">
            <a:solidFill>
              <a:srgbClr val="FFFFFF"/>
            </a:solidFill>
            <a:miter lim="800000"/>
            <a:headEnd/>
            <a:tailEnd/>
          </a:ln>
        </xdr:spPr>
        <xdr:txBody>
          <a:bodyPr vertOverflow="clip" wrap="square" lIns="36576" tIns="32004" rIns="0" bIns="0" anchor="t"/>
          <a:lstStyle/>
          <a:p>
            <a:pPr algn="l" rtl="0">
              <a:defRPr sz="1000"/>
            </a:pPr>
            <a:endParaRPr lang="en-US" sz="1600" b="0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 algn="l" rtl="0">
              <a:defRPr sz="1000"/>
            </a:pPr>
            <a:endParaRPr lang="en-US"/>
          </a:p>
        </xdr:txBody>
      </xdr:sp>
      <xdr:sp macro="" textlink="">
        <xdr:nvSpPr>
          <xdr:cNvPr id="25946" name="Freeform 122"/>
          <xdr:cNvSpPr>
            <a:spLocks/>
          </xdr:cNvSpPr>
        </xdr:nvSpPr>
        <xdr:spPr bwMode="auto">
          <a:xfrm>
            <a:off x="874" y="521"/>
            <a:ext cx="6" cy="6"/>
          </a:xfrm>
          <a:custGeom>
            <a:avLst/>
            <a:gdLst>
              <a:gd name="T0" fmla="*/ 0 w 23"/>
              <a:gd name="T1" fmla="*/ 0 h 27"/>
              <a:gd name="T2" fmla="*/ 1 w 23"/>
              <a:gd name="T3" fmla="*/ 0 h 27"/>
              <a:gd name="T4" fmla="*/ 0 w 23"/>
              <a:gd name="T5" fmla="*/ 0 h 27"/>
              <a:gd name="T6" fmla="*/ 0 w 23"/>
              <a:gd name="T7" fmla="*/ 0 h 27"/>
              <a:gd name="T8" fmla="*/ 0 w 23"/>
              <a:gd name="T9" fmla="*/ 0 h 27"/>
              <a:gd name="T10" fmla="*/ 0 w 23"/>
              <a:gd name="T11" fmla="*/ 0 h 27"/>
              <a:gd name="T12" fmla="*/ 0 60000 65536"/>
              <a:gd name="T13" fmla="*/ 0 60000 65536"/>
              <a:gd name="T14" fmla="*/ 0 60000 65536"/>
              <a:gd name="T15" fmla="*/ 0 60000 65536"/>
              <a:gd name="T16" fmla="*/ 0 60000 65536"/>
              <a:gd name="T17" fmla="*/ 0 60000 65536"/>
              <a:gd name="T18" fmla="*/ 0 w 23"/>
              <a:gd name="T19" fmla="*/ 0 h 27"/>
              <a:gd name="T20" fmla="*/ 23 w 23"/>
              <a:gd name="T21" fmla="*/ 27 h 27"/>
            </a:gdLst>
            <a:ahLst/>
            <a:cxnLst>
              <a:cxn ang="T12">
                <a:pos x="T0" y="T1"/>
              </a:cxn>
              <a:cxn ang="T13">
                <a:pos x="T2" y="T3"/>
              </a:cxn>
              <a:cxn ang="T14">
                <a:pos x="T4" y="T5"/>
              </a:cxn>
              <a:cxn ang="T15">
                <a:pos x="T6" y="T7"/>
              </a:cxn>
              <a:cxn ang="T16">
                <a:pos x="T8" y="T9"/>
              </a:cxn>
              <a:cxn ang="T17">
                <a:pos x="T10" y="T11"/>
              </a:cxn>
            </a:cxnLst>
            <a:rect l="T18" t="T19" r="T20" b="T21"/>
            <a:pathLst>
              <a:path w="23" h="27">
                <a:moveTo>
                  <a:pt x="0" y="15"/>
                </a:moveTo>
                <a:lnTo>
                  <a:pt x="23" y="27"/>
                </a:lnTo>
                <a:lnTo>
                  <a:pt x="0" y="0"/>
                </a:lnTo>
                <a:lnTo>
                  <a:pt x="0" y="15"/>
                </a:lnTo>
                <a:close/>
              </a:path>
            </a:pathLst>
          </a:custGeom>
          <a:solidFill>
            <a:srgbClr val="F5F5C8"/>
          </a:solidFill>
          <a:ln w="9525">
            <a:solidFill>
              <a:srgbClr val="FFFFFF"/>
            </a:solidFill>
            <a:miter lim="800000"/>
            <a:headEnd/>
            <a:tailEnd/>
          </a:ln>
        </xdr:spPr>
        <xdr:txBody>
          <a:bodyPr vertOverflow="clip" wrap="square" lIns="36576" tIns="32004" rIns="0" bIns="0" anchor="t"/>
          <a:lstStyle/>
          <a:p>
            <a:pPr algn="l" rtl="0">
              <a:defRPr sz="1000"/>
            </a:pPr>
            <a:endParaRPr lang="en-US" sz="1600" b="0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 algn="l" rtl="0">
              <a:defRPr sz="1000"/>
            </a:pPr>
            <a:endParaRPr lang="en-US"/>
          </a:p>
        </xdr:txBody>
      </xdr:sp>
      <xdr:sp macro="" textlink="">
        <xdr:nvSpPr>
          <xdr:cNvPr id="25947" name="Freeform 123"/>
          <xdr:cNvSpPr>
            <a:spLocks/>
          </xdr:cNvSpPr>
        </xdr:nvSpPr>
        <xdr:spPr bwMode="auto">
          <a:xfrm>
            <a:off x="879" y="530"/>
            <a:ext cx="6" cy="6"/>
          </a:xfrm>
          <a:custGeom>
            <a:avLst/>
            <a:gdLst>
              <a:gd name="T0" fmla="*/ 0 w 24"/>
              <a:gd name="T1" fmla="*/ 0 h 26"/>
              <a:gd name="T2" fmla="*/ 1 w 24"/>
              <a:gd name="T3" fmla="*/ 0 h 26"/>
              <a:gd name="T4" fmla="*/ 1 w 24"/>
              <a:gd name="T5" fmla="*/ 0 h 26"/>
              <a:gd name="T6" fmla="*/ 0 w 24"/>
              <a:gd name="T7" fmla="*/ 0 h 26"/>
              <a:gd name="T8" fmla="*/ 0 w 24"/>
              <a:gd name="T9" fmla="*/ 0 h 26"/>
              <a:gd name="T10" fmla="*/ 0 w 24"/>
              <a:gd name="T11" fmla="*/ 0 h 26"/>
              <a:gd name="T12" fmla="*/ 0 60000 65536"/>
              <a:gd name="T13" fmla="*/ 0 60000 65536"/>
              <a:gd name="T14" fmla="*/ 0 60000 65536"/>
              <a:gd name="T15" fmla="*/ 0 60000 65536"/>
              <a:gd name="T16" fmla="*/ 0 60000 65536"/>
              <a:gd name="T17" fmla="*/ 0 60000 65536"/>
              <a:gd name="T18" fmla="*/ 0 w 24"/>
              <a:gd name="T19" fmla="*/ 0 h 26"/>
              <a:gd name="T20" fmla="*/ 24 w 24"/>
              <a:gd name="T21" fmla="*/ 26 h 26"/>
            </a:gdLst>
            <a:ahLst/>
            <a:cxnLst>
              <a:cxn ang="T12">
                <a:pos x="T0" y="T1"/>
              </a:cxn>
              <a:cxn ang="T13">
                <a:pos x="T2" y="T3"/>
              </a:cxn>
              <a:cxn ang="T14">
                <a:pos x="T4" y="T5"/>
              </a:cxn>
              <a:cxn ang="T15">
                <a:pos x="T6" y="T7"/>
              </a:cxn>
              <a:cxn ang="T16">
                <a:pos x="T8" y="T9"/>
              </a:cxn>
              <a:cxn ang="T17">
                <a:pos x="T10" y="T11"/>
              </a:cxn>
            </a:cxnLst>
            <a:rect l="T18" t="T19" r="T20" b="T21"/>
            <a:pathLst>
              <a:path w="24" h="26">
                <a:moveTo>
                  <a:pt x="0" y="0"/>
                </a:moveTo>
                <a:lnTo>
                  <a:pt x="24" y="26"/>
                </a:lnTo>
                <a:lnTo>
                  <a:pt x="24" y="0"/>
                </a:lnTo>
                <a:lnTo>
                  <a:pt x="0" y="0"/>
                </a:lnTo>
                <a:close/>
              </a:path>
            </a:pathLst>
          </a:custGeom>
          <a:solidFill>
            <a:srgbClr val="F5F5C8"/>
          </a:solidFill>
          <a:ln w="9525">
            <a:solidFill>
              <a:srgbClr val="FFFFFF"/>
            </a:solidFill>
            <a:miter lim="800000"/>
            <a:headEnd/>
            <a:tailEnd/>
          </a:ln>
        </xdr:spPr>
        <xdr:txBody>
          <a:bodyPr vertOverflow="clip" wrap="square" lIns="36576" tIns="32004" rIns="0" bIns="0" anchor="t"/>
          <a:lstStyle/>
          <a:p>
            <a:pPr algn="l" rtl="0">
              <a:defRPr sz="1000"/>
            </a:pPr>
            <a:endParaRPr lang="en-US" sz="1600" b="0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 algn="l" rtl="0">
              <a:defRPr sz="1000"/>
            </a:pPr>
            <a:endParaRPr lang="en-US"/>
          </a:p>
        </xdr:txBody>
      </xdr:sp>
      <xdr:sp macro="" textlink="">
        <xdr:nvSpPr>
          <xdr:cNvPr id="25948" name="Freeform 126"/>
          <xdr:cNvSpPr>
            <a:spLocks/>
          </xdr:cNvSpPr>
        </xdr:nvSpPr>
        <xdr:spPr bwMode="auto">
          <a:xfrm>
            <a:off x="869" y="508"/>
            <a:ext cx="31" cy="37"/>
          </a:xfrm>
          <a:custGeom>
            <a:avLst/>
            <a:gdLst>
              <a:gd name="T0" fmla="*/ 0 w 145"/>
              <a:gd name="T1" fmla="*/ 0 h 167"/>
              <a:gd name="T2" fmla="*/ 0 w 145"/>
              <a:gd name="T3" fmla="*/ 0 h 167"/>
              <a:gd name="T4" fmla="*/ 0 w 145"/>
              <a:gd name="T5" fmla="*/ 1 h 167"/>
              <a:gd name="T6" fmla="*/ 0 w 145"/>
              <a:gd name="T7" fmla="*/ 1 h 167"/>
              <a:gd name="T8" fmla="*/ 1 w 145"/>
              <a:gd name="T9" fmla="*/ 2 h 167"/>
              <a:gd name="T10" fmla="*/ 1 w 145"/>
              <a:gd name="T11" fmla="*/ 2 h 167"/>
              <a:gd name="T12" fmla="*/ 1 w 145"/>
              <a:gd name="T13" fmla="*/ 1 h 167"/>
              <a:gd name="T14" fmla="*/ 1 w 145"/>
              <a:gd name="T15" fmla="*/ 1 h 167"/>
              <a:gd name="T16" fmla="*/ 1 w 145"/>
              <a:gd name="T17" fmla="*/ 1 h 167"/>
              <a:gd name="T18" fmla="*/ 1 w 145"/>
              <a:gd name="T19" fmla="*/ 1 h 167"/>
              <a:gd name="T20" fmla="*/ 1 w 145"/>
              <a:gd name="T21" fmla="*/ 1 h 167"/>
              <a:gd name="T22" fmla="*/ 1 w 145"/>
              <a:gd name="T23" fmla="*/ 1 h 167"/>
              <a:gd name="T24" fmla="*/ 1 w 145"/>
              <a:gd name="T25" fmla="*/ 1 h 167"/>
              <a:gd name="T26" fmla="*/ 1 w 145"/>
              <a:gd name="T27" fmla="*/ 1 h 167"/>
              <a:gd name="T28" fmla="*/ 1 w 145"/>
              <a:gd name="T29" fmla="*/ 1 h 167"/>
              <a:gd name="T30" fmla="*/ 1 w 145"/>
              <a:gd name="T31" fmla="*/ 1 h 167"/>
              <a:gd name="T32" fmla="*/ 0 w 145"/>
              <a:gd name="T33" fmla="*/ 0 h 167"/>
              <a:gd name="T34" fmla="*/ 0 w 145"/>
              <a:gd name="T35" fmla="*/ 0 h 167"/>
              <a:gd name="T36" fmla="*/ 0 w 145"/>
              <a:gd name="T37" fmla="*/ 0 h 167"/>
              <a:gd name="T38" fmla="*/ 0 w 145"/>
              <a:gd name="T39" fmla="*/ 0 h 167"/>
              <a:gd name="T40" fmla="*/ 0 60000 65536"/>
              <a:gd name="T41" fmla="*/ 0 60000 65536"/>
              <a:gd name="T42" fmla="*/ 0 60000 65536"/>
              <a:gd name="T43" fmla="*/ 0 60000 65536"/>
              <a:gd name="T44" fmla="*/ 0 60000 65536"/>
              <a:gd name="T45" fmla="*/ 0 60000 65536"/>
              <a:gd name="T46" fmla="*/ 0 60000 65536"/>
              <a:gd name="T47" fmla="*/ 0 60000 65536"/>
              <a:gd name="T48" fmla="*/ 0 60000 65536"/>
              <a:gd name="T49" fmla="*/ 0 60000 65536"/>
              <a:gd name="T50" fmla="*/ 0 60000 65536"/>
              <a:gd name="T51" fmla="*/ 0 60000 65536"/>
              <a:gd name="T52" fmla="*/ 0 60000 65536"/>
              <a:gd name="T53" fmla="*/ 0 60000 65536"/>
              <a:gd name="T54" fmla="*/ 0 60000 65536"/>
              <a:gd name="T55" fmla="*/ 0 60000 65536"/>
              <a:gd name="T56" fmla="*/ 0 60000 65536"/>
              <a:gd name="T57" fmla="*/ 0 60000 65536"/>
              <a:gd name="T58" fmla="*/ 0 60000 65536"/>
              <a:gd name="T59" fmla="*/ 0 60000 65536"/>
              <a:gd name="T60" fmla="*/ 0 w 145"/>
              <a:gd name="T61" fmla="*/ 0 h 167"/>
              <a:gd name="T62" fmla="*/ 145 w 145"/>
              <a:gd name="T63" fmla="*/ 167 h 167"/>
            </a:gdLst>
            <a:ahLst/>
            <a:cxnLst>
              <a:cxn ang="T40">
                <a:pos x="T0" y="T1"/>
              </a:cxn>
              <a:cxn ang="T41">
                <a:pos x="T2" y="T3"/>
              </a:cxn>
              <a:cxn ang="T42">
                <a:pos x="T4" y="T5"/>
              </a:cxn>
              <a:cxn ang="T43">
                <a:pos x="T6" y="T7"/>
              </a:cxn>
              <a:cxn ang="T44">
                <a:pos x="T8" y="T9"/>
              </a:cxn>
              <a:cxn ang="T45">
                <a:pos x="T10" y="T11"/>
              </a:cxn>
              <a:cxn ang="T46">
                <a:pos x="T12" y="T13"/>
              </a:cxn>
              <a:cxn ang="T47">
                <a:pos x="T14" y="T15"/>
              </a:cxn>
              <a:cxn ang="T48">
                <a:pos x="T16" y="T17"/>
              </a:cxn>
              <a:cxn ang="T49">
                <a:pos x="T18" y="T19"/>
              </a:cxn>
              <a:cxn ang="T50">
                <a:pos x="T20" y="T21"/>
              </a:cxn>
              <a:cxn ang="T51">
                <a:pos x="T22" y="T23"/>
              </a:cxn>
              <a:cxn ang="T52">
                <a:pos x="T24" y="T25"/>
              </a:cxn>
              <a:cxn ang="T53">
                <a:pos x="T26" y="T27"/>
              </a:cxn>
              <a:cxn ang="T54">
                <a:pos x="T28" y="T29"/>
              </a:cxn>
              <a:cxn ang="T55">
                <a:pos x="T30" y="T31"/>
              </a:cxn>
              <a:cxn ang="T56">
                <a:pos x="T32" y="T33"/>
              </a:cxn>
              <a:cxn ang="T57">
                <a:pos x="T34" y="T35"/>
              </a:cxn>
              <a:cxn ang="T58">
                <a:pos x="T36" y="T37"/>
              </a:cxn>
              <a:cxn ang="T59">
                <a:pos x="T38" y="T39"/>
              </a:cxn>
            </a:cxnLst>
            <a:rect l="T60" t="T61" r="T62" b="T63"/>
            <a:pathLst>
              <a:path w="145" h="167">
                <a:moveTo>
                  <a:pt x="0" y="0"/>
                </a:moveTo>
                <a:lnTo>
                  <a:pt x="0" y="7"/>
                </a:lnTo>
                <a:lnTo>
                  <a:pt x="33" y="52"/>
                </a:lnTo>
                <a:lnTo>
                  <a:pt x="47" y="61"/>
                </a:lnTo>
                <a:lnTo>
                  <a:pt x="119" y="167"/>
                </a:lnTo>
                <a:lnTo>
                  <a:pt x="137" y="167"/>
                </a:lnTo>
                <a:lnTo>
                  <a:pt x="145" y="128"/>
                </a:lnTo>
                <a:lnTo>
                  <a:pt x="137" y="116"/>
                </a:lnTo>
                <a:lnTo>
                  <a:pt x="130" y="116"/>
                </a:lnTo>
                <a:lnTo>
                  <a:pt x="119" y="99"/>
                </a:lnTo>
                <a:lnTo>
                  <a:pt x="110" y="99"/>
                </a:lnTo>
                <a:lnTo>
                  <a:pt x="110" y="84"/>
                </a:lnTo>
                <a:lnTo>
                  <a:pt x="104" y="78"/>
                </a:lnTo>
                <a:lnTo>
                  <a:pt x="104" y="69"/>
                </a:lnTo>
                <a:lnTo>
                  <a:pt x="73" y="52"/>
                </a:lnTo>
                <a:lnTo>
                  <a:pt x="68" y="52"/>
                </a:lnTo>
                <a:lnTo>
                  <a:pt x="27" y="7"/>
                </a:lnTo>
                <a:lnTo>
                  <a:pt x="0" y="0"/>
                </a:lnTo>
                <a:close/>
              </a:path>
            </a:pathLst>
          </a:custGeom>
          <a:solidFill>
            <a:srgbClr val="F5F5C8"/>
          </a:solidFill>
          <a:ln w="9525">
            <a:solidFill>
              <a:srgbClr val="FFFFFF"/>
            </a:solidFill>
            <a:miter lim="800000"/>
            <a:headEnd/>
            <a:tailEnd/>
          </a:ln>
        </xdr:spPr>
        <xdr:txBody>
          <a:bodyPr vertOverflow="clip" wrap="square" lIns="36576" tIns="32004" rIns="0" bIns="0" anchor="t"/>
          <a:lstStyle/>
          <a:p>
            <a:pPr algn="l" rtl="0">
              <a:defRPr sz="1000"/>
            </a:pPr>
            <a:endParaRPr lang="en-US" sz="1600" b="0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 algn="l" rtl="0">
              <a:defRPr sz="1000"/>
            </a:pPr>
            <a:endParaRPr lang="en-US"/>
          </a:p>
        </xdr:txBody>
      </xdr:sp>
      <xdr:sp macro="" textlink="">
        <xdr:nvSpPr>
          <xdr:cNvPr id="25949" name="Freeform 127"/>
          <xdr:cNvSpPr>
            <a:spLocks/>
          </xdr:cNvSpPr>
        </xdr:nvSpPr>
        <xdr:spPr bwMode="auto">
          <a:xfrm>
            <a:off x="899" y="545"/>
            <a:ext cx="26" cy="8"/>
          </a:xfrm>
          <a:custGeom>
            <a:avLst/>
            <a:gdLst>
              <a:gd name="T0" fmla="*/ 0 w 119"/>
              <a:gd name="T1" fmla="*/ 0 h 37"/>
              <a:gd name="T2" fmla="*/ 0 w 119"/>
              <a:gd name="T3" fmla="*/ 0 h 37"/>
              <a:gd name="T4" fmla="*/ 1 w 119"/>
              <a:gd name="T5" fmla="*/ 0 h 37"/>
              <a:gd name="T6" fmla="*/ 1 w 119"/>
              <a:gd name="T7" fmla="*/ 0 h 37"/>
              <a:gd name="T8" fmla="*/ 1 w 119"/>
              <a:gd name="T9" fmla="*/ 0 h 37"/>
              <a:gd name="T10" fmla="*/ 1 w 119"/>
              <a:gd name="T11" fmla="*/ 0 h 37"/>
              <a:gd name="T12" fmla="*/ 1 w 119"/>
              <a:gd name="T13" fmla="*/ 0 h 37"/>
              <a:gd name="T14" fmla="*/ 1 w 119"/>
              <a:gd name="T15" fmla="*/ 0 h 37"/>
              <a:gd name="T16" fmla="*/ 0 w 119"/>
              <a:gd name="T17" fmla="*/ 0 h 37"/>
              <a:gd name="T18" fmla="*/ 0 w 119"/>
              <a:gd name="T19" fmla="*/ 0 h 37"/>
              <a:gd name="T20" fmla="*/ 0 w 119"/>
              <a:gd name="T21" fmla="*/ 0 h 37"/>
              <a:gd name="T22" fmla="*/ 0 w 119"/>
              <a:gd name="T23" fmla="*/ 0 h 37"/>
              <a:gd name="T24" fmla="*/ 0 w 119"/>
              <a:gd name="T25" fmla="*/ 0 h 37"/>
              <a:gd name="T26" fmla="*/ 0 60000 65536"/>
              <a:gd name="T27" fmla="*/ 0 60000 65536"/>
              <a:gd name="T28" fmla="*/ 0 60000 65536"/>
              <a:gd name="T29" fmla="*/ 0 60000 65536"/>
              <a:gd name="T30" fmla="*/ 0 60000 65536"/>
              <a:gd name="T31" fmla="*/ 0 60000 65536"/>
              <a:gd name="T32" fmla="*/ 0 60000 65536"/>
              <a:gd name="T33" fmla="*/ 0 60000 65536"/>
              <a:gd name="T34" fmla="*/ 0 60000 65536"/>
              <a:gd name="T35" fmla="*/ 0 60000 65536"/>
              <a:gd name="T36" fmla="*/ 0 60000 65536"/>
              <a:gd name="T37" fmla="*/ 0 60000 65536"/>
              <a:gd name="T38" fmla="*/ 0 60000 65536"/>
              <a:gd name="T39" fmla="*/ 0 w 119"/>
              <a:gd name="T40" fmla="*/ 0 h 37"/>
              <a:gd name="T41" fmla="*/ 119 w 119"/>
              <a:gd name="T42" fmla="*/ 37 h 37"/>
            </a:gdLst>
            <a:ahLst/>
            <a:cxnLst>
              <a:cxn ang="T26">
                <a:pos x="T0" y="T1"/>
              </a:cxn>
              <a:cxn ang="T27">
                <a:pos x="T2" y="T3"/>
              </a:cxn>
              <a:cxn ang="T28">
                <a:pos x="T4" y="T5"/>
              </a:cxn>
              <a:cxn ang="T29">
                <a:pos x="T6" y="T7"/>
              </a:cxn>
              <a:cxn ang="T30">
                <a:pos x="T8" y="T9"/>
              </a:cxn>
              <a:cxn ang="T31">
                <a:pos x="T10" y="T11"/>
              </a:cxn>
              <a:cxn ang="T32">
                <a:pos x="T12" y="T13"/>
              </a:cxn>
              <a:cxn ang="T33">
                <a:pos x="T14" y="T15"/>
              </a:cxn>
              <a:cxn ang="T34">
                <a:pos x="T16" y="T17"/>
              </a:cxn>
              <a:cxn ang="T35">
                <a:pos x="T18" y="T19"/>
              </a:cxn>
              <a:cxn ang="T36">
                <a:pos x="T20" y="T21"/>
              </a:cxn>
              <a:cxn ang="T37">
                <a:pos x="T22" y="T23"/>
              </a:cxn>
              <a:cxn ang="T38">
                <a:pos x="T24" y="T25"/>
              </a:cxn>
            </a:cxnLst>
            <a:rect l="T39" t="T40" r="T41" b="T42"/>
            <a:pathLst>
              <a:path w="119" h="37">
                <a:moveTo>
                  <a:pt x="0" y="15"/>
                </a:moveTo>
                <a:lnTo>
                  <a:pt x="37" y="29"/>
                </a:lnTo>
                <a:lnTo>
                  <a:pt x="119" y="37"/>
                </a:lnTo>
                <a:lnTo>
                  <a:pt x="119" y="29"/>
                </a:lnTo>
                <a:lnTo>
                  <a:pt x="99" y="29"/>
                </a:lnTo>
                <a:lnTo>
                  <a:pt x="94" y="22"/>
                </a:lnTo>
                <a:lnTo>
                  <a:pt x="62" y="15"/>
                </a:lnTo>
                <a:lnTo>
                  <a:pt x="62" y="22"/>
                </a:lnTo>
                <a:lnTo>
                  <a:pt x="22" y="0"/>
                </a:lnTo>
                <a:lnTo>
                  <a:pt x="8" y="0"/>
                </a:lnTo>
                <a:lnTo>
                  <a:pt x="0" y="15"/>
                </a:lnTo>
                <a:close/>
              </a:path>
            </a:pathLst>
          </a:custGeom>
          <a:solidFill>
            <a:srgbClr val="F5F5C8"/>
          </a:solidFill>
          <a:ln w="9525">
            <a:solidFill>
              <a:srgbClr val="FFFFFF"/>
            </a:solidFill>
            <a:miter lim="800000"/>
            <a:headEnd/>
            <a:tailEnd/>
          </a:ln>
        </xdr:spPr>
        <xdr:txBody>
          <a:bodyPr vertOverflow="clip" wrap="square" lIns="36576" tIns="32004" rIns="0" bIns="0" anchor="t"/>
          <a:lstStyle/>
          <a:p>
            <a:pPr algn="l" rtl="0">
              <a:defRPr sz="1000"/>
            </a:pPr>
            <a:endParaRPr lang="en-US" sz="1600" b="0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 algn="l" rtl="0">
              <a:defRPr sz="1000"/>
            </a:pPr>
            <a:endParaRPr lang="en-US"/>
          </a:p>
        </xdr:txBody>
      </xdr:sp>
      <xdr:sp macro="" textlink="">
        <xdr:nvSpPr>
          <xdr:cNvPr id="25950" name="Freeform 128"/>
          <xdr:cNvSpPr>
            <a:spLocks/>
          </xdr:cNvSpPr>
        </xdr:nvSpPr>
        <xdr:spPr bwMode="auto">
          <a:xfrm>
            <a:off x="930" y="553"/>
            <a:ext cx="24" cy="7"/>
          </a:xfrm>
          <a:custGeom>
            <a:avLst/>
            <a:gdLst>
              <a:gd name="T0" fmla="*/ 0 w 106"/>
              <a:gd name="T1" fmla="*/ 0 h 31"/>
              <a:gd name="T2" fmla="*/ 0 w 106"/>
              <a:gd name="T3" fmla="*/ 0 h 31"/>
              <a:gd name="T4" fmla="*/ 0 w 106"/>
              <a:gd name="T5" fmla="*/ 0 h 31"/>
              <a:gd name="T6" fmla="*/ 1 w 106"/>
              <a:gd name="T7" fmla="*/ 0 h 31"/>
              <a:gd name="T8" fmla="*/ 1 w 106"/>
              <a:gd name="T9" fmla="*/ 0 h 31"/>
              <a:gd name="T10" fmla="*/ 0 w 106"/>
              <a:gd name="T11" fmla="*/ 0 h 31"/>
              <a:gd name="T12" fmla="*/ 0 w 106"/>
              <a:gd name="T13" fmla="*/ 0 h 31"/>
              <a:gd name="T14" fmla="*/ 0 w 106"/>
              <a:gd name="T15" fmla="*/ 0 h 31"/>
              <a:gd name="T16" fmla="*/ 0 w 106"/>
              <a:gd name="T17" fmla="*/ 0 h 31"/>
              <a:gd name="T18" fmla="*/ 0 w 106"/>
              <a:gd name="T19" fmla="*/ 0 h 31"/>
              <a:gd name="T20" fmla="*/ 0 w 106"/>
              <a:gd name="T21" fmla="*/ 0 h 31"/>
              <a:gd name="T22" fmla="*/ 0 60000 65536"/>
              <a:gd name="T23" fmla="*/ 0 60000 65536"/>
              <a:gd name="T24" fmla="*/ 0 60000 65536"/>
              <a:gd name="T25" fmla="*/ 0 60000 65536"/>
              <a:gd name="T26" fmla="*/ 0 60000 65536"/>
              <a:gd name="T27" fmla="*/ 0 60000 65536"/>
              <a:gd name="T28" fmla="*/ 0 60000 65536"/>
              <a:gd name="T29" fmla="*/ 0 60000 65536"/>
              <a:gd name="T30" fmla="*/ 0 60000 65536"/>
              <a:gd name="T31" fmla="*/ 0 60000 65536"/>
              <a:gd name="T32" fmla="*/ 0 60000 65536"/>
              <a:gd name="T33" fmla="*/ 0 w 106"/>
              <a:gd name="T34" fmla="*/ 0 h 31"/>
              <a:gd name="T35" fmla="*/ 106 w 106"/>
              <a:gd name="T36" fmla="*/ 31 h 31"/>
            </a:gdLst>
            <a:ahLst/>
            <a:cxnLst>
              <a:cxn ang="T22">
                <a:pos x="T0" y="T1"/>
              </a:cxn>
              <a:cxn ang="T23">
                <a:pos x="T2" y="T3"/>
              </a:cxn>
              <a:cxn ang="T24">
                <a:pos x="T4" y="T5"/>
              </a:cxn>
              <a:cxn ang="T25">
                <a:pos x="T6" y="T7"/>
              </a:cxn>
              <a:cxn ang="T26">
                <a:pos x="T8" y="T9"/>
              </a:cxn>
              <a:cxn ang="T27">
                <a:pos x="T10" y="T11"/>
              </a:cxn>
              <a:cxn ang="T28">
                <a:pos x="T12" y="T13"/>
              </a:cxn>
              <a:cxn ang="T29">
                <a:pos x="T14" y="T15"/>
              </a:cxn>
              <a:cxn ang="T30">
                <a:pos x="T16" y="T17"/>
              </a:cxn>
              <a:cxn ang="T31">
                <a:pos x="T18" y="T19"/>
              </a:cxn>
              <a:cxn ang="T32">
                <a:pos x="T20" y="T21"/>
              </a:cxn>
            </a:cxnLst>
            <a:rect l="T33" t="T34" r="T35" b="T36"/>
            <a:pathLst>
              <a:path w="106" h="31">
                <a:moveTo>
                  <a:pt x="0" y="31"/>
                </a:moveTo>
                <a:lnTo>
                  <a:pt x="5" y="31"/>
                </a:lnTo>
                <a:lnTo>
                  <a:pt x="42" y="0"/>
                </a:lnTo>
                <a:lnTo>
                  <a:pt x="77" y="31"/>
                </a:lnTo>
                <a:lnTo>
                  <a:pt x="106" y="0"/>
                </a:lnTo>
                <a:lnTo>
                  <a:pt x="20" y="0"/>
                </a:lnTo>
                <a:lnTo>
                  <a:pt x="27" y="0"/>
                </a:lnTo>
                <a:lnTo>
                  <a:pt x="0" y="0"/>
                </a:lnTo>
                <a:lnTo>
                  <a:pt x="0" y="31"/>
                </a:lnTo>
                <a:close/>
              </a:path>
            </a:pathLst>
          </a:custGeom>
          <a:solidFill>
            <a:srgbClr val="F5F5C8"/>
          </a:solidFill>
          <a:ln w="9525">
            <a:solidFill>
              <a:srgbClr val="FFFFFF"/>
            </a:solidFill>
            <a:miter lim="800000"/>
            <a:headEnd/>
            <a:tailEnd/>
          </a:ln>
        </xdr:spPr>
        <xdr:txBody>
          <a:bodyPr vertOverflow="clip" wrap="square" lIns="36576" tIns="32004" rIns="0" bIns="0" anchor="t"/>
          <a:lstStyle/>
          <a:p>
            <a:pPr algn="l" rtl="0">
              <a:defRPr sz="1000"/>
            </a:pPr>
            <a:endParaRPr lang="en-US" sz="1600" b="0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 algn="l" rtl="0">
              <a:defRPr sz="1000"/>
            </a:pPr>
            <a:endParaRPr lang="en-US"/>
          </a:p>
        </xdr:txBody>
      </xdr:sp>
      <xdr:sp macro="" textlink="">
        <xdr:nvSpPr>
          <xdr:cNvPr id="25951" name="Freeform 129"/>
          <xdr:cNvSpPr>
            <a:spLocks/>
          </xdr:cNvSpPr>
        </xdr:nvSpPr>
        <xdr:spPr bwMode="auto">
          <a:xfrm>
            <a:off x="938" y="558"/>
            <a:ext cx="6" cy="6"/>
          </a:xfrm>
          <a:custGeom>
            <a:avLst/>
            <a:gdLst>
              <a:gd name="T0" fmla="*/ 0 w 27"/>
              <a:gd name="T1" fmla="*/ 0 h 28"/>
              <a:gd name="T2" fmla="*/ 0 w 27"/>
              <a:gd name="T3" fmla="*/ 0 h 28"/>
              <a:gd name="T4" fmla="*/ 0 w 27"/>
              <a:gd name="T5" fmla="*/ 0 h 28"/>
              <a:gd name="T6" fmla="*/ 0 w 27"/>
              <a:gd name="T7" fmla="*/ 0 h 28"/>
              <a:gd name="T8" fmla="*/ 0 w 27"/>
              <a:gd name="T9" fmla="*/ 0 h 28"/>
              <a:gd name="T10" fmla="*/ 0 w 27"/>
              <a:gd name="T11" fmla="*/ 0 h 28"/>
              <a:gd name="T12" fmla="*/ 0 w 27"/>
              <a:gd name="T13" fmla="*/ 0 h 28"/>
              <a:gd name="T14" fmla="*/ 0 60000 65536"/>
              <a:gd name="T15" fmla="*/ 0 60000 65536"/>
              <a:gd name="T16" fmla="*/ 0 60000 65536"/>
              <a:gd name="T17" fmla="*/ 0 60000 65536"/>
              <a:gd name="T18" fmla="*/ 0 60000 65536"/>
              <a:gd name="T19" fmla="*/ 0 60000 65536"/>
              <a:gd name="T20" fmla="*/ 0 60000 65536"/>
              <a:gd name="T21" fmla="*/ 0 w 27"/>
              <a:gd name="T22" fmla="*/ 0 h 28"/>
              <a:gd name="T23" fmla="*/ 27 w 27"/>
              <a:gd name="T24" fmla="*/ 28 h 28"/>
            </a:gdLst>
            <a:ahLst/>
            <a:cxnLst>
              <a:cxn ang="T14">
                <a:pos x="T0" y="T1"/>
              </a:cxn>
              <a:cxn ang="T15">
                <a:pos x="T2" y="T3"/>
              </a:cxn>
              <a:cxn ang="T16">
                <a:pos x="T4" y="T5"/>
              </a:cxn>
              <a:cxn ang="T17">
                <a:pos x="T6" y="T7"/>
              </a:cxn>
              <a:cxn ang="T18">
                <a:pos x="T8" y="T9"/>
              </a:cxn>
              <a:cxn ang="T19">
                <a:pos x="T10" y="T11"/>
              </a:cxn>
              <a:cxn ang="T20">
                <a:pos x="T12" y="T13"/>
              </a:cxn>
            </a:cxnLst>
            <a:rect l="T21" t="T22" r="T23" b="T24"/>
            <a:pathLst>
              <a:path w="27" h="28">
                <a:moveTo>
                  <a:pt x="0" y="0"/>
                </a:moveTo>
                <a:lnTo>
                  <a:pt x="14" y="28"/>
                </a:lnTo>
                <a:lnTo>
                  <a:pt x="27" y="28"/>
                </a:lnTo>
                <a:lnTo>
                  <a:pt x="14" y="0"/>
                </a:lnTo>
                <a:lnTo>
                  <a:pt x="0" y="0"/>
                </a:lnTo>
                <a:close/>
              </a:path>
            </a:pathLst>
          </a:custGeom>
          <a:solidFill>
            <a:srgbClr val="F5F5C8"/>
          </a:solidFill>
          <a:ln w="9525">
            <a:solidFill>
              <a:srgbClr val="FFFFFF"/>
            </a:solidFill>
            <a:miter lim="800000"/>
            <a:headEnd/>
            <a:tailEnd/>
          </a:ln>
        </xdr:spPr>
        <xdr:txBody>
          <a:bodyPr vertOverflow="clip" wrap="square" lIns="36576" tIns="32004" rIns="0" bIns="0" anchor="t"/>
          <a:lstStyle/>
          <a:p>
            <a:pPr algn="l" rtl="0">
              <a:defRPr sz="1000"/>
            </a:pPr>
            <a:endParaRPr lang="en-US" sz="1600" b="0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 algn="l" rtl="0">
              <a:defRPr sz="1000"/>
            </a:pPr>
            <a:endParaRPr lang="en-US"/>
          </a:p>
        </xdr:txBody>
      </xdr:sp>
      <xdr:sp macro="" textlink="">
        <xdr:nvSpPr>
          <xdr:cNvPr id="25952" name="Freeform 131"/>
          <xdr:cNvSpPr>
            <a:spLocks/>
          </xdr:cNvSpPr>
        </xdr:nvSpPr>
        <xdr:spPr bwMode="auto">
          <a:xfrm>
            <a:off x="899" y="531"/>
            <a:ext cx="6" cy="6"/>
          </a:xfrm>
          <a:custGeom>
            <a:avLst/>
            <a:gdLst>
              <a:gd name="T0" fmla="*/ 0 w 25"/>
              <a:gd name="T1" fmla="*/ 0 h 27"/>
              <a:gd name="T2" fmla="*/ 0 w 25"/>
              <a:gd name="T3" fmla="*/ 0 h 27"/>
              <a:gd name="T4" fmla="*/ 0 w 25"/>
              <a:gd name="T5" fmla="*/ 0 h 27"/>
              <a:gd name="T6" fmla="*/ 0 w 25"/>
              <a:gd name="T7" fmla="*/ 0 h 27"/>
              <a:gd name="T8" fmla="*/ 0 w 25"/>
              <a:gd name="T9" fmla="*/ 0 h 27"/>
              <a:gd name="T10" fmla="*/ 0 w 25"/>
              <a:gd name="T11" fmla="*/ 0 h 27"/>
              <a:gd name="T12" fmla="*/ 0 w 25"/>
              <a:gd name="T13" fmla="*/ 0 h 27"/>
              <a:gd name="T14" fmla="*/ 0 60000 65536"/>
              <a:gd name="T15" fmla="*/ 0 60000 65536"/>
              <a:gd name="T16" fmla="*/ 0 60000 65536"/>
              <a:gd name="T17" fmla="*/ 0 60000 65536"/>
              <a:gd name="T18" fmla="*/ 0 60000 65536"/>
              <a:gd name="T19" fmla="*/ 0 60000 65536"/>
              <a:gd name="T20" fmla="*/ 0 60000 65536"/>
              <a:gd name="T21" fmla="*/ 0 w 25"/>
              <a:gd name="T22" fmla="*/ 0 h 27"/>
              <a:gd name="T23" fmla="*/ 25 w 25"/>
              <a:gd name="T24" fmla="*/ 27 h 27"/>
            </a:gdLst>
            <a:ahLst/>
            <a:cxnLst>
              <a:cxn ang="T14">
                <a:pos x="T0" y="T1"/>
              </a:cxn>
              <a:cxn ang="T15">
                <a:pos x="T2" y="T3"/>
              </a:cxn>
              <a:cxn ang="T16">
                <a:pos x="T4" y="T5"/>
              </a:cxn>
              <a:cxn ang="T17">
                <a:pos x="T6" y="T7"/>
              </a:cxn>
              <a:cxn ang="T18">
                <a:pos x="T8" y="T9"/>
              </a:cxn>
              <a:cxn ang="T19">
                <a:pos x="T10" y="T11"/>
              </a:cxn>
              <a:cxn ang="T20">
                <a:pos x="T12" y="T13"/>
              </a:cxn>
            </a:cxnLst>
            <a:rect l="T21" t="T22" r="T23" b="T24"/>
            <a:pathLst>
              <a:path w="25" h="27">
                <a:moveTo>
                  <a:pt x="0" y="10"/>
                </a:moveTo>
                <a:lnTo>
                  <a:pt x="25" y="27"/>
                </a:lnTo>
                <a:lnTo>
                  <a:pt x="25" y="20"/>
                </a:lnTo>
                <a:lnTo>
                  <a:pt x="13" y="0"/>
                </a:lnTo>
                <a:lnTo>
                  <a:pt x="0" y="10"/>
                </a:lnTo>
                <a:close/>
              </a:path>
            </a:pathLst>
          </a:custGeom>
          <a:solidFill>
            <a:srgbClr val="F5F5C8"/>
          </a:solidFill>
          <a:ln w="9525">
            <a:solidFill>
              <a:srgbClr val="FFFFFF"/>
            </a:solidFill>
            <a:miter lim="800000"/>
            <a:headEnd/>
            <a:tailEnd/>
          </a:ln>
        </xdr:spPr>
        <xdr:txBody>
          <a:bodyPr vertOverflow="clip" wrap="square" lIns="36576" tIns="32004" rIns="0" bIns="0" anchor="t"/>
          <a:lstStyle/>
          <a:p>
            <a:pPr algn="l" rtl="0">
              <a:defRPr sz="1000"/>
            </a:pPr>
            <a:endParaRPr lang="en-US" sz="1600" b="0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 algn="l" rtl="0">
              <a:defRPr sz="1000"/>
            </a:pPr>
            <a:endParaRPr lang="en-US"/>
          </a:p>
        </xdr:txBody>
      </xdr:sp>
      <xdr:sp macro="" textlink="">
        <xdr:nvSpPr>
          <xdr:cNvPr id="25953" name="Freeform 132"/>
          <xdr:cNvSpPr>
            <a:spLocks/>
          </xdr:cNvSpPr>
        </xdr:nvSpPr>
        <xdr:spPr bwMode="auto">
          <a:xfrm>
            <a:off x="905" y="539"/>
            <a:ext cx="4" cy="4"/>
          </a:xfrm>
          <a:custGeom>
            <a:avLst/>
            <a:gdLst>
              <a:gd name="T0" fmla="*/ 0 w 15"/>
              <a:gd name="T1" fmla="*/ 0 h 17"/>
              <a:gd name="T2" fmla="*/ 0 w 15"/>
              <a:gd name="T3" fmla="*/ 0 h 17"/>
              <a:gd name="T4" fmla="*/ 0 w 15"/>
              <a:gd name="T5" fmla="*/ 0 h 17"/>
              <a:gd name="T6" fmla="*/ 0 w 15"/>
              <a:gd name="T7" fmla="*/ 0 h 17"/>
              <a:gd name="T8" fmla="*/ 0 w 15"/>
              <a:gd name="T9" fmla="*/ 0 h 17"/>
              <a:gd name="T10" fmla="*/ 0 w 15"/>
              <a:gd name="T11" fmla="*/ 0 h 17"/>
              <a:gd name="T12" fmla="*/ 0 w 15"/>
              <a:gd name="T13" fmla="*/ 0 h 17"/>
              <a:gd name="T14" fmla="*/ 0 60000 65536"/>
              <a:gd name="T15" fmla="*/ 0 60000 65536"/>
              <a:gd name="T16" fmla="*/ 0 60000 65536"/>
              <a:gd name="T17" fmla="*/ 0 60000 65536"/>
              <a:gd name="T18" fmla="*/ 0 60000 65536"/>
              <a:gd name="T19" fmla="*/ 0 60000 65536"/>
              <a:gd name="T20" fmla="*/ 0 60000 65536"/>
              <a:gd name="T21" fmla="*/ 0 w 15"/>
              <a:gd name="T22" fmla="*/ 0 h 17"/>
              <a:gd name="T23" fmla="*/ 15 w 15"/>
              <a:gd name="T24" fmla="*/ 17 h 17"/>
            </a:gdLst>
            <a:ahLst/>
            <a:cxnLst>
              <a:cxn ang="T14">
                <a:pos x="T0" y="T1"/>
              </a:cxn>
              <a:cxn ang="T15">
                <a:pos x="T2" y="T3"/>
              </a:cxn>
              <a:cxn ang="T16">
                <a:pos x="T4" y="T5"/>
              </a:cxn>
              <a:cxn ang="T17">
                <a:pos x="T6" y="T7"/>
              </a:cxn>
              <a:cxn ang="T18">
                <a:pos x="T8" y="T9"/>
              </a:cxn>
              <a:cxn ang="T19">
                <a:pos x="T10" y="T11"/>
              </a:cxn>
              <a:cxn ang="T20">
                <a:pos x="T12" y="T13"/>
              </a:cxn>
            </a:cxnLst>
            <a:rect l="T21" t="T22" r="T23" b="T24"/>
            <a:pathLst>
              <a:path w="15" h="17">
                <a:moveTo>
                  <a:pt x="0" y="0"/>
                </a:moveTo>
                <a:lnTo>
                  <a:pt x="0" y="17"/>
                </a:lnTo>
                <a:lnTo>
                  <a:pt x="15" y="17"/>
                </a:lnTo>
                <a:lnTo>
                  <a:pt x="15" y="0"/>
                </a:lnTo>
                <a:lnTo>
                  <a:pt x="0" y="0"/>
                </a:lnTo>
                <a:close/>
              </a:path>
            </a:pathLst>
          </a:custGeom>
          <a:solidFill>
            <a:srgbClr val="F5F5C8"/>
          </a:solidFill>
          <a:ln w="9525">
            <a:solidFill>
              <a:srgbClr val="FFFFFF"/>
            </a:solidFill>
            <a:miter lim="800000"/>
            <a:headEnd/>
            <a:tailEnd/>
          </a:ln>
        </xdr:spPr>
        <xdr:txBody>
          <a:bodyPr vertOverflow="clip" wrap="square" lIns="36576" tIns="32004" rIns="0" bIns="0" anchor="t"/>
          <a:lstStyle/>
          <a:p>
            <a:pPr algn="l" rtl="0">
              <a:defRPr sz="1000"/>
            </a:pPr>
            <a:endParaRPr lang="en-US" sz="1600" b="0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 algn="l" rtl="0">
              <a:defRPr sz="1000"/>
            </a:pPr>
            <a:endParaRPr lang="en-US"/>
          </a:p>
        </xdr:txBody>
      </xdr:sp>
      <xdr:sp macro="" textlink="">
        <xdr:nvSpPr>
          <xdr:cNvPr id="25954" name="Freeform 133"/>
          <xdr:cNvSpPr>
            <a:spLocks/>
          </xdr:cNvSpPr>
        </xdr:nvSpPr>
        <xdr:spPr bwMode="auto">
          <a:xfrm>
            <a:off x="905" y="537"/>
            <a:ext cx="4" cy="3"/>
          </a:xfrm>
          <a:custGeom>
            <a:avLst/>
            <a:gdLst>
              <a:gd name="T0" fmla="*/ 0 w 15"/>
              <a:gd name="T1" fmla="*/ 0 h 14"/>
              <a:gd name="T2" fmla="*/ 0 w 15"/>
              <a:gd name="T3" fmla="*/ 0 h 14"/>
              <a:gd name="T4" fmla="*/ 0 w 15"/>
              <a:gd name="T5" fmla="*/ 0 h 14"/>
              <a:gd name="T6" fmla="*/ 0 w 15"/>
              <a:gd name="T7" fmla="*/ 0 h 14"/>
              <a:gd name="T8" fmla="*/ 0 w 15"/>
              <a:gd name="T9" fmla="*/ 0 h 14"/>
              <a:gd name="T10" fmla="*/ 0 w 15"/>
              <a:gd name="T11" fmla="*/ 0 h 14"/>
              <a:gd name="T12" fmla="*/ 0 60000 65536"/>
              <a:gd name="T13" fmla="*/ 0 60000 65536"/>
              <a:gd name="T14" fmla="*/ 0 60000 65536"/>
              <a:gd name="T15" fmla="*/ 0 60000 65536"/>
              <a:gd name="T16" fmla="*/ 0 60000 65536"/>
              <a:gd name="T17" fmla="*/ 0 60000 65536"/>
              <a:gd name="T18" fmla="*/ 0 w 15"/>
              <a:gd name="T19" fmla="*/ 0 h 14"/>
              <a:gd name="T20" fmla="*/ 15 w 15"/>
              <a:gd name="T21" fmla="*/ 14 h 14"/>
            </a:gdLst>
            <a:ahLst/>
            <a:cxnLst>
              <a:cxn ang="T12">
                <a:pos x="T0" y="T1"/>
              </a:cxn>
              <a:cxn ang="T13">
                <a:pos x="T2" y="T3"/>
              </a:cxn>
              <a:cxn ang="T14">
                <a:pos x="T4" y="T5"/>
              </a:cxn>
              <a:cxn ang="T15">
                <a:pos x="T6" y="T7"/>
              </a:cxn>
              <a:cxn ang="T16">
                <a:pos x="T8" y="T9"/>
              </a:cxn>
              <a:cxn ang="T17">
                <a:pos x="T10" y="T11"/>
              </a:cxn>
            </a:cxnLst>
            <a:rect l="T18" t="T19" r="T20" b="T21"/>
            <a:pathLst>
              <a:path w="15" h="14">
                <a:moveTo>
                  <a:pt x="0" y="0"/>
                </a:moveTo>
                <a:lnTo>
                  <a:pt x="0" y="14"/>
                </a:lnTo>
                <a:lnTo>
                  <a:pt x="15" y="14"/>
                </a:lnTo>
                <a:lnTo>
                  <a:pt x="15" y="0"/>
                </a:lnTo>
                <a:lnTo>
                  <a:pt x="0" y="0"/>
                </a:lnTo>
                <a:close/>
              </a:path>
            </a:pathLst>
          </a:custGeom>
          <a:solidFill>
            <a:srgbClr val="F5F5C8"/>
          </a:solidFill>
          <a:ln w="9525">
            <a:solidFill>
              <a:srgbClr val="FFFFFF"/>
            </a:solidFill>
            <a:miter lim="800000"/>
            <a:headEnd/>
            <a:tailEnd/>
          </a:ln>
        </xdr:spPr>
        <xdr:txBody>
          <a:bodyPr vertOverflow="clip" wrap="square" lIns="36576" tIns="32004" rIns="0" bIns="0" anchor="t"/>
          <a:lstStyle/>
          <a:p>
            <a:pPr algn="l" rtl="0">
              <a:defRPr sz="1000"/>
            </a:pPr>
            <a:endParaRPr lang="en-US" sz="1600" b="0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 algn="l" rtl="0">
              <a:defRPr sz="1000"/>
            </a:pPr>
            <a:endParaRPr lang="en-US"/>
          </a:p>
        </xdr:txBody>
      </xdr:sp>
      <xdr:sp macro="" textlink="">
        <xdr:nvSpPr>
          <xdr:cNvPr id="25955" name="Freeform 134"/>
          <xdr:cNvSpPr>
            <a:spLocks/>
          </xdr:cNvSpPr>
        </xdr:nvSpPr>
        <xdr:spPr bwMode="auto">
          <a:xfrm>
            <a:off x="938" y="521"/>
            <a:ext cx="19" cy="24"/>
          </a:xfrm>
          <a:custGeom>
            <a:avLst/>
            <a:gdLst>
              <a:gd name="T0" fmla="*/ 0 w 86"/>
              <a:gd name="T1" fmla="*/ 1 h 107"/>
              <a:gd name="T2" fmla="*/ 0 w 86"/>
              <a:gd name="T3" fmla="*/ 1 h 107"/>
              <a:gd name="T4" fmla="*/ 0 w 86"/>
              <a:gd name="T5" fmla="*/ 1 h 107"/>
              <a:gd name="T6" fmla="*/ 0 w 86"/>
              <a:gd name="T7" fmla="*/ 1 h 107"/>
              <a:gd name="T8" fmla="*/ 0 w 86"/>
              <a:gd name="T9" fmla="*/ 1 h 107"/>
              <a:gd name="T10" fmla="*/ 0 w 86"/>
              <a:gd name="T11" fmla="*/ 1 h 107"/>
              <a:gd name="T12" fmla="*/ 0 w 86"/>
              <a:gd name="T13" fmla="*/ 1 h 107"/>
              <a:gd name="T14" fmla="*/ 0 w 86"/>
              <a:gd name="T15" fmla="*/ 1 h 107"/>
              <a:gd name="T16" fmla="*/ 0 w 86"/>
              <a:gd name="T17" fmla="*/ 1 h 107"/>
              <a:gd name="T18" fmla="*/ 0 w 86"/>
              <a:gd name="T19" fmla="*/ 1 h 107"/>
              <a:gd name="T20" fmla="*/ 0 w 86"/>
              <a:gd name="T21" fmla="*/ 1 h 107"/>
              <a:gd name="T22" fmla="*/ 0 w 86"/>
              <a:gd name="T23" fmla="*/ 1 h 107"/>
              <a:gd name="T24" fmla="*/ 0 w 86"/>
              <a:gd name="T25" fmla="*/ 1 h 107"/>
              <a:gd name="T26" fmla="*/ 1 w 86"/>
              <a:gd name="T27" fmla="*/ 1 h 107"/>
              <a:gd name="T28" fmla="*/ 1 w 86"/>
              <a:gd name="T29" fmla="*/ 1 h 107"/>
              <a:gd name="T30" fmla="*/ 0 w 86"/>
              <a:gd name="T31" fmla="*/ 1 h 107"/>
              <a:gd name="T32" fmla="*/ 0 w 86"/>
              <a:gd name="T33" fmla="*/ 1 h 107"/>
              <a:gd name="T34" fmla="*/ 0 w 86"/>
              <a:gd name="T35" fmla="*/ 1 h 107"/>
              <a:gd name="T36" fmla="*/ 0 w 86"/>
              <a:gd name="T37" fmla="*/ 0 h 107"/>
              <a:gd name="T38" fmla="*/ 1 w 86"/>
              <a:gd name="T39" fmla="*/ 0 h 107"/>
              <a:gd name="T40" fmla="*/ 0 w 86"/>
              <a:gd name="T41" fmla="*/ 0 h 107"/>
              <a:gd name="T42" fmla="*/ 0 w 86"/>
              <a:gd name="T43" fmla="*/ 0 h 107"/>
              <a:gd name="T44" fmla="*/ 0 w 86"/>
              <a:gd name="T45" fmla="*/ 0 h 107"/>
              <a:gd name="T46" fmla="*/ 0 w 86"/>
              <a:gd name="T47" fmla="*/ 0 h 107"/>
              <a:gd name="T48" fmla="*/ 1 w 86"/>
              <a:gd name="T49" fmla="*/ 0 h 107"/>
              <a:gd name="T50" fmla="*/ 1 w 86"/>
              <a:gd name="T51" fmla="*/ 0 h 107"/>
              <a:gd name="T52" fmla="*/ 0 w 86"/>
              <a:gd name="T53" fmla="*/ 0 h 107"/>
              <a:gd name="T54" fmla="*/ 0 w 86"/>
              <a:gd name="T55" fmla="*/ 0 h 107"/>
              <a:gd name="T56" fmla="*/ 0 w 86"/>
              <a:gd name="T57" fmla="*/ 0 h 107"/>
              <a:gd name="T58" fmla="*/ 0 w 86"/>
              <a:gd name="T59" fmla="*/ 0 h 107"/>
              <a:gd name="T60" fmla="*/ 0 w 86"/>
              <a:gd name="T61" fmla="*/ 0 h 107"/>
              <a:gd name="T62" fmla="*/ 0 w 86"/>
              <a:gd name="T63" fmla="*/ 1 h 107"/>
              <a:gd name="T64" fmla="*/ 0 w 86"/>
              <a:gd name="T65" fmla="*/ 1 h 107"/>
              <a:gd name="T66" fmla="*/ 0 w 86"/>
              <a:gd name="T67" fmla="*/ 1 h 107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w 86"/>
              <a:gd name="T103" fmla="*/ 0 h 107"/>
              <a:gd name="T104" fmla="*/ 86 w 86"/>
              <a:gd name="T105" fmla="*/ 107 h 107"/>
            </a:gdLst>
            <a:ahLst/>
            <a:cxnLst>
              <a:cxn ang="T68">
                <a:pos x="T0" y="T1"/>
              </a:cxn>
              <a:cxn ang="T69">
                <a:pos x="T2" y="T3"/>
              </a:cxn>
              <a:cxn ang="T70">
                <a:pos x="T4" y="T5"/>
              </a:cxn>
              <a:cxn ang="T71">
                <a:pos x="T6" y="T7"/>
              </a:cxn>
              <a:cxn ang="T72">
                <a:pos x="T8" y="T9"/>
              </a:cxn>
              <a:cxn ang="T73">
                <a:pos x="T10" y="T11"/>
              </a:cxn>
              <a:cxn ang="T74">
                <a:pos x="T12" y="T13"/>
              </a:cxn>
              <a:cxn ang="T75">
                <a:pos x="T14" y="T15"/>
              </a:cxn>
              <a:cxn ang="T76">
                <a:pos x="T16" y="T17"/>
              </a:cxn>
              <a:cxn ang="T77">
                <a:pos x="T18" y="T19"/>
              </a:cxn>
              <a:cxn ang="T78">
                <a:pos x="T20" y="T21"/>
              </a:cxn>
              <a:cxn ang="T79">
                <a:pos x="T22" y="T23"/>
              </a:cxn>
              <a:cxn ang="T80">
                <a:pos x="T24" y="T25"/>
              </a:cxn>
              <a:cxn ang="T81">
                <a:pos x="T26" y="T27"/>
              </a:cxn>
              <a:cxn ang="T82">
                <a:pos x="T28" y="T29"/>
              </a:cxn>
              <a:cxn ang="T83">
                <a:pos x="T30" y="T31"/>
              </a:cxn>
              <a:cxn ang="T84">
                <a:pos x="T32" y="T33"/>
              </a:cxn>
              <a:cxn ang="T85">
                <a:pos x="T34" y="T35"/>
              </a:cxn>
              <a:cxn ang="T86">
                <a:pos x="T36" y="T37"/>
              </a:cxn>
              <a:cxn ang="T87">
                <a:pos x="T38" y="T39"/>
              </a:cxn>
              <a:cxn ang="T88">
                <a:pos x="T40" y="T41"/>
              </a:cxn>
              <a:cxn ang="T89">
                <a:pos x="T42" y="T43"/>
              </a:cxn>
              <a:cxn ang="T90">
                <a:pos x="T44" y="T45"/>
              </a:cxn>
              <a:cxn ang="T91">
                <a:pos x="T46" y="T47"/>
              </a:cxn>
              <a:cxn ang="T92">
                <a:pos x="T48" y="T49"/>
              </a:cxn>
              <a:cxn ang="T93">
                <a:pos x="T50" y="T51"/>
              </a:cxn>
              <a:cxn ang="T94">
                <a:pos x="T52" y="T53"/>
              </a:cxn>
              <a:cxn ang="T95">
                <a:pos x="T54" y="T55"/>
              </a:cxn>
              <a:cxn ang="T96">
                <a:pos x="T56" y="T57"/>
              </a:cxn>
              <a:cxn ang="T97">
                <a:pos x="T58" y="T59"/>
              </a:cxn>
              <a:cxn ang="T98">
                <a:pos x="T60" y="T61"/>
              </a:cxn>
              <a:cxn ang="T99">
                <a:pos x="T62" y="T63"/>
              </a:cxn>
              <a:cxn ang="T100">
                <a:pos x="T64" y="T65"/>
              </a:cxn>
              <a:cxn ang="T101">
                <a:pos x="T66" y="T67"/>
              </a:cxn>
            </a:cxnLst>
            <a:rect l="T102" t="T103" r="T104" b="T105"/>
            <a:pathLst>
              <a:path w="86" h="107">
                <a:moveTo>
                  <a:pt x="0" y="62"/>
                </a:moveTo>
                <a:lnTo>
                  <a:pt x="0" y="69"/>
                </a:lnTo>
                <a:lnTo>
                  <a:pt x="7" y="69"/>
                </a:lnTo>
                <a:lnTo>
                  <a:pt x="7" y="107"/>
                </a:lnTo>
                <a:lnTo>
                  <a:pt x="14" y="101"/>
                </a:lnTo>
                <a:lnTo>
                  <a:pt x="14" y="69"/>
                </a:lnTo>
                <a:lnTo>
                  <a:pt x="27" y="62"/>
                </a:lnTo>
                <a:lnTo>
                  <a:pt x="34" y="62"/>
                </a:lnTo>
                <a:lnTo>
                  <a:pt x="27" y="69"/>
                </a:lnTo>
                <a:lnTo>
                  <a:pt x="34" y="86"/>
                </a:lnTo>
                <a:lnTo>
                  <a:pt x="34" y="92"/>
                </a:lnTo>
                <a:lnTo>
                  <a:pt x="49" y="92"/>
                </a:lnTo>
                <a:lnTo>
                  <a:pt x="49" y="107"/>
                </a:lnTo>
                <a:lnTo>
                  <a:pt x="56" y="101"/>
                </a:lnTo>
                <a:lnTo>
                  <a:pt x="56" y="92"/>
                </a:lnTo>
                <a:lnTo>
                  <a:pt x="42" y="69"/>
                </a:lnTo>
                <a:lnTo>
                  <a:pt x="49" y="69"/>
                </a:lnTo>
                <a:lnTo>
                  <a:pt x="34" y="55"/>
                </a:lnTo>
                <a:lnTo>
                  <a:pt x="49" y="38"/>
                </a:lnTo>
                <a:lnTo>
                  <a:pt x="56" y="38"/>
                </a:lnTo>
                <a:lnTo>
                  <a:pt x="27" y="47"/>
                </a:lnTo>
                <a:lnTo>
                  <a:pt x="14" y="38"/>
                </a:lnTo>
                <a:lnTo>
                  <a:pt x="14" y="25"/>
                </a:lnTo>
                <a:lnTo>
                  <a:pt x="27" y="15"/>
                </a:lnTo>
                <a:lnTo>
                  <a:pt x="77" y="15"/>
                </a:lnTo>
                <a:lnTo>
                  <a:pt x="86" y="0"/>
                </a:lnTo>
                <a:lnTo>
                  <a:pt x="49" y="15"/>
                </a:lnTo>
                <a:lnTo>
                  <a:pt x="27" y="8"/>
                </a:lnTo>
                <a:lnTo>
                  <a:pt x="27" y="15"/>
                </a:lnTo>
                <a:lnTo>
                  <a:pt x="14" y="15"/>
                </a:lnTo>
                <a:lnTo>
                  <a:pt x="14" y="38"/>
                </a:lnTo>
                <a:lnTo>
                  <a:pt x="0" y="62"/>
                </a:lnTo>
                <a:close/>
              </a:path>
            </a:pathLst>
          </a:custGeom>
          <a:solidFill>
            <a:srgbClr val="F5F5C8"/>
          </a:solidFill>
          <a:ln w="9525">
            <a:solidFill>
              <a:srgbClr val="FFFFFF"/>
            </a:solidFill>
            <a:miter lim="800000"/>
            <a:headEnd/>
            <a:tailEnd/>
          </a:ln>
        </xdr:spPr>
        <xdr:txBody>
          <a:bodyPr vertOverflow="clip" wrap="square" lIns="36576" tIns="32004" rIns="0" bIns="0" anchor="t"/>
          <a:lstStyle/>
          <a:p>
            <a:pPr algn="l" rtl="0">
              <a:defRPr sz="1000"/>
            </a:pPr>
            <a:endParaRPr lang="en-US" sz="1600" b="0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 algn="l" rtl="0">
              <a:defRPr sz="1000"/>
            </a:pPr>
            <a:endParaRPr lang="en-US"/>
          </a:p>
        </xdr:txBody>
      </xdr:sp>
      <xdr:sp macro="" textlink="">
        <xdr:nvSpPr>
          <xdr:cNvPr id="25956" name="Freeform 135"/>
          <xdr:cNvSpPr>
            <a:spLocks/>
          </xdr:cNvSpPr>
        </xdr:nvSpPr>
        <xdr:spPr bwMode="auto">
          <a:xfrm>
            <a:off x="963" y="520"/>
            <a:ext cx="5" cy="10"/>
          </a:xfrm>
          <a:custGeom>
            <a:avLst/>
            <a:gdLst>
              <a:gd name="T0" fmla="*/ 0 w 24"/>
              <a:gd name="T1" fmla="*/ 0 h 47"/>
              <a:gd name="T2" fmla="*/ 0 w 24"/>
              <a:gd name="T3" fmla="*/ 0 h 47"/>
              <a:gd name="T4" fmla="*/ 0 w 24"/>
              <a:gd name="T5" fmla="*/ 0 h 47"/>
              <a:gd name="T6" fmla="*/ 0 w 24"/>
              <a:gd name="T7" fmla="*/ 0 h 47"/>
              <a:gd name="T8" fmla="*/ 0 w 24"/>
              <a:gd name="T9" fmla="*/ 0 h 47"/>
              <a:gd name="T10" fmla="*/ 0 w 24"/>
              <a:gd name="T11" fmla="*/ 0 h 47"/>
              <a:gd name="T12" fmla="*/ 0 w 24"/>
              <a:gd name="T13" fmla="*/ 0 h 47"/>
              <a:gd name="T14" fmla="*/ 0 w 24"/>
              <a:gd name="T15" fmla="*/ 0 h 47"/>
              <a:gd name="T16" fmla="*/ 0 w 24"/>
              <a:gd name="T17" fmla="*/ 0 h 47"/>
              <a:gd name="T18" fmla="*/ 0 w 24"/>
              <a:gd name="T19" fmla="*/ 0 h 47"/>
              <a:gd name="T20" fmla="*/ 0 w 24"/>
              <a:gd name="T21" fmla="*/ 0 h 47"/>
              <a:gd name="T22" fmla="*/ 0 w 24"/>
              <a:gd name="T23" fmla="*/ 0 h 47"/>
              <a:gd name="T24" fmla="*/ 0 60000 65536"/>
              <a:gd name="T25" fmla="*/ 0 60000 65536"/>
              <a:gd name="T26" fmla="*/ 0 60000 65536"/>
              <a:gd name="T27" fmla="*/ 0 60000 65536"/>
              <a:gd name="T28" fmla="*/ 0 60000 65536"/>
              <a:gd name="T29" fmla="*/ 0 60000 65536"/>
              <a:gd name="T30" fmla="*/ 0 60000 65536"/>
              <a:gd name="T31" fmla="*/ 0 60000 65536"/>
              <a:gd name="T32" fmla="*/ 0 60000 65536"/>
              <a:gd name="T33" fmla="*/ 0 60000 65536"/>
              <a:gd name="T34" fmla="*/ 0 60000 65536"/>
              <a:gd name="T35" fmla="*/ 0 60000 65536"/>
              <a:gd name="T36" fmla="*/ 0 w 24"/>
              <a:gd name="T37" fmla="*/ 0 h 47"/>
              <a:gd name="T38" fmla="*/ 24 w 24"/>
              <a:gd name="T39" fmla="*/ 47 h 47"/>
            </a:gdLst>
            <a:ahLst/>
            <a:cxnLst>
              <a:cxn ang="T24">
                <a:pos x="T0" y="T1"/>
              </a:cxn>
              <a:cxn ang="T25">
                <a:pos x="T2" y="T3"/>
              </a:cxn>
              <a:cxn ang="T26">
                <a:pos x="T4" y="T5"/>
              </a:cxn>
              <a:cxn ang="T27">
                <a:pos x="T6" y="T7"/>
              </a:cxn>
              <a:cxn ang="T28">
                <a:pos x="T8" y="T9"/>
              </a:cxn>
              <a:cxn ang="T29">
                <a:pos x="T10" y="T11"/>
              </a:cxn>
              <a:cxn ang="T30">
                <a:pos x="T12" y="T13"/>
              </a:cxn>
              <a:cxn ang="T31">
                <a:pos x="T14" y="T15"/>
              </a:cxn>
              <a:cxn ang="T32">
                <a:pos x="T16" y="T17"/>
              </a:cxn>
              <a:cxn ang="T33">
                <a:pos x="T18" y="T19"/>
              </a:cxn>
              <a:cxn ang="T34">
                <a:pos x="T20" y="T21"/>
              </a:cxn>
              <a:cxn ang="T35">
                <a:pos x="T22" y="T23"/>
              </a:cxn>
            </a:cxnLst>
            <a:rect l="T36" t="T37" r="T38" b="T39"/>
            <a:pathLst>
              <a:path w="24" h="47">
                <a:moveTo>
                  <a:pt x="0" y="17"/>
                </a:moveTo>
                <a:lnTo>
                  <a:pt x="9" y="32"/>
                </a:lnTo>
                <a:lnTo>
                  <a:pt x="24" y="47"/>
                </a:lnTo>
                <a:lnTo>
                  <a:pt x="9" y="32"/>
                </a:lnTo>
                <a:lnTo>
                  <a:pt x="9" y="26"/>
                </a:lnTo>
                <a:lnTo>
                  <a:pt x="24" y="26"/>
                </a:lnTo>
                <a:lnTo>
                  <a:pt x="24" y="7"/>
                </a:lnTo>
                <a:lnTo>
                  <a:pt x="24" y="17"/>
                </a:lnTo>
                <a:lnTo>
                  <a:pt x="9" y="0"/>
                </a:lnTo>
                <a:lnTo>
                  <a:pt x="0" y="17"/>
                </a:lnTo>
                <a:close/>
              </a:path>
            </a:pathLst>
          </a:custGeom>
          <a:solidFill>
            <a:srgbClr val="F5F5C8"/>
          </a:solidFill>
          <a:ln w="9525">
            <a:solidFill>
              <a:srgbClr val="FFFFFF"/>
            </a:solidFill>
            <a:miter lim="800000"/>
            <a:headEnd/>
            <a:tailEnd/>
          </a:ln>
        </xdr:spPr>
        <xdr:txBody>
          <a:bodyPr vertOverflow="clip" wrap="square" lIns="36576" tIns="32004" rIns="0" bIns="0" anchor="t"/>
          <a:lstStyle/>
          <a:p>
            <a:pPr algn="l" rtl="0">
              <a:defRPr sz="1000"/>
            </a:pPr>
            <a:endParaRPr lang="en-US" sz="1600" b="0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 algn="l" rtl="0">
              <a:defRPr sz="1000"/>
            </a:pPr>
            <a:endParaRPr lang="en-US"/>
          </a:p>
        </xdr:txBody>
      </xdr:sp>
      <xdr:sp macro="" textlink="">
        <xdr:nvSpPr>
          <xdr:cNvPr id="25957" name="Freeform 136"/>
          <xdr:cNvSpPr>
            <a:spLocks/>
          </xdr:cNvSpPr>
        </xdr:nvSpPr>
        <xdr:spPr bwMode="auto">
          <a:xfrm>
            <a:off x="959" y="537"/>
            <a:ext cx="5" cy="5"/>
          </a:xfrm>
          <a:custGeom>
            <a:avLst/>
            <a:gdLst>
              <a:gd name="T0" fmla="*/ 0 w 22"/>
              <a:gd name="T1" fmla="*/ 0 h 25"/>
              <a:gd name="T2" fmla="*/ 0 w 22"/>
              <a:gd name="T3" fmla="*/ 0 h 25"/>
              <a:gd name="T4" fmla="*/ 0 w 22"/>
              <a:gd name="T5" fmla="*/ 0 h 25"/>
              <a:gd name="T6" fmla="*/ 0 w 22"/>
              <a:gd name="T7" fmla="*/ 0 h 25"/>
              <a:gd name="T8" fmla="*/ 0 w 22"/>
              <a:gd name="T9" fmla="*/ 0 h 25"/>
              <a:gd name="T10" fmla="*/ 0 w 22"/>
              <a:gd name="T11" fmla="*/ 0 h 25"/>
              <a:gd name="T12" fmla="*/ 0 60000 65536"/>
              <a:gd name="T13" fmla="*/ 0 60000 65536"/>
              <a:gd name="T14" fmla="*/ 0 60000 65536"/>
              <a:gd name="T15" fmla="*/ 0 60000 65536"/>
              <a:gd name="T16" fmla="*/ 0 60000 65536"/>
              <a:gd name="T17" fmla="*/ 0 60000 65536"/>
              <a:gd name="T18" fmla="*/ 0 w 22"/>
              <a:gd name="T19" fmla="*/ 0 h 25"/>
              <a:gd name="T20" fmla="*/ 22 w 22"/>
              <a:gd name="T21" fmla="*/ 25 h 25"/>
            </a:gdLst>
            <a:ahLst/>
            <a:cxnLst>
              <a:cxn ang="T12">
                <a:pos x="T0" y="T1"/>
              </a:cxn>
              <a:cxn ang="T13">
                <a:pos x="T2" y="T3"/>
              </a:cxn>
              <a:cxn ang="T14">
                <a:pos x="T4" y="T5"/>
              </a:cxn>
              <a:cxn ang="T15">
                <a:pos x="T6" y="T7"/>
              </a:cxn>
              <a:cxn ang="T16">
                <a:pos x="T8" y="T9"/>
              </a:cxn>
              <a:cxn ang="T17">
                <a:pos x="T10" y="T11"/>
              </a:cxn>
            </a:cxnLst>
            <a:rect l="T18" t="T19" r="T20" b="T21"/>
            <a:pathLst>
              <a:path w="22" h="25">
                <a:moveTo>
                  <a:pt x="0" y="0"/>
                </a:moveTo>
                <a:lnTo>
                  <a:pt x="22" y="25"/>
                </a:lnTo>
                <a:lnTo>
                  <a:pt x="22" y="0"/>
                </a:lnTo>
                <a:lnTo>
                  <a:pt x="0" y="0"/>
                </a:lnTo>
                <a:close/>
              </a:path>
            </a:pathLst>
          </a:custGeom>
          <a:solidFill>
            <a:srgbClr val="F5F5C8"/>
          </a:solidFill>
          <a:ln w="9525">
            <a:solidFill>
              <a:srgbClr val="FFFFFF"/>
            </a:solidFill>
            <a:miter lim="800000"/>
            <a:headEnd/>
            <a:tailEnd/>
          </a:ln>
        </xdr:spPr>
        <xdr:txBody>
          <a:bodyPr vertOverflow="clip" wrap="square" lIns="36576" tIns="32004" rIns="0" bIns="0" anchor="t"/>
          <a:lstStyle/>
          <a:p>
            <a:pPr algn="l" rtl="0">
              <a:defRPr sz="1000"/>
            </a:pPr>
            <a:endParaRPr lang="en-US" sz="1600" b="0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 algn="l" rtl="0">
              <a:defRPr sz="1000"/>
            </a:pPr>
            <a:endParaRPr lang="en-US"/>
          </a:p>
        </xdr:txBody>
      </xdr:sp>
      <xdr:sp macro="" textlink="">
        <xdr:nvSpPr>
          <xdr:cNvPr id="25958" name="Freeform 137"/>
          <xdr:cNvSpPr>
            <a:spLocks/>
          </xdr:cNvSpPr>
        </xdr:nvSpPr>
        <xdr:spPr bwMode="auto">
          <a:xfrm>
            <a:off x="964" y="535"/>
            <a:ext cx="10" cy="6"/>
          </a:xfrm>
          <a:custGeom>
            <a:avLst/>
            <a:gdLst>
              <a:gd name="T0" fmla="*/ 0 w 45"/>
              <a:gd name="T1" fmla="*/ 0 h 29"/>
              <a:gd name="T2" fmla="*/ 0 w 45"/>
              <a:gd name="T3" fmla="*/ 0 h 29"/>
              <a:gd name="T4" fmla="*/ 0 w 45"/>
              <a:gd name="T5" fmla="*/ 0 h 29"/>
              <a:gd name="T6" fmla="*/ 0 w 45"/>
              <a:gd name="T7" fmla="*/ 0 h 29"/>
              <a:gd name="T8" fmla="*/ 0 w 45"/>
              <a:gd name="T9" fmla="*/ 0 h 29"/>
              <a:gd name="T10" fmla="*/ 0 w 45"/>
              <a:gd name="T11" fmla="*/ 0 h 29"/>
              <a:gd name="T12" fmla="*/ 0 w 45"/>
              <a:gd name="T13" fmla="*/ 0 h 29"/>
              <a:gd name="T14" fmla="*/ 0 60000 65536"/>
              <a:gd name="T15" fmla="*/ 0 60000 65536"/>
              <a:gd name="T16" fmla="*/ 0 60000 65536"/>
              <a:gd name="T17" fmla="*/ 0 60000 65536"/>
              <a:gd name="T18" fmla="*/ 0 60000 65536"/>
              <a:gd name="T19" fmla="*/ 0 60000 65536"/>
              <a:gd name="T20" fmla="*/ 0 60000 65536"/>
              <a:gd name="T21" fmla="*/ 0 w 45"/>
              <a:gd name="T22" fmla="*/ 0 h 29"/>
              <a:gd name="T23" fmla="*/ 45 w 45"/>
              <a:gd name="T24" fmla="*/ 29 h 29"/>
            </a:gdLst>
            <a:ahLst/>
            <a:cxnLst>
              <a:cxn ang="T14">
                <a:pos x="T0" y="T1"/>
              </a:cxn>
              <a:cxn ang="T15">
                <a:pos x="T2" y="T3"/>
              </a:cxn>
              <a:cxn ang="T16">
                <a:pos x="T4" y="T5"/>
              </a:cxn>
              <a:cxn ang="T17">
                <a:pos x="T6" y="T7"/>
              </a:cxn>
              <a:cxn ang="T18">
                <a:pos x="T8" y="T9"/>
              </a:cxn>
              <a:cxn ang="T19">
                <a:pos x="T10" y="T11"/>
              </a:cxn>
              <a:cxn ang="T20">
                <a:pos x="T12" y="T13"/>
              </a:cxn>
            </a:cxnLst>
            <a:rect l="T21" t="T22" r="T23" b="T24"/>
            <a:pathLst>
              <a:path w="45" h="29">
                <a:moveTo>
                  <a:pt x="0" y="9"/>
                </a:moveTo>
                <a:lnTo>
                  <a:pt x="45" y="29"/>
                </a:lnTo>
                <a:lnTo>
                  <a:pt x="21" y="0"/>
                </a:lnTo>
                <a:lnTo>
                  <a:pt x="8" y="0"/>
                </a:lnTo>
                <a:lnTo>
                  <a:pt x="0" y="9"/>
                </a:lnTo>
                <a:close/>
              </a:path>
            </a:pathLst>
          </a:custGeom>
          <a:solidFill>
            <a:srgbClr val="F5F5C8"/>
          </a:solidFill>
          <a:ln w="9525">
            <a:solidFill>
              <a:srgbClr val="FFFFFF"/>
            </a:solidFill>
            <a:miter lim="800000"/>
            <a:headEnd/>
            <a:tailEnd/>
          </a:ln>
        </xdr:spPr>
        <xdr:txBody>
          <a:bodyPr vertOverflow="clip" wrap="square" lIns="36576" tIns="32004" rIns="0" bIns="0" anchor="t"/>
          <a:lstStyle/>
          <a:p>
            <a:pPr algn="l" rtl="0">
              <a:defRPr sz="1000"/>
            </a:pPr>
            <a:endParaRPr lang="en-US" sz="1600" b="0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 algn="l" rtl="0">
              <a:defRPr sz="1000"/>
            </a:pPr>
            <a:endParaRPr lang="en-US"/>
          </a:p>
        </xdr:txBody>
      </xdr:sp>
    </xdr:grpSp>
    <xdr:clientData/>
  </xdr:twoCellAnchor>
  <xdr:twoCellAnchor>
    <xdr:from>
      <xdr:col>14</xdr:col>
      <xdr:colOff>76200</xdr:colOff>
      <xdr:row>27</xdr:row>
      <xdr:rowOff>123825</xdr:rowOff>
    </xdr:from>
    <xdr:to>
      <xdr:col>14</xdr:col>
      <xdr:colOff>352425</xdr:colOff>
      <xdr:row>30</xdr:row>
      <xdr:rowOff>28575</xdr:rowOff>
    </xdr:to>
    <xdr:grpSp>
      <xdr:nvGrpSpPr>
        <xdr:cNvPr id="25825" name="S_PHL"/>
        <xdr:cNvGrpSpPr>
          <a:grpSpLocks/>
        </xdr:cNvGrpSpPr>
      </xdr:nvGrpSpPr>
      <xdr:grpSpPr bwMode="auto">
        <a:xfrm>
          <a:off x="9556376" y="4684619"/>
          <a:ext cx="276225" cy="375397"/>
          <a:chOff x="932" y="468"/>
          <a:chExt cx="29" cy="41"/>
        </a:xfrm>
      </xdr:grpSpPr>
      <xdr:sp macro="" textlink="">
        <xdr:nvSpPr>
          <xdr:cNvPr id="25938" name="Freeform 138"/>
          <xdr:cNvSpPr>
            <a:spLocks/>
          </xdr:cNvSpPr>
        </xdr:nvSpPr>
        <xdr:spPr bwMode="auto">
          <a:xfrm>
            <a:off x="941" y="468"/>
            <a:ext cx="13" cy="16"/>
          </a:xfrm>
          <a:custGeom>
            <a:avLst/>
            <a:gdLst>
              <a:gd name="T0" fmla="*/ 0 w 56"/>
              <a:gd name="T1" fmla="*/ 2 h 74"/>
              <a:gd name="T2" fmla="*/ 0 w 56"/>
              <a:gd name="T3" fmla="*/ 2 h 74"/>
              <a:gd name="T4" fmla="*/ 1 w 56"/>
              <a:gd name="T5" fmla="*/ 3 h 74"/>
              <a:gd name="T6" fmla="*/ 1 w 56"/>
              <a:gd name="T7" fmla="*/ 3 h 74"/>
              <a:gd name="T8" fmla="*/ 2 w 56"/>
              <a:gd name="T9" fmla="*/ 3 h 74"/>
              <a:gd name="T10" fmla="*/ 2 w 56"/>
              <a:gd name="T11" fmla="*/ 3 h 74"/>
              <a:gd name="T12" fmla="*/ 2 w 56"/>
              <a:gd name="T13" fmla="*/ 3 h 74"/>
              <a:gd name="T14" fmla="*/ 2 w 56"/>
              <a:gd name="T15" fmla="*/ 3 h 74"/>
              <a:gd name="T16" fmla="*/ 3 w 56"/>
              <a:gd name="T17" fmla="*/ 3 h 74"/>
              <a:gd name="T18" fmla="*/ 2 w 56"/>
              <a:gd name="T19" fmla="*/ 3 h 74"/>
              <a:gd name="T20" fmla="*/ 3 w 56"/>
              <a:gd name="T21" fmla="*/ 3 h 74"/>
              <a:gd name="T22" fmla="*/ 2 w 56"/>
              <a:gd name="T23" fmla="*/ 3 h 74"/>
              <a:gd name="T24" fmla="*/ 2 w 56"/>
              <a:gd name="T25" fmla="*/ 3 h 74"/>
              <a:gd name="T26" fmla="*/ 1 w 56"/>
              <a:gd name="T27" fmla="*/ 2 h 74"/>
              <a:gd name="T28" fmla="*/ 2 w 56"/>
              <a:gd name="T29" fmla="*/ 1 h 74"/>
              <a:gd name="T30" fmla="*/ 2 w 56"/>
              <a:gd name="T31" fmla="*/ 1 h 74"/>
              <a:gd name="T32" fmla="*/ 2 w 56"/>
              <a:gd name="T33" fmla="*/ 0 h 74"/>
              <a:gd name="T34" fmla="*/ 2 w 56"/>
              <a:gd name="T35" fmla="*/ 0 h 74"/>
              <a:gd name="T36" fmla="*/ 1 w 56"/>
              <a:gd name="T37" fmla="*/ 0 h 74"/>
              <a:gd name="T38" fmla="*/ 0 w 56"/>
              <a:gd name="T39" fmla="*/ 2 h 74"/>
              <a:gd name="T40" fmla="*/ 0 w 56"/>
              <a:gd name="T41" fmla="*/ 2 h 74"/>
              <a:gd name="T42" fmla="*/ 0 w 56"/>
              <a:gd name="T43" fmla="*/ 2 h 74"/>
              <a:gd name="T44" fmla="*/ 0 60000 65536"/>
              <a:gd name="T45" fmla="*/ 0 60000 65536"/>
              <a:gd name="T46" fmla="*/ 0 60000 65536"/>
              <a:gd name="T47" fmla="*/ 0 60000 65536"/>
              <a:gd name="T48" fmla="*/ 0 60000 65536"/>
              <a:gd name="T49" fmla="*/ 0 60000 65536"/>
              <a:gd name="T50" fmla="*/ 0 60000 65536"/>
              <a:gd name="T51" fmla="*/ 0 60000 65536"/>
              <a:gd name="T52" fmla="*/ 0 60000 65536"/>
              <a:gd name="T53" fmla="*/ 0 60000 65536"/>
              <a:gd name="T54" fmla="*/ 0 60000 65536"/>
              <a:gd name="T55" fmla="*/ 0 60000 65536"/>
              <a:gd name="T56" fmla="*/ 0 60000 65536"/>
              <a:gd name="T57" fmla="*/ 0 60000 65536"/>
              <a:gd name="T58" fmla="*/ 0 60000 65536"/>
              <a:gd name="T59" fmla="*/ 0 60000 65536"/>
              <a:gd name="T60" fmla="*/ 0 60000 65536"/>
              <a:gd name="T61" fmla="*/ 0 60000 65536"/>
              <a:gd name="T62" fmla="*/ 0 60000 65536"/>
              <a:gd name="T63" fmla="*/ 0 60000 65536"/>
              <a:gd name="T64" fmla="*/ 0 60000 65536"/>
              <a:gd name="T65" fmla="*/ 0 60000 65536"/>
              <a:gd name="T66" fmla="*/ 0 w 56"/>
              <a:gd name="T67" fmla="*/ 0 h 74"/>
              <a:gd name="T68" fmla="*/ 56 w 56"/>
              <a:gd name="T69" fmla="*/ 74 h 74"/>
            </a:gdLst>
            <a:ahLst/>
            <a:cxnLst>
              <a:cxn ang="T44">
                <a:pos x="T0" y="T1"/>
              </a:cxn>
              <a:cxn ang="T45">
                <a:pos x="T2" y="T3"/>
              </a:cxn>
              <a:cxn ang="T46">
                <a:pos x="T4" y="T5"/>
              </a:cxn>
              <a:cxn ang="T47">
                <a:pos x="T6" y="T7"/>
              </a:cxn>
              <a:cxn ang="T48">
                <a:pos x="T8" y="T9"/>
              </a:cxn>
              <a:cxn ang="T49">
                <a:pos x="T10" y="T11"/>
              </a:cxn>
              <a:cxn ang="T50">
                <a:pos x="T12" y="T13"/>
              </a:cxn>
              <a:cxn ang="T51">
                <a:pos x="T14" y="T15"/>
              </a:cxn>
              <a:cxn ang="T52">
                <a:pos x="T16" y="T17"/>
              </a:cxn>
              <a:cxn ang="T53">
                <a:pos x="T18" y="T19"/>
              </a:cxn>
              <a:cxn ang="T54">
                <a:pos x="T20" y="T21"/>
              </a:cxn>
              <a:cxn ang="T55">
                <a:pos x="T22" y="T23"/>
              </a:cxn>
              <a:cxn ang="T56">
                <a:pos x="T24" y="T25"/>
              </a:cxn>
              <a:cxn ang="T57">
                <a:pos x="T26" y="T27"/>
              </a:cxn>
              <a:cxn ang="T58">
                <a:pos x="T28" y="T29"/>
              </a:cxn>
              <a:cxn ang="T59">
                <a:pos x="T30" y="T31"/>
              </a:cxn>
              <a:cxn ang="T60">
                <a:pos x="T32" y="T33"/>
              </a:cxn>
              <a:cxn ang="T61">
                <a:pos x="T34" y="T35"/>
              </a:cxn>
              <a:cxn ang="T62">
                <a:pos x="T36" y="T37"/>
              </a:cxn>
              <a:cxn ang="T63">
                <a:pos x="T38" y="T39"/>
              </a:cxn>
              <a:cxn ang="T64">
                <a:pos x="T40" y="T41"/>
              </a:cxn>
              <a:cxn ang="T65">
                <a:pos x="T42" y="T43"/>
              </a:cxn>
            </a:cxnLst>
            <a:rect l="T66" t="T67" r="T68" b="T69"/>
            <a:pathLst>
              <a:path w="56" h="74">
                <a:moveTo>
                  <a:pt x="0" y="31"/>
                </a:moveTo>
                <a:lnTo>
                  <a:pt x="0" y="51"/>
                </a:lnTo>
                <a:lnTo>
                  <a:pt x="12" y="58"/>
                </a:lnTo>
                <a:lnTo>
                  <a:pt x="12" y="68"/>
                </a:lnTo>
                <a:lnTo>
                  <a:pt x="29" y="68"/>
                </a:lnTo>
                <a:lnTo>
                  <a:pt x="34" y="74"/>
                </a:lnTo>
                <a:lnTo>
                  <a:pt x="34" y="68"/>
                </a:lnTo>
                <a:lnTo>
                  <a:pt x="41" y="74"/>
                </a:lnTo>
                <a:lnTo>
                  <a:pt x="56" y="74"/>
                </a:lnTo>
                <a:lnTo>
                  <a:pt x="41" y="68"/>
                </a:lnTo>
                <a:lnTo>
                  <a:pt x="56" y="68"/>
                </a:lnTo>
                <a:lnTo>
                  <a:pt x="34" y="58"/>
                </a:lnTo>
                <a:lnTo>
                  <a:pt x="29" y="68"/>
                </a:lnTo>
                <a:lnTo>
                  <a:pt x="19" y="51"/>
                </a:lnTo>
                <a:lnTo>
                  <a:pt x="34" y="21"/>
                </a:lnTo>
                <a:lnTo>
                  <a:pt x="29" y="14"/>
                </a:lnTo>
                <a:lnTo>
                  <a:pt x="34" y="0"/>
                </a:lnTo>
                <a:lnTo>
                  <a:pt x="29" y="5"/>
                </a:lnTo>
                <a:lnTo>
                  <a:pt x="12" y="0"/>
                </a:lnTo>
                <a:lnTo>
                  <a:pt x="0" y="31"/>
                </a:lnTo>
                <a:close/>
              </a:path>
            </a:pathLst>
          </a:custGeom>
          <a:solidFill>
            <a:srgbClr val="F5F5E6"/>
          </a:solidFill>
          <a:ln w="9525">
            <a:solidFill>
              <a:srgbClr val="FFFFFF"/>
            </a:solidFill>
            <a:miter lim="800000"/>
            <a:headEnd/>
            <a:tailEnd/>
          </a:ln>
        </xdr:spPr>
        <xdr:txBody>
          <a:bodyPr vertOverflow="clip" wrap="square" lIns="36576" tIns="32004" rIns="0" bIns="0" anchor="t"/>
          <a:lstStyle/>
          <a:p>
            <a:pPr algn="l" rtl="0">
              <a:defRPr sz="1000"/>
            </a:pPr>
            <a:endParaRPr lang="en-US" sz="1600" b="0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 algn="l" rtl="0">
              <a:defRPr sz="1000"/>
            </a:pPr>
            <a:endParaRPr lang="en-US"/>
          </a:p>
        </xdr:txBody>
      </xdr:sp>
      <xdr:sp macro="" textlink="">
        <xdr:nvSpPr>
          <xdr:cNvPr id="25939" name="Freeform 139"/>
          <xdr:cNvSpPr>
            <a:spLocks/>
          </xdr:cNvSpPr>
        </xdr:nvSpPr>
        <xdr:spPr bwMode="auto">
          <a:xfrm>
            <a:off x="932" y="491"/>
            <a:ext cx="8" cy="9"/>
          </a:xfrm>
          <a:custGeom>
            <a:avLst/>
            <a:gdLst>
              <a:gd name="T0" fmla="*/ 0 w 37"/>
              <a:gd name="T1" fmla="*/ 2 h 43"/>
              <a:gd name="T2" fmla="*/ 2 w 37"/>
              <a:gd name="T3" fmla="*/ 1 h 43"/>
              <a:gd name="T4" fmla="*/ 2 w 37"/>
              <a:gd name="T5" fmla="*/ 0 h 43"/>
              <a:gd name="T6" fmla="*/ 0 w 37"/>
              <a:gd name="T7" fmla="*/ 2 h 43"/>
              <a:gd name="T8" fmla="*/ 0 w 37"/>
              <a:gd name="T9" fmla="*/ 2 h 43"/>
              <a:gd name="T10" fmla="*/ 0 w 37"/>
              <a:gd name="T11" fmla="*/ 2 h 43"/>
              <a:gd name="T12" fmla="*/ 0 60000 65536"/>
              <a:gd name="T13" fmla="*/ 0 60000 65536"/>
              <a:gd name="T14" fmla="*/ 0 60000 65536"/>
              <a:gd name="T15" fmla="*/ 0 60000 65536"/>
              <a:gd name="T16" fmla="*/ 0 60000 65536"/>
              <a:gd name="T17" fmla="*/ 0 60000 65536"/>
              <a:gd name="T18" fmla="*/ 0 w 37"/>
              <a:gd name="T19" fmla="*/ 0 h 43"/>
              <a:gd name="T20" fmla="*/ 37 w 37"/>
              <a:gd name="T21" fmla="*/ 43 h 43"/>
            </a:gdLst>
            <a:ahLst/>
            <a:cxnLst>
              <a:cxn ang="T12">
                <a:pos x="T0" y="T1"/>
              </a:cxn>
              <a:cxn ang="T13">
                <a:pos x="T2" y="T3"/>
              </a:cxn>
              <a:cxn ang="T14">
                <a:pos x="T4" y="T5"/>
              </a:cxn>
              <a:cxn ang="T15">
                <a:pos x="T6" y="T7"/>
              </a:cxn>
              <a:cxn ang="T16">
                <a:pos x="T8" y="T9"/>
              </a:cxn>
              <a:cxn ang="T17">
                <a:pos x="T10" y="T11"/>
              </a:cxn>
            </a:cxnLst>
            <a:rect l="T18" t="T19" r="T20" b="T21"/>
            <a:pathLst>
              <a:path w="37" h="43">
                <a:moveTo>
                  <a:pt x="0" y="43"/>
                </a:moveTo>
                <a:lnTo>
                  <a:pt x="37" y="13"/>
                </a:lnTo>
                <a:lnTo>
                  <a:pt x="37" y="0"/>
                </a:lnTo>
                <a:lnTo>
                  <a:pt x="0" y="43"/>
                </a:lnTo>
                <a:close/>
              </a:path>
            </a:pathLst>
          </a:custGeom>
          <a:solidFill>
            <a:srgbClr val="F5F5E6"/>
          </a:solidFill>
          <a:ln w="9525">
            <a:solidFill>
              <a:srgbClr val="FFFFFF"/>
            </a:solidFill>
            <a:miter lim="800000"/>
            <a:headEnd/>
            <a:tailEnd/>
          </a:ln>
        </xdr:spPr>
        <xdr:txBody>
          <a:bodyPr vertOverflow="clip" wrap="square" lIns="36576" tIns="32004" rIns="0" bIns="0" anchor="t"/>
          <a:lstStyle/>
          <a:p>
            <a:pPr algn="l" rtl="0">
              <a:defRPr sz="1000"/>
            </a:pPr>
            <a:endParaRPr lang="en-US" sz="1600" b="0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 algn="l" rtl="0">
              <a:defRPr sz="1000"/>
            </a:pPr>
            <a:endParaRPr lang="en-US"/>
          </a:p>
        </xdr:txBody>
      </xdr:sp>
      <xdr:sp macro="" textlink="">
        <xdr:nvSpPr>
          <xdr:cNvPr id="25940" name="Freeform 140"/>
          <xdr:cNvSpPr>
            <a:spLocks/>
          </xdr:cNvSpPr>
        </xdr:nvSpPr>
        <xdr:spPr bwMode="auto">
          <a:xfrm>
            <a:off x="941" y="483"/>
            <a:ext cx="5" cy="6"/>
          </a:xfrm>
          <a:custGeom>
            <a:avLst/>
            <a:gdLst>
              <a:gd name="T0" fmla="*/ 0 w 22"/>
              <a:gd name="T1" fmla="*/ 0 h 27"/>
              <a:gd name="T2" fmla="*/ 1 w 22"/>
              <a:gd name="T3" fmla="*/ 1 h 27"/>
              <a:gd name="T4" fmla="*/ 1 w 22"/>
              <a:gd name="T5" fmla="*/ 0 h 27"/>
              <a:gd name="T6" fmla="*/ 0 w 22"/>
              <a:gd name="T7" fmla="*/ 0 h 27"/>
              <a:gd name="T8" fmla="*/ 0 w 22"/>
              <a:gd name="T9" fmla="*/ 0 h 27"/>
              <a:gd name="T10" fmla="*/ 0 w 22"/>
              <a:gd name="T11" fmla="*/ 0 h 27"/>
              <a:gd name="T12" fmla="*/ 0 60000 65536"/>
              <a:gd name="T13" fmla="*/ 0 60000 65536"/>
              <a:gd name="T14" fmla="*/ 0 60000 65536"/>
              <a:gd name="T15" fmla="*/ 0 60000 65536"/>
              <a:gd name="T16" fmla="*/ 0 60000 65536"/>
              <a:gd name="T17" fmla="*/ 0 60000 65536"/>
              <a:gd name="T18" fmla="*/ 0 w 22"/>
              <a:gd name="T19" fmla="*/ 0 h 27"/>
              <a:gd name="T20" fmla="*/ 22 w 22"/>
              <a:gd name="T21" fmla="*/ 27 h 27"/>
            </a:gdLst>
            <a:ahLst/>
            <a:cxnLst>
              <a:cxn ang="T12">
                <a:pos x="T0" y="T1"/>
              </a:cxn>
              <a:cxn ang="T13">
                <a:pos x="T2" y="T3"/>
              </a:cxn>
              <a:cxn ang="T14">
                <a:pos x="T4" y="T5"/>
              </a:cxn>
              <a:cxn ang="T15">
                <a:pos x="T6" y="T7"/>
              </a:cxn>
              <a:cxn ang="T16">
                <a:pos x="T8" y="T9"/>
              </a:cxn>
              <a:cxn ang="T17">
                <a:pos x="T10" y="T11"/>
              </a:cxn>
            </a:cxnLst>
            <a:rect l="T18" t="T19" r="T20" b="T21"/>
            <a:pathLst>
              <a:path w="22" h="27">
                <a:moveTo>
                  <a:pt x="0" y="0"/>
                </a:moveTo>
                <a:lnTo>
                  <a:pt x="22" y="27"/>
                </a:lnTo>
                <a:lnTo>
                  <a:pt x="22" y="0"/>
                </a:lnTo>
                <a:lnTo>
                  <a:pt x="0" y="0"/>
                </a:lnTo>
                <a:close/>
              </a:path>
            </a:pathLst>
          </a:custGeom>
          <a:solidFill>
            <a:srgbClr val="F5F5E6"/>
          </a:solidFill>
          <a:ln w="9525">
            <a:solidFill>
              <a:srgbClr val="FFFFFF"/>
            </a:solidFill>
            <a:miter lim="800000"/>
            <a:headEnd/>
            <a:tailEnd/>
          </a:ln>
        </xdr:spPr>
        <xdr:txBody>
          <a:bodyPr vertOverflow="clip" wrap="square" lIns="36576" tIns="32004" rIns="0" bIns="0" anchor="t"/>
          <a:lstStyle/>
          <a:p>
            <a:pPr algn="l" rtl="0">
              <a:defRPr sz="1000"/>
            </a:pPr>
            <a:endParaRPr lang="en-US" sz="1600" b="0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 algn="l" rtl="0">
              <a:defRPr sz="1000"/>
            </a:pPr>
            <a:endParaRPr lang="en-US"/>
          </a:p>
        </xdr:txBody>
      </xdr:sp>
      <xdr:sp macro="" textlink="">
        <xdr:nvSpPr>
          <xdr:cNvPr id="25941" name="Freeform 141"/>
          <xdr:cNvSpPr>
            <a:spLocks/>
          </xdr:cNvSpPr>
        </xdr:nvSpPr>
        <xdr:spPr bwMode="auto">
          <a:xfrm>
            <a:off x="956" y="487"/>
            <a:ext cx="5" cy="7"/>
          </a:xfrm>
          <a:custGeom>
            <a:avLst/>
            <a:gdLst>
              <a:gd name="T0" fmla="*/ 0 w 22"/>
              <a:gd name="T1" fmla="*/ 0 h 35"/>
              <a:gd name="T2" fmla="*/ 1 w 22"/>
              <a:gd name="T3" fmla="*/ 0 h 35"/>
              <a:gd name="T4" fmla="*/ 0 w 22"/>
              <a:gd name="T5" fmla="*/ 1 h 35"/>
              <a:gd name="T6" fmla="*/ 0 w 22"/>
              <a:gd name="T7" fmla="*/ 1 h 35"/>
              <a:gd name="T8" fmla="*/ 1 w 22"/>
              <a:gd name="T9" fmla="*/ 1 h 35"/>
              <a:gd name="T10" fmla="*/ 1 w 22"/>
              <a:gd name="T11" fmla="*/ 1 h 35"/>
              <a:gd name="T12" fmla="*/ 1 w 22"/>
              <a:gd name="T13" fmla="*/ 1 h 35"/>
              <a:gd name="T14" fmla="*/ 1 w 22"/>
              <a:gd name="T15" fmla="*/ 0 h 35"/>
              <a:gd name="T16" fmla="*/ 1 w 22"/>
              <a:gd name="T17" fmla="*/ 0 h 35"/>
              <a:gd name="T18" fmla="*/ 0 w 22"/>
              <a:gd name="T19" fmla="*/ 0 h 35"/>
              <a:gd name="T20" fmla="*/ 0 w 22"/>
              <a:gd name="T21" fmla="*/ 0 h 35"/>
              <a:gd name="T22" fmla="*/ 0 w 22"/>
              <a:gd name="T23" fmla="*/ 0 h 35"/>
              <a:gd name="T24" fmla="*/ 0 60000 65536"/>
              <a:gd name="T25" fmla="*/ 0 60000 65536"/>
              <a:gd name="T26" fmla="*/ 0 60000 65536"/>
              <a:gd name="T27" fmla="*/ 0 60000 65536"/>
              <a:gd name="T28" fmla="*/ 0 60000 65536"/>
              <a:gd name="T29" fmla="*/ 0 60000 65536"/>
              <a:gd name="T30" fmla="*/ 0 60000 65536"/>
              <a:gd name="T31" fmla="*/ 0 60000 65536"/>
              <a:gd name="T32" fmla="*/ 0 60000 65536"/>
              <a:gd name="T33" fmla="*/ 0 60000 65536"/>
              <a:gd name="T34" fmla="*/ 0 60000 65536"/>
              <a:gd name="T35" fmla="*/ 0 60000 65536"/>
              <a:gd name="T36" fmla="*/ 0 w 22"/>
              <a:gd name="T37" fmla="*/ 0 h 35"/>
              <a:gd name="T38" fmla="*/ 22 w 22"/>
              <a:gd name="T39" fmla="*/ 35 h 35"/>
            </a:gdLst>
            <a:ahLst/>
            <a:cxnLst>
              <a:cxn ang="T24">
                <a:pos x="T0" y="T1"/>
              </a:cxn>
              <a:cxn ang="T25">
                <a:pos x="T2" y="T3"/>
              </a:cxn>
              <a:cxn ang="T26">
                <a:pos x="T4" y="T5"/>
              </a:cxn>
              <a:cxn ang="T27">
                <a:pos x="T6" y="T7"/>
              </a:cxn>
              <a:cxn ang="T28">
                <a:pos x="T8" y="T9"/>
              </a:cxn>
              <a:cxn ang="T29">
                <a:pos x="T10" y="T11"/>
              </a:cxn>
              <a:cxn ang="T30">
                <a:pos x="T12" y="T13"/>
              </a:cxn>
              <a:cxn ang="T31">
                <a:pos x="T14" y="T15"/>
              </a:cxn>
              <a:cxn ang="T32">
                <a:pos x="T16" y="T17"/>
              </a:cxn>
              <a:cxn ang="T33">
                <a:pos x="T18" y="T19"/>
              </a:cxn>
              <a:cxn ang="T34">
                <a:pos x="T20" y="T21"/>
              </a:cxn>
              <a:cxn ang="T35">
                <a:pos x="T22" y="T23"/>
              </a:cxn>
            </a:cxnLst>
            <a:rect l="T36" t="T37" r="T38" b="T39"/>
            <a:pathLst>
              <a:path w="22" h="35">
                <a:moveTo>
                  <a:pt x="0" y="0"/>
                </a:moveTo>
                <a:lnTo>
                  <a:pt x="13" y="8"/>
                </a:lnTo>
                <a:lnTo>
                  <a:pt x="0" y="17"/>
                </a:lnTo>
                <a:lnTo>
                  <a:pt x="0" y="35"/>
                </a:lnTo>
                <a:lnTo>
                  <a:pt x="13" y="35"/>
                </a:lnTo>
                <a:lnTo>
                  <a:pt x="13" y="17"/>
                </a:lnTo>
                <a:lnTo>
                  <a:pt x="22" y="17"/>
                </a:lnTo>
                <a:lnTo>
                  <a:pt x="13" y="8"/>
                </a:lnTo>
                <a:lnTo>
                  <a:pt x="13" y="0"/>
                </a:lnTo>
                <a:lnTo>
                  <a:pt x="0" y="0"/>
                </a:lnTo>
                <a:close/>
              </a:path>
            </a:pathLst>
          </a:custGeom>
          <a:solidFill>
            <a:srgbClr val="F5F5E6"/>
          </a:solidFill>
          <a:ln w="9525">
            <a:solidFill>
              <a:srgbClr val="FFFFFF"/>
            </a:solidFill>
            <a:miter lim="800000"/>
            <a:headEnd/>
            <a:tailEnd/>
          </a:ln>
        </xdr:spPr>
        <xdr:txBody>
          <a:bodyPr vertOverflow="clip" wrap="square" lIns="36576" tIns="32004" rIns="0" bIns="0" anchor="t"/>
          <a:lstStyle/>
          <a:p>
            <a:pPr algn="l" rtl="0">
              <a:defRPr sz="1000"/>
            </a:pPr>
            <a:endParaRPr lang="en-US" sz="1600" b="0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 algn="l" rtl="0">
              <a:defRPr sz="1000"/>
            </a:pPr>
            <a:endParaRPr lang="en-US"/>
          </a:p>
        </xdr:txBody>
      </xdr:sp>
      <xdr:sp macro="" textlink="">
        <xdr:nvSpPr>
          <xdr:cNvPr id="25942" name="Freeform 142"/>
          <xdr:cNvSpPr>
            <a:spLocks/>
          </xdr:cNvSpPr>
        </xdr:nvSpPr>
        <xdr:spPr bwMode="auto">
          <a:xfrm>
            <a:off x="948" y="489"/>
            <a:ext cx="8" cy="9"/>
          </a:xfrm>
          <a:custGeom>
            <a:avLst/>
            <a:gdLst>
              <a:gd name="T0" fmla="*/ 0 w 37"/>
              <a:gd name="T1" fmla="*/ 1 h 44"/>
              <a:gd name="T2" fmla="*/ 0 w 37"/>
              <a:gd name="T3" fmla="*/ 1 h 44"/>
              <a:gd name="T4" fmla="*/ 0 w 37"/>
              <a:gd name="T5" fmla="*/ 1 h 44"/>
              <a:gd name="T6" fmla="*/ 1 w 37"/>
              <a:gd name="T7" fmla="*/ 2 h 44"/>
              <a:gd name="T8" fmla="*/ 1 w 37"/>
              <a:gd name="T9" fmla="*/ 1 h 44"/>
              <a:gd name="T10" fmla="*/ 2 w 37"/>
              <a:gd name="T11" fmla="*/ 2 h 44"/>
              <a:gd name="T12" fmla="*/ 2 w 37"/>
              <a:gd name="T13" fmla="*/ 1 h 44"/>
              <a:gd name="T14" fmla="*/ 1 w 37"/>
              <a:gd name="T15" fmla="*/ 1 h 44"/>
              <a:gd name="T16" fmla="*/ 1 w 37"/>
              <a:gd name="T17" fmla="*/ 0 h 44"/>
              <a:gd name="T18" fmla="*/ 1 w 37"/>
              <a:gd name="T19" fmla="*/ 1 h 44"/>
              <a:gd name="T20" fmla="*/ 1 w 37"/>
              <a:gd name="T21" fmla="*/ 0 h 44"/>
              <a:gd name="T22" fmla="*/ 0 w 37"/>
              <a:gd name="T23" fmla="*/ 0 h 44"/>
              <a:gd name="T24" fmla="*/ 0 w 37"/>
              <a:gd name="T25" fmla="*/ 0 h 44"/>
              <a:gd name="T26" fmla="*/ 0 w 37"/>
              <a:gd name="T27" fmla="*/ 1 h 44"/>
              <a:gd name="T28" fmla="*/ 0 w 37"/>
              <a:gd name="T29" fmla="*/ 1 h 44"/>
              <a:gd name="T30" fmla="*/ 0 w 37"/>
              <a:gd name="T31" fmla="*/ 1 h 44"/>
              <a:gd name="T32" fmla="*/ 0 60000 65536"/>
              <a:gd name="T33" fmla="*/ 0 60000 65536"/>
              <a:gd name="T34" fmla="*/ 0 60000 65536"/>
              <a:gd name="T35" fmla="*/ 0 60000 65536"/>
              <a:gd name="T36" fmla="*/ 0 60000 65536"/>
              <a:gd name="T37" fmla="*/ 0 60000 65536"/>
              <a:gd name="T38" fmla="*/ 0 60000 65536"/>
              <a:gd name="T39" fmla="*/ 0 60000 65536"/>
              <a:gd name="T40" fmla="*/ 0 60000 65536"/>
              <a:gd name="T41" fmla="*/ 0 60000 65536"/>
              <a:gd name="T42" fmla="*/ 0 60000 65536"/>
              <a:gd name="T43" fmla="*/ 0 60000 65536"/>
              <a:gd name="T44" fmla="*/ 0 60000 65536"/>
              <a:gd name="T45" fmla="*/ 0 60000 65536"/>
              <a:gd name="T46" fmla="*/ 0 60000 65536"/>
              <a:gd name="T47" fmla="*/ 0 60000 65536"/>
              <a:gd name="T48" fmla="*/ 0 w 37"/>
              <a:gd name="T49" fmla="*/ 0 h 44"/>
              <a:gd name="T50" fmla="*/ 37 w 37"/>
              <a:gd name="T51" fmla="*/ 44 h 44"/>
            </a:gdLst>
            <a:ahLst/>
            <a:cxnLst>
              <a:cxn ang="T32">
                <a:pos x="T0" y="T1"/>
              </a:cxn>
              <a:cxn ang="T33">
                <a:pos x="T2" y="T3"/>
              </a:cxn>
              <a:cxn ang="T34">
                <a:pos x="T4" y="T5"/>
              </a:cxn>
              <a:cxn ang="T35">
                <a:pos x="T6" y="T7"/>
              </a:cxn>
              <a:cxn ang="T36">
                <a:pos x="T8" y="T9"/>
              </a:cxn>
              <a:cxn ang="T37">
                <a:pos x="T10" y="T11"/>
              </a:cxn>
              <a:cxn ang="T38">
                <a:pos x="T12" y="T13"/>
              </a:cxn>
              <a:cxn ang="T39">
                <a:pos x="T14" y="T15"/>
              </a:cxn>
              <a:cxn ang="T40">
                <a:pos x="T16" y="T17"/>
              </a:cxn>
              <a:cxn ang="T41">
                <a:pos x="T18" y="T19"/>
              </a:cxn>
              <a:cxn ang="T42">
                <a:pos x="T20" y="T21"/>
              </a:cxn>
              <a:cxn ang="T43">
                <a:pos x="T22" y="T23"/>
              </a:cxn>
              <a:cxn ang="T44">
                <a:pos x="T24" y="T25"/>
              </a:cxn>
              <a:cxn ang="T45">
                <a:pos x="T26" y="T27"/>
              </a:cxn>
              <a:cxn ang="T46">
                <a:pos x="T28" y="T29"/>
              </a:cxn>
              <a:cxn ang="T47">
                <a:pos x="T30" y="T31"/>
              </a:cxn>
            </a:cxnLst>
            <a:rect l="T48" t="T49" r="T50" b="T51"/>
            <a:pathLst>
              <a:path w="37" h="44">
                <a:moveTo>
                  <a:pt x="0" y="20"/>
                </a:moveTo>
                <a:lnTo>
                  <a:pt x="8" y="20"/>
                </a:lnTo>
                <a:lnTo>
                  <a:pt x="8" y="29"/>
                </a:lnTo>
                <a:lnTo>
                  <a:pt x="15" y="44"/>
                </a:lnTo>
                <a:lnTo>
                  <a:pt x="15" y="29"/>
                </a:lnTo>
                <a:lnTo>
                  <a:pt x="37" y="37"/>
                </a:lnTo>
                <a:lnTo>
                  <a:pt x="37" y="29"/>
                </a:lnTo>
                <a:lnTo>
                  <a:pt x="30" y="29"/>
                </a:lnTo>
                <a:lnTo>
                  <a:pt x="30" y="7"/>
                </a:lnTo>
                <a:lnTo>
                  <a:pt x="15" y="20"/>
                </a:lnTo>
                <a:lnTo>
                  <a:pt x="15" y="7"/>
                </a:lnTo>
                <a:lnTo>
                  <a:pt x="8" y="0"/>
                </a:lnTo>
                <a:lnTo>
                  <a:pt x="0" y="0"/>
                </a:lnTo>
                <a:lnTo>
                  <a:pt x="0" y="20"/>
                </a:lnTo>
                <a:close/>
              </a:path>
            </a:pathLst>
          </a:custGeom>
          <a:solidFill>
            <a:srgbClr val="F5F5E6"/>
          </a:solidFill>
          <a:ln w="9525">
            <a:solidFill>
              <a:srgbClr val="FFFFFF"/>
            </a:solidFill>
            <a:miter lim="800000"/>
            <a:headEnd/>
            <a:tailEnd/>
          </a:ln>
        </xdr:spPr>
        <xdr:txBody>
          <a:bodyPr vertOverflow="clip" wrap="square" lIns="36576" tIns="32004" rIns="0" bIns="0" anchor="t"/>
          <a:lstStyle/>
          <a:p>
            <a:pPr algn="l" rtl="0">
              <a:defRPr sz="1000"/>
            </a:pPr>
            <a:endParaRPr lang="en-US" sz="1600" b="0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 algn="l" rtl="0">
              <a:defRPr sz="1000"/>
            </a:pPr>
            <a:endParaRPr lang="en-US"/>
          </a:p>
        </xdr:txBody>
      </xdr:sp>
      <xdr:sp macro="" textlink="">
        <xdr:nvSpPr>
          <xdr:cNvPr id="25943" name="Freeform 143"/>
          <xdr:cNvSpPr>
            <a:spLocks/>
          </xdr:cNvSpPr>
        </xdr:nvSpPr>
        <xdr:spPr bwMode="auto">
          <a:xfrm>
            <a:off x="948" y="494"/>
            <a:ext cx="12" cy="15"/>
          </a:xfrm>
          <a:custGeom>
            <a:avLst/>
            <a:gdLst>
              <a:gd name="T0" fmla="*/ 0 w 57"/>
              <a:gd name="T1" fmla="*/ 2 h 66"/>
              <a:gd name="T2" fmla="*/ 0 w 57"/>
              <a:gd name="T3" fmla="*/ 2 h 66"/>
              <a:gd name="T4" fmla="*/ 1 w 57"/>
              <a:gd name="T5" fmla="*/ 2 h 66"/>
              <a:gd name="T6" fmla="*/ 1 w 57"/>
              <a:gd name="T7" fmla="*/ 3 h 66"/>
              <a:gd name="T8" fmla="*/ 2 w 57"/>
              <a:gd name="T9" fmla="*/ 3 h 66"/>
              <a:gd name="T10" fmla="*/ 2 w 57"/>
              <a:gd name="T11" fmla="*/ 3 h 66"/>
              <a:gd name="T12" fmla="*/ 2 w 57"/>
              <a:gd name="T13" fmla="*/ 2 h 66"/>
              <a:gd name="T14" fmla="*/ 2 w 57"/>
              <a:gd name="T15" fmla="*/ 2 h 66"/>
              <a:gd name="T16" fmla="*/ 3 w 57"/>
              <a:gd name="T17" fmla="*/ 3 h 66"/>
              <a:gd name="T18" fmla="*/ 3 w 57"/>
              <a:gd name="T19" fmla="*/ 1 h 66"/>
              <a:gd name="T20" fmla="*/ 2 w 57"/>
              <a:gd name="T21" fmla="*/ 0 h 66"/>
              <a:gd name="T22" fmla="*/ 2 w 57"/>
              <a:gd name="T23" fmla="*/ 1 h 66"/>
              <a:gd name="T24" fmla="*/ 1 w 57"/>
              <a:gd name="T25" fmla="*/ 1 h 66"/>
              <a:gd name="T26" fmla="*/ 1 w 57"/>
              <a:gd name="T27" fmla="*/ 1 h 66"/>
              <a:gd name="T28" fmla="*/ 1 w 57"/>
              <a:gd name="T29" fmla="*/ 1 h 66"/>
              <a:gd name="T30" fmla="*/ 0 w 57"/>
              <a:gd name="T31" fmla="*/ 2 h 66"/>
              <a:gd name="T32" fmla="*/ 0 w 57"/>
              <a:gd name="T33" fmla="*/ 2 h 66"/>
              <a:gd name="T34" fmla="*/ 0 w 57"/>
              <a:gd name="T35" fmla="*/ 2 h 66"/>
              <a:gd name="T36" fmla="*/ 0 w 57"/>
              <a:gd name="T37" fmla="*/ 2 h 66"/>
              <a:gd name="T38" fmla="*/ 0 60000 65536"/>
              <a:gd name="T39" fmla="*/ 0 60000 65536"/>
              <a:gd name="T40" fmla="*/ 0 60000 65536"/>
              <a:gd name="T41" fmla="*/ 0 60000 65536"/>
              <a:gd name="T42" fmla="*/ 0 60000 65536"/>
              <a:gd name="T43" fmla="*/ 0 60000 65536"/>
              <a:gd name="T44" fmla="*/ 0 60000 65536"/>
              <a:gd name="T45" fmla="*/ 0 60000 65536"/>
              <a:gd name="T46" fmla="*/ 0 60000 65536"/>
              <a:gd name="T47" fmla="*/ 0 60000 65536"/>
              <a:gd name="T48" fmla="*/ 0 60000 65536"/>
              <a:gd name="T49" fmla="*/ 0 60000 65536"/>
              <a:gd name="T50" fmla="*/ 0 60000 65536"/>
              <a:gd name="T51" fmla="*/ 0 60000 65536"/>
              <a:gd name="T52" fmla="*/ 0 60000 65536"/>
              <a:gd name="T53" fmla="*/ 0 60000 65536"/>
              <a:gd name="T54" fmla="*/ 0 60000 65536"/>
              <a:gd name="T55" fmla="*/ 0 60000 65536"/>
              <a:gd name="T56" fmla="*/ 0 60000 65536"/>
              <a:gd name="T57" fmla="*/ 0 w 57"/>
              <a:gd name="T58" fmla="*/ 0 h 66"/>
              <a:gd name="T59" fmla="*/ 57 w 57"/>
              <a:gd name="T60" fmla="*/ 66 h 66"/>
            </a:gdLst>
            <a:ahLst/>
            <a:cxnLst>
              <a:cxn ang="T38">
                <a:pos x="T0" y="T1"/>
              </a:cxn>
              <a:cxn ang="T39">
                <a:pos x="T2" y="T3"/>
              </a:cxn>
              <a:cxn ang="T40">
                <a:pos x="T4" y="T5"/>
              </a:cxn>
              <a:cxn ang="T41">
                <a:pos x="T6" y="T7"/>
              </a:cxn>
              <a:cxn ang="T42">
                <a:pos x="T8" y="T9"/>
              </a:cxn>
              <a:cxn ang="T43">
                <a:pos x="T10" y="T11"/>
              </a:cxn>
              <a:cxn ang="T44">
                <a:pos x="T12" y="T13"/>
              </a:cxn>
              <a:cxn ang="T45">
                <a:pos x="T14" y="T15"/>
              </a:cxn>
              <a:cxn ang="T46">
                <a:pos x="T16" y="T17"/>
              </a:cxn>
              <a:cxn ang="T47">
                <a:pos x="T18" y="T19"/>
              </a:cxn>
              <a:cxn ang="T48">
                <a:pos x="T20" y="T21"/>
              </a:cxn>
              <a:cxn ang="T49">
                <a:pos x="T22" y="T23"/>
              </a:cxn>
              <a:cxn ang="T50">
                <a:pos x="T24" y="T25"/>
              </a:cxn>
              <a:cxn ang="T51">
                <a:pos x="T26" y="T27"/>
              </a:cxn>
              <a:cxn ang="T52">
                <a:pos x="T28" y="T29"/>
              </a:cxn>
              <a:cxn ang="T53">
                <a:pos x="T30" y="T31"/>
              </a:cxn>
              <a:cxn ang="T54">
                <a:pos x="T32" y="T33"/>
              </a:cxn>
              <a:cxn ang="T55">
                <a:pos x="T34" y="T35"/>
              </a:cxn>
              <a:cxn ang="T56">
                <a:pos x="T36" y="T37"/>
              </a:cxn>
            </a:cxnLst>
            <a:rect l="T57" t="T58" r="T59" b="T60"/>
            <a:pathLst>
              <a:path w="57" h="66">
                <a:moveTo>
                  <a:pt x="0" y="47"/>
                </a:moveTo>
                <a:lnTo>
                  <a:pt x="7" y="40"/>
                </a:lnTo>
                <a:lnTo>
                  <a:pt x="33" y="40"/>
                </a:lnTo>
                <a:lnTo>
                  <a:pt x="28" y="57"/>
                </a:lnTo>
                <a:lnTo>
                  <a:pt x="43" y="66"/>
                </a:lnTo>
                <a:lnTo>
                  <a:pt x="48" y="57"/>
                </a:lnTo>
                <a:lnTo>
                  <a:pt x="43" y="47"/>
                </a:lnTo>
                <a:lnTo>
                  <a:pt x="48" y="40"/>
                </a:lnTo>
                <a:lnTo>
                  <a:pt x="57" y="57"/>
                </a:lnTo>
                <a:lnTo>
                  <a:pt x="57" y="17"/>
                </a:lnTo>
                <a:lnTo>
                  <a:pt x="43" y="0"/>
                </a:lnTo>
                <a:lnTo>
                  <a:pt x="43" y="17"/>
                </a:lnTo>
                <a:lnTo>
                  <a:pt x="33" y="17"/>
                </a:lnTo>
                <a:lnTo>
                  <a:pt x="28" y="25"/>
                </a:lnTo>
                <a:lnTo>
                  <a:pt x="13" y="17"/>
                </a:lnTo>
                <a:lnTo>
                  <a:pt x="0" y="40"/>
                </a:lnTo>
                <a:lnTo>
                  <a:pt x="0" y="47"/>
                </a:lnTo>
                <a:close/>
              </a:path>
            </a:pathLst>
          </a:custGeom>
          <a:solidFill>
            <a:srgbClr val="F5F5E6"/>
          </a:solidFill>
          <a:ln w="9525">
            <a:solidFill>
              <a:srgbClr val="FFFFFF"/>
            </a:solidFill>
            <a:miter lim="800000"/>
            <a:headEnd/>
            <a:tailEnd/>
          </a:ln>
        </xdr:spPr>
        <xdr:txBody>
          <a:bodyPr vertOverflow="clip" wrap="square" lIns="36576" tIns="32004" rIns="0" bIns="0" anchor="t"/>
          <a:lstStyle/>
          <a:p>
            <a:pPr algn="l" rtl="0">
              <a:defRPr sz="1000"/>
            </a:pPr>
            <a:endParaRPr lang="en-US" sz="1600" b="0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 algn="l" rtl="0">
              <a:defRPr sz="1000"/>
            </a:pPr>
            <a:endParaRPr lang="en-US"/>
          </a:p>
        </xdr:txBody>
      </xdr:sp>
    </xdr:grpSp>
    <xdr:clientData/>
  </xdr:twoCellAnchor>
  <xdr:twoCellAnchor>
    <xdr:from>
      <xdr:col>15</xdr:col>
      <xdr:colOff>47625</xdr:colOff>
      <xdr:row>31</xdr:row>
      <xdr:rowOff>114300</xdr:rowOff>
    </xdr:from>
    <xdr:to>
      <xdr:col>15</xdr:col>
      <xdr:colOff>485775</xdr:colOff>
      <xdr:row>33</xdr:row>
      <xdr:rowOff>38100</xdr:rowOff>
    </xdr:to>
    <xdr:grpSp>
      <xdr:nvGrpSpPr>
        <xdr:cNvPr id="25826" name="S_PNG"/>
        <xdr:cNvGrpSpPr>
          <a:grpSpLocks/>
        </xdr:cNvGrpSpPr>
      </xdr:nvGrpSpPr>
      <xdr:grpSpPr bwMode="auto">
        <a:xfrm>
          <a:off x="10244978" y="5302624"/>
          <a:ext cx="438150" cy="237564"/>
          <a:chOff x="1004" y="535"/>
          <a:chExt cx="46" cy="26"/>
        </a:xfrm>
      </xdr:grpSpPr>
      <xdr:sp macro="" textlink="">
        <xdr:nvSpPr>
          <xdr:cNvPr id="25935" name="Freeform 121"/>
          <xdr:cNvSpPr>
            <a:spLocks/>
          </xdr:cNvSpPr>
        </xdr:nvSpPr>
        <xdr:spPr bwMode="auto">
          <a:xfrm>
            <a:off x="1004" y="535"/>
            <a:ext cx="28" cy="26"/>
          </a:xfrm>
          <a:custGeom>
            <a:avLst/>
            <a:gdLst>
              <a:gd name="T0" fmla="*/ 0 w 127"/>
              <a:gd name="T1" fmla="*/ 4 h 123"/>
              <a:gd name="T2" fmla="*/ 0 w 127"/>
              <a:gd name="T3" fmla="*/ 0 h 123"/>
              <a:gd name="T4" fmla="*/ 2 w 127"/>
              <a:gd name="T5" fmla="*/ 0 h 123"/>
              <a:gd name="T6" fmla="*/ 3 w 127"/>
              <a:gd name="T7" fmla="*/ 1 h 123"/>
              <a:gd name="T8" fmla="*/ 3 w 127"/>
              <a:gd name="T9" fmla="*/ 2 h 123"/>
              <a:gd name="T10" fmla="*/ 4 w 127"/>
              <a:gd name="T11" fmla="*/ 3 h 123"/>
              <a:gd name="T12" fmla="*/ 4 w 127"/>
              <a:gd name="T13" fmla="*/ 3 h 123"/>
              <a:gd name="T14" fmla="*/ 4 w 127"/>
              <a:gd name="T15" fmla="*/ 3 h 123"/>
              <a:gd name="T16" fmla="*/ 4 w 127"/>
              <a:gd name="T17" fmla="*/ 3 h 123"/>
              <a:gd name="T18" fmla="*/ 5 w 127"/>
              <a:gd name="T19" fmla="*/ 4 h 123"/>
              <a:gd name="T20" fmla="*/ 5 w 127"/>
              <a:gd name="T21" fmla="*/ 4 h 123"/>
              <a:gd name="T22" fmla="*/ 5 w 127"/>
              <a:gd name="T23" fmla="*/ 5 h 123"/>
              <a:gd name="T24" fmla="*/ 6 w 127"/>
              <a:gd name="T25" fmla="*/ 5 h 123"/>
              <a:gd name="T26" fmla="*/ 6 w 127"/>
              <a:gd name="T27" fmla="*/ 5 h 123"/>
              <a:gd name="T28" fmla="*/ 4 w 127"/>
              <a:gd name="T29" fmla="*/ 5 h 123"/>
              <a:gd name="T30" fmla="*/ 3 w 127"/>
              <a:gd name="T31" fmla="*/ 3 h 123"/>
              <a:gd name="T32" fmla="*/ 2 w 127"/>
              <a:gd name="T33" fmla="*/ 3 h 123"/>
              <a:gd name="T34" fmla="*/ 1 w 127"/>
              <a:gd name="T35" fmla="*/ 4 h 123"/>
              <a:gd name="T36" fmla="*/ 2 w 127"/>
              <a:gd name="T37" fmla="*/ 4 h 123"/>
              <a:gd name="T38" fmla="*/ 0 w 127"/>
              <a:gd name="T39" fmla="*/ 4 h 123"/>
              <a:gd name="T40" fmla="*/ 0 w 127"/>
              <a:gd name="T41" fmla="*/ 4 h 123"/>
              <a:gd name="T42" fmla="*/ 0 w 127"/>
              <a:gd name="T43" fmla="*/ 4 h 123"/>
              <a:gd name="T44" fmla="*/ 0 60000 65536"/>
              <a:gd name="T45" fmla="*/ 0 60000 65536"/>
              <a:gd name="T46" fmla="*/ 0 60000 65536"/>
              <a:gd name="T47" fmla="*/ 0 60000 65536"/>
              <a:gd name="T48" fmla="*/ 0 60000 65536"/>
              <a:gd name="T49" fmla="*/ 0 60000 65536"/>
              <a:gd name="T50" fmla="*/ 0 60000 65536"/>
              <a:gd name="T51" fmla="*/ 0 60000 65536"/>
              <a:gd name="T52" fmla="*/ 0 60000 65536"/>
              <a:gd name="T53" fmla="*/ 0 60000 65536"/>
              <a:gd name="T54" fmla="*/ 0 60000 65536"/>
              <a:gd name="T55" fmla="*/ 0 60000 65536"/>
              <a:gd name="T56" fmla="*/ 0 60000 65536"/>
              <a:gd name="T57" fmla="*/ 0 60000 65536"/>
              <a:gd name="T58" fmla="*/ 0 60000 65536"/>
              <a:gd name="T59" fmla="*/ 0 60000 65536"/>
              <a:gd name="T60" fmla="*/ 0 60000 65536"/>
              <a:gd name="T61" fmla="*/ 0 60000 65536"/>
              <a:gd name="T62" fmla="*/ 0 60000 65536"/>
              <a:gd name="T63" fmla="*/ 0 60000 65536"/>
              <a:gd name="T64" fmla="*/ 0 60000 65536"/>
              <a:gd name="T65" fmla="*/ 0 60000 65536"/>
              <a:gd name="T66" fmla="*/ 0 w 127"/>
              <a:gd name="T67" fmla="*/ 0 h 123"/>
              <a:gd name="T68" fmla="*/ 127 w 127"/>
              <a:gd name="T69" fmla="*/ 123 h 123"/>
            </a:gdLst>
            <a:ahLst/>
            <a:cxnLst>
              <a:cxn ang="T44">
                <a:pos x="T0" y="T1"/>
              </a:cxn>
              <a:cxn ang="T45">
                <a:pos x="T2" y="T3"/>
              </a:cxn>
              <a:cxn ang="T46">
                <a:pos x="T4" y="T5"/>
              </a:cxn>
              <a:cxn ang="T47">
                <a:pos x="T6" y="T7"/>
              </a:cxn>
              <a:cxn ang="T48">
                <a:pos x="T8" y="T9"/>
              </a:cxn>
              <a:cxn ang="T49">
                <a:pos x="T10" y="T11"/>
              </a:cxn>
              <a:cxn ang="T50">
                <a:pos x="T12" y="T13"/>
              </a:cxn>
              <a:cxn ang="T51">
                <a:pos x="T14" y="T15"/>
              </a:cxn>
              <a:cxn ang="T52">
                <a:pos x="T16" y="T17"/>
              </a:cxn>
              <a:cxn ang="T53">
                <a:pos x="T18" y="T19"/>
              </a:cxn>
              <a:cxn ang="T54">
                <a:pos x="T20" y="T21"/>
              </a:cxn>
              <a:cxn ang="T55">
                <a:pos x="T22" y="T23"/>
              </a:cxn>
              <a:cxn ang="T56">
                <a:pos x="T24" y="T25"/>
              </a:cxn>
              <a:cxn ang="T57">
                <a:pos x="T26" y="T27"/>
              </a:cxn>
              <a:cxn ang="T58">
                <a:pos x="T28" y="T29"/>
              </a:cxn>
              <a:cxn ang="T59">
                <a:pos x="T30" y="T31"/>
              </a:cxn>
              <a:cxn ang="T60">
                <a:pos x="T32" y="T33"/>
              </a:cxn>
              <a:cxn ang="T61">
                <a:pos x="T34" y="T35"/>
              </a:cxn>
              <a:cxn ang="T62">
                <a:pos x="T36" y="T37"/>
              </a:cxn>
              <a:cxn ang="T63">
                <a:pos x="T38" y="T39"/>
              </a:cxn>
              <a:cxn ang="T64">
                <a:pos x="T40" y="T41"/>
              </a:cxn>
              <a:cxn ang="T65">
                <a:pos x="T42" y="T43"/>
              </a:cxn>
            </a:cxnLst>
            <a:rect l="T66" t="T67" r="T68" b="T69"/>
            <a:pathLst>
              <a:path w="127" h="123">
                <a:moveTo>
                  <a:pt x="0" y="91"/>
                </a:moveTo>
                <a:lnTo>
                  <a:pt x="0" y="0"/>
                </a:lnTo>
                <a:lnTo>
                  <a:pt x="35" y="7"/>
                </a:lnTo>
                <a:lnTo>
                  <a:pt x="57" y="31"/>
                </a:lnTo>
                <a:lnTo>
                  <a:pt x="57" y="39"/>
                </a:lnTo>
                <a:lnTo>
                  <a:pt x="90" y="61"/>
                </a:lnTo>
                <a:lnTo>
                  <a:pt x="78" y="69"/>
                </a:lnTo>
                <a:lnTo>
                  <a:pt x="83" y="69"/>
                </a:lnTo>
                <a:lnTo>
                  <a:pt x="90" y="76"/>
                </a:lnTo>
                <a:lnTo>
                  <a:pt x="98" y="91"/>
                </a:lnTo>
                <a:lnTo>
                  <a:pt x="105" y="91"/>
                </a:lnTo>
                <a:lnTo>
                  <a:pt x="105" y="106"/>
                </a:lnTo>
                <a:lnTo>
                  <a:pt x="127" y="115"/>
                </a:lnTo>
                <a:lnTo>
                  <a:pt x="127" y="123"/>
                </a:lnTo>
                <a:lnTo>
                  <a:pt x="83" y="115"/>
                </a:lnTo>
                <a:lnTo>
                  <a:pt x="63" y="76"/>
                </a:lnTo>
                <a:lnTo>
                  <a:pt x="43" y="76"/>
                </a:lnTo>
                <a:lnTo>
                  <a:pt x="21" y="84"/>
                </a:lnTo>
                <a:lnTo>
                  <a:pt x="35" y="91"/>
                </a:lnTo>
                <a:lnTo>
                  <a:pt x="0" y="91"/>
                </a:lnTo>
                <a:close/>
              </a:path>
            </a:pathLst>
          </a:custGeom>
          <a:solidFill>
            <a:srgbClr val="F5F5F5"/>
          </a:solidFill>
          <a:ln w="9525">
            <a:solidFill>
              <a:srgbClr val="FFFFFF"/>
            </a:solidFill>
            <a:miter lim="800000"/>
            <a:headEnd/>
            <a:tailEnd/>
          </a:ln>
        </xdr:spPr>
        <xdr:txBody>
          <a:bodyPr vertOverflow="clip" wrap="square" lIns="36576" tIns="32004" rIns="0" bIns="0" anchor="t"/>
          <a:lstStyle/>
          <a:p>
            <a:pPr algn="l" rtl="0">
              <a:defRPr sz="1000"/>
            </a:pPr>
            <a:endParaRPr lang="en-US" sz="1600" b="0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 algn="l" rtl="0">
              <a:defRPr sz="1000"/>
            </a:pPr>
            <a:endParaRPr lang="en-US"/>
          </a:p>
        </xdr:txBody>
      </xdr:sp>
      <xdr:sp macro="" textlink="">
        <xdr:nvSpPr>
          <xdr:cNvPr id="25936" name="Freeform 144"/>
          <xdr:cNvSpPr>
            <a:spLocks/>
          </xdr:cNvSpPr>
        </xdr:nvSpPr>
        <xdr:spPr bwMode="auto">
          <a:xfrm>
            <a:off x="1024" y="539"/>
            <a:ext cx="13" cy="9"/>
          </a:xfrm>
          <a:custGeom>
            <a:avLst/>
            <a:gdLst>
              <a:gd name="T0" fmla="*/ 0 w 57"/>
              <a:gd name="T1" fmla="*/ 1 h 40"/>
              <a:gd name="T2" fmla="*/ 1 w 57"/>
              <a:gd name="T3" fmla="*/ 2 h 40"/>
              <a:gd name="T4" fmla="*/ 2 w 57"/>
              <a:gd name="T5" fmla="*/ 2 h 40"/>
              <a:gd name="T6" fmla="*/ 3 w 57"/>
              <a:gd name="T7" fmla="*/ 1 h 40"/>
              <a:gd name="T8" fmla="*/ 3 w 57"/>
              <a:gd name="T9" fmla="*/ 0 h 40"/>
              <a:gd name="T10" fmla="*/ 3 w 57"/>
              <a:gd name="T11" fmla="*/ 0 h 40"/>
              <a:gd name="T12" fmla="*/ 3 w 57"/>
              <a:gd name="T13" fmla="*/ 0 h 40"/>
              <a:gd name="T14" fmla="*/ 3 w 57"/>
              <a:gd name="T15" fmla="*/ 1 h 40"/>
              <a:gd name="T16" fmla="*/ 0 w 57"/>
              <a:gd name="T17" fmla="*/ 1 h 40"/>
              <a:gd name="T18" fmla="*/ 0 w 57"/>
              <a:gd name="T19" fmla="*/ 1 h 40"/>
              <a:gd name="T20" fmla="*/ 0 w 57"/>
              <a:gd name="T21" fmla="*/ 1 h 40"/>
              <a:gd name="T22" fmla="*/ 0 60000 65536"/>
              <a:gd name="T23" fmla="*/ 0 60000 65536"/>
              <a:gd name="T24" fmla="*/ 0 60000 65536"/>
              <a:gd name="T25" fmla="*/ 0 60000 65536"/>
              <a:gd name="T26" fmla="*/ 0 60000 65536"/>
              <a:gd name="T27" fmla="*/ 0 60000 65536"/>
              <a:gd name="T28" fmla="*/ 0 60000 65536"/>
              <a:gd name="T29" fmla="*/ 0 60000 65536"/>
              <a:gd name="T30" fmla="*/ 0 60000 65536"/>
              <a:gd name="T31" fmla="*/ 0 60000 65536"/>
              <a:gd name="T32" fmla="*/ 0 60000 65536"/>
              <a:gd name="T33" fmla="*/ 0 w 57"/>
              <a:gd name="T34" fmla="*/ 0 h 40"/>
              <a:gd name="T35" fmla="*/ 57 w 57"/>
              <a:gd name="T36" fmla="*/ 40 h 40"/>
            </a:gdLst>
            <a:ahLst/>
            <a:cxnLst>
              <a:cxn ang="T22">
                <a:pos x="T0" y="T1"/>
              </a:cxn>
              <a:cxn ang="T23">
                <a:pos x="T2" y="T3"/>
              </a:cxn>
              <a:cxn ang="T24">
                <a:pos x="T4" y="T5"/>
              </a:cxn>
              <a:cxn ang="T25">
                <a:pos x="T6" y="T7"/>
              </a:cxn>
              <a:cxn ang="T26">
                <a:pos x="T8" y="T9"/>
              </a:cxn>
              <a:cxn ang="T27">
                <a:pos x="T10" y="T11"/>
              </a:cxn>
              <a:cxn ang="T28">
                <a:pos x="T12" y="T13"/>
              </a:cxn>
              <a:cxn ang="T29">
                <a:pos x="T14" y="T15"/>
              </a:cxn>
              <a:cxn ang="T30">
                <a:pos x="T16" y="T17"/>
              </a:cxn>
              <a:cxn ang="T31">
                <a:pos x="T18" y="T19"/>
              </a:cxn>
              <a:cxn ang="T32">
                <a:pos x="T20" y="T21"/>
              </a:cxn>
            </a:cxnLst>
            <a:rect l="T33" t="T34" r="T35" b="T36"/>
            <a:pathLst>
              <a:path w="57" h="40">
                <a:moveTo>
                  <a:pt x="0" y="19"/>
                </a:moveTo>
                <a:lnTo>
                  <a:pt x="14" y="40"/>
                </a:lnTo>
                <a:lnTo>
                  <a:pt x="36" y="40"/>
                </a:lnTo>
                <a:lnTo>
                  <a:pt x="51" y="24"/>
                </a:lnTo>
                <a:lnTo>
                  <a:pt x="57" y="10"/>
                </a:lnTo>
                <a:lnTo>
                  <a:pt x="57" y="0"/>
                </a:lnTo>
                <a:lnTo>
                  <a:pt x="51" y="0"/>
                </a:lnTo>
                <a:lnTo>
                  <a:pt x="51" y="19"/>
                </a:lnTo>
                <a:lnTo>
                  <a:pt x="0" y="19"/>
                </a:lnTo>
                <a:close/>
              </a:path>
            </a:pathLst>
          </a:custGeom>
          <a:solidFill>
            <a:srgbClr val="F5F5F5"/>
          </a:solidFill>
          <a:ln w="9525">
            <a:solidFill>
              <a:srgbClr val="FFFFFF"/>
            </a:solidFill>
            <a:miter lim="800000"/>
            <a:headEnd/>
            <a:tailEnd/>
          </a:ln>
        </xdr:spPr>
        <xdr:txBody>
          <a:bodyPr vertOverflow="clip" wrap="square" lIns="36576" tIns="32004" rIns="0" bIns="0" anchor="t"/>
          <a:lstStyle/>
          <a:p>
            <a:pPr algn="l" rtl="0">
              <a:defRPr sz="1000"/>
            </a:pPr>
            <a:endParaRPr lang="en-US" sz="1600" b="0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 algn="l" rtl="0">
              <a:defRPr sz="1000"/>
            </a:pPr>
            <a:endParaRPr lang="en-US"/>
          </a:p>
        </xdr:txBody>
      </xdr:sp>
      <xdr:sp macro="" textlink="">
        <xdr:nvSpPr>
          <xdr:cNvPr id="25937" name="Freeform 145"/>
          <xdr:cNvSpPr>
            <a:spLocks/>
          </xdr:cNvSpPr>
        </xdr:nvSpPr>
        <xdr:spPr bwMode="auto">
          <a:xfrm>
            <a:off x="1045" y="543"/>
            <a:ext cx="5" cy="6"/>
          </a:xfrm>
          <a:custGeom>
            <a:avLst/>
            <a:gdLst>
              <a:gd name="T0" fmla="*/ 0 w 23"/>
              <a:gd name="T1" fmla="*/ 0 h 29"/>
              <a:gd name="T2" fmla="*/ 0 w 23"/>
              <a:gd name="T3" fmla="*/ 1 h 29"/>
              <a:gd name="T4" fmla="*/ 1 w 23"/>
              <a:gd name="T5" fmla="*/ 1 h 29"/>
              <a:gd name="T6" fmla="*/ 0 w 23"/>
              <a:gd name="T7" fmla="*/ 0 h 29"/>
              <a:gd name="T8" fmla="*/ 0 w 23"/>
              <a:gd name="T9" fmla="*/ 0 h 29"/>
              <a:gd name="T10" fmla="*/ 0 w 23"/>
              <a:gd name="T11" fmla="*/ 0 h 29"/>
              <a:gd name="T12" fmla="*/ 0 60000 65536"/>
              <a:gd name="T13" fmla="*/ 0 60000 65536"/>
              <a:gd name="T14" fmla="*/ 0 60000 65536"/>
              <a:gd name="T15" fmla="*/ 0 60000 65536"/>
              <a:gd name="T16" fmla="*/ 0 60000 65536"/>
              <a:gd name="T17" fmla="*/ 0 60000 65536"/>
              <a:gd name="T18" fmla="*/ 0 w 23"/>
              <a:gd name="T19" fmla="*/ 0 h 29"/>
              <a:gd name="T20" fmla="*/ 23 w 23"/>
              <a:gd name="T21" fmla="*/ 29 h 29"/>
            </a:gdLst>
            <a:ahLst/>
            <a:cxnLst>
              <a:cxn ang="T12">
                <a:pos x="T0" y="T1"/>
              </a:cxn>
              <a:cxn ang="T13">
                <a:pos x="T2" y="T3"/>
              </a:cxn>
              <a:cxn ang="T14">
                <a:pos x="T4" y="T5"/>
              </a:cxn>
              <a:cxn ang="T15">
                <a:pos x="T6" y="T7"/>
              </a:cxn>
              <a:cxn ang="T16">
                <a:pos x="T8" y="T9"/>
              </a:cxn>
              <a:cxn ang="T17">
                <a:pos x="T10" y="T11"/>
              </a:cxn>
            </a:cxnLst>
            <a:rect l="T18" t="T19" r="T20" b="T21"/>
            <a:pathLst>
              <a:path w="23" h="29">
                <a:moveTo>
                  <a:pt x="0" y="0"/>
                </a:moveTo>
                <a:lnTo>
                  <a:pt x="6" y="29"/>
                </a:lnTo>
                <a:lnTo>
                  <a:pt x="23" y="22"/>
                </a:lnTo>
                <a:lnTo>
                  <a:pt x="0" y="0"/>
                </a:lnTo>
                <a:close/>
              </a:path>
            </a:pathLst>
          </a:custGeom>
          <a:solidFill>
            <a:srgbClr val="F5F5F5"/>
          </a:solidFill>
          <a:ln w="9525">
            <a:solidFill>
              <a:srgbClr val="FFFFFF"/>
            </a:solidFill>
            <a:miter lim="800000"/>
            <a:headEnd/>
            <a:tailEnd/>
          </a:ln>
        </xdr:spPr>
        <xdr:txBody>
          <a:bodyPr vertOverflow="clip" wrap="square" lIns="36576" tIns="32004" rIns="0" bIns="0" anchor="t"/>
          <a:lstStyle/>
          <a:p>
            <a:pPr algn="l" rtl="0">
              <a:defRPr sz="1000"/>
            </a:pPr>
            <a:endParaRPr lang="en-US" sz="1600" b="0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 algn="l" rtl="0">
              <a:defRPr sz="1000"/>
            </a:pPr>
            <a:endParaRPr lang="en-US"/>
          </a:p>
        </xdr:txBody>
      </xdr:sp>
    </xdr:grpSp>
    <xdr:clientData/>
  </xdr:twoCellAnchor>
  <xdr:twoCellAnchor>
    <xdr:from>
      <xdr:col>12</xdr:col>
      <xdr:colOff>295275</xdr:colOff>
      <xdr:row>19</xdr:row>
      <xdr:rowOff>66675</xdr:rowOff>
    </xdr:from>
    <xdr:to>
      <xdr:col>14</xdr:col>
      <xdr:colOff>581025</xdr:colOff>
      <xdr:row>27</xdr:row>
      <xdr:rowOff>123825</xdr:rowOff>
    </xdr:to>
    <xdr:grpSp>
      <xdr:nvGrpSpPr>
        <xdr:cNvPr id="25827" name="S_CHN"/>
        <xdr:cNvGrpSpPr>
          <a:grpSpLocks/>
        </xdr:cNvGrpSpPr>
      </xdr:nvGrpSpPr>
      <xdr:grpSpPr bwMode="auto">
        <a:xfrm>
          <a:off x="8341099" y="3372410"/>
          <a:ext cx="1720102" cy="1312209"/>
          <a:chOff x="805" y="326"/>
          <a:chExt cx="180" cy="142"/>
        </a:xfrm>
      </xdr:grpSpPr>
      <xdr:sp macro="" textlink="">
        <xdr:nvSpPr>
          <xdr:cNvPr id="25933" name="Freeform 124"/>
          <xdr:cNvSpPr>
            <a:spLocks/>
          </xdr:cNvSpPr>
        </xdr:nvSpPr>
        <xdr:spPr bwMode="auto">
          <a:xfrm>
            <a:off x="909" y="463"/>
            <a:ext cx="8" cy="5"/>
          </a:xfrm>
          <a:custGeom>
            <a:avLst/>
            <a:gdLst>
              <a:gd name="T0" fmla="*/ 0 w 37"/>
              <a:gd name="T1" fmla="*/ 0 h 25"/>
              <a:gd name="T2" fmla="*/ 0 w 37"/>
              <a:gd name="T3" fmla="*/ 1 h 25"/>
              <a:gd name="T4" fmla="*/ 1 w 37"/>
              <a:gd name="T5" fmla="*/ 1 h 25"/>
              <a:gd name="T6" fmla="*/ 1 w 37"/>
              <a:gd name="T7" fmla="*/ 1 h 25"/>
              <a:gd name="T8" fmla="*/ 2 w 37"/>
              <a:gd name="T9" fmla="*/ 0 h 25"/>
              <a:gd name="T10" fmla="*/ 0 w 37"/>
              <a:gd name="T11" fmla="*/ 0 h 25"/>
              <a:gd name="T12" fmla="*/ 0 w 37"/>
              <a:gd name="T13" fmla="*/ 0 h 25"/>
              <a:gd name="T14" fmla="*/ 0 w 37"/>
              <a:gd name="T15" fmla="*/ 0 h 25"/>
              <a:gd name="T16" fmla="*/ 0 w 37"/>
              <a:gd name="T17" fmla="*/ 0 h 25"/>
              <a:gd name="T18" fmla="*/ 0 60000 65536"/>
              <a:gd name="T19" fmla="*/ 0 60000 65536"/>
              <a:gd name="T20" fmla="*/ 0 60000 65536"/>
              <a:gd name="T21" fmla="*/ 0 60000 65536"/>
              <a:gd name="T22" fmla="*/ 0 60000 65536"/>
              <a:gd name="T23" fmla="*/ 0 60000 65536"/>
              <a:gd name="T24" fmla="*/ 0 60000 65536"/>
              <a:gd name="T25" fmla="*/ 0 60000 65536"/>
              <a:gd name="T26" fmla="*/ 0 60000 65536"/>
              <a:gd name="T27" fmla="*/ 0 w 37"/>
              <a:gd name="T28" fmla="*/ 0 h 25"/>
              <a:gd name="T29" fmla="*/ 37 w 37"/>
              <a:gd name="T30" fmla="*/ 25 h 25"/>
            </a:gdLst>
            <a:ahLst/>
            <a:cxnLst>
              <a:cxn ang="T18">
                <a:pos x="T0" y="T1"/>
              </a:cxn>
              <a:cxn ang="T19">
                <a:pos x="T2" y="T3"/>
              </a:cxn>
              <a:cxn ang="T20">
                <a:pos x="T4" y="T5"/>
              </a:cxn>
              <a:cxn ang="T21">
                <a:pos x="T6" y="T7"/>
              </a:cxn>
              <a:cxn ang="T22">
                <a:pos x="T8" y="T9"/>
              </a:cxn>
              <a:cxn ang="T23">
                <a:pos x="T10" y="T11"/>
              </a:cxn>
              <a:cxn ang="T24">
                <a:pos x="T12" y="T13"/>
              </a:cxn>
              <a:cxn ang="T25">
                <a:pos x="T14" y="T15"/>
              </a:cxn>
              <a:cxn ang="T26">
                <a:pos x="T16" y="T17"/>
              </a:cxn>
            </a:cxnLst>
            <a:rect l="T27" t="T28" r="T29" b="T30"/>
            <a:pathLst>
              <a:path w="37" h="25">
                <a:moveTo>
                  <a:pt x="0" y="5"/>
                </a:moveTo>
                <a:lnTo>
                  <a:pt x="0" y="22"/>
                </a:lnTo>
                <a:lnTo>
                  <a:pt x="15" y="25"/>
                </a:lnTo>
                <a:lnTo>
                  <a:pt x="20" y="22"/>
                </a:lnTo>
                <a:lnTo>
                  <a:pt x="37" y="0"/>
                </a:lnTo>
                <a:lnTo>
                  <a:pt x="9" y="0"/>
                </a:lnTo>
                <a:lnTo>
                  <a:pt x="0" y="5"/>
                </a:lnTo>
                <a:close/>
              </a:path>
            </a:pathLst>
          </a:custGeom>
          <a:solidFill>
            <a:srgbClr val="F5F5F5"/>
          </a:solidFill>
          <a:ln w="9525">
            <a:solidFill>
              <a:srgbClr val="FFFFFF"/>
            </a:solidFill>
            <a:miter lim="800000"/>
            <a:headEnd/>
            <a:tailEnd/>
          </a:ln>
        </xdr:spPr>
        <xdr:txBody>
          <a:bodyPr vertOverflow="clip" wrap="square" lIns="36576" tIns="32004" rIns="0" bIns="0" anchor="t"/>
          <a:lstStyle/>
          <a:p>
            <a:pPr algn="l" rtl="0">
              <a:defRPr sz="1000"/>
            </a:pPr>
            <a:endParaRPr lang="en-US" sz="1600" b="0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 algn="l" rtl="0">
              <a:defRPr sz="1000"/>
            </a:pPr>
            <a:endParaRPr lang="en-US"/>
          </a:p>
        </xdr:txBody>
      </xdr:sp>
      <xdr:sp macro="" textlink="">
        <xdr:nvSpPr>
          <xdr:cNvPr id="25934" name="Freeform 123"/>
          <xdr:cNvSpPr>
            <a:spLocks/>
          </xdr:cNvSpPr>
        </xdr:nvSpPr>
        <xdr:spPr bwMode="auto">
          <a:xfrm>
            <a:off x="805" y="326"/>
            <a:ext cx="180" cy="135"/>
          </a:xfrm>
          <a:custGeom>
            <a:avLst/>
            <a:gdLst>
              <a:gd name="T0" fmla="*/ 10 w 817"/>
              <a:gd name="T1" fmla="*/ 6 h 618"/>
              <a:gd name="T2" fmla="*/ 11 w 817"/>
              <a:gd name="T3" fmla="*/ 9 h 618"/>
              <a:gd name="T4" fmla="*/ 17 w 817"/>
              <a:gd name="T5" fmla="*/ 11 h 618"/>
              <a:gd name="T6" fmla="*/ 22 w 817"/>
              <a:gd name="T7" fmla="*/ 11 h 618"/>
              <a:gd name="T8" fmla="*/ 24 w 817"/>
              <a:gd name="T9" fmla="*/ 10 h 618"/>
              <a:gd name="T10" fmla="*/ 27 w 817"/>
              <a:gd name="T11" fmla="*/ 8 h 618"/>
              <a:gd name="T12" fmla="*/ 29 w 817"/>
              <a:gd name="T13" fmla="*/ 6 h 618"/>
              <a:gd name="T14" fmla="*/ 27 w 817"/>
              <a:gd name="T15" fmla="*/ 6 h 618"/>
              <a:gd name="T16" fmla="*/ 29 w 817"/>
              <a:gd name="T17" fmla="*/ 4 h 618"/>
              <a:gd name="T18" fmla="*/ 31 w 817"/>
              <a:gd name="T19" fmla="*/ 1 h 618"/>
              <a:gd name="T20" fmla="*/ 31 w 817"/>
              <a:gd name="T21" fmla="*/ 0 h 618"/>
              <a:gd name="T22" fmla="*/ 34 w 817"/>
              <a:gd name="T23" fmla="*/ 1 h 618"/>
              <a:gd name="T24" fmla="*/ 37 w 817"/>
              <a:gd name="T25" fmla="*/ 5 h 618"/>
              <a:gd name="T26" fmla="*/ 40 w 817"/>
              <a:gd name="T27" fmla="*/ 5 h 618"/>
              <a:gd name="T28" fmla="*/ 38 w 817"/>
              <a:gd name="T29" fmla="*/ 9 h 618"/>
              <a:gd name="T30" fmla="*/ 37 w 817"/>
              <a:gd name="T31" fmla="*/ 11 h 618"/>
              <a:gd name="T32" fmla="*/ 35 w 817"/>
              <a:gd name="T33" fmla="*/ 12 h 618"/>
              <a:gd name="T34" fmla="*/ 33 w 817"/>
              <a:gd name="T35" fmla="*/ 14 h 618"/>
              <a:gd name="T36" fmla="*/ 31 w 817"/>
              <a:gd name="T37" fmla="*/ 15 h 618"/>
              <a:gd name="T38" fmla="*/ 31 w 817"/>
              <a:gd name="T39" fmla="*/ 12 h 618"/>
              <a:gd name="T40" fmla="*/ 29 w 817"/>
              <a:gd name="T41" fmla="*/ 15 h 618"/>
              <a:gd name="T42" fmla="*/ 32 w 817"/>
              <a:gd name="T43" fmla="*/ 16 h 618"/>
              <a:gd name="T44" fmla="*/ 31 w 817"/>
              <a:gd name="T45" fmla="*/ 17 h 618"/>
              <a:gd name="T46" fmla="*/ 31 w 817"/>
              <a:gd name="T47" fmla="*/ 20 h 618"/>
              <a:gd name="T48" fmla="*/ 31 w 817"/>
              <a:gd name="T49" fmla="*/ 22 h 618"/>
              <a:gd name="T50" fmla="*/ 31 w 817"/>
              <a:gd name="T51" fmla="*/ 24 h 618"/>
              <a:gd name="T52" fmla="*/ 30 w 817"/>
              <a:gd name="T53" fmla="*/ 25 h 618"/>
              <a:gd name="T54" fmla="*/ 29 w 817"/>
              <a:gd name="T55" fmla="*/ 26 h 618"/>
              <a:gd name="T56" fmla="*/ 27 w 817"/>
              <a:gd name="T57" fmla="*/ 28 h 618"/>
              <a:gd name="T58" fmla="*/ 26 w 817"/>
              <a:gd name="T59" fmla="*/ 28 h 618"/>
              <a:gd name="T60" fmla="*/ 24 w 817"/>
              <a:gd name="T61" fmla="*/ 28 h 618"/>
              <a:gd name="T62" fmla="*/ 19 w 817"/>
              <a:gd name="T63" fmla="*/ 28 h 618"/>
              <a:gd name="T64" fmla="*/ 18 w 817"/>
              <a:gd name="T65" fmla="*/ 28 h 618"/>
              <a:gd name="T66" fmla="*/ 18 w 817"/>
              <a:gd name="T67" fmla="*/ 28 h 618"/>
              <a:gd name="T68" fmla="*/ 17 w 817"/>
              <a:gd name="T69" fmla="*/ 27 h 618"/>
              <a:gd name="T70" fmla="*/ 16 w 817"/>
              <a:gd name="T71" fmla="*/ 24 h 618"/>
              <a:gd name="T72" fmla="*/ 15 w 817"/>
              <a:gd name="T73" fmla="*/ 23 h 618"/>
              <a:gd name="T74" fmla="*/ 10 w 817"/>
              <a:gd name="T75" fmla="*/ 24 h 618"/>
              <a:gd name="T76" fmla="*/ 8 w 817"/>
              <a:gd name="T77" fmla="*/ 24 h 618"/>
              <a:gd name="T78" fmla="*/ 5 w 817"/>
              <a:gd name="T79" fmla="*/ 22 h 618"/>
              <a:gd name="T80" fmla="*/ 4 w 817"/>
              <a:gd name="T81" fmla="*/ 20 h 618"/>
              <a:gd name="T82" fmla="*/ 4 w 817"/>
              <a:gd name="T83" fmla="*/ 17 h 618"/>
              <a:gd name="T84" fmla="*/ 2 w 817"/>
              <a:gd name="T85" fmla="*/ 17 h 618"/>
              <a:gd name="T86" fmla="*/ 1 w 817"/>
              <a:gd name="T87" fmla="*/ 15 h 618"/>
              <a:gd name="T88" fmla="*/ 1 w 817"/>
              <a:gd name="T89" fmla="*/ 13 h 618"/>
              <a:gd name="T90" fmla="*/ 3 w 817"/>
              <a:gd name="T91" fmla="*/ 12 h 618"/>
              <a:gd name="T92" fmla="*/ 4 w 817"/>
              <a:gd name="T93" fmla="*/ 9 h 618"/>
              <a:gd name="T94" fmla="*/ 6 w 817"/>
              <a:gd name="T95" fmla="*/ 7 h 618"/>
              <a:gd name="T96" fmla="*/ 8 w 817"/>
              <a:gd name="T97" fmla="*/ 5 h 618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60000 65536"/>
              <a:gd name="T106" fmla="*/ 0 60000 65536"/>
              <a:gd name="T107" fmla="*/ 0 60000 65536"/>
              <a:gd name="T108" fmla="*/ 0 60000 65536"/>
              <a:gd name="T109" fmla="*/ 0 60000 65536"/>
              <a:gd name="T110" fmla="*/ 0 60000 65536"/>
              <a:gd name="T111" fmla="*/ 0 60000 65536"/>
              <a:gd name="T112" fmla="*/ 0 60000 65536"/>
              <a:gd name="T113" fmla="*/ 0 60000 65536"/>
              <a:gd name="T114" fmla="*/ 0 60000 65536"/>
              <a:gd name="T115" fmla="*/ 0 60000 65536"/>
              <a:gd name="T116" fmla="*/ 0 60000 65536"/>
              <a:gd name="T117" fmla="*/ 0 60000 65536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w 817"/>
              <a:gd name="T148" fmla="*/ 0 h 618"/>
              <a:gd name="T149" fmla="*/ 817 w 817"/>
              <a:gd name="T150" fmla="*/ 618 h 618"/>
            </a:gdLst>
            <a:ahLst/>
            <a:cxnLst>
              <a:cxn ang="T98">
                <a:pos x="T0" y="T1"/>
              </a:cxn>
              <a:cxn ang="T99">
                <a:pos x="T2" y="T3"/>
              </a:cxn>
              <a:cxn ang="T100">
                <a:pos x="T4" y="T5"/>
              </a:cxn>
              <a:cxn ang="T101">
                <a:pos x="T6" y="T7"/>
              </a:cxn>
              <a:cxn ang="T102">
                <a:pos x="T8" y="T9"/>
              </a:cxn>
              <a:cxn ang="T103">
                <a:pos x="T10" y="T11"/>
              </a:cxn>
              <a:cxn ang="T104">
                <a:pos x="T12" y="T13"/>
              </a:cxn>
              <a:cxn ang="T105">
                <a:pos x="T14" y="T15"/>
              </a:cxn>
              <a:cxn ang="T106">
                <a:pos x="T16" y="T17"/>
              </a:cxn>
              <a:cxn ang="T107">
                <a:pos x="T18" y="T19"/>
              </a:cxn>
              <a:cxn ang="T108">
                <a:pos x="T20" y="T21"/>
              </a:cxn>
              <a:cxn ang="T109">
                <a:pos x="T22" y="T23"/>
              </a:cxn>
              <a:cxn ang="T110">
                <a:pos x="T24" y="T25"/>
              </a:cxn>
              <a:cxn ang="T111">
                <a:pos x="T26" y="T27"/>
              </a:cxn>
              <a:cxn ang="T112">
                <a:pos x="T28" y="T29"/>
              </a:cxn>
              <a:cxn ang="T113">
                <a:pos x="T30" y="T31"/>
              </a:cxn>
              <a:cxn ang="T114">
                <a:pos x="T32" y="T33"/>
              </a:cxn>
              <a:cxn ang="T115">
                <a:pos x="T34" y="T35"/>
              </a:cxn>
              <a:cxn ang="T116">
                <a:pos x="T36" y="T37"/>
              </a:cxn>
              <a:cxn ang="T117">
                <a:pos x="T38" y="T39"/>
              </a:cxn>
              <a:cxn ang="T118">
                <a:pos x="T40" y="T41"/>
              </a:cxn>
              <a:cxn ang="T119">
                <a:pos x="T42" y="T43"/>
              </a:cxn>
              <a:cxn ang="T120">
                <a:pos x="T44" y="T45"/>
              </a:cxn>
              <a:cxn ang="T121">
                <a:pos x="T46" y="T47"/>
              </a:cxn>
              <a:cxn ang="T122">
                <a:pos x="T48" y="T49"/>
              </a:cxn>
              <a:cxn ang="T123">
                <a:pos x="T50" y="T51"/>
              </a:cxn>
              <a:cxn ang="T124">
                <a:pos x="T52" y="T53"/>
              </a:cxn>
              <a:cxn ang="T125">
                <a:pos x="T54" y="T55"/>
              </a:cxn>
              <a:cxn ang="T126">
                <a:pos x="T56" y="T57"/>
              </a:cxn>
              <a:cxn ang="T127">
                <a:pos x="T58" y="T59"/>
              </a:cxn>
              <a:cxn ang="T128">
                <a:pos x="T60" y="T61"/>
              </a:cxn>
              <a:cxn ang="T129">
                <a:pos x="T62" y="T63"/>
              </a:cxn>
              <a:cxn ang="T130">
                <a:pos x="T64" y="T65"/>
              </a:cxn>
              <a:cxn ang="T131">
                <a:pos x="T66" y="T67"/>
              </a:cxn>
              <a:cxn ang="T132">
                <a:pos x="T68" y="T69"/>
              </a:cxn>
              <a:cxn ang="T133">
                <a:pos x="T70" y="T71"/>
              </a:cxn>
              <a:cxn ang="T134">
                <a:pos x="T72" y="T73"/>
              </a:cxn>
              <a:cxn ang="T135">
                <a:pos x="T74" y="T75"/>
              </a:cxn>
              <a:cxn ang="T136">
                <a:pos x="T76" y="T77"/>
              </a:cxn>
              <a:cxn ang="T137">
                <a:pos x="T78" y="T79"/>
              </a:cxn>
              <a:cxn ang="T138">
                <a:pos x="T80" y="T81"/>
              </a:cxn>
              <a:cxn ang="T139">
                <a:pos x="T82" y="T83"/>
              </a:cxn>
              <a:cxn ang="T140">
                <a:pos x="T84" y="T85"/>
              </a:cxn>
              <a:cxn ang="T141">
                <a:pos x="T86" y="T87"/>
              </a:cxn>
              <a:cxn ang="T142">
                <a:pos x="T88" y="T89"/>
              </a:cxn>
              <a:cxn ang="T143">
                <a:pos x="T90" y="T91"/>
              </a:cxn>
              <a:cxn ang="T144">
                <a:pos x="T92" y="T93"/>
              </a:cxn>
              <a:cxn ang="T145">
                <a:pos x="T94" y="T95"/>
              </a:cxn>
              <a:cxn ang="T146">
                <a:pos x="T96" y="T97"/>
              </a:cxn>
            </a:cxnLst>
            <a:rect l="T147" t="T148" r="T149" b="T150"/>
            <a:pathLst>
              <a:path w="817" h="618">
                <a:moveTo>
                  <a:pt x="172" y="104"/>
                </a:moveTo>
                <a:lnTo>
                  <a:pt x="185" y="97"/>
                </a:lnTo>
                <a:lnTo>
                  <a:pt x="199" y="126"/>
                </a:lnTo>
                <a:lnTo>
                  <a:pt x="222" y="126"/>
                </a:lnTo>
                <a:lnTo>
                  <a:pt x="227" y="141"/>
                </a:lnTo>
                <a:lnTo>
                  <a:pt x="227" y="179"/>
                </a:lnTo>
                <a:lnTo>
                  <a:pt x="276" y="201"/>
                </a:lnTo>
                <a:lnTo>
                  <a:pt x="306" y="225"/>
                </a:lnTo>
                <a:lnTo>
                  <a:pt x="355" y="225"/>
                </a:lnTo>
                <a:lnTo>
                  <a:pt x="385" y="247"/>
                </a:lnTo>
                <a:lnTo>
                  <a:pt x="420" y="253"/>
                </a:lnTo>
                <a:lnTo>
                  <a:pt x="447" y="232"/>
                </a:lnTo>
                <a:lnTo>
                  <a:pt x="484" y="232"/>
                </a:lnTo>
                <a:lnTo>
                  <a:pt x="512" y="208"/>
                </a:lnTo>
                <a:lnTo>
                  <a:pt x="505" y="201"/>
                </a:lnTo>
                <a:lnTo>
                  <a:pt x="519" y="179"/>
                </a:lnTo>
                <a:lnTo>
                  <a:pt x="534" y="188"/>
                </a:lnTo>
                <a:lnTo>
                  <a:pt x="562" y="171"/>
                </a:lnTo>
                <a:lnTo>
                  <a:pt x="574" y="151"/>
                </a:lnTo>
                <a:lnTo>
                  <a:pt x="611" y="151"/>
                </a:lnTo>
                <a:lnTo>
                  <a:pt x="604" y="132"/>
                </a:lnTo>
                <a:lnTo>
                  <a:pt x="596" y="126"/>
                </a:lnTo>
                <a:lnTo>
                  <a:pt x="574" y="132"/>
                </a:lnTo>
                <a:lnTo>
                  <a:pt x="562" y="132"/>
                </a:lnTo>
                <a:lnTo>
                  <a:pt x="562" y="97"/>
                </a:lnTo>
                <a:lnTo>
                  <a:pt x="569" y="80"/>
                </a:lnTo>
                <a:lnTo>
                  <a:pt x="591" y="89"/>
                </a:lnTo>
                <a:lnTo>
                  <a:pt x="611" y="80"/>
                </a:lnTo>
                <a:lnTo>
                  <a:pt x="619" y="42"/>
                </a:lnTo>
                <a:lnTo>
                  <a:pt x="631" y="28"/>
                </a:lnTo>
                <a:lnTo>
                  <a:pt x="631" y="21"/>
                </a:lnTo>
                <a:lnTo>
                  <a:pt x="619" y="21"/>
                </a:lnTo>
                <a:lnTo>
                  <a:pt x="631" y="8"/>
                </a:lnTo>
                <a:lnTo>
                  <a:pt x="661" y="0"/>
                </a:lnTo>
                <a:lnTo>
                  <a:pt x="691" y="8"/>
                </a:lnTo>
                <a:lnTo>
                  <a:pt x="705" y="21"/>
                </a:lnTo>
                <a:lnTo>
                  <a:pt x="725" y="89"/>
                </a:lnTo>
                <a:lnTo>
                  <a:pt x="740" y="89"/>
                </a:lnTo>
                <a:lnTo>
                  <a:pt x="769" y="104"/>
                </a:lnTo>
                <a:lnTo>
                  <a:pt x="769" y="126"/>
                </a:lnTo>
                <a:lnTo>
                  <a:pt x="782" y="126"/>
                </a:lnTo>
                <a:lnTo>
                  <a:pt x="817" y="110"/>
                </a:lnTo>
                <a:lnTo>
                  <a:pt x="817" y="132"/>
                </a:lnTo>
                <a:lnTo>
                  <a:pt x="787" y="188"/>
                </a:lnTo>
                <a:lnTo>
                  <a:pt x="782" y="179"/>
                </a:lnTo>
                <a:lnTo>
                  <a:pt x="769" y="188"/>
                </a:lnTo>
                <a:lnTo>
                  <a:pt x="775" y="216"/>
                </a:lnTo>
                <a:lnTo>
                  <a:pt x="769" y="232"/>
                </a:lnTo>
                <a:lnTo>
                  <a:pt x="755" y="232"/>
                </a:lnTo>
                <a:lnTo>
                  <a:pt x="740" y="247"/>
                </a:lnTo>
                <a:lnTo>
                  <a:pt x="733" y="247"/>
                </a:lnTo>
                <a:lnTo>
                  <a:pt x="725" y="253"/>
                </a:lnTo>
                <a:lnTo>
                  <a:pt x="718" y="253"/>
                </a:lnTo>
                <a:lnTo>
                  <a:pt x="683" y="284"/>
                </a:lnTo>
                <a:lnTo>
                  <a:pt x="683" y="292"/>
                </a:lnTo>
                <a:lnTo>
                  <a:pt x="661" y="292"/>
                </a:lnTo>
                <a:lnTo>
                  <a:pt x="638" y="307"/>
                </a:lnTo>
                <a:lnTo>
                  <a:pt x="638" y="292"/>
                </a:lnTo>
                <a:lnTo>
                  <a:pt x="646" y="270"/>
                </a:lnTo>
                <a:lnTo>
                  <a:pt x="638" y="263"/>
                </a:lnTo>
                <a:lnTo>
                  <a:pt x="604" y="300"/>
                </a:lnTo>
                <a:lnTo>
                  <a:pt x="596" y="300"/>
                </a:lnTo>
                <a:lnTo>
                  <a:pt x="591" y="307"/>
                </a:lnTo>
                <a:lnTo>
                  <a:pt x="611" y="339"/>
                </a:lnTo>
                <a:lnTo>
                  <a:pt x="631" y="331"/>
                </a:lnTo>
                <a:lnTo>
                  <a:pt x="653" y="339"/>
                </a:lnTo>
                <a:lnTo>
                  <a:pt x="653" y="346"/>
                </a:lnTo>
                <a:lnTo>
                  <a:pt x="646" y="339"/>
                </a:lnTo>
                <a:lnTo>
                  <a:pt x="631" y="346"/>
                </a:lnTo>
                <a:lnTo>
                  <a:pt x="611" y="373"/>
                </a:lnTo>
                <a:lnTo>
                  <a:pt x="619" y="381"/>
                </a:lnTo>
                <a:lnTo>
                  <a:pt x="631" y="420"/>
                </a:lnTo>
                <a:lnTo>
                  <a:pt x="646" y="428"/>
                </a:lnTo>
                <a:lnTo>
                  <a:pt x="638" y="428"/>
                </a:lnTo>
                <a:lnTo>
                  <a:pt x="646" y="452"/>
                </a:lnTo>
                <a:lnTo>
                  <a:pt x="619" y="457"/>
                </a:lnTo>
                <a:lnTo>
                  <a:pt x="646" y="457"/>
                </a:lnTo>
                <a:lnTo>
                  <a:pt x="638" y="494"/>
                </a:lnTo>
                <a:lnTo>
                  <a:pt x="619" y="511"/>
                </a:lnTo>
                <a:lnTo>
                  <a:pt x="611" y="511"/>
                </a:lnTo>
                <a:lnTo>
                  <a:pt x="611" y="532"/>
                </a:lnTo>
                <a:lnTo>
                  <a:pt x="604" y="549"/>
                </a:lnTo>
                <a:lnTo>
                  <a:pt x="596" y="549"/>
                </a:lnTo>
                <a:lnTo>
                  <a:pt x="596" y="556"/>
                </a:lnTo>
                <a:lnTo>
                  <a:pt x="569" y="579"/>
                </a:lnTo>
                <a:lnTo>
                  <a:pt x="547" y="579"/>
                </a:lnTo>
                <a:lnTo>
                  <a:pt x="547" y="586"/>
                </a:lnTo>
                <a:lnTo>
                  <a:pt x="534" y="579"/>
                </a:lnTo>
                <a:lnTo>
                  <a:pt x="534" y="586"/>
                </a:lnTo>
                <a:lnTo>
                  <a:pt x="527" y="586"/>
                </a:lnTo>
                <a:lnTo>
                  <a:pt x="490" y="601"/>
                </a:lnTo>
                <a:lnTo>
                  <a:pt x="484" y="618"/>
                </a:lnTo>
                <a:lnTo>
                  <a:pt x="484" y="595"/>
                </a:lnTo>
                <a:lnTo>
                  <a:pt x="442" y="595"/>
                </a:lnTo>
                <a:lnTo>
                  <a:pt x="442" y="579"/>
                </a:lnTo>
                <a:lnTo>
                  <a:pt x="392" y="586"/>
                </a:lnTo>
                <a:lnTo>
                  <a:pt x="385" y="579"/>
                </a:lnTo>
                <a:lnTo>
                  <a:pt x="385" y="586"/>
                </a:lnTo>
                <a:lnTo>
                  <a:pt x="378" y="586"/>
                </a:lnTo>
                <a:lnTo>
                  <a:pt x="378" y="601"/>
                </a:lnTo>
                <a:lnTo>
                  <a:pt x="363" y="601"/>
                </a:lnTo>
                <a:lnTo>
                  <a:pt x="363" y="595"/>
                </a:lnTo>
                <a:lnTo>
                  <a:pt x="355" y="595"/>
                </a:lnTo>
                <a:lnTo>
                  <a:pt x="341" y="586"/>
                </a:lnTo>
                <a:lnTo>
                  <a:pt x="341" y="573"/>
                </a:lnTo>
                <a:lnTo>
                  <a:pt x="333" y="556"/>
                </a:lnTo>
                <a:lnTo>
                  <a:pt x="320" y="556"/>
                </a:lnTo>
                <a:lnTo>
                  <a:pt x="333" y="511"/>
                </a:lnTo>
                <a:lnTo>
                  <a:pt x="320" y="494"/>
                </a:lnTo>
                <a:lnTo>
                  <a:pt x="315" y="494"/>
                </a:lnTo>
                <a:lnTo>
                  <a:pt x="298" y="474"/>
                </a:lnTo>
                <a:lnTo>
                  <a:pt x="276" y="474"/>
                </a:lnTo>
                <a:lnTo>
                  <a:pt x="234" y="494"/>
                </a:lnTo>
                <a:lnTo>
                  <a:pt x="212" y="494"/>
                </a:lnTo>
                <a:lnTo>
                  <a:pt x="199" y="505"/>
                </a:lnTo>
                <a:lnTo>
                  <a:pt x="192" y="494"/>
                </a:lnTo>
                <a:lnTo>
                  <a:pt x="157" y="494"/>
                </a:lnTo>
                <a:lnTo>
                  <a:pt x="135" y="474"/>
                </a:lnTo>
                <a:lnTo>
                  <a:pt x="127" y="474"/>
                </a:lnTo>
                <a:lnTo>
                  <a:pt x="107" y="457"/>
                </a:lnTo>
                <a:lnTo>
                  <a:pt x="62" y="452"/>
                </a:lnTo>
                <a:lnTo>
                  <a:pt x="56" y="420"/>
                </a:lnTo>
                <a:lnTo>
                  <a:pt x="72" y="420"/>
                </a:lnTo>
                <a:lnTo>
                  <a:pt x="62" y="405"/>
                </a:lnTo>
                <a:lnTo>
                  <a:pt x="85" y="381"/>
                </a:lnTo>
                <a:lnTo>
                  <a:pt x="85" y="366"/>
                </a:lnTo>
                <a:lnTo>
                  <a:pt x="72" y="353"/>
                </a:lnTo>
                <a:lnTo>
                  <a:pt x="50" y="366"/>
                </a:lnTo>
                <a:lnTo>
                  <a:pt x="36" y="353"/>
                </a:lnTo>
                <a:lnTo>
                  <a:pt x="8" y="339"/>
                </a:lnTo>
                <a:lnTo>
                  <a:pt x="15" y="339"/>
                </a:lnTo>
                <a:lnTo>
                  <a:pt x="15" y="307"/>
                </a:lnTo>
                <a:lnTo>
                  <a:pt x="0" y="307"/>
                </a:lnTo>
                <a:lnTo>
                  <a:pt x="0" y="284"/>
                </a:lnTo>
                <a:lnTo>
                  <a:pt x="15" y="270"/>
                </a:lnTo>
                <a:lnTo>
                  <a:pt x="36" y="270"/>
                </a:lnTo>
                <a:lnTo>
                  <a:pt x="43" y="263"/>
                </a:lnTo>
                <a:lnTo>
                  <a:pt x="56" y="263"/>
                </a:lnTo>
                <a:lnTo>
                  <a:pt x="85" y="247"/>
                </a:lnTo>
                <a:lnTo>
                  <a:pt x="93" y="225"/>
                </a:lnTo>
                <a:lnTo>
                  <a:pt x="85" y="188"/>
                </a:lnTo>
                <a:lnTo>
                  <a:pt x="85" y="179"/>
                </a:lnTo>
                <a:lnTo>
                  <a:pt x="107" y="179"/>
                </a:lnTo>
                <a:lnTo>
                  <a:pt x="113" y="141"/>
                </a:lnTo>
                <a:lnTo>
                  <a:pt x="150" y="141"/>
                </a:lnTo>
                <a:lnTo>
                  <a:pt x="157" y="110"/>
                </a:lnTo>
                <a:lnTo>
                  <a:pt x="172" y="104"/>
                </a:lnTo>
                <a:close/>
              </a:path>
            </a:pathLst>
          </a:custGeom>
          <a:solidFill>
            <a:srgbClr val="F5F5F5"/>
          </a:solidFill>
          <a:ln w="9525">
            <a:solidFill>
              <a:srgbClr val="FFFFFF"/>
            </a:solidFill>
            <a:miter lim="800000"/>
            <a:headEnd/>
            <a:tailEnd/>
          </a:ln>
        </xdr:spPr>
        <xdr:txBody>
          <a:bodyPr vertOverflow="clip" wrap="square" lIns="36576" tIns="32004" rIns="0" bIns="0" anchor="t"/>
          <a:lstStyle/>
          <a:p>
            <a:pPr algn="l" rtl="0">
              <a:defRPr sz="1000"/>
            </a:pPr>
            <a:endParaRPr lang="en-US" sz="1600" b="0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 algn="l" rtl="0">
              <a:defRPr sz="1000"/>
            </a:pPr>
            <a:endParaRPr lang="en-US"/>
          </a:p>
        </xdr:txBody>
      </xdr:sp>
    </xdr:grpSp>
    <xdr:clientData/>
  </xdr:twoCellAnchor>
  <xdr:twoCellAnchor>
    <xdr:from>
      <xdr:col>11</xdr:col>
      <xdr:colOff>238125</xdr:colOff>
      <xdr:row>18</xdr:row>
      <xdr:rowOff>114300</xdr:rowOff>
    </xdr:from>
    <xdr:to>
      <xdr:col>12</xdr:col>
      <xdr:colOff>685800</xdr:colOff>
      <xdr:row>22</xdr:row>
      <xdr:rowOff>123825</xdr:rowOff>
    </xdr:to>
    <xdr:sp macro="" textlink="">
      <xdr:nvSpPr>
        <xdr:cNvPr id="25828" name="S_KAZ"/>
        <xdr:cNvSpPr>
          <a:spLocks/>
        </xdr:cNvSpPr>
      </xdr:nvSpPr>
      <xdr:spPr bwMode="auto">
        <a:xfrm>
          <a:off x="6781800" y="2876550"/>
          <a:ext cx="1162050" cy="657225"/>
        </a:xfrm>
        <a:custGeom>
          <a:avLst/>
          <a:gdLst>
            <a:gd name="T0" fmla="*/ 2147483647 w 554"/>
            <a:gd name="T1" fmla="*/ 2147483647 h 319"/>
            <a:gd name="T2" fmla="*/ 2147483647 w 554"/>
            <a:gd name="T3" fmla="*/ 2147483647 h 319"/>
            <a:gd name="T4" fmla="*/ 2147483647 w 554"/>
            <a:gd name="T5" fmla="*/ 2147483647 h 319"/>
            <a:gd name="T6" fmla="*/ 2147483647 w 554"/>
            <a:gd name="T7" fmla="*/ 2147483647 h 319"/>
            <a:gd name="T8" fmla="*/ 2147483647 w 554"/>
            <a:gd name="T9" fmla="*/ 2147483647 h 319"/>
            <a:gd name="T10" fmla="*/ 2147483647 w 554"/>
            <a:gd name="T11" fmla="*/ 2147483647 h 319"/>
            <a:gd name="T12" fmla="*/ 2147483647 w 554"/>
            <a:gd name="T13" fmla="*/ 2147483647 h 319"/>
            <a:gd name="T14" fmla="*/ 2147483647 w 554"/>
            <a:gd name="T15" fmla="*/ 2147483647 h 319"/>
            <a:gd name="T16" fmla="*/ 2147483647 w 554"/>
            <a:gd name="T17" fmla="*/ 2147483647 h 319"/>
            <a:gd name="T18" fmla="*/ 2147483647 w 554"/>
            <a:gd name="T19" fmla="*/ 2147483647 h 319"/>
            <a:gd name="T20" fmla="*/ 2147483647 w 554"/>
            <a:gd name="T21" fmla="*/ 2147483647 h 319"/>
            <a:gd name="T22" fmla="*/ 2147483647 w 554"/>
            <a:gd name="T23" fmla="*/ 2147483647 h 319"/>
            <a:gd name="T24" fmla="*/ 2147483647 w 554"/>
            <a:gd name="T25" fmla="*/ 2147483647 h 319"/>
            <a:gd name="T26" fmla="*/ 2147483647 w 554"/>
            <a:gd name="T27" fmla="*/ 2147483647 h 319"/>
            <a:gd name="T28" fmla="*/ 2147483647 w 554"/>
            <a:gd name="T29" fmla="*/ 2147483647 h 319"/>
            <a:gd name="T30" fmla="*/ 2147483647 w 554"/>
            <a:gd name="T31" fmla="*/ 2147483647 h 319"/>
            <a:gd name="T32" fmla="*/ 2147483647 w 554"/>
            <a:gd name="T33" fmla="*/ 2147483647 h 319"/>
            <a:gd name="T34" fmla="*/ 2147483647 w 554"/>
            <a:gd name="T35" fmla="*/ 2147483647 h 319"/>
            <a:gd name="T36" fmla="*/ 2147483647 w 554"/>
            <a:gd name="T37" fmla="*/ 2147483647 h 319"/>
            <a:gd name="T38" fmla="*/ 2147483647 w 554"/>
            <a:gd name="T39" fmla="*/ 2147483647 h 319"/>
            <a:gd name="T40" fmla="*/ 2147483647 w 554"/>
            <a:gd name="T41" fmla="*/ 2147483647 h 319"/>
            <a:gd name="T42" fmla="*/ 2147483647 w 554"/>
            <a:gd name="T43" fmla="*/ 2147483647 h 319"/>
            <a:gd name="T44" fmla="*/ 2147483647 w 554"/>
            <a:gd name="T45" fmla="*/ 2147483647 h 319"/>
            <a:gd name="T46" fmla="*/ 2147483647 w 554"/>
            <a:gd name="T47" fmla="*/ 2147483647 h 319"/>
            <a:gd name="T48" fmla="*/ 2147483647 w 554"/>
            <a:gd name="T49" fmla="*/ 2147483647 h 319"/>
            <a:gd name="T50" fmla="*/ 2147483647 w 554"/>
            <a:gd name="T51" fmla="*/ 2147483647 h 319"/>
            <a:gd name="T52" fmla="*/ 2147483647 w 554"/>
            <a:gd name="T53" fmla="*/ 2147483647 h 319"/>
            <a:gd name="T54" fmla="*/ 2147483647 w 554"/>
            <a:gd name="T55" fmla="*/ 2147483647 h 319"/>
            <a:gd name="T56" fmla="*/ 2147483647 w 554"/>
            <a:gd name="T57" fmla="*/ 2147483647 h 319"/>
            <a:gd name="T58" fmla="*/ 2147483647 w 554"/>
            <a:gd name="T59" fmla="*/ 2147483647 h 319"/>
            <a:gd name="T60" fmla="*/ 2147483647 w 554"/>
            <a:gd name="T61" fmla="*/ 2147483647 h 319"/>
            <a:gd name="T62" fmla="*/ 2147483647 w 554"/>
            <a:gd name="T63" fmla="*/ 2147483647 h 319"/>
            <a:gd name="T64" fmla="*/ 2147483647 w 554"/>
            <a:gd name="T65" fmla="*/ 2147483647 h 319"/>
            <a:gd name="T66" fmla="*/ 2147483647 w 554"/>
            <a:gd name="T67" fmla="*/ 0 h 319"/>
            <a:gd name="T68" fmla="*/ 2147483647 w 554"/>
            <a:gd name="T69" fmla="*/ 2147483647 h 319"/>
            <a:gd name="T70" fmla="*/ 2147483647 w 554"/>
            <a:gd name="T71" fmla="*/ 2147483647 h 319"/>
            <a:gd name="T72" fmla="*/ 2147483647 w 554"/>
            <a:gd name="T73" fmla="*/ 2147483647 h 319"/>
            <a:gd name="T74" fmla="*/ 2147483647 w 554"/>
            <a:gd name="T75" fmla="*/ 2147483647 h 319"/>
            <a:gd name="T76" fmla="*/ 2147483647 w 554"/>
            <a:gd name="T77" fmla="*/ 2147483647 h 319"/>
            <a:gd name="T78" fmla="*/ 2147483647 w 554"/>
            <a:gd name="T79" fmla="*/ 2147483647 h 319"/>
            <a:gd name="T80" fmla="*/ 2147483647 w 554"/>
            <a:gd name="T81" fmla="*/ 2147483647 h 319"/>
            <a:gd name="T82" fmla="*/ 2147483647 w 554"/>
            <a:gd name="T83" fmla="*/ 2147483647 h 319"/>
            <a:gd name="T84" fmla="*/ 2147483647 w 554"/>
            <a:gd name="T85" fmla="*/ 2147483647 h 319"/>
            <a:gd name="T86" fmla="*/ 2147483647 w 554"/>
            <a:gd name="T87" fmla="*/ 2147483647 h 319"/>
            <a:gd name="T88" fmla="*/ 0 60000 65536"/>
            <a:gd name="T89" fmla="*/ 0 60000 65536"/>
            <a:gd name="T90" fmla="*/ 0 60000 65536"/>
            <a:gd name="T91" fmla="*/ 0 60000 65536"/>
            <a:gd name="T92" fmla="*/ 0 60000 65536"/>
            <a:gd name="T93" fmla="*/ 0 60000 65536"/>
            <a:gd name="T94" fmla="*/ 0 60000 65536"/>
            <a:gd name="T95" fmla="*/ 0 60000 65536"/>
            <a:gd name="T96" fmla="*/ 0 60000 65536"/>
            <a:gd name="T97" fmla="*/ 0 60000 65536"/>
            <a:gd name="T98" fmla="*/ 0 60000 65536"/>
            <a:gd name="T99" fmla="*/ 0 60000 65536"/>
            <a:gd name="T100" fmla="*/ 0 60000 65536"/>
            <a:gd name="T101" fmla="*/ 0 60000 65536"/>
            <a:gd name="T102" fmla="*/ 0 60000 65536"/>
            <a:gd name="T103" fmla="*/ 0 60000 65536"/>
            <a:gd name="T104" fmla="*/ 0 60000 65536"/>
            <a:gd name="T105" fmla="*/ 0 60000 65536"/>
            <a:gd name="T106" fmla="*/ 0 60000 65536"/>
            <a:gd name="T107" fmla="*/ 0 60000 65536"/>
            <a:gd name="T108" fmla="*/ 0 60000 65536"/>
            <a:gd name="T109" fmla="*/ 0 60000 65536"/>
            <a:gd name="T110" fmla="*/ 0 60000 65536"/>
            <a:gd name="T111" fmla="*/ 0 60000 65536"/>
            <a:gd name="T112" fmla="*/ 0 60000 65536"/>
            <a:gd name="T113" fmla="*/ 0 60000 65536"/>
            <a:gd name="T114" fmla="*/ 0 60000 65536"/>
            <a:gd name="T115" fmla="*/ 0 60000 65536"/>
            <a:gd name="T116" fmla="*/ 0 60000 65536"/>
            <a:gd name="T117" fmla="*/ 0 60000 65536"/>
            <a:gd name="T118" fmla="*/ 0 60000 65536"/>
            <a:gd name="T119" fmla="*/ 0 60000 65536"/>
            <a:gd name="T120" fmla="*/ 0 60000 65536"/>
            <a:gd name="T121" fmla="*/ 0 60000 65536"/>
            <a:gd name="T122" fmla="*/ 0 60000 65536"/>
            <a:gd name="T123" fmla="*/ 0 60000 65536"/>
            <a:gd name="T124" fmla="*/ 0 60000 65536"/>
            <a:gd name="T125" fmla="*/ 0 60000 65536"/>
            <a:gd name="T126" fmla="*/ 0 60000 65536"/>
            <a:gd name="T127" fmla="*/ 0 60000 65536"/>
            <a:gd name="T128" fmla="*/ 0 60000 65536"/>
            <a:gd name="T129" fmla="*/ 0 60000 65536"/>
            <a:gd name="T130" fmla="*/ 0 60000 65536"/>
            <a:gd name="T131" fmla="*/ 0 60000 65536"/>
            <a:gd name="T132" fmla="*/ 0 w 554"/>
            <a:gd name="T133" fmla="*/ 0 h 319"/>
            <a:gd name="T134" fmla="*/ 554 w 554"/>
            <a:gd name="T135" fmla="*/ 319 h 319"/>
          </a:gdLst>
          <a:ahLst/>
          <a:cxnLst>
            <a:cxn ang="T88">
              <a:pos x="T0" y="T1"/>
            </a:cxn>
            <a:cxn ang="T89">
              <a:pos x="T2" y="T3"/>
            </a:cxn>
            <a:cxn ang="T90">
              <a:pos x="T4" y="T5"/>
            </a:cxn>
            <a:cxn ang="T91">
              <a:pos x="T6" y="T7"/>
            </a:cxn>
            <a:cxn ang="T92">
              <a:pos x="T8" y="T9"/>
            </a:cxn>
            <a:cxn ang="T93">
              <a:pos x="T10" y="T11"/>
            </a:cxn>
            <a:cxn ang="T94">
              <a:pos x="T12" y="T13"/>
            </a:cxn>
            <a:cxn ang="T95">
              <a:pos x="T14" y="T15"/>
            </a:cxn>
            <a:cxn ang="T96">
              <a:pos x="T16" y="T17"/>
            </a:cxn>
            <a:cxn ang="T97">
              <a:pos x="T18" y="T19"/>
            </a:cxn>
            <a:cxn ang="T98">
              <a:pos x="T20" y="T21"/>
            </a:cxn>
            <a:cxn ang="T99">
              <a:pos x="T22" y="T23"/>
            </a:cxn>
            <a:cxn ang="T100">
              <a:pos x="T24" y="T25"/>
            </a:cxn>
            <a:cxn ang="T101">
              <a:pos x="T26" y="T27"/>
            </a:cxn>
            <a:cxn ang="T102">
              <a:pos x="T28" y="T29"/>
            </a:cxn>
            <a:cxn ang="T103">
              <a:pos x="T30" y="T31"/>
            </a:cxn>
            <a:cxn ang="T104">
              <a:pos x="T32" y="T33"/>
            </a:cxn>
            <a:cxn ang="T105">
              <a:pos x="T34" y="T35"/>
            </a:cxn>
            <a:cxn ang="T106">
              <a:pos x="T36" y="T37"/>
            </a:cxn>
            <a:cxn ang="T107">
              <a:pos x="T38" y="T39"/>
            </a:cxn>
            <a:cxn ang="T108">
              <a:pos x="T40" y="T41"/>
            </a:cxn>
            <a:cxn ang="T109">
              <a:pos x="T42" y="T43"/>
            </a:cxn>
            <a:cxn ang="T110">
              <a:pos x="T44" y="T45"/>
            </a:cxn>
            <a:cxn ang="T111">
              <a:pos x="T46" y="T47"/>
            </a:cxn>
            <a:cxn ang="T112">
              <a:pos x="T48" y="T49"/>
            </a:cxn>
            <a:cxn ang="T113">
              <a:pos x="T50" y="T51"/>
            </a:cxn>
            <a:cxn ang="T114">
              <a:pos x="T52" y="T53"/>
            </a:cxn>
            <a:cxn ang="T115">
              <a:pos x="T54" y="T55"/>
            </a:cxn>
            <a:cxn ang="T116">
              <a:pos x="T56" y="T57"/>
            </a:cxn>
            <a:cxn ang="T117">
              <a:pos x="T58" y="T59"/>
            </a:cxn>
            <a:cxn ang="T118">
              <a:pos x="T60" y="T61"/>
            </a:cxn>
            <a:cxn ang="T119">
              <a:pos x="T62" y="T63"/>
            </a:cxn>
            <a:cxn ang="T120">
              <a:pos x="T64" y="T65"/>
            </a:cxn>
            <a:cxn ang="T121">
              <a:pos x="T66" y="T67"/>
            </a:cxn>
            <a:cxn ang="T122">
              <a:pos x="T68" y="T69"/>
            </a:cxn>
            <a:cxn ang="T123">
              <a:pos x="T70" y="T71"/>
            </a:cxn>
            <a:cxn ang="T124">
              <a:pos x="T72" y="T73"/>
            </a:cxn>
            <a:cxn ang="T125">
              <a:pos x="T74" y="T75"/>
            </a:cxn>
            <a:cxn ang="T126">
              <a:pos x="T76" y="T77"/>
            </a:cxn>
            <a:cxn ang="T127">
              <a:pos x="T78" y="T79"/>
            </a:cxn>
            <a:cxn ang="T128">
              <a:pos x="T80" y="T81"/>
            </a:cxn>
            <a:cxn ang="T129">
              <a:pos x="T82" y="T83"/>
            </a:cxn>
            <a:cxn ang="T130">
              <a:pos x="T84" y="T85"/>
            </a:cxn>
            <a:cxn ang="T131">
              <a:pos x="T86" y="T87"/>
            </a:cxn>
          </a:cxnLst>
          <a:rect l="T132" t="T133" r="T134" b="T135"/>
          <a:pathLst>
            <a:path w="554" h="319">
              <a:moveTo>
                <a:pt x="541" y="160"/>
              </a:moveTo>
              <a:lnTo>
                <a:pt x="528" y="166"/>
              </a:lnTo>
              <a:lnTo>
                <a:pt x="519" y="197"/>
              </a:lnTo>
              <a:lnTo>
                <a:pt x="484" y="197"/>
              </a:lnTo>
              <a:lnTo>
                <a:pt x="477" y="235"/>
              </a:lnTo>
              <a:lnTo>
                <a:pt x="457" y="235"/>
              </a:lnTo>
              <a:lnTo>
                <a:pt x="464" y="281"/>
              </a:lnTo>
              <a:lnTo>
                <a:pt x="457" y="289"/>
              </a:lnTo>
              <a:lnTo>
                <a:pt x="434" y="281"/>
              </a:lnTo>
              <a:lnTo>
                <a:pt x="385" y="281"/>
              </a:lnTo>
              <a:lnTo>
                <a:pt x="369" y="274"/>
              </a:lnTo>
              <a:lnTo>
                <a:pt x="362" y="281"/>
              </a:lnTo>
              <a:lnTo>
                <a:pt x="362" y="289"/>
              </a:lnTo>
              <a:lnTo>
                <a:pt x="335" y="281"/>
              </a:lnTo>
              <a:lnTo>
                <a:pt x="298" y="319"/>
              </a:lnTo>
              <a:lnTo>
                <a:pt x="293" y="311"/>
              </a:lnTo>
              <a:lnTo>
                <a:pt x="276" y="311"/>
              </a:lnTo>
              <a:lnTo>
                <a:pt x="276" y="304"/>
              </a:lnTo>
              <a:lnTo>
                <a:pt x="271" y="304"/>
              </a:lnTo>
              <a:lnTo>
                <a:pt x="271" y="281"/>
              </a:lnTo>
              <a:lnTo>
                <a:pt x="250" y="264"/>
              </a:lnTo>
              <a:lnTo>
                <a:pt x="208" y="264"/>
              </a:lnTo>
              <a:lnTo>
                <a:pt x="178" y="235"/>
              </a:lnTo>
              <a:lnTo>
                <a:pt x="166" y="229"/>
              </a:lnTo>
              <a:lnTo>
                <a:pt x="129" y="235"/>
              </a:lnTo>
              <a:lnTo>
                <a:pt x="129" y="311"/>
              </a:lnTo>
              <a:lnTo>
                <a:pt x="121" y="311"/>
              </a:lnTo>
              <a:lnTo>
                <a:pt x="107" y="289"/>
              </a:lnTo>
              <a:lnTo>
                <a:pt x="79" y="304"/>
              </a:lnTo>
              <a:lnTo>
                <a:pt x="79" y="281"/>
              </a:lnTo>
              <a:lnTo>
                <a:pt x="70" y="281"/>
              </a:lnTo>
              <a:lnTo>
                <a:pt x="64" y="257"/>
              </a:lnTo>
              <a:lnTo>
                <a:pt x="49" y="257"/>
              </a:lnTo>
              <a:lnTo>
                <a:pt x="70" y="257"/>
              </a:lnTo>
              <a:lnTo>
                <a:pt x="64" y="244"/>
              </a:lnTo>
              <a:lnTo>
                <a:pt x="70" y="235"/>
              </a:lnTo>
              <a:lnTo>
                <a:pt x="107" y="235"/>
              </a:lnTo>
              <a:lnTo>
                <a:pt x="92" y="205"/>
              </a:lnTo>
              <a:lnTo>
                <a:pt x="64" y="188"/>
              </a:lnTo>
              <a:lnTo>
                <a:pt x="35" y="205"/>
              </a:lnTo>
              <a:lnTo>
                <a:pt x="28" y="205"/>
              </a:lnTo>
              <a:lnTo>
                <a:pt x="35" y="197"/>
              </a:lnTo>
              <a:lnTo>
                <a:pt x="28" y="182"/>
              </a:lnTo>
              <a:lnTo>
                <a:pt x="8" y="182"/>
              </a:lnTo>
              <a:lnTo>
                <a:pt x="0" y="160"/>
              </a:lnTo>
              <a:lnTo>
                <a:pt x="8" y="113"/>
              </a:lnTo>
              <a:lnTo>
                <a:pt x="28" y="136"/>
              </a:lnTo>
              <a:lnTo>
                <a:pt x="35" y="136"/>
              </a:lnTo>
              <a:lnTo>
                <a:pt x="28" y="113"/>
              </a:lnTo>
              <a:lnTo>
                <a:pt x="49" y="82"/>
              </a:lnTo>
              <a:lnTo>
                <a:pt x="70" y="96"/>
              </a:lnTo>
              <a:lnTo>
                <a:pt x="79" y="82"/>
              </a:lnTo>
              <a:lnTo>
                <a:pt x="92" y="96"/>
              </a:lnTo>
              <a:lnTo>
                <a:pt x="121" y="113"/>
              </a:lnTo>
              <a:lnTo>
                <a:pt x="136" y="106"/>
              </a:lnTo>
              <a:lnTo>
                <a:pt x="156" y="106"/>
              </a:lnTo>
              <a:lnTo>
                <a:pt x="166" y="113"/>
              </a:lnTo>
              <a:lnTo>
                <a:pt x="201" y="113"/>
              </a:lnTo>
              <a:lnTo>
                <a:pt x="208" y="96"/>
              </a:lnTo>
              <a:lnTo>
                <a:pt x="178" y="82"/>
              </a:lnTo>
              <a:lnTo>
                <a:pt x="201" y="77"/>
              </a:lnTo>
              <a:lnTo>
                <a:pt x="193" y="71"/>
              </a:lnTo>
              <a:lnTo>
                <a:pt x="201" y="62"/>
              </a:lnTo>
              <a:lnTo>
                <a:pt x="201" y="30"/>
              </a:lnTo>
              <a:lnTo>
                <a:pt x="214" y="39"/>
              </a:lnTo>
              <a:lnTo>
                <a:pt x="293" y="15"/>
              </a:lnTo>
              <a:lnTo>
                <a:pt x="293" y="0"/>
              </a:lnTo>
              <a:lnTo>
                <a:pt x="328" y="0"/>
              </a:lnTo>
              <a:lnTo>
                <a:pt x="335" y="24"/>
              </a:lnTo>
              <a:lnTo>
                <a:pt x="335" y="30"/>
              </a:lnTo>
              <a:lnTo>
                <a:pt x="340" y="30"/>
              </a:lnTo>
              <a:lnTo>
                <a:pt x="362" y="39"/>
              </a:lnTo>
              <a:lnTo>
                <a:pt x="362" y="54"/>
              </a:lnTo>
              <a:lnTo>
                <a:pt x="379" y="54"/>
              </a:lnTo>
              <a:lnTo>
                <a:pt x="392" y="30"/>
              </a:lnTo>
              <a:lnTo>
                <a:pt x="414" y="24"/>
              </a:lnTo>
              <a:lnTo>
                <a:pt x="420" y="54"/>
              </a:lnTo>
              <a:lnTo>
                <a:pt x="457" y="113"/>
              </a:lnTo>
              <a:lnTo>
                <a:pt x="464" y="96"/>
              </a:lnTo>
              <a:lnTo>
                <a:pt x="471" y="113"/>
              </a:lnTo>
              <a:lnTo>
                <a:pt x="498" y="106"/>
              </a:lnTo>
              <a:lnTo>
                <a:pt x="519" y="136"/>
              </a:lnTo>
              <a:lnTo>
                <a:pt x="541" y="143"/>
              </a:lnTo>
              <a:lnTo>
                <a:pt x="541" y="136"/>
              </a:lnTo>
              <a:lnTo>
                <a:pt x="554" y="151"/>
              </a:lnTo>
              <a:lnTo>
                <a:pt x="541" y="160"/>
              </a:lnTo>
              <a:close/>
            </a:path>
          </a:pathLst>
        </a:custGeom>
        <a:solidFill>
          <a:srgbClr val="F5F5F5"/>
        </a:solidFill>
        <a:ln w="9525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36576" tIns="32004" rIns="0" bIns="0" anchor="t"/>
        <a:lstStyle/>
        <a:p>
          <a:pPr algn="l" rtl="0">
            <a:defRPr sz="1000"/>
          </a:pPr>
          <a:endParaRPr lang="en-US" sz="16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en-US"/>
        </a:p>
      </xdr:txBody>
    </xdr:sp>
    <xdr:clientData/>
  </xdr:twoCellAnchor>
  <xdr:twoCellAnchor>
    <xdr:from>
      <xdr:col>12</xdr:col>
      <xdr:colOff>685800</xdr:colOff>
      <xdr:row>19</xdr:row>
      <xdr:rowOff>123825</xdr:rowOff>
    </xdr:from>
    <xdr:to>
      <xdr:col>14</xdr:col>
      <xdr:colOff>152400</xdr:colOff>
      <xdr:row>22</xdr:row>
      <xdr:rowOff>114300</xdr:rowOff>
    </xdr:to>
    <xdr:sp macro="" textlink="">
      <xdr:nvSpPr>
        <xdr:cNvPr id="25829" name="S_MNG"/>
        <xdr:cNvSpPr>
          <a:spLocks/>
        </xdr:cNvSpPr>
      </xdr:nvSpPr>
      <xdr:spPr bwMode="auto">
        <a:xfrm>
          <a:off x="7943850" y="3048000"/>
          <a:ext cx="895350" cy="476250"/>
        </a:xfrm>
        <a:custGeom>
          <a:avLst/>
          <a:gdLst>
            <a:gd name="T0" fmla="*/ 1250123734 w 429"/>
            <a:gd name="T1" fmla="*/ 263832096 h 229"/>
            <a:gd name="T2" fmla="*/ 1023620858 w 429"/>
            <a:gd name="T3" fmla="*/ 129754206 h 229"/>
            <a:gd name="T4" fmla="*/ 945216187 w 429"/>
            <a:gd name="T5" fmla="*/ 168679867 h 229"/>
            <a:gd name="T6" fmla="*/ 906012808 w 429"/>
            <a:gd name="T7" fmla="*/ 168679867 h 229"/>
            <a:gd name="T8" fmla="*/ 849386632 w 429"/>
            <a:gd name="T9" fmla="*/ 60552380 h 229"/>
            <a:gd name="T10" fmla="*/ 688221591 w 429"/>
            <a:gd name="T11" fmla="*/ 0 h 229"/>
            <a:gd name="T12" fmla="*/ 592394123 w 429"/>
            <a:gd name="T13" fmla="*/ 60552380 h 229"/>
            <a:gd name="T14" fmla="*/ 592394123 w 429"/>
            <a:gd name="T15" fmla="*/ 224906468 h 229"/>
            <a:gd name="T16" fmla="*/ 448649661 w 429"/>
            <a:gd name="T17" fmla="*/ 224906468 h 229"/>
            <a:gd name="T18" fmla="*/ 374600689 w 429"/>
            <a:gd name="T19" fmla="*/ 168679867 h 229"/>
            <a:gd name="T20" fmla="*/ 222146981 w 429"/>
            <a:gd name="T21" fmla="*/ 129754206 h 229"/>
            <a:gd name="T22" fmla="*/ 0 w 429"/>
            <a:gd name="T23" fmla="*/ 298434106 h 229"/>
            <a:gd name="T24" fmla="*/ 69693305 w 429"/>
            <a:gd name="T25" fmla="*/ 423862517 h 229"/>
            <a:gd name="T26" fmla="*/ 161165106 w 429"/>
            <a:gd name="T27" fmla="*/ 423862517 h 229"/>
            <a:gd name="T28" fmla="*/ 191657087 w 429"/>
            <a:gd name="T29" fmla="*/ 493064327 h 229"/>
            <a:gd name="T30" fmla="*/ 191657087 w 429"/>
            <a:gd name="T31" fmla="*/ 661744259 h 229"/>
            <a:gd name="T32" fmla="*/ 405092670 w 429"/>
            <a:gd name="T33" fmla="*/ 756898568 h 229"/>
            <a:gd name="T34" fmla="*/ 535767818 w 429"/>
            <a:gd name="T35" fmla="*/ 856374480 h 229"/>
            <a:gd name="T36" fmla="*/ 753559165 w 429"/>
            <a:gd name="T37" fmla="*/ 856374480 h 229"/>
            <a:gd name="T38" fmla="*/ 871167215 w 429"/>
            <a:gd name="T39" fmla="*/ 951528789 h 229"/>
            <a:gd name="T40" fmla="*/ 1023620858 w 429"/>
            <a:gd name="T41" fmla="*/ 990454417 h 229"/>
            <a:gd name="T42" fmla="*/ 1149940567 w 429"/>
            <a:gd name="T43" fmla="*/ 886650662 h 229"/>
            <a:gd name="T44" fmla="*/ 1306749909 w 429"/>
            <a:gd name="T45" fmla="*/ 886650662 h 229"/>
            <a:gd name="T46" fmla="*/ 1433069357 w 429"/>
            <a:gd name="T47" fmla="*/ 787172670 h 229"/>
            <a:gd name="T48" fmla="*/ 1402577377 w 429"/>
            <a:gd name="T49" fmla="*/ 756898568 h 229"/>
            <a:gd name="T50" fmla="*/ 1467914950 w 429"/>
            <a:gd name="T51" fmla="*/ 661744259 h 229"/>
            <a:gd name="T52" fmla="*/ 1528896825 w 429"/>
            <a:gd name="T53" fmla="*/ 692020441 h 229"/>
            <a:gd name="T54" fmla="*/ 1650860574 w 429"/>
            <a:gd name="T55" fmla="*/ 631468077 h 229"/>
            <a:gd name="T56" fmla="*/ 1711842449 w 429"/>
            <a:gd name="T57" fmla="*/ 531989955 h 229"/>
            <a:gd name="T58" fmla="*/ 1868651791 w 429"/>
            <a:gd name="T59" fmla="*/ 531989955 h 229"/>
            <a:gd name="T60" fmla="*/ 1803314217 w 429"/>
            <a:gd name="T61" fmla="*/ 423862517 h 229"/>
            <a:gd name="T62" fmla="*/ 1711842449 w 429"/>
            <a:gd name="T63" fmla="*/ 458464462 h 229"/>
            <a:gd name="T64" fmla="*/ 1650860574 w 429"/>
            <a:gd name="T65" fmla="*/ 458464462 h 229"/>
            <a:gd name="T66" fmla="*/ 1650860574 w 429"/>
            <a:gd name="T67" fmla="*/ 298434106 h 229"/>
            <a:gd name="T68" fmla="*/ 1672639070 w 429"/>
            <a:gd name="T69" fmla="*/ 224906468 h 229"/>
            <a:gd name="T70" fmla="*/ 1585523000 w 429"/>
            <a:gd name="T71" fmla="*/ 168679867 h 229"/>
            <a:gd name="T72" fmla="*/ 1498406931 w 429"/>
            <a:gd name="T73" fmla="*/ 263832096 h 229"/>
            <a:gd name="T74" fmla="*/ 1337239803 w 429"/>
            <a:gd name="T75" fmla="*/ 298434106 h 229"/>
            <a:gd name="T76" fmla="*/ 1250123734 w 429"/>
            <a:gd name="T77" fmla="*/ 263832096 h 229"/>
            <a:gd name="T78" fmla="*/ 1250123734 w 429"/>
            <a:gd name="T79" fmla="*/ 263832096 h 229"/>
            <a:gd name="T80" fmla="*/ 1250123734 w 429"/>
            <a:gd name="T81" fmla="*/ 263832096 h 229"/>
            <a:gd name="T82" fmla="*/ 0 60000 65536"/>
            <a:gd name="T83" fmla="*/ 0 60000 65536"/>
            <a:gd name="T84" fmla="*/ 0 60000 65536"/>
            <a:gd name="T85" fmla="*/ 0 60000 65536"/>
            <a:gd name="T86" fmla="*/ 0 60000 65536"/>
            <a:gd name="T87" fmla="*/ 0 60000 65536"/>
            <a:gd name="T88" fmla="*/ 0 60000 65536"/>
            <a:gd name="T89" fmla="*/ 0 60000 65536"/>
            <a:gd name="T90" fmla="*/ 0 60000 65536"/>
            <a:gd name="T91" fmla="*/ 0 60000 65536"/>
            <a:gd name="T92" fmla="*/ 0 60000 65536"/>
            <a:gd name="T93" fmla="*/ 0 60000 65536"/>
            <a:gd name="T94" fmla="*/ 0 60000 65536"/>
            <a:gd name="T95" fmla="*/ 0 60000 65536"/>
            <a:gd name="T96" fmla="*/ 0 60000 65536"/>
            <a:gd name="T97" fmla="*/ 0 60000 65536"/>
            <a:gd name="T98" fmla="*/ 0 60000 65536"/>
            <a:gd name="T99" fmla="*/ 0 60000 65536"/>
            <a:gd name="T100" fmla="*/ 0 60000 65536"/>
            <a:gd name="T101" fmla="*/ 0 60000 65536"/>
            <a:gd name="T102" fmla="*/ 0 60000 65536"/>
            <a:gd name="T103" fmla="*/ 0 60000 65536"/>
            <a:gd name="T104" fmla="*/ 0 60000 65536"/>
            <a:gd name="T105" fmla="*/ 0 60000 65536"/>
            <a:gd name="T106" fmla="*/ 0 60000 65536"/>
            <a:gd name="T107" fmla="*/ 0 60000 65536"/>
            <a:gd name="T108" fmla="*/ 0 60000 65536"/>
            <a:gd name="T109" fmla="*/ 0 60000 65536"/>
            <a:gd name="T110" fmla="*/ 0 60000 65536"/>
            <a:gd name="T111" fmla="*/ 0 60000 65536"/>
            <a:gd name="T112" fmla="*/ 0 60000 65536"/>
            <a:gd name="T113" fmla="*/ 0 60000 65536"/>
            <a:gd name="T114" fmla="*/ 0 60000 65536"/>
            <a:gd name="T115" fmla="*/ 0 60000 65536"/>
            <a:gd name="T116" fmla="*/ 0 60000 65536"/>
            <a:gd name="T117" fmla="*/ 0 60000 65536"/>
            <a:gd name="T118" fmla="*/ 0 60000 65536"/>
            <a:gd name="T119" fmla="*/ 0 60000 65536"/>
            <a:gd name="T120" fmla="*/ 0 60000 65536"/>
            <a:gd name="T121" fmla="*/ 0 60000 65536"/>
            <a:gd name="T122" fmla="*/ 0 60000 65536"/>
            <a:gd name="T123" fmla="*/ 0 w 429"/>
            <a:gd name="T124" fmla="*/ 0 h 229"/>
            <a:gd name="T125" fmla="*/ 429 w 429"/>
            <a:gd name="T126" fmla="*/ 229 h 229"/>
          </a:gdLst>
          <a:ahLst/>
          <a:cxnLst>
            <a:cxn ang="T82">
              <a:pos x="T0" y="T1"/>
            </a:cxn>
            <a:cxn ang="T83">
              <a:pos x="T2" y="T3"/>
            </a:cxn>
            <a:cxn ang="T84">
              <a:pos x="T4" y="T5"/>
            </a:cxn>
            <a:cxn ang="T85">
              <a:pos x="T6" y="T7"/>
            </a:cxn>
            <a:cxn ang="T86">
              <a:pos x="T8" y="T9"/>
            </a:cxn>
            <a:cxn ang="T87">
              <a:pos x="T10" y="T11"/>
            </a:cxn>
            <a:cxn ang="T88">
              <a:pos x="T12" y="T13"/>
            </a:cxn>
            <a:cxn ang="T89">
              <a:pos x="T14" y="T15"/>
            </a:cxn>
            <a:cxn ang="T90">
              <a:pos x="T16" y="T17"/>
            </a:cxn>
            <a:cxn ang="T91">
              <a:pos x="T18" y="T19"/>
            </a:cxn>
            <a:cxn ang="T92">
              <a:pos x="T20" y="T21"/>
            </a:cxn>
            <a:cxn ang="T93">
              <a:pos x="T22" y="T23"/>
            </a:cxn>
            <a:cxn ang="T94">
              <a:pos x="T24" y="T25"/>
            </a:cxn>
            <a:cxn ang="T95">
              <a:pos x="T26" y="T27"/>
            </a:cxn>
            <a:cxn ang="T96">
              <a:pos x="T28" y="T29"/>
            </a:cxn>
            <a:cxn ang="T97">
              <a:pos x="T30" y="T31"/>
            </a:cxn>
            <a:cxn ang="T98">
              <a:pos x="T32" y="T33"/>
            </a:cxn>
            <a:cxn ang="T99">
              <a:pos x="T34" y="T35"/>
            </a:cxn>
            <a:cxn ang="T100">
              <a:pos x="T36" y="T37"/>
            </a:cxn>
            <a:cxn ang="T101">
              <a:pos x="T38" y="T39"/>
            </a:cxn>
            <a:cxn ang="T102">
              <a:pos x="T40" y="T41"/>
            </a:cxn>
            <a:cxn ang="T103">
              <a:pos x="T42" y="T43"/>
            </a:cxn>
            <a:cxn ang="T104">
              <a:pos x="T44" y="T45"/>
            </a:cxn>
            <a:cxn ang="T105">
              <a:pos x="T46" y="T47"/>
            </a:cxn>
            <a:cxn ang="T106">
              <a:pos x="T48" y="T49"/>
            </a:cxn>
            <a:cxn ang="T107">
              <a:pos x="T50" y="T51"/>
            </a:cxn>
            <a:cxn ang="T108">
              <a:pos x="T52" y="T53"/>
            </a:cxn>
            <a:cxn ang="T109">
              <a:pos x="T54" y="T55"/>
            </a:cxn>
            <a:cxn ang="T110">
              <a:pos x="T56" y="T57"/>
            </a:cxn>
            <a:cxn ang="T111">
              <a:pos x="T58" y="T59"/>
            </a:cxn>
            <a:cxn ang="T112">
              <a:pos x="T60" y="T61"/>
            </a:cxn>
            <a:cxn ang="T113">
              <a:pos x="T62" y="T63"/>
            </a:cxn>
            <a:cxn ang="T114">
              <a:pos x="T64" y="T65"/>
            </a:cxn>
            <a:cxn ang="T115">
              <a:pos x="T66" y="T67"/>
            </a:cxn>
            <a:cxn ang="T116">
              <a:pos x="T68" y="T69"/>
            </a:cxn>
            <a:cxn ang="T117">
              <a:pos x="T70" y="T71"/>
            </a:cxn>
            <a:cxn ang="T118">
              <a:pos x="T72" y="T73"/>
            </a:cxn>
            <a:cxn ang="T119">
              <a:pos x="T74" y="T75"/>
            </a:cxn>
            <a:cxn ang="T120">
              <a:pos x="T76" y="T77"/>
            </a:cxn>
            <a:cxn ang="T121">
              <a:pos x="T78" y="T79"/>
            </a:cxn>
            <a:cxn ang="T122">
              <a:pos x="T80" y="T81"/>
            </a:cxn>
          </a:cxnLst>
          <a:rect l="T123" t="T124" r="T125" b="T126"/>
          <a:pathLst>
            <a:path w="429" h="229">
              <a:moveTo>
                <a:pt x="287" y="61"/>
              </a:moveTo>
              <a:lnTo>
                <a:pt x="235" y="30"/>
              </a:lnTo>
              <a:lnTo>
                <a:pt x="217" y="39"/>
              </a:lnTo>
              <a:lnTo>
                <a:pt x="208" y="39"/>
              </a:lnTo>
              <a:lnTo>
                <a:pt x="195" y="14"/>
              </a:lnTo>
              <a:lnTo>
                <a:pt x="158" y="0"/>
              </a:lnTo>
              <a:lnTo>
                <a:pt x="136" y="14"/>
              </a:lnTo>
              <a:lnTo>
                <a:pt x="136" y="52"/>
              </a:lnTo>
              <a:lnTo>
                <a:pt x="103" y="52"/>
              </a:lnTo>
              <a:lnTo>
                <a:pt x="86" y="39"/>
              </a:lnTo>
              <a:lnTo>
                <a:pt x="51" y="30"/>
              </a:lnTo>
              <a:lnTo>
                <a:pt x="0" y="69"/>
              </a:lnTo>
              <a:lnTo>
                <a:pt x="16" y="98"/>
              </a:lnTo>
              <a:lnTo>
                <a:pt x="37" y="98"/>
              </a:lnTo>
              <a:lnTo>
                <a:pt x="44" y="114"/>
              </a:lnTo>
              <a:lnTo>
                <a:pt x="44" y="153"/>
              </a:lnTo>
              <a:lnTo>
                <a:pt x="93" y="175"/>
              </a:lnTo>
              <a:lnTo>
                <a:pt x="123" y="198"/>
              </a:lnTo>
              <a:lnTo>
                <a:pt x="173" y="198"/>
              </a:lnTo>
              <a:lnTo>
                <a:pt x="200" y="220"/>
              </a:lnTo>
              <a:lnTo>
                <a:pt x="235" y="229"/>
              </a:lnTo>
              <a:lnTo>
                <a:pt x="264" y="205"/>
              </a:lnTo>
              <a:lnTo>
                <a:pt x="300" y="205"/>
              </a:lnTo>
              <a:lnTo>
                <a:pt x="329" y="182"/>
              </a:lnTo>
              <a:lnTo>
                <a:pt x="322" y="175"/>
              </a:lnTo>
              <a:lnTo>
                <a:pt x="337" y="153"/>
              </a:lnTo>
              <a:lnTo>
                <a:pt x="351" y="160"/>
              </a:lnTo>
              <a:lnTo>
                <a:pt x="379" y="146"/>
              </a:lnTo>
              <a:lnTo>
                <a:pt x="393" y="123"/>
              </a:lnTo>
              <a:lnTo>
                <a:pt x="429" y="123"/>
              </a:lnTo>
              <a:lnTo>
                <a:pt x="414" y="98"/>
              </a:lnTo>
              <a:lnTo>
                <a:pt x="393" y="106"/>
              </a:lnTo>
              <a:lnTo>
                <a:pt x="379" y="106"/>
              </a:lnTo>
              <a:lnTo>
                <a:pt x="379" y="69"/>
              </a:lnTo>
              <a:lnTo>
                <a:pt x="384" y="52"/>
              </a:lnTo>
              <a:lnTo>
                <a:pt x="364" y="39"/>
              </a:lnTo>
              <a:lnTo>
                <a:pt x="344" y="61"/>
              </a:lnTo>
              <a:lnTo>
                <a:pt x="307" y="69"/>
              </a:lnTo>
              <a:lnTo>
                <a:pt x="287" y="61"/>
              </a:lnTo>
              <a:close/>
            </a:path>
          </a:pathLst>
        </a:custGeom>
        <a:solidFill>
          <a:srgbClr val="F5F5F5"/>
        </a:solidFill>
        <a:ln w="9525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36576" tIns="32004" rIns="0" bIns="0" anchor="t"/>
        <a:lstStyle/>
        <a:p>
          <a:pPr algn="l" rtl="0">
            <a:defRPr sz="1000"/>
          </a:pPr>
          <a:endParaRPr lang="en-US" sz="16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en-US"/>
        </a:p>
      </xdr:txBody>
    </xdr:sp>
    <xdr:clientData/>
  </xdr:twoCellAnchor>
  <xdr:twoCellAnchor>
    <xdr:from>
      <xdr:col>12</xdr:col>
      <xdr:colOff>685800</xdr:colOff>
      <xdr:row>26</xdr:row>
      <xdr:rowOff>19050</xdr:rowOff>
    </xdr:from>
    <xdr:to>
      <xdr:col>13</xdr:col>
      <xdr:colOff>123825</xdr:colOff>
      <xdr:row>27</xdr:row>
      <xdr:rowOff>19050</xdr:rowOff>
    </xdr:to>
    <xdr:sp macro="" textlink="">
      <xdr:nvSpPr>
        <xdr:cNvPr id="25830" name="S_BGD"/>
        <xdr:cNvSpPr>
          <a:spLocks/>
        </xdr:cNvSpPr>
      </xdr:nvSpPr>
      <xdr:spPr bwMode="auto">
        <a:xfrm>
          <a:off x="7943850" y="4076700"/>
          <a:ext cx="152400" cy="161925"/>
        </a:xfrm>
        <a:custGeom>
          <a:avLst/>
          <a:gdLst>
            <a:gd name="T0" fmla="*/ 318161093 w 73"/>
            <a:gd name="T1" fmla="*/ 318403437 h 77"/>
            <a:gd name="T2" fmla="*/ 257144687 w 73"/>
            <a:gd name="T3" fmla="*/ 207846493 h 77"/>
            <a:gd name="T4" fmla="*/ 257144687 w 73"/>
            <a:gd name="T5" fmla="*/ 141514048 h 77"/>
            <a:gd name="T6" fmla="*/ 222276416 w 73"/>
            <a:gd name="T7" fmla="*/ 207846493 h 77"/>
            <a:gd name="T8" fmla="*/ 191769289 w 73"/>
            <a:gd name="T9" fmla="*/ 207846493 h 77"/>
            <a:gd name="T10" fmla="*/ 191769289 w 73"/>
            <a:gd name="T11" fmla="*/ 141514048 h 77"/>
            <a:gd name="T12" fmla="*/ 257144687 w 73"/>
            <a:gd name="T13" fmla="*/ 66334564 h 77"/>
            <a:gd name="T14" fmla="*/ 126391772 w 73"/>
            <a:gd name="T15" fmla="*/ 66334564 h 77"/>
            <a:gd name="T16" fmla="*/ 126391772 w 73"/>
            <a:gd name="T17" fmla="*/ 0 h 77"/>
            <a:gd name="T18" fmla="*/ 39225255 w 73"/>
            <a:gd name="T19" fmla="*/ 0 h 77"/>
            <a:gd name="T20" fmla="*/ 39225255 w 73"/>
            <a:gd name="T21" fmla="*/ 30955009 h 77"/>
            <a:gd name="T22" fmla="*/ 0 w 73"/>
            <a:gd name="T23" fmla="*/ 110556911 h 77"/>
            <a:gd name="T24" fmla="*/ 39225255 w 73"/>
            <a:gd name="T25" fmla="*/ 110556911 h 77"/>
            <a:gd name="T26" fmla="*/ 69734486 w 73"/>
            <a:gd name="T27" fmla="*/ 318403437 h 77"/>
            <a:gd name="T28" fmla="*/ 161260075 w 73"/>
            <a:gd name="T29" fmla="*/ 318403437 h 77"/>
            <a:gd name="T30" fmla="*/ 222276416 w 73"/>
            <a:gd name="T31" fmla="*/ 243226040 h 77"/>
            <a:gd name="T32" fmla="*/ 257144687 w 73"/>
            <a:gd name="T33" fmla="*/ 340515654 h 77"/>
            <a:gd name="T34" fmla="*/ 318161093 w 73"/>
            <a:gd name="T35" fmla="*/ 318403437 h 77"/>
            <a:gd name="T36" fmla="*/ 318161093 w 73"/>
            <a:gd name="T37" fmla="*/ 318403437 h 77"/>
            <a:gd name="T38" fmla="*/ 318161093 w 73"/>
            <a:gd name="T39" fmla="*/ 318403437 h 77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60000 65536"/>
            <a:gd name="T52" fmla="*/ 0 60000 65536"/>
            <a:gd name="T53" fmla="*/ 0 60000 65536"/>
            <a:gd name="T54" fmla="*/ 0 60000 65536"/>
            <a:gd name="T55" fmla="*/ 0 60000 65536"/>
            <a:gd name="T56" fmla="*/ 0 60000 65536"/>
            <a:gd name="T57" fmla="*/ 0 60000 65536"/>
            <a:gd name="T58" fmla="*/ 0 60000 65536"/>
            <a:gd name="T59" fmla="*/ 0 60000 65536"/>
            <a:gd name="T60" fmla="*/ 0 w 73"/>
            <a:gd name="T61" fmla="*/ 0 h 77"/>
            <a:gd name="T62" fmla="*/ 73 w 73"/>
            <a:gd name="T63" fmla="*/ 77 h 77"/>
          </a:gdLst>
          <a:ahLst/>
          <a:cxnLst>
            <a:cxn ang="T40">
              <a:pos x="T0" y="T1"/>
            </a:cxn>
            <a:cxn ang="T41">
              <a:pos x="T2" y="T3"/>
            </a:cxn>
            <a:cxn ang="T42">
              <a:pos x="T4" y="T5"/>
            </a:cxn>
            <a:cxn ang="T43">
              <a:pos x="T6" y="T7"/>
            </a:cxn>
            <a:cxn ang="T44">
              <a:pos x="T8" y="T9"/>
            </a:cxn>
            <a:cxn ang="T45">
              <a:pos x="T10" y="T11"/>
            </a:cxn>
            <a:cxn ang="T46">
              <a:pos x="T12" y="T13"/>
            </a:cxn>
            <a:cxn ang="T47">
              <a:pos x="T14" y="T15"/>
            </a:cxn>
            <a:cxn ang="T48">
              <a:pos x="T16" y="T17"/>
            </a:cxn>
            <a:cxn ang="T49">
              <a:pos x="T18" y="T19"/>
            </a:cxn>
            <a:cxn ang="T50">
              <a:pos x="T20" y="T21"/>
            </a:cxn>
            <a:cxn ang="T51">
              <a:pos x="T22" y="T23"/>
            </a:cxn>
            <a:cxn ang="T52">
              <a:pos x="T24" y="T25"/>
            </a:cxn>
            <a:cxn ang="T53">
              <a:pos x="T26" y="T27"/>
            </a:cxn>
            <a:cxn ang="T54">
              <a:pos x="T28" y="T29"/>
            </a:cxn>
            <a:cxn ang="T55">
              <a:pos x="T30" y="T31"/>
            </a:cxn>
            <a:cxn ang="T56">
              <a:pos x="T32" y="T33"/>
            </a:cxn>
            <a:cxn ang="T57">
              <a:pos x="T34" y="T35"/>
            </a:cxn>
            <a:cxn ang="T58">
              <a:pos x="T36" y="T37"/>
            </a:cxn>
            <a:cxn ang="T59">
              <a:pos x="T38" y="T39"/>
            </a:cxn>
          </a:cxnLst>
          <a:rect l="T60" t="T61" r="T62" b="T63"/>
          <a:pathLst>
            <a:path w="73" h="77">
              <a:moveTo>
                <a:pt x="73" y="72"/>
              </a:moveTo>
              <a:lnTo>
                <a:pt x="59" y="47"/>
              </a:lnTo>
              <a:lnTo>
                <a:pt x="59" y="32"/>
              </a:lnTo>
              <a:lnTo>
                <a:pt x="51" y="47"/>
              </a:lnTo>
              <a:lnTo>
                <a:pt x="44" y="47"/>
              </a:lnTo>
              <a:lnTo>
                <a:pt x="44" y="32"/>
              </a:lnTo>
              <a:lnTo>
                <a:pt x="59" y="15"/>
              </a:lnTo>
              <a:lnTo>
                <a:pt x="29" y="15"/>
              </a:lnTo>
              <a:lnTo>
                <a:pt x="29" y="0"/>
              </a:lnTo>
              <a:lnTo>
                <a:pt x="9" y="0"/>
              </a:lnTo>
              <a:lnTo>
                <a:pt x="9" y="7"/>
              </a:lnTo>
              <a:lnTo>
                <a:pt x="0" y="25"/>
              </a:lnTo>
              <a:lnTo>
                <a:pt x="9" y="25"/>
              </a:lnTo>
              <a:lnTo>
                <a:pt x="16" y="72"/>
              </a:lnTo>
              <a:lnTo>
                <a:pt x="37" y="72"/>
              </a:lnTo>
              <a:lnTo>
                <a:pt x="51" y="55"/>
              </a:lnTo>
              <a:lnTo>
                <a:pt x="59" y="77"/>
              </a:lnTo>
              <a:lnTo>
                <a:pt x="73" y="72"/>
              </a:lnTo>
              <a:close/>
            </a:path>
          </a:pathLst>
        </a:custGeom>
        <a:solidFill>
          <a:srgbClr val="F5F5F5"/>
        </a:solidFill>
        <a:ln w="9525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36576" tIns="32004" rIns="0" bIns="0" anchor="t"/>
        <a:lstStyle/>
        <a:p>
          <a:pPr algn="l" rtl="0">
            <a:defRPr sz="1000"/>
          </a:pPr>
          <a:endParaRPr lang="en-US" sz="16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en-US"/>
        </a:p>
      </xdr:txBody>
    </xdr:sp>
    <xdr:clientData/>
  </xdr:twoCellAnchor>
  <xdr:twoCellAnchor>
    <xdr:from>
      <xdr:col>13</xdr:col>
      <xdr:colOff>95250</xdr:colOff>
      <xdr:row>25</xdr:row>
      <xdr:rowOff>123825</xdr:rowOff>
    </xdr:from>
    <xdr:to>
      <xdr:col>13</xdr:col>
      <xdr:colOff>342900</xdr:colOff>
      <xdr:row>29</xdr:row>
      <xdr:rowOff>66675</xdr:rowOff>
    </xdr:to>
    <xdr:sp macro="" textlink="">
      <xdr:nvSpPr>
        <xdr:cNvPr id="25831" name="S_MMR"/>
        <xdr:cNvSpPr>
          <a:spLocks/>
        </xdr:cNvSpPr>
      </xdr:nvSpPr>
      <xdr:spPr bwMode="auto">
        <a:xfrm>
          <a:off x="8067675" y="4019550"/>
          <a:ext cx="247650" cy="590550"/>
        </a:xfrm>
        <a:custGeom>
          <a:avLst/>
          <a:gdLst>
            <a:gd name="T0" fmla="*/ 394115234 w 119"/>
            <a:gd name="T1" fmla="*/ 1223681757 h 285"/>
            <a:gd name="T2" fmla="*/ 459080680 w 119"/>
            <a:gd name="T3" fmla="*/ 1069110800 h 285"/>
            <a:gd name="T4" fmla="*/ 394115234 w 119"/>
            <a:gd name="T5" fmla="*/ 871604027 h 285"/>
            <a:gd name="T6" fmla="*/ 394115234 w 119"/>
            <a:gd name="T7" fmla="*/ 785731878 h 285"/>
            <a:gd name="T8" fmla="*/ 333482621 w 119"/>
            <a:gd name="T9" fmla="*/ 678392727 h 285"/>
            <a:gd name="T10" fmla="*/ 333482621 w 119"/>
            <a:gd name="T11" fmla="*/ 583931705 h 285"/>
            <a:gd name="T12" fmla="*/ 480734441 w 119"/>
            <a:gd name="T13" fmla="*/ 523821899 h 285"/>
            <a:gd name="T14" fmla="*/ 515382540 w 119"/>
            <a:gd name="T15" fmla="*/ 433656350 h 285"/>
            <a:gd name="T16" fmla="*/ 480734441 w 119"/>
            <a:gd name="T17" fmla="*/ 433656350 h 285"/>
            <a:gd name="T18" fmla="*/ 420101828 w 119"/>
            <a:gd name="T19" fmla="*/ 395013675 h 285"/>
            <a:gd name="T20" fmla="*/ 420101828 w 119"/>
            <a:gd name="T21" fmla="*/ 330608527 h 285"/>
            <a:gd name="T22" fmla="*/ 394115234 w 119"/>
            <a:gd name="T23" fmla="*/ 266205386 h 285"/>
            <a:gd name="T24" fmla="*/ 333482621 w 119"/>
            <a:gd name="T25" fmla="*/ 266205386 h 285"/>
            <a:gd name="T26" fmla="*/ 394115234 w 119"/>
            <a:gd name="T27" fmla="*/ 72991981 h 285"/>
            <a:gd name="T28" fmla="*/ 333482621 w 119"/>
            <a:gd name="T29" fmla="*/ 0 h 285"/>
            <a:gd name="T30" fmla="*/ 307498108 w 119"/>
            <a:gd name="T31" fmla="*/ 0 h 285"/>
            <a:gd name="T32" fmla="*/ 307498108 w 119"/>
            <a:gd name="T33" fmla="*/ 72991981 h 285"/>
            <a:gd name="T34" fmla="*/ 238201844 w 119"/>
            <a:gd name="T35" fmla="*/ 72991981 h 285"/>
            <a:gd name="T36" fmla="*/ 60632629 w 119"/>
            <a:gd name="T37" fmla="*/ 395013675 h 285"/>
            <a:gd name="T38" fmla="*/ 60632629 w 119"/>
            <a:gd name="T39" fmla="*/ 433656350 h 285"/>
            <a:gd name="T40" fmla="*/ 0 w 119"/>
            <a:gd name="T41" fmla="*/ 455123351 h 285"/>
            <a:gd name="T42" fmla="*/ 95280744 w 119"/>
            <a:gd name="T43" fmla="*/ 553877903 h 285"/>
            <a:gd name="T44" fmla="*/ 147251885 w 119"/>
            <a:gd name="T45" fmla="*/ 742795803 h 285"/>
            <a:gd name="T46" fmla="*/ 116934505 w 119"/>
            <a:gd name="T47" fmla="*/ 785731878 h 285"/>
            <a:gd name="T48" fmla="*/ 190561488 w 119"/>
            <a:gd name="T49" fmla="*/ 837254753 h 285"/>
            <a:gd name="T50" fmla="*/ 277180761 w 119"/>
            <a:gd name="T51" fmla="*/ 742795803 h 285"/>
            <a:gd name="T52" fmla="*/ 307498108 w 119"/>
            <a:gd name="T53" fmla="*/ 785731878 h 285"/>
            <a:gd name="T54" fmla="*/ 394115234 w 119"/>
            <a:gd name="T55" fmla="*/ 1039054926 h 285"/>
            <a:gd name="T56" fmla="*/ 394115234 w 119"/>
            <a:gd name="T57" fmla="*/ 1223681757 h 285"/>
            <a:gd name="T58" fmla="*/ 394115234 w 119"/>
            <a:gd name="T59" fmla="*/ 1223681757 h 285"/>
            <a:gd name="T60" fmla="*/ 394115234 w 119"/>
            <a:gd name="T61" fmla="*/ 1223681757 h 285"/>
            <a:gd name="T62" fmla="*/ 0 60000 65536"/>
            <a:gd name="T63" fmla="*/ 0 60000 65536"/>
            <a:gd name="T64" fmla="*/ 0 60000 65536"/>
            <a:gd name="T65" fmla="*/ 0 60000 65536"/>
            <a:gd name="T66" fmla="*/ 0 60000 65536"/>
            <a:gd name="T67" fmla="*/ 0 60000 65536"/>
            <a:gd name="T68" fmla="*/ 0 60000 65536"/>
            <a:gd name="T69" fmla="*/ 0 60000 65536"/>
            <a:gd name="T70" fmla="*/ 0 60000 65536"/>
            <a:gd name="T71" fmla="*/ 0 60000 65536"/>
            <a:gd name="T72" fmla="*/ 0 60000 65536"/>
            <a:gd name="T73" fmla="*/ 0 60000 65536"/>
            <a:gd name="T74" fmla="*/ 0 60000 65536"/>
            <a:gd name="T75" fmla="*/ 0 60000 65536"/>
            <a:gd name="T76" fmla="*/ 0 60000 65536"/>
            <a:gd name="T77" fmla="*/ 0 60000 65536"/>
            <a:gd name="T78" fmla="*/ 0 60000 65536"/>
            <a:gd name="T79" fmla="*/ 0 60000 65536"/>
            <a:gd name="T80" fmla="*/ 0 60000 65536"/>
            <a:gd name="T81" fmla="*/ 0 60000 65536"/>
            <a:gd name="T82" fmla="*/ 0 60000 65536"/>
            <a:gd name="T83" fmla="*/ 0 60000 65536"/>
            <a:gd name="T84" fmla="*/ 0 60000 65536"/>
            <a:gd name="T85" fmla="*/ 0 60000 65536"/>
            <a:gd name="T86" fmla="*/ 0 60000 65536"/>
            <a:gd name="T87" fmla="*/ 0 60000 65536"/>
            <a:gd name="T88" fmla="*/ 0 60000 65536"/>
            <a:gd name="T89" fmla="*/ 0 60000 65536"/>
            <a:gd name="T90" fmla="*/ 0 60000 65536"/>
            <a:gd name="T91" fmla="*/ 0 60000 65536"/>
            <a:gd name="T92" fmla="*/ 0 60000 65536"/>
            <a:gd name="T93" fmla="*/ 0 w 119"/>
            <a:gd name="T94" fmla="*/ 0 h 285"/>
            <a:gd name="T95" fmla="*/ 119 w 119"/>
            <a:gd name="T96" fmla="*/ 285 h 285"/>
          </a:gdLst>
          <a:ahLst/>
          <a:cxnLst>
            <a:cxn ang="T62">
              <a:pos x="T0" y="T1"/>
            </a:cxn>
            <a:cxn ang="T63">
              <a:pos x="T2" y="T3"/>
            </a:cxn>
            <a:cxn ang="T64">
              <a:pos x="T4" y="T5"/>
            </a:cxn>
            <a:cxn ang="T65">
              <a:pos x="T6" y="T7"/>
            </a:cxn>
            <a:cxn ang="T66">
              <a:pos x="T8" y="T9"/>
            </a:cxn>
            <a:cxn ang="T67">
              <a:pos x="T10" y="T11"/>
            </a:cxn>
            <a:cxn ang="T68">
              <a:pos x="T12" y="T13"/>
            </a:cxn>
            <a:cxn ang="T69">
              <a:pos x="T14" y="T15"/>
            </a:cxn>
            <a:cxn ang="T70">
              <a:pos x="T16" y="T17"/>
            </a:cxn>
            <a:cxn ang="T71">
              <a:pos x="T18" y="T19"/>
            </a:cxn>
            <a:cxn ang="T72">
              <a:pos x="T20" y="T21"/>
            </a:cxn>
            <a:cxn ang="T73">
              <a:pos x="T22" y="T23"/>
            </a:cxn>
            <a:cxn ang="T74">
              <a:pos x="T24" y="T25"/>
            </a:cxn>
            <a:cxn ang="T75">
              <a:pos x="T26" y="T27"/>
            </a:cxn>
            <a:cxn ang="T76">
              <a:pos x="T28" y="T29"/>
            </a:cxn>
            <a:cxn ang="T77">
              <a:pos x="T30" y="T31"/>
            </a:cxn>
            <a:cxn ang="T78">
              <a:pos x="T32" y="T33"/>
            </a:cxn>
            <a:cxn ang="T79">
              <a:pos x="T34" y="T35"/>
            </a:cxn>
            <a:cxn ang="T80">
              <a:pos x="T36" y="T37"/>
            </a:cxn>
            <a:cxn ang="T81">
              <a:pos x="T38" y="T39"/>
            </a:cxn>
            <a:cxn ang="T82">
              <a:pos x="T40" y="T41"/>
            </a:cxn>
            <a:cxn ang="T83">
              <a:pos x="T42" y="T43"/>
            </a:cxn>
            <a:cxn ang="T84">
              <a:pos x="T44" y="T45"/>
            </a:cxn>
            <a:cxn ang="T85">
              <a:pos x="T46" y="T47"/>
            </a:cxn>
            <a:cxn ang="T86">
              <a:pos x="T48" y="T49"/>
            </a:cxn>
            <a:cxn ang="T87">
              <a:pos x="T50" y="T51"/>
            </a:cxn>
            <a:cxn ang="T88">
              <a:pos x="T52" y="T53"/>
            </a:cxn>
            <a:cxn ang="T89">
              <a:pos x="T54" y="T55"/>
            </a:cxn>
            <a:cxn ang="T90">
              <a:pos x="T56" y="T57"/>
            </a:cxn>
            <a:cxn ang="T91">
              <a:pos x="T58" y="T59"/>
            </a:cxn>
            <a:cxn ang="T92">
              <a:pos x="T60" y="T61"/>
            </a:cxn>
          </a:cxnLst>
          <a:rect l="T93" t="T94" r="T95" b="T96"/>
          <a:pathLst>
            <a:path w="119" h="285">
              <a:moveTo>
                <a:pt x="91" y="285"/>
              </a:moveTo>
              <a:lnTo>
                <a:pt x="106" y="249"/>
              </a:lnTo>
              <a:lnTo>
                <a:pt x="91" y="203"/>
              </a:lnTo>
              <a:lnTo>
                <a:pt x="91" y="183"/>
              </a:lnTo>
              <a:lnTo>
                <a:pt x="77" y="158"/>
              </a:lnTo>
              <a:lnTo>
                <a:pt x="77" y="136"/>
              </a:lnTo>
              <a:lnTo>
                <a:pt x="111" y="122"/>
              </a:lnTo>
              <a:lnTo>
                <a:pt x="119" y="101"/>
              </a:lnTo>
              <a:lnTo>
                <a:pt x="111" y="101"/>
              </a:lnTo>
              <a:lnTo>
                <a:pt x="97" y="92"/>
              </a:lnTo>
              <a:lnTo>
                <a:pt x="97" y="77"/>
              </a:lnTo>
              <a:lnTo>
                <a:pt x="91" y="62"/>
              </a:lnTo>
              <a:lnTo>
                <a:pt x="77" y="62"/>
              </a:lnTo>
              <a:lnTo>
                <a:pt x="91" y="17"/>
              </a:lnTo>
              <a:lnTo>
                <a:pt x="77" y="0"/>
              </a:lnTo>
              <a:lnTo>
                <a:pt x="71" y="0"/>
              </a:lnTo>
              <a:lnTo>
                <a:pt x="71" y="17"/>
              </a:lnTo>
              <a:lnTo>
                <a:pt x="55" y="17"/>
              </a:lnTo>
              <a:lnTo>
                <a:pt x="14" y="92"/>
              </a:lnTo>
              <a:lnTo>
                <a:pt x="14" y="101"/>
              </a:lnTo>
              <a:lnTo>
                <a:pt x="0" y="106"/>
              </a:lnTo>
              <a:lnTo>
                <a:pt x="22" y="129"/>
              </a:lnTo>
              <a:lnTo>
                <a:pt x="34" y="173"/>
              </a:lnTo>
              <a:lnTo>
                <a:pt x="27" y="183"/>
              </a:lnTo>
              <a:lnTo>
                <a:pt x="44" y="195"/>
              </a:lnTo>
              <a:lnTo>
                <a:pt x="64" y="173"/>
              </a:lnTo>
              <a:lnTo>
                <a:pt x="71" y="183"/>
              </a:lnTo>
              <a:lnTo>
                <a:pt x="91" y="242"/>
              </a:lnTo>
              <a:lnTo>
                <a:pt x="91" y="285"/>
              </a:lnTo>
              <a:close/>
            </a:path>
          </a:pathLst>
        </a:custGeom>
        <a:solidFill>
          <a:srgbClr val="F5F5F5"/>
        </a:solidFill>
        <a:ln w="9525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36576" tIns="32004" rIns="0" bIns="0" anchor="t"/>
        <a:lstStyle/>
        <a:p>
          <a:pPr algn="l" rtl="0">
            <a:defRPr sz="1000"/>
          </a:pPr>
          <a:endParaRPr lang="en-US" sz="16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en-US"/>
        </a:p>
      </xdr:txBody>
    </xdr:sp>
    <xdr:clientData/>
  </xdr:twoCellAnchor>
  <xdr:twoCellAnchor>
    <xdr:from>
      <xdr:col>13</xdr:col>
      <xdr:colOff>333375</xdr:colOff>
      <xdr:row>26</xdr:row>
      <xdr:rowOff>152400</xdr:rowOff>
    </xdr:from>
    <xdr:to>
      <xdr:col>13</xdr:col>
      <xdr:colOff>523875</xdr:colOff>
      <xdr:row>28</xdr:row>
      <xdr:rowOff>95250</xdr:rowOff>
    </xdr:to>
    <xdr:sp macro="" textlink="">
      <xdr:nvSpPr>
        <xdr:cNvPr id="25832" name="S_LAO"/>
        <xdr:cNvSpPr>
          <a:spLocks/>
        </xdr:cNvSpPr>
      </xdr:nvSpPr>
      <xdr:spPr bwMode="auto">
        <a:xfrm>
          <a:off x="8305800" y="4210050"/>
          <a:ext cx="190500" cy="266700"/>
        </a:xfrm>
        <a:custGeom>
          <a:avLst/>
          <a:gdLst>
            <a:gd name="T0" fmla="*/ 386066491 w 94"/>
            <a:gd name="T1" fmla="*/ 520962911 h 128"/>
            <a:gd name="T2" fmla="*/ 386066491 w 94"/>
            <a:gd name="T3" fmla="*/ 455842303 h 128"/>
            <a:gd name="T4" fmla="*/ 332673817 w 94"/>
            <a:gd name="T5" fmla="*/ 360332494 h 128"/>
            <a:gd name="T6" fmla="*/ 332673817 w 94"/>
            <a:gd name="T7" fmla="*/ 329943294 h 128"/>
            <a:gd name="T8" fmla="*/ 188925337 w 94"/>
            <a:gd name="T9" fmla="*/ 199702013 h 128"/>
            <a:gd name="T10" fmla="*/ 271067352 w 94"/>
            <a:gd name="T11" fmla="*/ 169312813 h 128"/>
            <a:gd name="T12" fmla="*/ 213568733 w 94"/>
            <a:gd name="T13" fmla="*/ 138923612 h 128"/>
            <a:gd name="T14" fmla="*/ 151962269 w 94"/>
            <a:gd name="T15" fmla="*/ 69462848 h 128"/>
            <a:gd name="T16" fmla="*/ 119105052 w 94"/>
            <a:gd name="T17" fmla="*/ 0 h 128"/>
            <a:gd name="T18" fmla="*/ 98569563 w 94"/>
            <a:gd name="T19" fmla="*/ 0 h 128"/>
            <a:gd name="T20" fmla="*/ 98569563 w 94"/>
            <a:gd name="T21" fmla="*/ 69462848 h 128"/>
            <a:gd name="T22" fmla="*/ 36963084 w 94"/>
            <a:gd name="T23" fmla="*/ 69462848 h 128"/>
            <a:gd name="T24" fmla="*/ 36963084 w 94"/>
            <a:gd name="T25" fmla="*/ 39071548 h 128"/>
            <a:gd name="T26" fmla="*/ 0 w 94"/>
            <a:gd name="T27" fmla="*/ 138923612 h 128"/>
            <a:gd name="T28" fmla="*/ 0 w 94"/>
            <a:gd name="T29" fmla="*/ 169312813 h 128"/>
            <a:gd name="T30" fmla="*/ 36963084 w 94"/>
            <a:gd name="T31" fmla="*/ 199702013 h 128"/>
            <a:gd name="T32" fmla="*/ 36963084 w 94"/>
            <a:gd name="T33" fmla="*/ 329943294 h 128"/>
            <a:gd name="T34" fmla="*/ 188925337 w 94"/>
            <a:gd name="T35" fmla="*/ 273505017 h 128"/>
            <a:gd name="T36" fmla="*/ 213568733 w 94"/>
            <a:gd name="T37" fmla="*/ 329943294 h 128"/>
            <a:gd name="T38" fmla="*/ 271067352 w 94"/>
            <a:gd name="T39" fmla="*/ 395063902 h 128"/>
            <a:gd name="T40" fmla="*/ 291602841 w 94"/>
            <a:gd name="T41" fmla="*/ 455842303 h 128"/>
            <a:gd name="T42" fmla="*/ 291602841 w 94"/>
            <a:gd name="T43" fmla="*/ 520962911 h 128"/>
            <a:gd name="T44" fmla="*/ 332673817 w 94"/>
            <a:gd name="T45" fmla="*/ 555694449 h 128"/>
            <a:gd name="T46" fmla="*/ 332673817 w 94"/>
            <a:gd name="T47" fmla="*/ 520962911 h 128"/>
            <a:gd name="T48" fmla="*/ 386066491 w 94"/>
            <a:gd name="T49" fmla="*/ 520962911 h 128"/>
            <a:gd name="T50" fmla="*/ 386066491 w 94"/>
            <a:gd name="T51" fmla="*/ 520962911 h 128"/>
            <a:gd name="T52" fmla="*/ 0 60000 65536"/>
            <a:gd name="T53" fmla="*/ 0 60000 65536"/>
            <a:gd name="T54" fmla="*/ 0 60000 65536"/>
            <a:gd name="T55" fmla="*/ 0 60000 65536"/>
            <a:gd name="T56" fmla="*/ 0 60000 65536"/>
            <a:gd name="T57" fmla="*/ 0 60000 65536"/>
            <a:gd name="T58" fmla="*/ 0 60000 65536"/>
            <a:gd name="T59" fmla="*/ 0 60000 65536"/>
            <a:gd name="T60" fmla="*/ 0 60000 65536"/>
            <a:gd name="T61" fmla="*/ 0 60000 65536"/>
            <a:gd name="T62" fmla="*/ 0 60000 65536"/>
            <a:gd name="T63" fmla="*/ 0 60000 65536"/>
            <a:gd name="T64" fmla="*/ 0 60000 65536"/>
            <a:gd name="T65" fmla="*/ 0 60000 65536"/>
            <a:gd name="T66" fmla="*/ 0 60000 65536"/>
            <a:gd name="T67" fmla="*/ 0 60000 65536"/>
            <a:gd name="T68" fmla="*/ 0 60000 65536"/>
            <a:gd name="T69" fmla="*/ 0 60000 65536"/>
            <a:gd name="T70" fmla="*/ 0 60000 65536"/>
            <a:gd name="T71" fmla="*/ 0 60000 65536"/>
            <a:gd name="T72" fmla="*/ 0 60000 65536"/>
            <a:gd name="T73" fmla="*/ 0 60000 65536"/>
            <a:gd name="T74" fmla="*/ 0 60000 65536"/>
            <a:gd name="T75" fmla="*/ 0 60000 65536"/>
            <a:gd name="T76" fmla="*/ 0 60000 65536"/>
            <a:gd name="T77" fmla="*/ 0 60000 65536"/>
            <a:gd name="T78" fmla="*/ 0 w 94"/>
            <a:gd name="T79" fmla="*/ 0 h 128"/>
            <a:gd name="T80" fmla="*/ 94 w 94"/>
            <a:gd name="T81" fmla="*/ 128 h 128"/>
          </a:gdLst>
          <a:ahLst/>
          <a:cxnLst>
            <a:cxn ang="T52">
              <a:pos x="T0" y="T1"/>
            </a:cxn>
            <a:cxn ang="T53">
              <a:pos x="T2" y="T3"/>
            </a:cxn>
            <a:cxn ang="T54">
              <a:pos x="T4" y="T5"/>
            </a:cxn>
            <a:cxn ang="T55">
              <a:pos x="T6" y="T7"/>
            </a:cxn>
            <a:cxn ang="T56">
              <a:pos x="T8" y="T9"/>
            </a:cxn>
            <a:cxn ang="T57">
              <a:pos x="T10" y="T11"/>
            </a:cxn>
            <a:cxn ang="T58">
              <a:pos x="T12" y="T13"/>
            </a:cxn>
            <a:cxn ang="T59">
              <a:pos x="T14" y="T15"/>
            </a:cxn>
            <a:cxn ang="T60">
              <a:pos x="T16" y="T17"/>
            </a:cxn>
            <a:cxn ang="T61">
              <a:pos x="T18" y="T19"/>
            </a:cxn>
            <a:cxn ang="T62">
              <a:pos x="T20" y="T21"/>
            </a:cxn>
            <a:cxn ang="T63">
              <a:pos x="T22" y="T23"/>
            </a:cxn>
            <a:cxn ang="T64">
              <a:pos x="T24" y="T25"/>
            </a:cxn>
            <a:cxn ang="T65">
              <a:pos x="T26" y="T27"/>
            </a:cxn>
            <a:cxn ang="T66">
              <a:pos x="T28" y="T29"/>
            </a:cxn>
            <a:cxn ang="T67">
              <a:pos x="T30" y="T31"/>
            </a:cxn>
            <a:cxn ang="T68">
              <a:pos x="T32" y="T33"/>
            </a:cxn>
            <a:cxn ang="T69">
              <a:pos x="T34" y="T35"/>
            </a:cxn>
            <a:cxn ang="T70">
              <a:pos x="T36" y="T37"/>
            </a:cxn>
            <a:cxn ang="T71">
              <a:pos x="T38" y="T39"/>
            </a:cxn>
            <a:cxn ang="T72">
              <a:pos x="T40" y="T41"/>
            </a:cxn>
            <a:cxn ang="T73">
              <a:pos x="T42" y="T43"/>
            </a:cxn>
            <a:cxn ang="T74">
              <a:pos x="T44" y="T45"/>
            </a:cxn>
            <a:cxn ang="T75">
              <a:pos x="T46" y="T47"/>
            </a:cxn>
            <a:cxn ang="T76">
              <a:pos x="T48" y="T49"/>
            </a:cxn>
            <a:cxn ang="T77">
              <a:pos x="T50" y="T51"/>
            </a:cxn>
          </a:cxnLst>
          <a:rect l="T78" t="T79" r="T80" b="T81"/>
          <a:pathLst>
            <a:path w="94" h="128">
              <a:moveTo>
                <a:pt x="94" y="120"/>
              </a:moveTo>
              <a:lnTo>
                <a:pt x="94" y="105"/>
              </a:lnTo>
              <a:lnTo>
                <a:pt x="81" y="83"/>
              </a:lnTo>
              <a:lnTo>
                <a:pt x="81" y="76"/>
              </a:lnTo>
              <a:lnTo>
                <a:pt x="46" y="46"/>
              </a:lnTo>
              <a:lnTo>
                <a:pt x="66" y="39"/>
              </a:lnTo>
              <a:lnTo>
                <a:pt x="52" y="32"/>
              </a:lnTo>
              <a:lnTo>
                <a:pt x="37" y="16"/>
              </a:lnTo>
              <a:lnTo>
                <a:pt x="29" y="0"/>
              </a:lnTo>
              <a:lnTo>
                <a:pt x="24" y="0"/>
              </a:lnTo>
              <a:lnTo>
                <a:pt x="24" y="16"/>
              </a:lnTo>
              <a:lnTo>
                <a:pt x="9" y="16"/>
              </a:lnTo>
              <a:lnTo>
                <a:pt x="9" y="9"/>
              </a:lnTo>
              <a:lnTo>
                <a:pt x="0" y="32"/>
              </a:lnTo>
              <a:lnTo>
                <a:pt x="0" y="39"/>
              </a:lnTo>
              <a:lnTo>
                <a:pt x="9" y="46"/>
              </a:lnTo>
              <a:lnTo>
                <a:pt x="9" y="76"/>
              </a:lnTo>
              <a:lnTo>
                <a:pt x="46" y="63"/>
              </a:lnTo>
              <a:lnTo>
                <a:pt x="52" y="76"/>
              </a:lnTo>
              <a:lnTo>
                <a:pt x="66" y="91"/>
              </a:lnTo>
              <a:lnTo>
                <a:pt x="71" y="105"/>
              </a:lnTo>
              <a:lnTo>
                <a:pt x="71" y="120"/>
              </a:lnTo>
              <a:lnTo>
                <a:pt x="81" y="128"/>
              </a:lnTo>
              <a:lnTo>
                <a:pt x="81" y="120"/>
              </a:lnTo>
              <a:lnTo>
                <a:pt x="94" y="120"/>
              </a:lnTo>
              <a:close/>
            </a:path>
          </a:pathLst>
        </a:custGeom>
        <a:solidFill>
          <a:srgbClr val="F5F5F5"/>
        </a:solidFill>
        <a:ln w="9525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36576" tIns="32004" rIns="0" bIns="0" anchor="t"/>
        <a:lstStyle/>
        <a:p>
          <a:pPr algn="l" rtl="0">
            <a:defRPr sz="1000"/>
          </a:pPr>
          <a:endParaRPr lang="en-US" sz="16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en-US"/>
        </a:p>
      </xdr:txBody>
    </xdr:sp>
    <xdr:clientData/>
  </xdr:twoCellAnchor>
  <xdr:twoCellAnchor>
    <xdr:from>
      <xdr:col>12</xdr:col>
      <xdr:colOff>142875</xdr:colOff>
      <xdr:row>23</xdr:row>
      <xdr:rowOff>123825</xdr:rowOff>
    </xdr:from>
    <xdr:to>
      <xdr:col>13</xdr:col>
      <xdr:colOff>238125</xdr:colOff>
      <xdr:row>29</xdr:row>
      <xdr:rowOff>104775</xdr:rowOff>
    </xdr:to>
    <xdr:sp macro="" textlink="">
      <xdr:nvSpPr>
        <xdr:cNvPr id="25833" name="S_IND"/>
        <xdr:cNvSpPr>
          <a:spLocks/>
        </xdr:cNvSpPr>
      </xdr:nvSpPr>
      <xdr:spPr bwMode="auto">
        <a:xfrm>
          <a:off x="7400925" y="3695700"/>
          <a:ext cx="809625" cy="952500"/>
        </a:xfrm>
        <a:custGeom>
          <a:avLst/>
          <a:gdLst>
            <a:gd name="T0" fmla="*/ 1337732513 w 391"/>
            <a:gd name="T1" fmla="*/ 683645963 h 455"/>
            <a:gd name="T2" fmla="*/ 1187666185 w 391"/>
            <a:gd name="T3" fmla="*/ 749383099 h 455"/>
            <a:gd name="T4" fmla="*/ 1157652091 w 391"/>
            <a:gd name="T5" fmla="*/ 683645963 h 455"/>
            <a:gd name="T6" fmla="*/ 1119063429 w 391"/>
            <a:gd name="T7" fmla="*/ 815118142 h 455"/>
            <a:gd name="T8" fmla="*/ 763192716 w 391"/>
            <a:gd name="T9" fmla="*/ 683645963 h 455"/>
            <a:gd name="T10" fmla="*/ 733180693 w 391"/>
            <a:gd name="T11" fmla="*/ 512735977 h 455"/>
            <a:gd name="T12" fmla="*/ 574537726 w 391"/>
            <a:gd name="T13" fmla="*/ 350589119 h 455"/>
            <a:gd name="T14" fmla="*/ 604551820 w 391"/>
            <a:gd name="T15" fmla="*/ 293617074 h 455"/>
            <a:gd name="T16" fmla="*/ 703166599 w 391"/>
            <a:gd name="T17" fmla="*/ 118323528 h 455"/>
            <a:gd name="T18" fmla="*/ 553100271 w 391"/>
            <a:gd name="T19" fmla="*/ 118323528 h 455"/>
            <a:gd name="T20" fmla="*/ 394459245 w 391"/>
            <a:gd name="T21" fmla="*/ 0 h 455"/>
            <a:gd name="T22" fmla="*/ 304419034 w 391"/>
            <a:gd name="T23" fmla="*/ 87646756 h 455"/>
            <a:gd name="T24" fmla="*/ 368733471 w 391"/>
            <a:gd name="T25" fmla="*/ 118323528 h 455"/>
            <a:gd name="T26" fmla="*/ 330144809 w 391"/>
            <a:gd name="T27" fmla="*/ 188440103 h 455"/>
            <a:gd name="T28" fmla="*/ 330144809 w 391"/>
            <a:gd name="T29" fmla="*/ 324293846 h 455"/>
            <a:gd name="T30" fmla="*/ 394459245 w 391"/>
            <a:gd name="T31" fmla="*/ 390028889 h 455"/>
            <a:gd name="T32" fmla="*/ 394459245 w 391"/>
            <a:gd name="T33" fmla="*/ 455763932 h 455"/>
            <a:gd name="T34" fmla="*/ 150066393 w 391"/>
            <a:gd name="T35" fmla="*/ 727471418 h 455"/>
            <a:gd name="T36" fmla="*/ 60026133 w 391"/>
            <a:gd name="T37" fmla="*/ 727471418 h 455"/>
            <a:gd name="T38" fmla="*/ 124340586 w 391"/>
            <a:gd name="T39" fmla="*/ 815118142 h 455"/>
            <a:gd name="T40" fmla="*/ 150066393 w 391"/>
            <a:gd name="T41" fmla="*/ 845792820 h 455"/>
            <a:gd name="T42" fmla="*/ 30014102 w 391"/>
            <a:gd name="T43" fmla="*/ 950969726 h 455"/>
            <a:gd name="T44" fmla="*/ 60026133 w 391"/>
            <a:gd name="T45" fmla="*/ 1051765133 h 455"/>
            <a:gd name="T46" fmla="*/ 124340586 w 391"/>
            <a:gd name="T47" fmla="*/ 1082439812 h 455"/>
            <a:gd name="T48" fmla="*/ 150066393 w 391"/>
            <a:gd name="T49" fmla="*/ 1213912253 h 455"/>
            <a:gd name="T50" fmla="*/ 244392853 w 391"/>
            <a:gd name="T51" fmla="*/ 1244589025 h 455"/>
            <a:gd name="T52" fmla="*/ 553100271 w 391"/>
            <a:gd name="T53" fmla="*/ 1993969769 h 455"/>
            <a:gd name="T54" fmla="*/ 647428801 w 391"/>
            <a:gd name="T55" fmla="*/ 1766087868 h 455"/>
            <a:gd name="T56" fmla="*/ 703166599 w 391"/>
            <a:gd name="T57" fmla="*/ 1529440877 h 455"/>
            <a:gd name="T58" fmla="*/ 763192716 w 391"/>
            <a:gd name="T59" fmla="*/ 1472470925 h 455"/>
            <a:gd name="T60" fmla="*/ 797493059 w 391"/>
            <a:gd name="T61" fmla="*/ 1437410561 h 455"/>
            <a:gd name="T62" fmla="*/ 1063325373 w 391"/>
            <a:gd name="T63" fmla="*/ 1244589025 h 455"/>
            <a:gd name="T64" fmla="*/ 1157652091 w 391"/>
            <a:gd name="T65" fmla="*/ 1082439812 h 455"/>
            <a:gd name="T66" fmla="*/ 1187666185 w 391"/>
            <a:gd name="T67" fmla="*/ 1117500438 h 455"/>
            <a:gd name="T68" fmla="*/ 1119063429 w 391"/>
            <a:gd name="T69" fmla="*/ 920292954 h 455"/>
            <a:gd name="T70" fmla="*/ 1157652091 w 391"/>
            <a:gd name="T71" fmla="*/ 815118142 h 455"/>
            <a:gd name="T72" fmla="*/ 1243403983 w 391"/>
            <a:gd name="T73" fmla="*/ 876469592 h 455"/>
            <a:gd name="T74" fmla="*/ 1307718419 w 391"/>
            <a:gd name="T75" fmla="*/ 950969726 h 455"/>
            <a:gd name="T76" fmla="*/ 1337732513 w 391"/>
            <a:gd name="T77" fmla="*/ 1016704769 h 455"/>
            <a:gd name="T78" fmla="*/ 1372032856 w 391"/>
            <a:gd name="T79" fmla="*/ 1016704769 h 455"/>
            <a:gd name="T80" fmla="*/ 1432058973 w 391"/>
            <a:gd name="T81" fmla="*/ 1082439812 h 455"/>
            <a:gd name="T82" fmla="*/ 1607851075 w 391"/>
            <a:gd name="T83" fmla="*/ 749383099 h 455"/>
            <a:gd name="T84" fmla="*/ 1676451761 w 391"/>
            <a:gd name="T85" fmla="*/ 683645963 h 455"/>
            <a:gd name="T86" fmla="*/ 1517810864 w 391"/>
            <a:gd name="T87" fmla="*/ 595999239 h 455"/>
            <a:gd name="T88" fmla="*/ 1517810864 w 391"/>
            <a:gd name="T89" fmla="*/ 595999239 h 455"/>
            <a:gd name="T90" fmla="*/ 0 60000 65536"/>
            <a:gd name="T91" fmla="*/ 0 60000 65536"/>
            <a:gd name="T92" fmla="*/ 0 60000 65536"/>
            <a:gd name="T93" fmla="*/ 0 60000 65536"/>
            <a:gd name="T94" fmla="*/ 0 60000 65536"/>
            <a:gd name="T95" fmla="*/ 0 60000 65536"/>
            <a:gd name="T96" fmla="*/ 0 60000 65536"/>
            <a:gd name="T97" fmla="*/ 0 60000 65536"/>
            <a:gd name="T98" fmla="*/ 0 60000 65536"/>
            <a:gd name="T99" fmla="*/ 0 60000 65536"/>
            <a:gd name="T100" fmla="*/ 0 60000 65536"/>
            <a:gd name="T101" fmla="*/ 0 60000 65536"/>
            <a:gd name="T102" fmla="*/ 0 60000 65536"/>
            <a:gd name="T103" fmla="*/ 0 60000 65536"/>
            <a:gd name="T104" fmla="*/ 0 60000 65536"/>
            <a:gd name="T105" fmla="*/ 0 60000 65536"/>
            <a:gd name="T106" fmla="*/ 0 60000 65536"/>
            <a:gd name="T107" fmla="*/ 0 60000 65536"/>
            <a:gd name="T108" fmla="*/ 0 60000 65536"/>
            <a:gd name="T109" fmla="*/ 0 60000 65536"/>
            <a:gd name="T110" fmla="*/ 0 60000 65536"/>
            <a:gd name="T111" fmla="*/ 0 60000 65536"/>
            <a:gd name="T112" fmla="*/ 0 60000 65536"/>
            <a:gd name="T113" fmla="*/ 0 60000 65536"/>
            <a:gd name="T114" fmla="*/ 0 60000 65536"/>
            <a:gd name="T115" fmla="*/ 0 60000 65536"/>
            <a:gd name="T116" fmla="*/ 0 60000 65536"/>
            <a:gd name="T117" fmla="*/ 0 60000 65536"/>
            <a:gd name="T118" fmla="*/ 0 60000 65536"/>
            <a:gd name="T119" fmla="*/ 0 60000 65536"/>
            <a:gd name="T120" fmla="*/ 0 60000 65536"/>
            <a:gd name="T121" fmla="*/ 0 60000 65536"/>
            <a:gd name="T122" fmla="*/ 0 60000 65536"/>
            <a:gd name="T123" fmla="*/ 0 60000 65536"/>
            <a:gd name="T124" fmla="*/ 0 60000 65536"/>
            <a:gd name="T125" fmla="*/ 0 60000 65536"/>
            <a:gd name="T126" fmla="*/ 0 60000 65536"/>
            <a:gd name="T127" fmla="*/ 0 60000 65536"/>
            <a:gd name="T128" fmla="*/ 0 60000 65536"/>
            <a:gd name="T129" fmla="*/ 0 60000 65536"/>
            <a:gd name="T130" fmla="*/ 0 60000 65536"/>
            <a:gd name="T131" fmla="*/ 0 60000 65536"/>
            <a:gd name="T132" fmla="*/ 0 60000 65536"/>
            <a:gd name="T133" fmla="*/ 0 60000 65536"/>
            <a:gd name="T134" fmla="*/ 0 60000 65536"/>
            <a:gd name="T135" fmla="*/ 0 w 391"/>
            <a:gd name="T136" fmla="*/ 0 h 455"/>
            <a:gd name="T137" fmla="*/ 391 w 391"/>
            <a:gd name="T138" fmla="*/ 455 h 455"/>
          </a:gdLst>
          <a:ahLst/>
          <a:cxnLst>
            <a:cxn ang="T90">
              <a:pos x="T0" y="T1"/>
            </a:cxn>
            <a:cxn ang="T91">
              <a:pos x="T2" y="T3"/>
            </a:cxn>
            <a:cxn ang="T92">
              <a:pos x="T4" y="T5"/>
            </a:cxn>
            <a:cxn ang="T93">
              <a:pos x="T6" y="T7"/>
            </a:cxn>
            <a:cxn ang="T94">
              <a:pos x="T8" y="T9"/>
            </a:cxn>
            <a:cxn ang="T95">
              <a:pos x="T10" y="T11"/>
            </a:cxn>
            <a:cxn ang="T96">
              <a:pos x="T12" y="T13"/>
            </a:cxn>
            <a:cxn ang="T97">
              <a:pos x="T14" y="T15"/>
            </a:cxn>
            <a:cxn ang="T98">
              <a:pos x="T16" y="T17"/>
            </a:cxn>
            <a:cxn ang="T99">
              <a:pos x="T18" y="T19"/>
            </a:cxn>
            <a:cxn ang="T100">
              <a:pos x="T20" y="T21"/>
            </a:cxn>
            <a:cxn ang="T101">
              <a:pos x="T22" y="T23"/>
            </a:cxn>
            <a:cxn ang="T102">
              <a:pos x="T24" y="T25"/>
            </a:cxn>
            <a:cxn ang="T103">
              <a:pos x="T26" y="T27"/>
            </a:cxn>
            <a:cxn ang="T104">
              <a:pos x="T28" y="T29"/>
            </a:cxn>
            <a:cxn ang="T105">
              <a:pos x="T30" y="T31"/>
            </a:cxn>
            <a:cxn ang="T106">
              <a:pos x="T32" y="T33"/>
            </a:cxn>
            <a:cxn ang="T107">
              <a:pos x="T34" y="T35"/>
            </a:cxn>
            <a:cxn ang="T108">
              <a:pos x="T36" y="T37"/>
            </a:cxn>
            <a:cxn ang="T109">
              <a:pos x="T38" y="T39"/>
            </a:cxn>
            <a:cxn ang="T110">
              <a:pos x="T40" y="T41"/>
            </a:cxn>
            <a:cxn ang="T111">
              <a:pos x="T42" y="T43"/>
            </a:cxn>
            <a:cxn ang="T112">
              <a:pos x="T44" y="T45"/>
            </a:cxn>
            <a:cxn ang="T113">
              <a:pos x="T46" y="T47"/>
            </a:cxn>
            <a:cxn ang="T114">
              <a:pos x="T48" y="T49"/>
            </a:cxn>
            <a:cxn ang="T115">
              <a:pos x="T50" y="T51"/>
            </a:cxn>
            <a:cxn ang="T116">
              <a:pos x="T52" y="T53"/>
            </a:cxn>
            <a:cxn ang="T117">
              <a:pos x="T54" y="T55"/>
            </a:cxn>
            <a:cxn ang="T118">
              <a:pos x="T56" y="T57"/>
            </a:cxn>
            <a:cxn ang="T119">
              <a:pos x="T58" y="T59"/>
            </a:cxn>
            <a:cxn ang="T120">
              <a:pos x="T60" y="T61"/>
            </a:cxn>
            <a:cxn ang="T121">
              <a:pos x="T62" y="T63"/>
            </a:cxn>
            <a:cxn ang="T122">
              <a:pos x="T64" y="T65"/>
            </a:cxn>
            <a:cxn ang="T123">
              <a:pos x="T66" y="T67"/>
            </a:cxn>
            <a:cxn ang="T124">
              <a:pos x="T68" y="T69"/>
            </a:cxn>
            <a:cxn ang="T125">
              <a:pos x="T70" y="T71"/>
            </a:cxn>
            <a:cxn ang="T126">
              <a:pos x="T72" y="T73"/>
            </a:cxn>
            <a:cxn ang="T127">
              <a:pos x="T74" y="T75"/>
            </a:cxn>
            <a:cxn ang="T128">
              <a:pos x="T76" y="T77"/>
            </a:cxn>
            <a:cxn ang="T129">
              <a:pos x="T78" y="T79"/>
            </a:cxn>
            <a:cxn ang="T130">
              <a:pos x="T80" y="T81"/>
            </a:cxn>
            <a:cxn ang="T131">
              <a:pos x="T82" y="T83"/>
            </a:cxn>
            <a:cxn ang="T132">
              <a:pos x="T84" y="T85"/>
            </a:cxn>
            <a:cxn ang="T133">
              <a:pos x="T86" y="T87"/>
            </a:cxn>
            <a:cxn ang="T134">
              <a:pos x="T88" y="T89"/>
            </a:cxn>
          </a:cxnLst>
          <a:rect l="T135" t="T136" r="T137" b="T138"/>
          <a:pathLst>
            <a:path w="391" h="455">
              <a:moveTo>
                <a:pt x="354" y="136"/>
              </a:moveTo>
              <a:lnTo>
                <a:pt x="312" y="156"/>
              </a:lnTo>
              <a:lnTo>
                <a:pt x="320" y="171"/>
              </a:lnTo>
              <a:lnTo>
                <a:pt x="277" y="171"/>
              </a:lnTo>
              <a:lnTo>
                <a:pt x="277" y="166"/>
              </a:lnTo>
              <a:lnTo>
                <a:pt x="270" y="156"/>
              </a:lnTo>
              <a:lnTo>
                <a:pt x="261" y="156"/>
              </a:lnTo>
              <a:lnTo>
                <a:pt x="261" y="186"/>
              </a:lnTo>
              <a:lnTo>
                <a:pt x="256" y="186"/>
              </a:lnTo>
              <a:lnTo>
                <a:pt x="178" y="156"/>
              </a:lnTo>
              <a:lnTo>
                <a:pt x="164" y="139"/>
              </a:lnTo>
              <a:lnTo>
                <a:pt x="171" y="117"/>
              </a:lnTo>
              <a:lnTo>
                <a:pt x="141" y="112"/>
              </a:lnTo>
              <a:lnTo>
                <a:pt x="134" y="80"/>
              </a:lnTo>
              <a:lnTo>
                <a:pt x="151" y="80"/>
              </a:lnTo>
              <a:lnTo>
                <a:pt x="141" y="67"/>
              </a:lnTo>
              <a:lnTo>
                <a:pt x="164" y="43"/>
              </a:lnTo>
              <a:lnTo>
                <a:pt x="164" y="27"/>
              </a:lnTo>
              <a:lnTo>
                <a:pt x="151" y="15"/>
              </a:lnTo>
              <a:lnTo>
                <a:pt x="129" y="27"/>
              </a:lnTo>
              <a:lnTo>
                <a:pt x="99" y="6"/>
              </a:lnTo>
              <a:lnTo>
                <a:pt x="92" y="0"/>
              </a:lnTo>
              <a:lnTo>
                <a:pt x="71" y="0"/>
              </a:lnTo>
              <a:lnTo>
                <a:pt x="71" y="20"/>
              </a:lnTo>
              <a:lnTo>
                <a:pt x="77" y="20"/>
              </a:lnTo>
              <a:lnTo>
                <a:pt x="86" y="27"/>
              </a:lnTo>
              <a:lnTo>
                <a:pt x="86" y="35"/>
              </a:lnTo>
              <a:lnTo>
                <a:pt x="77" y="43"/>
              </a:lnTo>
              <a:lnTo>
                <a:pt x="86" y="52"/>
              </a:lnTo>
              <a:lnTo>
                <a:pt x="77" y="74"/>
              </a:lnTo>
              <a:lnTo>
                <a:pt x="92" y="80"/>
              </a:lnTo>
              <a:lnTo>
                <a:pt x="92" y="89"/>
              </a:lnTo>
              <a:lnTo>
                <a:pt x="86" y="89"/>
              </a:lnTo>
              <a:lnTo>
                <a:pt x="92" y="104"/>
              </a:lnTo>
              <a:lnTo>
                <a:pt x="49" y="156"/>
              </a:lnTo>
              <a:lnTo>
                <a:pt x="35" y="166"/>
              </a:lnTo>
              <a:lnTo>
                <a:pt x="29" y="156"/>
              </a:lnTo>
              <a:lnTo>
                <a:pt x="14" y="166"/>
              </a:lnTo>
              <a:lnTo>
                <a:pt x="14" y="186"/>
              </a:lnTo>
              <a:lnTo>
                <a:pt x="29" y="186"/>
              </a:lnTo>
              <a:lnTo>
                <a:pt x="29" y="193"/>
              </a:lnTo>
              <a:lnTo>
                <a:pt x="35" y="193"/>
              </a:lnTo>
              <a:lnTo>
                <a:pt x="35" y="217"/>
              </a:lnTo>
              <a:lnTo>
                <a:pt x="7" y="217"/>
              </a:lnTo>
              <a:lnTo>
                <a:pt x="0" y="232"/>
              </a:lnTo>
              <a:lnTo>
                <a:pt x="14" y="240"/>
              </a:lnTo>
              <a:lnTo>
                <a:pt x="29" y="240"/>
              </a:lnTo>
              <a:lnTo>
                <a:pt x="29" y="247"/>
              </a:lnTo>
              <a:lnTo>
                <a:pt x="7" y="247"/>
              </a:lnTo>
              <a:lnTo>
                <a:pt x="35" y="277"/>
              </a:lnTo>
              <a:lnTo>
                <a:pt x="57" y="247"/>
              </a:lnTo>
              <a:lnTo>
                <a:pt x="57" y="284"/>
              </a:lnTo>
              <a:lnTo>
                <a:pt x="114" y="447"/>
              </a:lnTo>
              <a:lnTo>
                <a:pt x="129" y="455"/>
              </a:lnTo>
              <a:lnTo>
                <a:pt x="151" y="432"/>
              </a:lnTo>
              <a:lnTo>
                <a:pt x="151" y="403"/>
              </a:lnTo>
              <a:lnTo>
                <a:pt x="164" y="378"/>
              </a:lnTo>
              <a:lnTo>
                <a:pt x="164" y="349"/>
              </a:lnTo>
              <a:lnTo>
                <a:pt x="171" y="349"/>
              </a:lnTo>
              <a:lnTo>
                <a:pt x="178" y="336"/>
              </a:lnTo>
              <a:lnTo>
                <a:pt x="186" y="336"/>
              </a:lnTo>
              <a:lnTo>
                <a:pt x="186" y="328"/>
              </a:lnTo>
              <a:lnTo>
                <a:pt x="226" y="291"/>
              </a:lnTo>
              <a:lnTo>
                <a:pt x="248" y="284"/>
              </a:lnTo>
              <a:lnTo>
                <a:pt x="256" y="255"/>
              </a:lnTo>
              <a:lnTo>
                <a:pt x="270" y="247"/>
              </a:lnTo>
              <a:lnTo>
                <a:pt x="270" y="255"/>
              </a:lnTo>
              <a:lnTo>
                <a:pt x="277" y="255"/>
              </a:lnTo>
              <a:lnTo>
                <a:pt x="270" y="210"/>
              </a:lnTo>
              <a:lnTo>
                <a:pt x="261" y="210"/>
              </a:lnTo>
              <a:lnTo>
                <a:pt x="270" y="193"/>
              </a:lnTo>
              <a:lnTo>
                <a:pt x="270" y="186"/>
              </a:lnTo>
              <a:lnTo>
                <a:pt x="290" y="186"/>
              </a:lnTo>
              <a:lnTo>
                <a:pt x="290" y="200"/>
              </a:lnTo>
              <a:lnTo>
                <a:pt x="320" y="200"/>
              </a:lnTo>
              <a:lnTo>
                <a:pt x="305" y="217"/>
              </a:lnTo>
              <a:lnTo>
                <a:pt x="305" y="232"/>
              </a:lnTo>
              <a:lnTo>
                <a:pt x="312" y="232"/>
              </a:lnTo>
              <a:lnTo>
                <a:pt x="320" y="217"/>
              </a:lnTo>
              <a:lnTo>
                <a:pt x="320" y="232"/>
              </a:lnTo>
              <a:lnTo>
                <a:pt x="334" y="255"/>
              </a:lnTo>
              <a:lnTo>
                <a:pt x="334" y="247"/>
              </a:lnTo>
              <a:lnTo>
                <a:pt x="364" y="186"/>
              </a:lnTo>
              <a:lnTo>
                <a:pt x="375" y="171"/>
              </a:lnTo>
              <a:lnTo>
                <a:pt x="391" y="171"/>
              </a:lnTo>
              <a:lnTo>
                <a:pt x="391" y="156"/>
              </a:lnTo>
              <a:lnTo>
                <a:pt x="375" y="136"/>
              </a:lnTo>
              <a:lnTo>
                <a:pt x="354" y="136"/>
              </a:lnTo>
              <a:close/>
            </a:path>
          </a:pathLst>
        </a:custGeom>
        <a:solidFill>
          <a:srgbClr val="F5F5F5"/>
        </a:solidFill>
        <a:ln w="9525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36576" tIns="32004" rIns="0" bIns="0" anchor="t"/>
        <a:lstStyle/>
        <a:p>
          <a:pPr algn="l" rtl="0">
            <a:defRPr sz="1000"/>
          </a:pPr>
          <a:endParaRPr lang="en-US" sz="16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en-US"/>
        </a:p>
      </xdr:txBody>
    </xdr:sp>
    <xdr:clientData/>
  </xdr:twoCellAnchor>
  <xdr:twoCellAnchor>
    <xdr:from>
      <xdr:col>14</xdr:col>
      <xdr:colOff>342900</xdr:colOff>
      <xdr:row>23</xdr:row>
      <xdr:rowOff>57150</xdr:rowOff>
    </xdr:from>
    <xdr:to>
      <xdr:col>14</xdr:col>
      <xdr:colOff>428625</xdr:colOff>
      <xdr:row>24</xdr:row>
      <xdr:rowOff>47625</xdr:rowOff>
    </xdr:to>
    <xdr:sp macro="" textlink="">
      <xdr:nvSpPr>
        <xdr:cNvPr id="25834" name="S_KOR"/>
        <xdr:cNvSpPr>
          <a:spLocks/>
        </xdr:cNvSpPr>
      </xdr:nvSpPr>
      <xdr:spPr bwMode="auto">
        <a:xfrm>
          <a:off x="9029700" y="3629025"/>
          <a:ext cx="85725" cy="152400"/>
        </a:xfrm>
        <a:custGeom>
          <a:avLst/>
          <a:gdLst>
            <a:gd name="T0" fmla="*/ 0 w 40"/>
            <a:gd name="T1" fmla="*/ 2147483647 h 76"/>
            <a:gd name="T2" fmla="*/ 2147483647 w 40"/>
            <a:gd name="T3" fmla="*/ 0 h 76"/>
            <a:gd name="T4" fmla="*/ 2147483647 w 40"/>
            <a:gd name="T5" fmla="*/ 2147483647 h 76"/>
            <a:gd name="T6" fmla="*/ 2147483647 w 40"/>
            <a:gd name="T7" fmla="*/ 2147483647 h 76"/>
            <a:gd name="T8" fmla="*/ 0 w 40"/>
            <a:gd name="T9" fmla="*/ 2147483647 h 76"/>
            <a:gd name="T10" fmla="*/ 0 w 40"/>
            <a:gd name="T11" fmla="*/ 2147483647 h 76"/>
            <a:gd name="T12" fmla="*/ 0 w 40"/>
            <a:gd name="T13" fmla="*/ 2147483647 h 76"/>
            <a:gd name="T14" fmla="*/ 0 w 40"/>
            <a:gd name="T15" fmla="*/ 2147483647 h 7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60000 65536"/>
            <a:gd name="T22" fmla="*/ 0 60000 65536"/>
            <a:gd name="T23" fmla="*/ 0 60000 65536"/>
            <a:gd name="T24" fmla="*/ 0 w 40"/>
            <a:gd name="T25" fmla="*/ 0 h 76"/>
            <a:gd name="T26" fmla="*/ 40 w 40"/>
            <a:gd name="T27" fmla="*/ 76 h 76"/>
          </a:gdLst>
          <a:ahLst/>
          <a:cxnLst>
            <a:cxn ang="T16">
              <a:pos x="T0" y="T1"/>
            </a:cxn>
            <a:cxn ang="T17">
              <a:pos x="T2" y="T3"/>
            </a:cxn>
            <a:cxn ang="T18">
              <a:pos x="T4" y="T5"/>
            </a:cxn>
            <a:cxn ang="T19">
              <a:pos x="T6" y="T7"/>
            </a:cxn>
            <a:cxn ang="T20">
              <a:pos x="T8" y="T9"/>
            </a:cxn>
            <a:cxn ang="T21">
              <a:pos x="T10" y="T11"/>
            </a:cxn>
            <a:cxn ang="T22">
              <a:pos x="T12" y="T13"/>
            </a:cxn>
            <a:cxn ang="T23">
              <a:pos x="T14" y="T15"/>
            </a:cxn>
          </a:cxnLst>
          <a:rect l="T24" t="T25" r="T26" b="T27"/>
          <a:pathLst>
            <a:path w="40" h="76">
              <a:moveTo>
                <a:pt x="0" y="24"/>
              </a:moveTo>
              <a:lnTo>
                <a:pt x="27" y="0"/>
              </a:lnTo>
              <a:lnTo>
                <a:pt x="40" y="48"/>
              </a:lnTo>
              <a:lnTo>
                <a:pt x="35" y="68"/>
              </a:lnTo>
              <a:lnTo>
                <a:pt x="0" y="76"/>
              </a:lnTo>
              <a:lnTo>
                <a:pt x="0" y="24"/>
              </a:lnTo>
              <a:close/>
            </a:path>
          </a:pathLst>
        </a:custGeom>
        <a:solidFill>
          <a:srgbClr val="F5F5F5"/>
        </a:solidFill>
        <a:ln w="9525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36576" tIns="32004" rIns="0" bIns="0" anchor="t"/>
        <a:lstStyle/>
        <a:p>
          <a:pPr algn="l" rtl="0">
            <a:defRPr sz="1000"/>
          </a:pPr>
          <a:endParaRPr lang="en-US" sz="16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en-US"/>
        </a:p>
      </xdr:txBody>
    </xdr:sp>
    <xdr:clientData/>
  </xdr:twoCellAnchor>
  <xdr:twoCellAnchor>
    <xdr:from>
      <xdr:col>14</xdr:col>
      <xdr:colOff>304800</xdr:colOff>
      <xdr:row>22</xdr:row>
      <xdr:rowOff>66675</xdr:rowOff>
    </xdr:from>
    <xdr:to>
      <xdr:col>14</xdr:col>
      <xdr:colOff>476250</xdr:colOff>
      <xdr:row>23</xdr:row>
      <xdr:rowOff>95250</xdr:rowOff>
    </xdr:to>
    <xdr:sp macro="" textlink="">
      <xdr:nvSpPr>
        <xdr:cNvPr id="25835" name="S_PRK"/>
        <xdr:cNvSpPr>
          <a:spLocks/>
        </xdr:cNvSpPr>
      </xdr:nvSpPr>
      <xdr:spPr bwMode="auto">
        <a:xfrm>
          <a:off x="8991600" y="3476625"/>
          <a:ext cx="171450" cy="190500"/>
        </a:xfrm>
        <a:custGeom>
          <a:avLst/>
          <a:gdLst>
            <a:gd name="T0" fmla="*/ 2147483647 w 82"/>
            <a:gd name="T1" fmla="*/ 0 h 94"/>
            <a:gd name="T2" fmla="*/ 2147483647 w 82"/>
            <a:gd name="T3" fmla="*/ 0 h 94"/>
            <a:gd name="T4" fmla="*/ 2147483647 w 82"/>
            <a:gd name="T5" fmla="*/ 2147483647 h 94"/>
            <a:gd name="T6" fmla="*/ 2147483647 w 82"/>
            <a:gd name="T7" fmla="*/ 2147483647 h 94"/>
            <a:gd name="T8" fmla="*/ 2147483647 w 82"/>
            <a:gd name="T9" fmla="*/ 2147483647 h 94"/>
            <a:gd name="T10" fmla="*/ 2147483647 w 82"/>
            <a:gd name="T11" fmla="*/ 2147483647 h 94"/>
            <a:gd name="T12" fmla="*/ 0 w 82"/>
            <a:gd name="T13" fmla="*/ 2147483647 h 94"/>
            <a:gd name="T14" fmla="*/ 0 w 82"/>
            <a:gd name="T15" fmla="*/ 2147483647 h 94"/>
            <a:gd name="T16" fmla="*/ 2147483647 w 82"/>
            <a:gd name="T17" fmla="*/ 2147483647 h 94"/>
            <a:gd name="T18" fmla="*/ 0 w 82"/>
            <a:gd name="T19" fmla="*/ 2147483647 h 94"/>
            <a:gd name="T20" fmla="*/ 2147483647 w 82"/>
            <a:gd name="T21" fmla="*/ 2147483647 h 94"/>
            <a:gd name="T22" fmla="*/ 2147483647 w 82"/>
            <a:gd name="T23" fmla="*/ 2147483647 h 94"/>
            <a:gd name="T24" fmla="*/ 2147483647 w 82"/>
            <a:gd name="T25" fmla="*/ 2147483647 h 94"/>
            <a:gd name="T26" fmla="*/ 2147483647 w 82"/>
            <a:gd name="T27" fmla="*/ 2147483647 h 94"/>
            <a:gd name="T28" fmla="*/ 2147483647 w 82"/>
            <a:gd name="T29" fmla="*/ 2147483647 h 94"/>
            <a:gd name="T30" fmla="*/ 2147483647 w 82"/>
            <a:gd name="T31" fmla="*/ 2147483647 h 94"/>
            <a:gd name="T32" fmla="*/ 2147483647 w 82"/>
            <a:gd name="T33" fmla="*/ 2147483647 h 94"/>
            <a:gd name="T34" fmla="*/ 2147483647 w 82"/>
            <a:gd name="T35" fmla="*/ 0 h 94"/>
            <a:gd name="T36" fmla="*/ 2147483647 w 82"/>
            <a:gd name="T37" fmla="*/ 0 h 94"/>
            <a:gd name="T38" fmla="*/ 2147483647 w 82"/>
            <a:gd name="T39" fmla="*/ 0 h 94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60000 65536"/>
            <a:gd name="T52" fmla="*/ 0 60000 65536"/>
            <a:gd name="T53" fmla="*/ 0 60000 65536"/>
            <a:gd name="T54" fmla="*/ 0 60000 65536"/>
            <a:gd name="T55" fmla="*/ 0 60000 65536"/>
            <a:gd name="T56" fmla="*/ 0 60000 65536"/>
            <a:gd name="T57" fmla="*/ 0 60000 65536"/>
            <a:gd name="T58" fmla="*/ 0 60000 65536"/>
            <a:gd name="T59" fmla="*/ 0 60000 65536"/>
            <a:gd name="T60" fmla="*/ 0 w 82"/>
            <a:gd name="T61" fmla="*/ 0 h 94"/>
            <a:gd name="T62" fmla="*/ 82 w 82"/>
            <a:gd name="T63" fmla="*/ 94 h 94"/>
          </a:gdLst>
          <a:ahLst/>
          <a:cxnLst>
            <a:cxn ang="T40">
              <a:pos x="T0" y="T1"/>
            </a:cxn>
            <a:cxn ang="T41">
              <a:pos x="T2" y="T3"/>
            </a:cxn>
            <a:cxn ang="T42">
              <a:pos x="T4" y="T5"/>
            </a:cxn>
            <a:cxn ang="T43">
              <a:pos x="T6" y="T7"/>
            </a:cxn>
            <a:cxn ang="T44">
              <a:pos x="T8" y="T9"/>
            </a:cxn>
            <a:cxn ang="T45">
              <a:pos x="T10" y="T11"/>
            </a:cxn>
            <a:cxn ang="T46">
              <a:pos x="T12" y="T13"/>
            </a:cxn>
            <a:cxn ang="T47">
              <a:pos x="T14" y="T15"/>
            </a:cxn>
            <a:cxn ang="T48">
              <a:pos x="T16" y="T17"/>
            </a:cxn>
            <a:cxn ang="T49">
              <a:pos x="T18" y="T19"/>
            </a:cxn>
            <a:cxn ang="T50">
              <a:pos x="T20" y="T21"/>
            </a:cxn>
            <a:cxn ang="T51">
              <a:pos x="T22" y="T23"/>
            </a:cxn>
            <a:cxn ang="T52">
              <a:pos x="T24" y="T25"/>
            </a:cxn>
            <a:cxn ang="T53">
              <a:pos x="T26" y="T27"/>
            </a:cxn>
            <a:cxn ang="T54">
              <a:pos x="T28" y="T29"/>
            </a:cxn>
            <a:cxn ang="T55">
              <a:pos x="T30" y="T31"/>
            </a:cxn>
            <a:cxn ang="T56">
              <a:pos x="T32" y="T33"/>
            </a:cxn>
            <a:cxn ang="T57">
              <a:pos x="T34" y="T35"/>
            </a:cxn>
            <a:cxn ang="T58">
              <a:pos x="T36" y="T37"/>
            </a:cxn>
            <a:cxn ang="T59">
              <a:pos x="T38" y="T39"/>
            </a:cxn>
          </a:cxnLst>
          <a:rect l="T60" t="T61" r="T62" b="T63"/>
          <a:pathLst>
            <a:path w="82" h="94">
              <a:moveTo>
                <a:pt x="82" y="0"/>
              </a:moveTo>
              <a:lnTo>
                <a:pt x="68" y="0"/>
              </a:lnTo>
              <a:lnTo>
                <a:pt x="55" y="17"/>
              </a:lnTo>
              <a:lnTo>
                <a:pt x="48" y="17"/>
              </a:lnTo>
              <a:lnTo>
                <a:pt x="38" y="24"/>
              </a:lnTo>
              <a:lnTo>
                <a:pt x="33" y="24"/>
              </a:lnTo>
              <a:lnTo>
                <a:pt x="0" y="52"/>
              </a:lnTo>
              <a:lnTo>
                <a:pt x="0" y="59"/>
              </a:lnTo>
              <a:lnTo>
                <a:pt x="8" y="59"/>
              </a:lnTo>
              <a:lnTo>
                <a:pt x="0" y="88"/>
              </a:lnTo>
              <a:lnTo>
                <a:pt x="8" y="94"/>
              </a:lnTo>
              <a:lnTo>
                <a:pt x="20" y="94"/>
              </a:lnTo>
              <a:lnTo>
                <a:pt x="48" y="74"/>
              </a:lnTo>
              <a:lnTo>
                <a:pt x="33" y="66"/>
              </a:lnTo>
              <a:lnTo>
                <a:pt x="33" y="59"/>
              </a:lnTo>
              <a:lnTo>
                <a:pt x="60" y="37"/>
              </a:lnTo>
              <a:lnTo>
                <a:pt x="60" y="24"/>
              </a:lnTo>
              <a:lnTo>
                <a:pt x="82" y="0"/>
              </a:lnTo>
              <a:close/>
            </a:path>
          </a:pathLst>
        </a:custGeom>
        <a:solidFill>
          <a:srgbClr val="F5F5F5"/>
        </a:solidFill>
        <a:ln w="9525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36576" tIns="32004" rIns="0" bIns="0" anchor="t"/>
        <a:lstStyle/>
        <a:p>
          <a:pPr algn="l" rtl="0">
            <a:defRPr sz="1000"/>
          </a:pPr>
          <a:endParaRPr lang="en-US" sz="16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en-US"/>
        </a:p>
      </xdr:txBody>
    </xdr:sp>
    <xdr:clientData/>
  </xdr:twoCellAnchor>
  <xdr:twoCellAnchor>
    <xdr:from>
      <xdr:col>14</xdr:col>
      <xdr:colOff>428625</xdr:colOff>
      <xdr:row>21</xdr:row>
      <xdr:rowOff>104775</xdr:rowOff>
    </xdr:from>
    <xdr:to>
      <xdr:col>15</xdr:col>
      <xdr:colOff>180975</xdr:colOff>
      <xdr:row>25</xdr:row>
      <xdr:rowOff>38100</xdr:rowOff>
    </xdr:to>
    <xdr:grpSp>
      <xdr:nvGrpSpPr>
        <xdr:cNvPr id="25836" name="S_JPN"/>
        <xdr:cNvGrpSpPr>
          <a:grpSpLocks/>
        </xdr:cNvGrpSpPr>
      </xdr:nvGrpSpPr>
      <xdr:grpSpPr bwMode="auto">
        <a:xfrm>
          <a:off x="9908801" y="3724275"/>
          <a:ext cx="469527" cy="560854"/>
          <a:chOff x="969" y="364"/>
          <a:chExt cx="49" cy="61"/>
        </a:xfrm>
      </xdr:grpSpPr>
      <xdr:sp macro="" textlink="">
        <xdr:nvSpPr>
          <xdr:cNvPr id="25929" name="Freeform 158"/>
          <xdr:cNvSpPr>
            <a:spLocks/>
          </xdr:cNvSpPr>
        </xdr:nvSpPr>
        <xdr:spPr bwMode="auto">
          <a:xfrm>
            <a:off x="969" y="411"/>
            <a:ext cx="8" cy="14"/>
          </a:xfrm>
          <a:custGeom>
            <a:avLst/>
            <a:gdLst>
              <a:gd name="T0" fmla="*/ 0 w 37"/>
              <a:gd name="T1" fmla="*/ 0 h 62"/>
              <a:gd name="T2" fmla="*/ 0 w 37"/>
              <a:gd name="T3" fmla="*/ 0 h 62"/>
              <a:gd name="T4" fmla="*/ 0 w 37"/>
              <a:gd name="T5" fmla="*/ 0 h 62"/>
              <a:gd name="T6" fmla="*/ 0 w 37"/>
              <a:gd name="T7" fmla="*/ 1 h 62"/>
              <a:gd name="T8" fmla="*/ 0 w 37"/>
              <a:gd name="T9" fmla="*/ 1 h 62"/>
              <a:gd name="T10" fmla="*/ 0 w 37"/>
              <a:gd name="T11" fmla="*/ 1 h 62"/>
              <a:gd name="T12" fmla="*/ 0 w 37"/>
              <a:gd name="T13" fmla="*/ 0 h 62"/>
              <a:gd name="T14" fmla="*/ 0 w 37"/>
              <a:gd name="T15" fmla="*/ 0 h 62"/>
              <a:gd name="T16" fmla="*/ 0 w 37"/>
              <a:gd name="T17" fmla="*/ 0 h 62"/>
              <a:gd name="T18" fmla="*/ 0 w 37"/>
              <a:gd name="T19" fmla="*/ 0 h 62"/>
              <a:gd name="T20" fmla="*/ 0 w 37"/>
              <a:gd name="T21" fmla="*/ 0 h 62"/>
              <a:gd name="T22" fmla="*/ 0 60000 65536"/>
              <a:gd name="T23" fmla="*/ 0 60000 65536"/>
              <a:gd name="T24" fmla="*/ 0 60000 65536"/>
              <a:gd name="T25" fmla="*/ 0 60000 65536"/>
              <a:gd name="T26" fmla="*/ 0 60000 65536"/>
              <a:gd name="T27" fmla="*/ 0 60000 65536"/>
              <a:gd name="T28" fmla="*/ 0 60000 65536"/>
              <a:gd name="T29" fmla="*/ 0 60000 65536"/>
              <a:gd name="T30" fmla="*/ 0 60000 65536"/>
              <a:gd name="T31" fmla="*/ 0 60000 65536"/>
              <a:gd name="T32" fmla="*/ 0 60000 65536"/>
              <a:gd name="T33" fmla="*/ 0 w 37"/>
              <a:gd name="T34" fmla="*/ 0 h 62"/>
              <a:gd name="T35" fmla="*/ 37 w 37"/>
              <a:gd name="T36" fmla="*/ 62 h 62"/>
            </a:gdLst>
            <a:ahLst/>
            <a:cxnLst>
              <a:cxn ang="T22">
                <a:pos x="T0" y="T1"/>
              </a:cxn>
              <a:cxn ang="T23">
                <a:pos x="T2" y="T3"/>
              </a:cxn>
              <a:cxn ang="T24">
                <a:pos x="T4" y="T5"/>
              </a:cxn>
              <a:cxn ang="T25">
                <a:pos x="T6" y="T7"/>
              </a:cxn>
              <a:cxn ang="T26">
                <a:pos x="T8" y="T9"/>
              </a:cxn>
              <a:cxn ang="T27">
                <a:pos x="T10" y="T11"/>
              </a:cxn>
              <a:cxn ang="T28">
                <a:pos x="T12" y="T13"/>
              </a:cxn>
              <a:cxn ang="T29">
                <a:pos x="T14" y="T15"/>
              </a:cxn>
              <a:cxn ang="T30">
                <a:pos x="T16" y="T17"/>
              </a:cxn>
              <a:cxn ang="T31">
                <a:pos x="T18" y="T19"/>
              </a:cxn>
              <a:cxn ang="T32">
                <a:pos x="T20" y="T21"/>
              </a:cxn>
            </a:cxnLst>
            <a:rect l="T33" t="T34" r="T35" b="T36"/>
            <a:pathLst>
              <a:path w="37" h="62">
                <a:moveTo>
                  <a:pt x="0" y="16"/>
                </a:moveTo>
                <a:lnTo>
                  <a:pt x="0" y="23"/>
                </a:lnTo>
                <a:lnTo>
                  <a:pt x="10" y="23"/>
                </a:lnTo>
                <a:lnTo>
                  <a:pt x="10" y="53"/>
                </a:lnTo>
                <a:lnTo>
                  <a:pt x="24" y="62"/>
                </a:lnTo>
                <a:lnTo>
                  <a:pt x="30" y="53"/>
                </a:lnTo>
                <a:lnTo>
                  <a:pt x="37" y="23"/>
                </a:lnTo>
                <a:lnTo>
                  <a:pt x="10" y="0"/>
                </a:lnTo>
                <a:lnTo>
                  <a:pt x="0" y="16"/>
                </a:lnTo>
                <a:close/>
              </a:path>
            </a:pathLst>
          </a:custGeom>
          <a:solidFill>
            <a:srgbClr val="F5F5F5"/>
          </a:solidFill>
          <a:ln w="9525">
            <a:solidFill>
              <a:srgbClr val="FFFFFF"/>
            </a:solidFill>
            <a:miter lim="800000"/>
            <a:headEnd/>
            <a:tailEnd/>
          </a:ln>
        </xdr:spPr>
        <xdr:txBody>
          <a:bodyPr vertOverflow="clip" wrap="square" lIns="36576" tIns="32004" rIns="0" bIns="0" anchor="t"/>
          <a:lstStyle/>
          <a:p>
            <a:pPr algn="l" rtl="0">
              <a:defRPr sz="1000"/>
            </a:pPr>
            <a:endParaRPr lang="en-US" sz="1600" b="0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 algn="l" rtl="0">
              <a:defRPr sz="1000"/>
            </a:pPr>
            <a:endParaRPr lang="en-US"/>
          </a:p>
        </xdr:txBody>
      </xdr:sp>
      <xdr:sp macro="" textlink="">
        <xdr:nvSpPr>
          <xdr:cNvPr id="25930" name="Freeform 159"/>
          <xdr:cNvSpPr>
            <a:spLocks/>
          </xdr:cNvSpPr>
        </xdr:nvSpPr>
        <xdr:spPr bwMode="auto">
          <a:xfrm>
            <a:off x="977" y="411"/>
            <a:ext cx="8" cy="6"/>
          </a:xfrm>
          <a:custGeom>
            <a:avLst/>
            <a:gdLst>
              <a:gd name="T0" fmla="*/ 0 w 35"/>
              <a:gd name="T1" fmla="*/ 0 h 28"/>
              <a:gd name="T2" fmla="*/ 0 w 35"/>
              <a:gd name="T3" fmla="*/ 0 h 28"/>
              <a:gd name="T4" fmla="*/ 0 w 35"/>
              <a:gd name="T5" fmla="*/ 0 h 28"/>
              <a:gd name="T6" fmla="*/ 0 w 35"/>
              <a:gd name="T7" fmla="*/ 0 h 28"/>
              <a:gd name="T8" fmla="*/ 0 w 35"/>
              <a:gd name="T9" fmla="*/ 0 h 28"/>
              <a:gd name="T10" fmla="*/ 0 w 35"/>
              <a:gd name="T11" fmla="*/ 0 h 28"/>
              <a:gd name="T12" fmla="*/ 0 w 35"/>
              <a:gd name="T13" fmla="*/ 0 h 28"/>
              <a:gd name="T14" fmla="*/ 0 w 35"/>
              <a:gd name="T15" fmla="*/ 0 h 28"/>
              <a:gd name="T16" fmla="*/ 0 w 35"/>
              <a:gd name="T17" fmla="*/ 0 h 28"/>
              <a:gd name="T18" fmla="*/ 0 w 35"/>
              <a:gd name="T19" fmla="*/ 0 h 28"/>
              <a:gd name="T20" fmla="*/ 0 60000 65536"/>
              <a:gd name="T21" fmla="*/ 0 60000 65536"/>
              <a:gd name="T22" fmla="*/ 0 60000 65536"/>
              <a:gd name="T23" fmla="*/ 0 60000 65536"/>
              <a:gd name="T24" fmla="*/ 0 60000 65536"/>
              <a:gd name="T25" fmla="*/ 0 60000 65536"/>
              <a:gd name="T26" fmla="*/ 0 60000 65536"/>
              <a:gd name="T27" fmla="*/ 0 60000 65536"/>
              <a:gd name="T28" fmla="*/ 0 60000 65536"/>
              <a:gd name="T29" fmla="*/ 0 60000 65536"/>
              <a:gd name="T30" fmla="*/ 0 w 35"/>
              <a:gd name="T31" fmla="*/ 0 h 28"/>
              <a:gd name="T32" fmla="*/ 35 w 35"/>
              <a:gd name="T33" fmla="*/ 28 h 28"/>
            </a:gdLst>
            <a:ahLst/>
            <a:cxnLst>
              <a:cxn ang="T20">
                <a:pos x="T0" y="T1"/>
              </a:cxn>
              <a:cxn ang="T21">
                <a:pos x="T2" y="T3"/>
              </a:cxn>
              <a:cxn ang="T22">
                <a:pos x="T4" y="T5"/>
              </a:cxn>
              <a:cxn ang="T23">
                <a:pos x="T6" y="T7"/>
              </a:cxn>
              <a:cxn ang="T24">
                <a:pos x="T8" y="T9"/>
              </a:cxn>
              <a:cxn ang="T25">
                <a:pos x="T10" y="T11"/>
              </a:cxn>
              <a:cxn ang="T26">
                <a:pos x="T12" y="T13"/>
              </a:cxn>
              <a:cxn ang="T27">
                <a:pos x="T14" y="T15"/>
              </a:cxn>
              <a:cxn ang="T28">
                <a:pos x="T16" y="T17"/>
              </a:cxn>
              <a:cxn ang="T29">
                <a:pos x="T18" y="T19"/>
              </a:cxn>
            </a:cxnLst>
            <a:rect l="T30" t="T31" r="T32" b="T33"/>
            <a:pathLst>
              <a:path w="35" h="28">
                <a:moveTo>
                  <a:pt x="0" y="18"/>
                </a:moveTo>
                <a:lnTo>
                  <a:pt x="0" y="28"/>
                </a:lnTo>
                <a:lnTo>
                  <a:pt x="7" y="28"/>
                </a:lnTo>
                <a:lnTo>
                  <a:pt x="15" y="18"/>
                </a:lnTo>
                <a:lnTo>
                  <a:pt x="28" y="18"/>
                </a:lnTo>
                <a:lnTo>
                  <a:pt x="35" y="0"/>
                </a:lnTo>
                <a:lnTo>
                  <a:pt x="15" y="0"/>
                </a:lnTo>
                <a:lnTo>
                  <a:pt x="0" y="18"/>
                </a:lnTo>
                <a:close/>
              </a:path>
            </a:pathLst>
          </a:custGeom>
          <a:solidFill>
            <a:srgbClr val="F5F5F5"/>
          </a:solidFill>
          <a:ln w="9525">
            <a:solidFill>
              <a:srgbClr val="FFFFFF"/>
            </a:solidFill>
            <a:miter lim="800000"/>
            <a:headEnd/>
            <a:tailEnd/>
          </a:ln>
        </xdr:spPr>
        <xdr:txBody>
          <a:bodyPr vertOverflow="clip" wrap="square" lIns="36576" tIns="32004" rIns="0" bIns="0" anchor="t"/>
          <a:lstStyle/>
          <a:p>
            <a:pPr algn="l" rtl="0">
              <a:defRPr sz="1000"/>
            </a:pPr>
            <a:endParaRPr lang="en-US" sz="1600" b="0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 algn="l" rtl="0">
              <a:defRPr sz="1000"/>
            </a:pPr>
            <a:endParaRPr lang="en-US"/>
          </a:p>
        </xdr:txBody>
      </xdr:sp>
      <xdr:sp macro="" textlink="">
        <xdr:nvSpPr>
          <xdr:cNvPr id="25931" name="Freeform 160"/>
          <xdr:cNvSpPr>
            <a:spLocks/>
          </xdr:cNvSpPr>
        </xdr:nvSpPr>
        <xdr:spPr bwMode="auto">
          <a:xfrm>
            <a:off x="974" y="381"/>
            <a:ext cx="31" cy="33"/>
          </a:xfrm>
          <a:custGeom>
            <a:avLst/>
            <a:gdLst>
              <a:gd name="T0" fmla="*/ 0 w 142"/>
              <a:gd name="T1" fmla="*/ 1 h 150"/>
              <a:gd name="T2" fmla="*/ 0 w 142"/>
              <a:gd name="T3" fmla="*/ 2 h 150"/>
              <a:gd name="T4" fmla="*/ 0 w 142"/>
              <a:gd name="T5" fmla="*/ 2 h 150"/>
              <a:gd name="T6" fmla="*/ 0 w 142"/>
              <a:gd name="T7" fmla="*/ 1 h 150"/>
              <a:gd name="T8" fmla="*/ 1 w 142"/>
              <a:gd name="T9" fmla="*/ 1 h 150"/>
              <a:gd name="T10" fmla="*/ 1 w 142"/>
              <a:gd name="T11" fmla="*/ 2 h 150"/>
              <a:gd name="T12" fmla="*/ 1 w 142"/>
              <a:gd name="T13" fmla="*/ 2 h 150"/>
              <a:gd name="T14" fmla="*/ 1 w 142"/>
              <a:gd name="T15" fmla="*/ 1 h 150"/>
              <a:gd name="T16" fmla="*/ 1 w 142"/>
              <a:gd name="T17" fmla="*/ 1 h 150"/>
              <a:gd name="T18" fmla="*/ 1 w 142"/>
              <a:gd name="T19" fmla="*/ 1 h 150"/>
              <a:gd name="T20" fmla="*/ 1 w 142"/>
              <a:gd name="T21" fmla="*/ 1 h 150"/>
              <a:gd name="T22" fmla="*/ 1 w 142"/>
              <a:gd name="T23" fmla="*/ 1 h 150"/>
              <a:gd name="T24" fmla="*/ 1 w 142"/>
              <a:gd name="T25" fmla="*/ 1 h 150"/>
              <a:gd name="T26" fmla="*/ 1 w 142"/>
              <a:gd name="T27" fmla="*/ 1 h 150"/>
              <a:gd name="T28" fmla="*/ 1 w 142"/>
              <a:gd name="T29" fmla="*/ 1 h 150"/>
              <a:gd name="T30" fmla="*/ 1 w 142"/>
              <a:gd name="T31" fmla="*/ 1 h 150"/>
              <a:gd name="T32" fmla="*/ 1 w 142"/>
              <a:gd name="T33" fmla="*/ 1 h 150"/>
              <a:gd name="T34" fmla="*/ 2 w 142"/>
              <a:gd name="T35" fmla="*/ 1 h 150"/>
              <a:gd name="T36" fmla="*/ 2 w 142"/>
              <a:gd name="T37" fmla="*/ 1 h 150"/>
              <a:gd name="T38" fmla="*/ 2 w 142"/>
              <a:gd name="T39" fmla="*/ 1 h 150"/>
              <a:gd name="T40" fmla="*/ 2 w 142"/>
              <a:gd name="T41" fmla="*/ 0 h 150"/>
              <a:gd name="T42" fmla="*/ 2 w 142"/>
              <a:gd name="T43" fmla="*/ 0 h 150"/>
              <a:gd name="T44" fmla="*/ 2 w 142"/>
              <a:gd name="T45" fmla="*/ 0 h 150"/>
              <a:gd name="T46" fmla="*/ 1 w 142"/>
              <a:gd name="T47" fmla="*/ 0 h 150"/>
              <a:gd name="T48" fmla="*/ 1 w 142"/>
              <a:gd name="T49" fmla="*/ 1 h 150"/>
              <a:gd name="T50" fmla="*/ 1 w 142"/>
              <a:gd name="T51" fmla="*/ 1 h 150"/>
              <a:gd name="T52" fmla="*/ 1 w 142"/>
              <a:gd name="T53" fmla="*/ 1 h 150"/>
              <a:gd name="T54" fmla="*/ 1 w 142"/>
              <a:gd name="T55" fmla="*/ 1 h 150"/>
              <a:gd name="T56" fmla="*/ 1 w 142"/>
              <a:gd name="T57" fmla="*/ 1 h 150"/>
              <a:gd name="T58" fmla="*/ 0 w 142"/>
              <a:gd name="T59" fmla="*/ 1 h 150"/>
              <a:gd name="T60" fmla="*/ 0 w 142"/>
              <a:gd name="T61" fmla="*/ 1 h 150"/>
              <a:gd name="T62" fmla="*/ 0 w 142"/>
              <a:gd name="T63" fmla="*/ 1 h 150"/>
              <a:gd name="T64" fmla="*/ 0 w 142"/>
              <a:gd name="T65" fmla="*/ 1 h 150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42"/>
              <a:gd name="T100" fmla="*/ 0 h 150"/>
              <a:gd name="T101" fmla="*/ 142 w 142"/>
              <a:gd name="T102" fmla="*/ 150 h 150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42" h="150">
                <a:moveTo>
                  <a:pt x="0" y="130"/>
                </a:moveTo>
                <a:lnTo>
                  <a:pt x="0" y="137"/>
                </a:lnTo>
                <a:lnTo>
                  <a:pt x="13" y="137"/>
                </a:lnTo>
                <a:lnTo>
                  <a:pt x="50" y="120"/>
                </a:lnTo>
                <a:lnTo>
                  <a:pt x="58" y="130"/>
                </a:lnTo>
                <a:lnTo>
                  <a:pt x="58" y="137"/>
                </a:lnTo>
                <a:lnTo>
                  <a:pt x="64" y="150"/>
                </a:lnTo>
                <a:lnTo>
                  <a:pt x="72" y="130"/>
                </a:lnTo>
                <a:lnTo>
                  <a:pt x="72" y="120"/>
                </a:lnTo>
                <a:lnTo>
                  <a:pt x="85" y="130"/>
                </a:lnTo>
                <a:lnTo>
                  <a:pt x="94" y="130"/>
                </a:lnTo>
                <a:lnTo>
                  <a:pt x="99" y="120"/>
                </a:lnTo>
                <a:lnTo>
                  <a:pt x="109" y="130"/>
                </a:lnTo>
                <a:lnTo>
                  <a:pt x="109" y="120"/>
                </a:lnTo>
                <a:lnTo>
                  <a:pt x="114" y="113"/>
                </a:lnTo>
                <a:lnTo>
                  <a:pt x="114" y="120"/>
                </a:lnTo>
                <a:lnTo>
                  <a:pt x="131" y="120"/>
                </a:lnTo>
                <a:lnTo>
                  <a:pt x="136" y="113"/>
                </a:lnTo>
                <a:lnTo>
                  <a:pt x="136" y="69"/>
                </a:lnTo>
                <a:lnTo>
                  <a:pt x="142" y="69"/>
                </a:lnTo>
                <a:lnTo>
                  <a:pt x="142" y="10"/>
                </a:lnTo>
                <a:lnTo>
                  <a:pt x="136" y="0"/>
                </a:lnTo>
                <a:lnTo>
                  <a:pt x="136" y="10"/>
                </a:lnTo>
                <a:lnTo>
                  <a:pt x="131" y="10"/>
                </a:lnTo>
                <a:lnTo>
                  <a:pt x="99" y="78"/>
                </a:lnTo>
                <a:lnTo>
                  <a:pt x="85" y="93"/>
                </a:lnTo>
                <a:lnTo>
                  <a:pt x="85" y="78"/>
                </a:lnTo>
                <a:lnTo>
                  <a:pt x="72" y="86"/>
                </a:lnTo>
                <a:lnTo>
                  <a:pt x="64" y="113"/>
                </a:lnTo>
                <a:lnTo>
                  <a:pt x="22" y="113"/>
                </a:lnTo>
                <a:lnTo>
                  <a:pt x="0" y="130"/>
                </a:lnTo>
                <a:close/>
              </a:path>
            </a:pathLst>
          </a:custGeom>
          <a:solidFill>
            <a:srgbClr val="F5F5F5"/>
          </a:solidFill>
          <a:ln w="9525">
            <a:solidFill>
              <a:srgbClr val="FFFFFF"/>
            </a:solidFill>
            <a:miter lim="800000"/>
            <a:headEnd/>
            <a:tailEnd/>
          </a:ln>
        </xdr:spPr>
        <xdr:txBody>
          <a:bodyPr vertOverflow="clip" wrap="square" lIns="36576" tIns="32004" rIns="0" bIns="0" anchor="t"/>
          <a:lstStyle/>
          <a:p>
            <a:pPr algn="l" rtl="0">
              <a:defRPr sz="1000"/>
            </a:pPr>
            <a:endParaRPr lang="en-US" sz="1600" b="0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 algn="l" rtl="0">
              <a:defRPr sz="1000"/>
            </a:pPr>
            <a:endParaRPr lang="en-US"/>
          </a:p>
        </xdr:txBody>
      </xdr:sp>
      <xdr:sp macro="" textlink="">
        <xdr:nvSpPr>
          <xdr:cNvPr id="25932" name="Freeform 161"/>
          <xdr:cNvSpPr>
            <a:spLocks/>
          </xdr:cNvSpPr>
        </xdr:nvSpPr>
        <xdr:spPr bwMode="auto">
          <a:xfrm>
            <a:off x="999" y="364"/>
            <a:ext cx="19" cy="18"/>
          </a:xfrm>
          <a:custGeom>
            <a:avLst/>
            <a:gdLst>
              <a:gd name="T0" fmla="*/ 0 w 86"/>
              <a:gd name="T1" fmla="*/ 1 h 84"/>
              <a:gd name="T2" fmla="*/ 0 w 86"/>
              <a:gd name="T3" fmla="*/ 1 h 84"/>
              <a:gd name="T4" fmla="*/ 0 w 86"/>
              <a:gd name="T5" fmla="*/ 1 h 84"/>
              <a:gd name="T6" fmla="*/ 0 w 86"/>
              <a:gd name="T7" fmla="*/ 1 h 84"/>
              <a:gd name="T8" fmla="*/ 0 w 86"/>
              <a:gd name="T9" fmla="*/ 1 h 84"/>
              <a:gd name="T10" fmla="*/ 0 w 86"/>
              <a:gd name="T11" fmla="*/ 1 h 84"/>
              <a:gd name="T12" fmla="*/ 1 w 86"/>
              <a:gd name="T13" fmla="*/ 1 h 84"/>
              <a:gd name="T14" fmla="*/ 1 w 86"/>
              <a:gd name="T15" fmla="*/ 0 h 84"/>
              <a:gd name="T16" fmla="*/ 1 w 86"/>
              <a:gd name="T17" fmla="*/ 0 h 84"/>
              <a:gd name="T18" fmla="*/ 1 w 86"/>
              <a:gd name="T19" fmla="*/ 0 h 84"/>
              <a:gd name="T20" fmla="*/ 1 w 86"/>
              <a:gd name="T21" fmla="*/ 0 h 84"/>
              <a:gd name="T22" fmla="*/ 1 w 86"/>
              <a:gd name="T23" fmla="*/ 0 h 84"/>
              <a:gd name="T24" fmla="*/ 1 w 86"/>
              <a:gd name="T25" fmla="*/ 0 h 84"/>
              <a:gd name="T26" fmla="*/ 1 w 86"/>
              <a:gd name="T27" fmla="*/ 0 h 84"/>
              <a:gd name="T28" fmla="*/ 1 w 86"/>
              <a:gd name="T29" fmla="*/ 0 h 84"/>
              <a:gd name="T30" fmla="*/ 0 w 86"/>
              <a:gd name="T31" fmla="*/ 0 h 84"/>
              <a:gd name="T32" fmla="*/ 0 w 86"/>
              <a:gd name="T33" fmla="*/ 0 h 84"/>
              <a:gd name="T34" fmla="*/ 0 w 86"/>
              <a:gd name="T35" fmla="*/ 0 h 84"/>
              <a:gd name="T36" fmla="*/ 0 w 86"/>
              <a:gd name="T37" fmla="*/ 0 h 84"/>
              <a:gd name="T38" fmla="*/ 0 w 86"/>
              <a:gd name="T39" fmla="*/ 1 h 84"/>
              <a:gd name="T40" fmla="*/ 0 w 86"/>
              <a:gd name="T41" fmla="*/ 1 h 84"/>
              <a:gd name="T42" fmla="*/ 0 w 86"/>
              <a:gd name="T43" fmla="*/ 1 h 84"/>
              <a:gd name="T44" fmla="*/ 0 60000 65536"/>
              <a:gd name="T45" fmla="*/ 0 60000 65536"/>
              <a:gd name="T46" fmla="*/ 0 60000 65536"/>
              <a:gd name="T47" fmla="*/ 0 60000 65536"/>
              <a:gd name="T48" fmla="*/ 0 60000 65536"/>
              <a:gd name="T49" fmla="*/ 0 60000 65536"/>
              <a:gd name="T50" fmla="*/ 0 60000 65536"/>
              <a:gd name="T51" fmla="*/ 0 60000 65536"/>
              <a:gd name="T52" fmla="*/ 0 60000 65536"/>
              <a:gd name="T53" fmla="*/ 0 60000 65536"/>
              <a:gd name="T54" fmla="*/ 0 60000 65536"/>
              <a:gd name="T55" fmla="*/ 0 60000 65536"/>
              <a:gd name="T56" fmla="*/ 0 60000 65536"/>
              <a:gd name="T57" fmla="*/ 0 60000 65536"/>
              <a:gd name="T58" fmla="*/ 0 60000 65536"/>
              <a:gd name="T59" fmla="*/ 0 60000 65536"/>
              <a:gd name="T60" fmla="*/ 0 60000 65536"/>
              <a:gd name="T61" fmla="*/ 0 60000 65536"/>
              <a:gd name="T62" fmla="*/ 0 60000 65536"/>
              <a:gd name="T63" fmla="*/ 0 60000 65536"/>
              <a:gd name="T64" fmla="*/ 0 60000 65536"/>
              <a:gd name="T65" fmla="*/ 0 60000 65536"/>
              <a:gd name="T66" fmla="*/ 0 w 86"/>
              <a:gd name="T67" fmla="*/ 0 h 84"/>
              <a:gd name="T68" fmla="*/ 86 w 86"/>
              <a:gd name="T69" fmla="*/ 84 h 84"/>
            </a:gdLst>
            <a:ahLst/>
            <a:cxnLst>
              <a:cxn ang="T44">
                <a:pos x="T0" y="T1"/>
              </a:cxn>
              <a:cxn ang="T45">
                <a:pos x="T2" y="T3"/>
              </a:cxn>
              <a:cxn ang="T46">
                <a:pos x="T4" y="T5"/>
              </a:cxn>
              <a:cxn ang="T47">
                <a:pos x="T6" y="T7"/>
              </a:cxn>
              <a:cxn ang="T48">
                <a:pos x="T8" y="T9"/>
              </a:cxn>
              <a:cxn ang="T49">
                <a:pos x="T10" y="T11"/>
              </a:cxn>
              <a:cxn ang="T50">
                <a:pos x="T12" y="T13"/>
              </a:cxn>
              <a:cxn ang="T51">
                <a:pos x="T14" y="T15"/>
              </a:cxn>
              <a:cxn ang="T52">
                <a:pos x="T16" y="T17"/>
              </a:cxn>
              <a:cxn ang="T53">
                <a:pos x="T18" y="T19"/>
              </a:cxn>
              <a:cxn ang="T54">
                <a:pos x="T20" y="T21"/>
              </a:cxn>
              <a:cxn ang="T55">
                <a:pos x="T22" y="T23"/>
              </a:cxn>
              <a:cxn ang="T56">
                <a:pos x="T24" y="T25"/>
              </a:cxn>
              <a:cxn ang="T57">
                <a:pos x="T26" y="T27"/>
              </a:cxn>
              <a:cxn ang="T58">
                <a:pos x="T28" y="T29"/>
              </a:cxn>
              <a:cxn ang="T59">
                <a:pos x="T30" y="T31"/>
              </a:cxn>
              <a:cxn ang="T60">
                <a:pos x="T32" y="T33"/>
              </a:cxn>
              <a:cxn ang="T61">
                <a:pos x="T34" y="T35"/>
              </a:cxn>
              <a:cxn ang="T62">
                <a:pos x="T36" y="T37"/>
              </a:cxn>
              <a:cxn ang="T63">
                <a:pos x="T38" y="T39"/>
              </a:cxn>
              <a:cxn ang="T64">
                <a:pos x="T40" y="T41"/>
              </a:cxn>
              <a:cxn ang="T65">
                <a:pos x="T42" y="T43"/>
              </a:cxn>
            </a:cxnLst>
            <a:rect l="T66" t="T67" r="T68" b="T69"/>
            <a:pathLst>
              <a:path w="86" h="84">
                <a:moveTo>
                  <a:pt x="0" y="62"/>
                </a:moveTo>
                <a:lnTo>
                  <a:pt x="0" y="84"/>
                </a:lnTo>
                <a:lnTo>
                  <a:pt x="22" y="75"/>
                </a:lnTo>
                <a:lnTo>
                  <a:pt x="17" y="75"/>
                </a:lnTo>
                <a:lnTo>
                  <a:pt x="17" y="62"/>
                </a:lnTo>
                <a:lnTo>
                  <a:pt x="29" y="62"/>
                </a:lnTo>
                <a:lnTo>
                  <a:pt x="59" y="75"/>
                </a:lnTo>
                <a:lnTo>
                  <a:pt x="66" y="53"/>
                </a:lnTo>
                <a:lnTo>
                  <a:pt x="71" y="53"/>
                </a:lnTo>
                <a:lnTo>
                  <a:pt x="86" y="45"/>
                </a:lnTo>
                <a:lnTo>
                  <a:pt x="79" y="45"/>
                </a:lnTo>
                <a:lnTo>
                  <a:pt x="71" y="37"/>
                </a:lnTo>
                <a:lnTo>
                  <a:pt x="79" y="30"/>
                </a:lnTo>
                <a:lnTo>
                  <a:pt x="71" y="37"/>
                </a:lnTo>
                <a:lnTo>
                  <a:pt x="59" y="30"/>
                </a:lnTo>
                <a:lnTo>
                  <a:pt x="29" y="0"/>
                </a:lnTo>
                <a:lnTo>
                  <a:pt x="22" y="53"/>
                </a:lnTo>
                <a:lnTo>
                  <a:pt x="17" y="45"/>
                </a:lnTo>
                <a:lnTo>
                  <a:pt x="17" y="53"/>
                </a:lnTo>
                <a:lnTo>
                  <a:pt x="0" y="62"/>
                </a:lnTo>
                <a:close/>
              </a:path>
            </a:pathLst>
          </a:custGeom>
          <a:solidFill>
            <a:srgbClr val="F5F5F5"/>
          </a:solidFill>
          <a:ln w="9525">
            <a:solidFill>
              <a:srgbClr val="FFFFFF"/>
            </a:solidFill>
            <a:miter lim="800000"/>
            <a:headEnd/>
            <a:tailEnd/>
          </a:ln>
        </xdr:spPr>
        <xdr:txBody>
          <a:bodyPr vertOverflow="clip" wrap="square" lIns="36576" tIns="32004" rIns="0" bIns="0" anchor="t"/>
          <a:lstStyle/>
          <a:p>
            <a:pPr algn="l" rtl="0">
              <a:defRPr sz="1000"/>
            </a:pPr>
            <a:endParaRPr lang="en-US" sz="1600" b="0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 algn="l" rtl="0">
              <a:defRPr sz="1000"/>
            </a:pPr>
            <a:endParaRPr lang="en-US"/>
          </a:p>
        </xdr:txBody>
      </xdr:sp>
    </xdr:grpSp>
    <xdr:clientData/>
  </xdr:twoCellAnchor>
  <xdr:twoCellAnchor>
    <xdr:from>
      <xdr:col>11</xdr:col>
      <xdr:colOff>638175</xdr:colOff>
      <xdr:row>23</xdr:row>
      <xdr:rowOff>57150</xdr:rowOff>
    </xdr:from>
    <xdr:to>
      <xdr:col>12</xdr:col>
      <xdr:colOff>333375</xdr:colOff>
      <xdr:row>25</xdr:row>
      <xdr:rowOff>85725</xdr:rowOff>
    </xdr:to>
    <xdr:sp macro="" textlink="">
      <xdr:nvSpPr>
        <xdr:cNvPr id="25837" name="S_AFG"/>
        <xdr:cNvSpPr>
          <a:spLocks/>
        </xdr:cNvSpPr>
      </xdr:nvSpPr>
      <xdr:spPr bwMode="auto">
        <a:xfrm>
          <a:off x="7181850" y="3629025"/>
          <a:ext cx="409575" cy="352425"/>
        </a:xfrm>
        <a:custGeom>
          <a:avLst/>
          <a:gdLst>
            <a:gd name="T0" fmla="*/ 846661553 w 193"/>
            <a:gd name="T1" fmla="*/ 137526616 h 170"/>
            <a:gd name="T2" fmla="*/ 801627417 w 193"/>
            <a:gd name="T3" fmla="*/ 137526616 h 170"/>
            <a:gd name="T4" fmla="*/ 707053821 w 193"/>
            <a:gd name="T5" fmla="*/ 167609188 h 170"/>
            <a:gd name="T6" fmla="*/ 648507958 w 193"/>
            <a:gd name="T7" fmla="*/ 206288855 h 170"/>
            <a:gd name="T8" fmla="*/ 648507958 w 193"/>
            <a:gd name="T9" fmla="*/ 292243273 h 170"/>
            <a:gd name="T10" fmla="*/ 612478102 w 193"/>
            <a:gd name="T11" fmla="*/ 365305096 h 170"/>
            <a:gd name="T12" fmla="*/ 580953570 w 193"/>
            <a:gd name="T13" fmla="*/ 365305096 h 170"/>
            <a:gd name="T14" fmla="*/ 580953570 w 193"/>
            <a:gd name="T15" fmla="*/ 429769824 h 170"/>
            <a:gd name="T16" fmla="*/ 513401172 w 193"/>
            <a:gd name="T17" fmla="*/ 464151980 h 170"/>
            <a:gd name="T18" fmla="*/ 513401172 w 193"/>
            <a:gd name="T19" fmla="*/ 528616709 h 170"/>
            <a:gd name="T20" fmla="*/ 382799842 w 193"/>
            <a:gd name="T21" fmla="*/ 593081567 h 170"/>
            <a:gd name="T22" fmla="*/ 355778511 w 193"/>
            <a:gd name="T23" fmla="*/ 631761233 h 170"/>
            <a:gd name="T24" fmla="*/ 355778511 w 193"/>
            <a:gd name="T25" fmla="*/ 696225962 h 170"/>
            <a:gd name="T26" fmla="*/ 99076831 w 193"/>
            <a:gd name="T27" fmla="*/ 730608118 h 170"/>
            <a:gd name="T28" fmla="*/ 36027750 w 193"/>
            <a:gd name="T29" fmla="*/ 696225962 h 170"/>
            <a:gd name="T30" fmla="*/ 67552282 w 193"/>
            <a:gd name="T31" fmla="*/ 631761233 h 170"/>
            <a:gd name="T32" fmla="*/ 67552282 w 193"/>
            <a:gd name="T33" fmla="*/ 593081567 h 170"/>
            <a:gd name="T34" fmla="*/ 0 w 193"/>
            <a:gd name="T35" fmla="*/ 528616709 h 170"/>
            <a:gd name="T36" fmla="*/ 0 w 193"/>
            <a:gd name="T37" fmla="*/ 365305096 h 170"/>
            <a:gd name="T38" fmla="*/ 36027750 w 193"/>
            <a:gd name="T39" fmla="*/ 292243273 h 170"/>
            <a:gd name="T40" fmla="*/ 36027750 w 193"/>
            <a:gd name="T41" fmla="*/ 262158563 h 170"/>
            <a:gd name="T42" fmla="*/ 126098162 w 193"/>
            <a:gd name="T43" fmla="*/ 262158563 h 170"/>
            <a:gd name="T44" fmla="*/ 126098162 w 193"/>
            <a:gd name="T45" fmla="*/ 206288855 h 170"/>
            <a:gd name="T46" fmla="*/ 225177115 w 193"/>
            <a:gd name="T47" fmla="*/ 206288855 h 170"/>
            <a:gd name="T48" fmla="*/ 265708050 w 193"/>
            <a:gd name="T49" fmla="*/ 137526616 h 170"/>
            <a:gd name="T50" fmla="*/ 301735850 w 193"/>
            <a:gd name="T51" fmla="*/ 137526616 h 170"/>
            <a:gd name="T52" fmla="*/ 301735850 w 193"/>
            <a:gd name="T53" fmla="*/ 103144427 h 170"/>
            <a:gd name="T54" fmla="*/ 450352107 w 193"/>
            <a:gd name="T55" fmla="*/ 137526616 h 170"/>
            <a:gd name="T56" fmla="*/ 513401172 w 193"/>
            <a:gd name="T57" fmla="*/ 137526616 h 170"/>
            <a:gd name="T58" fmla="*/ 513401172 w 193"/>
            <a:gd name="T59" fmla="*/ 103144427 h 170"/>
            <a:gd name="T60" fmla="*/ 580953570 w 193"/>
            <a:gd name="T61" fmla="*/ 103144427 h 170"/>
            <a:gd name="T62" fmla="*/ 612478102 w 193"/>
            <a:gd name="T63" fmla="*/ 0 h 170"/>
            <a:gd name="T64" fmla="*/ 648507958 w 193"/>
            <a:gd name="T65" fmla="*/ 73061855 h 170"/>
            <a:gd name="T66" fmla="*/ 671023965 w 193"/>
            <a:gd name="T67" fmla="*/ 167609188 h 170"/>
            <a:gd name="T68" fmla="*/ 770102885 w 193"/>
            <a:gd name="T69" fmla="*/ 103144427 h 170"/>
            <a:gd name="T70" fmla="*/ 869179683 w 193"/>
            <a:gd name="T71" fmla="*/ 137526616 h 170"/>
            <a:gd name="T72" fmla="*/ 846661553 w 193"/>
            <a:gd name="T73" fmla="*/ 137526616 h 170"/>
            <a:gd name="T74" fmla="*/ 846661553 w 193"/>
            <a:gd name="T75" fmla="*/ 137526616 h 170"/>
            <a:gd name="T76" fmla="*/ 846661553 w 193"/>
            <a:gd name="T77" fmla="*/ 137526616 h 170"/>
            <a:gd name="T78" fmla="*/ 0 60000 65536"/>
            <a:gd name="T79" fmla="*/ 0 60000 65536"/>
            <a:gd name="T80" fmla="*/ 0 60000 65536"/>
            <a:gd name="T81" fmla="*/ 0 60000 65536"/>
            <a:gd name="T82" fmla="*/ 0 60000 65536"/>
            <a:gd name="T83" fmla="*/ 0 60000 65536"/>
            <a:gd name="T84" fmla="*/ 0 60000 65536"/>
            <a:gd name="T85" fmla="*/ 0 60000 65536"/>
            <a:gd name="T86" fmla="*/ 0 60000 65536"/>
            <a:gd name="T87" fmla="*/ 0 60000 65536"/>
            <a:gd name="T88" fmla="*/ 0 60000 65536"/>
            <a:gd name="T89" fmla="*/ 0 60000 65536"/>
            <a:gd name="T90" fmla="*/ 0 60000 65536"/>
            <a:gd name="T91" fmla="*/ 0 60000 65536"/>
            <a:gd name="T92" fmla="*/ 0 60000 65536"/>
            <a:gd name="T93" fmla="*/ 0 60000 65536"/>
            <a:gd name="T94" fmla="*/ 0 60000 65536"/>
            <a:gd name="T95" fmla="*/ 0 60000 65536"/>
            <a:gd name="T96" fmla="*/ 0 60000 65536"/>
            <a:gd name="T97" fmla="*/ 0 60000 65536"/>
            <a:gd name="T98" fmla="*/ 0 60000 65536"/>
            <a:gd name="T99" fmla="*/ 0 60000 65536"/>
            <a:gd name="T100" fmla="*/ 0 60000 65536"/>
            <a:gd name="T101" fmla="*/ 0 60000 65536"/>
            <a:gd name="T102" fmla="*/ 0 60000 65536"/>
            <a:gd name="T103" fmla="*/ 0 60000 65536"/>
            <a:gd name="T104" fmla="*/ 0 60000 65536"/>
            <a:gd name="T105" fmla="*/ 0 60000 65536"/>
            <a:gd name="T106" fmla="*/ 0 60000 65536"/>
            <a:gd name="T107" fmla="*/ 0 60000 65536"/>
            <a:gd name="T108" fmla="*/ 0 60000 65536"/>
            <a:gd name="T109" fmla="*/ 0 60000 65536"/>
            <a:gd name="T110" fmla="*/ 0 60000 65536"/>
            <a:gd name="T111" fmla="*/ 0 60000 65536"/>
            <a:gd name="T112" fmla="*/ 0 60000 65536"/>
            <a:gd name="T113" fmla="*/ 0 60000 65536"/>
            <a:gd name="T114" fmla="*/ 0 60000 65536"/>
            <a:gd name="T115" fmla="*/ 0 60000 65536"/>
            <a:gd name="T116" fmla="*/ 0 60000 65536"/>
            <a:gd name="T117" fmla="*/ 0 w 193"/>
            <a:gd name="T118" fmla="*/ 0 h 170"/>
            <a:gd name="T119" fmla="*/ 193 w 193"/>
            <a:gd name="T120" fmla="*/ 170 h 170"/>
          </a:gdLst>
          <a:ahLst/>
          <a:cxnLst>
            <a:cxn ang="T78">
              <a:pos x="T0" y="T1"/>
            </a:cxn>
            <a:cxn ang="T79">
              <a:pos x="T2" y="T3"/>
            </a:cxn>
            <a:cxn ang="T80">
              <a:pos x="T4" y="T5"/>
            </a:cxn>
            <a:cxn ang="T81">
              <a:pos x="T6" y="T7"/>
            </a:cxn>
            <a:cxn ang="T82">
              <a:pos x="T8" y="T9"/>
            </a:cxn>
            <a:cxn ang="T83">
              <a:pos x="T10" y="T11"/>
            </a:cxn>
            <a:cxn ang="T84">
              <a:pos x="T12" y="T13"/>
            </a:cxn>
            <a:cxn ang="T85">
              <a:pos x="T14" y="T15"/>
            </a:cxn>
            <a:cxn ang="T86">
              <a:pos x="T16" y="T17"/>
            </a:cxn>
            <a:cxn ang="T87">
              <a:pos x="T18" y="T19"/>
            </a:cxn>
            <a:cxn ang="T88">
              <a:pos x="T20" y="T21"/>
            </a:cxn>
            <a:cxn ang="T89">
              <a:pos x="T22" y="T23"/>
            </a:cxn>
            <a:cxn ang="T90">
              <a:pos x="T24" y="T25"/>
            </a:cxn>
            <a:cxn ang="T91">
              <a:pos x="T26" y="T27"/>
            </a:cxn>
            <a:cxn ang="T92">
              <a:pos x="T28" y="T29"/>
            </a:cxn>
            <a:cxn ang="T93">
              <a:pos x="T30" y="T31"/>
            </a:cxn>
            <a:cxn ang="T94">
              <a:pos x="T32" y="T33"/>
            </a:cxn>
            <a:cxn ang="T95">
              <a:pos x="T34" y="T35"/>
            </a:cxn>
            <a:cxn ang="T96">
              <a:pos x="T36" y="T37"/>
            </a:cxn>
            <a:cxn ang="T97">
              <a:pos x="T38" y="T39"/>
            </a:cxn>
            <a:cxn ang="T98">
              <a:pos x="T40" y="T41"/>
            </a:cxn>
            <a:cxn ang="T99">
              <a:pos x="T42" y="T43"/>
            </a:cxn>
            <a:cxn ang="T100">
              <a:pos x="T44" y="T45"/>
            </a:cxn>
            <a:cxn ang="T101">
              <a:pos x="T46" y="T47"/>
            </a:cxn>
            <a:cxn ang="T102">
              <a:pos x="T48" y="T49"/>
            </a:cxn>
            <a:cxn ang="T103">
              <a:pos x="T50" y="T51"/>
            </a:cxn>
            <a:cxn ang="T104">
              <a:pos x="T52" y="T53"/>
            </a:cxn>
            <a:cxn ang="T105">
              <a:pos x="T54" y="T55"/>
            </a:cxn>
            <a:cxn ang="T106">
              <a:pos x="T56" y="T57"/>
            </a:cxn>
            <a:cxn ang="T107">
              <a:pos x="T58" y="T59"/>
            </a:cxn>
            <a:cxn ang="T108">
              <a:pos x="T60" y="T61"/>
            </a:cxn>
            <a:cxn ang="T109">
              <a:pos x="T62" y="T63"/>
            </a:cxn>
            <a:cxn ang="T110">
              <a:pos x="T64" y="T65"/>
            </a:cxn>
            <a:cxn ang="T111">
              <a:pos x="T66" y="T67"/>
            </a:cxn>
            <a:cxn ang="T112">
              <a:pos x="T68" y="T69"/>
            </a:cxn>
            <a:cxn ang="T113">
              <a:pos x="T70" y="T71"/>
            </a:cxn>
            <a:cxn ang="T114">
              <a:pos x="T72" y="T73"/>
            </a:cxn>
            <a:cxn ang="T115">
              <a:pos x="T74" y="T75"/>
            </a:cxn>
            <a:cxn ang="T116">
              <a:pos x="T76" y="T77"/>
            </a:cxn>
          </a:cxnLst>
          <a:rect l="T117" t="T118" r="T119" b="T120"/>
          <a:pathLst>
            <a:path w="193" h="170">
              <a:moveTo>
                <a:pt x="188" y="32"/>
              </a:moveTo>
              <a:lnTo>
                <a:pt x="178" y="32"/>
              </a:lnTo>
              <a:lnTo>
                <a:pt x="157" y="39"/>
              </a:lnTo>
              <a:lnTo>
                <a:pt x="144" y="48"/>
              </a:lnTo>
              <a:lnTo>
                <a:pt x="144" y="68"/>
              </a:lnTo>
              <a:lnTo>
                <a:pt x="136" y="85"/>
              </a:lnTo>
              <a:lnTo>
                <a:pt x="129" y="85"/>
              </a:lnTo>
              <a:lnTo>
                <a:pt x="129" y="100"/>
              </a:lnTo>
              <a:lnTo>
                <a:pt x="114" y="108"/>
              </a:lnTo>
              <a:lnTo>
                <a:pt x="114" y="123"/>
              </a:lnTo>
              <a:lnTo>
                <a:pt x="85" y="138"/>
              </a:lnTo>
              <a:lnTo>
                <a:pt x="79" y="147"/>
              </a:lnTo>
              <a:lnTo>
                <a:pt x="79" y="162"/>
              </a:lnTo>
              <a:lnTo>
                <a:pt x="22" y="170"/>
              </a:lnTo>
              <a:lnTo>
                <a:pt x="8" y="162"/>
              </a:lnTo>
              <a:lnTo>
                <a:pt x="15" y="147"/>
              </a:lnTo>
              <a:lnTo>
                <a:pt x="15" y="138"/>
              </a:lnTo>
              <a:lnTo>
                <a:pt x="0" y="123"/>
              </a:lnTo>
              <a:lnTo>
                <a:pt x="0" y="85"/>
              </a:lnTo>
              <a:lnTo>
                <a:pt x="8" y="68"/>
              </a:lnTo>
              <a:lnTo>
                <a:pt x="8" y="61"/>
              </a:lnTo>
              <a:lnTo>
                <a:pt x="28" y="61"/>
              </a:lnTo>
              <a:lnTo>
                <a:pt x="28" y="48"/>
              </a:lnTo>
              <a:lnTo>
                <a:pt x="50" y="48"/>
              </a:lnTo>
              <a:lnTo>
                <a:pt x="59" y="32"/>
              </a:lnTo>
              <a:lnTo>
                <a:pt x="67" y="32"/>
              </a:lnTo>
              <a:lnTo>
                <a:pt x="67" y="24"/>
              </a:lnTo>
              <a:lnTo>
                <a:pt x="100" y="32"/>
              </a:lnTo>
              <a:lnTo>
                <a:pt x="114" y="32"/>
              </a:lnTo>
              <a:lnTo>
                <a:pt x="114" y="24"/>
              </a:lnTo>
              <a:lnTo>
                <a:pt x="129" y="24"/>
              </a:lnTo>
              <a:lnTo>
                <a:pt x="136" y="0"/>
              </a:lnTo>
              <a:lnTo>
                <a:pt x="144" y="17"/>
              </a:lnTo>
              <a:lnTo>
                <a:pt x="149" y="39"/>
              </a:lnTo>
              <a:lnTo>
                <a:pt x="171" y="24"/>
              </a:lnTo>
              <a:lnTo>
                <a:pt x="193" y="32"/>
              </a:lnTo>
              <a:lnTo>
                <a:pt x="188" y="32"/>
              </a:lnTo>
              <a:close/>
            </a:path>
          </a:pathLst>
        </a:custGeom>
        <a:solidFill>
          <a:srgbClr val="F5F5F5"/>
        </a:solidFill>
        <a:ln w="9525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36576" tIns="32004" rIns="0" bIns="0" anchor="t"/>
        <a:lstStyle/>
        <a:p>
          <a:pPr algn="l" rtl="0">
            <a:defRPr sz="1000"/>
          </a:pPr>
          <a:endParaRPr lang="en-US" sz="16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en-US"/>
        </a:p>
      </xdr:txBody>
    </xdr:sp>
    <xdr:clientData/>
  </xdr:twoCellAnchor>
  <xdr:twoCellAnchor>
    <xdr:from>
      <xdr:col>11</xdr:col>
      <xdr:colOff>171450</xdr:colOff>
      <xdr:row>23</xdr:row>
      <xdr:rowOff>9525</xdr:rowOff>
    </xdr:from>
    <xdr:to>
      <xdr:col>11</xdr:col>
      <xdr:colOff>695325</xdr:colOff>
      <xdr:row>26</xdr:row>
      <xdr:rowOff>57150</xdr:rowOff>
    </xdr:to>
    <xdr:sp macro="" textlink="">
      <xdr:nvSpPr>
        <xdr:cNvPr id="25838" name="S_IRN"/>
        <xdr:cNvSpPr>
          <a:spLocks/>
        </xdr:cNvSpPr>
      </xdr:nvSpPr>
      <xdr:spPr bwMode="auto">
        <a:xfrm>
          <a:off x="6715125" y="3581400"/>
          <a:ext cx="523875" cy="533400"/>
        </a:xfrm>
        <a:custGeom>
          <a:avLst/>
          <a:gdLst>
            <a:gd name="T0" fmla="*/ 2147483647 w 253"/>
            <a:gd name="T1" fmla="*/ 2147483647 h 254"/>
            <a:gd name="T2" fmla="*/ 2147483647 w 253"/>
            <a:gd name="T3" fmla="*/ 2147483647 h 254"/>
            <a:gd name="T4" fmla="*/ 2147483647 w 253"/>
            <a:gd name="T5" fmla="*/ 2147483647 h 254"/>
            <a:gd name="T6" fmla="*/ 2147483647 w 253"/>
            <a:gd name="T7" fmla="*/ 2147483647 h 254"/>
            <a:gd name="T8" fmla="*/ 2147483647 w 253"/>
            <a:gd name="T9" fmla="*/ 2147483647 h 254"/>
            <a:gd name="T10" fmla="*/ 2147483647 w 253"/>
            <a:gd name="T11" fmla="*/ 2147483647 h 254"/>
            <a:gd name="T12" fmla="*/ 2147483647 w 253"/>
            <a:gd name="T13" fmla="*/ 2147483647 h 254"/>
            <a:gd name="T14" fmla="*/ 2147483647 w 253"/>
            <a:gd name="T15" fmla="*/ 2147483647 h 254"/>
            <a:gd name="T16" fmla="*/ 2147483647 w 253"/>
            <a:gd name="T17" fmla="*/ 2147483647 h 254"/>
            <a:gd name="T18" fmla="*/ 2147483647 w 253"/>
            <a:gd name="T19" fmla="*/ 2147483647 h 254"/>
            <a:gd name="T20" fmla="*/ 2147483647 w 253"/>
            <a:gd name="T21" fmla="*/ 2147483647 h 254"/>
            <a:gd name="T22" fmla="*/ 2147483647 w 253"/>
            <a:gd name="T23" fmla="*/ 2147483647 h 254"/>
            <a:gd name="T24" fmla="*/ 2147483647 w 253"/>
            <a:gd name="T25" fmla="*/ 2147483647 h 254"/>
            <a:gd name="T26" fmla="*/ 2147483647 w 253"/>
            <a:gd name="T27" fmla="*/ 2147483647 h 254"/>
            <a:gd name="T28" fmla="*/ 2147483647 w 253"/>
            <a:gd name="T29" fmla="*/ 2147483647 h 254"/>
            <a:gd name="T30" fmla="*/ 0 w 253"/>
            <a:gd name="T31" fmla="*/ 2147483647 h 254"/>
            <a:gd name="T32" fmla="*/ 2147483647 w 253"/>
            <a:gd name="T33" fmla="*/ 0 h 254"/>
            <a:gd name="T34" fmla="*/ 2147483647 w 253"/>
            <a:gd name="T35" fmla="*/ 2147483647 h 254"/>
            <a:gd name="T36" fmla="*/ 2147483647 w 253"/>
            <a:gd name="T37" fmla="*/ 2147483647 h 254"/>
            <a:gd name="T38" fmla="*/ 2147483647 w 253"/>
            <a:gd name="T39" fmla="*/ 2147483647 h 254"/>
            <a:gd name="T40" fmla="*/ 2147483647 w 253"/>
            <a:gd name="T41" fmla="*/ 2147483647 h 254"/>
            <a:gd name="T42" fmla="*/ 2147483647 w 253"/>
            <a:gd name="T43" fmla="*/ 2147483647 h 254"/>
            <a:gd name="T44" fmla="*/ 2147483647 w 253"/>
            <a:gd name="T45" fmla="*/ 2147483647 h 254"/>
            <a:gd name="T46" fmla="*/ 2147483647 w 253"/>
            <a:gd name="T47" fmla="*/ 2147483647 h 254"/>
            <a:gd name="T48" fmla="*/ 2147483647 w 253"/>
            <a:gd name="T49" fmla="*/ 2147483647 h 254"/>
            <a:gd name="T50" fmla="*/ 2147483647 w 253"/>
            <a:gd name="T51" fmla="*/ 2147483647 h 254"/>
            <a:gd name="T52" fmla="*/ 2147483647 w 253"/>
            <a:gd name="T53" fmla="*/ 2147483647 h 254"/>
            <a:gd name="T54" fmla="*/ 2147483647 w 253"/>
            <a:gd name="T55" fmla="*/ 2147483647 h 254"/>
            <a:gd name="T56" fmla="*/ 2147483647 w 253"/>
            <a:gd name="T57" fmla="*/ 2147483647 h 254"/>
            <a:gd name="T58" fmla="*/ 2147483647 w 253"/>
            <a:gd name="T59" fmla="*/ 2147483647 h 254"/>
            <a:gd name="T60" fmla="*/ 2147483647 w 253"/>
            <a:gd name="T61" fmla="*/ 2147483647 h 254"/>
            <a:gd name="T62" fmla="*/ 2147483647 w 253"/>
            <a:gd name="T63" fmla="*/ 2147483647 h 254"/>
            <a:gd name="T64" fmla="*/ 2147483647 w 253"/>
            <a:gd name="T65" fmla="*/ 2147483647 h 254"/>
            <a:gd name="T66" fmla="*/ 2147483647 w 253"/>
            <a:gd name="T67" fmla="*/ 2147483647 h 254"/>
            <a:gd name="T68" fmla="*/ 2147483647 w 253"/>
            <a:gd name="T69" fmla="*/ 2147483647 h 254"/>
            <a:gd name="T70" fmla="*/ 2147483647 w 253"/>
            <a:gd name="T71" fmla="*/ 2147483647 h 254"/>
            <a:gd name="T72" fmla="*/ 2147483647 w 253"/>
            <a:gd name="T73" fmla="*/ 2147483647 h 254"/>
            <a:gd name="T74" fmla="*/ 2147483647 w 253"/>
            <a:gd name="T75" fmla="*/ 2147483647 h 254"/>
            <a:gd name="T76" fmla="*/ 2147483647 w 253"/>
            <a:gd name="T77" fmla="*/ 2147483647 h 254"/>
            <a:gd name="T78" fmla="*/ 2147483647 w 253"/>
            <a:gd name="T79" fmla="*/ 2147483647 h 254"/>
            <a:gd name="T80" fmla="*/ 2147483647 w 253"/>
            <a:gd name="T81" fmla="*/ 2147483647 h 254"/>
            <a:gd name="T82" fmla="*/ 0 60000 65536"/>
            <a:gd name="T83" fmla="*/ 0 60000 65536"/>
            <a:gd name="T84" fmla="*/ 0 60000 65536"/>
            <a:gd name="T85" fmla="*/ 0 60000 65536"/>
            <a:gd name="T86" fmla="*/ 0 60000 65536"/>
            <a:gd name="T87" fmla="*/ 0 60000 65536"/>
            <a:gd name="T88" fmla="*/ 0 60000 65536"/>
            <a:gd name="T89" fmla="*/ 0 60000 65536"/>
            <a:gd name="T90" fmla="*/ 0 60000 65536"/>
            <a:gd name="T91" fmla="*/ 0 60000 65536"/>
            <a:gd name="T92" fmla="*/ 0 60000 65536"/>
            <a:gd name="T93" fmla="*/ 0 60000 65536"/>
            <a:gd name="T94" fmla="*/ 0 60000 65536"/>
            <a:gd name="T95" fmla="*/ 0 60000 65536"/>
            <a:gd name="T96" fmla="*/ 0 60000 65536"/>
            <a:gd name="T97" fmla="*/ 0 60000 65536"/>
            <a:gd name="T98" fmla="*/ 0 60000 65536"/>
            <a:gd name="T99" fmla="*/ 0 60000 65536"/>
            <a:gd name="T100" fmla="*/ 0 60000 65536"/>
            <a:gd name="T101" fmla="*/ 0 60000 65536"/>
            <a:gd name="T102" fmla="*/ 0 60000 65536"/>
            <a:gd name="T103" fmla="*/ 0 60000 65536"/>
            <a:gd name="T104" fmla="*/ 0 60000 65536"/>
            <a:gd name="T105" fmla="*/ 0 60000 65536"/>
            <a:gd name="T106" fmla="*/ 0 60000 65536"/>
            <a:gd name="T107" fmla="*/ 0 60000 65536"/>
            <a:gd name="T108" fmla="*/ 0 60000 65536"/>
            <a:gd name="T109" fmla="*/ 0 60000 65536"/>
            <a:gd name="T110" fmla="*/ 0 60000 65536"/>
            <a:gd name="T111" fmla="*/ 0 60000 65536"/>
            <a:gd name="T112" fmla="*/ 0 60000 65536"/>
            <a:gd name="T113" fmla="*/ 0 60000 65536"/>
            <a:gd name="T114" fmla="*/ 0 60000 65536"/>
            <a:gd name="T115" fmla="*/ 0 60000 65536"/>
            <a:gd name="T116" fmla="*/ 0 60000 65536"/>
            <a:gd name="T117" fmla="*/ 0 60000 65536"/>
            <a:gd name="T118" fmla="*/ 0 60000 65536"/>
            <a:gd name="T119" fmla="*/ 0 60000 65536"/>
            <a:gd name="T120" fmla="*/ 0 60000 65536"/>
            <a:gd name="T121" fmla="*/ 0 60000 65536"/>
            <a:gd name="T122" fmla="*/ 0 60000 65536"/>
            <a:gd name="T123" fmla="*/ 0 w 253"/>
            <a:gd name="T124" fmla="*/ 0 h 254"/>
            <a:gd name="T125" fmla="*/ 253 w 253"/>
            <a:gd name="T126" fmla="*/ 254 h 254"/>
          </a:gdLst>
          <a:ahLst/>
          <a:cxnLst>
            <a:cxn ang="T82">
              <a:pos x="T0" y="T1"/>
            </a:cxn>
            <a:cxn ang="T83">
              <a:pos x="T2" y="T3"/>
            </a:cxn>
            <a:cxn ang="T84">
              <a:pos x="T4" y="T5"/>
            </a:cxn>
            <a:cxn ang="T85">
              <a:pos x="T6" y="T7"/>
            </a:cxn>
            <a:cxn ang="T86">
              <a:pos x="T8" y="T9"/>
            </a:cxn>
            <a:cxn ang="T87">
              <a:pos x="T10" y="T11"/>
            </a:cxn>
            <a:cxn ang="T88">
              <a:pos x="T12" y="T13"/>
            </a:cxn>
            <a:cxn ang="T89">
              <a:pos x="T14" y="T15"/>
            </a:cxn>
            <a:cxn ang="T90">
              <a:pos x="T16" y="T17"/>
            </a:cxn>
            <a:cxn ang="T91">
              <a:pos x="T18" y="T19"/>
            </a:cxn>
            <a:cxn ang="T92">
              <a:pos x="T20" y="T21"/>
            </a:cxn>
            <a:cxn ang="T93">
              <a:pos x="T22" y="T23"/>
            </a:cxn>
            <a:cxn ang="T94">
              <a:pos x="T24" y="T25"/>
            </a:cxn>
            <a:cxn ang="T95">
              <a:pos x="T26" y="T27"/>
            </a:cxn>
            <a:cxn ang="T96">
              <a:pos x="T28" y="T29"/>
            </a:cxn>
            <a:cxn ang="T97">
              <a:pos x="T30" y="T31"/>
            </a:cxn>
            <a:cxn ang="T98">
              <a:pos x="T32" y="T33"/>
            </a:cxn>
            <a:cxn ang="T99">
              <a:pos x="T34" y="T35"/>
            </a:cxn>
            <a:cxn ang="T100">
              <a:pos x="T36" y="T37"/>
            </a:cxn>
            <a:cxn ang="T101">
              <a:pos x="T38" y="T39"/>
            </a:cxn>
            <a:cxn ang="T102">
              <a:pos x="T40" y="T41"/>
            </a:cxn>
            <a:cxn ang="T103">
              <a:pos x="T42" y="T43"/>
            </a:cxn>
            <a:cxn ang="T104">
              <a:pos x="T44" y="T45"/>
            </a:cxn>
            <a:cxn ang="T105">
              <a:pos x="T46" y="T47"/>
            </a:cxn>
            <a:cxn ang="T106">
              <a:pos x="T48" y="T49"/>
            </a:cxn>
            <a:cxn ang="T107">
              <a:pos x="T50" y="T51"/>
            </a:cxn>
            <a:cxn ang="T108">
              <a:pos x="T52" y="T53"/>
            </a:cxn>
            <a:cxn ang="T109">
              <a:pos x="T54" y="T55"/>
            </a:cxn>
            <a:cxn ang="T110">
              <a:pos x="T56" y="T57"/>
            </a:cxn>
            <a:cxn ang="T111">
              <a:pos x="T58" y="T59"/>
            </a:cxn>
            <a:cxn ang="T112">
              <a:pos x="T60" y="T61"/>
            </a:cxn>
            <a:cxn ang="T113">
              <a:pos x="T62" y="T63"/>
            </a:cxn>
            <a:cxn ang="T114">
              <a:pos x="T64" y="T65"/>
            </a:cxn>
            <a:cxn ang="T115">
              <a:pos x="T66" y="T67"/>
            </a:cxn>
            <a:cxn ang="T116">
              <a:pos x="T68" y="T69"/>
            </a:cxn>
            <a:cxn ang="T117">
              <a:pos x="T70" y="T71"/>
            </a:cxn>
            <a:cxn ang="T118">
              <a:pos x="T72" y="T73"/>
            </a:cxn>
            <a:cxn ang="T119">
              <a:pos x="T74" y="T75"/>
            </a:cxn>
            <a:cxn ang="T120">
              <a:pos x="T76" y="T77"/>
            </a:cxn>
            <a:cxn ang="T121">
              <a:pos x="T78" y="T79"/>
            </a:cxn>
            <a:cxn ang="T122">
              <a:pos x="T80" y="T81"/>
            </a:cxn>
          </a:cxnLst>
          <a:rect l="T123" t="T124" r="T125" b="T126"/>
          <a:pathLst>
            <a:path w="253" h="254">
              <a:moveTo>
                <a:pt x="240" y="254"/>
              </a:moveTo>
              <a:lnTo>
                <a:pt x="181" y="246"/>
              </a:lnTo>
              <a:lnTo>
                <a:pt x="166" y="226"/>
              </a:lnTo>
              <a:lnTo>
                <a:pt x="148" y="239"/>
              </a:lnTo>
              <a:lnTo>
                <a:pt x="126" y="239"/>
              </a:lnTo>
              <a:lnTo>
                <a:pt x="83" y="178"/>
              </a:lnTo>
              <a:lnTo>
                <a:pt x="69" y="172"/>
              </a:lnTo>
              <a:lnTo>
                <a:pt x="62" y="172"/>
              </a:lnTo>
              <a:lnTo>
                <a:pt x="56" y="165"/>
              </a:lnTo>
              <a:lnTo>
                <a:pt x="41" y="135"/>
              </a:lnTo>
              <a:lnTo>
                <a:pt x="26" y="126"/>
              </a:lnTo>
              <a:lnTo>
                <a:pt x="19" y="105"/>
              </a:lnTo>
              <a:lnTo>
                <a:pt x="26" y="88"/>
              </a:lnTo>
              <a:lnTo>
                <a:pt x="26" y="68"/>
              </a:lnTo>
              <a:lnTo>
                <a:pt x="19" y="68"/>
              </a:lnTo>
              <a:lnTo>
                <a:pt x="0" y="7"/>
              </a:lnTo>
              <a:lnTo>
                <a:pt x="12" y="0"/>
              </a:lnTo>
              <a:lnTo>
                <a:pt x="19" y="15"/>
              </a:lnTo>
              <a:lnTo>
                <a:pt x="34" y="15"/>
              </a:lnTo>
              <a:lnTo>
                <a:pt x="56" y="7"/>
              </a:lnTo>
              <a:lnTo>
                <a:pt x="62" y="7"/>
              </a:lnTo>
              <a:lnTo>
                <a:pt x="56" y="15"/>
              </a:lnTo>
              <a:lnTo>
                <a:pt x="69" y="24"/>
              </a:lnTo>
              <a:lnTo>
                <a:pt x="69" y="46"/>
              </a:lnTo>
              <a:lnTo>
                <a:pt x="104" y="61"/>
              </a:lnTo>
              <a:lnTo>
                <a:pt x="141" y="61"/>
              </a:lnTo>
              <a:lnTo>
                <a:pt x="141" y="46"/>
              </a:lnTo>
              <a:lnTo>
                <a:pt x="153" y="37"/>
              </a:lnTo>
              <a:lnTo>
                <a:pt x="181" y="37"/>
              </a:lnTo>
              <a:lnTo>
                <a:pt x="233" y="61"/>
              </a:lnTo>
              <a:lnTo>
                <a:pt x="233" y="88"/>
              </a:lnTo>
              <a:lnTo>
                <a:pt x="225" y="105"/>
              </a:lnTo>
              <a:lnTo>
                <a:pt x="225" y="143"/>
              </a:lnTo>
              <a:lnTo>
                <a:pt x="240" y="157"/>
              </a:lnTo>
              <a:lnTo>
                <a:pt x="240" y="165"/>
              </a:lnTo>
              <a:lnTo>
                <a:pt x="233" y="178"/>
              </a:lnTo>
              <a:lnTo>
                <a:pt x="253" y="226"/>
              </a:lnTo>
              <a:lnTo>
                <a:pt x="240" y="239"/>
              </a:lnTo>
              <a:lnTo>
                <a:pt x="240" y="254"/>
              </a:lnTo>
              <a:close/>
            </a:path>
          </a:pathLst>
        </a:custGeom>
        <a:solidFill>
          <a:srgbClr val="F5F5F5"/>
        </a:solidFill>
        <a:ln w="9525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36576" tIns="32004" rIns="0" bIns="0" anchor="t"/>
        <a:lstStyle/>
        <a:p>
          <a:pPr algn="l" rtl="0">
            <a:defRPr sz="1000"/>
          </a:pPr>
          <a:endParaRPr lang="en-US" sz="16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en-US"/>
        </a:p>
      </xdr:txBody>
    </xdr:sp>
    <xdr:clientData/>
  </xdr:twoCellAnchor>
  <xdr:twoCellAnchor>
    <xdr:from>
      <xdr:col>12</xdr:col>
      <xdr:colOff>123825</xdr:colOff>
      <xdr:row>22</xdr:row>
      <xdr:rowOff>123825</xdr:rowOff>
    </xdr:from>
    <xdr:to>
      <xdr:col>12</xdr:col>
      <xdr:colOff>333375</xdr:colOff>
      <xdr:row>23</xdr:row>
      <xdr:rowOff>142875</xdr:rowOff>
    </xdr:to>
    <xdr:sp macro="" textlink="">
      <xdr:nvSpPr>
        <xdr:cNvPr id="25839" name="S_TJK"/>
        <xdr:cNvSpPr>
          <a:spLocks/>
        </xdr:cNvSpPr>
      </xdr:nvSpPr>
      <xdr:spPr bwMode="auto">
        <a:xfrm>
          <a:off x="7381875" y="3533775"/>
          <a:ext cx="209550" cy="180975"/>
        </a:xfrm>
        <a:custGeom>
          <a:avLst/>
          <a:gdLst>
            <a:gd name="T0" fmla="*/ 380824332 w 99"/>
            <a:gd name="T1" fmla="*/ 148535245 h 84"/>
            <a:gd name="T2" fmla="*/ 380824332 w 99"/>
            <a:gd name="T3" fmla="*/ 213518173 h 84"/>
            <a:gd name="T4" fmla="*/ 443547496 w 99"/>
            <a:gd name="T5" fmla="*/ 213518173 h 84"/>
            <a:gd name="T6" fmla="*/ 443547496 w 99"/>
            <a:gd name="T7" fmla="*/ 362053417 h 84"/>
            <a:gd name="T8" fmla="*/ 344980709 w 99"/>
            <a:gd name="T9" fmla="*/ 320278370 h 84"/>
            <a:gd name="T10" fmla="*/ 246415974 w 99"/>
            <a:gd name="T11" fmla="*/ 389904167 h 84"/>
            <a:gd name="T12" fmla="*/ 192652657 w 99"/>
            <a:gd name="T13" fmla="*/ 213518173 h 84"/>
            <a:gd name="T14" fmla="*/ 165770998 w 99"/>
            <a:gd name="T15" fmla="*/ 320278370 h 84"/>
            <a:gd name="T16" fmla="*/ 98566819 w 99"/>
            <a:gd name="T17" fmla="*/ 320278370 h 84"/>
            <a:gd name="T18" fmla="*/ 98566819 w 99"/>
            <a:gd name="T19" fmla="*/ 362053417 h 84"/>
            <a:gd name="T20" fmla="*/ 0 w 99"/>
            <a:gd name="T21" fmla="*/ 362053417 h 84"/>
            <a:gd name="T22" fmla="*/ 35841522 w 99"/>
            <a:gd name="T23" fmla="*/ 292427620 h 84"/>
            <a:gd name="T24" fmla="*/ 35841522 w 99"/>
            <a:gd name="T25" fmla="*/ 181026709 h 84"/>
            <a:gd name="T26" fmla="*/ 0 w 99"/>
            <a:gd name="T27" fmla="*/ 148535245 h 84"/>
            <a:gd name="T28" fmla="*/ 67204162 w 99"/>
            <a:gd name="T29" fmla="*/ 148535245 h 84"/>
            <a:gd name="T30" fmla="*/ 98566819 w 99"/>
            <a:gd name="T31" fmla="*/ 41775064 h 84"/>
            <a:gd name="T32" fmla="*/ 98566819 w 99"/>
            <a:gd name="T33" fmla="*/ 0 h 84"/>
            <a:gd name="T34" fmla="*/ 192652657 w 99"/>
            <a:gd name="T35" fmla="*/ 0 h 84"/>
            <a:gd name="T36" fmla="*/ 192652657 w 99"/>
            <a:gd name="T37" fmla="*/ 111400878 h 84"/>
            <a:gd name="T38" fmla="*/ 98566819 w 99"/>
            <a:gd name="T39" fmla="*/ 111400878 h 84"/>
            <a:gd name="T40" fmla="*/ 98566819 w 99"/>
            <a:gd name="T41" fmla="*/ 148535245 h 84"/>
            <a:gd name="T42" fmla="*/ 380824332 w 99"/>
            <a:gd name="T43" fmla="*/ 148535245 h 84"/>
            <a:gd name="T44" fmla="*/ 380824332 w 99"/>
            <a:gd name="T45" fmla="*/ 148535245 h 84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60000 65536"/>
            <a:gd name="T52" fmla="*/ 0 60000 65536"/>
            <a:gd name="T53" fmla="*/ 0 60000 65536"/>
            <a:gd name="T54" fmla="*/ 0 60000 65536"/>
            <a:gd name="T55" fmla="*/ 0 60000 65536"/>
            <a:gd name="T56" fmla="*/ 0 60000 65536"/>
            <a:gd name="T57" fmla="*/ 0 60000 65536"/>
            <a:gd name="T58" fmla="*/ 0 60000 65536"/>
            <a:gd name="T59" fmla="*/ 0 60000 65536"/>
            <a:gd name="T60" fmla="*/ 0 60000 65536"/>
            <a:gd name="T61" fmla="*/ 0 60000 65536"/>
            <a:gd name="T62" fmla="*/ 0 60000 65536"/>
            <a:gd name="T63" fmla="*/ 0 60000 65536"/>
            <a:gd name="T64" fmla="*/ 0 60000 65536"/>
            <a:gd name="T65" fmla="*/ 0 60000 65536"/>
            <a:gd name="T66" fmla="*/ 0 60000 65536"/>
            <a:gd name="T67" fmla="*/ 0 60000 65536"/>
            <a:gd name="T68" fmla="*/ 0 60000 65536"/>
            <a:gd name="T69" fmla="*/ 0 w 99"/>
            <a:gd name="T70" fmla="*/ 0 h 84"/>
            <a:gd name="T71" fmla="*/ 99 w 99"/>
            <a:gd name="T72" fmla="*/ 84 h 84"/>
          </a:gdLst>
          <a:ahLst/>
          <a:cxnLst>
            <a:cxn ang="T46">
              <a:pos x="T0" y="T1"/>
            </a:cxn>
            <a:cxn ang="T47">
              <a:pos x="T2" y="T3"/>
            </a:cxn>
            <a:cxn ang="T48">
              <a:pos x="T4" y="T5"/>
            </a:cxn>
            <a:cxn ang="T49">
              <a:pos x="T6" y="T7"/>
            </a:cxn>
            <a:cxn ang="T50">
              <a:pos x="T8" y="T9"/>
            </a:cxn>
            <a:cxn ang="T51">
              <a:pos x="T10" y="T11"/>
            </a:cxn>
            <a:cxn ang="T52">
              <a:pos x="T12" y="T13"/>
            </a:cxn>
            <a:cxn ang="T53">
              <a:pos x="T14" y="T15"/>
            </a:cxn>
            <a:cxn ang="T54">
              <a:pos x="T16" y="T17"/>
            </a:cxn>
            <a:cxn ang="T55">
              <a:pos x="T18" y="T19"/>
            </a:cxn>
            <a:cxn ang="T56">
              <a:pos x="T20" y="T21"/>
            </a:cxn>
            <a:cxn ang="T57">
              <a:pos x="T22" y="T23"/>
            </a:cxn>
            <a:cxn ang="T58">
              <a:pos x="T24" y="T25"/>
            </a:cxn>
            <a:cxn ang="T59">
              <a:pos x="T26" y="T27"/>
            </a:cxn>
            <a:cxn ang="T60">
              <a:pos x="T28" y="T29"/>
            </a:cxn>
            <a:cxn ang="T61">
              <a:pos x="T30" y="T31"/>
            </a:cxn>
            <a:cxn ang="T62">
              <a:pos x="T32" y="T33"/>
            </a:cxn>
            <a:cxn ang="T63">
              <a:pos x="T34" y="T35"/>
            </a:cxn>
            <a:cxn ang="T64">
              <a:pos x="T36" y="T37"/>
            </a:cxn>
            <a:cxn ang="T65">
              <a:pos x="T38" y="T39"/>
            </a:cxn>
            <a:cxn ang="T66">
              <a:pos x="T40" y="T41"/>
            </a:cxn>
            <a:cxn ang="T67">
              <a:pos x="T42" y="T43"/>
            </a:cxn>
            <a:cxn ang="T68">
              <a:pos x="T44" y="T45"/>
            </a:cxn>
          </a:cxnLst>
          <a:rect l="T69" t="T70" r="T71" b="T72"/>
          <a:pathLst>
            <a:path w="99" h="84">
              <a:moveTo>
                <a:pt x="85" y="32"/>
              </a:moveTo>
              <a:lnTo>
                <a:pt x="85" y="46"/>
              </a:lnTo>
              <a:lnTo>
                <a:pt x="99" y="46"/>
              </a:lnTo>
              <a:lnTo>
                <a:pt x="99" y="78"/>
              </a:lnTo>
              <a:lnTo>
                <a:pt x="77" y="69"/>
              </a:lnTo>
              <a:lnTo>
                <a:pt x="55" y="84"/>
              </a:lnTo>
              <a:lnTo>
                <a:pt x="43" y="46"/>
              </a:lnTo>
              <a:lnTo>
                <a:pt x="37" y="69"/>
              </a:lnTo>
              <a:lnTo>
                <a:pt x="22" y="69"/>
              </a:lnTo>
              <a:lnTo>
                <a:pt x="22" y="78"/>
              </a:lnTo>
              <a:lnTo>
                <a:pt x="0" y="78"/>
              </a:lnTo>
              <a:lnTo>
                <a:pt x="8" y="63"/>
              </a:lnTo>
              <a:lnTo>
                <a:pt x="8" y="39"/>
              </a:lnTo>
              <a:lnTo>
                <a:pt x="0" y="32"/>
              </a:lnTo>
              <a:lnTo>
                <a:pt x="15" y="32"/>
              </a:lnTo>
              <a:lnTo>
                <a:pt x="22" y="9"/>
              </a:lnTo>
              <a:lnTo>
                <a:pt x="22" y="0"/>
              </a:lnTo>
              <a:lnTo>
                <a:pt x="43" y="0"/>
              </a:lnTo>
              <a:lnTo>
                <a:pt x="43" y="24"/>
              </a:lnTo>
              <a:lnTo>
                <a:pt x="22" y="24"/>
              </a:lnTo>
              <a:lnTo>
                <a:pt x="22" y="32"/>
              </a:lnTo>
              <a:lnTo>
                <a:pt x="85" y="32"/>
              </a:lnTo>
              <a:close/>
            </a:path>
          </a:pathLst>
        </a:custGeom>
        <a:solidFill>
          <a:srgbClr val="F5F5F5"/>
        </a:solidFill>
        <a:ln w="9525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36576" tIns="32004" rIns="0" bIns="0" anchor="t"/>
        <a:lstStyle/>
        <a:p>
          <a:pPr algn="l" rtl="0">
            <a:defRPr sz="1000"/>
          </a:pPr>
          <a:endParaRPr lang="en-US" sz="16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en-US"/>
        </a:p>
      </xdr:txBody>
    </xdr:sp>
    <xdr:clientData/>
  </xdr:twoCellAnchor>
  <xdr:twoCellAnchor>
    <xdr:from>
      <xdr:col>11</xdr:col>
      <xdr:colOff>400050</xdr:colOff>
      <xdr:row>22</xdr:row>
      <xdr:rowOff>47625</xdr:rowOff>
    </xdr:from>
    <xdr:to>
      <xdr:col>12</xdr:col>
      <xdr:colOff>104775</xdr:colOff>
      <xdr:row>24</xdr:row>
      <xdr:rowOff>19050</xdr:rowOff>
    </xdr:to>
    <xdr:sp macro="" textlink="">
      <xdr:nvSpPr>
        <xdr:cNvPr id="25840" name="S_TKM"/>
        <xdr:cNvSpPr>
          <a:spLocks/>
        </xdr:cNvSpPr>
      </xdr:nvSpPr>
      <xdr:spPr bwMode="auto">
        <a:xfrm>
          <a:off x="6943725" y="3457575"/>
          <a:ext cx="419100" cy="295275"/>
        </a:xfrm>
        <a:custGeom>
          <a:avLst/>
          <a:gdLst>
            <a:gd name="T0" fmla="*/ 843421031 w 201"/>
            <a:gd name="T1" fmla="*/ 494583478 h 143"/>
            <a:gd name="T2" fmla="*/ 778208257 w 201"/>
            <a:gd name="T3" fmla="*/ 460474068 h 143"/>
            <a:gd name="T4" fmla="*/ 778208257 w 201"/>
            <a:gd name="T5" fmla="*/ 494583478 h 143"/>
            <a:gd name="T6" fmla="*/ 752123981 w 201"/>
            <a:gd name="T7" fmla="*/ 494583478 h 143"/>
            <a:gd name="T8" fmla="*/ 712995483 w 201"/>
            <a:gd name="T9" fmla="*/ 558538493 h 143"/>
            <a:gd name="T10" fmla="*/ 617351054 w 201"/>
            <a:gd name="T11" fmla="*/ 558538493 h 143"/>
            <a:gd name="T12" fmla="*/ 617351054 w 201"/>
            <a:gd name="T13" fmla="*/ 609701576 h 143"/>
            <a:gd name="T14" fmla="*/ 530399168 w 201"/>
            <a:gd name="T15" fmla="*/ 609701576 h 143"/>
            <a:gd name="T16" fmla="*/ 530399168 w 201"/>
            <a:gd name="T17" fmla="*/ 524428954 h 143"/>
            <a:gd name="T18" fmla="*/ 313021864 w 201"/>
            <a:gd name="T19" fmla="*/ 430628592 h 143"/>
            <a:gd name="T20" fmla="*/ 191291009 w 201"/>
            <a:gd name="T21" fmla="*/ 430628592 h 143"/>
            <a:gd name="T22" fmla="*/ 130425581 w 201"/>
            <a:gd name="T23" fmla="*/ 460474068 h 143"/>
            <a:gd name="T24" fmla="*/ 130425581 w 201"/>
            <a:gd name="T25" fmla="*/ 328300362 h 143"/>
            <a:gd name="T26" fmla="*/ 56518032 w 201"/>
            <a:gd name="T27" fmla="*/ 328300362 h 143"/>
            <a:gd name="T28" fmla="*/ 56518032 w 201"/>
            <a:gd name="T29" fmla="*/ 260081477 h 143"/>
            <a:gd name="T30" fmla="*/ 34781136 w 201"/>
            <a:gd name="T31" fmla="*/ 260081477 h 143"/>
            <a:gd name="T32" fmla="*/ 34781136 w 201"/>
            <a:gd name="T33" fmla="*/ 200390526 h 143"/>
            <a:gd name="T34" fmla="*/ 130425581 w 201"/>
            <a:gd name="T35" fmla="*/ 200390526 h 143"/>
            <a:gd name="T36" fmla="*/ 152164595 w 201"/>
            <a:gd name="T37" fmla="*/ 170545050 h 143"/>
            <a:gd name="T38" fmla="*/ 56518032 w 201"/>
            <a:gd name="T39" fmla="*/ 102328263 h 143"/>
            <a:gd name="T40" fmla="*/ 34781136 w 201"/>
            <a:gd name="T41" fmla="*/ 102328263 h 143"/>
            <a:gd name="T42" fmla="*/ 34781136 w 201"/>
            <a:gd name="T43" fmla="*/ 170545050 h 143"/>
            <a:gd name="T44" fmla="*/ 0 w 201"/>
            <a:gd name="T45" fmla="*/ 102328263 h 143"/>
            <a:gd name="T46" fmla="*/ 130425581 w 201"/>
            <a:gd name="T47" fmla="*/ 38373361 h 143"/>
            <a:gd name="T48" fmla="*/ 191291009 w 201"/>
            <a:gd name="T49" fmla="*/ 127909804 h 143"/>
            <a:gd name="T50" fmla="*/ 239114266 w 201"/>
            <a:gd name="T51" fmla="*/ 127909804 h 143"/>
            <a:gd name="T52" fmla="*/ 239114266 w 201"/>
            <a:gd name="T53" fmla="*/ 102328263 h 143"/>
            <a:gd name="T54" fmla="*/ 343455604 w 201"/>
            <a:gd name="T55" fmla="*/ 38373361 h 143"/>
            <a:gd name="T56" fmla="*/ 369539879 w 201"/>
            <a:gd name="T57" fmla="*/ 38373361 h 143"/>
            <a:gd name="T58" fmla="*/ 343455604 w 201"/>
            <a:gd name="T59" fmla="*/ 0 h 143"/>
            <a:gd name="T60" fmla="*/ 369539879 w 201"/>
            <a:gd name="T61" fmla="*/ 0 h 143"/>
            <a:gd name="T62" fmla="*/ 439102118 w 201"/>
            <a:gd name="T63" fmla="*/ 38373361 h 143"/>
            <a:gd name="T64" fmla="*/ 439102118 w 201"/>
            <a:gd name="T65" fmla="*/ 127909804 h 143"/>
            <a:gd name="T66" fmla="*/ 569527797 w 201"/>
            <a:gd name="T67" fmla="*/ 127909804 h 143"/>
            <a:gd name="T68" fmla="*/ 595612072 w 201"/>
            <a:gd name="T69" fmla="*/ 260081477 h 143"/>
            <a:gd name="T70" fmla="*/ 873854771 w 201"/>
            <a:gd name="T71" fmla="*/ 430628592 h 143"/>
            <a:gd name="T72" fmla="*/ 843421031 w 201"/>
            <a:gd name="T73" fmla="*/ 494583478 h 143"/>
            <a:gd name="T74" fmla="*/ 843421031 w 201"/>
            <a:gd name="T75" fmla="*/ 494583478 h 143"/>
            <a:gd name="T76" fmla="*/ 843421031 w 201"/>
            <a:gd name="T77" fmla="*/ 494583478 h 143"/>
            <a:gd name="T78" fmla="*/ 0 60000 65536"/>
            <a:gd name="T79" fmla="*/ 0 60000 65536"/>
            <a:gd name="T80" fmla="*/ 0 60000 65536"/>
            <a:gd name="T81" fmla="*/ 0 60000 65536"/>
            <a:gd name="T82" fmla="*/ 0 60000 65536"/>
            <a:gd name="T83" fmla="*/ 0 60000 65536"/>
            <a:gd name="T84" fmla="*/ 0 60000 65536"/>
            <a:gd name="T85" fmla="*/ 0 60000 65536"/>
            <a:gd name="T86" fmla="*/ 0 60000 65536"/>
            <a:gd name="T87" fmla="*/ 0 60000 65536"/>
            <a:gd name="T88" fmla="*/ 0 60000 65536"/>
            <a:gd name="T89" fmla="*/ 0 60000 65536"/>
            <a:gd name="T90" fmla="*/ 0 60000 65536"/>
            <a:gd name="T91" fmla="*/ 0 60000 65536"/>
            <a:gd name="T92" fmla="*/ 0 60000 65536"/>
            <a:gd name="T93" fmla="*/ 0 60000 65536"/>
            <a:gd name="T94" fmla="*/ 0 60000 65536"/>
            <a:gd name="T95" fmla="*/ 0 60000 65536"/>
            <a:gd name="T96" fmla="*/ 0 60000 65536"/>
            <a:gd name="T97" fmla="*/ 0 60000 65536"/>
            <a:gd name="T98" fmla="*/ 0 60000 65536"/>
            <a:gd name="T99" fmla="*/ 0 60000 65536"/>
            <a:gd name="T100" fmla="*/ 0 60000 65536"/>
            <a:gd name="T101" fmla="*/ 0 60000 65536"/>
            <a:gd name="T102" fmla="*/ 0 60000 65536"/>
            <a:gd name="T103" fmla="*/ 0 60000 65536"/>
            <a:gd name="T104" fmla="*/ 0 60000 65536"/>
            <a:gd name="T105" fmla="*/ 0 60000 65536"/>
            <a:gd name="T106" fmla="*/ 0 60000 65536"/>
            <a:gd name="T107" fmla="*/ 0 60000 65536"/>
            <a:gd name="T108" fmla="*/ 0 60000 65536"/>
            <a:gd name="T109" fmla="*/ 0 60000 65536"/>
            <a:gd name="T110" fmla="*/ 0 60000 65536"/>
            <a:gd name="T111" fmla="*/ 0 60000 65536"/>
            <a:gd name="T112" fmla="*/ 0 60000 65536"/>
            <a:gd name="T113" fmla="*/ 0 60000 65536"/>
            <a:gd name="T114" fmla="*/ 0 60000 65536"/>
            <a:gd name="T115" fmla="*/ 0 60000 65536"/>
            <a:gd name="T116" fmla="*/ 0 60000 65536"/>
            <a:gd name="T117" fmla="*/ 0 w 201"/>
            <a:gd name="T118" fmla="*/ 0 h 143"/>
            <a:gd name="T119" fmla="*/ 201 w 201"/>
            <a:gd name="T120" fmla="*/ 143 h 143"/>
          </a:gdLst>
          <a:ahLst/>
          <a:cxnLst>
            <a:cxn ang="T78">
              <a:pos x="T0" y="T1"/>
            </a:cxn>
            <a:cxn ang="T79">
              <a:pos x="T2" y="T3"/>
            </a:cxn>
            <a:cxn ang="T80">
              <a:pos x="T4" y="T5"/>
            </a:cxn>
            <a:cxn ang="T81">
              <a:pos x="T6" y="T7"/>
            </a:cxn>
            <a:cxn ang="T82">
              <a:pos x="T8" y="T9"/>
            </a:cxn>
            <a:cxn ang="T83">
              <a:pos x="T10" y="T11"/>
            </a:cxn>
            <a:cxn ang="T84">
              <a:pos x="T12" y="T13"/>
            </a:cxn>
            <a:cxn ang="T85">
              <a:pos x="T14" y="T15"/>
            </a:cxn>
            <a:cxn ang="T86">
              <a:pos x="T16" y="T17"/>
            </a:cxn>
            <a:cxn ang="T87">
              <a:pos x="T18" y="T19"/>
            </a:cxn>
            <a:cxn ang="T88">
              <a:pos x="T20" y="T21"/>
            </a:cxn>
            <a:cxn ang="T89">
              <a:pos x="T22" y="T23"/>
            </a:cxn>
            <a:cxn ang="T90">
              <a:pos x="T24" y="T25"/>
            </a:cxn>
            <a:cxn ang="T91">
              <a:pos x="T26" y="T27"/>
            </a:cxn>
            <a:cxn ang="T92">
              <a:pos x="T28" y="T29"/>
            </a:cxn>
            <a:cxn ang="T93">
              <a:pos x="T30" y="T31"/>
            </a:cxn>
            <a:cxn ang="T94">
              <a:pos x="T32" y="T33"/>
            </a:cxn>
            <a:cxn ang="T95">
              <a:pos x="T34" y="T35"/>
            </a:cxn>
            <a:cxn ang="T96">
              <a:pos x="T36" y="T37"/>
            </a:cxn>
            <a:cxn ang="T97">
              <a:pos x="T38" y="T39"/>
            </a:cxn>
            <a:cxn ang="T98">
              <a:pos x="T40" y="T41"/>
            </a:cxn>
            <a:cxn ang="T99">
              <a:pos x="T42" y="T43"/>
            </a:cxn>
            <a:cxn ang="T100">
              <a:pos x="T44" y="T45"/>
            </a:cxn>
            <a:cxn ang="T101">
              <a:pos x="T46" y="T47"/>
            </a:cxn>
            <a:cxn ang="T102">
              <a:pos x="T48" y="T49"/>
            </a:cxn>
            <a:cxn ang="T103">
              <a:pos x="T50" y="T51"/>
            </a:cxn>
            <a:cxn ang="T104">
              <a:pos x="T52" y="T53"/>
            </a:cxn>
            <a:cxn ang="T105">
              <a:pos x="T54" y="T55"/>
            </a:cxn>
            <a:cxn ang="T106">
              <a:pos x="T56" y="T57"/>
            </a:cxn>
            <a:cxn ang="T107">
              <a:pos x="T58" y="T59"/>
            </a:cxn>
            <a:cxn ang="T108">
              <a:pos x="T60" y="T61"/>
            </a:cxn>
            <a:cxn ang="T109">
              <a:pos x="T62" y="T63"/>
            </a:cxn>
            <a:cxn ang="T110">
              <a:pos x="T64" y="T65"/>
            </a:cxn>
            <a:cxn ang="T111">
              <a:pos x="T66" y="T67"/>
            </a:cxn>
            <a:cxn ang="T112">
              <a:pos x="T68" y="T69"/>
            </a:cxn>
            <a:cxn ang="T113">
              <a:pos x="T70" y="T71"/>
            </a:cxn>
            <a:cxn ang="T114">
              <a:pos x="T72" y="T73"/>
            </a:cxn>
            <a:cxn ang="T115">
              <a:pos x="T74" y="T75"/>
            </a:cxn>
            <a:cxn ang="T116">
              <a:pos x="T76" y="T77"/>
            </a:cxn>
          </a:cxnLst>
          <a:rect l="T117" t="T118" r="T119" b="T120"/>
          <a:pathLst>
            <a:path w="201" h="143">
              <a:moveTo>
                <a:pt x="194" y="116"/>
              </a:moveTo>
              <a:lnTo>
                <a:pt x="179" y="108"/>
              </a:lnTo>
              <a:lnTo>
                <a:pt x="179" y="116"/>
              </a:lnTo>
              <a:lnTo>
                <a:pt x="173" y="116"/>
              </a:lnTo>
              <a:lnTo>
                <a:pt x="164" y="131"/>
              </a:lnTo>
              <a:lnTo>
                <a:pt x="142" y="131"/>
              </a:lnTo>
              <a:lnTo>
                <a:pt x="142" y="143"/>
              </a:lnTo>
              <a:lnTo>
                <a:pt x="122" y="143"/>
              </a:lnTo>
              <a:lnTo>
                <a:pt x="122" y="123"/>
              </a:lnTo>
              <a:lnTo>
                <a:pt x="72" y="101"/>
              </a:lnTo>
              <a:lnTo>
                <a:pt x="44" y="101"/>
              </a:lnTo>
              <a:lnTo>
                <a:pt x="30" y="108"/>
              </a:lnTo>
              <a:lnTo>
                <a:pt x="30" y="77"/>
              </a:lnTo>
              <a:lnTo>
                <a:pt x="13" y="77"/>
              </a:lnTo>
              <a:lnTo>
                <a:pt x="13" y="61"/>
              </a:lnTo>
              <a:lnTo>
                <a:pt x="8" y="61"/>
              </a:lnTo>
              <a:lnTo>
                <a:pt x="8" y="47"/>
              </a:lnTo>
              <a:lnTo>
                <a:pt x="30" y="47"/>
              </a:lnTo>
              <a:lnTo>
                <a:pt x="35" y="40"/>
              </a:lnTo>
              <a:lnTo>
                <a:pt x="13" y="24"/>
              </a:lnTo>
              <a:lnTo>
                <a:pt x="8" y="24"/>
              </a:lnTo>
              <a:lnTo>
                <a:pt x="8" y="40"/>
              </a:lnTo>
              <a:lnTo>
                <a:pt x="0" y="24"/>
              </a:lnTo>
              <a:lnTo>
                <a:pt x="30" y="9"/>
              </a:lnTo>
              <a:lnTo>
                <a:pt x="44" y="30"/>
              </a:lnTo>
              <a:lnTo>
                <a:pt x="55" y="30"/>
              </a:lnTo>
              <a:lnTo>
                <a:pt x="55" y="24"/>
              </a:lnTo>
              <a:lnTo>
                <a:pt x="79" y="9"/>
              </a:lnTo>
              <a:lnTo>
                <a:pt x="85" y="9"/>
              </a:lnTo>
              <a:lnTo>
                <a:pt x="79" y="0"/>
              </a:lnTo>
              <a:lnTo>
                <a:pt x="85" y="0"/>
              </a:lnTo>
              <a:lnTo>
                <a:pt x="101" y="9"/>
              </a:lnTo>
              <a:lnTo>
                <a:pt x="101" y="30"/>
              </a:lnTo>
              <a:lnTo>
                <a:pt x="131" y="30"/>
              </a:lnTo>
              <a:lnTo>
                <a:pt x="137" y="61"/>
              </a:lnTo>
              <a:lnTo>
                <a:pt x="201" y="101"/>
              </a:lnTo>
              <a:lnTo>
                <a:pt x="194" y="116"/>
              </a:lnTo>
              <a:close/>
            </a:path>
          </a:pathLst>
        </a:custGeom>
        <a:solidFill>
          <a:srgbClr val="F5F5F5"/>
        </a:solidFill>
        <a:ln w="9525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36576" tIns="32004" rIns="0" bIns="0" anchor="t"/>
        <a:lstStyle/>
        <a:p>
          <a:pPr algn="l" rtl="0">
            <a:defRPr sz="1000"/>
          </a:pPr>
          <a:endParaRPr lang="en-US" sz="16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en-US"/>
        </a:p>
      </xdr:txBody>
    </xdr:sp>
    <xdr:clientData/>
  </xdr:twoCellAnchor>
  <xdr:twoCellAnchor>
    <xdr:from>
      <xdr:col>11</xdr:col>
      <xdr:colOff>504825</xdr:colOff>
      <xdr:row>21</xdr:row>
      <xdr:rowOff>104775</xdr:rowOff>
    </xdr:from>
    <xdr:to>
      <xdr:col>12</xdr:col>
      <xdr:colOff>285750</xdr:colOff>
      <xdr:row>23</xdr:row>
      <xdr:rowOff>104775</xdr:rowOff>
    </xdr:to>
    <xdr:sp macro="" textlink="">
      <xdr:nvSpPr>
        <xdr:cNvPr id="25841" name="S_UZB"/>
        <xdr:cNvSpPr>
          <a:spLocks/>
        </xdr:cNvSpPr>
      </xdr:nvSpPr>
      <xdr:spPr bwMode="auto">
        <a:xfrm>
          <a:off x="7048500" y="3352800"/>
          <a:ext cx="495300" cy="323850"/>
        </a:xfrm>
        <a:custGeom>
          <a:avLst/>
          <a:gdLst>
            <a:gd name="T0" fmla="*/ 622743484 w 239"/>
            <a:gd name="T1" fmla="*/ 659615237 h 159"/>
            <a:gd name="T2" fmla="*/ 674279540 w 239"/>
            <a:gd name="T3" fmla="*/ 659615237 h 159"/>
            <a:gd name="T4" fmla="*/ 717227634 w 239"/>
            <a:gd name="T5" fmla="*/ 597387178 h 159"/>
            <a:gd name="T6" fmla="*/ 717227634 w 239"/>
            <a:gd name="T7" fmla="*/ 506120453 h 159"/>
            <a:gd name="T8" fmla="*/ 674279540 w 239"/>
            <a:gd name="T9" fmla="*/ 472930933 h 159"/>
            <a:gd name="T10" fmla="*/ 747291715 w 239"/>
            <a:gd name="T11" fmla="*/ 472930933 h 159"/>
            <a:gd name="T12" fmla="*/ 777355795 w 239"/>
            <a:gd name="T13" fmla="*/ 389960187 h 159"/>
            <a:gd name="T14" fmla="*/ 777355795 w 239"/>
            <a:gd name="T15" fmla="*/ 352623759 h 159"/>
            <a:gd name="T16" fmla="*/ 867545965 w 239"/>
            <a:gd name="T17" fmla="*/ 352623759 h 159"/>
            <a:gd name="T18" fmla="*/ 867545965 w 239"/>
            <a:gd name="T19" fmla="*/ 389960187 h 159"/>
            <a:gd name="T20" fmla="*/ 931968106 w 239"/>
            <a:gd name="T21" fmla="*/ 389960187 h 159"/>
            <a:gd name="T22" fmla="*/ 1026452256 w 239"/>
            <a:gd name="T23" fmla="*/ 352623759 h 159"/>
            <a:gd name="T24" fmla="*/ 931968106 w 239"/>
            <a:gd name="T25" fmla="*/ 327734165 h 159"/>
            <a:gd name="T26" fmla="*/ 841775865 w 239"/>
            <a:gd name="T27" fmla="*/ 327734165 h 159"/>
            <a:gd name="T28" fmla="*/ 897607973 w 239"/>
            <a:gd name="T29" fmla="*/ 236465466 h 159"/>
            <a:gd name="T30" fmla="*/ 867545965 w 239"/>
            <a:gd name="T31" fmla="*/ 236465466 h 159"/>
            <a:gd name="T32" fmla="*/ 747291715 w 239"/>
            <a:gd name="T33" fmla="*/ 352623759 h 159"/>
            <a:gd name="T34" fmla="*/ 717227634 w 239"/>
            <a:gd name="T35" fmla="*/ 327734165 h 159"/>
            <a:gd name="T36" fmla="*/ 652807565 w 239"/>
            <a:gd name="T37" fmla="*/ 327734165 h 159"/>
            <a:gd name="T38" fmla="*/ 652807565 w 239"/>
            <a:gd name="T39" fmla="*/ 298693589 h 159"/>
            <a:gd name="T40" fmla="*/ 622743484 w 239"/>
            <a:gd name="T41" fmla="*/ 298693589 h 159"/>
            <a:gd name="T42" fmla="*/ 622743484 w 239"/>
            <a:gd name="T43" fmla="*/ 207426927 h 159"/>
            <a:gd name="T44" fmla="*/ 532553185 w 239"/>
            <a:gd name="T45" fmla="*/ 136900979 h 159"/>
            <a:gd name="T46" fmla="*/ 352172846 w 239"/>
            <a:gd name="T47" fmla="*/ 136900979 h 159"/>
            <a:gd name="T48" fmla="*/ 163202409 w 239"/>
            <a:gd name="T49" fmla="*/ 0 h 159"/>
            <a:gd name="T50" fmla="*/ 0 w 239"/>
            <a:gd name="T51" fmla="*/ 24891639 h 159"/>
            <a:gd name="T52" fmla="*/ 0 w 239"/>
            <a:gd name="T53" fmla="*/ 327734165 h 159"/>
            <a:gd name="T54" fmla="*/ 25768036 w 239"/>
            <a:gd name="T55" fmla="*/ 327734165 h 159"/>
            <a:gd name="T56" fmla="*/ 25768036 w 239"/>
            <a:gd name="T57" fmla="*/ 298693589 h 159"/>
            <a:gd name="T58" fmla="*/ 120254282 w 239"/>
            <a:gd name="T59" fmla="*/ 236465466 h 159"/>
            <a:gd name="T60" fmla="*/ 163202409 w 239"/>
            <a:gd name="T61" fmla="*/ 236465466 h 159"/>
            <a:gd name="T62" fmla="*/ 120254282 w 239"/>
            <a:gd name="T63" fmla="*/ 207426927 h 159"/>
            <a:gd name="T64" fmla="*/ 163202409 w 239"/>
            <a:gd name="T65" fmla="*/ 207426927 h 159"/>
            <a:gd name="T66" fmla="*/ 214738465 w 239"/>
            <a:gd name="T67" fmla="*/ 236465466 h 159"/>
            <a:gd name="T68" fmla="*/ 214738465 w 239"/>
            <a:gd name="T69" fmla="*/ 327734165 h 159"/>
            <a:gd name="T70" fmla="*/ 352172846 w 239"/>
            <a:gd name="T71" fmla="*/ 327734165 h 159"/>
            <a:gd name="T72" fmla="*/ 377940874 w 239"/>
            <a:gd name="T73" fmla="*/ 443892394 h 159"/>
            <a:gd name="T74" fmla="*/ 652807565 w 239"/>
            <a:gd name="T75" fmla="*/ 597387178 h 159"/>
            <a:gd name="T76" fmla="*/ 622743484 w 239"/>
            <a:gd name="T77" fmla="*/ 659615237 h 159"/>
            <a:gd name="T78" fmla="*/ 622743484 w 239"/>
            <a:gd name="T79" fmla="*/ 659615237 h 159"/>
            <a:gd name="T80" fmla="*/ 622743484 w 239"/>
            <a:gd name="T81" fmla="*/ 659615237 h 159"/>
            <a:gd name="T82" fmla="*/ 0 60000 65536"/>
            <a:gd name="T83" fmla="*/ 0 60000 65536"/>
            <a:gd name="T84" fmla="*/ 0 60000 65536"/>
            <a:gd name="T85" fmla="*/ 0 60000 65536"/>
            <a:gd name="T86" fmla="*/ 0 60000 65536"/>
            <a:gd name="T87" fmla="*/ 0 60000 65536"/>
            <a:gd name="T88" fmla="*/ 0 60000 65536"/>
            <a:gd name="T89" fmla="*/ 0 60000 65536"/>
            <a:gd name="T90" fmla="*/ 0 60000 65536"/>
            <a:gd name="T91" fmla="*/ 0 60000 65536"/>
            <a:gd name="T92" fmla="*/ 0 60000 65536"/>
            <a:gd name="T93" fmla="*/ 0 60000 65536"/>
            <a:gd name="T94" fmla="*/ 0 60000 65536"/>
            <a:gd name="T95" fmla="*/ 0 60000 65536"/>
            <a:gd name="T96" fmla="*/ 0 60000 65536"/>
            <a:gd name="T97" fmla="*/ 0 60000 65536"/>
            <a:gd name="T98" fmla="*/ 0 60000 65536"/>
            <a:gd name="T99" fmla="*/ 0 60000 65536"/>
            <a:gd name="T100" fmla="*/ 0 60000 65536"/>
            <a:gd name="T101" fmla="*/ 0 60000 65536"/>
            <a:gd name="T102" fmla="*/ 0 60000 65536"/>
            <a:gd name="T103" fmla="*/ 0 60000 65536"/>
            <a:gd name="T104" fmla="*/ 0 60000 65536"/>
            <a:gd name="T105" fmla="*/ 0 60000 65536"/>
            <a:gd name="T106" fmla="*/ 0 60000 65536"/>
            <a:gd name="T107" fmla="*/ 0 60000 65536"/>
            <a:gd name="T108" fmla="*/ 0 60000 65536"/>
            <a:gd name="T109" fmla="*/ 0 60000 65536"/>
            <a:gd name="T110" fmla="*/ 0 60000 65536"/>
            <a:gd name="T111" fmla="*/ 0 60000 65536"/>
            <a:gd name="T112" fmla="*/ 0 60000 65536"/>
            <a:gd name="T113" fmla="*/ 0 60000 65536"/>
            <a:gd name="T114" fmla="*/ 0 60000 65536"/>
            <a:gd name="T115" fmla="*/ 0 60000 65536"/>
            <a:gd name="T116" fmla="*/ 0 60000 65536"/>
            <a:gd name="T117" fmla="*/ 0 60000 65536"/>
            <a:gd name="T118" fmla="*/ 0 60000 65536"/>
            <a:gd name="T119" fmla="*/ 0 60000 65536"/>
            <a:gd name="T120" fmla="*/ 0 60000 65536"/>
            <a:gd name="T121" fmla="*/ 0 60000 65536"/>
            <a:gd name="T122" fmla="*/ 0 60000 65536"/>
            <a:gd name="T123" fmla="*/ 0 w 239"/>
            <a:gd name="T124" fmla="*/ 0 h 159"/>
            <a:gd name="T125" fmla="*/ 239 w 239"/>
            <a:gd name="T126" fmla="*/ 159 h 159"/>
          </a:gdLst>
          <a:ahLst/>
          <a:cxnLst>
            <a:cxn ang="T82">
              <a:pos x="T0" y="T1"/>
            </a:cxn>
            <a:cxn ang="T83">
              <a:pos x="T2" y="T3"/>
            </a:cxn>
            <a:cxn ang="T84">
              <a:pos x="T4" y="T5"/>
            </a:cxn>
            <a:cxn ang="T85">
              <a:pos x="T6" y="T7"/>
            </a:cxn>
            <a:cxn ang="T86">
              <a:pos x="T8" y="T9"/>
            </a:cxn>
            <a:cxn ang="T87">
              <a:pos x="T10" y="T11"/>
            </a:cxn>
            <a:cxn ang="T88">
              <a:pos x="T12" y="T13"/>
            </a:cxn>
            <a:cxn ang="T89">
              <a:pos x="T14" y="T15"/>
            </a:cxn>
            <a:cxn ang="T90">
              <a:pos x="T16" y="T17"/>
            </a:cxn>
            <a:cxn ang="T91">
              <a:pos x="T18" y="T19"/>
            </a:cxn>
            <a:cxn ang="T92">
              <a:pos x="T20" y="T21"/>
            </a:cxn>
            <a:cxn ang="T93">
              <a:pos x="T22" y="T23"/>
            </a:cxn>
            <a:cxn ang="T94">
              <a:pos x="T24" y="T25"/>
            </a:cxn>
            <a:cxn ang="T95">
              <a:pos x="T26" y="T27"/>
            </a:cxn>
            <a:cxn ang="T96">
              <a:pos x="T28" y="T29"/>
            </a:cxn>
            <a:cxn ang="T97">
              <a:pos x="T30" y="T31"/>
            </a:cxn>
            <a:cxn ang="T98">
              <a:pos x="T32" y="T33"/>
            </a:cxn>
            <a:cxn ang="T99">
              <a:pos x="T34" y="T35"/>
            </a:cxn>
            <a:cxn ang="T100">
              <a:pos x="T36" y="T37"/>
            </a:cxn>
            <a:cxn ang="T101">
              <a:pos x="T38" y="T39"/>
            </a:cxn>
            <a:cxn ang="T102">
              <a:pos x="T40" y="T41"/>
            </a:cxn>
            <a:cxn ang="T103">
              <a:pos x="T42" y="T43"/>
            </a:cxn>
            <a:cxn ang="T104">
              <a:pos x="T44" y="T45"/>
            </a:cxn>
            <a:cxn ang="T105">
              <a:pos x="T46" y="T47"/>
            </a:cxn>
            <a:cxn ang="T106">
              <a:pos x="T48" y="T49"/>
            </a:cxn>
            <a:cxn ang="T107">
              <a:pos x="T50" y="T51"/>
            </a:cxn>
            <a:cxn ang="T108">
              <a:pos x="T52" y="T53"/>
            </a:cxn>
            <a:cxn ang="T109">
              <a:pos x="T54" y="T55"/>
            </a:cxn>
            <a:cxn ang="T110">
              <a:pos x="T56" y="T57"/>
            </a:cxn>
            <a:cxn ang="T111">
              <a:pos x="T58" y="T59"/>
            </a:cxn>
            <a:cxn ang="T112">
              <a:pos x="T60" y="T61"/>
            </a:cxn>
            <a:cxn ang="T113">
              <a:pos x="T62" y="T63"/>
            </a:cxn>
            <a:cxn ang="T114">
              <a:pos x="T64" y="T65"/>
            </a:cxn>
            <a:cxn ang="T115">
              <a:pos x="T66" y="T67"/>
            </a:cxn>
            <a:cxn ang="T116">
              <a:pos x="T68" y="T69"/>
            </a:cxn>
            <a:cxn ang="T117">
              <a:pos x="T70" y="T71"/>
            </a:cxn>
            <a:cxn ang="T118">
              <a:pos x="T72" y="T73"/>
            </a:cxn>
            <a:cxn ang="T119">
              <a:pos x="T74" y="T75"/>
            </a:cxn>
            <a:cxn ang="T120">
              <a:pos x="T76" y="T77"/>
            </a:cxn>
            <a:cxn ang="T121">
              <a:pos x="T78" y="T79"/>
            </a:cxn>
            <a:cxn ang="T122">
              <a:pos x="T80" y="T81"/>
            </a:cxn>
          </a:cxnLst>
          <a:rect l="T123" t="T124" r="T125" b="T126"/>
          <a:pathLst>
            <a:path w="239" h="159">
              <a:moveTo>
                <a:pt x="145" y="159"/>
              </a:moveTo>
              <a:lnTo>
                <a:pt x="157" y="159"/>
              </a:lnTo>
              <a:lnTo>
                <a:pt x="167" y="144"/>
              </a:lnTo>
              <a:lnTo>
                <a:pt x="167" y="122"/>
              </a:lnTo>
              <a:lnTo>
                <a:pt x="157" y="114"/>
              </a:lnTo>
              <a:lnTo>
                <a:pt x="174" y="114"/>
              </a:lnTo>
              <a:lnTo>
                <a:pt x="181" y="94"/>
              </a:lnTo>
              <a:lnTo>
                <a:pt x="181" y="85"/>
              </a:lnTo>
              <a:lnTo>
                <a:pt x="202" y="85"/>
              </a:lnTo>
              <a:lnTo>
                <a:pt x="202" y="94"/>
              </a:lnTo>
              <a:lnTo>
                <a:pt x="217" y="94"/>
              </a:lnTo>
              <a:lnTo>
                <a:pt x="239" y="85"/>
              </a:lnTo>
              <a:lnTo>
                <a:pt x="217" y="79"/>
              </a:lnTo>
              <a:lnTo>
                <a:pt x="196" y="79"/>
              </a:lnTo>
              <a:lnTo>
                <a:pt x="209" y="57"/>
              </a:lnTo>
              <a:lnTo>
                <a:pt x="202" y="57"/>
              </a:lnTo>
              <a:lnTo>
                <a:pt x="174" y="85"/>
              </a:lnTo>
              <a:lnTo>
                <a:pt x="167" y="79"/>
              </a:lnTo>
              <a:lnTo>
                <a:pt x="152" y="79"/>
              </a:lnTo>
              <a:lnTo>
                <a:pt x="152" y="72"/>
              </a:lnTo>
              <a:lnTo>
                <a:pt x="145" y="72"/>
              </a:lnTo>
              <a:lnTo>
                <a:pt x="145" y="50"/>
              </a:lnTo>
              <a:lnTo>
                <a:pt x="124" y="33"/>
              </a:lnTo>
              <a:lnTo>
                <a:pt x="82" y="33"/>
              </a:lnTo>
              <a:lnTo>
                <a:pt x="38" y="0"/>
              </a:lnTo>
              <a:lnTo>
                <a:pt x="0" y="6"/>
              </a:lnTo>
              <a:lnTo>
                <a:pt x="0" y="79"/>
              </a:lnTo>
              <a:lnTo>
                <a:pt x="6" y="79"/>
              </a:lnTo>
              <a:lnTo>
                <a:pt x="6" y="72"/>
              </a:lnTo>
              <a:lnTo>
                <a:pt x="28" y="57"/>
              </a:lnTo>
              <a:lnTo>
                <a:pt x="38" y="57"/>
              </a:lnTo>
              <a:lnTo>
                <a:pt x="28" y="50"/>
              </a:lnTo>
              <a:lnTo>
                <a:pt x="38" y="50"/>
              </a:lnTo>
              <a:lnTo>
                <a:pt x="50" y="57"/>
              </a:lnTo>
              <a:lnTo>
                <a:pt x="50" y="79"/>
              </a:lnTo>
              <a:lnTo>
                <a:pt x="82" y="79"/>
              </a:lnTo>
              <a:lnTo>
                <a:pt x="88" y="107"/>
              </a:lnTo>
              <a:lnTo>
                <a:pt x="152" y="144"/>
              </a:lnTo>
              <a:lnTo>
                <a:pt x="145" y="159"/>
              </a:lnTo>
              <a:close/>
            </a:path>
          </a:pathLst>
        </a:custGeom>
        <a:solidFill>
          <a:srgbClr val="F5F5F5"/>
        </a:solidFill>
        <a:ln w="9525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36576" tIns="32004" rIns="0" bIns="0" anchor="t"/>
        <a:lstStyle/>
        <a:p>
          <a:pPr algn="l" rtl="0">
            <a:defRPr sz="1000"/>
          </a:pPr>
          <a:endParaRPr lang="en-US" sz="16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en-US"/>
        </a:p>
      </xdr:txBody>
    </xdr:sp>
    <xdr:clientData/>
  </xdr:twoCellAnchor>
  <xdr:twoCellAnchor>
    <xdr:from>
      <xdr:col>10</xdr:col>
      <xdr:colOff>371475</xdr:colOff>
      <xdr:row>22</xdr:row>
      <xdr:rowOff>95250</xdr:rowOff>
    </xdr:from>
    <xdr:to>
      <xdr:col>11</xdr:col>
      <xdr:colOff>190500</xdr:colOff>
      <xdr:row>23</xdr:row>
      <xdr:rowOff>142875</xdr:rowOff>
    </xdr:to>
    <xdr:sp macro="" textlink="">
      <xdr:nvSpPr>
        <xdr:cNvPr id="25842" name="S_TUR"/>
        <xdr:cNvSpPr>
          <a:spLocks/>
        </xdr:cNvSpPr>
      </xdr:nvSpPr>
      <xdr:spPr bwMode="auto">
        <a:xfrm>
          <a:off x="6200775" y="3505200"/>
          <a:ext cx="533400" cy="209550"/>
        </a:xfrm>
        <a:custGeom>
          <a:avLst/>
          <a:gdLst>
            <a:gd name="T0" fmla="*/ 2147483647 w 251"/>
            <a:gd name="T1" fmla="*/ 2147483647 h 99"/>
            <a:gd name="T2" fmla="*/ 2147483647 w 251"/>
            <a:gd name="T3" fmla="*/ 2147483647 h 99"/>
            <a:gd name="T4" fmla="*/ 2147483647 w 251"/>
            <a:gd name="T5" fmla="*/ 2147483647 h 99"/>
            <a:gd name="T6" fmla="*/ 2147483647 w 251"/>
            <a:gd name="T7" fmla="*/ 2147483647 h 99"/>
            <a:gd name="T8" fmla="*/ 2147483647 w 251"/>
            <a:gd name="T9" fmla="*/ 2147483647 h 99"/>
            <a:gd name="T10" fmla="*/ 2147483647 w 251"/>
            <a:gd name="T11" fmla="*/ 2147483647 h 99"/>
            <a:gd name="T12" fmla="*/ 2147483647 w 251"/>
            <a:gd name="T13" fmla="*/ 0 h 99"/>
            <a:gd name="T14" fmla="*/ 2147483647 w 251"/>
            <a:gd name="T15" fmla="*/ 0 h 99"/>
            <a:gd name="T16" fmla="*/ 2147483647 w 251"/>
            <a:gd name="T17" fmla="*/ 2147483647 h 99"/>
            <a:gd name="T18" fmla="*/ 2147483647 w 251"/>
            <a:gd name="T19" fmla="*/ 2147483647 h 99"/>
            <a:gd name="T20" fmla="*/ 2147483647 w 251"/>
            <a:gd name="T21" fmla="*/ 0 h 99"/>
            <a:gd name="T22" fmla="*/ 2147483647 w 251"/>
            <a:gd name="T23" fmla="*/ 0 h 99"/>
            <a:gd name="T24" fmla="*/ 2147483647 w 251"/>
            <a:gd name="T25" fmla="*/ 2147483647 h 99"/>
            <a:gd name="T26" fmla="*/ 0 w 251"/>
            <a:gd name="T27" fmla="*/ 2147483647 h 99"/>
            <a:gd name="T28" fmla="*/ 2147483647 w 251"/>
            <a:gd name="T29" fmla="*/ 2147483647 h 99"/>
            <a:gd name="T30" fmla="*/ 2147483647 w 251"/>
            <a:gd name="T31" fmla="*/ 2147483647 h 99"/>
            <a:gd name="T32" fmla="*/ 2147483647 w 251"/>
            <a:gd name="T33" fmla="*/ 2147483647 h 99"/>
            <a:gd name="T34" fmla="*/ 2147483647 w 251"/>
            <a:gd name="T35" fmla="*/ 2147483647 h 99"/>
            <a:gd name="T36" fmla="*/ 2147483647 w 251"/>
            <a:gd name="T37" fmla="*/ 2147483647 h 99"/>
            <a:gd name="T38" fmla="*/ 2147483647 w 251"/>
            <a:gd name="T39" fmla="*/ 2147483647 h 99"/>
            <a:gd name="T40" fmla="*/ 2147483647 w 251"/>
            <a:gd name="T41" fmla="*/ 2147483647 h 99"/>
            <a:gd name="T42" fmla="*/ 2147483647 w 251"/>
            <a:gd name="T43" fmla="*/ 2147483647 h 99"/>
            <a:gd name="T44" fmla="*/ 2147483647 w 251"/>
            <a:gd name="T45" fmla="*/ 2147483647 h 99"/>
            <a:gd name="T46" fmla="*/ 2147483647 w 251"/>
            <a:gd name="T47" fmla="*/ 2147483647 h 99"/>
            <a:gd name="T48" fmla="*/ 2147483647 w 251"/>
            <a:gd name="T49" fmla="*/ 2147483647 h 99"/>
            <a:gd name="T50" fmla="*/ 2147483647 w 251"/>
            <a:gd name="T51" fmla="*/ 2147483647 h 99"/>
            <a:gd name="T52" fmla="*/ 2147483647 w 251"/>
            <a:gd name="T53" fmla="*/ 2147483647 h 99"/>
            <a:gd name="T54" fmla="*/ 2147483647 w 251"/>
            <a:gd name="T55" fmla="*/ 2147483647 h 99"/>
            <a:gd name="T56" fmla="*/ 2147483647 w 251"/>
            <a:gd name="T57" fmla="*/ 2147483647 h 99"/>
            <a:gd name="T58" fmla="*/ 2147483647 w 251"/>
            <a:gd name="T59" fmla="*/ 2147483647 h 99"/>
            <a:gd name="T60" fmla="*/ 2147483647 w 251"/>
            <a:gd name="T61" fmla="*/ 2147483647 h 99"/>
            <a:gd name="T62" fmla="*/ 2147483647 w 251"/>
            <a:gd name="T63" fmla="*/ 2147483647 h 99"/>
            <a:gd name="T64" fmla="*/ 2147483647 w 251"/>
            <a:gd name="T65" fmla="*/ 2147483647 h 99"/>
            <a:gd name="T66" fmla="*/ 2147483647 w 251"/>
            <a:gd name="T67" fmla="*/ 2147483647 h 99"/>
            <a:gd name="T68" fmla="*/ 2147483647 w 251"/>
            <a:gd name="T69" fmla="*/ 2147483647 h 99"/>
            <a:gd name="T70" fmla="*/ 2147483647 w 251"/>
            <a:gd name="T71" fmla="*/ 2147483647 h 99"/>
            <a:gd name="T72" fmla="*/ 2147483647 w 251"/>
            <a:gd name="T73" fmla="*/ 2147483647 h 99"/>
            <a:gd name="T74" fmla="*/ 2147483647 w 251"/>
            <a:gd name="T75" fmla="*/ 2147483647 h 99"/>
            <a:gd name="T76" fmla="*/ 2147483647 w 251"/>
            <a:gd name="T77" fmla="*/ 2147483647 h 99"/>
            <a:gd name="T78" fmla="*/ 2147483647 w 251"/>
            <a:gd name="T79" fmla="*/ 2147483647 h 99"/>
            <a:gd name="T80" fmla="*/ 2147483647 w 251"/>
            <a:gd name="T81" fmla="*/ 2147483647 h 99"/>
            <a:gd name="T82" fmla="*/ 2147483647 w 251"/>
            <a:gd name="T83" fmla="*/ 2147483647 h 99"/>
            <a:gd name="T84" fmla="*/ 2147483647 w 251"/>
            <a:gd name="T85" fmla="*/ 2147483647 h 99"/>
            <a:gd name="T86" fmla="*/ 2147483647 w 251"/>
            <a:gd name="T87" fmla="*/ 2147483647 h 99"/>
            <a:gd name="T88" fmla="*/ 2147483647 w 251"/>
            <a:gd name="T89" fmla="*/ 2147483647 h 99"/>
            <a:gd name="T90" fmla="*/ 2147483647 w 251"/>
            <a:gd name="T91" fmla="*/ 2147483647 h 99"/>
            <a:gd name="T92" fmla="*/ 2147483647 w 251"/>
            <a:gd name="T93" fmla="*/ 2147483647 h 99"/>
            <a:gd name="T94" fmla="*/ 2147483647 w 251"/>
            <a:gd name="T95" fmla="*/ 2147483647 h 99"/>
            <a:gd name="T96" fmla="*/ 2147483647 w 251"/>
            <a:gd name="T97" fmla="*/ 2147483647 h 99"/>
            <a:gd name="T98" fmla="*/ 2147483647 w 251"/>
            <a:gd name="T99" fmla="*/ 2147483647 h 99"/>
            <a:gd name="T100" fmla="*/ 2147483647 w 251"/>
            <a:gd name="T101" fmla="*/ 2147483647 h 99"/>
            <a:gd name="T102" fmla="*/ 2147483647 w 251"/>
            <a:gd name="T103" fmla="*/ 2147483647 h 99"/>
            <a:gd name="T104" fmla="*/ 0 60000 65536"/>
            <a:gd name="T105" fmla="*/ 0 60000 65536"/>
            <a:gd name="T106" fmla="*/ 0 60000 65536"/>
            <a:gd name="T107" fmla="*/ 0 60000 65536"/>
            <a:gd name="T108" fmla="*/ 0 60000 65536"/>
            <a:gd name="T109" fmla="*/ 0 60000 65536"/>
            <a:gd name="T110" fmla="*/ 0 60000 65536"/>
            <a:gd name="T111" fmla="*/ 0 60000 65536"/>
            <a:gd name="T112" fmla="*/ 0 60000 65536"/>
            <a:gd name="T113" fmla="*/ 0 60000 65536"/>
            <a:gd name="T114" fmla="*/ 0 60000 65536"/>
            <a:gd name="T115" fmla="*/ 0 60000 65536"/>
            <a:gd name="T116" fmla="*/ 0 60000 65536"/>
            <a:gd name="T117" fmla="*/ 0 60000 65536"/>
            <a:gd name="T118" fmla="*/ 0 60000 65536"/>
            <a:gd name="T119" fmla="*/ 0 60000 65536"/>
            <a:gd name="T120" fmla="*/ 0 60000 65536"/>
            <a:gd name="T121" fmla="*/ 0 60000 65536"/>
            <a:gd name="T122" fmla="*/ 0 60000 65536"/>
            <a:gd name="T123" fmla="*/ 0 60000 65536"/>
            <a:gd name="T124" fmla="*/ 0 60000 65536"/>
            <a:gd name="T125" fmla="*/ 0 60000 65536"/>
            <a:gd name="T126" fmla="*/ 0 60000 65536"/>
            <a:gd name="T127" fmla="*/ 0 60000 65536"/>
            <a:gd name="T128" fmla="*/ 0 60000 65536"/>
            <a:gd name="T129" fmla="*/ 0 60000 65536"/>
            <a:gd name="T130" fmla="*/ 0 60000 65536"/>
            <a:gd name="T131" fmla="*/ 0 60000 65536"/>
            <a:gd name="T132" fmla="*/ 0 60000 65536"/>
            <a:gd name="T133" fmla="*/ 0 60000 65536"/>
            <a:gd name="T134" fmla="*/ 0 60000 65536"/>
            <a:gd name="T135" fmla="*/ 0 60000 65536"/>
            <a:gd name="T136" fmla="*/ 0 60000 65536"/>
            <a:gd name="T137" fmla="*/ 0 60000 65536"/>
            <a:gd name="T138" fmla="*/ 0 60000 65536"/>
            <a:gd name="T139" fmla="*/ 0 60000 65536"/>
            <a:gd name="T140" fmla="*/ 0 60000 65536"/>
            <a:gd name="T141" fmla="*/ 0 60000 65536"/>
            <a:gd name="T142" fmla="*/ 0 60000 65536"/>
            <a:gd name="T143" fmla="*/ 0 60000 65536"/>
            <a:gd name="T144" fmla="*/ 0 60000 65536"/>
            <a:gd name="T145" fmla="*/ 0 60000 65536"/>
            <a:gd name="T146" fmla="*/ 0 60000 65536"/>
            <a:gd name="T147" fmla="*/ 0 60000 65536"/>
            <a:gd name="T148" fmla="*/ 0 60000 65536"/>
            <a:gd name="T149" fmla="*/ 0 60000 65536"/>
            <a:gd name="T150" fmla="*/ 0 60000 65536"/>
            <a:gd name="T151" fmla="*/ 0 60000 65536"/>
            <a:gd name="T152" fmla="*/ 0 60000 65536"/>
            <a:gd name="T153" fmla="*/ 0 60000 65536"/>
            <a:gd name="T154" fmla="*/ 0 60000 65536"/>
            <a:gd name="T155" fmla="*/ 0 60000 65536"/>
            <a:gd name="T156" fmla="*/ 0 w 251"/>
            <a:gd name="T157" fmla="*/ 0 h 99"/>
            <a:gd name="T158" fmla="*/ 251 w 251"/>
            <a:gd name="T159" fmla="*/ 99 h 99"/>
          </a:gdLst>
          <a:ahLst/>
          <a:cxnLst>
            <a:cxn ang="T104">
              <a:pos x="T0" y="T1"/>
            </a:cxn>
            <a:cxn ang="T105">
              <a:pos x="T2" y="T3"/>
            </a:cxn>
            <a:cxn ang="T106">
              <a:pos x="T4" y="T5"/>
            </a:cxn>
            <a:cxn ang="T107">
              <a:pos x="T6" y="T7"/>
            </a:cxn>
            <a:cxn ang="T108">
              <a:pos x="T8" y="T9"/>
            </a:cxn>
            <a:cxn ang="T109">
              <a:pos x="T10" y="T11"/>
            </a:cxn>
            <a:cxn ang="T110">
              <a:pos x="T12" y="T13"/>
            </a:cxn>
            <a:cxn ang="T111">
              <a:pos x="T14" y="T15"/>
            </a:cxn>
            <a:cxn ang="T112">
              <a:pos x="T16" y="T17"/>
            </a:cxn>
            <a:cxn ang="T113">
              <a:pos x="T18" y="T19"/>
            </a:cxn>
            <a:cxn ang="T114">
              <a:pos x="T20" y="T21"/>
            </a:cxn>
            <a:cxn ang="T115">
              <a:pos x="T22" y="T23"/>
            </a:cxn>
            <a:cxn ang="T116">
              <a:pos x="T24" y="T25"/>
            </a:cxn>
            <a:cxn ang="T117">
              <a:pos x="T26" y="T27"/>
            </a:cxn>
            <a:cxn ang="T118">
              <a:pos x="T28" y="T29"/>
            </a:cxn>
            <a:cxn ang="T119">
              <a:pos x="T30" y="T31"/>
            </a:cxn>
            <a:cxn ang="T120">
              <a:pos x="T32" y="T33"/>
            </a:cxn>
            <a:cxn ang="T121">
              <a:pos x="T34" y="T35"/>
            </a:cxn>
            <a:cxn ang="T122">
              <a:pos x="T36" y="T37"/>
            </a:cxn>
            <a:cxn ang="T123">
              <a:pos x="T38" y="T39"/>
            </a:cxn>
            <a:cxn ang="T124">
              <a:pos x="T40" y="T41"/>
            </a:cxn>
            <a:cxn ang="T125">
              <a:pos x="T42" y="T43"/>
            </a:cxn>
            <a:cxn ang="T126">
              <a:pos x="T44" y="T45"/>
            </a:cxn>
            <a:cxn ang="T127">
              <a:pos x="T46" y="T47"/>
            </a:cxn>
            <a:cxn ang="T128">
              <a:pos x="T48" y="T49"/>
            </a:cxn>
            <a:cxn ang="T129">
              <a:pos x="T50" y="T51"/>
            </a:cxn>
            <a:cxn ang="T130">
              <a:pos x="T52" y="T53"/>
            </a:cxn>
            <a:cxn ang="T131">
              <a:pos x="T54" y="T55"/>
            </a:cxn>
            <a:cxn ang="T132">
              <a:pos x="T56" y="T57"/>
            </a:cxn>
            <a:cxn ang="T133">
              <a:pos x="T58" y="T59"/>
            </a:cxn>
            <a:cxn ang="T134">
              <a:pos x="T60" y="T61"/>
            </a:cxn>
            <a:cxn ang="T135">
              <a:pos x="T62" y="T63"/>
            </a:cxn>
            <a:cxn ang="T136">
              <a:pos x="T64" y="T65"/>
            </a:cxn>
            <a:cxn ang="T137">
              <a:pos x="T66" y="T67"/>
            </a:cxn>
            <a:cxn ang="T138">
              <a:pos x="T68" y="T69"/>
            </a:cxn>
            <a:cxn ang="T139">
              <a:pos x="T70" y="T71"/>
            </a:cxn>
            <a:cxn ang="T140">
              <a:pos x="T72" y="T73"/>
            </a:cxn>
            <a:cxn ang="T141">
              <a:pos x="T74" y="T75"/>
            </a:cxn>
            <a:cxn ang="T142">
              <a:pos x="T76" y="T77"/>
            </a:cxn>
            <a:cxn ang="T143">
              <a:pos x="T78" y="T79"/>
            </a:cxn>
            <a:cxn ang="T144">
              <a:pos x="T80" y="T81"/>
            </a:cxn>
            <a:cxn ang="T145">
              <a:pos x="T82" y="T83"/>
            </a:cxn>
            <a:cxn ang="T146">
              <a:pos x="T84" y="T85"/>
            </a:cxn>
            <a:cxn ang="T147">
              <a:pos x="T86" y="T87"/>
            </a:cxn>
            <a:cxn ang="T148">
              <a:pos x="T88" y="T89"/>
            </a:cxn>
            <a:cxn ang="T149">
              <a:pos x="T90" y="T91"/>
            </a:cxn>
            <a:cxn ang="T150">
              <a:pos x="T92" y="T93"/>
            </a:cxn>
            <a:cxn ang="T151">
              <a:pos x="T94" y="T95"/>
            </a:cxn>
            <a:cxn ang="T152">
              <a:pos x="T96" y="T97"/>
            </a:cxn>
            <a:cxn ang="T153">
              <a:pos x="T98" y="T99"/>
            </a:cxn>
            <a:cxn ang="T154">
              <a:pos x="T100" y="T101"/>
            </a:cxn>
            <a:cxn ang="T155">
              <a:pos x="T102" y="T103"/>
            </a:cxn>
          </a:cxnLst>
          <a:rect l="T156" t="T157" r="T158" b="T159"/>
          <a:pathLst>
            <a:path w="251" h="99">
              <a:moveTo>
                <a:pt x="251" y="36"/>
              </a:moveTo>
              <a:lnTo>
                <a:pt x="237" y="36"/>
              </a:lnTo>
              <a:lnTo>
                <a:pt x="231" y="7"/>
              </a:lnTo>
              <a:lnTo>
                <a:pt x="211" y="7"/>
              </a:lnTo>
              <a:lnTo>
                <a:pt x="180" y="15"/>
              </a:lnTo>
              <a:lnTo>
                <a:pt x="145" y="15"/>
              </a:lnTo>
              <a:lnTo>
                <a:pt x="125" y="0"/>
              </a:lnTo>
              <a:lnTo>
                <a:pt x="97" y="0"/>
              </a:lnTo>
              <a:lnTo>
                <a:pt x="68" y="15"/>
              </a:lnTo>
              <a:lnTo>
                <a:pt x="33" y="15"/>
              </a:lnTo>
              <a:lnTo>
                <a:pt x="26" y="0"/>
              </a:lnTo>
              <a:lnTo>
                <a:pt x="13" y="0"/>
              </a:lnTo>
              <a:lnTo>
                <a:pt x="5" y="7"/>
              </a:lnTo>
              <a:lnTo>
                <a:pt x="0" y="22"/>
              </a:lnTo>
              <a:lnTo>
                <a:pt x="5" y="22"/>
              </a:lnTo>
              <a:lnTo>
                <a:pt x="5" y="36"/>
              </a:lnTo>
              <a:lnTo>
                <a:pt x="21" y="15"/>
              </a:lnTo>
              <a:lnTo>
                <a:pt x="33" y="15"/>
              </a:lnTo>
              <a:lnTo>
                <a:pt x="48" y="22"/>
              </a:lnTo>
              <a:lnTo>
                <a:pt x="33" y="22"/>
              </a:lnTo>
              <a:lnTo>
                <a:pt x="33" y="36"/>
              </a:lnTo>
              <a:lnTo>
                <a:pt x="13" y="36"/>
              </a:lnTo>
              <a:lnTo>
                <a:pt x="5" y="42"/>
              </a:lnTo>
              <a:lnTo>
                <a:pt x="5" y="51"/>
              </a:lnTo>
              <a:lnTo>
                <a:pt x="13" y="42"/>
              </a:lnTo>
              <a:lnTo>
                <a:pt x="13" y="51"/>
              </a:lnTo>
              <a:lnTo>
                <a:pt x="5" y="57"/>
              </a:lnTo>
              <a:lnTo>
                <a:pt x="5" y="71"/>
              </a:lnTo>
              <a:lnTo>
                <a:pt x="13" y="79"/>
              </a:lnTo>
              <a:lnTo>
                <a:pt x="21" y="86"/>
              </a:lnTo>
              <a:lnTo>
                <a:pt x="26" y="86"/>
              </a:lnTo>
              <a:lnTo>
                <a:pt x="26" y="93"/>
              </a:lnTo>
              <a:lnTo>
                <a:pt x="48" y="99"/>
              </a:lnTo>
              <a:lnTo>
                <a:pt x="60" y="93"/>
              </a:lnTo>
              <a:lnTo>
                <a:pt x="68" y="93"/>
              </a:lnTo>
              <a:lnTo>
                <a:pt x="90" y="99"/>
              </a:lnTo>
              <a:lnTo>
                <a:pt x="97" y="99"/>
              </a:lnTo>
              <a:lnTo>
                <a:pt x="110" y="93"/>
              </a:lnTo>
              <a:lnTo>
                <a:pt x="130" y="93"/>
              </a:lnTo>
              <a:lnTo>
                <a:pt x="130" y="99"/>
              </a:lnTo>
              <a:lnTo>
                <a:pt x="139" y="99"/>
              </a:lnTo>
              <a:lnTo>
                <a:pt x="139" y="93"/>
              </a:lnTo>
              <a:lnTo>
                <a:pt x="165" y="86"/>
              </a:lnTo>
              <a:lnTo>
                <a:pt x="174" y="93"/>
              </a:lnTo>
              <a:lnTo>
                <a:pt x="196" y="86"/>
              </a:lnTo>
              <a:lnTo>
                <a:pt x="222" y="86"/>
              </a:lnTo>
              <a:lnTo>
                <a:pt x="222" y="79"/>
              </a:lnTo>
              <a:lnTo>
                <a:pt x="251" y="86"/>
              </a:lnTo>
              <a:lnTo>
                <a:pt x="237" y="42"/>
              </a:lnTo>
              <a:lnTo>
                <a:pt x="251" y="36"/>
              </a:lnTo>
              <a:close/>
            </a:path>
          </a:pathLst>
        </a:custGeom>
        <a:solidFill>
          <a:srgbClr val="F5F5F5"/>
        </a:solidFill>
        <a:ln w="9525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36576" tIns="32004" rIns="0" bIns="0" anchor="t"/>
        <a:lstStyle/>
        <a:p>
          <a:pPr algn="l" rtl="0">
            <a:defRPr sz="1000"/>
          </a:pPr>
          <a:endParaRPr lang="en-US" sz="16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en-US"/>
        </a:p>
      </xdr:txBody>
    </xdr:sp>
    <xdr:clientData/>
  </xdr:twoCellAnchor>
  <xdr:twoCellAnchor>
    <xdr:from>
      <xdr:col>13</xdr:col>
      <xdr:colOff>0</xdr:colOff>
      <xdr:row>25</xdr:row>
      <xdr:rowOff>123825</xdr:rowOff>
    </xdr:from>
    <xdr:to>
      <xdr:col>13</xdr:col>
      <xdr:colOff>95250</xdr:colOff>
      <xdr:row>26</xdr:row>
      <xdr:rowOff>19050</xdr:rowOff>
    </xdr:to>
    <xdr:sp macro="" textlink="">
      <xdr:nvSpPr>
        <xdr:cNvPr id="25843" name="S_BTN"/>
        <xdr:cNvSpPr>
          <a:spLocks/>
        </xdr:cNvSpPr>
      </xdr:nvSpPr>
      <xdr:spPr bwMode="auto">
        <a:xfrm>
          <a:off x="7972425" y="4019550"/>
          <a:ext cx="95250" cy="57150"/>
        </a:xfrm>
        <a:custGeom>
          <a:avLst/>
          <a:gdLst>
            <a:gd name="T0" fmla="*/ 170249858 w 45"/>
            <a:gd name="T1" fmla="*/ 0 h 27"/>
            <a:gd name="T2" fmla="*/ 67204160 w 45"/>
            <a:gd name="T3" fmla="*/ 0 h 27"/>
            <a:gd name="T4" fmla="*/ 0 w 45"/>
            <a:gd name="T5" fmla="*/ 76164028 h 27"/>
            <a:gd name="T6" fmla="*/ 0 w 45"/>
            <a:gd name="T7" fmla="*/ 120967499 h 27"/>
            <a:gd name="T8" fmla="*/ 201612498 w 45"/>
            <a:gd name="T9" fmla="*/ 120967499 h 27"/>
            <a:gd name="T10" fmla="*/ 170249858 w 45"/>
            <a:gd name="T11" fmla="*/ 0 h 27"/>
            <a:gd name="T12" fmla="*/ 170249858 w 45"/>
            <a:gd name="T13" fmla="*/ 0 h 27"/>
            <a:gd name="T14" fmla="*/ 170249858 w 45"/>
            <a:gd name="T15" fmla="*/ 0 h 27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60000 65536"/>
            <a:gd name="T22" fmla="*/ 0 60000 65536"/>
            <a:gd name="T23" fmla="*/ 0 60000 65536"/>
            <a:gd name="T24" fmla="*/ 0 w 45"/>
            <a:gd name="T25" fmla="*/ 0 h 27"/>
            <a:gd name="T26" fmla="*/ 45 w 45"/>
            <a:gd name="T27" fmla="*/ 27 h 27"/>
          </a:gdLst>
          <a:ahLst/>
          <a:cxnLst>
            <a:cxn ang="T16">
              <a:pos x="T0" y="T1"/>
            </a:cxn>
            <a:cxn ang="T17">
              <a:pos x="T2" y="T3"/>
            </a:cxn>
            <a:cxn ang="T18">
              <a:pos x="T4" y="T5"/>
            </a:cxn>
            <a:cxn ang="T19">
              <a:pos x="T6" y="T7"/>
            </a:cxn>
            <a:cxn ang="T20">
              <a:pos x="T8" y="T9"/>
            </a:cxn>
            <a:cxn ang="T21">
              <a:pos x="T10" y="T11"/>
            </a:cxn>
            <a:cxn ang="T22">
              <a:pos x="T12" y="T13"/>
            </a:cxn>
            <a:cxn ang="T23">
              <a:pos x="T14" y="T15"/>
            </a:cxn>
          </a:cxnLst>
          <a:rect l="T24" t="T25" r="T26" b="T27"/>
          <a:pathLst>
            <a:path w="45" h="27">
              <a:moveTo>
                <a:pt x="38" y="0"/>
              </a:moveTo>
              <a:lnTo>
                <a:pt x="15" y="0"/>
              </a:lnTo>
              <a:lnTo>
                <a:pt x="0" y="17"/>
              </a:lnTo>
              <a:lnTo>
                <a:pt x="0" y="27"/>
              </a:lnTo>
              <a:lnTo>
                <a:pt x="45" y="27"/>
              </a:lnTo>
              <a:lnTo>
                <a:pt x="38" y="0"/>
              </a:lnTo>
              <a:close/>
            </a:path>
          </a:pathLst>
        </a:custGeom>
        <a:solidFill>
          <a:srgbClr val="F5F5F5"/>
        </a:solidFill>
        <a:ln w="9525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36576" tIns="32004" rIns="0" bIns="0" anchor="t"/>
        <a:lstStyle/>
        <a:p>
          <a:pPr algn="l" rtl="0">
            <a:defRPr sz="1000"/>
          </a:pPr>
          <a:endParaRPr lang="en-US" sz="16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en-US"/>
        </a:p>
      </xdr:txBody>
    </xdr:sp>
    <xdr:clientData/>
  </xdr:twoCellAnchor>
  <xdr:twoCellAnchor>
    <xdr:from>
      <xdr:col>11</xdr:col>
      <xdr:colOff>38100</xdr:colOff>
      <xdr:row>22</xdr:row>
      <xdr:rowOff>28575</xdr:rowOff>
    </xdr:from>
    <xdr:to>
      <xdr:col>11</xdr:col>
      <xdr:colOff>238125</xdr:colOff>
      <xdr:row>22</xdr:row>
      <xdr:rowOff>104775</xdr:rowOff>
    </xdr:to>
    <xdr:sp macro="" textlink="">
      <xdr:nvSpPr>
        <xdr:cNvPr id="25844" name="S_GEO"/>
        <xdr:cNvSpPr>
          <a:spLocks/>
        </xdr:cNvSpPr>
      </xdr:nvSpPr>
      <xdr:spPr bwMode="auto">
        <a:xfrm>
          <a:off x="6581775" y="3438525"/>
          <a:ext cx="200025" cy="76200"/>
        </a:xfrm>
        <a:custGeom>
          <a:avLst/>
          <a:gdLst>
            <a:gd name="T0" fmla="*/ 135842499 w 94"/>
            <a:gd name="T1" fmla="*/ 165898281 h 35"/>
            <a:gd name="T2" fmla="*/ 135842499 w 94"/>
            <a:gd name="T3" fmla="*/ 71098940 h 35"/>
            <a:gd name="T4" fmla="*/ 0 w 94"/>
            <a:gd name="T5" fmla="*/ 0 h 35"/>
            <a:gd name="T6" fmla="*/ 199235541 w 94"/>
            <a:gd name="T7" fmla="*/ 0 h 35"/>
            <a:gd name="T8" fmla="*/ 267156774 w 94"/>
            <a:gd name="T9" fmla="*/ 37919298 h 35"/>
            <a:gd name="T10" fmla="*/ 357717066 w 94"/>
            <a:gd name="T11" fmla="*/ 37919298 h 35"/>
            <a:gd name="T12" fmla="*/ 425638299 w 94"/>
            <a:gd name="T13" fmla="*/ 137458243 h 35"/>
            <a:gd name="T14" fmla="*/ 389414635 w 94"/>
            <a:gd name="T15" fmla="*/ 137458243 h 35"/>
            <a:gd name="T16" fmla="*/ 425638299 w 94"/>
            <a:gd name="T17" fmla="*/ 165898281 h 35"/>
            <a:gd name="T18" fmla="*/ 135842499 w 94"/>
            <a:gd name="T19" fmla="*/ 165898281 h 35"/>
            <a:gd name="T20" fmla="*/ 135842499 w 94"/>
            <a:gd name="T21" fmla="*/ 165898281 h 35"/>
            <a:gd name="T22" fmla="*/ 135842499 w 94"/>
            <a:gd name="T23" fmla="*/ 165898281 h 35"/>
            <a:gd name="T24" fmla="*/ 0 60000 65536"/>
            <a:gd name="T25" fmla="*/ 0 60000 65536"/>
            <a:gd name="T26" fmla="*/ 0 60000 65536"/>
            <a:gd name="T27" fmla="*/ 0 60000 65536"/>
            <a:gd name="T28" fmla="*/ 0 60000 65536"/>
            <a:gd name="T29" fmla="*/ 0 60000 65536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w 94"/>
            <a:gd name="T37" fmla="*/ 0 h 35"/>
            <a:gd name="T38" fmla="*/ 94 w 94"/>
            <a:gd name="T39" fmla="*/ 35 h 35"/>
          </a:gdLst>
          <a:ahLst/>
          <a:cxnLst>
            <a:cxn ang="T24">
              <a:pos x="T0" y="T1"/>
            </a:cxn>
            <a:cxn ang="T25">
              <a:pos x="T2" y="T3"/>
            </a:cxn>
            <a:cxn ang="T26">
              <a:pos x="T4" y="T5"/>
            </a:cxn>
            <a:cxn ang="T27">
              <a:pos x="T6" y="T7"/>
            </a:cxn>
            <a:cxn ang="T28">
              <a:pos x="T8" y="T9"/>
            </a:cxn>
            <a:cxn ang="T29">
              <a:pos x="T10" y="T11"/>
            </a:cxn>
            <a:cxn ang="T30">
              <a:pos x="T12" y="T13"/>
            </a:cxn>
            <a:cxn ang="T31">
              <a:pos x="T14" y="T15"/>
            </a:cxn>
            <a:cxn ang="T32">
              <a:pos x="T16" y="T17"/>
            </a:cxn>
            <a:cxn ang="T33">
              <a:pos x="T18" y="T19"/>
            </a:cxn>
            <a:cxn ang="T34">
              <a:pos x="T20" y="T21"/>
            </a:cxn>
            <a:cxn ang="T35">
              <a:pos x="T22" y="T23"/>
            </a:cxn>
          </a:cxnLst>
          <a:rect l="T36" t="T37" r="T38" b="T39"/>
          <a:pathLst>
            <a:path w="94" h="35">
              <a:moveTo>
                <a:pt x="30" y="35"/>
              </a:moveTo>
              <a:lnTo>
                <a:pt x="30" y="15"/>
              </a:lnTo>
              <a:lnTo>
                <a:pt x="0" y="0"/>
              </a:lnTo>
              <a:lnTo>
                <a:pt x="44" y="0"/>
              </a:lnTo>
              <a:lnTo>
                <a:pt x="59" y="8"/>
              </a:lnTo>
              <a:lnTo>
                <a:pt x="79" y="8"/>
              </a:lnTo>
              <a:lnTo>
                <a:pt x="94" y="29"/>
              </a:lnTo>
              <a:lnTo>
                <a:pt x="86" y="29"/>
              </a:lnTo>
              <a:lnTo>
                <a:pt x="94" y="35"/>
              </a:lnTo>
              <a:lnTo>
                <a:pt x="30" y="35"/>
              </a:lnTo>
              <a:close/>
            </a:path>
          </a:pathLst>
        </a:custGeom>
        <a:solidFill>
          <a:srgbClr val="F5F5F5"/>
        </a:solidFill>
        <a:ln w="9525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36576" tIns="32004" rIns="0" bIns="0" anchor="t"/>
        <a:lstStyle/>
        <a:p>
          <a:pPr algn="l" rtl="0">
            <a:defRPr sz="1000"/>
          </a:pPr>
          <a:endParaRPr lang="en-US" sz="16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en-US"/>
        </a:p>
      </xdr:txBody>
    </xdr:sp>
    <xdr:clientData/>
  </xdr:twoCellAnchor>
  <xdr:twoCellAnchor>
    <xdr:from>
      <xdr:col>11</xdr:col>
      <xdr:colOff>161925</xdr:colOff>
      <xdr:row>22</xdr:row>
      <xdr:rowOff>114300</xdr:rowOff>
    </xdr:from>
    <xdr:to>
      <xdr:col>11</xdr:col>
      <xdr:colOff>238125</xdr:colOff>
      <xdr:row>23</xdr:row>
      <xdr:rowOff>38100</xdr:rowOff>
    </xdr:to>
    <xdr:sp macro="" textlink="">
      <xdr:nvSpPr>
        <xdr:cNvPr id="25845" name="S_ARM"/>
        <xdr:cNvSpPr>
          <a:spLocks/>
        </xdr:cNvSpPr>
      </xdr:nvSpPr>
      <xdr:spPr bwMode="auto">
        <a:xfrm>
          <a:off x="6705600" y="3524250"/>
          <a:ext cx="76200" cy="85725"/>
        </a:xfrm>
        <a:custGeom>
          <a:avLst/>
          <a:gdLst>
            <a:gd name="T0" fmla="*/ 148883080 w 39"/>
            <a:gd name="T1" fmla="*/ 170901760 h 43"/>
            <a:gd name="T2" fmla="*/ 148883080 w 39"/>
            <a:gd name="T3" fmla="*/ 147054270 h 43"/>
            <a:gd name="T4" fmla="*/ 118342492 w 39"/>
            <a:gd name="T5" fmla="*/ 111284997 h 43"/>
            <a:gd name="T6" fmla="*/ 118342492 w 39"/>
            <a:gd name="T7" fmla="*/ 51668249 h 43"/>
            <a:gd name="T8" fmla="*/ 72532633 w 39"/>
            <a:gd name="T9" fmla="*/ 0 h 43"/>
            <a:gd name="T10" fmla="*/ 0 w 39"/>
            <a:gd name="T11" fmla="*/ 0 h 43"/>
            <a:gd name="T12" fmla="*/ 19087123 w 39"/>
            <a:gd name="T13" fmla="*/ 111284997 h 43"/>
            <a:gd name="T14" fmla="*/ 72532633 w 39"/>
            <a:gd name="T15" fmla="*/ 111284997 h 43"/>
            <a:gd name="T16" fmla="*/ 118342492 w 39"/>
            <a:gd name="T17" fmla="*/ 147054270 h 43"/>
            <a:gd name="T18" fmla="*/ 118342492 w 39"/>
            <a:gd name="T19" fmla="*/ 170901760 h 43"/>
            <a:gd name="T20" fmla="*/ 148883080 w 39"/>
            <a:gd name="T21" fmla="*/ 170901760 h 43"/>
            <a:gd name="T22" fmla="*/ 148883080 w 39"/>
            <a:gd name="T23" fmla="*/ 170901760 h 43"/>
            <a:gd name="T24" fmla="*/ 0 60000 65536"/>
            <a:gd name="T25" fmla="*/ 0 60000 65536"/>
            <a:gd name="T26" fmla="*/ 0 60000 65536"/>
            <a:gd name="T27" fmla="*/ 0 60000 65536"/>
            <a:gd name="T28" fmla="*/ 0 60000 65536"/>
            <a:gd name="T29" fmla="*/ 0 60000 65536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w 39"/>
            <a:gd name="T37" fmla="*/ 0 h 43"/>
            <a:gd name="T38" fmla="*/ 39 w 39"/>
            <a:gd name="T39" fmla="*/ 43 h 43"/>
          </a:gdLst>
          <a:ahLst/>
          <a:cxnLst>
            <a:cxn ang="T24">
              <a:pos x="T0" y="T1"/>
            </a:cxn>
            <a:cxn ang="T25">
              <a:pos x="T2" y="T3"/>
            </a:cxn>
            <a:cxn ang="T26">
              <a:pos x="T4" y="T5"/>
            </a:cxn>
            <a:cxn ang="T27">
              <a:pos x="T6" y="T7"/>
            </a:cxn>
            <a:cxn ang="T28">
              <a:pos x="T8" y="T9"/>
            </a:cxn>
            <a:cxn ang="T29">
              <a:pos x="T10" y="T11"/>
            </a:cxn>
            <a:cxn ang="T30">
              <a:pos x="T12" y="T13"/>
            </a:cxn>
            <a:cxn ang="T31">
              <a:pos x="T14" y="T15"/>
            </a:cxn>
            <a:cxn ang="T32">
              <a:pos x="T16" y="T17"/>
            </a:cxn>
            <a:cxn ang="T33">
              <a:pos x="T18" y="T19"/>
            </a:cxn>
            <a:cxn ang="T34">
              <a:pos x="T20" y="T21"/>
            </a:cxn>
            <a:cxn ang="T35">
              <a:pos x="T22" y="T23"/>
            </a:cxn>
          </a:cxnLst>
          <a:rect l="T36" t="T37" r="T38" b="T39"/>
          <a:pathLst>
            <a:path w="39" h="43">
              <a:moveTo>
                <a:pt x="39" y="43"/>
              </a:moveTo>
              <a:lnTo>
                <a:pt x="39" y="37"/>
              </a:lnTo>
              <a:lnTo>
                <a:pt x="31" y="28"/>
              </a:lnTo>
              <a:lnTo>
                <a:pt x="31" y="13"/>
              </a:lnTo>
              <a:lnTo>
                <a:pt x="19" y="0"/>
              </a:lnTo>
              <a:lnTo>
                <a:pt x="0" y="0"/>
              </a:lnTo>
              <a:lnTo>
                <a:pt x="5" y="28"/>
              </a:lnTo>
              <a:lnTo>
                <a:pt x="19" y="28"/>
              </a:lnTo>
              <a:lnTo>
                <a:pt x="31" y="37"/>
              </a:lnTo>
              <a:lnTo>
                <a:pt x="31" y="43"/>
              </a:lnTo>
              <a:lnTo>
                <a:pt x="39" y="43"/>
              </a:lnTo>
              <a:close/>
            </a:path>
          </a:pathLst>
        </a:custGeom>
        <a:solidFill>
          <a:srgbClr val="F5F5F5"/>
        </a:solidFill>
        <a:ln w="9525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36576" tIns="32004" rIns="0" bIns="0" anchor="t"/>
        <a:lstStyle/>
        <a:p>
          <a:pPr algn="l" rtl="0">
            <a:defRPr sz="1000"/>
          </a:pPr>
          <a:endParaRPr lang="en-US" sz="16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en-US"/>
        </a:p>
      </xdr:txBody>
    </xdr:sp>
    <xdr:clientData/>
  </xdr:twoCellAnchor>
  <xdr:twoCellAnchor>
    <xdr:from>
      <xdr:col>11</xdr:col>
      <xdr:colOff>190500</xdr:colOff>
      <xdr:row>22</xdr:row>
      <xdr:rowOff>95250</xdr:rowOff>
    </xdr:from>
    <xdr:to>
      <xdr:col>11</xdr:col>
      <xdr:colOff>333375</xdr:colOff>
      <xdr:row>23</xdr:row>
      <xdr:rowOff>57150</xdr:rowOff>
    </xdr:to>
    <xdr:sp macro="" textlink="">
      <xdr:nvSpPr>
        <xdr:cNvPr id="25846" name="S_AZE"/>
        <xdr:cNvSpPr>
          <a:spLocks/>
        </xdr:cNvSpPr>
      </xdr:nvSpPr>
      <xdr:spPr bwMode="auto">
        <a:xfrm>
          <a:off x="6734175" y="3505200"/>
          <a:ext cx="142875" cy="123825"/>
        </a:xfrm>
        <a:custGeom>
          <a:avLst/>
          <a:gdLst>
            <a:gd name="T0" fmla="*/ 94326480 w 69"/>
            <a:gd name="T1" fmla="*/ 224637446 h 59"/>
            <a:gd name="T2" fmla="*/ 188655030 w 69"/>
            <a:gd name="T3" fmla="*/ 193805029 h 59"/>
            <a:gd name="T4" fmla="*/ 210092483 w 69"/>
            <a:gd name="T5" fmla="*/ 193805029 h 59"/>
            <a:gd name="T6" fmla="*/ 188655030 w 69"/>
            <a:gd name="T7" fmla="*/ 224637446 h 59"/>
            <a:gd name="T8" fmla="*/ 235818254 w 69"/>
            <a:gd name="T9" fmla="*/ 259875094 h 59"/>
            <a:gd name="T10" fmla="*/ 210092483 w 69"/>
            <a:gd name="T11" fmla="*/ 224637446 h 59"/>
            <a:gd name="T12" fmla="*/ 235818254 w 69"/>
            <a:gd name="T13" fmla="*/ 224637446 h 59"/>
            <a:gd name="T14" fmla="*/ 235818254 w 69"/>
            <a:gd name="T15" fmla="*/ 162972612 h 59"/>
            <a:gd name="T16" fmla="*/ 295844428 w 69"/>
            <a:gd name="T17" fmla="*/ 96902515 h 59"/>
            <a:gd name="T18" fmla="*/ 235818254 w 69"/>
            <a:gd name="T19" fmla="*/ 66070081 h 59"/>
            <a:gd name="T20" fmla="*/ 210092483 w 69"/>
            <a:gd name="T21" fmla="*/ 0 h 59"/>
            <a:gd name="T22" fmla="*/ 188655030 w 69"/>
            <a:gd name="T23" fmla="*/ 39642895 h 59"/>
            <a:gd name="T24" fmla="*/ 115766003 w 69"/>
            <a:gd name="T25" fmla="*/ 39642895 h 59"/>
            <a:gd name="T26" fmla="*/ 94326480 w 69"/>
            <a:gd name="T27" fmla="*/ 0 h 59"/>
            <a:gd name="T28" fmla="*/ 60026125 w 69"/>
            <a:gd name="T29" fmla="*/ 0 h 59"/>
            <a:gd name="T30" fmla="*/ 94326480 w 69"/>
            <a:gd name="T31" fmla="*/ 39642895 h 59"/>
            <a:gd name="T32" fmla="*/ 0 w 69"/>
            <a:gd name="T33" fmla="*/ 39642895 h 59"/>
            <a:gd name="T34" fmla="*/ 60026125 w 69"/>
            <a:gd name="T35" fmla="*/ 96902515 h 59"/>
            <a:gd name="T36" fmla="*/ 60026125 w 69"/>
            <a:gd name="T37" fmla="*/ 162972612 h 59"/>
            <a:gd name="T38" fmla="*/ 94326480 w 69"/>
            <a:gd name="T39" fmla="*/ 193805029 h 59"/>
            <a:gd name="T40" fmla="*/ 94326480 w 69"/>
            <a:gd name="T41" fmla="*/ 224637446 h 59"/>
            <a:gd name="T42" fmla="*/ 94326480 w 69"/>
            <a:gd name="T43" fmla="*/ 224637446 h 59"/>
            <a:gd name="T44" fmla="*/ 94326480 w 69"/>
            <a:gd name="T45" fmla="*/ 224637446 h 59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60000 65536"/>
            <a:gd name="T52" fmla="*/ 0 60000 65536"/>
            <a:gd name="T53" fmla="*/ 0 60000 65536"/>
            <a:gd name="T54" fmla="*/ 0 60000 65536"/>
            <a:gd name="T55" fmla="*/ 0 60000 65536"/>
            <a:gd name="T56" fmla="*/ 0 60000 65536"/>
            <a:gd name="T57" fmla="*/ 0 60000 65536"/>
            <a:gd name="T58" fmla="*/ 0 60000 65536"/>
            <a:gd name="T59" fmla="*/ 0 60000 65536"/>
            <a:gd name="T60" fmla="*/ 0 60000 65536"/>
            <a:gd name="T61" fmla="*/ 0 60000 65536"/>
            <a:gd name="T62" fmla="*/ 0 60000 65536"/>
            <a:gd name="T63" fmla="*/ 0 60000 65536"/>
            <a:gd name="T64" fmla="*/ 0 60000 65536"/>
            <a:gd name="T65" fmla="*/ 0 60000 65536"/>
            <a:gd name="T66" fmla="*/ 0 60000 65536"/>
            <a:gd name="T67" fmla="*/ 0 60000 65536"/>
            <a:gd name="T68" fmla="*/ 0 60000 65536"/>
            <a:gd name="T69" fmla="*/ 0 w 69"/>
            <a:gd name="T70" fmla="*/ 0 h 59"/>
            <a:gd name="T71" fmla="*/ 69 w 69"/>
            <a:gd name="T72" fmla="*/ 59 h 59"/>
          </a:gdLst>
          <a:ahLst/>
          <a:cxnLst>
            <a:cxn ang="T46">
              <a:pos x="T0" y="T1"/>
            </a:cxn>
            <a:cxn ang="T47">
              <a:pos x="T2" y="T3"/>
            </a:cxn>
            <a:cxn ang="T48">
              <a:pos x="T4" y="T5"/>
            </a:cxn>
            <a:cxn ang="T49">
              <a:pos x="T6" y="T7"/>
            </a:cxn>
            <a:cxn ang="T50">
              <a:pos x="T8" y="T9"/>
            </a:cxn>
            <a:cxn ang="T51">
              <a:pos x="T10" y="T11"/>
            </a:cxn>
            <a:cxn ang="T52">
              <a:pos x="T12" y="T13"/>
            </a:cxn>
            <a:cxn ang="T53">
              <a:pos x="T14" y="T15"/>
            </a:cxn>
            <a:cxn ang="T54">
              <a:pos x="T16" y="T17"/>
            </a:cxn>
            <a:cxn ang="T55">
              <a:pos x="T18" y="T19"/>
            </a:cxn>
            <a:cxn ang="T56">
              <a:pos x="T20" y="T21"/>
            </a:cxn>
            <a:cxn ang="T57">
              <a:pos x="T22" y="T23"/>
            </a:cxn>
            <a:cxn ang="T58">
              <a:pos x="T24" y="T25"/>
            </a:cxn>
            <a:cxn ang="T59">
              <a:pos x="T26" y="T27"/>
            </a:cxn>
            <a:cxn ang="T60">
              <a:pos x="T28" y="T29"/>
            </a:cxn>
            <a:cxn ang="T61">
              <a:pos x="T30" y="T31"/>
            </a:cxn>
            <a:cxn ang="T62">
              <a:pos x="T32" y="T33"/>
            </a:cxn>
            <a:cxn ang="T63">
              <a:pos x="T34" y="T35"/>
            </a:cxn>
            <a:cxn ang="T64">
              <a:pos x="T36" y="T37"/>
            </a:cxn>
            <a:cxn ang="T65">
              <a:pos x="T38" y="T39"/>
            </a:cxn>
            <a:cxn ang="T66">
              <a:pos x="T40" y="T41"/>
            </a:cxn>
            <a:cxn ang="T67">
              <a:pos x="T42" y="T43"/>
            </a:cxn>
            <a:cxn ang="T68">
              <a:pos x="T44" y="T45"/>
            </a:cxn>
          </a:cxnLst>
          <a:rect l="T69" t="T70" r="T71" b="T72"/>
          <a:pathLst>
            <a:path w="69" h="59">
              <a:moveTo>
                <a:pt x="22" y="51"/>
              </a:moveTo>
              <a:lnTo>
                <a:pt x="44" y="44"/>
              </a:lnTo>
              <a:lnTo>
                <a:pt x="49" y="44"/>
              </a:lnTo>
              <a:lnTo>
                <a:pt x="44" y="51"/>
              </a:lnTo>
              <a:lnTo>
                <a:pt x="55" y="59"/>
              </a:lnTo>
              <a:lnTo>
                <a:pt x="49" y="51"/>
              </a:lnTo>
              <a:lnTo>
                <a:pt x="55" y="51"/>
              </a:lnTo>
              <a:lnTo>
                <a:pt x="55" y="37"/>
              </a:lnTo>
              <a:lnTo>
                <a:pt x="69" y="22"/>
              </a:lnTo>
              <a:lnTo>
                <a:pt x="55" y="15"/>
              </a:lnTo>
              <a:lnTo>
                <a:pt x="49" y="0"/>
              </a:lnTo>
              <a:lnTo>
                <a:pt x="44" y="9"/>
              </a:lnTo>
              <a:lnTo>
                <a:pt x="27" y="9"/>
              </a:lnTo>
              <a:lnTo>
                <a:pt x="22" y="0"/>
              </a:lnTo>
              <a:lnTo>
                <a:pt x="14" y="0"/>
              </a:lnTo>
              <a:lnTo>
                <a:pt x="22" y="9"/>
              </a:lnTo>
              <a:lnTo>
                <a:pt x="0" y="9"/>
              </a:lnTo>
              <a:lnTo>
                <a:pt x="14" y="22"/>
              </a:lnTo>
              <a:lnTo>
                <a:pt x="14" y="37"/>
              </a:lnTo>
              <a:lnTo>
                <a:pt x="22" y="44"/>
              </a:lnTo>
              <a:lnTo>
                <a:pt x="22" y="51"/>
              </a:lnTo>
              <a:close/>
            </a:path>
          </a:pathLst>
        </a:custGeom>
        <a:solidFill>
          <a:srgbClr val="F5F5F5"/>
        </a:solidFill>
        <a:ln w="9525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36576" tIns="32004" rIns="0" bIns="0" anchor="t"/>
        <a:lstStyle/>
        <a:p>
          <a:pPr algn="l" rtl="0">
            <a:defRPr sz="1000"/>
          </a:pPr>
          <a:endParaRPr lang="en-US" sz="16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en-US"/>
        </a:p>
      </xdr:txBody>
    </xdr:sp>
    <xdr:clientData/>
  </xdr:twoCellAnchor>
  <xdr:twoCellAnchor>
    <xdr:from>
      <xdr:col>10</xdr:col>
      <xdr:colOff>647700</xdr:colOff>
      <xdr:row>23</xdr:row>
      <xdr:rowOff>104775</xdr:rowOff>
    </xdr:from>
    <xdr:to>
      <xdr:col>11</xdr:col>
      <xdr:colOff>133350</xdr:colOff>
      <xdr:row>24</xdr:row>
      <xdr:rowOff>123825</xdr:rowOff>
    </xdr:to>
    <xdr:sp macro="" textlink="">
      <xdr:nvSpPr>
        <xdr:cNvPr id="25847" name="S_SYR"/>
        <xdr:cNvSpPr>
          <a:spLocks/>
        </xdr:cNvSpPr>
      </xdr:nvSpPr>
      <xdr:spPr bwMode="auto">
        <a:xfrm>
          <a:off x="6477000" y="3676650"/>
          <a:ext cx="200025" cy="180975"/>
        </a:xfrm>
        <a:custGeom>
          <a:avLst/>
          <a:gdLst>
            <a:gd name="T0" fmla="*/ 0 w 97"/>
            <a:gd name="T1" fmla="*/ 414581637 h 79"/>
            <a:gd name="T2" fmla="*/ 25514529 w 97"/>
            <a:gd name="T3" fmla="*/ 372597744 h 79"/>
            <a:gd name="T4" fmla="*/ 55279073 w 97"/>
            <a:gd name="T5" fmla="*/ 267641376 h 79"/>
            <a:gd name="T6" fmla="*/ 25514529 w 97"/>
            <a:gd name="T7" fmla="*/ 220411501 h 79"/>
            <a:gd name="T8" fmla="*/ 25514529 w 97"/>
            <a:gd name="T9" fmla="*/ 78717258 h 79"/>
            <a:gd name="T10" fmla="*/ 55279073 w 97"/>
            <a:gd name="T11" fmla="*/ 78717258 h 79"/>
            <a:gd name="T12" fmla="*/ 55279073 w 97"/>
            <a:gd name="T13" fmla="*/ 41983911 h 79"/>
            <a:gd name="T14" fmla="*/ 182849664 w 97"/>
            <a:gd name="T15" fmla="*/ 0 h 79"/>
            <a:gd name="T16" fmla="*/ 212616262 w 97"/>
            <a:gd name="T17" fmla="*/ 41983911 h 79"/>
            <a:gd name="T18" fmla="*/ 289157828 w 97"/>
            <a:gd name="T19" fmla="*/ 0 h 79"/>
            <a:gd name="T20" fmla="*/ 412474232 w 97"/>
            <a:gd name="T21" fmla="*/ 0 h 79"/>
            <a:gd name="T22" fmla="*/ 352941037 w 97"/>
            <a:gd name="T23" fmla="*/ 41983911 h 79"/>
            <a:gd name="T24" fmla="*/ 289157828 w 97"/>
            <a:gd name="T25" fmla="*/ 220411501 h 79"/>
            <a:gd name="T26" fmla="*/ 212616262 w 97"/>
            <a:gd name="T27" fmla="*/ 335864414 h 79"/>
            <a:gd name="T28" fmla="*/ 182849664 w 97"/>
            <a:gd name="T29" fmla="*/ 335864414 h 79"/>
            <a:gd name="T30" fmla="*/ 55279073 w 97"/>
            <a:gd name="T31" fmla="*/ 414581637 h 79"/>
            <a:gd name="T32" fmla="*/ 0 w 97"/>
            <a:gd name="T33" fmla="*/ 414581637 h 79"/>
            <a:gd name="T34" fmla="*/ 0 w 97"/>
            <a:gd name="T35" fmla="*/ 414581637 h 79"/>
            <a:gd name="T36" fmla="*/ 0 w 97"/>
            <a:gd name="T37" fmla="*/ 414581637 h 79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60000 65536"/>
            <a:gd name="T52" fmla="*/ 0 60000 65536"/>
            <a:gd name="T53" fmla="*/ 0 60000 65536"/>
            <a:gd name="T54" fmla="*/ 0 60000 65536"/>
            <a:gd name="T55" fmla="*/ 0 60000 65536"/>
            <a:gd name="T56" fmla="*/ 0 60000 65536"/>
            <a:gd name="T57" fmla="*/ 0 w 97"/>
            <a:gd name="T58" fmla="*/ 0 h 79"/>
            <a:gd name="T59" fmla="*/ 97 w 97"/>
            <a:gd name="T60" fmla="*/ 79 h 79"/>
          </a:gdLst>
          <a:ahLst/>
          <a:cxnLst>
            <a:cxn ang="T38">
              <a:pos x="T0" y="T1"/>
            </a:cxn>
            <a:cxn ang="T39">
              <a:pos x="T2" y="T3"/>
            </a:cxn>
            <a:cxn ang="T40">
              <a:pos x="T4" y="T5"/>
            </a:cxn>
            <a:cxn ang="T41">
              <a:pos x="T6" y="T7"/>
            </a:cxn>
            <a:cxn ang="T42">
              <a:pos x="T8" y="T9"/>
            </a:cxn>
            <a:cxn ang="T43">
              <a:pos x="T10" y="T11"/>
            </a:cxn>
            <a:cxn ang="T44">
              <a:pos x="T12" y="T13"/>
            </a:cxn>
            <a:cxn ang="T45">
              <a:pos x="T14" y="T15"/>
            </a:cxn>
            <a:cxn ang="T46">
              <a:pos x="T16" y="T17"/>
            </a:cxn>
            <a:cxn ang="T47">
              <a:pos x="T18" y="T19"/>
            </a:cxn>
            <a:cxn ang="T48">
              <a:pos x="T20" y="T21"/>
            </a:cxn>
            <a:cxn ang="T49">
              <a:pos x="T22" y="T23"/>
            </a:cxn>
            <a:cxn ang="T50">
              <a:pos x="T24" y="T25"/>
            </a:cxn>
            <a:cxn ang="T51">
              <a:pos x="T26" y="T27"/>
            </a:cxn>
            <a:cxn ang="T52">
              <a:pos x="T28" y="T29"/>
            </a:cxn>
            <a:cxn ang="T53">
              <a:pos x="T30" y="T31"/>
            </a:cxn>
            <a:cxn ang="T54">
              <a:pos x="T32" y="T33"/>
            </a:cxn>
            <a:cxn ang="T55">
              <a:pos x="T34" y="T35"/>
            </a:cxn>
            <a:cxn ang="T56">
              <a:pos x="T36" y="T37"/>
            </a:cxn>
          </a:cxnLst>
          <a:rect l="T57" t="T58" r="T59" b="T60"/>
          <a:pathLst>
            <a:path w="97" h="79">
              <a:moveTo>
                <a:pt x="0" y="79"/>
              </a:moveTo>
              <a:lnTo>
                <a:pt x="6" y="71"/>
              </a:lnTo>
              <a:lnTo>
                <a:pt x="13" y="51"/>
              </a:lnTo>
              <a:lnTo>
                <a:pt x="6" y="42"/>
              </a:lnTo>
              <a:lnTo>
                <a:pt x="6" y="15"/>
              </a:lnTo>
              <a:lnTo>
                <a:pt x="13" y="15"/>
              </a:lnTo>
              <a:lnTo>
                <a:pt x="13" y="8"/>
              </a:lnTo>
              <a:lnTo>
                <a:pt x="43" y="0"/>
              </a:lnTo>
              <a:lnTo>
                <a:pt x="50" y="8"/>
              </a:lnTo>
              <a:lnTo>
                <a:pt x="68" y="0"/>
              </a:lnTo>
              <a:lnTo>
                <a:pt x="97" y="0"/>
              </a:lnTo>
              <a:lnTo>
                <a:pt x="83" y="8"/>
              </a:lnTo>
              <a:lnTo>
                <a:pt x="68" y="42"/>
              </a:lnTo>
              <a:lnTo>
                <a:pt x="50" y="64"/>
              </a:lnTo>
              <a:lnTo>
                <a:pt x="43" y="64"/>
              </a:lnTo>
              <a:lnTo>
                <a:pt x="13" y="79"/>
              </a:lnTo>
              <a:lnTo>
                <a:pt x="0" y="79"/>
              </a:lnTo>
              <a:close/>
            </a:path>
          </a:pathLst>
        </a:custGeom>
        <a:solidFill>
          <a:srgbClr val="F5F5F5"/>
        </a:solidFill>
        <a:ln w="9525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36576" tIns="32004" rIns="0" bIns="0" anchor="t"/>
        <a:lstStyle/>
        <a:p>
          <a:pPr algn="l" rtl="0">
            <a:defRPr sz="1000"/>
          </a:pPr>
          <a:endParaRPr lang="en-US" sz="16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en-US"/>
        </a:p>
      </xdr:txBody>
    </xdr:sp>
    <xdr:clientData/>
  </xdr:twoCellAnchor>
  <xdr:twoCellAnchor>
    <xdr:from>
      <xdr:col>10</xdr:col>
      <xdr:colOff>609600</xdr:colOff>
      <xdr:row>24</xdr:row>
      <xdr:rowOff>95250</xdr:rowOff>
    </xdr:from>
    <xdr:to>
      <xdr:col>11</xdr:col>
      <xdr:colOff>38100</xdr:colOff>
      <xdr:row>25</xdr:row>
      <xdr:rowOff>85725</xdr:rowOff>
    </xdr:to>
    <xdr:sp macro="" textlink="">
      <xdr:nvSpPr>
        <xdr:cNvPr id="25848" name="S_JOR"/>
        <xdr:cNvSpPr>
          <a:spLocks/>
        </xdr:cNvSpPr>
      </xdr:nvSpPr>
      <xdr:spPr bwMode="auto">
        <a:xfrm>
          <a:off x="6438900" y="3829050"/>
          <a:ext cx="142875" cy="152400"/>
        </a:xfrm>
        <a:custGeom>
          <a:avLst/>
          <a:gdLst>
            <a:gd name="T0" fmla="*/ 309291896 w 66"/>
            <a:gd name="T1" fmla="*/ 75838595 h 70"/>
            <a:gd name="T2" fmla="*/ 309291896 w 66"/>
            <a:gd name="T3" fmla="*/ 0 h 70"/>
            <a:gd name="T4" fmla="*/ 276489042 w 66"/>
            <a:gd name="T5" fmla="*/ 0 h 70"/>
            <a:gd name="T6" fmla="*/ 135900073 w 66"/>
            <a:gd name="T7" fmla="*/ 75838595 h 70"/>
            <a:gd name="T8" fmla="*/ 74979067 w 66"/>
            <a:gd name="T9" fmla="*/ 75838595 h 70"/>
            <a:gd name="T10" fmla="*/ 74979067 w 66"/>
            <a:gd name="T11" fmla="*/ 222778291 h 70"/>
            <a:gd name="T12" fmla="*/ 0 w 66"/>
            <a:gd name="T13" fmla="*/ 331796563 h 70"/>
            <a:gd name="T14" fmla="*/ 103097287 w 66"/>
            <a:gd name="T15" fmla="*/ 331796563 h 70"/>
            <a:gd name="T16" fmla="*/ 135900073 w 66"/>
            <a:gd name="T17" fmla="*/ 284397938 h 70"/>
            <a:gd name="T18" fmla="*/ 173391789 w 66"/>
            <a:gd name="T19" fmla="*/ 284397938 h 70"/>
            <a:gd name="T20" fmla="*/ 206194575 w 66"/>
            <a:gd name="T21" fmla="*/ 222778291 h 70"/>
            <a:gd name="T22" fmla="*/ 173391789 w 66"/>
            <a:gd name="T23" fmla="*/ 180117195 h 70"/>
            <a:gd name="T24" fmla="*/ 309291896 w 66"/>
            <a:gd name="T25" fmla="*/ 75838595 h 70"/>
            <a:gd name="T26" fmla="*/ 309291896 w 66"/>
            <a:gd name="T27" fmla="*/ 75838595 h 70"/>
            <a:gd name="T28" fmla="*/ 309291896 w 66"/>
            <a:gd name="T29" fmla="*/ 75838595 h 70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w 66"/>
            <a:gd name="T46" fmla="*/ 0 h 70"/>
            <a:gd name="T47" fmla="*/ 66 w 66"/>
            <a:gd name="T48" fmla="*/ 70 h 70"/>
          </a:gdLst>
          <a:ahLst/>
          <a:cxnLst>
            <a:cxn ang="T30">
              <a:pos x="T0" y="T1"/>
            </a:cxn>
            <a:cxn ang="T31">
              <a:pos x="T2" y="T3"/>
            </a:cxn>
            <a:cxn ang="T32">
              <a:pos x="T4" y="T5"/>
            </a:cxn>
            <a:cxn ang="T33">
              <a:pos x="T6" y="T7"/>
            </a:cxn>
            <a:cxn ang="T34">
              <a:pos x="T8" y="T9"/>
            </a:cxn>
            <a:cxn ang="T35">
              <a:pos x="T10" y="T11"/>
            </a:cxn>
            <a:cxn ang="T36">
              <a:pos x="T12" y="T13"/>
            </a:cxn>
            <a:cxn ang="T37">
              <a:pos x="T14" y="T15"/>
            </a:cxn>
            <a:cxn ang="T38">
              <a:pos x="T16" y="T17"/>
            </a:cxn>
            <a:cxn ang="T39">
              <a:pos x="T18" y="T19"/>
            </a:cxn>
            <a:cxn ang="T40">
              <a:pos x="T20" y="T21"/>
            </a:cxn>
            <a:cxn ang="T41">
              <a:pos x="T22" y="T23"/>
            </a:cxn>
            <a:cxn ang="T42">
              <a:pos x="T24" y="T25"/>
            </a:cxn>
            <a:cxn ang="T43">
              <a:pos x="T26" y="T27"/>
            </a:cxn>
            <a:cxn ang="T44">
              <a:pos x="T28" y="T29"/>
            </a:cxn>
          </a:cxnLst>
          <a:rect l="T45" t="T46" r="T47" b="T48"/>
          <a:pathLst>
            <a:path w="66" h="70">
              <a:moveTo>
                <a:pt x="66" y="16"/>
              </a:moveTo>
              <a:lnTo>
                <a:pt x="66" y="0"/>
              </a:lnTo>
              <a:lnTo>
                <a:pt x="59" y="0"/>
              </a:lnTo>
              <a:lnTo>
                <a:pt x="29" y="16"/>
              </a:lnTo>
              <a:lnTo>
                <a:pt x="16" y="16"/>
              </a:lnTo>
              <a:lnTo>
                <a:pt x="16" y="47"/>
              </a:lnTo>
              <a:lnTo>
                <a:pt x="0" y="70"/>
              </a:lnTo>
              <a:lnTo>
                <a:pt x="22" y="70"/>
              </a:lnTo>
              <a:lnTo>
                <a:pt x="29" y="60"/>
              </a:lnTo>
              <a:lnTo>
                <a:pt x="37" y="60"/>
              </a:lnTo>
              <a:lnTo>
                <a:pt x="44" y="47"/>
              </a:lnTo>
              <a:lnTo>
                <a:pt x="37" y="38"/>
              </a:lnTo>
              <a:lnTo>
                <a:pt x="66" y="16"/>
              </a:lnTo>
              <a:close/>
            </a:path>
          </a:pathLst>
        </a:custGeom>
        <a:solidFill>
          <a:srgbClr val="F5F5F5"/>
        </a:solidFill>
        <a:ln w="9525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36576" tIns="32004" rIns="0" bIns="0" anchor="t"/>
        <a:lstStyle/>
        <a:p>
          <a:pPr algn="l" rtl="0">
            <a:defRPr sz="1000"/>
          </a:pPr>
          <a:endParaRPr lang="en-US" sz="16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en-US"/>
        </a:p>
      </xdr:txBody>
    </xdr:sp>
    <xdr:clientData/>
  </xdr:twoCellAnchor>
  <xdr:twoCellAnchor>
    <xdr:from>
      <xdr:col>10</xdr:col>
      <xdr:colOff>609600</xdr:colOff>
      <xdr:row>24</xdr:row>
      <xdr:rowOff>133350</xdr:rowOff>
    </xdr:from>
    <xdr:to>
      <xdr:col>11</xdr:col>
      <xdr:colOff>514350</xdr:colOff>
      <xdr:row>28</xdr:row>
      <xdr:rowOff>95250</xdr:rowOff>
    </xdr:to>
    <xdr:sp macro="" textlink="">
      <xdr:nvSpPr>
        <xdr:cNvPr id="25849" name="S_SAU"/>
        <xdr:cNvSpPr>
          <a:spLocks/>
        </xdr:cNvSpPr>
      </xdr:nvSpPr>
      <xdr:spPr bwMode="auto">
        <a:xfrm>
          <a:off x="6438900" y="3867150"/>
          <a:ext cx="619125" cy="609600"/>
        </a:xfrm>
        <a:custGeom>
          <a:avLst/>
          <a:gdLst>
            <a:gd name="T0" fmla="*/ 1086494693 w 294"/>
            <a:gd name="T1" fmla="*/ 1026411775 h 296"/>
            <a:gd name="T2" fmla="*/ 1117537534 w 294"/>
            <a:gd name="T3" fmla="*/ 988239709 h 296"/>
            <a:gd name="T4" fmla="*/ 1188492599 w 294"/>
            <a:gd name="T5" fmla="*/ 967033464 h 296"/>
            <a:gd name="T6" fmla="*/ 1215102328 w 294"/>
            <a:gd name="T7" fmla="*/ 899170184 h 296"/>
            <a:gd name="T8" fmla="*/ 1272752529 w 294"/>
            <a:gd name="T9" fmla="*/ 839791873 h 296"/>
            <a:gd name="T10" fmla="*/ 1303795106 w 294"/>
            <a:gd name="T11" fmla="*/ 839791873 h 296"/>
            <a:gd name="T12" fmla="*/ 1303795106 w 294"/>
            <a:gd name="T13" fmla="*/ 712550282 h 296"/>
            <a:gd name="T14" fmla="*/ 1241709951 w 294"/>
            <a:gd name="T15" fmla="*/ 648929487 h 296"/>
            <a:gd name="T16" fmla="*/ 1188492599 w 294"/>
            <a:gd name="T17" fmla="*/ 648929487 h 296"/>
            <a:gd name="T18" fmla="*/ 1188492599 w 294"/>
            <a:gd name="T19" fmla="*/ 674378217 h 296"/>
            <a:gd name="T20" fmla="*/ 988932006 w 294"/>
            <a:gd name="T21" fmla="*/ 674378217 h 296"/>
            <a:gd name="T22" fmla="*/ 931281805 w 294"/>
            <a:gd name="T23" fmla="*/ 648929487 h 296"/>
            <a:gd name="T24" fmla="*/ 988932006 w 294"/>
            <a:gd name="T25" fmla="*/ 585308692 h 296"/>
            <a:gd name="T26" fmla="*/ 931281805 w 294"/>
            <a:gd name="T27" fmla="*/ 504724007 h 296"/>
            <a:gd name="T28" fmla="*/ 931281805 w 294"/>
            <a:gd name="T29" fmla="*/ 385965326 h 296"/>
            <a:gd name="T30" fmla="*/ 842589027 w 294"/>
            <a:gd name="T31" fmla="*/ 254483246 h 296"/>
            <a:gd name="T32" fmla="*/ 713983761 w 294"/>
            <a:gd name="T33" fmla="*/ 233274941 h 296"/>
            <a:gd name="T34" fmla="*/ 647463651 w 294"/>
            <a:gd name="T35" fmla="*/ 254483246 h 296"/>
            <a:gd name="T36" fmla="*/ 616421074 w 294"/>
            <a:gd name="T37" fmla="*/ 233274941 h 296"/>
            <a:gd name="T38" fmla="*/ 536595967 w 294"/>
            <a:gd name="T39" fmla="*/ 182379540 h 296"/>
            <a:gd name="T40" fmla="*/ 536595967 w 294"/>
            <a:gd name="T41" fmla="*/ 156930810 h 296"/>
            <a:gd name="T42" fmla="*/ 368078215 w 294"/>
            <a:gd name="T43" fmla="*/ 33931656 h 296"/>
            <a:gd name="T44" fmla="*/ 283820391 w 294"/>
            <a:gd name="T45" fmla="*/ 0 h 296"/>
            <a:gd name="T46" fmla="*/ 159647909 w 294"/>
            <a:gd name="T47" fmla="*/ 93309983 h 296"/>
            <a:gd name="T48" fmla="*/ 186255532 w 294"/>
            <a:gd name="T49" fmla="*/ 127241623 h 296"/>
            <a:gd name="T50" fmla="*/ 159647909 w 294"/>
            <a:gd name="T51" fmla="*/ 182379540 h 296"/>
            <a:gd name="T52" fmla="*/ 119735389 w 294"/>
            <a:gd name="T53" fmla="*/ 182379540 h 296"/>
            <a:gd name="T54" fmla="*/ 93127766 w 294"/>
            <a:gd name="T55" fmla="*/ 233274941 h 296"/>
            <a:gd name="T56" fmla="*/ 0 w 294"/>
            <a:gd name="T57" fmla="*/ 233274941 h 296"/>
            <a:gd name="T58" fmla="*/ 0 w 294"/>
            <a:gd name="T59" fmla="*/ 318102046 h 296"/>
            <a:gd name="T60" fmla="*/ 62085172 w 294"/>
            <a:gd name="T61" fmla="*/ 318102046 h 296"/>
            <a:gd name="T62" fmla="*/ 186255532 w 294"/>
            <a:gd name="T63" fmla="*/ 547136626 h 296"/>
            <a:gd name="T64" fmla="*/ 252775642 w 294"/>
            <a:gd name="T65" fmla="*/ 585308692 h 296"/>
            <a:gd name="T66" fmla="*/ 283820391 w 294"/>
            <a:gd name="T67" fmla="*/ 674378217 h 296"/>
            <a:gd name="T68" fmla="*/ 283820391 w 294"/>
            <a:gd name="T69" fmla="*/ 767688168 h 296"/>
            <a:gd name="T70" fmla="*/ 368078215 w 294"/>
            <a:gd name="T71" fmla="*/ 869481029 h 296"/>
            <a:gd name="T72" fmla="*/ 470075857 w 294"/>
            <a:gd name="T73" fmla="*/ 1060343415 h 296"/>
            <a:gd name="T74" fmla="*/ 501118435 w 294"/>
            <a:gd name="T75" fmla="*/ 1090032827 h 296"/>
            <a:gd name="T76" fmla="*/ 536595967 w 294"/>
            <a:gd name="T77" fmla="*/ 1060343415 h 296"/>
            <a:gd name="T78" fmla="*/ 647463651 w 294"/>
            <a:gd name="T79" fmla="*/ 1183342778 h 296"/>
            <a:gd name="T80" fmla="*/ 678506229 w 294"/>
            <a:gd name="T81" fmla="*/ 1255446484 h 296"/>
            <a:gd name="T82" fmla="*/ 931281805 w 294"/>
            <a:gd name="T83" fmla="*/ 1060343415 h 296"/>
            <a:gd name="T84" fmla="*/ 1086494693 w 294"/>
            <a:gd name="T85" fmla="*/ 1026411775 h 296"/>
            <a:gd name="T86" fmla="*/ 1086494693 w 294"/>
            <a:gd name="T87" fmla="*/ 1026411775 h 296"/>
            <a:gd name="T88" fmla="*/ 1086494693 w 294"/>
            <a:gd name="T89" fmla="*/ 1026411775 h 296"/>
            <a:gd name="T90" fmla="*/ 0 60000 65536"/>
            <a:gd name="T91" fmla="*/ 0 60000 65536"/>
            <a:gd name="T92" fmla="*/ 0 60000 65536"/>
            <a:gd name="T93" fmla="*/ 0 60000 65536"/>
            <a:gd name="T94" fmla="*/ 0 60000 65536"/>
            <a:gd name="T95" fmla="*/ 0 60000 65536"/>
            <a:gd name="T96" fmla="*/ 0 60000 65536"/>
            <a:gd name="T97" fmla="*/ 0 60000 65536"/>
            <a:gd name="T98" fmla="*/ 0 60000 65536"/>
            <a:gd name="T99" fmla="*/ 0 60000 65536"/>
            <a:gd name="T100" fmla="*/ 0 60000 65536"/>
            <a:gd name="T101" fmla="*/ 0 60000 65536"/>
            <a:gd name="T102" fmla="*/ 0 60000 65536"/>
            <a:gd name="T103" fmla="*/ 0 60000 65536"/>
            <a:gd name="T104" fmla="*/ 0 60000 65536"/>
            <a:gd name="T105" fmla="*/ 0 60000 65536"/>
            <a:gd name="T106" fmla="*/ 0 60000 65536"/>
            <a:gd name="T107" fmla="*/ 0 60000 65536"/>
            <a:gd name="T108" fmla="*/ 0 60000 65536"/>
            <a:gd name="T109" fmla="*/ 0 60000 65536"/>
            <a:gd name="T110" fmla="*/ 0 60000 65536"/>
            <a:gd name="T111" fmla="*/ 0 60000 65536"/>
            <a:gd name="T112" fmla="*/ 0 60000 65536"/>
            <a:gd name="T113" fmla="*/ 0 60000 65536"/>
            <a:gd name="T114" fmla="*/ 0 60000 65536"/>
            <a:gd name="T115" fmla="*/ 0 60000 65536"/>
            <a:gd name="T116" fmla="*/ 0 60000 65536"/>
            <a:gd name="T117" fmla="*/ 0 60000 65536"/>
            <a:gd name="T118" fmla="*/ 0 60000 65536"/>
            <a:gd name="T119" fmla="*/ 0 60000 65536"/>
            <a:gd name="T120" fmla="*/ 0 60000 65536"/>
            <a:gd name="T121" fmla="*/ 0 60000 65536"/>
            <a:gd name="T122" fmla="*/ 0 60000 65536"/>
            <a:gd name="T123" fmla="*/ 0 60000 65536"/>
            <a:gd name="T124" fmla="*/ 0 60000 65536"/>
            <a:gd name="T125" fmla="*/ 0 60000 65536"/>
            <a:gd name="T126" fmla="*/ 0 60000 65536"/>
            <a:gd name="T127" fmla="*/ 0 60000 65536"/>
            <a:gd name="T128" fmla="*/ 0 60000 65536"/>
            <a:gd name="T129" fmla="*/ 0 60000 65536"/>
            <a:gd name="T130" fmla="*/ 0 60000 65536"/>
            <a:gd name="T131" fmla="*/ 0 60000 65536"/>
            <a:gd name="T132" fmla="*/ 0 60000 65536"/>
            <a:gd name="T133" fmla="*/ 0 60000 65536"/>
            <a:gd name="T134" fmla="*/ 0 60000 65536"/>
            <a:gd name="T135" fmla="*/ 0 w 294"/>
            <a:gd name="T136" fmla="*/ 0 h 296"/>
            <a:gd name="T137" fmla="*/ 294 w 294"/>
            <a:gd name="T138" fmla="*/ 296 h 296"/>
          </a:gdLst>
          <a:ahLst/>
          <a:cxnLst>
            <a:cxn ang="T90">
              <a:pos x="T0" y="T1"/>
            </a:cxn>
            <a:cxn ang="T91">
              <a:pos x="T2" y="T3"/>
            </a:cxn>
            <a:cxn ang="T92">
              <a:pos x="T4" y="T5"/>
            </a:cxn>
            <a:cxn ang="T93">
              <a:pos x="T6" y="T7"/>
            </a:cxn>
            <a:cxn ang="T94">
              <a:pos x="T8" y="T9"/>
            </a:cxn>
            <a:cxn ang="T95">
              <a:pos x="T10" y="T11"/>
            </a:cxn>
            <a:cxn ang="T96">
              <a:pos x="T12" y="T13"/>
            </a:cxn>
            <a:cxn ang="T97">
              <a:pos x="T14" y="T15"/>
            </a:cxn>
            <a:cxn ang="T98">
              <a:pos x="T16" y="T17"/>
            </a:cxn>
            <a:cxn ang="T99">
              <a:pos x="T18" y="T19"/>
            </a:cxn>
            <a:cxn ang="T100">
              <a:pos x="T20" y="T21"/>
            </a:cxn>
            <a:cxn ang="T101">
              <a:pos x="T22" y="T23"/>
            </a:cxn>
            <a:cxn ang="T102">
              <a:pos x="T24" y="T25"/>
            </a:cxn>
            <a:cxn ang="T103">
              <a:pos x="T26" y="T27"/>
            </a:cxn>
            <a:cxn ang="T104">
              <a:pos x="T28" y="T29"/>
            </a:cxn>
            <a:cxn ang="T105">
              <a:pos x="T30" y="T31"/>
            </a:cxn>
            <a:cxn ang="T106">
              <a:pos x="T32" y="T33"/>
            </a:cxn>
            <a:cxn ang="T107">
              <a:pos x="T34" y="T35"/>
            </a:cxn>
            <a:cxn ang="T108">
              <a:pos x="T36" y="T37"/>
            </a:cxn>
            <a:cxn ang="T109">
              <a:pos x="T38" y="T39"/>
            </a:cxn>
            <a:cxn ang="T110">
              <a:pos x="T40" y="T41"/>
            </a:cxn>
            <a:cxn ang="T111">
              <a:pos x="T42" y="T43"/>
            </a:cxn>
            <a:cxn ang="T112">
              <a:pos x="T44" y="T45"/>
            </a:cxn>
            <a:cxn ang="T113">
              <a:pos x="T46" y="T47"/>
            </a:cxn>
            <a:cxn ang="T114">
              <a:pos x="T48" y="T49"/>
            </a:cxn>
            <a:cxn ang="T115">
              <a:pos x="T50" y="T51"/>
            </a:cxn>
            <a:cxn ang="T116">
              <a:pos x="T52" y="T53"/>
            </a:cxn>
            <a:cxn ang="T117">
              <a:pos x="T54" y="T55"/>
            </a:cxn>
            <a:cxn ang="T118">
              <a:pos x="T56" y="T57"/>
            </a:cxn>
            <a:cxn ang="T119">
              <a:pos x="T58" y="T59"/>
            </a:cxn>
            <a:cxn ang="T120">
              <a:pos x="T60" y="T61"/>
            </a:cxn>
            <a:cxn ang="T121">
              <a:pos x="T62" y="T63"/>
            </a:cxn>
            <a:cxn ang="T122">
              <a:pos x="T64" y="T65"/>
            </a:cxn>
            <a:cxn ang="T123">
              <a:pos x="T66" y="T67"/>
            </a:cxn>
            <a:cxn ang="T124">
              <a:pos x="T68" y="T69"/>
            </a:cxn>
            <a:cxn ang="T125">
              <a:pos x="T70" y="T71"/>
            </a:cxn>
            <a:cxn ang="T126">
              <a:pos x="T72" y="T73"/>
            </a:cxn>
            <a:cxn ang="T127">
              <a:pos x="T74" y="T75"/>
            </a:cxn>
            <a:cxn ang="T128">
              <a:pos x="T76" y="T77"/>
            </a:cxn>
            <a:cxn ang="T129">
              <a:pos x="T78" y="T79"/>
            </a:cxn>
            <a:cxn ang="T130">
              <a:pos x="T80" y="T81"/>
            </a:cxn>
            <a:cxn ang="T131">
              <a:pos x="T82" y="T83"/>
            </a:cxn>
            <a:cxn ang="T132">
              <a:pos x="T84" y="T85"/>
            </a:cxn>
            <a:cxn ang="T133">
              <a:pos x="T86" y="T87"/>
            </a:cxn>
            <a:cxn ang="T134">
              <a:pos x="T88" y="T89"/>
            </a:cxn>
          </a:cxnLst>
          <a:rect l="T135" t="T136" r="T137" b="T138"/>
          <a:pathLst>
            <a:path w="294" h="296">
              <a:moveTo>
                <a:pt x="245" y="242"/>
              </a:moveTo>
              <a:lnTo>
                <a:pt x="252" y="233"/>
              </a:lnTo>
              <a:lnTo>
                <a:pt x="268" y="228"/>
              </a:lnTo>
              <a:lnTo>
                <a:pt x="274" y="212"/>
              </a:lnTo>
              <a:lnTo>
                <a:pt x="287" y="198"/>
              </a:lnTo>
              <a:lnTo>
                <a:pt x="294" y="198"/>
              </a:lnTo>
              <a:lnTo>
                <a:pt x="294" y="168"/>
              </a:lnTo>
              <a:lnTo>
                <a:pt x="280" y="153"/>
              </a:lnTo>
              <a:lnTo>
                <a:pt x="268" y="153"/>
              </a:lnTo>
              <a:lnTo>
                <a:pt x="268" y="159"/>
              </a:lnTo>
              <a:lnTo>
                <a:pt x="223" y="159"/>
              </a:lnTo>
              <a:lnTo>
                <a:pt x="210" y="153"/>
              </a:lnTo>
              <a:lnTo>
                <a:pt x="223" y="138"/>
              </a:lnTo>
              <a:lnTo>
                <a:pt x="210" y="119"/>
              </a:lnTo>
              <a:lnTo>
                <a:pt x="210" y="91"/>
              </a:lnTo>
              <a:lnTo>
                <a:pt x="190" y="60"/>
              </a:lnTo>
              <a:lnTo>
                <a:pt x="161" y="55"/>
              </a:lnTo>
              <a:lnTo>
                <a:pt x="146" y="60"/>
              </a:lnTo>
              <a:lnTo>
                <a:pt x="139" y="55"/>
              </a:lnTo>
              <a:lnTo>
                <a:pt x="121" y="43"/>
              </a:lnTo>
              <a:lnTo>
                <a:pt x="121" y="37"/>
              </a:lnTo>
              <a:lnTo>
                <a:pt x="83" y="8"/>
              </a:lnTo>
              <a:lnTo>
                <a:pt x="64" y="0"/>
              </a:lnTo>
              <a:lnTo>
                <a:pt x="36" y="22"/>
              </a:lnTo>
              <a:lnTo>
                <a:pt x="42" y="30"/>
              </a:lnTo>
              <a:lnTo>
                <a:pt x="36" y="43"/>
              </a:lnTo>
              <a:lnTo>
                <a:pt x="27" y="43"/>
              </a:lnTo>
              <a:lnTo>
                <a:pt x="21" y="55"/>
              </a:lnTo>
              <a:lnTo>
                <a:pt x="0" y="55"/>
              </a:lnTo>
              <a:lnTo>
                <a:pt x="0" y="75"/>
              </a:lnTo>
              <a:lnTo>
                <a:pt x="14" y="75"/>
              </a:lnTo>
              <a:lnTo>
                <a:pt x="42" y="129"/>
              </a:lnTo>
              <a:lnTo>
                <a:pt x="57" y="138"/>
              </a:lnTo>
              <a:lnTo>
                <a:pt x="64" y="159"/>
              </a:lnTo>
              <a:lnTo>
                <a:pt x="64" y="181"/>
              </a:lnTo>
              <a:lnTo>
                <a:pt x="83" y="205"/>
              </a:lnTo>
              <a:lnTo>
                <a:pt x="106" y="250"/>
              </a:lnTo>
              <a:lnTo>
                <a:pt x="113" y="257"/>
              </a:lnTo>
              <a:lnTo>
                <a:pt x="121" y="250"/>
              </a:lnTo>
              <a:lnTo>
                <a:pt x="146" y="279"/>
              </a:lnTo>
              <a:lnTo>
                <a:pt x="153" y="296"/>
              </a:lnTo>
              <a:lnTo>
                <a:pt x="210" y="250"/>
              </a:lnTo>
              <a:lnTo>
                <a:pt x="245" y="242"/>
              </a:lnTo>
              <a:close/>
            </a:path>
          </a:pathLst>
        </a:custGeom>
        <a:solidFill>
          <a:srgbClr val="E6F5B4"/>
        </a:solidFill>
        <a:ln w="9525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36576" tIns="32004" rIns="0" bIns="0" anchor="t"/>
        <a:lstStyle/>
        <a:p>
          <a:pPr algn="l" rtl="0">
            <a:defRPr sz="1000"/>
          </a:pPr>
          <a:endParaRPr lang="en-US" sz="16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en-US"/>
        </a:p>
      </xdr:txBody>
    </xdr:sp>
    <xdr:clientData/>
  </xdr:twoCellAnchor>
  <xdr:twoCellAnchor>
    <xdr:from>
      <xdr:col>11</xdr:col>
      <xdr:colOff>333375</xdr:colOff>
      <xdr:row>26</xdr:row>
      <xdr:rowOff>38100</xdr:rowOff>
    </xdr:from>
    <xdr:to>
      <xdr:col>11</xdr:col>
      <xdr:colOff>390525</xdr:colOff>
      <xdr:row>26</xdr:row>
      <xdr:rowOff>85725</xdr:rowOff>
    </xdr:to>
    <xdr:sp macro="" textlink="">
      <xdr:nvSpPr>
        <xdr:cNvPr id="25850" name="S_QAT"/>
        <xdr:cNvSpPr>
          <a:spLocks/>
        </xdr:cNvSpPr>
      </xdr:nvSpPr>
      <xdr:spPr bwMode="auto">
        <a:xfrm>
          <a:off x="6877050" y="4095750"/>
          <a:ext cx="57150" cy="47625"/>
        </a:xfrm>
        <a:custGeom>
          <a:avLst/>
          <a:gdLst>
            <a:gd name="T0" fmla="*/ 88838541 w 25"/>
            <a:gd name="T1" fmla="*/ 90725627 h 25"/>
            <a:gd name="T2" fmla="*/ 0 w 25"/>
            <a:gd name="T3" fmla="*/ 36290254 h 25"/>
            <a:gd name="T4" fmla="*/ 88838541 w 25"/>
            <a:gd name="T5" fmla="*/ 0 h 25"/>
            <a:gd name="T6" fmla="*/ 130644896 w 25"/>
            <a:gd name="T7" fmla="*/ 0 h 25"/>
            <a:gd name="T8" fmla="*/ 88838541 w 25"/>
            <a:gd name="T9" fmla="*/ 90725627 h 25"/>
            <a:gd name="T10" fmla="*/ 88838541 w 25"/>
            <a:gd name="T11" fmla="*/ 90725627 h 25"/>
            <a:gd name="T12" fmla="*/ 88838541 w 25"/>
            <a:gd name="T13" fmla="*/ 90725627 h 25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25"/>
            <a:gd name="T22" fmla="*/ 0 h 25"/>
            <a:gd name="T23" fmla="*/ 25 w 25"/>
            <a:gd name="T24" fmla="*/ 25 h 25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25" h="25">
              <a:moveTo>
                <a:pt x="17" y="25"/>
              </a:moveTo>
              <a:lnTo>
                <a:pt x="0" y="10"/>
              </a:lnTo>
              <a:lnTo>
                <a:pt x="17" y="0"/>
              </a:lnTo>
              <a:lnTo>
                <a:pt x="25" y="0"/>
              </a:lnTo>
              <a:lnTo>
                <a:pt x="17" y="25"/>
              </a:lnTo>
              <a:close/>
            </a:path>
          </a:pathLst>
        </a:custGeom>
        <a:solidFill>
          <a:srgbClr val="F5F5F5"/>
        </a:solidFill>
        <a:ln w="9525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36576" tIns="32004" rIns="0" bIns="0" anchor="t"/>
        <a:lstStyle/>
        <a:p>
          <a:pPr algn="l" rtl="0">
            <a:defRPr sz="1000"/>
          </a:pPr>
          <a:endParaRPr lang="en-US" sz="16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en-US"/>
        </a:p>
      </xdr:txBody>
    </xdr:sp>
    <xdr:clientData/>
  </xdr:twoCellAnchor>
  <xdr:twoCellAnchor>
    <xdr:from>
      <xdr:col>11</xdr:col>
      <xdr:colOff>333375</xdr:colOff>
      <xdr:row>26</xdr:row>
      <xdr:rowOff>38100</xdr:rowOff>
    </xdr:from>
    <xdr:to>
      <xdr:col>11</xdr:col>
      <xdr:colOff>514350</xdr:colOff>
      <xdr:row>26</xdr:row>
      <xdr:rowOff>133350</xdr:rowOff>
    </xdr:to>
    <xdr:sp macro="" textlink="">
      <xdr:nvSpPr>
        <xdr:cNvPr id="25851" name="S_ARE"/>
        <xdr:cNvSpPr>
          <a:spLocks/>
        </xdr:cNvSpPr>
      </xdr:nvSpPr>
      <xdr:spPr bwMode="auto">
        <a:xfrm>
          <a:off x="6877050" y="4095750"/>
          <a:ext cx="180975" cy="95250"/>
        </a:xfrm>
        <a:custGeom>
          <a:avLst/>
          <a:gdLst>
            <a:gd name="T0" fmla="*/ 324921239 w 84"/>
            <a:gd name="T1" fmla="*/ 170249858 h 45"/>
            <a:gd name="T2" fmla="*/ 389904167 w 84"/>
            <a:gd name="T3" fmla="*/ 80645006 h 45"/>
            <a:gd name="T4" fmla="*/ 389904167 w 84"/>
            <a:gd name="T5" fmla="*/ 35841521 h 45"/>
            <a:gd name="T6" fmla="*/ 357412703 w 84"/>
            <a:gd name="T7" fmla="*/ 0 h 45"/>
            <a:gd name="T8" fmla="*/ 269219672 w 84"/>
            <a:gd name="T9" fmla="*/ 103045681 h 45"/>
            <a:gd name="T10" fmla="*/ 69625814 w 84"/>
            <a:gd name="T11" fmla="*/ 103045681 h 45"/>
            <a:gd name="T12" fmla="*/ 0 w 84"/>
            <a:gd name="T13" fmla="*/ 170249858 h 45"/>
            <a:gd name="T14" fmla="*/ 69625814 w 84"/>
            <a:gd name="T15" fmla="*/ 201612498 h 45"/>
            <a:gd name="T16" fmla="*/ 269219672 w 84"/>
            <a:gd name="T17" fmla="*/ 201612498 h 45"/>
            <a:gd name="T18" fmla="*/ 269219672 w 84"/>
            <a:gd name="T19" fmla="*/ 170249858 h 45"/>
            <a:gd name="T20" fmla="*/ 324921239 w 84"/>
            <a:gd name="T21" fmla="*/ 170249858 h 45"/>
            <a:gd name="T22" fmla="*/ 324921239 w 84"/>
            <a:gd name="T23" fmla="*/ 170249858 h 45"/>
            <a:gd name="T24" fmla="*/ 0 60000 65536"/>
            <a:gd name="T25" fmla="*/ 0 60000 65536"/>
            <a:gd name="T26" fmla="*/ 0 60000 65536"/>
            <a:gd name="T27" fmla="*/ 0 60000 65536"/>
            <a:gd name="T28" fmla="*/ 0 60000 65536"/>
            <a:gd name="T29" fmla="*/ 0 60000 65536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w 84"/>
            <a:gd name="T37" fmla="*/ 0 h 45"/>
            <a:gd name="T38" fmla="*/ 84 w 84"/>
            <a:gd name="T39" fmla="*/ 45 h 45"/>
          </a:gdLst>
          <a:ahLst/>
          <a:cxnLst>
            <a:cxn ang="T24">
              <a:pos x="T0" y="T1"/>
            </a:cxn>
            <a:cxn ang="T25">
              <a:pos x="T2" y="T3"/>
            </a:cxn>
            <a:cxn ang="T26">
              <a:pos x="T4" y="T5"/>
            </a:cxn>
            <a:cxn ang="T27">
              <a:pos x="T6" y="T7"/>
            </a:cxn>
            <a:cxn ang="T28">
              <a:pos x="T8" y="T9"/>
            </a:cxn>
            <a:cxn ang="T29">
              <a:pos x="T10" y="T11"/>
            </a:cxn>
            <a:cxn ang="T30">
              <a:pos x="T12" y="T13"/>
            </a:cxn>
            <a:cxn ang="T31">
              <a:pos x="T14" y="T15"/>
            </a:cxn>
            <a:cxn ang="T32">
              <a:pos x="T16" y="T17"/>
            </a:cxn>
            <a:cxn ang="T33">
              <a:pos x="T18" y="T19"/>
            </a:cxn>
            <a:cxn ang="T34">
              <a:pos x="T20" y="T21"/>
            </a:cxn>
            <a:cxn ang="T35">
              <a:pos x="T22" y="T23"/>
            </a:cxn>
          </a:cxnLst>
          <a:rect l="T36" t="T37" r="T38" b="T39"/>
          <a:pathLst>
            <a:path w="84" h="45">
              <a:moveTo>
                <a:pt x="70" y="38"/>
              </a:moveTo>
              <a:lnTo>
                <a:pt x="84" y="18"/>
              </a:lnTo>
              <a:lnTo>
                <a:pt x="84" y="8"/>
              </a:lnTo>
              <a:lnTo>
                <a:pt x="77" y="0"/>
              </a:lnTo>
              <a:lnTo>
                <a:pt x="58" y="23"/>
              </a:lnTo>
              <a:lnTo>
                <a:pt x="15" y="23"/>
              </a:lnTo>
              <a:lnTo>
                <a:pt x="0" y="38"/>
              </a:lnTo>
              <a:lnTo>
                <a:pt x="15" y="45"/>
              </a:lnTo>
              <a:lnTo>
                <a:pt x="58" y="45"/>
              </a:lnTo>
              <a:lnTo>
                <a:pt x="58" y="38"/>
              </a:lnTo>
              <a:lnTo>
                <a:pt x="70" y="38"/>
              </a:lnTo>
              <a:close/>
            </a:path>
          </a:pathLst>
        </a:custGeom>
        <a:solidFill>
          <a:srgbClr val="D2F5A0"/>
        </a:solidFill>
        <a:ln w="9525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36576" tIns="32004" rIns="0" bIns="0" anchor="t"/>
        <a:lstStyle/>
        <a:p>
          <a:pPr algn="l" rtl="0">
            <a:defRPr sz="1000"/>
          </a:pPr>
          <a:endParaRPr lang="en-US" sz="16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en-US"/>
        </a:p>
      </xdr:txBody>
    </xdr:sp>
    <xdr:clientData/>
  </xdr:twoCellAnchor>
  <xdr:twoCellAnchor>
    <xdr:from>
      <xdr:col>11</xdr:col>
      <xdr:colOff>419100</xdr:colOff>
      <xdr:row>26</xdr:row>
      <xdr:rowOff>76200</xdr:rowOff>
    </xdr:from>
    <xdr:to>
      <xdr:col>11</xdr:col>
      <xdr:colOff>609600</xdr:colOff>
      <xdr:row>28</xdr:row>
      <xdr:rowOff>0</xdr:rowOff>
    </xdr:to>
    <xdr:sp macro="" textlink="">
      <xdr:nvSpPr>
        <xdr:cNvPr id="25852" name="S_OMN"/>
        <xdr:cNvSpPr>
          <a:spLocks/>
        </xdr:cNvSpPr>
      </xdr:nvSpPr>
      <xdr:spPr bwMode="auto">
        <a:xfrm>
          <a:off x="6962775" y="4133850"/>
          <a:ext cx="190500" cy="247650"/>
        </a:xfrm>
        <a:custGeom>
          <a:avLst/>
          <a:gdLst>
            <a:gd name="T0" fmla="*/ 0 w 93"/>
            <a:gd name="T1" fmla="*/ 519750187 h 118"/>
            <a:gd name="T2" fmla="*/ 121680331 w 93"/>
            <a:gd name="T3" fmla="*/ 519750187 h 118"/>
            <a:gd name="T4" fmla="*/ 176226845 w 93"/>
            <a:gd name="T5" fmla="*/ 453680123 h 118"/>
            <a:gd name="T6" fmla="*/ 276929682 w 93"/>
            <a:gd name="T7" fmla="*/ 431656068 h 118"/>
            <a:gd name="T8" fmla="*/ 297907208 w 93"/>
            <a:gd name="T9" fmla="*/ 356777641 h 118"/>
            <a:gd name="T10" fmla="*/ 297907208 w 93"/>
            <a:gd name="T11" fmla="*/ 325945224 h 118"/>
            <a:gd name="T12" fmla="*/ 390217742 w 93"/>
            <a:gd name="T13" fmla="*/ 162972612 h 118"/>
            <a:gd name="T14" fmla="*/ 276929682 w 93"/>
            <a:gd name="T15" fmla="*/ 30832425 h 118"/>
            <a:gd name="T16" fmla="*/ 213990897 w 93"/>
            <a:gd name="T17" fmla="*/ 0 h 118"/>
            <a:gd name="T18" fmla="*/ 151052176 w 93"/>
            <a:gd name="T19" fmla="*/ 96902515 h 118"/>
            <a:gd name="T20" fmla="*/ 213990897 w 93"/>
            <a:gd name="T21" fmla="*/ 162972612 h 118"/>
            <a:gd name="T22" fmla="*/ 213990897 w 93"/>
            <a:gd name="T23" fmla="*/ 295112807 h 118"/>
            <a:gd name="T24" fmla="*/ 176226845 w 93"/>
            <a:gd name="T25" fmla="*/ 295112807 h 118"/>
            <a:gd name="T26" fmla="*/ 121680331 w 93"/>
            <a:gd name="T27" fmla="*/ 356777641 h 118"/>
            <a:gd name="T28" fmla="*/ 100700757 w 93"/>
            <a:gd name="T29" fmla="*/ 431656068 h 118"/>
            <a:gd name="T30" fmla="*/ 37762020 w 93"/>
            <a:gd name="T31" fmla="*/ 453680123 h 118"/>
            <a:gd name="T32" fmla="*/ 0 w 93"/>
            <a:gd name="T33" fmla="*/ 488917770 h 118"/>
            <a:gd name="T34" fmla="*/ 0 w 93"/>
            <a:gd name="T35" fmla="*/ 519750187 h 118"/>
            <a:gd name="T36" fmla="*/ 0 w 93"/>
            <a:gd name="T37" fmla="*/ 519750187 h 118"/>
            <a:gd name="T38" fmla="*/ 0 w 93"/>
            <a:gd name="T39" fmla="*/ 519750187 h 118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60000 65536"/>
            <a:gd name="T52" fmla="*/ 0 60000 65536"/>
            <a:gd name="T53" fmla="*/ 0 60000 65536"/>
            <a:gd name="T54" fmla="*/ 0 60000 65536"/>
            <a:gd name="T55" fmla="*/ 0 60000 65536"/>
            <a:gd name="T56" fmla="*/ 0 60000 65536"/>
            <a:gd name="T57" fmla="*/ 0 60000 65536"/>
            <a:gd name="T58" fmla="*/ 0 60000 65536"/>
            <a:gd name="T59" fmla="*/ 0 60000 65536"/>
            <a:gd name="T60" fmla="*/ 0 w 93"/>
            <a:gd name="T61" fmla="*/ 0 h 118"/>
            <a:gd name="T62" fmla="*/ 93 w 93"/>
            <a:gd name="T63" fmla="*/ 118 h 118"/>
          </a:gdLst>
          <a:ahLst/>
          <a:cxnLst>
            <a:cxn ang="T40">
              <a:pos x="T0" y="T1"/>
            </a:cxn>
            <a:cxn ang="T41">
              <a:pos x="T2" y="T3"/>
            </a:cxn>
            <a:cxn ang="T42">
              <a:pos x="T4" y="T5"/>
            </a:cxn>
            <a:cxn ang="T43">
              <a:pos x="T6" y="T7"/>
            </a:cxn>
            <a:cxn ang="T44">
              <a:pos x="T8" y="T9"/>
            </a:cxn>
            <a:cxn ang="T45">
              <a:pos x="T10" y="T11"/>
            </a:cxn>
            <a:cxn ang="T46">
              <a:pos x="T12" y="T13"/>
            </a:cxn>
            <a:cxn ang="T47">
              <a:pos x="T14" y="T15"/>
            </a:cxn>
            <a:cxn ang="T48">
              <a:pos x="T16" y="T17"/>
            </a:cxn>
            <a:cxn ang="T49">
              <a:pos x="T18" y="T19"/>
            </a:cxn>
            <a:cxn ang="T50">
              <a:pos x="T20" y="T21"/>
            </a:cxn>
            <a:cxn ang="T51">
              <a:pos x="T22" y="T23"/>
            </a:cxn>
            <a:cxn ang="T52">
              <a:pos x="T24" y="T25"/>
            </a:cxn>
            <a:cxn ang="T53">
              <a:pos x="T26" y="T27"/>
            </a:cxn>
            <a:cxn ang="T54">
              <a:pos x="T28" y="T29"/>
            </a:cxn>
            <a:cxn ang="T55">
              <a:pos x="T30" y="T31"/>
            </a:cxn>
            <a:cxn ang="T56">
              <a:pos x="T32" y="T33"/>
            </a:cxn>
            <a:cxn ang="T57">
              <a:pos x="T34" y="T35"/>
            </a:cxn>
            <a:cxn ang="T58">
              <a:pos x="T36" y="T37"/>
            </a:cxn>
            <a:cxn ang="T59">
              <a:pos x="T38" y="T39"/>
            </a:cxn>
          </a:cxnLst>
          <a:rect l="T60" t="T61" r="T62" b="T63"/>
          <a:pathLst>
            <a:path w="93" h="118">
              <a:moveTo>
                <a:pt x="0" y="118"/>
              </a:moveTo>
              <a:lnTo>
                <a:pt x="29" y="118"/>
              </a:lnTo>
              <a:lnTo>
                <a:pt x="42" y="103"/>
              </a:lnTo>
              <a:lnTo>
                <a:pt x="66" y="98"/>
              </a:lnTo>
              <a:lnTo>
                <a:pt x="71" y="81"/>
              </a:lnTo>
              <a:lnTo>
                <a:pt x="71" y="74"/>
              </a:lnTo>
              <a:lnTo>
                <a:pt x="93" y="37"/>
              </a:lnTo>
              <a:lnTo>
                <a:pt x="66" y="7"/>
              </a:lnTo>
              <a:lnTo>
                <a:pt x="51" y="0"/>
              </a:lnTo>
              <a:lnTo>
                <a:pt x="36" y="22"/>
              </a:lnTo>
              <a:lnTo>
                <a:pt x="51" y="37"/>
              </a:lnTo>
              <a:lnTo>
                <a:pt x="51" y="67"/>
              </a:lnTo>
              <a:lnTo>
                <a:pt x="42" y="67"/>
              </a:lnTo>
              <a:lnTo>
                <a:pt x="29" y="81"/>
              </a:lnTo>
              <a:lnTo>
                <a:pt x="24" y="98"/>
              </a:lnTo>
              <a:lnTo>
                <a:pt x="9" y="103"/>
              </a:lnTo>
              <a:lnTo>
                <a:pt x="0" y="111"/>
              </a:lnTo>
              <a:lnTo>
                <a:pt x="0" y="118"/>
              </a:lnTo>
              <a:close/>
            </a:path>
          </a:pathLst>
        </a:custGeom>
        <a:solidFill>
          <a:srgbClr val="F5F5F5"/>
        </a:solidFill>
        <a:ln w="9525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36576" tIns="32004" rIns="0" bIns="0" anchor="t"/>
        <a:lstStyle/>
        <a:p>
          <a:pPr algn="l" rtl="0">
            <a:defRPr sz="1000"/>
          </a:pPr>
          <a:endParaRPr lang="en-US" sz="16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en-US"/>
        </a:p>
      </xdr:txBody>
    </xdr:sp>
    <xdr:clientData/>
  </xdr:twoCellAnchor>
  <xdr:twoCellAnchor>
    <xdr:from>
      <xdr:col>11</xdr:col>
      <xdr:colOff>133350</xdr:colOff>
      <xdr:row>27</xdr:row>
      <xdr:rowOff>142875</xdr:rowOff>
    </xdr:from>
    <xdr:to>
      <xdr:col>11</xdr:col>
      <xdr:colOff>419100</xdr:colOff>
      <xdr:row>28</xdr:row>
      <xdr:rowOff>142875</xdr:rowOff>
    </xdr:to>
    <xdr:sp macro="" textlink="">
      <xdr:nvSpPr>
        <xdr:cNvPr id="25853" name="S_YEM"/>
        <xdr:cNvSpPr>
          <a:spLocks/>
        </xdr:cNvSpPr>
      </xdr:nvSpPr>
      <xdr:spPr bwMode="auto">
        <a:xfrm>
          <a:off x="6677025" y="4362450"/>
          <a:ext cx="285750" cy="161925"/>
        </a:xfrm>
        <a:custGeom>
          <a:avLst/>
          <a:gdLst>
            <a:gd name="T0" fmla="*/ 0 w 135"/>
            <a:gd name="T1" fmla="*/ 68091582 h 76"/>
            <a:gd name="T2" fmla="*/ 35841517 w 135"/>
            <a:gd name="T3" fmla="*/ 40854104 h 76"/>
            <a:gd name="T4" fmla="*/ 147849166 w 135"/>
            <a:gd name="T5" fmla="*/ 167958836 h 76"/>
            <a:gd name="T6" fmla="*/ 179211802 w 135"/>
            <a:gd name="T7" fmla="*/ 245128851 h 76"/>
            <a:gd name="T8" fmla="*/ 443547432 w 135"/>
            <a:gd name="T9" fmla="*/ 40854104 h 76"/>
            <a:gd name="T10" fmla="*/ 604837491 w 135"/>
            <a:gd name="T11" fmla="*/ 0 h 76"/>
            <a:gd name="T12" fmla="*/ 604837491 w 135"/>
            <a:gd name="T13" fmla="*/ 40854104 h 76"/>
            <a:gd name="T14" fmla="*/ 577955837 w 135"/>
            <a:gd name="T15" fmla="*/ 68091582 h 76"/>
            <a:gd name="T16" fmla="*/ 577955837 w 135"/>
            <a:gd name="T17" fmla="*/ 136183165 h 76"/>
            <a:gd name="T18" fmla="*/ 421146759 w 135"/>
            <a:gd name="T19" fmla="*/ 167958836 h 76"/>
            <a:gd name="T20" fmla="*/ 255375784 w 135"/>
            <a:gd name="T21" fmla="*/ 276904489 h 76"/>
            <a:gd name="T22" fmla="*/ 179211802 w 135"/>
            <a:gd name="T23" fmla="*/ 276904489 h 76"/>
            <a:gd name="T24" fmla="*/ 116486497 w 135"/>
            <a:gd name="T25" fmla="*/ 344996121 h 76"/>
            <a:gd name="T26" fmla="*/ 35841517 w 135"/>
            <a:gd name="T27" fmla="*/ 344996121 h 76"/>
            <a:gd name="T28" fmla="*/ 0 w 135"/>
            <a:gd name="T29" fmla="*/ 68091582 h 76"/>
            <a:gd name="T30" fmla="*/ 0 w 135"/>
            <a:gd name="T31" fmla="*/ 68091582 h 76"/>
            <a:gd name="T32" fmla="*/ 0 w 135"/>
            <a:gd name="T33" fmla="*/ 68091582 h 7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w 135"/>
            <a:gd name="T52" fmla="*/ 0 h 76"/>
            <a:gd name="T53" fmla="*/ 135 w 135"/>
            <a:gd name="T54" fmla="*/ 76 h 76"/>
          </a:gdLst>
          <a:ahLst/>
          <a:cxnLst>
            <a:cxn ang="T34">
              <a:pos x="T0" y="T1"/>
            </a:cxn>
            <a:cxn ang="T35">
              <a:pos x="T2" y="T3"/>
            </a:cxn>
            <a:cxn ang="T36">
              <a:pos x="T4" y="T5"/>
            </a:cxn>
            <a:cxn ang="T37">
              <a:pos x="T6" y="T7"/>
            </a:cxn>
            <a:cxn ang="T38">
              <a:pos x="T8" y="T9"/>
            </a:cxn>
            <a:cxn ang="T39">
              <a:pos x="T10" y="T11"/>
            </a:cxn>
            <a:cxn ang="T40">
              <a:pos x="T12" y="T13"/>
            </a:cxn>
            <a:cxn ang="T41">
              <a:pos x="T14" y="T15"/>
            </a:cxn>
            <a:cxn ang="T42">
              <a:pos x="T16" y="T17"/>
            </a:cxn>
            <a:cxn ang="T43">
              <a:pos x="T18" y="T19"/>
            </a:cxn>
            <a:cxn ang="T44">
              <a:pos x="T20" y="T21"/>
            </a:cxn>
            <a:cxn ang="T45">
              <a:pos x="T22" y="T23"/>
            </a:cxn>
            <a:cxn ang="T46">
              <a:pos x="T24" y="T25"/>
            </a:cxn>
            <a:cxn ang="T47">
              <a:pos x="T26" y="T27"/>
            </a:cxn>
            <a:cxn ang="T48">
              <a:pos x="T28" y="T29"/>
            </a:cxn>
            <a:cxn ang="T49">
              <a:pos x="T30" y="T31"/>
            </a:cxn>
            <a:cxn ang="T50">
              <a:pos x="T32" y="T33"/>
            </a:cxn>
          </a:cxnLst>
          <a:rect l="T51" t="T52" r="T53" b="T54"/>
          <a:pathLst>
            <a:path w="135" h="76">
              <a:moveTo>
                <a:pt x="0" y="15"/>
              </a:moveTo>
              <a:lnTo>
                <a:pt x="8" y="9"/>
              </a:lnTo>
              <a:lnTo>
                <a:pt x="33" y="37"/>
              </a:lnTo>
              <a:lnTo>
                <a:pt x="40" y="54"/>
              </a:lnTo>
              <a:lnTo>
                <a:pt x="99" y="9"/>
              </a:lnTo>
              <a:lnTo>
                <a:pt x="135" y="0"/>
              </a:lnTo>
              <a:lnTo>
                <a:pt x="135" y="9"/>
              </a:lnTo>
              <a:lnTo>
                <a:pt x="129" y="15"/>
              </a:lnTo>
              <a:lnTo>
                <a:pt x="129" y="30"/>
              </a:lnTo>
              <a:lnTo>
                <a:pt x="94" y="37"/>
              </a:lnTo>
              <a:lnTo>
                <a:pt x="57" y="61"/>
              </a:lnTo>
              <a:lnTo>
                <a:pt x="40" y="61"/>
              </a:lnTo>
              <a:lnTo>
                <a:pt x="26" y="76"/>
              </a:lnTo>
              <a:lnTo>
                <a:pt x="8" y="76"/>
              </a:lnTo>
              <a:lnTo>
                <a:pt x="0" y="15"/>
              </a:lnTo>
              <a:close/>
            </a:path>
          </a:pathLst>
        </a:custGeom>
        <a:solidFill>
          <a:srgbClr val="F5F5F5"/>
        </a:solidFill>
        <a:ln w="9525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36576" tIns="32004" rIns="0" bIns="0" anchor="t"/>
        <a:lstStyle/>
        <a:p>
          <a:pPr algn="l" rtl="0">
            <a:defRPr sz="1000"/>
          </a:pPr>
          <a:endParaRPr lang="en-US" sz="16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en-US"/>
        </a:p>
      </xdr:txBody>
    </xdr:sp>
    <xdr:clientData/>
  </xdr:twoCellAnchor>
  <xdr:twoCellAnchor>
    <xdr:from>
      <xdr:col>12</xdr:col>
      <xdr:colOff>476250</xdr:colOff>
      <xdr:row>25</xdr:row>
      <xdr:rowOff>38100</xdr:rowOff>
    </xdr:from>
    <xdr:to>
      <xdr:col>12</xdr:col>
      <xdr:colOff>685800</xdr:colOff>
      <xdr:row>26</xdr:row>
      <xdr:rowOff>19050</xdr:rowOff>
    </xdr:to>
    <xdr:sp macro="" textlink="">
      <xdr:nvSpPr>
        <xdr:cNvPr id="25854" name="S_NPL"/>
        <xdr:cNvSpPr>
          <a:spLocks/>
        </xdr:cNvSpPr>
      </xdr:nvSpPr>
      <xdr:spPr bwMode="auto">
        <a:xfrm>
          <a:off x="7734300" y="3933825"/>
          <a:ext cx="209550" cy="142875"/>
        </a:xfrm>
        <a:custGeom>
          <a:avLst/>
          <a:gdLst>
            <a:gd name="T0" fmla="*/ 35128968 w 100"/>
            <a:gd name="T1" fmla="*/ 0 h 69"/>
            <a:gd name="T2" fmla="*/ 0 w 100"/>
            <a:gd name="T3" fmla="*/ 102903117 h 69"/>
            <a:gd name="T4" fmla="*/ 65865752 w 100"/>
            <a:gd name="T5" fmla="*/ 158640940 h 69"/>
            <a:gd name="T6" fmla="*/ 412765309 w 100"/>
            <a:gd name="T7" fmla="*/ 295844428 h 69"/>
            <a:gd name="T8" fmla="*/ 439112022 w 100"/>
            <a:gd name="T9" fmla="*/ 295844428 h 69"/>
            <a:gd name="T10" fmla="*/ 439112022 w 100"/>
            <a:gd name="T11" fmla="*/ 158640940 h 69"/>
            <a:gd name="T12" fmla="*/ 316160692 w 100"/>
            <a:gd name="T13" fmla="*/ 158640940 h 69"/>
            <a:gd name="T14" fmla="*/ 228338249 w 100"/>
            <a:gd name="T15" fmla="*/ 81463594 h 69"/>
            <a:gd name="T16" fmla="*/ 184427060 w 100"/>
            <a:gd name="T17" fmla="*/ 81463594 h 69"/>
            <a:gd name="T18" fmla="*/ 96604649 w 100"/>
            <a:gd name="T19" fmla="*/ 0 h 69"/>
            <a:gd name="T20" fmla="*/ 35128968 w 100"/>
            <a:gd name="T21" fmla="*/ 0 h 69"/>
            <a:gd name="T22" fmla="*/ 35128968 w 100"/>
            <a:gd name="T23" fmla="*/ 0 h 69"/>
            <a:gd name="T24" fmla="*/ 35128968 w 100"/>
            <a:gd name="T25" fmla="*/ 0 h 69"/>
            <a:gd name="T26" fmla="*/ 0 60000 65536"/>
            <a:gd name="T27" fmla="*/ 0 60000 65536"/>
            <a:gd name="T28" fmla="*/ 0 60000 65536"/>
            <a:gd name="T29" fmla="*/ 0 60000 65536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w 100"/>
            <a:gd name="T40" fmla="*/ 0 h 69"/>
            <a:gd name="T41" fmla="*/ 100 w 100"/>
            <a:gd name="T42" fmla="*/ 69 h 69"/>
          </a:gdLst>
          <a:ahLst/>
          <a:cxnLst>
            <a:cxn ang="T26">
              <a:pos x="T0" y="T1"/>
            </a:cxn>
            <a:cxn ang="T27">
              <a:pos x="T2" y="T3"/>
            </a:cxn>
            <a:cxn ang="T28">
              <a:pos x="T4" y="T5"/>
            </a:cxn>
            <a:cxn ang="T29">
              <a:pos x="T6" y="T7"/>
            </a:cxn>
            <a:cxn ang="T30">
              <a:pos x="T8" y="T9"/>
            </a:cxn>
            <a:cxn ang="T31">
              <a:pos x="T10" y="T11"/>
            </a:cxn>
            <a:cxn ang="T32">
              <a:pos x="T12" y="T13"/>
            </a:cxn>
            <a:cxn ang="T33">
              <a:pos x="T14" y="T15"/>
            </a:cxn>
            <a:cxn ang="T34">
              <a:pos x="T16" y="T17"/>
            </a:cxn>
            <a:cxn ang="T35">
              <a:pos x="T18" y="T19"/>
            </a:cxn>
            <a:cxn ang="T36">
              <a:pos x="T20" y="T21"/>
            </a:cxn>
            <a:cxn ang="T37">
              <a:pos x="T22" y="T23"/>
            </a:cxn>
            <a:cxn ang="T38">
              <a:pos x="T24" y="T25"/>
            </a:cxn>
          </a:cxnLst>
          <a:rect l="T39" t="T40" r="T41" b="T42"/>
          <a:pathLst>
            <a:path w="100" h="69">
              <a:moveTo>
                <a:pt x="8" y="0"/>
              </a:moveTo>
              <a:lnTo>
                <a:pt x="0" y="24"/>
              </a:lnTo>
              <a:lnTo>
                <a:pt x="15" y="37"/>
              </a:lnTo>
              <a:lnTo>
                <a:pt x="94" y="69"/>
              </a:lnTo>
              <a:lnTo>
                <a:pt x="100" y="69"/>
              </a:lnTo>
              <a:lnTo>
                <a:pt x="100" y="37"/>
              </a:lnTo>
              <a:lnTo>
                <a:pt x="72" y="37"/>
              </a:lnTo>
              <a:lnTo>
                <a:pt x="52" y="19"/>
              </a:lnTo>
              <a:lnTo>
                <a:pt x="42" y="19"/>
              </a:lnTo>
              <a:lnTo>
                <a:pt x="22" y="0"/>
              </a:lnTo>
              <a:lnTo>
                <a:pt x="8" y="0"/>
              </a:lnTo>
              <a:close/>
            </a:path>
          </a:pathLst>
        </a:custGeom>
        <a:solidFill>
          <a:srgbClr val="F5F5F5"/>
        </a:solidFill>
        <a:ln w="9525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36576" tIns="32004" rIns="0" bIns="0" anchor="t"/>
        <a:lstStyle/>
        <a:p>
          <a:pPr algn="l" rtl="0">
            <a:defRPr sz="1000"/>
          </a:pPr>
          <a:endParaRPr lang="en-US" sz="16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en-US"/>
        </a:p>
      </xdr:txBody>
    </xdr:sp>
    <xdr:clientData/>
  </xdr:twoCellAnchor>
  <xdr:twoCellAnchor>
    <xdr:from>
      <xdr:col>12</xdr:col>
      <xdr:colOff>447675</xdr:colOff>
      <xdr:row>29</xdr:row>
      <xdr:rowOff>47625</xdr:rowOff>
    </xdr:from>
    <xdr:to>
      <xdr:col>12</xdr:col>
      <xdr:colOff>523875</xdr:colOff>
      <xdr:row>30</xdr:row>
      <xdr:rowOff>9525</xdr:rowOff>
    </xdr:to>
    <xdr:sp macro="" textlink="">
      <xdr:nvSpPr>
        <xdr:cNvPr id="25855" name="S_LKA"/>
        <xdr:cNvSpPr>
          <a:spLocks/>
        </xdr:cNvSpPr>
      </xdr:nvSpPr>
      <xdr:spPr bwMode="auto">
        <a:xfrm>
          <a:off x="7705725" y="4591050"/>
          <a:ext cx="76200" cy="123825"/>
        </a:xfrm>
        <a:custGeom>
          <a:avLst/>
          <a:gdLst>
            <a:gd name="T0" fmla="*/ 0 w 36"/>
            <a:gd name="T1" fmla="*/ 117979159 h 57"/>
            <a:gd name="T2" fmla="*/ 67204155 w 36"/>
            <a:gd name="T3" fmla="*/ 268993516 h 57"/>
            <a:gd name="T4" fmla="*/ 134408309 w 36"/>
            <a:gd name="T5" fmla="*/ 268993516 h 57"/>
            <a:gd name="T6" fmla="*/ 161289998 w 36"/>
            <a:gd name="T7" fmla="*/ 188767971 h 57"/>
            <a:gd name="T8" fmla="*/ 103045673 w 36"/>
            <a:gd name="T9" fmla="*/ 47192536 h 57"/>
            <a:gd name="T10" fmla="*/ 67204155 w 36"/>
            <a:gd name="T11" fmla="*/ 0 h 57"/>
            <a:gd name="T12" fmla="*/ 0 w 36"/>
            <a:gd name="T13" fmla="*/ 117979159 h 57"/>
            <a:gd name="T14" fmla="*/ 0 w 36"/>
            <a:gd name="T15" fmla="*/ 117979159 h 57"/>
            <a:gd name="T16" fmla="*/ 0 w 36"/>
            <a:gd name="T17" fmla="*/ 117979159 h 57"/>
            <a:gd name="T18" fmla="*/ 0 60000 65536"/>
            <a:gd name="T19" fmla="*/ 0 60000 65536"/>
            <a:gd name="T20" fmla="*/ 0 60000 65536"/>
            <a:gd name="T21" fmla="*/ 0 60000 65536"/>
            <a:gd name="T22" fmla="*/ 0 60000 65536"/>
            <a:gd name="T23" fmla="*/ 0 60000 65536"/>
            <a:gd name="T24" fmla="*/ 0 60000 65536"/>
            <a:gd name="T25" fmla="*/ 0 60000 65536"/>
            <a:gd name="T26" fmla="*/ 0 60000 65536"/>
            <a:gd name="T27" fmla="*/ 0 w 36"/>
            <a:gd name="T28" fmla="*/ 0 h 57"/>
            <a:gd name="T29" fmla="*/ 36 w 36"/>
            <a:gd name="T30" fmla="*/ 57 h 57"/>
          </a:gdLst>
          <a:ahLst/>
          <a:cxnLst>
            <a:cxn ang="T18">
              <a:pos x="T0" y="T1"/>
            </a:cxn>
            <a:cxn ang="T19">
              <a:pos x="T2" y="T3"/>
            </a:cxn>
            <a:cxn ang="T20">
              <a:pos x="T4" y="T5"/>
            </a:cxn>
            <a:cxn ang="T21">
              <a:pos x="T6" y="T7"/>
            </a:cxn>
            <a:cxn ang="T22">
              <a:pos x="T8" y="T9"/>
            </a:cxn>
            <a:cxn ang="T23">
              <a:pos x="T10" y="T11"/>
            </a:cxn>
            <a:cxn ang="T24">
              <a:pos x="T12" y="T13"/>
            </a:cxn>
            <a:cxn ang="T25">
              <a:pos x="T14" y="T15"/>
            </a:cxn>
            <a:cxn ang="T26">
              <a:pos x="T16" y="T17"/>
            </a:cxn>
          </a:cxnLst>
          <a:rect l="T27" t="T28" r="T29" b="T30"/>
          <a:pathLst>
            <a:path w="36" h="57">
              <a:moveTo>
                <a:pt x="0" y="25"/>
              </a:moveTo>
              <a:lnTo>
                <a:pt x="15" y="57"/>
              </a:lnTo>
              <a:lnTo>
                <a:pt x="30" y="57"/>
              </a:lnTo>
              <a:lnTo>
                <a:pt x="36" y="40"/>
              </a:lnTo>
              <a:lnTo>
                <a:pt x="23" y="10"/>
              </a:lnTo>
              <a:lnTo>
                <a:pt x="15" y="0"/>
              </a:lnTo>
              <a:lnTo>
                <a:pt x="0" y="25"/>
              </a:lnTo>
              <a:close/>
            </a:path>
          </a:pathLst>
        </a:custGeom>
        <a:solidFill>
          <a:srgbClr val="F5F5F5"/>
        </a:solidFill>
        <a:ln w="9525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36576" tIns="32004" rIns="0" bIns="0" anchor="t"/>
        <a:lstStyle/>
        <a:p>
          <a:pPr algn="l" rtl="0">
            <a:defRPr sz="1000"/>
          </a:pPr>
          <a:endParaRPr lang="en-US" sz="16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en-US"/>
        </a:p>
      </xdr:txBody>
    </xdr:sp>
    <xdr:clientData/>
  </xdr:twoCellAnchor>
  <xdr:twoCellAnchor>
    <xdr:from>
      <xdr:col>11</xdr:col>
      <xdr:colOff>657225</xdr:colOff>
      <xdr:row>23</xdr:row>
      <xdr:rowOff>123825</xdr:rowOff>
    </xdr:from>
    <xdr:to>
      <xdr:col>12</xdr:col>
      <xdr:colOff>390525</xdr:colOff>
      <xdr:row>26</xdr:row>
      <xdr:rowOff>114300</xdr:rowOff>
    </xdr:to>
    <xdr:sp macro="" textlink="">
      <xdr:nvSpPr>
        <xdr:cNvPr id="25856" name="S_PAK"/>
        <xdr:cNvSpPr>
          <a:spLocks/>
        </xdr:cNvSpPr>
      </xdr:nvSpPr>
      <xdr:spPr bwMode="auto">
        <a:xfrm>
          <a:off x="7200900" y="3695700"/>
          <a:ext cx="447675" cy="476250"/>
        </a:xfrm>
        <a:custGeom>
          <a:avLst/>
          <a:gdLst>
            <a:gd name="T0" fmla="*/ 927837523 w 216"/>
            <a:gd name="T1" fmla="*/ 85751928 h 230"/>
            <a:gd name="T2" fmla="*/ 906359492 w 216"/>
            <a:gd name="T3" fmla="*/ 64314456 h 230"/>
            <a:gd name="T4" fmla="*/ 906359492 w 216"/>
            <a:gd name="T5" fmla="*/ 85751928 h 230"/>
            <a:gd name="T6" fmla="*/ 927837523 w 216"/>
            <a:gd name="T7" fmla="*/ 85751928 h 230"/>
            <a:gd name="T8" fmla="*/ 777493378 w 216"/>
            <a:gd name="T9" fmla="*/ 0 h 230"/>
            <a:gd name="T10" fmla="*/ 743130186 w 216"/>
            <a:gd name="T11" fmla="*/ 0 h 230"/>
            <a:gd name="T12" fmla="*/ 777493378 w 216"/>
            <a:gd name="T13" fmla="*/ 0 h 230"/>
            <a:gd name="T14" fmla="*/ 743130186 w 216"/>
            <a:gd name="T15" fmla="*/ 0 h 230"/>
            <a:gd name="T16" fmla="*/ 584193171 w 216"/>
            <a:gd name="T17" fmla="*/ 64314456 h 230"/>
            <a:gd name="T18" fmla="*/ 584193171 w 216"/>
            <a:gd name="T19" fmla="*/ 150066400 h 230"/>
            <a:gd name="T20" fmla="*/ 554126414 w 216"/>
            <a:gd name="T21" fmla="*/ 218667088 h 230"/>
            <a:gd name="T22" fmla="*/ 528351818 w 216"/>
            <a:gd name="T23" fmla="*/ 218667088 h 230"/>
            <a:gd name="T24" fmla="*/ 528351818 w 216"/>
            <a:gd name="T25" fmla="*/ 282981592 h 230"/>
            <a:gd name="T26" fmla="*/ 463919798 w 216"/>
            <a:gd name="T27" fmla="*/ 308707368 h 230"/>
            <a:gd name="T28" fmla="*/ 463919798 w 216"/>
            <a:gd name="T29" fmla="*/ 390170944 h 230"/>
            <a:gd name="T30" fmla="*/ 339348046 w 216"/>
            <a:gd name="T31" fmla="*/ 441622496 h 230"/>
            <a:gd name="T32" fmla="*/ 309279217 w 216"/>
            <a:gd name="T33" fmla="*/ 475922840 h 230"/>
            <a:gd name="T34" fmla="*/ 309279217 w 216"/>
            <a:gd name="T35" fmla="*/ 540237280 h 230"/>
            <a:gd name="T36" fmla="*/ 60137674 w 216"/>
            <a:gd name="T37" fmla="*/ 578826073 h 230"/>
            <a:gd name="T38" fmla="*/ 0 w 216"/>
            <a:gd name="T39" fmla="*/ 540237280 h 230"/>
            <a:gd name="T40" fmla="*/ 94502955 w 216"/>
            <a:gd name="T41" fmla="*/ 737466976 h 230"/>
            <a:gd name="T42" fmla="*/ 38659643 w 216"/>
            <a:gd name="T43" fmla="*/ 801781416 h 230"/>
            <a:gd name="T44" fmla="*/ 38659643 w 216"/>
            <a:gd name="T45" fmla="*/ 857519216 h 230"/>
            <a:gd name="T46" fmla="*/ 339348046 w 216"/>
            <a:gd name="T47" fmla="*/ 857519216 h 230"/>
            <a:gd name="T48" fmla="*/ 369416875 w 216"/>
            <a:gd name="T49" fmla="*/ 930410295 h 230"/>
            <a:gd name="T50" fmla="*/ 403782140 w 216"/>
            <a:gd name="T51" fmla="*/ 986148095 h 230"/>
            <a:gd name="T52" fmla="*/ 433850969 w 216"/>
            <a:gd name="T53" fmla="*/ 930410295 h 230"/>
            <a:gd name="T54" fmla="*/ 554126414 w 216"/>
            <a:gd name="T55" fmla="*/ 930410295 h 230"/>
            <a:gd name="T56" fmla="*/ 554126414 w 216"/>
            <a:gd name="T57" fmla="*/ 823218872 h 230"/>
            <a:gd name="T58" fmla="*/ 528351818 w 216"/>
            <a:gd name="T59" fmla="*/ 823218872 h 230"/>
            <a:gd name="T60" fmla="*/ 528351818 w 216"/>
            <a:gd name="T61" fmla="*/ 801781416 h 230"/>
            <a:gd name="T62" fmla="*/ 463919798 w 216"/>
            <a:gd name="T63" fmla="*/ 801781416 h 230"/>
            <a:gd name="T64" fmla="*/ 463919798 w 216"/>
            <a:gd name="T65" fmla="*/ 707454952 h 230"/>
            <a:gd name="T66" fmla="*/ 528351818 w 216"/>
            <a:gd name="T67" fmla="*/ 664577968 h 230"/>
            <a:gd name="T68" fmla="*/ 554126414 w 216"/>
            <a:gd name="T69" fmla="*/ 707454952 h 230"/>
            <a:gd name="T70" fmla="*/ 807562207 w 216"/>
            <a:gd name="T71" fmla="*/ 441622496 h 230"/>
            <a:gd name="T72" fmla="*/ 777493378 w 216"/>
            <a:gd name="T73" fmla="*/ 390170944 h 230"/>
            <a:gd name="T74" fmla="*/ 807562207 w 216"/>
            <a:gd name="T75" fmla="*/ 390170944 h 230"/>
            <a:gd name="T76" fmla="*/ 807562207 w 216"/>
            <a:gd name="T77" fmla="*/ 347296032 h 230"/>
            <a:gd name="T78" fmla="*/ 743130186 w 216"/>
            <a:gd name="T79" fmla="*/ 308707368 h 230"/>
            <a:gd name="T80" fmla="*/ 777493378 w 216"/>
            <a:gd name="T81" fmla="*/ 218667088 h 230"/>
            <a:gd name="T82" fmla="*/ 743130186 w 216"/>
            <a:gd name="T83" fmla="*/ 188655064 h 230"/>
            <a:gd name="T84" fmla="*/ 777493378 w 216"/>
            <a:gd name="T85" fmla="*/ 150066400 h 230"/>
            <a:gd name="T86" fmla="*/ 777493378 w 216"/>
            <a:gd name="T87" fmla="*/ 124340592 h 230"/>
            <a:gd name="T88" fmla="*/ 743130186 w 216"/>
            <a:gd name="T89" fmla="*/ 85751928 h 230"/>
            <a:gd name="T90" fmla="*/ 708764922 w 216"/>
            <a:gd name="T91" fmla="*/ 85751928 h 230"/>
            <a:gd name="T92" fmla="*/ 708764922 w 216"/>
            <a:gd name="T93" fmla="*/ 0 h 230"/>
            <a:gd name="T94" fmla="*/ 743130186 w 216"/>
            <a:gd name="T95" fmla="*/ 0 h 230"/>
            <a:gd name="T96" fmla="*/ 927837523 w 216"/>
            <a:gd name="T97" fmla="*/ 85751928 h 230"/>
            <a:gd name="T98" fmla="*/ 927837523 w 216"/>
            <a:gd name="T99" fmla="*/ 85751928 h 230"/>
            <a:gd name="T100" fmla="*/ 927837523 w 216"/>
            <a:gd name="T101" fmla="*/ 85751928 h 230"/>
            <a:gd name="T102" fmla="*/ 0 60000 65536"/>
            <a:gd name="T103" fmla="*/ 0 60000 65536"/>
            <a:gd name="T104" fmla="*/ 0 60000 65536"/>
            <a:gd name="T105" fmla="*/ 0 60000 65536"/>
            <a:gd name="T106" fmla="*/ 0 60000 65536"/>
            <a:gd name="T107" fmla="*/ 0 60000 65536"/>
            <a:gd name="T108" fmla="*/ 0 60000 65536"/>
            <a:gd name="T109" fmla="*/ 0 60000 65536"/>
            <a:gd name="T110" fmla="*/ 0 60000 65536"/>
            <a:gd name="T111" fmla="*/ 0 60000 65536"/>
            <a:gd name="T112" fmla="*/ 0 60000 65536"/>
            <a:gd name="T113" fmla="*/ 0 60000 65536"/>
            <a:gd name="T114" fmla="*/ 0 60000 65536"/>
            <a:gd name="T115" fmla="*/ 0 60000 65536"/>
            <a:gd name="T116" fmla="*/ 0 60000 65536"/>
            <a:gd name="T117" fmla="*/ 0 60000 65536"/>
            <a:gd name="T118" fmla="*/ 0 60000 65536"/>
            <a:gd name="T119" fmla="*/ 0 60000 65536"/>
            <a:gd name="T120" fmla="*/ 0 60000 65536"/>
            <a:gd name="T121" fmla="*/ 0 60000 65536"/>
            <a:gd name="T122" fmla="*/ 0 60000 65536"/>
            <a:gd name="T123" fmla="*/ 0 60000 65536"/>
            <a:gd name="T124" fmla="*/ 0 60000 65536"/>
            <a:gd name="T125" fmla="*/ 0 60000 65536"/>
            <a:gd name="T126" fmla="*/ 0 60000 65536"/>
            <a:gd name="T127" fmla="*/ 0 60000 65536"/>
            <a:gd name="T128" fmla="*/ 0 60000 65536"/>
            <a:gd name="T129" fmla="*/ 0 60000 65536"/>
            <a:gd name="T130" fmla="*/ 0 60000 65536"/>
            <a:gd name="T131" fmla="*/ 0 60000 65536"/>
            <a:gd name="T132" fmla="*/ 0 60000 65536"/>
            <a:gd name="T133" fmla="*/ 0 60000 65536"/>
            <a:gd name="T134" fmla="*/ 0 60000 65536"/>
            <a:gd name="T135" fmla="*/ 0 60000 65536"/>
            <a:gd name="T136" fmla="*/ 0 60000 65536"/>
            <a:gd name="T137" fmla="*/ 0 60000 65536"/>
            <a:gd name="T138" fmla="*/ 0 60000 65536"/>
            <a:gd name="T139" fmla="*/ 0 60000 65536"/>
            <a:gd name="T140" fmla="*/ 0 60000 65536"/>
            <a:gd name="T141" fmla="*/ 0 60000 65536"/>
            <a:gd name="T142" fmla="*/ 0 60000 65536"/>
            <a:gd name="T143" fmla="*/ 0 60000 65536"/>
            <a:gd name="T144" fmla="*/ 0 60000 65536"/>
            <a:gd name="T145" fmla="*/ 0 60000 65536"/>
            <a:gd name="T146" fmla="*/ 0 60000 65536"/>
            <a:gd name="T147" fmla="*/ 0 60000 65536"/>
            <a:gd name="T148" fmla="*/ 0 60000 65536"/>
            <a:gd name="T149" fmla="*/ 0 60000 65536"/>
            <a:gd name="T150" fmla="*/ 0 60000 65536"/>
            <a:gd name="T151" fmla="*/ 0 60000 65536"/>
            <a:gd name="T152" fmla="*/ 0 60000 65536"/>
            <a:gd name="T153" fmla="*/ 0 w 216"/>
            <a:gd name="T154" fmla="*/ 0 h 230"/>
            <a:gd name="T155" fmla="*/ 216 w 216"/>
            <a:gd name="T156" fmla="*/ 230 h 230"/>
          </a:gdLst>
          <a:ahLst/>
          <a:cxnLst>
            <a:cxn ang="T102">
              <a:pos x="T0" y="T1"/>
            </a:cxn>
            <a:cxn ang="T103">
              <a:pos x="T2" y="T3"/>
            </a:cxn>
            <a:cxn ang="T104">
              <a:pos x="T4" y="T5"/>
            </a:cxn>
            <a:cxn ang="T105">
              <a:pos x="T6" y="T7"/>
            </a:cxn>
            <a:cxn ang="T106">
              <a:pos x="T8" y="T9"/>
            </a:cxn>
            <a:cxn ang="T107">
              <a:pos x="T10" y="T11"/>
            </a:cxn>
            <a:cxn ang="T108">
              <a:pos x="T12" y="T13"/>
            </a:cxn>
            <a:cxn ang="T109">
              <a:pos x="T14" y="T15"/>
            </a:cxn>
            <a:cxn ang="T110">
              <a:pos x="T16" y="T17"/>
            </a:cxn>
            <a:cxn ang="T111">
              <a:pos x="T18" y="T19"/>
            </a:cxn>
            <a:cxn ang="T112">
              <a:pos x="T20" y="T21"/>
            </a:cxn>
            <a:cxn ang="T113">
              <a:pos x="T22" y="T23"/>
            </a:cxn>
            <a:cxn ang="T114">
              <a:pos x="T24" y="T25"/>
            </a:cxn>
            <a:cxn ang="T115">
              <a:pos x="T26" y="T27"/>
            </a:cxn>
            <a:cxn ang="T116">
              <a:pos x="T28" y="T29"/>
            </a:cxn>
            <a:cxn ang="T117">
              <a:pos x="T30" y="T31"/>
            </a:cxn>
            <a:cxn ang="T118">
              <a:pos x="T32" y="T33"/>
            </a:cxn>
            <a:cxn ang="T119">
              <a:pos x="T34" y="T35"/>
            </a:cxn>
            <a:cxn ang="T120">
              <a:pos x="T36" y="T37"/>
            </a:cxn>
            <a:cxn ang="T121">
              <a:pos x="T38" y="T39"/>
            </a:cxn>
            <a:cxn ang="T122">
              <a:pos x="T40" y="T41"/>
            </a:cxn>
            <a:cxn ang="T123">
              <a:pos x="T42" y="T43"/>
            </a:cxn>
            <a:cxn ang="T124">
              <a:pos x="T44" y="T45"/>
            </a:cxn>
            <a:cxn ang="T125">
              <a:pos x="T46" y="T47"/>
            </a:cxn>
            <a:cxn ang="T126">
              <a:pos x="T48" y="T49"/>
            </a:cxn>
            <a:cxn ang="T127">
              <a:pos x="T50" y="T51"/>
            </a:cxn>
            <a:cxn ang="T128">
              <a:pos x="T52" y="T53"/>
            </a:cxn>
            <a:cxn ang="T129">
              <a:pos x="T54" y="T55"/>
            </a:cxn>
            <a:cxn ang="T130">
              <a:pos x="T56" y="T57"/>
            </a:cxn>
            <a:cxn ang="T131">
              <a:pos x="T58" y="T59"/>
            </a:cxn>
            <a:cxn ang="T132">
              <a:pos x="T60" y="T61"/>
            </a:cxn>
            <a:cxn ang="T133">
              <a:pos x="T62" y="T63"/>
            </a:cxn>
            <a:cxn ang="T134">
              <a:pos x="T64" y="T65"/>
            </a:cxn>
            <a:cxn ang="T135">
              <a:pos x="T66" y="T67"/>
            </a:cxn>
            <a:cxn ang="T136">
              <a:pos x="T68" y="T69"/>
            </a:cxn>
            <a:cxn ang="T137">
              <a:pos x="T70" y="T71"/>
            </a:cxn>
            <a:cxn ang="T138">
              <a:pos x="T72" y="T73"/>
            </a:cxn>
            <a:cxn ang="T139">
              <a:pos x="T74" y="T75"/>
            </a:cxn>
            <a:cxn ang="T140">
              <a:pos x="T76" y="T77"/>
            </a:cxn>
            <a:cxn ang="T141">
              <a:pos x="T78" y="T79"/>
            </a:cxn>
            <a:cxn ang="T142">
              <a:pos x="T80" y="T81"/>
            </a:cxn>
            <a:cxn ang="T143">
              <a:pos x="T82" y="T83"/>
            </a:cxn>
            <a:cxn ang="T144">
              <a:pos x="T84" y="T85"/>
            </a:cxn>
            <a:cxn ang="T145">
              <a:pos x="T86" y="T87"/>
            </a:cxn>
            <a:cxn ang="T146">
              <a:pos x="T88" y="T89"/>
            </a:cxn>
            <a:cxn ang="T147">
              <a:pos x="T90" y="T91"/>
            </a:cxn>
            <a:cxn ang="T148">
              <a:pos x="T92" y="T93"/>
            </a:cxn>
            <a:cxn ang="T149">
              <a:pos x="T94" y="T95"/>
            </a:cxn>
            <a:cxn ang="T150">
              <a:pos x="T96" y="T97"/>
            </a:cxn>
            <a:cxn ang="T151">
              <a:pos x="T98" y="T99"/>
            </a:cxn>
            <a:cxn ang="T152">
              <a:pos x="T100" y="T101"/>
            </a:cxn>
          </a:cxnLst>
          <a:rect l="T153" t="T154" r="T155" b="T156"/>
          <a:pathLst>
            <a:path w="216" h="230">
              <a:moveTo>
                <a:pt x="216" y="20"/>
              </a:moveTo>
              <a:lnTo>
                <a:pt x="211" y="15"/>
              </a:lnTo>
              <a:lnTo>
                <a:pt x="211" y="20"/>
              </a:lnTo>
              <a:lnTo>
                <a:pt x="216" y="20"/>
              </a:lnTo>
              <a:lnTo>
                <a:pt x="181" y="0"/>
              </a:lnTo>
              <a:lnTo>
                <a:pt x="173" y="0"/>
              </a:lnTo>
              <a:lnTo>
                <a:pt x="181" y="0"/>
              </a:lnTo>
              <a:lnTo>
                <a:pt x="173" y="0"/>
              </a:lnTo>
              <a:lnTo>
                <a:pt x="136" y="15"/>
              </a:lnTo>
              <a:lnTo>
                <a:pt x="136" y="35"/>
              </a:lnTo>
              <a:lnTo>
                <a:pt x="129" y="51"/>
              </a:lnTo>
              <a:lnTo>
                <a:pt x="123" y="51"/>
              </a:lnTo>
              <a:lnTo>
                <a:pt x="123" y="66"/>
              </a:lnTo>
              <a:lnTo>
                <a:pt x="108" y="72"/>
              </a:lnTo>
              <a:lnTo>
                <a:pt x="108" y="91"/>
              </a:lnTo>
              <a:lnTo>
                <a:pt x="79" y="103"/>
              </a:lnTo>
              <a:lnTo>
                <a:pt x="72" y="111"/>
              </a:lnTo>
              <a:lnTo>
                <a:pt x="72" y="126"/>
              </a:lnTo>
              <a:lnTo>
                <a:pt x="14" y="135"/>
              </a:lnTo>
              <a:lnTo>
                <a:pt x="0" y="126"/>
              </a:lnTo>
              <a:lnTo>
                <a:pt x="22" y="172"/>
              </a:lnTo>
              <a:lnTo>
                <a:pt x="9" y="187"/>
              </a:lnTo>
              <a:lnTo>
                <a:pt x="9" y="200"/>
              </a:lnTo>
              <a:lnTo>
                <a:pt x="79" y="200"/>
              </a:lnTo>
              <a:lnTo>
                <a:pt x="86" y="217"/>
              </a:lnTo>
              <a:lnTo>
                <a:pt x="94" y="230"/>
              </a:lnTo>
              <a:lnTo>
                <a:pt x="101" y="217"/>
              </a:lnTo>
              <a:lnTo>
                <a:pt x="129" y="217"/>
              </a:lnTo>
              <a:lnTo>
                <a:pt x="129" y="192"/>
              </a:lnTo>
              <a:lnTo>
                <a:pt x="123" y="192"/>
              </a:lnTo>
              <a:lnTo>
                <a:pt x="123" y="187"/>
              </a:lnTo>
              <a:lnTo>
                <a:pt x="108" y="187"/>
              </a:lnTo>
              <a:lnTo>
                <a:pt x="108" y="165"/>
              </a:lnTo>
              <a:lnTo>
                <a:pt x="123" y="155"/>
              </a:lnTo>
              <a:lnTo>
                <a:pt x="129" y="165"/>
              </a:lnTo>
              <a:lnTo>
                <a:pt x="188" y="103"/>
              </a:lnTo>
              <a:lnTo>
                <a:pt x="181" y="91"/>
              </a:lnTo>
              <a:lnTo>
                <a:pt x="188" y="91"/>
              </a:lnTo>
              <a:lnTo>
                <a:pt x="188" y="81"/>
              </a:lnTo>
              <a:lnTo>
                <a:pt x="173" y="72"/>
              </a:lnTo>
              <a:lnTo>
                <a:pt x="181" y="51"/>
              </a:lnTo>
              <a:lnTo>
                <a:pt x="173" y="44"/>
              </a:lnTo>
              <a:lnTo>
                <a:pt x="181" y="35"/>
              </a:lnTo>
              <a:lnTo>
                <a:pt x="181" y="29"/>
              </a:lnTo>
              <a:lnTo>
                <a:pt x="173" y="20"/>
              </a:lnTo>
              <a:lnTo>
                <a:pt x="165" y="20"/>
              </a:lnTo>
              <a:lnTo>
                <a:pt x="165" y="0"/>
              </a:lnTo>
              <a:lnTo>
                <a:pt x="173" y="0"/>
              </a:lnTo>
              <a:lnTo>
                <a:pt x="216" y="20"/>
              </a:lnTo>
              <a:close/>
            </a:path>
          </a:pathLst>
        </a:custGeom>
        <a:solidFill>
          <a:srgbClr val="F5F5F5"/>
        </a:solidFill>
        <a:ln w="9525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36576" tIns="32004" rIns="0" bIns="0" anchor="t"/>
        <a:lstStyle/>
        <a:p>
          <a:pPr algn="l" rtl="0">
            <a:defRPr sz="1000"/>
          </a:pPr>
          <a:endParaRPr lang="en-US" sz="16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en-US"/>
        </a:p>
      </xdr:txBody>
    </xdr:sp>
    <xdr:clientData/>
  </xdr:twoCellAnchor>
  <xdr:twoCellAnchor>
    <xdr:from>
      <xdr:col>12</xdr:col>
      <xdr:colOff>161925</xdr:colOff>
      <xdr:row>22</xdr:row>
      <xdr:rowOff>28575</xdr:rowOff>
    </xdr:from>
    <xdr:to>
      <xdr:col>12</xdr:col>
      <xdr:colOff>476250</xdr:colOff>
      <xdr:row>23</xdr:row>
      <xdr:rowOff>19050</xdr:rowOff>
    </xdr:to>
    <xdr:sp macro="" textlink="">
      <xdr:nvSpPr>
        <xdr:cNvPr id="25857" name="S_KGZ"/>
        <xdr:cNvSpPr>
          <a:spLocks/>
        </xdr:cNvSpPr>
      </xdr:nvSpPr>
      <xdr:spPr bwMode="auto">
        <a:xfrm>
          <a:off x="7419975" y="3438525"/>
          <a:ext cx="314325" cy="152400"/>
        </a:xfrm>
        <a:custGeom>
          <a:avLst/>
          <a:gdLst>
            <a:gd name="T0" fmla="*/ 663088620 w 149"/>
            <a:gd name="T1" fmla="*/ 67204155 h 72"/>
            <a:gd name="T2" fmla="*/ 663088620 w 149"/>
            <a:gd name="T3" fmla="*/ 134408309 h 72"/>
            <a:gd name="T4" fmla="*/ 534031759 w 149"/>
            <a:gd name="T5" fmla="*/ 201612481 h 72"/>
            <a:gd name="T6" fmla="*/ 467276751 w 149"/>
            <a:gd name="T7" fmla="*/ 201612481 h 72"/>
            <a:gd name="T8" fmla="*/ 440576014 w 149"/>
            <a:gd name="T9" fmla="*/ 232975117 h 72"/>
            <a:gd name="T10" fmla="*/ 351571446 w 149"/>
            <a:gd name="T11" fmla="*/ 232975117 h 72"/>
            <a:gd name="T12" fmla="*/ 284816437 w 149"/>
            <a:gd name="T13" fmla="*/ 295698340 h 72"/>
            <a:gd name="T14" fmla="*/ 284816437 w 149"/>
            <a:gd name="T15" fmla="*/ 322579996 h 72"/>
            <a:gd name="T16" fmla="*/ 0 w 149"/>
            <a:gd name="T17" fmla="*/ 322579996 h 72"/>
            <a:gd name="T18" fmla="*/ 0 w 149"/>
            <a:gd name="T19" fmla="*/ 295698340 h 72"/>
            <a:gd name="T20" fmla="*/ 97904847 w 149"/>
            <a:gd name="T21" fmla="*/ 295698340 h 72"/>
            <a:gd name="T22" fmla="*/ 97904847 w 149"/>
            <a:gd name="T23" fmla="*/ 232975117 h 72"/>
            <a:gd name="T24" fmla="*/ 146859396 w 149"/>
            <a:gd name="T25" fmla="*/ 232975117 h 72"/>
            <a:gd name="T26" fmla="*/ 253664456 w 149"/>
            <a:gd name="T27" fmla="*/ 201612481 h 72"/>
            <a:gd name="T28" fmla="*/ 146859396 w 149"/>
            <a:gd name="T29" fmla="*/ 165770979 h 72"/>
            <a:gd name="T30" fmla="*/ 66752915 w 149"/>
            <a:gd name="T31" fmla="*/ 165770979 h 72"/>
            <a:gd name="T32" fmla="*/ 133507940 w 149"/>
            <a:gd name="T33" fmla="*/ 67204155 h 72"/>
            <a:gd name="T34" fmla="*/ 97904847 w 149"/>
            <a:gd name="T35" fmla="*/ 67204155 h 72"/>
            <a:gd name="T36" fmla="*/ 133507940 w 149"/>
            <a:gd name="T37" fmla="*/ 35841518 h 72"/>
            <a:gd name="T38" fmla="*/ 253664456 w 149"/>
            <a:gd name="T39" fmla="*/ 67204155 h 72"/>
            <a:gd name="T40" fmla="*/ 253664456 w 149"/>
            <a:gd name="T41" fmla="*/ 35841518 h 72"/>
            <a:gd name="T42" fmla="*/ 284816437 w 149"/>
            <a:gd name="T43" fmla="*/ 0 h 72"/>
            <a:gd name="T44" fmla="*/ 351571446 w 149"/>
            <a:gd name="T45" fmla="*/ 35841518 h 72"/>
            <a:gd name="T46" fmla="*/ 560732629 w 149"/>
            <a:gd name="T47" fmla="*/ 35841518 h 72"/>
            <a:gd name="T48" fmla="*/ 663088620 w 149"/>
            <a:gd name="T49" fmla="*/ 67204155 h 72"/>
            <a:gd name="T50" fmla="*/ 663088620 w 149"/>
            <a:gd name="T51" fmla="*/ 67204155 h 72"/>
            <a:gd name="T52" fmla="*/ 663088620 w 149"/>
            <a:gd name="T53" fmla="*/ 67204155 h 72"/>
            <a:gd name="T54" fmla="*/ 0 60000 65536"/>
            <a:gd name="T55" fmla="*/ 0 60000 65536"/>
            <a:gd name="T56" fmla="*/ 0 60000 65536"/>
            <a:gd name="T57" fmla="*/ 0 60000 65536"/>
            <a:gd name="T58" fmla="*/ 0 60000 65536"/>
            <a:gd name="T59" fmla="*/ 0 60000 65536"/>
            <a:gd name="T60" fmla="*/ 0 60000 65536"/>
            <a:gd name="T61" fmla="*/ 0 60000 65536"/>
            <a:gd name="T62" fmla="*/ 0 60000 65536"/>
            <a:gd name="T63" fmla="*/ 0 60000 65536"/>
            <a:gd name="T64" fmla="*/ 0 60000 65536"/>
            <a:gd name="T65" fmla="*/ 0 60000 65536"/>
            <a:gd name="T66" fmla="*/ 0 60000 65536"/>
            <a:gd name="T67" fmla="*/ 0 60000 65536"/>
            <a:gd name="T68" fmla="*/ 0 60000 65536"/>
            <a:gd name="T69" fmla="*/ 0 60000 65536"/>
            <a:gd name="T70" fmla="*/ 0 60000 65536"/>
            <a:gd name="T71" fmla="*/ 0 60000 65536"/>
            <a:gd name="T72" fmla="*/ 0 60000 65536"/>
            <a:gd name="T73" fmla="*/ 0 60000 65536"/>
            <a:gd name="T74" fmla="*/ 0 60000 65536"/>
            <a:gd name="T75" fmla="*/ 0 60000 65536"/>
            <a:gd name="T76" fmla="*/ 0 60000 65536"/>
            <a:gd name="T77" fmla="*/ 0 60000 65536"/>
            <a:gd name="T78" fmla="*/ 0 60000 65536"/>
            <a:gd name="T79" fmla="*/ 0 60000 65536"/>
            <a:gd name="T80" fmla="*/ 0 60000 65536"/>
            <a:gd name="T81" fmla="*/ 0 w 149"/>
            <a:gd name="T82" fmla="*/ 0 h 72"/>
            <a:gd name="T83" fmla="*/ 149 w 149"/>
            <a:gd name="T84" fmla="*/ 72 h 72"/>
          </a:gdLst>
          <a:ahLst/>
          <a:cxnLst>
            <a:cxn ang="T54">
              <a:pos x="T0" y="T1"/>
            </a:cxn>
            <a:cxn ang="T55">
              <a:pos x="T2" y="T3"/>
            </a:cxn>
            <a:cxn ang="T56">
              <a:pos x="T4" y="T5"/>
            </a:cxn>
            <a:cxn ang="T57">
              <a:pos x="T6" y="T7"/>
            </a:cxn>
            <a:cxn ang="T58">
              <a:pos x="T8" y="T9"/>
            </a:cxn>
            <a:cxn ang="T59">
              <a:pos x="T10" y="T11"/>
            </a:cxn>
            <a:cxn ang="T60">
              <a:pos x="T12" y="T13"/>
            </a:cxn>
            <a:cxn ang="T61">
              <a:pos x="T14" y="T15"/>
            </a:cxn>
            <a:cxn ang="T62">
              <a:pos x="T16" y="T17"/>
            </a:cxn>
            <a:cxn ang="T63">
              <a:pos x="T18" y="T19"/>
            </a:cxn>
            <a:cxn ang="T64">
              <a:pos x="T20" y="T21"/>
            </a:cxn>
            <a:cxn ang="T65">
              <a:pos x="T22" y="T23"/>
            </a:cxn>
            <a:cxn ang="T66">
              <a:pos x="T24" y="T25"/>
            </a:cxn>
            <a:cxn ang="T67">
              <a:pos x="T26" y="T27"/>
            </a:cxn>
            <a:cxn ang="T68">
              <a:pos x="T28" y="T29"/>
            </a:cxn>
            <a:cxn ang="T69">
              <a:pos x="T30" y="T31"/>
            </a:cxn>
            <a:cxn ang="T70">
              <a:pos x="T32" y="T33"/>
            </a:cxn>
            <a:cxn ang="T71">
              <a:pos x="T34" y="T35"/>
            </a:cxn>
            <a:cxn ang="T72">
              <a:pos x="T36" y="T37"/>
            </a:cxn>
            <a:cxn ang="T73">
              <a:pos x="T38" y="T39"/>
            </a:cxn>
            <a:cxn ang="T74">
              <a:pos x="T40" y="T41"/>
            </a:cxn>
            <a:cxn ang="T75">
              <a:pos x="T42" y="T43"/>
            </a:cxn>
            <a:cxn ang="T76">
              <a:pos x="T44" y="T45"/>
            </a:cxn>
            <a:cxn ang="T77">
              <a:pos x="T46" y="T47"/>
            </a:cxn>
            <a:cxn ang="T78">
              <a:pos x="T48" y="T49"/>
            </a:cxn>
            <a:cxn ang="T79">
              <a:pos x="T50" y="T51"/>
            </a:cxn>
            <a:cxn ang="T80">
              <a:pos x="T52" y="T53"/>
            </a:cxn>
          </a:cxnLst>
          <a:rect l="T81" t="T82" r="T83" b="T84"/>
          <a:pathLst>
            <a:path w="149" h="72">
              <a:moveTo>
                <a:pt x="149" y="15"/>
              </a:moveTo>
              <a:lnTo>
                <a:pt x="149" y="30"/>
              </a:lnTo>
              <a:lnTo>
                <a:pt x="120" y="45"/>
              </a:lnTo>
              <a:lnTo>
                <a:pt x="105" y="45"/>
              </a:lnTo>
              <a:lnTo>
                <a:pt x="99" y="52"/>
              </a:lnTo>
              <a:lnTo>
                <a:pt x="79" y="52"/>
              </a:lnTo>
              <a:lnTo>
                <a:pt x="64" y="66"/>
              </a:lnTo>
              <a:lnTo>
                <a:pt x="64" y="72"/>
              </a:lnTo>
              <a:lnTo>
                <a:pt x="0" y="72"/>
              </a:lnTo>
              <a:lnTo>
                <a:pt x="0" y="66"/>
              </a:lnTo>
              <a:lnTo>
                <a:pt x="22" y="66"/>
              </a:lnTo>
              <a:lnTo>
                <a:pt x="22" y="52"/>
              </a:lnTo>
              <a:lnTo>
                <a:pt x="33" y="52"/>
              </a:lnTo>
              <a:lnTo>
                <a:pt x="57" y="45"/>
              </a:lnTo>
              <a:lnTo>
                <a:pt x="33" y="37"/>
              </a:lnTo>
              <a:lnTo>
                <a:pt x="15" y="37"/>
              </a:lnTo>
              <a:lnTo>
                <a:pt x="30" y="15"/>
              </a:lnTo>
              <a:lnTo>
                <a:pt x="22" y="15"/>
              </a:lnTo>
              <a:lnTo>
                <a:pt x="30" y="8"/>
              </a:lnTo>
              <a:lnTo>
                <a:pt x="57" y="15"/>
              </a:lnTo>
              <a:lnTo>
                <a:pt x="57" y="8"/>
              </a:lnTo>
              <a:lnTo>
                <a:pt x="64" y="0"/>
              </a:lnTo>
              <a:lnTo>
                <a:pt x="79" y="8"/>
              </a:lnTo>
              <a:lnTo>
                <a:pt x="126" y="8"/>
              </a:lnTo>
              <a:lnTo>
                <a:pt x="149" y="15"/>
              </a:lnTo>
              <a:close/>
            </a:path>
          </a:pathLst>
        </a:custGeom>
        <a:solidFill>
          <a:srgbClr val="F5F5F5"/>
        </a:solidFill>
        <a:ln w="9525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36576" tIns="32004" rIns="0" bIns="0" anchor="t"/>
        <a:lstStyle/>
        <a:p>
          <a:pPr algn="l" rtl="0">
            <a:defRPr sz="1000"/>
          </a:pPr>
          <a:endParaRPr lang="en-US" sz="16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en-US"/>
        </a:p>
      </xdr:txBody>
    </xdr:sp>
    <xdr:clientData/>
  </xdr:twoCellAnchor>
  <xdr:twoCellAnchor>
    <xdr:from>
      <xdr:col>9</xdr:col>
      <xdr:colOff>361950</xdr:colOff>
      <xdr:row>7</xdr:row>
      <xdr:rowOff>57150</xdr:rowOff>
    </xdr:from>
    <xdr:to>
      <xdr:col>10</xdr:col>
      <xdr:colOff>523875</xdr:colOff>
      <xdr:row>17</xdr:row>
      <xdr:rowOff>133350</xdr:rowOff>
    </xdr:to>
    <xdr:grpSp>
      <xdr:nvGrpSpPr>
        <xdr:cNvPr id="25858" name="S_NOR"/>
        <xdr:cNvGrpSpPr>
          <a:grpSpLocks/>
        </xdr:cNvGrpSpPr>
      </xdr:nvGrpSpPr>
      <xdr:grpSpPr bwMode="auto">
        <a:xfrm>
          <a:off x="6256244" y="1480297"/>
          <a:ext cx="879102" cy="1645024"/>
          <a:chOff x="587" y="121"/>
          <a:chExt cx="92" cy="178"/>
        </a:xfrm>
      </xdr:grpSpPr>
      <xdr:sp macro="" textlink="">
        <xdr:nvSpPr>
          <xdr:cNvPr id="25925" name="Freeform 27"/>
          <xdr:cNvSpPr>
            <a:spLocks/>
          </xdr:cNvSpPr>
        </xdr:nvSpPr>
        <xdr:spPr bwMode="auto">
          <a:xfrm>
            <a:off x="587" y="128"/>
            <a:ext cx="22" cy="45"/>
          </a:xfrm>
          <a:custGeom>
            <a:avLst/>
            <a:gdLst>
              <a:gd name="T0" fmla="*/ 1 w 96"/>
              <a:gd name="T1" fmla="*/ 0 h 206"/>
              <a:gd name="T2" fmla="*/ 1 w 96"/>
              <a:gd name="T3" fmla="*/ 1 h 206"/>
              <a:gd name="T4" fmla="*/ 1 w 96"/>
              <a:gd name="T5" fmla="*/ 1 h 206"/>
              <a:gd name="T6" fmla="*/ 1 w 96"/>
              <a:gd name="T7" fmla="*/ 1 h 206"/>
              <a:gd name="T8" fmla="*/ 1 w 96"/>
              <a:gd name="T9" fmla="*/ 0 h 206"/>
              <a:gd name="T10" fmla="*/ 1 w 96"/>
              <a:gd name="T11" fmla="*/ 0 h 206"/>
              <a:gd name="T12" fmla="*/ 1 w 96"/>
              <a:gd name="T13" fmla="*/ 0 h 206"/>
              <a:gd name="T14" fmla="*/ 1 w 96"/>
              <a:gd name="T15" fmla="*/ 2 h 206"/>
              <a:gd name="T16" fmla="*/ 1 w 96"/>
              <a:gd name="T17" fmla="*/ 2 h 206"/>
              <a:gd name="T18" fmla="*/ 1 w 96"/>
              <a:gd name="T19" fmla="*/ 2 h 206"/>
              <a:gd name="T20" fmla="*/ 0 w 96"/>
              <a:gd name="T21" fmla="*/ 2 h 206"/>
              <a:gd name="T22" fmla="*/ 1 w 96"/>
              <a:gd name="T23" fmla="*/ 1 h 206"/>
              <a:gd name="T24" fmla="*/ 0 w 96"/>
              <a:gd name="T25" fmla="*/ 2 h 206"/>
              <a:gd name="T26" fmla="*/ 0 w 96"/>
              <a:gd name="T27" fmla="*/ 1 h 206"/>
              <a:gd name="T28" fmla="*/ 0 w 96"/>
              <a:gd name="T29" fmla="*/ 1 h 206"/>
              <a:gd name="T30" fmla="*/ 1 w 96"/>
              <a:gd name="T31" fmla="*/ 1 h 206"/>
              <a:gd name="T32" fmla="*/ 1 w 96"/>
              <a:gd name="T33" fmla="*/ 1 h 206"/>
              <a:gd name="T34" fmla="*/ 1 w 96"/>
              <a:gd name="T35" fmla="*/ 1 h 206"/>
              <a:gd name="T36" fmla="*/ 1 w 96"/>
              <a:gd name="T37" fmla="*/ 1 h 206"/>
              <a:gd name="T38" fmla="*/ 1 w 96"/>
              <a:gd name="T39" fmla="*/ 1 h 206"/>
              <a:gd name="T40" fmla="*/ 0 w 96"/>
              <a:gd name="T41" fmla="*/ 1 h 206"/>
              <a:gd name="T42" fmla="*/ 0 w 96"/>
              <a:gd name="T43" fmla="*/ 1 h 206"/>
              <a:gd name="T44" fmla="*/ 0 w 96"/>
              <a:gd name="T45" fmla="*/ 1 h 206"/>
              <a:gd name="T46" fmla="*/ 0 w 96"/>
              <a:gd name="T47" fmla="*/ 1 h 206"/>
              <a:gd name="T48" fmla="*/ 0 w 96"/>
              <a:gd name="T49" fmla="*/ 1 h 206"/>
              <a:gd name="T50" fmla="*/ 0 w 96"/>
              <a:gd name="T51" fmla="*/ 0 h 206"/>
              <a:gd name="T52" fmla="*/ 0 w 96"/>
              <a:gd name="T53" fmla="*/ 0 h 206"/>
              <a:gd name="T54" fmla="*/ 0 w 96"/>
              <a:gd name="T55" fmla="*/ 1 h 206"/>
              <a:gd name="T56" fmla="*/ 0 w 96"/>
              <a:gd name="T57" fmla="*/ 0 h 206"/>
              <a:gd name="T58" fmla="*/ 0 w 96"/>
              <a:gd name="T59" fmla="*/ 0 h 206"/>
              <a:gd name="T60" fmla="*/ 0 w 96"/>
              <a:gd name="T61" fmla="*/ 0 h 206"/>
              <a:gd name="T62" fmla="*/ 0 w 96"/>
              <a:gd name="T63" fmla="*/ 0 h 206"/>
              <a:gd name="T64" fmla="*/ 0 w 96"/>
              <a:gd name="T65" fmla="*/ 0 h 206"/>
              <a:gd name="T66" fmla="*/ 0 w 96"/>
              <a:gd name="T67" fmla="*/ 0 h 206"/>
              <a:gd name="T68" fmla="*/ 0 w 96"/>
              <a:gd name="T69" fmla="*/ 0 h 206"/>
              <a:gd name="T70" fmla="*/ 0 w 96"/>
              <a:gd name="T71" fmla="*/ 0 h 206"/>
              <a:gd name="T72" fmla="*/ 0 w 96"/>
              <a:gd name="T73" fmla="*/ 1 h 206"/>
              <a:gd name="T74" fmla="*/ 1 w 96"/>
              <a:gd name="T75" fmla="*/ 0 h 206"/>
              <a:gd name="T76" fmla="*/ 1 w 96"/>
              <a:gd name="T77" fmla="*/ 0 h 206"/>
              <a:gd name="T78" fmla="*/ 1 w 96"/>
              <a:gd name="T79" fmla="*/ 0 h 20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60000 65536"/>
              <a:gd name="T106" fmla="*/ 0 60000 65536"/>
              <a:gd name="T107" fmla="*/ 0 60000 65536"/>
              <a:gd name="T108" fmla="*/ 0 60000 65536"/>
              <a:gd name="T109" fmla="*/ 0 60000 65536"/>
              <a:gd name="T110" fmla="*/ 0 60000 65536"/>
              <a:gd name="T111" fmla="*/ 0 60000 65536"/>
              <a:gd name="T112" fmla="*/ 0 60000 65536"/>
              <a:gd name="T113" fmla="*/ 0 60000 65536"/>
              <a:gd name="T114" fmla="*/ 0 60000 65536"/>
              <a:gd name="T115" fmla="*/ 0 60000 65536"/>
              <a:gd name="T116" fmla="*/ 0 60000 65536"/>
              <a:gd name="T117" fmla="*/ 0 60000 65536"/>
              <a:gd name="T118" fmla="*/ 0 60000 65536"/>
              <a:gd name="T119" fmla="*/ 0 60000 65536"/>
              <a:gd name="T120" fmla="*/ 0 w 96"/>
              <a:gd name="T121" fmla="*/ 0 h 206"/>
              <a:gd name="T122" fmla="*/ 96 w 96"/>
              <a:gd name="T123" fmla="*/ 206 h 206"/>
            </a:gdLst>
            <a:ahLst/>
            <a:cxnLst>
              <a:cxn ang="T80">
                <a:pos x="T0" y="T1"/>
              </a:cxn>
              <a:cxn ang="T81">
                <a:pos x="T2" y="T3"/>
              </a:cxn>
              <a:cxn ang="T82">
                <a:pos x="T4" y="T5"/>
              </a:cxn>
              <a:cxn ang="T83">
                <a:pos x="T6" y="T7"/>
              </a:cxn>
              <a:cxn ang="T84">
                <a:pos x="T8" y="T9"/>
              </a:cxn>
              <a:cxn ang="T85">
                <a:pos x="T10" y="T11"/>
              </a:cxn>
              <a:cxn ang="T86">
                <a:pos x="T12" y="T13"/>
              </a:cxn>
              <a:cxn ang="T87">
                <a:pos x="T14" y="T15"/>
              </a:cxn>
              <a:cxn ang="T88">
                <a:pos x="T16" y="T17"/>
              </a:cxn>
              <a:cxn ang="T89">
                <a:pos x="T18" y="T19"/>
              </a:cxn>
              <a:cxn ang="T90">
                <a:pos x="T20" y="T21"/>
              </a:cxn>
              <a:cxn ang="T91">
                <a:pos x="T22" y="T23"/>
              </a:cxn>
              <a:cxn ang="T92">
                <a:pos x="T24" y="T25"/>
              </a:cxn>
              <a:cxn ang="T93">
                <a:pos x="T26" y="T27"/>
              </a:cxn>
              <a:cxn ang="T94">
                <a:pos x="T28" y="T29"/>
              </a:cxn>
              <a:cxn ang="T95">
                <a:pos x="T30" y="T31"/>
              </a:cxn>
              <a:cxn ang="T96">
                <a:pos x="T32" y="T33"/>
              </a:cxn>
              <a:cxn ang="T97">
                <a:pos x="T34" y="T35"/>
              </a:cxn>
              <a:cxn ang="T98">
                <a:pos x="T36" y="T37"/>
              </a:cxn>
              <a:cxn ang="T99">
                <a:pos x="T38" y="T39"/>
              </a:cxn>
              <a:cxn ang="T100">
                <a:pos x="T40" y="T41"/>
              </a:cxn>
              <a:cxn ang="T101">
                <a:pos x="T42" y="T43"/>
              </a:cxn>
              <a:cxn ang="T102">
                <a:pos x="T44" y="T45"/>
              </a:cxn>
              <a:cxn ang="T103">
                <a:pos x="T46" y="T47"/>
              </a:cxn>
              <a:cxn ang="T104">
                <a:pos x="T48" y="T49"/>
              </a:cxn>
              <a:cxn ang="T105">
                <a:pos x="T50" y="T51"/>
              </a:cxn>
              <a:cxn ang="T106">
                <a:pos x="T52" y="T53"/>
              </a:cxn>
              <a:cxn ang="T107">
                <a:pos x="T54" y="T55"/>
              </a:cxn>
              <a:cxn ang="T108">
                <a:pos x="T56" y="T57"/>
              </a:cxn>
              <a:cxn ang="T109">
                <a:pos x="T58" y="T59"/>
              </a:cxn>
              <a:cxn ang="T110">
                <a:pos x="T60" y="T61"/>
              </a:cxn>
              <a:cxn ang="T111">
                <a:pos x="T62" y="T63"/>
              </a:cxn>
              <a:cxn ang="T112">
                <a:pos x="T64" y="T65"/>
              </a:cxn>
              <a:cxn ang="T113">
                <a:pos x="T66" y="T67"/>
              </a:cxn>
              <a:cxn ang="T114">
                <a:pos x="T68" y="T69"/>
              </a:cxn>
              <a:cxn ang="T115">
                <a:pos x="T70" y="T71"/>
              </a:cxn>
              <a:cxn ang="T116">
                <a:pos x="T72" y="T73"/>
              </a:cxn>
              <a:cxn ang="T117">
                <a:pos x="T74" y="T75"/>
              </a:cxn>
              <a:cxn ang="T118">
                <a:pos x="T76" y="T77"/>
              </a:cxn>
              <a:cxn ang="T119">
                <a:pos x="T78" y="T79"/>
              </a:cxn>
            </a:cxnLst>
            <a:rect l="T120" t="T121" r="T122" b="T123"/>
            <a:pathLst>
              <a:path w="96" h="206">
                <a:moveTo>
                  <a:pt x="49" y="21"/>
                </a:moveTo>
                <a:lnTo>
                  <a:pt x="57" y="60"/>
                </a:lnTo>
                <a:lnTo>
                  <a:pt x="61" y="58"/>
                </a:lnTo>
                <a:lnTo>
                  <a:pt x="71" y="74"/>
                </a:lnTo>
                <a:lnTo>
                  <a:pt x="69" y="0"/>
                </a:lnTo>
                <a:lnTo>
                  <a:pt x="86" y="47"/>
                </a:lnTo>
                <a:lnTo>
                  <a:pt x="96" y="31"/>
                </a:lnTo>
                <a:lnTo>
                  <a:pt x="69" y="206"/>
                </a:lnTo>
                <a:lnTo>
                  <a:pt x="61" y="190"/>
                </a:lnTo>
                <a:lnTo>
                  <a:pt x="71" y="184"/>
                </a:lnTo>
                <a:lnTo>
                  <a:pt x="41" y="159"/>
                </a:lnTo>
                <a:lnTo>
                  <a:pt x="76" y="134"/>
                </a:lnTo>
                <a:lnTo>
                  <a:pt x="37" y="144"/>
                </a:lnTo>
                <a:lnTo>
                  <a:pt x="36" y="127"/>
                </a:lnTo>
                <a:lnTo>
                  <a:pt x="44" y="131"/>
                </a:lnTo>
                <a:lnTo>
                  <a:pt x="72" y="85"/>
                </a:lnTo>
                <a:lnTo>
                  <a:pt x="61" y="104"/>
                </a:lnTo>
                <a:lnTo>
                  <a:pt x="59" y="80"/>
                </a:lnTo>
                <a:lnTo>
                  <a:pt x="54" y="94"/>
                </a:lnTo>
                <a:lnTo>
                  <a:pt x="51" y="87"/>
                </a:lnTo>
                <a:lnTo>
                  <a:pt x="36" y="117"/>
                </a:lnTo>
                <a:lnTo>
                  <a:pt x="20" y="102"/>
                </a:lnTo>
                <a:lnTo>
                  <a:pt x="31" y="95"/>
                </a:lnTo>
                <a:lnTo>
                  <a:pt x="7" y="72"/>
                </a:lnTo>
                <a:lnTo>
                  <a:pt x="20" y="77"/>
                </a:lnTo>
                <a:lnTo>
                  <a:pt x="15" y="52"/>
                </a:lnTo>
                <a:lnTo>
                  <a:pt x="7" y="52"/>
                </a:lnTo>
                <a:lnTo>
                  <a:pt x="7" y="63"/>
                </a:lnTo>
                <a:lnTo>
                  <a:pt x="0" y="25"/>
                </a:lnTo>
                <a:lnTo>
                  <a:pt x="7" y="30"/>
                </a:lnTo>
                <a:lnTo>
                  <a:pt x="10" y="16"/>
                </a:lnTo>
                <a:lnTo>
                  <a:pt x="17" y="26"/>
                </a:lnTo>
                <a:lnTo>
                  <a:pt x="17" y="15"/>
                </a:lnTo>
                <a:lnTo>
                  <a:pt x="37" y="15"/>
                </a:lnTo>
                <a:lnTo>
                  <a:pt x="31" y="43"/>
                </a:lnTo>
                <a:lnTo>
                  <a:pt x="34" y="40"/>
                </a:lnTo>
                <a:lnTo>
                  <a:pt x="44" y="55"/>
                </a:lnTo>
                <a:lnTo>
                  <a:pt x="46" y="18"/>
                </a:lnTo>
                <a:lnTo>
                  <a:pt x="49" y="21"/>
                </a:lnTo>
                <a:close/>
              </a:path>
            </a:pathLst>
          </a:custGeom>
          <a:solidFill>
            <a:srgbClr val="3C6E0A"/>
          </a:solidFill>
          <a:ln w="9525">
            <a:solidFill>
              <a:srgbClr val="FFFFFF"/>
            </a:solidFill>
            <a:miter lim="800000"/>
            <a:headEnd/>
            <a:tailEnd/>
          </a:ln>
        </xdr:spPr>
        <xdr:txBody>
          <a:bodyPr vertOverflow="clip" wrap="square" lIns="36576" tIns="32004" rIns="0" bIns="0" anchor="t"/>
          <a:lstStyle/>
          <a:p>
            <a:pPr algn="l" rtl="0">
              <a:defRPr sz="1000"/>
            </a:pPr>
            <a:endParaRPr lang="en-US" sz="1600" b="0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 algn="l" rtl="0">
              <a:defRPr sz="1000"/>
            </a:pPr>
            <a:endParaRPr lang="en-US"/>
          </a:p>
        </xdr:txBody>
      </xdr:sp>
      <xdr:sp macro="" textlink="">
        <xdr:nvSpPr>
          <xdr:cNvPr id="25926" name="Freeform 28"/>
          <xdr:cNvSpPr>
            <a:spLocks/>
          </xdr:cNvSpPr>
        </xdr:nvSpPr>
        <xdr:spPr bwMode="auto">
          <a:xfrm>
            <a:off x="615" y="153"/>
            <a:ext cx="11" cy="12"/>
          </a:xfrm>
          <a:custGeom>
            <a:avLst/>
            <a:gdLst>
              <a:gd name="T0" fmla="*/ 0 w 50"/>
              <a:gd name="T1" fmla="*/ 0 h 56"/>
              <a:gd name="T2" fmla="*/ 0 w 50"/>
              <a:gd name="T3" fmla="*/ 0 h 56"/>
              <a:gd name="T4" fmla="*/ 0 w 50"/>
              <a:gd name="T5" fmla="*/ 1 h 56"/>
              <a:gd name="T6" fmla="*/ 0 w 50"/>
              <a:gd name="T7" fmla="*/ 0 h 56"/>
              <a:gd name="T8" fmla="*/ 0 w 50"/>
              <a:gd name="T9" fmla="*/ 0 h 56"/>
              <a:gd name="T10" fmla="*/ 0 w 50"/>
              <a:gd name="T11" fmla="*/ 0 h 56"/>
              <a:gd name="T12" fmla="*/ 0 60000 65536"/>
              <a:gd name="T13" fmla="*/ 0 60000 65536"/>
              <a:gd name="T14" fmla="*/ 0 60000 65536"/>
              <a:gd name="T15" fmla="*/ 0 60000 65536"/>
              <a:gd name="T16" fmla="*/ 0 60000 65536"/>
              <a:gd name="T17" fmla="*/ 0 60000 65536"/>
              <a:gd name="T18" fmla="*/ 0 w 50"/>
              <a:gd name="T19" fmla="*/ 0 h 56"/>
              <a:gd name="T20" fmla="*/ 50 w 50"/>
              <a:gd name="T21" fmla="*/ 56 h 56"/>
            </a:gdLst>
            <a:ahLst/>
            <a:cxnLst>
              <a:cxn ang="T12">
                <a:pos x="T0" y="T1"/>
              </a:cxn>
              <a:cxn ang="T13">
                <a:pos x="T2" y="T3"/>
              </a:cxn>
              <a:cxn ang="T14">
                <a:pos x="T4" y="T5"/>
              </a:cxn>
              <a:cxn ang="T15">
                <a:pos x="T6" y="T7"/>
              </a:cxn>
              <a:cxn ang="T16">
                <a:pos x="T8" y="T9"/>
              </a:cxn>
              <a:cxn ang="T17">
                <a:pos x="T10" y="T11"/>
              </a:cxn>
            </a:cxnLst>
            <a:rect l="T18" t="T19" r="T20" b="T21"/>
            <a:pathLst>
              <a:path w="50" h="56">
                <a:moveTo>
                  <a:pt x="25" y="0"/>
                </a:moveTo>
                <a:lnTo>
                  <a:pt x="50" y="27"/>
                </a:lnTo>
                <a:lnTo>
                  <a:pt x="20" y="56"/>
                </a:lnTo>
                <a:lnTo>
                  <a:pt x="25" y="35"/>
                </a:lnTo>
                <a:lnTo>
                  <a:pt x="0" y="47"/>
                </a:lnTo>
                <a:lnTo>
                  <a:pt x="25" y="0"/>
                </a:lnTo>
              </a:path>
            </a:pathLst>
          </a:custGeom>
          <a:solidFill>
            <a:srgbClr val="3C6E0A"/>
          </a:solidFill>
          <a:ln w="9525">
            <a:solidFill>
              <a:srgbClr val="FFFFFF"/>
            </a:solidFill>
            <a:miter lim="800000"/>
            <a:headEnd/>
            <a:tailEnd/>
          </a:ln>
        </xdr:spPr>
        <xdr:txBody>
          <a:bodyPr vertOverflow="clip" wrap="square" lIns="36576" tIns="32004" rIns="0" bIns="0" anchor="t"/>
          <a:lstStyle/>
          <a:p>
            <a:pPr algn="l" rtl="0">
              <a:defRPr sz="1000"/>
            </a:pPr>
            <a:endParaRPr lang="en-US" sz="1600" b="0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 algn="l" rtl="0">
              <a:defRPr sz="1000"/>
            </a:pPr>
            <a:endParaRPr lang="en-US"/>
          </a:p>
        </xdr:txBody>
      </xdr:sp>
      <xdr:sp macro="" textlink="">
        <xdr:nvSpPr>
          <xdr:cNvPr id="25927" name="Freeform 29"/>
          <xdr:cNvSpPr>
            <a:spLocks/>
          </xdr:cNvSpPr>
        </xdr:nvSpPr>
        <xdr:spPr bwMode="auto">
          <a:xfrm>
            <a:off x="606" y="121"/>
            <a:ext cx="26" cy="15"/>
          </a:xfrm>
          <a:custGeom>
            <a:avLst/>
            <a:gdLst>
              <a:gd name="T0" fmla="*/ 1 w 119"/>
              <a:gd name="T1" fmla="*/ 0 h 67"/>
              <a:gd name="T2" fmla="*/ 1 w 119"/>
              <a:gd name="T3" fmla="*/ 0 h 67"/>
              <a:gd name="T4" fmla="*/ 0 w 119"/>
              <a:gd name="T5" fmla="*/ 1 h 67"/>
              <a:gd name="T6" fmla="*/ 0 w 119"/>
              <a:gd name="T7" fmla="*/ 1 h 67"/>
              <a:gd name="T8" fmla="*/ 0 w 119"/>
              <a:gd name="T9" fmla="*/ 1 h 67"/>
              <a:gd name="T10" fmla="*/ 1 w 119"/>
              <a:gd name="T11" fmla="*/ 0 h 67"/>
              <a:gd name="T12" fmla="*/ 0 w 119"/>
              <a:gd name="T13" fmla="*/ 0 h 67"/>
              <a:gd name="T14" fmla="*/ 0 w 119"/>
              <a:gd name="T15" fmla="*/ 0 h 67"/>
              <a:gd name="T16" fmla="*/ 0 w 119"/>
              <a:gd name="T17" fmla="*/ 0 h 67"/>
              <a:gd name="T18" fmla="*/ 0 w 119"/>
              <a:gd name="T19" fmla="*/ 0 h 67"/>
              <a:gd name="T20" fmla="*/ 0 w 119"/>
              <a:gd name="T21" fmla="*/ 0 h 67"/>
              <a:gd name="T22" fmla="*/ 0 w 119"/>
              <a:gd name="T23" fmla="*/ 0 h 67"/>
              <a:gd name="T24" fmla="*/ 0 w 119"/>
              <a:gd name="T25" fmla="*/ 0 h 67"/>
              <a:gd name="T26" fmla="*/ 1 w 119"/>
              <a:gd name="T27" fmla="*/ 0 h 67"/>
              <a:gd name="T28" fmla="*/ 1 w 119"/>
              <a:gd name="T29" fmla="*/ 0 h 67"/>
              <a:gd name="T30" fmla="*/ 1 w 119"/>
              <a:gd name="T31" fmla="*/ 0 h 67"/>
              <a:gd name="T32" fmla="*/ 1 w 119"/>
              <a:gd name="T33" fmla="*/ 0 h 67"/>
              <a:gd name="T34" fmla="*/ 0 60000 65536"/>
              <a:gd name="T35" fmla="*/ 0 60000 65536"/>
              <a:gd name="T36" fmla="*/ 0 60000 65536"/>
              <a:gd name="T37" fmla="*/ 0 60000 65536"/>
              <a:gd name="T38" fmla="*/ 0 60000 65536"/>
              <a:gd name="T39" fmla="*/ 0 60000 65536"/>
              <a:gd name="T40" fmla="*/ 0 60000 65536"/>
              <a:gd name="T41" fmla="*/ 0 60000 65536"/>
              <a:gd name="T42" fmla="*/ 0 60000 65536"/>
              <a:gd name="T43" fmla="*/ 0 60000 65536"/>
              <a:gd name="T44" fmla="*/ 0 60000 65536"/>
              <a:gd name="T45" fmla="*/ 0 60000 65536"/>
              <a:gd name="T46" fmla="*/ 0 60000 65536"/>
              <a:gd name="T47" fmla="*/ 0 60000 65536"/>
              <a:gd name="T48" fmla="*/ 0 60000 65536"/>
              <a:gd name="T49" fmla="*/ 0 60000 65536"/>
              <a:gd name="T50" fmla="*/ 0 60000 65536"/>
              <a:gd name="T51" fmla="*/ 0 w 119"/>
              <a:gd name="T52" fmla="*/ 0 h 67"/>
              <a:gd name="T53" fmla="*/ 119 w 119"/>
              <a:gd name="T54" fmla="*/ 67 h 67"/>
            </a:gdLst>
            <a:ahLst/>
            <a:cxnLst>
              <a:cxn ang="T34">
                <a:pos x="T0" y="T1"/>
              </a:cxn>
              <a:cxn ang="T35">
                <a:pos x="T2" y="T3"/>
              </a:cxn>
              <a:cxn ang="T36">
                <a:pos x="T4" y="T5"/>
              </a:cxn>
              <a:cxn ang="T37">
                <a:pos x="T6" y="T7"/>
              </a:cxn>
              <a:cxn ang="T38">
                <a:pos x="T8" y="T9"/>
              </a:cxn>
              <a:cxn ang="T39">
                <a:pos x="T10" y="T11"/>
              </a:cxn>
              <a:cxn ang="T40">
                <a:pos x="T12" y="T13"/>
              </a:cxn>
              <a:cxn ang="T41">
                <a:pos x="T14" y="T15"/>
              </a:cxn>
              <a:cxn ang="T42">
                <a:pos x="T16" y="T17"/>
              </a:cxn>
              <a:cxn ang="T43">
                <a:pos x="T18" y="T19"/>
              </a:cxn>
              <a:cxn ang="T44">
                <a:pos x="T20" y="T21"/>
              </a:cxn>
              <a:cxn ang="T45">
                <a:pos x="T22" y="T23"/>
              </a:cxn>
              <a:cxn ang="T46">
                <a:pos x="T24" y="T25"/>
              </a:cxn>
              <a:cxn ang="T47">
                <a:pos x="T26" y="T27"/>
              </a:cxn>
              <a:cxn ang="T48">
                <a:pos x="T28" y="T29"/>
              </a:cxn>
              <a:cxn ang="T49">
                <a:pos x="T30" y="T31"/>
              </a:cxn>
              <a:cxn ang="T50">
                <a:pos x="T32" y="T33"/>
              </a:cxn>
            </a:cxnLst>
            <a:rect l="T51" t="T52" r="T53" b="T54"/>
            <a:pathLst>
              <a:path w="119" h="67">
                <a:moveTo>
                  <a:pt x="67" y="2"/>
                </a:moveTo>
                <a:lnTo>
                  <a:pt x="119" y="40"/>
                </a:lnTo>
                <a:lnTo>
                  <a:pt x="29" y="67"/>
                </a:lnTo>
                <a:lnTo>
                  <a:pt x="45" y="67"/>
                </a:lnTo>
                <a:lnTo>
                  <a:pt x="39" y="60"/>
                </a:lnTo>
                <a:lnTo>
                  <a:pt x="55" y="50"/>
                </a:lnTo>
                <a:lnTo>
                  <a:pt x="10" y="44"/>
                </a:lnTo>
                <a:lnTo>
                  <a:pt x="17" y="35"/>
                </a:lnTo>
                <a:lnTo>
                  <a:pt x="0" y="29"/>
                </a:lnTo>
                <a:lnTo>
                  <a:pt x="24" y="37"/>
                </a:lnTo>
                <a:lnTo>
                  <a:pt x="20" y="12"/>
                </a:lnTo>
                <a:lnTo>
                  <a:pt x="29" y="25"/>
                </a:lnTo>
                <a:lnTo>
                  <a:pt x="29" y="0"/>
                </a:lnTo>
                <a:lnTo>
                  <a:pt x="60" y="39"/>
                </a:lnTo>
                <a:lnTo>
                  <a:pt x="62" y="8"/>
                </a:lnTo>
                <a:lnTo>
                  <a:pt x="67" y="13"/>
                </a:lnTo>
                <a:lnTo>
                  <a:pt x="67" y="2"/>
                </a:lnTo>
              </a:path>
            </a:pathLst>
          </a:custGeom>
          <a:solidFill>
            <a:srgbClr val="3C6E0A"/>
          </a:solidFill>
          <a:ln w="9525">
            <a:solidFill>
              <a:srgbClr val="FFFFFF"/>
            </a:solidFill>
            <a:miter lim="800000"/>
            <a:headEnd/>
            <a:tailEnd/>
          </a:ln>
        </xdr:spPr>
        <xdr:txBody>
          <a:bodyPr vertOverflow="clip" wrap="square" lIns="36576" tIns="32004" rIns="0" bIns="0" anchor="t"/>
          <a:lstStyle/>
          <a:p>
            <a:pPr algn="l" rtl="0">
              <a:defRPr sz="1000"/>
            </a:pPr>
            <a:endParaRPr lang="en-US" sz="1600" b="0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 algn="l" rtl="0">
              <a:defRPr sz="1000"/>
            </a:pPr>
            <a:endParaRPr lang="en-US"/>
          </a:p>
        </xdr:txBody>
      </xdr:sp>
      <xdr:sp macro="" textlink="">
        <xdr:nvSpPr>
          <xdr:cNvPr id="25928" name="Freeform 184"/>
          <xdr:cNvSpPr>
            <a:spLocks/>
          </xdr:cNvSpPr>
        </xdr:nvSpPr>
        <xdr:spPr bwMode="auto">
          <a:xfrm>
            <a:off x="601" y="198"/>
            <a:ext cx="78" cy="101"/>
          </a:xfrm>
          <a:custGeom>
            <a:avLst/>
            <a:gdLst>
              <a:gd name="T0" fmla="*/ 1 w 356"/>
              <a:gd name="T1" fmla="*/ 5 h 459"/>
              <a:gd name="T2" fmla="*/ 1 w 356"/>
              <a:gd name="T3" fmla="*/ 5 h 459"/>
              <a:gd name="T4" fmla="*/ 0 w 356"/>
              <a:gd name="T5" fmla="*/ 5 h 459"/>
              <a:gd name="T6" fmla="*/ 0 w 356"/>
              <a:gd name="T7" fmla="*/ 5 h 459"/>
              <a:gd name="T8" fmla="*/ 0 w 356"/>
              <a:gd name="T9" fmla="*/ 4 h 459"/>
              <a:gd name="T10" fmla="*/ 0 w 356"/>
              <a:gd name="T11" fmla="*/ 4 h 459"/>
              <a:gd name="T12" fmla="*/ 1 w 356"/>
              <a:gd name="T13" fmla="*/ 3 h 459"/>
              <a:gd name="T14" fmla="*/ 1 w 356"/>
              <a:gd name="T15" fmla="*/ 2 h 459"/>
              <a:gd name="T16" fmla="*/ 2 w 356"/>
              <a:gd name="T17" fmla="*/ 1 h 459"/>
              <a:gd name="T18" fmla="*/ 1 w 356"/>
              <a:gd name="T19" fmla="*/ 2 h 459"/>
              <a:gd name="T20" fmla="*/ 2 w 356"/>
              <a:gd name="T21" fmla="*/ 1 h 459"/>
              <a:gd name="T22" fmla="*/ 2 w 356"/>
              <a:gd name="T23" fmla="*/ 1 h 459"/>
              <a:gd name="T24" fmla="*/ 2 w 356"/>
              <a:gd name="T25" fmla="*/ 1 h 459"/>
              <a:gd name="T26" fmla="*/ 2 w 356"/>
              <a:gd name="T27" fmla="*/ 0 h 459"/>
              <a:gd name="T28" fmla="*/ 3 w 356"/>
              <a:gd name="T29" fmla="*/ 0 h 459"/>
              <a:gd name="T30" fmla="*/ 3 w 356"/>
              <a:gd name="T31" fmla="*/ 0 h 459"/>
              <a:gd name="T32" fmla="*/ 4 w 356"/>
              <a:gd name="T33" fmla="*/ 0 h 459"/>
              <a:gd name="T34" fmla="*/ 3 w 356"/>
              <a:gd name="T35" fmla="*/ 0 h 459"/>
              <a:gd name="T36" fmla="*/ 4 w 356"/>
              <a:gd name="T37" fmla="*/ 1 h 459"/>
              <a:gd name="T38" fmla="*/ 4 w 356"/>
              <a:gd name="T39" fmla="*/ 1 h 459"/>
              <a:gd name="T40" fmla="*/ 3 w 356"/>
              <a:gd name="T41" fmla="*/ 1 h 459"/>
              <a:gd name="T42" fmla="*/ 3 w 356"/>
              <a:gd name="T43" fmla="*/ 1 h 459"/>
              <a:gd name="T44" fmla="*/ 2 w 356"/>
              <a:gd name="T45" fmla="*/ 1 h 459"/>
              <a:gd name="T46" fmla="*/ 2 w 356"/>
              <a:gd name="T47" fmla="*/ 1 h 459"/>
              <a:gd name="T48" fmla="*/ 2 w 356"/>
              <a:gd name="T49" fmla="*/ 1 h 459"/>
              <a:gd name="T50" fmla="*/ 2 w 356"/>
              <a:gd name="T51" fmla="*/ 1 h 459"/>
              <a:gd name="T52" fmla="*/ 2 w 356"/>
              <a:gd name="T53" fmla="*/ 2 h 459"/>
              <a:gd name="T54" fmla="*/ 1 w 356"/>
              <a:gd name="T55" fmla="*/ 3 h 459"/>
              <a:gd name="T56" fmla="*/ 1 w 356"/>
              <a:gd name="T57" fmla="*/ 3 h 459"/>
              <a:gd name="T58" fmla="*/ 1 w 356"/>
              <a:gd name="T59" fmla="*/ 4 h 459"/>
              <a:gd name="T60" fmla="*/ 1 w 356"/>
              <a:gd name="T61" fmla="*/ 4 h 459"/>
              <a:gd name="T62" fmla="*/ 1 w 356"/>
              <a:gd name="T63" fmla="*/ 5 h 459"/>
              <a:gd name="T64" fmla="*/ 1 w 356"/>
              <a:gd name="T65" fmla="*/ 5 h 459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356"/>
              <a:gd name="T100" fmla="*/ 0 h 459"/>
              <a:gd name="T101" fmla="*/ 356 w 356"/>
              <a:gd name="T102" fmla="*/ 459 h 459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356" h="459">
                <a:moveTo>
                  <a:pt x="84" y="437"/>
                </a:moveTo>
                <a:lnTo>
                  <a:pt x="84" y="432"/>
                </a:lnTo>
                <a:lnTo>
                  <a:pt x="79" y="424"/>
                </a:lnTo>
                <a:lnTo>
                  <a:pt x="79" y="432"/>
                </a:lnTo>
                <a:lnTo>
                  <a:pt x="72" y="432"/>
                </a:lnTo>
                <a:lnTo>
                  <a:pt x="42" y="459"/>
                </a:lnTo>
                <a:lnTo>
                  <a:pt x="29" y="459"/>
                </a:lnTo>
                <a:lnTo>
                  <a:pt x="7" y="445"/>
                </a:lnTo>
                <a:lnTo>
                  <a:pt x="7" y="392"/>
                </a:lnTo>
                <a:lnTo>
                  <a:pt x="0" y="370"/>
                </a:lnTo>
                <a:lnTo>
                  <a:pt x="7" y="356"/>
                </a:lnTo>
                <a:lnTo>
                  <a:pt x="0" y="346"/>
                </a:lnTo>
                <a:lnTo>
                  <a:pt x="42" y="309"/>
                </a:lnTo>
                <a:lnTo>
                  <a:pt x="64" y="301"/>
                </a:lnTo>
                <a:lnTo>
                  <a:pt x="84" y="249"/>
                </a:lnTo>
                <a:lnTo>
                  <a:pt x="106" y="235"/>
                </a:lnTo>
                <a:lnTo>
                  <a:pt x="136" y="143"/>
                </a:lnTo>
                <a:lnTo>
                  <a:pt x="158" y="123"/>
                </a:lnTo>
                <a:lnTo>
                  <a:pt x="128" y="129"/>
                </a:lnTo>
                <a:lnTo>
                  <a:pt x="114" y="143"/>
                </a:lnTo>
                <a:lnTo>
                  <a:pt x="128" y="106"/>
                </a:lnTo>
                <a:lnTo>
                  <a:pt x="158" y="82"/>
                </a:lnTo>
                <a:lnTo>
                  <a:pt x="158" y="106"/>
                </a:lnTo>
                <a:lnTo>
                  <a:pt x="165" y="97"/>
                </a:lnTo>
                <a:lnTo>
                  <a:pt x="165" y="76"/>
                </a:lnTo>
                <a:lnTo>
                  <a:pt x="178" y="69"/>
                </a:lnTo>
                <a:lnTo>
                  <a:pt x="186" y="47"/>
                </a:lnTo>
                <a:lnTo>
                  <a:pt x="205" y="47"/>
                </a:lnTo>
                <a:lnTo>
                  <a:pt x="250" y="15"/>
                </a:lnTo>
                <a:lnTo>
                  <a:pt x="263" y="22"/>
                </a:lnTo>
                <a:lnTo>
                  <a:pt x="287" y="0"/>
                </a:lnTo>
                <a:lnTo>
                  <a:pt x="309" y="0"/>
                </a:lnTo>
                <a:lnTo>
                  <a:pt x="320" y="15"/>
                </a:lnTo>
                <a:lnTo>
                  <a:pt x="356" y="39"/>
                </a:lnTo>
                <a:lnTo>
                  <a:pt x="342" y="47"/>
                </a:lnTo>
                <a:lnTo>
                  <a:pt x="320" y="47"/>
                </a:lnTo>
                <a:lnTo>
                  <a:pt x="342" y="60"/>
                </a:lnTo>
                <a:lnTo>
                  <a:pt x="349" y="69"/>
                </a:lnTo>
                <a:lnTo>
                  <a:pt x="320" y="97"/>
                </a:lnTo>
                <a:lnTo>
                  <a:pt x="335" y="69"/>
                </a:lnTo>
                <a:lnTo>
                  <a:pt x="309" y="47"/>
                </a:lnTo>
                <a:lnTo>
                  <a:pt x="292" y="60"/>
                </a:lnTo>
                <a:lnTo>
                  <a:pt x="287" y="97"/>
                </a:lnTo>
                <a:lnTo>
                  <a:pt x="272" y="106"/>
                </a:lnTo>
                <a:lnTo>
                  <a:pt x="243" y="106"/>
                </a:lnTo>
                <a:lnTo>
                  <a:pt x="222" y="82"/>
                </a:lnTo>
                <a:lnTo>
                  <a:pt x="213" y="97"/>
                </a:lnTo>
                <a:lnTo>
                  <a:pt x="205" y="97"/>
                </a:lnTo>
                <a:lnTo>
                  <a:pt x="205" y="113"/>
                </a:lnTo>
                <a:lnTo>
                  <a:pt x="178" y="113"/>
                </a:lnTo>
                <a:lnTo>
                  <a:pt x="178" y="129"/>
                </a:lnTo>
                <a:lnTo>
                  <a:pt x="171" y="129"/>
                </a:lnTo>
                <a:lnTo>
                  <a:pt x="158" y="158"/>
                </a:lnTo>
                <a:lnTo>
                  <a:pt x="158" y="181"/>
                </a:lnTo>
                <a:lnTo>
                  <a:pt x="136" y="205"/>
                </a:lnTo>
                <a:lnTo>
                  <a:pt x="121" y="249"/>
                </a:lnTo>
                <a:lnTo>
                  <a:pt x="128" y="272"/>
                </a:lnTo>
                <a:lnTo>
                  <a:pt x="106" y="287"/>
                </a:lnTo>
                <a:lnTo>
                  <a:pt x="94" y="323"/>
                </a:lnTo>
                <a:lnTo>
                  <a:pt x="106" y="363"/>
                </a:lnTo>
                <a:lnTo>
                  <a:pt x="106" y="402"/>
                </a:lnTo>
                <a:lnTo>
                  <a:pt x="94" y="407"/>
                </a:lnTo>
                <a:lnTo>
                  <a:pt x="94" y="437"/>
                </a:lnTo>
                <a:lnTo>
                  <a:pt x="84" y="437"/>
                </a:lnTo>
                <a:close/>
              </a:path>
            </a:pathLst>
          </a:custGeom>
          <a:solidFill>
            <a:srgbClr val="3C6E0A"/>
          </a:solidFill>
          <a:ln w="9525">
            <a:solidFill>
              <a:srgbClr val="FFFFFF"/>
            </a:solidFill>
            <a:miter lim="800000"/>
            <a:headEnd/>
            <a:tailEnd/>
          </a:ln>
        </xdr:spPr>
        <xdr:txBody>
          <a:bodyPr vertOverflow="clip" wrap="square" lIns="36576" tIns="32004" rIns="0" bIns="0" anchor="t"/>
          <a:lstStyle/>
          <a:p>
            <a:pPr algn="l" rtl="0">
              <a:defRPr sz="1000"/>
            </a:pPr>
            <a:endParaRPr lang="en-US" sz="1600" b="0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 algn="l" rtl="0">
              <a:defRPr sz="1000"/>
            </a:pPr>
            <a:endParaRPr lang="en-US"/>
          </a:p>
        </xdr:txBody>
      </xdr:sp>
    </xdr:grpSp>
    <xdr:clientData/>
  </xdr:twoCellAnchor>
  <xdr:twoCellAnchor>
    <xdr:from>
      <xdr:col>10</xdr:col>
      <xdr:colOff>228600</xdr:colOff>
      <xdr:row>12</xdr:row>
      <xdr:rowOff>76200</xdr:rowOff>
    </xdr:from>
    <xdr:to>
      <xdr:col>10</xdr:col>
      <xdr:colOff>523875</xdr:colOff>
      <xdr:row>17</xdr:row>
      <xdr:rowOff>9525</xdr:rowOff>
    </xdr:to>
    <xdr:sp macro="" textlink="">
      <xdr:nvSpPr>
        <xdr:cNvPr id="25859" name="S_FIN"/>
        <xdr:cNvSpPr>
          <a:spLocks/>
        </xdr:cNvSpPr>
      </xdr:nvSpPr>
      <xdr:spPr bwMode="auto">
        <a:xfrm>
          <a:off x="6057900" y="1866900"/>
          <a:ext cx="295275" cy="742950"/>
        </a:xfrm>
        <a:custGeom>
          <a:avLst/>
          <a:gdLst>
            <a:gd name="T0" fmla="*/ 2147483647 w 143"/>
            <a:gd name="T1" fmla="*/ 2147483647 h 355"/>
            <a:gd name="T2" fmla="*/ 2147483647 w 143"/>
            <a:gd name="T3" fmla="*/ 2147483647 h 355"/>
            <a:gd name="T4" fmla="*/ 2147483647 w 143"/>
            <a:gd name="T5" fmla="*/ 2147483647 h 355"/>
            <a:gd name="T6" fmla="*/ 2147483647 w 143"/>
            <a:gd name="T7" fmla="*/ 2147483647 h 355"/>
            <a:gd name="T8" fmla="*/ 2147483647 w 143"/>
            <a:gd name="T9" fmla="*/ 2147483647 h 355"/>
            <a:gd name="T10" fmla="*/ 2147483647 w 143"/>
            <a:gd name="T11" fmla="*/ 2147483647 h 355"/>
            <a:gd name="T12" fmla="*/ 2147483647 w 143"/>
            <a:gd name="T13" fmla="*/ 2147483647 h 355"/>
            <a:gd name="T14" fmla="*/ 2147483647 w 143"/>
            <a:gd name="T15" fmla="*/ 2147483647 h 355"/>
            <a:gd name="T16" fmla="*/ 2147483647 w 143"/>
            <a:gd name="T17" fmla="*/ 2147483647 h 355"/>
            <a:gd name="T18" fmla="*/ 2147483647 w 143"/>
            <a:gd name="T19" fmla="*/ 2147483647 h 355"/>
            <a:gd name="T20" fmla="*/ 2147483647 w 143"/>
            <a:gd name="T21" fmla="*/ 2147483647 h 355"/>
            <a:gd name="T22" fmla="*/ 2147483647 w 143"/>
            <a:gd name="T23" fmla="*/ 2147483647 h 355"/>
            <a:gd name="T24" fmla="*/ 2147483647 w 143"/>
            <a:gd name="T25" fmla="*/ 2147483647 h 355"/>
            <a:gd name="T26" fmla="*/ 2147483647 w 143"/>
            <a:gd name="T27" fmla="*/ 2147483647 h 355"/>
            <a:gd name="T28" fmla="*/ 2147483647 w 143"/>
            <a:gd name="T29" fmla="*/ 2147483647 h 355"/>
            <a:gd name="T30" fmla="*/ 2147483647 w 143"/>
            <a:gd name="T31" fmla="*/ 2147483647 h 355"/>
            <a:gd name="T32" fmla="*/ 2147483647 w 143"/>
            <a:gd name="T33" fmla="*/ 2147483647 h 355"/>
            <a:gd name="T34" fmla="*/ 2147483647 w 143"/>
            <a:gd name="T35" fmla="*/ 2147483647 h 355"/>
            <a:gd name="T36" fmla="*/ 2147483647 w 143"/>
            <a:gd name="T37" fmla="*/ 2147483647 h 355"/>
            <a:gd name="T38" fmla="*/ 2147483647 w 143"/>
            <a:gd name="T39" fmla="*/ 2147483647 h 355"/>
            <a:gd name="T40" fmla="*/ 2147483647 w 143"/>
            <a:gd name="T41" fmla="*/ 2147483647 h 355"/>
            <a:gd name="T42" fmla="*/ 2147483647 w 143"/>
            <a:gd name="T43" fmla="*/ 2147483647 h 355"/>
            <a:gd name="T44" fmla="*/ 2147483647 w 143"/>
            <a:gd name="T45" fmla="*/ 2147483647 h 355"/>
            <a:gd name="T46" fmla="*/ 0 w 143"/>
            <a:gd name="T47" fmla="*/ 2147483647 h 355"/>
            <a:gd name="T48" fmla="*/ 2147483647 w 143"/>
            <a:gd name="T49" fmla="*/ 2147483647 h 355"/>
            <a:gd name="T50" fmla="*/ 2147483647 w 143"/>
            <a:gd name="T51" fmla="*/ 2147483647 h 355"/>
            <a:gd name="T52" fmla="*/ 2147483647 w 143"/>
            <a:gd name="T53" fmla="*/ 2147483647 h 355"/>
            <a:gd name="T54" fmla="*/ 2147483647 w 143"/>
            <a:gd name="T55" fmla="*/ 2147483647 h 355"/>
            <a:gd name="T56" fmla="*/ 2147483647 w 143"/>
            <a:gd name="T57" fmla="*/ 2147483647 h 355"/>
            <a:gd name="T58" fmla="*/ 2147483647 w 143"/>
            <a:gd name="T59" fmla="*/ 0 h 355"/>
            <a:gd name="T60" fmla="*/ 2147483647 w 143"/>
            <a:gd name="T61" fmla="*/ 2147483647 h 355"/>
            <a:gd name="T62" fmla="*/ 2147483647 w 143"/>
            <a:gd name="T63" fmla="*/ 2147483647 h 355"/>
            <a:gd name="T64" fmla="*/ 2147483647 w 143"/>
            <a:gd name="T65" fmla="*/ 2147483647 h 355"/>
            <a:gd name="T66" fmla="*/ 2147483647 w 143"/>
            <a:gd name="T67" fmla="*/ 2147483647 h 355"/>
            <a:gd name="T68" fmla="*/ 0 60000 65536"/>
            <a:gd name="T69" fmla="*/ 0 60000 65536"/>
            <a:gd name="T70" fmla="*/ 0 60000 65536"/>
            <a:gd name="T71" fmla="*/ 0 60000 65536"/>
            <a:gd name="T72" fmla="*/ 0 60000 65536"/>
            <a:gd name="T73" fmla="*/ 0 60000 65536"/>
            <a:gd name="T74" fmla="*/ 0 60000 65536"/>
            <a:gd name="T75" fmla="*/ 0 60000 65536"/>
            <a:gd name="T76" fmla="*/ 0 60000 65536"/>
            <a:gd name="T77" fmla="*/ 0 60000 65536"/>
            <a:gd name="T78" fmla="*/ 0 60000 65536"/>
            <a:gd name="T79" fmla="*/ 0 60000 65536"/>
            <a:gd name="T80" fmla="*/ 0 60000 65536"/>
            <a:gd name="T81" fmla="*/ 0 60000 65536"/>
            <a:gd name="T82" fmla="*/ 0 60000 65536"/>
            <a:gd name="T83" fmla="*/ 0 60000 65536"/>
            <a:gd name="T84" fmla="*/ 0 60000 65536"/>
            <a:gd name="T85" fmla="*/ 0 60000 65536"/>
            <a:gd name="T86" fmla="*/ 0 60000 65536"/>
            <a:gd name="T87" fmla="*/ 0 60000 65536"/>
            <a:gd name="T88" fmla="*/ 0 60000 65536"/>
            <a:gd name="T89" fmla="*/ 0 60000 65536"/>
            <a:gd name="T90" fmla="*/ 0 60000 65536"/>
            <a:gd name="T91" fmla="*/ 0 60000 65536"/>
            <a:gd name="T92" fmla="*/ 0 60000 65536"/>
            <a:gd name="T93" fmla="*/ 0 60000 65536"/>
            <a:gd name="T94" fmla="*/ 0 60000 65536"/>
            <a:gd name="T95" fmla="*/ 0 60000 65536"/>
            <a:gd name="T96" fmla="*/ 0 60000 65536"/>
            <a:gd name="T97" fmla="*/ 0 60000 65536"/>
            <a:gd name="T98" fmla="*/ 0 60000 65536"/>
            <a:gd name="T99" fmla="*/ 0 60000 65536"/>
            <a:gd name="T100" fmla="*/ 0 60000 65536"/>
            <a:gd name="T101" fmla="*/ 0 60000 65536"/>
            <a:gd name="T102" fmla="*/ 0 w 143"/>
            <a:gd name="T103" fmla="*/ 0 h 355"/>
            <a:gd name="T104" fmla="*/ 143 w 143"/>
            <a:gd name="T105" fmla="*/ 355 h 355"/>
          </a:gdLst>
          <a:ahLst/>
          <a:cxnLst>
            <a:cxn ang="T68">
              <a:pos x="T0" y="T1"/>
            </a:cxn>
            <a:cxn ang="T69">
              <a:pos x="T2" y="T3"/>
            </a:cxn>
            <a:cxn ang="T70">
              <a:pos x="T4" y="T5"/>
            </a:cxn>
            <a:cxn ang="T71">
              <a:pos x="T6" y="T7"/>
            </a:cxn>
            <a:cxn ang="T72">
              <a:pos x="T8" y="T9"/>
            </a:cxn>
            <a:cxn ang="T73">
              <a:pos x="T10" y="T11"/>
            </a:cxn>
            <a:cxn ang="T74">
              <a:pos x="T12" y="T13"/>
            </a:cxn>
            <a:cxn ang="T75">
              <a:pos x="T14" y="T15"/>
            </a:cxn>
            <a:cxn ang="T76">
              <a:pos x="T16" y="T17"/>
            </a:cxn>
            <a:cxn ang="T77">
              <a:pos x="T18" y="T19"/>
            </a:cxn>
            <a:cxn ang="T78">
              <a:pos x="T20" y="T21"/>
            </a:cxn>
            <a:cxn ang="T79">
              <a:pos x="T22" y="T23"/>
            </a:cxn>
            <a:cxn ang="T80">
              <a:pos x="T24" y="T25"/>
            </a:cxn>
            <a:cxn ang="T81">
              <a:pos x="T26" y="T27"/>
            </a:cxn>
            <a:cxn ang="T82">
              <a:pos x="T28" y="T29"/>
            </a:cxn>
            <a:cxn ang="T83">
              <a:pos x="T30" y="T31"/>
            </a:cxn>
            <a:cxn ang="T84">
              <a:pos x="T32" y="T33"/>
            </a:cxn>
            <a:cxn ang="T85">
              <a:pos x="T34" y="T35"/>
            </a:cxn>
            <a:cxn ang="T86">
              <a:pos x="T36" y="T37"/>
            </a:cxn>
            <a:cxn ang="T87">
              <a:pos x="T38" y="T39"/>
            </a:cxn>
            <a:cxn ang="T88">
              <a:pos x="T40" y="T41"/>
            </a:cxn>
            <a:cxn ang="T89">
              <a:pos x="T42" y="T43"/>
            </a:cxn>
            <a:cxn ang="T90">
              <a:pos x="T44" y="T45"/>
            </a:cxn>
            <a:cxn ang="T91">
              <a:pos x="T46" y="T47"/>
            </a:cxn>
            <a:cxn ang="T92">
              <a:pos x="T48" y="T49"/>
            </a:cxn>
            <a:cxn ang="T93">
              <a:pos x="T50" y="T51"/>
            </a:cxn>
            <a:cxn ang="T94">
              <a:pos x="T52" y="T53"/>
            </a:cxn>
            <a:cxn ang="T95">
              <a:pos x="T54" y="T55"/>
            </a:cxn>
            <a:cxn ang="T96">
              <a:pos x="T56" y="T57"/>
            </a:cxn>
            <a:cxn ang="T97">
              <a:pos x="T58" y="T59"/>
            </a:cxn>
            <a:cxn ang="T98">
              <a:pos x="T60" y="T61"/>
            </a:cxn>
            <a:cxn ang="T99">
              <a:pos x="T62" y="T63"/>
            </a:cxn>
            <a:cxn ang="T100">
              <a:pos x="T64" y="T65"/>
            </a:cxn>
            <a:cxn ang="T101">
              <a:pos x="T66" y="T67"/>
            </a:cxn>
          </a:cxnLst>
          <a:rect l="T102" t="T103" r="T104" b="T105"/>
          <a:pathLst>
            <a:path w="143" h="355">
              <a:moveTo>
                <a:pt x="106" y="52"/>
              </a:moveTo>
              <a:lnTo>
                <a:pt x="106" y="76"/>
              </a:lnTo>
              <a:lnTo>
                <a:pt x="127" y="98"/>
              </a:lnTo>
              <a:lnTo>
                <a:pt x="121" y="123"/>
              </a:lnTo>
              <a:lnTo>
                <a:pt x="127" y="173"/>
              </a:lnTo>
              <a:lnTo>
                <a:pt x="121" y="197"/>
              </a:lnTo>
              <a:lnTo>
                <a:pt x="136" y="227"/>
              </a:lnTo>
              <a:lnTo>
                <a:pt x="127" y="244"/>
              </a:lnTo>
              <a:lnTo>
                <a:pt x="143" y="263"/>
              </a:lnTo>
              <a:lnTo>
                <a:pt x="143" y="273"/>
              </a:lnTo>
              <a:lnTo>
                <a:pt x="121" y="318"/>
              </a:lnTo>
              <a:lnTo>
                <a:pt x="94" y="338"/>
              </a:lnTo>
              <a:lnTo>
                <a:pt x="84" y="338"/>
              </a:lnTo>
              <a:lnTo>
                <a:pt x="42" y="355"/>
              </a:lnTo>
              <a:lnTo>
                <a:pt x="9" y="338"/>
              </a:lnTo>
              <a:lnTo>
                <a:pt x="15" y="311"/>
              </a:lnTo>
              <a:lnTo>
                <a:pt x="9" y="279"/>
              </a:lnTo>
              <a:lnTo>
                <a:pt x="50" y="205"/>
              </a:lnTo>
              <a:lnTo>
                <a:pt x="57" y="197"/>
              </a:lnTo>
              <a:lnTo>
                <a:pt x="57" y="180"/>
              </a:lnTo>
              <a:lnTo>
                <a:pt x="50" y="173"/>
              </a:lnTo>
              <a:lnTo>
                <a:pt x="42" y="173"/>
              </a:lnTo>
              <a:lnTo>
                <a:pt x="35" y="84"/>
              </a:lnTo>
              <a:lnTo>
                <a:pt x="0" y="52"/>
              </a:lnTo>
              <a:lnTo>
                <a:pt x="9" y="39"/>
              </a:lnTo>
              <a:lnTo>
                <a:pt x="30" y="61"/>
              </a:lnTo>
              <a:lnTo>
                <a:pt x="57" y="61"/>
              </a:lnTo>
              <a:lnTo>
                <a:pt x="72" y="52"/>
              </a:lnTo>
              <a:lnTo>
                <a:pt x="79" y="14"/>
              </a:lnTo>
              <a:lnTo>
                <a:pt x="94" y="0"/>
              </a:lnTo>
              <a:lnTo>
                <a:pt x="121" y="22"/>
              </a:lnTo>
              <a:lnTo>
                <a:pt x="106" y="52"/>
              </a:lnTo>
              <a:close/>
            </a:path>
          </a:pathLst>
        </a:custGeom>
        <a:solidFill>
          <a:srgbClr val="F5F5F5"/>
        </a:solidFill>
        <a:ln w="9525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36576" tIns="32004" rIns="0" bIns="0" anchor="t"/>
        <a:lstStyle/>
        <a:p>
          <a:pPr algn="l" rtl="0">
            <a:defRPr sz="1000"/>
          </a:pPr>
          <a:endParaRPr lang="en-US" sz="16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en-US"/>
        </a:p>
      </xdr:txBody>
    </xdr:sp>
    <xdr:clientData/>
  </xdr:twoCellAnchor>
  <xdr:twoCellAnchor>
    <xdr:from>
      <xdr:col>10</xdr:col>
      <xdr:colOff>304800</xdr:colOff>
      <xdr:row>18</xdr:row>
      <xdr:rowOff>66675</xdr:rowOff>
    </xdr:from>
    <xdr:to>
      <xdr:col>10</xdr:col>
      <xdr:colOff>571500</xdr:colOff>
      <xdr:row>19</xdr:row>
      <xdr:rowOff>152400</xdr:rowOff>
    </xdr:to>
    <xdr:sp macro="" textlink="">
      <xdr:nvSpPr>
        <xdr:cNvPr id="25860" name="S_BLR"/>
        <xdr:cNvSpPr>
          <a:spLocks/>
        </xdr:cNvSpPr>
      </xdr:nvSpPr>
      <xdr:spPr bwMode="auto">
        <a:xfrm>
          <a:off x="6134100" y="2828925"/>
          <a:ext cx="266700" cy="247650"/>
        </a:xfrm>
        <a:custGeom>
          <a:avLst/>
          <a:gdLst>
            <a:gd name="T0" fmla="*/ 2147483647 w 128"/>
            <a:gd name="T1" fmla="*/ 2147483647 h 119"/>
            <a:gd name="T2" fmla="*/ 2147483647 w 128"/>
            <a:gd name="T3" fmla="*/ 2147483647 h 119"/>
            <a:gd name="T4" fmla="*/ 2147483647 w 128"/>
            <a:gd name="T5" fmla="*/ 2147483647 h 119"/>
            <a:gd name="T6" fmla="*/ 2147483647 w 128"/>
            <a:gd name="T7" fmla="*/ 2147483647 h 119"/>
            <a:gd name="T8" fmla="*/ 2147483647 w 128"/>
            <a:gd name="T9" fmla="*/ 2147483647 h 119"/>
            <a:gd name="T10" fmla="*/ 2147483647 w 128"/>
            <a:gd name="T11" fmla="*/ 2147483647 h 119"/>
            <a:gd name="T12" fmla="*/ 2147483647 w 128"/>
            <a:gd name="T13" fmla="*/ 2147483647 h 119"/>
            <a:gd name="T14" fmla="*/ 2147483647 w 128"/>
            <a:gd name="T15" fmla="*/ 2147483647 h 119"/>
            <a:gd name="T16" fmla="*/ 2147483647 w 128"/>
            <a:gd name="T17" fmla="*/ 2147483647 h 119"/>
            <a:gd name="T18" fmla="*/ 2147483647 w 128"/>
            <a:gd name="T19" fmla="*/ 0 h 119"/>
            <a:gd name="T20" fmla="*/ 2147483647 w 128"/>
            <a:gd name="T21" fmla="*/ 2147483647 h 119"/>
            <a:gd name="T22" fmla="*/ 2147483647 w 128"/>
            <a:gd name="T23" fmla="*/ 2147483647 h 119"/>
            <a:gd name="T24" fmla="*/ 2147483647 w 128"/>
            <a:gd name="T25" fmla="*/ 2147483647 h 119"/>
            <a:gd name="T26" fmla="*/ 2147483647 w 128"/>
            <a:gd name="T27" fmla="*/ 2147483647 h 119"/>
            <a:gd name="T28" fmla="*/ 2147483647 w 128"/>
            <a:gd name="T29" fmla="*/ 2147483647 h 119"/>
            <a:gd name="T30" fmla="*/ 2147483647 w 128"/>
            <a:gd name="T31" fmla="*/ 2147483647 h 119"/>
            <a:gd name="T32" fmla="*/ 0 w 128"/>
            <a:gd name="T33" fmla="*/ 2147483647 h 119"/>
            <a:gd name="T34" fmla="*/ 2147483647 w 128"/>
            <a:gd name="T35" fmla="*/ 2147483647 h 119"/>
            <a:gd name="T36" fmla="*/ 0 w 128"/>
            <a:gd name="T37" fmla="*/ 2147483647 h 119"/>
            <a:gd name="T38" fmla="*/ 0 w 128"/>
            <a:gd name="T39" fmla="*/ 2147483647 h 119"/>
            <a:gd name="T40" fmla="*/ 2147483647 w 128"/>
            <a:gd name="T41" fmla="*/ 2147483647 h 119"/>
            <a:gd name="T42" fmla="*/ 2147483647 w 128"/>
            <a:gd name="T43" fmla="*/ 2147483647 h 119"/>
            <a:gd name="T44" fmla="*/ 2147483647 w 128"/>
            <a:gd name="T45" fmla="*/ 2147483647 h 119"/>
            <a:gd name="T46" fmla="*/ 2147483647 w 128"/>
            <a:gd name="T47" fmla="*/ 2147483647 h 119"/>
            <a:gd name="T48" fmla="*/ 2147483647 w 128"/>
            <a:gd name="T49" fmla="*/ 2147483647 h 119"/>
            <a:gd name="T50" fmla="*/ 2147483647 w 128"/>
            <a:gd name="T51" fmla="*/ 2147483647 h 119"/>
            <a:gd name="T52" fmla="*/ 2147483647 w 128"/>
            <a:gd name="T53" fmla="*/ 2147483647 h 119"/>
            <a:gd name="T54" fmla="*/ 0 60000 65536"/>
            <a:gd name="T55" fmla="*/ 0 60000 65536"/>
            <a:gd name="T56" fmla="*/ 0 60000 65536"/>
            <a:gd name="T57" fmla="*/ 0 60000 65536"/>
            <a:gd name="T58" fmla="*/ 0 60000 65536"/>
            <a:gd name="T59" fmla="*/ 0 60000 65536"/>
            <a:gd name="T60" fmla="*/ 0 60000 65536"/>
            <a:gd name="T61" fmla="*/ 0 60000 65536"/>
            <a:gd name="T62" fmla="*/ 0 60000 65536"/>
            <a:gd name="T63" fmla="*/ 0 60000 65536"/>
            <a:gd name="T64" fmla="*/ 0 60000 65536"/>
            <a:gd name="T65" fmla="*/ 0 60000 65536"/>
            <a:gd name="T66" fmla="*/ 0 60000 65536"/>
            <a:gd name="T67" fmla="*/ 0 60000 65536"/>
            <a:gd name="T68" fmla="*/ 0 60000 65536"/>
            <a:gd name="T69" fmla="*/ 0 60000 65536"/>
            <a:gd name="T70" fmla="*/ 0 60000 65536"/>
            <a:gd name="T71" fmla="*/ 0 60000 65536"/>
            <a:gd name="T72" fmla="*/ 0 60000 65536"/>
            <a:gd name="T73" fmla="*/ 0 60000 65536"/>
            <a:gd name="T74" fmla="*/ 0 60000 65536"/>
            <a:gd name="T75" fmla="*/ 0 60000 65536"/>
            <a:gd name="T76" fmla="*/ 0 60000 65536"/>
            <a:gd name="T77" fmla="*/ 0 60000 65536"/>
            <a:gd name="T78" fmla="*/ 0 60000 65536"/>
            <a:gd name="T79" fmla="*/ 0 60000 65536"/>
            <a:gd name="T80" fmla="*/ 0 60000 65536"/>
            <a:gd name="T81" fmla="*/ 0 w 128"/>
            <a:gd name="T82" fmla="*/ 0 h 119"/>
            <a:gd name="T83" fmla="*/ 128 w 128"/>
            <a:gd name="T84" fmla="*/ 119 h 119"/>
          </a:gdLst>
          <a:ahLst/>
          <a:cxnLst>
            <a:cxn ang="T54">
              <a:pos x="T0" y="T1"/>
            </a:cxn>
            <a:cxn ang="T55">
              <a:pos x="T2" y="T3"/>
            </a:cxn>
            <a:cxn ang="T56">
              <a:pos x="T4" y="T5"/>
            </a:cxn>
            <a:cxn ang="T57">
              <a:pos x="T6" y="T7"/>
            </a:cxn>
            <a:cxn ang="T58">
              <a:pos x="T8" y="T9"/>
            </a:cxn>
            <a:cxn ang="T59">
              <a:pos x="T10" y="T11"/>
            </a:cxn>
            <a:cxn ang="T60">
              <a:pos x="T12" y="T13"/>
            </a:cxn>
            <a:cxn ang="T61">
              <a:pos x="T14" y="T15"/>
            </a:cxn>
            <a:cxn ang="T62">
              <a:pos x="T16" y="T17"/>
            </a:cxn>
            <a:cxn ang="T63">
              <a:pos x="T18" y="T19"/>
            </a:cxn>
            <a:cxn ang="T64">
              <a:pos x="T20" y="T21"/>
            </a:cxn>
            <a:cxn ang="T65">
              <a:pos x="T22" y="T23"/>
            </a:cxn>
            <a:cxn ang="T66">
              <a:pos x="T24" y="T25"/>
            </a:cxn>
            <a:cxn ang="T67">
              <a:pos x="T26" y="T27"/>
            </a:cxn>
            <a:cxn ang="T68">
              <a:pos x="T28" y="T29"/>
            </a:cxn>
            <a:cxn ang="T69">
              <a:pos x="T30" y="T31"/>
            </a:cxn>
            <a:cxn ang="T70">
              <a:pos x="T32" y="T33"/>
            </a:cxn>
            <a:cxn ang="T71">
              <a:pos x="T34" y="T35"/>
            </a:cxn>
            <a:cxn ang="T72">
              <a:pos x="T36" y="T37"/>
            </a:cxn>
            <a:cxn ang="T73">
              <a:pos x="T38" y="T39"/>
            </a:cxn>
            <a:cxn ang="T74">
              <a:pos x="T40" y="T41"/>
            </a:cxn>
            <a:cxn ang="T75">
              <a:pos x="T42" y="T43"/>
            </a:cxn>
            <a:cxn ang="T76">
              <a:pos x="T44" y="T45"/>
            </a:cxn>
            <a:cxn ang="T77">
              <a:pos x="T46" y="T47"/>
            </a:cxn>
            <a:cxn ang="T78">
              <a:pos x="T48" y="T49"/>
            </a:cxn>
            <a:cxn ang="T79">
              <a:pos x="T50" y="T51"/>
            </a:cxn>
            <a:cxn ang="T80">
              <a:pos x="T52" y="T53"/>
            </a:cxn>
          </a:cxnLst>
          <a:rect l="T81" t="T82" r="T83" b="T84"/>
          <a:pathLst>
            <a:path w="128" h="119">
              <a:moveTo>
                <a:pt x="113" y="99"/>
              </a:moveTo>
              <a:lnTo>
                <a:pt x="106" y="84"/>
              </a:lnTo>
              <a:lnTo>
                <a:pt x="106" y="76"/>
              </a:lnTo>
              <a:lnTo>
                <a:pt x="113" y="84"/>
              </a:lnTo>
              <a:lnTo>
                <a:pt x="128" y="62"/>
              </a:lnTo>
              <a:lnTo>
                <a:pt x="113" y="62"/>
              </a:lnTo>
              <a:lnTo>
                <a:pt x="99" y="37"/>
              </a:lnTo>
              <a:lnTo>
                <a:pt x="99" y="15"/>
              </a:lnTo>
              <a:lnTo>
                <a:pt x="91" y="5"/>
              </a:lnTo>
              <a:lnTo>
                <a:pt x="64" y="0"/>
              </a:lnTo>
              <a:lnTo>
                <a:pt x="47" y="15"/>
              </a:lnTo>
              <a:lnTo>
                <a:pt x="47" y="22"/>
              </a:lnTo>
              <a:lnTo>
                <a:pt x="37" y="37"/>
              </a:lnTo>
              <a:lnTo>
                <a:pt x="37" y="52"/>
              </a:lnTo>
              <a:lnTo>
                <a:pt x="20" y="52"/>
              </a:lnTo>
              <a:lnTo>
                <a:pt x="7" y="62"/>
              </a:lnTo>
              <a:lnTo>
                <a:pt x="0" y="62"/>
              </a:lnTo>
              <a:lnTo>
                <a:pt x="7" y="84"/>
              </a:lnTo>
              <a:lnTo>
                <a:pt x="0" y="99"/>
              </a:lnTo>
              <a:lnTo>
                <a:pt x="0" y="119"/>
              </a:lnTo>
              <a:lnTo>
                <a:pt x="14" y="104"/>
              </a:lnTo>
              <a:lnTo>
                <a:pt x="37" y="104"/>
              </a:lnTo>
              <a:lnTo>
                <a:pt x="59" y="119"/>
              </a:lnTo>
              <a:lnTo>
                <a:pt x="99" y="119"/>
              </a:lnTo>
              <a:lnTo>
                <a:pt x="106" y="99"/>
              </a:lnTo>
              <a:lnTo>
                <a:pt x="113" y="99"/>
              </a:lnTo>
              <a:close/>
            </a:path>
          </a:pathLst>
        </a:custGeom>
        <a:solidFill>
          <a:srgbClr val="F5F5F5"/>
        </a:solidFill>
        <a:ln w="9525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36576" tIns="32004" rIns="0" bIns="0" anchor="t"/>
        <a:lstStyle/>
        <a:p>
          <a:pPr algn="l" rtl="0">
            <a:defRPr sz="1000"/>
          </a:pPr>
          <a:endParaRPr lang="en-US" sz="16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en-US"/>
        </a:p>
      </xdr:txBody>
    </xdr:sp>
    <xdr:clientData/>
  </xdr:twoCellAnchor>
  <xdr:twoCellAnchor>
    <xdr:from>
      <xdr:col>10</xdr:col>
      <xdr:colOff>257175</xdr:colOff>
      <xdr:row>19</xdr:row>
      <xdr:rowOff>104775</xdr:rowOff>
    </xdr:from>
    <xdr:to>
      <xdr:col>11</xdr:col>
      <xdr:colOff>66675</xdr:colOff>
      <xdr:row>22</xdr:row>
      <xdr:rowOff>0</xdr:rowOff>
    </xdr:to>
    <xdr:sp macro="" textlink="">
      <xdr:nvSpPr>
        <xdr:cNvPr id="25861" name="S_UKR"/>
        <xdr:cNvSpPr>
          <a:spLocks/>
        </xdr:cNvSpPr>
      </xdr:nvSpPr>
      <xdr:spPr bwMode="auto">
        <a:xfrm>
          <a:off x="6086475" y="3028950"/>
          <a:ext cx="523875" cy="381000"/>
        </a:xfrm>
        <a:custGeom>
          <a:avLst/>
          <a:gdLst>
            <a:gd name="T0" fmla="*/ 2147483647 w 251"/>
            <a:gd name="T1" fmla="*/ 2147483647 h 180"/>
            <a:gd name="T2" fmla="*/ 2147483647 w 251"/>
            <a:gd name="T3" fmla="*/ 2147483647 h 180"/>
            <a:gd name="T4" fmla="*/ 2147483647 w 251"/>
            <a:gd name="T5" fmla="*/ 2147483647 h 180"/>
            <a:gd name="T6" fmla="*/ 2147483647 w 251"/>
            <a:gd name="T7" fmla="*/ 2147483647 h 180"/>
            <a:gd name="T8" fmla="*/ 2147483647 w 251"/>
            <a:gd name="T9" fmla="*/ 2147483647 h 180"/>
            <a:gd name="T10" fmla="*/ 2147483647 w 251"/>
            <a:gd name="T11" fmla="*/ 2147483647 h 180"/>
            <a:gd name="T12" fmla="*/ 2147483647 w 251"/>
            <a:gd name="T13" fmla="*/ 2147483647 h 180"/>
            <a:gd name="T14" fmla="*/ 2147483647 w 251"/>
            <a:gd name="T15" fmla="*/ 2147483647 h 180"/>
            <a:gd name="T16" fmla="*/ 2147483647 w 251"/>
            <a:gd name="T17" fmla="*/ 2147483647 h 180"/>
            <a:gd name="T18" fmla="*/ 2147483647 w 251"/>
            <a:gd name="T19" fmla="*/ 2147483647 h 180"/>
            <a:gd name="T20" fmla="*/ 2147483647 w 251"/>
            <a:gd name="T21" fmla="*/ 2147483647 h 180"/>
            <a:gd name="T22" fmla="*/ 0 w 251"/>
            <a:gd name="T23" fmla="*/ 2147483647 h 180"/>
            <a:gd name="T24" fmla="*/ 2147483647 w 251"/>
            <a:gd name="T25" fmla="*/ 2147483647 h 180"/>
            <a:gd name="T26" fmla="*/ 2147483647 w 251"/>
            <a:gd name="T27" fmla="*/ 2147483647 h 180"/>
            <a:gd name="T28" fmla="*/ 2147483647 w 251"/>
            <a:gd name="T29" fmla="*/ 2147483647 h 180"/>
            <a:gd name="T30" fmla="*/ 2147483647 w 251"/>
            <a:gd name="T31" fmla="*/ 2147483647 h 180"/>
            <a:gd name="T32" fmla="*/ 2147483647 w 251"/>
            <a:gd name="T33" fmla="*/ 2147483647 h 180"/>
            <a:gd name="T34" fmla="*/ 2147483647 w 251"/>
            <a:gd name="T35" fmla="*/ 2147483647 h 180"/>
            <a:gd name="T36" fmla="*/ 2147483647 w 251"/>
            <a:gd name="T37" fmla="*/ 2147483647 h 180"/>
            <a:gd name="T38" fmla="*/ 2147483647 w 251"/>
            <a:gd name="T39" fmla="*/ 0 h 180"/>
            <a:gd name="T40" fmla="*/ 2147483647 w 251"/>
            <a:gd name="T41" fmla="*/ 0 h 180"/>
            <a:gd name="T42" fmla="*/ 2147483647 w 251"/>
            <a:gd name="T43" fmla="*/ 2147483647 h 180"/>
            <a:gd name="T44" fmla="*/ 2147483647 w 251"/>
            <a:gd name="T45" fmla="*/ 2147483647 h 180"/>
            <a:gd name="T46" fmla="*/ 2147483647 w 251"/>
            <a:gd name="T47" fmla="*/ 2147483647 h 180"/>
            <a:gd name="T48" fmla="*/ 2147483647 w 251"/>
            <a:gd name="T49" fmla="*/ 2147483647 h 180"/>
            <a:gd name="T50" fmla="*/ 2147483647 w 251"/>
            <a:gd name="T51" fmla="*/ 2147483647 h 180"/>
            <a:gd name="T52" fmla="*/ 2147483647 w 251"/>
            <a:gd name="T53" fmla="*/ 2147483647 h 180"/>
            <a:gd name="T54" fmla="*/ 2147483647 w 251"/>
            <a:gd name="T55" fmla="*/ 2147483647 h 180"/>
            <a:gd name="T56" fmla="*/ 2147483647 w 251"/>
            <a:gd name="T57" fmla="*/ 2147483647 h 180"/>
            <a:gd name="T58" fmla="*/ 2147483647 w 251"/>
            <a:gd name="T59" fmla="*/ 2147483647 h 180"/>
            <a:gd name="T60" fmla="*/ 2147483647 w 251"/>
            <a:gd name="T61" fmla="*/ 2147483647 h 180"/>
            <a:gd name="T62" fmla="*/ 2147483647 w 251"/>
            <a:gd name="T63" fmla="*/ 2147483647 h 180"/>
            <a:gd name="T64" fmla="*/ 2147483647 w 251"/>
            <a:gd name="T65" fmla="*/ 2147483647 h 180"/>
            <a:gd name="T66" fmla="*/ 2147483647 w 251"/>
            <a:gd name="T67" fmla="*/ 2147483647 h 180"/>
            <a:gd name="T68" fmla="*/ 2147483647 w 251"/>
            <a:gd name="T69" fmla="*/ 2147483647 h 180"/>
            <a:gd name="T70" fmla="*/ 2147483647 w 251"/>
            <a:gd name="T71" fmla="*/ 2147483647 h 180"/>
            <a:gd name="T72" fmla="*/ 2147483647 w 251"/>
            <a:gd name="T73" fmla="*/ 2147483647 h 180"/>
            <a:gd name="T74" fmla="*/ 2147483647 w 251"/>
            <a:gd name="T75" fmla="*/ 2147483647 h 180"/>
            <a:gd name="T76" fmla="*/ 2147483647 w 251"/>
            <a:gd name="T77" fmla="*/ 2147483647 h 180"/>
            <a:gd name="T78" fmla="*/ 2147483647 w 251"/>
            <a:gd name="T79" fmla="*/ 2147483647 h 180"/>
            <a:gd name="T80" fmla="*/ 2147483647 w 251"/>
            <a:gd name="T81" fmla="*/ 2147483647 h 180"/>
            <a:gd name="T82" fmla="*/ 2147483647 w 251"/>
            <a:gd name="T83" fmla="*/ 2147483647 h 180"/>
            <a:gd name="T84" fmla="*/ 2147483647 w 251"/>
            <a:gd name="T85" fmla="*/ 2147483647 h 180"/>
            <a:gd name="T86" fmla="*/ 2147483647 w 251"/>
            <a:gd name="T87" fmla="*/ 2147483647 h 180"/>
            <a:gd name="T88" fmla="*/ 2147483647 w 251"/>
            <a:gd name="T89" fmla="*/ 2147483647 h 180"/>
            <a:gd name="T90" fmla="*/ 2147483647 w 251"/>
            <a:gd name="T91" fmla="*/ 2147483647 h 180"/>
            <a:gd name="T92" fmla="*/ 2147483647 w 251"/>
            <a:gd name="T93" fmla="*/ 2147483647 h 180"/>
            <a:gd name="T94" fmla="*/ 2147483647 w 251"/>
            <a:gd name="T95" fmla="*/ 2147483647 h 180"/>
            <a:gd name="T96" fmla="*/ 2147483647 w 251"/>
            <a:gd name="T97" fmla="*/ 2147483647 h 180"/>
            <a:gd name="T98" fmla="*/ 2147483647 w 251"/>
            <a:gd name="T99" fmla="*/ 2147483647 h 180"/>
            <a:gd name="T100" fmla="*/ 2147483647 w 251"/>
            <a:gd name="T101" fmla="*/ 2147483647 h 180"/>
            <a:gd name="T102" fmla="*/ 0 60000 65536"/>
            <a:gd name="T103" fmla="*/ 0 60000 65536"/>
            <a:gd name="T104" fmla="*/ 0 60000 65536"/>
            <a:gd name="T105" fmla="*/ 0 60000 65536"/>
            <a:gd name="T106" fmla="*/ 0 60000 65536"/>
            <a:gd name="T107" fmla="*/ 0 60000 65536"/>
            <a:gd name="T108" fmla="*/ 0 60000 65536"/>
            <a:gd name="T109" fmla="*/ 0 60000 65536"/>
            <a:gd name="T110" fmla="*/ 0 60000 65536"/>
            <a:gd name="T111" fmla="*/ 0 60000 65536"/>
            <a:gd name="T112" fmla="*/ 0 60000 65536"/>
            <a:gd name="T113" fmla="*/ 0 60000 65536"/>
            <a:gd name="T114" fmla="*/ 0 60000 65536"/>
            <a:gd name="T115" fmla="*/ 0 60000 65536"/>
            <a:gd name="T116" fmla="*/ 0 60000 65536"/>
            <a:gd name="T117" fmla="*/ 0 60000 65536"/>
            <a:gd name="T118" fmla="*/ 0 60000 65536"/>
            <a:gd name="T119" fmla="*/ 0 60000 65536"/>
            <a:gd name="T120" fmla="*/ 0 60000 65536"/>
            <a:gd name="T121" fmla="*/ 0 60000 65536"/>
            <a:gd name="T122" fmla="*/ 0 60000 65536"/>
            <a:gd name="T123" fmla="*/ 0 60000 65536"/>
            <a:gd name="T124" fmla="*/ 0 60000 65536"/>
            <a:gd name="T125" fmla="*/ 0 60000 65536"/>
            <a:gd name="T126" fmla="*/ 0 60000 65536"/>
            <a:gd name="T127" fmla="*/ 0 60000 65536"/>
            <a:gd name="T128" fmla="*/ 0 60000 65536"/>
            <a:gd name="T129" fmla="*/ 0 60000 65536"/>
            <a:gd name="T130" fmla="*/ 0 60000 65536"/>
            <a:gd name="T131" fmla="*/ 0 60000 65536"/>
            <a:gd name="T132" fmla="*/ 0 60000 65536"/>
            <a:gd name="T133" fmla="*/ 0 60000 65536"/>
            <a:gd name="T134" fmla="*/ 0 60000 65536"/>
            <a:gd name="T135" fmla="*/ 0 60000 65536"/>
            <a:gd name="T136" fmla="*/ 0 60000 65536"/>
            <a:gd name="T137" fmla="*/ 0 60000 65536"/>
            <a:gd name="T138" fmla="*/ 0 60000 65536"/>
            <a:gd name="T139" fmla="*/ 0 60000 65536"/>
            <a:gd name="T140" fmla="*/ 0 60000 65536"/>
            <a:gd name="T141" fmla="*/ 0 60000 65536"/>
            <a:gd name="T142" fmla="*/ 0 60000 65536"/>
            <a:gd name="T143" fmla="*/ 0 60000 65536"/>
            <a:gd name="T144" fmla="*/ 0 60000 65536"/>
            <a:gd name="T145" fmla="*/ 0 60000 65536"/>
            <a:gd name="T146" fmla="*/ 0 60000 65536"/>
            <a:gd name="T147" fmla="*/ 0 60000 65536"/>
            <a:gd name="T148" fmla="*/ 0 60000 65536"/>
            <a:gd name="T149" fmla="*/ 0 60000 65536"/>
            <a:gd name="T150" fmla="*/ 0 60000 65536"/>
            <a:gd name="T151" fmla="*/ 0 60000 65536"/>
            <a:gd name="T152" fmla="*/ 0 60000 65536"/>
            <a:gd name="T153" fmla="*/ 0 w 251"/>
            <a:gd name="T154" fmla="*/ 0 h 180"/>
            <a:gd name="T155" fmla="*/ 251 w 251"/>
            <a:gd name="T156" fmla="*/ 180 h 180"/>
          </a:gdLst>
          <a:ahLst/>
          <a:cxnLst>
            <a:cxn ang="T102">
              <a:pos x="T0" y="T1"/>
            </a:cxn>
            <a:cxn ang="T103">
              <a:pos x="T2" y="T3"/>
            </a:cxn>
            <a:cxn ang="T104">
              <a:pos x="T4" y="T5"/>
            </a:cxn>
            <a:cxn ang="T105">
              <a:pos x="T6" y="T7"/>
            </a:cxn>
            <a:cxn ang="T106">
              <a:pos x="T8" y="T9"/>
            </a:cxn>
            <a:cxn ang="T107">
              <a:pos x="T10" y="T11"/>
            </a:cxn>
            <a:cxn ang="T108">
              <a:pos x="T12" y="T13"/>
            </a:cxn>
            <a:cxn ang="T109">
              <a:pos x="T14" y="T15"/>
            </a:cxn>
            <a:cxn ang="T110">
              <a:pos x="T16" y="T17"/>
            </a:cxn>
            <a:cxn ang="T111">
              <a:pos x="T18" y="T19"/>
            </a:cxn>
            <a:cxn ang="T112">
              <a:pos x="T20" y="T21"/>
            </a:cxn>
            <a:cxn ang="T113">
              <a:pos x="T22" y="T23"/>
            </a:cxn>
            <a:cxn ang="T114">
              <a:pos x="T24" y="T25"/>
            </a:cxn>
            <a:cxn ang="T115">
              <a:pos x="T26" y="T27"/>
            </a:cxn>
            <a:cxn ang="T116">
              <a:pos x="T28" y="T29"/>
            </a:cxn>
            <a:cxn ang="T117">
              <a:pos x="T30" y="T31"/>
            </a:cxn>
            <a:cxn ang="T118">
              <a:pos x="T32" y="T33"/>
            </a:cxn>
            <a:cxn ang="T119">
              <a:pos x="T34" y="T35"/>
            </a:cxn>
            <a:cxn ang="T120">
              <a:pos x="T36" y="T37"/>
            </a:cxn>
            <a:cxn ang="T121">
              <a:pos x="T38" y="T39"/>
            </a:cxn>
            <a:cxn ang="T122">
              <a:pos x="T40" y="T41"/>
            </a:cxn>
            <a:cxn ang="T123">
              <a:pos x="T42" y="T43"/>
            </a:cxn>
            <a:cxn ang="T124">
              <a:pos x="T44" y="T45"/>
            </a:cxn>
            <a:cxn ang="T125">
              <a:pos x="T46" y="T47"/>
            </a:cxn>
            <a:cxn ang="T126">
              <a:pos x="T48" y="T49"/>
            </a:cxn>
            <a:cxn ang="T127">
              <a:pos x="T50" y="T51"/>
            </a:cxn>
            <a:cxn ang="T128">
              <a:pos x="T52" y="T53"/>
            </a:cxn>
            <a:cxn ang="T129">
              <a:pos x="T54" y="T55"/>
            </a:cxn>
            <a:cxn ang="T130">
              <a:pos x="T56" y="T57"/>
            </a:cxn>
            <a:cxn ang="T131">
              <a:pos x="T58" y="T59"/>
            </a:cxn>
            <a:cxn ang="T132">
              <a:pos x="T60" y="T61"/>
            </a:cxn>
            <a:cxn ang="T133">
              <a:pos x="T62" y="T63"/>
            </a:cxn>
            <a:cxn ang="T134">
              <a:pos x="T64" y="T65"/>
            </a:cxn>
            <a:cxn ang="T135">
              <a:pos x="T66" y="T67"/>
            </a:cxn>
            <a:cxn ang="T136">
              <a:pos x="T68" y="T69"/>
            </a:cxn>
            <a:cxn ang="T137">
              <a:pos x="T70" y="T71"/>
            </a:cxn>
            <a:cxn ang="T138">
              <a:pos x="T72" y="T73"/>
            </a:cxn>
            <a:cxn ang="T139">
              <a:pos x="T74" y="T75"/>
            </a:cxn>
            <a:cxn ang="T140">
              <a:pos x="T76" y="T77"/>
            </a:cxn>
            <a:cxn ang="T141">
              <a:pos x="T78" y="T79"/>
            </a:cxn>
            <a:cxn ang="T142">
              <a:pos x="T80" y="T81"/>
            </a:cxn>
            <a:cxn ang="T143">
              <a:pos x="T82" y="T83"/>
            </a:cxn>
            <a:cxn ang="T144">
              <a:pos x="T84" y="T85"/>
            </a:cxn>
            <a:cxn ang="T145">
              <a:pos x="T86" y="T87"/>
            </a:cxn>
            <a:cxn ang="T146">
              <a:pos x="T88" y="T89"/>
            </a:cxn>
            <a:cxn ang="T147">
              <a:pos x="T90" y="T91"/>
            </a:cxn>
            <a:cxn ang="T148">
              <a:pos x="T92" y="T93"/>
            </a:cxn>
            <a:cxn ang="T149">
              <a:pos x="T94" y="T95"/>
            </a:cxn>
            <a:cxn ang="T150">
              <a:pos x="T96" y="T97"/>
            </a:cxn>
            <a:cxn ang="T151">
              <a:pos x="T98" y="T99"/>
            </a:cxn>
            <a:cxn ang="T152">
              <a:pos x="T100" y="T101"/>
            </a:cxn>
          </a:cxnLst>
          <a:rect l="T153" t="T154" r="T155" b="T156"/>
          <a:pathLst>
            <a:path w="251" h="180">
              <a:moveTo>
                <a:pt x="107" y="160"/>
              </a:moveTo>
              <a:lnTo>
                <a:pt x="87" y="160"/>
              </a:lnTo>
              <a:lnTo>
                <a:pt x="87" y="152"/>
              </a:lnTo>
              <a:lnTo>
                <a:pt x="92" y="130"/>
              </a:lnTo>
              <a:lnTo>
                <a:pt x="113" y="130"/>
              </a:lnTo>
              <a:lnTo>
                <a:pt x="113" y="121"/>
              </a:lnTo>
              <a:lnTo>
                <a:pt x="107" y="105"/>
              </a:lnTo>
              <a:lnTo>
                <a:pt x="107" y="91"/>
              </a:lnTo>
              <a:lnTo>
                <a:pt x="80" y="83"/>
              </a:lnTo>
              <a:lnTo>
                <a:pt x="41" y="105"/>
              </a:lnTo>
              <a:lnTo>
                <a:pt x="16" y="105"/>
              </a:lnTo>
              <a:lnTo>
                <a:pt x="0" y="91"/>
              </a:lnTo>
              <a:lnTo>
                <a:pt x="16" y="76"/>
              </a:lnTo>
              <a:lnTo>
                <a:pt x="26" y="46"/>
              </a:lnTo>
              <a:lnTo>
                <a:pt x="21" y="21"/>
              </a:lnTo>
              <a:lnTo>
                <a:pt x="35" y="7"/>
              </a:lnTo>
              <a:lnTo>
                <a:pt x="58" y="7"/>
              </a:lnTo>
              <a:lnTo>
                <a:pt x="80" y="21"/>
              </a:lnTo>
              <a:lnTo>
                <a:pt x="122" y="21"/>
              </a:lnTo>
              <a:lnTo>
                <a:pt x="129" y="0"/>
              </a:lnTo>
              <a:lnTo>
                <a:pt x="162" y="0"/>
              </a:lnTo>
              <a:lnTo>
                <a:pt x="170" y="7"/>
              </a:lnTo>
              <a:lnTo>
                <a:pt x="162" y="7"/>
              </a:lnTo>
              <a:lnTo>
                <a:pt x="170" y="21"/>
              </a:lnTo>
              <a:lnTo>
                <a:pt x="186" y="21"/>
              </a:lnTo>
              <a:lnTo>
                <a:pt x="192" y="37"/>
              </a:lnTo>
              <a:lnTo>
                <a:pt x="201" y="46"/>
              </a:lnTo>
              <a:lnTo>
                <a:pt x="207" y="37"/>
              </a:lnTo>
              <a:lnTo>
                <a:pt x="251" y="68"/>
              </a:lnTo>
              <a:lnTo>
                <a:pt x="242" y="105"/>
              </a:lnTo>
              <a:lnTo>
                <a:pt x="236" y="91"/>
              </a:lnTo>
              <a:lnTo>
                <a:pt x="229" y="105"/>
              </a:lnTo>
              <a:lnTo>
                <a:pt x="229" y="121"/>
              </a:lnTo>
              <a:lnTo>
                <a:pt x="214" y="121"/>
              </a:lnTo>
              <a:lnTo>
                <a:pt x="170" y="152"/>
              </a:lnTo>
              <a:lnTo>
                <a:pt x="192" y="160"/>
              </a:lnTo>
              <a:lnTo>
                <a:pt x="201" y="160"/>
              </a:lnTo>
              <a:lnTo>
                <a:pt x="192" y="160"/>
              </a:lnTo>
              <a:lnTo>
                <a:pt x="162" y="180"/>
              </a:lnTo>
              <a:lnTo>
                <a:pt x="157" y="180"/>
              </a:lnTo>
              <a:lnTo>
                <a:pt x="157" y="167"/>
              </a:lnTo>
              <a:lnTo>
                <a:pt x="150" y="160"/>
              </a:lnTo>
              <a:lnTo>
                <a:pt x="162" y="152"/>
              </a:lnTo>
              <a:lnTo>
                <a:pt x="135" y="137"/>
              </a:lnTo>
              <a:lnTo>
                <a:pt x="135" y="130"/>
              </a:lnTo>
              <a:lnTo>
                <a:pt x="122" y="130"/>
              </a:lnTo>
              <a:lnTo>
                <a:pt x="113" y="152"/>
              </a:lnTo>
              <a:lnTo>
                <a:pt x="107" y="152"/>
              </a:lnTo>
              <a:lnTo>
                <a:pt x="107" y="160"/>
              </a:lnTo>
              <a:close/>
            </a:path>
          </a:pathLst>
        </a:custGeom>
        <a:solidFill>
          <a:srgbClr val="F5F5F5"/>
        </a:solidFill>
        <a:ln w="9525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36576" tIns="32004" rIns="0" bIns="0" anchor="t"/>
        <a:lstStyle/>
        <a:p>
          <a:pPr algn="l" rtl="0">
            <a:defRPr sz="1000"/>
          </a:pPr>
          <a:endParaRPr lang="en-US" sz="16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en-US"/>
        </a:p>
      </xdr:txBody>
    </xdr:sp>
    <xdr:clientData/>
  </xdr:twoCellAnchor>
  <xdr:twoCellAnchor>
    <xdr:from>
      <xdr:col>10</xdr:col>
      <xdr:colOff>238125</xdr:colOff>
      <xdr:row>17</xdr:row>
      <xdr:rowOff>123825</xdr:rowOff>
    </xdr:from>
    <xdr:to>
      <xdr:col>10</xdr:col>
      <xdr:colOff>438150</xdr:colOff>
      <xdr:row>18</xdr:row>
      <xdr:rowOff>104775</xdr:rowOff>
    </xdr:to>
    <xdr:sp macro="" textlink="">
      <xdr:nvSpPr>
        <xdr:cNvPr id="25862" name="S_LVA"/>
        <xdr:cNvSpPr>
          <a:spLocks/>
        </xdr:cNvSpPr>
      </xdr:nvSpPr>
      <xdr:spPr bwMode="auto">
        <a:xfrm>
          <a:off x="6067425" y="2724150"/>
          <a:ext cx="200025" cy="142875"/>
        </a:xfrm>
        <a:custGeom>
          <a:avLst/>
          <a:gdLst>
            <a:gd name="T0" fmla="*/ 187101741 w 97"/>
            <a:gd name="T1" fmla="*/ 0 h 68"/>
            <a:gd name="T2" fmla="*/ 187101741 w 97"/>
            <a:gd name="T3" fmla="*/ 119195549 h 68"/>
            <a:gd name="T4" fmla="*/ 123316437 w 97"/>
            <a:gd name="T5" fmla="*/ 119195549 h 68"/>
            <a:gd name="T6" fmla="*/ 102056054 w 97"/>
            <a:gd name="T7" fmla="*/ 52975101 h 68"/>
            <a:gd name="T8" fmla="*/ 29766606 w 97"/>
            <a:gd name="T9" fmla="*/ 83878126 h 68"/>
            <a:gd name="T10" fmla="*/ 0 w 97"/>
            <a:gd name="T11" fmla="*/ 150098590 h 68"/>
            <a:gd name="T12" fmla="*/ 0 w 97"/>
            <a:gd name="T13" fmla="*/ 256048760 h 68"/>
            <a:gd name="T14" fmla="*/ 29766606 w 97"/>
            <a:gd name="T15" fmla="*/ 225145751 h 68"/>
            <a:gd name="T16" fmla="*/ 212616262 w 97"/>
            <a:gd name="T17" fmla="*/ 225145751 h 68"/>
            <a:gd name="T18" fmla="*/ 344436884 w 97"/>
            <a:gd name="T19" fmla="*/ 300195079 h 68"/>
            <a:gd name="T20" fmla="*/ 412474232 w 97"/>
            <a:gd name="T21" fmla="*/ 225145751 h 68"/>
            <a:gd name="T22" fmla="*/ 386959711 w 97"/>
            <a:gd name="T23" fmla="*/ 119195549 h 68"/>
            <a:gd name="T24" fmla="*/ 386959711 w 97"/>
            <a:gd name="T25" fmla="*/ 52975101 h 68"/>
            <a:gd name="T26" fmla="*/ 314670287 w 97"/>
            <a:gd name="T27" fmla="*/ 52975101 h 68"/>
            <a:gd name="T28" fmla="*/ 212616262 w 97"/>
            <a:gd name="T29" fmla="*/ 0 h 68"/>
            <a:gd name="T30" fmla="*/ 187101741 w 97"/>
            <a:gd name="T31" fmla="*/ 0 h 68"/>
            <a:gd name="T32" fmla="*/ 187101741 w 97"/>
            <a:gd name="T33" fmla="*/ 0 h 68"/>
            <a:gd name="T34" fmla="*/ 187101741 w 97"/>
            <a:gd name="T35" fmla="*/ 0 h 68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60000 65536"/>
            <a:gd name="T52" fmla="*/ 0 60000 65536"/>
            <a:gd name="T53" fmla="*/ 0 60000 65536"/>
            <a:gd name="T54" fmla="*/ 0 w 97"/>
            <a:gd name="T55" fmla="*/ 0 h 68"/>
            <a:gd name="T56" fmla="*/ 97 w 97"/>
            <a:gd name="T57" fmla="*/ 68 h 68"/>
          </a:gdLst>
          <a:ahLst/>
          <a:cxnLst>
            <a:cxn ang="T36">
              <a:pos x="T0" y="T1"/>
            </a:cxn>
            <a:cxn ang="T37">
              <a:pos x="T2" y="T3"/>
            </a:cxn>
            <a:cxn ang="T38">
              <a:pos x="T4" y="T5"/>
            </a:cxn>
            <a:cxn ang="T39">
              <a:pos x="T6" y="T7"/>
            </a:cxn>
            <a:cxn ang="T40">
              <a:pos x="T8" y="T9"/>
            </a:cxn>
            <a:cxn ang="T41">
              <a:pos x="T10" y="T11"/>
            </a:cxn>
            <a:cxn ang="T42">
              <a:pos x="T12" y="T13"/>
            </a:cxn>
            <a:cxn ang="T43">
              <a:pos x="T14" y="T15"/>
            </a:cxn>
            <a:cxn ang="T44">
              <a:pos x="T16" y="T17"/>
            </a:cxn>
            <a:cxn ang="T45">
              <a:pos x="T18" y="T19"/>
            </a:cxn>
            <a:cxn ang="T46">
              <a:pos x="T20" y="T21"/>
            </a:cxn>
            <a:cxn ang="T47">
              <a:pos x="T22" y="T23"/>
            </a:cxn>
            <a:cxn ang="T48">
              <a:pos x="T24" y="T25"/>
            </a:cxn>
            <a:cxn ang="T49">
              <a:pos x="T26" y="T27"/>
            </a:cxn>
            <a:cxn ang="T50">
              <a:pos x="T28" y="T29"/>
            </a:cxn>
            <a:cxn ang="T51">
              <a:pos x="T30" y="T31"/>
            </a:cxn>
            <a:cxn ang="T52">
              <a:pos x="T32" y="T33"/>
            </a:cxn>
            <a:cxn ang="T53">
              <a:pos x="T34" y="T35"/>
            </a:cxn>
          </a:cxnLst>
          <a:rect l="T54" t="T55" r="T56" b="T57"/>
          <a:pathLst>
            <a:path w="97" h="68">
              <a:moveTo>
                <a:pt x="44" y="0"/>
              </a:moveTo>
              <a:lnTo>
                <a:pt x="44" y="27"/>
              </a:lnTo>
              <a:lnTo>
                <a:pt x="29" y="27"/>
              </a:lnTo>
              <a:lnTo>
                <a:pt x="24" y="12"/>
              </a:lnTo>
              <a:lnTo>
                <a:pt x="7" y="19"/>
              </a:lnTo>
              <a:lnTo>
                <a:pt x="0" y="34"/>
              </a:lnTo>
              <a:lnTo>
                <a:pt x="0" y="58"/>
              </a:lnTo>
              <a:lnTo>
                <a:pt x="7" y="51"/>
              </a:lnTo>
              <a:lnTo>
                <a:pt x="50" y="51"/>
              </a:lnTo>
              <a:lnTo>
                <a:pt x="81" y="68"/>
              </a:lnTo>
              <a:lnTo>
                <a:pt x="97" y="51"/>
              </a:lnTo>
              <a:lnTo>
                <a:pt x="91" y="27"/>
              </a:lnTo>
              <a:lnTo>
                <a:pt x="91" y="12"/>
              </a:lnTo>
              <a:lnTo>
                <a:pt x="74" y="12"/>
              </a:lnTo>
              <a:lnTo>
                <a:pt x="50" y="0"/>
              </a:lnTo>
              <a:lnTo>
                <a:pt x="44" y="0"/>
              </a:lnTo>
              <a:close/>
            </a:path>
          </a:pathLst>
        </a:custGeom>
        <a:solidFill>
          <a:srgbClr val="F5F5F5"/>
        </a:solidFill>
        <a:ln w="9525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36576" tIns="32004" rIns="0" bIns="0" anchor="t"/>
        <a:lstStyle/>
        <a:p>
          <a:pPr algn="l" rtl="0">
            <a:defRPr sz="1000"/>
          </a:pPr>
          <a:endParaRPr lang="en-US" sz="16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en-US"/>
        </a:p>
      </xdr:txBody>
    </xdr:sp>
    <xdr:clientData/>
  </xdr:twoCellAnchor>
  <xdr:twoCellAnchor>
    <xdr:from>
      <xdr:col>10</xdr:col>
      <xdr:colOff>238125</xdr:colOff>
      <xdr:row>18</xdr:row>
      <xdr:rowOff>57150</xdr:rowOff>
    </xdr:from>
    <xdr:to>
      <xdr:col>10</xdr:col>
      <xdr:colOff>400050</xdr:colOff>
      <xdr:row>19</xdr:row>
      <xdr:rowOff>28575</xdr:rowOff>
    </xdr:to>
    <xdr:sp macro="" textlink="">
      <xdr:nvSpPr>
        <xdr:cNvPr id="25863" name="S_LTU"/>
        <xdr:cNvSpPr>
          <a:spLocks/>
        </xdr:cNvSpPr>
      </xdr:nvSpPr>
      <xdr:spPr bwMode="auto">
        <a:xfrm>
          <a:off x="6067425" y="2819400"/>
          <a:ext cx="161925" cy="133350"/>
        </a:xfrm>
        <a:custGeom>
          <a:avLst/>
          <a:gdLst>
            <a:gd name="T0" fmla="*/ 0 w 79"/>
            <a:gd name="T1" fmla="*/ 112007656 h 63"/>
            <a:gd name="T2" fmla="*/ 0 w 79"/>
            <a:gd name="T3" fmla="*/ 35841525 h 63"/>
            <a:gd name="T4" fmla="*/ 29408856 w 79"/>
            <a:gd name="T5" fmla="*/ 0 h 63"/>
            <a:gd name="T6" fmla="*/ 205857902 w 79"/>
            <a:gd name="T7" fmla="*/ 0 h 63"/>
            <a:gd name="T8" fmla="*/ 331895008 w 79"/>
            <a:gd name="T9" fmla="*/ 80645014 h 63"/>
            <a:gd name="T10" fmla="*/ 331895008 w 79"/>
            <a:gd name="T11" fmla="*/ 112007656 h 63"/>
            <a:gd name="T12" fmla="*/ 277279161 w 79"/>
            <a:gd name="T13" fmla="*/ 179211839 h 63"/>
            <a:gd name="T14" fmla="*/ 277279161 w 79"/>
            <a:gd name="T15" fmla="*/ 246415990 h 63"/>
            <a:gd name="T16" fmla="*/ 205857902 w 79"/>
            <a:gd name="T17" fmla="*/ 246415990 h 63"/>
            <a:gd name="T18" fmla="*/ 147042255 w 79"/>
            <a:gd name="T19" fmla="*/ 282257564 h 63"/>
            <a:gd name="T20" fmla="*/ 121835225 w 79"/>
            <a:gd name="T21" fmla="*/ 282257564 h 63"/>
            <a:gd name="T22" fmla="*/ 92426376 w 79"/>
            <a:gd name="T23" fmla="*/ 246415990 h 63"/>
            <a:gd name="T24" fmla="*/ 92426376 w 79"/>
            <a:gd name="T25" fmla="*/ 112007656 h 63"/>
            <a:gd name="T26" fmla="*/ 0 w 79"/>
            <a:gd name="T27" fmla="*/ 112007656 h 63"/>
            <a:gd name="T28" fmla="*/ 0 w 79"/>
            <a:gd name="T29" fmla="*/ 112007656 h 63"/>
            <a:gd name="T30" fmla="*/ 0 w 79"/>
            <a:gd name="T31" fmla="*/ 112007656 h 63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w 79"/>
            <a:gd name="T49" fmla="*/ 0 h 63"/>
            <a:gd name="T50" fmla="*/ 79 w 79"/>
            <a:gd name="T51" fmla="*/ 63 h 63"/>
          </a:gdLst>
          <a:ahLst/>
          <a:cxnLst>
            <a:cxn ang="T32">
              <a:pos x="T0" y="T1"/>
            </a:cxn>
            <a:cxn ang="T33">
              <a:pos x="T2" y="T3"/>
            </a:cxn>
            <a:cxn ang="T34">
              <a:pos x="T4" y="T5"/>
            </a:cxn>
            <a:cxn ang="T35">
              <a:pos x="T6" y="T7"/>
            </a:cxn>
            <a:cxn ang="T36">
              <a:pos x="T8" y="T9"/>
            </a:cxn>
            <a:cxn ang="T37">
              <a:pos x="T10" y="T11"/>
            </a:cxn>
            <a:cxn ang="T38">
              <a:pos x="T12" y="T13"/>
            </a:cxn>
            <a:cxn ang="T39">
              <a:pos x="T14" y="T15"/>
            </a:cxn>
            <a:cxn ang="T40">
              <a:pos x="T16" y="T17"/>
            </a:cxn>
            <a:cxn ang="T41">
              <a:pos x="T18" y="T19"/>
            </a:cxn>
            <a:cxn ang="T42">
              <a:pos x="T20" y="T21"/>
            </a:cxn>
            <a:cxn ang="T43">
              <a:pos x="T22" y="T23"/>
            </a:cxn>
            <a:cxn ang="T44">
              <a:pos x="T24" y="T25"/>
            </a:cxn>
            <a:cxn ang="T45">
              <a:pos x="T26" y="T27"/>
            </a:cxn>
            <a:cxn ang="T46">
              <a:pos x="T28" y="T29"/>
            </a:cxn>
            <a:cxn ang="T47">
              <a:pos x="T30" y="T31"/>
            </a:cxn>
          </a:cxnLst>
          <a:rect l="T48" t="T49" r="T50" b="T51"/>
          <a:pathLst>
            <a:path w="79" h="63">
              <a:moveTo>
                <a:pt x="0" y="25"/>
              </a:moveTo>
              <a:lnTo>
                <a:pt x="0" y="8"/>
              </a:lnTo>
              <a:lnTo>
                <a:pt x="7" y="0"/>
              </a:lnTo>
              <a:lnTo>
                <a:pt x="49" y="0"/>
              </a:lnTo>
              <a:lnTo>
                <a:pt x="79" y="18"/>
              </a:lnTo>
              <a:lnTo>
                <a:pt x="79" y="25"/>
              </a:lnTo>
              <a:lnTo>
                <a:pt x="66" y="40"/>
              </a:lnTo>
              <a:lnTo>
                <a:pt x="66" y="55"/>
              </a:lnTo>
              <a:lnTo>
                <a:pt x="49" y="55"/>
              </a:lnTo>
              <a:lnTo>
                <a:pt x="35" y="63"/>
              </a:lnTo>
              <a:lnTo>
                <a:pt x="29" y="63"/>
              </a:lnTo>
              <a:lnTo>
                <a:pt x="22" y="55"/>
              </a:lnTo>
              <a:lnTo>
                <a:pt x="22" y="25"/>
              </a:lnTo>
              <a:lnTo>
                <a:pt x="0" y="25"/>
              </a:lnTo>
              <a:close/>
            </a:path>
          </a:pathLst>
        </a:custGeom>
        <a:solidFill>
          <a:srgbClr val="F5F5F5"/>
        </a:solidFill>
        <a:ln w="9525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36576" tIns="32004" rIns="0" bIns="0" anchor="t"/>
        <a:lstStyle/>
        <a:p>
          <a:pPr algn="l" rtl="0">
            <a:defRPr sz="1000"/>
          </a:pPr>
          <a:endParaRPr lang="en-US" sz="16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en-US"/>
        </a:p>
      </xdr:txBody>
    </xdr:sp>
    <xdr:clientData/>
  </xdr:twoCellAnchor>
  <xdr:twoCellAnchor>
    <xdr:from>
      <xdr:col>10</xdr:col>
      <xdr:colOff>314325</xdr:colOff>
      <xdr:row>17</xdr:row>
      <xdr:rowOff>57150</xdr:rowOff>
    </xdr:from>
    <xdr:to>
      <xdr:col>10</xdr:col>
      <xdr:colOff>438150</xdr:colOff>
      <xdr:row>17</xdr:row>
      <xdr:rowOff>152400</xdr:rowOff>
    </xdr:to>
    <xdr:sp macro="" textlink="">
      <xdr:nvSpPr>
        <xdr:cNvPr id="25359" name="S_EST"/>
        <xdr:cNvSpPr>
          <a:spLocks/>
        </xdr:cNvSpPr>
      </xdr:nvSpPr>
      <xdr:spPr bwMode="auto">
        <a:xfrm>
          <a:off x="6143625" y="2657475"/>
          <a:ext cx="123825" cy="95250"/>
        </a:xfrm>
        <a:custGeom>
          <a:avLst/>
          <a:gdLst>
            <a:gd name="T0" fmla="*/ 16510 w 60"/>
            <a:gd name="T1" fmla="*/ 74984 h 47"/>
            <a:gd name="T2" fmla="*/ 0 w 60"/>
            <a:gd name="T3" fmla="*/ 46612 h 47"/>
            <a:gd name="T4" fmla="*/ 0 w 60"/>
            <a:gd name="T5" fmla="*/ 16213 h 47"/>
            <a:gd name="T6" fmla="*/ 16510 w 60"/>
            <a:gd name="T7" fmla="*/ 0 h 47"/>
            <a:gd name="T8" fmla="*/ 123825 w 60"/>
            <a:gd name="T9" fmla="*/ 0 h 47"/>
            <a:gd name="T10" fmla="*/ 111443 w 60"/>
            <a:gd name="T11" fmla="*/ 16213 h 47"/>
            <a:gd name="T12" fmla="*/ 92869 w 60"/>
            <a:gd name="T13" fmla="*/ 16213 h 47"/>
            <a:gd name="T14" fmla="*/ 111443 w 60"/>
            <a:gd name="T15" fmla="*/ 74984 h 47"/>
            <a:gd name="T16" fmla="*/ 111443 w 60"/>
            <a:gd name="T17" fmla="*/ 95250 h 47"/>
            <a:gd name="T18" fmla="*/ 76359 w 60"/>
            <a:gd name="T19" fmla="*/ 95250 h 47"/>
            <a:gd name="T20" fmla="*/ 30956 w 60"/>
            <a:gd name="T21" fmla="*/ 74984 h 47"/>
            <a:gd name="T22" fmla="*/ 16510 w 60"/>
            <a:gd name="T23" fmla="*/ 74984 h 47"/>
            <a:gd name="T24" fmla="*/ 16510 w 60"/>
            <a:gd name="T25" fmla="*/ 74984 h 47"/>
            <a:gd name="T26" fmla="*/ 16510 w 60"/>
            <a:gd name="T27" fmla="*/ 74984 h 47"/>
            <a:gd name="T28" fmla="*/ 0 60000 65536"/>
            <a:gd name="T29" fmla="*/ 0 60000 65536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w 60"/>
            <a:gd name="T43" fmla="*/ 0 h 47"/>
            <a:gd name="T44" fmla="*/ 60 w 60"/>
            <a:gd name="T45" fmla="*/ 47 h 47"/>
          </a:gdLst>
          <a:ahLst/>
          <a:cxnLst>
            <a:cxn ang="T28">
              <a:pos x="T0" y="T1"/>
            </a:cxn>
            <a:cxn ang="T29">
              <a:pos x="T2" y="T3"/>
            </a:cxn>
            <a:cxn ang="T30">
              <a:pos x="T4" y="T5"/>
            </a:cxn>
            <a:cxn ang="T31">
              <a:pos x="T6" y="T7"/>
            </a:cxn>
            <a:cxn ang="T32">
              <a:pos x="T8" y="T9"/>
            </a:cxn>
            <a:cxn ang="T33">
              <a:pos x="T10" y="T11"/>
            </a:cxn>
            <a:cxn ang="T34">
              <a:pos x="T12" y="T13"/>
            </a:cxn>
            <a:cxn ang="T35">
              <a:pos x="T14" y="T15"/>
            </a:cxn>
            <a:cxn ang="T36">
              <a:pos x="T16" y="T17"/>
            </a:cxn>
            <a:cxn ang="T37">
              <a:pos x="T18" y="T19"/>
            </a:cxn>
            <a:cxn ang="T38">
              <a:pos x="T20" y="T21"/>
            </a:cxn>
            <a:cxn ang="T39">
              <a:pos x="T22" y="T23"/>
            </a:cxn>
            <a:cxn ang="T40">
              <a:pos x="T24" y="T25"/>
            </a:cxn>
            <a:cxn ang="T41">
              <a:pos x="T26" y="T27"/>
            </a:cxn>
          </a:cxnLst>
          <a:rect l="T42" t="T43" r="T44" b="T45"/>
          <a:pathLst>
            <a:path w="60" h="47">
              <a:moveTo>
                <a:pt x="8" y="37"/>
              </a:moveTo>
              <a:lnTo>
                <a:pt x="0" y="23"/>
              </a:lnTo>
              <a:lnTo>
                <a:pt x="0" y="8"/>
              </a:lnTo>
              <a:lnTo>
                <a:pt x="8" y="0"/>
              </a:lnTo>
              <a:lnTo>
                <a:pt x="60" y="0"/>
              </a:lnTo>
              <a:lnTo>
                <a:pt x="54" y="8"/>
              </a:lnTo>
              <a:lnTo>
                <a:pt x="45" y="8"/>
              </a:lnTo>
              <a:lnTo>
                <a:pt x="54" y="37"/>
              </a:lnTo>
              <a:lnTo>
                <a:pt x="54" y="47"/>
              </a:lnTo>
              <a:lnTo>
                <a:pt x="37" y="47"/>
              </a:lnTo>
              <a:lnTo>
                <a:pt x="15" y="37"/>
              </a:lnTo>
              <a:lnTo>
                <a:pt x="8" y="37"/>
              </a:lnTo>
              <a:close/>
            </a:path>
          </a:pathLst>
        </a:custGeom>
        <a:solidFill>
          <a:srgbClr val="F5F5F5"/>
        </a:solidFill>
        <a:ln w="9525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36576" tIns="32004" rIns="0" bIns="0" anchor="t" upright="1"/>
        <a:lstStyle/>
        <a:p>
          <a:pPr algn="l" rtl="0">
            <a:defRPr sz="1000"/>
          </a:pPr>
          <a:endParaRPr lang="de-DE" sz="16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de-DE" sz="16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10</xdr:col>
      <xdr:colOff>200025</xdr:colOff>
      <xdr:row>7</xdr:row>
      <xdr:rowOff>66675</xdr:rowOff>
    </xdr:from>
    <xdr:to>
      <xdr:col>17</xdr:col>
      <xdr:colOff>0</xdr:colOff>
      <xdr:row>22</xdr:row>
      <xdr:rowOff>114300</xdr:rowOff>
    </xdr:to>
    <xdr:grpSp>
      <xdr:nvGrpSpPr>
        <xdr:cNvPr id="25865" name="S_RUS"/>
        <xdr:cNvGrpSpPr>
          <a:grpSpLocks/>
        </xdr:cNvGrpSpPr>
      </xdr:nvGrpSpPr>
      <xdr:grpSpPr bwMode="auto">
        <a:xfrm>
          <a:off x="6811496" y="1489822"/>
          <a:ext cx="4820210" cy="2400860"/>
          <a:chOff x="645" y="122"/>
          <a:chExt cx="504" cy="260"/>
        </a:xfrm>
      </xdr:grpSpPr>
      <xdr:grpSp>
        <xdr:nvGrpSpPr>
          <xdr:cNvPr id="25918" name="S_RUS"/>
          <xdr:cNvGrpSpPr>
            <a:grpSpLocks/>
          </xdr:cNvGrpSpPr>
        </xdr:nvGrpSpPr>
        <xdr:grpSpPr bwMode="auto">
          <a:xfrm>
            <a:off x="666" y="122"/>
            <a:ext cx="483" cy="260"/>
            <a:chOff x="666" y="122"/>
            <a:chExt cx="483" cy="260"/>
          </a:xfrm>
        </xdr:grpSpPr>
        <xdr:grpSp>
          <xdr:nvGrpSpPr>
            <xdr:cNvPr id="25920" name="S_RUS"/>
            <xdr:cNvGrpSpPr>
              <a:grpSpLocks/>
            </xdr:cNvGrpSpPr>
          </xdr:nvGrpSpPr>
          <xdr:grpSpPr bwMode="auto">
            <a:xfrm>
              <a:off x="666" y="122"/>
              <a:ext cx="483" cy="260"/>
              <a:chOff x="666" y="122"/>
              <a:chExt cx="483" cy="260"/>
            </a:xfrm>
          </xdr:grpSpPr>
          <xdr:sp macro="" textlink="">
            <xdr:nvSpPr>
              <xdr:cNvPr id="25922" name="Freeform 22"/>
              <xdr:cNvSpPr>
                <a:spLocks/>
              </xdr:cNvSpPr>
            </xdr:nvSpPr>
            <xdr:spPr bwMode="auto">
              <a:xfrm>
                <a:off x="747" y="178"/>
                <a:ext cx="12" cy="23"/>
              </a:xfrm>
              <a:custGeom>
                <a:avLst/>
                <a:gdLst>
                  <a:gd name="T0" fmla="*/ 0 w 57"/>
                  <a:gd name="T1" fmla="*/ 0 h 104"/>
                  <a:gd name="T2" fmla="*/ 1 w 57"/>
                  <a:gd name="T3" fmla="*/ 1 h 104"/>
                  <a:gd name="T4" fmla="*/ 0 w 57"/>
                  <a:gd name="T5" fmla="*/ 1 h 104"/>
                  <a:gd name="T6" fmla="*/ 0 w 57"/>
                  <a:gd name="T7" fmla="*/ 1 h 104"/>
                  <a:gd name="T8" fmla="*/ 0 w 57"/>
                  <a:gd name="T9" fmla="*/ 1 h 104"/>
                  <a:gd name="T10" fmla="*/ 0 w 57"/>
                  <a:gd name="T11" fmla="*/ 1 h 104"/>
                  <a:gd name="T12" fmla="*/ 0 w 57"/>
                  <a:gd name="T13" fmla="*/ 1 h 104"/>
                  <a:gd name="T14" fmla="*/ 0 w 57"/>
                  <a:gd name="T15" fmla="*/ 1 h 104"/>
                  <a:gd name="T16" fmla="*/ 0 w 57"/>
                  <a:gd name="T17" fmla="*/ 0 h 104"/>
                  <a:gd name="T18" fmla="*/ 0 60000 65536"/>
                  <a:gd name="T19" fmla="*/ 0 60000 65536"/>
                  <a:gd name="T20" fmla="*/ 0 60000 65536"/>
                  <a:gd name="T21" fmla="*/ 0 60000 65536"/>
                  <a:gd name="T22" fmla="*/ 0 60000 65536"/>
                  <a:gd name="T23" fmla="*/ 0 60000 65536"/>
                  <a:gd name="T24" fmla="*/ 0 60000 65536"/>
                  <a:gd name="T25" fmla="*/ 0 60000 65536"/>
                  <a:gd name="T26" fmla="*/ 0 60000 65536"/>
                  <a:gd name="T27" fmla="*/ 0 w 57"/>
                  <a:gd name="T28" fmla="*/ 0 h 104"/>
                  <a:gd name="T29" fmla="*/ 57 w 57"/>
                  <a:gd name="T30" fmla="*/ 104 h 104"/>
                </a:gdLst>
                <a:ahLst/>
                <a:cxnLst>
                  <a:cxn ang="T18">
                    <a:pos x="T0" y="T1"/>
                  </a:cxn>
                  <a:cxn ang="T19">
                    <a:pos x="T2" y="T3"/>
                  </a:cxn>
                  <a:cxn ang="T20">
                    <a:pos x="T4" y="T5"/>
                  </a:cxn>
                  <a:cxn ang="T21">
                    <a:pos x="T6" y="T7"/>
                  </a:cxn>
                  <a:cxn ang="T22">
                    <a:pos x="T8" y="T9"/>
                  </a:cxn>
                  <a:cxn ang="T23">
                    <a:pos x="T10" y="T11"/>
                  </a:cxn>
                  <a:cxn ang="T24">
                    <a:pos x="T12" y="T13"/>
                  </a:cxn>
                  <a:cxn ang="T25">
                    <a:pos x="T14" y="T15"/>
                  </a:cxn>
                  <a:cxn ang="T26">
                    <a:pos x="T16" y="T17"/>
                  </a:cxn>
                </a:cxnLst>
                <a:rect l="T27" t="T28" r="T29" b="T30"/>
                <a:pathLst>
                  <a:path w="57" h="104">
                    <a:moveTo>
                      <a:pt x="13" y="0"/>
                    </a:moveTo>
                    <a:lnTo>
                      <a:pt x="57" y="104"/>
                    </a:lnTo>
                    <a:lnTo>
                      <a:pt x="45" y="99"/>
                    </a:lnTo>
                    <a:lnTo>
                      <a:pt x="48" y="103"/>
                    </a:lnTo>
                    <a:lnTo>
                      <a:pt x="13" y="88"/>
                    </a:lnTo>
                    <a:lnTo>
                      <a:pt x="22" y="84"/>
                    </a:lnTo>
                    <a:lnTo>
                      <a:pt x="17" y="71"/>
                    </a:lnTo>
                    <a:lnTo>
                      <a:pt x="0" y="66"/>
                    </a:lnTo>
                    <a:lnTo>
                      <a:pt x="13" y="0"/>
                    </a:lnTo>
                  </a:path>
                </a:pathLst>
              </a:custGeom>
              <a:solidFill>
                <a:srgbClr val="AFE17D"/>
              </a:solidFill>
              <a:ln w="9525">
                <a:solidFill>
                  <a:srgbClr val="FFFFFF"/>
                </a:solidFill>
                <a:miter lim="800000"/>
                <a:headEnd/>
                <a:tailEnd/>
              </a:ln>
            </xdr:spPr>
            <xdr:txBody>
              <a:bodyPr vertOverflow="clip" wrap="square" lIns="36576" tIns="32004" rIns="0" bIns="0" anchor="t"/>
              <a:lstStyle/>
              <a:p>
                <a:pPr algn="l" rtl="0">
                  <a:defRPr sz="1000"/>
                </a:pPr>
                <a:endParaRPr lang="en-US" sz="1600" b="0" i="0" u="none" strike="noStrike" baseline="0">
                  <a:solidFill>
                    <a:srgbClr val="000000"/>
                  </a:solidFill>
                  <a:latin typeface="Arial"/>
                  <a:cs typeface="Arial"/>
                </a:endParaRPr>
              </a:p>
              <a:p>
                <a:pPr algn="l" rtl="0">
                  <a:defRPr sz="1000"/>
                </a:pPr>
                <a:endParaRPr lang="en-US"/>
              </a:p>
            </xdr:txBody>
          </xdr:sp>
          <xdr:sp macro="" textlink="">
            <xdr:nvSpPr>
              <xdr:cNvPr id="25923" name="Freeform 23"/>
              <xdr:cNvSpPr>
                <a:spLocks/>
              </xdr:cNvSpPr>
            </xdr:nvSpPr>
            <xdr:spPr bwMode="auto">
              <a:xfrm>
                <a:off x="750" y="142"/>
                <a:ext cx="41" cy="35"/>
              </a:xfrm>
              <a:custGeom>
                <a:avLst/>
                <a:gdLst>
                  <a:gd name="T0" fmla="*/ 0 w 190"/>
                  <a:gd name="T1" fmla="*/ 2 h 157"/>
                  <a:gd name="T2" fmla="*/ 1 w 190"/>
                  <a:gd name="T3" fmla="*/ 0 h 157"/>
                  <a:gd name="T4" fmla="*/ 2 w 190"/>
                  <a:gd name="T5" fmla="*/ 0 h 157"/>
                  <a:gd name="T6" fmla="*/ 2 w 190"/>
                  <a:gd name="T7" fmla="*/ 0 h 157"/>
                  <a:gd name="T8" fmla="*/ 1 w 190"/>
                  <a:gd name="T9" fmla="*/ 1 h 157"/>
                  <a:gd name="T10" fmla="*/ 1 w 190"/>
                  <a:gd name="T11" fmla="*/ 1 h 157"/>
                  <a:gd name="T12" fmla="*/ 1 w 190"/>
                  <a:gd name="T13" fmla="*/ 1 h 157"/>
                  <a:gd name="T14" fmla="*/ 0 w 190"/>
                  <a:gd name="T15" fmla="*/ 1 h 157"/>
                  <a:gd name="T16" fmla="*/ 0 w 190"/>
                  <a:gd name="T17" fmla="*/ 2 h 157"/>
                  <a:gd name="T18" fmla="*/ 0 w 190"/>
                  <a:gd name="T19" fmla="*/ 2 h 157"/>
                  <a:gd name="T20" fmla="*/ 0 w 190"/>
                  <a:gd name="T21" fmla="*/ 2 h 157"/>
                  <a:gd name="T22" fmla="*/ 0 w 190"/>
                  <a:gd name="T23" fmla="*/ 2 h 157"/>
                  <a:gd name="T24" fmla="*/ 0 w 190"/>
                  <a:gd name="T25" fmla="*/ 2 h 157"/>
                  <a:gd name="T26" fmla="*/ 0 60000 65536"/>
                  <a:gd name="T27" fmla="*/ 0 60000 65536"/>
                  <a:gd name="T28" fmla="*/ 0 60000 65536"/>
                  <a:gd name="T29" fmla="*/ 0 60000 65536"/>
                  <a:gd name="T30" fmla="*/ 0 60000 65536"/>
                  <a:gd name="T31" fmla="*/ 0 60000 65536"/>
                  <a:gd name="T32" fmla="*/ 0 60000 65536"/>
                  <a:gd name="T33" fmla="*/ 0 60000 65536"/>
                  <a:gd name="T34" fmla="*/ 0 60000 65536"/>
                  <a:gd name="T35" fmla="*/ 0 60000 65536"/>
                  <a:gd name="T36" fmla="*/ 0 60000 65536"/>
                  <a:gd name="T37" fmla="*/ 0 60000 65536"/>
                  <a:gd name="T38" fmla="*/ 0 60000 65536"/>
                  <a:gd name="T39" fmla="*/ 0 w 190"/>
                  <a:gd name="T40" fmla="*/ 0 h 157"/>
                  <a:gd name="T41" fmla="*/ 190 w 190"/>
                  <a:gd name="T42" fmla="*/ 157 h 157"/>
                </a:gdLst>
                <a:ahLst/>
                <a:cxnLst>
                  <a:cxn ang="T26">
                    <a:pos x="T0" y="T1"/>
                  </a:cxn>
                  <a:cxn ang="T27">
                    <a:pos x="T2" y="T3"/>
                  </a:cxn>
                  <a:cxn ang="T28">
                    <a:pos x="T4" y="T5"/>
                  </a:cxn>
                  <a:cxn ang="T29">
                    <a:pos x="T6" y="T7"/>
                  </a:cxn>
                  <a:cxn ang="T30">
                    <a:pos x="T8" y="T9"/>
                  </a:cxn>
                  <a:cxn ang="T31">
                    <a:pos x="T10" y="T11"/>
                  </a:cxn>
                  <a:cxn ang="T32">
                    <a:pos x="T12" y="T13"/>
                  </a:cxn>
                  <a:cxn ang="T33">
                    <a:pos x="T14" y="T15"/>
                  </a:cxn>
                  <a:cxn ang="T34">
                    <a:pos x="T16" y="T17"/>
                  </a:cxn>
                  <a:cxn ang="T35">
                    <a:pos x="T18" y="T19"/>
                  </a:cxn>
                  <a:cxn ang="T36">
                    <a:pos x="T20" y="T21"/>
                  </a:cxn>
                  <a:cxn ang="T37">
                    <a:pos x="T22" y="T23"/>
                  </a:cxn>
                  <a:cxn ang="T38">
                    <a:pos x="T24" y="T25"/>
                  </a:cxn>
                </a:cxnLst>
                <a:rect l="T39" t="T40" r="T41" b="T42"/>
                <a:pathLst>
                  <a:path w="190" h="157">
                    <a:moveTo>
                      <a:pt x="0" y="143"/>
                    </a:moveTo>
                    <a:lnTo>
                      <a:pt x="87" y="42"/>
                    </a:lnTo>
                    <a:lnTo>
                      <a:pt x="190" y="0"/>
                    </a:lnTo>
                    <a:lnTo>
                      <a:pt x="168" y="32"/>
                    </a:lnTo>
                    <a:lnTo>
                      <a:pt x="67" y="100"/>
                    </a:lnTo>
                    <a:lnTo>
                      <a:pt x="57" y="103"/>
                    </a:lnTo>
                    <a:lnTo>
                      <a:pt x="59" y="123"/>
                    </a:lnTo>
                    <a:lnTo>
                      <a:pt x="45" y="132"/>
                    </a:lnTo>
                    <a:lnTo>
                      <a:pt x="45" y="153"/>
                    </a:lnTo>
                    <a:lnTo>
                      <a:pt x="40" y="148"/>
                    </a:lnTo>
                    <a:lnTo>
                      <a:pt x="7" y="157"/>
                    </a:lnTo>
                    <a:lnTo>
                      <a:pt x="17" y="147"/>
                    </a:lnTo>
                    <a:lnTo>
                      <a:pt x="0" y="143"/>
                    </a:lnTo>
                  </a:path>
                </a:pathLst>
              </a:custGeom>
              <a:solidFill>
                <a:srgbClr val="AFE17D"/>
              </a:solidFill>
              <a:ln w="9525">
                <a:solidFill>
                  <a:srgbClr val="FFFFFF"/>
                </a:solidFill>
                <a:miter lim="800000"/>
                <a:headEnd/>
                <a:tailEnd/>
              </a:ln>
            </xdr:spPr>
            <xdr:txBody>
              <a:bodyPr vertOverflow="clip" wrap="square" lIns="36576" tIns="32004" rIns="0" bIns="0" anchor="t"/>
              <a:lstStyle/>
              <a:p>
                <a:pPr algn="l" rtl="0">
                  <a:defRPr sz="1000"/>
                </a:pPr>
                <a:endParaRPr lang="en-US" sz="1600" b="0" i="0" u="none" strike="noStrike" baseline="0">
                  <a:solidFill>
                    <a:srgbClr val="000000"/>
                  </a:solidFill>
                  <a:latin typeface="Arial"/>
                  <a:cs typeface="Arial"/>
                </a:endParaRPr>
              </a:p>
              <a:p>
                <a:pPr algn="l" rtl="0">
                  <a:defRPr sz="1000"/>
                </a:pPr>
                <a:endParaRPr lang="en-US"/>
              </a:p>
            </xdr:txBody>
          </xdr:sp>
          <xdr:sp macro="" textlink="">
            <xdr:nvSpPr>
              <xdr:cNvPr id="25924" name="Freeform 147"/>
              <xdr:cNvSpPr>
                <a:spLocks/>
              </xdr:cNvSpPr>
            </xdr:nvSpPr>
            <xdr:spPr bwMode="auto">
              <a:xfrm>
                <a:off x="666" y="122"/>
                <a:ext cx="483" cy="260"/>
              </a:xfrm>
              <a:custGeom>
                <a:avLst/>
                <a:gdLst>
                  <a:gd name="T0" fmla="*/ 11 w 2195"/>
                  <a:gd name="T1" fmla="*/ 2 h 1190"/>
                  <a:gd name="T2" fmla="*/ 11 w 2195"/>
                  <a:gd name="T3" fmla="*/ 1 h 1190"/>
                  <a:gd name="T4" fmla="*/ 11 w 2195"/>
                  <a:gd name="T5" fmla="*/ 1 h 1190"/>
                  <a:gd name="T6" fmla="*/ 8 w 2195"/>
                  <a:gd name="T7" fmla="*/ 3 h 1190"/>
                  <a:gd name="T8" fmla="*/ 7 w 2195"/>
                  <a:gd name="T9" fmla="*/ 3 h 1190"/>
                  <a:gd name="T10" fmla="*/ 7 w 2195"/>
                  <a:gd name="T11" fmla="*/ 5 h 1190"/>
                  <a:gd name="T12" fmla="*/ 6 w 2195"/>
                  <a:gd name="T13" fmla="*/ 5 h 1190"/>
                  <a:gd name="T14" fmla="*/ 6 w 2195"/>
                  <a:gd name="T15" fmla="*/ 3 h 1190"/>
                  <a:gd name="T16" fmla="*/ 5 w 2195"/>
                  <a:gd name="T17" fmla="*/ 4 h 1190"/>
                  <a:gd name="T18" fmla="*/ 4 w 2195"/>
                  <a:gd name="T19" fmla="*/ 5 h 1190"/>
                  <a:gd name="T20" fmla="*/ 3 w 2195"/>
                  <a:gd name="T21" fmla="*/ 5 h 1190"/>
                  <a:gd name="T22" fmla="*/ 3 w 2195"/>
                  <a:gd name="T23" fmla="*/ 6 h 1190"/>
                  <a:gd name="T24" fmla="*/ 1 w 2195"/>
                  <a:gd name="T25" fmla="*/ 6 h 1190"/>
                  <a:gd name="T26" fmla="*/ 1 w 2195"/>
                  <a:gd name="T27" fmla="*/ 5 h 1190"/>
                  <a:gd name="T28" fmla="*/ 1 w 2195"/>
                  <a:gd name="T29" fmla="*/ 5 h 1190"/>
                  <a:gd name="T30" fmla="*/ 0 w 2195"/>
                  <a:gd name="T31" fmla="*/ 5 h 1190"/>
                  <a:gd name="T32" fmla="*/ 1 w 2195"/>
                  <a:gd name="T33" fmla="*/ 7 h 1190"/>
                  <a:gd name="T34" fmla="*/ 0 w 2195"/>
                  <a:gd name="T35" fmla="*/ 8 h 1190"/>
                  <a:gd name="T36" fmla="*/ 0 w 2195"/>
                  <a:gd name="T37" fmla="*/ 9 h 1190"/>
                  <a:gd name="T38" fmla="*/ 1 w 2195"/>
                  <a:gd name="T39" fmla="*/ 10 h 1190"/>
                  <a:gd name="T40" fmla="*/ 1 w 2195"/>
                  <a:gd name="T41" fmla="*/ 10 h 1190"/>
                  <a:gd name="T42" fmla="*/ 2 w 2195"/>
                  <a:gd name="T43" fmla="*/ 11 h 1190"/>
                  <a:gd name="T44" fmla="*/ 2 w 2195"/>
                  <a:gd name="T45" fmla="*/ 11 h 1190"/>
                  <a:gd name="T46" fmla="*/ 2 w 2195"/>
                  <a:gd name="T47" fmla="*/ 12 h 1190"/>
                  <a:gd name="T48" fmla="*/ 3 w 2195"/>
                  <a:gd name="T49" fmla="*/ 12 h 1190"/>
                  <a:gd name="T50" fmla="*/ 3 w 2195"/>
                  <a:gd name="T51" fmla="*/ 11 h 1190"/>
                  <a:gd name="T52" fmla="*/ 3 w 2195"/>
                  <a:gd name="T53" fmla="*/ 11 h 1190"/>
                  <a:gd name="T54" fmla="*/ 4 w 2195"/>
                  <a:gd name="T55" fmla="*/ 10 h 1190"/>
                  <a:gd name="T56" fmla="*/ 5 w 2195"/>
                  <a:gd name="T57" fmla="*/ 10 h 1190"/>
                  <a:gd name="T58" fmla="*/ 5 w 2195"/>
                  <a:gd name="T59" fmla="*/ 10 h 1190"/>
                  <a:gd name="T60" fmla="*/ 6 w 2195"/>
                  <a:gd name="T61" fmla="*/ 9 h 1190"/>
                  <a:gd name="T62" fmla="*/ 7 w 2195"/>
                  <a:gd name="T63" fmla="*/ 10 h 1190"/>
                  <a:gd name="T64" fmla="*/ 9 w 2195"/>
                  <a:gd name="T65" fmla="*/ 11 h 1190"/>
                  <a:gd name="T66" fmla="*/ 10 w 2195"/>
                  <a:gd name="T67" fmla="*/ 11 h 1190"/>
                  <a:gd name="T68" fmla="*/ 11 w 2195"/>
                  <a:gd name="T69" fmla="*/ 10 h 1190"/>
                  <a:gd name="T70" fmla="*/ 13 w 2195"/>
                  <a:gd name="T71" fmla="*/ 11 h 1190"/>
                  <a:gd name="T72" fmla="*/ 14 w 2195"/>
                  <a:gd name="T73" fmla="*/ 10 h 1190"/>
                  <a:gd name="T74" fmla="*/ 15 w 2195"/>
                  <a:gd name="T75" fmla="*/ 11 h 1190"/>
                  <a:gd name="T76" fmla="*/ 15 w 2195"/>
                  <a:gd name="T77" fmla="*/ 12 h 1190"/>
                  <a:gd name="T78" fmla="*/ 15 w 2195"/>
                  <a:gd name="T79" fmla="*/ 12 h 1190"/>
                  <a:gd name="T80" fmla="*/ 16 w 2195"/>
                  <a:gd name="T81" fmla="*/ 10 h 1190"/>
                  <a:gd name="T82" fmla="*/ 17 w 2195"/>
                  <a:gd name="T83" fmla="*/ 8 h 1190"/>
                  <a:gd name="T84" fmla="*/ 18 w 2195"/>
                  <a:gd name="T85" fmla="*/ 8 h 1190"/>
                  <a:gd name="T86" fmla="*/ 19 w 2195"/>
                  <a:gd name="T87" fmla="*/ 7 h 1190"/>
                  <a:gd name="T88" fmla="*/ 20 w 2195"/>
                  <a:gd name="T89" fmla="*/ 7 h 1190"/>
                  <a:gd name="T90" fmla="*/ 19 w 2195"/>
                  <a:gd name="T91" fmla="*/ 10 h 1190"/>
                  <a:gd name="T92" fmla="*/ 19 w 2195"/>
                  <a:gd name="T93" fmla="*/ 9 h 1190"/>
                  <a:gd name="T94" fmla="*/ 20 w 2195"/>
                  <a:gd name="T95" fmla="*/ 8 h 1190"/>
                  <a:gd name="T96" fmla="*/ 21 w 2195"/>
                  <a:gd name="T97" fmla="*/ 8 h 1190"/>
                  <a:gd name="T98" fmla="*/ 22 w 2195"/>
                  <a:gd name="T99" fmla="*/ 6 h 1190"/>
                  <a:gd name="T100" fmla="*/ 22 w 2195"/>
                  <a:gd name="T101" fmla="*/ 6 h 1190"/>
                  <a:gd name="T102" fmla="*/ 23 w 2195"/>
                  <a:gd name="T103" fmla="*/ 6 h 1190"/>
                  <a:gd name="T104" fmla="*/ 20 w 2195"/>
                  <a:gd name="T105" fmla="*/ 5 h 1190"/>
                  <a:gd name="T106" fmla="*/ 20 w 2195"/>
                  <a:gd name="T107" fmla="*/ 5 h 1190"/>
                  <a:gd name="T108" fmla="*/ 18 w 2195"/>
                  <a:gd name="T109" fmla="*/ 4 h 1190"/>
                  <a:gd name="T110" fmla="*/ 16 w 2195"/>
                  <a:gd name="T111" fmla="*/ 3 h 1190"/>
                  <a:gd name="T112" fmla="*/ 15 w 2195"/>
                  <a:gd name="T113" fmla="*/ 4 h 1190"/>
                  <a:gd name="T114" fmla="*/ 14 w 2195"/>
                  <a:gd name="T115" fmla="*/ 3 h 1190"/>
                  <a:gd name="T116" fmla="*/ 12 w 2195"/>
                  <a:gd name="T117" fmla="*/ 2 h 1190"/>
                  <a:gd name="T118" fmla="*/ 0 60000 65536"/>
                  <a:gd name="T119" fmla="*/ 0 60000 65536"/>
                  <a:gd name="T120" fmla="*/ 0 60000 65536"/>
                  <a:gd name="T121" fmla="*/ 0 60000 65536"/>
                  <a:gd name="T122" fmla="*/ 0 60000 65536"/>
                  <a:gd name="T123" fmla="*/ 0 60000 65536"/>
                  <a:gd name="T124" fmla="*/ 0 60000 65536"/>
                  <a:gd name="T125" fmla="*/ 0 60000 65536"/>
                  <a:gd name="T126" fmla="*/ 0 60000 65536"/>
                  <a:gd name="T127" fmla="*/ 0 60000 65536"/>
                  <a:gd name="T128" fmla="*/ 0 60000 65536"/>
                  <a:gd name="T129" fmla="*/ 0 60000 65536"/>
                  <a:gd name="T130" fmla="*/ 0 60000 65536"/>
                  <a:gd name="T131" fmla="*/ 0 60000 65536"/>
                  <a:gd name="T132" fmla="*/ 0 60000 65536"/>
                  <a:gd name="T133" fmla="*/ 0 60000 65536"/>
                  <a:gd name="T134" fmla="*/ 0 60000 65536"/>
                  <a:gd name="T135" fmla="*/ 0 60000 65536"/>
                  <a:gd name="T136" fmla="*/ 0 60000 65536"/>
                  <a:gd name="T137" fmla="*/ 0 60000 65536"/>
                  <a:gd name="T138" fmla="*/ 0 60000 65536"/>
                  <a:gd name="T139" fmla="*/ 0 60000 65536"/>
                  <a:gd name="T140" fmla="*/ 0 60000 65536"/>
                  <a:gd name="T141" fmla="*/ 0 60000 65536"/>
                  <a:gd name="T142" fmla="*/ 0 60000 65536"/>
                  <a:gd name="T143" fmla="*/ 0 60000 65536"/>
                  <a:gd name="T144" fmla="*/ 0 60000 65536"/>
                  <a:gd name="T145" fmla="*/ 0 60000 65536"/>
                  <a:gd name="T146" fmla="*/ 0 60000 65536"/>
                  <a:gd name="T147" fmla="*/ 0 60000 65536"/>
                  <a:gd name="T148" fmla="*/ 0 60000 65536"/>
                  <a:gd name="T149" fmla="*/ 0 60000 65536"/>
                  <a:gd name="T150" fmla="*/ 0 60000 65536"/>
                  <a:gd name="T151" fmla="*/ 0 60000 65536"/>
                  <a:gd name="T152" fmla="*/ 0 60000 65536"/>
                  <a:gd name="T153" fmla="*/ 0 60000 65536"/>
                  <a:gd name="T154" fmla="*/ 0 60000 65536"/>
                  <a:gd name="T155" fmla="*/ 0 60000 65536"/>
                  <a:gd name="T156" fmla="*/ 0 60000 65536"/>
                  <a:gd name="T157" fmla="*/ 0 60000 65536"/>
                  <a:gd name="T158" fmla="*/ 0 60000 65536"/>
                  <a:gd name="T159" fmla="*/ 0 60000 65536"/>
                  <a:gd name="T160" fmla="*/ 0 60000 65536"/>
                  <a:gd name="T161" fmla="*/ 0 60000 65536"/>
                  <a:gd name="T162" fmla="*/ 0 60000 65536"/>
                  <a:gd name="T163" fmla="*/ 0 60000 65536"/>
                  <a:gd name="T164" fmla="*/ 0 60000 65536"/>
                  <a:gd name="T165" fmla="*/ 0 60000 65536"/>
                  <a:gd name="T166" fmla="*/ 0 60000 65536"/>
                  <a:gd name="T167" fmla="*/ 0 60000 65536"/>
                  <a:gd name="T168" fmla="*/ 0 60000 65536"/>
                  <a:gd name="T169" fmla="*/ 0 60000 65536"/>
                  <a:gd name="T170" fmla="*/ 0 60000 65536"/>
                  <a:gd name="T171" fmla="*/ 0 60000 65536"/>
                  <a:gd name="T172" fmla="*/ 0 60000 65536"/>
                  <a:gd name="T173" fmla="*/ 0 60000 65536"/>
                  <a:gd name="T174" fmla="*/ 0 60000 65536"/>
                  <a:gd name="T175" fmla="*/ 0 60000 65536"/>
                  <a:gd name="T176" fmla="*/ 0 60000 65536"/>
                  <a:gd name="T177" fmla="*/ 0 w 2195"/>
                  <a:gd name="T178" fmla="*/ 0 h 1190"/>
                  <a:gd name="T179" fmla="*/ 2195 w 2195"/>
                  <a:gd name="T180" fmla="*/ 1190 h 1190"/>
                </a:gdLst>
                <a:ahLst/>
                <a:cxnLst>
                  <a:cxn ang="T118">
                    <a:pos x="T0" y="T1"/>
                  </a:cxn>
                  <a:cxn ang="T119">
                    <a:pos x="T2" y="T3"/>
                  </a:cxn>
                  <a:cxn ang="T120">
                    <a:pos x="T4" y="T5"/>
                  </a:cxn>
                  <a:cxn ang="T121">
                    <a:pos x="T6" y="T7"/>
                  </a:cxn>
                  <a:cxn ang="T122">
                    <a:pos x="T8" y="T9"/>
                  </a:cxn>
                  <a:cxn ang="T123">
                    <a:pos x="T10" y="T11"/>
                  </a:cxn>
                  <a:cxn ang="T124">
                    <a:pos x="T12" y="T13"/>
                  </a:cxn>
                  <a:cxn ang="T125">
                    <a:pos x="T14" y="T15"/>
                  </a:cxn>
                  <a:cxn ang="T126">
                    <a:pos x="T16" y="T17"/>
                  </a:cxn>
                  <a:cxn ang="T127">
                    <a:pos x="T18" y="T19"/>
                  </a:cxn>
                  <a:cxn ang="T128">
                    <a:pos x="T20" y="T21"/>
                  </a:cxn>
                  <a:cxn ang="T129">
                    <a:pos x="T22" y="T23"/>
                  </a:cxn>
                  <a:cxn ang="T130">
                    <a:pos x="T24" y="T25"/>
                  </a:cxn>
                  <a:cxn ang="T131">
                    <a:pos x="T26" y="T27"/>
                  </a:cxn>
                  <a:cxn ang="T132">
                    <a:pos x="T28" y="T29"/>
                  </a:cxn>
                  <a:cxn ang="T133">
                    <a:pos x="T30" y="T31"/>
                  </a:cxn>
                  <a:cxn ang="T134">
                    <a:pos x="T32" y="T33"/>
                  </a:cxn>
                  <a:cxn ang="T135">
                    <a:pos x="T34" y="T35"/>
                  </a:cxn>
                  <a:cxn ang="T136">
                    <a:pos x="T36" y="T37"/>
                  </a:cxn>
                  <a:cxn ang="T137">
                    <a:pos x="T38" y="T39"/>
                  </a:cxn>
                  <a:cxn ang="T138">
                    <a:pos x="T40" y="T41"/>
                  </a:cxn>
                  <a:cxn ang="T139">
                    <a:pos x="T42" y="T43"/>
                  </a:cxn>
                  <a:cxn ang="T140">
                    <a:pos x="T44" y="T45"/>
                  </a:cxn>
                  <a:cxn ang="T141">
                    <a:pos x="T46" y="T47"/>
                  </a:cxn>
                  <a:cxn ang="T142">
                    <a:pos x="T48" y="T49"/>
                  </a:cxn>
                  <a:cxn ang="T143">
                    <a:pos x="T50" y="T51"/>
                  </a:cxn>
                  <a:cxn ang="T144">
                    <a:pos x="T52" y="T53"/>
                  </a:cxn>
                  <a:cxn ang="T145">
                    <a:pos x="T54" y="T55"/>
                  </a:cxn>
                  <a:cxn ang="T146">
                    <a:pos x="T56" y="T57"/>
                  </a:cxn>
                  <a:cxn ang="T147">
                    <a:pos x="T58" y="T59"/>
                  </a:cxn>
                  <a:cxn ang="T148">
                    <a:pos x="T60" y="T61"/>
                  </a:cxn>
                  <a:cxn ang="T149">
                    <a:pos x="T62" y="T63"/>
                  </a:cxn>
                  <a:cxn ang="T150">
                    <a:pos x="T64" y="T65"/>
                  </a:cxn>
                  <a:cxn ang="T151">
                    <a:pos x="T66" y="T67"/>
                  </a:cxn>
                  <a:cxn ang="T152">
                    <a:pos x="T68" y="T69"/>
                  </a:cxn>
                  <a:cxn ang="T153">
                    <a:pos x="T70" y="T71"/>
                  </a:cxn>
                  <a:cxn ang="T154">
                    <a:pos x="T72" y="T73"/>
                  </a:cxn>
                  <a:cxn ang="T155">
                    <a:pos x="T74" y="T75"/>
                  </a:cxn>
                  <a:cxn ang="T156">
                    <a:pos x="T76" y="T77"/>
                  </a:cxn>
                  <a:cxn ang="T157">
                    <a:pos x="T78" y="T79"/>
                  </a:cxn>
                  <a:cxn ang="T158">
                    <a:pos x="T80" y="T81"/>
                  </a:cxn>
                  <a:cxn ang="T159">
                    <a:pos x="T82" y="T83"/>
                  </a:cxn>
                  <a:cxn ang="T160">
                    <a:pos x="T84" y="T85"/>
                  </a:cxn>
                  <a:cxn ang="T161">
                    <a:pos x="T86" y="T87"/>
                  </a:cxn>
                  <a:cxn ang="T162">
                    <a:pos x="T88" y="T89"/>
                  </a:cxn>
                  <a:cxn ang="T163">
                    <a:pos x="T90" y="T91"/>
                  </a:cxn>
                  <a:cxn ang="T164">
                    <a:pos x="T92" y="T93"/>
                  </a:cxn>
                  <a:cxn ang="T165">
                    <a:pos x="T94" y="T95"/>
                  </a:cxn>
                  <a:cxn ang="T166">
                    <a:pos x="T96" y="T97"/>
                  </a:cxn>
                  <a:cxn ang="T167">
                    <a:pos x="T98" y="T99"/>
                  </a:cxn>
                  <a:cxn ang="T168">
                    <a:pos x="T100" y="T101"/>
                  </a:cxn>
                  <a:cxn ang="T169">
                    <a:pos x="T102" y="T103"/>
                  </a:cxn>
                  <a:cxn ang="T170">
                    <a:pos x="T104" y="T105"/>
                  </a:cxn>
                  <a:cxn ang="T171">
                    <a:pos x="T106" y="T107"/>
                  </a:cxn>
                  <a:cxn ang="T172">
                    <a:pos x="T108" y="T109"/>
                  </a:cxn>
                  <a:cxn ang="T173">
                    <a:pos x="T110" y="T111"/>
                  </a:cxn>
                  <a:cxn ang="T174">
                    <a:pos x="T112" y="T113"/>
                  </a:cxn>
                  <a:cxn ang="T175">
                    <a:pos x="T114" y="T115"/>
                  </a:cxn>
                  <a:cxn ang="T176">
                    <a:pos x="T116" y="T117"/>
                  </a:cxn>
                </a:cxnLst>
                <a:rect l="T177" t="T178" r="T179" b="T180"/>
                <a:pathLst>
                  <a:path w="2195" h="1190">
                    <a:moveTo>
                      <a:pt x="1117" y="218"/>
                    </a:moveTo>
                    <a:lnTo>
                      <a:pt x="1109" y="225"/>
                    </a:lnTo>
                    <a:lnTo>
                      <a:pt x="1117" y="247"/>
                    </a:lnTo>
                    <a:lnTo>
                      <a:pt x="1079" y="264"/>
                    </a:lnTo>
                    <a:lnTo>
                      <a:pt x="1074" y="264"/>
                    </a:lnTo>
                    <a:lnTo>
                      <a:pt x="1079" y="235"/>
                    </a:lnTo>
                    <a:lnTo>
                      <a:pt x="1166" y="151"/>
                    </a:lnTo>
                    <a:lnTo>
                      <a:pt x="1166" y="97"/>
                    </a:lnTo>
                    <a:lnTo>
                      <a:pt x="1137" y="58"/>
                    </a:lnTo>
                    <a:lnTo>
                      <a:pt x="1096" y="58"/>
                    </a:lnTo>
                    <a:lnTo>
                      <a:pt x="1096" y="82"/>
                    </a:lnTo>
                    <a:lnTo>
                      <a:pt x="1067" y="82"/>
                    </a:lnTo>
                    <a:lnTo>
                      <a:pt x="1079" y="45"/>
                    </a:lnTo>
                    <a:lnTo>
                      <a:pt x="1039" y="28"/>
                    </a:lnTo>
                    <a:lnTo>
                      <a:pt x="1067" y="13"/>
                    </a:lnTo>
                    <a:lnTo>
                      <a:pt x="1039" y="0"/>
                    </a:lnTo>
                    <a:lnTo>
                      <a:pt x="995" y="45"/>
                    </a:lnTo>
                    <a:lnTo>
                      <a:pt x="995" y="82"/>
                    </a:lnTo>
                    <a:lnTo>
                      <a:pt x="896" y="97"/>
                    </a:lnTo>
                    <a:lnTo>
                      <a:pt x="826" y="143"/>
                    </a:lnTo>
                    <a:lnTo>
                      <a:pt x="804" y="178"/>
                    </a:lnTo>
                    <a:lnTo>
                      <a:pt x="811" y="225"/>
                    </a:lnTo>
                    <a:lnTo>
                      <a:pt x="719" y="247"/>
                    </a:lnTo>
                    <a:lnTo>
                      <a:pt x="725" y="301"/>
                    </a:lnTo>
                    <a:lnTo>
                      <a:pt x="747" y="329"/>
                    </a:lnTo>
                    <a:lnTo>
                      <a:pt x="734" y="337"/>
                    </a:lnTo>
                    <a:lnTo>
                      <a:pt x="704" y="301"/>
                    </a:lnTo>
                    <a:lnTo>
                      <a:pt x="682" y="294"/>
                    </a:lnTo>
                    <a:lnTo>
                      <a:pt x="675" y="301"/>
                    </a:lnTo>
                    <a:lnTo>
                      <a:pt x="642" y="264"/>
                    </a:lnTo>
                    <a:lnTo>
                      <a:pt x="647" y="301"/>
                    </a:lnTo>
                    <a:lnTo>
                      <a:pt x="625" y="344"/>
                    </a:lnTo>
                    <a:lnTo>
                      <a:pt x="642" y="383"/>
                    </a:lnTo>
                    <a:lnTo>
                      <a:pt x="632" y="420"/>
                    </a:lnTo>
                    <a:lnTo>
                      <a:pt x="632" y="450"/>
                    </a:lnTo>
                    <a:lnTo>
                      <a:pt x="642" y="457"/>
                    </a:lnTo>
                    <a:lnTo>
                      <a:pt x="647" y="504"/>
                    </a:lnTo>
                    <a:lnTo>
                      <a:pt x="598" y="549"/>
                    </a:lnTo>
                    <a:lnTo>
                      <a:pt x="590" y="541"/>
                    </a:lnTo>
                    <a:lnTo>
                      <a:pt x="625" y="495"/>
                    </a:lnTo>
                    <a:lnTo>
                      <a:pt x="632" y="465"/>
                    </a:lnTo>
                    <a:lnTo>
                      <a:pt x="610" y="450"/>
                    </a:lnTo>
                    <a:lnTo>
                      <a:pt x="610" y="353"/>
                    </a:lnTo>
                    <a:lnTo>
                      <a:pt x="603" y="337"/>
                    </a:lnTo>
                    <a:lnTo>
                      <a:pt x="610" y="279"/>
                    </a:lnTo>
                    <a:lnTo>
                      <a:pt x="598" y="272"/>
                    </a:lnTo>
                    <a:lnTo>
                      <a:pt x="603" y="264"/>
                    </a:lnTo>
                    <a:lnTo>
                      <a:pt x="598" y="247"/>
                    </a:lnTo>
                    <a:lnTo>
                      <a:pt x="583" y="255"/>
                    </a:lnTo>
                    <a:lnTo>
                      <a:pt x="539" y="374"/>
                    </a:lnTo>
                    <a:lnTo>
                      <a:pt x="539" y="420"/>
                    </a:lnTo>
                    <a:lnTo>
                      <a:pt x="561" y="457"/>
                    </a:lnTo>
                    <a:lnTo>
                      <a:pt x="561" y="474"/>
                    </a:lnTo>
                    <a:lnTo>
                      <a:pt x="434" y="383"/>
                    </a:lnTo>
                    <a:lnTo>
                      <a:pt x="429" y="400"/>
                    </a:lnTo>
                    <a:lnTo>
                      <a:pt x="462" y="450"/>
                    </a:lnTo>
                    <a:lnTo>
                      <a:pt x="441" y="457"/>
                    </a:lnTo>
                    <a:lnTo>
                      <a:pt x="434" y="450"/>
                    </a:lnTo>
                    <a:lnTo>
                      <a:pt x="384" y="465"/>
                    </a:lnTo>
                    <a:lnTo>
                      <a:pt x="377" y="482"/>
                    </a:lnTo>
                    <a:lnTo>
                      <a:pt x="370" y="465"/>
                    </a:lnTo>
                    <a:lnTo>
                      <a:pt x="370" y="450"/>
                    </a:lnTo>
                    <a:lnTo>
                      <a:pt x="285" y="504"/>
                    </a:lnTo>
                    <a:lnTo>
                      <a:pt x="285" y="519"/>
                    </a:lnTo>
                    <a:lnTo>
                      <a:pt x="263" y="532"/>
                    </a:lnTo>
                    <a:lnTo>
                      <a:pt x="241" y="511"/>
                    </a:lnTo>
                    <a:lnTo>
                      <a:pt x="263" y="495"/>
                    </a:lnTo>
                    <a:lnTo>
                      <a:pt x="255" y="465"/>
                    </a:lnTo>
                    <a:lnTo>
                      <a:pt x="223" y="457"/>
                    </a:lnTo>
                    <a:lnTo>
                      <a:pt x="228" y="474"/>
                    </a:lnTo>
                    <a:lnTo>
                      <a:pt x="228" y="519"/>
                    </a:lnTo>
                    <a:lnTo>
                      <a:pt x="241" y="541"/>
                    </a:lnTo>
                    <a:lnTo>
                      <a:pt x="228" y="556"/>
                    </a:lnTo>
                    <a:lnTo>
                      <a:pt x="206" y="549"/>
                    </a:lnTo>
                    <a:lnTo>
                      <a:pt x="171" y="578"/>
                    </a:lnTo>
                    <a:lnTo>
                      <a:pt x="186" y="618"/>
                    </a:lnTo>
                    <a:lnTo>
                      <a:pt x="136" y="595"/>
                    </a:lnTo>
                    <a:lnTo>
                      <a:pt x="129" y="601"/>
                    </a:lnTo>
                    <a:lnTo>
                      <a:pt x="142" y="633"/>
                    </a:lnTo>
                    <a:lnTo>
                      <a:pt x="129" y="633"/>
                    </a:lnTo>
                    <a:lnTo>
                      <a:pt x="100" y="618"/>
                    </a:lnTo>
                    <a:lnTo>
                      <a:pt x="100" y="556"/>
                    </a:lnTo>
                    <a:lnTo>
                      <a:pt x="79" y="541"/>
                    </a:lnTo>
                    <a:lnTo>
                      <a:pt x="65" y="519"/>
                    </a:lnTo>
                    <a:lnTo>
                      <a:pt x="85" y="532"/>
                    </a:lnTo>
                    <a:lnTo>
                      <a:pt x="157" y="556"/>
                    </a:lnTo>
                    <a:lnTo>
                      <a:pt x="199" y="532"/>
                    </a:lnTo>
                    <a:lnTo>
                      <a:pt x="186" y="504"/>
                    </a:lnTo>
                    <a:lnTo>
                      <a:pt x="136" y="450"/>
                    </a:lnTo>
                    <a:lnTo>
                      <a:pt x="85" y="428"/>
                    </a:lnTo>
                    <a:lnTo>
                      <a:pt x="85" y="420"/>
                    </a:lnTo>
                    <a:lnTo>
                      <a:pt x="65" y="411"/>
                    </a:lnTo>
                    <a:lnTo>
                      <a:pt x="50" y="420"/>
                    </a:lnTo>
                    <a:lnTo>
                      <a:pt x="20" y="450"/>
                    </a:lnTo>
                    <a:lnTo>
                      <a:pt x="20" y="474"/>
                    </a:lnTo>
                    <a:lnTo>
                      <a:pt x="43" y="495"/>
                    </a:lnTo>
                    <a:lnTo>
                      <a:pt x="35" y="519"/>
                    </a:lnTo>
                    <a:lnTo>
                      <a:pt x="43" y="569"/>
                    </a:lnTo>
                    <a:lnTo>
                      <a:pt x="35" y="595"/>
                    </a:lnTo>
                    <a:lnTo>
                      <a:pt x="50" y="625"/>
                    </a:lnTo>
                    <a:lnTo>
                      <a:pt x="43" y="640"/>
                    </a:lnTo>
                    <a:lnTo>
                      <a:pt x="57" y="662"/>
                    </a:lnTo>
                    <a:lnTo>
                      <a:pt x="57" y="669"/>
                    </a:lnTo>
                    <a:lnTo>
                      <a:pt x="35" y="716"/>
                    </a:lnTo>
                    <a:lnTo>
                      <a:pt x="10" y="736"/>
                    </a:lnTo>
                    <a:lnTo>
                      <a:pt x="13" y="736"/>
                    </a:lnTo>
                    <a:lnTo>
                      <a:pt x="35" y="754"/>
                    </a:lnTo>
                    <a:lnTo>
                      <a:pt x="13" y="776"/>
                    </a:lnTo>
                    <a:lnTo>
                      <a:pt x="10" y="785"/>
                    </a:lnTo>
                    <a:lnTo>
                      <a:pt x="0" y="785"/>
                    </a:lnTo>
                    <a:lnTo>
                      <a:pt x="10" y="812"/>
                    </a:lnTo>
                    <a:lnTo>
                      <a:pt x="13" y="859"/>
                    </a:lnTo>
                    <a:lnTo>
                      <a:pt x="43" y="865"/>
                    </a:lnTo>
                    <a:lnTo>
                      <a:pt x="50" y="875"/>
                    </a:lnTo>
                    <a:lnTo>
                      <a:pt x="50" y="897"/>
                    </a:lnTo>
                    <a:lnTo>
                      <a:pt x="65" y="919"/>
                    </a:lnTo>
                    <a:lnTo>
                      <a:pt x="79" y="919"/>
                    </a:lnTo>
                    <a:lnTo>
                      <a:pt x="65" y="943"/>
                    </a:lnTo>
                    <a:lnTo>
                      <a:pt x="57" y="934"/>
                    </a:lnTo>
                    <a:lnTo>
                      <a:pt x="57" y="943"/>
                    </a:lnTo>
                    <a:lnTo>
                      <a:pt x="65" y="956"/>
                    </a:lnTo>
                    <a:lnTo>
                      <a:pt x="92" y="956"/>
                    </a:lnTo>
                    <a:lnTo>
                      <a:pt x="100" y="963"/>
                    </a:lnTo>
                    <a:lnTo>
                      <a:pt x="92" y="963"/>
                    </a:lnTo>
                    <a:lnTo>
                      <a:pt x="100" y="976"/>
                    </a:lnTo>
                    <a:lnTo>
                      <a:pt x="116" y="976"/>
                    </a:lnTo>
                    <a:lnTo>
                      <a:pt x="121" y="993"/>
                    </a:lnTo>
                    <a:lnTo>
                      <a:pt x="129" y="1001"/>
                    </a:lnTo>
                    <a:lnTo>
                      <a:pt x="136" y="993"/>
                    </a:lnTo>
                    <a:lnTo>
                      <a:pt x="177" y="1023"/>
                    </a:lnTo>
                    <a:lnTo>
                      <a:pt x="171" y="1060"/>
                    </a:lnTo>
                    <a:lnTo>
                      <a:pt x="164" y="1047"/>
                    </a:lnTo>
                    <a:lnTo>
                      <a:pt x="157" y="1060"/>
                    </a:lnTo>
                    <a:lnTo>
                      <a:pt x="157" y="1077"/>
                    </a:lnTo>
                    <a:lnTo>
                      <a:pt x="164" y="1067"/>
                    </a:lnTo>
                    <a:lnTo>
                      <a:pt x="171" y="1077"/>
                    </a:lnTo>
                    <a:lnTo>
                      <a:pt x="142" y="1085"/>
                    </a:lnTo>
                    <a:lnTo>
                      <a:pt x="157" y="1091"/>
                    </a:lnTo>
                    <a:lnTo>
                      <a:pt x="136" y="1114"/>
                    </a:lnTo>
                    <a:lnTo>
                      <a:pt x="129" y="1114"/>
                    </a:lnTo>
                    <a:lnTo>
                      <a:pt x="136" y="1114"/>
                    </a:lnTo>
                    <a:lnTo>
                      <a:pt x="171" y="1151"/>
                    </a:lnTo>
                    <a:lnTo>
                      <a:pt x="213" y="1151"/>
                    </a:lnTo>
                    <a:lnTo>
                      <a:pt x="228" y="1159"/>
                    </a:lnTo>
                    <a:lnTo>
                      <a:pt x="248" y="1159"/>
                    </a:lnTo>
                    <a:lnTo>
                      <a:pt x="270" y="1190"/>
                    </a:lnTo>
                    <a:lnTo>
                      <a:pt x="285" y="1190"/>
                    </a:lnTo>
                    <a:lnTo>
                      <a:pt x="291" y="1181"/>
                    </a:lnTo>
                    <a:lnTo>
                      <a:pt x="270" y="1159"/>
                    </a:lnTo>
                    <a:lnTo>
                      <a:pt x="270" y="1143"/>
                    </a:lnTo>
                    <a:lnTo>
                      <a:pt x="263" y="1122"/>
                    </a:lnTo>
                    <a:lnTo>
                      <a:pt x="285" y="1091"/>
                    </a:lnTo>
                    <a:lnTo>
                      <a:pt x="291" y="1107"/>
                    </a:lnTo>
                    <a:lnTo>
                      <a:pt x="298" y="1091"/>
                    </a:lnTo>
                    <a:lnTo>
                      <a:pt x="298" y="1085"/>
                    </a:lnTo>
                    <a:lnTo>
                      <a:pt x="291" y="1085"/>
                    </a:lnTo>
                    <a:lnTo>
                      <a:pt x="298" y="1077"/>
                    </a:lnTo>
                    <a:lnTo>
                      <a:pt x="291" y="1060"/>
                    </a:lnTo>
                    <a:lnTo>
                      <a:pt x="270" y="1060"/>
                    </a:lnTo>
                    <a:lnTo>
                      <a:pt x="263" y="1038"/>
                    </a:lnTo>
                    <a:lnTo>
                      <a:pt x="270" y="993"/>
                    </a:lnTo>
                    <a:lnTo>
                      <a:pt x="291" y="1017"/>
                    </a:lnTo>
                    <a:lnTo>
                      <a:pt x="298" y="1017"/>
                    </a:lnTo>
                    <a:lnTo>
                      <a:pt x="291" y="993"/>
                    </a:lnTo>
                    <a:lnTo>
                      <a:pt x="312" y="963"/>
                    </a:lnTo>
                    <a:lnTo>
                      <a:pt x="333" y="976"/>
                    </a:lnTo>
                    <a:lnTo>
                      <a:pt x="342" y="963"/>
                    </a:lnTo>
                    <a:lnTo>
                      <a:pt x="355" y="976"/>
                    </a:lnTo>
                    <a:lnTo>
                      <a:pt x="384" y="993"/>
                    </a:lnTo>
                    <a:lnTo>
                      <a:pt x="399" y="985"/>
                    </a:lnTo>
                    <a:lnTo>
                      <a:pt x="419" y="985"/>
                    </a:lnTo>
                    <a:lnTo>
                      <a:pt x="429" y="993"/>
                    </a:lnTo>
                    <a:lnTo>
                      <a:pt x="462" y="993"/>
                    </a:lnTo>
                    <a:lnTo>
                      <a:pt x="471" y="976"/>
                    </a:lnTo>
                    <a:lnTo>
                      <a:pt x="441" y="963"/>
                    </a:lnTo>
                    <a:lnTo>
                      <a:pt x="462" y="956"/>
                    </a:lnTo>
                    <a:lnTo>
                      <a:pt x="456" y="949"/>
                    </a:lnTo>
                    <a:lnTo>
                      <a:pt x="462" y="943"/>
                    </a:lnTo>
                    <a:lnTo>
                      <a:pt x="462" y="909"/>
                    </a:lnTo>
                    <a:lnTo>
                      <a:pt x="476" y="919"/>
                    </a:lnTo>
                    <a:lnTo>
                      <a:pt x="556" y="897"/>
                    </a:lnTo>
                    <a:lnTo>
                      <a:pt x="556" y="880"/>
                    </a:lnTo>
                    <a:lnTo>
                      <a:pt x="590" y="880"/>
                    </a:lnTo>
                    <a:lnTo>
                      <a:pt x="598" y="904"/>
                    </a:lnTo>
                    <a:lnTo>
                      <a:pt x="598" y="909"/>
                    </a:lnTo>
                    <a:lnTo>
                      <a:pt x="603" y="909"/>
                    </a:lnTo>
                    <a:lnTo>
                      <a:pt x="625" y="919"/>
                    </a:lnTo>
                    <a:lnTo>
                      <a:pt x="625" y="934"/>
                    </a:lnTo>
                    <a:lnTo>
                      <a:pt x="642" y="934"/>
                    </a:lnTo>
                    <a:lnTo>
                      <a:pt x="653" y="909"/>
                    </a:lnTo>
                    <a:lnTo>
                      <a:pt x="675" y="904"/>
                    </a:lnTo>
                    <a:lnTo>
                      <a:pt x="682" y="934"/>
                    </a:lnTo>
                    <a:lnTo>
                      <a:pt x="719" y="993"/>
                    </a:lnTo>
                    <a:lnTo>
                      <a:pt x="725" y="976"/>
                    </a:lnTo>
                    <a:lnTo>
                      <a:pt x="734" y="993"/>
                    </a:lnTo>
                    <a:lnTo>
                      <a:pt x="761" y="985"/>
                    </a:lnTo>
                    <a:lnTo>
                      <a:pt x="782" y="1017"/>
                    </a:lnTo>
                    <a:lnTo>
                      <a:pt x="804" y="1023"/>
                    </a:lnTo>
                    <a:lnTo>
                      <a:pt x="804" y="1017"/>
                    </a:lnTo>
                    <a:lnTo>
                      <a:pt x="817" y="1032"/>
                    </a:lnTo>
                    <a:lnTo>
                      <a:pt x="866" y="993"/>
                    </a:lnTo>
                    <a:lnTo>
                      <a:pt x="903" y="1001"/>
                    </a:lnTo>
                    <a:lnTo>
                      <a:pt x="918" y="1017"/>
                    </a:lnTo>
                    <a:lnTo>
                      <a:pt x="953" y="1017"/>
                    </a:lnTo>
                    <a:lnTo>
                      <a:pt x="953" y="976"/>
                    </a:lnTo>
                    <a:lnTo>
                      <a:pt x="973" y="963"/>
                    </a:lnTo>
                    <a:lnTo>
                      <a:pt x="1010" y="976"/>
                    </a:lnTo>
                    <a:lnTo>
                      <a:pt x="1024" y="1001"/>
                    </a:lnTo>
                    <a:lnTo>
                      <a:pt x="1030" y="1001"/>
                    </a:lnTo>
                    <a:lnTo>
                      <a:pt x="1052" y="993"/>
                    </a:lnTo>
                    <a:lnTo>
                      <a:pt x="1121" y="1032"/>
                    </a:lnTo>
                    <a:lnTo>
                      <a:pt x="1159" y="1023"/>
                    </a:lnTo>
                    <a:lnTo>
                      <a:pt x="1179" y="1001"/>
                    </a:lnTo>
                    <a:lnTo>
                      <a:pt x="1201" y="1017"/>
                    </a:lnTo>
                    <a:lnTo>
                      <a:pt x="1223" y="1023"/>
                    </a:lnTo>
                    <a:lnTo>
                      <a:pt x="1243" y="1017"/>
                    </a:lnTo>
                    <a:lnTo>
                      <a:pt x="1250" y="976"/>
                    </a:lnTo>
                    <a:lnTo>
                      <a:pt x="1265" y="963"/>
                    </a:lnTo>
                    <a:lnTo>
                      <a:pt x="1265" y="956"/>
                    </a:lnTo>
                    <a:lnTo>
                      <a:pt x="1250" y="956"/>
                    </a:lnTo>
                    <a:lnTo>
                      <a:pt x="1265" y="943"/>
                    </a:lnTo>
                    <a:lnTo>
                      <a:pt x="1293" y="934"/>
                    </a:lnTo>
                    <a:lnTo>
                      <a:pt x="1322" y="943"/>
                    </a:lnTo>
                    <a:lnTo>
                      <a:pt x="1337" y="956"/>
                    </a:lnTo>
                    <a:lnTo>
                      <a:pt x="1355" y="1023"/>
                    </a:lnTo>
                    <a:lnTo>
                      <a:pt x="1372" y="1023"/>
                    </a:lnTo>
                    <a:lnTo>
                      <a:pt x="1401" y="1038"/>
                    </a:lnTo>
                    <a:lnTo>
                      <a:pt x="1401" y="1060"/>
                    </a:lnTo>
                    <a:lnTo>
                      <a:pt x="1414" y="1060"/>
                    </a:lnTo>
                    <a:lnTo>
                      <a:pt x="1449" y="1047"/>
                    </a:lnTo>
                    <a:lnTo>
                      <a:pt x="1449" y="1067"/>
                    </a:lnTo>
                    <a:lnTo>
                      <a:pt x="1421" y="1122"/>
                    </a:lnTo>
                    <a:lnTo>
                      <a:pt x="1414" y="1114"/>
                    </a:lnTo>
                    <a:lnTo>
                      <a:pt x="1401" y="1122"/>
                    </a:lnTo>
                    <a:lnTo>
                      <a:pt x="1401" y="1168"/>
                    </a:lnTo>
                    <a:lnTo>
                      <a:pt x="1406" y="1151"/>
                    </a:lnTo>
                    <a:lnTo>
                      <a:pt x="1414" y="1151"/>
                    </a:lnTo>
                    <a:lnTo>
                      <a:pt x="1414" y="1159"/>
                    </a:lnTo>
                    <a:lnTo>
                      <a:pt x="1421" y="1168"/>
                    </a:lnTo>
                    <a:lnTo>
                      <a:pt x="1449" y="1151"/>
                    </a:lnTo>
                    <a:lnTo>
                      <a:pt x="1530" y="1047"/>
                    </a:lnTo>
                    <a:lnTo>
                      <a:pt x="1535" y="943"/>
                    </a:lnTo>
                    <a:lnTo>
                      <a:pt x="1513" y="909"/>
                    </a:lnTo>
                    <a:lnTo>
                      <a:pt x="1508" y="909"/>
                    </a:lnTo>
                    <a:lnTo>
                      <a:pt x="1498" y="934"/>
                    </a:lnTo>
                    <a:lnTo>
                      <a:pt x="1484" y="934"/>
                    </a:lnTo>
                    <a:lnTo>
                      <a:pt x="1493" y="909"/>
                    </a:lnTo>
                    <a:lnTo>
                      <a:pt x="1484" y="909"/>
                    </a:lnTo>
                    <a:lnTo>
                      <a:pt x="1471" y="904"/>
                    </a:lnTo>
                    <a:lnTo>
                      <a:pt x="1457" y="904"/>
                    </a:lnTo>
                    <a:lnTo>
                      <a:pt x="1457" y="897"/>
                    </a:lnTo>
                    <a:lnTo>
                      <a:pt x="1556" y="785"/>
                    </a:lnTo>
                    <a:lnTo>
                      <a:pt x="1592" y="776"/>
                    </a:lnTo>
                    <a:lnTo>
                      <a:pt x="1600" y="785"/>
                    </a:lnTo>
                    <a:lnTo>
                      <a:pt x="1615" y="776"/>
                    </a:lnTo>
                    <a:lnTo>
                      <a:pt x="1633" y="785"/>
                    </a:lnTo>
                    <a:lnTo>
                      <a:pt x="1642" y="759"/>
                    </a:lnTo>
                    <a:lnTo>
                      <a:pt x="1672" y="776"/>
                    </a:lnTo>
                    <a:lnTo>
                      <a:pt x="1679" y="776"/>
                    </a:lnTo>
                    <a:lnTo>
                      <a:pt x="1672" y="785"/>
                    </a:lnTo>
                    <a:lnTo>
                      <a:pt x="1672" y="790"/>
                    </a:lnTo>
                    <a:lnTo>
                      <a:pt x="1721" y="785"/>
                    </a:lnTo>
                    <a:lnTo>
                      <a:pt x="1712" y="776"/>
                    </a:lnTo>
                    <a:lnTo>
                      <a:pt x="1749" y="709"/>
                    </a:lnTo>
                    <a:lnTo>
                      <a:pt x="1793" y="699"/>
                    </a:lnTo>
                    <a:lnTo>
                      <a:pt x="1793" y="736"/>
                    </a:lnTo>
                    <a:lnTo>
                      <a:pt x="1834" y="709"/>
                    </a:lnTo>
                    <a:lnTo>
                      <a:pt x="1834" y="675"/>
                    </a:lnTo>
                    <a:lnTo>
                      <a:pt x="1848" y="675"/>
                    </a:lnTo>
                    <a:lnTo>
                      <a:pt x="1841" y="692"/>
                    </a:lnTo>
                    <a:lnTo>
                      <a:pt x="1834" y="736"/>
                    </a:lnTo>
                    <a:lnTo>
                      <a:pt x="1821" y="744"/>
                    </a:lnTo>
                    <a:lnTo>
                      <a:pt x="1764" y="812"/>
                    </a:lnTo>
                    <a:lnTo>
                      <a:pt x="1749" y="822"/>
                    </a:lnTo>
                    <a:lnTo>
                      <a:pt x="1727" y="880"/>
                    </a:lnTo>
                    <a:lnTo>
                      <a:pt x="1749" y="993"/>
                    </a:lnTo>
                    <a:lnTo>
                      <a:pt x="1793" y="943"/>
                    </a:lnTo>
                    <a:lnTo>
                      <a:pt x="1793" y="909"/>
                    </a:lnTo>
                    <a:lnTo>
                      <a:pt x="1798" y="909"/>
                    </a:lnTo>
                    <a:lnTo>
                      <a:pt x="1821" y="904"/>
                    </a:lnTo>
                    <a:lnTo>
                      <a:pt x="1821" y="875"/>
                    </a:lnTo>
                    <a:lnTo>
                      <a:pt x="1828" y="865"/>
                    </a:lnTo>
                    <a:lnTo>
                      <a:pt x="1834" y="865"/>
                    </a:lnTo>
                    <a:lnTo>
                      <a:pt x="1834" y="828"/>
                    </a:lnTo>
                    <a:lnTo>
                      <a:pt x="1821" y="812"/>
                    </a:lnTo>
                    <a:lnTo>
                      <a:pt x="1834" y="785"/>
                    </a:lnTo>
                    <a:lnTo>
                      <a:pt x="1834" y="759"/>
                    </a:lnTo>
                    <a:lnTo>
                      <a:pt x="1848" y="759"/>
                    </a:lnTo>
                    <a:lnTo>
                      <a:pt x="1876" y="744"/>
                    </a:lnTo>
                    <a:lnTo>
                      <a:pt x="1876" y="759"/>
                    </a:lnTo>
                    <a:lnTo>
                      <a:pt x="1883" y="754"/>
                    </a:lnTo>
                    <a:lnTo>
                      <a:pt x="1912" y="744"/>
                    </a:lnTo>
                    <a:lnTo>
                      <a:pt x="1927" y="759"/>
                    </a:lnTo>
                    <a:lnTo>
                      <a:pt x="1933" y="744"/>
                    </a:lnTo>
                    <a:lnTo>
                      <a:pt x="2020" y="675"/>
                    </a:lnTo>
                    <a:lnTo>
                      <a:pt x="2047" y="692"/>
                    </a:lnTo>
                    <a:lnTo>
                      <a:pt x="2056" y="675"/>
                    </a:lnTo>
                    <a:lnTo>
                      <a:pt x="2042" y="625"/>
                    </a:lnTo>
                    <a:lnTo>
                      <a:pt x="2025" y="625"/>
                    </a:lnTo>
                    <a:lnTo>
                      <a:pt x="2025" y="601"/>
                    </a:lnTo>
                    <a:lnTo>
                      <a:pt x="2042" y="601"/>
                    </a:lnTo>
                    <a:lnTo>
                      <a:pt x="2056" y="595"/>
                    </a:lnTo>
                    <a:lnTo>
                      <a:pt x="2069" y="578"/>
                    </a:lnTo>
                    <a:lnTo>
                      <a:pt x="2062" y="556"/>
                    </a:lnTo>
                    <a:lnTo>
                      <a:pt x="2069" y="549"/>
                    </a:lnTo>
                    <a:lnTo>
                      <a:pt x="2082" y="578"/>
                    </a:lnTo>
                    <a:lnTo>
                      <a:pt x="2096" y="578"/>
                    </a:lnTo>
                    <a:lnTo>
                      <a:pt x="2151" y="625"/>
                    </a:lnTo>
                    <a:lnTo>
                      <a:pt x="2168" y="595"/>
                    </a:lnTo>
                    <a:lnTo>
                      <a:pt x="2168" y="578"/>
                    </a:lnTo>
                    <a:lnTo>
                      <a:pt x="2180" y="578"/>
                    </a:lnTo>
                    <a:lnTo>
                      <a:pt x="2195" y="556"/>
                    </a:lnTo>
                    <a:lnTo>
                      <a:pt x="2173" y="532"/>
                    </a:lnTo>
                    <a:lnTo>
                      <a:pt x="2131" y="519"/>
                    </a:lnTo>
                    <a:lnTo>
                      <a:pt x="2007" y="411"/>
                    </a:lnTo>
                    <a:lnTo>
                      <a:pt x="1933" y="400"/>
                    </a:lnTo>
                    <a:lnTo>
                      <a:pt x="1933" y="450"/>
                    </a:lnTo>
                    <a:lnTo>
                      <a:pt x="1920" y="457"/>
                    </a:lnTo>
                    <a:lnTo>
                      <a:pt x="1903" y="435"/>
                    </a:lnTo>
                    <a:lnTo>
                      <a:pt x="1903" y="420"/>
                    </a:lnTo>
                    <a:lnTo>
                      <a:pt x="1912" y="420"/>
                    </a:lnTo>
                    <a:lnTo>
                      <a:pt x="1920" y="411"/>
                    </a:lnTo>
                    <a:lnTo>
                      <a:pt x="1903" y="411"/>
                    </a:lnTo>
                    <a:lnTo>
                      <a:pt x="1883" y="428"/>
                    </a:lnTo>
                    <a:lnTo>
                      <a:pt x="1798" y="420"/>
                    </a:lnTo>
                    <a:lnTo>
                      <a:pt x="1784" y="411"/>
                    </a:lnTo>
                    <a:lnTo>
                      <a:pt x="1793" y="391"/>
                    </a:lnTo>
                    <a:lnTo>
                      <a:pt x="1776" y="368"/>
                    </a:lnTo>
                    <a:lnTo>
                      <a:pt x="1742" y="353"/>
                    </a:lnTo>
                    <a:lnTo>
                      <a:pt x="1685" y="374"/>
                    </a:lnTo>
                    <a:lnTo>
                      <a:pt x="1679" y="344"/>
                    </a:lnTo>
                    <a:lnTo>
                      <a:pt x="1664" y="344"/>
                    </a:lnTo>
                    <a:lnTo>
                      <a:pt x="1657" y="337"/>
                    </a:lnTo>
                    <a:lnTo>
                      <a:pt x="1657" y="309"/>
                    </a:lnTo>
                    <a:lnTo>
                      <a:pt x="1530" y="272"/>
                    </a:lnTo>
                    <a:lnTo>
                      <a:pt x="1508" y="309"/>
                    </a:lnTo>
                    <a:lnTo>
                      <a:pt x="1530" y="337"/>
                    </a:lnTo>
                    <a:lnTo>
                      <a:pt x="1463" y="337"/>
                    </a:lnTo>
                    <a:lnTo>
                      <a:pt x="1449" y="344"/>
                    </a:lnTo>
                    <a:lnTo>
                      <a:pt x="1421" y="326"/>
                    </a:lnTo>
                    <a:lnTo>
                      <a:pt x="1406" y="374"/>
                    </a:lnTo>
                    <a:lnTo>
                      <a:pt x="1385" y="368"/>
                    </a:lnTo>
                    <a:lnTo>
                      <a:pt x="1372" y="329"/>
                    </a:lnTo>
                    <a:lnTo>
                      <a:pt x="1379" y="279"/>
                    </a:lnTo>
                    <a:lnTo>
                      <a:pt x="1364" y="255"/>
                    </a:lnTo>
                    <a:lnTo>
                      <a:pt x="1315" y="235"/>
                    </a:lnTo>
                    <a:lnTo>
                      <a:pt x="1293" y="235"/>
                    </a:lnTo>
                    <a:lnTo>
                      <a:pt x="1287" y="255"/>
                    </a:lnTo>
                    <a:lnTo>
                      <a:pt x="1293" y="272"/>
                    </a:lnTo>
                    <a:lnTo>
                      <a:pt x="1228" y="264"/>
                    </a:lnTo>
                    <a:lnTo>
                      <a:pt x="1236" y="235"/>
                    </a:lnTo>
                    <a:lnTo>
                      <a:pt x="1193" y="225"/>
                    </a:lnTo>
                    <a:lnTo>
                      <a:pt x="1166" y="247"/>
                    </a:lnTo>
                    <a:lnTo>
                      <a:pt x="1117" y="218"/>
                    </a:lnTo>
                    <a:close/>
                  </a:path>
                </a:pathLst>
              </a:custGeom>
              <a:solidFill>
                <a:srgbClr val="AFE17D"/>
              </a:solidFill>
              <a:ln w="9525">
                <a:solidFill>
                  <a:srgbClr val="FFFFFF"/>
                </a:solidFill>
                <a:miter lim="800000"/>
                <a:headEnd/>
                <a:tailEnd/>
              </a:ln>
            </xdr:spPr>
            <xdr:txBody>
              <a:bodyPr vertOverflow="clip" wrap="square" lIns="36576" tIns="32004" rIns="0" bIns="0" anchor="t"/>
              <a:lstStyle/>
              <a:p>
                <a:pPr algn="l" rtl="0">
                  <a:defRPr sz="1000"/>
                </a:pPr>
                <a:endParaRPr lang="en-US" sz="1600" b="0" i="0" u="none" strike="noStrike" baseline="0">
                  <a:solidFill>
                    <a:srgbClr val="000000"/>
                  </a:solidFill>
                  <a:latin typeface="Arial"/>
                  <a:cs typeface="Arial"/>
                </a:endParaRPr>
              </a:p>
              <a:p>
                <a:pPr algn="l" rtl="0">
                  <a:defRPr sz="1000"/>
                </a:pPr>
                <a:endParaRPr lang="en-US"/>
              </a:p>
            </xdr:txBody>
          </xdr:sp>
        </xdr:grpSp>
        <xdr:sp macro="" textlink="">
          <xdr:nvSpPr>
            <xdr:cNvPr id="25921" name="Freeform 150"/>
            <xdr:cNvSpPr>
              <a:spLocks/>
            </xdr:cNvSpPr>
          </xdr:nvSpPr>
          <xdr:spPr bwMode="auto">
            <a:xfrm>
              <a:off x="893" y="313"/>
              <a:ext cx="19" cy="24"/>
            </a:xfrm>
            <a:custGeom>
              <a:avLst/>
              <a:gdLst>
                <a:gd name="T0" fmla="*/ 0 w 87"/>
                <a:gd name="T1" fmla="*/ 1 h 109"/>
                <a:gd name="T2" fmla="*/ 0 w 87"/>
                <a:gd name="T3" fmla="*/ 1 h 109"/>
                <a:gd name="T4" fmla="*/ 0 w 87"/>
                <a:gd name="T5" fmla="*/ 1 h 109"/>
                <a:gd name="T6" fmla="*/ 0 w 87"/>
                <a:gd name="T7" fmla="*/ 1 h 109"/>
                <a:gd name="T8" fmla="*/ 1 w 87"/>
                <a:gd name="T9" fmla="*/ 1 h 109"/>
                <a:gd name="T10" fmla="*/ 1 w 87"/>
                <a:gd name="T11" fmla="*/ 0 h 109"/>
                <a:gd name="T12" fmla="*/ 1 w 87"/>
                <a:gd name="T13" fmla="*/ 0 h 109"/>
                <a:gd name="T14" fmla="*/ 1 w 87"/>
                <a:gd name="T15" fmla="*/ 0 h 109"/>
                <a:gd name="T16" fmla="*/ 1 w 87"/>
                <a:gd name="T17" fmla="*/ 0 h 109"/>
                <a:gd name="T18" fmla="*/ 0 w 87"/>
                <a:gd name="T19" fmla="*/ 1 h 109"/>
                <a:gd name="T20" fmla="*/ 0 w 87"/>
                <a:gd name="T21" fmla="*/ 1 h 109"/>
                <a:gd name="T22" fmla="*/ 0 w 87"/>
                <a:gd name="T23" fmla="*/ 1 h 109"/>
                <a:gd name="T24" fmla="*/ 0 w 87"/>
                <a:gd name="T25" fmla="*/ 1 h 109"/>
                <a:gd name="T26" fmla="*/ 0 60000 65536"/>
                <a:gd name="T27" fmla="*/ 0 60000 65536"/>
                <a:gd name="T28" fmla="*/ 0 60000 65536"/>
                <a:gd name="T29" fmla="*/ 0 60000 65536"/>
                <a:gd name="T30" fmla="*/ 0 60000 65536"/>
                <a:gd name="T31" fmla="*/ 0 60000 65536"/>
                <a:gd name="T32" fmla="*/ 0 60000 65536"/>
                <a:gd name="T33" fmla="*/ 0 60000 65536"/>
                <a:gd name="T34" fmla="*/ 0 60000 65536"/>
                <a:gd name="T35" fmla="*/ 0 60000 65536"/>
                <a:gd name="T36" fmla="*/ 0 60000 65536"/>
                <a:gd name="T37" fmla="*/ 0 60000 65536"/>
                <a:gd name="T38" fmla="*/ 0 60000 65536"/>
                <a:gd name="T39" fmla="*/ 0 w 87"/>
                <a:gd name="T40" fmla="*/ 0 h 109"/>
                <a:gd name="T41" fmla="*/ 87 w 87"/>
                <a:gd name="T42" fmla="*/ 109 h 109"/>
              </a:gdLst>
              <a:ahLst/>
              <a:cxnLst>
                <a:cxn ang="T26">
                  <a:pos x="T0" y="T1"/>
                </a:cxn>
                <a:cxn ang="T27">
                  <a:pos x="T2" y="T3"/>
                </a:cxn>
                <a:cxn ang="T28">
                  <a:pos x="T4" y="T5"/>
                </a:cxn>
                <a:cxn ang="T29">
                  <a:pos x="T6" y="T7"/>
                </a:cxn>
                <a:cxn ang="T30">
                  <a:pos x="T8" y="T9"/>
                </a:cxn>
                <a:cxn ang="T31">
                  <a:pos x="T10" y="T11"/>
                </a:cxn>
                <a:cxn ang="T32">
                  <a:pos x="T12" y="T13"/>
                </a:cxn>
                <a:cxn ang="T33">
                  <a:pos x="T14" y="T15"/>
                </a:cxn>
                <a:cxn ang="T34">
                  <a:pos x="T16" y="T17"/>
                </a:cxn>
                <a:cxn ang="T35">
                  <a:pos x="T18" y="T19"/>
                </a:cxn>
                <a:cxn ang="T36">
                  <a:pos x="T20" y="T21"/>
                </a:cxn>
                <a:cxn ang="T37">
                  <a:pos x="T22" y="T23"/>
                </a:cxn>
                <a:cxn ang="T38">
                  <a:pos x="T24" y="T25"/>
                </a:cxn>
              </a:cxnLst>
              <a:rect l="T39" t="T40" r="T41" b="T42"/>
              <a:pathLst>
                <a:path w="87" h="109">
                  <a:moveTo>
                    <a:pt x="0" y="101"/>
                  </a:moveTo>
                  <a:lnTo>
                    <a:pt x="7" y="109"/>
                  </a:lnTo>
                  <a:lnTo>
                    <a:pt x="37" y="101"/>
                  </a:lnTo>
                  <a:lnTo>
                    <a:pt x="37" y="87"/>
                  </a:lnTo>
                  <a:lnTo>
                    <a:pt x="65" y="74"/>
                  </a:lnTo>
                  <a:lnTo>
                    <a:pt x="79" y="45"/>
                  </a:lnTo>
                  <a:lnTo>
                    <a:pt x="87" y="0"/>
                  </a:lnTo>
                  <a:lnTo>
                    <a:pt x="79" y="0"/>
                  </a:lnTo>
                  <a:lnTo>
                    <a:pt x="65" y="45"/>
                  </a:lnTo>
                  <a:lnTo>
                    <a:pt x="28" y="87"/>
                  </a:lnTo>
                  <a:lnTo>
                    <a:pt x="0" y="101"/>
                  </a:lnTo>
                  <a:close/>
                </a:path>
              </a:pathLst>
            </a:custGeom>
            <a:solidFill>
              <a:srgbClr val="AFE17D"/>
            </a:solidFill>
            <a:ln w="9525">
              <a:solidFill>
                <a:srgbClr val="FFFFFF"/>
              </a:solidFill>
              <a:miter lim="800000"/>
              <a:headEnd/>
              <a:tailEnd/>
            </a:ln>
          </xdr:spPr>
          <xdr:txBody>
            <a:bodyPr vertOverflow="clip" wrap="square" lIns="36576" tIns="32004" rIns="0" bIns="0" anchor="t"/>
            <a:lstStyle/>
            <a:p>
              <a:pPr algn="l" rtl="0">
                <a:defRPr sz="1000"/>
              </a:pPr>
              <a:endParaRPr lang="en-US" sz="1600" b="0" i="0" u="none" strike="noStrike" baseline="0">
                <a:solidFill>
                  <a:srgbClr val="000000"/>
                </a:solidFill>
                <a:latin typeface="Arial"/>
                <a:cs typeface="Arial"/>
              </a:endParaRPr>
            </a:p>
            <a:p>
              <a:pPr algn="l" rtl="0">
                <a:defRPr sz="1000"/>
              </a:pPr>
              <a:endParaRPr lang="en-US"/>
            </a:p>
          </xdr:txBody>
        </xdr:sp>
      </xdr:grpSp>
      <xdr:sp macro="" textlink="">
        <xdr:nvSpPr>
          <xdr:cNvPr id="25919" name="Freeform 191"/>
          <xdr:cNvSpPr>
            <a:spLocks/>
          </xdr:cNvSpPr>
        </xdr:nvSpPr>
        <xdr:spPr bwMode="auto">
          <a:xfrm>
            <a:off x="645" y="314"/>
            <a:ext cx="9" cy="6"/>
          </a:xfrm>
          <a:custGeom>
            <a:avLst/>
            <a:gdLst>
              <a:gd name="T0" fmla="*/ 0 w 44"/>
              <a:gd name="T1" fmla="*/ 0 h 30"/>
              <a:gd name="T2" fmla="*/ 0 w 44"/>
              <a:gd name="T3" fmla="*/ 0 h 30"/>
              <a:gd name="T4" fmla="*/ 0 w 44"/>
              <a:gd name="T5" fmla="*/ 0 h 30"/>
              <a:gd name="T6" fmla="*/ 0 w 44"/>
              <a:gd name="T7" fmla="*/ 0 h 30"/>
              <a:gd name="T8" fmla="*/ 0 w 44"/>
              <a:gd name="T9" fmla="*/ 0 h 30"/>
              <a:gd name="T10" fmla="*/ 0 w 44"/>
              <a:gd name="T11" fmla="*/ 0 h 30"/>
              <a:gd name="T12" fmla="*/ 0 w 44"/>
              <a:gd name="T13" fmla="*/ 0 h 30"/>
              <a:gd name="T14" fmla="*/ 0 w 44"/>
              <a:gd name="T15" fmla="*/ 0 h 30"/>
              <a:gd name="T16" fmla="*/ 0 60000 65536"/>
              <a:gd name="T17" fmla="*/ 0 60000 65536"/>
              <a:gd name="T18" fmla="*/ 0 60000 65536"/>
              <a:gd name="T19" fmla="*/ 0 60000 65536"/>
              <a:gd name="T20" fmla="*/ 0 60000 65536"/>
              <a:gd name="T21" fmla="*/ 0 60000 65536"/>
              <a:gd name="T22" fmla="*/ 0 60000 65536"/>
              <a:gd name="T23" fmla="*/ 0 60000 65536"/>
              <a:gd name="T24" fmla="*/ 0 w 44"/>
              <a:gd name="T25" fmla="*/ 0 h 30"/>
              <a:gd name="T26" fmla="*/ 44 w 44"/>
              <a:gd name="T27" fmla="*/ 30 h 30"/>
            </a:gdLst>
            <a:ahLst/>
            <a:cxnLst>
              <a:cxn ang="T16">
                <a:pos x="T0" y="T1"/>
              </a:cxn>
              <a:cxn ang="T17">
                <a:pos x="T2" y="T3"/>
              </a:cxn>
              <a:cxn ang="T18">
                <a:pos x="T4" y="T5"/>
              </a:cxn>
              <a:cxn ang="T19">
                <a:pos x="T6" y="T7"/>
              </a:cxn>
              <a:cxn ang="T20">
                <a:pos x="T8" y="T9"/>
              </a:cxn>
              <a:cxn ang="T21">
                <a:pos x="T10" y="T11"/>
              </a:cxn>
              <a:cxn ang="T22">
                <a:pos x="T12" y="T13"/>
              </a:cxn>
              <a:cxn ang="T23">
                <a:pos x="T14" y="T15"/>
              </a:cxn>
            </a:cxnLst>
            <a:rect l="T24" t="T25" r="T26" b="T27"/>
            <a:pathLst>
              <a:path w="44" h="30">
                <a:moveTo>
                  <a:pt x="44" y="0"/>
                </a:moveTo>
                <a:lnTo>
                  <a:pt x="44" y="30"/>
                </a:lnTo>
                <a:lnTo>
                  <a:pt x="22" y="30"/>
                </a:lnTo>
                <a:lnTo>
                  <a:pt x="0" y="24"/>
                </a:lnTo>
                <a:lnTo>
                  <a:pt x="13" y="17"/>
                </a:lnTo>
                <a:lnTo>
                  <a:pt x="22" y="0"/>
                </a:lnTo>
                <a:lnTo>
                  <a:pt x="44" y="0"/>
                </a:lnTo>
                <a:close/>
              </a:path>
            </a:pathLst>
          </a:custGeom>
          <a:solidFill>
            <a:srgbClr val="AFE17D"/>
          </a:solidFill>
          <a:ln w="9525">
            <a:solidFill>
              <a:srgbClr val="FFFFFF"/>
            </a:solidFill>
            <a:miter lim="800000"/>
            <a:headEnd/>
            <a:tailEnd/>
          </a:ln>
        </xdr:spPr>
        <xdr:txBody>
          <a:bodyPr vertOverflow="clip" wrap="square" lIns="36576" tIns="32004" rIns="0" bIns="0" anchor="t"/>
          <a:lstStyle/>
          <a:p>
            <a:pPr algn="l" rtl="0">
              <a:defRPr sz="1000"/>
            </a:pPr>
            <a:endParaRPr lang="en-US" sz="1600" b="0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 algn="l" rtl="0">
              <a:defRPr sz="1000"/>
            </a:pPr>
            <a:endParaRPr lang="en-US"/>
          </a:p>
        </xdr:txBody>
      </xdr:sp>
    </xdr:grpSp>
    <xdr:clientData/>
  </xdr:twoCellAnchor>
  <xdr:twoCellAnchor>
    <xdr:from>
      <xdr:col>10</xdr:col>
      <xdr:colOff>600075</xdr:colOff>
      <xdr:row>24</xdr:row>
      <xdr:rowOff>123825</xdr:rowOff>
    </xdr:from>
    <xdr:to>
      <xdr:col>10</xdr:col>
      <xdr:colOff>657225</xdr:colOff>
      <xdr:row>25</xdr:row>
      <xdr:rowOff>85725</xdr:rowOff>
    </xdr:to>
    <xdr:sp macro="" textlink="">
      <xdr:nvSpPr>
        <xdr:cNvPr id="25866" name="S_ISR"/>
        <xdr:cNvSpPr>
          <a:spLocks/>
        </xdr:cNvSpPr>
      </xdr:nvSpPr>
      <xdr:spPr bwMode="auto">
        <a:xfrm>
          <a:off x="6429375" y="3857625"/>
          <a:ext cx="57150" cy="123825"/>
        </a:xfrm>
        <a:custGeom>
          <a:avLst/>
          <a:gdLst>
            <a:gd name="T0" fmla="*/ 98566822 w 27"/>
            <a:gd name="T1" fmla="*/ 34072520 h 60"/>
            <a:gd name="T2" fmla="*/ 98566822 w 27"/>
            <a:gd name="T3" fmla="*/ 161845490 h 60"/>
            <a:gd name="T4" fmla="*/ 35841523 w 27"/>
            <a:gd name="T5" fmla="*/ 255543843 h 60"/>
            <a:gd name="T6" fmla="*/ 0 w 27"/>
            <a:gd name="T7" fmla="*/ 127772954 h 60"/>
            <a:gd name="T8" fmla="*/ 98566822 w 27"/>
            <a:gd name="T9" fmla="*/ 0 h 60"/>
            <a:gd name="T10" fmla="*/ 120967499 w 27"/>
            <a:gd name="T11" fmla="*/ 0 h 60"/>
            <a:gd name="T12" fmla="*/ 98566822 w 27"/>
            <a:gd name="T13" fmla="*/ 34072520 h 60"/>
            <a:gd name="T14" fmla="*/ 98566822 w 27"/>
            <a:gd name="T15" fmla="*/ 34072520 h 60"/>
            <a:gd name="T16" fmla="*/ 98566822 w 27"/>
            <a:gd name="T17" fmla="*/ 34072520 h 60"/>
            <a:gd name="T18" fmla="*/ 0 60000 65536"/>
            <a:gd name="T19" fmla="*/ 0 60000 65536"/>
            <a:gd name="T20" fmla="*/ 0 60000 65536"/>
            <a:gd name="T21" fmla="*/ 0 60000 65536"/>
            <a:gd name="T22" fmla="*/ 0 60000 65536"/>
            <a:gd name="T23" fmla="*/ 0 60000 65536"/>
            <a:gd name="T24" fmla="*/ 0 60000 65536"/>
            <a:gd name="T25" fmla="*/ 0 60000 65536"/>
            <a:gd name="T26" fmla="*/ 0 60000 65536"/>
            <a:gd name="T27" fmla="*/ 0 w 27"/>
            <a:gd name="T28" fmla="*/ 0 h 60"/>
            <a:gd name="T29" fmla="*/ 27 w 27"/>
            <a:gd name="T30" fmla="*/ 60 h 60"/>
          </a:gdLst>
          <a:ahLst/>
          <a:cxnLst>
            <a:cxn ang="T18">
              <a:pos x="T0" y="T1"/>
            </a:cxn>
            <a:cxn ang="T19">
              <a:pos x="T2" y="T3"/>
            </a:cxn>
            <a:cxn ang="T20">
              <a:pos x="T4" y="T5"/>
            </a:cxn>
            <a:cxn ang="T21">
              <a:pos x="T6" y="T7"/>
            </a:cxn>
            <a:cxn ang="T22">
              <a:pos x="T8" y="T9"/>
            </a:cxn>
            <a:cxn ang="T23">
              <a:pos x="T10" y="T11"/>
            </a:cxn>
            <a:cxn ang="T24">
              <a:pos x="T12" y="T13"/>
            </a:cxn>
            <a:cxn ang="T25">
              <a:pos x="T14" y="T15"/>
            </a:cxn>
            <a:cxn ang="T26">
              <a:pos x="T16" y="T17"/>
            </a:cxn>
          </a:cxnLst>
          <a:rect l="T27" t="T28" r="T29" b="T30"/>
          <a:pathLst>
            <a:path w="27" h="60">
              <a:moveTo>
                <a:pt x="22" y="8"/>
              </a:moveTo>
              <a:lnTo>
                <a:pt x="22" y="38"/>
              </a:lnTo>
              <a:lnTo>
                <a:pt x="8" y="60"/>
              </a:lnTo>
              <a:lnTo>
                <a:pt x="0" y="30"/>
              </a:lnTo>
              <a:lnTo>
                <a:pt x="22" y="0"/>
              </a:lnTo>
              <a:lnTo>
                <a:pt x="27" y="0"/>
              </a:lnTo>
              <a:lnTo>
                <a:pt x="22" y="8"/>
              </a:lnTo>
              <a:close/>
            </a:path>
          </a:pathLst>
        </a:custGeom>
        <a:solidFill>
          <a:srgbClr val="F5F5F5"/>
        </a:solidFill>
        <a:ln w="9525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36576" tIns="32004" rIns="0" bIns="0" anchor="t"/>
        <a:lstStyle/>
        <a:p>
          <a:pPr algn="l" rtl="0">
            <a:defRPr sz="1000"/>
          </a:pPr>
          <a:endParaRPr lang="en-US" sz="16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en-US"/>
        </a:p>
      </xdr:txBody>
    </xdr:sp>
    <xdr:clientData/>
  </xdr:twoCellAnchor>
  <xdr:twoCellAnchor>
    <xdr:from>
      <xdr:col>11</xdr:col>
      <xdr:colOff>38100</xdr:colOff>
      <xdr:row>23</xdr:row>
      <xdr:rowOff>95250</xdr:rowOff>
    </xdr:from>
    <xdr:to>
      <xdr:col>11</xdr:col>
      <xdr:colOff>295275</xdr:colOff>
      <xdr:row>25</xdr:row>
      <xdr:rowOff>85725</xdr:rowOff>
    </xdr:to>
    <xdr:sp macro="" textlink="">
      <xdr:nvSpPr>
        <xdr:cNvPr id="25867" name="S_IRQ"/>
        <xdr:cNvSpPr>
          <a:spLocks/>
        </xdr:cNvSpPr>
      </xdr:nvSpPr>
      <xdr:spPr bwMode="auto">
        <a:xfrm>
          <a:off x="6581775" y="3667125"/>
          <a:ext cx="257175" cy="314325"/>
        </a:xfrm>
        <a:custGeom>
          <a:avLst/>
          <a:gdLst>
            <a:gd name="T0" fmla="*/ 317467158 w 125"/>
            <a:gd name="T1" fmla="*/ 37079587 h 146"/>
            <a:gd name="T2" fmla="*/ 347097826 w 125"/>
            <a:gd name="T3" fmla="*/ 111240896 h 146"/>
            <a:gd name="T4" fmla="*/ 376728493 w 125"/>
            <a:gd name="T5" fmla="*/ 111240896 h 146"/>
            <a:gd name="T6" fmla="*/ 376728493 w 125"/>
            <a:gd name="T7" fmla="*/ 208576147 h 146"/>
            <a:gd name="T8" fmla="*/ 347097826 w 125"/>
            <a:gd name="T9" fmla="*/ 282737507 h 146"/>
            <a:gd name="T10" fmla="*/ 376728493 w 125"/>
            <a:gd name="T11" fmla="*/ 389343154 h 146"/>
            <a:gd name="T12" fmla="*/ 440221899 w 125"/>
            <a:gd name="T13" fmla="*/ 421787509 h 146"/>
            <a:gd name="T14" fmla="*/ 503715305 w 125"/>
            <a:gd name="T15" fmla="*/ 570108076 h 146"/>
            <a:gd name="T16" fmla="*/ 529111844 w 125"/>
            <a:gd name="T17" fmla="*/ 597919368 h 146"/>
            <a:gd name="T18" fmla="*/ 529111844 w 125"/>
            <a:gd name="T19" fmla="*/ 630363723 h 146"/>
            <a:gd name="T20" fmla="*/ 440221899 w 125"/>
            <a:gd name="T21" fmla="*/ 630363723 h 146"/>
            <a:gd name="T22" fmla="*/ 410591232 w 125"/>
            <a:gd name="T23" fmla="*/ 676713723 h 146"/>
            <a:gd name="T24" fmla="*/ 347097826 w 125"/>
            <a:gd name="T25" fmla="*/ 630363723 h 146"/>
            <a:gd name="T26" fmla="*/ 317467158 w 125"/>
            <a:gd name="T27" fmla="*/ 676713723 h 146"/>
            <a:gd name="T28" fmla="*/ 241275418 w 125"/>
            <a:gd name="T29" fmla="*/ 630363723 h 146"/>
            <a:gd name="T30" fmla="*/ 241275418 w 125"/>
            <a:gd name="T31" fmla="*/ 597919368 h 146"/>
            <a:gd name="T32" fmla="*/ 84657907 w 125"/>
            <a:gd name="T33" fmla="*/ 468137509 h 146"/>
            <a:gd name="T34" fmla="*/ 0 w 125"/>
            <a:gd name="T35" fmla="*/ 421787509 h 146"/>
            <a:gd name="T36" fmla="*/ 0 w 125"/>
            <a:gd name="T37" fmla="*/ 352261431 h 146"/>
            <a:gd name="T38" fmla="*/ 84657907 w 125"/>
            <a:gd name="T39" fmla="*/ 250290932 h 146"/>
            <a:gd name="T40" fmla="*/ 139685146 w 125"/>
            <a:gd name="T41" fmla="*/ 69526094 h 146"/>
            <a:gd name="T42" fmla="*/ 198946481 w 125"/>
            <a:gd name="T43" fmla="*/ 37079587 h 146"/>
            <a:gd name="T44" fmla="*/ 198946481 w 125"/>
            <a:gd name="T45" fmla="*/ 0 h 146"/>
            <a:gd name="T46" fmla="*/ 317467158 w 125"/>
            <a:gd name="T47" fmla="*/ 37079587 h 146"/>
            <a:gd name="T48" fmla="*/ 317467158 w 125"/>
            <a:gd name="T49" fmla="*/ 37079587 h 146"/>
            <a:gd name="T50" fmla="*/ 317467158 w 125"/>
            <a:gd name="T51" fmla="*/ 37079587 h 146"/>
            <a:gd name="T52" fmla="*/ 0 60000 65536"/>
            <a:gd name="T53" fmla="*/ 0 60000 65536"/>
            <a:gd name="T54" fmla="*/ 0 60000 65536"/>
            <a:gd name="T55" fmla="*/ 0 60000 65536"/>
            <a:gd name="T56" fmla="*/ 0 60000 65536"/>
            <a:gd name="T57" fmla="*/ 0 60000 65536"/>
            <a:gd name="T58" fmla="*/ 0 60000 65536"/>
            <a:gd name="T59" fmla="*/ 0 60000 65536"/>
            <a:gd name="T60" fmla="*/ 0 60000 65536"/>
            <a:gd name="T61" fmla="*/ 0 60000 65536"/>
            <a:gd name="T62" fmla="*/ 0 60000 65536"/>
            <a:gd name="T63" fmla="*/ 0 60000 65536"/>
            <a:gd name="T64" fmla="*/ 0 60000 65536"/>
            <a:gd name="T65" fmla="*/ 0 60000 65536"/>
            <a:gd name="T66" fmla="*/ 0 60000 65536"/>
            <a:gd name="T67" fmla="*/ 0 60000 65536"/>
            <a:gd name="T68" fmla="*/ 0 60000 65536"/>
            <a:gd name="T69" fmla="*/ 0 60000 65536"/>
            <a:gd name="T70" fmla="*/ 0 60000 65536"/>
            <a:gd name="T71" fmla="*/ 0 60000 65536"/>
            <a:gd name="T72" fmla="*/ 0 60000 65536"/>
            <a:gd name="T73" fmla="*/ 0 60000 65536"/>
            <a:gd name="T74" fmla="*/ 0 60000 65536"/>
            <a:gd name="T75" fmla="*/ 0 60000 65536"/>
            <a:gd name="T76" fmla="*/ 0 60000 65536"/>
            <a:gd name="T77" fmla="*/ 0 60000 65536"/>
            <a:gd name="T78" fmla="*/ 0 w 125"/>
            <a:gd name="T79" fmla="*/ 0 h 146"/>
            <a:gd name="T80" fmla="*/ 125 w 125"/>
            <a:gd name="T81" fmla="*/ 146 h 146"/>
          </a:gdLst>
          <a:ahLst/>
          <a:cxnLst>
            <a:cxn ang="T52">
              <a:pos x="T0" y="T1"/>
            </a:cxn>
            <a:cxn ang="T53">
              <a:pos x="T2" y="T3"/>
            </a:cxn>
            <a:cxn ang="T54">
              <a:pos x="T4" y="T5"/>
            </a:cxn>
            <a:cxn ang="T55">
              <a:pos x="T6" y="T7"/>
            </a:cxn>
            <a:cxn ang="T56">
              <a:pos x="T8" y="T9"/>
            </a:cxn>
            <a:cxn ang="T57">
              <a:pos x="T10" y="T11"/>
            </a:cxn>
            <a:cxn ang="T58">
              <a:pos x="T12" y="T13"/>
            </a:cxn>
            <a:cxn ang="T59">
              <a:pos x="T14" y="T15"/>
            </a:cxn>
            <a:cxn ang="T60">
              <a:pos x="T16" y="T17"/>
            </a:cxn>
            <a:cxn ang="T61">
              <a:pos x="T18" y="T19"/>
            </a:cxn>
            <a:cxn ang="T62">
              <a:pos x="T20" y="T21"/>
            </a:cxn>
            <a:cxn ang="T63">
              <a:pos x="T22" y="T23"/>
            </a:cxn>
            <a:cxn ang="T64">
              <a:pos x="T24" y="T25"/>
            </a:cxn>
            <a:cxn ang="T65">
              <a:pos x="T26" y="T27"/>
            </a:cxn>
            <a:cxn ang="T66">
              <a:pos x="T28" y="T29"/>
            </a:cxn>
            <a:cxn ang="T67">
              <a:pos x="T30" y="T31"/>
            </a:cxn>
            <a:cxn ang="T68">
              <a:pos x="T32" y="T33"/>
            </a:cxn>
            <a:cxn ang="T69">
              <a:pos x="T34" y="T35"/>
            </a:cxn>
            <a:cxn ang="T70">
              <a:pos x="T36" y="T37"/>
            </a:cxn>
            <a:cxn ang="T71">
              <a:pos x="T38" y="T39"/>
            </a:cxn>
            <a:cxn ang="T72">
              <a:pos x="T40" y="T41"/>
            </a:cxn>
            <a:cxn ang="T73">
              <a:pos x="T42" y="T43"/>
            </a:cxn>
            <a:cxn ang="T74">
              <a:pos x="T44" y="T45"/>
            </a:cxn>
            <a:cxn ang="T75">
              <a:pos x="T46" y="T47"/>
            </a:cxn>
            <a:cxn ang="T76">
              <a:pos x="T48" y="T49"/>
            </a:cxn>
            <a:cxn ang="T77">
              <a:pos x="T50" y="T51"/>
            </a:cxn>
          </a:cxnLst>
          <a:rect l="T78" t="T79" r="T80" b="T81"/>
          <a:pathLst>
            <a:path w="125" h="146">
              <a:moveTo>
                <a:pt x="75" y="8"/>
              </a:moveTo>
              <a:lnTo>
                <a:pt x="82" y="24"/>
              </a:lnTo>
              <a:lnTo>
                <a:pt x="89" y="24"/>
              </a:lnTo>
              <a:lnTo>
                <a:pt x="89" y="45"/>
              </a:lnTo>
              <a:lnTo>
                <a:pt x="82" y="61"/>
              </a:lnTo>
              <a:lnTo>
                <a:pt x="89" y="84"/>
              </a:lnTo>
              <a:lnTo>
                <a:pt x="104" y="91"/>
              </a:lnTo>
              <a:lnTo>
                <a:pt x="119" y="123"/>
              </a:lnTo>
              <a:lnTo>
                <a:pt x="125" y="129"/>
              </a:lnTo>
              <a:lnTo>
                <a:pt x="125" y="136"/>
              </a:lnTo>
              <a:lnTo>
                <a:pt x="104" y="136"/>
              </a:lnTo>
              <a:lnTo>
                <a:pt x="97" y="146"/>
              </a:lnTo>
              <a:lnTo>
                <a:pt x="82" y="136"/>
              </a:lnTo>
              <a:lnTo>
                <a:pt x="75" y="146"/>
              </a:lnTo>
              <a:lnTo>
                <a:pt x="57" y="136"/>
              </a:lnTo>
              <a:lnTo>
                <a:pt x="57" y="129"/>
              </a:lnTo>
              <a:lnTo>
                <a:pt x="20" y="101"/>
              </a:lnTo>
              <a:lnTo>
                <a:pt x="0" y="91"/>
              </a:lnTo>
              <a:lnTo>
                <a:pt x="0" y="76"/>
              </a:lnTo>
              <a:lnTo>
                <a:pt x="20" y="54"/>
              </a:lnTo>
              <a:lnTo>
                <a:pt x="33" y="15"/>
              </a:lnTo>
              <a:lnTo>
                <a:pt x="47" y="8"/>
              </a:lnTo>
              <a:lnTo>
                <a:pt x="47" y="0"/>
              </a:lnTo>
              <a:lnTo>
                <a:pt x="75" y="8"/>
              </a:lnTo>
              <a:close/>
            </a:path>
          </a:pathLst>
        </a:custGeom>
        <a:solidFill>
          <a:srgbClr val="F5F5F5"/>
        </a:solidFill>
        <a:ln w="9525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36576" tIns="32004" rIns="0" bIns="0" anchor="t"/>
        <a:lstStyle/>
        <a:p>
          <a:pPr algn="l" rtl="0">
            <a:defRPr sz="1000"/>
          </a:pPr>
          <a:endParaRPr lang="en-US" sz="16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en-US"/>
        </a:p>
      </xdr:txBody>
    </xdr:sp>
    <xdr:clientData/>
  </xdr:twoCellAnchor>
  <xdr:twoCellAnchor>
    <xdr:from>
      <xdr:col>10</xdr:col>
      <xdr:colOff>542925</xdr:colOff>
      <xdr:row>24</xdr:row>
      <xdr:rowOff>19050</xdr:rowOff>
    </xdr:from>
    <xdr:to>
      <xdr:col>10</xdr:col>
      <xdr:colOff>609600</xdr:colOff>
      <xdr:row>24</xdr:row>
      <xdr:rowOff>76200</xdr:rowOff>
    </xdr:to>
    <xdr:sp macro="" textlink="">
      <xdr:nvSpPr>
        <xdr:cNvPr id="25868" name="S_CYP"/>
        <xdr:cNvSpPr>
          <a:spLocks/>
        </xdr:cNvSpPr>
      </xdr:nvSpPr>
      <xdr:spPr bwMode="auto">
        <a:xfrm>
          <a:off x="6372225" y="3752850"/>
          <a:ext cx="66675" cy="57150"/>
        </a:xfrm>
        <a:custGeom>
          <a:avLst/>
          <a:gdLst>
            <a:gd name="T0" fmla="*/ 0 w 36"/>
            <a:gd name="T1" fmla="*/ 45826139 h 28"/>
            <a:gd name="T2" fmla="*/ 51452720 w 36"/>
            <a:gd name="T3" fmla="*/ 116647232 h 28"/>
            <a:gd name="T4" fmla="*/ 78895041 w 36"/>
            <a:gd name="T5" fmla="*/ 116647232 h 28"/>
            <a:gd name="T6" fmla="*/ 96045326 w 36"/>
            <a:gd name="T7" fmla="*/ 45826139 h 28"/>
            <a:gd name="T8" fmla="*/ 123487662 w 36"/>
            <a:gd name="T9" fmla="*/ 0 h 28"/>
            <a:gd name="T10" fmla="*/ 0 w 36"/>
            <a:gd name="T11" fmla="*/ 45826139 h 28"/>
            <a:gd name="T12" fmla="*/ 0 w 36"/>
            <a:gd name="T13" fmla="*/ 45826139 h 28"/>
            <a:gd name="T14" fmla="*/ 0 w 36"/>
            <a:gd name="T15" fmla="*/ 45826139 h 28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60000 65536"/>
            <a:gd name="T22" fmla="*/ 0 60000 65536"/>
            <a:gd name="T23" fmla="*/ 0 60000 65536"/>
            <a:gd name="T24" fmla="*/ 0 w 36"/>
            <a:gd name="T25" fmla="*/ 0 h 28"/>
            <a:gd name="T26" fmla="*/ 36 w 36"/>
            <a:gd name="T27" fmla="*/ 28 h 28"/>
          </a:gdLst>
          <a:ahLst/>
          <a:cxnLst>
            <a:cxn ang="T16">
              <a:pos x="T0" y="T1"/>
            </a:cxn>
            <a:cxn ang="T17">
              <a:pos x="T2" y="T3"/>
            </a:cxn>
            <a:cxn ang="T18">
              <a:pos x="T4" y="T5"/>
            </a:cxn>
            <a:cxn ang="T19">
              <a:pos x="T6" y="T7"/>
            </a:cxn>
            <a:cxn ang="T20">
              <a:pos x="T8" y="T9"/>
            </a:cxn>
            <a:cxn ang="T21">
              <a:pos x="T10" y="T11"/>
            </a:cxn>
            <a:cxn ang="T22">
              <a:pos x="T12" y="T13"/>
            </a:cxn>
            <a:cxn ang="T23">
              <a:pos x="T14" y="T15"/>
            </a:cxn>
          </a:cxnLst>
          <a:rect l="T24" t="T25" r="T26" b="T27"/>
          <a:pathLst>
            <a:path w="36" h="28">
              <a:moveTo>
                <a:pt x="0" y="11"/>
              </a:moveTo>
              <a:lnTo>
                <a:pt x="15" y="28"/>
              </a:lnTo>
              <a:lnTo>
                <a:pt x="23" y="28"/>
              </a:lnTo>
              <a:lnTo>
                <a:pt x="28" y="11"/>
              </a:lnTo>
              <a:lnTo>
                <a:pt x="36" y="0"/>
              </a:lnTo>
              <a:lnTo>
                <a:pt x="0" y="11"/>
              </a:lnTo>
              <a:close/>
            </a:path>
          </a:pathLst>
        </a:custGeom>
        <a:solidFill>
          <a:srgbClr val="F5F5F5"/>
        </a:solidFill>
        <a:ln w="9525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36576" tIns="32004" rIns="0" bIns="0" anchor="t"/>
        <a:lstStyle/>
        <a:p>
          <a:pPr algn="l" rtl="0">
            <a:defRPr sz="1000"/>
          </a:pPr>
          <a:endParaRPr lang="en-US" sz="16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en-US"/>
        </a:p>
      </xdr:txBody>
    </xdr:sp>
    <xdr:clientData/>
  </xdr:twoCellAnchor>
  <xdr:twoCellAnchor>
    <xdr:from>
      <xdr:col>10</xdr:col>
      <xdr:colOff>390525</xdr:colOff>
      <xdr:row>20</xdr:row>
      <xdr:rowOff>114300</xdr:rowOff>
    </xdr:from>
    <xdr:to>
      <xdr:col>10</xdr:col>
      <xdr:colOff>495300</xdr:colOff>
      <xdr:row>21</xdr:row>
      <xdr:rowOff>104775</xdr:rowOff>
    </xdr:to>
    <xdr:sp macro="" textlink="">
      <xdr:nvSpPr>
        <xdr:cNvPr id="25869" name="S_MDA"/>
        <xdr:cNvSpPr>
          <a:spLocks/>
        </xdr:cNvSpPr>
      </xdr:nvSpPr>
      <xdr:spPr bwMode="auto">
        <a:xfrm>
          <a:off x="6219825" y="3200400"/>
          <a:ext cx="104775" cy="152400"/>
        </a:xfrm>
        <a:custGeom>
          <a:avLst/>
          <a:gdLst>
            <a:gd name="T0" fmla="*/ 0 w 50"/>
            <a:gd name="T1" fmla="*/ 29269630 h 69"/>
            <a:gd name="T2" fmla="*/ 30736793 w 50"/>
            <a:gd name="T3" fmla="*/ 29269630 h 69"/>
            <a:gd name="T4" fmla="*/ 105386887 w 50"/>
            <a:gd name="T5" fmla="*/ 180499015 h 69"/>
            <a:gd name="T6" fmla="*/ 105386887 w 50"/>
            <a:gd name="T7" fmla="*/ 336605207 h 69"/>
            <a:gd name="T8" fmla="*/ 127341433 w 50"/>
            <a:gd name="T9" fmla="*/ 219524441 h 69"/>
            <a:gd name="T10" fmla="*/ 219556011 w 50"/>
            <a:gd name="T11" fmla="*/ 219524441 h 69"/>
            <a:gd name="T12" fmla="*/ 219556011 w 50"/>
            <a:gd name="T13" fmla="*/ 180499015 h 69"/>
            <a:gd name="T14" fmla="*/ 197601464 w 50"/>
            <a:gd name="T15" fmla="*/ 107322717 h 69"/>
            <a:gd name="T16" fmla="*/ 197601464 w 50"/>
            <a:gd name="T17" fmla="*/ 29269630 h 69"/>
            <a:gd name="T18" fmla="*/ 74650102 w 50"/>
            <a:gd name="T19" fmla="*/ 0 h 69"/>
            <a:gd name="T20" fmla="*/ 0 w 50"/>
            <a:gd name="T21" fmla="*/ 29269630 h 69"/>
            <a:gd name="T22" fmla="*/ 0 w 50"/>
            <a:gd name="T23" fmla="*/ 29269630 h 69"/>
            <a:gd name="T24" fmla="*/ 0 w 50"/>
            <a:gd name="T25" fmla="*/ 29269630 h 69"/>
            <a:gd name="T26" fmla="*/ 0 60000 65536"/>
            <a:gd name="T27" fmla="*/ 0 60000 65536"/>
            <a:gd name="T28" fmla="*/ 0 60000 65536"/>
            <a:gd name="T29" fmla="*/ 0 60000 65536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w 50"/>
            <a:gd name="T40" fmla="*/ 0 h 69"/>
            <a:gd name="T41" fmla="*/ 50 w 50"/>
            <a:gd name="T42" fmla="*/ 69 h 69"/>
          </a:gdLst>
          <a:ahLst/>
          <a:cxnLst>
            <a:cxn ang="T26">
              <a:pos x="T0" y="T1"/>
            </a:cxn>
            <a:cxn ang="T27">
              <a:pos x="T2" y="T3"/>
            </a:cxn>
            <a:cxn ang="T28">
              <a:pos x="T4" y="T5"/>
            </a:cxn>
            <a:cxn ang="T29">
              <a:pos x="T6" y="T7"/>
            </a:cxn>
            <a:cxn ang="T30">
              <a:pos x="T8" y="T9"/>
            </a:cxn>
            <a:cxn ang="T31">
              <a:pos x="T10" y="T11"/>
            </a:cxn>
            <a:cxn ang="T32">
              <a:pos x="T12" y="T13"/>
            </a:cxn>
            <a:cxn ang="T33">
              <a:pos x="T14" y="T15"/>
            </a:cxn>
            <a:cxn ang="T34">
              <a:pos x="T16" y="T17"/>
            </a:cxn>
            <a:cxn ang="T35">
              <a:pos x="T18" y="T19"/>
            </a:cxn>
            <a:cxn ang="T36">
              <a:pos x="T20" y="T21"/>
            </a:cxn>
            <a:cxn ang="T37">
              <a:pos x="T22" y="T23"/>
            </a:cxn>
            <a:cxn ang="T38">
              <a:pos x="T24" y="T25"/>
            </a:cxn>
          </a:cxnLst>
          <a:rect l="T39" t="T40" r="T41" b="T42"/>
          <a:pathLst>
            <a:path w="50" h="69">
              <a:moveTo>
                <a:pt x="0" y="6"/>
              </a:moveTo>
              <a:lnTo>
                <a:pt x="7" y="6"/>
              </a:lnTo>
              <a:lnTo>
                <a:pt x="24" y="37"/>
              </a:lnTo>
              <a:lnTo>
                <a:pt x="24" y="69"/>
              </a:lnTo>
              <a:lnTo>
                <a:pt x="29" y="45"/>
              </a:lnTo>
              <a:lnTo>
                <a:pt x="50" y="45"/>
              </a:lnTo>
              <a:lnTo>
                <a:pt x="50" y="37"/>
              </a:lnTo>
              <a:lnTo>
                <a:pt x="45" y="22"/>
              </a:lnTo>
              <a:lnTo>
                <a:pt x="45" y="6"/>
              </a:lnTo>
              <a:lnTo>
                <a:pt x="17" y="0"/>
              </a:lnTo>
              <a:lnTo>
                <a:pt x="0" y="6"/>
              </a:lnTo>
              <a:close/>
            </a:path>
          </a:pathLst>
        </a:custGeom>
        <a:solidFill>
          <a:srgbClr val="F5F5F5"/>
        </a:solidFill>
        <a:ln w="9525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36576" tIns="32004" rIns="0" bIns="0" anchor="t"/>
        <a:lstStyle/>
        <a:p>
          <a:pPr algn="l" rtl="0">
            <a:defRPr sz="1000"/>
          </a:pPr>
          <a:endParaRPr lang="en-US" sz="16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en-US"/>
        </a:p>
      </xdr:txBody>
    </xdr:sp>
    <xdr:clientData/>
  </xdr:twoCellAnchor>
  <xdr:twoCellAnchor>
    <xdr:from>
      <xdr:col>9</xdr:col>
      <xdr:colOff>57150</xdr:colOff>
      <xdr:row>18</xdr:row>
      <xdr:rowOff>114300</xdr:rowOff>
    </xdr:from>
    <xdr:to>
      <xdr:col>9</xdr:col>
      <xdr:colOff>200025</xdr:colOff>
      <xdr:row>19</xdr:row>
      <xdr:rowOff>152400</xdr:rowOff>
    </xdr:to>
    <xdr:sp macro="" textlink="">
      <xdr:nvSpPr>
        <xdr:cNvPr id="25870" name="S_IRL"/>
        <xdr:cNvSpPr>
          <a:spLocks/>
        </xdr:cNvSpPr>
      </xdr:nvSpPr>
      <xdr:spPr bwMode="auto">
        <a:xfrm>
          <a:off x="5172075" y="2876550"/>
          <a:ext cx="142875" cy="200025"/>
        </a:xfrm>
        <a:custGeom>
          <a:avLst/>
          <a:gdLst>
            <a:gd name="T0" fmla="*/ 2147483647 w 65"/>
            <a:gd name="T1" fmla="*/ 0 h 99"/>
            <a:gd name="T2" fmla="*/ 2147483647 w 65"/>
            <a:gd name="T3" fmla="*/ 2147483647 h 99"/>
            <a:gd name="T4" fmla="*/ 2147483647 w 65"/>
            <a:gd name="T5" fmla="*/ 2147483647 h 99"/>
            <a:gd name="T6" fmla="*/ 2147483647 w 65"/>
            <a:gd name="T7" fmla="*/ 2147483647 h 99"/>
            <a:gd name="T8" fmla="*/ 2147483647 w 65"/>
            <a:gd name="T9" fmla="*/ 2147483647 h 99"/>
            <a:gd name="T10" fmla="*/ 2147483647 w 65"/>
            <a:gd name="T11" fmla="*/ 2147483647 h 99"/>
            <a:gd name="T12" fmla="*/ 2147483647 w 65"/>
            <a:gd name="T13" fmla="*/ 2147483647 h 99"/>
            <a:gd name="T14" fmla="*/ 0 w 65"/>
            <a:gd name="T15" fmla="*/ 2147483647 h 99"/>
            <a:gd name="T16" fmla="*/ 2147483647 w 65"/>
            <a:gd name="T17" fmla="*/ 2147483647 h 99"/>
            <a:gd name="T18" fmla="*/ 2147483647 w 65"/>
            <a:gd name="T19" fmla="*/ 2147483647 h 99"/>
            <a:gd name="T20" fmla="*/ 2147483647 w 65"/>
            <a:gd name="T21" fmla="*/ 2147483647 h 99"/>
            <a:gd name="T22" fmla="*/ 2147483647 w 65"/>
            <a:gd name="T23" fmla="*/ 2147483647 h 99"/>
            <a:gd name="T24" fmla="*/ 2147483647 w 65"/>
            <a:gd name="T25" fmla="*/ 2147483647 h 99"/>
            <a:gd name="T26" fmla="*/ 2147483647 w 65"/>
            <a:gd name="T27" fmla="*/ 2147483647 h 99"/>
            <a:gd name="T28" fmla="*/ 2147483647 w 65"/>
            <a:gd name="T29" fmla="*/ 2147483647 h 99"/>
            <a:gd name="T30" fmla="*/ 2147483647 w 65"/>
            <a:gd name="T31" fmla="*/ 2147483647 h 99"/>
            <a:gd name="T32" fmla="*/ 2147483647 w 65"/>
            <a:gd name="T33" fmla="*/ 2147483647 h 99"/>
            <a:gd name="T34" fmla="*/ 2147483647 w 65"/>
            <a:gd name="T35" fmla="*/ 2147483647 h 99"/>
            <a:gd name="T36" fmla="*/ 2147483647 w 65"/>
            <a:gd name="T37" fmla="*/ 0 h 99"/>
            <a:gd name="T38" fmla="*/ 2147483647 w 65"/>
            <a:gd name="T39" fmla="*/ 0 h 99"/>
            <a:gd name="T40" fmla="*/ 2147483647 w 65"/>
            <a:gd name="T41" fmla="*/ 0 h 99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60000 65536"/>
            <a:gd name="T52" fmla="*/ 0 60000 65536"/>
            <a:gd name="T53" fmla="*/ 0 60000 65536"/>
            <a:gd name="T54" fmla="*/ 0 60000 65536"/>
            <a:gd name="T55" fmla="*/ 0 60000 65536"/>
            <a:gd name="T56" fmla="*/ 0 60000 65536"/>
            <a:gd name="T57" fmla="*/ 0 60000 65536"/>
            <a:gd name="T58" fmla="*/ 0 60000 65536"/>
            <a:gd name="T59" fmla="*/ 0 60000 65536"/>
            <a:gd name="T60" fmla="*/ 0 60000 65536"/>
            <a:gd name="T61" fmla="*/ 0 60000 65536"/>
            <a:gd name="T62" fmla="*/ 0 60000 65536"/>
            <a:gd name="T63" fmla="*/ 0 w 65"/>
            <a:gd name="T64" fmla="*/ 0 h 99"/>
            <a:gd name="T65" fmla="*/ 65 w 65"/>
            <a:gd name="T66" fmla="*/ 99 h 99"/>
          </a:gdLst>
          <a:ahLst/>
          <a:cxnLst>
            <a:cxn ang="T42">
              <a:pos x="T0" y="T1"/>
            </a:cxn>
            <a:cxn ang="T43">
              <a:pos x="T2" y="T3"/>
            </a:cxn>
            <a:cxn ang="T44">
              <a:pos x="T4" y="T5"/>
            </a:cxn>
            <a:cxn ang="T45">
              <a:pos x="T6" y="T7"/>
            </a:cxn>
            <a:cxn ang="T46">
              <a:pos x="T8" y="T9"/>
            </a:cxn>
            <a:cxn ang="T47">
              <a:pos x="T10" y="T11"/>
            </a:cxn>
            <a:cxn ang="T48">
              <a:pos x="T12" y="T13"/>
            </a:cxn>
            <a:cxn ang="T49">
              <a:pos x="T14" y="T15"/>
            </a:cxn>
            <a:cxn ang="T50">
              <a:pos x="T16" y="T17"/>
            </a:cxn>
            <a:cxn ang="T51">
              <a:pos x="T18" y="T19"/>
            </a:cxn>
            <a:cxn ang="T52">
              <a:pos x="T20" y="T21"/>
            </a:cxn>
            <a:cxn ang="T53">
              <a:pos x="T22" y="T23"/>
            </a:cxn>
            <a:cxn ang="T54">
              <a:pos x="T24" y="T25"/>
            </a:cxn>
            <a:cxn ang="T55">
              <a:pos x="T26" y="T27"/>
            </a:cxn>
            <a:cxn ang="T56">
              <a:pos x="T28" y="T29"/>
            </a:cxn>
            <a:cxn ang="T57">
              <a:pos x="T30" y="T31"/>
            </a:cxn>
            <a:cxn ang="T58">
              <a:pos x="T32" y="T33"/>
            </a:cxn>
            <a:cxn ang="T59">
              <a:pos x="T34" y="T35"/>
            </a:cxn>
            <a:cxn ang="T60">
              <a:pos x="T36" y="T37"/>
            </a:cxn>
            <a:cxn ang="T61">
              <a:pos x="T38" y="T39"/>
            </a:cxn>
            <a:cxn ang="T62">
              <a:pos x="T40" y="T41"/>
            </a:cxn>
          </a:cxnLst>
          <a:rect l="T63" t="T64" r="T65" b="T66"/>
          <a:pathLst>
            <a:path w="65" h="99">
              <a:moveTo>
                <a:pt x="43" y="0"/>
              </a:moveTo>
              <a:lnTo>
                <a:pt x="35" y="24"/>
              </a:lnTo>
              <a:lnTo>
                <a:pt x="43" y="30"/>
              </a:lnTo>
              <a:lnTo>
                <a:pt x="65" y="30"/>
              </a:lnTo>
              <a:lnTo>
                <a:pt x="65" y="64"/>
              </a:lnTo>
              <a:lnTo>
                <a:pt x="48" y="84"/>
              </a:lnTo>
              <a:lnTo>
                <a:pt x="5" y="99"/>
              </a:lnTo>
              <a:lnTo>
                <a:pt x="0" y="84"/>
              </a:lnTo>
              <a:lnTo>
                <a:pt x="5" y="84"/>
              </a:lnTo>
              <a:lnTo>
                <a:pt x="20" y="64"/>
              </a:lnTo>
              <a:lnTo>
                <a:pt x="5" y="56"/>
              </a:lnTo>
              <a:lnTo>
                <a:pt x="20" y="40"/>
              </a:lnTo>
              <a:lnTo>
                <a:pt x="5" y="40"/>
              </a:lnTo>
              <a:lnTo>
                <a:pt x="5" y="30"/>
              </a:lnTo>
              <a:lnTo>
                <a:pt x="26" y="30"/>
              </a:lnTo>
              <a:lnTo>
                <a:pt x="35" y="24"/>
              </a:lnTo>
              <a:lnTo>
                <a:pt x="26" y="24"/>
              </a:lnTo>
              <a:lnTo>
                <a:pt x="26" y="15"/>
              </a:lnTo>
              <a:lnTo>
                <a:pt x="43" y="0"/>
              </a:lnTo>
              <a:close/>
            </a:path>
          </a:pathLst>
        </a:custGeom>
        <a:solidFill>
          <a:srgbClr val="F5F5F5"/>
        </a:solidFill>
        <a:ln w="9525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36576" tIns="32004" rIns="0" bIns="0" anchor="t"/>
        <a:lstStyle/>
        <a:p>
          <a:pPr algn="l" rtl="0">
            <a:defRPr sz="1000"/>
          </a:pPr>
          <a:endParaRPr lang="en-US" sz="16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en-US"/>
        </a:p>
      </xdr:txBody>
    </xdr:sp>
    <xdr:clientData/>
  </xdr:twoCellAnchor>
  <xdr:twoCellAnchor>
    <xdr:from>
      <xdr:col>8</xdr:col>
      <xdr:colOff>28575</xdr:colOff>
      <xdr:row>15</xdr:row>
      <xdr:rowOff>38100</xdr:rowOff>
    </xdr:from>
    <xdr:to>
      <xdr:col>9</xdr:col>
      <xdr:colOff>666750</xdr:colOff>
      <xdr:row>18</xdr:row>
      <xdr:rowOff>142875</xdr:rowOff>
    </xdr:to>
    <xdr:grpSp>
      <xdr:nvGrpSpPr>
        <xdr:cNvPr id="25871" name="S_DNK"/>
        <xdr:cNvGrpSpPr>
          <a:grpSpLocks/>
        </xdr:cNvGrpSpPr>
      </xdr:nvGrpSpPr>
      <xdr:grpSpPr bwMode="auto">
        <a:xfrm>
          <a:off x="5205693" y="2716306"/>
          <a:ext cx="1355351" cy="575422"/>
          <a:chOff x="477" y="255"/>
          <a:chExt cx="142" cy="62"/>
        </a:xfrm>
      </xdr:grpSpPr>
      <xdr:sp macro="" textlink="">
        <xdr:nvSpPr>
          <xdr:cNvPr id="25916" name="Freeform 21"/>
          <xdr:cNvSpPr>
            <a:spLocks/>
          </xdr:cNvSpPr>
        </xdr:nvSpPr>
        <xdr:spPr bwMode="auto">
          <a:xfrm>
            <a:off x="477" y="255"/>
            <a:ext cx="30" cy="17"/>
          </a:xfrm>
          <a:custGeom>
            <a:avLst/>
            <a:gdLst>
              <a:gd name="T0" fmla="*/ 1 w 139"/>
              <a:gd name="T1" fmla="*/ 1 h 82"/>
              <a:gd name="T2" fmla="*/ 0 w 139"/>
              <a:gd name="T3" fmla="*/ 1 h 82"/>
              <a:gd name="T4" fmla="*/ 0 w 139"/>
              <a:gd name="T5" fmla="*/ 1 h 82"/>
              <a:gd name="T6" fmla="*/ 0 w 139"/>
              <a:gd name="T7" fmla="*/ 1 h 82"/>
              <a:gd name="T8" fmla="*/ 0 w 139"/>
              <a:gd name="T9" fmla="*/ 0 h 82"/>
              <a:gd name="T10" fmla="*/ 0 w 139"/>
              <a:gd name="T11" fmla="*/ 0 h 82"/>
              <a:gd name="T12" fmla="*/ 0 w 139"/>
              <a:gd name="T13" fmla="*/ 0 h 82"/>
              <a:gd name="T14" fmla="*/ 0 w 139"/>
              <a:gd name="T15" fmla="*/ 0 h 82"/>
              <a:gd name="T16" fmla="*/ 0 w 139"/>
              <a:gd name="T17" fmla="*/ 0 h 82"/>
              <a:gd name="T18" fmla="*/ 0 w 139"/>
              <a:gd name="T19" fmla="*/ 0 h 82"/>
              <a:gd name="T20" fmla="*/ 0 w 139"/>
              <a:gd name="T21" fmla="*/ 0 h 82"/>
              <a:gd name="T22" fmla="*/ 0 w 139"/>
              <a:gd name="T23" fmla="*/ 0 h 82"/>
              <a:gd name="T24" fmla="*/ 0 w 139"/>
              <a:gd name="T25" fmla="*/ 0 h 82"/>
              <a:gd name="T26" fmla="*/ 0 w 139"/>
              <a:gd name="T27" fmla="*/ 0 h 82"/>
              <a:gd name="T28" fmla="*/ 0 w 139"/>
              <a:gd name="T29" fmla="*/ 0 h 82"/>
              <a:gd name="T30" fmla="*/ 0 w 139"/>
              <a:gd name="T31" fmla="*/ 0 h 82"/>
              <a:gd name="T32" fmla="*/ 0 w 139"/>
              <a:gd name="T33" fmla="*/ 0 h 82"/>
              <a:gd name="T34" fmla="*/ 0 w 139"/>
              <a:gd name="T35" fmla="*/ 0 h 82"/>
              <a:gd name="T36" fmla="*/ 0 w 139"/>
              <a:gd name="T37" fmla="*/ 0 h 82"/>
              <a:gd name="T38" fmla="*/ 0 w 139"/>
              <a:gd name="T39" fmla="*/ 0 h 82"/>
              <a:gd name="T40" fmla="*/ 0 w 139"/>
              <a:gd name="T41" fmla="*/ 0 h 82"/>
              <a:gd name="T42" fmla="*/ 0 w 139"/>
              <a:gd name="T43" fmla="*/ 0 h 82"/>
              <a:gd name="T44" fmla="*/ 0 w 139"/>
              <a:gd name="T45" fmla="*/ 0 h 82"/>
              <a:gd name="T46" fmla="*/ 0 w 139"/>
              <a:gd name="T47" fmla="*/ 0 h 82"/>
              <a:gd name="T48" fmla="*/ 0 w 139"/>
              <a:gd name="T49" fmla="*/ 0 h 82"/>
              <a:gd name="T50" fmla="*/ 0 w 139"/>
              <a:gd name="T51" fmla="*/ 0 h 82"/>
              <a:gd name="T52" fmla="*/ 0 w 139"/>
              <a:gd name="T53" fmla="*/ 0 h 82"/>
              <a:gd name="T54" fmla="*/ 0 w 139"/>
              <a:gd name="T55" fmla="*/ 0 h 82"/>
              <a:gd name="T56" fmla="*/ 1 w 139"/>
              <a:gd name="T57" fmla="*/ 0 h 82"/>
              <a:gd name="T58" fmla="*/ 1 w 139"/>
              <a:gd name="T59" fmla="*/ 0 h 82"/>
              <a:gd name="T60" fmla="*/ 1 w 139"/>
              <a:gd name="T61" fmla="*/ 0 h 82"/>
              <a:gd name="T62" fmla="*/ 1 w 139"/>
              <a:gd name="T63" fmla="*/ 0 h 82"/>
              <a:gd name="T64" fmla="*/ 1 w 139"/>
              <a:gd name="T65" fmla="*/ 0 h 82"/>
              <a:gd name="T66" fmla="*/ 1 w 139"/>
              <a:gd name="T67" fmla="*/ 0 h 82"/>
              <a:gd name="T68" fmla="*/ 1 w 139"/>
              <a:gd name="T69" fmla="*/ 0 h 82"/>
              <a:gd name="T70" fmla="*/ 1 w 139"/>
              <a:gd name="T71" fmla="*/ 0 h 82"/>
              <a:gd name="T72" fmla="*/ 1 w 139"/>
              <a:gd name="T73" fmla="*/ 0 h 82"/>
              <a:gd name="T74" fmla="*/ 1 w 139"/>
              <a:gd name="T75" fmla="*/ 0 h 82"/>
              <a:gd name="T76" fmla="*/ 1 w 139"/>
              <a:gd name="T77" fmla="*/ 0 h 82"/>
              <a:gd name="T78" fmla="*/ 1 w 139"/>
              <a:gd name="T79" fmla="*/ 0 h 82"/>
              <a:gd name="T80" fmla="*/ 1 w 139"/>
              <a:gd name="T81" fmla="*/ 0 h 82"/>
              <a:gd name="T82" fmla="*/ 1 w 139"/>
              <a:gd name="T83" fmla="*/ 0 h 82"/>
              <a:gd name="T84" fmla="*/ 1 w 139"/>
              <a:gd name="T85" fmla="*/ 0 h 82"/>
              <a:gd name="T86" fmla="*/ 1 w 139"/>
              <a:gd name="T87" fmla="*/ 1 h 82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60000 65536"/>
              <a:gd name="T106" fmla="*/ 0 60000 65536"/>
              <a:gd name="T107" fmla="*/ 0 60000 65536"/>
              <a:gd name="T108" fmla="*/ 0 60000 65536"/>
              <a:gd name="T109" fmla="*/ 0 60000 65536"/>
              <a:gd name="T110" fmla="*/ 0 60000 65536"/>
              <a:gd name="T111" fmla="*/ 0 60000 65536"/>
              <a:gd name="T112" fmla="*/ 0 60000 65536"/>
              <a:gd name="T113" fmla="*/ 0 60000 65536"/>
              <a:gd name="T114" fmla="*/ 0 60000 65536"/>
              <a:gd name="T115" fmla="*/ 0 60000 65536"/>
              <a:gd name="T116" fmla="*/ 0 60000 65536"/>
              <a:gd name="T117" fmla="*/ 0 60000 65536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w 139"/>
              <a:gd name="T133" fmla="*/ 0 h 82"/>
              <a:gd name="T134" fmla="*/ 139 w 139"/>
              <a:gd name="T135" fmla="*/ 82 h 82"/>
            </a:gdLst>
            <a:ahLst/>
            <a:cxnLst>
              <a:cxn ang="T88">
                <a:pos x="T0" y="T1"/>
              </a:cxn>
              <a:cxn ang="T89">
                <a:pos x="T2" y="T3"/>
              </a:cxn>
              <a:cxn ang="T90">
                <a:pos x="T4" y="T5"/>
              </a:cxn>
              <a:cxn ang="T91">
                <a:pos x="T6" y="T7"/>
              </a:cxn>
              <a:cxn ang="T92">
                <a:pos x="T8" y="T9"/>
              </a:cxn>
              <a:cxn ang="T93">
                <a:pos x="T10" y="T11"/>
              </a:cxn>
              <a:cxn ang="T94">
                <a:pos x="T12" y="T13"/>
              </a:cxn>
              <a:cxn ang="T95">
                <a:pos x="T14" y="T15"/>
              </a:cxn>
              <a:cxn ang="T96">
                <a:pos x="T16" y="T17"/>
              </a:cxn>
              <a:cxn ang="T97">
                <a:pos x="T18" y="T19"/>
              </a:cxn>
              <a:cxn ang="T98">
                <a:pos x="T20" y="T21"/>
              </a:cxn>
              <a:cxn ang="T99">
                <a:pos x="T22" y="T23"/>
              </a:cxn>
              <a:cxn ang="T100">
                <a:pos x="T24" y="T25"/>
              </a:cxn>
              <a:cxn ang="T101">
                <a:pos x="T26" y="T27"/>
              </a:cxn>
              <a:cxn ang="T102">
                <a:pos x="T28" y="T29"/>
              </a:cxn>
              <a:cxn ang="T103">
                <a:pos x="T30" y="T31"/>
              </a:cxn>
              <a:cxn ang="T104">
                <a:pos x="T32" y="T33"/>
              </a:cxn>
              <a:cxn ang="T105">
                <a:pos x="T34" y="T35"/>
              </a:cxn>
              <a:cxn ang="T106">
                <a:pos x="T36" y="T37"/>
              </a:cxn>
              <a:cxn ang="T107">
                <a:pos x="T38" y="T39"/>
              </a:cxn>
              <a:cxn ang="T108">
                <a:pos x="T40" y="T41"/>
              </a:cxn>
              <a:cxn ang="T109">
                <a:pos x="T42" y="T43"/>
              </a:cxn>
              <a:cxn ang="T110">
                <a:pos x="T44" y="T45"/>
              </a:cxn>
              <a:cxn ang="T111">
                <a:pos x="T46" y="T47"/>
              </a:cxn>
              <a:cxn ang="T112">
                <a:pos x="T48" y="T49"/>
              </a:cxn>
              <a:cxn ang="T113">
                <a:pos x="T50" y="T51"/>
              </a:cxn>
              <a:cxn ang="T114">
                <a:pos x="T52" y="T53"/>
              </a:cxn>
              <a:cxn ang="T115">
                <a:pos x="T54" y="T55"/>
              </a:cxn>
              <a:cxn ang="T116">
                <a:pos x="T56" y="T57"/>
              </a:cxn>
              <a:cxn ang="T117">
                <a:pos x="T58" y="T59"/>
              </a:cxn>
              <a:cxn ang="T118">
                <a:pos x="T60" y="T61"/>
              </a:cxn>
              <a:cxn ang="T119">
                <a:pos x="T62" y="T63"/>
              </a:cxn>
              <a:cxn ang="T120">
                <a:pos x="T64" y="T65"/>
              </a:cxn>
              <a:cxn ang="T121">
                <a:pos x="T66" y="T67"/>
              </a:cxn>
              <a:cxn ang="T122">
                <a:pos x="T68" y="T69"/>
              </a:cxn>
              <a:cxn ang="T123">
                <a:pos x="T70" y="T71"/>
              </a:cxn>
              <a:cxn ang="T124">
                <a:pos x="T72" y="T73"/>
              </a:cxn>
              <a:cxn ang="T125">
                <a:pos x="T74" y="T75"/>
              </a:cxn>
              <a:cxn ang="T126">
                <a:pos x="T76" y="T77"/>
              </a:cxn>
              <a:cxn ang="T127">
                <a:pos x="T78" y="T79"/>
              </a:cxn>
              <a:cxn ang="T128">
                <a:pos x="T80" y="T81"/>
              </a:cxn>
              <a:cxn ang="T129">
                <a:pos x="T82" y="T83"/>
              </a:cxn>
              <a:cxn ang="T130">
                <a:pos x="T84" y="T85"/>
              </a:cxn>
              <a:cxn ang="T131">
                <a:pos x="T86" y="T87"/>
              </a:cxn>
            </a:cxnLst>
            <a:rect l="T132" t="T133" r="T134" b="T135"/>
            <a:pathLst>
              <a:path w="139" h="82">
                <a:moveTo>
                  <a:pt x="59" y="82"/>
                </a:moveTo>
                <a:lnTo>
                  <a:pt x="24" y="69"/>
                </a:lnTo>
                <a:lnTo>
                  <a:pt x="35" y="61"/>
                </a:lnTo>
                <a:lnTo>
                  <a:pt x="30" y="62"/>
                </a:lnTo>
                <a:lnTo>
                  <a:pt x="35" y="54"/>
                </a:lnTo>
                <a:lnTo>
                  <a:pt x="8" y="49"/>
                </a:lnTo>
                <a:lnTo>
                  <a:pt x="35" y="37"/>
                </a:lnTo>
                <a:lnTo>
                  <a:pt x="27" y="39"/>
                </a:lnTo>
                <a:lnTo>
                  <a:pt x="35" y="30"/>
                </a:lnTo>
                <a:lnTo>
                  <a:pt x="0" y="30"/>
                </a:lnTo>
                <a:lnTo>
                  <a:pt x="5" y="19"/>
                </a:lnTo>
                <a:lnTo>
                  <a:pt x="17" y="24"/>
                </a:lnTo>
                <a:lnTo>
                  <a:pt x="10" y="19"/>
                </a:lnTo>
                <a:lnTo>
                  <a:pt x="13" y="17"/>
                </a:lnTo>
                <a:lnTo>
                  <a:pt x="8" y="12"/>
                </a:lnTo>
                <a:lnTo>
                  <a:pt x="12" y="14"/>
                </a:lnTo>
                <a:lnTo>
                  <a:pt x="12" y="10"/>
                </a:lnTo>
                <a:lnTo>
                  <a:pt x="13" y="12"/>
                </a:lnTo>
                <a:lnTo>
                  <a:pt x="12" y="9"/>
                </a:lnTo>
                <a:lnTo>
                  <a:pt x="25" y="19"/>
                </a:lnTo>
                <a:lnTo>
                  <a:pt x="25" y="15"/>
                </a:lnTo>
                <a:lnTo>
                  <a:pt x="27" y="19"/>
                </a:lnTo>
                <a:lnTo>
                  <a:pt x="22" y="7"/>
                </a:lnTo>
                <a:lnTo>
                  <a:pt x="27" y="7"/>
                </a:lnTo>
                <a:lnTo>
                  <a:pt x="19" y="0"/>
                </a:lnTo>
                <a:lnTo>
                  <a:pt x="42" y="35"/>
                </a:lnTo>
                <a:lnTo>
                  <a:pt x="49" y="24"/>
                </a:lnTo>
                <a:lnTo>
                  <a:pt x="52" y="29"/>
                </a:lnTo>
                <a:lnTo>
                  <a:pt x="54" y="12"/>
                </a:lnTo>
                <a:lnTo>
                  <a:pt x="64" y="22"/>
                </a:lnTo>
                <a:lnTo>
                  <a:pt x="74" y="9"/>
                </a:lnTo>
                <a:lnTo>
                  <a:pt x="82" y="24"/>
                </a:lnTo>
                <a:lnTo>
                  <a:pt x="79" y="9"/>
                </a:lnTo>
                <a:lnTo>
                  <a:pt x="102" y="9"/>
                </a:lnTo>
                <a:lnTo>
                  <a:pt x="101" y="0"/>
                </a:lnTo>
                <a:lnTo>
                  <a:pt x="126" y="3"/>
                </a:lnTo>
                <a:lnTo>
                  <a:pt x="119" y="10"/>
                </a:lnTo>
                <a:lnTo>
                  <a:pt x="132" y="27"/>
                </a:lnTo>
                <a:lnTo>
                  <a:pt x="132" y="24"/>
                </a:lnTo>
                <a:lnTo>
                  <a:pt x="136" y="37"/>
                </a:lnTo>
                <a:lnTo>
                  <a:pt x="139" y="35"/>
                </a:lnTo>
                <a:lnTo>
                  <a:pt x="126" y="54"/>
                </a:lnTo>
                <a:lnTo>
                  <a:pt x="131" y="52"/>
                </a:lnTo>
                <a:lnTo>
                  <a:pt x="59" y="82"/>
                </a:lnTo>
              </a:path>
            </a:pathLst>
          </a:custGeom>
          <a:solidFill>
            <a:srgbClr val="699B37"/>
          </a:solidFill>
          <a:ln w="9525">
            <a:solidFill>
              <a:srgbClr val="FFFFFF"/>
            </a:solidFill>
            <a:miter lim="800000"/>
            <a:headEnd/>
            <a:tailEnd/>
          </a:ln>
        </xdr:spPr>
        <xdr:txBody>
          <a:bodyPr vertOverflow="clip" wrap="square" lIns="36576" tIns="32004" rIns="0" bIns="0" anchor="t"/>
          <a:lstStyle/>
          <a:p>
            <a:pPr algn="l" rtl="0">
              <a:defRPr sz="1000"/>
            </a:pPr>
            <a:endParaRPr lang="en-US" sz="1600" b="0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 algn="l" rtl="0">
              <a:defRPr sz="1000"/>
            </a:pPr>
            <a:endParaRPr lang="en-US"/>
          </a:p>
        </xdr:txBody>
      </xdr:sp>
      <xdr:sp macro="" textlink="">
        <xdr:nvSpPr>
          <xdr:cNvPr id="25917" name="Freeform 199"/>
          <xdr:cNvSpPr>
            <a:spLocks/>
          </xdr:cNvSpPr>
        </xdr:nvSpPr>
        <xdr:spPr bwMode="auto">
          <a:xfrm>
            <a:off x="610" y="302"/>
            <a:ext cx="9" cy="15"/>
          </a:xfrm>
          <a:custGeom>
            <a:avLst/>
            <a:gdLst>
              <a:gd name="T0" fmla="*/ 0 w 40"/>
              <a:gd name="T1" fmla="*/ 1 h 69"/>
              <a:gd name="T2" fmla="*/ 0 w 40"/>
              <a:gd name="T3" fmla="*/ 1 h 69"/>
              <a:gd name="T4" fmla="*/ 0 w 40"/>
              <a:gd name="T5" fmla="*/ 0 h 69"/>
              <a:gd name="T6" fmla="*/ 0 w 40"/>
              <a:gd name="T7" fmla="*/ 0 h 69"/>
              <a:gd name="T8" fmla="*/ 0 w 40"/>
              <a:gd name="T9" fmla="*/ 0 h 69"/>
              <a:gd name="T10" fmla="*/ 0 w 40"/>
              <a:gd name="T11" fmla="*/ 0 h 69"/>
              <a:gd name="T12" fmla="*/ 0 w 40"/>
              <a:gd name="T13" fmla="*/ 0 h 69"/>
              <a:gd name="T14" fmla="*/ 0 w 40"/>
              <a:gd name="T15" fmla="*/ 0 h 69"/>
              <a:gd name="T16" fmla="*/ 0 w 40"/>
              <a:gd name="T17" fmla="*/ 0 h 69"/>
              <a:gd name="T18" fmla="*/ 0 w 40"/>
              <a:gd name="T19" fmla="*/ 0 h 69"/>
              <a:gd name="T20" fmla="*/ 0 w 40"/>
              <a:gd name="T21" fmla="*/ 1 h 69"/>
              <a:gd name="T22" fmla="*/ 0 w 40"/>
              <a:gd name="T23" fmla="*/ 1 h 69"/>
              <a:gd name="T24" fmla="*/ 0 w 40"/>
              <a:gd name="T25" fmla="*/ 1 h 69"/>
              <a:gd name="T26" fmla="*/ 0 w 40"/>
              <a:gd name="T27" fmla="*/ 1 h 69"/>
              <a:gd name="T28" fmla="*/ 0 60000 65536"/>
              <a:gd name="T29" fmla="*/ 0 60000 65536"/>
              <a:gd name="T30" fmla="*/ 0 60000 65536"/>
              <a:gd name="T31" fmla="*/ 0 60000 65536"/>
              <a:gd name="T32" fmla="*/ 0 60000 65536"/>
              <a:gd name="T33" fmla="*/ 0 60000 65536"/>
              <a:gd name="T34" fmla="*/ 0 60000 65536"/>
              <a:gd name="T35" fmla="*/ 0 60000 65536"/>
              <a:gd name="T36" fmla="*/ 0 60000 65536"/>
              <a:gd name="T37" fmla="*/ 0 60000 65536"/>
              <a:gd name="T38" fmla="*/ 0 60000 65536"/>
              <a:gd name="T39" fmla="*/ 0 60000 65536"/>
              <a:gd name="T40" fmla="*/ 0 60000 65536"/>
              <a:gd name="T41" fmla="*/ 0 60000 65536"/>
              <a:gd name="T42" fmla="*/ 0 w 40"/>
              <a:gd name="T43" fmla="*/ 0 h 69"/>
              <a:gd name="T44" fmla="*/ 40 w 40"/>
              <a:gd name="T45" fmla="*/ 69 h 69"/>
            </a:gdLst>
            <a:ahLst/>
            <a:cxnLst>
              <a:cxn ang="T28">
                <a:pos x="T0" y="T1"/>
              </a:cxn>
              <a:cxn ang="T29">
                <a:pos x="T2" y="T3"/>
              </a:cxn>
              <a:cxn ang="T30">
                <a:pos x="T4" y="T5"/>
              </a:cxn>
              <a:cxn ang="T31">
                <a:pos x="T6" y="T7"/>
              </a:cxn>
              <a:cxn ang="T32">
                <a:pos x="T8" y="T9"/>
              </a:cxn>
              <a:cxn ang="T33">
                <a:pos x="T10" y="T11"/>
              </a:cxn>
              <a:cxn ang="T34">
                <a:pos x="T12" y="T13"/>
              </a:cxn>
              <a:cxn ang="T35">
                <a:pos x="T14" y="T15"/>
              </a:cxn>
              <a:cxn ang="T36">
                <a:pos x="T16" y="T17"/>
              </a:cxn>
              <a:cxn ang="T37">
                <a:pos x="T18" y="T19"/>
              </a:cxn>
              <a:cxn ang="T38">
                <a:pos x="T20" y="T21"/>
              </a:cxn>
              <a:cxn ang="T39">
                <a:pos x="T22" y="T23"/>
              </a:cxn>
              <a:cxn ang="T40">
                <a:pos x="T24" y="T25"/>
              </a:cxn>
              <a:cxn ang="T41">
                <a:pos x="T26" y="T27"/>
              </a:cxn>
            </a:cxnLst>
            <a:rect l="T42" t="T43" r="T44" b="T45"/>
            <a:pathLst>
              <a:path w="40" h="69">
                <a:moveTo>
                  <a:pt x="10" y="69"/>
                </a:moveTo>
                <a:lnTo>
                  <a:pt x="30" y="69"/>
                </a:lnTo>
                <a:lnTo>
                  <a:pt x="35" y="37"/>
                </a:lnTo>
                <a:lnTo>
                  <a:pt x="40" y="37"/>
                </a:lnTo>
                <a:lnTo>
                  <a:pt x="40" y="30"/>
                </a:lnTo>
                <a:lnTo>
                  <a:pt x="35" y="30"/>
                </a:lnTo>
                <a:lnTo>
                  <a:pt x="35" y="0"/>
                </a:lnTo>
                <a:lnTo>
                  <a:pt x="10" y="5"/>
                </a:lnTo>
                <a:lnTo>
                  <a:pt x="0" y="30"/>
                </a:lnTo>
                <a:lnTo>
                  <a:pt x="0" y="47"/>
                </a:lnTo>
                <a:lnTo>
                  <a:pt x="10" y="54"/>
                </a:lnTo>
                <a:lnTo>
                  <a:pt x="10" y="69"/>
                </a:lnTo>
                <a:close/>
              </a:path>
            </a:pathLst>
          </a:custGeom>
          <a:solidFill>
            <a:srgbClr val="699B37"/>
          </a:solidFill>
          <a:ln w="9525">
            <a:solidFill>
              <a:srgbClr val="FFFFFF"/>
            </a:solidFill>
            <a:miter lim="800000"/>
            <a:headEnd/>
            <a:tailEnd/>
          </a:ln>
        </xdr:spPr>
        <xdr:txBody>
          <a:bodyPr vertOverflow="clip" wrap="square" lIns="36576" tIns="32004" rIns="0" bIns="0" anchor="t"/>
          <a:lstStyle/>
          <a:p>
            <a:pPr algn="l" rtl="0">
              <a:defRPr sz="1000"/>
            </a:pPr>
            <a:endParaRPr lang="en-US" sz="1600" b="0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 algn="l" rtl="0">
              <a:defRPr sz="1000"/>
            </a:pPr>
            <a:endParaRPr lang="en-US"/>
          </a:p>
        </xdr:txBody>
      </xdr:sp>
    </xdr:grpSp>
    <xdr:clientData/>
  </xdr:twoCellAnchor>
  <xdr:twoCellAnchor>
    <xdr:from>
      <xdr:col>9</xdr:col>
      <xdr:colOff>466725</xdr:colOff>
      <xdr:row>19</xdr:row>
      <xdr:rowOff>66675</xdr:rowOff>
    </xdr:from>
    <xdr:to>
      <xdr:col>9</xdr:col>
      <xdr:colOff>571500</xdr:colOff>
      <xdr:row>20</xdr:row>
      <xdr:rowOff>19050</xdr:rowOff>
    </xdr:to>
    <xdr:sp macro="" textlink="">
      <xdr:nvSpPr>
        <xdr:cNvPr id="25872" name="S_NLD"/>
        <xdr:cNvSpPr>
          <a:spLocks/>
        </xdr:cNvSpPr>
      </xdr:nvSpPr>
      <xdr:spPr bwMode="auto">
        <a:xfrm>
          <a:off x="5581650" y="2990850"/>
          <a:ext cx="104775" cy="114300"/>
        </a:xfrm>
        <a:custGeom>
          <a:avLst/>
          <a:gdLst>
            <a:gd name="T0" fmla="*/ 2147483647 w 51"/>
            <a:gd name="T1" fmla="*/ 2147483647 h 56"/>
            <a:gd name="T2" fmla="*/ 2147483647 w 51"/>
            <a:gd name="T3" fmla="*/ 2147483647 h 56"/>
            <a:gd name="T4" fmla="*/ 2147483647 w 51"/>
            <a:gd name="T5" fmla="*/ 2147483647 h 56"/>
            <a:gd name="T6" fmla="*/ 2147483647 w 51"/>
            <a:gd name="T7" fmla="*/ 0 h 56"/>
            <a:gd name="T8" fmla="*/ 2147483647 w 51"/>
            <a:gd name="T9" fmla="*/ 2147483647 h 56"/>
            <a:gd name="T10" fmla="*/ 2147483647 w 51"/>
            <a:gd name="T11" fmla="*/ 2147483647 h 56"/>
            <a:gd name="T12" fmla="*/ 2147483647 w 51"/>
            <a:gd name="T13" fmla="*/ 2147483647 h 56"/>
            <a:gd name="T14" fmla="*/ 2147483647 w 51"/>
            <a:gd name="T15" fmla="*/ 2147483647 h 56"/>
            <a:gd name="T16" fmla="*/ 2147483647 w 51"/>
            <a:gd name="T17" fmla="*/ 2147483647 h 56"/>
            <a:gd name="T18" fmla="*/ 0 w 51"/>
            <a:gd name="T19" fmla="*/ 2147483647 h 56"/>
            <a:gd name="T20" fmla="*/ 2147483647 w 51"/>
            <a:gd name="T21" fmla="*/ 2147483647 h 56"/>
            <a:gd name="T22" fmla="*/ 2147483647 w 51"/>
            <a:gd name="T23" fmla="*/ 2147483647 h 56"/>
            <a:gd name="T24" fmla="*/ 2147483647 w 51"/>
            <a:gd name="T25" fmla="*/ 2147483647 h 56"/>
            <a:gd name="T26" fmla="*/ 2147483647 w 51"/>
            <a:gd name="T27" fmla="*/ 2147483647 h 56"/>
            <a:gd name="T28" fmla="*/ 0 60000 65536"/>
            <a:gd name="T29" fmla="*/ 0 60000 65536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w 51"/>
            <a:gd name="T43" fmla="*/ 0 h 56"/>
            <a:gd name="T44" fmla="*/ 51 w 51"/>
            <a:gd name="T45" fmla="*/ 56 h 56"/>
          </a:gdLst>
          <a:ahLst/>
          <a:cxnLst>
            <a:cxn ang="T28">
              <a:pos x="T0" y="T1"/>
            </a:cxn>
            <a:cxn ang="T29">
              <a:pos x="T2" y="T3"/>
            </a:cxn>
            <a:cxn ang="T30">
              <a:pos x="T4" y="T5"/>
            </a:cxn>
            <a:cxn ang="T31">
              <a:pos x="T6" y="T7"/>
            </a:cxn>
            <a:cxn ang="T32">
              <a:pos x="T8" y="T9"/>
            </a:cxn>
            <a:cxn ang="T33">
              <a:pos x="T10" y="T11"/>
            </a:cxn>
            <a:cxn ang="T34">
              <a:pos x="T12" y="T13"/>
            </a:cxn>
            <a:cxn ang="T35">
              <a:pos x="T14" y="T15"/>
            </a:cxn>
            <a:cxn ang="T36">
              <a:pos x="T16" y="T17"/>
            </a:cxn>
            <a:cxn ang="T37">
              <a:pos x="T18" y="T19"/>
            </a:cxn>
            <a:cxn ang="T38">
              <a:pos x="T20" y="T21"/>
            </a:cxn>
            <a:cxn ang="T39">
              <a:pos x="T22" y="T23"/>
            </a:cxn>
            <a:cxn ang="T40">
              <a:pos x="T24" y="T25"/>
            </a:cxn>
            <a:cxn ang="T41">
              <a:pos x="T26" y="T27"/>
            </a:cxn>
          </a:cxnLst>
          <a:rect l="T42" t="T43" r="T44" b="T45"/>
          <a:pathLst>
            <a:path w="51" h="56">
              <a:moveTo>
                <a:pt x="37" y="56"/>
              </a:moveTo>
              <a:lnTo>
                <a:pt x="37" y="27"/>
              </a:lnTo>
              <a:lnTo>
                <a:pt x="42" y="20"/>
              </a:lnTo>
              <a:lnTo>
                <a:pt x="51" y="0"/>
              </a:lnTo>
              <a:lnTo>
                <a:pt x="24" y="9"/>
              </a:lnTo>
              <a:lnTo>
                <a:pt x="37" y="20"/>
              </a:lnTo>
              <a:lnTo>
                <a:pt x="24" y="20"/>
              </a:lnTo>
              <a:lnTo>
                <a:pt x="24" y="15"/>
              </a:lnTo>
              <a:lnTo>
                <a:pt x="15" y="15"/>
              </a:lnTo>
              <a:lnTo>
                <a:pt x="0" y="49"/>
              </a:lnTo>
              <a:lnTo>
                <a:pt x="24" y="49"/>
              </a:lnTo>
              <a:lnTo>
                <a:pt x="37" y="56"/>
              </a:lnTo>
              <a:close/>
            </a:path>
          </a:pathLst>
        </a:custGeom>
        <a:solidFill>
          <a:srgbClr val="82B450"/>
        </a:solidFill>
        <a:ln w="9525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36576" tIns="32004" rIns="0" bIns="0" anchor="t"/>
        <a:lstStyle/>
        <a:p>
          <a:pPr algn="l" rtl="0">
            <a:defRPr sz="1000"/>
          </a:pPr>
          <a:endParaRPr lang="en-US" sz="16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en-US"/>
        </a:p>
      </xdr:txBody>
    </xdr:sp>
    <xdr:clientData/>
  </xdr:twoCellAnchor>
  <xdr:twoCellAnchor>
    <xdr:from>
      <xdr:col>9</xdr:col>
      <xdr:colOff>438150</xdr:colOff>
      <xdr:row>20</xdr:row>
      <xdr:rowOff>9525</xdr:rowOff>
    </xdr:from>
    <xdr:to>
      <xdr:col>9</xdr:col>
      <xdr:colOff>542925</xdr:colOff>
      <xdr:row>20</xdr:row>
      <xdr:rowOff>85725</xdr:rowOff>
    </xdr:to>
    <xdr:sp macro="" textlink="">
      <xdr:nvSpPr>
        <xdr:cNvPr id="25873" name="S_BEL"/>
        <xdr:cNvSpPr>
          <a:spLocks/>
        </xdr:cNvSpPr>
      </xdr:nvSpPr>
      <xdr:spPr bwMode="auto">
        <a:xfrm>
          <a:off x="5553075" y="3095625"/>
          <a:ext cx="104775" cy="76200"/>
        </a:xfrm>
        <a:custGeom>
          <a:avLst/>
          <a:gdLst>
            <a:gd name="T0" fmla="*/ 2147483647 w 50"/>
            <a:gd name="T1" fmla="*/ 2147483647 h 37"/>
            <a:gd name="T2" fmla="*/ 2147483647 w 50"/>
            <a:gd name="T3" fmla="*/ 2147483647 h 37"/>
            <a:gd name="T4" fmla="*/ 2147483647 w 50"/>
            <a:gd name="T5" fmla="*/ 2147483647 h 37"/>
            <a:gd name="T6" fmla="*/ 2147483647 w 50"/>
            <a:gd name="T7" fmla="*/ 2147483647 h 37"/>
            <a:gd name="T8" fmla="*/ 2147483647 w 50"/>
            <a:gd name="T9" fmla="*/ 2147483647 h 37"/>
            <a:gd name="T10" fmla="*/ 0 w 50"/>
            <a:gd name="T11" fmla="*/ 2147483647 h 37"/>
            <a:gd name="T12" fmla="*/ 0 w 50"/>
            <a:gd name="T13" fmla="*/ 0 h 37"/>
            <a:gd name="T14" fmla="*/ 2147483647 w 50"/>
            <a:gd name="T15" fmla="*/ 0 h 37"/>
            <a:gd name="T16" fmla="*/ 2147483647 w 50"/>
            <a:gd name="T17" fmla="*/ 2147483647 h 37"/>
            <a:gd name="T18" fmla="*/ 2147483647 w 50"/>
            <a:gd name="T19" fmla="*/ 2147483647 h 37"/>
            <a:gd name="T20" fmla="*/ 2147483647 w 50"/>
            <a:gd name="T21" fmla="*/ 2147483647 h 37"/>
            <a:gd name="T22" fmla="*/ 2147483647 w 50"/>
            <a:gd name="T23" fmla="*/ 2147483647 h 37"/>
            <a:gd name="T24" fmla="*/ 2147483647 w 50"/>
            <a:gd name="T25" fmla="*/ 2147483647 h 37"/>
            <a:gd name="T26" fmla="*/ 2147483647 w 50"/>
            <a:gd name="T27" fmla="*/ 2147483647 h 37"/>
            <a:gd name="T28" fmla="*/ 0 60000 65536"/>
            <a:gd name="T29" fmla="*/ 0 60000 65536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w 50"/>
            <a:gd name="T43" fmla="*/ 0 h 37"/>
            <a:gd name="T44" fmla="*/ 50 w 50"/>
            <a:gd name="T45" fmla="*/ 37 h 37"/>
          </a:gdLst>
          <a:ahLst/>
          <a:cxnLst>
            <a:cxn ang="T28">
              <a:pos x="T0" y="T1"/>
            </a:cxn>
            <a:cxn ang="T29">
              <a:pos x="T2" y="T3"/>
            </a:cxn>
            <a:cxn ang="T30">
              <a:pos x="T4" y="T5"/>
            </a:cxn>
            <a:cxn ang="T31">
              <a:pos x="T6" y="T7"/>
            </a:cxn>
            <a:cxn ang="T32">
              <a:pos x="T8" y="T9"/>
            </a:cxn>
            <a:cxn ang="T33">
              <a:pos x="T10" y="T11"/>
            </a:cxn>
            <a:cxn ang="T34">
              <a:pos x="T12" y="T13"/>
            </a:cxn>
            <a:cxn ang="T35">
              <a:pos x="T14" y="T15"/>
            </a:cxn>
            <a:cxn ang="T36">
              <a:pos x="T16" y="T17"/>
            </a:cxn>
            <a:cxn ang="T37">
              <a:pos x="T18" y="T19"/>
            </a:cxn>
            <a:cxn ang="T38">
              <a:pos x="T20" y="T21"/>
            </a:cxn>
            <a:cxn ang="T39">
              <a:pos x="T22" y="T23"/>
            </a:cxn>
            <a:cxn ang="T40">
              <a:pos x="T24" y="T25"/>
            </a:cxn>
            <a:cxn ang="T41">
              <a:pos x="T26" y="T27"/>
            </a:cxn>
          </a:cxnLst>
          <a:rect l="T42" t="T43" r="T44" b="T45"/>
          <a:pathLst>
            <a:path w="50" h="37">
              <a:moveTo>
                <a:pt x="38" y="37"/>
              </a:moveTo>
              <a:lnTo>
                <a:pt x="30" y="37"/>
              </a:lnTo>
              <a:lnTo>
                <a:pt x="30" y="30"/>
              </a:lnTo>
              <a:lnTo>
                <a:pt x="22" y="30"/>
              </a:lnTo>
              <a:lnTo>
                <a:pt x="22" y="15"/>
              </a:lnTo>
              <a:lnTo>
                <a:pt x="0" y="8"/>
              </a:lnTo>
              <a:lnTo>
                <a:pt x="0" y="0"/>
              </a:lnTo>
              <a:lnTo>
                <a:pt x="38" y="0"/>
              </a:lnTo>
              <a:lnTo>
                <a:pt x="50" y="8"/>
              </a:lnTo>
              <a:lnTo>
                <a:pt x="50" y="30"/>
              </a:lnTo>
              <a:lnTo>
                <a:pt x="38" y="30"/>
              </a:lnTo>
              <a:lnTo>
                <a:pt x="38" y="37"/>
              </a:lnTo>
              <a:close/>
            </a:path>
          </a:pathLst>
        </a:custGeom>
        <a:solidFill>
          <a:srgbClr val="F5F5F5"/>
        </a:solidFill>
        <a:ln w="9525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36576" tIns="32004" rIns="0" bIns="0" anchor="t"/>
        <a:lstStyle/>
        <a:p>
          <a:pPr algn="l" rtl="0">
            <a:defRPr sz="1000"/>
          </a:pPr>
          <a:endParaRPr lang="en-US" sz="16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en-US"/>
        </a:p>
      </xdr:txBody>
    </xdr:sp>
    <xdr:clientData/>
  </xdr:twoCellAnchor>
  <xdr:twoCellAnchor>
    <xdr:from>
      <xdr:col>10</xdr:col>
      <xdr:colOff>47625</xdr:colOff>
      <xdr:row>18</xdr:row>
      <xdr:rowOff>142875</xdr:rowOff>
    </xdr:from>
    <xdr:to>
      <xdr:col>10</xdr:col>
      <xdr:colOff>314325</xdr:colOff>
      <xdr:row>20</xdr:row>
      <xdr:rowOff>104775</xdr:rowOff>
    </xdr:to>
    <xdr:sp macro="" textlink="">
      <xdr:nvSpPr>
        <xdr:cNvPr id="25874" name="S_POL"/>
        <xdr:cNvSpPr>
          <a:spLocks/>
        </xdr:cNvSpPr>
      </xdr:nvSpPr>
      <xdr:spPr bwMode="auto">
        <a:xfrm>
          <a:off x="5876925" y="2905125"/>
          <a:ext cx="266700" cy="285750"/>
        </a:xfrm>
        <a:custGeom>
          <a:avLst/>
          <a:gdLst>
            <a:gd name="T0" fmla="*/ 2147483647 w 127"/>
            <a:gd name="T1" fmla="*/ 2147483647 h 138"/>
            <a:gd name="T2" fmla="*/ 2147483647 w 127"/>
            <a:gd name="T3" fmla="*/ 2147483647 h 138"/>
            <a:gd name="T4" fmla="*/ 2147483647 w 127"/>
            <a:gd name="T5" fmla="*/ 2147483647 h 138"/>
            <a:gd name="T6" fmla="*/ 2147483647 w 127"/>
            <a:gd name="T7" fmla="*/ 2147483647 h 138"/>
            <a:gd name="T8" fmla="*/ 2147483647 w 127"/>
            <a:gd name="T9" fmla="*/ 2147483647 h 138"/>
            <a:gd name="T10" fmla="*/ 2147483647 w 127"/>
            <a:gd name="T11" fmla="*/ 2147483647 h 138"/>
            <a:gd name="T12" fmla="*/ 2147483647 w 127"/>
            <a:gd name="T13" fmla="*/ 2147483647 h 138"/>
            <a:gd name="T14" fmla="*/ 2147483647 w 127"/>
            <a:gd name="T15" fmla="*/ 2147483647 h 138"/>
            <a:gd name="T16" fmla="*/ 2147483647 w 127"/>
            <a:gd name="T17" fmla="*/ 2147483647 h 138"/>
            <a:gd name="T18" fmla="*/ 2147483647 w 127"/>
            <a:gd name="T19" fmla="*/ 0 h 138"/>
            <a:gd name="T20" fmla="*/ 0 w 127"/>
            <a:gd name="T21" fmla="*/ 2147483647 h 138"/>
            <a:gd name="T22" fmla="*/ 2147483647 w 127"/>
            <a:gd name="T23" fmla="*/ 2147483647 h 138"/>
            <a:gd name="T24" fmla="*/ 2147483647 w 127"/>
            <a:gd name="T25" fmla="*/ 2147483647 h 138"/>
            <a:gd name="T26" fmla="*/ 2147483647 w 127"/>
            <a:gd name="T27" fmla="*/ 2147483647 h 138"/>
            <a:gd name="T28" fmla="*/ 2147483647 w 127"/>
            <a:gd name="T29" fmla="*/ 2147483647 h 138"/>
            <a:gd name="T30" fmla="*/ 2147483647 w 127"/>
            <a:gd name="T31" fmla="*/ 2147483647 h 138"/>
            <a:gd name="T32" fmla="*/ 2147483647 w 127"/>
            <a:gd name="T33" fmla="*/ 2147483647 h 138"/>
            <a:gd name="T34" fmla="*/ 2147483647 w 127"/>
            <a:gd name="T35" fmla="*/ 2147483647 h 138"/>
            <a:gd name="T36" fmla="*/ 2147483647 w 127"/>
            <a:gd name="T37" fmla="*/ 2147483647 h 138"/>
            <a:gd name="T38" fmla="*/ 2147483647 w 127"/>
            <a:gd name="T39" fmla="*/ 2147483647 h 138"/>
            <a:gd name="T40" fmla="*/ 2147483647 w 127"/>
            <a:gd name="T41" fmla="*/ 2147483647 h 138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60000 65536"/>
            <a:gd name="T52" fmla="*/ 0 60000 65536"/>
            <a:gd name="T53" fmla="*/ 0 60000 65536"/>
            <a:gd name="T54" fmla="*/ 0 60000 65536"/>
            <a:gd name="T55" fmla="*/ 0 60000 65536"/>
            <a:gd name="T56" fmla="*/ 0 60000 65536"/>
            <a:gd name="T57" fmla="*/ 0 60000 65536"/>
            <a:gd name="T58" fmla="*/ 0 60000 65536"/>
            <a:gd name="T59" fmla="*/ 0 60000 65536"/>
            <a:gd name="T60" fmla="*/ 0 60000 65536"/>
            <a:gd name="T61" fmla="*/ 0 60000 65536"/>
            <a:gd name="T62" fmla="*/ 0 60000 65536"/>
            <a:gd name="T63" fmla="*/ 0 w 127"/>
            <a:gd name="T64" fmla="*/ 0 h 138"/>
            <a:gd name="T65" fmla="*/ 127 w 127"/>
            <a:gd name="T66" fmla="*/ 138 h 138"/>
          </a:gdLst>
          <a:ahLst/>
          <a:cxnLst>
            <a:cxn ang="T42">
              <a:pos x="T0" y="T1"/>
            </a:cxn>
            <a:cxn ang="T43">
              <a:pos x="T2" y="T3"/>
            </a:cxn>
            <a:cxn ang="T44">
              <a:pos x="T4" y="T5"/>
            </a:cxn>
            <a:cxn ang="T45">
              <a:pos x="T6" y="T7"/>
            </a:cxn>
            <a:cxn ang="T46">
              <a:pos x="T8" y="T9"/>
            </a:cxn>
            <a:cxn ang="T47">
              <a:pos x="T10" y="T11"/>
            </a:cxn>
            <a:cxn ang="T48">
              <a:pos x="T12" y="T13"/>
            </a:cxn>
            <a:cxn ang="T49">
              <a:pos x="T14" y="T15"/>
            </a:cxn>
            <a:cxn ang="T50">
              <a:pos x="T16" y="T17"/>
            </a:cxn>
            <a:cxn ang="T51">
              <a:pos x="T18" y="T19"/>
            </a:cxn>
            <a:cxn ang="T52">
              <a:pos x="T20" y="T21"/>
            </a:cxn>
            <a:cxn ang="T53">
              <a:pos x="T22" y="T23"/>
            </a:cxn>
            <a:cxn ang="T54">
              <a:pos x="T24" y="T25"/>
            </a:cxn>
            <a:cxn ang="T55">
              <a:pos x="T26" y="T27"/>
            </a:cxn>
            <a:cxn ang="T56">
              <a:pos x="T28" y="T29"/>
            </a:cxn>
            <a:cxn ang="T57">
              <a:pos x="T30" y="T31"/>
            </a:cxn>
            <a:cxn ang="T58">
              <a:pos x="T32" y="T33"/>
            </a:cxn>
            <a:cxn ang="T59">
              <a:pos x="T34" y="T35"/>
            </a:cxn>
            <a:cxn ang="T60">
              <a:pos x="T36" y="T37"/>
            </a:cxn>
            <a:cxn ang="T61">
              <a:pos x="T38" y="T39"/>
            </a:cxn>
            <a:cxn ang="T62">
              <a:pos x="T40" y="T41"/>
            </a:cxn>
          </a:cxnLst>
          <a:rect l="T63" t="T64" r="T65" b="T66"/>
          <a:pathLst>
            <a:path w="127" h="138">
              <a:moveTo>
                <a:pt x="115" y="138"/>
              </a:moveTo>
              <a:lnTo>
                <a:pt x="127" y="106"/>
              </a:lnTo>
              <a:lnTo>
                <a:pt x="120" y="60"/>
              </a:lnTo>
              <a:lnTo>
                <a:pt x="127" y="47"/>
              </a:lnTo>
              <a:lnTo>
                <a:pt x="115" y="15"/>
              </a:lnTo>
              <a:lnTo>
                <a:pt x="94" y="15"/>
              </a:lnTo>
              <a:lnTo>
                <a:pt x="72" y="7"/>
              </a:lnTo>
              <a:lnTo>
                <a:pt x="72" y="15"/>
              </a:lnTo>
              <a:lnTo>
                <a:pt x="57" y="15"/>
              </a:lnTo>
              <a:lnTo>
                <a:pt x="48" y="0"/>
              </a:lnTo>
              <a:lnTo>
                <a:pt x="0" y="25"/>
              </a:lnTo>
              <a:lnTo>
                <a:pt x="8" y="91"/>
              </a:lnTo>
              <a:lnTo>
                <a:pt x="35" y="106"/>
              </a:lnTo>
              <a:lnTo>
                <a:pt x="42" y="106"/>
              </a:lnTo>
              <a:lnTo>
                <a:pt x="57" y="128"/>
              </a:lnTo>
              <a:lnTo>
                <a:pt x="72" y="128"/>
              </a:lnTo>
              <a:lnTo>
                <a:pt x="78" y="138"/>
              </a:lnTo>
              <a:lnTo>
                <a:pt x="94" y="128"/>
              </a:lnTo>
              <a:lnTo>
                <a:pt x="115" y="138"/>
              </a:lnTo>
              <a:close/>
            </a:path>
          </a:pathLst>
        </a:custGeom>
        <a:solidFill>
          <a:srgbClr val="EBF5B9"/>
        </a:solidFill>
        <a:ln w="9525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36576" tIns="32004" rIns="0" bIns="0" anchor="t"/>
        <a:lstStyle/>
        <a:p>
          <a:pPr algn="l" rtl="0">
            <a:defRPr sz="1000"/>
          </a:pPr>
          <a:endParaRPr lang="en-US" sz="16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en-US"/>
        </a:p>
      </xdr:txBody>
    </xdr:sp>
    <xdr:clientData/>
  </xdr:twoCellAnchor>
  <xdr:twoCellAnchor>
    <xdr:from>
      <xdr:col>9</xdr:col>
      <xdr:colOff>628650</xdr:colOff>
      <xdr:row>20</xdr:row>
      <xdr:rowOff>104775</xdr:rowOff>
    </xdr:from>
    <xdr:to>
      <xdr:col>10</xdr:col>
      <xdr:colOff>123825</xdr:colOff>
      <xdr:row>21</xdr:row>
      <xdr:rowOff>57150</xdr:rowOff>
    </xdr:to>
    <xdr:sp macro="" textlink="">
      <xdr:nvSpPr>
        <xdr:cNvPr id="25875" name="S_AUT"/>
        <xdr:cNvSpPr>
          <a:spLocks/>
        </xdr:cNvSpPr>
      </xdr:nvSpPr>
      <xdr:spPr bwMode="auto">
        <a:xfrm>
          <a:off x="5743575" y="3190875"/>
          <a:ext cx="209550" cy="114300"/>
        </a:xfrm>
        <a:custGeom>
          <a:avLst/>
          <a:gdLst>
            <a:gd name="T0" fmla="*/ 0 w 101"/>
            <a:gd name="T1" fmla="*/ 2147483647 h 52"/>
            <a:gd name="T2" fmla="*/ 2147483647 w 101"/>
            <a:gd name="T3" fmla="*/ 2147483647 h 52"/>
            <a:gd name="T4" fmla="*/ 2147483647 w 101"/>
            <a:gd name="T5" fmla="*/ 2147483647 h 52"/>
            <a:gd name="T6" fmla="*/ 2147483647 w 101"/>
            <a:gd name="T7" fmla="*/ 2147483647 h 52"/>
            <a:gd name="T8" fmla="*/ 2147483647 w 101"/>
            <a:gd name="T9" fmla="*/ 2147483647 h 52"/>
            <a:gd name="T10" fmla="*/ 2147483647 w 101"/>
            <a:gd name="T11" fmla="*/ 2147483647 h 52"/>
            <a:gd name="T12" fmla="*/ 2147483647 w 101"/>
            <a:gd name="T13" fmla="*/ 0 h 52"/>
            <a:gd name="T14" fmla="*/ 2147483647 w 101"/>
            <a:gd name="T15" fmla="*/ 2147483647 h 52"/>
            <a:gd name="T16" fmla="*/ 2147483647 w 101"/>
            <a:gd name="T17" fmla="*/ 2147483647 h 52"/>
            <a:gd name="T18" fmla="*/ 2147483647 w 101"/>
            <a:gd name="T19" fmla="*/ 2147483647 h 52"/>
            <a:gd name="T20" fmla="*/ 2147483647 w 101"/>
            <a:gd name="T21" fmla="*/ 2147483647 h 52"/>
            <a:gd name="T22" fmla="*/ 2147483647 w 101"/>
            <a:gd name="T23" fmla="*/ 2147483647 h 52"/>
            <a:gd name="T24" fmla="*/ 2147483647 w 101"/>
            <a:gd name="T25" fmla="*/ 2147483647 h 52"/>
            <a:gd name="T26" fmla="*/ 0 w 101"/>
            <a:gd name="T27" fmla="*/ 2147483647 h 52"/>
            <a:gd name="T28" fmla="*/ 0 w 101"/>
            <a:gd name="T29" fmla="*/ 2147483647 h 52"/>
            <a:gd name="T30" fmla="*/ 0 w 101"/>
            <a:gd name="T31" fmla="*/ 2147483647 h 52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w 101"/>
            <a:gd name="T49" fmla="*/ 0 h 52"/>
            <a:gd name="T50" fmla="*/ 101 w 101"/>
            <a:gd name="T51" fmla="*/ 52 h 52"/>
          </a:gdLst>
          <a:ahLst/>
          <a:cxnLst>
            <a:cxn ang="T32">
              <a:pos x="T0" y="T1"/>
            </a:cxn>
            <a:cxn ang="T33">
              <a:pos x="T2" y="T3"/>
            </a:cxn>
            <a:cxn ang="T34">
              <a:pos x="T4" y="T5"/>
            </a:cxn>
            <a:cxn ang="T35">
              <a:pos x="T6" y="T7"/>
            </a:cxn>
            <a:cxn ang="T36">
              <a:pos x="T8" y="T9"/>
            </a:cxn>
            <a:cxn ang="T37">
              <a:pos x="T10" y="T11"/>
            </a:cxn>
            <a:cxn ang="T38">
              <a:pos x="T12" y="T13"/>
            </a:cxn>
            <a:cxn ang="T39">
              <a:pos x="T14" y="T15"/>
            </a:cxn>
            <a:cxn ang="T40">
              <a:pos x="T16" y="T17"/>
            </a:cxn>
            <a:cxn ang="T41">
              <a:pos x="T18" y="T19"/>
            </a:cxn>
            <a:cxn ang="T42">
              <a:pos x="T20" y="T21"/>
            </a:cxn>
            <a:cxn ang="T43">
              <a:pos x="T22" y="T23"/>
            </a:cxn>
            <a:cxn ang="T44">
              <a:pos x="T24" y="T25"/>
            </a:cxn>
            <a:cxn ang="T45">
              <a:pos x="T26" y="T27"/>
            </a:cxn>
            <a:cxn ang="T46">
              <a:pos x="T28" y="T29"/>
            </a:cxn>
            <a:cxn ang="T47">
              <a:pos x="T30" y="T31"/>
            </a:cxn>
          </a:cxnLst>
          <a:rect l="T48" t="T49" r="T50" b="T51"/>
          <a:pathLst>
            <a:path w="101" h="52">
              <a:moveTo>
                <a:pt x="0" y="37"/>
              </a:moveTo>
              <a:lnTo>
                <a:pt x="15" y="37"/>
              </a:lnTo>
              <a:lnTo>
                <a:pt x="51" y="27"/>
              </a:lnTo>
              <a:lnTo>
                <a:pt x="51" y="13"/>
              </a:lnTo>
              <a:lnTo>
                <a:pt x="59" y="6"/>
              </a:lnTo>
              <a:lnTo>
                <a:pt x="72" y="6"/>
              </a:lnTo>
              <a:lnTo>
                <a:pt x="72" y="0"/>
              </a:lnTo>
              <a:lnTo>
                <a:pt x="101" y="6"/>
              </a:lnTo>
              <a:lnTo>
                <a:pt x="101" y="27"/>
              </a:lnTo>
              <a:lnTo>
                <a:pt x="92" y="43"/>
              </a:lnTo>
              <a:lnTo>
                <a:pt x="59" y="52"/>
              </a:lnTo>
              <a:lnTo>
                <a:pt x="42" y="43"/>
              </a:lnTo>
              <a:lnTo>
                <a:pt x="10" y="43"/>
              </a:lnTo>
              <a:lnTo>
                <a:pt x="0" y="37"/>
              </a:lnTo>
              <a:close/>
            </a:path>
          </a:pathLst>
        </a:custGeom>
        <a:solidFill>
          <a:srgbClr val="F5F5F5"/>
        </a:solidFill>
        <a:ln w="9525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36576" tIns="32004" rIns="0" bIns="0" anchor="t"/>
        <a:lstStyle/>
        <a:p>
          <a:pPr algn="l" rtl="0">
            <a:defRPr sz="1000"/>
          </a:pPr>
          <a:endParaRPr lang="en-US" sz="16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en-US"/>
        </a:p>
      </xdr:txBody>
    </xdr:sp>
    <xdr:clientData/>
  </xdr:twoCellAnchor>
  <xdr:twoCellAnchor>
    <xdr:from>
      <xdr:col>9</xdr:col>
      <xdr:colOff>104775</xdr:colOff>
      <xdr:row>22</xdr:row>
      <xdr:rowOff>95250</xdr:rowOff>
    </xdr:from>
    <xdr:to>
      <xdr:col>9</xdr:col>
      <xdr:colOff>200025</xdr:colOff>
      <xdr:row>23</xdr:row>
      <xdr:rowOff>123825</xdr:rowOff>
    </xdr:to>
    <xdr:sp macro="" textlink="">
      <xdr:nvSpPr>
        <xdr:cNvPr id="25876" name="S_PRT"/>
        <xdr:cNvSpPr>
          <a:spLocks/>
        </xdr:cNvSpPr>
      </xdr:nvSpPr>
      <xdr:spPr bwMode="auto">
        <a:xfrm>
          <a:off x="5219700" y="3505200"/>
          <a:ext cx="95250" cy="190500"/>
        </a:xfrm>
        <a:custGeom>
          <a:avLst/>
          <a:gdLst>
            <a:gd name="T0" fmla="*/ 103045681 w 45"/>
            <a:gd name="T1" fmla="*/ 386066491 h 94"/>
            <a:gd name="T2" fmla="*/ 125448474 w 45"/>
            <a:gd name="T3" fmla="*/ 316246237 h 94"/>
            <a:gd name="T4" fmla="*/ 103045681 w 45"/>
            <a:gd name="T5" fmla="*/ 193033245 h 94"/>
            <a:gd name="T6" fmla="*/ 125448474 w 45"/>
            <a:gd name="T7" fmla="*/ 164283967 h 94"/>
            <a:gd name="T8" fmla="*/ 125448474 w 45"/>
            <a:gd name="T9" fmla="*/ 73928194 h 94"/>
            <a:gd name="T10" fmla="*/ 201612498 w 45"/>
            <a:gd name="T11" fmla="*/ 32857194 h 94"/>
            <a:gd name="T12" fmla="*/ 201612498 w 45"/>
            <a:gd name="T13" fmla="*/ 0 h 94"/>
            <a:gd name="T14" fmla="*/ 35841521 w 45"/>
            <a:gd name="T15" fmla="*/ 0 h 94"/>
            <a:gd name="T16" fmla="*/ 0 w 45"/>
            <a:gd name="T17" fmla="*/ 262853499 h 94"/>
            <a:gd name="T18" fmla="*/ 35841521 w 45"/>
            <a:gd name="T19" fmla="*/ 262853499 h 94"/>
            <a:gd name="T20" fmla="*/ 0 w 45"/>
            <a:gd name="T21" fmla="*/ 386066491 h 94"/>
            <a:gd name="T22" fmla="*/ 103045681 w 45"/>
            <a:gd name="T23" fmla="*/ 386066491 h 94"/>
            <a:gd name="T24" fmla="*/ 103045681 w 45"/>
            <a:gd name="T25" fmla="*/ 386066491 h 94"/>
            <a:gd name="T26" fmla="*/ 0 60000 65536"/>
            <a:gd name="T27" fmla="*/ 0 60000 65536"/>
            <a:gd name="T28" fmla="*/ 0 60000 65536"/>
            <a:gd name="T29" fmla="*/ 0 60000 65536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w 45"/>
            <a:gd name="T40" fmla="*/ 0 h 94"/>
            <a:gd name="T41" fmla="*/ 45 w 45"/>
            <a:gd name="T42" fmla="*/ 94 h 94"/>
          </a:gdLst>
          <a:ahLst/>
          <a:cxnLst>
            <a:cxn ang="T26">
              <a:pos x="T0" y="T1"/>
            </a:cxn>
            <a:cxn ang="T27">
              <a:pos x="T2" y="T3"/>
            </a:cxn>
            <a:cxn ang="T28">
              <a:pos x="T4" y="T5"/>
            </a:cxn>
            <a:cxn ang="T29">
              <a:pos x="T6" y="T7"/>
            </a:cxn>
            <a:cxn ang="T30">
              <a:pos x="T8" y="T9"/>
            </a:cxn>
            <a:cxn ang="T31">
              <a:pos x="T10" y="T11"/>
            </a:cxn>
            <a:cxn ang="T32">
              <a:pos x="T12" y="T13"/>
            </a:cxn>
            <a:cxn ang="T33">
              <a:pos x="T14" y="T15"/>
            </a:cxn>
            <a:cxn ang="T34">
              <a:pos x="T16" y="T17"/>
            </a:cxn>
            <a:cxn ang="T35">
              <a:pos x="T18" y="T19"/>
            </a:cxn>
            <a:cxn ang="T36">
              <a:pos x="T20" y="T21"/>
            </a:cxn>
            <a:cxn ang="T37">
              <a:pos x="T22" y="T23"/>
            </a:cxn>
            <a:cxn ang="T38">
              <a:pos x="T24" y="T25"/>
            </a:cxn>
          </a:cxnLst>
          <a:rect l="T39" t="T40" r="T41" b="T42"/>
          <a:pathLst>
            <a:path w="45" h="94">
              <a:moveTo>
                <a:pt x="23" y="94"/>
              </a:moveTo>
              <a:lnTo>
                <a:pt x="28" y="77"/>
              </a:lnTo>
              <a:lnTo>
                <a:pt x="23" y="47"/>
              </a:lnTo>
              <a:lnTo>
                <a:pt x="28" y="40"/>
              </a:lnTo>
              <a:lnTo>
                <a:pt x="28" y="18"/>
              </a:lnTo>
              <a:lnTo>
                <a:pt x="45" y="8"/>
              </a:lnTo>
              <a:lnTo>
                <a:pt x="45" y="0"/>
              </a:lnTo>
              <a:lnTo>
                <a:pt x="8" y="0"/>
              </a:lnTo>
              <a:lnTo>
                <a:pt x="0" y="64"/>
              </a:lnTo>
              <a:lnTo>
                <a:pt x="8" y="64"/>
              </a:lnTo>
              <a:lnTo>
                <a:pt x="0" y="94"/>
              </a:lnTo>
              <a:lnTo>
                <a:pt x="23" y="94"/>
              </a:lnTo>
              <a:close/>
            </a:path>
          </a:pathLst>
        </a:custGeom>
        <a:solidFill>
          <a:srgbClr val="F0F5BE"/>
        </a:solidFill>
        <a:ln w="9525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36576" tIns="32004" rIns="0" bIns="0" anchor="t"/>
        <a:lstStyle/>
        <a:p>
          <a:pPr algn="l" rtl="0">
            <a:defRPr sz="1000"/>
          </a:pPr>
          <a:endParaRPr lang="en-US" sz="16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en-US"/>
        </a:p>
      </xdr:txBody>
    </xdr:sp>
    <xdr:clientData/>
  </xdr:twoCellAnchor>
  <xdr:twoCellAnchor>
    <xdr:from>
      <xdr:col>10</xdr:col>
      <xdr:colOff>209550</xdr:colOff>
      <xdr:row>20</xdr:row>
      <xdr:rowOff>133350</xdr:rowOff>
    </xdr:from>
    <xdr:to>
      <xdr:col>10</xdr:col>
      <xdr:colOff>485775</xdr:colOff>
      <xdr:row>22</xdr:row>
      <xdr:rowOff>28575</xdr:rowOff>
    </xdr:to>
    <xdr:sp macro="" textlink="">
      <xdr:nvSpPr>
        <xdr:cNvPr id="25877" name="S_ROM"/>
        <xdr:cNvSpPr>
          <a:spLocks/>
        </xdr:cNvSpPr>
      </xdr:nvSpPr>
      <xdr:spPr bwMode="auto">
        <a:xfrm>
          <a:off x="6038850" y="3219450"/>
          <a:ext cx="276225" cy="219075"/>
        </a:xfrm>
        <a:custGeom>
          <a:avLst/>
          <a:gdLst>
            <a:gd name="T0" fmla="*/ 2147483647 w 130"/>
            <a:gd name="T1" fmla="*/ 2147483647 h 108"/>
            <a:gd name="T2" fmla="*/ 2147483647 w 130"/>
            <a:gd name="T3" fmla="*/ 2147483647 h 108"/>
            <a:gd name="T4" fmla="*/ 2147483647 w 130"/>
            <a:gd name="T5" fmla="*/ 2147483647 h 108"/>
            <a:gd name="T6" fmla="*/ 2147483647 w 130"/>
            <a:gd name="T7" fmla="*/ 2147483647 h 108"/>
            <a:gd name="T8" fmla="*/ 2147483647 w 130"/>
            <a:gd name="T9" fmla="*/ 2147483647 h 108"/>
            <a:gd name="T10" fmla="*/ 2147483647 w 130"/>
            <a:gd name="T11" fmla="*/ 2147483647 h 108"/>
            <a:gd name="T12" fmla="*/ 2147483647 w 130"/>
            <a:gd name="T13" fmla="*/ 2147483647 h 108"/>
            <a:gd name="T14" fmla="*/ 2147483647 w 130"/>
            <a:gd name="T15" fmla="*/ 2147483647 h 108"/>
            <a:gd name="T16" fmla="*/ 2147483647 w 130"/>
            <a:gd name="T17" fmla="*/ 2147483647 h 108"/>
            <a:gd name="T18" fmla="*/ 2147483647 w 130"/>
            <a:gd name="T19" fmla="*/ 2147483647 h 108"/>
            <a:gd name="T20" fmla="*/ 2147483647 w 130"/>
            <a:gd name="T21" fmla="*/ 2147483647 h 108"/>
            <a:gd name="T22" fmla="*/ 2147483647 w 130"/>
            <a:gd name="T23" fmla="*/ 2147483647 h 108"/>
            <a:gd name="T24" fmla="*/ 2147483647 w 130"/>
            <a:gd name="T25" fmla="*/ 2147483647 h 108"/>
            <a:gd name="T26" fmla="*/ 2147483647 w 130"/>
            <a:gd name="T27" fmla="*/ 0 h 108"/>
            <a:gd name="T28" fmla="*/ 2147483647 w 130"/>
            <a:gd name="T29" fmla="*/ 0 h 108"/>
            <a:gd name="T30" fmla="*/ 2147483647 w 130"/>
            <a:gd name="T31" fmla="*/ 2147483647 h 108"/>
            <a:gd name="T32" fmla="*/ 2147483647 w 130"/>
            <a:gd name="T33" fmla="*/ 2147483647 h 108"/>
            <a:gd name="T34" fmla="*/ 2147483647 w 130"/>
            <a:gd name="T35" fmla="*/ 2147483647 h 108"/>
            <a:gd name="T36" fmla="*/ 0 w 130"/>
            <a:gd name="T37" fmla="*/ 2147483647 h 108"/>
            <a:gd name="T38" fmla="*/ 2147483647 w 130"/>
            <a:gd name="T39" fmla="*/ 2147483647 h 108"/>
            <a:gd name="T40" fmla="*/ 2147483647 w 130"/>
            <a:gd name="T41" fmla="*/ 2147483647 h 108"/>
            <a:gd name="T42" fmla="*/ 2147483647 w 130"/>
            <a:gd name="T43" fmla="*/ 2147483647 h 108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60000 65536"/>
            <a:gd name="T52" fmla="*/ 0 60000 65536"/>
            <a:gd name="T53" fmla="*/ 0 60000 65536"/>
            <a:gd name="T54" fmla="*/ 0 60000 65536"/>
            <a:gd name="T55" fmla="*/ 0 60000 65536"/>
            <a:gd name="T56" fmla="*/ 0 60000 65536"/>
            <a:gd name="T57" fmla="*/ 0 60000 65536"/>
            <a:gd name="T58" fmla="*/ 0 60000 65536"/>
            <a:gd name="T59" fmla="*/ 0 60000 65536"/>
            <a:gd name="T60" fmla="*/ 0 60000 65536"/>
            <a:gd name="T61" fmla="*/ 0 60000 65536"/>
            <a:gd name="T62" fmla="*/ 0 60000 65536"/>
            <a:gd name="T63" fmla="*/ 0 60000 65536"/>
            <a:gd name="T64" fmla="*/ 0 60000 65536"/>
            <a:gd name="T65" fmla="*/ 0 60000 65536"/>
            <a:gd name="T66" fmla="*/ 0 w 130"/>
            <a:gd name="T67" fmla="*/ 0 h 108"/>
            <a:gd name="T68" fmla="*/ 130 w 130"/>
            <a:gd name="T69" fmla="*/ 108 h 108"/>
          </a:gdLst>
          <a:ahLst/>
          <a:cxnLst>
            <a:cxn ang="T44">
              <a:pos x="T0" y="T1"/>
            </a:cxn>
            <a:cxn ang="T45">
              <a:pos x="T2" y="T3"/>
            </a:cxn>
            <a:cxn ang="T46">
              <a:pos x="T4" y="T5"/>
            </a:cxn>
            <a:cxn ang="T47">
              <a:pos x="T6" y="T7"/>
            </a:cxn>
            <a:cxn ang="T48">
              <a:pos x="T8" y="T9"/>
            </a:cxn>
            <a:cxn ang="T49">
              <a:pos x="T10" y="T11"/>
            </a:cxn>
            <a:cxn ang="T50">
              <a:pos x="T12" y="T13"/>
            </a:cxn>
            <a:cxn ang="T51">
              <a:pos x="T14" y="T15"/>
            </a:cxn>
            <a:cxn ang="T52">
              <a:pos x="T16" y="T17"/>
            </a:cxn>
            <a:cxn ang="T53">
              <a:pos x="T18" y="T19"/>
            </a:cxn>
            <a:cxn ang="T54">
              <a:pos x="T20" y="T21"/>
            </a:cxn>
            <a:cxn ang="T55">
              <a:pos x="T22" y="T23"/>
            </a:cxn>
            <a:cxn ang="T56">
              <a:pos x="T24" y="T25"/>
            </a:cxn>
            <a:cxn ang="T57">
              <a:pos x="T26" y="T27"/>
            </a:cxn>
            <a:cxn ang="T58">
              <a:pos x="T28" y="T29"/>
            </a:cxn>
            <a:cxn ang="T59">
              <a:pos x="T30" y="T31"/>
            </a:cxn>
            <a:cxn ang="T60">
              <a:pos x="T32" y="T33"/>
            </a:cxn>
            <a:cxn ang="T61">
              <a:pos x="T34" y="T35"/>
            </a:cxn>
            <a:cxn ang="T62">
              <a:pos x="T36" y="T37"/>
            </a:cxn>
            <a:cxn ang="T63">
              <a:pos x="T38" y="T39"/>
            </a:cxn>
            <a:cxn ang="T64">
              <a:pos x="T40" y="T41"/>
            </a:cxn>
            <a:cxn ang="T65">
              <a:pos x="T42" y="T43"/>
            </a:cxn>
          </a:cxnLst>
          <a:rect l="T66" t="T67" r="T68" b="T69"/>
          <a:pathLst>
            <a:path w="130" h="108">
              <a:moveTo>
                <a:pt x="15" y="79"/>
              </a:moveTo>
              <a:lnTo>
                <a:pt x="38" y="79"/>
              </a:lnTo>
              <a:lnTo>
                <a:pt x="38" y="93"/>
              </a:lnTo>
              <a:lnTo>
                <a:pt x="43" y="100"/>
              </a:lnTo>
              <a:lnTo>
                <a:pt x="50" y="100"/>
              </a:lnTo>
              <a:lnTo>
                <a:pt x="80" y="108"/>
              </a:lnTo>
              <a:lnTo>
                <a:pt x="92" y="93"/>
              </a:lnTo>
              <a:lnTo>
                <a:pt x="114" y="100"/>
              </a:lnTo>
              <a:lnTo>
                <a:pt x="114" y="93"/>
              </a:lnTo>
              <a:lnTo>
                <a:pt x="130" y="79"/>
              </a:lnTo>
              <a:lnTo>
                <a:pt x="130" y="71"/>
              </a:lnTo>
              <a:lnTo>
                <a:pt x="107" y="71"/>
              </a:lnTo>
              <a:lnTo>
                <a:pt x="107" y="31"/>
              </a:lnTo>
              <a:lnTo>
                <a:pt x="92" y="0"/>
              </a:lnTo>
              <a:lnTo>
                <a:pt x="85" y="0"/>
              </a:lnTo>
              <a:lnTo>
                <a:pt x="63" y="17"/>
              </a:lnTo>
              <a:lnTo>
                <a:pt x="23" y="17"/>
              </a:lnTo>
              <a:lnTo>
                <a:pt x="15" y="48"/>
              </a:lnTo>
              <a:lnTo>
                <a:pt x="0" y="48"/>
              </a:lnTo>
              <a:lnTo>
                <a:pt x="15" y="79"/>
              </a:lnTo>
              <a:close/>
            </a:path>
          </a:pathLst>
        </a:custGeom>
        <a:solidFill>
          <a:srgbClr val="F5F5EB"/>
        </a:solidFill>
        <a:ln w="9525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36576" tIns="32004" rIns="0" bIns="0" anchor="t"/>
        <a:lstStyle/>
        <a:p>
          <a:pPr algn="l" rtl="0">
            <a:defRPr sz="1000"/>
          </a:pPr>
          <a:endParaRPr lang="en-US" sz="16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en-US"/>
        </a:p>
      </xdr:txBody>
    </xdr:sp>
    <xdr:clientData/>
  </xdr:twoCellAnchor>
  <xdr:twoCellAnchor>
    <xdr:from>
      <xdr:col>9</xdr:col>
      <xdr:colOff>666750</xdr:colOff>
      <xdr:row>13</xdr:row>
      <xdr:rowOff>28575</xdr:rowOff>
    </xdr:from>
    <xdr:to>
      <xdr:col>10</xdr:col>
      <xdr:colOff>314325</xdr:colOff>
      <xdr:row>18</xdr:row>
      <xdr:rowOff>152400</xdr:rowOff>
    </xdr:to>
    <xdr:grpSp>
      <xdr:nvGrpSpPr>
        <xdr:cNvPr id="25878" name="S_SWE"/>
        <xdr:cNvGrpSpPr>
          <a:grpSpLocks/>
        </xdr:cNvGrpSpPr>
      </xdr:nvGrpSpPr>
      <xdr:grpSpPr bwMode="auto">
        <a:xfrm>
          <a:off x="6561044" y="2393016"/>
          <a:ext cx="364752" cy="908237"/>
          <a:chOff x="619" y="220"/>
          <a:chExt cx="38" cy="98"/>
        </a:xfrm>
      </xdr:grpSpPr>
      <xdr:sp macro="" textlink="">
        <xdr:nvSpPr>
          <xdr:cNvPr id="25914" name="S_SWE 2"/>
          <xdr:cNvSpPr>
            <a:spLocks/>
          </xdr:cNvSpPr>
        </xdr:nvSpPr>
        <xdr:spPr bwMode="auto">
          <a:xfrm>
            <a:off x="619" y="220"/>
            <a:ext cx="38" cy="93"/>
          </a:xfrm>
          <a:custGeom>
            <a:avLst/>
            <a:gdLst>
              <a:gd name="T0" fmla="*/ 0 w 173"/>
              <a:gd name="T1" fmla="*/ 3 h 427"/>
              <a:gd name="T2" fmla="*/ 0 w 173"/>
              <a:gd name="T3" fmla="*/ 3 h 427"/>
              <a:gd name="T4" fmla="*/ 0 w 173"/>
              <a:gd name="T5" fmla="*/ 3 h 427"/>
              <a:gd name="T6" fmla="*/ 0 w 173"/>
              <a:gd name="T7" fmla="*/ 3 h 427"/>
              <a:gd name="T8" fmla="*/ 0 w 173"/>
              <a:gd name="T9" fmla="*/ 3 h 427"/>
              <a:gd name="T10" fmla="*/ 0 w 173"/>
              <a:gd name="T11" fmla="*/ 2 h 427"/>
              <a:gd name="T12" fmla="*/ 0 w 173"/>
              <a:gd name="T13" fmla="*/ 2 h 427"/>
              <a:gd name="T14" fmla="*/ 0 w 173"/>
              <a:gd name="T15" fmla="*/ 2 h 427"/>
              <a:gd name="T16" fmla="*/ 0 w 173"/>
              <a:gd name="T17" fmla="*/ 2 h 427"/>
              <a:gd name="T18" fmla="*/ 0 w 173"/>
              <a:gd name="T19" fmla="*/ 1 h 427"/>
              <a:gd name="T20" fmla="*/ 1 w 173"/>
              <a:gd name="T21" fmla="*/ 1 h 427"/>
              <a:gd name="T22" fmla="*/ 1 w 173"/>
              <a:gd name="T23" fmla="*/ 1 h 427"/>
              <a:gd name="T24" fmla="*/ 1 w 173"/>
              <a:gd name="T25" fmla="*/ 0 h 427"/>
              <a:gd name="T26" fmla="*/ 1 w 173"/>
              <a:gd name="T27" fmla="*/ 0 h 427"/>
              <a:gd name="T28" fmla="*/ 1 w 173"/>
              <a:gd name="T29" fmla="*/ 0 h 427"/>
              <a:gd name="T30" fmla="*/ 1 w 173"/>
              <a:gd name="T31" fmla="*/ 0 h 427"/>
              <a:gd name="T32" fmla="*/ 1 w 173"/>
              <a:gd name="T33" fmla="*/ 0 h 427"/>
              <a:gd name="T34" fmla="*/ 1 w 173"/>
              <a:gd name="T35" fmla="*/ 0 h 427"/>
              <a:gd name="T36" fmla="*/ 2 w 173"/>
              <a:gd name="T37" fmla="*/ 0 h 427"/>
              <a:gd name="T38" fmla="*/ 2 w 173"/>
              <a:gd name="T39" fmla="*/ 1 h 427"/>
              <a:gd name="T40" fmla="*/ 2 w 173"/>
              <a:gd name="T41" fmla="*/ 1 h 427"/>
              <a:gd name="T42" fmla="*/ 2 w 173"/>
              <a:gd name="T43" fmla="*/ 2 h 427"/>
              <a:gd name="T44" fmla="*/ 2 w 173"/>
              <a:gd name="T45" fmla="*/ 2 h 427"/>
              <a:gd name="T46" fmla="*/ 2 w 173"/>
              <a:gd name="T47" fmla="*/ 2 h 427"/>
              <a:gd name="T48" fmla="*/ 1 w 173"/>
              <a:gd name="T49" fmla="*/ 2 h 427"/>
              <a:gd name="T50" fmla="*/ 1 w 173"/>
              <a:gd name="T51" fmla="*/ 2 h 427"/>
              <a:gd name="T52" fmla="*/ 1 w 173"/>
              <a:gd name="T53" fmla="*/ 3 h 427"/>
              <a:gd name="T54" fmla="*/ 1 w 173"/>
              <a:gd name="T55" fmla="*/ 3 h 427"/>
              <a:gd name="T56" fmla="*/ 1 w 173"/>
              <a:gd name="T57" fmla="*/ 3 h 427"/>
              <a:gd name="T58" fmla="*/ 1 w 173"/>
              <a:gd name="T59" fmla="*/ 3 h 427"/>
              <a:gd name="T60" fmla="*/ 1 w 173"/>
              <a:gd name="T61" fmla="*/ 4 h 427"/>
              <a:gd name="T62" fmla="*/ 1 w 173"/>
              <a:gd name="T63" fmla="*/ 4 h 427"/>
              <a:gd name="T64" fmla="*/ 0 w 173"/>
              <a:gd name="T65" fmla="*/ 4 h 427"/>
              <a:gd name="T66" fmla="*/ 0 w 173"/>
              <a:gd name="T67" fmla="*/ 4 h 427"/>
              <a:gd name="T68" fmla="*/ 0 w 173"/>
              <a:gd name="T69" fmla="*/ 4 h 427"/>
              <a:gd name="T70" fmla="*/ 0 w 173"/>
              <a:gd name="T71" fmla="*/ 4 h 427"/>
              <a:gd name="T72" fmla="*/ 0 w 173"/>
              <a:gd name="T73" fmla="*/ 4 h 427"/>
              <a:gd name="T74" fmla="*/ 0 w 173"/>
              <a:gd name="T75" fmla="*/ 4 h 427"/>
              <a:gd name="T76" fmla="*/ 0 w 173"/>
              <a:gd name="T77" fmla="*/ 3 h 427"/>
              <a:gd name="T78" fmla="*/ 0 w 173"/>
              <a:gd name="T79" fmla="*/ 3 h 427"/>
              <a:gd name="T80" fmla="*/ 0 w 173"/>
              <a:gd name="T81" fmla="*/ 3 h 427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60000 65536"/>
              <a:gd name="T106" fmla="*/ 0 60000 65536"/>
              <a:gd name="T107" fmla="*/ 0 60000 65536"/>
              <a:gd name="T108" fmla="*/ 0 60000 65536"/>
              <a:gd name="T109" fmla="*/ 0 60000 65536"/>
              <a:gd name="T110" fmla="*/ 0 60000 65536"/>
              <a:gd name="T111" fmla="*/ 0 60000 65536"/>
              <a:gd name="T112" fmla="*/ 0 60000 65536"/>
              <a:gd name="T113" fmla="*/ 0 60000 65536"/>
              <a:gd name="T114" fmla="*/ 0 60000 65536"/>
              <a:gd name="T115" fmla="*/ 0 60000 65536"/>
              <a:gd name="T116" fmla="*/ 0 60000 65536"/>
              <a:gd name="T117" fmla="*/ 0 60000 65536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w 173"/>
              <a:gd name="T124" fmla="*/ 0 h 427"/>
              <a:gd name="T125" fmla="*/ 173 w 173"/>
              <a:gd name="T126" fmla="*/ 427 h 427"/>
            </a:gdLst>
            <a:ahLst/>
            <a:cxnLst>
              <a:cxn ang="T82">
                <a:pos x="T0" y="T1"/>
              </a:cxn>
              <a:cxn ang="T83">
                <a:pos x="T2" y="T3"/>
              </a:cxn>
              <a:cxn ang="T84">
                <a:pos x="T4" y="T5"/>
              </a:cxn>
              <a:cxn ang="T85">
                <a:pos x="T6" y="T7"/>
              </a:cxn>
              <a:cxn ang="T86">
                <a:pos x="T8" y="T9"/>
              </a:cxn>
              <a:cxn ang="T87">
                <a:pos x="T10" y="T11"/>
              </a:cxn>
              <a:cxn ang="T88">
                <a:pos x="T12" y="T13"/>
              </a:cxn>
              <a:cxn ang="T89">
                <a:pos x="T14" y="T15"/>
              </a:cxn>
              <a:cxn ang="T90">
                <a:pos x="T16" y="T17"/>
              </a:cxn>
              <a:cxn ang="T91">
                <a:pos x="T18" y="T19"/>
              </a:cxn>
              <a:cxn ang="T92">
                <a:pos x="T20" y="T21"/>
              </a:cxn>
              <a:cxn ang="T93">
                <a:pos x="T22" y="T23"/>
              </a:cxn>
              <a:cxn ang="T94">
                <a:pos x="T24" y="T25"/>
              </a:cxn>
              <a:cxn ang="T95">
                <a:pos x="T26" y="T27"/>
              </a:cxn>
              <a:cxn ang="T96">
                <a:pos x="T28" y="T29"/>
              </a:cxn>
              <a:cxn ang="T97">
                <a:pos x="T30" y="T31"/>
              </a:cxn>
              <a:cxn ang="T98">
                <a:pos x="T32" y="T33"/>
              </a:cxn>
              <a:cxn ang="T99">
                <a:pos x="T34" y="T35"/>
              </a:cxn>
              <a:cxn ang="T100">
                <a:pos x="T36" y="T37"/>
              </a:cxn>
              <a:cxn ang="T101">
                <a:pos x="T38" y="T39"/>
              </a:cxn>
              <a:cxn ang="T102">
                <a:pos x="T40" y="T41"/>
              </a:cxn>
              <a:cxn ang="T103">
                <a:pos x="T42" y="T43"/>
              </a:cxn>
              <a:cxn ang="T104">
                <a:pos x="T44" y="T45"/>
              </a:cxn>
              <a:cxn ang="T105">
                <a:pos x="T46" y="T47"/>
              </a:cxn>
              <a:cxn ang="T106">
                <a:pos x="T48" y="T49"/>
              </a:cxn>
              <a:cxn ang="T107">
                <a:pos x="T50" y="T51"/>
              </a:cxn>
              <a:cxn ang="T108">
                <a:pos x="T52" y="T53"/>
              </a:cxn>
              <a:cxn ang="T109">
                <a:pos x="T54" y="T55"/>
              </a:cxn>
              <a:cxn ang="T110">
                <a:pos x="T56" y="T57"/>
              </a:cxn>
              <a:cxn ang="T111">
                <a:pos x="T58" y="T59"/>
              </a:cxn>
              <a:cxn ang="T112">
                <a:pos x="T60" y="T61"/>
              </a:cxn>
              <a:cxn ang="T113">
                <a:pos x="T62" y="T63"/>
              </a:cxn>
              <a:cxn ang="T114">
                <a:pos x="T64" y="T65"/>
              </a:cxn>
              <a:cxn ang="T115">
                <a:pos x="T66" y="T67"/>
              </a:cxn>
              <a:cxn ang="T116">
                <a:pos x="T68" y="T69"/>
              </a:cxn>
              <a:cxn ang="T117">
                <a:pos x="T70" y="T71"/>
              </a:cxn>
              <a:cxn ang="T118">
                <a:pos x="T72" y="T73"/>
              </a:cxn>
              <a:cxn ang="T119">
                <a:pos x="T74" y="T75"/>
              </a:cxn>
              <a:cxn ang="T120">
                <a:pos x="T76" y="T77"/>
              </a:cxn>
              <a:cxn ang="T121">
                <a:pos x="T78" y="T79"/>
              </a:cxn>
              <a:cxn ang="T122">
                <a:pos x="T80" y="T81"/>
              </a:cxn>
            </a:cxnLst>
            <a:rect l="T123" t="T124" r="T125" b="T126"/>
            <a:pathLst>
              <a:path w="173" h="427">
                <a:moveTo>
                  <a:pt x="0" y="338"/>
                </a:moveTo>
                <a:lnTo>
                  <a:pt x="11" y="338"/>
                </a:lnTo>
                <a:lnTo>
                  <a:pt x="11" y="308"/>
                </a:lnTo>
                <a:lnTo>
                  <a:pt x="22" y="303"/>
                </a:lnTo>
                <a:lnTo>
                  <a:pt x="22" y="264"/>
                </a:lnTo>
                <a:lnTo>
                  <a:pt x="11" y="224"/>
                </a:lnTo>
                <a:lnTo>
                  <a:pt x="22" y="189"/>
                </a:lnTo>
                <a:lnTo>
                  <a:pt x="44" y="174"/>
                </a:lnTo>
                <a:lnTo>
                  <a:pt x="36" y="152"/>
                </a:lnTo>
                <a:lnTo>
                  <a:pt x="52" y="108"/>
                </a:lnTo>
                <a:lnTo>
                  <a:pt x="74" y="83"/>
                </a:lnTo>
                <a:lnTo>
                  <a:pt x="74" y="61"/>
                </a:lnTo>
                <a:lnTo>
                  <a:pt x="89" y="32"/>
                </a:lnTo>
                <a:lnTo>
                  <a:pt x="94" y="32"/>
                </a:lnTo>
                <a:lnTo>
                  <a:pt x="94" y="17"/>
                </a:lnTo>
                <a:lnTo>
                  <a:pt x="124" y="17"/>
                </a:lnTo>
                <a:lnTo>
                  <a:pt x="124" y="0"/>
                </a:lnTo>
                <a:lnTo>
                  <a:pt x="131" y="0"/>
                </a:lnTo>
                <a:lnTo>
                  <a:pt x="166" y="32"/>
                </a:lnTo>
                <a:lnTo>
                  <a:pt x="173" y="120"/>
                </a:lnTo>
                <a:lnTo>
                  <a:pt x="161" y="120"/>
                </a:lnTo>
                <a:lnTo>
                  <a:pt x="140" y="137"/>
                </a:lnTo>
                <a:lnTo>
                  <a:pt x="140" y="152"/>
                </a:lnTo>
                <a:lnTo>
                  <a:pt x="146" y="167"/>
                </a:lnTo>
                <a:lnTo>
                  <a:pt x="103" y="211"/>
                </a:lnTo>
                <a:lnTo>
                  <a:pt x="89" y="241"/>
                </a:lnTo>
                <a:lnTo>
                  <a:pt x="89" y="285"/>
                </a:lnTo>
                <a:lnTo>
                  <a:pt x="103" y="308"/>
                </a:lnTo>
                <a:lnTo>
                  <a:pt x="94" y="323"/>
                </a:lnTo>
                <a:lnTo>
                  <a:pt x="94" y="332"/>
                </a:lnTo>
                <a:lnTo>
                  <a:pt x="81" y="347"/>
                </a:lnTo>
                <a:lnTo>
                  <a:pt x="74" y="412"/>
                </a:lnTo>
                <a:lnTo>
                  <a:pt x="52" y="412"/>
                </a:lnTo>
                <a:lnTo>
                  <a:pt x="44" y="422"/>
                </a:lnTo>
                <a:lnTo>
                  <a:pt x="44" y="427"/>
                </a:lnTo>
                <a:lnTo>
                  <a:pt x="31" y="427"/>
                </a:lnTo>
                <a:lnTo>
                  <a:pt x="22" y="412"/>
                </a:lnTo>
                <a:lnTo>
                  <a:pt x="31" y="406"/>
                </a:lnTo>
                <a:lnTo>
                  <a:pt x="0" y="338"/>
                </a:lnTo>
                <a:close/>
              </a:path>
            </a:pathLst>
          </a:custGeom>
          <a:solidFill>
            <a:srgbClr val="F5F5F5"/>
          </a:solidFill>
          <a:ln w="9525">
            <a:solidFill>
              <a:srgbClr val="FFFFFF"/>
            </a:solidFill>
            <a:miter lim="800000"/>
            <a:headEnd/>
            <a:tailEnd/>
          </a:ln>
        </xdr:spPr>
        <xdr:txBody>
          <a:bodyPr vertOverflow="clip" wrap="square" lIns="36576" tIns="32004" rIns="0" bIns="0" anchor="t"/>
          <a:lstStyle/>
          <a:p>
            <a:pPr algn="l" rtl="0">
              <a:defRPr sz="1000"/>
            </a:pPr>
            <a:endParaRPr lang="en-US" sz="1600" b="0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 algn="l" rtl="0">
              <a:defRPr sz="1000"/>
            </a:pPr>
            <a:endParaRPr lang="en-US"/>
          </a:p>
        </xdr:txBody>
      </xdr:sp>
      <xdr:sp macro="" textlink="">
        <xdr:nvSpPr>
          <xdr:cNvPr id="25915" name="S_SWE1"/>
          <xdr:cNvSpPr>
            <a:spLocks/>
          </xdr:cNvSpPr>
        </xdr:nvSpPr>
        <xdr:spPr bwMode="auto">
          <a:xfrm>
            <a:off x="619" y="312"/>
            <a:ext cx="6" cy="6"/>
          </a:xfrm>
          <a:custGeom>
            <a:avLst/>
            <a:gdLst>
              <a:gd name="T0" fmla="*/ 0 w 26"/>
              <a:gd name="T1" fmla="*/ 0 h 24"/>
              <a:gd name="T2" fmla="*/ 0 w 26"/>
              <a:gd name="T3" fmla="*/ 1 h 24"/>
              <a:gd name="T4" fmla="*/ 0 w 26"/>
              <a:gd name="T5" fmla="*/ 1 h 24"/>
              <a:gd name="T6" fmla="*/ 0 w 26"/>
              <a:gd name="T7" fmla="*/ 0 h 24"/>
              <a:gd name="T8" fmla="*/ 0 w 26"/>
              <a:gd name="T9" fmla="*/ 0 h 24"/>
              <a:gd name="T10" fmla="*/ 0 w 26"/>
              <a:gd name="T11" fmla="*/ 0 h 24"/>
              <a:gd name="T12" fmla="*/ 0 w 26"/>
              <a:gd name="T13" fmla="*/ 0 h 24"/>
              <a:gd name="T14" fmla="*/ 0 60000 65536"/>
              <a:gd name="T15" fmla="*/ 0 60000 65536"/>
              <a:gd name="T16" fmla="*/ 0 60000 65536"/>
              <a:gd name="T17" fmla="*/ 0 60000 65536"/>
              <a:gd name="T18" fmla="*/ 0 60000 65536"/>
              <a:gd name="T19" fmla="*/ 0 60000 65536"/>
              <a:gd name="T20" fmla="*/ 0 60000 65536"/>
              <a:gd name="T21" fmla="*/ 0 w 26"/>
              <a:gd name="T22" fmla="*/ 0 h 24"/>
              <a:gd name="T23" fmla="*/ 26 w 26"/>
              <a:gd name="T24" fmla="*/ 24 h 24"/>
            </a:gdLst>
            <a:ahLst/>
            <a:cxnLst>
              <a:cxn ang="T14">
                <a:pos x="T0" y="T1"/>
              </a:cxn>
              <a:cxn ang="T15">
                <a:pos x="T2" y="T3"/>
              </a:cxn>
              <a:cxn ang="T16">
                <a:pos x="T4" y="T5"/>
              </a:cxn>
              <a:cxn ang="T17">
                <a:pos x="T6" y="T7"/>
              </a:cxn>
              <a:cxn ang="T18">
                <a:pos x="T8" y="T9"/>
              </a:cxn>
              <a:cxn ang="T19">
                <a:pos x="T10" y="T11"/>
              </a:cxn>
              <a:cxn ang="T20">
                <a:pos x="T12" y="T13"/>
              </a:cxn>
            </a:cxnLst>
            <a:rect l="T21" t="T22" r="T23" b="T24"/>
            <a:pathLst>
              <a:path w="26" h="24">
                <a:moveTo>
                  <a:pt x="0" y="13"/>
                </a:moveTo>
                <a:lnTo>
                  <a:pt x="0" y="24"/>
                </a:lnTo>
                <a:lnTo>
                  <a:pt x="26" y="24"/>
                </a:lnTo>
                <a:lnTo>
                  <a:pt x="26" y="0"/>
                </a:lnTo>
                <a:lnTo>
                  <a:pt x="0" y="13"/>
                </a:lnTo>
                <a:close/>
              </a:path>
            </a:pathLst>
          </a:custGeom>
          <a:solidFill>
            <a:srgbClr val="F5F5F5"/>
          </a:solidFill>
          <a:ln w="9525">
            <a:solidFill>
              <a:srgbClr val="FFFFFF"/>
            </a:solidFill>
            <a:miter lim="800000"/>
            <a:headEnd/>
            <a:tailEnd/>
          </a:ln>
        </xdr:spPr>
        <xdr:txBody>
          <a:bodyPr vertOverflow="clip" wrap="square" lIns="36576" tIns="32004" rIns="0" bIns="0" anchor="t"/>
          <a:lstStyle/>
          <a:p>
            <a:pPr algn="l" rtl="0">
              <a:defRPr sz="1000"/>
            </a:pPr>
            <a:endParaRPr lang="en-US" sz="1600" b="0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 algn="l" rtl="0">
              <a:defRPr sz="1000"/>
            </a:pPr>
            <a:endParaRPr lang="en-US"/>
          </a:p>
        </xdr:txBody>
      </xdr:sp>
    </xdr:grpSp>
    <xdr:clientData/>
  </xdr:twoCellAnchor>
  <xdr:twoCellAnchor>
    <xdr:from>
      <xdr:col>9</xdr:col>
      <xdr:colOff>533400</xdr:colOff>
      <xdr:row>18</xdr:row>
      <xdr:rowOff>142875</xdr:rowOff>
    </xdr:from>
    <xdr:to>
      <xdr:col>10</xdr:col>
      <xdr:colOff>57150</xdr:colOff>
      <xdr:row>21</xdr:row>
      <xdr:rowOff>19050</xdr:rowOff>
    </xdr:to>
    <xdr:grpSp>
      <xdr:nvGrpSpPr>
        <xdr:cNvPr id="25879" name="S_DEU"/>
        <xdr:cNvGrpSpPr>
          <a:grpSpLocks/>
        </xdr:cNvGrpSpPr>
      </xdr:nvGrpSpPr>
      <xdr:grpSpPr bwMode="auto">
        <a:xfrm>
          <a:off x="6427694" y="3291728"/>
          <a:ext cx="240927" cy="346822"/>
          <a:chOff x="605" y="317"/>
          <a:chExt cx="25" cy="38"/>
        </a:xfrm>
      </xdr:grpSpPr>
      <xdr:sp macro="" textlink="">
        <xdr:nvSpPr>
          <xdr:cNvPr id="25912" name="Freeform 203"/>
          <xdr:cNvSpPr>
            <a:spLocks/>
          </xdr:cNvSpPr>
        </xdr:nvSpPr>
        <xdr:spPr bwMode="auto">
          <a:xfrm>
            <a:off x="605" y="317"/>
            <a:ext cx="25" cy="38"/>
          </a:xfrm>
          <a:custGeom>
            <a:avLst/>
            <a:gdLst>
              <a:gd name="T0" fmla="*/ 1 w 114"/>
              <a:gd name="T1" fmla="*/ 0 h 175"/>
              <a:gd name="T2" fmla="*/ 1 w 114"/>
              <a:gd name="T3" fmla="*/ 0 h 175"/>
              <a:gd name="T4" fmla="*/ 1 w 114"/>
              <a:gd name="T5" fmla="*/ 0 h 175"/>
              <a:gd name="T6" fmla="*/ 1 w 114"/>
              <a:gd name="T7" fmla="*/ 0 h 175"/>
              <a:gd name="T8" fmla="*/ 1 w 114"/>
              <a:gd name="T9" fmla="*/ 0 h 175"/>
              <a:gd name="T10" fmla="*/ 1 w 114"/>
              <a:gd name="T11" fmla="*/ 1 h 175"/>
              <a:gd name="T12" fmla="*/ 1 w 114"/>
              <a:gd name="T13" fmla="*/ 1 h 175"/>
              <a:gd name="T14" fmla="*/ 1 w 114"/>
              <a:gd name="T15" fmla="*/ 1 h 175"/>
              <a:gd name="T16" fmla="*/ 1 w 114"/>
              <a:gd name="T17" fmla="*/ 1 h 175"/>
              <a:gd name="T18" fmla="*/ 1 w 114"/>
              <a:gd name="T19" fmla="*/ 2 h 175"/>
              <a:gd name="T20" fmla="*/ 1 w 114"/>
              <a:gd name="T21" fmla="*/ 2 h 175"/>
              <a:gd name="T22" fmla="*/ 1 w 114"/>
              <a:gd name="T23" fmla="*/ 2 h 175"/>
              <a:gd name="T24" fmla="*/ 0 w 114"/>
              <a:gd name="T25" fmla="*/ 2 h 175"/>
              <a:gd name="T26" fmla="*/ 0 w 114"/>
              <a:gd name="T27" fmla="*/ 2 h 175"/>
              <a:gd name="T28" fmla="*/ 0 w 114"/>
              <a:gd name="T29" fmla="*/ 1 h 175"/>
              <a:gd name="T30" fmla="*/ 0 w 114"/>
              <a:gd name="T31" fmla="*/ 1 h 175"/>
              <a:gd name="T32" fmla="*/ 0 w 114"/>
              <a:gd name="T33" fmla="*/ 1 h 175"/>
              <a:gd name="T34" fmla="*/ 0 w 114"/>
              <a:gd name="T35" fmla="*/ 0 h 175"/>
              <a:gd name="T36" fmla="*/ 0 w 114"/>
              <a:gd name="T37" fmla="*/ 0 h 175"/>
              <a:gd name="T38" fmla="*/ 0 w 114"/>
              <a:gd name="T39" fmla="*/ 0 h 175"/>
              <a:gd name="T40" fmla="*/ 0 w 114"/>
              <a:gd name="T41" fmla="*/ 0 h 175"/>
              <a:gd name="T42" fmla="*/ 0 w 114"/>
              <a:gd name="T43" fmla="*/ 0 h 175"/>
              <a:gd name="T44" fmla="*/ 0 w 114"/>
              <a:gd name="T45" fmla="*/ 0 h 175"/>
              <a:gd name="T46" fmla="*/ 0 w 114"/>
              <a:gd name="T47" fmla="*/ 0 h 175"/>
              <a:gd name="T48" fmla="*/ 0 w 114"/>
              <a:gd name="T49" fmla="*/ 0 h 175"/>
              <a:gd name="T50" fmla="*/ 1 w 114"/>
              <a:gd name="T51" fmla="*/ 0 h 175"/>
              <a:gd name="T52" fmla="*/ 1 w 114"/>
              <a:gd name="T53" fmla="*/ 0 h 175"/>
              <a:gd name="T54" fmla="*/ 1 w 114"/>
              <a:gd name="T55" fmla="*/ 0 h 175"/>
              <a:gd name="T56" fmla="*/ 1 w 114"/>
              <a:gd name="T57" fmla="*/ 0 h 175"/>
              <a:gd name="T58" fmla="*/ 0 60000 65536"/>
              <a:gd name="T59" fmla="*/ 0 60000 65536"/>
              <a:gd name="T60" fmla="*/ 0 60000 65536"/>
              <a:gd name="T61" fmla="*/ 0 60000 65536"/>
              <a:gd name="T62" fmla="*/ 0 60000 65536"/>
              <a:gd name="T63" fmla="*/ 0 60000 65536"/>
              <a:gd name="T64" fmla="*/ 0 60000 65536"/>
              <a:gd name="T65" fmla="*/ 0 60000 65536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w 114"/>
              <a:gd name="T88" fmla="*/ 0 h 175"/>
              <a:gd name="T89" fmla="*/ 114 w 114"/>
              <a:gd name="T90" fmla="*/ 175 h 175"/>
            </a:gdLst>
            <a:ahLst/>
            <a:cxnLst>
              <a:cxn ang="T58">
                <a:pos x="T0" y="T1"/>
              </a:cxn>
              <a:cxn ang="T59">
                <a:pos x="T2" y="T3"/>
              </a:cxn>
              <a:cxn ang="T60">
                <a:pos x="T4" y="T5"/>
              </a:cxn>
              <a:cxn ang="T61">
                <a:pos x="T6" y="T7"/>
              </a:cxn>
              <a:cxn ang="T62">
                <a:pos x="T8" y="T9"/>
              </a:cxn>
              <a:cxn ang="T63">
                <a:pos x="T10" y="T11"/>
              </a:cxn>
              <a:cxn ang="T64">
                <a:pos x="T12" y="T13"/>
              </a:cxn>
              <a:cxn ang="T65">
                <a:pos x="T14" y="T15"/>
              </a:cxn>
              <a:cxn ang="T66">
                <a:pos x="T16" y="T17"/>
              </a:cxn>
              <a:cxn ang="T67">
                <a:pos x="T18" y="T19"/>
              </a:cxn>
              <a:cxn ang="T68">
                <a:pos x="T20" y="T21"/>
              </a:cxn>
              <a:cxn ang="T69">
                <a:pos x="T22" y="T23"/>
              </a:cxn>
              <a:cxn ang="T70">
                <a:pos x="T24" y="T25"/>
              </a:cxn>
              <a:cxn ang="T71">
                <a:pos x="T26" y="T27"/>
              </a:cxn>
              <a:cxn ang="T72">
                <a:pos x="T28" y="T29"/>
              </a:cxn>
              <a:cxn ang="T73">
                <a:pos x="T30" y="T31"/>
              </a:cxn>
              <a:cxn ang="T74">
                <a:pos x="T32" y="T33"/>
              </a:cxn>
              <a:cxn ang="T75">
                <a:pos x="T34" y="T35"/>
              </a:cxn>
              <a:cxn ang="T76">
                <a:pos x="T36" y="T37"/>
              </a:cxn>
              <a:cxn ang="T77">
                <a:pos x="T38" y="T39"/>
              </a:cxn>
              <a:cxn ang="T78">
                <a:pos x="T40" y="T41"/>
              </a:cxn>
              <a:cxn ang="T79">
                <a:pos x="T42" y="T43"/>
              </a:cxn>
              <a:cxn ang="T80">
                <a:pos x="T44" y="T45"/>
              </a:cxn>
              <a:cxn ang="T81">
                <a:pos x="T46" y="T47"/>
              </a:cxn>
              <a:cxn ang="T82">
                <a:pos x="T48" y="T49"/>
              </a:cxn>
              <a:cxn ang="T83">
                <a:pos x="T50" y="T51"/>
              </a:cxn>
              <a:cxn ang="T84">
                <a:pos x="T52" y="T53"/>
              </a:cxn>
              <a:cxn ang="T85">
                <a:pos x="T54" y="T55"/>
              </a:cxn>
              <a:cxn ang="T86">
                <a:pos x="T56" y="T57"/>
              </a:cxn>
            </a:cxnLst>
            <a:rect l="T87" t="T88" r="T89" b="T90"/>
            <a:pathLst>
              <a:path w="114" h="175">
                <a:moveTo>
                  <a:pt x="64" y="25"/>
                </a:moveTo>
                <a:lnTo>
                  <a:pt x="101" y="7"/>
                </a:lnTo>
                <a:lnTo>
                  <a:pt x="101" y="15"/>
                </a:lnTo>
                <a:lnTo>
                  <a:pt x="93" y="15"/>
                </a:lnTo>
                <a:lnTo>
                  <a:pt x="106" y="25"/>
                </a:lnTo>
                <a:lnTo>
                  <a:pt x="114" y="91"/>
                </a:lnTo>
                <a:lnTo>
                  <a:pt x="106" y="91"/>
                </a:lnTo>
                <a:lnTo>
                  <a:pt x="73" y="107"/>
                </a:lnTo>
                <a:lnTo>
                  <a:pt x="84" y="129"/>
                </a:lnTo>
                <a:lnTo>
                  <a:pt x="101" y="146"/>
                </a:lnTo>
                <a:lnTo>
                  <a:pt x="93" y="151"/>
                </a:lnTo>
                <a:lnTo>
                  <a:pt x="93" y="168"/>
                </a:lnTo>
                <a:lnTo>
                  <a:pt x="16" y="175"/>
                </a:lnTo>
                <a:lnTo>
                  <a:pt x="21" y="146"/>
                </a:lnTo>
                <a:lnTo>
                  <a:pt x="0" y="129"/>
                </a:lnTo>
                <a:lnTo>
                  <a:pt x="0" y="67"/>
                </a:lnTo>
                <a:lnTo>
                  <a:pt x="9" y="60"/>
                </a:lnTo>
                <a:lnTo>
                  <a:pt x="16" y="39"/>
                </a:lnTo>
                <a:lnTo>
                  <a:pt x="31" y="39"/>
                </a:lnTo>
                <a:lnTo>
                  <a:pt x="42" y="15"/>
                </a:lnTo>
                <a:lnTo>
                  <a:pt x="31" y="15"/>
                </a:lnTo>
                <a:lnTo>
                  <a:pt x="42" y="7"/>
                </a:lnTo>
                <a:lnTo>
                  <a:pt x="31" y="0"/>
                </a:lnTo>
                <a:lnTo>
                  <a:pt x="51" y="0"/>
                </a:lnTo>
                <a:lnTo>
                  <a:pt x="51" y="7"/>
                </a:lnTo>
                <a:lnTo>
                  <a:pt x="64" y="15"/>
                </a:lnTo>
                <a:lnTo>
                  <a:pt x="57" y="25"/>
                </a:lnTo>
                <a:lnTo>
                  <a:pt x="64" y="25"/>
                </a:lnTo>
                <a:close/>
              </a:path>
            </a:pathLst>
          </a:custGeom>
          <a:solidFill>
            <a:srgbClr val="6EA03C"/>
          </a:solidFill>
          <a:ln w="9525">
            <a:solidFill>
              <a:srgbClr val="FFFFFF"/>
            </a:solidFill>
            <a:miter lim="800000"/>
            <a:headEnd/>
            <a:tailEnd/>
          </a:ln>
        </xdr:spPr>
        <xdr:txBody>
          <a:bodyPr vertOverflow="clip" wrap="square" lIns="36576" tIns="32004" rIns="0" bIns="0" anchor="t"/>
          <a:lstStyle/>
          <a:p>
            <a:pPr algn="l" rtl="0">
              <a:defRPr sz="1000"/>
            </a:pPr>
            <a:endParaRPr lang="en-US" sz="1600" b="0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 algn="l" rtl="0">
              <a:defRPr sz="1000"/>
            </a:pPr>
            <a:endParaRPr lang="en-US"/>
          </a:p>
        </xdr:txBody>
      </xdr:sp>
      <xdr:sp macro="" textlink="">
        <xdr:nvSpPr>
          <xdr:cNvPr id="25913" name="Freeform 212"/>
          <xdr:cNvSpPr>
            <a:spLocks/>
          </xdr:cNvSpPr>
        </xdr:nvSpPr>
        <xdr:spPr bwMode="auto">
          <a:xfrm>
            <a:off x="619" y="318"/>
            <a:ext cx="6" cy="6"/>
          </a:xfrm>
          <a:custGeom>
            <a:avLst/>
            <a:gdLst>
              <a:gd name="T0" fmla="*/ 0 w 26"/>
              <a:gd name="T1" fmla="*/ 0 h 28"/>
              <a:gd name="T2" fmla="*/ 0 w 26"/>
              <a:gd name="T3" fmla="*/ 0 h 28"/>
              <a:gd name="T4" fmla="*/ 0 w 26"/>
              <a:gd name="T5" fmla="*/ 0 h 28"/>
              <a:gd name="T6" fmla="*/ 0 w 26"/>
              <a:gd name="T7" fmla="*/ 0 h 28"/>
              <a:gd name="T8" fmla="*/ 0 w 26"/>
              <a:gd name="T9" fmla="*/ 0 h 28"/>
              <a:gd name="T10" fmla="*/ 0 w 26"/>
              <a:gd name="T11" fmla="*/ 0 h 28"/>
              <a:gd name="T12" fmla="*/ 0 60000 65536"/>
              <a:gd name="T13" fmla="*/ 0 60000 65536"/>
              <a:gd name="T14" fmla="*/ 0 60000 65536"/>
              <a:gd name="T15" fmla="*/ 0 60000 65536"/>
              <a:gd name="T16" fmla="*/ 0 60000 65536"/>
              <a:gd name="T17" fmla="*/ 0 60000 65536"/>
              <a:gd name="T18" fmla="*/ 0 w 26"/>
              <a:gd name="T19" fmla="*/ 0 h 28"/>
              <a:gd name="T20" fmla="*/ 26 w 26"/>
              <a:gd name="T21" fmla="*/ 28 h 28"/>
            </a:gdLst>
            <a:ahLst/>
            <a:cxnLst>
              <a:cxn ang="T12">
                <a:pos x="T0" y="T1"/>
              </a:cxn>
              <a:cxn ang="T13">
                <a:pos x="T2" y="T3"/>
              </a:cxn>
              <a:cxn ang="T14">
                <a:pos x="T4" y="T5"/>
              </a:cxn>
              <a:cxn ang="T15">
                <a:pos x="T6" y="T7"/>
              </a:cxn>
              <a:cxn ang="T16">
                <a:pos x="T8" y="T9"/>
              </a:cxn>
              <a:cxn ang="T17">
                <a:pos x="T10" y="T11"/>
              </a:cxn>
            </a:cxnLst>
            <a:rect l="T18" t="T19" r="T20" b="T21"/>
            <a:pathLst>
              <a:path w="26" h="28">
                <a:moveTo>
                  <a:pt x="0" y="0"/>
                </a:moveTo>
                <a:lnTo>
                  <a:pt x="0" y="28"/>
                </a:lnTo>
                <a:lnTo>
                  <a:pt x="26" y="0"/>
                </a:lnTo>
                <a:lnTo>
                  <a:pt x="0" y="0"/>
                </a:lnTo>
                <a:close/>
              </a:path>
            </a:pathLst>
          </a:custGeom>
          <a:solidFill>
            <a:srgbClr val="6EA03C"/>
          </a:solidFill>
          <a:ln w="9525">
            <a:solidFill>
              <a:srgbClr val="FFFFFF"/>
            </a:solidFill>
            <a:miter lim="800000"/>
            <a:headEnd/>
            <a:tailEnd/>
          </a:ln>
        </xdr:spPr>
        <xdr:txBody>
          <a:bodyPr vertOverflow="clip" wrap="square" lIns="36576" tIns="32004" rIns="0" bIns="0" anchor="t"/>
          <a:lstStyle/>
          <a:p>
            <a:pPr algn="l" rtl="0">
              <a:defRPr sz="1000"/>
            </a:pPr>
            <a:endParaRPr lang="en-US" sz="1600" b="0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 algn="l" rtl="0">
              <a:defRPr sz="1000"/>
            </a:pPr>
            <a:endParaRPr lang="en-US"/>
          </a:p>
        </xdr:txBody>
      </xdr:sp>
    </xdr:grpSp>
    <xdr:clientData/>
  </xdr:twoCellAnchor>
  <xdr:twoCellAnchor>
    <xdr:from>
      <xdr:col>6</xdr:col>
      <xdr:colOff>561975</xdr:colOff>
      <xdr:row>17</xdr:row>
      <xdr:rowOff>114300</xdr:rowOff>
    </xdr:from>
    <xdr:to>
      <xdr:col>9</xdr:col>
      <xdr:colOff>400050</xdr:colOff>
      <xdr:row>43</xdr:row>
      <xdr:rowOff>123825</xdr:rowOff>
    </xdr:to>
    <xdr:grpSp>
      <xdr:nvGrpSpPr>
        <xdr:cNvPr id="25880" name="S_GBR"/>
        <xdr:cNvGrpSpPr>
          <a:grpSpLocks/>
        </xdr:cNvGrpSpPr>
      </xdr:nvGrpSpPr>
      <xdr:grpSpPr bwMode="auto">
        <a:xfrm>
          <a:off x="4304740" y="3106271"/>
          <a:ext cx="1989604" cy="4088466"/>
          <a:chOff x="383" y="297"/>
          <a:chExt cx="208" cy="443"/>
        </a:xfrm>
      </xdr:grpSpPr>
      <xdr:sp macro="" textlink="">
        <xdr:nvSpPr>
          <xdr:cNvPr id="25908" name="Freeform 197"/>
          <xdr:cNvSpPr>
            <a:spLocks/>
          </xdr:cNvSpPr>
        </xdr:nvSpPr>
        <xdr:spPr bwMode="auto">
          <a:xfrm>
            <a:off x="563" y="314"/>
            <a:ext cx="9" cy="9"/>
          </a:xfrm>
          <a:custGeom>
            <a:avLst/>
            <a:gdLst>
              <a:gd name="T0" fmla="*/ 0 w 38"/>
              <a:gd name="T1" fmla="*/ 0 h 42"/>
              <a:gd name="T2" fmla="*/ 0 w 38"/>
              <a:gd name="T3" fmla="*/ 0 h 42"/>
              <a:gd name="T4" fmla="*/ 0 w 38"/>
              <a:gd name="T5" fmla="*/ 0 h 42"/>
              <a:gd name="T6" fmla="*/ 0 w 38"/>
              <a:gd name="T7" fmla="*/ 0 h 42"/>
              <a:gd name="T8" fmla="*/ 0 w 38"/>
              <a:gd name="T9" fmla="*/ 0 h 42"/>
              <a:gd name="T10" fmla="*/ 0 w 38"/>
              <a:gd name="T11" fmla="*/ 0 h 42"/>
              <a:gd name="T12" fmla="*/ 0 w 38"/>
              <a:gd name="T13" fmla="*/ 0 h 42"/>
              <a:gd name="T14" fmla="*/ 0 w 38"/>
              <a:gd name="T15" fmla="*/ 0 h 42"/>
              <a:gd name="T16" fmla="*/ 0 w 38"/>
              <a:gd name="T17" fmla="*/ 0 h 42"/>
              <a:gd name="T18" fmla="*/ 0 w 38"/>
              <a:gd name="T19" fmla="*/ 0 h 42"/>
              <a:gd name="T20" fmla="*/ 0 60000 65536"/>
              <a:gd name="T21" fmla="*/ 0 60000 65536"/>
              <a:gd name="T22" fmla="*/ 0 60000 65536"/>
              <a:gd name="T23" fmla="*/ 0 60000 65536"/>
              <a:gd name="T24" fmla="*/ 0 60000 65536"/>
              <a:gd name="T25" fmla="*/ 0 60000 65536"/>
              <a:gd name="T26" fmla="*/ 0 60000 65536"/>
              <a:gd name="T27" fmla="*/ 0 60000 65536"/>
              <a:gd name="T28" fmla="*/ 0 60000 65536"/>
              <a:gd name="T29" fmla="*/ 0 60000 65536"/>
              <a:gd name="T30" fmla="*/ 0 w 38"/>
              <a:gd name="T31" fmla="*/ 0 h 42"/>
              <a:gd name="T32" fmla="*/ 38 w 38"/>
              <a:gd name="T33" fmla="*/ 42 h 42"/>
            </a:gdLst>
            <a:ahLst/>
            <a:cxnLst>
              <a:cxn ang="T20">
                <a:pos x="T0" y="T1"/>
              </a:cxn>
              <a:cxn ang="T21">
                <a:pos x="T2" y="T3"/>
              </a:cxn>
              <a:cxn ang="T22">
                <a:pos x="T4" y="T5"/>
              </a:cxn>
              <a:cxn ang="T23">
                <a:pos x="T6" y="T7"/>
              </a:cxn>
              <a:cxn ang="T24">
                <a:pos x="T8" y="T9"/>
              </a:cxn>
              <a:cxn ang="T25">
                <a:pos x="T10" y="T11"/>
              </a:cxn>
              <a:cxn ang="T26">
                <a:pos x="T12" y="T13"/>
              </a:cxn>
              <a:cxn ang="T27">
                <a:pos x="T14" y="T15"/>
              </a:cxn>
              <a:cxn ang="T28">
                <a:pos x="T16" y="T17"/>
              </a:cxn>
              <a:cxn ang="T29">
                <a:pos x="T18" y="T19"/>
              </a:cxn>
            </a:cxnLst>
            <a:rect l="T30" t="T31" r="T32" b="T33"/>
            <a:pathLst>
              <a:path w="38" h="42">
                <a:moveTo>
                  <a:pt x="30" y="42"/>
                </a:moveTo>
                <a:lnTo>
                  <a:pt x="30" y="32"/>
                </a:lnTo>
                <a:lnTo>
                  <a:pt x="8" y="32"/>
                </a:lnTo>
                <a:lnTo>
                  <a:pt x="0" y="25"/>
                </a:lnTo>
                <a:lnTo>
                  <a:pt x="8" y="0"/>
                </a:lnTo>
                <a:lnTo>
                  <a:pt x="30" y="19"/>
                </a:lnTo>
                <a:lnTo>
                  <a:pt x="38" y="32"/>
                </a:lnTo>
                <a:lnTo>
                  <a:pt x="30" y="42"/>
                </a:lnTo>
                <a:close/>
              </a:path>
            </a:pathLst>
          </a:custGeom>
          <a:solidFill>
            <a:srgbClr val="91C35F"/>
          </a:solidFill>
          <a:ln w="9525">
            <a:solidFill>
              <a:srgbClr val="FFFFFF"/>
            </a:solidFill>
            <a:miter lim="800000"/>
            <a:headEnd/>
            <a:tailEnd/>
          </a:ln>
        </xdr:spPr>
        <xdr:txBody>
          <a:bodyPr vertOverflow="clip" wrap="square" lIns="36576" tIns="32004" rIns="0" bIns="0" anchor="t"/>
          <a:lstStyle/>
          <a:p>
            <a:pPr algn="l" rtl="0">
              <a:defRPr sz="1000"/>
            </a:pPr>
            <a:endParaRPr lang="en-US" sz="1600" b="0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 algn="l" rtl="0">
              <a:defRPr sz="1000"/>
            </a:pPr>
            <a:endParaRPr lang="en-US"/>
          </a:p>
        </xdr:txBody>
      </xdr:sp>
      <xdr:grpSp>
        <xdr:nvGrpSpPr>
          <xdr:cNvPr id="25909" name="S_GBR"/>
          <xdr:cNvGrpSpPr>
            <a:grpSpLocks/>
          </xdr:cNvGrpSpPr>
        </xdr:nvGrpSpPr>
        <xdr:grpSpPr bwMode="auto">
          <a:xfrm>
            <a:off x="383" y="297"/>
            <a:ext cx="208" cy="443"/>
            <a:chOff x="383" y="297"/>
            <a:chExt cx="208" cy="443"/>
          </a:xfrm>
        </xdr:grpSpPr>
        <xdr:sp macro="" textlink="">
          <xdr:nvSpPr>
            <xdr:cNvPr id="25910" name="Freeform 42"/>
            <xdr:cNvSpPr>
              <a:spLocks/>
            </xdr:cNvSpPr>
          </xdr:nvSpPr>
          <xdr:spPr bwMode="auto">
            <a:xfrm>
              <a:off x="383" y="724"/>
              <a:ext cx="11" cy="16"/>
            </a:xfrm>
            <a:custGeom>
              <a:avLst/>
              <a:gdLst>
                <a:gd name="T0" fmla="*/ 0 w 50"/>
                <a:gd name="T1" fmla="*/ 1 h 72"/>
                <a:gd name="T2" fmla="*/ 0 w 50"/>
                <a:gd name="T3" fmla="*/ 0 h 72"/>
                <a:gd name="T4" fmla="*/ 0 w 50"/>
                <a:gd name="T5" fmla="*/ 0 h 72"/>
                <a:gd name="T6" fmla="*/ 0 w 50"/>
                <a:gd name="T7" fmla="*/ 0 h 72"/>
                <a:gd name="T8" fmla="*/ 0 w 50"/>
                <a:gd name="T9" fmla="*/ 1 h 72"/>
                <a:gd name="T10" fmla="*/ 0 w 50"/>
                <a:gd name="T11" fmla="*/ 1 h 72"/>
                <a:gd name="T12" fmla="*/ 0 w 50"/>
                <a:gd name="T13" fmla="*/ 1 h 72"/>
                <a:gd name="T14" fmla="*/ 0 w 50"/>
                <a:gd name="T15" fmla="*/ 1 h 72"/>
                <a:gd name="T16" fmla="*/ 0 w 50"/>
                <a:gd name="T17" fmla="*/ 1 h 72"/>
                <a:gd name="T18" fmla="*/ 0 w 50"/>
                <a:gd name="T19" fmla="*/ 1 h 72"/>
                <a:gd name="T20" fmla="*/ 0 w 50"/>
                <a:gd name="T21" fmla="*/ 1 h 72"/>
                <a:gd name="T22" fmla="*/ 0 60000 65536"/>
                <a:gd name="T23" fmla="*/ 0 60000 65536"/>
                <a:gd name="T24" fmla="*/ 0 60000 65536"/>
                <a:gd name="T25" fmla="*/ 0 60000 65536"/>
                <a:gd name="T26" fmla="*/ 0 60000 65536"/>
                <a:gd name="T27" fmla="*/ 0 60000 65536"/>
                <a:gd name="T28" fmla="*/ 0 60000 65536"/>
                <a:gd name="T29" fmla="*/ 0 60000 65536"/>
                <a:gd name="T30" fmla="*/ 0 60000 65536"/>
                <a:gd name="T31" fmla="*/ 0 60000 65536"/>
                <a:gd name="T32" fmla="*/ 0 60000 65536"/>
                <a:gd name="T33" fmla="*/ 0 w 50"/>
                <a:gd name="T34" fmla="*/ 0 h 72"/>
                <a:gd name="T35" fmla="*/ 50 w 50"/>
                <a:gd name="T36" fmla="*/ 72 h 72"/>
              </a:gdLst>
              <a:ahLst/>
              <a:cxnLst>
                <a:cxn ang="T22">
                  <a:pos x="T0" y="T1"/>
                </a:cxn>
                <a:cxn ang="T23">
                  <a:pos x="T2" y="T3"/>
                </a:cxn>
                <a:cxn ang="T24">
                  <a:pos x="T4" y="T5"/>
                </a:cxn>
                <a:cxn ang="T25">
                  <a:pos x="T6" y="T7"/>
                </a:cxn>
                <a:cxn ang="T26">
                  <a:pos x="T8" y="T9"/>
                </a:cxn>
                <a:cxn ang="T27">
                  <a:pos x="T10" y="T11"/>
                </a:cxn>
                <a:cxn ang="T28">
                  <a:pos x="T12" y="T13"/>
                </a:cxn>
                <a:cxn ang="T29">
                  <a:pos x="T14" y="T15"/>
                </a:cxn>
                <a:cxn ang="T30">
                  <a:pos x="T16" y="T17"/>
                </a:cxn>
                <a:cxn ang="T31">
                  <a:pos x="T18" y="T19"/>
                </a:cxn>
                <a:cxn ang="T32">
                  <a:pos x="T20" y="T21"/>
                </a:cxn>
              </a:cxnLst>
              <a:rect l="T33" t="T34" r="T35" b="T36"/>
              <a:pathLst>
                <a:path w="50" h="72">
                  <a:moveTo>
                    <a:pt x="0" y="52"/>
                  </a:moveTo>
                  <a:lnTo>
                    <a:pt x="0" y="0"/>
                  </a:lnTo>
                  <a:lnTo>
                    <a:pt x="9" y="22"/>
                  </a:lnTo>
                  <a:lnTo>
                    <a:pt x="35" y="45"/>
                  </a:lnTo>
                  <a:lnTo>
                    <a:pt x="50" y="52"/>
                  </a:lnTo>
                  <a:lnTo>
                    <a:pt x="44" y="59"/>
                  </a:lnTo>
                  <a:lnTo>
                    <a:pt x="14" y="67"/>
                  </a:lnTo>
                  <a:lnTo>
                    <a:pt x="9" y="72"/>
                  </a:lnTo>
                  <a:lnTo>
                    <a:pt x="0" y="52"/>
                  </a:lnTo>
                  <a:close/>
                </a:path>
              </a:pathLst>
            </a:custGeom>
            <a:solidFill>
              <a:srgbClr val="91C35F"/>
            </a:solidFill>
            <a:ln w="9525">
              <a:solidFill>
                <a:srgbClr val="FFFFFF"/>
              </a:solidFill>
              <a:miter lim="800000"/>
              <a:headEnd/>
              <a:tailEnd/>
            </a:ln>
          </xdr:spPr>
          <xdr:txBody>
            <a:bodyPr vertOverflow="clip" wrap="square" lIns="36576" tIns="32004" rIns="0" bIns="0" anchor="t"/>
            <a:lstStyle/>
            <a:p>
              <a:pPr algn="l" rtl="0">
                <a:defRPr sz="1000"/>
              </a:pPr>
              <a:endParaRPr lang="en-US" sz="1600" b="0" i="0" u="none" strike="noStrike" baseline="0">
                <a:solidFill>
                  <a:srgbClr val="000000"/>
                </a:solidFill>
                <a:latin typeface="Arial"/>
                <a:cs typeface="Arial"/>
              </a:endParaRPr>
            </a:p>
            <a:p>
              <a:pPr algn="l" rtl="0">
                <a:defRPr sz="1000"/>
              </a:pPr>
              <a:endParaRPr lang="en-US"/>
            </a:p>
          </xdr:txBody>
        </xdr:sp>
        <xdr:sp macro="" textlink="">
          <xdr:nvSpPr>
            <xdr:cNvPr id="25911" name="Freeform 213"/>
            <xdr:cNvSpPr>
              <a:spLocks/>
            </xdr:cNvSpPr>
          </xdr:nvSpPr>
          <xdr:spPr bwMode="auto">
            <a:xfrm>
              <a:off x="566" y="297"/>
              <a:ext cx="25" cy="46"/>
            </a:xfrm>
            <a:custGeom>
              <a:avLst/>
              <a:gdLst>
                <a:gd name="T0" fmla="*/ 0 w 114"/>
                <a:gd name="T1" fmla="*/ 2 h 213"/>
                <a:gd name="T2" fmla="*/ 0 w 114"/>
                <a:gd name="T3" fmla="*/ 2 h 213"/>
                <a:gd name="T4" fmla="*/ 0 w 114"/>
                <a:gd name="T5" fmla="*/ 2 h 213"/>
                <a:gd name="T6" fmla="*/ 0 w 114"/>
                <a:gd name="T7" fmla="*/ 2 h 213"/>
                <a:gd name="T8" fmla="*/ 1 w 114"/>
                <a:gd name="T9" fmla="*/ 2 h 213"/>
                <a:gd name="T10" fmla="*/ 1 w 114"/>
                <a:gd name="T11" fmla="*/ 2 h 213"/>
                <a:gd name="T12" fmla="*/ 1 w 114"/>
                <a:gd name="T13" fmla="*/ 2 h 213"/>
                <a:gd name="T14" fmla="*/ 1 w 114"/>
                <a:gd name="T15" fmla="*/ 2 h 213"/>
                <a:gd name="T16" fmla="*/ 1 w 114"/>
                <a:gd name="T17" fmla="*/ 2 h 213"/>
                <a:gd name="T18" fmla="*/ 1 w 114"/>
                <a:gd name="T19" fmla="*/ 2 h 213"/>
                <a:gd name="T20" fmla="*/ 1 w 114"/>
                <a:gd name="T21" fmla="*/ 2 h 213"/>
                <a:gd name="T22" fmla="*/ 1 w 114"/>
                <a:gd name="T23" fmla="*/ 2 h 213"/>
                <a:gd name="T24" fmla="*/ 1 w 114"/>
                <a:gd name="T25" fmla="*/ 2 h 213"/>
                <a:gd name="T26" fmla="*/ 1 w 114"/>
                <a:gd name="T27" fmla="*/ 1 h 213"/>
                <a:gd name="T28" fmla="*/ 1 w 114"/>
                <a:gd name="T29" fmla="*/ 1 h 213"/>
                <a:gd name="T30" fmla="*/ 1 w 114"/>
                <a:gd name="T31" fmla="*/ 1 h 213"/>
                <a:gd name="T32" fmla="*/ 1 w 114"/>
                <a:gd name="T33" fmla="*/ 1 h 213"/>
                <a:gd name="T34" fmla="*/ 1 w 114"/>
                <a:gd name="T35" fmla="*/ 1 h 213"/>
                <a:gd name="T36" fmla="*/ 0 w 114"/>
                <a:gd name="T37" fmla="*/ 1 h 213"/>
                <a:gd name="T38" fmla="*/ 1 w 114"/>
                <a:gd name="T39" fmla="*/ 0 h 213"/>
                <a:gd name="T40" fmla="*/ 1 w 114"/>
                <a:gd name="T41" fmla="*/ 0 h 213"/>
                <a:gd name="T42" fmla="*/ 0 w 114"/>
                <a:gd name="T43" fmla="*/ 0 h 213"/>
                <a:gd name="T44" fmla="*/ 0 w 114"/>
                <a:gd name="T45" fmla="*/ 0 h 213"/>
                <a:gd name="T46" fmla="*/ 1 w 114"/>
                <a:gd name="T47" fmla="*/ 0 h 213"/>
                <a:gd name="T48" fmla="*/ 0 w 114"/>
                <a:gd name="T49" fmla="*/ 0 h 213"/>
                <a:gd name="T50" fmla="*/ 0 w 114"/>
                <a:gd name="T51" fmla="*/ 0 h 213"/>
                <a:gd name="T52" fmla="*/ 0 w 114"/>
                <a:gd name="T53" fmla="*/ 0 h 213"/>
                <a:gd name="T54" fmla="*/ 0 w 114"/>
                <a:gd name="T55" fmla="*/ 0 h 213"/>
                <a:gd name="T56" fmla="*/ 0 w 114"/>
                <a:gd name="T57" fmla="*/ 0 h 213"/>
                <a:gd name="T58" fmla="*/ 0 w 114"/>
                <a:gd name="T59" fmla="*/ 1 h 213"/>
                <a:gd name="T60" fmla="*/ 0 w 114"/>
                <a:gd name="T61" fmla="*/ 1 h 213"/>
                <a:gd name="T62" fmla="*/ 0 w 114"/>
                <a:gd name="T63" fmla="*/ 1 h 213"/>
                <a:gd name="T64" fmla="*/ 0 w 114"/>
                <a:gd name="T65" fmla="*/ 1 h 213"/>
                <a:gd name="T66" fmla="*/ 0 w 114"/>
                <a:gd name="T67" fmla="*/ 1 h 213"/>
                <a:gd name="T68" fmla="*/ 0 w 114"/>
                <a:gd name="T69" fmla="*/ 1 h 213"/>
                <a:gd name="T70" fmla="*/ 0 w 114"/>
                <a:gd name="T71" fmla="*/ 1 h 213"/>
                <a:gd name="T72" fmla="*/ 0 w 114"/>
                <a:gd name="T73" fmla="*/ 1 h 213"/>
                <a:gd name="T74" fmla="*/ 0 w 114"/>
                <a:gd name="T75" fmla="*/ 1 h 213"/>
                <a:gd name="T76" fmla="*/ 0 w 114"/>
                <a:gd name="T77" fmla="*/ 1 h 213"/>
                <a:gd name="T78" fmla="*/ 1 w 114"/>
                <a:gd name="T79" fmla="*/ 1 h 213"/>
                <a:gd name="T80" fmla="*/ 1 w 114"/>
                <a:gd name="T81" fmla="*/ 1 h 213"/>
                <a:gd name="T82" fmla="*/ 0 w 114"/>
                <a:gd name="T83" fmla="*/ 1 h 213"/>
                <a:gd name="T84" fmla="*/ 0 w 114"/>
                <a:gd name="T85" fmla="*/ 1 h 213"/>
                <a:gd name="T86" fmla="*/ 0 w 114"/>
                <a:gd name="T87" fmla="*/ 2 h 213"/>
                <a:gd name="T88" fmla="*/ 0 w 114"/>
                <a:gd name="T89" fmla="*/ 2 h 213"/>
                <a:gd name="T90" fmla="*/ 0 w 114"/>
                <a:gd name="T91" fmla="*/ 2 h 213"/>
                <a:gd name="T92" fmla="*/ 0 w 114"/>
                <a:gd name="T93" fmla="*/ 2 h 213"/>
                <a:gd name="T94" fmla="*/ 0 w 114"/>
                <a:gd name="T95" fmla="*/ 2 h 213"/>
                <a:gd name="T96" fmla="*/ 0 w 114"/>
                <a:gd name="T97" fmla="*/ 2 h 213"/>
                <a:gd name="T98" fmla="*/ 0 w 114"/>
                <a:gd name="T99" fmla="*/ 2 h 213"/>
                <a:gd name="T100" fmla="*/ 1 w 114"/>
                <a:gd name="T101" fmla="*/ 2 h 213"/>
                <a:gd name="T102" fmla="*/ 1 w 114"/>
                <a:gd name="T103" fmla="*/ 2 h 213"/>
                <a:gd name="T104" fmla="*/ 0 w 114"/>
                <a:gd name="T105" fmla="*/ 2 h 213"/>
                <a:gd name="T106" fmla="*/ 0 w 114"/>
                <a:gd name="T107" fmla="*/ 2 h 213"/>
                <a:gd name="T108" fmla="*/ 0 w 114"/>
                <a:gd name="T109" fmla="*/ 2 h 213"/>
                <a:gd name="T110" fmla="*/ 0 w 114"/>
                <a:gd name="T111" fmla="*/ 2 h 213"/>
                <a:gd name="T112" fmla="*/ 0 60000 65536"/>
                <a:gd name="T113" fmla="*/ 0 60000 65536"/>
                <a:gd name="T114" fmla="*/ 0 60000 65536"/>
                <a:gd name="T115" fmla="*/ 0 60000 65536"/>
                <a:gd name="T116" fmla="*/ 0 60000 65536"/>
                <a:gd name="T117" fmla="*/ 0 60000 65536"/>
                <a:gd name="T118" fmla="*/ 0 60000 65536"/>
                <a:gd name="T119" fmla="*/ 0 60000 65536"/>
                <a:gd name="T120" fmla="*/ 0 60000 65536"/>
                <a:gd name="T121" fmla="*/ 0 60000 65536"/>
                <a:gd name="T122" fmla="*/ 0 60000 65536"/>
                <a:gd name="T123" fmla="*/ 0 60000 65536"/>
                <a:gd name="T124" fmla="*/ 0 60000 65536"/>
                <a:gd name="T125" fmla="*/ 0 60000 65536"/>
                <a:gd name="T126" fmla="*/ 0 60000 65536"/>
                <a:gd name="T127" fmla="*/ 0 60000 65536"/>
                <a:gd name="T128" fmla="*/ 0 60000 65536"/>
                <a:gd name="T129" fmla="*/ 0 60000 65536"/>
                <a:gd name="T130" fmla="*/ 0 60000 65536"/>
                <a:gd name="T131" fmla="*/ 0 60000 65536"/>
                <a:gd name="T132" fmla="*/ 0 60000 65536"/>
                <a:gd name="T133" fmla="*/ 0 60000 65536"/>
                <a:gd name="T134" fmla="*/ 0 60000 65536"/>
                <a:gd name="T135" fmla="*/ 0 60000 65536"/>
                <a:gd name="T136" fmla="*/ 0 60000 65536"/>
                <a:gd name="T137" fmla="*/ 0 60000 65536"/>
                <a:gd name="T138" fmla="*/ 0 60000 65536"/>
                <a:gd name="T139" fmla="*/ 0 60000 65536"/>
                <a:gd name="T140" fmla="*/ 0 60000 65536"/>
                <a:gd name="T141" fmla="*/ 0 60000 65536"/>
                <a:gd name="T142" fmla="*/ 0 60000 65536"/>
                <a:gd name="T143" fmla="*/ 0 60000 65536"/>
                <a:gd name="T144" fmla="*/ 0 60000 65536"/>
                <a:gd name="T145" fmla="*/ 0 60000 65536"/>
                <a:gd name="T146" fmla="*/ 0 60000 65536"/>
                <a:gd name="T147" fmla="*/ 0 60000 65536"/>
                <a:gd name="T148" fmla="*/ 0 60000 65536"/>
                <a:gd name="T149" fmla="*/ 0 60000 65536"/>
                <a:gd name="T150" fmla="*/ 0 60000 65536"/>
                <a:gd name="T151" fmla="*/ 0 60000 65536"/>
                <a:gd name="T152" fmla="*/ 0 60000 65536"/>
                <a:gd name="T153" fmla="*/ 0 60000 65536"/>
                <a:gd name="T154" fmla="*/ 0 60000 65536"/>
                <a:gd name="T155" fmla="*/ 0 60000 65536"/>
                <a:gd name="T156" fmla="*/ 0 60000 65536"/>
                <a:gd name="T157" fmla="*/ 0 60000 65536"/>
                <a:gd name="T158" fmla="*/ 0 60000 65536"/>
                <a:gd name="T159" fmla="*/ 0 60000 65536"/>
                <a:gd name="T160" fmla="*/ 0 60000 65536"/>
                <a:gd name="T161" fmla="*/ 0 60000 65536"/>
                <a:gd name="T162" fmla="*/ 0 60000 65536"/>
                <a:gd name="T163" fmla="*/ 0 60000 65536"/>
                <a:gd name="T164" fmla="*/ 0 60000 65536"/>
                <a:gd name="T165" fmla="*/ 0 60000 65536"/>
                <a:gd name="T166" fmla="*/ 0 60000 65536"/>
                <a:gd name="T167" fmla="*/ 0 60000 65536"/>
                <a:gd name="T168" fmla="*/ 0 w 114"/>
                <a:gd name="T169" fmla="*/ 0 h 213"/>
                <a:gd name="T170" fmla="*/ 114 w 114"/>
                <a:gd name="T171" fmla="*/ 213 h 213"/>
              </a:gdLst>
              <a:ahLst/>
              <a:cxnLst>
                <a:cxn ang="T112">
                  <a:pos x="T0" y="T1"/>
                </a:cxn>
                <a:cxn ang="T113">
                  <a:pos x="T2" y="T3"/>
                </a:cxn>
                <a:cxn ang="T114">
                  <a:pos x="T4" y="T5"/>
                </a:cxn>
                <a:cxn ang="T115">
                  <a:pos x="T6" y="T7"/>
                </a:cxn>
                <a:cxn ang="T116">
                  <a:pos x="T8" y="T9"/>
                </a:cxn>
                <a:cxn ang="T117">
                  <a:pos x="T10" y="T11"/>
                </a:cxn>
                <a:cxn ang="T118">
                  <a:pos x="T12" y="T13"/>
                </a:cxn>
                <a:cxn ang="T119">
                  <a:pos x="T14" y="T15"/>
                </a:cxn>
                <a:cxn ang="T120">
                  <a:pos x="T16" y="T17"/>
                </a:cxn>
                <a:cxn ang="T121">
                  <a:pos x="T18" y="T19"/>
                </a:cxn>
                <a:cxn ang="T122">
                  <a:pos x="T20" y="T21"/>
                </a:cxn>
                <a:cxn ang="T123">
                  <a:pos x="T22" y="T23"/>
                </a:cxn>
                <a:cxn ang="T124">
                  <a:pos x="T24" y="T25"/>
                </a:cxn>
                <a:cxn ang="T125">
                  <a:pos x="T26" y="T27"/>
                </a:cxn>
                <a:cxn ang="T126">
                  <a:pos x="T28" y="T29"/>
                </a:cxn>
                <a:cxn ang="T127">
                  <a:pos x="T30" y="T31"/>
                </a:cxn>
                <a:cxn ang="T128">
                  <a:pos x="T32" y="T33"/>
                </a:cxn>
                <a:cxn ang="T129">
                  <a:pos x="T34" y="T35"/>
                </a:cxn>
                <a:cxn ang="T130">
                  <a:pos x="T36" y="T37"/>
                </a:cxn>
                <a:cxn ang="T131">
                  <a:pos x="T38" y="T39"/>
                </a:cxn>
                <a:cxn ang="T132">
                  <a:pos x="T40" y="T41"/>
                </a:cxn>
                <a:cxn ang="T133">
                  <a:pos x="T42" y="T43"/>
                </a:cxn>
                <a:cxn ang="T134">
                  <a:pos x="T44" y="T45"/>
                </a:cxn>
                <a:cxn ang="T135">
                  <a:pos x="T46" y="T47"/>
                </a:cxn>
                <a:cxn ang="T136">
                  <a:pos x="T48" y="T49"/>
                </a:cxn>
                <a:cxn ang="T137">
                  <a:pos x="T50" y="T51"/>
                </a:cxn>
                <a:cxn ang="T138">
                  <a:pos x="T52" y="T53"/>
                </a:cxn>
                <a:cxn ang="T139">
                  <a:pos x="T54" y="T55"/>
                </a:cxn>
                <a:cxn ang="T140">
                  <a:pos x="T56" y="T57"/>
                </a:cxn>
                <a:cxn ang="T141">
                  <a:pos x="T58" y="T59"/>
                </a:cxn>
                <a:cxn ang="T142">
                  <a:pos x="T60" y="T61"/>
                </a:cxn>
                <a:cxn ang="T143">
                  <a:pos x="T62" y="T63"/>
                </a:cxn>
                <a:cxn ang="T144">
                  <a:pos x="T64" y="T65"/>
                </a:cxn>
                <a:cxn ang="T145">
                  <a:pos x="T66" y="T67"/>
                </a:cxn>
                <a:cxn ang="T146">
                  <a:pos x="T68" y="T69"/>
                </a:cxn>
                <a:cxn ang="T147">
                  <a:pos x="T70" y="T71"/>
                </a:cxn>
                <a:cxn ang="T148">
                  <a:pos x="T72" y="T73"/>
                </a:cxn>
                <a:cxn ang="T149">
                  <a:pos x="T74" y="T75"/>
                </a:cxn>
                <a:cxn ang="T150">
                  <a:pos x="T76" y="T77"/>
                </a:cxn>
                <a:cxn ang="T151">
                  <a:pos x="T78" y="T79"/>
                </a:cxn>
                <a:cxn ang="T152">
                  <a:pos x="T80" y="T81"/>
                </a:cxn>
                <a:cxn ang="T153">
                  <a:pos x="T82" y="T83"/>
                </a:cxn>
                <a:cxn ang="T154">
                  <a:pos x="T84" y="T85"/>
                </a:cxn>
                <a:cxn ang="T155">
                  <a:pos x="T86" y="T87"/>
                </a:cxn>
                <a:cxn ang="T156">
                  <a:pos x="T88" y="T89"/>
                </a:cxn>
                <a:cxn ang="T157">
                  <a:pos x="T90" y="T91"/>
                </a:cxn>
                <a:cxn ang="T158">
                  <a:pos x="T92" y="T93"/>
                </a:cxn>
                <a:cxn ang="T159">
                  <a:pos x="T94" y="T95"/>
                </a:cxn>
                <a:cxn ang="T160">
                  <a:pos x="T96" y="T97"/>
                </a:cxn>
                <a:cxn ang="T161">
                  <a:pos x="T98" y="T99"/>
                </a:cxn>
                <a:cxn ang="T162">
                  <a:pos x="T100" y="T101"/>
                </a:cxn>
                <a:cxn ang="T163">
                  <a:pos x="T102" y="T103"/>
                </a:cxn>
                <a:cxn ang="T164">
                  <a:pos x="T104" y="T105"/>
                </a:cxn>
                <a:cxn ang="T165">
                  <a:pos x="T106" y="T107"/>
                </a:cxn>
                <a:cxn ang="T166">
                  <a:pos x="T108" y="T109"/>
                </a:cxn>
                <a:cxn ang="T167">
                  <a:pos x="T110" y="T111"/>
                </a:cxn>
              </a:cxnLst>
              <a:rect l="T168" t="T169" r="T170" b="T171"/>
              <a:pathLst>
                <a:path w="114" h="213">
                  <a:moveTo>
                    <a:pt x="24" y="213"/>
                  </a:moveTo>
                  <a:lnTo>
                    <a:pt x="29" y="198"/>
                  </a:lnTo>
                  <a:lnTo>
                    <a:pt x="44" y="213"/>
                  </a:lnTo>
                  <a:lnTo>
                    <a:pt x="44" y="198"/>
                  </a:lnTo>
                  <a:lnTo>
                    <a:pt x="61" y="191"/>
                  </a:lnTo>
                  <a:lnTo>
                    <a:pt x="67" y="198"/>
                  </a:lnTo>
                  <a:lnTo>
                    <a:pt x="74" y="191"/>
                  </a:lnTo>
                  <a:lnTo>
                    <a:pt x="107" y="191"/>
                  </a:lnTo>
                  <a:lnTo>
                    <a:pt x="114" y="183"/>
                  </a:lnTo>
                  <a:lnTo>
                    <a:pt x="102" y="183"/>
                  </a:lnTo>
                  <a:lnTo>
                    <a:pt x="114" y="154"/>
                  </a:lnTo>
                  <a:lnTo>
                    <a:pt x="107" y="149"/>
                  </a:lnTo>
                  <a:lnTo>
                    <a:pt x="87" y="149"/>
                  </a:lnTo>
                  <a:lnTo>
                    <a:pt x="102" y="141"/>
                  </a:lnTo>
                  <a:lnTo>
                    <a:pt x="102" y="133"/>
                  </a:lnTo>
                  <a:lnTo>
                    <a:pt x="87" y="109"/>
                  </a:lnTo>
                  <a:lnTo>
                    <a:pt x="81" y="102"/>
                  </a:lnTo>
                  <a:lnTo>
                    <a:pt x="67" y="74"/>
                  </a:lnTo>
                  <a:lnTo>
                    <a:pt x="44" y="65"/>
                  </a:lnTo>
                  <a:lnTo>
                    <a:pt x="74" y="30"/>
                  </a:lnTo>
                  <a:lnTo>
                    <a:pt x="67" y="22"/>
                  </a:lnTo>
                  <a:lnTo>
                    <a:pt x="37" y="30"/>
                  </a:lnTo>
                  <a:lnTo>
                    <a:pt x="37" y="13"/>
                  </a:lnTo>
                  <a:lnTo>
                    <a:pt x="61" y="0"/>
                  </a:lnTo>
                  <a:lnTo>
                    <a:pt x="29" y="0"/>
                  </a:lnTo>
                  <a:lnTo>
                    <a:pt x="17" y="30"/>
                  </a:lnTo>
                  <a:lnTo>
                    <a:pt x="0" y="30"/>
                  </a:lnTo>
                  <a:lnTo>
                    <a:pt x="17" y="35"/>
                  </a:lnTo>
                  <a:lnTo>
                    <a:pt x="24" y="35"/>
                  </a:lnTo>
                  <a:lnTo>
                    <a:pt x="17" y="59"/>
                  </a:lnTo>
                  <a:lnTo>
                    <a:pt x="24" y="59"/>
                  </a:lnTo>
                  <a:lnTo>
                    <a:pt x="24" y="65"/>
                  </a:lnTo>
                  <a:lnTo>
                    <a:pt x="17" y="74"/>
                  </a:lnTo>
                  <a:lnTo>
                    <a:pt x="24" y="74"/>
                  </a:lnTo>
                  <a:lnTo>
                    <a:pt x="29" y="82"/>
                  </a:lnTo>
                  <a:lnTo>
                    <a:pt x="24" y="96"/>
                  </a:lnTo>
                  <a:lnTo>
                    <a:pt x="29" y="102"/>
                  </a:lnTo>
                  <a:lnTo>
                    <a:pt x="44" y="96"/>
                  </a:lnTo>
                  <a:lnTo>
                    <a:pt x="44" y="109"/>
                  </a:lnTo>
                  <a:lnTo>
                    <a:pt x="61" y="109"/>
                  </a:lnTo>
                  <a:lnTo>
                    <a:pt x="61" y="133"/>
                  </a:lnTo>
                  <a:lnTo>
                    <a:pt x="29" y="133"/>
                  </a:lnTo>
                  <a:lnTo>
                    <a:pt x="37" y="141"/>
                  </a:lnTo>
                  <a:lnTo>
                    <a:pt x="29" y="149"/>
                  </a:lnTo>
                  <a:lnTo>
                    <a:pt x="37" y="149"/>
                  </a:lnTo>
                  <a:lnTo>
                    <a:pt x="37" y="154"/>
                  </a:lnTo>
                  <a:lnTo>
                    <a:pt x="24" y="161"/>
                  </a:lnTo>
                  <a:lnTo>
                    <a:pt x="29" y="175"/>
                  </a:lnTo>
                  <a:lnTo>
                    <a:pt x="37" y="175"/>
                  </a:lnTo>
                  <a:lnTo>
                    <a:pt x="44" y="183"/>
                  </a:lnTo>
                  <a:lnTo>
                    <a:pt x="61" y="175"/>
                  </a:lnTo>
                  <a:lnTo>
                    <a:pt x="61" y="183"/>
                  </a:lnTo>
                  <a:lnTo>
                    <a:pt x="37" y="183"/>
                  </a:lnTo>
                  <a:lnTo>
                    <a:pt x="24" y="213"/>
                  </a:lnTo>
                  <a:close/>
                </a:path>
              </a:pathLst>
            </a:custGeom>
            <a:solidFill>
              <a:srgbClr val="91C35F"/>
            </a:solidFill>
            <a:ln w="9525">
              <a:solidFill>
                <a:srgbClr val="FFFFFF"/>
              </a:solidFill>
              <a:miter lim="800000"/>
              <a:headEnd/>
              <a:tailEnd/>
            </a:ln>
          </xdr:spPr>
          <xdr:txBody>
            <a:bodyPr vertOverflow="clip" wrap="square" lIns="36576" tIns="32004" rIns="0" bIns="0" anchor="t"/>
            <a:lstStyle/>
            <a:p>
              <a:pPr algn="l" rtl="0">
                <a:defRPr sz="1000"/>
              </a:pPr>
              <a:endParaRPr lang="en-US" sz="1600" b="0" i="0" u="none" strike="noStrike" baseline="0">
                <a:solidFill>
                  <a:srgbClr val="000000"/>
                </a:solidFill>
                <a:latin typeface="Arial"/>
                <a:cs typeface="Arial"/>
              </a:endParaRPr>
            </a:p>
            <a:p>
              <a:pPr algn="l" rtl="0">
                <a:defRPr sz="1000"/>
              </a:pPr>
              <a:endParaRPr lang="en-US"/>
            </a:p>
          </xdr:txBody>
        </xdr:sp>
      </xdr:grpSp>
    </xdr:grpSp>
    <xdr:clientData/>
  </xdr:twoCellAnchor>
  <xdr:twoCellAnchor>
    <xdr:from>
      <xdr:col>9</xdr:col>
      <xdr:colOff>228600</xdr:colOff>
      <xdr:row>20</xdr:row>
      <xdr:rowOff>9525</xdr:rowOff>
    </xdr:from>
    <xdr:to>
      <xdr:col>9</xdr:col>
      <xdr:colOff>647700</xdr:colOff>
      <xdr:row>22</xdr:row>
      <xdr:rowOff>123825</xdr:rowOff>
    </xdr:to>
    <xdr:grpSp>
      <xdr:nvGrpSpPr>
        <xdr:cNvPr id="25881" name="S_FRA"/>
        <xdr:cNvGrpSpPr>
          <a:grpSpLocks/>
        </xdr:cNvGrpSpPr>
      </xdr:nvGrpSpPr>
      <xdr:grpSpPr bwMode="auto">
        <a:xfrm>
          <a:off x="6122894" y="3472143"/>
          <a:ext cx="419100" cy="428064"/>
          <a:chOff x="573" y="337"/>
          <a:chExt cx="44" cy="46"/>
        </a:xfrm>
      </xdr:grpSpPr>
      <xdr:sp macro="" textlink="">
        <xdr:nvSpPr>
          <xdr:cNvPr id="25906" name="Freeform 205"/>
          <xdr:cNvSpPr>
            <a:spLocks/>
          </xdr:cNvSpPr>
        </xdr:nvSpPr>
        <xdr:spPr bwMode="auto">
          <a:xfrm>
            <a:off x="573" y="337"/>
            <a:ext cx="37" cy="40"/>
          </a:xfrm>
          <a:custGeom>
            <a:avLst/>
            <a:gdLst>
              <a:gd name="T0" fmla="*/ 1 w 172"/>
              <a:gd name="T1" fmla="*/ 0 h 185"/>
              <a:gd name="T2" fmla="*/ 1 w 172"/>
              <a:gd name="T3" fmla="*/ 0 h 185"/>
              <a:gd name="T4" fmla="*/ 1 w 172"/>
              <a:gd name="T5" fmla="*/ 0 h 185"/>
              <a:gd name="T6" fmla="*/ 1 w 172"/>
              <a:gd name="T7" fmla="*/ 0 h 185"/>
              <a:gd name="T8" fmla="*/ 0 w 172"/>
              <a:gd name="T9" fmla="*/ 0 h 185"/>
              <a:gd name="T10" fmla="*/ 0 w 172"/>
              <a:gd name="T11" fmla="*/ 0 h 185"/>
              <a:gd name="T12" fmla="*/ 0 w 172"/>
              <a:gd name="T13" fmla="*/ 0 h 185"/>
              <a:gd name="T14" fmla="*/ 0 w 172"/>
              <a:gd name="T15" fmla="*/ 1 h 185"/>
              <a:gd name="T16" fmla="*/ 0 w 172"/>
              <a:gd name="T17" fmla="*/ 1 h 185"/>
              <a:gd name="T18" fmla="*/ 0 w 172"/>
              <a:gd name="T19" fmla="*/ 1 h 185"/>
              <a:gd name="T20" fmla="*/ 0 w 172"/>
              <a:gd name="T21" fmla="*/ 1 h 185"/>
              <a:gd name="T22" fmla="*/ 0 w 172"/>
              <a:gd name="T23" fmla="*/ 1 h 185"/>
              <a:gd name="T24" fmla="*/ 0 w 172"/>
              <a:gd name="T25" fmla="*/ 1 h 185"/>
              <a:gd name="T26" fmla="*/ 0 w 172"/>
              <a:gd name="T27" fmla="*/ 1 h 185"/>
              <a:gd name="T28" fmla="*/ 0 w 172"/>
              <a:gd name="T29" fmla="*/ 2 h 185"/>
              <a:gd name="T30" fmla="*/ 1 w 172"/>
              <a:gd name="T31" fmla="*/ 2 h 185"/>
              <a:gd name="T32" fmla="*/ 1 w 172"/>
              <a:gd name="T33" fmla="*/ 2 h 185"/>
              <a:gd name="T34" fmla="*/ 1 w 172"/>
              <a:gd name="T35" fmla="*/ 2 h 185"/>
              <a:gd name="T36" fmla="*/ 1 w 172"/>
              <a:gd name="T37" fmla="*/ 2 h 185"/>
              <a:gd name="T38" fmla="*/ 2 w 172"/>
              <a:gd name="T39" fmla="*/ 2 h 185"/>
              <a:gd name="T40" fmla="*/ 2 w 172"/>
              <a:gd name="T41" fmla="*/ 2 h 185"/>
              <a:gd name="T42" fmla="*/ 2 w 172"/>
              <a:gd name="T43" fmla="*/ 2 h 185"/>
              <a:gd name="T44" fmla="*/ 2 w 172"/>
              <a:gd name="T45" fmla="*/ 1 h 185"/>
              <a:gd name="T46" fmla="*/ 2 w 172"/>
              <a:gd name="T47" fmla="*/ 1 h 185"/>
              <a:gd name="T48" fmla="*/ 2 w 172"/>
              <a:gd name="T49" fmla="*/ 1 h 185"/>
              <a:gd name="T50" fmla="*/ 2 w 172"/>
              <a:gd name="T51" fmla="*/ 1 h 185"/>
              <a:gd name="T52" fmla="*/ 2 w 172"/>
              <a:gd name="T53" fmla="*/ 1 h 185"/>
              <a:gd name="T54" fmla="*/ 2 w 172"/>
              <a:gd name="T55" fmla="*/ 1 h 185"/>
              <a:gd name="T56" fmla="*/ 2 w 172"/>
              <a:gd name="T57" fmla="*/ 1 h 185"/>
              <a:gd name="T58" fmla="*/ 2 w 172"/>
              <a:gd name="T59" fmla="*/ 0 h 185"/>
              <a:gd name="T60" fmla="*/ 1 w 172"/>
              <a:gd name="T61" fmla="*/ 0 h 185"/>
              <a:gd name="T62" fmla="*/ 1 w 172"/>
              <a:gd name="T63" fmla="*/ 0 h 185"/>
              <a:gd name="T64" fmla="*/ 1 w 172"/>
              <a:gd name="T65" fmla="*/ 0 h 185"/>
              <a:gd name="T66" fmla="*/ 1 w 172"/>
              <a:gd name="T67" fmla="*/ 0 h 185"/>
              <a:gd name="T68" fmla="*/ 1 w 172"/>
              <a:gd name="T69" fmla="*/ 0 h 185"/>
              <a:gd name="T70" fmla="*/ 1 w 172"/>
              <a:gd name="T71" fmla="*/ 0 h 185"/>
              <a:gd name="T72" fmla="*/ 1 w 172"/>
              <a:gd name="T73" fmla="*/ 0 h 185"/>
              <a:gd name="T74" fmla="*/ 1 w 172"/>
              <a:gd name="T75" fmla="*/ 0 h 185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60000 65536"/>
              <a:gd name="T106" fmla="*/ 0 60000 65536"/>
              <a:gd name="T107" fmla="*/ 0 60000 65536"/>
              <a:gd name="T108" fmla="*/ 0 60000 65536"/>
              <a:gd name="T109" fmla="*/ 0 60000 65536"/>
              <a:gd name="T110" fmla="*/ 0 60000 65536"/>
              <a:gd name="T111" fmla="*/ 0 60000 65536"/>
              <a:gd name="T112" fmla="*/ 0 60000 65536"/>
              <a:gd name="T113" fmla="*/ 0 60000 65536"/>
              <a:gd name="T114" fmla="*/ 0 w 172"/>
              <a:gd name="T115" fmla="*/ 0 h 185"/>
              <a:gd name="T116" fmla="*/ 172 w 172"/>
              <a:gd name="T117" fmla="*/ 185 h 185"/>
            </a:gdLst>
            <a:ahLst/>
            <a:cxnLst>
              <a:cxn ang="T76">
                <a:pos x="T0" y="T1"/>
              </a:cxn>
              <a:cxn ang="T77">
                <a:pos x="T2" y="T3"/>
              </a:cxn>
              <a:cxn ang="T78">
                <a:pos x="T4" y="T5"/>
              </a:cxn>
              <a:cxn ang="T79">
                <a:pos x="T6" y="T7"/>
              </a:cxn>
              <a:cxn ang="T80">
                <a:pos x="T8" y="T9"/>
              </a:cxn>
              <a:cxn ang="T81">
                <a:pos x="T10" y="T11"/>
              </a:cxn>
              <a:cxn ang="T82">
                <a:pos x="T12" y="T13"/>
              </a:cxn>
              <a:cxn ang="T83">
                <a:pos x="T14" y="T15"/>
              </a:cxn>
              <a:cxn ang="T84">
                <a:pos x="T16" y="T17"/>
              </a:cxn>
              <a:cxn ang="T85">
                <a:pos x="T18" y="T19"/>
              </a:cxn>
              <a:cxn ang="T86">
                <a:pos x="T20" y="T21"/>
              </a:cxn>
              <a:cxn ang="T87">
                <a:pos x="T22" y="T23"/>
              </a:cxn>
              <a:cxn ang="T88">
                <a:pos x="T24" y="T25"/>
              </a:cxn>
              <a:cxn ang="T89">
                <a:pos x="T26" y="T27"/>
              </a:cxn>
              <a:cxn ang="T90">
                <a:pos x="T28" y="T29"/>
              </a:cxn>
              <a:cxn ang="T91">
                <a:pos x="T30" y="T31"/>
              </a:cxn>
              <a:cxn ang="T92">
                <a:pos x="T32" y="T33"/>
              </a:cxn>
              <a:cxn ang="T93">
                <a:pos x="T34" y="T35"/>
              </a:cxn>
              <a:cxn ang="T94">
                <a:pos x="T36" y="T37"/>
              </a:cxn>
              <a:cxn ang="T95">
                <a:pos x="T38" y="T39"/>
              </a:cxn>
              <a:cxn ang="T96">
                <a:pos x="T40" y="T41"/>
              </a:cxn>
              <a:cxn ang="T97">
                <a:pos x="T42" y="T43"/>
              </a:cxn>
              <a:cxn ang="T98">
                <a:pos x="T44" y="T45"/>
              </a:cxn>
              <a:cxn ang="T99">
                <a:pos x="T46" y="T47"/>
              </a:cxn>
              <a:cxn ang="T100">
                <a:pos x="T48" y="T49"/>
              </a:cxn>
              <a:cxn ang="T101">
                <a:pos x="T50" y="T51"/>
              </a:cxn>
              <a:cxn ang="T102">
                <a:pos x="T52" y="T53"/>
              </a:cxn>
              <a:cxn ang="T103">
                <a:pos x="T54" y="T55"/>
              </a:cxn>
              <a:cxn ang="T104">
                <a:pos x="T56" y="T57"/>
              </a:cxn>
              <a:cxn ang="T105">
                <a:pos x="T58" y="T59"/>
              </a:cxn>
              <a:cxn ang="T106">
                <a:pos x="T60" y="T61"/>
              </a:cxn>
              <a:cxn ang="T107">
                <a:pos x="T62" y="T63"/>
              </a:cxn>
              <a:cxn ang="T108">
                <a:pos x="T64" y="T65"/>
              </a:cxn>
              <a:cxn ang="T109">
                <a:pos x="T66" y="T67"/>
              </a:cxn>
              <a:cxn ang="T110">
                <a:pos x="T68" y="T69"/>
              </a:cxn>
              <a:cxn ang="T111">
                <a:pos x="T70" y="T71"/>
              </a:cxn>
              <a:cxn ang="T112">
                <a:pos x="T72" y="T73"/>
              </a:cxn>
              <a:cxn ang="T113">
                <a:pos x="T74" y="T75"/>
              </a:cxn>
            </a:cxnLst>
            <a:rect l="T114" t="T115" r="T116" b="T117"/>
            <a:pathLst>
              <a:path w="172" h="185">
                <a:moveTo>
                  <a:pt x="102" y="0"/>
                </a:moveTo>
                <a:lnTo>
                  <a:pt x="87" y="8"/>
                </a:lnTo>
                <a:lnTo>
                  <a:pt x="87" y="32"/>
                </a:lnTo>
                <a:lnTo>
                  <a:pt x="58" y="47"/>
                </a:lnTo>
                <a:lnTo>
                  <a:pt x="52" y="47"/>
                </a:lnTo>
                <a:lnTo>
                  <a:pt x="45" y="39"/>
                </a:lnTo>
                <a:lnTo>
                  <a:pt x="37" y="39"/>
                </a:lnTo>
                <a:lnTo>
                  <a:pt x="45" y="54"/>
                </a:lnTo>
                <a:lnTo>
                  <a:pt x="30" y="62"/>
                </a:lnTo>
                <a:lnTo>
                  <a:pt x="30" y="54"/>
                </a:lnTo>
                <a:lnTo>
                  <a:pt x="0" y="62"/>
                </a:lnTo>
                <a:lnTo>
                  <a:pt x="0" y="76"/>
                </a:lnTo>
                <a:lnTo>
                  <a:pt x="37" y="84"/>
                </a:lnTo>
                <a:lnTo>
                  <a:pt x="52" y="106"/>
                </a:lnTo>
                <a:lnTo>
                  <a:pt x="45" y="168"/>
                </a:lnTo>
                <a:lnTo>
                  <a:pt x="58" y="178"/>
                </a:lnTo>
                <a:lnTo>
                  <a:pt x="102" y="185"/>
                </a:lnTo>
                <a:lnTo>
                  <a:pt x="102" y="178"/>
                </a:lnTo>
                <a:lnTo>
                  <a:pt x="124" y="168"/>
                </a:lnTo>
                <a:lnTo>
                  <a:pt x="150" y="178"/>
                </a:lnTo>
                <a:lnTo>
                  <a:pt x="161" y="178"/>
                </a:lnTo>
                <a:lnTo>
                  <a:pt x="166" y="160"/>
                </a:lnTo>
                <a:lnTo>
                  <a:pt x="161" y="138"/>
                </a:lnTo>
                <a:lnTo>
                  <a:pt x="161" y="101"/>
                </a:lnTo>
                <a:lnTo>
                  <a:pt x="150" y="106"/>
                </a:lnTo>
                <a:lnTo>
                  <a:pt x="150" y="101"/>
                </a:lnTo>
                <a:lnTo>
                  <a:pt x="161" y="84"/>
                </a:lnTo>
                <a:lnTo>
                  <a:pt x="166" y="84"/>
                </a:lnTo>
                <a:lnTo>
                  <a:pt x="172" y="54"/>
                </a:lnTo>
                <a:lnTo>
                  <a:pt x="150" y="39"/>
                </a:lnTo>
                <a:lnTo>
                  <a:pt x="130" y="39"/>
                </a:lnTo>
                <a:lnTo>
                  <a:pt x="130" y="32"/>
                </a:lnTo>
                <a:lnTo>
                  <a:pt x="124" y="32"/>
                </a:lnTo>
                <a:lnTo>
                  <a:pt x="124" y="15"/>
                </a:lnTo>
                <a:lnTo>
                  <a:pt x="102" y="8"/>
                </a:lnTo>
                <a:lnTo>
                  <a:pt x="102" y="0"/>
                </a:lnTo>
                <a:close/>
              </a:path>
            </a:pathLst>
          </a:custGeom>
          <a:solidFill>
            <a:srgbClr val="AFE17D"/>
          </a:solidFill>
          <a:ln w="9525">
            <a:solidFill>
              <a:srgbClr val="FFFFFF"/>
            </a:solidFill>
            <a:miter lim="800000"/>
            <a:headEnd/>
            <a:tailEnd/>
          </a:ln>
        </xdr:spPr>
        <xdr:txBody>
          <a:bodyPr vertOverflow="clip" wrap="square" lIns="36576" tIns="32004" rIns="0" bIns="0" anchor="t"/>
          <a:lstStyle/>
          <a:p>
            <a:pPr algn="l" rtl="0">
              <a:defRPr sz="1000"/>
            </a:pPr>
            <a:endParaRPr lang="en-US" sz="1600" b="0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 algn="l" rtl="0">
              <a:defRPr sz="1000"/>
            </a:pPr>
            <a:endParaRPr lang="en-US"/>
          </a:p>
        </xdr:txBody>
      </xdr:sp>
      <xdr:sp macro="" textlink="">
        <xdr:nvSpPr>
          <xdr:cNvPr id="25907" name="Freeform 214"/>
          <xdr:cNvSpPr>
            <a:spLocks/>
          </xdr:cNvSpPr>
        </xdr:nvSpPr>
        <xdr:spPr bwMode="auto">
          <a:xfrm>
            <a:off x="612" y="375"/>
            <a:ext cx="5" cy="8"/>
          </a:xfrm>
          <a:custGeom>
            <a:avLst/>
            <a:gdLst>
              <a:gd name="T0" fmla="*/ 0 w 23"/>
              <a:gd name="T1" fmla="*/ 0 h 38"/>
              <a:gd name="T2" fmla="*/ 0 w 23"/>
              <a:gd name="T3" fmla="*/ 0 h 38"/>
              <a:gd name="T4" fmla="*/ 0 w 23"/>
              <a:gd name="T5" fmla="*/ 0 h 38"/>
              <a:gd name="T6" fmla="*/ 0 w 23"/>
              <a:gd name="T7" fmla="*/ 0 h 38"/>
              <a:gd name="T8" fmla="*/ 0 w 23"/>
              <a:gd name="T9" fmla="*/ 0 h 38"/>
              <a:gd name="T10" fmla="*/ 0 w 23"/>
              <a:gd name="T11" fmla="*/ 0 h 38"/>
              <a:gd name="T12" fmla="*/ 0 w 23"/>
              <a:gd name="T13" fmla="*/ 0 h 38"/>
              <a:gd name="T14" fmla="*/ 0 60000 65536"/>
              <a:gd name="T15" fmla="*/ 0 60000 65536"/>
              <a:gd name="T16" fmla="*/ 0 60000 65536"/>
              <a:gd name="T17" fmla="*/ 0 60000 65536"/>
              <a:gd name="T18" fmla="*/ 0 60000 65536"/>
              <a:gd name="T19" fmla="*/ 0 60000 65536"/>
              <a:gd name="T20" fmla="*/ 0 60000 65536"/>
              <a:gd name="T21" fmla="*/ 0 w 23"/>
              <a:gd name="T22" fmla="*/ 0 h 38"/>
              <a:gd name="T23" fmla="*/ 23 w 23"/>
              <a:gd name="T24" fmla="*/ 38 h 38"/>
            </a:gdLst>
            <a:ahLst/>
            <a:cxnLst>
              <a:cxn ang="T14">
                <a:pos x="T0" y="T1"/>
              </a:cxn>
              <a:cxn ang="T15">
                <a:pos x="T2" y="T3"/>
              </a:cxn>
              <a:cxn ang="T16">
                <a:pos x="T4" y="T5"/>
              </a:cxn>
              <a:cxn ang="T17">
                <a:pos x="T6" y="T7"/>
              </a:cxn>
              <a:cxn ang="T18">
                <a:pos x="T8" y="T9"/>
              </a:cxn>
              <a:cxn ang="T19">
                <a:pos x="T10" y="T11"/>
              </a:cxn>
              <a:cxn ang="T20">
                <a:pos x="T12" y="T13"/>
              </a:cxn>
            </a:cxnLst>
            <a:rect l="T21" t="T22" r="T23" b="T24"/>
            <a:pathLst>
              <a:path w="23" h="38">
                <a:moveTo>
                  <a:pt x="0" y="7"/>
                </a:moveTo>
                <a:lnTo>
                  <a:pt x="0" y="30"/>
                </a:lnTo>
                <a:lnTo>
                  <a:pt x="23" y="38"/>
                </a:lnTo>
                <a:lnTo>
                  <a:pt x="23" y="0"/>
                </a:lnTo>
                <a:lnTo>
                  <a:pt x="0" y="7"/>
                </a:lnTo>
                <a:close/>
              </a:path>
            </a:pathLst>
          </a:custGeom>
          <a:solidFill>
            <a:srgbClr val="AFE17D"/>
          </a:solidFill>
          <a:ln w="9525">
            <a:solidFill>
              <a:srgbClr val="FFFFFF"/>
            </a:solidFill>
            <a:miter lim="800000"/>
            <a:headEnd/>
            <a:tailEnd/>
          </a:ln>
        </xdr:spPr>
        <xdr:txBody>
          <a:bodyPr vertOverflow="clip" wrap="square" lIns="36576" tIns="32004" rIns="0" bIns="0" anchor="t"/>
          <a:lstStyle/>
          <a:p>
            <a:pPr algn="l" rtl="0">
              <a:defRPr sz="1000"/>
            </a:pPr>
            <a:endParaRPr lang="en-US" sz="1600" b="0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 algn="l" rtl="0">
              <a:defRPr sz="1000"/>
            </a:pPr>
            <a:endParaRPr lang="en-US"/>
          </a:p>
        </xdr:txBody>
      </xdr:sp>
    </xdr:grpSp>
    <xdr:clientData/>
  </xdr:twoCellAnchor>
  <xdr:twoCellAnchor>
    <xdr:from>
      <xdr:col>9</xdr:col>
      <xdr:colOff>552450</xdr:colOff>
      <xdr:row>21</xdr:row>
      <xdr:rowOff>38100</xdr:rowOff>
    </xdr:from>
    <xdr:to>
      <xdr:col>10</xdr:col>
      <xdr:colOff>171450</xdr:colOff>
      <xdr:row>23</xdr:row>
      <xdr:rowOff>152400</xdr:rowOff>
    </xdr:to>
    <xdr:grpSp>
      <xdr:nvGrpSpPr>
        <xdr:cNvPr id="25882" name="S_ITA"/>
        <xdr:cNvGrpSpPr>
          <a:grpSpLocks/>
        </xdr:cNvGrpSpPr>
      </xdr:nvGrpSpPr>
      <xdr:grpSpPr bwMode="auto">
        <a:xfrm>
          <a:off x="6446744" y="3657600"/>
          <a:ext cx="336177" cy="428065"/>
          <a:chOff x="607" y="357"/>
          <a:chExt cx="35" cy="46"/>
        </a:xfrm>
      </xdr:grpSpPr>
      <xdr:sp macro="" textlink="">
        <xdr:nvSpPr>
          <xdr:cNvPr id="25903" name="Freeform 208"/>
          <xdr:cNvSpPr>
            <a:spLocks/>
          </xdr:cNvSpPr>
        </xdr:nvSpPr>
        <xdr:spPr bwMode="auto">
          <a:xfrm>
            <a:off x="607" y="357"/>
            <a:ext cx="35" cy="41"/>
          </a:xfrm>
          <a:custGeom>
            <a:avLst/>
            <a:gdLst>
              <a:gd name="T0" fmla="*/ 0 w 156"/>
              <a:gd name="T1" fmla="*/ 1 h 188"/>
              <a:gd name="T2" fmla="*/ 0 w 156"/>
              <a:gd name="T3" fmla="*/ 1 h 188"/>
              <a:gd name="T4" fmla="*/ 0 w 156"/>
              <a:gd name="T5" fmla="*/ 1 h 188"/>
              <a:gd name="T6" fmla="*/ 1 w 156"/>
              <a:gd name="T7" fmla="*/ 1 h 188"/>
              <a:gd name="T8" fmla="*/ 1 w 156"/>
              <a:gd name="T9" fmla="*/ 1 h 188"/>
              <a:gd name="T10" fmla="*/ 1 w 156"/>
              <a:gd name="T11" fmla="*/ 1 h 188"/>
              <a:gd name="T12" fmla="*/ 1 w 156"/>
              <a:gd name="T13" fmla="*/ 1 h 188"/>
              <a:gd name="T14" fmla="*/ 1 w 156"/>
              <a:gd name="T15" fmla="*/ 2 h 188"/>
              <a:gd name="T16" fmla="*/ 1 w 156"/>
              <a:gd name="T17" fmla="*/ 2 h 188"/>
              <a:gd name="T18" fmla="*/ 1 w 156"/>
              <a:gd name="T19" fmla="*/ 2 h 188"/>
              <a:gd name="T20" fmla="*/ 1 w 156"/>
              <a:gd name="T21" fmla="*/ 2 h 188"/>
              <a:gd name="T22" fmla="*/ 2 w 156"/>
              <a:gd name="T23" fmla="*/ 2 h 188"/>
              <a:gd name="T24" fmla="*/ 2 w 156"/>
              <a:gd name="T25" fmla="*/ 2 h 188"/>
              <a:gd name="T26" fmla="*/ 2 w 156"/>
              <a:gd name="T27" fmla="*/ 1 h 188"/>
              <a:gd name="T28" fmla="*/ 2 w 156"/>
              <a:gd name="T29" fmla="*/ 2 h 188"/>
              <a:gd name="T30" fmla="*/ 2 w 156"/>
              <a:gd name="T31" fmla="*/ 2 h 188"/>
              <a:gd name="T32" fmla="*/ 1 w 156"/>
              <a:gd name="T33" fmla="*/ 1 h 188"/>
              <a:gd name="T34" fmla="*/ 2 w 156"/>
              <a:gd name="T35" fmla="*/ 1 h 188"/>
              <a:gd name="T36" fmla="*/ 1 w 156"/>
              <a:gd name="T37" fmla="*/ 1 h 188"/>
              <a:gd name="T38" fmla="*/ 1 w 156"/>
              <a:gd name="T39" fmla="*/ 1 h 188"/>
              <a:gd name="T40" fmla="*/ 1 w 156"/>
              <a:gd name="T41" fmla="*/ 1 h 188"/>
              <a:gd name="T42" fmla="*/ 1 w 156"/>
              <a:gd name="T43" fmla="*/ 1 h 188"/>
              <a:gd name="T44" fmla="*/ 1 w 156"/>
              <a:gd name="T45" fmla="*/ 0 h 188"/>
              <a:gd name="T46" fmla="*/ 1 w 156"/>
              <a:gd name="T47" fmla="*/ 0 h 188"/>
              <a:gd name="T48" fmla="*/ 1 w 156"/>
              <a:gd name="T49" fmla="*/ 0 h 188"/>
              <a:gd name="T50" fmla="*/ 1 w 156"/>
              <a:gd name="T51" fmla="*/ 0 h 188"/>
              <a:gd name="T52" fmla="*/ 0 w 156"/>
              <a:gd name="T53" fmla="*/ 0 h 188"/>
              <a:gd name="T54" fmla="*/ 0 w 156"/>
              <a:gd name="T55" fmla="*/ 0 h 188"/>
              <a:gd name="T56" fmla="*/ 0 w 156"/>
              <a:gd name="T57" fmla="*/ 0 h 188"/>
              <a:gd name="T58" fmla="*/ 0 w 156"/>
              <a:gd name="T59" fmla="*/ 0 h 188"/>
              <a:gd name="T60" fmla="*/ 0 w 156"/>
              <a:gd name="T61" fmla="*/ 0 h 188"/>
              <a:gd name="T62" fmla="*/ 0 w 156"/>
              <a:gd name="T63" fmla="*/ 0 h 188"/>
              <a:gd name="T64" fmla="*/ 0 w 156"/>
              <a:gd name="T65" fmla="*/ 0 h 188"/>
              <a:gd name="T66" fmla="*/ 0 w 156"/>
              <a:gd name="T67" fmla="*/ 0 h 188"/>
              <a:gd name="T68" fmla="*/ 0 w 156"/>
              <a:gd name="T69" fmla="*/ 1 h 188"/>
              <a:gd name="T70" fmla="*/ 0 w 156"/>
              <a:gd name="T71" fmla="*/ 1 h 188"/>
              <a:gd name="T72" fmla="*/ 0 w 156"/>
              <a:gd name="T73" fmla="*/ 1 h 188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60000 65536"/>
              <a:gd name="T106" fmla="*/ 0 60000 65536"/>
              <a:gd name="T107" fmla="*/ 0 60000 65536"/>
              <a:gd name="T108" fmla="*/ 0 60000 65536"/>
              <a:gd name="T109" fmla="*/ 0 60000 65536"/>
              <a:gd name="T110" fmla="*/ 0 60000 65536"/>
              <a:gd name="T111" fmla="*/ 0 w 156"/>
              <a:gd name="T112" fmla="*/ 0 h 188"/>
              <a:gd name="T113" fmla="*/ 156 w 156"/>
              <a:gd name="T114" fmla="*/ 188 h 188"/>
            </a:gdLst>
            <a:ahLst/>
            <a:cxnLst>
              <a:cxn ang="T74">
                <a:pos x="T0" y="T1"/>
              </a:cxn>
              <a:cxn ang="T75">
                <a:pos x="T2" y="T3"/>
              </a:cxn>
              <a:cxn ang="T76">
                <a:pos x="T4" y="T5"/>
              </a:cxn>
              <a:cxn ang="T77">
                <a:pos x="T6" y="T7"/>
              </a:cxn>
              <a:cxn ang="T78">
                <a:pos x="T8" y="T9"/>
              </a:cxn>
              <a:cxn ang="T79">
                <a:pos x="T10" y="T11"/>
              </a:cxn>
              <a:cxn ang="T80">
                <a:pos x="T12" y="T13"/>
              </a:cxn>
              <a:cxn ang="T81">
                <a:pos x="T14" y="T15"/>
              </a:cxn>
              <a:cxn ang="T82">
                <a:pos x="T16" y="T17"/>
              </a:cxn>
              <a:cxn ang="T83">
                <a:pos x="T18" y="T19"/>
              </a:cxn>
              <a:cxn ang="T84">
                <a:pos x="T20" y="T21"/>
              </a:cxn>
              <a:cxn ang="T85">
                <a:pos x="T22" y="T23"/>
              </a:cxn>
              <a:cxn ang="T86">
                <a:pos x="T24" y="T25"/>
              </a:cxn>
              <a:cxn ang="T87">
                <a:pos x="T26" y="T27"/>
              </a:cxn>
              <a:cxn ang="T88">
                <a:pos x="T28" y="T29"/>
              </a:cxn>
              <a:cxn ang="T89">
                <a:pos x="T30" y="T31"/>
              </a:cxn>
              <a:cxn ang="T90">
                <a:pos x="T32" y="T33"/>
              </a:cxn>
              <a:cxn ang="T91">
                <a:pos x="T34" y="T35"/>
              </a:cxn>
              <a:cxn ang="T92">
                <a:pos x="T36" y="T37"/>
              </a:cxn>
              <a:cxn ang="T93">
                <a:pos x="T38" y="T39"/>
              </a:cxn>
              <a:cxn ang="T94">
                <a:pos x="T40" y="T41"/>
              </a:cxn>
              <a:cxn ang="T95">
                <a:pos x="T42" y="T43"/>
              </a:cxn>
              <a:cxn ang="T96">
                <a:pos x="T44" y="T45"/>
              </a:cxn>
              <a:cxn ang="T97">
                <a:pos x="T46" y="T47"/>
              </a:cxn>
              <a:cxn ang="T98">
                <a:pos x="T48" y="T49"/>
              </a:cxn>
              <a:cxn ang="T99">
                <a:pos x="T50" y="T51"/>
              </a:cxn>
              <a:cxn ang="T100">
                <a:pos x="T52" y="T53"/>
              </a:cxn>
              <a:cxn ang="T101">
                <a:pos x="T54" y="T55"/>
              </a:cxn>
              <a:cxn ang="T102">
                <a:pos x="T56" y="T57"/>
              </a:cxn>
              <a:cxn ang="T103">
                <a:pos x="T58" y="T59"/>
              </a:cxn>
              <a:cxn ang="T104">
                <a:pos x="T60" y="T61"/>
              </a:cxn>
              <a:cxn ang="T105">
                <a:pos x="T62" y="T63"/>
              </a:cxn>
              <a:cxn ang="T106">
                <a:pos x="T64" y="T65"/>
              </a:cxn>
              <a:cxn ang="T107">
                <a:pos x="T66" y="T67"/>
              </a:cxn>
              <a:cxn ang="T108">
                <a:pos x="T68" y="T69"/>
              </a:cxn>
              <a:cxn ang="T109">
                <a:pos x="T70" y="T71"/>
              </a:cxn>
              <a:cxn ang="T110">
                <a:pos x="T72" y="T73"/>
              </a:cxn>
            </a:cxnLst>
            <a:rect l="T111" t="T112" r="T113" b="T114"/>
            <a:pathLst>
              <a:path w="156" h="188">
                <a:moveTo>
                  <a:pt x="7" y="69"/>
                </a:moveTo>
                <a:lnTo>
                  <a:pt x="22" y="59"/>
                </a:lnTo>
                <a:lnTo>
                  <a:pt x="43" y="69"/>
                </a:lnTo>
                <a:lnTo>
                  <a:pt x="57" y="91"/>
                </a:lnTo>
                <a:lnTo>
                  <a:pt x="65" y="91"/>
                </a:lnTo>
                <a:lnTo>
                  <a:pt x="77" y="112"/>
                </a:lnTo>
                <a:lnTo>
                  <a:pt x="92" y="122"/>
                </a:lnTo>
                <a:lnTo>
                  <a:pt x="107" y="144"/>
                </a:lnTo>
                <a:lnTo>
                  <a:pt x="122" y="144"/>
                </a:lnTo>
                <a:lnTo>
                  <a:pt x="120" y="165"/>
                </a:lnTo>
                <a:lnTo>
                  <a:pt x="111" y="188"/>
                </a:lnTo>
                <a:lnTo>
                  <a:pt x="129" y="181"/>
                </a:lnTo>
                <a:lnTo>
                  <a:pt x="136" y="166"/>
                </a:lnTo>
                <a:lnTo>
                  <a:pt x="136" y="129"/>
                </a:lnTo>
                <a:lnTo>
                  <a:pt x="147" y="151"/>
                </a:lnTo>
                <a:lnTo>
                  <a:pt x="156" y="144"/>
                </a:lnTo>
                <a:lnTo>
                  <a:pt x="122" y="112"/>
                </a:lnTo>
                <a:lnTo>
                  <a:pt x="129" y="106"/>
                </a:lnTo>
                <a:lnTo>
                  <a:pt x="122" y="106"/>
                </a:lnTo>
                <a:lnTo>
                  <a:pt x="99" y="91"/>
                </a:lnTo>
                <a:lnTo>
                  <a:pt x="92" y="77"/>
                </a:lnTo>
                <a:lnTo>
                  <a:pt x="77" y="59"/>
                </a:lnTo>
                <a:lnTo>
                  <a:pt x="77" y="30"/>
                </a:lnTo>
                <a:lnTo>
                  <a:pt x="92" y="30"/>
                </a:lnTo>
                <a:lnTo>
                  <a:pt x="92" y="8"/>
                </a:lnTo>
                <a:lnTo>
                  <a:pt x="77" y="0"/>
                </a:lnTo>
                <a:lnTo>
                  <a:pt x="50" y="0"/>
                </a:lnTo>
                <a:lnTo>
                  <a:pt x="43" y="15"/>
                </a:lnTo>
                <a:lnTo>
                  <a:pt x="35" y="8"/>
                </a:lnTo>
                <a:lnTo>
                  <a:pt x="35" y="15"/>
                </a:lnTo>
                <a:lnTo>
                  <a:pt x="22" y="15"/>
                </a:lnTo>
                <a:lnTo>
                  <a:pt x="7" y="30"/>
                </a:lnTo>
                <a:lnTo>
                  <a:pt x="0" y="30"/>
                </a:lnTo>
                <a:lnTo>
                  <a:pt x="0" y="47"/>
                </a:lnTo>
                <a:lnTo>
                  <a:pt x="7" y="69"/>
                </a:lnTo>
                <a:close/>
              </a:path>
            </a:pathLst>
          </a:custGeom>
          <a:solidFill>
            <a:srgbClr val="C8F596"/>
          </a:solidFill>
          <a:ln w="9525">
            <a:solidFill>
              <a:srgbClr val="FFFFFF"/>
            </a:solidFill>
            <a:miter lim="800000"/>
            <a:headEnd/>
            <a:tailEnd/>
          </a:ln>
        </xdr:spPr>
        <xdr:txBody>
          <a:bodyPr vertOverflow="clip" wrap="square" lIns="36576" tIns="32004" rIns="0" bIns="0" anchor="t"/>
          <a:lstStyle/>
          <a:p>
            <a:pPr algn="l" rtl="0">
              <a:defRPr sz="1000"/>
            </a:pPr>
            <a:endParaRPr lang="en-US" sz="1600" b="0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 algn="l" rtl="0">
              <a:defRPr sz="1000"/>
            </a:pPr>
            <a:endParaRPr lang="en-US"/>
          </a:p>
        </xdr:txBody>
      </xdr:sp>
      <xdr:sp macro="" textlink="">
        <xdr:nvSpPr>
          <xdr:cNvPr id="25904" name="Freeform 215"/>
          <xdr:cNvSpPr>
            <a:spLocks/>
          </xdr:cNvSpPr>
        </xdr:nvSpPr>
        <xdr:spPr bwMode="auto">
          <a:xfrm>
            <a:off x="610" y="383"/>
            <a:ext cx="7" cy="10"/>
          </a:xfrm>
          <a:custGeom>
            <a:avLst/>
            <a:gdLst>
              <a:gd name="T0" fmla="*/ 0 w 29"/>
              <a:gd name="T1" fmla="*/ 0 h 44"/>
              <a:gd name="T2" fmla="*/ 0 w 29"/>
              <a:gd name="T3" fmla="*/ 0 h 44"/>
              <a:gd name="T4" fmla="*/ 0 w 29"/>
              <a:gd name="T5" fmla="*/ 0 h 44"/>
              <a:gd name="T6" fmla="*/ 0 w 29"/>
              <a:gd name="T7" fmla="*/ 0 h 44"/>
              <a:gd name="T8" fmla="*/ 0 w 29"/>
              <a:gd name="T9" fmla="*/ 0 h 44"/>
              <a:gd name="T10" fmla="*/ 0 w 29"/>
              <a:gd name="T11" fmla="*/ 0 h 44"/>
              <a:gd name="T12" fmla="*/ 0 w 29"/>
              <a:gd name="T13" fmla="*/ 0 h 44"/>
              <a:gd name="T14" fmla="*/ 0 w 29"/>
              <a:gd name="T15" fmla="*/ 0 h 44"/>
              <a:gd name="T16" fmla="*/ 0 w 29"/>
              <a:gd name="T17" fmla="*/ 0 h 44"/>
              <a:gd name="T18" fmla="*/ 0 60000 65536"/>
              <a:gd name="T19" fmla="*/ 0 60000 65536"/>
              <a:gd name="T20" fmla="*/ 0 60000 65536"/>
              <a:gd name="T21" fmla="*/ 0 60000 65536"/>
              <a:gd name="T22" fmla="*/ 0 60000 65536"/>
              <a:gd name="T23" fmla="*/ 0 60000 65536"/>
              <a:gd name="T24" fmla="*/ 0 60000 65536"/>
              <a:gd name="T25" fmla="*/ 0 60000 65536"/>
              <a:gd name="T26" fmla="*/ 0 60000 65536"/>
              <a:gd name="T27" fmla="*/ 0 w 29"/>
              <a:gd name="T28" fmla="*/ 0 h 44"/>
              <a:gd name="T29" fmla="*/ 29 w 29"/>
              <a:gd name="T30" fmla="*/ 44 h 44"/>
            </a:gdLst>
            <a:ahLst/>
            <a:cxnLst>
              <a:cxn ang="T18">
                <a:pos x="T0" y="T1"/>
              </a:cxn>
              <a:cxn ang="T19">
                <a:pos x="T2" y="T3"/>
              </a:cxn>
              <a:cxn ang="T20">
                <a:pos x="T4" y="T5"/>
              </a:cxn>
              <a:cxn ang="T21">
                <a:pos x="T6" y="T7"/>
              </a:cxn>
              <a:cxn ang="T22">
                <a:pos x="T8" y="T9"/>
              </a:cxn>
              <a:cxn ang="T23">
                <a:pos x="T10" y="T11"/>
              </a:cxn>
              <a:cxn ang="T24">
                <a:pos x="T12" y="T13"/>
              </a:cxn>
              <a:cxn ang="T25">
                <a:pos x="T14" y="T15"/>
              </a:cxn>
              <a:cxn ang="T26">
                <a:pos x="T16" y="T17"/>
              </a:cxn>
            </a:cxnLst>
            <a:rect l="T27" t="T28" r="T29" b="T30"/>
            <a:pathLst>
              <a:path w="29" h="44">
                <a:moveTo>
                  <a:pt x="0" y="0"/>
                </a:moveTo>
                <a:lnTo>
                  <a:pt x="9" y="36"/>
                </a:lnTo>
                <a:lnTo>
                  <a:pt x="9" y="44"/>
                </a:lnTo>
                <a:lnTo>
                  <a:pt x="20" y="36"/>
                </a:lnTo>
                <a:lnTo>
                  <a:pt x="29" y="7"/>
                </a:lnTo>
                <a:lnTo>
                  <a:pt x="20" y="0"/>
                </a:lnTo>
                <a:lnTo>
                  <a:pt x="0" y="0"/>
                </a:lnTo>
                <a:close/>
              </a:path>
            </a:pathLst>
          </a:custGeom>
          <a:solidFill>
            <a:srgbClr val="C8F596"/>
          </a:solidFill>
          <a:ln w="9525">
            <a:solidFill>
              <a:srgbClr val="FFFFFF"/>
            </a:solidFill>
            <a:miter lim="800000"/>
            <a:headEnd/>
            <a:tailEnd/>
          </a:ln>
        </xdr:spPr>
        <xdr:txBody>
          <a:bodyPr vertOverflow="clip" wrap="square" lIns="36576" tIns="32004" rIns="0" bIns="0" anchor="t"/>
          <a:lstStyle/>
          <a:p>
            <a:pPr algn="l" rtl="0">
              <a:defRPr sz="1000"/>
            </a:pPr>
            <a:endParaRPr lang="en-US" sz="1600" b="0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 algn="l" rtl="0">
              <a:defRPr sz="1000"/>
            </a:pPr>
            <a:endParaRPr lang="en-US"/>
          </a:p>
        </xdr:txBody>
      </xdr:sp>
      <xdr:sp macro="" textlink="">
        <xdr:nvSpPr>
          <xdr:cNvPr id="25905" name="Freeform 216"/>
          <xdr:cNvSpPr>
            <a:spLocks/>
          </xdr:cNvSpPr>
        </xdr:nvSpPr>
        <xdr:spPr bwMode="auto">
          <a:xfrm>
            <a:off x="624" y="396"/>
            <a:ext cx="10" cy="7"/>
          </a:xfrm>
          <a:custGeom>
            <a:avLst/>
            <a:gdLst>
              <a:gd name="T0" fmla="*/ 0 w 45"/>
              <a:gd name="T1" fmla="*/ 0 h 29"/>
              <a:gd name="T2" fmla="*/ 0 w 45"/>
              <a:gd name="T3" fmla="*/ 0 h 29"/>
              <a:gd name="T4" fmla="*/ 0 w 45"/>
              <a:gd name="T5" fmla="*/ 0 h 29"/>
              <a:gd name="T6" fmla="*/ 0 w 45"/>
              <a:gd name="T7" fmla="*/ 0 h 29"/>
              <a:gd name="T8" fmla="*/ 0 w 45"/>
              <a:gd name="T9" fmla="*/ 0 h 29"/>
              <a:gd name="T10" fmla="*/ 0 w 45"/>
              <a:gd name="T11" fmla="*/ 0 h 29"/>
              <a:gd name="T12" fmla="*/ 0 w 45"/>
              <a:gd name="T13" fmla="*/ 0 h 29"/>
              <a:gd name="T14" fmla="*/ 0 60000 65536"/>
              <a:gd name="T15" fmla="*/ 0 60000 65536"/>
              <a:gd name="T16" fmla="*/ 0 60000 65536"/>
              <a:gd name="T17" fmla="*/ 0 60000 65536"/>
              <a:gd name="T18" fmla="*/ 0 60000 65536"/>
              <a:gd name="T19" fmla="*/ 0 60000 65536"/>
              <a:gd name="T20" fmla="*/ 0 60000 65536"/>
              <a:gd name="T21" fmla="*/ 0 w 45"/>
              <a:gd name="T22" fmla="*/ 0 h 29"/>
              <a:gd name="T23" fmla="*/ 45 w 45"/>
              <a:gd name="T24" fmla="*/ 29 h 29"/>
            </a:gdLst>
            <a:ahLst/>
            <a:cxnLst>
              <a:cxn ang="T14">
                <a:pos x="T0" y="T1"/>
              </a:cxn>
              <a:cxn ang="T15">
                <a:pos x="T2" y="T3"/>
              </a:cxn>
              <a:cxn ang="T16">
                <a:pos x="T4" y="T5"/>
              </a:cxn>
              <a:cxn ang="T17">
                <a:pos x="T6" y="T7"/>
              </a:cxn>
              <a:cxn ang="T18">
                <a:pos x="T8" y="T9"/>
              </a:cxn>
              <a:cxn ang="T19">
                <a:pos x="T10" y="T11"/>
              </a:cxn>
              <a:cxn ang="T20">
                <a:pos x="T12" y="T13"/>
              </a:cxn>
            </a:cxnLst>
            <a:rect l="T21" t="T22" r="T23" b="T24"/>
            <a:pathLst>
              <a:path w="45" h="29">
                <a:moveTo>
                  <a:pt x="0" y="0"/>
                </a:moveTo>
                <a:lnTo>
                  <a:pt x="0" y="9"/>
                </a:lnTo>
                <a:lnTo>
                  <a:pt x="31" y="29"/>
                </a:lnTo>
                <a:lnTo>
                  <a:pt x="45" y="0"/>
                </a:lnTo>
                <a:lnTo>
                  <a:pt x="0" y="0"/>
                </a:lnTo>
                <a:close/>
              </a:path>
            </a:pathLst>
          </a:custGeom>
          <a:solidFill>
            <a:srgbClr val="C8F596"/>
          </a:solidFill>
          <a:ln w="9525">
            <a:solidFill>
              <a:srgbClr val="FFFFFF"/>
            </a:solidFill>
            <a:miter lim="800000"/>
            <a:headEnd/>
            <a:tailEnd/>
          </a:ln>
        </xdr:spPr>
        <xdr:txBody>
          <a:bodyPr vertOverflow="clip" wrap="square" lIns="36576" tIns="32004" rIns="0" bIns="0" anchor="t"/>
          <a:lstStyle/>
          <a:p>
            <a:pPr algn="l" rtl="0">
              <a:defRPr sz="1000"/>
            </a:pPr>
            <a:endParaRPr lang="en-US" sz="1600" b="0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 algn="l" rtl="0">
              <a:defRPr sz="1000"/>
            </a:pPr>
            <a:endParaRPr lang="en-US"/>
          </a:p>
        </xdr:txBody>
      </xdr:sp>
    </xdr:grpSp>
    <xdr:clientData/>
  </xdr:twoCellAnchor>
  <xdr:twoCellAnchor>
    <xdr:from>
      <xdr:col>10</xdr:col>
      <xdr:colOff>209550</xdr:colOff>
      <xdr:row>22</xdr:row>
      <xdr:rowOff>104775</xdr:rowOff>
    </xdr:from>
    <xdr:to>
      <xdr:col>10</xdr:col>
      <xdr:colOff>390525</xdr:colOff>
      <xdr:row>23</xdr:row>
      <xdr:rowOff>152400</xdr:rowOff>
    </xdr:to>
    <xdr:grpSp>
      <xdr:nvGrpSpPr>
        <xdr:cNvPr id="25883" name="S_GRC"/>
        <xdr:cNvGrpSpPr>
          <a:grpSpLocks/>
        </xdr:cNvGrpSpPr>
      </xdr:nvGrpSpPr>
      <xdr:grpSpPr bwMode="auto">
        <a:xfrm>
          <a:off x="6821021" y="3881157"/>
          <a:ext cx="180975" cy="204508"/>
          <a:chOff x="646" y="381"/>
          <a:chExt cx="19" cy="22"/>
        </a:xfrm>
      </xdr:grpSpPr>
      <xdr:sp macro="" textlink="">
        <xdr:nvSpPr>
          <xdr:cNvPr id="25901" name="Freeform 210"/>
          <xdr:cNvSpPr>
            <a:spLocks/>
          </xdr:cNvSpPr>
        </xdr:nvSpPr>
        <xdr:spPr bwMode="auto">
          <a:xfrm>
            <a:off x="646" y="381"/>
            <a:ext cx="19" cy="16"/>
          </a:xfrm>
          <a:custGeom>
            <a:avLst/>
            <a:gdLst>
              <a:gd name="T0" fmla="*/ 0 w 85"/>
              <a:gd name="T1" fmla="*/ 0 h 74"/>
              <a:gd name="T2" fmla="*/ 0 w 85"/>
              <a:gd name="T3" fmla="*/ 0 h 74"/>
              <a:gd name="T4" fmla="*/ 1 w 85"/>
              <a:gd name="T5" fmla="*/ 0 h 74"/>
              <a:gd name="T6" fmla="*/ 1 w 85"/>
              <a:gd name="T7" fmla="*/ 0 h 74"/>
              <a:gd name="T8" fmla="*/ 1 w 85"/>
              <a:gd name="T9" fmla="*/ 0 h 74"/>
              <a:gd name="T10" fmla="*/ 1 w 85"/>
              <a:gd name="T11" fmla="*/ 0 h 74"/>
              <a:gd name="T12" fmla="*/ 1 w 85"/>
              <a:gd name="T13" fmla="*/ 0 h 74"/>
              <a:gd name="T14" fmla="*/ 0 w 85"/>
              <a:gd name="T15" fmla="*/ 0 h 74"/>
              <a:gd name="T16" fmla="*/ 0 w 85"/>
              <a:gd name="T17" fmla="*/ 0 h 74"/>
              <a:gd name="T18" fmla="*/ 0 w 85"/>
              <a:gd name="T19" fmla="*/ 0 h 74"/>
              <a:gd name="T20" fmla="*/ 0 w 85"/>
              <a:gd name="T21" fmla="*/ 0 h 74"/>
              <a:gd name="T22" fmla="*/ 0 w 85"/>
              <a:gd name="T23" fmla="*/ 0 h 74"/>
              <a:gd name="T24" fmla="*/ 0 w 85"/>
              <a:gd name="T25" fmla="*/ 0 h 74"/>
              <a:gd name="T26" fmla="*/ 1 w 85"/>
              <a:gd name="T27" fmla="*/ 1 h 74"/>
              <a:gd name="T28" fmla="*/ 0 w 85"/>
              <a:gd name="T29" fmla="*/ 1 h 74"/>
              <a:gd name="T30" fmla="*/ 0 w 85"/>
              <a:gd name="T31" fmla="*/ 1 h 74"/>
              <a:gd name="T32" fmla="*/ 0 w 85"/>
              <a:gd name="T33" fmla="*/ 1 h 74"/>
              <a:gd name="T34" fmla="*/ 0 w 85"/>
              <a:gd name="T35" fmla="*/ 1 h 74"/>
              <a:gd name="T36" fmla="*/ 0 w 85"/>
              <a:gd name="T37" fmla="*/ 0 h 74"/>
              <a:gd name="T38" fmla="*/ 0 w 85"/>
              <a:gd name="T39" fmla="*/ 0 h 74"/>
              <a:gd name="T40" fmla="*/ 0 w 85"/>
              <a:gd name="T41" fmla="*/ 0 h 74"/>
              <a:gd name="T42" fmla="*/ 0 w 85"/>
              <a:gd name="T43" fmla="*/ 0 h 74"/>
              <a:gd name="T44" fmla="*/ 0 w 85"/>
              <a:gd name="T45" fmla="*/ 0 h 74"/>
              <a:gd name="T46" fmla="*/ 0 60000 65536"/>
              <a:gd name="T47" fmla="*/ 0 60000 65536"/>
              <a:gd name="T48" fmla="*/ 0 60000 65536"/>
              <a:gd name="T49" fmla="*/ 0 60000 65536"/>
              <a:gd name="T50" fmla="*/ 0 60000 65536"/>
              <a:gd name="T51" fmla="*/ 0 60000 65536"/>
              <a:gd name="T52" fmla="*/ 0 60000 65536"/>
              <a:gd name="T53" fmla="*/ 0 60000 65536"/>
              <a:gd name="T54" fmla="*/ 0 60000 65536"/>
              <a:gd name="T55" fmla="*/ 0 60000 65536"/>
              <a:gd name="T56" fmla="*/ 0 60000 65536"/>
              <a:gd name="T57" fmla="*/ 0 60000 65536"/>
              <a:gd name="T58" fmla="*/ 0 60000 65536"/>
              <a:gd name="T59" fmla="*/ 0 60000 65536"/>
              <a:gd name="T60" fmla="*/ 0 60000 65536"/>
              <a:gd name="T61" fmla="*/ 0 60000 65536"/>
              <a:gd name="T62" fmla="*/ 0 60000 65536"/>
              <a:gd name="T63" fmla="*/ 0 60000 65536"/>
              <a:gd name="T64" fmla="*/ 0 60000 65536"/>
              <a:gd name="T65" fmla="*/ 0 60000 65536"/>
              <a:gd name="T66" fmla="*/ 0 60000 65536"/>
              <a:gd name="T67" fmla="*/ 0 60000 65536"/>
              <a:gd name="T68" fmla="*/ 0 60000 65536"/>
              <a:gd name="T69" fmla="*/ 0 w 85"/>
              <a:gd name="T70" fmla="*/ 0 h 74"/>
              <a:gd name="T71" fmla="*/ 85 w 85"/>
              <a:gd name="T72" fmla="*/ 74 h 74"/>
            </a:gdLst>
            <a:ahLst/>
            <a:cxnLst>
              <a:cxn ang="T46">
                <a:pos x="T0" y="T1"/>
              </a:cxn>
              <a:cxn ang="T47">
                <a:pos x="T2" y="T3"/>
              </a:cxn>
              <a:cxn ang="T48">
                <a:pos x="T4" y="T5"/>
              </a:cxn>
              <a:cxn ang="T49">
                <a:pos x="T6" y="T7"/>
              </a:cxn>
              <a:cxn ang="T50">
                <a:pos x="T8" y="T9"/>
              </a:cxn>
              <a:cxn ang="T51">
                <a:pos x="T10" y="T11"/>
              </a:cxn>
              <a:cxn ang="T52">
                <a:pos x="T12" y="T13"/>
              </a:cxn>
              <a:cxn ang="T53">
                <a:pos x="T14" y="T15"/>
              </a:cxn>
              <a:cxn ang="T54">
                <a:pos x="T16" y="T17"/>
              </a:cxn>
              <a:cxn ang="T55">
                <a:pos x="T18" y="T19"/>
              </a:cxn>
              <a:cxn ang="T56">
                <a:pos x="T20" y="T21"/>
              </a:cxn>
              <a:cxn ang="T57">
                <a:pos x="T22" y="T23"/>
              </a:cxn>
              <a:cxn ang="T58">
                <a:pos x="T24" y="T25"/>
              </a:cxn>
              <a:cxn ang="T59">
                <a:pos x="T26" y="T27"/>
              </a:cxn>
              <a:cxn ang="T60">
                <a:pos x="T28" y="T29"/>
              </a:cxn>
              <a:cxn ang="T61">
                <a:pos x="T30" y="T31"/>
              </a:cxn>
              <a:cxn ang="T62">
                <a:pos x="T32" y="T33"/>
              </a:cxn>
              <a:cxn ang="T63">
                <a:pos x="T34" y="T35"/>
              </a:cxn>
              <a:cxn ang="T64">
                <a:pos x="T36" y="T37"/>
              </a:cxn>
              <a:cxn ang="T65">
                <a:pos x="T38" y="T39"/>
              </a:cxn>
              <a:cxn ang="T66">
                <a:pos x="T40" y="T41"/>
              </a:cxn>
              <a:cxn ang="T67">
                <a:pos x="T42" y="T43"/>
              </a:cxn>
              <a:cxn ang="T68">
                <a:pos x="T44" y="T45"/>
              </a:cxn>
            </a:cxnLst>
            <a:rect l="T69" t="T70" r="T71" b="T72"/>
            <a:pathLst>
              <a:path w="85" h="74">
                <a:moveTo>
                  <a:pt x="15" y="10"/>
                </a:moveTo>
                <a:lnTo>
                  <a:pt x="42" y="0"/>
                </a:lnTo>
                <a:lnTo>
                  <a:pt x="57" y="0"/>
                </a:lnTo>
                <a:lnTo>
                  <a:pt x="80" y="10"/>
                </a:lnTo>
                <a:lnTo>
                  <a:pt x="85" y="0"/>
                </a:lnTo>
                <a:lnTo>
                  <a:pt x="80" y="17"/>
                </a:lnTo>
                <a:lnTo>
                  <a:pt x="57" y="10"/>
                </a:lnTo>
                <a:lnTo>
                  <a:pt x="48" y="17"/>
                </a:lnTo>
                <a:lnTo>
                  <a:pt x="48" y="32"/>
                </a:lnTo>
                <a:lnTo>
                  <a:pt x="42" y="32"/>
                </a:lnTo>
                <a:lnTo>
                  <a:pt x="37" y="17"/>
                </a:lnTo>
                <a:lnTo>
                  <a:pt x="37" y="32"/>
                </a:lnTo>
                <a:lnTo>
                  <a:pt x="42" y="46"/>
                </a:lnTo>
                <a:lnTo>
                  <a:pt x="57" y="68"/>
                </a:lnTo>
                <a:lnTo>
                  <a:pt x="48" y="68"/>
                </a:lnTo>
                <a:lnTo>
                  <a:pt x="48" y="74"/>
                </a:lnTo>
                <a:lnTo>
                  <a:pt x="37" y="68"/>
                </a:lnTo>
                <a:lnTo>
                  <a:pt x="15" y="68"/>
                </a:lnTo>
                <a:lnTo>
                  <a:pt x="0" y="39"/>
                </a:lnTo>
                <a:lnTo>
                  <a:pt x="15" y="17"/>
                </a:lnTo>
                <a:lnTo>
                  <a:pt x="15" y="10"/>
                </a:lnTo>
                <a:close/>
              </a:path>
            </a:pathLst>
          </a:custGeom>
          <a:solidFill>
            <a:srgbClr val="F5F5F5"/>
          </a:solidFill>
          <a:ln w="9525">
            <a:solidFill>
              <a:srgbClr val="FFFFFF"/>
            </a:solidFill>
            <a:miter lim="800000"/>
            <a:headEnd/>
            <a:tailEnd/>
          </a:ln>
        </xdr:spPr>
        <xdr:txBody>
          <a:bodyPr vertOverflow="clip" wrap="square" lIns="36576" tIns="32004" rIns="0" bIns="0" anchor="t"/>
          <a:lstStyle/>
          <a:p>
            <a:pPr algn="l" rtl="0">
              <a:defRPr sz="1000"/>
            </a:pPr>
            <a:endParaRPr lang="en-US" sz="1600" b="0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 algn="l" rtl="0">
              <a:defRPr sz="1000"/>
            </a:pPr>
            <a:endParaRPr lang="en-US"/>
          </a:p>
        </xdr:txBody>
      </xdr:sp>
      <xdr:sp macro="" textlink="">
        <xdr:nvSpPr>
          <xdr:cNvPr id="25902" name="Freeform 217"/>
          <xdr:cNvSpPr>
            <a:spLocks/>
          </xdr:cNvSpPr>
        </xdr:nvSpPr>
        <xdr:spPr bwMode="auto">
          <a:xfrm>
            <a:off x="649" y="396"/>
            <a:ext cx="7" cy="7"/>
          </a:xfrm>
          <a:custGeom>
            <a:avLst/>
            <a:gdLst>
              <a:gd name="T0" fmla="*/ 0 w 30"/>
              <a:gd name="T1" fmla="*/ 0 h 29"/>
              <a:gd name="T2" fmla="*/ 0 w 30"/>
              <a:gd name="T3" fmla="*/ 0 h 29"/>
              <a:gd name="T4" fmla="*/ 0 w 30"/>
              <a:gd name="T5" fmla="*/ 0 h 29"/>
              <a:gd name="T6" fmla="*/ 0 w 30"/>
              <a:gd name="T7" fmla="*/ 0 h 29"/>
              <a:gd name="T8" fmla="*/ 0 w 30"/>
              <a:gd name="T9" fmla="*/ 0 h 29"/>
              <a:gd name="T10" fmla="*/ 0 w 30"/>
              <a:gd name="T11" fmla="*/ 0 h 29"/>
              <a:gd name="T12" fmla="*/ 0 w 30"/>
              <a:gd name="T13" fmla="*/ 0 h 29"/>
              <a:gd name="T14" fmla="*/ 0 w 30"/>
              <a:gd name="T15" fmla="*/ 0 h 29"/>
              <a:gd name="T16" fmla="*/ 0 w 30"/>
              <a:gd name="T17" fmla="*/ 0 h 29"/>
              <a:gd name="T18" fmla="*/ 0 w 30"/>
              <a:gd name="T19" fmla="*/ 0 h 29"/>
              <a:gd name="T20" fmla="*/ 0 w 30"/>
              <a:gd name="T21" fmla="*/ 0 h 29"/>
              <a:gd name="T22" fmla="*/ 0 60000 65536"/>
              <a:gd name="T23" fmla="*/ 0 60000 65536"/>
              <a:gd name="T24" fmla="*/ 0 60000 65536"/>
              <a:gd name="T25" fmla="*/ 0 60000 65536"/>
              <a:gd name="T26" fmla="*/ 0 60000 65536"/>
              <a:gd name="T27" fmla="*/ 0 60000 65536"/>
              <a:gd name="T28" fmla="*/ 0 60000 65536"/>
              <a:gd name="T29" fmla="*/ 0 60000 65536"/>
              <a:gd name="T30" fmla="*/ 0 60000 65536"/>
              <a:gd name="T31" fmla="*/ 0 60000 65536"/>
              <a:gd name="T32" fmla="*/ 0 60000 65536"/>
              <a:gd name="T33" fmla="*/ 0 w 30"/>
              <a:gd name="T34" fmla="*/ 0 h 29"/>
              <a:gd name="T35" fmla="*/ 30 w 30"/>
              <a:gd name="T36" fmla="*/ 29 h 29"/>
            </a:gdLst>
            <a:ahLst/>
            <a:cxnLst>
              <a:cxn ang="T22">
                <a:pos x="T0" y="T1"/>
              </a:cxn>
              <a:cxn ang="T23">
                <a:pos x="T2" y="T3"/>
              </a:cxn>
              <a:cxn ang="T24">
                <a:pos x="T4" y="T5"/>
              </a:cxn>
              <a:cxn ang="T25">
                <a:pos x="T6" y="T7"/>
              </a:cxn>
              <a:cxn ang="T26">
                <a:pos x="T8" y="T9"/>
              </a:cxn>
              <a:cxn ang="T27">
                <a:pos x="T10" y="T11"/>
              </a:cxn>
              <a:cxn ang="T28">
                <a:pos x="T12" y="T13"/>
              </a:cxn>
              <a:cxn ang="T29">
                <a:pos x="T14" y="T15"/>
              </a:cxn>
              <a:cxn ang="T30">
                <a:pos x="T16" y="T17"/>
              </a:cxn>
              <a:cxn ang="T31">
                <a:pos x="T18" y="T19"/>
              </a:cxn>
              <a:cxn ang="T32">
                <a:pos x="T20" y="T21"/>
              </a:cxn>
            </a:cxnLst>
            <a:rect l="T33" t="T34" r="T35" b="T36"/>
            <a:pathLst>
              <a:path w="30" h="29">
                <a:moveTo>
                  <a:pt x="0" y="9"/>
                </a:moveTo>
                <a:lnTo>
                  <a:pt x="7" y="9"/>
                </a:lnTo>
                <a:lnTo>
                  <a:pt x="7" y="29"/>
                </a:lnTo>
                <a:lnTo>
                  <a:pt x="30" y="29"/>
                </a:lnTo>
                <a:lnTo>
                  <a:pt x="24" y="9"/>
                </a:lnTo>
                <a:lnTo>
                  <a:pt x="30" y="20"/>
                </a:lnTo>
                <a:lnTo>
                  <a:pt x="30" y="9"/>
                </a:lnTo>
                <a:lnTo>
                  <a:pt x="7" y="0"/>
                </a:lnTo>
                <a:lnTo>
                  <a:pt x="0" y="9"/>
                </a:lnTo>
                <a:close/>
              </a:path>
            </a:pathLst>
          </a:custGeom>
          <a:solidFill>
            <a:srgbClr val="F5F5F5"/>
          </a:solidFill>
          <a:ln w="9525">
            <a:solidFill>
              <a:srgbClr val="FFFFFF"/>
            </a:solidFill>
            <a:miter lim="800000"/>
            <a:headEnd/>
            <a:tailEnd/>
          </a:ln>
        </xdr:spPr>
        <xdr:txBody>
          <a:bodyPr vertOverflow="clip" wrap="square" lIns="36576" tIns="32004" rIns="0" bIns="0" anchor="t"/>
          <a:lstStyle/>
          <a:p>
            <a:pPr algn="l" rtl="0">
              <a:defRPr sz="1000"/>
            </a:pPr>
            <a:endParaRPr lang="en-US" sz="1600" b="0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 algn="l" rtl="0">
              <a:defRPr sz="1000"/>
            </a:pPr>
            <a:endParaRPr lang="en-US"/>
          </a:p>
        </xdr:txBody>
      </xdr:sp>
    </xdr:grpSp>
    <xdr:clientData/>
  </xdr:twoCellAnchor>
  <xdr:twoCellAnchor>
    <xdr:from>
      <xdr:col>9</xdr:col>
      <xdr:colOff>104775</xdr:colOff>
      <xdr:row>22</xdr:row>
      <xdr:rowOff>9525</xdr:rowOff>
    </xdr:from>
    <xdr:to>
      <xdr:col>9</xdr:col>
      <xdr:colOff>466725</xdr:colOff>
      <xdr:row>23</xdr:row>
      <xdr:rowOff>152400</xdr:rowOff>
    </xdr:to>
    <xdr:grpSp>
      <xdr:nvGrpSpPr>
        <xdr:cNvPr id="25884" name="S_ESP"/>
        <xdr:cNvGrpSpPr>
          <a:grpSpLocks/>
        </xdr:cNvGrpSpPr>
      </xdr:nvGrpSpPr>
      <xdr:grpSpPr bwMode="auto">
        <a:xfrm>
          <a:off x="5999069" y="3785907"/>
          <a:ext cx="361950" cy="299758"/>
          <a:chOff x="560" y="371"/>
          <a:chExt cx="38" cy="32"/>
        </a:xfrm>
      </xdr:grpSpPr>
      <xdr:sp macro="" textlink="">
        <xdr:nvSpPr>
          <xdr:cNvPr id="25899" name="Freeform 206"/>
          <xdr:cNvSpPr>
            <a:spLocks/>
          </xdr:cNvSpPr>
        </xdr:nvSpPr>
        <xdr:spPr bwMode="auto">
          <a:xfrm>
            <a:off x="560" y="371"/>
            <a:ext cx="35" cy="32"/>
          </a:xfrm>
          <a:custGeom>
            <a:avLst/>
            <a:gdLst>
              <a:gd name="T0" fmla="*/ 0 w 159"/>
              <a:gd name="T1" fmla="*/ 0 h 149"/>
              <a:gd name="T2" fmla="*/ 0 w 159"/>
              <a:gd name="T3" fmla="*/ 0 h 149"/>
              <a:gd name="T4" fmla="*/ 0 w 159"/>
              <a:gd name="T5" fmla="*/ 0 h 149"/>
              <a:gd name="T6" fmla="*/ 0 w 159"/>
              <a:gd name="T7" fmla="*/ 1 h 149"/>
              <a:gd name="T8" fmla="*/ 0 w 159"/>
              <a:gd name="T9" fmla="*/ 1 h 149"/>
              <a:gd name="T10" fmla="*/ 0 w 159"/>
              <a:gd name="T11" fmla="*/ 1 h 149"/>
              <a:gd name="T12" fmla="*/ 0 w 159"/>
              <a:gd name="T13" fmla="*/ 1 h 149"/>
              <a:gd name="T14" fmla="*/ 0 w 159"/>
              <a:gd name="T15" fmla="*/ 1 h 149"/>
              <a:gd name="T16" fmla="*/ 0 w 159"/>
              <a:gd name="T17" fmla="*/ 2 h 149"/>
              <a:gd name="T18" fmla="*/ 1 w 159"/>
              <a:gd name="T19" fmla="*/ 1 h 149"/>
              <a:gd name="T20" fmla="*/ 1 w 159"/>
              <a:gd name="T21" fmla="*/ 1 h 149"/>
              <a:gd name="T22" fmla="*/ 1 w 159"/>
              <a:gd name="T23" fmla="*/ 1 h 149"/>
              <a:gd name="T24" fmla="*/ 1 w 159"/>
              <a:gd name="T25" fmla="*/ 1 h 149"/>
              <a:gd name="T26" fmla="*/ 2 w 159"/>
              <a:gd name="T27" fmla="*/ 1 h 149"/>
              <a:gd name="T28" fmla="*/ 2 w 159"/>
              <a:gd name="T29" fmla="*/ 0 h 149"/>
              <a:gd name="T30" fmla="*/ 2 w 159"/>
              <a:gd name="T31" fmla="*/ 0 h 149"/>
              <a:gd name="T32" fmla="*/ 1 w 159"/>
              <a:gd name="T33" fmla="*/ 0 h 149"/>
              <a:gd name="T34" fmla="*/ 1 w 159"/>
              <a:gd name="T35" fmla="*/ 0 h 149"/>
              <a:gd name="T36" fmla="*/ 0 w 159"/>
              <a:gd name="T37" fmla="*/ 0 h 149"/>
              <a:gd name="T38" fmla="*/ 0 w 159"/>
              <a:gd name="T39" fmla="*/ 0 h 149"/>
              <a:gd name="T40" fmla="*/ 0 w 159"/>
              <a:gd name="T41" fmla="*/ 0 h 149"/>
              <a:gd name="T42" fmla="*/ 0 w 159"/>
              <a:gd name="T43" fmla="*/ 0 h 149"/>
              <a:gd name="T44" fmla="*/ 0 w 159"/>
              <a:gd name="T45" fmla="*/ 0 h 149"/>
              <a:gd name="T46" fmla="*/ 0 w 159"/>
              <a:gd name="T47" fmla="*/ 0 h 149"/>
              <a:gd name="T48" fmla="*/ 0 w 159"/>
              <a:gd name="T49" fmla="*/ 0 h 149"/>
              <a:gd name="T50" fmla="*/ 0 60000 65536"/>
              <a:gd name="T51" fmla="*/ 0 60000 65536"/>
              <a:gd name="T52" fmla="*/ 0 60000 65536"/>
              <a:gd name="T53" fmla="*/ 0 60000 65536"/>
              <a:gd name="T54" fmla="*/ 0 60000 65536"/>
              <a:gd name="T55" fmla="*/ 0 60000 65536"/>
              <a:gd name="T56" fmla="*/ 0 60000 65536"/>
              <a:gd name="T57" fmla="*/ 0 60000 65536"/>
              <a:gd name="T58" fmla="*/ 0 60000 65536"/>
              <a:gd name="T59" fmla="*/ 0 60000 65536"/>
              <a:gd name="T60" fmla="*/ 0 60000 65536"/>
              <a:gd name="T61" fmla="*/ 0 60000 65536"/>
              <a:gd name="T62" fmla="*/ 0 60000 65536"/>
              <a:gd name="T63" fmla="*/ 0 60000 65536"/>
              <a:gd name="T64" fmla="*/ 0 60000 65536"/>
              <a:gd name="T65" fmla="*/ 0 60000 65536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w 159"/>
              <a:gd name="T76" fmla="*/ 0 h 149"/>
              <a:gd name="T77" fmla="*/ 159 w 159"/>
              <a:gd name="T78" fmla="*/ 149 h 149"/>
            </a:gdLst>
            <a:ahLst/>
            <a:cxnLst>
              <a:cxn ang="T50">
                <a:pos x="T0" y="T1"/>
              </a:cxn>
              <a:cxn ang="T51">
                <a:pos x="T2" y="T3"/>
              </a:cxn>
              <a:cxn ang="T52">
                <a:pos x="T4" y="T5"/>
              </a:cxn>
              <a:cxn ang="T53">
                <a:pos x="T6" y="T7"/>
              </a:cxn>
              <a:cxn ang="T54">
                <a:pos x="T8" y="T9"/>
              </a:cxn>
              <a:cxn ang="T55">
                <a:pos x="T10" y="T11"/>
              </a:cxn>
              <a:cxn ang="T56">
                <a:pos x="T12" y="T13"/>
              </a:cxn>
              <a:cxn ang="T57">
                <a:pos x="T14" y="T15"/>
              </a:cxn>
              <a:cxn ang="T58">
                <a:pos x="T16" y="T17"/>
              </a:cxn>
              <a:cxn ang="T59">
                <a:pos x="T18" y="T19"/>
              </a:cxn>
              <a:cxn ang="T60">
                <a:pos x="T20" y="T21"/>
              </a:cxn>
              <a:cxn ang="T61">
                <a:pos x="T22" y="T23"/>
              </a:cxn>
              <a:cxn ang="T62">
                <a:pos x="T24" y="T25"/>
              </a:cxn>
              <a:cxn ang="T63">
                <a:pos x="T26" y="T27"/>
              </a:cxn>
              <a:cxn ang="T64">
                <a:pos x="T28" y="T29"/>
              </a:cxn>
              <a:cxn ang="T65">
                <a:pos x="T30" y="T31"/>
              </a:cxn>
              <a:cxn ang="T66">
                <a:pos x="T32" y="T33"/>
              </a:cxn>
              <a:cxn ang="T67">
                <a:pos x="T34" y="T35"/>
              </a:cxn>
              <a:cxn ang="T68">
                <a:pos x="T36" y="T37"/>
              </a:cxn>
              <a:cxn ang="T69">
                <a:pos x="T38" y="T39"/>
              </a:cxn>
              <a:cxn ang="T70">
                <a:pos x="T40" y="T41"/>
              </a:cxn>
              <a:cxn ang="T71">
                <a:pos x="T42" y="T43"/>
              </a:cxn>
              <a:cxn ang="T72">
                <a:pos x="T44" y="T45"/>
              </a:cxn>
              <a:cxn ang="T73">
                <a:pos x="T46" y="T47"/>
              </a:cxn>
              <a:cxn ang="T74">
                <a:pos x="T48" y="T49"/>
              </a:cxn>
            </a:cxnLst>
            <a:rect l="T75" t="T76" r="T77" b="T78"/>
            <a:pathLst>
              <a:path w="159" h="149">
                <a:moveTo>
                  <a:pt x="8" y="42"/>
                </a:moveTo>
                <a:lnTo>
                  <a:pt x="43" y="42"/>
                </a:lnTo>
                <a:lnTo>
                  <a:pt x="43" y="48"/>
                </a:lnTo>
                <a:lnTo>
                  <a:pt x="30" y="57"/>
                </a:lnTo>
                <a:lnTo>
                  <a:pt x="30" y="79"/>
                </a:lnTo>
                <a:lnTo>
                  <a:pt x="23" y="87"/>
                </a:lnTo>
                <a:lnTo>
                  <a:pt x="30" y="117"/>
                </a:lnTo>
                <a:lnTo>
                  <a:pt x="23" y="136"/>
                </a:lnTo>
                <a:lnTo>
                  <a:pt x="52" y="149"/>
                </a:lnTo>
                <a:lnTo>
                  <a:pt x="57" y="141"/>
                </a:lnTo>
                <a:lnTo>
                  <a:pt x="94" y="141"/>
                </a:lnTo>
                <a:lnTo>
                  <a:pt x="129" y="102"/>
                </a:lnTo>
                <a:lnTo>
                  <a:pt x="115" y="87"/>
                </a:lnTo>
                <a:lnTo>
                  <a:pt x="135" y="57"/>
                </a:lnTo>
                <a:lnTo>
                  <a:pt x="159" y="42"/>
                </a:lnTo>
                <a:lnTo>
                  <a:pt x="159" y="25"/>
                </a:lnTo>
                <a:lnTo>
                  <a:pt x="115" y="18"/>
                </a:lnTo>
                <a:lnTo>
                  <a:pt x="100" y="10"/>
                </a:lnTo>
                <a:lnTo>
                  <a:pt x="15" y="0"/>
                </a:lnTo>
                <a:lnTo>
                  <a:pt x="8" y="10"/>
                </a:lnTo>
                <a:lnTo>
                  <a:pt x="0" y="10"/>
                </a:lnTo>
                <a:lnTo>
                  <a:pt x="0" y="18"/>
                </a:lnTo>
                <a:lnTo>
                  <a:pt x="8" y="42"/>
                </a:lnTo>
                <a:close/>
              </a:path>
            </a:pathLst>
          </a:custGeom>
          <a:solidFill>
            <a:srgbClr val="CDF59B"/>
          </a:solidFill>
          <a:ln w="9525">
            <a:solidFill>
              <a:srgbClr val="FFFFFF"/>
            </a:solidFill>
            <a:miter lim="800000"/>
            <a:headEnd/>
            <a:tailEnd/>
          </a:ln>
        </xdr:spPr>
        <xdr:txBody>
          <a:bodyPr vertOverflow="clip" wrap="square" lIns="36576" tIns="32004" rIns="0" bIns="0" anchor="t"/>
          <a:lstStyle/>
          <a:p>
            <a:pPr algn="l" rtl="0">
              <a:defRPr sz="1000"/>
            </a:pPr>
            <a:endParaRPr lang="en-US" sz="1600" b="0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 algn="l" rtl="0">
              <a:defRPr sz="1000"/>
            </a:pPr>
            <a:endParaRPr lang="en-US"/>
          </a:p>
        </xdr:txBody>
      </xdr:sp>
      <xdr:sp macro="" textlink="">
        <xdr:nvSpPr>
          <xdr:cNvPr id="25900" name="Freeform 218"/>
          <xdr:cNvSpPr>
            <a:spLocks/>
          </xdr:cNvSpPr>
        </xdr:nvSpPr>
        <xdr:spPr bwMode="auto">
          <a:xfrm>
            <a:off x="593" y="388"/>
            <a:ext cx="5" cy="6"/>
          </a:xfrm>
          <a:custGeom>
            <a:avLst/>
            <a:gdLst>
              <a:gd name="T0" fmla="*/ 0 w 21"/>
              <a:gd name="T1" fmla="*/ 0 h 27"/>
              <a:gd name="T2" fmla="*/ 0 w 21"/>
              <a:gd name="T3" fmla="*/ 0 h 27"/>
              <a:gd name="T4" fmla="*/ 0 w 21"/>
              <a:gd name="T5" fmla="*/ 0 h 27"/>
              <a:gd name="T6" fmla="*/ 0 w 21"/>
              <a:gd name="T7" fmla="*/ 0 h 27"/>
              <a:gd name="T8" fmla="*/ 0 w 21"/>
              <a:gd name="T9" fmla="*/ 0 h 27"/>
              <a:gd name="T10" fmla="*/ 0 w 21"/>
              <a:gd name="T11" fmla="*/ 0 h 27"/>
              <a:gd name="T12" fmla="*/ 0 w 21"/>
              <a:gd name="T13" fmla="*/ 0 h 27"/>
              <a:gd name="T14" fmla="*/ 0 60000 65536"/>
              <a:gd name="T15" fmla="*/ 0 60000 65536"/>
              <a:gd name="T16" fmla="*/ 0 60000 65536"/>
              <a:gd name="T17" fmla="*/ 0 60000 65536"/>
              <a:gd name="T18" fmla="*/ 0 60000 65536"/>
              <a:gd name="T19" fmla="*/ 0 60000 65536"/>
              <a:gd name="T20" fmla="*/ 0 60000 65536"/>
              <a:gd name="T21" fmla="*/ 0 w 21"/>
              <a:gd name="T22" fmla="*/ 0 h 27"/>
              <a:gd name="T23" fmla="*/ 21 w 21"/>
              <a:gd name="T24" fmla="*/ 27 h 27"/>
            </a:gdLst>
            <a:ahLst/>
            <a:cxnLst>
              <a:cxn ang="T14">
                <a:pos x="T0" y="T1"/>
              </a:cxn>
              <a:cxn ang="T15">
                <a:pos x="T2" y="T3"/>
              </a:cxn>
              <a:cxn ang="T16">
                <a:pos x="T4" y="T5"/>
              </a:cxn>
              <a:cxn ang="T17">
                <a:pos x="T6" y="T7"/>
              </a:cxn>
              <a:cxn ang="T18">
                <a:pos x="T8" y="T9"/>
              </a:cxn>
              <a:cxn ang="T19">
                <a:pos x="T10" y="T11"/>
              </a:cxn>
              <a:cxn ang="T20">
                <a:pos x="T12" y="T13"/>
              </a:cxn>
            </a:cxnLst>
            <a:rect l="T21" t="T22" r="T23" b="T24"/>
            <a:pathLst>
              <a:path w="21" h="27">
                <a:moveTo>
                  <a:pt x="0" y="14"/>
                </a:moveTo>
                <a:lnTo>
                  <a:pt x="8" y="27"/>
                </a:lnTo>
                <a:lnTo>
                  <a:pt x="21" y="14"/>
                </a:lnTo>
                <a:lnTo>
                  <a:pt x="8" y="0"/>
                </a:lnTo>
                <a:lnTo>
                  <a:pt x="0" y="14"/>
                </a:lnTo>
                <a:close/>
              </a:path>
            </a:pathLst>
          </a:custGeom>
          <a:solidFill>
            <a:srgbClr val="CDF59B"/>
          </a:solidFill>
          <a:ln w="9525">
            <a:solidFill>
              <a:srgbClr val="FFFFFF"/>
            </a:solidFill>
            <a:miter lim="800000"/>
            <a:headEnd/>
            <a:tailEnd/>
          </a:ln>
        </xdr:spPr>
        <xdr:txBody>
          <a:bodyPr vertOverflow="clip" wrap="square" lIns="36576" tIns="32004" rIns="0" bIns="0" anchor="t"/>
          <a:lstStyle/>
          <a:p>
            <a:pPr algn="l" rtl="0">
              <a:defRPr sz="1000"/>
            </a:pPr>
            <a:endParaRPr lang="en-US" sz="1600" b="0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 algn="l" rtl="0">
              <a:defRPr sz="1000"/>
            </a:pPr>
            <a:endParaRPr lang="en-US"/>
          </a:p>
        </xdr:txBody>
      </xdr:sp>
    </xdr:grpSp>
    <xdr:clientData/>
  </xdr:twoCellAnchor>
  <xdr:twoCellAnchor>
    <xdr:from>
      <xdr:col>10</xdr:col>
      <xdr:colOff>200025</xdr:colOff>
      <xdr:row>22</xdr:row>
      <xdr:rowOff>66675</xdr:rowOff>
    </xdr:from>
    <xdr:to>
      <xdr:col>10</xdr:col>
      <xdr:colOff>257175</xdr:colOff>
      <xdr:row>23</xdr:row>
      <xdr:rowOff>28575</xdr:rowOff>
    </xdr:to>
    <xdr:sp macro="" textlink="">
      <xdr:nvSpPr>
        <xdr:cNvPr id="25885" name="S_ALB"/>
        <xdr:cNvSpPr>
          <a:spLocks/>
        </xdr:cNvSpPr>
      </xdr:nvSpPr>
      <xdr:spPr bwMode="auto">
        <a:xfrm>
          <a:off x="6029325" y="3476625"/>
          <a:ext cx="57150" cy="123825"/>
        </a:xfrm>
        <a:custGeom>
          <a:avLst/>
          <a:gdLst>
            <a:gd name="T0" fmla="*/ 0 w 27"/>
            <a:gd name="T1" fmla="*/ 0 h 57"/>
            <a:gd name="T2" fmla="*/ 35841523 w 27"/>
            <a:gd name="T3" fmla="*/ 0 h 57"/>
            <a:gd name="T4" fmla="*/ 76164028 w 27"/>
            <a:gd name="T5" fmla="*/ 61349857 h 57"/>
            <a:gd name="T6" fmla="*/ 76164028 w 27"/>
            <a:gd name="T7" fmla="*/ 103821838 h 57"/>
            <a:gd name="T8" fmla="*/ 120967499 w 27"/>
            <a:gd name="T9" fmla="*/ 141575418 h 57"/>
            <a:gd name="T10" fmla="*/ 120967499 w 27"/>
            <a:gd name="T11" fmla="*/ 165171712 h 57"/>
            <a:gd name="T12" fmla="*/ 35841523 w 27"/>
            <a:gd name="T13" fmla="*/ 268993516 h 57"/>
            <a:gd name="T14" fmla="*/ 0 w 27"/>
            <a:gd name="T15" fmla="*/ 235958318 h 57"/>
            <a:gd name="T16" fmla="*/ 0 w 27"/>
            <a:gd name="T17" fmla="*/ 0 h 57"/>
            <a:gd name="T18" fmla="*/ 0 w 27"/>
            <a:gd name="T19" fmla="*/ 0 h 57"/>
            <a:gd name="T20" fmla="*/ 0 w 27"/>
            <a:gd name="T21" fmla="*/ 0 h 57"/>
            <a:gd name="T22" fmla="*/ 0 60000 65536"/>
            <a:gd name="T23" fmla="*/ 0 60000 65536"/>
            <a:gd name="T24" fmla="*/ 0 60000 65536"/>
            <a:gd name="T25" fmla="*/ 0 60000 65536"/>
            <a:gd name="T26" fmla="*/ 0 60000 65536"/>
            <a:gd name="T27" fmla="*/ 0 60000 65536"/>
            <a:gd name="T28" fmla="*/ 0 60000 65536"/>
            <a:gd name="T29" fmla="*/ 0 60000 65536"/>
            <a:gd name="T30" fmla="*/ 0 60000 65536"/>
            <a:gd name="T31" fmla="*/ 0 60000 65536"/>
            <a:gd name="T32" fmla="*/ 0 60000 65536"/>
            <a:gd name="T33" fmla="*/ 0 w 27"/>
            <a:gd name="T34" fmla="*/ 0 h 57"/>
            <a:gd name="T35" fmla="*/ 27 w 27"/>
            <a:gd name="T36" fmla="*/ 57 h 57"/>
          </a:gdLst>
          <a:ahLst/>
          <a:cxnLst>
            <a:cxn ang="T22">
              <a:pos x="T0" y="T1"/>
            </a:cxn>
            <a:cxn ang="T23">
              <a:pos x="T2" y="T3"/>
            </a:cxn>
            <a:cxn ang="T24">
              <a:pos x="T4" y="T5"/>
            </a:cxn>
            <a:cxn ang="T25">
              <a:pos x="T6" y="T7"/>
            </a:cxn>
            <a:cxn ang="T26">
              <a:pos x="T8" y="T9"/>
            </a:cxn>
            <a:cxn ang="T27">
              <a:pos x="T10" y="T11"/>
            </a:cxn>
            <a:cxn ang="T28">
              <a:pos x="T12" y="T13"/>
            </a:cxn>
            <a:cxn ang="T29">
              <a:pos x="T14" y="T15"/>
            </a:cxn>
            <a:cxn ang="T30">
              <a:pos x="T16" y="T17"/>
            </a:cxn>
            <a:cxn ang="T31">
              <a:pos x="T18" y="T19"/>
            </a:cxn>
            <a:cxn ang="T32">
              <a:pos x="T20" y="T21"/>
            </a:cxn>
          </a:cxnLst>
          <a:rect l="T33" t="T34" r="T35" b="T36"/>
          <a:pathLst>
            <a:path w="27" h="57">
              <a:moveTo>
                <a:pt x="0" y="0"/>
              </a:moveTo>
              <a:lnTo>
                <a:pt x="8" y="0"/>
              </a:lnTo>
              <a:lnTo>
                <a:pt x="17" y="13"/>
              </a:lnTo>
              <a:lnTo>
                <a:pt x="17" y="22"/>
              </a:lnTo>
              <a:lnTo>
                <a:pt x="27" y="30"/>
              </a:lnTo>
              <a:lnTo>
                <a:pt x="27" y="35"/>
              </a:lnTo>
              <a:lnTo>
                <a:pt x="8" y="57"/>
              </a:lnTo>
              <a:lnTo>
                <a:pt x="0" y="50"/>
              </a:lnTo>
              <a:lnTo>
                <a:pt x="0" y="0"/>
              </a:lnTo>
              <a:close/>
            </a:path>
          </a:pathLst>
        </a:custGeom>
        <a:solidFill>
          <a:srgbClr val="F5F5F5"/>
        </a:solidFill>
        <a:ln w="9525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36576" tIns="32004" rIns="0" bIns="0" anchor="t"/>
        <a:lstStyle/>
        <a:p>
          <a:pPr algn="l" rtl="0">
            <a:defRPr sz="1000"/>
          </a:pPr>
          <a:endParaRPr lang="en-US" sz="16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en-US"/>
        </a:p>
      </xdr:txBody>
    </xdr:sp>
    <xdr:clientData/>
  </xdr:twoCellAnchor>
  <xdr:twoCellAnchor>
    <xdr:from>
      <xdr:col>10</xdr:col>
      <xdr:colOff>285750</xdr:colOff>
      <xdr:row>22</xdr:row>
      <xdr:rowOff>0</xdr:rowOff>
    </xdr:from>
    <xdr:to>
      <xdr:col>10</xdr:col>
      <xdr:colOff>447675</xdr:colOff>
      <xdr:row>22</xdr:row>
      <xdr:rowOff>123825</xdr:rowOff>
    </xdr:to>
    <xdr:sp macro="" textlink="">
      <xdr:nvSpPr>
        <xdr:cNvPr id="25886" name="S_BGR"/>
        <xdr:cNvSpPr>
          <a:spLocks/>
        </xdr:cNvSpPr>
      </xdr:nvSpPr>
      <xdr:spPr bwMode="auto">
        <a:xfrm>
          <a:off x="6115050" y="3409950"/>
          <a:ext cx="161925" cy="123825"/>
        </a:xfrm>
        <a:custGeom>
          <a:avLst/>
          <a:gdLst>
            <a:gd name="T0" fmla="*/ 2147483647 w 78"/>
            <a:gd name="T1" fmla="*/ 2147483647 h 62"/>
            <a:gd name="T2" fmla="*/ 2147483647 w 78"/>
            <a:gd name="T3" fmla="*/ 2147483647 h 62"/>
            <a:gd name="T4" fmla="*/ 2147483647 w 78"/>
            <a:gd name="T5" fmla="*/ 2147483647 h 62"/>
            <a:gd name="T6" fmla="*/ 2147483647 w 78"/>
            <a:gd name="T7" fmla="*/ 2147483647 h 62"/>
            <a:gd name="T8" fmla="*/ 2147483647 w 78"/>
            <a:gd name="T9" fmla="*/ 2147483647 h 62"/>
            <a:gd name="T10" fmla="*/ 2147483647 w 78"/>
            <a:gd name="T11" fmla="*/ 2147483647 h 62"/>
            <a:gd name="T12" fmla="*/ 2147483647 w 78"/>
            <a:gd name="T13" fmla="*/ 2147483647 h 62"/>
            <a:gd name="T14" fmla="*/ 2147483647 w 78"/>
            <a:gd name="T15" fmla="*/ 2147483647 h 62"/>
            <a:gd name="T16" fmla="*/ 2147483647 w 78"/>
            <a:gd name="T17" fmla="*/ 2147483647 h 62"/>
            <a:gd name="T18" fmla="*/ 2147483647 w 78"/>
            <a:gd name="T19" fmla="*/ 2147483647 h 62"/>
            <a:gd name="T20" fmla="*/ 0 w 78"/>
            <a:gd name="T21" fmla="*/ 2147483647 h 62"/>
            <a:gd name="T22" fmla="*/ 2147483647 w 78"/>
            <a:gd name="T23" fmla="*/ 2147483647 h 62"/>
            <a:gd name="T24" fmla="*/ 0 w 78"/>
            <a:gd name="T25" fmla="*/ 2147483647 h 62"/>
            <a:gd name="T26" fmla="*/ 0 w 78"/>
            <a:gd name="T27" fmla="*/ 0 h 62"/>
            <a:gd name="T28" fmla="*/ 2147483647 w 78"/>
            <a:gd name="T29" fmla="*/ 2147483647 h 62"/>
            <a:gd name="T30" fmla="*/ 2147483647 w 78"/>
            <a:gd name="T31" fmla="*/ 2147483647 h 62"/>
            <a:gd name="T32" fmla="*/ 2147483647 w 78"/>
            <a:gd name="T33" fmla="*/ 2147483647 h 62"/>
            <a:gd name="T34" fmla="*/ 2147483647 w 78"/>
            <a:gd name="T35" fmla="*/ 0 h 62"/>
            <a:gd name="T36" fmla="*/ 2147483647 w 78"/>
            <a:gd name="T37" fmla="*/ 2147483647 h 62"/>
            <a:gd name="T38" fmla="*/ 2147483647 w 78"/>
            <a:gd name="T39" fmla="*/ 2147483647 h 62"/>
            <a:gd name="T40" fmla="*/ 2147483647 w 78"/>
            <a:gd name="T41" fmla="*/ 2147483647 h 62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60000 65536"/>
            <a:gd name="T52" fmla="*/ 0 60000 65536"/>
            <a:gd name="T53" fmla="*/ 0 60000 65536"/>
            <a:gd name="T54" fmla="*/ 0 60000 65536"/>
            <a:gd name="T55" fmla="*/ 0 60000 65536"/>
            <a:gd name="T56" fmla="*/ 0 60000 65536"/>
            <a:gd name="T57" fmla="*/ 0 60000 65536"/>
            <a:gd name="T58" fmla="*/ 0 60000 65536"/>
            <a:gd name="T59" fmla="*/ 0 60000 65536"/>
            <a:gd name="T60" fmla="*/ 0 60000 65536"/>
            <a:gd name="T61" fmla="*/ 0 60000 65536"/>
            <a:gd name="T62" fmla="*/ 0 60000 65536"/>
            <a:gd name="T63" fmla="*/ 0 w 78"/>
            <a:gd name="T64" fmla="*/ 0 h 62"/>
            <a:gd name="T65" fmla="*/ 78 w 78"/>
            <a:gd name="T66" fmla="*/ 62 h 62"/>
          </a:gdLst>
          <a:ahLst/>
          <a:cxnLst>
            <a:cxn ang="T42">
              <a:pos x="T0" y="T1"/>
            </a:cxn>
            <a:cxn ang="T43">
              <a:pos x="T2" y="T3"/>
            </a:cxn>
            <a:cxn ang="T44">
              <a:pos x="T4" y="T5"/>
            </a:cxn>
            <a:cxn ang="T45">
              <a:pos x="T6" y="T7"/>
            </a:cxn>
            <a:cxn ang="T46">
              <a:pos x="T8" y="T9"/>
            </a:cxn>
            <a:cxn ang="T47">
              <a:pos x="T10" y="T11"/>
            </a:cxn>
            <a:cxn ang="T48">
              <a:pos x="T12" y="T13"/>
            </a:cxn>
            <a:cxn ang="T49">
              <a:pos x="T14" y="T15"/>
            </a:cxn>
            <a:cxn ang="T50">
              <a:pos x="T16" y="T17"/>
            </a:cxn>
            <a:cxn ang="T51">
              <a:pos x="T18" y="T19"/>
            </a:cxn>
            <a:cxn ang="T52">
              <a:pos x="T20" y="T21"/>
            </a:cxn>
            <a:cxn ang="T53">
              <a:pos x="T22" y="T23"/>
            </a:cxn>
            <a:cxn ang="T54">
              <a:pos x="T24" y="T25"/>
            </a:cxn>
            <a:cxn ang="T55">
              <a:pos x="T26" y="T27"/>
            </a:cxn>
            <a:cxn ang="T56">
              <a:pos x="T28" y="T29"/>
            </a:cxn>
            <a:cxn ang="T57">
              <a:pos x="T30" y="T31"/>
            </a:cxn>
            <a:cxn ang="T58">
              <a:pos x="T32" y="T33"/>
            </a:cxn>
            <a:cxn ang="T59">
              <a:pos x="T34" y="T35"/>
            </a:cxn>
            <a:cxn ang="T60">
              <a:pos x="T36" y="T37"/>
            </a:cxn>
            <a:cxn ang="T61">
              <a:pos x="T38" y="T39"/>
            </a:cxn>
            <a:cxn ang="T62">
              <a:pos x="T40" y="T41"/>
            </a:cxn>
          </a:cxnLst>
          <a:rect l="T63" t="T64" r="T65" b="T66"/>
          <a:pathLst>
            <a:path w="78" h="62">
              <a:moveTo>
                <a:pt x="78" y="9"/>
              </a:moveTo>
              <a:lnTo>
                <a:pt x="78" y="17"/>
              </a:lnTo>
              <a:lnTo>
                <a:pt x="72" y="17"/>
              </a:lnTo>
              <a:lnTo>
                <a:pt x="67" y="32"/>
              </a:lnTo>
              <a:lnTo>
                <a:pt x="72" y="47"/>
              </a:lnTo>
              <a:lnTo>
                <a:pt x="57" y="47"/>
              </a:lnTo>
              <a:lnTo>
                <a:pt x="45" y="62"/>
              </a:lnTo>
              <a:lnTo>
                <a:pt x="21" y="56"/>
              </a:lnTo>
              <a:lnTo>
                <a:pt x="6" y="56"/>
              </a:lnTo>
              <a:lnTo>
                <a:pt x="6" y="47"/>
              </a:lnTo>
              <a:lnTo>
                <a:pt x="0" y="32"/>
              </a:lnTo>
              <a:lnTo>
                <a:pt x="6" y="25"/>
              </a:lnTo>
              <a:lnTo>
                <a:pt x="0" y="9"/>
              </a:lnTo>
              <a:lnTo>
                <a:pt x="0" y="0"/>
              </a:lnTo>
              <a:lnTo>
                <a:pt x="6" y="9"/>
              </a:lnTo>
              <a:lnTo>
                <a:pt x="13" y="9"/>
              </a:lnTo>
              <a:lnTo>
                <a:pt x="45" y="17"/>
              </a:lnTo>
              <a:lnTo>
                <a:pt x="57" y="0"/>
              </a:lnTo>
              <a:lnTo>
                <a:pt x="78" y="9"/>
              </a:lnTo>
              <a:close/>
            </a:path>
          </a:pathLst>
        </a:custGeom>
        <a:solidFill>
          <a:srgbClr val="F5F5F5"/>
        </a:solidFill>
        <a:ln w="9525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36576" tIns="32004" rIns="0" bIns="0" anchor="t"/>
        <a:lstStyle/>
        <a:p>
          <a:pPr algn="l" rtl="0">
            <a:defRPr sz="1000"/>
          </a:pPr>
          <a:endParaRPr lang="en-US" sz="16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en-US"/>
        </a:p>
      </xdr:txBody>
    </xdr:sp>
    <xdr:clientData/>
  </xdr:twoCellAnchor>
  <xdr:twoCellAnchor>
    <xdr:from>
      <xdr:col>10</xdr:col>
      <xdr:colOff>104775</xdr:colOff>
      <xdr:row>20</xdr:row>
      <xdr:rowOff>114300</xdr:rowOff>
    </xdr:from>
    <xdr:to>
      <xdr:col>10</xdr:col>
      <xdr:colOff>285750</xdr:colOff>
      <xdr:row>21</xdr:row>
      <xdr:rowOff>104775</xdr:rowOff>
    </xdr:to>
    <xdr:sp macro="" textlink="">
      <xdr:nvSpPr>
        <xdr:cNvPr id="25887" name="S_HUN"/>
        <xdr:cNvSpPr>
          <a:spLocks/>
        </xdr:cNvSpPr>
      </xdr:nvSpPr>
      <xdr:spPr bwMode="auto">
        <a:xfrm>
          <a:off x="5934075" y="3200400"/>
          <a:ext cx="180975" cy="152400"/>
        </a:xfrm>
        <a:custGeom>
          <a:avLst/>
          <a:gdLst>
            <a:gd name="T0" fmla="*/ 2147483647 w 86"/>
            <a:gd name="T1" fmla="*/ 2147483647 h 69"/>
            <a:gd name="T2" fmla="*/ 2147483647 w 86"/>
            <a:gd name="T3" fmla="*/ 2147483647 h 69"/>
            <a:gd name="T4" fmla="*/ 2147483647 w 86"/>
            <a:gd name="T5" fmla="*/ 2147483647 h 69"/>
            <a:gd name="T6" fmla="*/ 2147483647 w 86"/>
            <a:gd name="T7" fmla="*/ 2147483647 h 69"/>
            <a:gd name="T8" fmla="*/ 2147483647 w 86"/>
            <a:gd name="T9" fmla="*/ 2147483647 h 69"/>
            <a:gd name="T10" fmla="*/ 2147483647 w 86"/>
            <a:gd name="T11" fmla="*/ 2147483647 h 69"/>
            <a:gd name="T12" fmla="*/ 2147483647 w 86"/>
            <a:gd name="T13" fmla="*/ 0 h 69"/>
            <a:gd name="T14" fmla="*/ 2147483647 w 86"/>
            <a:gd name="T15" fmla="*/ 2147483647 h 69"/>
            <a:gd name="T16" fmla="*/ 2147483647 w 86"/>
            <a:gd name="T17" fmla="*/ 2147483647 h 69"/>
            <a:gd name="T18" fmla="*/ 0 w 86"/>
            <a:gd name="T19" fmla="*/ 2147483647 h 69"/>
            <a:gd name="T20" fmla="*/ 0 w 86"/>
            <a:gd name="T21" fmla="*/ 2147483647 h 69"/>
            <a:gd name="T22" fmla="*/ 2147483647 w 86"/>
            <a:gd name="T23" fmla="*/ 2147483647 h 69"/>
            <a:gd name="T24" fmla="*/ 2147483647 w 86"/>
            <a:gd name="T25" fmla="*/ 2147483647 h 69"/>
            <a:gd name="T26" fmla="*/ 2147483647 w 86"/>
            <a:gd name="T27" fmla="*/ 2147483647 h 69"/>
            <a:gd name="T28" fmla="*/ 0 60000 65536"/>
            <a:gd name="T29" fmla="*/ 0 60000 65536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w 86"/>
            <a:gd name="T43" fmla="*/ 0 h 69"/>
            <a:gd name="T44" fmla="*/ 86 w 86"/>
            <a:gd name="T45" fmla="*/ 69 h 69"/>
          </a:gdLst>
          <a:ahLst/>
          <a:cxnLst>
            <a:cxn ang="T28">
              <a:pos x="T0" y="T1"/>
            </a:cxn>
            <a:cxn ang="T29">
              <a:pos x="T2" y="T3"/>
            </a:cxn>
            <a:cxn ang="T30">
              <a:pos x="T4" y="T5"/>
            </a:cxn>
            <a:cxn ang="T31">
              <a:pos x="T6" y="T7"/>
            </a:cxn>
            <a:cxn ang="T32">
              <a:pos x="T8" y="T9"/>
            </a:cxn>
            <a:cxn ang="T33">
              <a:pos x="T10" y="T11"/>
            </a:cxn>
            <a:cxn ang="T34">
              <a:pos x="T12" y="T13"/>
            </a:cxn>
            <a:cxn ang="T35">
              <a:pos x="T14" y="T15"/>
            </a:cxn>
            <a:cxn ang="T36">
              <a:pos x="T16" y="T17"/>
            </a:cxn>
            <a:cxn ang="T37">
              <a:pos x="T18" y="T19"/>
            </a:cxn>
            <a:cxn ang="T38">
              <a:pos x="T20" y="T21"/>
            </a:cxn>
            <a:cxn ang="T39">
              <a:pos x="T22" y="T23"/>
            </a:cxn>
            <a:cxn ang="T40">
              <a:pos x="T24" y="T25"/>
            </a:cxn>
            <a:cxn ang="T41">
              <a:pos x="T26" y="T27"/>
            </a:cxn>
          </a:cxnLst>
          <a:rect l="T42" t="T43" r="T44" b="T45"/>
          <a:pathLst>
            <a:path w="86" h="69">
              <a:moveTo>
                <a:pt x="29" y="69"/>
              </a:moveTo>
              <a:lnTo>
                <a:pt x="49" y="52"/>
              </a:lnTo>
              <a:lnTo>
                <a:pt x="64" y="52"/>
              </a:lnTo>
              <a:lnTo>
                <a:pt x="71" y="22"/>
              </a:lnTo>
              <a:lnTo>
                <a:pt x="86" y="22"/>
              </a:lnTo>
              <a:lnTo>
                <a:pt x="71" y="6"/>
              </a:lnTo>
              <a:lnTo>
                <a:pt x="55" y="0"/>
              </a:lnTo>
              <a:lnTo>
                <a:pt x="20" y="22"/>
              </a:lnTo>
              <a:lnTo>
                <a:pt x="7" y="22"/>
              </a:lnTo>
              <a:lnTo>
                <a:pt x="0" y="37"/>
              </a:lnTo>
              <a:lnTo>
                <a:pt x="0" y="45"/>
              </a:lnTo>
              <a:lnTo>
                <a:pt x="20" y="69"/>
              </a:lnTo>
              <a:lnTo>
                <a:pt x="29" y="69"/>
              </a:lnTo>
              <a:close/>
            </a:path>
          </a:pathLst>
        </a:custGeom>
        <a:solidFill>
          <a:srgbClr val="F5F5F5"/>
        </a:solidFill>
        <a:ln w="9525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36576" tIns="32004" rIns="0" bIns="0" anchor="t"/>
        <a:lstStyle/>
        <a:p>
          <a:pPr algn="l" rtl="0">
            <a:defRPr sz="1000"/>
          </a:pPr>
          <a:endParaRPr lang="en-US" sz="16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en-US"/>
        </a:p>
      </xdr:txBody>
    </xdr:sp>
    <xdr:clientData/>
  </xdr:twoCellAnchor>
  <xdr:twoCellAnchor>
    <xdr:from>
      <xdr:col>10</xdr:col>
      <xdr:colOff>28575</xdr:colOff>
      <xdr:row>21</xdr:row>
      <xdr:rowOff>57150</xdr:rowOff>
    </xdr:from>
    <xdr:to>
      <xdr:col>10</xdr:col>
      <xdr:colOff>200025</xdr:colOff>
      <xdr:row>22</xdr:row>
      <xdr:rowOff>66675</xdr:rowOff>
    </xdr:to>
    <xdr:sp macro="" textlink="">
      <xdr:nvSpPr>
        <xdr:cNvPr id="25888" name="S_HRV"/>
        <xdr:cNvSpPr>
          <a:spLocks/>
        </xdr:cNvSpPr>
      </xdr:nvSpPr>
      <xdr:spPr bwMode="auto">
        <a:xfrm>
          <a:off x="5857875" y="3305175"/>
          <a:ext cx="171450" cy="171450"/>
        </a:xfrm>
        <a:custGeom>
          <a:avLst/>
          <a:gdLst>
            <a:gd name="T0" fmla="*/ 174533957 w 80"/>
            <a:gd name="T1" fmla="*/ 0 h 84"/>
            <a:gd name="T2" fmla="*/ 266392546 w 80"/>
            <a:gd name="T3" fmla="*/ 95818095 h 84"/>
            <a:gd name="T4" fmla="*/ 307729192 w 80"/>
            <a:gd name="T5" fmla="*/ 95818095 h 84"/>
            <a:gd name="T6" fmla="*/ 367438775 w 80"/>
            <a:gd name="T7" fmla="*/ 124978872 h 84"/>
            <a:gd name="T8" fmla="*/ 367438775 w 80"/>
            <a:gd name="T9" fmla="*/ 158307547 h 84"/>
            <a:gd name="T10" fmla="*/ 307729192 w 80"/>
            <a:gd name="T11" fmla="*/ 158307547 h 84"/>
            <a:gd name="T12" fmla="*/ 307729192 w 80"/>
            <a:gd name="T13" fmla="*/ 124978872 h 84"/>
            <a:gd name="T14" fmla="*/ 206685106 w 80"/>
            <a:gd name="T15" fmla="*/ 95818095 h 84"/>
            <a:gd name="T16" fmla="*/ 174533957 w 80"/>
            <a:gd name="T17" fmla="*/ 124978872 h 84"/>
            <a:gd name="T18" fmla="*/ 174533957 w 80"/>
            <a:gd name="T19" fmla="*/ 95818095 h 84"/>
            <a:gd name="T20" fmla="*/ 137790060 w 80"/>
            <a:gd name="T21" fmla="*/ 124978872 h 84"/>
            <a:gd name="T22" fmla="*/ 174533957 w 80"/>
            <a:gd name="T23" fmla="*/ 158307547 h 84"/>
            <a:gd name="T24" fmla="*/ 238834112 w 80"/>
            <a:gd name="T25" fmla="*/ 287452277 h 84"/>
            <a:gd name="T26" fmla="*/ 266392546 w 80"/>
            <a:gd name="T27" fmla="*/ 320780920 h 84"/>
            <a:gd name="T28" fmla="*/ 266392546 w 80"/>
            <a:gd name="T29" fmla="*/ 349941697 h 84"/>
            <a:gd name="T30" fmla="*/ 206685106 w 80"/>
            <a:gd name="T31" fmla="*/ 287452277 h 84"/>
            <a:gd name="T32" fmla="*/ 174533957 w 80"/>
            <a:gd name="T33" fmla="*/ 287452277 h 84"/>
            <a:gd name="T34" fmla="*/ 73487762 w 80"/>
            <a:gd name="T35" fmla="*/ 216631142 h 84"/>
            <a:gd name="T36" fmla="*/ 73487762 w 80"/>
            <a:gd name="T37" fmla="*/ 124978872 h 84"/>
            <a:gd name="T38" fmla="*/ 36743881 w 80"/>
            <a:gd name="T39" fmla="*/ 124978872 h 84"/>
            <a:gd name="T40" fmla="*/ 0 w 80"/>
            <a:gd name="T41" fmla="*/ 158307547 h 84"/>
            <a:gd name="T42" fmla="*/ 0 w 80"/>
            <a:gd name="T43" fmla="*/ 95818095 h 84"/>
            <a:gd name="T44" fmla="*/ 73487762 w 80"/>
            <a:gd name="T45" fmla="*/ 95818095 h 84"/>
            <a:gd name="T46" fmla="*/ 137790060 w 80"/>
            <a:gd name="T47" fmla="*/ 0 h 84"/>
            <a:gd name="T48" fmla="*/ 174533957 w 80"/>
            <a:gd name="T49" fmla="*/ 0 h 84"/>
            <a:gd name="T50" fmla="*/ 174533957 w 80"/>
            <a:gd name="T51" fmla="*/ 0 h 84"/>
            <a:gd name="T52" fmla="*/ 0 60000 65536"/>
            <a:gd name="T53" fmla="*/ 0 60000 65536"/>
            <a:gd name="T54" fmla="*/ 0 60000 65536"/>
            <a:gd name="T55" fmla="*/ 0 60000 65536"/>
            <a:gd name="T56" fmla="*/ 0 60000 65536"/>
            <a:gd name="T57" fmla="*/ 0 60000 65536"/>
            <a:gd name="T58" fmla="*/ 0 60000 65536"/>
            <a:gd name="T59" fmla="*/ 0 60000 65536"/>
            <a:gd name="T60" fmla="*/ 0 60000 65536"/>
            <a:gd name="T61" fmla="*/ 0 60000 65536"/>
            <a:gd name="T62" fmla="*/ 0 60000 65536"/>
            <a:gd name="T63" fmla="*/ 0 60000 65536"/>
            <a:gd name="T64" fmla="*/ 0 60000 65536"/>
            <a:gd name="T65" fmla="*/ 0 60000 65536"/>
            <a:gd name="T66" fmla="*/ 0 60000 65536"/>
            <a:gd name="T67" fmla="*/ 0 60000 65536"/>
            <a:gd name="T68" fmla="*/ 0 60000 65536"/>
            <a:gd name="T69" fmla="*/ 0 60000 65536"/>
            <a:gd name="T70" fmla="*/ 0 60000 65536"/>
            <a:gd name="T71" fmla="*/ 0 60000 65536"/>
            <a:gd name="T72" fmla="*/ 0 60000 65536"/>
            <a:gd name="T73" fmla="*/ 0 60000 65536"/>
            <a:gd name="T74" fmla="*/ 0 60000 65536"/>
            <a:gd name="T75" fmla="*/ 0 60000 65536"/>
            <a:gd name="T76" fmla="*/ 0 60000 65536"/>
            <a:gd name="T77" fmla="*/ 0 60000 65536"/>
            <a:gd name="T78" fmla="*/ 0 w 80"/>
            <a:gd name="T79" fmla="*/ 0 h 84"/>
            <a:gd name="T80" fmla="*/ 80 w 80"/>
            <a:gd name="T81" fmla="*/ 84 h 84"/>
          </a:gdLst>
          <a:ahLst/>
          <a:cxnLst>
            <a:cxn ang="T52">
              <a:pos x="T0" y="T1"/>
            </a:cxn>
            <a:cxn ang="T53">
              <a:pos x="T2" y="T3"/>
            </a:cxn>
            <a:cxn ang="T54">
              <a:pos x="T4" y="T5"/>
            </a:cxn>
            <a:cxn ang="T55">
              <a:pos x="T6" y="T7"/>
            </a:cxn>
            <a:cxn ang="T56">
              <a:pos x="T8" y="T9"/>
            </a:cxn>
            <a:cxn ang="T57">
              <a:pos x="T10" y="T11"/>
            </a:cxn>
            <a:cxn ang="T58">
              <a:pos x="T12" y="T13"/>
            </a:cxn>
            <a:cxn ang="T59">
              <a:pos x="T14" y="T15"/>
            </a:cxn>
            <a:cxn ang="T60">
              <a:pos x="T16" y="T17"/>
            </a:cxn>
            <a:cxn ang="T61">
              <a:pos x="T18" y="T19"/>
            </a:cxn>
            <a:cxn ang="T62">
              <a:pos x="T20" y="T21"/>
            </a:cxn>
            <a:cxn ang="T63">
              <a:pos x="T22" y="T23"/>
            </a:cxn>
            <a:cxn ang="T64">
              <a:pos x="T24" y="T25"/>
            </a:cxn>
            <a:cxn ang="T65">
              <a:pos x="T26" y="T27"/>
            </a:cxn>
            <a:cxn ang="T66">
              <a:pos x="T28" y="T29"/>
            </a:cxn>
            <a:cxn ang="T67">
              <a:pos x="T30" y="T31"/>
            </a:cxn>
            <a:cxn ang="T68">
              <a:pos x="T32" y="T33"/>
            </a:cxn>
            <a:cxn ang="T69">
              <a:pos x="T34" y="T35"/>
            </a:cxn>
            <a:cxn ang="T70">
              <a:pos x="T36" y="T37"/>
            </a:cxn>
            <a:cxn ang="T71">
              <a:pos x="T38" y="T39"/>
            </a:cxn>
            <a:cxn ang="T72">
              <a:pos x="T40" y="T41"/>
            </a:cxn>
            <a:cxn ang="T73">
              <a:pos x="T42" y="T43"/>
            </a:cxn>
            <a:cxn ang="T74">
              <a:pos x="T44" y="T45"/>
            </a:cxn>
            <a:cxn ang="T75">
              <a:pos x="T46" y="T47"/>
            </a:cxn>
            <a:cxn ang="T76">
              <a:pos x="T48" y="T49"/>
            </a:cxn>
            <a:cxn ang="T77">
              <a:pos x="T50" y="T51"/>
            </a:cxn>
          </a:cxnLst>
          <a:rect l="T78" t="T79" r="T80" b="T81"/>
          <a:pathLst>
            <a:path w="80" h="84">
              <a:moveTo>
                <a:pt x="38" y="0"/>
              </a:moveTo>
              <a:lnTo>
                <a:pt x="58" y="23"/>
              </a:lnTo>
              <a:lnTo>
                <a:pt x="67" y="23"/>
              </a:lnTo>
              <a:lnTo>
                <a:pt x="80" y="30"/>
              </a:lnTo>
              <a:lnTo>
                <a:pt x="80" y="38"/>
              </a:lnTo>
              <a:lnTo>
                <a:pt x="67" y="38"/>
              </a:lnTo>
              <a:lnTo>
                <a:pt x="67" y="30"/>
              </a:lnTo>
              <a:lnTo>
                <a:pt x="45" y="23"/>
              </a:lnTo>
              <a:lnTo>
                <a:pt x="38" y="30"/>
              </a:lnTo>
              <a:lnTo>
                <a:pt x="38" y="23"/>
              </a:lnTo>
              <a:lnTo>
                <a:pt x="30" y="30"/>
              </a:lnTo>
              <a:lnTo>
                <a:pt x="38" y="38"/>
              </a:lnTo>
              <a:lnTo>
                <a:pt x="52" y="69"/>
              </a:lnTo>
              <a:lnTo>
                <a:pt x="58" y="77"/>
              </a:lnTo>
              <a:lnTo>
                <a:pt x="58" y="84"/>
              </a:lnTo>
              <a:lnTo>
                <a:pt x="45" y="69"/>
              </a:lnTo>
              <a:lnTo>
                <a:pt x="38" y="69"/>
              </a:lnTo>
              <a:lnTo>
                <a:pt x="16" y="52"/>
              </a:lnTo>
              <a:lnTo>
                <a:pt x="16" y="30"/>
              </a:lnTo>
              <a:lnTo>
                <a:pt x="8" y="30"/>
              </a:lnTo>
              <a:lnTo>
                <a:pt x="0" y="38"/>
              </a:lnTo>
              <a:lnTo>
                <a:pt x="0" y="23"/>
              </a:lnTo>
              <a:lnTo>
                <a:pt x="16" y="23"/>
              </a:lnTo>
              <a:lnTo>
                <a:pt x="30" y="0"/>
              </a:lnTo>
              <a:lnTo>
                <a:pt x="38" y="0"/>
              </a:lnTo>
              <a:close/>
            </a:path>
          </a:pathLst>
        </a:custGeom>
        <a:solidFill>
          <a:srgbClr val="F5F5F5"/>
        </a:solidFill>
        <a:ln w="9525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36576" tIns="32004" rIns="0" bIns="0" anchor="t"/>
        <a:lstStyle/>
        <a:p>
          <a:pPr algn="l" rtl="0">
            <a:defRPr sz="1000"/>
          </a:pPr>
          <a:endParaRPr lang="en-US" sz="16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en-US"/>
        </a:p>
      </xdr:txBody>
    </xdr:sp>
    <xdr:clientData/>
  </xdr:twoCellAnchor>
  <xdr:twoCellAnchor>
    <xdr:from>
      <xdr:col>10</xdr:col>
      <xdr:colOff>171450</xdr:colOff>
      <xdr:row>21</xdr:row>
      <xdr:rowOff>66675</xdr:rowOff>
    </xdr:from>
    <xdr:to>
      <xdr:col>10</xdr:col>
      <xdr:colOff>304800</xdr:colOff>
      <xdr:row>22</xdr:row>
      <xdr:rowOff>95250</xdr:rowOff>
    </xdr:to>
    <xdr:sp macro="" textlink="">
      <xdr:nvSpPr>
        <xdr:cNvPr id="25889" name="S_SR"/>
        <xdr:cNvSpPr>
          <a:spLocks/>
        </xdr:cNvSpPr>
      </xdr:nvSpPr>
      <xdr:spPr bwMode="auto">
        <a:xfrm>
          <a:off x="6000750" y="3314700"/>
          <a:ext cx="133350" cy="190500"/>
        </a:xfrm>
        <a:custGeom>
          <a:avLst/>
          <a:gdLst>
            <a:gd name="T0" fmla="*/ 58244319 w 63"/>
            <a:gd name="T1" fmla="*/ 138889336 h 90"/>
            <a:gd name="T2" fmla="*/ 58244319 w 63"/>
            <a:gd name="T3" fmla="*/ 94085835 h 90"/>
            <a:gd name="T4" fmla="*/ 0 w 63"/>
            <a:gd name="T5" fmla="*/ 67204160 h 90"/>
            <a:gd name="T6" fmla="*/ 89604861 w 63"/>
            <a:gd name="T7" fmla="*/ 0 h 90"/>
            <a:gd name="T8" fmla="*/ 156809045 w 63"/>
            <a:gd name="T9" fmla="*/ 138889336 h 90"/>
            <a:gd name="T10" fmla="*/ 255375838 w 63"/>
            <a:gd name="T11" fmla="*/ 138889336 h 90"/>
            <a:gd name="T12" fmla="*/ 255375838 w 63"/>
            <a:gd name="T13" fmla="*/ 232975137 h 90"/>
            <a:gd name="T14" fmla="*/ 282257564 w 63"/>
            <a:gd name="T15" fmla="*/ 300179347 h 90"/>
            <a:gd name="T16" fmla="*/ 255375838 w 63"/>
            <a:gd name="T17" fmla="*/ 336020852 h 90"/>
            <a:gd name="T18" fmla="*/ 156809045 w 63"/>
            <a:gd name="T19" fmla="*/ 336020852 h 90"/>
            <a:gd name="T20" fmla="*/ 116486522 w 63"/>
            <a:gd name="T21" fmla="*/ 403224996 h 90"/>
            <a:gd name="T22" fmla="*/ 89604861 w 63"/>
            <a:gd name="T23" fmla="*/ 336020852 h 90"/>
            <a:gd name="T24" fmla="*/ 89604861 w 63"/>
            <a:gd name="T25" fmla="*/ 300179347 h 90"/>
            <a:gd name="T26" fmla="*/ 58244319 w 63"/>
            <a:gd name="T27" fmla="*/ 268816642 h 90"/>
            <a:gd name="T28" fmla="*/ 58244319 w 63"/>
            <a:gd name="T29" fmla="*/ 138889336 h 90"/>
            <a:gd name="T30" fmla="*/ 58244319 w 63"/>
            <a:gd name="T31" fmla="*/ 138889336 h 90"/>
            <a:gd name="T32" fmla="*/ 58244319 w 63"/>
            <a:gd name="T33" fmla="*/ 138889336 h 90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w 63"/>
            <a:gd name="T52" fmla="*/ 0 h 90"/>
            <a:gd name="T53" fmla="*/ 63 w 63"/>
            <a:gd name="T54" fmla="*/ 90 h 90"/>
          </a:gdLst>
          <a:ahLst/>
          <a:cxnLst>
            <a:cxn ang="T34">
              <a:pos x="T0" y="T1"/>
            </a:cxn>
            <a:cxn ang="T35">
              <a:pos x="T2" y="T3"/>
            </a:cxn>
            <a:cxn ang="T36">
              <a:pos x="T4" y="T5"/>
            </a:cxn>
            <a:cxn ang="T37">
              <a:pos x="T6" y="T7"/>
            </a:cxn>
            <a:cxn ang="T38">
              <a:pos x="T8" y="T9"/>
            </a:cxn>
            <a:cxn ang="T39">
              <a:pos x="T10" y="T11"/>
            </a:cxn>
            <a:cxn ang="T40">
              <a:pos x="T12" y="T13"/>
            </a:cxn>
            <a:cxn ang="T41">
              <a:pos x="T14" y="T15"/>
            </a:cxn>
            <a:cxn ang="T42">
              <a:pos x="T16" y="T17"/>
            </a:cxn>
            <a:cxn ang="T43">
              <a:pos x="T18" y="T19"/>
            </a:cxn>
            <a:cxn ang="T44">
              <a:pos x="T20" y="T21"/>
            </a:cxn>
            <a:cxn ang="T45">
              <a:pos x="T22" y="T23"/>
            </a:cxn>
            <a:cxn ang="T46">
              <a:pos x="T24" y="T25"/>
            </a:cxn>
            <a:cxn ang="T47">
              <a:pos x="T26" y="T27"/>
            </a:cxn>
            <a:cxn ang="T48">
              <a:pos x="T28" y="T29"/>
            </a:cxn>
            <a:cxn ang="T49">
              <a:pos x="T30" y="T31"/>
            </a:cxn>
            <a:cxn ang="T50">
              <a:pos x="T32" y="T33"/>
            </a:cxn>
          </a:cxnLst>
          <a:rect l="T51" t="T52" r="T53" b="T54"/>
          <a:pathLst>
            <a:path w="63" h="90">
              <a:moveTo>
                <a:pt x="13" y="31"/>
              </a:moveTo>
              <a:lnTo>
                <a:pt x="13" y="21"/>
              </a:lnTo>
              <a:lnTo>
                <a:pt x="0" y="15"/>
              </a:lnTo>
              <a:lnTo>
                <a:pt x="20" y="0"/>
              </a:lnTo>
              <a:lnTo>
                <a:pt x="35" y="31"/>
              </a:lnTo>
              <a:lnTo>
                <a:pt x="57" y="31"/>
              </a:lnTo>
              <a:lnTo>
                <a:pt x="57" y="52"/>
              </a:lnTo>
              <a:lnTo>
                <a:pt x="63" y="67"/>
              </a:lnTo>
              <a:lnTo>
                <a:pt x="57" y="75"/>
              </a:lnTo>
              <a:lnTo>
                <a:pt x="35" y="75"/>
              </a:lnTo>
              <a:lnTo>
                <a:pt x="26" y="90"/>
              </a:lnTo>
              <a:lnTo>
                <a:pt x="20" y="75"/>
              </a:lnTo>
              <a:lnTo>
                <a:pt x="20" y="67"/>
              </a:lnTo>
              <a:lnTo>
                <a:pt x="13" y="60"/>
              </a:lnTo>
              <a:lnTo>
                <a:pt x="13" y="31"/>
              </a:lnTo>
              <a:close/>
            </a:path>
          </a:pathLst>
        </a:custGeom>
        <a:solidFill>
          <a:srgbClr val="F5F5F5"/>
        </a:solidFill>
        <a:ln w="9525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36576" tIns="32004" rIns="0" bIns="0" anchor="t"/>
        <a:lstStyle/>
        <a:p>
          <a:pPr algn="l" rtl="0">
            <a:defRPr sz="1000"/>
          </a:pPr>
          <a:endParaRPr lang="en-US" sz="16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en-US"/>
        </a:p>
      </xdr:txBody>
    </xdr:sp>
    <xdr:clientData/>
  </xdr:twoCellAnchor>
  <xdr:twoCellAnchor>
    <xdr:from>
      <xdr:col>10</xdr:col>
      <xdr:colOff>228600</xdr:colOff>
      <xdr:row>22</xdr:row>
      <xdr:rowOff>66675</xdr:rowOff>
    </xdr:from>
    <xdr:to>
      <xdr:col>10</xdr:col>
      <xdr:colOff>304800</xdr:colOff>
      <xdr:row>22</xdr:row>
      <xdr:rowOff>123825</xdr:rowOff>
    </xdr:to>
    <xdr:sp macro="" textlink="">
      <xdr:nvSpPr>
        <xdr:cNvPr id="25890" name="S_MKD"/>
        <xdr:cNvSpPr>
          <a:spLocks/>
        </xdr:cNvSpPr>
      </xdr:nvSpPr>
      <xdr:spPr bwMode="auto">
        <a:xfrm>
          <a:off x="6057900" y="3476625"/>
          <a:ext cx="76200" cy="57150"/>
        </a:xfrm>
        <a:custGeom>
          <a:avLst/>
          <a:gdLst>
            <a:gd name="T0" fmla="*/ 42658936 w 35"/>
            <a:gd name="T1" fmla="*/ 116647232 h 28"/>
            <a:gd name="T2" fmla="*/ 0 w 35"/>
            <a:gd name="T3" fmla="*/ 83318586 h 28"/>
            <a:gd name="T4" fmla="*/ 0 w 35"/>
            <a:gd name="T5" fmla="*/ 54157790 h 28"/>
            <a:gd name="T6" fmla="*/ 42658936 w 35"/>
            <a:gd name="T7" fmla="*/ 0 h 28"/>
            <a:gd name="T8" fmla="*/ 142197881 w 35"/>
            <a:gd name="T9" fmla="*/ 0 h 28"/>
            <a:gd name="T10" fmla="*/ 165898281 w 35"/>
            <a:gd name="T11" fmla="*/ 54157790 h 28"/>
            <a:gd name="T12" fmla="*/ 165898281 w 35"/>
            <a:gd name="T13" fmla="*/ 83318586 h 28"/>
            <a:gd name="T14" fmla="*/ 42658936 w 35"/>
            <a:gd name="T15" fmla="*/ 116647232 h 28"/>
            <a:gd name="T16" fmla="*/ 42658936 w 35"/>
            <a:gd name="T17" fmla="*/ 116647232 h 28"/>
            <a:gd name="T18" fmla="*/ 42658936 w 35"/>
            <a:gd name="T19" fmla="*/ 116647232 h 28"/>
            <a:gd name="T20" fmla="*/ 0 60000 65536"/>
            <a:gd name="T21" fmla="*/ 0 60000 65536"/>
            <a:gd name="T22" fmla="*/ 0 60000 65536"/>
            <a:gd name="T23" fmla="*/ 0 60000 65536"/>
            <a:gd name="T24" fmla="*/ 0 60000 65536"/>
            <a:gd name="T25" fmla="*/ 0 60000 65536"/>
            <a:gd name="T26" fmla="*/ 0 60000 65536"/>
            <a:gd name="T27" fmla="*/ 0 60000 65536"/>
            <a:gd name="T28" fmla="*/ 0 60000 65536"/>
            <a:gd name="T29" fmla="*/ 0 60000 65536"/>
            <a:gd name="T30" fmla="*/ 0 w 35"/>
            <a:gd name="T31" fmla="*/ 0 h 28"/>
            <a:gd name="T32" fmla="*/ 35 w 35"/>
            <a:gd name="T33" fmla="*/ 28 h 28"/>
          </a:gdLst>
          <a:ahLst/>
          <a:cxnLst>
            <a:cxn ang="T20">
              <a:pos x="T0" y="T1"/>
            </a:cxn>
            <a:cxn ang="T21">
              <a:pos x="T2" y="T3"/>
            </a:cxn>
            <a:cxn ang="T22">
              <a:pos x="T4" y="T5"/>
            </a:cxn>
            <a:cxn ang="T23">
              <a:pos x="T6" y="T7"/>
            </a:cxn>
            <a:cxn ang="T24">
              <a:pos x="T8" y="T9"/>
            </a:cxn>
            <a:cxn ang="T25">
              <a:pos x="T10" y="T11"/>
            </a:cxn>
            <a:cxn ang="T26">
              <a:pos x="T12" y="T13"/>
            </a:cxn>
            <a:cxn ang="T27">
              <a:pos x="T14" y="T15"/>
            </a:cxn>
            <a:cxn ang="T28">
              <a:pos x="T16" y="T17"/>
            </a:cxn>
            <a:cxn ang="T29">
              <a:pos x="T18" y="T19"/>
            </a:cxn>
          </a:cxnLst>
          <a:rect l="T30" t="T31" r="T32" b="T33"/>
          <a:pathLst>
            <a:path w="35" h="28">
              <a:moveTo>
                <a:pt x="9" y="28"/>
              </a:moveTo>
              <a:lnTo>
                <a:pt x="0" y="20"/>
              </a:lnTo>
              <a:lnTo>
                <a:pt x="0" y="13"/>
              </a:lnTo>
              <a:lnTo>
                <a:pt x="9" y="0"/>
              </a:lnTo>
              <a:lnTo>
                <a:pt x="30" y="0"/>
              </a:lnTo>
              <a:lnTo>
                <a:pt x="35" y="13"/>
              </a:lnTo>
              <a:lnTo>
                <a:pt x="35" y="20"/>
              </a:lnTo>
              <a:lnTo>
                <a:pt x="9" y="28"/>
              </a:lnTo>
              <a:close/>
            </a:path>
          </a:pathLst>
        </a:custGeom>
        <a:solidFill>
          <a:srgbClr val="F5F5F5"/>
        </a:solidFill>
        <a:ln w="9525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36576" tIns="32004" rIns="0" bIns="0" anchor="t"/>
        <a:lstStyle/>
        <a:p>
          <a:pPr algn="l" rtl="0">
            <a:defRPr sz="1000"/>
          </a:pPr>
          <a:endParaRPr lang="en-US" sz="16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en-US"/>
        </a:p>
      </xdr:txBody>
    </xdr:sp>
    <xdr:clientData/>
  </xdr:twoCellAnchor>
  <xdr:twoCellAnchor>
    <xdr:from>
      <xdr:col>10</xdr:col>
      <xdr:colOff>95250</xdr:colOff>
      <xdr:row>21</xdr:row>
      <xdr:rowOff>95250</xdr:rowOff>
    </xdr:from>
    <xdr:to>
      <xdr:col>10</xdr:col>
      <xdr:colOff>200025</xdr:colOff>
      <xdr:row>22</xdr:row>
      <xdr:rowOff>47625</xdr:rowOff>
    </xdr:to>
    <xdr:sp macro="" textlink="">
      <xdr:nvSpPr>
        <xdr:cNvPr id="25891" name="S_BIH"/>
        <xdr:cNvSpPr>
          <a:spLocks/>
        </xdr:cNvSpPr>
      </xdr:nvSpPr>
      <xdr:spPr bwMode="auto">
        <a:xfrm>
          <a:off x="5924550" y="3343275"/>
          <a:ext cx="104775" cy="114300"/>
        </a:xfrm>
        <a:custGeom>
          <a:avLst/>
          <a:gdLst>
            <a:gd name="T0" fmla="*/ 43911205 w 50"/>
            <a:gd name="T1" fmla="*/ 82135551 h 52"/>
            <a:gd name="T2" fmla="*/ 96604649 w 50"/>
            <a:gd name="T3" fmla="*/ 217418388 h 52"/>
            <a:gd name="T4" fmla="*/ 122951362 w 50"/>
            <a:gd name="T5" fmla="*/ 251240187 h 52"/>
            <a:gd name="T6" fmla="*/ 162472513 w 50"/>
            <a:gd name="T7" fmla="*/ 217418388 h 52"/>
            <a:gd name="T8" fmla="*/ 219556011 w 50"/>
            <a:gd name="T9" fmla="*/ 217418388 h 52"/>
            <a:gd name="T10" fmla="*/ 219556011 w 50"/>
            <a:gd name="T11" fmla="*/ 82135551 h 52"/>
            <a:gd name="T12" fmla="*/ 162472513 w 50"/>
            <a:gd name="T13" fmla="*/ 82135551 h 52"/>
            <a:gd name="T14" fmla="*/ 162472513 w 50"/>
            <a:gd name="T15" fmla="*/ 38653189 h 52"/>
            <a:gd name="T16" fmla="*/ 65865752 w 50"/>
            <a:gd name="T17" fmla="*/ 0 h 52"/>
            <a:gd name="T18" fmla="*/ 43911205 w 50"/>
            <a:gd name="T19" fmla="*/ 38653189 h 52"/>
            <a:gd name="T20" fmla="*/ 43911205 w 50"/>
            <a:gd name="T21" fmla="*/ 0 h 52"/>
            <a:gd name="T22" fmla="*/ 0 w 50"/>
            <a:gd name="T23" fmla="*/ 38653189 h 52"/>
            <a:gd name="T24" fmla="*/ 43911205 w 50"/>
            <a:gd name="T25" fmla="*/ 82135551 h 52"/>
            <a:gd name="T26" fmla="*/ 43911205 w 50"/>
            <a:gd name="T27" fmla="*/ 82135551 h 52"/>
            <a:gd name="T28" fmla="*/ 43911205 w 50"/>
            <a:gd name="T29" fmla="*/ 82135551 h 52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w 50"/>
            <a:gd name="T46" fmla="*/ 0 h 52"/>
            <a:gd name="T47" fmla="*/ 50 w 50"/>
            <a:gd name="T48" fmla="*/ 52 h 52"/>
          </a:gdLst>
          <a:ahLst/>
          <a:cxnLst>
            <a:cxn ang="T30">
              <a:pos x="T0" y="T1"/>
            </a:cxn>
            <a:cxn ang="T31">
              <a:pos x="T2" y="T3"/>
            </a:cxn>
            <a:cxn ang="T32">
              <a:pos x="T4" y="T5"/>
            </a:cxn>
            <a:cxn ang="T33">
              <a:pos x="T6" y="T7"/>
            </a:cxn>
            <a:cxn ang="T34">
              <a:pos x="T8" y="T9"/>
            </a:cxn>
            <a:cxn ang="T35">
              <a:pos x="T10" y="T11"/>
            </a:cxn>
            <a:cxn ang="T36">
              <a:pos x="T12" y="T13"/>
            </a:cxn>
            <a:cxn ang="T37">
              <a:pos x="T14" y="T15"/>
            </a:cxn>
            <a:cxn ang="T38">
              <a:pos x="T16" y="T17"/>
            </a:cxn>
            <a:cxn ang="T39">
              <a:pos x="T18" y="T19"/>
            </a:cxn>
            <a:cxn ang="T40">
              <a:pos x="T20" y="T21"/>
            </a:cxn>
            <a:cxn ang="T41">
              <a:pos x="T22" y="T23"/>
            </a:cxn>
            <a:cxn ang="T42">
              <a:pos x="T24" y="T25"/>
            </a:cxn>
            <a:cxn ang="T43">
              <a:pos x="T26" y="T27"/>
            </a:cxn>
            <a:cxn ang="T44">
              <a:pos x="T28" y="T29"/>
            </a:cxn>
          </a:cxnLst>
          <a:rect l="T45" t="T46" r="T47" b="T48"/>
          <a:pathLst>
            <a:path w="50" h="52">
              <a:moveTo>
                <a:pt x="10" y="17"/>
              </a:moveTo>
              <a:lnTo>
                <a:pt x="22" y="45"/>
              </a:lnTo>
              <a:lnTo>
                <a:pt x="28" y="52"/>
              </a:lnTo>
              <a:lnTo>
                <a:pt x="37" y="45"/>
              </a:lnTo>
              <a:lnTo>
                <a:pt x="50" y="45"/>
              </a:lnTo>
              <a:lnTo>
                <a:pt x="50" y="17"/>
              </a:lnTo>
              <a:lnTo>
                <a:pt x="37" y="17"/>
              </a:lnTo>
              <a:lnTo>
                <a:pt x="37" y="8"/>
              </a:lnTo>
              <a:lnTo>
                <a:pt x="15" y="0"/>
              </a:lnTo>
              <a:lnTo>
                <a:pt x="10" y="8"/>
              </a:lnTo>
              <a:lnTo>
                <a:pt x="10" y="0"/>
              </a:lnTo>
              <a:lnTo>
                <a:pt x="0" y="8"/>
              </a:lnTo>
              <a:lnTo>
                <a:pt x="10" y="17"/>
              </a:lnTo>
              <a:close/>
            </a:path>
          </a:pathLst>
        </a:custGeom>
        <a:solidFill>
          <a:srgbClr val="F5F5F5"/>
        </a:solidFill>
        <a:ln w="9525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36576" tIns="32004" rIns="0" bIns="0" anchor="t"/>
        <a:lstStyle/>
        <a:p>
          <a:pPr algn="l" rtl="0">
            <a:defRPr sz="1000"/>
          </a:pPr>
          <a:endParaRPr lang="en-US" sz="16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en-US"/>
        </a:p>
      </xdr:txBody>
    </xdr:sp>
    <xdr:clientData/>
  </xdr:twoCellAnchor>
  <xdr:twoCellAnchor>
    <xdr:from>
      <xdr:col>9</xdr:col>
      <xdr:colOff>695325</xdr:colOff>
      <xdr:row>20</xdr:row>
      <xdr:rowOff>9525</xdr:rowOff>
    </xdr:from>
    <xdr:to>
      <xdr:col>10</xdr:col>
      <xdr:colOff>171450</xdr:colOff>
      <xdr:row>20</xdr:row>
      <xdr:rowOff>114300</xdr:rowOff>
    </xdr:to>
    <xdr:sp macro="" textlink="">
      <xdr:nvSpPr>
        <xdr:cNvPr id="25892" name="S_CZE"/>
        <xdr:cNvSpPr>
          <a:spLocks/>
        </xdr:cNvSpPr>
      </xdr:nvSpPr>
      <xdr:spPr bwMode="auto">
        <a:xfrm>
          <a:off x="5810250" y="3095625"/>
          <a:ext cx="190500" cy="104775"/>
        </a:xfrm>
        <a:custGeom>
          <a:avLst/>
          <a:gdLst>
            <a:gd name="T0" fmla="*/ 2147483647 w 89"/>
            <a:gd name="T1" fmla="*/ 2147483647 h 52"/>
            <a:gd name="T2" fmla="*/ 2147483647 w 89"/>
            <a:gd name="T3" fmla="*/ 2147483647 h 52"/>
            <a:gd name="T4" fmla="*/ 2147483647 w 89"/>
            <a:gd name="T5" fmla="*/ 2147483647 h 52"/>
            <a:gd name="T6" fmla="*/ 2147483647 w 89"/>
            <a:gd name="T7" fmla="*/ 0 h 52"/>
            <a:gd name="T8" fmla="*/ 2147483647 w 89"/>
            <a:gd name="T9" fmla="*/ 0 h 52"/>
            <a:gd name="T10" fmla="*/ 2147483647 w 89"/>
            <a:gd name="T11" fmla="*/ 2147483647 h 52"/>
            <a:gd name="T12" fmla="*/ 0 w 89"/>
            <a:gd name="T13" fmla="*/ 2147483647 h 52"/>
            <a:gd name="T14" fmla="*/ 2147483647 w 89"/>
            <a:gd name="T15" fmla="*/ 2147483647 h 52"/>
            <a:gd name="T16" fmla="*/ 2147483647 w 89"/>
            <a:gd name="T17" fmla="*/ 2147483647 h 52"/>
            <a:gd name="T18" fmla="*/ 2147483647 w 89"/>
            <a:gd name="T19" fmla="*/ 2147483647 h 52"/>
            <a:gd name="T20" fmla="*/ 2147483647 w 89"/>
            <a:gd name="T21" fmla="*/ 2147483647 h 52"/>
            <a:gd name="T22" fmla="*/ 2147483647 w 89"/>
            <a:gd name="T23" fmla="*/ 2147483647 h 52"/>
            <a:gd name="T24" fmla="*/ 2147483647 w 89"/>
            <a:gd name="T25" fmla="*/ 2147483647 h 52"/>
            <a:gd name="T26" fmla="*/ 2147483647 w 89"/>
            <a:gd name="T27" fmla="*/ 2147483647 h 52"/>
            <a:gd name="T28" fmla="*/ 2147483647 w 89"/>
            <a:gd name="T29" fmla="*/ 2147483647 h 52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w 89"/>
            <a:gd name="T46" fmla="*/ 0 h 52"/>
            <a:gd name="T47" fmla="*/ 89 w 89"/>
            <a:gd name="T48" fmla="*/ 52 h 52"/>
          </a:gdLst>
          <a:ahLst/>
          <a:cxnLst>
            <a:cxn ang="T30">
              <a:pos x="T0" y="T1"/>
            </a:cxn>
            <a:cxn ang="T31">
              <a:pos x="T2" y="T3"/>
            </a:cxn>
            <a:cxn ang="T32">
              <a:pos x="T4" y="T5"/>
            </a:cxn>
            <a:cxn ang="T33">
              <a:pos x="T6" y="T7"/>
            </a:cxn>
            <a:cxn ang="T34">
              <a:pos x="T8" y="T9"/>
            </a:cxn>
            <a:cxn ang="T35">
              <a:pos x="T10" y="T11"/>
            </a:cxn>
            <a:cxn ang="T36">
              <a:pos x="T12" y="T13"/>
            </a:cxn>
            <a:cxn ang="T37">
              <a:pos x="T14" y="T15"/>
            </a:cxn>
            <a:cxn ang="T38">
              <a:pos x="T16" y="T17"/>
            </a:cxn>
            <a:cxn ang="T39">
              <a:pos x="T18" y="T19"/>
            </a:cxn>
            <a:cxn ang="T40">
              <a:pos x="T20" y="T21"/>
            </a:cxn>
            <a:cxn ang="T41">
              <a:pos x="T22" y="T23"/>
            </a:cxn>
            <a:cxn ang="T42">
              <a:pos x="T24" y="T25"/>
            </a:cxn>
            <a:cxn ang="T43">
              <a:pos x="T26" y="T27"/>
            </a:cxn>
            <a:cxn ang="T44">
              <a:pos x="T28" y="T29"/>
            </a:cxn>
          </a:cxnLst>
          <a:rect l="T45" t="T46" r="T47" b="T48"/>
          <a:pathLst>
            <a:path w="89" h="52">
              <a:moveTo>
                <a:pt x="89" y="37"/>
              </a:moveTo>
              <a:lnTo>
                <a:pt x="75" y="15"/>
              </a:lnTo>
              <a:lnTo>
                <a:pt x="69" y="15"/>
              </a:lnTo>
              <a:lnTo>
                <a:pt x="42" y="0"/>
              </a:lnTo>
              <a:lnTo>
                <a:pt x="32" y="0"/>
              </a:lnTo>
              <a:lnTo>
                <a:pt x="20" y="8"/>
              </a:lnTo>
              <a:lnTo>
                <a:pt x="0" y="15"/>
              </a:lnTo>
              <a:lnTo>
                <a:pt x="12" y="37"/>
              </a:lnTo>
              <a:lnTo>
                <a:pt x="27" y="52"/>
              </a:lnTo>
              <a:lnTo>
                <a:pt x="42" y="52"/>
              </a:lnTo>
              <a:lnTo>
                <a:pt x="42" y="45"/>
              </a:lnTo>
              <a:lnTo>
                <a:pt x="69" y="52"/>
              </a:lnTo>
              <a:lnTo>
                <a:pt x="89" y="37"/>
              </a:lnTo>
              <a:close/>
            </a:path>
          </a:pathLst>
        </a:custGeom>
        <a:solidFill>
          <a:srgbClr val="F5F5F5"/>
        </a:solidFill>
        <a:ln w="9525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36576" tIns="32004" rIns="0" bIns="0" anchor="t"/>
        <a:lstStyle/>
        <a:p>
          <a:pPr algn="l" rtl="0">
            <a:defRPr sz="1000"/>
          </a:pPr>
          <a:endParaRPr lang="en-US" sz="16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en-US"/>
        </a:p>
      </xdr:txBody>
    </xdr:sp>
    <xdr:clientData/>
  </xdr:twoCellAnchor>
  <xdr:twoCellAnchor>
    <xdr:from>
      <xdr:col>10</xdr:col>
      <xdr:colOff>123825</xdr:colOff>
      <xdr:row>20</xdr:row>
      <xdr:rowOff>85725</xdr:rowOff>
    </xdr:from>
    <xdr:to>
      <xdr:col>10</xdr:col>
      <xdr:colOff>285750</xdr:colOff>
      <xdr:row>21</xdr:row>
      <xdr:rowOff>0</xdr:rowOff>
    </xdr:to>
    <xdr:sp macro="" textlink="">
      <xdr:nvSpPr>
        <xdr:cNvPr id="25893" name="S_SVK"/>
        <xdr:cNvSpPr>
          <a:spLocks/>
        </xdr:cNvSpPr>
      </xdr:nvSpPr>
      <xdr:spPr bwMode="auto">
        <a:xfrm>
          <a:off x="5953125" y="3171825"/>
          <a:ext cx="161925" cy="76200"/>
        </a:xfrm>
        <a:custGeom>
          <a:avLst/>
          <a:gdLst>
            <a:gd name="T0" fmla="*/ 2147483647 w 79"/>
            <a:gd name="T1" fmla="*/ 2147483647 h 40"/>
            <a:gd name="T2" fmla="*/ 2147483647 w 79"/>
            <a:gd name="T3" fmla="*/ 0 h 40"/>
            <a:gd name="T4" fmla="*/ 2147483647 w 79"/>
            <a:gd name="T5" fmla="*/ 2147483647 h 40"/>
            <a:gd name="T6" fmla="*/ 2147483647 w 79"/>
            <a:gd name="T7" fmla="*/ 0 h 40"/>
            <a:gd name="T8" fmla="*/ 2147483647 w 79"/>
            <a:gd name="T9" fmla="*/ 0 h 40"/>
            <a:gd name="T10" fmla="*/ 0 w 79"/>
            <a:gd name="T11" fmla="*/ 2147483647 h 40"/>
            <a:gd name="T12" fmla="*/ 0 w 79"/>
            <a:gd name="T13" fmla="*/ 2147483647 h 40"/>
            <a:gd name="T14" fmla="*/ 2147483647 w 79"/>
            <a:gd name="T15" fmla="*/ 2147483647 h 40"/>
            <a:gd name="T16" fmla="*/ 2147483647 w 79"/>
            <a:gd name="T17" fmla="*/ 2147483647 h 40"/>
            <a:gd name="T18" fmla="*/ 2147483647 w 79"/>
            <a:gd name="T19" fmla="*/ 2147483647 h 40"/>
            <a:gd name="T20" fmla="*/ 2147483647 w 79"/>
            <a:gd name="T21" fmla="*/ 2147483647 h 40"/>
            <a:gd name="T22" fmla="*/ 2147483647 w 79"/>
            <a:gd name="T23" fmla="*/ 2147483647 h 40"/>
            <a:gd name="T24" fmla="*/ 2147483647 w 79"/>
            <a:gd name="T25" fmla="*/ 2147483647 h 40"/>
            <a:gd name="T26" fmla="*/ 0 60000 65536"/>
            <a:gd name="T27" fmla="*/ 0 60000 65536"/>
            <a:gd name="T28" fmla="*/ 0 60000 65536"/>
            <a:gd name="T29" fmla="*/ 0 60000 65536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w 79"/>
            <a:gd name="T40" fmla="*/ 0 h 40"/>
            <a:gd name="T41" fmla="*/ 79 w 79"/>
            <a:gd name="T42" fmla="*/ 40 h 40"/>
          </a:gdLst>
          <a:ahLst/>
          <a:cxnLst>
            <a:cxn ang="T26">
              <a:pos x="T0" y="T1"/>
            </a:cxn>
            <a:cxn ang="T27">
              <a:pos x="T2" y="T3"/>
            </a:cxn>
            <a:cxn ang="T28">
              <a:pos x="T4" y="T5"/>
            </a:cxn>
            <a:cxn ang="T29">
              <a:pos x="T6" y="T7"/>
            </a:cxn>
            <a:cxn ang="T30">
              <a:pos x="T8" y="T9"/>
            </a:cxn>
            <a:cxn ang="T31">
              <a:pos x="T10" y="T11"/>
            </a:cxn>
            <a:cxn ang="T32">
              <a:pos x="T12" y="T13"/>
            </a:cxn>
            <a:cxn ang="T33">
              <a:pos x="T14" y="T15"/>
            </a:cxn>
            <a:cxn ang="T34">
              <a:pos x="T16" y="T17"/>
            </a:cxn>
            <a:cxn ang="T35">
              <a:pos x="T18" y="T19"/>
            </a:cxn>
            <a:cxn ang="T36">
              <a:pos x="T20" y="T21"/>
            </a:cxn>
            <a:cxn ang="T37">
              <a:pos x="T22" y="T23"/>
            </a:cxn>
            <a:cxn ang="T38">
              <a:pos x="T24" y="T25"/>
            </a:cxn>
          </a:cxnLst>
          <a:rect l="T39" t="T40" r="T41" b="T42"/>
          <a:pathLst>
            <a:path w="79" h="40">
              <a:moveTo>
                <a:pt x="79" y="10"/>
              </a:moveTo>
              <a:lnTo>
                <a:pt x="57" y="0"/>
              </a:lnTo>
              <a:lnTo>
                <a:pt x="42" y="10"/>
              </a:lnTo>
              <a:lnTo>
                <a:pt x="35" y="0"/>
              </a:lnTo>
              <a:lnTo>
                <a:pt x="22" y="0"/>
              </a:lnTo>
              <a:lnTo>
                <a:pt x="0" y="18"/>
              </a:lnTo>
              <a:lnTo>
                <a:pt x="0" y="40"/>
              </a:lnTo>
              <a:lnTo>
                <a:pt x="13" y="40"/>
              </a:lnTo>
              <a:lnTo>
                <a:pt x="48" y="18"/>
              </a:lnTo>
              <a:lnTo>
                <a:pt x="64" y="25"/>
              </a:lnTo>
              <a:lnTo>
                <a:pt x="79" y="10"/>
              </a:lnTo>
              <a:close/>
            </a:path>
          </a:pathLst>
        </a:custGeom>
        <a:solidFill>
          <a:srgbClr val="F5F5F5"/>
        </a:solidFill>
        <a:ln w="9525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36576" tIns="32004" rIns="0" bIns="0" anchor="t"/>
        <a:lstStyle/>
        <a:p>
          <a:pPr algn="l" rtl="0">
            <a:defRPr sz="1000"/>
          </a:pPr>
          <a:endParaRPr lang="en-US" sz="16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en-US"/>
        </a:p>
      </xdr:txBody>
    </xdr:sp>
    <xdr:clientData/>
  </xdr:twoCellAnchor>
  <xdr:twoCellAnchor>
    <xdr:from>
      <xdr:col>9</xdr:col>
      <xdr:colOff>542925</xdr:colOff>
      <xdr:row>21</xdr:row>
      <xdr:rowOff>19050</xdr:rowOff>
    </xdr:from>
    <xdr:to>
      <xdr:col>9</xdr:col>
      <xdr:colOff>657225</xdr:colOff>
      <xdr:row>21</xdr:row>
      <xdr:rowOff>104775</xdr:rowOff>
    </xdr:to>
    <xdr:sp macro="" textlink="">
      <xdr:nvSpPr>
        <xdr:cNvPr id="25894" name="S_CHE"/>
        <xdr:cNvSpPr>
          <a:spLocks/>
        </xdr:cNvSpPr>
      </xdr:nvSpPr>
      <xdr:spPr bwMode="auto">
        <a:xfrm>
          <a:off x="5657850" y="3267075"/>
          <a:ext cx="114300" cy="85725"/>
        </a:xfrm>
        <a:custGeom>
          <a:avLst/>
          <a:gdLst>
            <a:gd name="T0" fmla="*/ 2147483647 w 57"/>
            <a:gd name="T1" fmla="*/ 2147483647 h 37"/>
            <a:gd name="T2" fmla="*/ 2147483647 w 57"/>
            <a:gd name="T3" fmla="*/ 2147483647 h 37"/>
            <a:gd name="T4" fmla="*/ 2147483647 w 57"/>
            <a:gd name="T5" fmla="*/ 2147483647 h 37"/>
            <a:gd name="T6" fmla="*/ 2147483647 w 57"/>
            <a:gd name="T7" fmla="*/ 2147483647 h 37"/>
            <a:gd name="T8" fmla="*/ 2147483647 w 57"/>
            <a:gd name="T9" fmla="*/ 2147483647 h 37"/>
            <a:gd name="T10" fmla="*/ 2147483647 w 57"/>
            <a:gd name="T11" fmla="*/ 2147483647 h 37"/>
            <a:gd name="T12" fmla="*/ 2147483647 w 57"/>
            <a:gd name="T13" fmla="*/ 2147483647 h 37"/>
            <a:gd name="T14" fmla="*/ 2147483647 w 57"/>
            <a:gd name="T15" fmla="*/ 0 h 37"/>
            <a:gd name="T16" fmla="*/ 2147483647 w 57"/>
            <a:gd name="T17" fmla="*/ 0 h 37"/>
            <a:gd name="T18" fmla="*/ 0 w 57"/>
            <a:gd name="T19" fmla="*/ 2147483647 h 37"/>
            <a:gd name="T20" fmla="*/ 0 w 57"/>
            <a:gd name="T21" fmla="*/ 2147483647 h 37"/>
            <a:gd name="T22" fmla="*/ 2147483647 w 57"/>
            <a:gd name="T23" fmla="*/ 2147483647 h 37"/>
            <a:gd name="T24" fmla="*/ 2147483647 w 57"/>
            <a:gd name="T25" fmla="*/ 2147483647 h 37"/>
            <a:gd name="T26" fmla="*/ 2147483647 w 57"/>
            <a:gd name="T27" fmla="*/ 2147483647 h 37"/>
            <a:gd name="T28" fmla="*/ 2147483647 w 57"/>
            <a:gd name="T29" fmla="*/ 2147483647 h 37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w 57"/>
            <a:gd name="T46" fmla="*/ 0 h 37"/>
            <a:gd name="T47" fmla="*/ 57 w 57"/>
            <a:gd name="T48" fmla="*/ 37 h 37"/>
          </a:gdLst>
          <a:ahLst/>
          <a:cxnLst>
            <a:cxn ang="T30">
              <a:pos x="T0" y="T1"/>
            </a:cxn>
            <a:cxn ang="T31">
              <a:pos x="T2" y="T3"/>
            </a:cxn>
            <a:cxn ang="T32">
              <a:pos x="T4" y="T5"/>
            </a:cxn>
            <a:cxn ang="T33">
              <a:pos x="T6" y="T7"/>
            </a:cxn>
            <a:cxn ang="T34">
              <a:pos x="T8" y="T9"/>
            </a:cxn>
            <a:cxn ang="T35">
              <a:pos x="T10" y="T11"/>
            </a:cxn>
            <a:cxn ang="T36">
              <a:pos x="T12" y="T13"/>
            </a:cxn>
            <a:cxn ang="T37">
              <a:pos x="T14" y="T15"/>
            </a:cxn>
            <a:cxn ang="T38">
              <a:pos x="T16" y="T17"/>
            </a:cxn>
            <a:cxn ang="T39">
              <a:pos x="T18" y="T19"/>
            </a:cxn>
            <a:cxn ang="T40">
              <a:pos x="T20" y="T21"/>
            </a:cxn>
            <a:cxn ang="T41">
              <a:pos x="T22" y="T23"/>
            </a:cxn>
            <a:cxn ang="T42">
              <a:pos x="T24" y="T25"/>
            </a:cxn>
            <a:cxn ang="T43">
              <a:pos x="T26" y="T27"/>
            </a:cxn>
            <a:cxn ang="T44">
              <a:pos x="T28" y="T29"/>
            </a:cxn>
          </a:cxnLst>
          <a:rect l="T45" t="T46" r="T47" b="T48"/>
          <a:pathLst>
            <a:path w="57" h="37">
              <a:moveTo>
                <a:pt x="14" y="37"/>
              </a:moveTo>
              <a:lnTo>
                <a:pt x="29" y="20"/>
              </a:lnTo>
              <a:lnTo>
                <a:pt x="42" y="20"/>
              </a:lnTo>
              <a:lnTo>
                <a:pt x="42" y="15"/>
              </a:lnTo>
              <a:lnTo>
                <a:pt x="50" y="20"/>
              </a:lnTo>
              <a:lnTo>
                <a:pt x="57" y="6"/>
              </a:lnTo>
              <a:lnTo>
                <a:pt x="50" y="6"/>
              </a:lnTo>
              <a:lnTo>
                <a:pt x="42" y="0"/>
              </a:lnTo>
              <a:lnTo>
                <a:pt x="9" y="0"/>
              </a:lnTo>
              <a:lnTo>
                <a:pt x="0" y="15"/>
              </a:lnTo>
              <a:lnTo>
                <a:pt x="0" y="20"/>
              </a:lnTo>
              <a:lnTo>
                <a:pt x="9" y="15"/>
              </a:lnTo>
              <a:lnTo>
                <a:pt x="9" y="37"/>
              </a:lnTo>
              <a:lnTo>
                <a:pt x="14" y="37"/>
              </a:lnTo>
              <a:close/>
            </a:path>
          </a:pathLst>
        </a:custGeom>
        <a:solidFill>
          <a:srgbClr val="F5F5F5"/>
        </a:solidFill>
        <a:ln w="9525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36576" tIns="32004" rIns="0" bIns="0" anchor="t"/>
        <a:lstStyle/>
        <a:p>
          <a:pPr algn="l" rtl="0">
            <a:defRPr sz="1000"/>
          </a:pPr>
          <a:endParaRPr lang="en-US" sz="16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en-US"/>
        </a:p>
      </xdr:txBody>
    </xdr:sp>
    <xdr:clientData/>
  </xdr:twoCellAnchor>
  <xdr:twoCellAnchor>
    <xdr:from>
      <xdr:col>10</xdr:col>
      <xdr:colOff>28575</xdr:colOff>
      <xdr:row>21</xdr:row>
      <xdr:rowOff>28575</xdr:rowOff>
    </xdr:from>
    <xdr:to>
      <xdr:col>10</xdr:col>
      <xdr:colOff>104775</xdr:colOff>
      <xdr:row>21</xdr:row>
      <xdr:rowOff>95250</xdr:rowOff>
    </xdr:to>
    <xdr:sp macro="" textlink="">
      <xdr:nvSpPr>
        <xdr:cNvPr id="25895" name="S_SVN"/>
        <xdr:cNvSpPr>
          <a:spLocks/>
        </xdr:cNvSpPr>
      </xdr:nvSpPr>
      <xdr:spPr bwMode="auto">
        <a:xfrm>
          <a:off x="5857875" y="3276600"/>
          <a:ext cx="76200" cy="66675"/>
        </a:xfrm>
        <a:custGeom>
          <a:avLst/>
          <a:gdLst>
            <a:gd name="T0" fmla="*/ 152801054 w 38"/>
            <a:gd name="T1" fmla="*/ 43413755 h 32"/>
            <a:gd name="T2" fmla="*/ 120632604 w 38"/>
            <a:gd name="T3" fmla="*/ 43413755 h 32"/>
            <a:gd name="T4" fmla="*/ 60316302 w 38"/>
            <a:gd name="T5" fmla="*/ 138923612 h 32"/>
            <a:gd name="T6" fmla="*/ 0 w 38"/>
            <a:gd name="T7" fmla="*/ 138923612 h 32"/>
            <a:gd name="T8" fmla="*/ 0 w 38"/>
            <a:gd name="T9" fmla="*/ 43413755 h 32"/>
            <a:gd name="T10" fmla="*/ 152801054 w 38"/>
            <a:gd name="T11" fmla="*/ 0 h 32"/>
            <a:gd name="T12" fmla="*/ 152801054 w 38"/>
            <a:gd name="T13" fmla="*/ 43413755 h 32"/>
            <a:gd name="T14" fmla="*/ 152801054 w 38"/>
            <a:gd name="T15" fmla="*/ 43413755 h 32"/>
            <a:gd name="T16" fmla="*/ 152801054 w 38"/>
            <a:gd name="T17" fmla="*/ 43413755 h 32"/>
            <a:gd name="T18" fmla="*/ 0 60000 65536"/>
            <a:gd name="T19" fmla="*/ 0 60000 65536"/>
            <a:gd name="T20" fmla="*/ 0 60000 65536"/>
            <a:gd name="T21" fmla="*/ 0 60000 65536"/>
            <a:gd name="T22" fmla="*/ 0 60000 65536"/>
            <a:gd name="T23" fmla="*/ 0 60000 65536"/>
            <a:gd name="T24" fmla="*/ 0 60000 65536"/>
            <a:gd name="T25" fmla="*/ 0 60000 65536"/>
            <a:gd name="T26" fmla="*/ 0 60000 65536"/>
            <a:gd name="T27" fmla="*/ 0 w 38"/>
            <a:gd name="T28" fmla="*/ 0 h 32"/>
            <a:gd name="T29" fmla="*/ 38 w 38"/>
            <a:gd name="T30" fmla="*/ 32 h 32"/>
          </a:gdLst>
          <a:ahLst/>
          <a:cxnLst>
            <a:cxn ang="T18">
              <a:pos x="T0" y="T1"/>
            </a:cxn>
            <a:cxn ang="T19">
              <a:pos x="T2" y="T3"/>
            </a:cxn>
            <a:cxn ang="T20">
              <a:pos x="T4" y="T5"/>
            </a:cxn>
            <a:cxn ang="T21">
              <a:pos x="T6" y="T7"/>
            </a:cxn>
            <a:cxn ang="T22">
              <a:pos x="T8" y="T9"/>
            </a:cxn>
            <a:cxn ang="T23">
              <a:pos x="T10" y="T11"/>
            </a:cxn>
            <a:cxn ang="T24">
              <a:pos x="T12" y="T13"/>
            </a:cxn>
            <a:cxn ang="T25">
              <a:pos x="T14" y="T15"/>
            </a:cxn>
            <a:cxn ang="T26">
              <a:pos x="T16" y="T17"/>
            </a:cxn>
          </a:cxnLst>
          <a:rect l="T27" t="T28" r="T29" b="T30"/>
          <a:pathLst>
            <a:path w="38" h="32">
              <a:moveTo>
                <a:pt x="38" y="10"/>
              </a:moveTo>
              <a:lnTo>
                <a:pt x="30" y="10"/>
              </a:lnTo>
              <a:lnTo>
                <a:pt x="15" y="32"/>
              </a:lnTo>
              <a:lnTo>
                <a:pt x="0" y="32"/>
              </a:lnTo>
              <a:lnTo>
                <a:pt x="0" y="10"/>
              </a:lnTo>
              <a:lnTo>
                <a:pt x="38" y="0"/>
              </a:lnTo>
              <a:lnTo>
                <a:pt x="38" y="10"/>
              </a:lnTo>
              <a:close/>
            </a:path>
          </a:pathLst>
        </a:custGeom>
        <a:solidFill>
          <a:srgbClr val="F5F5F5"/>
        </a:solidFill>
        <a:ln w="9525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36576" tIns="32004" rIns="0" bIns="0" anchor="t"/>
        <a:lstStyle/>
        <a:p>
          <a:pPr algn="l" rtl="0">
            <a:defRPr sz="1000"/>
          </a:pPr>
          <a:endParaRPr lang="en-US" sz="16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en-US"/>
        </a:p>
      </xdr:txBody>
    </xdr:sp>
    <xdr:clientData/>
  </xdr:twoCellAnchor>
  <xdr:twoCellAnchor>
    <xdr:from>
      <xdr:col>10</xdr:col>
      <xdr:colOff>142875</xdr:colOff>
      <xdr:row>22</xdr:row>
      <xdr:rowOff>38100</xdr:rowOff>
    </xdr:from>
    <xdr:to>
      <xdr:col>10</xdr:col>
      <xdr:colOff>209550</xdr:colOff>
      <xdr:row>22</xdr:row>
      <xdr:rowOff>95250</xdr:rowOff>
    </xdr:to>
    <xdr:sp macro="" textlink="">
      <xdr:nvSpPr>
        <xdr:cNvPr id="25896" name="S_CG"/>
        <xdr:cNvSpPr>
          <a:spLocks/>
        </xdr:cNvSpPr>
      </xdr:nvSpPr>
      <xdr:spPr bwMode="auto">
        <a:xfrm>
          <a:off x="5972175" y="3448050"/>
          <a:ext cx="66675" cy="57150"/>
        </a:xfrm>
        <a:custGeom>
          <a:avLst/>
          <a:gdLst>
            <a:gd name="T0" fmla="*/ 0 w 30"/>
            <a:gd name="T1" fmla="*/ 54157790 h 28"/>
            <a:gd name="T2" fmla="*/ 103730751 w 30"/>
            <a:gd name="T3" fmla="*/ 116647232 h 28"/>
            <a:gd name="T4" fmla="*/ 103730751 w 30"/>
            <a:gd name="T5" fmla="*/ 54157790 h 28"/>
            <a:gd name="T6" fmla="*/ 148185219 w 30"/>
            <a:gd name="T7" fmla="*/ 54157790 h 28"/>
            <a:gd name="T8" fmla="*/ 148185219 w 30"/>
            <a:gd name="T9" fmla="*/ 24994962 h 28"/>
            <a:gd name="T10" fmla="*/ 103730751 w 30"/>
            <a:gd name="T11" fmla="*/ 0 h 28"/>
            <a:gd name="T12" fmla="*/ 39516057 w 30"/>
            <a:gd name="T13" fmla="*/ 0 h 28"/>
            <a:gd name="T14" fmla="*/ 0 w 30"/>
            <a:gd name="T15" fmla="*/ 24994962 h 28"/>
            <a:gd name="T16" fmla="*/ 0 w 30"/>
            <a:gd name="T17" fmla="*/ 54157790 h 28"/>
            <a:gd name="T18" fmla="*/ 0 w 30"/>
            <a:gd name="T19" fmla="*/ 54157790 h 28"/>
            <a:gd name="T20" fmla="*/ 0 w 30"/>
            <a:gd name="T21" fmla="*/ 54157790 h 28"/>
            <a:gd name="T22" fmla="*/ 0 60000 65536"/>
            <a:gd name="T23" fmla="*/ 0 60000 65536"/>
            <a:gd name="T24" fmla="*/ 0 60000 65536"/>
            <a:gd name="T25" fmla="*/ 0 60000 65536"/>
            <a:gd name="T26" fmla="*/ 0 60000 65536"/>
            <a:gd name="T27" fmla="*/ 0 60000 65536"/>
            <a:gd name="T28" fmla="*/ 0 60000 65536"/>
            <a:gd name="T29" fmla="*/ 0 60000 65536"/>
            <a:gd name="T30" fmla="*/ 0 60000 65536"/>
            <a:gd name="T31" fmla="*/ 0 60000 65536"/>
            <a:gd name="T32" fmla="*/ 0 60000 65536"/>
            <a:gd name="T33" fmla="*/ 0 w 30"/>
            <a:gd name="T34" fmla="*/ 0 h 28"/>
            <a:gd name="T35" fmla="*/ 30 w 30"/>
            <a:gd name="T36" fmla="*/ 28 h 28"/>
          </a:gdLst>
          <a:ahLst/>
          <a:cxnLst>
            <a:cxn ang="T22">
              <a:pos x="T0" y="T1"/>
            </a:cxn>
            <a:cxn ang="T23">
              <a:pos x="T2" y="T3"/>
            </a:cxn>
            <a:cxn ang="T24">
              <a:pos x="T4" y="T5"/>
            </a:cxn>
            <a:cxn ang="T25">
              <a:pos x="T6" y="T7"/>
            </a:cxn>
            <a:cxn ang="T26">
              <a:pos x="T8" y="T9"/>
            </a:cxn>
            <a:cxn ang="T27">
              <a:pos x="T10" y="T11"/>
            </a:cxn>
            <a:cxn ang="T28">
              <a:pos x="T12" y="T13"/>
            </a:cxn>
            <a:cxn ang="T29">
              <a:pos x="T14" y="T15"/>
            </a:cxn>
            <a:cxn ang="T30">
              <a:pos x="T16" y="T17"/>
            </a:cxn>
            <a:cxn ang="T31">
              <a:pos x="T18" y="T19"/>
            </a:cxn>
            <a:cxn ang="T32">
              <a:pos x="T20" y="T21"/>
            </a:cxn>
          </a:cxnLst>
          <a:rect l="T33" t="T34" r="T35" b="T36"/>
          <a:pathLst>
            <a:path w="30" h="28">
              <a:moveTo>
                <a:pt x="0" y="13"/>
              </a:moveTo>
              <a:lnTo>
                <a:pt x="21" y="28"/>
              </a:lnTo>
              <a:lnTo>
                <a:pt x="21" y="13"/>
              </a:lnTo>
              <a:lnTo>
                <a:pt x="30" y="13"/>
              </a:lnTo>
              <a:lnTo>
                <a:pt x="30" y="6"/>
              </a:lnTo>
              <a:lnTo>
                <a:pt x="21" y="0"/>
              </a:lnTo>
              <a:lnTo>
                <a:pt x="8" y="0"/>
              </a:lnTo>
              <a:lnTo>
                <a:pt x="0" y="6"/>
              </a:lnTo>
              <a:lnTo>
                <a:pt x="0" y="13"/>
              </a:lnTo>
              <a:close/>
            </a:path>
          </a:pathLst>
        </a:custGeom>
        <a:solidFill>
          <a:srgbClr val="F5F5F5"/>
        </a:solidFill>
        <a:ln w="9525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36576" tIns="32004" rIns="0" bIns="0" anchor="t"/>
        <a:lstStyle/>
        <a:p>
          <a:pPr algn="l" rtl="0">
            <a:defRPr sz="1000"/>
          </a:pPr>
          <a:endParaRPr lang="en-US" sz="16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en-US"/>
        </a:p>
      </xdr:txBody>
    </xdr:sp>
    <xdr:clientData/>
  </xdr:twoCellAnchor>
  <xdr:twoCellAnchor>
    <xdr:from>
      <xdr:col>14</xdr:col>
      <xdr:colOff>161925</xdr:colOff>
      <xdr:row>26</xdr:row>
      <xdr:rowOff>19050</xdr:rowOff>
    </xdr:from>
    <xdr:to>
      <xdr:col>14</xdr:col>
      <xdr:colOff>190500</xdr:colOff>
      <xdr:row>26</xdr:row>
      <xdr:rowOff>114300</xdr:rowOff>
    </xdr:to>
    <xdr:sp macro="" textlink="">
      <xdr:nvSpPr>
        <xdr:cNvPr id="25897" name="S_TAI"/>
        <xdr:cNvSpPr>
          <a:spLocks/>
        </xdr:cNvSpPr>
      </xdr:nvSpPr>
      <xdr:spPr bwMode="auto">
        <a:xfrm>
          <a:off x="8848725" y="4076700"/>
          <a:ext cx="28575" cy="95250"/>
        </a:xfrm>
        <a:custGeom>
          <a:avLst/>
          <a:gdLst>
            <a:gd name="T0" fmla="*/ 0 w 16"/>
            <a:gd name="T1" fmla="*/ 2147483647 h 48"/>
            <a:gd name="T2" fmla="*/ 0 w 16"/>
            <a:gd name="T3" fmla="*/ 2147483647 h 48"/>
            <a:gd name="T4" fmla="*/ 2147483647 w 16"/>
            <a:gd name="T5" fmla="*/ 0 h 48"/>
            <a:gd name="T6" fmla="*/ 2147483647 w 16"/>
            <a:gd name="T7" fmla="*/ 2147483647 h 48"/>
            <a:gd name="T8" fmla="*/ 2147483647 w 16"/>
            <a:gd name="T9" fmla="*/ 2147483647 h 48"/>
            <a:gd name="T10" fmla="*/ 0 w 16"/>
            <a:gd name="T11" fmla="*/ 2147483647 h 48"/>
            <a:gd name="T12" fmla="*/ 0 60000 65536"/>
            <a:gd name="T13" fmla="*/ 0 60000 65536"/>
            <a:gd name="T14" fmla="*/ 0 60000 65536"/>
            <a:gd name="T15" fmla="*/ 0 60000 65536"/>
            <a:gd name="T16" fmla="*/ 0 60000 65536"/>
            <a:gd name="T17" fmla="*/ 0 60000 65536"/>
            <a:gd name="T18" fmla="*/ 0 w 16"/>
            <a:gd name="T19" fmla="*/ 0 h 48"/>
            <a:gd name="T20" fmla="*/ 16 w 16"/>
            <a:gd name="T21" fmla="*/ 48 h 48"/>
          </a:gdLst>
          <a:ahLst/>
          <a:cxnLst>
            <a:cxn ang="T12">
              <a:pos x="T0" y="T1"/>
            </a:cxn>
            <a:cxn ang="T13">
              <a:pos x="T2" y="T3"/>
            </a:cxn>
            <a:cxn ang="T14">
              <a:pos x="T4" y="T5"/>
            </a:cxn>
            <a:cxn ang="T15">
              <a:pos x="T6" y="T7"/>
            </a:cxn>
            <a:cxn ang="T16">
              <a:pos x="T8" y="T9"/>
            </a:cxn>
            <a:cxn ang="T17">
              <a:pos x="T10" y="T11"/>
            </a:cxn>
          </a:cxnLst>
          <a:rect l="T18" t="T19" r="T20" b="T21"/>
          <a:pathLst>
            <a:path w="16" h="48">
              <a:moveTo>
                <a:pt x="0" y="32"/>
              </a:moveTo>
              <a:lnTo>
                <a:pt x="0" y="16"/>
              </a:lnTo>
              <a:lnTo>
                <a:pt x="16" y="0"/>
              </a:lnTo>
              <a:lnTo>
                <a:pt x="16" y="16"/>
              </a:lnTo>
              <a:lnTo>
                <a:pt x="8" y="48"/>
              </a:lnTo>
              <a:lnTo>
                <a:pt x="0" y="32"/>
              </a:lnTo>
              <a:close/>
            </a:path>
          </a:pathLst>
        </a:custGeom>
        <a:solidFill>
          <a:srgbClr val="F5F5F5"/>
        </a:solidFill>
        <a:ln w="6350">
          <a:solidFill>
            <a:srgbClr val="FFFFFF"/>
          </a:solidFill>
          <a:round/>
          <a:headEnd/>
          <a:tailEnd/>
        </a:ln>
      </xdr:spPr>
    </xdr:sp>
    <xdr:clientData/>
  </xdr:twoCellAnchor>
  <xdr:twoCellAnchor editAs="oneCell">
    <xdr:from>
      <xdr:col>10</xdr:col>
      <xdr:colOff>12887</xdr:colOff>
      <xdr:row>2</xdr:row>
      <xdr:rowOff>81244</xdr:rowOff>
    </xdr:from>
    <xdr:to>
      <xdr:col>14</xdr:col>
      <xdr:colOff>12888</xdr:colOff>
      <xdr:row>3</xdr:row>
      <xdr:rowOff>84606</xdr:rowOff>
    </xdr:to>
    <xdr:pic>
      <xdr:nvPicPr>
        <xdr:cNvPr id="25898" name="Legend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duotone>
            <a:schemeClr val="accent3">
              <a:shade val="45000"/>
              <a:satMod val="135000"/>
            </a:schemeClr>
            <a:prstClr val="white"/>
          </a:duotone>
          <a:lum contrast="20000"/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24358" y="585509"/>
          <a:ext cx="2868706" cy="294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23</xdr:col>
      <xdr:colOff>437029</xdr:colOff>
      <xdr:row>6</xdr:row>
      <xdr:rowOff>67233</xdr:rowOff>
    </xdr:from>
    <xdr:to>
      <xdr:col>40</xdr:col>
      <xdr:colOff>336176</xdr:colOff>
      <xdr:row>49</xdr:row>
      <xdr:rowOff>11206</xdr:rowOff>
    </xdr:to>
    <xdr:graphicFrame macro="">
      <xdr:nvGraphicFramePr>
        <xdr:cNvPr id="255" name="Chart 25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3</xdr:row>
          <xdr:rowOff>19050</xdr:rowOff>
        </xdr:from>
        <xdr:to>
          <xdr:col>7</xdr:col>
          <xdr:colOff>114300</xdr:colOff>
          <xdr:row>4</xdr:row>
          <xdr:rowOff>76200</xdr:rowOff>
        </xdr:to>
        <xdr:sp macro="" textlink="">
          <xdr:nvSpPr>
            <xdr:cNvPr id="25490" name="Drop Down1" hidden="1">
              <a:extLst>
                <a:ext uri="{63B3BB69-23CF-44E3-9099-C40C66FF867C}">
                  <a14:compatExt spid="_x0000_s254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19</xdr:col>
      <xdr:colOff>34180</xdr:colOff>
      <xdr:row>1</xdr:row>
      <xdr:rowOff>33618</xdr:rowOff>
    </xdr:from>
    <xdr:to>
      <xdr:col>21</xdr:col>
      <xdr:colOff>360674</xdr:colOff>
      <xdr:row>2</xdr:row>
      <xdr:rowOff>100852</xdr:rowOff>
    </xdr:to>
    <xdr:sp macro="[0]!JumpToJobType" textlink="">
      <xdr:nvSpPr>
        <xdr:cNvPr id="2" name="Right Arrow 1"/>
        <xdr:cNvSpPr/>
      </xdr:nvSpPr>
      <xdr:spPr>
        <a:xfrm>
          <a:off x="12495121" y="89647"/>
          <a:ext cx="1335024" cy="515470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view </a:t>
          </a:r>
          <a:r>
            <a:rPr lang="en-US" sz="1100" b="1"/>
            <a:t>Job Type</a:t>
          </a:r>
        </a:p>
      </xdr:txBody>
    </xdr:sp>
    <xdr:clientData/>
  </xdr:twoCellAnchor>
  <xdr:twoCellAnchor>
    <xdr:from>
      <xdr:col>0</xdr:col>
      <xdr:colOff>100853</xdr:colOff>
      <xdr:row>1</xdr:row>
      <xdr:rowOff>56030</xdr:rowOff>
    </xdr:from>
    <xdr:to>
      <xdr:col>2</xdr:col>
      <xdr:colOff>707495</xdr:colOff>
      <xdr:row>2</xdr:row>
      <xdr:rowOff>123264</xdr:rowOff>
    </xdr:to>
    <xdr:sp macro="[0]!JumpToExcelUsage" textlink="">
      <xdr:nvSpPr>
        <xdr:cNvPr id="258" name="Right Arrow 257"/>
        <xdr:cNvSpPr/>
      </xdr:nvSpPr>
      <xdr:spPr>
        <a:xfrm flipH="1">
          <a:off x="100853" y="112059"/>
          <a:ext cx="1335024" cy="515470"/>
        </a:xfrm>
        <a:prstGeom prst="rightArrow">
          <a:avLst/>
        </a:prstGeom>
        <a:solidFill>
          <a:schemeClr val="accent6">
            <a:lumMod val="75000"/>
          </a:schemeClr>
        </a:solidFill>
        <a:ln>
          <a:solidFill>
            <a:schemeClr val="accent6">
              <a:lumMod val="60000"/>
              <a:lumOff val="4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view </a:t>
          </a:r>
          <a:r>
            <a:rPr lang="en-US" sz="1100" b="1"/>
            <a:t>Daily Usage</a:t>
          </a:r>
        </a:p>
      </xdr:txBody>
    </xdr:sp>
    <xdr:clientData/>
  </xdr:twoCellAnchor>
  <xdr:twoCellAnchor>
    <xdr:from>
      <xdr:col>44</xdr:col>
      <xdr:colOff>448235</xdr:colOff>
      <xdr:row>5</xdr:row>
      <xdr:rowOff>2</xdr:rowOff>
    </xdr:from>
    <xdr:to>
      <xdr:col>61</xdr:col>
      <xdr:colOff>661144</xdr:colOff>
      <xdr:row>49</xdr:row>
      <xdr:rowOff>112060</xdr:rowOff>
    </xdr:to>
    <xdr:graphicFrame macro="">
      <xdr:nvGraphicFramePr>
        <xdr:cNvPr id="259" name="Chart 25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40</xdr:col>
      <xdr:colOff>6722</xdr:colOff>
      <xdr:row>1</xdr:row>
      <xdr:rowOff>51547</xdr:rowOff>
    </xdr:from>
    <xdr:to>
      <xdr:col>41</xdr:col>
      <xdr:colOff>624570</xdr:colOff>
      <xdr:row>2</xdr:row>
      <xdr:rowOff>118781</xdr:rowOff>
    </xdr:to>
    <xdr:sp macro="[0]!JumpToExcelUsage" textlink="">
      <xdr:nvSpPr>
        <xdr:cNvPr id="261" name="Right Arrow 260"/>
        <xdr:cNvSpPr/>
      </xdr:nvSpPr>
      <xdr:spPr>
        <a:xfrm>
          <a:off x="27102546" y="107576"/>
          <a:ext cx="1335024" cy="515470"/>
        </a:xfrm>
        <a:prstGeom prst="rightArrow">
          <a:avLst/>
        </a:prstGeom>
        <a:solidFill>
          <a:schemeClr val="accent6">
            <a:lumMod val="75000"/>
          </a:schemeClr>
        </a:solidFill>
        <a:ln>
          <a:solidFill>
            <a:schemeClr val="accent6">
              <a:lumMod val="60000"/>
              <a:lumOff val="4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view </a:t>
          </a:r>
          <a:r>
            <a:rPr lang="en-US" sz="1100" b="1"/>
            <a:t>Daily Usage</a:t>
          </a:r>
        </a:p>
      </xdr:txBody>
    </xdr:sp>
    <xdr:clientData/>
  </xdr:twoCellAnchor>
  <xdr:twoCellAnchor>
    <xdr:from>
      <xdr:col>23</xdr:col>
      <xdr:colOff>264460</xdr:colOff>
      <xdr:row>1</xdr:row>
      <xdr:rowOff>85164</xdr:rowOff>
    </xdr:from>
    <xdr:to>
      <xdr:col>25</xdr:col>
      <xdr:colOff>165132</xdr:colOff>
      <xdr:row>2</xdr:row>
      <xdr:rowOff>152398</xdr:rowOff>
    </xdr:to>
    <xdr:sp macro="[0]!JumpToChoropleth" textlink="">
      <xdr:nvSpPr>
        <xdr:cNvPr id="262" name="Right Arrow 261"/>
        <xdr:cNvSpPr/>
      </xdr:nvSpPr>
      <xdr:spPr>
        <a:xfrm flipH="1">
          <a:off x="15168284" y="141193"/>
          <a:ext cx="1335024" cy="515470"/>
        </a:xfrm>
        <a:prstGeom prst="rightArrow">
          <a:avLst/>
        </a:prstGeom>
        <a:solidFill>
          <a:schemeClr val="accent3">
            <a:lumMod val="50000"/>
          </a:schemeClr>
        </a:solidFill>
        <a:ln>
          <a:solidFill>
            <a:schemeClr val="accent3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view </a:t>
          </a:r>
          <a:r>
            <a:rPr lang="en-US" sz="1100" b="1"/>
            <a:t>World</a:t>
          </a:r>
          <a:r>
            <a:rPr lang="en-US" sz="1100" b="1" baseline="0"/>
            <a:t> Map</a:t>
          </a:r>
          <a:endParaRPr lang="en-US" sz="1100" b="1"/>
        </a:p>
      </xdr:txBody>
    </xdr:sp>
    <xdr:clientData/>
  </xdr:twoCellAnchor>
  <xdr:twoCellAnchor>
    <xdr:from>
      <xdr:col>44</xdr:col>
      <xdr:colOff>168089</xdr:colOff>
      <xdr:row>1</xdr:row>
      <xdr:rowOff>67235</xdr:rowOff>
    </xdr:from>
    <xdr:to>
      <xdr:col>46</xdr:col>
      <xdr:colOff>68760</xdr:colOff>
      <xdr:row>2</xdr:row>
      <xdr:rowOff>134469</xdr:rowOff>
    </xdr:to>
    <xdr:sp macro="[0]!JumpToJobType" textlink="">
      <xdr:nvSpPr>
        <xdr:cNvPr id="264" name="Right Arrow 263"/>
        <xdr:cNvSpPr/>
      </xdr:nvSpPr>
      <xdr:spPr>
        <a:xfrm flipH="1">
          <a:off x="30132618" y="123264"/>
          <a:ext cx="1335024" cy="515470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view </a:t>
          </a:r>
          <a:r>
            <a:rPr lang="en-US" sz="1100" b="1"/>
            <a:t>Job Type</a:t>
          </a:r>
        </a:p>
      </xdr:txBody>
    </xdr:sp>
    <xdr:clientData/>
  </xdr:twoCellAnchor>
  <xdr:twoCellAnchor>
    <xdr:from>
      <xdr:col>60</xdr:col>
      <xdr:colOff>694766</xdr:colOff>
      <xdr:row>1</xdr:row>
      <xdr:rowOff>67236</xdr:rowOff>
    </xdr:from>
    <xdr:to>
      <xdr:col>62</xdr:col>
      <xdr:colOff>595437</xdr:colOff>
      <xdr:row>2</xdr:row>
      <xdr:rowOff>134470</xdr:rowOff>
    </xdr:to>
    <xdr:sp macro="[0]!JumpToChoropleth" textlink="">
      <xdr:nvSpPr>
        <xdr:cNvPr id="265" name="Right Arrow 264"/>
        <xdr:cNvSpPr/>
      </xdr:nvSpPr>
      <xdr:spPr>
        <a:xfrm>
          <a:off x="42134119" y="123265"/>
          <a:ext cx="1335024" cy="515470"/>
        </a:xfrm>
        <a:prstGeom prst="rightArrow">
          <a:avLst/>
        </a:prstGeom>
        <a:solidFill>
          <a:schemeClr val="accent3">
            <a:lumMod val="50000"/>
          </a:schemeClr>
        </a:solidFill>
        <a:ln>
          <a:solidFill>
            <a:schemeClr val="accent3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view </a:t>
          </a:r>
          <a:r>
            <a:rPr lang="en-US" sz="1100" b="1"/>
            <a:t>World</a:t>
          </a:r>
          <a:r>
            <a:rPr lang="en-US" sz="1100" b="1" baseline="0"/>
            <a:t> Map</a:t>
          </a:r>
          <a:endParaRPr lang="en-US" sz="11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0</xdr:colOff>
      <xdr:row>11</xdr:row>
      <xdr:rowOff>0</xdr:rowOff>
    </xdr:from>
    <xdr:to>
      <xdr:col>12</xdr:col>
      <xdr:colOff>0</xdr:colOff>
      <xdr:row>12</xdr:row>
      <xdr:rowOff>142875</xdr:rowOff>
    </xdr:to>
    <xdr:pic>
      <xdr:nvPicPr>
        <xdr:cNvPr id="2" name="Legend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duotone>
            <a:schemeClr val="accent3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181850" y="2000250"/>
          <a:ext cx="28575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1512795</xdr:colOff>
      <xdr:row>2</xdr:row>
      <xdr:rowOff>33617</xdr:rowOff>
    </xdr:from>
    <xdr:to>
      <xdr:col>28</xdr:col>
      <xdr:colOff>549087</xdr:colOff>
      <xdr:row>48</xdr:row>
      <xdr:rowOff>56028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11206</xdr:colOff>
      <xdr:row>24</xdr:row>
      <xdr:rowOff>67235</xdr:rowOff>
    </xdr:from>
    <xdr:to>
      <xdr:col>21</xdr:col>
      <xdr:colOff>1636057</xdr:colOff>
      <xdr:row>70</xdr:row>
      <xdr:rowOff>89645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salary-data-for-conte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pping"/>
      <sheetName val="Sheet1"/>
      <sheetName val="Data"/>
      <sheetName val="salary-data-for-contest"/>
    </sheetNames>
    <sheetDataSet>
      <sheetData sheetId="0"/>
      <sheetData sheetId="1" refreshError="1"/>
      <sheetData sheetId="2"/>
      <sheetData sheetId="3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Sock Monkey" refreshedDate="41085.93212164352" createdVersion="4" refreshedVersion="4" minRefreshableVersion="3" recordCount="1883">
  <cacheSource type="worksheet">
    <worksheetSource name="tblSalaries"/>
  </cacheSource>
  <cacheFields count="11">
    <cacheField name="Unique ID" numFmtId="0">
      <sharedItems/>
    </cacheField>
    <cacheField name="Timestamp" numFmtId="165">
      <sharedItems containsSemiMixedTypes="0" containsNonDate="0" containsDate="1" containsString="0" minDate="2012-05-25T03:11:32" maxDate="2012-06-21T04:46:24"/>
    </cacheField>
    <cacheField name="clean Salary (in local currency)" numFmtId="0">
      <sharedItems containsSemiMixedTypes="0" containsString="0" containsNumber="1" containsInteger="1" minValue="2400" maxValue="48000000"/>
    </cacheField>
    <cacheField name="Currency" numFmtId="0">
      <sharedItems/>
    </cacheField>
    <cacheField name="Salary in USD" numFmtId="0">
      <sharedItems containsSemiMixedTypes="0" containsString="0" containsNumber="1" minValue="1783.166904422254" maxValue="1229201.9037879086"/>
    </cacheField>
    <cacheField name="Your Job Title" numFmtId="0">
      <sharedItems/>
    </cacheField>
    <cacheField name="Job Type" numFmtId="0">
      <sharedItems count="10">
        <s v="Analyst"/>
        <s v="Controller"/>
        <s v="Engineer"/>
        <s v="Manager"/>
        <s v="CXO or Top Mgmt."/>
        <s v="Accountant"/>
        <s v="Specialist"/>
        <s v="Reporting"/>
        <s v="Consultant"/>
        <s v="Misc."/>
      </sharedItems>
    </cacheField>
    <cacheField name="Where do you work" numFmtId="0">
      <sharedItems/>
    </cacheField>
    <cacheField name="clean Country" numFmtId="0">
      <sharedItems count="107">
        <s v="India"/>
        <s v="Croatia"/>
        <s v="USA"/>
        <s v="Pakistan"/>
        <s v="Iceland"/>
        <s v="Germany"/>
        <s v="Ukraine"/>
        <s v="Portugal"/>
        <s v="Ireland"/>
        <s v="Hungary"/>
        <s v="Switzerland"/>
        <s v="South Africa"/>
        <s v="Belgium"/>
        <s v="Russia"/>
        <s v="UK"/>
        <s v="Poland"/>
        <s v="Australia"/>
        <s v="Canada"/>
        <s v="Netherlands"/>
        <s v="France"/>
        <s v="Brasil"/>
        <s v="UAE"/>
        <s v="Saudi Arabia"/>
        <s v="Panama"/>
        <s v="Brazil"/>
        <s v="arabian Gulf"/>
        <s v="Mexico"/>
        <s v="Greece"/>
        <s v="Colombia"/>
        <s v="Turkey"/>
        <s v="Singapore"/>
        <s v="Bermuda"/>
        <s v="Thailand"/>
        <s v="Philippines"/>
        <s v="Dubai"/>
        <s v="Israel"/>
        <s v="Sweden"/>
        <s v="Bangladesh"/>
        <s v="Romania"/>
        <s v="Costa Rica"/>
        <s v="iran"/>
        <s v="Finland"/>
        <s v="Dominican Republic"/>
        <s v="Somalia"/>
        <s v="Republic of Georgia"/>
        <s v="Estonia"/>
        <s v="mozambique"/>
        <s v="Norway"/>
        <s v="Spain"/>
        <s v="New Zealand"/>
        <s v="Central America"/>
        <s v="self-employed"/>
        <s v="Japan"/>
        <s v="Guyana"/>
        <s v="china"/>
        <s v="Sri Lanka"/>
        <s v="Indonesia"/>
        <s v="Cambodia"/>
        <s v="Lithuania"/>
        <s v="Egypt"/>
        <s v="Bhutan"/>
        <s v="Nigeria"/>
        <s v="Denmark"/>
        <s v="italy"/>
        <s v="Uruguay"/>
        <s v="Aruba"/>
        <s v="Qatar"/>
        <s v="Viet Nam"/>
        <s v="Kuwait "/>
        <s v="Czech Republic"/>
        <s v="Zimbabwe"/>
        <s v="Slovenia"/>
        <s v="Albania"/>
        <s v="Zambia"/>
        <s v="malaysia"/>
        <s v="Asia"/>
        <s v="Paraguay"/>
        <s v="Kuwait"/>
        <s v="CEE"/>
        <s v="Montenegro"/>
        <s v="Republica Dominicana"/>
        <s v="Argentina"/>
        <s v="Kenya"/>
        <s v="Latin America"/>
        <s v="Mongolia"/>
        <s v="Myanmar"/>
        <s v="Uganda"/>
        <s v="Ghana"/>
        <s v="Austria"/>
        <s v="Europe"/>
        <s v="Bolivia"/>
        <s v="Vietnam"/>
        <s v="MYS"/>
        <s v="Libya"/>
        <s v="Bulgaria"/>
        <s v="Peru"/>
        <s v="Morocco"/>
        <s v="Lesotho"/>
        <s v="Mauritius"/>
        <s v="Azerbaijan"/>
        <s v="Slovakia"/>
        <s v="Tunisia"/>
        <s v="Armenia"/>
        <s v="Hong Kong"/>
        <s v="Baltic"/>
        <s v="Ethiopia"/>
        <s v="Oman"/>
      </sharedItems>
    </cacheField>
    <cacheField name="How many hours of a day you work on Excel" numFmtId="0">
      <sharedItems count="5">
        <s v="4 to 6 hours a day"/>
        <s v="All the 8 hours baby, all the 8!"/>
        <s v="2 to 3 hours per day"/>
        <s v="1 or 2 hours a day"/>
        <s v="Excel ?!? What Excel?"/>
      </sharedItems>
    </cacheField>
    <cacheField name="Years of Experience" numFmtId="0">
      <sharedItems containsString="0" containsBlank="1" containsNumber="1" minValue="0" maxValue="40"/>
    </cacheField>
  </cacheFields>
  <extLst>
    <ext xmlns:x14="http://schemas.microsoft.com/office/spreadsheetml/2009/9/main" uri="{725AE2AE-9491-48be-B2B4-4EB974FC3084}">
      <x14:pivotCacheDefinition pivotCacheId="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883">
  <r>
    <s v="ID0001"/>
    <d v="2012-05-25T03:11:32"/>
    <n v="5846"/>
    <s v="USD"/>
    <n v="5846"/>
    <s v="MIS Analyst"/>
    <x v="0"/>
    <s v="India"/>
    <x v="0"/>
    <x v="0"/>
    <m/>
  </r>
  <r>
    <s v="ID0002"/>
    <d v="2012-05-25T03:13:13"/>
    <n v="15000"/>
    <s v="USD"/>
    <n v="15000"/>
    <s v="cost control"/>
    <x v="1"/>
    <s v="europe/Croatia"/>
    <x v="1"/>
    <x v="1"/>
    <m/>
  </r>
  <r>
    <s v="ID0003"/>
    <d v="2012-05-25T03:16:26"/>
    <n v="58000"/>
    <s v="USD"/>
    <n v="58000"/>
    <s v="Financial Analyst"/>
    <x v="0"/>
    <s v="USA"/>
    <x v="2"/>
    <x v="1"/>
    <m/>
  </r>
  <r>
    <s v="ID0004"/>
    <d v="2012-05-25T03:23:42"/>
    <n v="48000"/>
    <s v="USD"/>
    <n v="48000"/>
    <s v="Quality Control"/>
    <x v="1"/>
    <s v="Pakistan"/>
    <x v="3"/>
    <x v="2"/>
    <m/>
  </r>
  <r>
    <s v="ID0005"/>
    <d v="2012-05-25T03:27:04"/>
    <n v="54000"/>
    <s v="USD"/>
    <n v="54000"/>
    <s v="Quality Engineer"/>
    <x v="2"/>
    <s v="USA"/>
    <x v="2"/>
    <x v="1"/>
    <m/>
  </r>
  <r>
    <s v="ID0006"/>
    <d v="2012-05-25T03:28:28"/>
    <n v="41731"/>
    <s v="USD"/>
    <n v="41731"/>
    <s v="Analyst"/>
    <x v="0"/>
    <s v="Iceland"/>
    <x v="4"/>
    <x v="1"/>
    <m/>
  </r>
  <r>
    <s v="ID0007"/>
    <d v="2012-05-25T03:33:51"/>
    <n v="145000"/>
    <s v="EUR"/>
    <n v="184207.91865378313"/>
    <s v="senior project manager"/>
    <x v="3"/>
    <s v="Germany"/>
    <x v="5"/>
    <x v="3"/>
    <m/>
  </r>
  <r>
    <s v="ID0008"/>
    <d v="2012-05-25T03:36:37"/>
    <n v="12000"/>
    <s v="USD"/>
    <n v="12000"/>
    <s v="Assistant SP&amp;A"/>
    <x v="0"/>
    <s v="Ukraine"/>
    <x v="6"/>
    <x v="1"/>
    <m/>
  </r>
  <r>
    <s v="ID0009"/>
    <d v="2012-05-25T03:37:17"/>
    <n v="44000"/>
    <s v="USD"/>
    <n v="44000"/>
    <s v="CFO"/>
    <x v="4"/>
    <s v="Portugal"/>
    <x v="7"/>
    <x v="3"/>
    <m/>
  </r>
  <r>
    <s v="ID0010"/>
    <d v="2012-05-25T03:38:57"/>
    <n v="1152000"/>
    <s v="PKR"/>
    <n v="12227.430201752599"/>
    <s v="Audit Trainee "/>
    <x v="5"/>
    <s v="Pakistan"/>
    <x v="3"/>
    <x v="1"/>
    <m/>
  </r>
  <r>
    <s v="ID0011"/>
    <d v="2012-05-25T03:43:45"/>
    <n v="51650"/>
    <s v="EUR"/>
    <n v="65616.131023916547"/>
    <s v="Training Specialist"/>
    <x v="6"/>
    <s v="Ireland"/>
    <x v="8"/>
    <x v="2"/>
    <m/>
  </r>
  <r>
    <s v="ID0012"/>
    <d v="2012-05-25T03:43:56"/>
    <n v="14000"/>
    <s v="USD"/>
    <n v="14000"/>
    <s v="Quality Engineer"/>
    <x v="2"/>
    <s v="Hungary"/>
    <x v="9"/>
    <x v="0"/>
    <m/>
  </r>
  <r>
    <s v="ID0013"/>
    <d v="2012-05-25T03:48:53"/>
    <n v="749000"/>
    <s v="INR"/>
    <n v="13338.129598894484"/>
    <s v="Senion Analyst"/>
    <x v="0"/>
    <s v="India"/>
    <x v="0"/>
    <x v="1"/>
    <m/>
  </r>
  <r>
    <s v="ID0014"/>
    <d v="2012-05-25T03:50:58"/>
    <n v="49000"/>
    <s v="USD"/>
    <n v="49000"/>
    <s v="business analyst"/>
    <x v="0"/>
    <s v="USA"/>
    <x v="2"/>
    <x v="1"/>
    <m/>
  </r>
  <r>
    <s v="ID0015"/>
    <d v="2012-05-25T03:53:22"/>
    <n v="85000"/>
    <s v="USD"/>
    <n v="85000"/>
    <s v="Project Engineer"/>
    <x v="2"/>
    <s v="USA"/>
    <x v="2"/>
    <x v="3"/>
    <m/>
  </r>
  <r>
    <s v="ID0016"/>
    <d v="2012-05-25T03:56:40"/>
    <n v="75000"/>
    <s v="USD"/>
    <n v="75000"/>
    <s v="Sr Project Engineer"/>
    <x v="2"/>
    <s v="USA"/>
    <x v="2"/>
    <x v="1"/>
    <m/>
  </r>
  <r>
    <s v="ID0017"/>
    <d v="2012-05-25T04:10:11"/>
    <n v="107000"/>
    <s v="USD"/>
    <n v="107000"/>
    <s v="Business Development"/>
    <x v="3"/>
    <s v="Switzerland"/>
    <x v="10"/>
    <x v="0"/>
    <m/>
  </r>
  <r>
    <s v="ID0018"/>
    <d v="2012-05-25T04:10:44"/>
    <n v="45000"/>
    <s v="USD"/>
    <n v="45000"/>
    <s v="Excel Report Writer"/>
    <x v="7"/>
    <s v="South Africa"/>
    <x v="11"/>
    <x v="1"/>
    <m/>
  </r>
  <r>
    <s v="ID0019"/>
    <d v="2012-05-25T04:16:32"/>
    <n v="550000"/>
    <s v="INR"/>
    <n v="9794.354178093412"/>
    <s v="AGM"/>
    <x v="3"/>
    <s v="India"/>
    <x v="0"/>
    <x v="2"/>
    <m/>
  </r>
  <r>
    <s v="ID0020"/>
    <d v="2012-05-25T04:19:22"/>
    <n v="50000"/>
    <s v="USD"/>
    <n v="50000"/>
    <s v="GM"/>
    <x v="3"/>
    <s v="India"/>
    <x v="0"/>
    <x v="3"/>
    <m/>
  </r>
  <r>
    <s v="ID0021"/>
    <d v="2012-05-25T04:24:01"/>
    <n v="13500"/>
    <s v="USD"/>
    <n v="13500"/>
    <s v="DSE Co-ordinator"/>
    <x v="3"/>
    <s v="India"/>
    <x v="0"/>
    <x v="0"/>
    <m/>
  </r>
  <r>
    <s v="ID0022"/>
    <d v="2012-05-25T04:24:12"/>
    <n v="96000"/>
    <s v="USD"/>
    <n v="96000"/>
    <s v="Analyst"/>
    <x v="0"/>
    <s v="USA"/>
    <x v="2"/>
    <x v="2"/>
    <m/>
  </r>
  <r>
    <s v="ID0023"/>
    <d v="2012-05-25T04:31:41"/>
    <n v="1000000"/>
    <s v="INR"/>
    <n v="17807.916687442568"/>
    <s v="Manager"/>
    <x v="3"/>
    <s v="India"/>
    <x v="0"/>
    <x v="0"/>
    <m/>
  </r>
  <r>
    <s v="ID0024"/>
    <d v="2012-05-25T04:32:49"/>
    <n v="75000"/>
    <s v="USD"/>
    <n v="75000"/>
    <s v="Marketing Director"/>
    <x v="4"/>
    <s v="USA"/>
    <x v="2"/>
    <x v="0"/>
    <m/>
  </r>
  <r>
    <s v="ID0025"/>
    <d v="2012-05-25T04:43:51"/>
    <n v="40000"/>
    <s v="USD"/>
    <n v="40000"/>
    <s v="sales and marketing"/>
    <x v="3"/>
    <s v="USA"/>
    <x v="2"/>
    <x v="2"/>
    <m/>
  </r>
  <r>
    <s v="ID0026"/>
    <d v="2012-05-25T04:45:01"/>
    <n v="60000"/>
    <s v="USD"/>
    <n v="60000"/>
    <s v="Analyst II"/>
    <x v="0"/>
    <s v="USA"/>
    <x v="2"/>
    <x v="1"/>
    <m/>
  </r>
  <r>
    <s v="ID0028"/>
    <d v="2012-05-25T04:48:33"/>
    <n v="32400"/>
    <s v="EUR"/>
    <n v="41160.941823328096"/>
    <s v="Project Leader"/>
    <x v="3"/>
    <s v="Belgium"/>
    <x v="12"/>
    <x v="0"/>
    <m/>
  </r>
  <r>
    <s v="ID0029"/>
    <d v="2012-05-25T04:52:23"/>
    <n v="900000"/>
    <s v="INR"/>
    <n v="16027.125018698311"/>
    <s v="Applications Engineer"/>
    <x v="2"/>
    <s v="India"/>
    <x v="0"/>
    <x v="3"/>
    <m/>
  </r>
  <r>
    <s v="ID0030"/>
    <d v="2012-05-25T04:55:35"/>
    <n v="600000"/>
    <s v="INR"/>
    <n v="10684.750012465542"/>
    <s v="strategy manager"/>
    <x v="3"/>
    <s v="India"/>
    <x v="0"/>
    <x v="0"/>
    <m/>
  </r>
  <r>
    <s v="ID0031"/>
    <d v="2012-05-25T04:55:48"/>
    <n v="41000"/>
    <s v="USD"/>
    <n v="41000"/>
    <s v="Chief of the department of public budget analisis and forecasting"/>
    <x v="3"/>
    <s v="Russia"/>
    <x v="13"/>
    <x v="1"/>
    <m/>
  </r>
  <r>
    <s v="ID0032"/>
    <d v="2012-05-25T04:57:06"/>
    <n v="360000"/>
    <s v="INR"/>
    <n v="6410.8500074793246"/>
    <s v="Specialist"/>
    <x v="6"/>
    <s v="India"/>
    <x v="0"/>
    <x v="0"/>
    <m/>
  </r>
  <r>
    <s v="ID0033"/>
    <d v="2012-05-25T04:58:45"/>
    <n v="35000"/>
    <s v="GBP"/>
    <n v="55166.239522354947"/>
    <s v="Management Information Analyst"/>
    <x v="0"/>
    <s v="UK"/>
    <x v="14"/>
    <x v="1"/>
    <m/>
  </r>
  <r>
    <s v="ID0035"/>
    <d v="2012-05-25T05:01:09"/>
    <n v="19200"/>
    <s v="USD"/>
    <n v="19200"/>
    <s v="Analyst"/>
    <x v="0"/>
    <s v="Poland"/>
    <x v="15"/>
    <x v="2"/>
    <m/>
  </r>
  <r>
    <s v="ID0036"/>
    <d v="2012-05-25T05:04:12"/>
    <n v="500000"/>
    <s v="INR"/>
    <n v="8903.9583437212841"/>
    <s v="Senior Consultant"/>
    <x v="8"/>
    <s v="India"/>
    <x v="0"/>
    <x v="1"/>
    <m/>
  </r>
  <r>
    <s v="ID0037"/>
    <d v="2012-05-25T05:07:31"/>
    <n v="150000"/>
    <s v="USD"/>
    <n v="150000"/>
    <s v="Portfolio Manager"/>
    <x v="3"/>
    <s v="USA"/>
    <x v="2"/>
    <x v="2"/>
    <m/>
  </r>
  <r>
    <s v="ID0038"/>
    <d v="2012-05-25T05:10:29"/>
    <n v="69000"/>
    <s v="USD"/>
    <n v="69000"/>
    <s v="Design Engineer"/>
    <x v="2"/>
    <s v="USA"/>
    <x v="2"/>
    <x v="0"/>
    <m/>
  </r>
  <r>
    <s v="ID0039"/>
    <d v="2012-05-25T05:11:37"/>
    <n v="30000"/>
    <s v="USD"/>
    <n v="30000"/>
    <s v="Academic Advisor"/>
    <x v="8"/>
    <s v="USA"/>
    <x v="2"/>
    <x v="2"/>
    <m/>
  </r>
  <r>
    <s v="ID0040"/>
    <d v="2012-05-25T05:13:50"/>
    <n v="400000"/>
    <s v="INR"/>
    <n v="7123.1666749770275"/>
    <s v="Coordination"/>
    <x v="3"/>
    <s v="India"/>
    <x v="0"/>
    <x v="0"/>
    <m/>
  </r>
  <r>
    <s v="ID0041"/>
    <d v="2012-05-25T05:18:48"/>
    <n v="70000"/>
    <s v="AUD"/>
    <n v="71393.675948184507"/>
    <s v="consultant"/>
    <x v="8"/>
    <s v="Australia"/>
    <x v="16"/>
    <x v="2"/>
    <m/>
  </r>
  <r>
    <s v="ID0042"/>
    <d v="2012-05-25T05:20:10"/>
    <n v="14500"/>
    <s v="USD"/>
    <n v="14500"/>
    <s v="Business Analsyt"/>
    <x v="0"/>
    <s v="India"/>
    <x v="0"/>
    <x v="0"/>
    <m/>
  </r>
  <r>
    <s v="ID0043"/>
    <d v="2012-05-25T05:30:39"/>
    <n v="70000"/>
    <s v="CAD"/>
    <n v="68835.306612122877"/>
    <s v="Product Engineer"/>
    <x v="2"/>
    <s v="Canada"/>
    <x v="17"/>
    <x v="2"/>
    <m/>
  </r>
  <r>
    <s v="ID0044"/>
    <d v="2012-05-25T05:35:28"/>
    <n v="58000"/>
    <s v="USD"/>
    <n v="58000"/>
    <s v="Senior Accountant"/>
    <x v="5"/>
    <s v="USA"/>
    <x v="2"/>
    <x v="0"/>
    <m/>
  </r>
  <r>
    <s v="ID0045"/>
    <d v="2012-05-25T05:45:01"/>
    <n v="90000"/>
    <s v="USD"/>
    <n v="90000"/>
    <s v="Scientist"/>
    <x v="9"/>
    <s v="USA"/>
    <x v="2"/>
    <x v="3"/>
    <m/>
  </r>
  <r>
    <s v="ID0046"/>
    <d v="2012-05-25T05:46:47"/>
    <n v="800000"/>
    <s v="INR"/>
    <n v="14246.333349954055"/>
    <s v="Team Lead"/>
    <x v="3"/>
    <s v="India"/>
    <x v="0"/>
    <x v="2"/>
    <m/>
  </r>
  <r>
    <s v="ID0047"/>
    <d v="2012-05-25T05:47:10"/>
    <n v="32000"/>
    <s v="GBP"/>
    <n v="50437.70470615309"/>
    <s v="Senior intelligence analyst"/>
    <x v="0"/>
    <s v="UK"/>
    <x v="14"/>
    <x v="0"/>
    <m/>
  </r>
  <r>
    <s v="ID0048"/>
    <d v="2012-05-25T05:47:52"/>
    <n v="12000"/>
    <s v="USD"/>
    <n v="12000"/>
    <s v="Freelance consultant"/>
    <x v="8"/>
    <s v="USA"/>
    <x v="2"/>
    <x v="3"/>
    <m/>
  </r>
  <r>
    <s v="ID0049"/>
    <d v="2012-05-25T06:04:42"/>
    <n v="45000"/>
    <s v="EUR"/>
    <n v="57167.974754622352"/>
    <s v="Online Traffic Manager / Web Analist"/>
    <x v="3"/>
    <s v="The Netherlands"/>
    <x v="18"/>
    <x v="0"/>
    <m/>
  </r>
  <r>
    <s v="ID0050"/>
    <d v="2012-05-25T06:04:57"/>
    <n v="100000"/>
    <s v="USD"/>
    <n v="100000"/>
    <s v="Seinor Financial Analyst"/>
    <x v="0"/>
    <s v="Germany"/>
    <x v="5"/>
    <x v="1"/>
    <m/>
  </r>
  <r>
    <s v="ID0051"/>
    <d v="2012-05-25T06:05:17"/>
    <n v="57000"/>
    <s v="USD"/>
    <n v="57000"/>
    <s v="Senior Accounting Supervisor"/>
    <x v="5"/>
    <s v="USA"/>
    <x v="2"/>
    <x v="2"/>
    <m/>
  </r>
  <r>
    <s v="ID0052"/>
    <d v="2012-05-25T06:07:15"/>
    <n v="40000"/>
    <s v="GBP"/>
    <n v="63047.130882691366"/>
    <s v="Senior Accountant"/>
    <x v="5"/>
    <s v="UK"/>
    <x v="14"/>
    <x v="0"/>
    <m/>
  </r>
  <r>
    <s v="ID0053"/>
    <d v="2012-05-25T06:09:44"/>
    <n v="24000"/>
    <s v="EUR"/>
    <n v="30489.586535798586"/>
    <s v="PPC Manager"/>
    <x v="3"/>
    <s v="Germany"/>
    <x v="5"/>
    <x v="1"/>
    <m/>
  </r>
  <r>
    <s v="ID0054"/>
    <d v="2012-05-25T06:10:18"/>
    <n v="4320"/>
    <s v="USD"/>
    <n v="4320"/>
    <s v="Financial Planner"/>
    <x v="5"/>
    <s v="India"/>
    <x v="0"/>
    <x v="2"/>
    <m/>
  </r>
  <r>
    <s v="ID0055"/>
    <d v="2012-05-25T06:15:42"/>
    <n v="62000"/>
    <s v="USD"/>
    <n v="62000"/>
    <s v="Analyst"/>
    <x v="0"/>
    <s v="USA"/>
    <x v="2"/>
    <x v="0"/>
    <m/>
  </r>
  <r>
    <s v="ID0056"/>
    <d v="2012-05-25T06:26:44"/>
    <n v="7500"/>
    <s v="USD"/>
    <n v="7500"/>
    <s v="Analyst"/>
    <x v="0"/>
    <s v="India"/>
    <x v="0"/>
    <x v="0"/>
    <m/>
  </r>
  <r>
    <s v="ID0057"/>
    <d v="2012-05-25T06:27:29"/>
    <n v="18000"/>
    <s v="GBP"/>
    <n v="28371.208897211112"/>
    <s v="Building Design and Performance Researcher"/>
    <x v="3"/>
    <s v="UK"/>
    <x v="14"/>
    <x v="3"/>
    <m/>
  </r>
  <r>
    <s v="ID0058"/>
    <d v="2012-05-25T06:49:25"/>
    <n v="49000"/>
    <s v="EUR"/>
    <n v="62249.572510588783"/>
    <s v="Project leader"/>
    <x v="3"/>
    <s v="France"/>
    <x v="19"/>
    <x v="2"/>
    <m/>
  </r>
  <r>
    <s v="ID0059"/>
    <d v="2012-05-25T06:57:52"/>
    <n v="38000"/>
    <s v="USD"/>
    <n v="38000"/>
    <s v="Senior Analyst"/>
    <x v="0"/>
    <s v="USA"/>
    <x v="2"/>
    <x v="0"/>
    <m/>
  </r>
  <r>
    <s v="ID0060"/>
    <d v="2012-05-25T07:00:52"/>
    <n v="41000"/>
    <s v="USD"/>
    <n v="41000"/>
    <s v="Specialist"/>
    <x v="6"/>
    <s v="USA"/>
    <x v="2"/>
    <x v="0"/>
    <m/>
  </r>
  <r>
    <s v="ID0061"/>
    <d v="2012-05-25T07:11:09"/>
    <n v="68000"/>
    <s v="USD"/>
    <n v="68000"/>
    <s v="Engineering Data Analyst"/>
    <x v="0"/>
    <s v="USA"/>
    <x v="2"/>
    <x v="1"/>
    <m/>
  </r>
  <r>
    <s v="ID0062"/>
    <d v="2012-05-25T07:13:31"/>
    <n v="56000"/>
    <s v="CAD"/>
    <n v="55068.245289698301"/>
    <s v="Sales Analyst"/>
    <x v="0"/>
    <s v="Canada"/>
    <x v="17"/>
    <x v="1"/>
    <m/>
  </r>
  <r>
    <s v="ID0063"/>
    <d v="2012-05-25T07:15:12"/>
    <n v="61000"/>
    <s v="USD"/>
    <n v="61000"/>
    <s v="Coordinator Of Costa and Buget"/>
    <x v="3"/>
    <s v="Brasil"/>
    <x v="20"/>
    <x v="1"/>
    <m/>
  </r>
  <r>
    <s v="ID0064"/>
    <d v="2012-05-25T07:18:53"/>
    <n v="43000"/>
    <s v="EUR"/>
    <n v="54627.175876639136"/>
    <s v="SAP consultant"/>
    <x v="8"/>
    <s v="FR"/>
    <x v="19"/>
    <x v="0"/>
    <m/>
  </r>
  <r>
    <s v="ID0065"/>
    <d v="2012-05-25T07:20:08"/>
    <n v="85000"/>
    <s v="USD"/>
    <n v="85000"/>
    <s v="Manager"/>
    <x v="3"/>
    <s v="USA"/>
    <x v="2"/>
    <x v="0"/>
    <m/>
  </r>
  <r>
    <s v="ID0066"/>
    <d v="2012-05-25T07:21:18"/>
    <n v="38000"/>
    <s v="EUR"/>
    <n v="48275.178681681093"/>
    <s v="busines analist"/>
    <x v="0"/>
    <s v="The Netherlands"/>
    <x v="18"/>
    <x v="3"/>
    <m/>
  </r>
  <r>
    <s v="ID0067"/>
    <d v="2012-05-25T07:25:12"/>
    <n v="85000"/>
    <s v="AUD"/>
    <n v="86692.320794224041"/>
    <s v="head of data"/>
    <x v="4"/>
    <s v="Australia"/>
    <x v="16"/>
    <x v="0"/>
    <m/>
  </r>
  <r>
    <s v="ID0068"/>
    <d v="2012-05-25T07:29:12"/>
    <n v="85087"/>
    <s v="USD"/>
    <n v="85087"/>
    <s v="Business Systems Analyst"/>
    <x v="0"/>
    <s v="USA"/>
    <x v="2"/>
    <x v="2"/>
    <m/>
  </r>
  <r>
    <s v="ID0069"/>
    <d v="2012-05-25T07:38:22"/>
    <n v="50000"/>
    <s v="USD"/>
    <n v="50000"/>
    <s v="Financial Analyst II"/>
    <x v="0"/>
    <s v="USA"/>
    <x v="2"/>
    <x v="1"/>
    <m/>
  </r>
  <r>
    <s v="ID0070"/>
    <d v="2012-05-25T07:47:00"/>
    <n v="100000"/>
    <s v="USD"/>
    <n v="100000"/>
    <s v="Mngr MI"/>
    <x v="3"/>
    <s v="RSA"/>
    <x v="11"/>
    <x v="0"/>
    <m/>
  </r>
  <r>
    <s v="ID0071"/>
    <d v="2012-05-25T22:49:00"/>
    <n v="57000"/>
    <s v="USD"/>
    <n v="57000"/>
    <s v="sales analyst"/>
    <x v="0"/>
    <s v="USA"/>
    <x v="2"/>
    <x v="0"/>
    <m/>
  </r>
  <r>
    <s v="ID0072"/>
    <d v="2012-05-25T22:52:28"/>
    <n v="75000"/>
    <s v="USD"/>
    <n v="75000"/>
    <s v="Consumer Research Program Manager"/>
    <x v="3"/>
    <s v="USA"/>
    <x v="2"/>
    <x v="1"/>
    <m/>
  </r>
  <r>
    <s v="ID0073"/>
    <d v="2012-05-25T22:59:05"/>
    <n v="100000"/>
    <s v="AUD"/>
    <n v="101990.96564026357"/>
    <s v="technical trainer"/>
    <x v="3"/>
    <s v="Australia"/>
    <x v="16"/>
    <x v="0"/>
    <m/>
  </r>
  <r>
    <s v="ID0074"/>
    <d v="2012-05-25T23:01:20"/>
    <n v="33420"/>
    <s v="USD"/>
    <n v="33420"/>
    <s v="Process Flow Coordinator"/>
    <x v="3"/>
    <s v="United Arab Emirates"/>
    <x v="21"/>
    <x v="1"/>
    <m/>
  </r>
  <r>
    <s v="ID0075"/>
    <d v="2012-05-25T23:03:00"/>
    <n v="59450"/>
    <s v="CAD"/>
    <n v="58460.842544152933"/>
    <s v="Process Improvement Specialist"/>
    <x v="6"/>
    <s v="Canada"/>
    <x v="17"/>
    <x v="1"/>
    <m/>
  </r>
  <r>
    <s v="ID0076"/>
    <d v="2012-05-25T23:12:29"/>
    <n v="15000"/>
    <s v="USD"/>
    <n v="15000"/>
    <s v="Excel Programmer Consultant"/>
    <x v="8"/>
    <s v="USA"/>
    <x v="2"/>
    <x v="1"/>
    <m/>
  </r>
  <r>
    <s v="ID0077"/>
    <d v="2012-05-25T23:15:34"/>
    <n v="60000"/>
    <s v="USD"/>
    <n v="60000"/>
    <s v="Statistical Analyst"/>
    <x v="0"/>
    <s v="Canada"/>
    <x v="17"/>
    <x v="3"/>
    <m/>
  </r>
  <r>
    <s v="ID0078"/>
    <d v="2012-05-25T23:18:45"/>
    <n v="100000"/>
    <s v="GBP"/>
    <n v="157617.8272067284"/>
    <s v="Analyst"/>
    <x v="0"/>
    <s v="UK"/>
    <x v="14"/>
    <x v="2"/>
    <m/>
  </r>
  <r>
    <s v="ID0079"/>
    <d v="2012-05-25T23:20:46"/>
    <n v="18000"/>
    <s v="USD"/>
    <n v="18000"/>
    <s v="Operational Analyst"/>
    <x v="0"/>
    <s v="Saudi Arabia"/>
    <x v="22"/>
    <x v="1"/>
    <m/>
  </r>
  <r>
    <s v="ID0080"/>
    <d v="2012-05-25T23:31:16"/>
    <n v="50000"/>
    <s v="USD"/>
    <n v="50000"/>
    <s v="Exceler"/>
    <x v="3"/>
    <s v="USA"/>
    <x v="2"/>
    <x v="2"/>
    <m/>
  </r>
  <r>
    <s v="ID0081"/>
    <d v="2012-05-25T23:33:15"/>
    <n v="26000"/>
    <s v="USD"/>
    <n v="26000"/>
    <s v="Marketing Analyst"/>
    <x v="0"/>
    <s v="Panama"/>
    <x v="23"/>
    <x v="1"/>
    <m/>
  </r>
  <r>
    <s v="ID0082"/>
    <d v="2012-05-25T23:49:27"/>
    <n v="30000"/>
    <s v="GBP"/>
    <n v="47285.348162018527"/>
    <s v="Database Manager"/>
    <x v="3"/>
    <s v="UK"/>
    <x v="14"/>
    <x v="0"/>
    <m/>
  </r>
  <r>
    <s v="ID0083"/>
    <d v="2012-05-26T00:00:52"/>
    <n v="150000"/>
    <s v="USD"/>
    <n v="150000"/>
    <s v="Director"/>
    <x v="4"/>
    <s v="USA"/>
    <x v="2"/>
    <x v="1"/>
    <m/>
  </r>
  <r>
    <s v="ID0084"/>
    <d v="2012-05-26T00:05:45"/>
    <n v="120000"/>
    <s v="USD"/>
    <n v="120000"/>
    <s v="Manager, Forecasts &amp; Budgets"/>
    <x v="3"/>
    <s v="USA"/>
    <x v="2"/>
    <x v="0"/>
    <m/>
  </r>
  <r>
    <s v="ID0085"/>
    <d v="2012-05-26T00:10:17"/>
    <n v="500000"/>
    <s v="INR"/>
    <n v="8903.9583437212841"/>
    <s v="Senior Consultant"/>
    <x v="8"/>
    <s v="India"/>
    <x v="0"/>
    <x v="1"/>
    <m/>
  </r>
  <r>
    <s v="ID0086"/>
    <d v="2012-05-26T00:11:21"/>
    <n v="31330"/>
    <s v="USD"/>
    <n v="31330"/>
    <s v="VBA Analyst"/>
    <x v="0"/>
    <s v="Brazil"/>
    <x v="24"/>
    <x v="1"/>
    <m/>
  </r>
  <r>
    <s v="ID0087"/>
    <d v="2012-05-26T00:15:17"/>
    <n v="110000"/>
    <s v="USD"/>
    <n v="110000"/>
    <s v="Senior Scheduling Engineer"/>
    <x v="2"/>
    <s v="USA"/>
    <x v="2"/>
    <x v="2"/>
    <m/>
  </r>
  <r>
    <s v="ID0088"/>
    <d v="2012-05-26T00:22:49"/>
    <n v="81000"/>
    <s v="USD"/>
    <n v="81000"/>
    <s v="Strategy Consultant"/>
    <x v="8"/>
    <s v="UK"/>
    <x v="14"/>
    <x v="0"/>
    <m/>
  </r>
  <r>
    <s v="ID0089"/>
    <d v="2012-05-26T00:39:04"/>
    <n v="40000"/>
    <s v="USD"/>
    <n v="40000"/>
    <s v="Admin"/>
    <x v="0"/>
    <s v="USA"/>
    <x v="2"/>
    <x v="0"/>
    <m/>
  </r>
  <r>
    <s v="ID0090"/>
    <d v="2012-05-26T00:39:28"/>
    <n v="42000"/>
    <s v="CAD"/>
    <n v="41301.183967273726"/>
    <s v="IT Asset Administrator"/>
    <x v="0"/>
    <s v="Canada"/>
    <x v="17"/>
    <x v="0"/>
    <m/>
  </r>
  <r>
    <s v="ID0091"/>
    <d v="2012-05-26T00:39:36"/>
    <n v="125000"/>
    <s v="USD"/>
    <n v="125000"/>
    <s v="Director of Marketing"/>
    <x v="4"/>
    <s v="USA"/>
    <x v="2"/>
    <x v="0"/>
    <m/>
  </r>
  <r>
    <s v="ID0092"/>
    <d v="2012-05-26T00:39:38"/>
    <n v="36000"/>
    <s v="USD"/>
    <n v="36000"/>
    <s v="Graphic Design Manager"/>
    <x v="3"/>
    <s v="USA"/>
    <x v="2"/>
    <x v="2"/>
    <m/>
  </r>
  <r>
    <s v="ID0093"/>
    <d v="2012-05-26T00:39:54"/>
    <n v="144000"/>
    <s v="INR"/>
    <n v="2564.3400029917298"/>
    <s v="Financial Consultant"/>
    <x v="8"/>
    <s v="India"/>
    <x v="0"/>
    <x v="3"/>
    <m/>
  </r>
  <r>
    <s v="ID0094"/>
    <d v="2012-05-26T00:40:00"/>
    <n v="75000"/>
    <s v="USD"/>
    <n v="75000"/>
    <s v="Data Analyst"/>
    <x v="0"/>
    <s v="USA"/>
    <x v="2"/>
    <x v="3"/>
    <m/>
  </r>
  <r>
    <s v="ID0095"/>
    <d v="2012-05-26T00:40:20"/>
    <n v="95000"/>
    <s v="USD"/>
    <n v="95000"/>
    <s v="CFO"/>
    <x v="4"/>
    <s v="USA"/>
    <x v="2"/>
    <x v="0"/>
    <m/>
  </r>
  <r>
    <s v="ID0096"/>
    <d v="2012-05-26T00:40:27"/>
    <n v="24000"/>
    <s v="USD"/>
    <n v="24000"/>
    <s v="Paraeducator"/>
    <x v="3"/>
    <s v="USA"/>
    <x v="2"/>
    <x v="2"/>
    <m/>
  </r>
  <r>
    <s v="ID0097"/>
    <d v="2012-05-26T00:40:31"/>
    <n v="91000"/>
    <s v="USD"/>
    <n v="91000"/>
    <s v="Channel Marketing Manager"/>
    <x v="3"/>
    <s v="USA"/>
    <x v="2"/>
    <x v="3"/>
    <m/>
  </r>
  <r>
    <s v="ID0098"/>
    <d v="2012-05-26T00:40:39"/>
    <n v="40000"/>
    <s v="USD"/>
    <n v="40000"/>
    <s v="Sales and Marketing Analyst "/>
    <x v="0"/>
    <s v="USA"/>
    <x v="2"/>
    <x v="0"/>
    <m/>
  </r>
  <r>
    <s v="ID0099"/>
    <d v="2012-05-26T00:40:40"/>
    <n v="57000"/>
    <s v="USD"/>
    <n v="57000"/>
    <s v="Production Scheduler"/>
    <x v="3"/>
    <s v="USA"/>
    <x v="2"/>
    <x v="0"/>
    <m/>
  </r>
  <r>
    <s v="ID0100"/>
    <d v="2012-05-26T00:40:41"/>
    <n v="74000"/>
    <s v="USD"/>
    <n v="74000"/>
    <s v="Senior Consultant"/>
    <x v="8"/>
    <s v="USA"/>
    <x v="2"/>
    <x v="0"/>
    <m/>
  </r>
  <r>
    <s v="ID0101"/>
    <d v="2012-05-26T00:40:42"/>
    <n v="80000"/>
    <s v="USD"/>
    <n v="80000"/>
    <s v="financial analyst"/>
    <x v="0"/>
    <s v="USA"/>
    <x v="2"/>
    <x v="0"/>
    <m/>
  </r>
  <r>
    <s v="ID0102"/>
    <d v="2012-05-26T00:40:46"/>
    <n v="90000"/>
    <s v="USD"/>
    <n v="90000"/>
    <s v="Product Specialist"/>
    <x v="6"/>
    <s v="USA"/>
    <x v="2"/>
    <x v="0"/>
    <m/>
  </r>
  <r>
    <s v="ID0103"/>
    <d v="2012-05-26T00:40:48"/>
    <n v="21000"/>
    <s v="USD"/>
    <n v="21000"/>
    <s v="IT support"/>
    <x v="0"/>
    <s v="arabian Gulf"/>
    <x v="25"/>
    <x v="3"/>
    <m/>
  </r>
  <r>
    <s v="ID0104"/>
    <d v="2012-05-26T00:40:50"/>
    <n v="52000"/>
    <s v="USD"/>
    <n v="52000"/>
    <s v="sr. project coordinator"/>
    <x v="3"/>
    <s v="USA"/>
    <x v="2"/>
    <x v="0"/>
    <m/>
  </r>
  <r>
    <s v="ID0105"/>
    <d v="2012-05-26T00:40:52"/>
    <n v="19200"/>
    <s v="USD"/>
    <n v="19200"/>
    <s v="Sr Administrative Assistant"/>
    <x v="0"/>
    <s v="Mexico"/>
    <x v="26"/>
    <x v="0"/>
    <m/>
  </r>
  <r>
    <s v="ID0106"/>
    <d v="2012-05-26T00:40:57"/>
    <n v="36000"/>
    <s v="USD"/>
    <n v="36000"/>
    <s v="Analyst"/>
    <x v="0"/>
    <s v="USA"/>
    <x v="2"/>
    <x v="0"/>
    <m/>
  </r>
  <r>
    <s v="ID0107"/>
    <d v="2012-05-26T00:41:02"/>
    <n v="57400"/>
    <s v="USD"/>
    <n v="57400"/>
    <s v="IT Analyst"/>
    <x v="0"/>
    <s v="USA"/>
    <x v="2"/>
    <x v="0"/>
    <m/>
  </r>
  <r>
    <s v="ID0108"/>
    <d v="2012-05-26T00:41:03"/>
    <n v="66000"/>
    <s v="USD"/>
    <n v="66000"/>
    <s v="Analyst"/>
    <x v="0"/>
    <s v="USA"/>
    <x v="2"/>
    <x v="2"/>
    <m/>
  </r>
  <r>
    <s v="ID0109"/>
    <d v="2012-05-26T00:41:06"/>
    <n v="35000"/>
    <s v="EUR"/>
    <n v="44463.980364706273"/>
    <s v="Project manager"/>
    <x v="3"/>
    <s v="Greece"/>
    <x v="27"/>
    <x v="0"/>
    <m/>
  </r>
  <r>
    <s v="ID0111"/>
    <d v="2012-05-26T00:41:16"/>
    <n v="85000"/>
    <s v="USD"/>
    <n v="85000"/>
    <s v="Strategic Analyst"/>
    <x v="0"/>
    <s v="USA"/>
    <x v="2"/>
    <x v="0"/>
    <m/>
  </r>
  <r>
    <s v="ID0112"/>
    <d v="2012-05-26T00:41:22"/>
    <n v="50000"/>
    <s v="USD"/>
    <n v="50000"/>
    <s v="Transportation Specialist"/>
    <x v="6"/>
    <s v="USA"/>
    <x v="2"/>
    <x v="0"/>
    <m/>
  </r>
  <r>
    <s v="ID0113"/>
    <d v="2012-05-26T00:41:27"/>
    <n v="58000"/>
    <s v="USD"/>
    <n v="58000"/>
    <s v="Operations Programs Support"/>
    <x v="3"/>
    <s v="USA"/>
    <x v="2"/>
    <x v="0"/>
    <m/>
  </r>
  <r>
    <s v="ID0114"/>
    <d v="2012-05-26T00:41:28"/>
    <n v="37900"/>
    <s v="USD"/>
    <n v="37900"/>
    <s v="Accounting Coordinator"/>
    <x v="5"/>
    <s v="USA"/>
    <x v="2"/>
    <x v="1"/>
    <m/>
  </r>
  <r>
    <s v="ID0115"/>
    <d v="2012-05-26T00:41:30"/>
    <n v="48000"/>
    <s v="USD"/>
    <n v="48000"/>
    <s v="Asst.Manager Finance"/>
    <x v="3"/>
    <s v="UAE"/>
    <x v="21"/>
    <x v="2"/>
    <m/>
  </r>
  <r>
    <s v="ID0116"/>
    <d v="2012-05-26T00:41:32"/>
    <n v="67000"/>
    <s v="USD"/>
    <n v="67000"/>
    <s v="Operations Cost Analyst"/>
    <x v="0"/>
    <s v="USA"/>
    <x v="2"/>
    <x v="0"/>
    <m/>
  </r>
  <r>
    <s v="ID0117"/>
    <d v="2012-05-26T00:41:35"/>
    <n v="85000"/>
    <s v="USD"/>
    <n v="85000"/>
    <s v="Financial Controller"/>
    <x v="1"/>
    <s v="UAE"/>
    <x v="21"/>
    <x v="0"/>
    <m/>
  </r>
  <r>
    <s v="ID0118"/>
    <d v="2012-05-26T00:41:35"/>
    <n v="56160"/>
    <s v="USD"/>
    <n v="56160"/>
    <s v="Utilization Analyst"/>
    <x v="0"/>
    <s v="USA"/>
    <x v="2"/>
    <x v="0"/>
    <m/>
  </r>
  <r>
    <s v="ID0119"/>
    <d v="2012-05-26T00:41:38"/>
    <n v="24000"/>
    <s v="USD"/>
    <n v="24000"/>
    <s v="Researcher"/>
    <x v="3"/>
    <s v="Colombia"/>
    <x v="28"/>
    <x v="1"/>
    <m/>
  </r>
  <r>
    <s v="ID0120"/>
    <d v="2012-05-26T00:41:38"/>
    <n v="52000"/>
    <s v="USD"/>
    <n v="52000"/>
    <s v="Market Analyst"/>
    <x v="0"/>
    <s v="USA"/>
    <x v="2"/>
    <x v="4"/>
    <m/>
  </r>
  <r>
    <s v="ID0121"/>
    <d v="2012-05-26T00:41:41"/>
    <n v="60000"/>
    <s v="CAD"/>
    <n v="59001.691381819612"/>
    <s v="Web Developer"/>
    <x v="0"/>
    <s v="Canada"/>
    <x v="17"/>
    <x v="4"/>
    <m/>
  </r>
  <r>
    <s v="ID0122"/>
    <d v="2012-05-26T00:41:43"/>
    <n v="70000"/>
    <s v="USD"/>
    <n v="70000"/>
    <s v="Sr. Acct"/>
    <x v="5"/>
    <s v="USA"/>
    <x v="2"/>
    <x v="1"/>
    <m/>
  </r>
  <r>
    <s v="ID0123"/>
    <d v="2012-05-26T00:41:56"/>
    <n v="50000"/>
    <s v="USD"/>
    <n v="50000"/>
    <s v="Information Systems Specialist"/>
    <x v="6"/>
    <s v="USA"/>
    <x v="2"/>
    <x v="0"/>
    <m/>
  </r>
  <r>
    <s v="ID0124"/>
    <d v="2012-05-26T00:41:58"/>
    <n v="2300000"/>
    <s v="INR"/>
    <n v="40958.208381117904"/>
    <s v="Analytics lead"/>
    <x v="0"/>
    <s v="India"/>
    <x v="0"/>
    <x v="3"/>
    <m/>
  </r>
  <r>
    <s v="ID0125"/>
    <d v="2012-05-26T00:42:00"/>
    <n v="80000"/>
    <s v="USD"/>
    <n v="80000"/>
    <s v="Financial Analyst"/>
    <x v="0"/>
    <s v="USA"/>
    <x v="2"/>
    <x v="0"/>
    <m/>
  </r>
  <r>
    <s v="ID0126"/>
    <d v="2012-05-26T00:42:08"/>
    <n v="128000"/>
    <s v="USD"/>
    <n v="128000"/>
    <s v="Actuary"/>
    <x v="3"/>
    <s v="USA"/>
    <x v="2"/>
    <x v="1"/>
    <m/>
  </r>
  <r>
    <s v="ID0127"/>
    <d v="2012-05-26T00:42:10"/>
    <n v="44000"/>
    <s v="USD"/>
    <n v="44000"/>
    <s v="School Tech Coordinator"/>
    <x v="3"/>
    <s v="USA"/>
    <x v="2"/>
    <x v="3"/>
    <m/>
  </r>
  <r>
    <s v="ID0128"/>
    <d v="2012-05-26T00:42:11"/>
    <n v="65000"/>
    <s v="USD"/>
    <n v="65000"/>
    <s v="sr accountant"/>
    <x v="5"/>
    <s v="USA"/>
    <x v="2"/>
    <x v="1"/>
    <m/>
  </r>
  <r>
    <s v="ID0129"/>
    <d v="2012-05-26T00:42:32"/>
    <n v="36000"/>
    <s v="USD"/>
    <n v="36000"/>
    <s v="senior accountant"/>
    <x v="5"/>
    <s v="Turkey"/>
    <x v="29"/>
    <x v="0"/>
    <m/>
  </r>
  <r>
    <s v="ID0130"/>
    <d v="2012-05-26T00:42:34"/>
    <n v="12000"/>
    <s v="USD"/>
    <n v="12000"/>
    <s v="Freelance"/>
    <x v="8"/>
    <s v="Pakistan"/>
    <x v="3"/>
    <x v="3"/>
    <m/>
  </r>
  <r>
    <s v="ID0131"/>
    <d v="2012-05-26T00:42:41"/>
    <n v="28159"/>
    <s v="GBP"/>
    <n v="44383.603963142654"/>
    <s v="Data Analyst"/>
    <x v="0"/>
    <s v="UK"/>
    <x v="14"/>
    <x v="1"/>
    <m/>
  </r>
  <r>
    <s v="ID0132"/>
    <d v="2012-05-26T00:42:46"/>
    <n v="45000"/>
    <s v="USD"/>
    <n v="45000"/>
    <s v="DBA"/>
    <x v="0"/>
    <s v="USA"/>
    <x v="2"/>
    <x v="0"/>
    <m/>
  </r>
  <r>
    <s v="ID0133"/>
    <d v="2012-05-26T00:42:58"/>
    <n v="54000"/>
    <s v="USD"/>
    <n v="54000"/>
    <s v="Research Analyst"/>
    <x v="0"/>
    <s v="USA"/>
    <x v="2"/>
    <x v="2"/>
    <m/>
  </r>
  <r>
    <s v="ID0134"/>
    <d v="2012-05-26T00:43:03"/>
    <n v="70000"/>
    <s v="GBP"/>
    <n v="110332.47904470989"/>
    <s v="Project Manager"/>
    <x v="3"/>
    <s v="UK"/>
    <x v="14"/>
    <x v="2"/>
    <m/>
  </r>
  <r>
    <s v="ID0135"/>
    <d v="2012-05-26T00:43:07"/>
    <n v="71000"/>
    <s v="USD"/>
    <n v="71000"/>
    <s v="Market Research Analyst"/>
    <x v="0"/>
    <s v="USA"/>
    <x v="2"/>
    <x v="0"/>
    <m/>
  </r>
  <r>
    <s v="ID0136"/>
    <d v="2012-05-26T00:43:08"/>
    <n v="800000"/>
    <s v="INR"/>
    <n v="14246.333349954055"/>
    <s v="Manager : Accounts"/>
    <x v="3"/>
    <s v="India"/>
    <x v="0"/>
    <x v="2"/>
    <m/>
  </r>
  <r>
    <s v="ID0137"/>
    <d v="2012-05-26T00:43:17"/>
    <n v="70000"/>
    <s v="CAD"/>
    <n v="68835.306612122877"/>
    <s v="project manager"/>
    <x v="3"/>
    <s v="canada"/>
    <x v="17"/>
    <x v="0"/>
    <m/>
  </r>
  <r>
    <s v="ID0138"/>
    <d v="2012-05-26T00:43:25"/>
    <n v="50000"/>
    <s v="CAD"/>
    <n v="49168.076151516347"/>
    <s v="Inventory manger"/>
    <x v="3"/>
    <s v="Canada"/>
    <x v="17"/>
    <x v="0"/>
    <m/>
  </r>
  <r>
    <s v="ID0139"/>
    <d v="2012-05-26T00:43:27"/>
    <n v="40000"/>
    <s v="USD"/>
    <n v="40000"/>
    <s v="Business Analyst"/>
    <x v="0"/>
    <s v="USA"/>
    <x v="2"/>
    <x v="0"/>
    <m/>
  </r>
  <r>
    <s v="ID0140"/>
    <d v="2012-05-26T00:43:34"/>
    <n v="62000"/>
    <s v="CAD"/>
    <n v="60968.414427880263"/>
    <s v="Process Technician"/>
    <x v="0"/>
    <s v="Canada"/>
    <x v="17"/>
    <x v="2"/>
    <m/>
  </r>
  <r>
    <s v="ID0141"/>
    <d v="2012-05-26T00:43:36"/>
    <n v="336000"/>
    <s v="INR"/>
    <n v="5983.4600069807029"/>
    <s v="MIS Team Leader"/>
    <x v="7"/>
    <s v="India"/>
    <x v="0"/>
    <x v="0"/>
    <m/>
  </r>
  <r>
    <s v="ID0142"/>
    <d v="2012-05-26T00:43:36"/>
    <n v="53000"/>
    <s v="USD"/>
    <n v="53000"/>
    <s v="Data Analyst"/>
    <x v="0"/>
    <s v="USA"/>
    <x v="2"/>
    <x v="0"/>
    <m/>
  </r>
  <r>
    <s v="ID0143"/>
    <d v="2012-05-26T00:43:49"/>
    <n v="104000"/>
    <s v="USD"/>
    <n v="104000"/>
    <s v="Finance Director"/>
    <x v="4"/>
    <s v="USA"/>
    <x v="2"/>
    <x v="2"/>
    <m/>
  </r>
  <r>
    <s v="ID0144"/>
    <d v="2012-05-26T00:44:02"/>
    <n v="57000"/>
    <s v="USD"/>
    <n v="57000"/>
    <s v="Industrial Engineer"/>
    <x v="2"/>
    <s v="USA"/>
    <x v="2"/>
    <x v="0"/>
    <m/>
  </r>
  <r>
    <s v="ID0145"/>
    <d v="2012-05-26T00:44:09"/>
    <n v="45000"/>
    <s v="USD"/>
    <n v="45000"/>
    <s v="data analyst"/>
    <x v="0"/>
    <s v="USA"/>
    <x v="2"/>
    <x v="2"/>
    <m/>
  </r>
  <r>
    <s v="ID0146"/>
    <d v="2012-05-26T00:44:15"/>
    <n v="92000"/>
    <s v="USD"/>
    <n v="92000"/>
    <s v="Senior Financial &amp; Systems Analyst"/>
    <x v="0"/>
    <s v="USA"/>
    <x v="2"/>
    <x v="0"/>
    <m/>
  </r>
  <r>
    <s v="ID0147"/>
    <d v="2012-05-26T00:44:18"/>
    <n v="88000"/>
    <s v="USD"/>
    <n v="88000"/>
    <s v="project manager - metrics"/>
    <x v="3"/>
    <s v="USA"/>
    <x v="2"/>
    <x v="0"/>
    <m/>
  </r>
  <r>
    <s v="ID0148"/>
    <d v="2012-05-26T00:44:20"/>
    <n v="80000"/>
    <s v="USD"/>
    <n v="80000"/>
    <s v="Informatics Research Analyst"/>
    <x v="0"/>
    <s v="USA"/>
    <x v="2"/>
    <x v="2"/>
    <m/>
  </r>
  <r>
    <s v="ID0149"/>
    <d v="2012-05-26T00:44:22"/>
    <n v="69000"/>
    <s v="USD"/>
    <n v="69000"/>
    <s v="Business Technical Consultant"/>
    <x v="8"/>
    <s v="USA"/>
    <x v="2"/>
    <x v="0"/>
    <m/>
  </r>
  <r>
    <s v="ID0150"/>
    <d v="2012-05-26T00:44:23"/>
    <n v="50000"/>
    <s v="USD"/>
    <n v="50000"/>
    <s v="Business Operations Reporting Analyst"/>
    <x v="0"/>
    <s v="Mexico"/>
    <x v="26"/>
    <x v="1"/>
    <m/>
  </r>
  <r>
    <s v="ID0151"/>
    <d v="2012-05-26T00:44:40"/>
    <n v="35000"/>
    <s v="USD"/>
    <n v="35000"/>
    <s v="Program Services Coordinator"/>
    <x v="3"/>
    <s v="USA"/>
    <x v="2"/>
    <x v="2"/>
    <m/>
  </r>
  <r>
    <s v="ID0152"/>
    <d v="2012-05-26T00:44:59"/>
    <n v="96000"/>
    <s v="USD"/>
    <n v="96000"/>
    <s v="Specialist - Finance Planning and Analysis"/>
    <x v="0"/>
    <s v="USA"/>
    <x v="2"/>
    <x v="0"/>
    <m/>
  </r>
  <r>
    <s v="ID0153"/>
    <d v="2012-05-26T00:45:00"/>
    <n v="65000"/>
    <s v="USD"/>
    <n v="65000"/>
    <s v="Sr Accountant"/>
    <x v="5"/>
    <s v="USA"/>
    <x v="2"/>
    <x v="1"/>
    <m/>
  </r>
  <r>
    <s v="ID0154"/>
    <d v="2012-05-26T00:45:06"/>
    <n v="37440"/>
    <s v="USD"/>
    <n v="37440"/>
    <s v="sales analyst"/>
    <x v="0"/>
    <s v="USA"/>
    <x v="2"/>
    <x v="1"/>
    <m/>
  </r>
  <r>
    <s v="ID0155"/>
    <d v="2012-05-26T00:45:11"/>
    <n v="15500"/>
    <s v="USD"/>
    <n v="15500"/>
    <s v="Proces auditor"/>
    <x v="5"/>
    <s v="Mexico"/>
    <x v="26"/>
    <x v="1"/>
    <m/>
  </r>
  <r>
    <s v="ID0156"/>
    <d v="2012-05-26T00:45:17"/>
    <n v="90000"/>
    <s v="USD"/>
    <n v="90000"/>
    <s v="Senior Data Quality Analyst"/>
    <x v="0"/>
    <s v="USA"/>
    <x v="2"/>
    <x v="2"/>
    <m/>
  </r>
  <r>
    <s v="ID0157"/>
    <d v="2012-05-26T00:45:46"/>
    <n v="66500"/>
    <s v="USD"/>
    <n v="66500"/>
    <s v="Sr Business Analyst"/>
    <x v="0"/>
    <s v="USA"/>
    <x v="2"/>
    <x v="1"/>
    <m/>
  </r>
  <r>
    <s v="ID0158"/>
    <d v="2012-05-26T00:45:49"/>
    <n v="100000"/>
    <s v="USD"/>
    <n v="100000"/>
    <s v="COST ACCOUNTANT"/>
    <x v="5"/>
    <s v="USA"/>
    <x v="2"/>
    <x v="1"/>
    <m/>
  </r>
  <r>
    <s v="ID0159"/>
    <d v="2012-05-26T00:45:51"/>
    <n v="32250"/>
    <s v="GBP"/>
    <n v="50831.74927416991"/>
    <s v="project Support"/>
    <x v="3"/>
    <s v="UK"/>
    <x v="14"/>
    <x v="0"/>
    <m/>
  </r>
  <r>
    <s v="ID0160"/>
    <d v="2012-05-26T00:45:53"/>
    <n v="420000"/>
    <s v="INR"/>
    <n v="7479.3250087258784"/>
    <s v="managerial"/>
    <x v="3"/>
    <s v="India"/>
    <x v="0"/>
    <x v="3"/>
    <m/>
  </r>
  <r>
    <s v="ID0161"/>
    <d v="2012-05-26T00:46:00"/>
    <n v="75000"/>
    <s v="USD"/>
    <n v="75000"/>
    <s v="Program Analyst"/>
    <x v="0"/>
    <s v="USA"/>
    <x v="2"/>
    <x v="3"/>
    <m/>
  </r>
  <r>
    <s v="ID0162"/>
    <d v="2012-05-26T00:46:25"/>
    <n v="58000"/>
    <s v="USD"/>
    <n v="58000"/>
    <s v="Team Lead - Computer Discounts"/>
    <x v="3"/>
    <s v="Canada"/>
    <x v="17"/>
    <x v="3"/>
    <m/>
  </r>
  <r>
    <s v="ID0163"/>
    <d v="2012-05-26T00:46:29"/>
    <n v="55000"/>
    <s v="USD"/>
    <n v="55000"/>
    <s v="Change Architect"/>
    <x v="3"/>
    <s v="USA"/>
    <x v="2"/>
    <x v="2"/>
    <m/>
  </r>
  <r>
    <s v="ID0164"/>
    <d v="2012-05-26T00:47:42"/>
    <n v="60000"/>
    <s v="USD"/>
    <n v="60000"/>
    <s v="Telecom Technician"/>
    <x v="0"/>
    <s v="USA"/>
    <x v="2"/>
    <x v="0"/>
    <m/>
  </r>
  <r>
    <s v="ID0165"/>
    <d v="2012-05-26T00:47:45"/>
    <n v="1300000"/>
    <s v="INR"/>
    <n v="23150.291693675339"/>
    <s v="Manager"/>
    <x v="3"/>
    <s v="India"/>
    <x v="0"/>
    <x v="0"/>
    <m/>
  </r>
  <r>
    <s v="ID0166"/>
    <d v="2012-05-26T00:47:50"/>
    <n v="107000"/>
    <s v="CAD"/>
    <n v="105219.68296424497"/>
    <s v="Manager, Asset Optimization"/>
    <x v="3"/>
    <s v="Canada"/>
    <x v="17"/>
    <x v="2"/>
    <m/>
  </r>
  <r>
    <s v="ID0167"/>
    <d v="2012-05-26T00:47:57"/>
    <n v="145000"/>
    <s v="USD"/>
    <n v="145000"/>
    <s v="Financialcontroller"/>
    <x v="1"/>
    <s v="Switzerland"/>
    <x v="10"/>
    <x v="1"/>
    <m/>
  </r>
  <r>
    <s v="ID0168"/>
    <d v="2012-05-26T00:48:04"/>
    <n v="22880"/>
    <s v="USD"/>
    <n v="22880"/>
    <s v="Accounting "/>
    <x v="5"/>
    <s v="USA"/>
    <x v="2"/>
    <x v="0"/>
    <m/>
  </r>
  <r>
    <s v="ID0169"/>
    <d v="2012-05-26T00:48:07"/>
    <n v="80000"/>
    <s v="USD"/>
    <n v="80000"/>
    <s v="Consultant, HR Services &amp; Governance"/>
    <x v="8"/>
    <s v="USA"/>
    <x v="2"/>
    <x v="0"/>
    <m/>
  </r>
  <r>
    <s v="ID0170"/>
    <d v="2012-05-26T00:48:11"/>
    <n v="500000"/>
    <s v="INR"/>
    <n v="8903.9583437212841"/>
    <s v="QA Executive"/>
    <x v="0"/>
    <s v="India"/>
    <x v="0"/>
    <x v="2"/>
    <m/>
  </r>
  <r>
    <s v="ID0171"/>
    <d v="2012-05-26T00:48:46"/>
    <n v="90000"/>
    <s v="CAD"/>
    <n v="88502.537072729421"/>
    <s v="Senior Actuarial Analyst"/>
    <x v="0"/>
    <s v="Canada"/>
    <x v="17"/>
    <x v="0"/>
    <m/>
  </r>
  <r>
    <s v="ID0172"/>
    <d v="2012-05-26T00:48:48"/>
    <n v="180000"/>
    <s v="INR"/>
    <n v="3205.4250037396623"/>
    <s v="Sr. Associate"/>
    <x v="0"/>
    <s v="India"/>
    <x v="0"/>
    <x v="0"/>
    <m/>
  </r>
  <r>
    <s v="ID0173"/>
    <d v="2012-05-26T00:48:48"/>
    <n v="46584"/>
    <s v="USD"/>
    <n v="46584"/>
    <s v="Budget Analyst"/>
    <x v="0"/>
    <s v="USA"/>
    <x v="2"/>
    <x v="0"/>
    <m/>
  </r>
  <r>
    <s v="ID0174"/>
    <d v="2012-05-26T00:48:48"/>
    <n v="67000"/>
    <s v="USD"/>
    <n v="67000"/>
    <s v="B.I. Data Analyst II"/>
    <x v="0"/>
    <s v="USA"/>
    <x v="2"/>
    <x v="0"/>
    <m/>
  </r>
  <r>
    <s v="ID0175"/>
    <d v="2012-05-26T00:48:57"/>
    <n v="1100000"/>
    <s v="INR"/>
    <n v="19588.708356186824"/>
    <s v="Asst manager investor relations and business analytics"/>
    <x v="3"/>
    <s v="India"/>
    <x v="0"/>
    <x v="0"/>
    <m/>
  </r>
  <r>
    <s v="ID0176"/>
    <d v="2012-05-26T00:49:18"/>
    <n v="92000"/>
    <s v="USD"/>
    <n v="92000"/>
    <s v="Industrial Engineer (Fed)"/>
    <x v="2"/>
    <s v="USA"/>
    <x v="2"/>
    <x v="0"/>
    <m/>
  </r>
  <r>
    <s v="ID0177"/>
    <d v="2012-05-26T00:49:21"/>
    <n v="75000"/>
    <s v="USD"/>
    <n v="75000"/>
    <s v="Informatics specialist"/>
    <x v="6"/>
    <s v="USA"/>
    <x v="2"/>
    <x v="1"/>
    <m/>
  </r>
  <r>
    <s v="ID0178"/>
    <d v="2012-05-26T00:49:35"/>
    <n v="180000"/>
    <s v="INR"/>
    <n v="3205.4250037396623"/>
    <s v="Sr. Associate"/>
    <x v="0"/>
    <s v="India"/>
    <x v="0"/>
    <x v="0"/>
    <m/>
  </r>
  <r>
    <s v="ID0179"/>
    <d v="2012-05-26T00:49:48"/>
    <n v="18500"/>
    <s v="GBP"/>
    <n v="29159.298033244755"/>
    <s v="Trainee Management Accountant"/>
    <x v="3"/>
    <s v="UK"/>
    <x v="14"/>
    <x v="1"/>
    <m/>
  </r>
  <r>
    <s v="ID0180"/>
    <d v="2012-05-26T00:49:50"/>
    <n v="40000"/>
    <s v="USD"/>
    <n v="40000"/>
    <s v="Senior analyst"/>
    <x v="0"/>
    <s v="USA"/>
    <x v="2"/>
    <x v="1"/>
    <m/>
  </r>
  <r>
    <s v="ID0181"/>
    <d v="2012-05-26T00:49:59"/>
    <n v="111680"/>
    <s v="USD"/>
    <n v="111680"/>
    <s v="Director of Analytics"/>
    <x v="0"/>
    <s v="USA"/>
    <x v="2"/>
    <x v="2"/>
    <m/>
  </r>
  <r>
    <s v="ID0182"/>
    <d v="2012-05-26T00:50:11"/>
    <n v="41406"/>
    <s v="USD"/>
    <n v="41406"/>
    <s v="Executive Assistant"/>
    <x v="0"/>
    <s v="Canada"/>
    <x v="17"/>
    <x v="3"/>
    <m/>
  </r>
  <r>
    <s v="ID0183"/>
    <d v="2012-05-26T00:50:15"/>
    <n v="70000"/>
    <s v="USD"/>
    <n v="70000"/>
    <s v="Project Speciast"/>
    <x v="3"/>
    <s v="USA"/>
    <x v="2"/>
    <x v="0"/>
    <m/>
  </r>
  <r>
    <s v="ID0184"/>
    <d v="2012-05-26T00:50:31"/>
    <n v="40700"/>
    <s v="USD"/>
    <n v="40700"/>
    <s v="Sales Coordinator &amp; Analytical Support"/>
    <x v="0"/>
    <s v="USA"/>
    <x v="2"/>
    <x v="3"/>
    <m/>
  </r>
  <r>
    <s v="ID0185"/>
    <d v="2012-05-26T00:50:32"/>
    <n v="40000"/>
    <s v="USD"/>
    <n v="40000"/>
    <s v="analyst"/>
    <x v="0"/>
    <s v="USA"/>
    <x v="2"/>
    <x v="0"/>
    <m/>
  </r>
  <r>
    <s v="ID0186"/>
    <d v="2012-05-26T00:50:38"/>
    <n v="60000"/>
    <s v="USD"/>
    <n v="60000"/>
    <s v="Senior Staff Accountant"/>
    <x v="5"/>
    <s v="USA"/>
    <x v="2"/>
    <x v="0"/>
    <m/>
  </r>
  <r>
    <s v="ID0187"/>
    <d v="2012-05-26T00:50:41"/>
    <n v="92000"/>
    <s v="CAD"/>
    <n v="90469.260118790073"/>
    <s v="Consultant - Retail Mkts"/>
    <x v="8"/>
    <s v="Canada"/>
    <x v="17"/>
    <x v="1"/>
    <m/>
  </r>
  <r>
    <s v="ID0188"/>
    <d v="2012-05-26T00:50:43"/>
    <n v="13636"/>
    <s v="USD"/>
    <n v="13636"/>
    <s v="Process Manager"/>
    <x v="3"/>
    <s v="India"/>
    <x v="0"/>
    <x v="1"/>
    <m/>
  </r>
  <r>
    <s v="ID0189"/>
    <d v="2012-05-26T00:50:43"/>
    <n v="80000"/>
    <s v="USD"/>
    <n v="80000"/>
    <s v="Project Manager (Process Owner)"/>
    <x v="3"/>
    <s v="USA"/>
    <x v="2"/>
    <x v="2"/>
    <m/>
  </r>
  <r>
    <s v="ID0190"/>
    <d v="2012-05-26T00:51:00"/>
    <n v="60000"/>
    <s v="CAD"/>
    <n v="59001.691381819612"/>
    <s v="Demographer"/>
    <x v="0"/>
    <s v="Canada"/>
    <x v="17"/>
    <x v="2"/>
    <m/>
  </r>
  <r>
    <s v="ID0192"/>
    <d v="2012-05-26T00:51:43"/>
    <n v="28000"/>
    <s v="USD"/>
    <n v="28000"/>
    <s v="Administrative Assistant"/>
    <x v="0"/>
    <s v="USA"/>
    <x v="2"/>
    <x v="0"/>
    <m/>
  </r>
  <r>
    <s v="ID0193"/>
    <d v="2012-05-26T00:51:55"/>
    <n v="60000"/>
    <s v="USD"/>
    <n v="60000"/>
    <s v="Accounting/Financial Analyst"/>
    <x v="0"/>
    <s v="USA"/>
    <x v="2"/>
    <x v="0"/>
    <m/>
  </r>
  <r>
    <s v="ID0194"/>
    <d v="2012-05-26T00:51:59"/>
    <n v="96000"/>
    <s v="USD"/>
    <n v="96000"/>
    <s v="Business Process Specialist"/>
    <x v="6"/>
    <s v="USA"/>
    <x v="2"/>
    <x v="2"/>
    <m/>
  </r>
  <r>
    <s v="ID0195"/>
    <d v="2012-05-26T00:52:21"/>
    <n v="67000"/>
    <s v="USD"/>
    <n v="67000"/>
    <s v="Financial Analyst"/>
    <x v="0"/>
    <s v="USA"/>
    <x v="2"/>
    <x v="0"/>
    <m/>
  </r>
  <r>
    <s v="ID0196"/>
    <d v="2012-05-26T00:52:25"/>
    <n v="70000"/>
    <s v="USD"/>
    <n v="70000"/>
    <s v="Sr Financial Analyst"/>
    <x v="0"/>
    <s v="USA"/>
    <x v="2"/>
    <x v="0"/>
    <m/>
  </r>
  <r>
    <s v="ID0197"/>
    <d v="2012-05-26T00:52:30"/>
    <n v="233000"/>
    <s v="INR"/>
    <n v="4149.2445881741187"/>
    <s v="Asst. Manager (MIS)"/>
    <x v="3"/>
    <s v="India"/>
    <x v="0"/>
    <x v="1"/>
    <m/>
  </r>
  <r>
    <s v="ID0198"/>
    <d v="2012-05-26T00:52:37"/>
    <n v="99000"/>
    <s v="USD"/>
    <n v="99000"/>
    <s v="Business Controller"/>
    <x v="1"/>
    <s v="USA"/>
    <x v="2"/>
    <x v="0"/>
    <m/>
  </r>
  <r>
    <s v="ID0200"/>
    <d v="2012-05-26T00:53:00"/>
    <n v="90000"/>
    <s v="USD"/>
    <n v="90000"/>
    <s v="Project Manager"/>
    <x v="3"/>
    <s v="USA"/>
    <x v="2"/>
    <x v="2"/>
    <m/>
  </r>
  <r>
    <s v="ID0201"/>
    <d v="2012-05-26T00:53:02"/>
    <n v="275000"/>
    <s v="INR"/>
    <n v="4897.177089046706"/>
    <s v="low level monitoring"/>
    <x v="0"/>
    <s v="India"/>
    <x v="0"/>
    <x v="2"/>
    <m/>
  </r>
  <r>
    <s v="ID0202"/>
    <d v="2012-05-26T00:53:18"/>
    <n v="192000"/>
    <s v="INR"/>
    <n v="3419.1200039889732"/>
    <s v="Administrative"/>
    <x v="0"/>
    <s v="India"/>
    <x v="0"/>
    <x v="1"/>
    <m/>
  </r>
  <r>
    <s v="ID0203"/>
    <d v="2012-05-26T00:53:37"/>
    <n v="51000"/>
    <s v="USD"/>
    <n v="51000"/>
    <s v="Service Line Coordinator"/>
    <x v="3"/>
    <s v="USA"/>
    <x v="2"/>
    <x v="0"/>
    <m/>
  </r>
  <r>
    <s v="ID0204"/>
    <d v="2012-05-26T00:53:42"/>
    <n v="100000"/>
    <s v="USD"/>
    <n v="100000"/>
    <s v="Strategic Sourcing Manager"/>
    <x v="3"/>
    <s v="USA"/>
    <x v="2"/>
    <x v="1"/>
    <m/>
  </r>
  <r>
    <s v="ID0205"/>
    <d v="2012-05-26T00:53:46"/>
    <n v="1800000"/>
    <s v="INR"/>
    <n v="32054.250037396621"/>
    <s v="Chief Manager"/>
    <x v="3"/>
    <s v="India"/>
    <x v="0"/>
    <x v="3"/>
    <m/>
  </r>
  <r>
    <s v="ID0207"/>
    <d v="2012-05-26T00:54:12"/>
    <n v="30000"/>
    <s v="GBP"/>
    <n v="47285.348162018527"/>
    <s v="Business Intelligence Analyst"/>
    <x v="0"/>
    <s v="UK"/>
    <x v="14"/>
    <x v="2"/>
    <m/>
  </r>
  <r>
    <s v="ID0208"/>
    <d v="2012-05-26T00:54:14"/>
    <n v="50000"/>
    <s v="EUR"/>
    <n v="63519.971949580387"/>
    <s v="Data Analyst"/>
    <x v="0"/>
    <s v="Ireland"/>
    <x v="8"/>
    <x v="0"/>
    <m/>
  </r>
  <r>
    <s v="ID0209"/>
    <d v="2012-05-26T00:54:16"/>
    <n v="108160"/>
    <s v="USD"/>
    <n v="108160"/>
    <s v="Sr. Financial Analyst"/>
    <x v="0"/>
    <s v="USA"/>
    <x v="2"/>
    <x v="0"/>
    <m/>
  </r>
  <r>
    <s v="ID0210"/>
    <d v="2012-05-26T00:54:27"/>
    <n v="50000"/>
    <s v="USD"/>
    <n v="50000"/>
    <s v="Buyer"/>
    <x v="3"/>
    <s v="USA"/>
    <x v="2"/>
    <x v="0"/>
    <m/>
  </r>
  <r>
    <s v="ID0211"/>
    <d v="2012-05-26T00:54:28"/>
    <n v="400000"/>
    <s v="USD"/>
    <n v="400000"/>
    <s v="program manager"/>
    <x v="3"/>
    <s v="USA"/>
    <x v="2"/>
    <x v="3"/>
    <m/>
  </r>
  <r>
    <s v="ID0212"/>
    <d v="2012-05-26T00:54:41"/>
    <n v="43000"/>
    <s v="USD"/>
    <n v="43000"/>
    <s v="Reporting Analyst Team Lead"/>
    <x v="0"/>
    <s v="USA"/>
    <x v="2"/>
    <x v="1"/>
    <m/>
  </r>
  <r>
    <s v="ID0213"/>
    <d v="2012-05-26T00:54:46"/>
    <n v="27000"/>
    <s v="USD"/>
    <n v="27000"/>
    <s v="Innovation Analyst"/>
    <x v="0"/>
    <s v="Singapore"/>
    <x v="30"/>
    <x v="1"/>
    <m/>
  </r>
  <r>
    <s v="ID0214"/>
    <d v="2012-05-26T00:54:56"/>
    <n v="41000"/>
    <s v="USD"/>
    <n v="41000"/>
    <s v="Operations Expert"/>
    <x v="3"/>
    <s v="USA"/>
    <x v="2"/>
    <x v="1"/>
    <m/>
  </r>
  <r>
    <s v="ID0215"/>
    <d v="2012-05-26T00:55:06"/>
    <n v="100000"/>
    <s v="USD"/>
    <n v="100000"/>
    <s v="Director of Finance"/>
    <x v="4"/>
    <s v="USA"/>
    <x v="2"/>
    <x v="0"/>
    <m/>
  </r>
  <r>
    <s v="ID0216"/>
    <d v="2012-05-26T00:55:50"/>
    <n v="42140"/>
    <s v="USD"/>
    <n v="42140"/>
    <s v="Information Analyst II"/>
    <x v="0"/>
    <s v="USA"/>
    <x v="2"/>
    <x v="0"/>
    <m/>
  </r>
  <r>
    <s v="ID0217"/>
    <d v="2012-05-26T00:56:06"/>
    <n v="80000"/>
    <s v="USD"/>
    <n v="80000"/>
    <s v="Marketing Analyst"/>
    <x v="0"/>
    <s v="USA"/>
    <x v="2"/>
    <x v="0"/>
    <m/>
  </r>
  <r>
    <s v="ID0218"/>
    <d v="2012-05-26T00:56:37"/>
    <n v="41600"/>
    <s v="USD"/>
    <n v="41600"/>
    <s v="Project Manager"/>
    <x v="3"/>
    <s v="USA"/>
    <x v="2"/>
    <x v="0"/>
    <m/>
  </r>
  <r>
    <s v="ID0219"/>
    <d v="2012-05-26T00:56:37"/>
    <n v="45000"/>
    <s v="USD"/>
    <n v="45000"/>
    <s v="Accounting Assistant"/>
    <x v="5"/>
    <s v="USA"/>
    <x v="2"/>
    <x v="2"/>
    <m/>
  </r>
  <r>
    <s v="ID0220"/>
    <d v="2012-05-26T00:56:54"/>
    <n v="78000"/>
    <s v="USD"/>
    <n v="78000"/>
    <s v="Tax Professional"/>
    <x v="5"/>
    <s v="Bermuda"/>
    <x v="31"/>
    <x v="0"/>
    <m/>
  </r>
  <r>
    <s v="ID0221"/>
    <d v="2012-05-26T00:57:21"/>
    <n v="500000"/>
    <s v="INR"/>
    <n v="8903.9583437212841"/>
    <s v="Project Manager"/>
    <x v="3"/>
    <s v="India"/>
    <x v="0"/>
    <x v="0"/>
    <m/>
  </r>
  <r>
    <s v="ID0222"/>
    <d v="2012-05-26T00:57:35"/>
    <n v="350000"/>
    <s v="INR"/>
    <n v="6232.7708406048987"/>
    <s v="Jr. Executive Finance"/>
    <x v="5"/>
    <s v="India"/>
    <x v="0"/>
    <x v="0"/>
    <m/>
  </r>
  <r>
    <s v="ID0223"/>
    <d v="2012-05-26T00:57:44"/>
    <n v="72500"/>
    <s v="USD"/>
    <n v="72500"/>
    <s v="Assistant Controller"/>
    <x v="1"/>
    <s v="USA"/>
    <x v="2"/>
    <x v="0"/>
    <m/>
  </r>
  <r>
    <s v="ID0224"/>
    <d v="2012-05-26T00:57:52"/>
    <n v="138000"/>
    <s v="USD"/>
    <n v="138000"/>
    <s v="Project engineer"/>
    <x v="2"/>
    <s v="Thailand"/>
    <x v="32"/>
    <x v="0"/>
    <m/>
  </r>
  <r>
    <s v="ID0225"/>
    <d v="2012-05-26T00:58:03"/>
    <n v="480000"/>
    <s v="INR"/>
    <n v="8547.8000099724322"/>
    <s v="Cash Officer"/>
    <x v="3"/>
    <s v="India"/>
    <x v="0"/>
    <x v="0"/>
    <m/>
  </r>
  <r>
    <s v="ID0226"/>
    <d v="2012-05-26T00:58:05"/>
    <n v="80000"/>
    <s v="USD"/>
    <n v="80000"/>
    <s v="Senior Analyst"/>
    <x v="0"/>
    <s v="USA"/>
    <x v="2"/>
    <x v="0"/>
    <m/>
  </r>
  <r>
    <s v="ID0227"/>
    <d v="2012-05-26T00:58:06"/>
    <n v="50000"/>
    <s v="USD"/>
    <n v="50000"/>
    <s v="Project Manager"/>
    <x v="3"/>
    <s v="USA"/>
    <x v="2"/>
    <x v="0"/>
    <m/>
  </r>
  <r>
    <s v="ID0228"/>
    <d v="2012-05-26T00:58:10"/>
    <n v="45000"/>
    <s v="CAD"/>
    <n v="44251.268536364711"/>
    <s v="Technical support specialist"/>
    <x v="6"/>
    <s v="Canada"/>
    <x v="17"/>
    <x v="3"/>
    <m/>
  </r>
  <r>
    <s v="ID0229"/>
    <d v="2012-05-26T00:58:22"/>
    <n v="43000"/>
    <s v="GBP"/>
    <n v="67775.665698893223"/>
    <s v="ServiceDesk Supervisor"/>
    <x v="3"/>
    <s v="UK"/>
    <x v="14"/>
    <x v="2"/>
    <m/>
  </r>
  <r>
    <s v="ID0230"/>
    <d v="2012-05-26T00:58:56"/>
    <n v="200000"/>
    <s v="INR"/>
    <n v="3561.5833374885137"/>
    <s v="medical biller"/>
    <x v="0"/>
    <s v="India"/>
    <x v="0"/>
    <x v="3"/>
    <m/>
  </r>
  <r>
    <s v="ID0231"/>
    <d v="2012-05-26T00:59:03"/>
    <n v="65000"/>
    <s v="USD"/>
    <n v="65000"/>
    <s v="Sr. Strategic Development Specialist"/>
    <x v="6"/>
    <s v="USA"/>
    <x v="2"/>
    <x v="2"/>
    <m/>
  </r>
  <r>
    <s v="ID0232"/>
    <d v="2012-05-26T00:59:09"/>
    <n v="114000"/>
    <s v="USD"/>
    <n v="114000"/>
    <s v="Director"/>
    <x v="4"/>
    <s v="USA"/>
    <x v="2"/>
    <x v="2"/>
    <m/>
  </r>
  <r>
    <s v="ID0233"/>
    <d v="2012-05-26T00:59:27"/>
    <n v="95000"/>
    <s v="USD"/>
    <n v="95000"/>
    <s v="VP - Procurment"/>
    <x v="4"/>
    <s v="USA"/>
    <x v="2"/>
    <x v="0"/>
    <m/>
  </r>
  <r>
    <s v="ID0234"/>
    <d v="2012-05-26T01:00:51"/>
    <n v="52500"/>
    <s v="USD"/>
    <n v="52500"/>
    <s v="HRIS Analyst"/>
    <x v="0"/>
    <s v="USA"/>
    <x v="2"/>
    <x v="0"/>
    <m/>
  </r>
  <r>
    <s v="ID0235"/>
    <d v="2012-05-26T01:01:03"/>
    <n v="45000"/>
    <s v="GBP"/>
    <n v="70928.022243027779"/>
    <s v="Procurement manager"/>
    <x v="3"/>
    <s v="UK"/>
    <x v="14"/>
    <x v="2"/>
    <m/>
  </r>
  <r>
    <s v="ID0236"/>
    <d v="2012-05-26T01:01:32"/>
    <n v="60000"/>
    <s v="USD"/>
    <n v="60000"/>
    <s v="Energy Analyst"/>
    <x v="0"/>
    <s v="USA"/>
    <x v="2"/>
    <x v="0"/>
    <m/>
  </r>
  <r>
    <s v="ID0237"/>
    <d v="2012-05-26T01:02:04"/>
    <n v="65250"/>
    <s v="USD"/>
    <n v="65250"/>
    <s v="Accountant"/>
    <x v="5"/>
    <s v="USA"/>
    <x v="2"/>
    <x v="0"/>
    <m/>
  </r>
  <r>
    <s v="ID0238"/>
    <d v="2012-05-26T01:02:07"/>
    <n v="1200000"/>
    <s v="INR"/>
    <n v="21369.500024931083"/>
    <s v="Branch head -sales"/>
    <x v="3"/>
    <s v="India"/>
    <x v="0"/>
    <x v="2"/>
    <m/>
  </r>
  <r>
    <s v="ID0239"/>
    <d v="2012-05-26T01:02:10"/>
    <n v="100000"/>
    <s v="CAD"/>
    <n v="98336.152303032693"/>
    <s v="retail buyer"/>
    <x v="3"/>
    <s v="Canada"/>
    <x v="17"/>
    <x v="2"/>
    <m/>
  </r>
  <r>
    <s v="ID0240"/>
    <d v="2012-05-26T01:02:16"/>
    <n v="12000"/>
    <s v="EUR"/>
    <n v="15244.793267899293"/>
    <s v="HR Specialist"/>
    <x v="6"/>
    <s v="Portugal"/>
    <x v="7"/>
    <x v="1"/>
    <m/>
  </r>
  <r>
    <s v="ID0241"/>
    <d v="2012-05-26T01:02:21"/>
    <n v="73000"/>
    <s v="USD"/>
    <n v="73000"/>
    <s v="Financial Analyst"/>
    <x v="0"/>
    <s v="USA"/>
    <x v="2"/>
    <x v="0"/>
    <m/>
  </r>
  <r>
    <s v="ID0242"/>
    <d v="2012-05-26T01:02:47"/>
    <n v="50000"/>
    <s v="USD"/>
    <n v="50000"/>
    <s v="data analyst"/>
    <x v="0"/>
    <s v="USA"/>
    <x v="2"/>
    <x v="1"/>
    <m/>
  </r>
  <r>
    <s v="ID0243"/>
    <d v="2012-05-26T01:02:51"/>
    <n v="79000"/>
    <s v="USD"/>
    <n v="79000"/>
    <s v="Director of Finance and Accounting"/>
    <x v="5"/>
    <s v="USA"/>
    <x v="2"/>
    <x v="2"/>
    <m/>
  </r>
  <r>
    <s v="ID0244"/>
    <d v="2012-05-26T01:03:07"/>
    <n v="90000"/>
    <s v="USD"/>
    <n v="90000"/>
    <s v="Manager Business Control"/>
    <x v="3"/>
    <s v="USA"/>
    <x v="2"/>
    <x v="0"/>
    <m/>
  </r>
  <r>
    <s v="ID0245"/>
    <d v="2012-05-26T01:03:28"/>
    <n v="70000"/>
    <s v="USD"/>
    <n v="70000"/>
    <s v="Manager Pricing"/>
    <x v="3"/>
    <s v="USA"/>
    <x v="2"/>
    <x v="2"/>
    <m/>
  </r>
  <r>
    <s v="ID0246"/>
    <d v="2012-05-26T01:03:34"/>
    <n v="65000"/>
    <s v="CAD"/>
    <n v="63918.498996971248"/>
    <s v="Insurance Manager"/>
    <x v="3"/>
    <s v="Canada"/>
    <x v="17"/>
    <x v="0"/>
    <m/>
  </r>
  <r>
    <s v="ID0247"/>
    <d v="2012-05-26T01:03:52"/>
    <n v="80000"/>
    <s v="USD"/>
    <n v="80000"/>
    <s v="Analyst"/>
    <x v="0"/>
    <s v="USA"/>
    <x v="2"/>
    <x v="0"/>
    <m/>
  </r>
  <r>
    <s v="ID0248"/>
    <d v="2012-05-26T01:03:54"/>
    <n v="140000"/>
    <s v="USD"/>
    <n v="140000"/>
    <s v="Manager"/>
    <x v="3"/>
    <s v="USA"/>
    <x v="2"/>
    <x v="0"/>
    <m/>
  </r>
  <r>
    <s v="ID0249"/>
    <d v="2012-05-26T01:04:13"/>
    <n v="96000"/>
    <s v="USD"/>
    <n v="96000"/>
    <s v="Freellance"/>
    <x v="8"/>
    <s v="Poland"/>
    <x v="15"/>
    <x v="2"/>
    <m/>
  </r>
  <r>
    <s v="ID0250"/>
    <d v="2012-05-26T01:04:17"/>
    <n v="20000"/>
    <s v="USD"/>
    <n v="20000"/>
    <s v="category manager"/>
    <x v="3"/>
    <s v="India"/>
    <x v="0"/>
    <x v="0"/>
    <m/>
  </r>
  <r>
    <s v="ID0251"/>
    <d v="2012-05-26T01:04:50"/>
    <n v="47700"/>
    <s v="USD"/>
    <n v="47700"/>
    <s v="Customer Operations Analyst"/>
    <x v="0"/>
    <s v="USA"/>
    <x v="2"/>
    <x v="0"/>
    <m/>
  </r>
  <r>
    <s v="ID0252"/>
    <d v="2012-05-26T01:05:14"/>
    <n v="25000"/>
    <s v="USD"/>
    <n v="25000"/>
    <s v="Team Lead"/>
    <x v="3"/>
    <s v="India"/>
    <x v="0"/>
    <x v="3"/>
    <m/>
  </r>
  <r>
    <s v="ID0253"/>
    <d v="2012-05-26T01:05:18"/>
    <n v="52500"/>
    <s v="USD"/>
    <n v="52500"/>
    <s v="Analyst"/>
    <x v="0"/>
    <s v="USA"/>
    <x v="2"/>
    <x v="0"/>
    <m/>
  </r>
  <r>
    <s v="ID0254"/>
    <d v="2012-05-26T01:05:27"/>
    <n v="40000"/>
    <s v="USD"/>
    <n v="40000"/>
    <s v="Business Analyst"/>
    <x v="0"/>
    <s v="USA"/>
    <x v="2"/>
    <x v="1"/>
    <m/>
  </r>
  <r>
    <s v="ID0255"/>
    <d v="2012-05-26T01:06:02"/>
    <n v="31000"/>
    <s v="USD"/>
    <n v="31000"/>
    <s v="Site Technician"/>
    <x v="0"/>
    <s v="USA"/>
    <x v="2"/>
    <x v="0"/>
    <m/>
  </r>
  <r>
    <s v="ID0256"/>
    <d v="2012-05-26T01:06:12"/>
    <n v="52680"/>
    <s v="GBP"/>
    <n v="83033.071372504521"/>
    <s v="Excel Consultant"/>
    <x v="8"/>
    <s v="UK"/>
    <x v="14"/>
    <x v="1"/>
    <m/>
  </r>
  <r>
    <s v="ID0257"/>
    <d v="2012-05-26T01:06:31"/>
    <n v="130000"/>
    <s v="USD"/>
    <n v="130000"/>
    <s v="Senior Project Manager"/>
    <x v="3"/>
    <s v="USA"/>
    <x v="2"/>
    <x v="0"/>
    <m/>
  </r>
  <r>
    <s v="ID0258"/>
    <d v="2012-05-26T01:06:38"/>
    <n v="470000"/>
    <s v="INR"/>
    <n v="8369.7208430980063"/>
    <s v="Web Statistics Analyst"/>
    <x v="0"/>
    <s v="India"/>
    <x v="0"/>
    <x v="1"/>
    <m/>
  </r>
  <r>
    <s v="ID0259"/>
    <d v="2012-05-26T01:07:02"/>
    <n v="51000"/>
    <s v="USD"/>
    <n v="51000"/>
    <s v="Business Data Analyst I"/>
    <x v="0"/>
    <s v="USA"/>
    <x v="2"/>
    <x v="2"/>
    <m/>
  </r>
  <r>
    <s v="ID0260"/>
    <d v="2012-05-26T01:07:18"/>
    <n v="60000"/>
    <s v="GBP"/>
    <n v="94570.696324037053"/>
    <s v="Decision Analyst &amp; Modeller"/>
    <x v="0"/>
    <s v="UK"/>
    <x v="14"/>
    <x v="1"/>
    <m/>
  </r>
  <r>
    <s v="ID0261"/>
    <d v="2012-05-26T01:07:42"/>
    <n v="1920000"/>
    <s v="INR"/>
    <n v="34191.200039889729"/>
    <s v="Project Manager"/>
    <x v="3"/>
    <s v="India"/>
    <x v="0"/>
    <x v="2"/>
    <m/>
  </r>
  <r>
    <s v="ID0262"/>
    <d v="2012-05-26T01:08:00"/>
    <n v="28000"/>
    <s v="GBP"/>
    <n v="44132.991617883956"/>
    <s v="Ops Adminstrator"/>
    <x v="0"/>
    <s v="UK"/>
    <x v="14"/>
    <x v="1"/>
    <m/>
  </r>
  <r>
    <s v="ID0263"/>
    <d v="2012-05-26T01:08:04"/>
    <n v="73000"/>
    <s v="USD"/>
    <n v="73000"/>
    <s v="Sr. Global marketing Specialist"/>
    <x v="6"/>
    <s v="USA"/>
    <x v="2"/>
    <x v="0"/>
    <m/>
  </r>
  <r>
    <s v="ID0264"/>
    <d v="2012-05-26T01:08:19"/>
    <n v="62400"/>
    <s v="USD"/>
    <n v="62400"/>
    <s v="financial accountant"/>
    <x v="5"/>
    <s v="USA"/>
    <x v="2"/>
    <x v="1"/>
    <m/>
  </r>
  <r>
    <s v="ID0265"/>
    <d v="2012-05-26T01:08:21"/>
    <n v="27600"/>
    <s v="USD"/>
    <n v="27600"/>
    <s v="Software Consultant"/>
    <x v="8"/>
    <s v="Singapore"/>
    <x v="30"/>
    <x v="1"/>
    <m/>
  </r>
  <r>
    <s v="ID0266"/>
    <d v="2012-05-26T01:08:35"/>
    <n v="54000"/>
    <s v="USD"/>
    <n v="54000"/>
    <s v="Anaylst"/>
    <x v="3"/>
    <s v="USA"/>
    <x v="2"/>
    <x v="1"/>
    <m/>
  </r>
  <r>
    <s v="ID0267"/>
    <d v="2012-05-26T01:08:39"/>
    <n v="276000"/>
    <s v="INR"/>
    <n v="4914.9850057341491"/>
    <s v="analyst"/>
    <x v="0"/>
    <s v="India"/>
    <x v="0"/>
    <x v="1"/>
    <m/>
  </r>
  <r>
    <s v="ID0268"/>
    <d v="2012-05-26T01:08:42"/>
    <n v="77000"/>
    <s v="USD"/>
    <n v="77000"/>
    <s v="senior accounting coordinator"/>
    <x v="5"/>
    <s v="USA"/>
    <x v="2"/>
    <x v="0"/>
    <m/>
  </r>
  <r>
    <s v="ID0269"/>
    <d v="2012-05-26T01:09:01"/>
    <n v="76000"/>
    <s v="USD"/>
    <n v="76000"/>
    <s v="Demand Planning Mgr"/>
    <x v="3"/>
    <s v="USA"/>
    <x v="2"/>
    <x v="1"/>
    <m/>
  </r>
  <r>
    <s v="ID0270"/>
    <d v="2012-05-26T01:09:32"/>
    <n v="103000"/>
    <s v="USD"/>
    <n v="103000"/>
    <s v="VP / Credit Administrator"/>
    <x v="4"/>
    <s v="USA"/>
    <x v="2"/>
    <x v="2"/>
    <m/>
  </r>
  <r>
    <s v="ID0271"/>
    <d v="2012-05-26T01:09:34"/>
    <n v="7600"/>
    <s v="USD"/>
    <n v="7600"/>
    <s v="DP specialist"/>
    <x v="6"/>
    <s v="Ukraine"/>
    <x v="6"/>
    <x v="3"/>
    <m/>
  </r>
  <r>
    <s v="ID0272"/>
    <d v="2012-05-26T01:09:56"/>
    <n v="40000"/>
    <s v="USD"/>
    <n v="40000"/>
    <s v="Analyst 2"/>
    <x v="0"/>
    <s v="USA"/>
    <x v="2"/>
    <x v="0"/>
    <m/>
  </r>
  <r>
    <s v="ID0273"/>
    <d v="2012-05-26T01:10:20"/>
    <n v="80000"/>
    <s v="USD"/>
    <n v="80000"/>
    <s v="VP"/>
    <x v="4"/>
    <s v="USA"/>
    <x v="2"/>
    <x v="2"/>
    <m/>
  </r>
  <r>
    <s v="ID0274"/>
    <d v="2012-05-26T01:10:24"/>
    <n v="55000"/>
    <s v="USD"/>
    <n v="55000"/>
    <s v="data analyst"/>
    <x v="0"/>
    <s v="USA"/>
    <x v="2"/>
    <x v="1"/>
    <m/>
  </r>
  <r>
    <s v="ID0275"/>
    <d v="2012-05-26T01:10:55"/>
    <n v="99000"/>
    <s v="USD"/>
    <n v="99000"/>
    <s v="Business Analyst"/>
    <x v="0"/>
    <s v="USA"/>
    <x v="2"/>
    <x v="2"/>
    <m/>
  </r>
  <r>
    <s v="ID0276"/>
    <d v="2012-05-26T01:10:56"/>
    <n v="420000"/>
    <s v="PHP"/>
    <n v="9956.1219482708348"/>
    <s v="Global Problem Management - IT"/>
    <x v="3"/>
    <s v="Philippines"/>
    <x v="33"/>
    <x v="0"/>
    <m/>
  </r>
  <r>
    <s v="ID0277"/>
    <d v="2012-05-26T01:11:12"/>
    <n v="75000"/>
    <s v="USD"/>
    <n v="75000"/>
    <s v="financial analyst"/>
    <x v="0"/>
    <s v="USA"/>
    <x v="2"/>
    <x v="0"/>
    <m/>
  </r>
  <r>
    <s v="ID0278"/>
    <d v="2012-05-26T01:11:54"/>
    <n v="80000"/>
    <s v="USD"/>
    <n v="80000"/>
    <s v="Enterprise Performance Metrics Manager"/>
    <x v="3"/>
    <s v="USA"/>
    <x v="2"/>
    <x v="2"/>
    <m/>
  </r>
  <r>
    <s v="ID0279"/>
    <d v="2012-05-26T01:12:41"/>
    <n v="20000"/>
    <s v="USD"/>
    <n v="20000"/>
    <s v="Analyst"/>
    <x v="0"/>
    <s v="India"/>
    <x v="0"/>
    <x v="1"/>
    <m/>
  </r>
  <r>
    <s v="ID0280"/>
    <d v="2012-05-26T01:13:50"/>
    <n v="40000"/>
    <s v="USD"/>
    <n v="40000"/>
    <s v="Business Analyst"/>
    <x v="0"/>
    <s v="USA"/>
    <x v="2"/>
    <x v="1"/>
    <m/>
  </r>
  <r>
    <s v="ID0281"/>
    <d v="2012-05-26T01:14:27"/>
    <n v="46000"/>
    <s v="USD"/>
    <n v="46000"/>
    <s v="University Relations Intern"/>
    <x v="0"/>
    <s v="USA"/>
    <x v="2"/>
    <x v="1"/>
    <m/>
  </r>
  <r>
    <s v="ID0282"/>
    <d v="2012-05-26T01:14:55"/>
    <n v="14000"/>
    <s v="USD"/>
    <n v="14000"/>
    <s v="Auxiliar Administrativo"/>
    <x v="0"/>
    <s v="Brazil"/>
    <x v="24"/>
    <x v="3"/>
    <m/>
  </r>
  <r>
    <s v="ID0283"/>
    <d v="2012-05-26T01:15:05"/>
    <n v="70000"/>
    <s v="USD"/>
    <n v="70000"/>
    <s v="Engineering Tech Sr."/>
    <x v="2"/>
    <s v="USA"/>
    <x v="2"/>
    <x v="1"/>
    <m/>
  </r>
  <r>
    <s v="ID0284"/>
    <d v="2012-05-26T01:15:12"/>
    <n v="36000"/>
    <s v="USD"/>
    <n v="36000"/>
    <s v="Senior Specialist"/>
    <x v="6"/>
    <s v="Russia"/>
    <x v="13"/>
    <x v="0"/>
    <m/>
  </r>
  <r>
    <s v="ID0285"/>
    <d v="2012-05-26T01:15:25"/>
    <n v="15000"/>
    <s v="USD"/>
    <n v="15000"/>
    <s v="moneymaker"/>
    <x v="3"/>
    <s v="USA"/>
    <x v="2"/>
    <x v="2"/>
    <m/>
  </r>
  <r>
    <s v="ID0286"/>
    <d v="2012-05-26T01:16:18"/>
    <n v="1500000"/>
    <s v="INR"/>
    <n v="26711.875031163851"/>
    <s v="Consultant"/>
    <x v="8"/>
    <s v="India"/>
    <x v="0"/>
    <x v="1"/>
    <m/>
  </r>
  <r>
    <s v="ID0287"/>
    <d v="2012-05-26T01:17:11"/>
    <n v="100000"/>
    <s v="AED"/>
    <n v="27221.92126875931"/>
    <s v="Accountant"/>
    <x v="5"/>
    <s v="Dubai"/>
    <x v="34"/>
    <x v="0"/>
    <m/>
  </r>
  <r>
    <s v="ID0288"/>
    <d v="2012-05-26T01:17:50"/>
    <n v="22000"/>
    <s v="USD"/>
    <n v="22000"/>
    <s v="MIS"/>
    <x v="7"/>
    <s v="India"/>
    <x v="0"/>
    <x v="1"/>
    <m/>
  </r>
  <r>
    <s v="ID0289"/>
    <d v="2012-05-26T01:17:56"/>
    <n v="68000"/>
    <s v="USD"/>
    <n v="68000"/>
    <s v="management accountant"/>
    <x v="3"/>
    <s v="USA"/>
    <x v="2"/>
    <x v="1"/>
    <m/>
  </r>
  <r>
    <s v="ID0290"/>
    <d v="2012-05-26T01:17:57"/>
    <n v="97000"/>
    <s v="USD"/>
    <n v="97000"/>
    <s v="business analyst"/>
    <x v="0"/>
    <s v="USA"/>
    <x v="2"/>
    <x v="1"/>
    <m/>
  </r>
  <r>
    <s v="ID0291"/>
    <d v="2012-05-26T01:18:35"/>
    <n v="31000"/>
    <s v="GBP"/>
    <n v="48861.526434085805"/>
    <s v="Telecoms Engineer"/>
    <x v="2"/>
    <s v="UK"/>
    <x v="14"/>
    <x v="2"/>
    <m/>
  </r>
  <r>
    <s v="ID0292"/>
    <d v="2012-05-26T01:18:49"/>
    <n v="65000"/>
    <s v="USD"/>
    <n v="65000"/>
    <s v="Software Support"/>
    <x v="0"/>
    <s v="USA"/>
    <x v="2"/>
    <x v="0"/>
    <m/>
  </r>
  <r>
    <s v="ID0293"/>
    <d v="2012-05-26T01:18:58"/>
    <n v="43200"/>
    <s v="USD"/>
    <n v="43200"/>
    <s v="Projects Planner"/>
    <x v="3"/>
    <s v="Saudi Arabia"/>
    <x v="22"/>
    <x v="0"/>
    <m/>
  </r>
  <r>
    <s v="ID0294"/>
    <d v="2012-05-26T01:19:09"/>
    <n v="450000"/>
    <s v="INR"/>
    <n v="8013.5625093491553"/>
    <s v="Business Analyst"/>
    <x v="0"/>
    <s v="India"/>
    <x v="0"/>
    <x v="0"/>
    <m/>
  </r>
  <r>
    <s v="ID0295"/>
    <d v="2012-05-26T01:19:09"/>
    <n v="50000"/>
    <s v="USD"/>
    <n v="50000"/>
    <s v="Mathematical Data Analyist"/>
    <x v="0"/>
    <s v="USA"/>
    <x v="2"/>
    <x v="1"/>
    <m/>
  </r>
  <r>
    <s v="ID0296"/>
    <d v="2012-05-26T01:19:22"/>
    <n v="45000"/>
    <s v="USD"/>
    <n v="45000"/>
    <s v="sales support"/>
    <x v="0"/>
    <s v="USA"/>
    <x v="2"/>
    <x v="0"/>
    <m/>
  </r>
  <r>
    <s v="ID0297"/>
    <d v="2012-05-26T01:19:37"/>
    <n v="180000"/>
    <s v="INR"/>
    <n v="3205.4250037396623"/>
    <s v="Administrative Officer"/>
    <x v="3"/>
    <s v="India"/>
    <x v="0"/>
    <x v="0"/>
    <m/>
  </r>
  <r>
    <s v="ID0298"/>
    <d v="2012-05-26T01:20:01"/>
    <n v="60000"/>
    <s v="USD"/>
    <n v="60000"/>
    <s v="IS Manager"/>
    <x v="3"/>
    <s v="USA"/>
    <x v="2"/>
    <x v="1"/>
    <m/>
  </r>
  <r>
    <s v="ID0299"/>
    <d v="2012-05-26T01:20:46"/>
    <n v="31000"/>
    <s v="USD"/>
    <n v="31000"/>
    <s v="Support Specialist "/>
    <x v="6"/>
    <s v="USA"/>
    <x v="2"/>
    <x v="2"/>
    <m/>
  </r>
  <r>
    <s v="ID0300"/>
    <d v="2012-05-26T01:21:06"/>
    <n v="75000"/>
    <s v="USD"/>
    <n v="75000"/>
    <s v="FA"/>
    <x v="0"/>
    <s v="USA"/>
    <x v="2"/>
    <x v="0"/>
    <m/>
  </r>
  <r>
    <s v="ID0301"/>
    <d v="2012-05-26T01:22:09"/>
    <n v="16000"/>
    <s v="USD"/>
    <n v="16000"/>
    <s v="VP of Finance"/>
    <x v="4"/>
    <s v="USA"/>
    <x v="2"/>
    <x v="3"/>
    <m/>
  </r>
  <r>
    <s v="ID0302"/>
    <d v="2012-05-26T01:22:22"/>
    <n v="36000"/>
    <s v="USD"/>
    <n v="36000"/>
    <s v="PRODUCTION ASSISTANT"/>
    <x v="0"/>
    <s v="USA"/>
    <x v="2"/>
    <x v="1"/>
    <m/>
  </r>
  <r>
    <s v="ID0303"/>
    <d v="2012-05-26T01:22:40"/>
    <n v="42000"/>
    <s v="CAD"/>
    <n v="41301.183967273726"/>
    <s v="Financial Analyst"/>
    <x v="0"/>
    <s v="Canada"/>
    <x v="17"/>
    <x v="1"/>
    <m/>
  </r>
  <r>
    <s v="ID0304"/>
    <d v="2012-05-26T01:22:45"/>
    <n v="53000"/>
    <s v="USD"/>
    <n v="53000"/>
    <s v="Data Analyst"/>
    <x v="0"/>
    <s v="USA"/>
    <x v="2"/>
    <x v="0"/>
    <m/>
  </r>
  <r>
    <s v="ID0305"/>
    <d v="2012-05-26T01:22:48"/>
    <n v="65000"/>
    <s v="EUR"/>
    <n v="82575.963534454509"/>
    <s v="controller"/>
    <x v="1"/>
    <s v="germany"/>
    <x v="5"/>
    <x v="1"/>
    <m/>
  </r>
  <r>
    <s v="ID0306"/>
    <d v="2012-05-26T01:22:56"/>
    <n v="67000"/>
    <s v="USD"/>
    <n v="67000"/>
    <s v="HR Analyst"/>
    <x v="0"/>
    <s v="USA"/>
    <x v="2"/>
    <x v="0"/>
    <m/>
  </r>
  <r>
    <s v="ID0307"/>
    <d v="2012-05-26T01:23:21"/>
    <n v="12000"/>
    <s v="USD"/>
    <n v="12000"/>
    <s v="Analyst"/>
    <x v="0"/>
    <s v="India"/>
    <x v="0"/>
    <x v="1"/>
    <m/>
  </r>
  <r>
    <s v="ID0308"/>
    <d v="2012-05-26T01:23:43"/>
    <n v="85000"/>
    <s v="USD"/>
    <n v="85000"/>
    <s v="Plant Controller"/>
    <x v="1"/>
    <s v="USA"/>
    <x v="2"/>
    <x v="1"/>
    <m/>
  </r>
  <r>
    <s v="ID0309"/>
    <d v="2012-05-26T01:23:50"/>
    <n v="200000"/>
    <s v="EUR"/>
    <n v="254079.88779832155"/>
    <s v="consultant bi"/>
    <x v="7"/>
    <s v="The netherlands"/>
    <x v="18"/>
    <x v="1"/>
    <m/>
  </r>
  <r>
    <s v="ID0310"/>
    <d v="2012-05-26T01:23:57"/>
    <n v="40000"/>
    <s v="USD"/>
    <n v="40000"/>
    <s v="Royalties Coordinator"/>
    <x v="3"/>
    <s v="USA"/>
    <x v="2"/>
    <x v="0"/>
    <m/>
  </r>
  <r>
    <s v="ID0311"/>
    <d v="2012-05-26T01:24:03"/>
    <n v="20000"/>
    <s v="GBP"/>
    <n v="31523.565441345683"/>
    <s v="Graduate Structural Engineer"/>
    <x v="2"/>
    <s v="UK"/>
    <x v="14"/>
    <x v="3"/>
    <m/>
  </r>
  <r>
    <s v="ID0312"/>
    <d v="2012-05-26T01:25:05"/>
    <n v="41000"/>
    <s v="USD"/>
    <n v="41000"/>
    <s v="Operations Analyst"/>
    <x v="0"/>
    <s v="USA"/>
    <x v="2"/>
    <x v="0"/>
    <m/>
  </r>
  <r>
    <s v="ID0313"/>
    <d v="2012-05-26T01:25:06"/>
    <n v="1400000"/>
    <s v="INR"/>
    <n v="24931.083362419595"/>
    <s v="Marketing"/>
    <x v="3"/>
    <s v="India"/>
    <x v="0"/>
    <x v="3"/>
    <m/>
  </r>
  <r>
    <s v="ID0314"/>
    <d v="2012-05-26T01:25:30"/>
    <n v="125000"/>
    <s v="USD"/>
    <n v="125000"/>
    <s v="Finance, Manager "/>
    <x v="3"/>
    <s v="USA"/>
    <x v="2"/>
    <x v="0"/>
    <m/>
  </r>
  <r>
    <s v="ID0315"/>
    <d v="2012-05-26T01:26:26"/>
    <n v="60000"/>
    <s v="CAD"/>
    <n v="59001.691381819612"/>
    <s v="Sr. Business Analyst"/>
    <x v="0"/>
    <s v="Canada"/>
    <x v="17"/>
    <x v="1"/>
    <m/>
  </r>
  <r>
    <s v="ID0316"/>
    <d v="2012-05-26T01:26:37"/>
    <n v="150000"/>
    <s v="MXN"/>
    <n v="10956.982885192734"/>
    <s v="Information Analyst"/>
    <x v="0"/>
    <s v="Mexico"/>
    <x v="26"/>
    <x v="1"/>
    <m/>
  </r>
  <r>
    <s v="ID0317"/>
    <d v="2012-05-26T01:26:52"/>
    <n v="70000"/>
    <s v="USD"/>
    <n v="70000"/>
    <s v="Analyst"/>
    <x v="0"/>
    <s v="USA"/>
    <x v="2"/>
    <x v="2"/>
    <m/>
  </r>
  <r>
    <s v="ID0318"/>
    <d v="2012-05-26T01:27:03"/>
    <n v="400000"/>
    <s v="USD"/>
    <n v="400000"/>
    <s v="Financial Specialist"/>
    <x v="6"/>
    <s v="USA"/>
    <x v="2"/>
    <x v="1"/>
    <m/>
  </r>
  <r>
    <s v="ID0319"/>
    <d v="2012-05-26T01:27:26"/>
    <n v="55000"/>
    <s v="USD"/>
    <n v="55000"/>
    <s v="Business Analyst"/>
    <x v="0"/>
    <s v="USA"/>
    <x v="2"/>
    <x v="0"/>
    <m/>
  </r>
  <r>
    <s v="ID0320"/>
    <d v="2012-05-26T01:27:29"/>
    <n v="60000"/>
    <s v="USD"/>
    <n v="60000"/>
    <s v="Management Analyst"/>
    <x v="0"/>
    <s v="USA"/>
    <x v="2"/>
    <x v="0"/>
    <m/>
  </r>
  <r>
    <s v="ID0321"/>
    <d v="2012-05-26T01:27:44"/>
    <n v="1000000"/>
    <s v="INR"/>
    <n v="17807.916687442568"/>
    <s v="Manager"/>
    <x v="3"/>
    <s v="India"/>
    <x v="0"/>
    <x v="0"/>
    <m/>
  </r>
  <r>
    <s v="ID0322"/>
    <d v="2012-05-26T01:27:52"/>
    <n v="40000"/>
    <s v="USD"/>
    <n v="40000"/>
    <s v="Dp manager"/>
    <x v="3"/>
    <s v="Hungary"/>
    <x v="9"/>
    <x v="0"/>
    <m/>
  </r>
  <r>
    <s v="ID0323"/>
    <d v="2012-05-26T01:28:37"/>
    <n v="137500"/>
    <s v="USD"/>
    <n v="137500"/>
    <s v="director of analytics"/>
    <x v="0"/>
    <s v="USA"/>
    <x v="2"/>
    <x v="0"/>
    <m/>
  </r>
  <r>
    <s v="ID0324"/>
    <d v="2012-05-26T01:29:32"/>
    <n v="4545"/>
    <s v="USD"/>
    <n v="4545"/>
    <s v="Supply Processes Analyst"/>
    <x v="0"/>
    <s v="Brasil"/>
    <x v="20"/>
    <x v="1"/>
    <m/>
  </r>
  <r>
    <s v="ID0325"/>
    <d v="2012-05-26T01:29:37"/>
    <n v="29000"/>
    <s v="GBP"/>
    <n v="45709.169889951241"/>
    <s v="ICT Technical Analyst"/>
    <x v="0"/>
    <s v="UK"/>
    <x v="14"/>
    <x v="0"/>
    <m/>
  </r>
  <r>
    <s v="ID0326"/>
    <d v="2012-05-26T01:30:12"/>
    <n v="47000"/>
    <s v="USD"/>
    <n v="47000"/>
    <s v="Sourcing Specialist"/>
    <x v="6"/>
    <s v="USA"/>
    <x v="2"/>
    <x v="0"/>
    <m/>
  </r>
  <r>
    <s v="ID0327"/>
    <d v="2012-05-26T01:30:39"/>
    <n v="65000"/>
    <s v="USD"/>
    <n v="65000"/>
    <s v="business analyst"/>
    <x v="0"/>
    <s v="USA"/>
    <x v="2"/>
    <x v="1"/>
    <m/>
  </r>
  <r>
    <s v="ID0328"/>
    <d v="2012-05-26T01:30:56"/>
    <n v="456000"/>
    <s v="PHP"/>
    <n v="10809.503829551191"/>
    <s v="Reporting Shared Services Oferring Lead"/>
    <x v="7"/>
    <s v="Philippines"/>
    <x v="33"/>
    <x v="0"/>
    <m/>
  </r>
  <r>
    <s v="ID0329"/>
    <d v="2012-05-26T01:31:26"/>
    <n v="92000"/>
    <s v="USD"/>
    <n v="92000"/>
    <s v="Sales Analytics Manager"/>
    <x v="3"/>
    <s v="USA"/>
    <x v="2"/>
    <x v="0"/>
    <m/>
  </r>
  <r>
    <s v="ID0330"/>
    <d v="2012-05-26T01:31:42"/>
    <n v="22000"/>
    <s v="USD"/>
    <n v="22000"/>
    <s v="Product Manager Sr"/>
    <x v="3"/>
    <s v="Mexico"/>
    <x v="26"/>
    <x v="0"/>
    <m/>
  </r>
  <r>
    <s v="ID0331"/>
    <d v="2012-05-26T01:31:58"/>
    <n v="108000"/>
    <s v="USD"/>
    <n v="108000"/>
    <s v="Database Architect"/>
    <x v="3"/>
    <s v="USA"/>
    <x v="2"/>
    <x v="2"/>
    <m/>
  </r>
  <r>
    <s v="ID0332"/>
    <d v="2012-05-26T01:32:08"/>
    <n v="61000"/>
    <s v="USD"/>
    <n v="61000"/>
    <s v="Data Analyst"/>
    <x v="0"/>
    <s v="USA"/>
    <x v="2"/>
    <x v="3"/>
    <m/>
  </r>
  <r>
    <s v="ID0333"/>
    <d v="2012-05-26T01:32:14"/>
    <n v="65000"/>
    <s v="CAD"/>
    <n v="63918.498996971248"/>
    <s v="Product developer"/>
    <x v="3"/>
    <s v="CANADA"/>
    <x v="17"/>
    <x v="2"/>
    <m/>
  </r>
  <r>
    <s v="ID0334"/>
    <d v="2012-05-26T01:32:26"/>
    <n v="50000"/>
    <s v="USD"/>
    <n v="50000"/>
    <s v="Supply Chain Analyst"/>
    <x v="0"/>
    <s v="USA"/>
    <x v="2"/>
    <x v="1"/>
    <m/>
  </r>
  <r>
    <s v="ID0335"/>
    <d v="2012-05-26T01:33:03"/>
    <n v="150000"/>
    <s v="USD"/>
    <n v="150000"/>
    <s v="financial planning"/>
    <x v="5"/>
    <s v="USA"/>
    <x v="2"/>
    <x v="1"/>
    <m/>
  </r>
  <r>
    <s v="ID0336"/>
    <d v="2012-05-26T01:33:37"/>
    <n v="400000"/>
    <s v="INR"/>
    <n v="7123.1666749770275"/>
    <s v="Test Analyst"/>
    <x v="0"/>
    <s v="India"/>
    <x v="0"/>
    <x v="0"/>
    <m/>
  </r>
  <r>
    <s v="ID0337"/>
    <d v="2012-05-26T01:33:45"/>
    <n v="150000"/>
    <s v="USD"/>
    <n v="150000"/>
    <s v="project manager, project finance consultant"/>
    <x v="3"/>
    <s v="Israel"/>
    <x v="35"/>
    <x v="0"/>
    <m/>
  </r>
  <r>
    <s v="ID0338"/>
    <d v="2012-05-26T01:34:56"/>
    <n v="45000"/>
    <s v="USD"/>
    <n v="45000"/>
    <s v="QC Fabrication Inspector"/>
    <x v="6"/>
    <s v="USA"/>
    <x v="2"/>
    <x v="0"/>
    <m/>
  </r>
  <r>
    <s v="ID0339"/>
    <d v="2012-05-26T01:35:02"/>
    <n v="135000"/>
    <s v="USD"/>
    <n v="135000"/>
    <s v="Manager of Trade Investment &amp; Analysis"/>
    <x v="3"/>
    <s v="USA"/>
    <x v="2"/>
    <x v="1"/>
    <m/>
  </r>
  <r>
    <s v="ID0340"/>
    <d v="2012-05-26T01:35:18"/>
    <n v="360000"/>
    <s v="INR"/>
    <n v="6410.8500074793246"/>
    <s v="Business Analysit"/>
    <x v="0"/>
    <s v="India"/>
    <x v="0"/>
    <x v="2"/>
    <m/>
  </r>
  <r>
    <s v="ID0341"/>
    <d v="2012-05-26T01:35:35"/>
    <n v="29000"/>
    <s v="USD"/>
    <n v="29000"/>
    <s v="Assistant Outside Plant Project Manager"/>
    <x v="3"/>
    <s v="USA"/>
    <x v="2"/>
    <x v="0"/>
    <m/>
  </r>
  <r>
    <s v="ID0342"/>
    <d v="2012-05-26T01:37:33"/>
    <n v="13000"/>
    <s v="USD"/>
    <n v="13000"/>
    <s v="operation-manager"/>
    <x v="3"/>
    <s v="India"/>
    <x v="0"/>
    <x v="1"/>
    <m/>
  </r>
  <r>
    <s v="ID0343"/>
    <d v="2012-05-26T01:38:06"/>
    <n v="63000"/>
    <s v="USD"/>
    <n v="63000"/>
    <s v="Sales Analyst"/>
    <x v="0"/>
    <s v="USA"/>
    <x v="2"/>
    <x v="1"/>
    <m/>
  </r>
  <r>
    <s v="ID0344"/>
    <d v="2012-05-26T01:38:06"/>
    <n v="95000"/>
    <s v="USD"/>
    <n v="95000"/>
    <s v="Senior Financial Analyst"/>
    <x v="0"/>
    <s v="USA"/>
    <x v="2"/>
    <x v="0"/>
    <m/>
  </r>
  <r>
    <s v="ID0346"/>
    <d v="2012-05-26T01:38:51"/>
    <n v="100000"/>
    <s v="USD"/>
    <n v="100000"/>
    <s v="Senior Data Analyst"/>
    <x v="0"/>
    <s v="UK"/>
    <x v="14"/>
    <x v="0"/>
    <m/>
  </r>
  <r>
    <s v="ID0347"/>
    <d v="2012-05-26T01:39:37"/>
    <n v="3800"/>
    <s v="USD"/>
    <n v="3800"/>
    <s v="MIS EXCUTIVE"/>
    <x v="7"/>
    <s v="India"/>
    <x v="0"/>
    <x v="0"/>
    <m/>
  </r>
  <r>
    <s v="ID0348"/>
    <d v="2012-05-26T01:40:05"/>
    <n v="11400"/>
    <s v="USD"/>
    <n v="11400"/>
    <s v="Advisor"/>
    <x v="8"/>
    <s v="Brazil"/>
    <x v="24"/>
    <x v="0"/>
    <m/>
  </r>
  <r>
    <s v="ID0349"/>
    <d v="2012-05-26T01:40:18"/>
    <n v="56000"/>
    <s v="CAD"/>
    <n v="55068.245289698301"/>
    <s v="Online Analyst"/>
    <x v="0"/>
    <s v="Canada"/>
    <x v="17"/>
    <x v="0"/>
    <m/>
  </r>
  <r>
    <s v="ID0350"/>
    <d v="2012-05-26T01:40:28"/>
    <n v="53000"/>
    <s v="USD"/>
    <n v="53000"/>
    <s v="General Manager"/>
    <x v="3"/>
    <s v="USA"/>
    <x v="2"/>
    <x v="2"/>
    <m/>
  </r>
  <r>
    <s v="ID0351"/>
    <d v="2012-05-26T01:40:51"/>
    <n v="130000"/>
    <s v="USD"/>
    <n v="130000"/>
    <s v="Sr Staff Engineer"/>
    <x v="2"/>
    <s v="USA"/>
    <x v="2"/>
    <x v="0"/>
    <m/>
  </r>
  <r>
    <s v="ID0352"/>
    <d v="2012-05-26T01:41:32"/>
    <n v="370000"/>
    <s v="INR"/>
    <n v="6588.9291743537506"/>
    <s v="Senior Design Associate"/>
    <x v="0"/>
    <s v="India"/>
    <x v="0"/>
    <x v="1"/>
    <m/>
  </r>
  <r>
    <s v="ID0353"/>
    <d v="2012-05-26T01:41:53"/>
    <n v="160000"/>
    <s v="CAD"/>
    <n v="157337.8436848523"/>
    <s v="Consultant"/>
    <x v="8"/>
    <s v="Canada"/>
    <x v="17"/>
    <x v="2"/>
    <m/>
  </r>
  <r>
    <s v="ID0354"/>
    <d v="2012-05-26T01:41:54"/>
    <n v="44200"/>
    <s v="USD"/>
    <n v="44200"/>
    <s v="Planning and Analysis Supervisor"/>
    <x v="0"/>
    <s v="USA"/>
    <x v="2"/>
    <x v="1"/>
    <m/>
  </r>
  <r>
    <s v="ID0355"/>
    <d v="2012-05-26T01:42:07"/>
    <n v="56000"/>
    <s v="USD"/>
    <n v="56000"/>
    <s v="asset manager"/>
    <x v="3"/>
    <s v="USA"/>
    <x v="2"/>
    <x v="2"/>
    <m/>
  </r>
  <r>
    <s v="ID0356"/>
    <d v="2012-05-26T01:42:27"/>
    <n v="72500"/>
    <s v="USD"/>
    <n v="72500"/>
    <s v="Transportation Engineer"/>
    <x v="2"/>
    <s v="USA"/>
    <x v="2"/>
    <x v="2"/>
    <m/>
  </r>
  <r>
    <s v="ID0357"/>
    <d v="2012-05-26T01:42:31"/>
    <n v="75000"/>
    <s v="CAD"/>
    <n v="73752.11422727452"/>
    <s v="web marketing analyst"/>
    <x v="0"/>
    <s v="canada"/>
    <x v="17"/>
    <x v="0"/>
    <m/>
  </r>
  <r>
    <s v="ID0358"/>
    <d v="2012-05-26T01:42:53"/>
    <n v="170000"/>
    <s v="USD"/>
    <n v="170000"/>
    <s v="RS"/>
    <x v="0"/>
    <s v="UK"/>
    <x v="14"/>
    <x v="4"/>
    <m/>
  </r>
  <r>
    <s v="ID0359"/>
    <d v="2012-05-26T01:43:48"/>
    <n v="68000"/>
    <s v="USD"/>
    <n v="68000"/>
    <s v="Project Manager"/>
    <x v="3"/>
    <s v="USA"/>
    <x v="2"/>
    <x v="2"/>
    <m/>
  </r>
  <r>
    <s v="ID0360"/>
    <d v="2012-05-26T01:44:59"/>
    <n v="75000"/>
    <s v="USD"/>
    <n v="75000"/>
    <s v="Sr. Financial Analyst"/>
    <x v="0"/>
    <s v="USA"/>
    <x v="2"/>
    <x v="1"/>
    <m/>
  </r>
  <r>
    <s v="ID0361"/>
    <d v="2012-05-26T01:45:50"/>
    <n v="62500"/>
    <s v="USD"/>
    <n v="62500"/>
    <s v="Director of Payroll"/>
    <x v="4"/>
    <s v="USA"/>
    <x v="2"/>
    <x v="1"/>
    <m/>
  </r>
  <r>
    <s v="ID0362"/>
    <d v="2012-05-26T01:45:58"/>
    <n v="25000"/>
    <s v="USD"/>
    <n v="25000"/>
    <s v="Manager"/>
    <x v="3"/>
    <s v="India"/>
    <x v="0"/>
    <x v="0"/>
    <m/>
  </r>
  <r>
    <s v="ID0363"/>
    <d v="2012-05-26T01:46:24"/>
    <n v="480000"/>
    <s v="SEK"/>
    <n v="68954.520184280962"/>
    <s v="IT consultant"/>
    <x v="8"/>
    <s v="Sweden"/>
    <x v="36"/>
    <x v="3"/>
    <m/>
  </r>
  <r>
    <s v="ID0365"/>
    <d v="2012-05-26T01:49:19"/>
    <n v="85000"/>
    <s v="USD"/>
    <n v="85000"/>
    <s v="Sr. Financial Analyst"/>
    <x v="0"/>
    <s v="USA"/>
    <x v="2"/>
    <x v="0"/>
    <m/>
  </r>
  <r>
    <s v="ID0366"/>
    <d v="2012-05-26T01:49:55"/>
    <n v="43000"/>
    <s v="GBP"/>
    <n v="67775.665698893223"/>
    <s v="Commercial Manager"/>
    <x v="3"/>
    <s v="UK"/>
    <x v="14"/>
    <x v="0"/>
    <m/>
  </r>
  <r>
    <s v="ID0367"/>
    <d v="2012-05-26T01:49:56"/>
    <n v="89000"/>
    <s v="USD"/>
    <n v="89000"/>
    <s v="Quality Assurance Officer"/>
    <x v="3"/>
    <s v="USA"/>
    <x v="2"/>
    <x v="0"/>
    <m/>
  </r>
  <r>
    <s v="ID0368"/>
    <d v="2012-05-26T01:50:00"/>
    <n v="35000"/>
    <s v="USD"/>
    <n v="35000"/>
    <s v="Senior Treasury Analyst"/>
    <x v="0"/>
    <s v="Brasil"/>
    <x v="20"/>
    <x v="1"/>
    <m/>
  </r>
  <r>
    <s v="ID0369"/>
    <d v="2012-05-26T01:50:28"/>
    <n v="47500"/>
    <s v="USD"/>
    <n v="47500"/>
    <s v="Supervisor, Contracts, Rebates, Chargebacks and Returns"/>
    <x v="3"/>
    <s v="USA"/>
    <x v="2"/>
    <x v="1"/>
    <m/>
  </r>
  <r>
    <s v="ID0370"/>
    <d v="2012-05-26T01:50:30"/>
    <n v="130000"/>
    <s v="USD"/>
    <n v="130000"/>
    <s v="Project Manager"/>
    <x v="3"/>
    <s v="USA"/>
    <x v="2"/>
    <x v="2"/>
    <m/>
  </r>
  <r>
    <s v="ID0371"/>
    <d v="2012-05-26T01:50:56"/>
    <n v="18000"/>
    <s v="USD"/>
    <n v="18000"/>
    <s v="ceo"/>
    <x v="4"/>
    <s v="India"/>
    <x v="0"/>
    <x v="2"/>
    <m/>
  </r>
  <r>
    <s v="ID0372"/>
    <d v="2012-05-26T01:50:59"/>
    <n v="480000"/>
    <s v="INR"/>
    <n v="8547.8000099724322"/>
    <s v="System Manager"/>
    <x v="3"/>
    <s v="India"/>
    <x v="0"/>
    <x v="3"/>
    <m/>
  </r>
  <r>
    <s v="ID0373"/>
    <d v="2012-05-26T01:51:24"/>
    <n v="41932"/>
    <s v="USD"/>
    <n v="41932"/>
    <s v="Buyer"/>
    <x v="3"/>
    <s v="USA"/>
    <x v="2"/>
    <x v="2"/>
    <m/>
  </r>
  <r>
    <s v="ID0374"/>
    <d v="2012-05-26T01:52:01"/>
    <n v="220700"/>
    <s v="USD"/>
    <n v="220700"/>
    <s v="Consultant"/>
    <x v="8"/>
    <s v="Brazil"/>
    <x v="24"/>
    <x v="1"/>
    <m/>
  </r>
  <r>
    <s v="ID0375"/>
    <d v="2012-05-26T01:52:04"/>
    <n v="194000"/>
    <s v="USD"/>
    <n v="194000"/>
    <s v="director"/>
    <x v="4"/>
    <s v="USA"/>
    <x v="2"/>
    <x v="2"/>
    <m/>
  </r>
  <r>
    <s v="ID0376"/>
    <d v="2012-05-26T01:54:28"/>
    <n v="9000000"/>
    <s v="INR"/>
    <n v="160271.25018698312"/>
    <s v="Financial Analyst"/>
    <x v="0"/>
    <s v="India"/>
    <x v="0"/>
    <x v="0"/>
    <m/>
  </r>
  <r>
    <s v="ID0377"/>
    <d v="2012-05-26T01:54:47"/>
    <n v="500000"/>
    <s v="INR"/>
    <n v="8903.9583437212841"/>
    <s v="Owner"/>
    <x v="3"/>
    <s v="India"/>
    <x v="0"/>
    <x v="2"/>
    <m/>
  </r>
  <r>
    <s v="ID0378"/>
    <d v="2012-05-26T01:57:23"/>
    <n v="80000"/>
    <s v="CAD"/>
    <n v="78668.921842426149"/>
    <s v="Senior Business Analyst"/>
    <x v="0"/>
    <s v="Canada"/>
    <x v="17"/>
    <x v="0"/>
    <m/>
  </r>
  <r>
    <s v="ID0379"/>
    <d v="2012-05-26T01:57:40"/>
    <n v="18000"/>
    <s v="EUR"/>
    <n v="22867.189901848938"/>
    <s v="marketing and sales "/>
    <x v="3"/>
    <s v="Portugal"/>
    <x v="7"/>
    <x v="2"/>
    <m/>
  </r>
  <r>
    <s v="ID0380"/>
    <d v="2012-05-26T01:58:19"/>
    <n v="60000"/>
    <s v="GBP"/>
    <n v="94570.696324037053"/>
    <s v="Managing Director"/>
    <x v="4"/>
    <s v="UK"/>
    <x v="14"/>
    <x v="2"/>
    <m/>
  </r>
  <r>
    <s v="ID0381"/>
    <d v="2012-05-26T01:58:42"/>
    <n v="95000"/>
    <s v="USD"/>
    <n v="95000"/>
    <s v="Senior Financial Analyst"/>
    <x v="0"/>
    <s v="USA"/>
    <x v="2"/>
    <x v="1"/>
    <m/>
  </r>
  <r>
    <s v="ID0382"/>
    <d v="2012-05-26T01:59:21"/>
    <n v="540000"/>
    <s v="INR"/>
    <n v="9616.275011218986"/>
    <s v="Senior Billing Engineer"/>
    <x v="2"/>
    <s v="India"/>
    <x v="0"/>
    <x v="0"/>
    <m/>
  </r>
  <r>
    <s v="ID0383"/>
    <d v="2012-05-26T01:59:40"/>
    <n v="48000"/>
    <s v="USD"/>
    <n v="48000"/>
    <s v="Quality Analyst"/>
    <x v="0"/>
    <s v="USA"/>
    <x v="2"/>
    <x v="3"/>
    <m/>
  </r>
  <r>
    <s v="ID0384"/>
    <d v="2012-05-26T01:59:45"/>
    <n v="46000"/>
    <s v="USD"/>
    <n v="46000"/>
    <s v="Financial analyst"/>
    <x v="0"/>
    <s v="USA"/>
    <x v="2"/>
    <x v="0"/>
    <m/>
  </r>
  <r>
    <s v="ID0385"/>
    <d v="2012-05-26T01:59:48"/>
    <n v="15000"/>
    <s v="USD"/>
    <n v="15000"/>
    <s v="Economist"/>
    <x v="7"/>
    <s v="Ukraine"/>
    <x v="6"/>
    <x v="2"/>
    <m/>
  </r>
  <r>
    <s v="ID0386"/>
    <d v="2012-05-26T02:00:04"/>
    <n v="620000"/>
    <s v="INR"/>
    <n v="11040.908346214392"/>
    <s v="assistant manager (finance)"/>
    <x v="3"/>
    <s v="India"/>
    <x v="0"/>
    <x v="3"/>
    <m/>
  </r>
  <r>
    <s v="ID0387"/>
    <d v="2012-05-26T02:00:10"/>
    <n v="28000"/>
    <s v="GBP"/>
    <n v="44132.991617883956"/>
    <s v="Central Services Manager"/>
    <x v="3"/>
    <s v="UK"/>
    <x v="14"/>
    <x v="2"/>
    <m/>
  </r>
  <r>
    <s v="ID0388"/>
    <d v="2012-05-26T02:00:14"/>
    <n v="47000"/>
    <s v="USD"/>
    <n v="47000"/>
    <s v="Trainer "/>
    <x v="3"/>
    <s v="USA"/>
    <x v="2"/>
    <x v="2"/>
    <m/>
  </r>
  <r>
    <s v="ID0389"/>
    <d v="2012-05-26T02:00:42"/>
    <n v="44000"/>
    <s v="USD"/>
    <n v="44000"/>
    <s v="continuous improvement team member"/>
    <x v="0"/>
    <s v="USA"/>
    <x v="2"/>
    <x v="2"/>
    <m/>
  </r>
  <r>
    <s v="ID0390"/>
    <d v="2012-05-26T02:00:46"/>
    <n v="55000"/>
    <s v="USD"/>
    <n v="55000"/>
    <s v="Accountant"/>
    <x v="5"/>
    <s v="USA"/>
    <x v="2"/>
    <x v="0"/>
    <m/>
  </r>
  <r>
    <s v="ID0391"/>
    <d v="2012-05-26T02:00:54"/>
    <n v="12000"/>
    <s v="USD"/>
    <n v="12000"/>
    <s v="MIS Officer"/>
    <x v="7"/>
    <s v="South Africa"/>
    <x v="11"/>
    <x v="0"/>
    <m/>
  </r>
  <r>
    <s v="ID0392"/>
    <d v="2012-05-26T02:01:07"/>
    <n v="50000"/>
    <s v="USD"/>
    <n v="50000"/>
    <s v="IR Manager"/>
    <x v="3"/>
    <s v="USA"/>
    <x v="2"/>
    <x v="2"/>
    <m/>
  </r>
  <r>
    <s v="ID0393"/>
    <d v="2012-05-26T02:01:31"/>
    <n v="750000"/>
    <s v="INR"/>
    <n v="13355.937515581925"/>
    <s v="Business Analyst"/>
    <x v="0"/>
    <s v="India"/>
    <x v="0"/>
    <x v="3"/>
    <m/>
  </r>
  <r>
    <s v="ID0394"/>
    <d v="2012-05-26T02:02:02"/>
    <n v="99147"/>
    <s v="USD"/>
    <n v="99147"/>
    <s v="Chief Specialist of Economics &amp; Planning"/>
    <x v="6"/>
    <s v="Russia"/>
    <x v="13"/>
    <x v="0"/>
    <m/>
  </r>
  <r>
    <s v="ID0395"/>
    <d v="2012-05-26T02:03:35"/>
    <n v="45880"/>
    <s v="USD"/>
    <n v="45880"/>
    <s v="Campus Budget Officer"/>
    <x v="3"/>
    <s v="USA"/>
    <x v="2"/>
    <x v="1"/>
    <m/>
  </r>
  <r>
    <s v="ID0396"/>
    <d v="2012-05-26T02:03:45"/>
    <n v="70000"/>
    <s v="USD"/>
    <n v="70000"/>
    <s v="Management Ananlyst"/>
    <x v="3"/>
    <s v="USA"/>
    <x v="2"/>
    <x v="0"/>
    <m/>
  </r>
  <r>
    <s v="ID0397"/>
    <d v="2012-05-26T02:04:01"/>
    <n v="100000"/>
    <s v="USD"/>
    <n v="100000"/>
    <s v="Sales Operations Analyst"/>
    <x v="0"/>
    <s v="USA"/>
    <x v="2"/>
    <x v="1"/>
    <m/>
  </r>
  <r>
    <s v="ID0398"/>
    <d v="2012-05-26T02:04:05"/>
    <n v="1440000"/>
    <s v="BDT"/>
    <n v="17598.017290051986"/>
    <s v="Computer Operator"/>
    <x v="0"/>
    <s v="Bangladesh"/>
    <x v="37"/>
    <x v="2"/>
    <m/>
  </r>
  <r>
    <s v="ID0399"/>
    <d v="2012-05-26T02:05:06"/>
    <n v="85000"/>
    <s v="USD"/>
    <n v="85000"/>
    <s v="ENGINEER"/>
    <x v="2"/>
    <s v="USA"/>
    <x v="2"/>
    <x v="2"/>
    <m/>
  </r>
  <r>
    <s v="ID0400"/>
    <d v="2012-05-26T02:05:49"/>
    <n v="47000"/>
    <s v="USD"/>
    <n v="47000"/>
    <s v="Sr Management Analytst 2"/>
    <x v="3"/>
    <s v="USA"/>
    <x v="2"/>
    <x v="0"/>
    <m/>
  </r>
  <r>
    <s v="ID0401"/>
    <d v="2012-05-26T02:05:58"/>
    <n v="40000"/>
    <s v="USD"/>
    <n v="40000"/>
    <s v="Accounting Manager"/>
    <x v="3"/>
    <s v="USA"/>
    <x v="2"/>
    <x v="2"/>
    <m/>
  </r>
  <r>
    <s v="ID0402"/>
    <d v="2012-05-26T02:06:38"/>
    <n v="30000"/>
    <s v="USD"/>
    <n v="30000"/>
    <s v="ceo"/>
    <x v="4"/>
    <s v="India"/>
    <x v="0"/>
    <x v="2"/>
    <m/>
  </r>
  <r>
    <s v="ID0403"/>
    <d v="2012-05-26T02:06:56"/>
    <n v="72000"/>
    <s v="CAD"/>
    <n v="70802.029658183528"/>
    <s v="Controller"/>
    <x v="1"/>
    <s v="Canada"/>
    <x v="17"/>
    <x v="0"/>
    <m/>
  </r>
  <r>
    <s v="ID0404"/>
    <d v="2012-05-26T02:07:28"/>
    <n v="34000"/>
    <s v="USD"/>
    <n v="34000"/>
    <s v="Information Research Technician II"/>
    <x v="0"/>
    <s v="USA"/>
    <x v="2"/>
    <x v="0"/>
    <m/>
  </r>
  <r>
    <s v="ID0405"/>
    <d v="2012-05-26T02:07:49"/>
    <n v="52000"/>
    <s v="USD"/>
    <n v="52000"/>
    <s v="Data Analyst"/>
    <x v="0"/>
    <s v="USA"/>
    <x v="2"/>
    <x v="0"/>
    <m/>
  </r>
  <r>
    <s v="ID0406"/>
    <d v="2012-05-26T02:08:10"/>
    <n v="300000"/>
    <s v="INR"/>
    <n v="5342.3750062327708"/>
    <s v="Sr. Systems Engineer"/>
    <x v="2"/>
    <s v="India"/>
    <x v="0"/>
    <x v="3"/>
    <m/>
  </r>
  <r>
    <s v="ID0407"/>
    <d v="2012-05-26T02:09:57"/>
    <n v="400000"/>
    <s v="INR"/>
    <n v="7123.1666749770275"/>
    <s v="Analyst"/>
    <x v="0"/>
    <s v="India"/>
    <x v="0"/>
    <x v="0"/>
    <m/>
  </r>
  <r>
    <s v="ID0408"/>
    <d v="2012-05-26T02:10:35"/>
    <n v="63586"/>
    <s v="USD"/>
    <n v="63586"/>
    <s v="Senior Purchasing Officer"/>
    <x v="3"/>
    <s v="United Arab Emriate"/>
    <x v="21"/>
    <x v="2"/>
    <m/>
  </r>
  <r>
    <s v="ID0409"/>
    <d v="2012-05-26T02:11:40"/>
    <n v="35000"/>
    <s v="GBP"/>
    <n v="55166.239522354947"/>
    <s v="Mgmt Accountant"/>
    <x v="5"/>
    <s v="UK"/>
    <x v="14"/>
    <x v="0"/>
    <m/>
  </r>
  <r>
    <s v="ID0410"/>
    <d v="2012-05-26T02:12:58"/>
    <n v="60000"/>
    <s v="USD"/>
    <n v="60000"/>
    <s v="Sr financial analyst "/>
    <x v="0"/>
    <s v="USA"/>
    <x v="2"/>
    <x v="0"/>
    <m/>
  </r>
  <r>
    <s v="ID0411"/>
    <d v="2012-05-26T02:13:57"/>
    <n v="19200"/>
    <s v="USD"/>
    <n v="19200"/>
    <s v="Department Manager"/>
    <x v="3"/>
    <s v="Romania"/>
    <x v="38"/>
    <x v="1"/>
    <m/>
  </r>
  <r>
    <s v="ID0412"/>
    <d v="2012-05-26T02:14:05"/>
    <n v="14000000"/>
    <s v="COSTARICAN"/>
    <n v="28109.627547434993"/>
    <s v="Businees Adminstratot"/>
    <x v="0"/>
    <s v="Costa Rica"/>
    <x v="39"/>
    <x v="1"/>
    <m/>
  </r>
  <r>
    <s v="ID0413"/>
    <d v="2012-05-26T02:14:29"/>
    <n v="56000"/>
    <s v="USD"/>
    <n v="56000"/>
    <s v="Staff assistant "/>
    <x v="0"/>
    <s v="USA"/>
    <x v="2"/>
    <x v="0"/>
    <m/>
  </r>
  <r>
    <s v="ID0414"/>
    <d v="2012-05-26T02:14:48"/>
    <n v="52000"/>
    <s v="USD"/>
    <n v="52000"/>
    <s v="Sr. Accountant"/>
    <x v="5"/>
    <s v="USA"/>
    <x v="2"/>
    <x v="0"/>
    <m/>
  </r>
  <r>
    <s v="ID0415"/>
    <d v="2012-05-26T02:15:19"/>
    <n v="51613"/>
    <s v="USD"/>
    <n v="51613"/>
    <s v="Air Planning Analyst"/>
    <x v="0"/>
    <s v="USA"/>
    <x v="2"/>
    <x v="1"/>
    <m/>
  </r>
  <r>
    <s v="ID0416"/>
    <d v="2012-05-26T02:17:01"/>
    <n v="35000"/>
    <s v="USD"/>
    <n v="35000"/>
    <s v="Credit Analyst"/>
    <x v="0"/>
    <s v="Russia"/>
    <x v="13"/>
    <x v="0"/>
    <m/>
  </r>
  <r>
    <s v="ID0417"/>
    <d v="2012-05-26T02:17:18"/>
    <n v="56000"/>
    <s v="USD"/>
    <n v="56000"/>
    <s v="financial management consultant"/>
    <x v="3"/>
    <s v="USA"/>
    <x v="2"/>
    <x v="1"/>
    <m/>
  </r>
  <r>
    <s v="ID0418"/>
    <d v="2012-05-26T02:17:38"/>
    <n v="115000"/>
    <s v="USD"/>
    <n v="115000"/>
    <s v="Consultant"/>
    <x v="8"/>
    <s v="USA"/>
    <x v="2"/>
    <x v="2"/>
    <m/>
  </r>
  <r>
    <s v="ID0419"/>
    <d v="2012-05-26T02:18:03"/>
    <n v="66000"/>
    <s v="GBP"/>
    <n v="104027.76595644075"/>
    <s v="IT Project Manager, EMEA"/>
    <x v="3"/>
    <s v="UK"/>
    <x v="14"/>
    <x v="3"/>
    <m/>
  </r>
  <r>
    <s v="ID0420"/>
    <d v="2012-05-26T02:19:12"/>
    <n v="200000"/>
    <s v="INR"/>
    <n v="3561.5833374885137"/>
    <s v="Consultant"/>
    <x v="8"/>
    <s v="India"/>
    <x v="0"/>
    <x v="3"/>
    <m/>
  </r>
  <r>
    <s v="ID0421"/>
    <d v="2012-05-26T02:19:48"/>
    <n v="72000"/>
    <s v="USD"/>
    <n v="72000"/>
    <s v="IS Director"/>
    <x v="4"/>
    <s v="USA"/>
    <x v="2"/>
    <x v="0"/>
    <m/>
  </r>
  <r>
    <s v="ID0422"/>
    <d v="2012-05-26T02:19:52"/>
    <n v="90000"/>
    <s v="USD"/>
    <n v="90000"/>
    <s v="Financial Analyst"/>
    <x v="0"/>
    <s v="USA"/>
    <x v="2"/>
    <x v="1"/>
    <m/>
  </r>
  <r>
    <s v="ID0423"/>
    <d v="2012-05-26T02:20:15"/>
    <n v="8500"/>
    <s v="USD"/>
    <n v="8500"/>
    <s v="Accounting Coordinator"/>
    <x v="5"/>
    <s v="Romania"/>
    <x v="38"/>
    <x v="2"/>
    <m/>
  </r>
  <r>
    <s v="ID0424"/>
    <d v="2012-05-26T02:20:22"/>
    <n v="12000"/>
    <s v="USD"/>
    <n v="12000"/>
    <s v="teacher"/>
    <x v="0"/>
    <s v="iran"/>
    <x v="40"/>
    <x v="2"/>
    <m/>
  </r>
  <r>
    <s v="ID0425"/>
    <d v="2012-05-26T02:22:17"/>
    <n v="250000"/>
    <s v="USD"/>
    <n v="250000"/>
    <s v="consultant"/>
    <x v="8"/>
    <s v="USA"/>
    <x v="2"/>
    <x v="1"/>
    <m/>
  </r>
  <r>
    <s v="ID0426"/>
    <d v="2012-05-26T02:24:24"/>
    <n v="70800"/>
    <s v="EUR"/>
    <n v="89944.280280605832"/>
    <s v="Excel trainer"/>
    <x v="0"/>
    <s v="Finland"/>
    <x v="41"/>
    <x v="1"/>
    <m/>
  </r>
  <r>
    <s v="ID0427"/>
    <d v="2012-05-26T02:25:10"/>
    <n v="240000"/>
    <s v="INR"/>
    <n v="4273.9000049862161"/>
    <s v="WFM Team Lead"/>
    <x v="3"/>
    <s v="India"/>
    <x v="0"/>
    <x v="1"/>
    <m/>
  </r>
  <r>
    <s v="ID0428"/>
    <d v="2012-05-26T02:27:50"/>
    <n v="30000"/>
    <s v="USD"/>
    <n v="30000"/>
    <s v="Supervisor"/>
    <x v="3"/>
    <s v="USA"/>
    <x v="2"/>
    <x v="2"/>
    <m/>
  </r>
  <r>
    <s v="ID0429"/>
    <d v="2012-05-26T02:29:37"/>
    <n v="30000"/>
    <s v="USD"/>
    <n v="30000"/>
    <s v="BI Developer"/>
    <x v="7"/>
    <s v="Romania"/>
    <x v="38"/>
    <x v="3"/>
    <m/>
  </r>
  <r>
    <s v="ID0430"/>
    <d v="2012-05-26T02:31:24"/>
    <n v="24000"/>
    <s v="USD"/>
    <n v="24000"/>
    <s v="engineer"/>
    <x v="2"/>
    <s v="USA"/>
    <x v="2"/>
    <x v="3"/>
    <m/>
  </r>
  <r>
    <s v="ID0431"/>
    <d v="2012-05-26T02:33:00"/>
    <n v="60000"/>
    <s v="USD"/>
    <n v="60000"/>
    <s v="Planner"/>
    <x v="3"/>
    <s v="USA"/>
    <x v="2"/>
    <x v="0"/>
    <m/>
  </r>
  <r>
    <s v="ID0432"/>
    <d v="2012-05-26T02:33:06"/>
    <n v="76600"/>
    <s v="USD"/>
    <n v="76600"/>
    <s v="Analyst"/>
    <x v="0"/>
    <s v="USA"/>
    <x v="2"/>
    <x v="2"/>
    <m/>
  </r>
  <r>
    <s v="ID0433"/>
    <d v="2012-05-26T02:33:10"/>
    <n v="65000"/>
    <s v="GBP"/>
    <n v="102451.58768437347"/>
    <s v="Financial Controller"/>
    <x v="1"/>
    <s v="UK"/>
    <x v="14"/>
    <x v="2"/>
    <m/>
  </r>
  <r>
    <s v="ID0434"/>
    <d v="2012-05-26T02:34:00"/>
    <n v="6629"/>
    <s v="USD"/>
    <n v="6629"/>
    <s v="Engineer"/>
    <x v="2"/>
    <s v="Dominican Republic"/>
    <x v="42"/>
    <x v="1"/>
    <m/>
  </r>
  <r>
    <s v="ID0435"/>
    <d v="2012-05-26T02:34:37"/>
    <n v="90000"/>
    <s v="USD"/>
    <n v="90000"/>
    <s v="senior analyst"/>
    <x v="0"/>
    <s v="USA"/>
    <x v="2"/>
    <x v="3"/>
    <m/>
  </r>
  <r>
    <s v="ID0436"/>
    <d v="2012-05-26T02:35:10"/>
    <n v="8500"/>
    <s v="USD"/>
    <n v="8500"/>
    <s v="Assesor"/>
    <x v="0"/>
    <s v="Colombia"/>
    <x v="28"/>
    <x v="3"/>
    <m/>
  </r>
  <r>
    <s v="ID0437"/>
    <d v="2012-05-26T02:35:11"/>
    <n v="75000"/>
    <s v="USD"/>
    <n v="75000"/>
    <s v="Financial Analys"/>
    <x v="0"/>
    <s v="USA"/>
    <x v="2"/>
    <x v="0"/>
    <m/>
  </r>
  <r>
    <s v="ID0438"/>
    <d v="2012-05-26T02:37:50"/>
    <n v="72000"/>
    <s v="USD"/>
    <n v="72000"/>
    <s v="Sr. Information Systems Analyst"/>
    <x v="0"/>
    <s v="USA"/>
    <x v="2"/>
    <x v="2"/>
    <m/>
  </r>
  <r>
    <s v="ID0439"/>
    <d v="2012-05-26T02:38:34"/>
    <n v="65000"/>
    <s v="USD"/>
    <n v="65000"/>
    <s v="Senior Claims Analyst"/>
    <x v="0"/>
    <s v="USA"/>
    <x v="2"/>
    <x v="0"/>
    <m/>
  </r>
  <r>
    <s v="ID0440"/>
    <d v="2012-05-26T02:39:56"/>
    <n v="120000"/>
    <s v="USD"/>
    <n v="120000"/>
    <s v="Director"/>
    <x v="4"/>
    <s v="USA"/>
    <x v="2"/>
    <x v="3"/>
    <m/>
  </r>
  <r>
    <s v="ID0441"/>
    <d v="2012-05-26T02:40:39"/>
    <n v="4000000"/>
    <s v="INR"/>
    <n v="71231.666749770273"/>
    <s v="Sr Mgr Finance"/>
    <x v="5"/>
    <s v="India"/>
    <x v="0"/>
    <x v="1"/>
    <m/>
  </r>
  <r>
    <s v="ID0442"/>
    <d v="2012-05-26T02:42:20"/>
    <n v="300000"/>
    <s v="INR"/>
    <n v="5342.3750062327708"/>
    <s v="Web Portal Manager"/>
    <x v="3"/>
    <s v="India"/>
    <x v="0"/>
    <x v="0"/>
    <m/>
  </r>
  <r>
    <s v="ID0443"/>
    <d v="2012-05-26T02:43:21"/>
    <n v="1100000"/>
    <s v="INR"/>
    <n v="19588.708356186824"/>
    <s v="manager - MIS &amp; operations planning"/>
    <x v="3"/>
    <s v="India"/>
    <x v="0"/>
    <x v="0"/>
    <m/>
  </r>
  <r>
    <s v="ID0444"/>
    <d v="2012-05-26T02:46:18"/>
    <n v="80000"/>
    <s v="USD"/>
    <n v="80000"/>
    <s v="web analyst"/>
    <x v="0"/>
    <s v="USA"/>
    <x v="2"/>
    <x v="0"/>
    <m/>
  </r>
  <r>
    <s v="ID0445"/>
    <d v="2012-05-26T02:46:56"/>
    <n v="3000000"/>
    <s v="INR"/>
    <n v="53423.750062327701"/>
    <s v="Management Consultant"/>
    <x v="3"/>
    <s v="India"/>
    <x v="0"/>
    <x v="0"/>
    <m/>
  </r>
  <r>
    <s v="ID0446"/>
    <d v="2012-05-26T02:48:32"/>
    <n v="110000"/>
    <s v="CAD"/>
    <n v="108169.76753333595"/>
    <s v="Continuos improvment"/>
    <x v="1"/>
    <s v="Canad"/>
    <x v="17"/>
    <x v="2"/>
    <m/>
  </r>
  <r>
    <s v="ID0447"/>
    <d v="2012-05-26T02:49:24"/>
    <n v="51000"/>
    <s v="USD"/>
    <n v="51000"/>
    <s v="Direct marketing manager"/>
    <x v="3"/>
    <s v="USA"/>
    <x v="2"/>
    <x v="2"/>
    <m/>
  </r>
  <r>
    <s v="ID0448"/>
    <d v="2012-05-26T02:50:16"/>
    <n v="5000"/>
    <s v="USD"/>
    <n v="5000"/>
    <s v="mis"/>
    <x v="7"/>
    <s v="India"/>
    <x v="0"/>
    <x v="0"/>
    <m/>
  </r>
  <r>
    <s v="ID0449"/>
    <d v="2012-05-26T02:53:29"/>
    <n v="74000"/>
    <s v="USD"/>
    <n v="74000"/>
    <s v="Engineer"/>
    <x v="2"/>
    <s v="USA"/>
    <x v="2"/>
    <x v="0"/>
    <m/>
  </r>
  <r>
    <s v="ID0450"/>
    <d v="2012-05-26T02:53:48"/>
    <n v="60000"/>
    <s v="GBP"/>
    <n v="94570.696324037053"/>
    <s v="Excel Consultant"/>
    <x v="8"/>
    <s v="UK"/>
    <x v="14"/>
    <x v="0"/>
    <m/>
  </r>
  <r>
    <s v="ID0451"/>
    <d v="2012-05-26T02:55:27"/>
    <n v="50000"/>
    <s v="USD"/>
    <n v="50000"/>
    <s v="Wine Analyst"/>
    <x v="0"/>
    <s v="USA"/>
    <x v="2"/>
    <x v="0"/>
    <m/>
  </r>
  <r>
    <s v="ID0452"/>
    <d v="2012-05-26T02:55:29"/>
    <n v="500000"/>
    <s v="INR"/>
    <n v="8903.9583437212841"/>
    <s v="Business Analyst"/>
    <x v="0"/>
    <s v="India"/>
    <x v="0"/>
    <x v="0"/>
    <m/>
  </r>
  <r>
    <s v="ID0453"/>
    <d v="2012-05-26T02:57:32"/>
    <n v="78000"/>
    <s v="USD"/>
    <n v="78000"/>
    <s v="FinanceManager"/>
    <x v="3"/>
    <s v="Somalia"/>
    <x v="43"/>
    <x v="0"/>
    <m/>
  </r>
  <r>
    <s v="ID0454"/>
    <d v="2012-05-26T02:57:47"/>
    <n v="900000"/>
    <s v="INR"/>
    <n v="16027.125018698311"/>
    <s v="Regional Manager"/>
    <x v="3"/>
    <s v="India"/>
    <x v="0"/>
    <x v="3"/>
    <m/>
  </r>
  <r>
    <s v="ID0455"/>
    <d v="2012-05-26T03:01:31"/>
    <n v="7500"/>
    <s v="USD"/>
    <n v="7500"/>
    <s v="HR reporting analyst"/>
    <x v="0"/>
    <s v="Romania"/>
    <x v="38"/>
    <x v="1"/>
    <m/>
  </r>
  <r>
    <s v="ID0456"/>
    <d v="2012-05-26T03:01:42"/>
    <n v="60000"/>
    <s v="USD"/>
    <n v="60000"/>
    <s v="Finalcial Reporting Analyst"/>
    <x v="0"/>
    <s v="USA"/>
    <x v="2"/>
    <x v="1"/>
    <m/>
  </r>
  <r>
    <s v="ID0457"/>
    <d v="2012-05-26T03:02:42"/>
    <n v="800000"/>
    <s v="INR"/>
    <n v="14246.333349954055"/>
    <s v="Partner"/>
    <x v="4"/>
    <s v="India"/>
    <x v="0"/>
    <x v="1"/>
    <m/>
  </r>
  <r>
    <s v="ID0458"/>
    <d v="2012-05-26T03:03:09"/>
    <n v="80000"/>
    <s v="USD"/>
    <n v="80000"/>
    <s v="operations tech"/>
    <x v="3"/>
    <s v="USA"/>
    <x v="2"/>
    <x v="3"/>
    <m/>
  </r>
  <r>
    <s v="ID0459"/>
    <d v="2012-05-26T03:03:29"/>
    <n v="38000"/>
    <s v="GBP"/>
    <n v="59894.774338556796"/>
    <s v="Commercial Accountant"/>
    <x v="5"/>
    <s v="UK"/>
    <x v="14"/>
    <x v="0"/>
    <m/>
  </r>
  <r>
    <s v="ID0460"/>
    <d v="2012-05-26T03:04:06"/>
    <n v="52000"/>
    <s v="CAD"/>
    <n v="51134.799197576998"/>
    <s v="Office Manager"/>
    <x v="3"/>
    <s v="Canada"/>
    <x v="17"/>
    <x v="0"/>
    <m/>
  </r>
  <r>
    <s v="ID0461"/>
    <d v="2012-05-26T03:06:16"/>
    <n v="125000"/>
    <s v="USD"/>
    <n v="125000"/>
    <s v="Prod Mgr"/>
    <x v="3"/>
    <s v="USA"/>
    <x v="2"/>
    <x v="2"/>
    <m/>
  </r>
  <r>
    <s v="ID0462"/>
    <d v="2012-05-26T03:06:37"/>
    <n v="52000"/>
    <s v="USD"/>
    <n v="52000"/>
    <s v="Graphics/Web Document Designer"/>
    <x v="0"/>
    <s v="USA"/>
    <x v="2"/>
    <x v="2"/>
    <m/>
  </r>
  <r>
    <s v="ID0463"/>
    <d v="2012-05-26T03:07:46"/>
    <n v="45000"/>
    <s v="USD"/>
    <n v="45000"/>
    <s v="Analyst"/>
    <x v="0"/>
    <s v="USA"/>
    <x v="2"/>
    <x v="0"/>
    <m/>
  </r>
  <r>
    <s v="ID0464"/>
    <d v="2012-05-26T03:08:28"/>
    <n v="25000"/>
    <s v="GBP"/>
    <n v="39404.456801682099"/>
    <s v="Analyst"/>
    <x v="0"/>
    <s v="UK"/>
    <x v="14"/>
    <x v="0"/>
    <m/>
  </r>
  <r>
    <s v="ID0465"/>
    <d v="2012-05-26T03:09:43"/>
    <n v="60000"/>
    <s v="USD"/>
    <n v="60000"/>
    <s v="Business intelligence manager"/>
    <x v="3"/>
    <s v="USA"/>
    <x v="2"/>
    <x v="1"/>
    <m/>
  </r>
  <r>
    <s v="ID0466"/>
    <d v="2012-05-26T03:09:49"/>
    <n v="70000"/>
    <s v="CAD"/>
    <n v="68835.306612122877"/>
    <s v="Program Manager"/>
    <x v="3"/>
    <s v="Canada"/>
    <x v="17"/>
    <x v="3"/>
    <m/>
  </r>
  <r>
    <s v="ID0467"/>
    <d v="2012-05-26T03:11:21"/>
    <n v="5250"/>
    <s v="USD"/>
    <n v="5250"/>
    <s v="Treasure Specialist"/>
    <x v="6"/>
    <s v="Republic of Georgia"/>
    <x v="44"/>
    <x v="0"/>
    <m/>
  </r>
  <r>
    <s v="ID0468"/>
    <d v="2012-05-26T03:11:44"/>
    <n v="87000"/>
    <s v="CAD"/>
    <n v="85552.452503638444"/>
    <s v="Business Manager"/>
    <x v="3"/>
    <s v="Canada"/>
    <x v="17"/>
    <x v="0"/>
    <m/>
  </r>
  <r>
    <s v="ID0469"/>
    <d v="2012-05-26T03:13:13"/>
    <n v="125000"/>
    <s v="INR"/>
    <n v="2225.989585930321"/>
    <s v="clerk"/>
    <x v="0"/>
    <s v="India"/>
    <x v="0"/>
    <x v="0"/>
    <m/>
  </r>
  <r>
    <s v="ID0470"/>
    <d v="2012-05-26T03:14:44"/>
    <n v="150000"/>
    <s v="USD"/>
    <n v="150000"/>
    <s v="CFO"/>
    <x v="4"/>
    <s v="USA"/>
    <x v="2"/>
    <x v="2"/>
    <m/>
  </r>
  <r>
    <s v="ID0471"/>
    <d v="2012-05-26T03:15:01"/>
    <n v="50000"/>
    <s v="USD"/>
    <n v="50000"/>
    <s v="Researcher &amp; Data Analyst"/>
    <x v="0"/>
    <s v="USA"/>
    <x v="2"/>
    <x v="0"/>
    <m/>
  </r>
  <r>
    <s v="ID0472"/>
    <d v="2012-05-26T03:15:04"/>
    <n v="70000"/>
    <s v="USD"/>
    <n v="70000"/>
    <s v="Analyst"/>
    <x v="0"/>
    <s v="USA"/>
    <x v="2"/>
    <x v="0"/>
    <m/>
  </r>
  <r>
    <s v="ID0473"/>
    <d v="2012-05-26T03:15:30"/>
    <n v="28500"/>
    <s v="GBP"/>
    <n v="44921.080753917595"/>
    <s v="Data Quality &amp; Analysis Manager"/>
    <x v="3"/>
    <s v="UK"/>
    <x v="14"/>
    <x v="2"/>
    <m/>
  </r>
  <r>
    <s v="ID0474"/>
    <d v="2012-05-26T03:15:50"/>
    <n v="20000"/>
    <s v="USD"/>
    <n v="20000"/>
    <s v="Specialist"/>
    <x v="6"/>
    <s v="India"/>
    <x v="0"/>
    <x v="0"/>
    <m/>
  </r>
  <r>
    <s v="ID0476"/>
    <d v="2012-05-26T03:16:58"/>
    <n v="12000"/>
    <s v="USD"/>
    <n v="12000"/>
    <s v="Resource managment Analyst"/>
    <x v="0"/>
    <s v="Estonia"/>
    <x v="45"/>
    <x v="1"/>
    <m/>
  </r>
  <r>
    <s v="ID0477"/>
    <d v="2012-05-26T03:17:19"/>
    <n v="1250000"/>
    <s v="CAD"/>
    <n v="1229201.9037879086"/>
    <s v="Account Executive"/>
    <x v="5"/>
    <s v="Canada"/>
    <x v="17"/>
    <x v="0"/>
    <m/>
  </r>
  <r>
    <s v="ID0478"/>
    <d v="2012-05-26T03:19:00"/>
    <n v="30000"/>
    <s v="USD"/>
    <n v="30000"/>
    <s v="video production"/>
    <x v="0"/>
    <s v="USA"/>
    <x v="2"/>
    <x v="4"/>
    <m/>
  </r>
  <r>
    <s v="ID0479"/>
    <d v="2012-05-26T03:21:26"/>
    <n v="24000"/>
    <s v="USD"/>
    <n v="24000"/>
    <s v="engineer"/>
    <x v="2"/>
    <s v="mozambique"/>
    <x v="46"/>
    <x v="2"/>
    <m/>
  </r>
  <r>
    <s v="ID0480"/>
    <d v="2012-05-26T03:21:55"/>
    <n v="92000"/>
    <s v="USD"/>
    <n v="92000"/>
    <s v="principal engineer"/>
    <x v="2"/>
    <s v="USA"/>
    <x v="2"/>
    <x v="3"/>
    <m/>
  </r>
  <r>
    <s v="ID0481"/>
    <d v="2012-05-26T03:22:33"/>
    <n v="52000"/>
    <s v="USD"/>
    <n v="52000"/>
    <s v="budget analyst"/>
    <x v="0"/>
    <s v="USA"/>
    <x v="2"/>
    <x v="0"/>
    <m/>
  </r>
  <r>
    <s v="ID0482"/>
    <d v="2012-05-26T03:23:51"/>
    <n v="169000"/>
    <s v="USD"/>
    <n v="169000"/>
    <s v="Category Director (Marketing)"/>
    <x v="4"/>
    <s v="USA"/>
    <x v="2"/>
    <x v="2"/>
    <m/>
  </r>
  <r>
    <s v="ID0484"/>
    <d v="2012-05-26T03:25:57"/>
    <n v="110000"/>
    <s v="USD"/>
    <n v="110000"/>
    <s v="Senior consultant accounting"/>
    <x v="5"/>
    <s v="Norway"/>
    <x v="47"/>
    <x v="2"/>
    <m/>
  </r>
  <r>
    <s v="ID0485"/>
    <d v="2012-05-26T03:27:56"/>
    <n v="1080000"/>
    <s v="ZAR"/>
    <n v="131675.52225194403"/>
    <s v="Finance manager"/>
    <x v="3"/>
    <s v="South africa"/>
    <x v="11"/>
    <x v="2"/>
    <m/>
  </r>
  <r>
    <s v="ID0486"/>
    <d v="2012-05-26T03:30:42"/>
    <n v="59000"/>
    <s v="GBP"/>
    <n v="92994.518051969761"/>
    <s v="Health and safety advisor"/>
    <x v="8"/>
    <s v="UK"/>
    <x v="14"/>
    <x v="2"/>
    <m/>
  </r>
  <r>
    <s v="ID0487"/>
    <d v="2012-05-26T03:31:34"/>
    <n v="50000"/>
    <s v="USD"/>
    <n v="50000"/>
    <s v="Workforce Analyst"/>
    <x v="0"/>
    <s v="USA"/>
    <x v="2"/>
    <x v="0"/>
    <m/>
  </r>
  <r>
    <s v="ID0488"/>
    <d v="2012-05-26T03:32:13"/>
    <n v="65000"/>
    <s v="USD"/>
    <n v="65000"/>
    <s v="Business Systems Analyst"/>
    <x v="0"/>
    <s v="USA"/>
    <x v="2"/>
    <x v="2"/>
    <m/>
  </r>
  <r>
    <s v="ID0489"/>
    <d v="2012-05-26T03:32:53"/>
    <n v="46000"/>
    <s v="CAD"/>
    <n v="45234.630059395036"/>
    <s v="Sr. Marketing Solutions Analyst"/>
    <x v="0"/>
    <s v="Canada"/>
    <x v="17"/>
    <x v="1"/>
    <m/>
  </r>
  <r>
    <s v="ID0490"/>
    <d v="2012-05-26T03:33:32"/>
    <n v="55000"/>
    <s v="USD"/>
    <n v="55000"/>
    <s v="Analyst"/>
    <x v="0"/>
    <s v="USA"/>
    <x v="2"/>
    <x v="2"/>
    <m/>
  </r>
  <r>
    <s v="ID0491"/>
    <d v="2012-05-26T03:34:04"/>
    <n v="20000"/>
    <s v="USD"/>
    <n v="20000"/>
    <s v="Consultant"/>
    <x v="8"/>
    <s v="India"/>
    <x v="0"/>
    <x v="2"/>
    <m/>
  </r>
  <r>
    <s v="ID0492"/>
    <d v="2012-05-26T03:34:15"/>
    <n v="6000"/>
    <s v="USD"/>
    <n v="6000"/>
    <s v="MIS"/>
    <x v="7"/>
    <s v="India"/>
    <x v="0"/>
    <x v="1"/>
    <m/>
  </r>
  <r>
    <s v="ID0493"/>
    <d v="2012-05-26T03:37:33"/>
    <n v="190000"/>
    <s v="GBP"/>
    <n v="299473.87169278396"/>
    <s v="Managing Partner"/>
    <x v="4"/>
    <s v="UK"/>
    <x v="14"/>
    <x v="0"/>
    <m/>
  </r>
  <r>
    <s v="ID0494"/>
    <d v="2012-05-26T03:37:46"/>
    <n v="28164"/>
    <s v="GBP"/>
    <n v="44391.484854502989"/>
    <s v="Administration Officer"/>
    <x v="3"/>
    <s v="UK"/>
    <x v="14"/>
    <x v="0"/>
    <m/>
  </r>
  <r>
    <s v="ID0495"/>
    <d v="2012-05-26T03:40:26"/>
    <n v="40000"/>
    <s v="USD"/>
    <n v="40000"/>
    <s v="BAS"/>
    <x v="0"/>
    <s v="USA"/>
    <x v="2"/>
    <x v="2"/>
    <m/>
  </r>
  <r>
    <s v="ID0496"/>
    <d v="2012-05-26T03:48:42"/>
    <n v="108000"/>
    <s v="USD"/>
    <n v="108000"/>
    <s v="Manager"/>
    <x v="3"/>
    <s v="Norway"/>
    <x v="47"/>
    <x v="0"/>
    <m/>
  </r>
  <r>
    <s v="ID0497"/>
    <d v="2012-05-26T03:49:21"/>
    <n v="200000"/>
    <s v="INR"/>
    <n v="3561.5833374885137"/>
    <s v="chemist"/>
    <x v="0"/>
    <s v="India"/>
    <x v="0"/>
    <x v="2"/>
    <m/>
  </r>
  <r>
    <s v="ID0498"/>
    <d v="2012-05-26T03:50:24"/>
    <n v="84000"/>
    <s v="USD"/>
    <n v="84000"/>
    <s v="Senior Analyst"/>
    <x v="0"/>
    <s v="USA"/>
    <x v="2"/>
    <x v="1"/>
    <m/>
  </r>
  <r>
    <s v="ID0499"/>
    <d v="2012-05-26T03:52:24"/>
    <n v="33000"/>
    <s v="GBP"/>
    <n v="52013.882978220376"/>
    <s v="LOGISTIC MANAGER"/>
    <x v="3"/>
    <s v="UK"/>
    <x v="14"/>
    <x v="0"/>
    <m/>
  </r>
  <r>
    <s v="ID0500"/>
    <d v="2012-05-26T03:53:29"/>
    <n v="720000"/>
    <s v="INR"/>
    <n v="12821.700014958649"/>
    <s v="Manager Finance"/>
    <x v="3"/>
    <s v="India"/>
    <x v="0"/>
    <x v="2"/>
    <m/>
  </r>
  <r>
    <s v="ID0501"/>
    <d v="2012-05-26T04:00:21"/>
    <n v="68500"/>
    <s v="CAD"/>
    <n v="67360.264327577388"/>
    <s v="Financial Analyst"/>
    <x v="0"/>
    <s v="Canada"/>
    <x v="17"/>
    <x v="0"/>
    <m/>
  </r>
  <r>
    <s v="ID0502"/>
    <d v="2012-05-26T04:01:45"/>
    <n v="23000"/>
    <s v="USD"/>
    <n v="23000"/>
    <s v="IT solutions coordinator"/>
    <x v="3"/>
    <s v="Hungary"/>
    <x v="9"/>
    <x v="0"/>
    <m/>
  </r>
  <r>
    <s v="ID0503"/>
    <d v="2012-05-26T04:01:59"/>
    <n v="58000"/>
    <s v="GBP"/>
    <n v="91418.339779902482"/>
    <s v="Business Modeller"/>
    <x v="3"/>
    <s v="UK"/>
    <x v="14"/>
    <x v="1"/>
    <m/>
  </r>
  <r>
    <s v="ID0504"/>
    <d v="2012-05-26T04:03:33"/>
    <n v="77000"/>
    <s v="USD"/>
    <n v="77000"/>
    <s v="Senior Financial Analyst"/>
    <x v="0"/>
    <s v="USA"/>
    <x v="2"/>
    <x v="1"/>
    <m/>
  </r>
  <r>
    <s v="ID0505"/>
    <d v="2012-05-26T04:05:08"/>
    <n v="100000"/>
    <s v="USD"/>
    <n v="100000"/>
    <s v="Analyst"/>
    <x v="0"/>
    <s v="USA"/>
    <x v="2"/>
    <x v="0"/>
    <m/>
  </r>
  <r>
    <s v="ID0506"/>
    <d v="2012-05-26T04:10:53"/>
    <n v="55500"/>
    <s v="USD"/>
    <n v="55500"/>
    <s v="Sr QS"/>
    <x v="1"/>
    <s v="UAE"/>
    <x v="21"/>
    <x v="0"/>
    <m/>
  </r>
  <r>
    <s v="ID0507"/>
    <d v="2012-05-26T04:12:16"/>
    <n v="15000"/>
    <s v="EUR"/>
    <n v="19055.991584874118"/>
    <s v="Report Analyst"/>
    <x v="0"/>
    <s v="Spain"/>
    <x v="48"/>
    <x v="1"/>
    <m/>
  </r>
  <r>
    <s v="ID0508"/>
    <d v="2012-05-26T04:13:54"/>
    <n v="600000"/>
    <s v="INR"/>
    <n v="10684.750012465542"/>
    <s v="Business Co ordinator"/>
    <x v="3"/>
    <s v="India"/>
    <x v="0"/>
    <x v="0"/>
    <m/>
  </r>
  <r>
    <s v="ID0509"/>
    <d v="2012-05-26T04:14:27"/>
    <n v="8400"/>
    <s v="USD"/>
    <n v="8400"/>
    <s v="Manager"/>
    <x v="3"/>
    <s v="India"/>
    <x v="0"/>
    <x v="0"/>
    <m/>
  </r>
  <r>
    <s v="ID0510"/>
    <d v="2012-05-26T04:16:16"/>
    <n v="500000"/>
    <s v="INR"/>
    <n v="8903.9583437212841"/>
    <s v="duty manager"/>
    <x v="3"/>
    <s v="India"/>
    <x v="0"/>
    <x v="2"/>
    <m/>
  </r>
  <r>
    <s v="ID0511"/>
    <d v="2012-05-26T04:17:20"/>
    <n v="12000"/>
    <s v="USD"/>
    <n v="12000"/>
    <s v="Report Analyst"/>
    <x v="0"/>
    <s v="Brazil"/>
    <x v="24"/>
    <x v="1"/>
    <m/>
  </r>
  <r>
    <s v="ID0512"/>
    <d v="2012-05-26T04:18:15"/>
    <n v="65000"/>
    <s v="USD"/>
    <n v="65000"/>
    <s v="Retail Store Manager"/>
    <x v="3"/>
    <s v="USA"/>
    <x v="2"/>
    <x v="1"/>
    <m/>
  </r>
  <r>
    <s v="ID0513"/>
    <d v="2012-05-26T04:19:05"/>
    <n v="16400"/>
    <s v="GBP"/>
    <n v="25849.323661903458"/>
    <s v="Job Build analyst"/>
    <x v="0"/>
    <s v="UK"/>
    <x v="14"/>
    <x v="0"/>
    <m/>
  </r>
  <r>
    <s v="ID0514"/>
    <d v="2012-05-26T04:20:17"/>
    <n v="78000"/>
    <s v="GBP"/>
    <n v="122941.90522124816"/>
    <s v="Associate"/>
    <x v="0"/>
    <s v="UK"/>
    <x v="14"/>
    <x v="3"/>
    <m/>
  </r>
  <r>
    <s v="ID0515"/>
    <d v="2012-05-26T04:25:24"/>
    <n v="76000"/>
    <s v="USD"/>
    <n v="76000"/>
    <s v="Accounting Manager"/>
    <x v="3"/>
    <s v="USA"/>
    <x v="2"/>
    <x v="2"/>
    <m/>
  </r>
  <r>
    <s v="ID0516"/>
    <d v="2012-05-26T04:26:10"/>
    <n v="150000"/>
    <s v="USD"/>
    <n v="150000"/>
    <s v="Consultant"/>
    <x v="8"/>
    <s v="USA"/>
    <x v="2"/>
    <x v="1"/>
    <m/>
  </r>
  <r>
    <s v="ID0517"/>
    <d v="2012-05-26T04:27:12"/>
    <n v="54000"/>
    <s v="USD"/>
    <n v="54000"/>
    <s v="Business Analyst"/>
    <x v="0"/>
    <s v="USA"/>
    <x v="2"/>
    <x v="0"/>
    <m/>
  </r>
  <r>
    <s v="ID0518"/>
    <d v="2012-05-26T04:33:03"/>
    <n v="57000"/>
    <s v="USD"/>
    <n v="57000"/>
    <s v="project finance manager"/>
    <x v="3"/>
    <s v="israel"/>
    <x v="35"/>
    <x v="0"/>
    <m/>
  </r>
  <r>
    <s v="ID0519"/>
    <d v="2012-05-26T04:33:27"/>
    <n v="61000"/>
    <s v="USD"/>
    <n v="61000"/>
    <s v="Senior Accountant"/>
    <x v="5"/>
    <s v="USA"/>
    <x v="2"/>
    <x v="0"/>
    <m/>
  </r>
  <r>
    <s v="ID0520"/>
    <d v="2012-05-26T04:34:41"/>
    <n v="70000"/>
    <s v="USD"/>
    <n v="70000"/>
    <s v="Metrics Analyst"/>
    <x v="0"/>
    <s v="USA"/>
    <x v="2"/>
    <x v="1"/>
    <m/>
  </r>
  <r>
    <s v="ID0521"/>
    <d v="2012-05-26T04:36:43"/>
    <n v="15000"/>
    <s v="USD"/>
    <n v="15000"/>
    <s v="Asst.Manager"/>
    <x v="3"/>
    <s v="India"/>
    <x v="0"/>
    <x v="0"/>
    <m/>
  </r>
  <r>
    <s v="ID0522"/>
    <d v="2012-05-26T04:39:11"/>
    <n v="87550"/>
    <s v="CAD"/>
    <n v="86093.301341305123"/>
    <s v="Manager"/>
    <x v="3"/>
    <s v="Canada"/>
    <x v="17"/>
    <x v="0"/>
    <m/>
  </r>
  <r>
    <s v="ID0523"/>
    <d v="2012-05-26T04:40:36"/>
    <n v="72600"/>
    <s v="USD"/>
    <n v="72600"/>
    <s v="Accounting Operations Manager"/>
    <x v="3"/>
    <s v="USA"/>
    <x v="2"/>
    <x v="2"/>
    <m/>
  </r>
  <r>
    <s v="ID0524"/>
    <d v="2012-05-26T04:41:20"/>
    <n v="100000"/>
    <s v="USD"/>
    <n v="100000"/>
    <s v="Director"/>
    <x v="4"/>
    <s v="USA"/>
    <x v="2"/>
    <x v="2"/>
    <m/>
  </r>
  <r>
    <s v="ID0525"/>
    <d v="2012-05-26T04:44:26"/>
    <n v="104000"/>
    <s v="USD"/>
    <n v="104000"/>
    <s v="Vice President, Analyst"/>
    <x v="0"/>
    <s v="USA"/>
    <x v="2"/>
    <x v="0"/>
    <m/>
  </r>
  <r>
    <s v="ID0526"/>
    <d v="2012-05-26T04:48:35"/>
    <n v="600000"/>
    <s v="INR"/>
    <n v="10684.750012465542"/>
    <s v="Project Manager"/>
    <x v="3"/>
    <s v="India"/>
    <x v="0"/>
    <x v="0"/>
    <m/>
  </r>
  <r>
    <s v="ID0527"/>
    <d v="2012-05-26T04:48:54"/>
    <n v="200000"/>
    <s v="USD"/>
    <n v="200000"/>
    <s v="COO"/>
    <x v="4"/>
    <s v="USA"/>
    <x v="2"/>
    <x v="2"/>
    <m/>
  </r>
  <r>
    <s v="ID0528"/>
    <d v="2012-05-26T04:50:21"/>
    <n v="49248"/>
    <s v="EUR"/>
    <n v="62564.631571458704"/>
    <s v="Financial Advisor"/>
    <x v="5"/>
    <s v="Netherlands"/>
    <x v="18"/>
    <x v="1"/>
    <m/>
  </r>
  <r>
    <s v="ID0529"/>
    <d v="2012-05-26T04:50:47"/>
    <n v="36500"/>
    <s v="GBP"/>
    <n v="57530.506930455871"/>
    <s v="Production Manager"/>
    <x v="3"/>
    <s v="UK"/>
    <x v="14"/>
    <x v="2"/>
    <m/>
  </r>
  <r>
    <s v="ID0530"/>
    <d v="2012-05-26T05:00:21"/>
    <n v="82300"/>
    <s v="USD"/>
    <n v="82300"/>
    <s v="Manager - Finance"/>
    <x v="3"/>
    <s v="USA"/>
    <x v="2"/>
    <x v="2"/>
    <m/>
  </r>
  <r>
    <s v="ID0531"/>
    <d v="2012-05-26T05:04:49"/>
    <n v="95000"/>
    <s v="USD"/>
    <n v="95000"/>
    <s v="Process Design Consultant"/>
    <x v="8"/>
    <s v="USA"/>
    <x v="2"/>
    <x v="0"/>
    <m/>
  </r>
  <r>
    <s v="ID0532"/>
    <d v="2012-05-26T05:07:30"/>
    <n v="140000"/>
    <s v="GBP"/>
    <n v="220664.95808941979"/>
    <s v="vba specialist"/>
    <x v="6"/>
    <s v="UK"/>
    <x v="14"/>
    <x v="1"/>
    <m/>
  </r>
  <r>
    <s v="ID0533"/>
    <d v="2012-05-26T05:13:03"/>
    <n v="72000"/>
    <s v="USD"/>
    <n v="72000"/>
    <s v="Analytical Department Director "/>
    <x v="0"/>
    <s v="Russia"/>
    <x v="13"/>
    <x v="2"/>
    <m/>
  </r>
  <r>
    <s v="ID0534"/>
    <d v="2012-05-26T05:15:54"/>
    <n v="60000"/>
    <s v="AUD"/>
    <n v="61194.579384158147"/>
    <s v="Analyst"/>
    <x v="0"/>
    <s v="Australia"/>
    <x v="16"/>
    <x v="2"/>
    <m/>
  </r>
  <r>
    <s v="ID0535"/>
    <d v="2012-05-26T05:18:12"/>
    <n v="120000"/>
    <s v="USD"/>
    <n v="120000"/>
    <s v="manager"/>
    <x v="3"/>
    <s v="nz"/>
    <x v="49"/>
    <x v="2"/>
    <m/>
  </r>
  <r>
    <s v="ID0536"/>
    <d v="2012-05-26T05:18:27"/>
    <n v="95000"/>
    <s v="USD"/>
    <n v="95000"/>
    <s v="Director of Supply Chain"/>
    <x v="4"/>
    <s v="Central America"/>
    <x v="50"/>
    <x v="2"/>
    <m/>
  </r>
  <r>
    <s v="ID0537"/>
    <d v="2012-05-26T05:20:43"/>
    <n v="50000"/>
    <s v="USD"/>
    <n v="50000"/>
    <s v="Research Assistant"/>
    <x v="0"/>
    <s v="USA"/>
    <x v="2"/>
    <x v="2"/>
    <m/>
  </r>
  <r>
    <s v="ID0538"/>
    <d v="2012-05-26T05:23:20"/>
    <n v="73000"/>
    <s v="GBP"/>
    <n v="115061.01386091174"/>
    <s v="Finance Manager"/>
    <x v="3"/>
    <s v="UK"/>
    <x v="14"/>
    <x v="0"/>
    <m/>
  </r>
  <r>
    <s v="ID0539"/>
    <d v="2012-05-26T05:24:16"/>
    <n v="50000"/>
    <s v="USD"/>
    <n v="50000"/>
    <s v="Excel professional"/>
    <x v="0"/>
    <s v="self-employed"/>
    <x v="51"/>
    <x v="0"/>
    <m/>
  </r>
  <r>
    <s v="ID0540"/>
    <d v="2012-05-26T05:27:14"/>
    <n v="46000"/>
    <s v="USD"/>
    <n v="46000"/>
    <s v="Research Analyst"/>
    <x v="0"/>
    <s v="USA"/>
    <x v="2"/>
    <x v="2"/>
    <m/>
  </r>
  <r>
    <s v="ID0541"/>
    <d v="2012-05-26T05:27:37"/>
    <n v="600000"/>
    <s v="PKR"/>
    <n v="6368.453230079479"/>
    <s v="Trainer"/>
    <x v="8"/>
    <s v="Pakistan"/>
    <x v="3"/>
    <x v="0"/>
    <m/>
  </r>
  <r>
    <s v="ID0543"/>
    <d v="2012-05-26T05:28:46"/>
    <n v="85000"/>
    <s v="AUD"/>
    <n v="86692.320794224041"/>
    <s v="Business analyst"/>
    <x v="0"/>
    <s v="Australia"/>
    <x v="16"/>
    <x v="0"/>
    <m/>
  </r>
  <r>
    <s v="ID0544"/>
    <d v="2012-05-26T05:29:55"/>
    <n v="450000"/>
    <s v="INR"/>
    <n v="8013.5625093491553"/>
    <s v="deputy manager"/>
    <x v="3"/>
    <s v="India"/>
    <x v="0"/>
    <x v="1"/>
    <m/>
  </r>
  <r>
    <s v="ID0545"/>
    <d v="2012-05-26T05:29:58"/>
    <n v="43000"/>
    <s v="USD"/>
    <n v="43000"/>
    <s v="Accountant"/>
    <x v="5"/>
    <s v="USA"/>
    <x v="2"/>
    <x v="1"/>
    <m/>
  </r>
  <r>
    <s v="ID0546"/>
    <d v="2012-05-26T05:30:12"/>
    <n v="18000"/>
    <s v="USD"/>
    <n v="18000"/>
    <s v="Engineer"/>
    <x v="2"/>
    <s v="Brazil"/>
    <x v="24"/>
    <x v="0"/>
    <m/>
  </r>
  <r>
    <s v="ID0547"/>
    <d v="2012-05-26T05:31:06"/>
    <n v="55000"/>
    <s v="USD"/>
    <n v="55000"/>
    <s v="Marketing"/>
    <x v="0"/>
    <s v="USA"/>
    <x v="2"/>
    <x v="2"/>
    <m/>
  </r>
  <r>
    <s v="ID0548"/>
    <d v="2012-05-26T05:31:25"/>
    <n v="500000"/>
    <s v="INR"/>
    <n v="8903.9583437212841"/>
    <s v="Research Associate"/>
    <x v="0"/>
    <s v="India"/>
    <x v="0"/>
    <x v="1"/>
    <m/>
  </r>
  <r>
    <s v="ID0549"/>
    <d v="2012-05-26T05:33:43"/>
    <n v="45000"/>
    <s v="USD"/>
    <n v="45000"/>
    <s v="Reports Coordinator"/>
    <x v="7"/>
    <s v="USA"/>
    <x v="2"/>
    <x v="1"/>
    <m/>
  </r>
  <r>
    <s v="ID0550"/>
    <d v="2012-05-26T05:35:00"/>
    <n v="50000"/>
    <s v="USD"/>
    <n v="50000"/>
    <s v="Quality Compliance Manager"/>
    <x v="3"/>
    <s v="USA"/>
    <x v="2"/>
    <x v="0"/>
    <m/>
  </r>
  <r>
    <s v="ID0551"/>
    <d v="2012-05-26T05:44:42"/>
    <n v="80000"/>
    <s v="USD"/>
    <n v="80000"/>
    <s v="Cost Analyst"/>
    <x v="0"/>
    <s v="USA"/>
    <x v="2"/>
    <x v="1"/>
    <m/>
  </r>
  <r>
    <s v="ID0552"/>
    <d v="2012-05-26T05:46:02"/>
    <n v="67000"/>
    <s v="USD"/>
    <n v="67000"/>
    <s v="Management Analyst"/>
    <x v="0"/>
    <s v="USA"/>
    <x v="2"/>
    <x v="0"/>
    <m/>
  </r>
  <r>
    <s v="ID0553"/>
    <d v="2012-05-26T05:46:42"/>
    <n v="111000"/>
    <s v="USD"/>
    <n v="111000"/>
    <s v="Senior Financial Analyst"/>
    <x v="0"/>
    <s v="Japan"/>
    <x v="52"/>
    <x v="1"/>
    <m/>
  </r>
  <r>
    <s v="ID0554"/>
    <d v="2012-05-26T05:48:10"/>
    <n v="120000"/>
    <s v="USD"/>
    <n v="120000"/>
    <s v="Director"/>
    <x v="4"/>
    <s v="USA"/>
    <x v="2"/>
    <x v="0"/>
    <m/>
  </r>
  <r>
    <s v="ID0555"/>
    <d v="2012-05-26T05:48:12"/>
    <n v="20000"/>
    <s v="GBP"/>
    <n v="31523.565441345683"/>
    <s v="IT Consultant"/>
    <x v="8"/>
    <s v="UK"/>
    <x v="14"/>
    <x v="0"/>
    <m/>
  </r>
  <r>
    <s v="ID0556"/>
    <d v="2012-05-26T05:50:21"/>
    <n v="77000"/>
    <s v="AUD"/>
    <n v="78533.043543002947"/>
    <s v="Intelligence Analyst"/>
    <x v="0"/>
    <s v="Australia"/>
    <x v="16"/>
    <x v="2"/>
    <m/>
  </r>
  <r>
    <s v="ID0557"/>
    <d v="2012-05-26T05:50:23"/>
    <n v="60000"/>
    <s v="USD"/>
    <n v="60000"/>
    <s v="Marketing Specialist"/>
    <x v="6"/>
    <s v="USA"/>
    <x v="2"/>
    <x v="3"/>
    <m/>
  </r>
  <r>
    <s v="ID0558"/>
    <d v="2012-05-26T05:50:26"/>
    <n v="35000"/>
    <s v="USD"/>
    <n v="35000"/>
    <s v="Analyst"/>
    <x v="0"/>
    <s v="USA"/>
    <x v="2"/>
    <x v="2"/>
    <m/>
  </r>
  <r>
    <s v="ID0559"/>
    <d v="2012-05-26T05:52:47"/>
    <n v="50000"/>
    <s v="EUR"/>
    <n v="63519.971949580387"/>
    <s v="Proyect Manager"/>
    <x v="3"/>
    <s v="Panama"/>
    <x v="23"/>
    <x v="2"/>
    <m/>
  </r>
  <r>
    <s v="ID0560"/>
    <d v="2012-05-26T05:55:22"/>
    <n v="54000"/>
    <s v="USD"/>
    <n v="54000"/>
    <s v="IT Specialist"/>
    <x v="6"/>
    <s v="USA"/>
    <x v="2"/>
    <x v="1"/>
    <n v="5"/>
  </r>
  <r>
    <s v="ID0561"/>
    <d v="2012-05-26T06:01:57"/>
    <n v="15600"/>
    <s v="USD"/>
    <n v="15600"/>
    <s v="CONTROLLER"/>
    <x v="1"/>
    <s v="BRA"/>
    <x v="24"/>
    <x v="0"/>
    <n v="20"/>
  </r>
  <r>
    <s v="ID0562"/>
    <d v="2012-05-26T06:08:23"/>
    <n v="35000"/>
    <s v="USD"/>
    <n v="35000"/>
    <s v="Technical Support Technician"/>
    <x v="0"/>
    <s v="USA"/>
    <x v="2"/>
    <x v="3"/>
    <n v="7"/>
  </r>
  <r>
    <s v="ID0563"/>
    <d v="2012-05-26T06:10:08"/>
    <n v="188000"/>
    <s v="USD"/>
    <n v="188000"/>
    <s v="Director, Supply Chain Operations"/>
    <x v="4"/>
    <s v="USA"/>
    <x v="2"/>
    <x v="3"/>
    <n v="20"/>
  </r>
  <r>
    <s v="ID0564"/>
    <d v="2012-05-26T06:14:13"/>
    <n v="27500"/>
    <s v="USD"/>
    <n v="27500"/>
    <s v="Associate"/>
    <x v="0"/>
    <s v="USA"/>
    <x v="2"/>
    <x v="1"/>
    <n v="1"/>
  </r>
  <r>
    <s v="ID0565"/>
    <d v="2012-05-26T06:20:38"/>
    <n v="140000"/>
    <s v="USD"/>
    <n v="140000"/>
    <s v="controller"/>
    <x v="1"/>
    <s v="USA"/>
    <x v="2"/>
    <x v="2"/>
    <n v="10"/>
  </r>
  <r>
    <s v="ID0566"/>
    <d v="2012-05-26T06:24:03"/>
    <n v="55000"/>
    <s v="EUR"/>
    <n v="69871.969144538423"/>
    <s v="Business analyst"/>
    <x v="0"/>
    <s v="Netherlands"/>
    <x v="18"/>
    <x v="1"/>
    <n v="6"/>
  </r>
  <r>
    <s v="ID0567"/>
    <d v="2012-05-26T06:40:59"/>
    <n v="45000"/>
    <s v="USD"/>
    <n v="45000"/>
    <s v="Workflow Analyst"/>
    <x v="0"/>
    <s v="USA"/>
    <x v="2"/>
    <x v="0"/>
    <n v="2"/>
  </r>
  <r>
    <s v="ID0568"/>
    <d v="2012-05-26T06:46:03"/>
    <n v="95000"/>
    <s v="USD"/>
    <n v="95000"/>
    <s v="Business Analyst"/>
    <x v="0"/>
    <s v="Australia"/>
    <x v="16"/>
    <x v="2"/>
    <n v="11"/>
  </r>
  <r>
    <s v="ID0569"/>
    <d v="2012-05-26T06:47:00"/>
    <n v="155000"/>
    <s v="AUD"/>
    <n v="158085.99674240855"/>
    <s v="Finance Manager Business Services"/>
    <x v="3"/>
    <s v="Australia"/>
    <x v="16"/>
    <x v="0"/>
    <n v="20"/>
  </r>
  <r>
    <s v="ID0570"/>
    <d v="2012-05-26T06:47:59"/>
    <n v="80000"/>
    <s v="NZD"/>
    <n v="63807.047488395103"/>
    <s v="Accountant/Analyst"/>
    <x v="0"/>
    <s v="New Zealand"/>
    <x v="49"/>
    <x v="0"/>
    <n v="23"/>
  </r>
  <r>
    <s v="ID0572"/>
    <d v="2012-05-26T06:50:23"/>
    <n v="38000"/>
    <s v="USD"/>
    <n v="38000"/>
    <s v="Costing Analysis"/>
    <x v="0"/>
    <s v="USA"/>
    <x v="2"/>
    <x v="1"/>
    <n v="11"/>
  </r>
  <r>
    <s v="ID0573"/>
    <d v="2012-05-26T06:54:40"/>
    <n v="90000"/>
    <s v="USD"/>
    <n v="90000"/>
    <s v="Sales Operations Supervisor"/>
    <x v="3"/>
    <s v="USA"/>
    <x v="2"/>
    <x v="0"/>
    <n v="6"/>
  </r>
  <r>
    <s v="ID0574"/>
    <d v="2012-05-26T06:57:09"/>
    <n v="28800"/>
    <s v="GBP"/>
    <n v="45393.934235537781"/>
    <s v="Finance Manager"/>
    <x v="3"/>
    <s v="UK"/>
    <x v="14"/>
    <x v="0"/>
    <n v="27"/>
  </r>
  <r>
    <s v="ID0575"/>
    <d v="2012-05-26T07:01:10"/>
    <n v="21000"/>
    <s v="GBP"/>
    <n v="33099.743713412965"/>
    <s v="Sales Analyst"/>
    <x v="0"/>
    <s v="UK"/>
    <x v="14"/>
    <x v="1"/>
    <n v="10"/>
  </r>
  <r>
    <s v="ID0576"/>
    <d v="2012-05-26T07:06:50"/>
    <n v="4285"/>
    <s v="USD"/>
    <n v="4285"/>
    <s v="Assistant"/>
    <x v="0"/>
    <s v="India"/>
    <x v="0"/>
    <x v="1"/>
    <n v="6"/>
  </r>
  <r>
    <s v="ID0577"/>
    <d v="2012-05-26T07:14:02"/>
    <n v="6000"/>
    <s v="USD"/>
    <n v="6000"/>
    <s v="In Charge"/>
    <x v="3"/>
    <s v="Guyana"/>
    <x v="53"/>
    <x v="3"/>
    <n v="20"/>
  </r>
  <r>
    <s v="ID0578"/>
    <d v="2012-05-26T07:15:48"/>
    <n v="22000"/>
    <s v="AUD"/>
    <n v="22438.012440857987"/>
    <s v="Sales Analyst"/>
    <x v="0"/>
    <s v="Australia"/>
    <x v="16"/>
    <x v="0"/>
    <n v="8"/>
  </r>
  <r>
    <s v="ID0579"/>
    <d v="2012-05-26T07:18:57"/>
    <n v="90000"/>
    <s v="USD"/>
    <n v="90000"/>
    <s v="Manager"/>
    <x v="3"/>
    <s v="USA"/>
    <x v="2"/>
    <x v="2"/>
    <n v="15"/>
  </r>
  <r>
    <s v="ID0580"/>
    <d v="2012-05-26T07:23:11"/>
    <n v="150000"/>
    <s v="USD"/>
    <n v="150000"/>
    <s v="CFO"/>
    <x v="4"/>
    <s v="USA"/>
    <x v="2"/>
    <x v="0"/>
    <n v="22"/>
  </r>
  <r>
    <s v="ID0581"/>
    <d v="2012-05-26T07:32:19"/>
    <n v="130000"/>
    <s v="AUD"/>
    <n v="132588.25533234264"/>
    <s v="Accountant"/>
    <x v="5"/>
    <s v="Australia"/>
    <x v="16"/>
    <x v="2"/>
    <n v="27"/>
  </r>
  <r>
    <s v="ID0582"/>
    <d v="2012-05-26T07:36:23"/>
    <n v="45000"/>
    <s v="USD"/>
    <n v="45000"/>
    <s v="business analyst"/>
    <x v="0"/>
    <s v="USA"/>
    <x v="2"/>
    <x v="0"/>
    <n v="3"/>
  </r>
  <r>
    <s v="ID0583"/>
    <d v="2012-05-26T07:37:53"/>
    <n v="50000"/>
    <s v="USD"/>
    <n v="50000"/>
    <s v="IT Specialist"/>
    <x v="6"/>
    <s v="USA"/>
    <x v="2"/>
    <x v="2"/>
    <n v="10"/>
  </r>
  <r>
    <s v="ID0584"/>
    <d v="2012-05-26T07:44:04"/>
    <n v="300000"/>
    <s v="USD"/>
    <n v="300000"/>
    <s v="CEO"/>
    <x v="4"/>
    <s v="USA"/>
    <x v="2"/>
    <x v="2"/>
    <n v="30"/>
  </r>
  <r>
    <s v="ID0585"/>
    <d v="2012-05-26T07:48:29"/>
    <n v="102000"/>
    <s v="AUD"/>
    <n v="104030.78495306884"/>
    <s v="coordinator lismore regional airport"/>
    <x v="3"/>
    <s v="Australia"/>
    <x v="16"/>
    <x v="3"/>
    <n v="10"/>
  </r>
  <r>
    <s v="ID0586"/>
    <d v="2012-05-26T07:50:50"/>
    <n v="115000"/>
    <s v="USD"/>
    <n v="115000"/>
    <s v="Mgr Op Excellence"/>
    <x v="3"/>
    <s v="USA"/>
    <x v="2"/>
    <x v="0"/>
    <n v="15"/>
  </r>
  <r>
    <s v="ID0587"/>
    <d v="2012-05-26T07:53:13"/>
    <n v="70000"/>
    <s v="USD"/>
    <n v="70000"/>
    <s v="Financial Analyst"/>
    <x v="0"/>
    <s v="USA"/>
    <x v="2"/>
    <x v="0"/>
    <n v="3"/>
  </r>
  <r>
    <s v="ID0588"/>
    <d v="2012-05-26T07:57:04"/>
    <n v="106000"/>
    <s v="AUD"/>
    <n v="108110.42357867939"/>
    <s v="Pricing and Strategy Specialist"/>
    <x v="6"/>
    <s v="Australia"/>
    <x v="16"/>
    <x v="0"/>
    <n v="16"/>
  </r>
  <r>
    <s v="ID0589"/>
    <d v="2012-05-26T08:01:44"/>
    <n v="75000"/>
    <s v="USD"/>
    <n v="75000"/>
    <s v="Sr. Human Resources Analyst"/>
    <x v="0"/>
    <s v="USA"/>
    <x v="2"/>
    <x v="2"/>
    <n v="25"/>
  </r>
  <r>
    <s v="ID0590"/>
    <d v="2012-05-26T08:05:23"/>
    <n v="40414"/>
    <s v="USD"/>
    <n v="40414"/>
    <s v="Performance Improvement Analyst"/>
    <x v="0"/>
    <s v="USA"/>
    <x v="2"/>
    <x v="0"/>
    <n v="8"/>
  </r>
  <r>
    <s v="ID0591"/>
    <d v="2012-05-26T08:05:39"/>
    <n v="65000"/>
    <s v="USD"/>
    <n v="65000"/>
    <s v="Data Analyst"/>
    <x v="0"/>
    <s v="USA"/>
    <x v="2"/>
    <x v="0"/>
    <n v="3"/>
  </r>
  <r>
    <s v="ID0592"/>
    <d v="2012-05-26T08:08:43"/>
    <n v="120000"/>
    <s v="USD"/>
    <n v="120000"/>
    <s v="Sr. Analyst"/>
    <x v="0"/>
    <s v="USA"/>
    <x v="2"/>
    <x v="1"/>
    <n v="7"/>
  </r>
  <r>
    <s v="ID0593"/>
    <d v="2012-05-26T08:10:43"/>
    <n v="96000"/>
    <s v="CNY"/>
    <n v="15092.18020692008"/>
    <s v="finance"/>
    <x v="5"/>
    <s v="china"/>
    <x v="54"/>
    <x v="0"/>
    <n v="10"/>
  </r>
  <r>
    <s v="ID0594"/>
    <d v="2012-05-26T08:17:53"/>
    <n v="36000"/>
    <s v="USD"/>
    <n v="36000"/>
    <s v="Consulting"/>
    <x v="8"/>
    <s v="Russia"/>
    <x v="13"/>
    <x v="1"/>
    <n v="10"/>
  </r>
  <r>
    <s v="ID0595"/>
    <d v="2012-05-26T08:30:00"/>
    <n v="50000"/>
    <s v="EUR"/>
    <n v="63519.971949580387"/>
    <s v="Analyst"/>
    <x v="0"/>
    <s v="Germany"/>
    <x v="5"/>
    <x v="2"/>
    <n v="4"/>
  </r>
  <r>
    <s v="ID0596"/>
    <d v="2012-05-26T08:43:07"/>
    <n v="108000"/>
    <s v="USD"/>
    <n v="108000"/>
    <s v="Technology consultant "/>
    <x v="8"/>
    <s v="USA"/>
    <x v="2"/>
    <x v="2"/>
    <n v="7"/>
  </r>
  <r>
    <s v="ID0597"/>
    <d v="2012-05-26T08:45:34"/>
    <n v="75000"/>
    <s v="USD"/>
    <n v="75000"/>
    <s v="Financial Analyst"/>
    <x v="0"/>
    <s v="USA"/>
    <x v="2"/>
    <x v="0"/>
    <n v="5"/>
  </r>
  <r>
    <s v="ID0598"/>
    <d v="2012-05-26T08:51:04"/>
    <n v="400000"/>
    <s v="INR"/>
    <n v="7123.1666749770275"/>
    <s v="BPO"/>
    <x v="3"/>
    <s v="India"/>
    <x v="0"/>
    <x v="3"/>
    <n v="3"/>
  </r>
  <r>
    <s v="ID0599"/>
    <d v="2012-05-26T08:52:00"/>
    <n v="50000"/>
    <s v="USD"/>
    <n v="50000"/>
    <s v="General manager"/>
    <x v="3"/>
    <s v="India"/>
    <x v="0"/>
    <x v="3"/>
    <n v="25"/>
  </r>
  <r>
    <s v="ID0600"/>
    <d v="2012-05-26T08:55:12"/>
    <n v="45000"/>
    <s v="USD"/>
    <n v="45000"/>
    <s v="Technical Analyst"/>
    <x v="0"/>
    <s v="USA"/>
    <x v="2"/>
    <x v="0"/>
    <n v="15"/>
  </r>
  <r>
    <s v="ID0601"/>
    <d v="2012-05-26T08:55:17"/>
    <n v="45000"/>
    <s v="USD"/>
    <n v="45000"/>
    <s v="Head Accounts"/>
    <x v="5"/>
    <s v="USA"/>
    <x v="2"/>
    <x v="0"/>
    <n v="7"/>
  </r>
  <r>
    <s v="ID0602"/>
    <d v="2012-05-26T08:56:13"/>
    <n v="90000"/>
    <s v="USD"/>
    <n v="90000"/>
    <s v="Operations"/>
    <x v="3"/>
    <s v="USA"/>
    <x v="2"/>
    <x v="2"/>
    <n v="20"/>
  </r>
  <r>
    <s v="ID0603"/>
    <d v="2012-05-26T08:58:55"/>
    <n v="240000"/>
    <s v="INR"/>
    <n v="4273.9000049862161"/>
    <s v="Talati"/>
    <x v="0"/>
    <s v="India"/>
    <x v="0"/>
    <x v="2"/>
    <n v="5"/>
  </r>
  <r>
    <s v="ID0604"/>
    <d v="2012-05-26T09:28:32"/>
    <n v="50000"/>
    <s v="USD"/>
    <n v="50000"/>
    <s v="Product manager"/>
    <x v="3"/>
    <s v="India"/>
    <x v="0"/>
    <x v="3"/>
    <n v="10"/>
  </r>
  <r>
    <s v="ID0605"/>
    <d v="2012-05-26T09:28:50"/>
    <n v="65000"/>
    <s v="USD"/>
    <n v="65000"/>
    <s v="Helicopter Mechanic"/>
    <x v="0"/>
    <s v="USA"/>
    <x v="2"/>
    <x v="2"/>
    <n v="17"/>
  </r>
  <r>
    <s v="ID0606"/>
    <d v="2012-05-26T09:36:28"/>
    <n v="70000"/>
    <s v="USD"/>
    <n v="70000"/>
    <s v="Program/Mgt Analyst"/>
    <x v="0"/>
    <s v="USA"/>
    <x v="2"/>
    <x v="2"/>
    <n v="18"/>
  </r>
  <r>
    <s v="ID0608"/>
    <d v="2012-05-26T09:51:47"/>
    <n v="160000"/>
    <s v="USD"/>
    <n v="160000"/>
    <s v="Director, Analytics"/>
    <x v="0"/>
    <s v="USA"/>
    <x v="2"/>
    <x v="0"/>
    <n v="5"/>
  </r>
  <r>
    <s v="ID0609"/>
    <d v="2012-05-26T09:52:22"/>
    <n v="100000"/>
    <s v="AUD"/>
    <n v="101990.96564026357"/>
    <s v="Purchasing Manager"/>
    <x v="3"/>
    <s v="Australia"/>
    <x v="16"/>
    <x v="2"/>
    <n v="20"/>
  </r>
  <r>
    <s v="ID0611"/>
    <d v="2012-05-26T10:01:28"/>
    <n v="380000"/>
    <s v="INR"/>
    <n v="6767.0083412281756"/>
    <s v="Incharge"/>
    <x v="3"/>
    <s v="India"/>
    <x v="0"/>
    <x v="0"/>
    <n v="10"/>
  </r>
  <r>
    <s v="ID0612"/>
    <d v="2012-05-26T10:20:35"/>
    <n v="30000"/>
    <s v="USD"/>
    <n v="30000"/>
    <s v="Sales Assistant"/>
    <x v="0"/>
    <s v="USA"/>
    <x v="2"/>
    <x v="2"/>
    <n v="8"/>
  </r>
  <r>
    <s v="ID0613"/>
    <d v="2012-05-26T10:22:45"/>
    <n v="420000"/>
    <s v="INR"/>
    <n v="7479.3250087258784"/>
    <s v="Assistant EDP"/>
    <x v="0"/>
    <s v="India"/>
    <x v="0"/>
    <x v="0"/>
    <n v="3"/>
  </r>
  <r>
    <s v="ID0614"/>
    <d v="2012-05-26T10:31:42"/>
    <n v="61000"/>
    <s v="USD"/>
    <n v="61000"/>
    <s v="Sales ops"/>
    <x v="3"/>
    <s v="USA"/>
    <x v="2"/>
    <x v="0"/>
    <n v="5"/>
  </r>
  <r>
    <s v="ID0615"/>
    <d v="2012-05-26T10:32:07"/>
    <n v="13800"/>
    <s v="USD"/>
    <n v="13800"/>
    <s v="QS"/>
    <x v="1"/>
    <s v="Sri Lanka"/>
    <x v="55"/>
    <x v="0"/>
    <n v="20"/>
  </r>
  <r>
    <s v="ID0616"/>
    <d v="2012-05-26T10:41:11"/>
    <n v="850000"/>
    <s v="INR"/>
    <n v="15136.729184326183"/>
    <s v="Sales Analyst"/>
    <x v="0"/>
    <s v="India"/>
    <x v="0"/>
    <x v="0"/>
    <n v="6"/>
  </r>
  <r>
    <s v="ID0617"/>
    <d v="2012-05-26T10:43:53"/>
    <n v="1800000"/>
    <s v="INR"/>
    <n v="32054.250037396621"/>
    <s v="AGM Finance"/>
    <x v="3"/>
    <s v="India"/>
    <x v="0"/>
    <x v="2"/>
    <n v="10"/>
  </r>
  <r>
    <s v="ID0618"/>
    <d v="2012-05-26T10:51:05"/>
    <n v="80000"/>
    <s v="USD"/>
    <n v="80000"/>
    <s v="Sales Controller"/>
    <x v="1"/>
    <s v="USA"/>
    <x v="2"/>
    <x v="0"/>
    <n v="15"/>
  </r>
  <r>
    <s v="ID0619"/>
    <d v="2012-05-26T10:54:22"/>
    <n v="21000"/>
    <s v="USD"/>
    <n v="21000"/>
    <s v="Manager"/>
    <x v="3"/>
    <s v="India"/>
    <x v="0"/>
    <x v="1"/>
    <n v="23"/>
  </r>
  <r>
    <s v="ID0620"/>
    <d v="2012-05-26T10:59:10"/>
    <n v="250000"/>
    <s v="CAD"/>
    <n v="245840.3807575817"/>
    <s v="Business Analyst"/>
    <x v="0"/>
    <s v="Canada"/>
    <x v="17"/>
    <x v="0"/>
    <n v="32"/>
  </r>
  <r>
    <s v="ID0621"/>
    <d v="2012-05-26T10:59:39"/>
    <n v="160000"/>
    <s v="INR"/>
    <n v="2849.2666699908109"/>
    <s v="MIS Executive"/>
    <x v="7"/>
    <s v="India"/>
    <x v="0"/>
    <x v="1"/>
    <n v="3"/>
  </r>
  <r>
    <s v="ID0622"/>
    <d v="2012-05-26T11:01:56"/>
    <n v="8400"/>
    <s v="USD"/>
    <n v="8400"/>
    <s v="SYSTEM MANAGER"/>
    <x v="3"/>
    <s v="India"/>
    <x v="0"/>
    <x v="1"/>
    <n v="26"/>
  </r>
  <r>
    <s v="ID0623"/>
    <d v="2012-05-26T11:03:02"/>
    <n v="85000"/>
    <s v="AUD"/>
    <n v="86692.320794224041"/>
    <s v="Trainer"/>
    <x v="8"/>
    <s v="Australia"/>
    <x v="16"/>
    <x v="3"/>
    <n v="20"/>
  </r>
  <r>
    <s v="ID0624"/>
    <d v="2012-05-26T11:03:06"/>
    <n v="50000"/>
    <s v="USD"/>
    <n v="50000"/>
    <s v="Project coordinator"/>
    <x v="3"/>
    <s v="USA"/>
    <x v="2"/>
    <x v="0"/>
    <n v="20"/>
  </r>
  <r>
    <s v="ID0625"/>
    <d v="2012-05-26T11:03:48"/>
    <n v="4000"/>
    <s v="USD"/>
    <n v="4000"/>
    <s v="MIS Executive"/>
    <x v="7"/>
    <s v="India"/>
    <x v="0"/>
    <x v="1"/>
    <n v="6"/>
  </r>
  <r>
    <s v="ID0626"/>
    <d v="2012-05-26T11:05:45"/>
    <n v="100000"/>
    <s v="AUD"/>
    <n v="101990.96564026357"/>
    <s v="Business Analyst"/>
    <x v="0"/>
    <s v="Australia"/>
    <x v="16"/>
    <x v="1"/>
    <n v="1"/>
  </r>
  <r>
    <s v="ID0627"/>
    <d v="2012-05-26T11:05:58"/>
    <n v="95000"/>
    <s v="USD"/>
    <n v="95000"/>
    <s v="Program Manager"/>
    <x v="3"/>
    <s v="USA"/>
    <x v="2"/>
    <x v="3"/>
    <n v="10"/>
  </r>
  <r>
    <s v="ID0628"/>
    <d v="2012-05-26T11:07:01"/>
    <n v="10000"/>
    <s v="USD"/>
    <n v="10000"/>
    <s v="executive"/>
    <x v="3"/>
    <s v="Indonesia"/>
    <x v="56"/>
    <x v="2"/>
    <n v="5"/>
  </r>
  <r>
    <s v="ID0629"/>
    <d v="2012-05-26T11:09:27"/>
    <n v="4200"/>
    <s v="USD"/>
    <n v="4200"/>
    <s v="MIS Executive"/>
    <x v="7"/>
    <s v="India"/>
    <x v="0"/>
    <x v="1"/>
    <n v="4"/>
  </r>
  <r>
    <s v="ID0630"/>
    <d v="2012-05-26T11:10:23"/>
    <n v="720000"/>
    <s v="INR"/>
    <n v="12821.700014958649"/>
    <s v="Quantity Surveyor"/>
    <x v="3"/>
    <s v="India"/>
    <x v="0"/>
    <x v="0"/>
    <n v="12"/>
  </r>
  <r>
    <s v="ID0631"/>
    <d v="2012-05-26T11:17:56"/>
    <n v="39000"/>
    <s v="USD"/>
    <n v="39000"/>
    <s v="Content Analyst "/>
    <x v="0"/>
    <s v="USA"/>
    <x v="2"/>
    <x v="1"/>
    <n v="3"/>
  </r>
  <r>
    <s v="ID0632"/>
    <d v="2012-05-26T11:26:46"/>
    <n v="60000"/>
    <s v="USD"/>
    <n v="60000"/>
    <s v="business analyst"/>
    <x v="0"/>
    <s v="USA"/>
    <x v="2"/>
    <x v="0"/>
    <n v="12"/>
  </r>
  <r>
    <s v="ID0633"/>
    <d v="2012-05-26T11:30:39"/>
    <n v="170000"/>
    <s v="AUD"/>
    <n v="173384.64158844808"/>
    <s v="senior business analyst"/>
    <x v="0"/>
    <s v="Australia"/>
    <x v="16"/>
    <x v="1"/>
    <n v="10"/>
  </r>
  <r>
    <s v="ID0634"/>
    <d v="2012-05-26T11:31:08"/>
    <n v="125000"/>
    <s v="USD"/>
    <n v="125000"/>
    <s v="Analyst"/>
    <x v="0"/>
    <s v="USA"/>
    <x v="2"/>
    <x v="2"/>
    <n v="20"/>
  </r>
  <r>
    <s v="ID0635"/>
    <d v="2012-05-26T11:31:52"/>
    <n v="78000"/>
    <s v="AUD"/>
    <n v="79552.953199405587"/>
    <s v="Corporate Accountant"/>
    <x v="5"/>
    <s v="Australia"/>
    <x v="16"/>
    <x v="1"/>
    <n v="4"/>
  </r>
  <r>
    <s v="ID0636"/>
    <d v="2012-05-26T11:36:04"/>
    <n v="200000"/>
    <s v="INR"/>
    <n v="3561.5833374885137"/>
    <s v="Auditor"/>
    <x v="5"/>
    <s v="India"/>
    <x v="0"/>
    <x v="0"/>
    <n v="3"/>
  </r>
  <r>
    <s v="ID0637"/>
    <d v="2012-05-26T11:37:26"/>
    <n v="80000"/>
    <s v="USD"/>
    <n v="80000"/>
    <s v="program coordinator - automotive"/>
    <x v="3"/>
    <s v="USA"/>
    <x v="2"/>
    <x v="0"/>
    <n v="8"/>
  </r>
  <r>
    <s v="ID0638"/>
    <d v="2012-05-26T11:37:53"/>
    <n v="600000"/>
    <s v="INR"/>
    <n v="10684.750012465542"/>
    <s v="Financial Analyst"/>
    <x v="0"/>
    <s v="India"/>
    <x v="0"/>
    <x v="2"/>
    <n v="3"/>
  </r>
  <r>
    <s v="ID0639"/>
    <d v="2012-05-26T11:39:48"/>
    <n v="300000"/>
    <s v="INR"/>
    <n v="5342.3750062327708"/>
    <s v="Planning Engineer"/>
    <x v="2"/>
    <s v="India"/>
    <x v="0"/>
    <x v="1"/>
    <n v="2"/>
  </r>
  <r>
    <s v="ID0640"/>
    <d v="2012-05-26T11:40:34"/>
    <n v="4000000"/>
    <s v="INR"/>
    <n v="71231.666749770273"/>
    <s v="Senior Executive"/>
    <x v="3"/>
    <s v="India"/>
    <x v="0"/>
    <x v="0"/>
    <n v="1.5"/>
  </r>
  <r>
    <s v="ID0641"/>
    <d v="2012-05-26T11:45:37"/>
    <n v="4500000"/>
    <s v="INR"/>
    <n v="80135.625093491559"/>
    <s v="cmo"/>
    <x v="4"/>
    <s v="India"/>
    <x v="0"/>
    <x v="3"/>
    <n v="6"/>
  </r>
  <r>
    <s v="ID0642"/>
    <d v="2012-05-26T11:46:20"/>
    <n v="55000"/>
    <s v="CAD"/>
    <n v="54084.883766667976"/>
    <s v="Project coordinator"/>
    <x v="3"/>
    <s v="Canada"/>
    <x v="17"/>
    <x v="0"/>
    <n v="5"/>
  </r>
  <r>
    <s v="ID0643"/>
    <d v="2012-05-26T11:47:18"/>
    <n v="53000"/>
    <s v="USD"/>
    <n v="53000"/>
    <s v="Financial Analyst"/>
    <x v="0"/>
    <s v="USA"/>
    <x v="2"/>
    <x v="0"/>
    <n v="30"/>
  </r>
  <r>
    <s v="ID0644"/>
    <d v="2012-05-26T11:47:38"/>
    <n v="300000"/>
    <s v="INR"/>
    <n v="5342.3750062327708"/>
    <s v="MIS"/>
    <x v="7"/>
    <s v="India"/>
    <x v="0"/>
    <x v="0"/>
    <n v="1"/>
  </r>
  <r>
    <s v="ID0645"/>
    <d v="2012-05-26T11:50:03"/>
    <n v="400000"/>
    <s v="INR"/>
    <n v="7123.1666749770275"/>
    <s v="Sr Processor"/>
    <x v="3"/>
    <s v="India"/>
    <x v="0"/>
    <x v="3"/>
    <n v="5"/>
  </r>
  <r>
    <s v="ID0646"/>
    <d v="2012-05-26T11:50:34"/>
    <n v="600000"/>
    <s v="INR"/>
    <n v="10684.750012465542"/>
    <s v="Organiser"/>
    <x v="3"/>
    <s v="India"/>
    <x v="0"/>
    <x v="0"/>
    <n v="11"/>
  </r>
  <r>
    <s v="ID0647"/>
    <d v="2012-05-26T11:55:17"/>
    <n v="4000"/>
    <s v="USD"/>
    <n v="4000"/>
    <s v="MIS Executive"/>
    <x v="7"/>
    <s v="India"/>
    <x v="0"/>
    <x v="1"/>
    <n v="4"/>
  </r>
  <r>
    <s v="ID0648"/>
    <d v="2012-05-26T11:58:23"/>
    <n v="8000"/>
    <s v="USD"/>
    <n v="8000"/>
    <s v="Quality officer"/>
    <x v="3"/>
    <s v="bangkok"/>
    <x v="32"/>
    <x v="1"/>
    <n v="1"/>
  </r>
  <r>
    <s v="ID0649"/>
    <d v="2012-05-26T12:05:35"/>
    <n v="150000"/>
    <s v="INR"/>
    <n v="2671.1875031163854"/>
    <s v="Executive"/>
    <x v="3"/>
    <s v="India"/>
    <x v="0"/>
    <x v="2"/>
    <n v="5"/>
  </r>
  <r>
    <s v="ID0650"/>
    <d v="2012-05-26T12:14:07"/>
    <n v="800000"/>
    <s v="INR"/>
    <n v="14246.333349954055"/>
    <s v="Engineer"/>
    <x v="2"/>
    <s v="India"/>
    <x v="0"/>
    <x v="2"/>
    <n v="3"/>
  </r>
  <r>
    <s v="ID0651"/>
    <d v="2012-05-26T12:17:01"/>
    <n v="480000"/>
    <s v="INR"/>
    <n v="8547.8000099724322"/>
    <s v="BI Consultant"/>
    <x v="7"/>
    <s v="India"/>
    <x v="0"/>
    <x v="3"/>
    <n v="3"/>
  </r>
  <r>
    <s v="ID0652"/>
    <d v="2012-05-26T12:19:47"/>
    <n v="432000"/>
    <s v="INR"/>
    <n v="7693.0200089751897"/>
    <s v="Assistant Manager - IT"/>
    <x v="3"/>
    <s v="India"/>
    <x v="0"/>
    <x v="2"/>
    <n v="5"/>
  </r>
  <r>
    <s v="ID0653"/>
    <d v="2012-05-26T12:19:53"/>
    <n v="4000"/>
    <s v="USD"/>
    <n v="4000"/>
    <s v="Coordinator"/>
    <x v="3"/>
    <s v="India"/>
    <x v="0"/>
    <x v="1"/>
    <n v="8"/>
  </r>
  <r>
    <s v="ID0654"/>
    <d v="2012-05-26T12:20:07"/>
    <n v="5400"/>
    <s v="USD"/>
    <n v="5400"/>
    <s v="manager"/>
    <x v="3"/>
    <s v="India"/>
    <x v="0"/>
    <x v="1"/>
    <n v="3"/>
  </r>
  <r>
    <s v="ID0655"/>
    <d v="2012-05-26T12:23:14"/>
    <n v="10500000"/>
    <s v="INR"/>
    <n v="186983.12521814698"/>
    <s v="MANAGER"/>
    <x v="3"/>
    <s v="India"/>
    <x v="0"/>
    <x v="2"/>
    <n v="10"/>
  </r>
  <r>
    <s v="ID0657"/>
    <d v="2012-05-26T12:25:09"/>
    <n v="21500"/>
    <s v="USD"/>
    <n v="21500"/>
    <s v="Asst Mgr"/>
    <x v="0"/>
    <s v="India"/>
    <x v="0"/>
    <x v="0"/>
    <n v="9"/>
  </r>
  <r>
    <s v="ID0658"/>
    <d v="2012-05-26T12:26:33"/>
    <n v="15000"/>
    <s v="USD"/>
    <n v="15000"/>
    <s v="MIS Executive"/>
    <x v="7"/>
    <s v="India"/>
    <x v="0"/>
    <x v="1"/>
    <n v="2"/>
  </r>
  <r>
    <s v="ID0659"/>
    <d v="2012-05-26T12:27:20"/>
    <n v="200000"/>
    <s v="PKR"/>
    <n v="2122.8177433598262"/>
    <s v="Accounts Officer"/>
    <x v="5"/>
    <s v="Pakistan"/>
    <x v="3"/>
    <x v="2"/>
    <n v="2"/>
  </r>
  <r>
    <s v="ID0660"/>
    <d v="2012-05-26T12:28:05"/>
    <n v="950000"/>
    <s v="INR"/>
    <n v="16917.52085307044"/>
    <s v="Investment Banker"/>
    <x v="3"/>
    <s v="India"/>
    <x v="0"/>
    <x v="0"/>
    <n v="3"/>
  </r>
  <r>
    <s v="ID0661"/>
    <d v="2012-05-26T12:28:11"/>
    <n v="165000"/>
    <s v="INR"/>
    <n v="2938.3062534280239"/>
    <s v="Co-operative bank"/>
    <x v="3"/>
    <s v="India"/>
    <x v="0"/>
    <x v="1"/>
    <n v="11"/>
  </r>
  <r>
    <s v="ID0662"/>
    <d v="2012-05-26T12:30:22"/>
    <n v="16800"/>
    <s v="USD"/>
    <n v="16800"/>
    <s v="Assistant"/>
    <x v="0"/>
    <s v="Pakistan"/>
    <x v="3"/>
    <x v="0"/>
    <n v="12"/>
  </r>
  <r>
    <s v="ID0663"/>
    <d v="2012-05-26T12:31:29"/>
    <n v="37000"/>
    <s v="USD"/>
    <n v="37000"/>
    <s v="Cad Engineer"/>
    <x v="2"/>
    <s v="India"/>
    <x v="0"/>
    <x v="0"/>
    <n v="10"/>
  </r>
  <r>
    <s v="ID0664"/>
    <d v="2012-05-26T12:33:48"/>
    <n v="300000"/>
    <s v="INR"/>
    <n v="5342.3750062327708"/>
    <s v="Mis Analyst"/>
    <x v="0"/>
    <s v="India"/>
    <x v="0"/>
    <x v="0"/>
    <n v="4.5"/>
  </r>
  <r>
    <s v="ID0665"/>
    <d v="2012-05-26T12:35:42"/>
    <n v="200000"/>
    <s v="INR"/>
    <n v="3561.5833374885137"/>
    <s v="MIS EXECUTIVE"/>
    <x v="7"/>
    <s v="India"/>
    <x v="0"/>
    <x v="1"/>
    <n v="3"/>
  </r>
  <r>
    <s v="ID0666"/>
    <d v="2012-05-26T12:36:53"/>
    <n v="480000"/>
    <s v="INR"/>
    <n v="8547.8000099724322"/>
    <s v="PMO"/>
    <x v="3"/>
    <s v="India"/>
    <x v="0"/>
    <x v="2"/>
    <n v="8"/>
  </r>
  <r>
    <s v="ID0667"/>
    <d v="2012-05-26T12:46:26"/>
    <n v="5800"/>
    <s v="USD"/>
    <n v="5800"/>
    <s v="Asst. Manager(Commercial)"/>
    <x v="3"/>
    <s v="India"/>
    <x v="0"/>
    <x v="1"/>
    <n v="8"/>
  </r>
  <r>
    <s v="ID0668"/>
    <d v="2012-05-26T12:48:19"/>
    <n v="230000"/>
    <s v="INR"/>
    <n v="4095.8208381117906"/>
    <s v="MIS Executive"/>
    <x v="7"/>
    <s v="India"/>
    <x v="0"/>
    <x v="1"/>
    <n v="3"/>
  </r>
  <r>
    <s v="ID0669"/>
    <d v="2012-05-26T12:50:08"/>
    <n v="276000"/>
    <s v="INR"/>
    <n v="4914.9850057341491"/>
    <s v="Education Officer"/>
    <x v="3"/>
    <s v="Pakistan"/>
    <x v="3"/>
    <x v="3"/>
    <n v="3"/>
  </r>
  <r>
    <s v="ID0670"/>
    <d v="2012-05-26T12:52:37"/>
    <n v="24000"/>
    <s v="USD"/>
    <n v="24000"/>
    <s v="Management Accountant"/>
    <x v="3"/>
    <s v="Saudi Arabai"/>
    <x v="22"/>
    <x v="0"/>
    <n v="12"/>
  </r>
  <r>
    <s v="ID0671"/>
    <d v="2012-05-26T12:53:43"/>
    <n v="24000"/>
    <s v="USD"/>
    <n v="24000"/>
    <s v="Accountant"/>
    <x v="5"/>
    <s v="UAE"/>
    <x v="21"/>
    <x v="2"/>
    <n v="15"/>
  </r>
  <r>
    <s v="ID0672"/>
    <d v="2012-05-26T12:54:15"/>
    <n v="8738"/>
    <s v="USD"/>
    <n v="8738"/>
    <s v="Sales Coordinator"/>
    <x v="3"/>
    <s v="India"/>
    <x v="0"/>
    <x v="1"/>
    <n v="7.3"/>
  </r>
  <r>
    <s v="ID0673"/>
    <d v="2012-05-26T12:54:36"/>
    <n v="15000"/>
    <s v="USD"/>
    <n v="15000"/>
    <s v="TA"/>
    <x v="0"/>
    <s v="Indonesia"/>
    <x v="56"/>
    <x v="0"/>
    <n v="1"/>
  </r>
  <r>
    <s v="ID0674"/>
    <d v="2012-05-26T12:55:09"/>
    <n v="56400"/>
    <s v="USD"/>
    <n v="56400"/>
    <s v="Finance Manager"/>
    <x v="3"/>
    <s v="UAE"/>
    <x v="21"/>
    <x v="2"/>
    <n v="6"/>
  </r>
  <r>
    <s v="ID0675"/>
    <d v="2012-05-26T12:59:13"/>
    <n v="10200"/>
    <s v="USD"/>
    <n v="10200"/>
    <s v="business analyst"/>
    <x v="0"/>
    <s v="India"/>
    <x v="0"/>
    <x v="0"/>
    <n v="4.5"/>
  </r>
  <r>
    <s v="ID0676"/>
    <d v="2012-05-26T12:59:41"/>
    <n v="325000"/>
    <s v="INR"/>
    <n v="5787.5729234188348"/>
    <s v="MIS Executive"/>
    <x v="7"/>
    <s v="India"/>
    <x v="0"/>
    <x v="1"/>
    <n v="4.5"/>
  </r>
  <r>
    <s v="ID0677"/>
    <d v="2012-05-26T13:01:44"/>
    <n v="105000"/>
    <s v="USD"/>
    <n v="105000"/>
    <s v="Senior Consultant"/>
    <x v="8"/>
    <s v="USA"/>
    <x v="2"/>
    <x v="2"/>
    <n v="15"/>
  </r>
  <r>
    <s v="ID0678"/>
    <d v="2012-05-26T13:01:53"/>
    <n v="250000"/>
    <s v="INR"/>
    <n v="4451.9791718606421"/>
    <s v="ASM"/>
    <x v="3"/>
    <s v="India"/>
    <x v="0"/>
    <x v="2"/>
    <n v="5"/>
  </r>
  <r>
    <s v="ID0679"/>
    <d v="2012-05-26T13:02:50"/>
    <n v="470000"/>
    <s v="INR"/>
    <n v="8369.7208430980063"/>
    <s v="Consultant"/>
    <x v="8"/>
    <s v="India"/>
    <x v="0"/>
    <x v="1"/>
    <n v="4"/>
  </r>
  <r>
    <s v="ID0680"/>
    <d v="2012-05-26T13:03:32"/>
    <n v="720000"/>
    <s v="PHP"/>
    <n v="17067.637625607145"/>
    <s v="System Manager"/>
    <x v="3"/>
    <s v="Philippines"/>
    <x v="33"/>
    <x v="0"/>
    <n v="9"/>
  </r>
  <r>
    <s v="ID0681"/>
    <d v="2012-05-26T13:03:58"/>
    <n v="100000"/>
    <s v="AUD"/>
    <n v="101990.96564026357"/>
    <s v="principal developer"/>
    <x v="3"/>
    <s v="Australia"/>
    <x v="16"/>
    <x v="3"/>
    <n v="20"/>
  </r>
  <r>
    <s v="ID0682"/>
    <d v="2012-05-26T13:05:03"/>
    <n v="220000"/>
    <s v="INR"/>
    <n v="3917.7416712373652"/>
    <s v="Accounts Payable Analyst"/>
    <x v="0"/>
    <s v="India"/>
    <x v="0"/>
    <x v="2"/>
    <n v="3"/>
  </r>
  <r>
    <s v="ID0683"/>
    <d v="2012-05-26T13:08:39"/>
    <n v="52000"/>
    <s v="USD"/>
    <n v="52000"/>
    <s v="Maint Sys Support Specialist"/>
    <x v="6"/>
    <s v="USA"/>
    <x v="2"/>
    <x v="0"/>
    <n v="18"/>
  </r>
  <r>
    <s v="ID0684"/>
    <d v="2012-05-26T13:11:01"/>
    <n v="260000"/>
    <s v="INR"/>
    <n v="4630.058338735068"/>
    <s v="Analyst"/>
    <x v="0"/>
    <s v="India"/>
    <x v="0"/>
    <x v="0"/>
    <n v="2"/>
  </r>
  <r>
    <s v="ID0685"/>
    <d v="2012-05-26T13:12:48"/>
    <n v="120000"/>
    <s v="INR"/>
    <n v="2136.9500024931081"/>
    <s v="Data Analyst"/>
    <x v="0"/>
    <s v="India"/>
    <x v="0"/>
    <x v="2"/>
    <n v="3"/>
  </r>
  <r>
    <s v="ID0686"/>
    <d v="2012-05-26T13:16:21"/>
    <n v="13000"/>
    <s v="USD"/>
    <n v="13000"/>
    <s v="Analyst"/>
    <x v="0"/>
    <s v="India"/>
    <x v="0"/>
    <x v="3"/>
    <n v="4"/>
  </r>
  <r>
    <s v="ID0687"/>
    <d v="2012-05-26T13:17:36"/>
    <n v="144000"/>
    <s v="INR"/>
    <n v="2564.3400029917298"/>
    <s v="Team Leader"/>
    <x v="3"/>
    <s v="India"/>
    <x v="0"/>
    <x v="2"/>
    <n v="7"/>
  </r>
  <r>
    <s v="ID0688"/>
    <d v="2012-05-26T13:18:03"/>
    <n v="1150000"/>
    <s v="INR"/>
    <n v="20479.104190558952"/>
    <s v="manager portfolio monitoring"/>
    <x v="3"/>
    <s v="India"/>
    <x v="0"/>
    <x v="2"/>
    <n v="7"/>
  </r>
  <r>
    <s v="ID0689"/>
    <d v="2012-05-26T13:18:32"/>
    <n v="33500"/>
    <s v="USD"/>
    <n v="33500"/>
    <s v="Sr. Executive Finance &amp; Accounts"/>
    <x v="5"/>
    <s v="Dubai"/>
    <x v="34"/>
    <x v="3"/>
    <n v="10"/>
  </r>
  <r>
    <s v="ID0690"/>
    <d v="2012-05-26T13:19:42"/>
    <n v="50000"/>
    <s v="USD"/>
    <n v="50000"/>
    <s v="AREA SALES MANAGER"/>
    <x v="3"/>
    <s v="India"/>
    <x v="0"/>
    <x v="2"/>
    <n v="20"/>
  </r>
  <r>
    <s v="ID0691"/>
    <d v="2012-05-26T13:22:43"/>
    <n v="300000"/>
    <s v="INR"/>
    <n v="5342.3750062327708"/>
    <s v="govt"/>
    <x v="3"/>
    <s v="India"/>
    <x v="0"/>
    <x v="2"/>
    <n v="3"/>
  </r>
  <r>
    <s v="ID0692"/>
    <d v="2012-05-26T13:24:05"/>
    <n v="648000"/>
    <s v="INR"/>
    <n v="11539.530013462785"/>
    <s v="COMPUTER OPERATOR"/>
    <x v="0"/>
    <s v="India"/>
    <x v="0"/>
    <x v="1"/>
    <n v="2"/>
  </r>
  <r>
    <s v="ID0693"/>
    <d v="2012-05-26T13:24:14"/>
    <n v="7000"/>
    <s v="USD"/>
    <n v="7000"/>
    <s v="Business Executive"/>
    <x v="3"/>
    <s v="India"/>
    <x v="0"/>
    <x v="0"/>
    <n v="23"/>
  </r>
  <r>
    <s v="ID0694"/>
    <d v="2012-05-26T13:24:36"/>
    <n v="380000"/>
    <s v="INR"/>
    <n v="6767.0083412281756"/>
    <s v="Team Lead Mis"/>
    <x v="7"/>
    <s v="India"/>
    <x v="0"/>
    <x v="2"/>
    <n v="6"/>
  </r>
  <r>
    <s v="ID0695"/>
    <d v="2012-05-26T13:29:12"/>
    <n v="3000"/>
    <s v="USD"/>
    <n v="3000"/>
    <s v="Call Centre Consultant"/>
    <x v="8"/>
    <s v="Cambodia"/>
    <x v="57"/>
    <x v="2"/>
    <n v="2"/>
  </r>
  <r>
    <s v="ID0696"/>
    <d v="2012-05-26T13:29:35"/>
    <n v="250000"/>
    <s v="INR"/>
    <n v="4451.9791718606421"/>
    <s v="MIS executive"/>
    <x v="7"/>
    <s v="India"/>
    <x v="0"/>
    <x v="1"/>
    <n v="4"/>
  </r>
  <r>
    <s v="ID0697"/>
    <d v="2012-05-26T13:31:20"/>
    <n v="150000"/>
    <s v="INR"/>
    <n v="2671.1875031163854"/>
    <s v="Oprations head"/>
    <x v="4"/>
    <s v="India"/>
    <x v="0"/>
    <x v="0"/>
    <n v="4.5"/>
  </r>
  <r>
    <s v="ID0698"/>
    <d v="2012-05-26T13:37:50"/>
    <n v="278400"/>
    <s v="INR"/>
    <n v="4957.7240057840108"/>
    <s v="Asst. Manager"/>
    <x v="3"/>
    <s v="India"/>
    <x v="0"/>
    <x v="0"/>
    <n v="5"/>
  </r>
  <r>
    <s v="ID0699"/>
    <d v="2012-05-26T13:42:21"/>
    <n v="180000"/>
    <s v="INR"/>
    <n v="3205.4250037396623"/>
    <s v="accounts"/>
    <x v="5"/>
    <s v="India"/>
    <x v="0"/>
    <x v="2"/>
    <n v="14"/>
  </r>
  <r>
    <s v="ID0700"/>
    <d v="2012-05-26T13:42:58"/>
    <n v="800000"/>
    <s v="INR"/>
    <n v="14246.333349954055"/>
    <s v="Manager"/>
    <x v="3"/>
    <s v="India"/>
    <x v="0"/>
    <x v="0"/>
    <n v="7"/>
  </r>
  <r>
    <s v="ID0701"/>
    <d v="2012-05-26T13:44:53"/>
    <n v="300000"/>
    <s v="INR"/>
    <n v="5342.3750062327708"/>
    <s v="Analyst"/>
    <x v="0"/>
    <s v="India"/>
    <x v="0"/>
    <x v="1"/>
    <n v="7"/>
  </r>
  <r>
    <s v="ID0702"/>
    <d v="2012-05-26T13:46:52"/>
    <n v="370000"/>
    <s v="INR"/>
    <n v="6588.9291743537506"/>
    <s v="Operations Analyst"/>
    <x v="0"/>
    <s v="India"/>
    <x v="0"/>
    <x v="1"/>
    <n v="2"/>
  </r>
  <r>
    <s v="ID0703"/>
    <d v="2012-05-26T13:47:06"/>
    <n v="370000"/>
    <s v="INR"/>
    <n v="6588.9291743537506"/>
    <s v="Operations Analyst"/>
    <x v="0"/>
    <s v="India"/>
    <x v="0"/>
    <x v="1"/>
    <n v="2"/>
  </r>
  <r>
    <s v="ID0704"/>
    <d v="2012-05-26T13:49:54"/>
    <n v="35000"/>
    <s v="USD"/>
    <n v="35000"/>
    <s v="IT Specialist"/>
    <x v="6"/>
    <s v="USA"/>
    <x v="2"/>
    <x v="0"/>
    <n v="10"/>
  </r>
  <r>
    <s v="ID0705"/>
    <d v="2012-05-26T13:57:11"/>
    <n v="720000"/>
    <s v="INR"/>
    <n v="12821.700014958649"/>
    <s v="Cost Accountant"/>
    <x v="5"/>
    <s v="India"/>
    <x v="0"/>
    <x v="0"/>
    <n v="4"/>
  </r>
  <r>
    <s v="ID0706"/>
    <d v="2012-05-26T14:01:00"/>
    <n v="600000"/>
    <s v="INR"/>
    <n v="10684.750012465542"/>
    <s v="senior executive"/>
    <x v="3"/>
    <s v="India"/>
    <x v="0"/>
    <x v="3"/>
    <n v="2"/>
  </r>
  <r>
    <s v="ID0707"/>
    <d v="2012-05-26T14:01:09"/>
    <n v="10000"/>
    <s v="USD"/>
    <n v="10000"/>
    <s v="Executive"/>
    <x v="3"/>
    <s v="India"/>
    <x v="0"/>
    <x v="0"/>
    <n v="2"/>
  </r>
  <r>
    <s v="ID0708"/>
    <d v="2012-05-26T14:04:35"/>
    <n v="120000"/>
    <s v="INR"/>
    <n v="2136.9500024931081"/>
    <s v="Intern"/>
    <x v="0"/>
    <s v="India"/>
    <x v="0"/>
    <x v="3"/>
    <n v="0"/>
  </r>
  <r>
    <s v="ID0709"/>
    <d v="2012-05-26T14:10:51"/>
    <n v="480000"/>
    <s v="INR"/>
    <n v="8547.8000099724322"/>
    <s v="Business Analyst"/>
    <x v="0"/>
    <s v="India"/>
    <x v="0"/>
    <x v="0"/>
    <n v="4"/>
  </r>
  <r>
    <s v="ID0710"/>
    <d v="2012-05-26T14:11:52"/>
    <n v="450000"/>
    <s v="INR"/>
    <n v="8013.5625093491553"/>
    <s v="Data Analyst"/>
    <x v="0"/>
    <s v="India"/>
    <x v="0"/>
    <x v="1"/>
    <n v="8"/>
  </r>
  <r>
    <s v="ID0711"/>
    <d v="2012-05-26T14:14:35"/>
    <n v="400000"/>
    <s v="INR"/>
    <n v="7123.1666749770275"/>
    <s v="Consultant"/>
    <x v="8"/>
    <s v="India"/>
    <x v="0"/>
    <x v="0"/>
    <n v="0"/>
  </r>
  <r>
    <s v="ID0712"/>
    <d v="2012-05-26T14:16:14"/>
    <n v="2300000"/>
    <s v="INR"/>
    <n v="40958.208381117904"/>
    <s v="analyst"/>
    <x v="0"/>
    <s v="India"/>
    <x v="0"/>
    <x v="1"/>
    <n v="5"/>
  </r>
  <r>
    <s v="ID0713"/>
    <d v="2012-05-26T14:18:11"/>
    <n v="636000"/>
    <s v="INR"/>
    <n v="11325.835013213473"/>
    <s v="Audit Manager"/>
    <x v="3"/>
    <s v="India"/>
    <x v="0"/>
    <x v="0"/>
    <n v="2"/>
  </r>
  <r>
    <s v="ID0714"/>
    <d v="2012-05-26T14:20:23"/>
    <n v="15000"/>
    <s v="USD"/>
    <n v="15000"/>
    <s v="Audit - senior assistant"/>
    <x v="5"/>
    <s v="Lithuania"/>
    <x v="58"/>
    <x v="0"/>
    <n v="2"/>
  </r>
  <r>
    <s v="ID0715"/>
    <d v="2012-05-26T14:22:05"/>
    <n v="12000"/>
    <s v="USD"/>
    <n v="12000"/>
    <s v="tech operator (oil)"/>
    <x v="0"/>
    <s v="uae"/>
    <x v="21"/>
    <x v="0"/>
    <n v="12"/>
  </r>
  <r>
    <s v="ID0716"/>
    <d v="2012-05-26T14:23:48"/>
    <n v="500000"/>
    <s v="INR"/>
    <n v="8903.9583437212841"/>
    <s v="mis "/>
    <x v="7"/>
    <s v="India"/>
    <x v="0"/>
    <x v="2"/>
    <n v="1"/>
  </r>
  <r>
    <s v="ID0717"/>
    <d v="2012-05-26T14:33:11"/>
    <n v="500000"/>
    <s v="INR"/>
    <n v="8903.9583437212841"/>
    <s v="Engineer"/>
    <x v="2"/>
    <s v="India"/>
    <x v="0"/>
    <x v="1"/>
    <n v="2"/>
  </r>
  <r>
    <s v="ID0718"/>
    <d v="2012-05-26T14:35:48"/>
    <n v="720000"/>
    <s v="INR"/>
    <n v="12821.700014958649"/>
    <s v="Asstt manager"/>
    <x v="3"/>
    <s v="India"/>
    <x v="0"/>
    <x v="1"/>
    <n v="10"/>
  </r>
  <r>
    <s v="ID0719"/>
    <d v="2012-05-26T14:41:00"/>
    <n v="180000"/>
    <s v="INR"/>
    <n v="3205.4250037396623"/>
    <s v="Import &amp; Export Documentation Executive"/>
    <x v="3"/>
    <s v="India"/>
    <x v="0"/>
    <x v="1"/>
    <n v="7"/>
  </r>
  <r>
    <s v="ID0720"/>
    <d v="2012-05-26T14:46:55"/>
    <n v="375000"/>
    <s v="INR"/>
    <n v="6677.9687577909626"/>
    <s v="Team Lead"/>
    <x v="3"/>
    <s v="India"/>
    <x v="0"/>
    <x v="2"/>
    <n v="6"/>
  </r>
  <r>
    <s v="ID0721"/>
    <d v="2012-05-26T14:51:02"/>
    <n v="85000"/>
    <s v="NZD"/>
    <n v="67794.987956419791"/>
    <s v="Systems Manager"/>
    <x v="3"/>
    <s v="New Zealand"/>
    <x v="49"/>
    <x v="0"/>
    <n v="15"/>
  </r>
  <r>
    <s v="ID0722"/>
    <d v="2012-05-26T14:57:39"/>
    <n v="31250"/>
    <s v="USD"/>
    <n v="31250"/>
    <s v="Program management"/>
    <x v="3"/>
    <s v="India"/>
    <x v="0"/>
    <x v="2"/>
    <n v="6"/>
  </r>
  <r>
    <s v="ID0723"/>
    <d v="2012-05-26T14:57:45"/>
    <n v="204000"/>
    <s v="PKR"/>
    <n v="2165.2740982270229"/>
    <s v="Accounts Manager"/>
    <x v="3"/>
    <s v="Pakistan"/>
    <x v="3"/>
    <x v="1"/>
    <n v="2"/>
  </r>
  <r>
    <s v="ID0724"/>
    <d v="2012-05-26T14:58:24"/>
    <n v="400000"/>
    <s v="INR"/>
    <n v="7123.1666749770275"/>
    <s v="sr. mis executive"/>
    <x v="7"/>
    <s v="India"/>
    <x v="0"/>
    <x v="1"/>
    <n v="4"/>
  </r>
  <r>
    <s v="ID0725"/>
    <d v="2012-05-26T15:01:00"/>
    <n v="130000"/>
    <s v="USD"/>
    <n v="130000"/>
    <s v="Modeller"/>
    <x v="3"/>
    <s v="Australia"/>
    <x v="16"/>
    <x v="0"/>
    <n v="3"/>
  </r>
  <r>
    <s v="ID0726"/>
    <d v="2012-05-26T15:01:41"/>
    <n v="250000"/>
    <s v="INR"/>
    <n v="4451.9791718606421"/>
    <s v="Asst. Manager"/>
    <x v="3"/>
    <s v="India"/>
    <x v="0"/>
    <x v="0"/>
    <n v="6"/>
  </r>
  <r>
    <s v="ID0727"/>
    <d v="2012-05-26T15:02:34"/>
    <n v="9600"/>
    <s v="USD"/>
    <n v="9600"/>
    <s v="Admin"/>
    <x v="0"/>
    <s v="South Africa"/>
    <x v="11"/>
    <x v="0"/>
    <n v="2"/>
  </r>
  <r>
    <s v="ID0728"/>
    <d v="2012-05-26T15:04:33"/>
    <n v="390000"/>
    <s v="INR"/>
    <n v="6945.0875081026015"/>
    <s v="Business Analyst"/>
    <x v="0"/>
    <s v="India"/>
    <x v="0"/>
    <x v="0"/>
    <n v="1"/>
  </r>
  <r>
    <s v="ID0729"/>
    <d v="2012-05-26T15:05:42"/>
    <n v="600000"/>
    <s v="INR"/>
    <n v="10684.750012465542"/>
    <s v="Sr Financial Execative"/>
    <x v="5"/>
    <s v="India"/>
    <x v="0"/>
    <x v="1"/>
    <n v="7"/>
  </r>
  <r>
    <s v="ID0730"/>
    <d v="2012-05-26T15:06:00"/>
    <n v="480000"/>
    <s v="INR"/>
    <n v="8547.8000099724322"/>
    <s v="Asst Mngr"/>
    <x v="0"/>
    <s v="India"/>
    <x v="0"/>
    <x v="2"/>
    <n v="3.5"/>
  </r>
  <r>
    <s v="ID0731"/>
    <d v="2012-05-26T15:07:39"/>
    <n v="35000"/>
    <s v="USD"/>
    <n v="35000"/>
    <s v="Associate"/>
    <x v="0"/>
    <s v="India"/>
    <x v="0"/>
    <x v="0"/>
    <n v="10"/>
  </r>
  <r>
    <s v="ID0732"/>
    <d v="2012-05-26T15:09:27"/>
    <n v="1000000"/>
    <s v="INR"/>
    <n v="17807.916687442568"/>
    <s v="Sr Associate"/>
    <x v="0"/>
    <s v="India"/>
    <x v="0"/>
    <x v="2"/>
    <n v="12"/>
  </r>
  <r>
    <s v="ID0733"/>
    <d v="2012-05-26T15:21:41"/>
    <n v="180000"/>
    <s v="INR"/>
    <n v="3205.4250037396623"/>
    <s v="Accountant"/>
    <x v="5"/>
    <s v="India"/>
    <x v="0"/>
    <x v="1"/>
    <n v="4"/>
  </r>
  <r>
    <s v="ID0734"/>
    <d v="2012-05-26T15:24:32"/>
    <n v="60000"/>
    <s v="USD"/>
    <n v="60000"/>
    <s v="Manager"/>
    <x v="3"/>
    <s v="Russia"/>
    <x v="13"/>
    <x v="0"/>
    <n v="10"/>
  </r>
  <r>
    <s v="ID0735"/>
    <d v="2012-05-26T15:27:48"/>
    <n v="800000"/>
    <s v="INR"/>
    <n v="14246.333349954055"/>
    <s v="Manager"/>
    <x v="3"/>
    <s v="India"/>
    <x v="0"/>
    <x v="2"/>
    <n v="13"/>
  </r>
  <r>
    <s v="ID0736"/>
    <d v="2012-05-26T15:30:23"/>
    <n v="600000"/>
    <s v="INR"/>
    <n v="10684.750012465542"/>
    <s v="ERP Co-Ordinator"/>
    <x v="3"/>
    <s v="India"/>
    <x v="0"/>
    <x v="2"/>
    <n v="8"/>
  </r>
  <r>
    <s v="ID0737"/>
    <d v="2012-05-26T15:35:43"/>
    <n v="40000"/>
    <s v="USD"/>
    <n v="40000"/>
    <s v="Revenue Manager"/>
    <x v="3"/>
    <s v="India"/>
    <x v="0"/>
    <x v="1"/>
    <n v="15"/>
  </r>
  <r>
    <s v="ID0738"/>
    <d v="2012-05-26T15:44:32"/>
    <n v="5022"/>
    <s v="USD"/>
    <n v="5022"/>
    <s v="Accounts analyst"/>
    <x v="0"/>
    <s v="Pakistan"/>
    <x v="3"/>
    <x v="0"/>
    <n v="15"/>
  </r>
  <r>
    <s v="ID0739"/>
    <d v="2012-05-26T15:51:11"/>
    <n v="410000"/>
    <s v="INR"/>
    <n v="7301.2458418514525"/>
    <s v="MIS Analyst"/>
    <x v="0"/>
    <s v="India"/>
    <x v="0"/>
    <x v="1"/>
    <n v="5"/>
  </r>
  <r>
    <s v="ID0740"/>
    <d v="2012-05-26T15:53:10"/>
    <n v="120000"/>
    <s v="EGYPT"/>
    <n v="19831.432821021317"/>
    <s v="Estimator"/>
    <x v="0"/>
    <s v="Egypt"/>
    <x v="59"/>
    <x v="1"/>
    <n v="5"/>
  </r>
  <r>
    <s v="ID0741"/>
    <d v="2012-05-26T15:54:00"/>
    <n v="600000"/>
    <s v="INR"/>
    <n v="10684.750012465542"/>
    <s v="Finance Manager"/>
    <x v="3"/>
    <s v="India"/>
    <x v="0"/>
    <x v="0"/>
    <n v="5"/>
  </r>
  <r>
    <s v="ID0742"/>
    <d v="2012-05-26T15:56:57"/>
    <n v="4800"/>
    <s v="USD"/>
    <n v="4800"/>
    <s v="Data Analysis"/>
    <x v="0"/>
    <s v="Bhutan"/>
    <x v="60"/>
    <x v="0"/>
    <n v="2"/>
  </r>
  <r>
    <s v="ID0743"/>
    <d v="2012-05-26T15:59:44"/>
    <n v="66000"/>
    <s v="EUR"/>
    <n v="83846.362973446114"/>
    <s v="Logistics Analyst"/>
    <x v="0"/>
    <s v="germany"/>
    <x v="5"/>
    <x v="0"/>
    <n v="7"/>
  </r>
  <r>
    <s v="ID0744"/>
    <d v="2012-05-26T16:01:54"/>
    <n v="15000"/>
    <s v="USD"/>
    <n v="15000"/>
    <s v="PROCSS ASOCIATE"/>
    <x v="1"/>
    <s v="India"/>
    <x v="0"/>
    <x v="2"/>
    <n v="2"/>
  </r>
  <r>
    <s v="ID0745"/>
    <d v="2012-05-26T16:05:02"/>
    <n v="10000"/>
    <s v="USD"/>
    <n v="10000"/>
    <s v="Reporting Analyst"/>
    <x v="0"/>
    <s v="India"/>
    <x v="0"/>
    <x v="0"/>
    <n v="12"/>
  </r>
  <r>
    <s v="ID0746"/>
    <d v="2012-05-26T16:10:08"/>
    <n v="74000"/>
    <s v="GBP"/>
    <n v="116637.19213297902"/>
    <s v="Corporate Finance Manager"/>
    <x v="3"/>
    <s v="UK"/>
    <x v="14"/>
    <x v="0"/>
    <n v="5"/>
  </r>
  <r>
    <s v="ID0747"/>
    <d v="2012-05-26T16:12:09"/>
    <n v="21798"/>
    <s v="GBP"/>
    <n v="34357.533974522659"/>
    <s v="Data Analyst"/>
    <x v="0"/>
    <s v="UK"/>
    <x v="14"/>
    <x v="1"/>
    <n v="1.5"/>
  </r>
  <r>
    <s v="ID0748"/>
    <d v="2012-05-26T16:16:39"/>
    <n v="65000"/>
    <s v="GBP"/>
    <n v="102451.58768437347"/>
    <s v="compliance manager"/>
    <x v="3"/>
    <s v="UK"/>
    <x v="14"/>
    <x v="0"/>
    <n v="15"/>
  </r>
  <r>
    <s v="ID0749"/>
    <d v="2012-05-26T16:23:30"/>
    <n v="16000"/>
    <s v="USD"/>
    <n v="16000"/>
    <s v="Engineer"/>
    <x v="2"/>
    <s v="India"/>
    <x v="0"/>
    <x v="2"/>
    <n v="5"/>
  </r>
  <r>
    <s v="ID0750"/>
    <d v="2012-05-26T16:25:53"/>
    <n v="6000"/>
    <s v="USD"/>
    <n v="6000"/>
    <s v="Merchandiser"/>
    <x v="3"/>
    <s v="India"/>
    <x v="0"/>
    <x v="2"/>
    <n v="6"/>
  </r>
  <r>
    <s v="ID0751"/>
    <d v="2012-05-26T16:26:35"/>
    <n v="360000"/>
    <s v="INR"/>
    <n v="6410.8500074793246"/>
    <s v="Project Lead"/>
    <x v="3"/>
    <s v="India"/>
    <x v="0"/>
    <x v="1"/>
    <n v="6"/>
  </r>
  <r>
    <s v="ID0752"/>
    <d v="2012-05-26T16:29:36"/>
    <n v="36000"/>
    <s v="USD"/>
    <n v="36000"/>
    <s v="ENGINEER"/>
    <x v="2"/>
    <s v="uae"/>
    <x v="21"/>
    <x v="3"/>
    <n v="7"/>
  </r>
  <r>
    <s v="ID0753"/>
    <d v="2012-05-26T16:33:58"/>
    <n v="20000"/>
    <s v="USD"/>
    <n v="20000"/>
    <s v="engineer"/>
    <x v="2"/>
    <s v="India"/>
    <x v="0"/>
    <x v="3"/>
    <n v="7"/>
  </r>
  <r>
    <s v="ID0754"/>
    <d v="2012-05-26T16:34:18"/>
    <n v="240000"/>
    <s v="INR"/>
    <n v="4273.9000049862161"/>
    <s v="SR. ACCOUNTS EXECUTIVE"/>
    <x v="5"/>
    <s v="India"/>
    <x v="0"/>
    <x v="0"/>
    <n v="8"/>
  </r>
  <r>
    <s v="ID0755"/>
    <d v="2012-05-26T16:34:57"/>
    <n v="24000"/>
    <s v="GBP"/>
    <n v="37828.278529614821"/>
    <s v="Business Support Specialist"/>
    <x v="6"/>
    <s v="UK"/>
    <x v="14"/>
    <x v="1"/>
    <n v="8"/>
  </r>
  <r>
    <s v="ID0756"/>
    <d v="2012-05-26T16:50:08"/>
    <n v="11000"/>
    <s v="USD"/>
    <n v="11000"/>
    <s v="Assistant Manager - Group MIS"/>
    <x v="3"/>
    <s v="Sri Lanka"/>
    <x v="55"/>
    <x v="1"/>
    <n v="4.5"/>
  </r>
  <r>
    <s v="ID0757"/>
    <d v="2012-05-26T16:50:46"/>
    <n v="8000"/>
    <s v="USD"/>
    <n v="8000"/>
    <s v="Business Analyst"/>
    <x v="0"/>
    <s v="India"/>
    <x v="0"/>
    <x v="2"/>
    <n v="6"/>
  </r>
  <r>
    <s v="ID0758"/>
    <d v="2012-05-26T17:02:46"/>
    <n v="225000"/>
    <s v="INR"/>
    <n v="4006.7812546745777"/>
    <s v="MIS Executive"/>
    <x v="7"/>
    <s v="India"/>
    <x v="0"/>
    <x v="1"/>
    <n v="5.5"/>
  </r>
  <r>
    <s v="ID0759"/>
    <d v="2012-05-26T17:03:02"/>
    <n v="1488000"/>
    <s v="NAIRA"/>
    <n v="9171.0323574730355"/>
    <s v="Company Systems Integration Manager"/>
    <x v="3"/>
    <s v="Nigeria"/>
    <x v="61"/>
    <x v="2"/>
    <n v="5"/>
  </r>
  <r>
    <s v="ID0760"/>
    <d v="2012-05-26T17:03:26"/>
    <n v="240000"/>
    <s v="INR"/>
    <n v="4273.9000049862161"/>
    <s v="EXECUTIVE"/>
    <x v="0"/>
    <s v="India"/>
    <x v="0"/>
    <x v="2"/>
    <n v="20"/>
  </r>
  <r>
    <s v="ID0761"/>
    <d v="2012-05-26T17:04:23"/>
    <n v="700000"/>
    <s v="INR"/>
    <n v="12465.541681209797"/>
    <s v="Sales Management Analyst"/>
    <x v="0"/>
    <s v="India"/>
    <x v="0"/>
    <x v="1"/>
    <n v="5"/>
  </r>
  <r>
    <s v="ID0762"/>
    <d v="2012-05-26T17:06:48"/>
    <n v="24000"/>
    <s v="USD"/>
    <n v="24000"/>
    <s v="Asst Production Planner"/>
    <x v="0"/>
    <s v="India"/>
    <x v="0"/>
    <x v="2"/>
    <n v="1"/>
  </r>
  <r>
    <s v="ID0763"/>
    <d v="2012-05-26T17:07:30"/>
    <n v="20000"/>
    <s v="USD"/>
    <n v="20000"/>
    <s v="Consultat"/>
    <x v="8"/>
    <s v="Denmark"/>
    <x v="62"/>
    <x v="2"/>
    <n v="15"/>
  </r>
  <r>
    <s v="ID0764"/>
    <d v="2012-05-26T17:08:09"/>
    <n v="62000"/>
    <s v="USD"/>
    <n v="62000"/>
    <s v="System Analyst "/>
    <x v="0"/>
    <s v="USA"/>
    <x v="2"/>
    <x v="2"/>
    <n v="20"/>
  </r>
  <r>
    <s v="ID0765"/>
    <d v="2012-05-26T17:09:24"/>
    <n v="14960"/>
    <s v="USD"/>
    <n v="14960"/>
    <s v="Stock Controller"/>
    <x v="1"/>
    <s v="Saudi Arabia"/>
    <x v="22"/>
    <x v="1"/>
    <n v="2"/>
  </r>
  <r>
    <s v="ID0766"/>
    <d v="2012-05-26T17:10:20"/>
    <n v="120000"/>
    <s v="INR"/>
    <n v="2136.9500024931081"/>
    <s v="ACCOUNTANT"/>
    <x v="5"/>
    <s v="India"/>
    <x v="0"/>
    <x v="2"/>
    <n v="2"/>
  </r>
  <r>
    <s v="ID0767"/>
    <d v="2012-05-26T17:24:41"/>
    <n v="30232"/>
    <s v="USD"/>
    <n v="30232"/>
    <s v="Accounts Supervisor"/>
    <x v="5"/>
    <s v="KSA"/>
    <x v="2"/>
    <x v="2"/>
    <n v="5"/>
  </r>
  <r>
    <s v="ID0768"/>
    <d v="2012-05-26T17:24:41"/>
    <n v="41000"/>
    <s v="USD"/>
    <n v="41000"/>
    <s v="Business Analyst"/>
    <x v="0"/>
    <s v="USA"/>
    <x v="2"/>
    <x v="1"/>
    <n v="4"/>
  </r>
  <r>
    <s v="ID0769"/>
    <d v="2012-05-26T17:31:56"/>
    <n v="95000"/>
    <s v="AUD"/>
    <n v="96891.417358250401"/>
    <s v="Data Analyst - Report Writer"/>
    <x v="0"/>
    <s v="Australia"/>
    <x v="16"/>
    <x v="2"/>
    <n v="11"/>
  </r>
  <r>
    <s v="ID0770"/>
    <d v="2012-05-26T17:44:34"/>
    <n v="1200000"/>
    <s v="INR"/>
    <n v="21369.500024931083"/>
    <s v="Regional Formwork Head "/>
    <x v="3"/>
    <s v="India"/>
    <x v="0"/>
    <x v="1"/>
    <n v="14"/>
  </r>
  <r>
    <s v="ID0771"/>
    <d v="2012-05-26T17:47:00"/>
    <n v="205000"/>
    <s v="INR"/>
    <n v="3650.6229209257262"/>
    <s v="BRANCH ACCOUNTANT"/>
    <x v="5"/>
    <s v="India"/>
    <x v="0"/>
    <x v="1"/>
    <n v="10"/>
  </r>
  <r>
    <s v="ID0772"/>
    <d v="2012-05-26T17:47:10"/>
    <n v="19068"/>
    <s v="USD"/>
    <n v="19068"/>
    <s v="Accounting Head"/>
    <x v="5"/>
    <s v="Philippines"/>
    <x v="33"/>
    <x v="1"/>
    <n v="20"/>
  </r>
  <r>
    <s v="ID0773"/>
    <d v="2012-05-26T17:49:17"/>
    <n v="300000"/>
    <s v="INR"/>
    <n v="5342.3750062327708"/>
    <s v="OPEX CONTROL"/>
    <x v="1"/>
    <s v="India"/>
    <x v="0"/>
    <x v="1"/>
    <n v="4"/>
  </r>
  <r>
    <s v="ID0774"/>
    <d v="2012-05-26T17:51:27"/>
    <n v="48000"/>
    <s v="USD"/>
    <n v="48000"/>
    <s v="Consultant"/>
    <x v="8"/>
    <s v="Singapore"/>
    <x v="30"/>
    <x v="1"/>
    <n v="3"/>
  </r>
  <r>
    <s v="ID0775"/>
    <d v="2012-05-26T18:19:49"/>
    <n v="220000"/>
    <s v="INR"/>
    <n v="3917.7416712373652"/>
    <s v="Associate Software Engineer"/>
    <x v="2"/>
    <s v="India"/>
    <x v="0"/>
    <x v="0"/>
    <n v="2"/>
  </r>
  <r>
    <s v="ID0776"/>
    <d v="2012-05-26T18:29:06"/>
    <n v="13500"/>
    <s v="USD"/>
    <n v="13500"/>
    <s v="MIS"/>
    <x v="7"/>
    <s v="India"/>
    <x v="0"/>
    <x v="1"/>
    <n v="2.5"/>
  </r>
  <r>
    <s v="ID0777"/>
    <d v="2012-05-26T18:35:20"/>
    <n v="45000"/>
    <s v="USD"/>
    <n v="45000"/>
    <s v="AGM"/>
    <x v="3"/>
    <s v="India"/>
    <x v="0"/>
    <x v="3"/>
    <n v="15"/>
  </r>
  <r>
    <s v="ID0778"/>
    <d v="2012-05-26T18:38:41"/>
    <n v="55000"/>
    <s v="EUR"/>
    <n v="69871.969144538423"/>
    <s v="CFO"/>
    <x v="4"/>
    <s v="italy"/>
    <x v="63"/>
    <x v="2"/>
    <n v="18"/>
  </r>
  <r>
    <s v="ID0779"/>
    <d v="2012-05-26T18:41:31"/>
    <n v="480000"/>
    <s v="INR"/>
    <n v="8547.8000099724322"/>
    <s v="Banker"/>
    <x v="3"/>
    <s v="India"/>
    <x v="0"/>
    <x v="0"/>
    <n v="11"/>
  </r>
  <r>
    <s v="ID0780"/>
    <d v="2012-05-26T18:44:00"/>
    <n v="33600"/>
    <s v="AED"/>
    <n v="9146.5655463031271"/>
    <s v="Accountant"/>
    <x v="5"/>
    <s v="Dubai"/>
    <x v="34"/>
    <x v="3"/>
    <n v="7"/>
  </r>
  <r>
    <s v="ID0781"/>
    <d v="2012-05-26T18:56:52"/>
    <n v="570000"/>
    <s v="INR"/>
    <n v="10150.512511842264"/>
    <s v="Analyst"/>
    <x v="0"/>
    <s v="India"/>
    <x v="0"/>
    <x v="1"/>
    <n v="2.4"/>
  </r>
  <r>
    <s v="ID0782"/>
    <d v="2012-05-26T19:07:55"/>
    <n v="636000"/>
    <s v="INR"/>
    <n v="11325.835013213473"/>
    <s v="Program Manager"/>
    <x v="3"/>
    <s v="India"/>
    <x v="0"/>
    <x v="0"/>
    <n v="7"/>
  </r>
  <r>
    <s v="ID0783"/>
    <d v="2012-05-26T19:13:39"/>
    <n v="180000"/>
    <s v="PKR"/>
    <n v="1910.5359690238436"/>
    <s v="S&amp;D Reporting &amp; Analysis Team Leader"/>
    <x v="7"/>
    <s v="Pakistan"/>
    <x v="3"/>
    <x v="1"/>
    <n v="7"/>
  </r>
  <r>
    <s v="ID0784"/>
    <d v="2012-05-26T19:22:53"/>
    <n v="36000"/>
    <s v="USD"/>
    <n v="36000"/>
    <s v="Key Expert User"/>
    <x v="3"/>
    <s v="Australia"/>
    <x v="16"/>
    <x v="2"/>
    <n v="12"/>
  </r>
  <r>
    <s v="ID0785"/>
    <d v="2012-05-26T19:29:23"/>
    <n v="2250000"/>
    <s v="INR"/>
    <n v="40067.812546745779"/>
    <s v="company secretary"/>
    <x v="5"/>
    <s v="India"/>
    <x v="0"/>
    <x v="3"/>
    <n v="5"/>
  </r>
  <r>
    <s v="ID0786"/>
    <d v="2012-05-26T19:29:34"/>
    <n v="16000"/>
    <s v="USD"/>
    <n v="16000"/>
    <s v="Mis executiv"/>
    <x v="7"/>
    <s v="India"/>
    <x v="0"/>
    <x v="1"/>
    <n v="1"/>
  </r>
  <r>
    <s v="ID0787"/>
    <d v="2012-05-26T19:34:12"/>
    <n v="240000"/>
    <s v="INR"/>
    <n v="4273.9000049862161"/>
    <s v="Analyst"/>
    <x v="0"/>
    <s v="India"/>
    <x v="0"/>
    <x v="1"/>
    <n v="4"/>
  </r>
  <r>
    <s v="ID0788"/>
    <d v="2012-05-26T19:43:36"/>
    <n v="400000"/>
    <s v="INR"/>
    <n v="7123.1666749770275"/>
    <s v="Asst.Manager"/>
    <x v="3"/>
    <s v="India"/>
    <x v="0"/>
    <x v="0"/>
    <n v="7"/>
  </r>
  <r>
    <s v="ID0789"/>
    <d v="2012-05-26T20:08:21"/>
    <n v="10000"/>
    <s v="USD"/>
    <n v="10000"/>
    <s v="BDM"/>
    <x v="3"/>
    <s v="India"/>
    <x v="0"/>
    <x v="3"/>
    <n v="12"/>
  </r>
  <r>
    <s v="ID0790"/>
    <d v="2012-05-26T20:16:28"/>
    <n v="66000"/>
    <s v="CAD"/>
    <n v="64901.860520001574"/>
    <s v="Programmer-analyst"/>
    <x v="0"/>
    <s v="Canada"/>
    <x v="17"/>
    <x v="2"/>
    <n v="20"/>
  </r>
  <r>
    <s v="ID0791"/>
    <d v="2012-05-26T20:19:36"/>
    <n v="65000"/>
    <s v="USD"/>
    <n v="65000"/>
    <s v="security analyst"/>
    <x v="0"/>
    <s v="USA"/>
    <x v="2"/>
    <x v="2"/>
    <n v="10"/>
  </r>
  <r>
    <s v="ID0792"/>
    <d v="2012-05-26T20:20:34"/>
    <n v="450000"/>
    <s v="INR"/>
    <n v="8013.5625093491553"/>
    <s v="Material Planner"/>
    <x v="3"/>
    <s v="India"/>
    <x v="0"/>
    <x v="1"/>
    <n v="1.5"/>
  </r>
  <r>
    <s v="ID0793"/>
    <d v="2012-05-26T20:27:19"/>
    <n v="100000"/>
    <s v="CAD"/>
    <n v="98336.152303032693"/>
    <s v="VP Infrastructure"/>
    <x v="4"/>
    <s v="Canada"/>
    <x v="17"/>
    <x v="0"/>
    <n v="5"/>
  </r>
  <r>
    <s v="ID0794"/>
    <d v="2012-05-26T20:31:30"/>
    <n v="150000"/>
    <s v="INR"/>
    <n v="2671.1875031163854"/>
    <s v="WORKING WITH PRODUCT TEAM OF MAKEMYTRIP.COM"/>
    <x v="0"/>
    <s v="India"/>
    <x v="0"/>
    <x v="0"/>
    <n v="2"/>
  </r>
  <r>
    <s v="ID0795"/>
    <d v="2012-05-26T20:50:07"/>
    <n v="96000"/>
    <s v="USD"/>
    <n v="96000"/>
    <s v="MIS Executive"/>
    <x v="7"/>
    <s v="India"/>
    <x v="0"/>
    <x v="1"/>
    <n v="8"/>
  </r>
  <r>
    <s v="ID0796"/>
    <d v="2012-05-26T20:57:13"/>
    <n v="1152000"/>
    <s v="INR"/>
    <n v="20514.720023933838"/>
    <s v="Cashier"/>
    <x v="5"/>
    <s v="India"/>
    <x v="0"/>
    <x v="0"/>
    <n v="6"/>
  </r>
  <r>
    <s v="ID0797"/>
    <d v="2012-05-26T20:57:17"/>
    <n v="15000"/>
    <s v="EUR"/>
    <n v="19055.991584874118"/>
    <s v="Technician"/>
    <x v="0"/>
    <s v="Spain"/>
    <x v="48"/>
    <x v="2"/>
    <n v="10"/>
  </r>
  <r>
    <s v="ID0798"/>
    <d v="2012-05-26T21:00:40"/>
    <n v="65000"/>
    <s v="AUD"/>
    <n v="66294.12766617132"/>
    <s v="Market analyst"/>
    <x v="0"/>
    <s v="Australia"/>
    <x v="16"/>
    <x v="1"/>
    <n v="10"/>
  </r>
  <r>
    <s v="ID0799"/>
    <d v="2012-05-26T21:05:35"/>
    <n v="377000"/>
    <s v="INR"/>
    <n v="6713.584591165848"/>
    <s v="Team Developer"/>
    <x v="0"/>
    <s v="India"/>
    <x v="0"/>
    <x v="3"/>
    <n v="7"/>
  </r>
  <r>
    <s v="ID0800"/>
    <d v="2012-05-26T21:07:14"/>
    <n v="29000"/>
    <s v="GBP"/>
    <n v="45709.169889951241"/>
    <s v="Reporting Assistant"/>
    <x v="7"/>
    <s v="UK"/>
    <x v="14"/>
    <x v="2"/>
    <n v="15"/>
  </r>
  <r>
    <s v="ID0801"/>
    <d v="2012-05-26T21:10:20"/>
    <n v="48500"/>
    <s v="USD"/>
    <n v="48500"/>
    <s v="Loss Prevention Finance Coordinator"/>
    <x v="3"/>
    <s v="USA"/>
    <x v="2"/>
    <x v="2"/>
    <n v="10"/>
  </r>
  <r>
    <s v="ID0802"/>
    <d v="2012-05-26T21:13:02"/>
    <n v="600000"/>
    <s v="INR"/>
    <n v="10684.750012465542"/>
    <s v="MIS Analyst"/>
    <x v="0"/>
    <s v="India"/>
    <x v="0"/>
    <x v="1"/>
    <n v="4"/>
  </r>
  <r>
    <s v="ID0803"/>
    <d v="2012-05-26T21:13:51"/>
    <n v="33900"/>
    <s v="USD"/>
    <n v="33900"/>
    <s v="Administrative Assistant"/>
    <x v="0"/>
    <s v="USA"/>
    <x v="2"/>
    <x v="2"/>
    <n v="10"/>
  </r>
  <r>
    <s v="ID0804"/>
    <d v="2012-05-26T21:24:39"/>
    <n v="900000"/>
    <s v="ZAR"/>
    <n v="109729.60187662003"/>
    <s v="Business Analyst"/>
    <x v="0"/>
    <s v="South Africa"/>
    <x v="11"/>
    <x v="1"/>
    <n v="40"/>
  </r>
  <r>
    <s v="ID0805"/>
    <d v="2012-05-26T21:27:01"/>
    <n v="850000"/>
    <s v="INR"/>
    <n v="15136.729184326183"/>
    <s v="Senior Research Analyst"/>
    <x v="0"/>
    <s v="India"/>
    <x v="0"/>
    <x v="0"/>
    <n v="2"/>
  </r>
  <r>
    <s v="ID0806"/>
    <d v="2012-05-26T21:27:17"/>
    <n v="85000"/>
    <s v="USD"/>
    <n v="85000"/>
    <s v="Director, IT/Operations"/>
    <x v="4"/>
    <s v="USA"/>
    <x v="2"/>
    <x v="0"/>
    <n v="15"/>
  </r>
  <r>
    <s v="ID0807"/>
    <d v="2012-05-26T21:40:49"/>
    <n v="450000"/>
    <s v="INR"/>
    <n v="8013.5625093491553"/>
    <s v="Sr. Executive"/>
    <x v="3"/>
    <s v="India"/>
    <x v="0"/>
    <x v="0"/>
    <n v="6"/>
  </r>
  <r>
    <s v="ID0808"/>
    <d v="2012-05-26T21:43:54"/>
    <n v="48000"/>
    <s v="USD"/>
    <n v="48000"/>
    <s v="Operations Support Coordinator"/>
    <x v="3"/>
    <s v="USA"/>
    <x v="2"/>
    <x v="2"/>
    <n v="16"/>
  </r>
  <r>
    <s v="ID0809"/>
    <d v="2012-05-26T21:56:36"/>
    <n v="170000"/>
    <s v="INR"/>
    <n v="3027.3458368652364"/>
    <s v="Sr. Executive MIS"/>
    <x v="7"/>
    <s v="India"/>
    <x v="0"/>
    <x v="0"/>
    <n v="2"/>
  </r>
  <r>
    <s v="ID0810"/>
    <d v="2012-05-26T21:56:49"/>
    <n v="13100"/>
    <s v="USD"/>
    <n v="13100"/>
    <s v="accountant"/>
    <x v="5"/>
    <s v="India"/>
    <x v="0"/>
    <x v="2"/>
    <n v="5"/>
  </r>
  <r>
    <s v="ID0811"/>
    <d v="2012-05-26T22:02:53"/>
    <n v="60000"/>
    <s v="USD"/>
    <n v="60000"/>
    <s v="Audit Manager"/>
    <x v="3"/>
    <s v="UAE"/>
    <x v="21"/>
    <x v="2"/>
    <n v="15"/>
  </r>
  <r>
    <s v="ID0812"/>
    <d v="2012-05-26T22:07:39"/>
    <n v="24000"/>
    <s v="USD"/>
    <n v="24000"/>
    <s v="Logistic KA Manager"/>
    <x v="3"/>
    <s v="Croatia"/>
    <x v="1"/>
    <x v="2"/>
    <n v="5"/>
  </r>
  <r>
    <s v="ID0813"/>
    <d v="2012-05-26T22:08:56"/>
    <n v="240000"/>
    <s v="INR"/>
    <n v="4273.9000049862161"/>
    <s v="MANAGER"/>
    <x v="3"/>
    <s v="India"/>
    <x v="0"/>
    <x v="2"/>
    <n v="3"/>
  </r>
  <r>
    <s v="ID0814"/>
    <d v="2012-05-26T22:16:10"/>
    <n v="650000"/>
    <s v="INR"/>
    <n v="11575.14584683767"/>
    <s v="Deputy Manager"/>
    <x v="3"/>
    <s v="India"/>
    <x v="0"/>
    <x v="2"/>
    <n v="5"/>
  </r>
  <r>
    <s v="ID0815"/>
    <d v="2012-05-26T22:22:58"/>
    <n v="95000"/>
    <s v="USD"/>
    <n v="95000"/>
    <s v="Business Analyst"/>
    <x v="0"/>
    <s v="USA"/>
    <x v="2"/>
    <x v="2"/>
    <n v="13"/>
  </r>
  <r>
    <s v="ID0816"/>
    <d v="2012-05-26T22:23:38"/>
    <n v="516000"/>
    <s v="INR"/>
    <n v="9188.8850107203652"/>
    <s v="Management Trainee"/>
    <x v="3"/>
    <s v="India"/>
    <x v="0"/>
    <x v="0"/>
    <n v="0"/>
  </r>
  <r>
    <s v="ID0817"/>
    <d v="2012-05-26T22:29:16"/>
    <n v="504000"/>
    <s v="INR"/>
    <n v="8975.1900104710548"/>
    <s v="MNR"/>
    <x v="3"/>
    <s v="India"/>
    <x v="0"/>
    <x v="1"/>
    <n v="3"/>
  </r>
  <r>
    <s v="ID0818"/>
    <d v="2012-05-26T22:29:21"/>
    <n v="144000"/>
    <s v="INR"/>
    <n v="2564.3400029917298"/>
    <s v="BPO information process enabler"/>
    <x v="0"/>
    <s v="India"/>
    <x v="0"/>
    <x v="1"/>
    <n v="1"/>
  </r>
  <r>
    <s v="ID0820"/>
    <d v="2012-05-26T22:43:11"/>
    <n v="55000"/>
    <s v="GBP"/>
    <n v="86689.804963700633"/>
    <s v="Financial controller"/>
    <x v="1"/>
    <s v="UK"/>
    <x v="14"/>
    <x v="0"/>
    <n v="12"/>
  </r>
  <r>
    <s v="ID0821"/>
    <d v="2012-05-26T22:43:12"/>
    <n v="15500"/>
    <s v="USD"/>
    <n v="15500"/>
    <s v="Engineer"/>
    <x v="2"/>
    <s v="India"/>
    <x v="0"/>
    <x v="3"/>
    <n v="3"/>
  </r>
  <r>
    <s v="ID0822"/>
    <d v="2012-05-26T22:45:14"/>
    <n v="300000"/>
    <s v="BRL"/>
    <n v="148284.35006969364"/>
    <s v="Market Intelligence Analyst"/>
    <x v="0"/>
    <s v="Brazil"/>
    <x v="24"/>
    <x v="1"/>
    <n v="3"/>
  </r>
  <r>
    <s v="ID0823"/>
    <d v="2012-05-26T22:48:11"/>
    <n v="600000"/>
    <s v="INR"/>
    <n v="10684.750012465542"/>
    <s v="Reporting Analyst"/>
    <x v="0"/>
    <s v="India"/>
    <x v="0"/>
    <x v="1"/>
    <n v="5"/>
  </r>
  <r>
    <s v="ID0824"/>
    <d v="2012-05-26T22:49:34"/>
    <n v="75000"/>
    <s v="USD"/>
    <n v="75000"/>
    <s v="sr financial analyst"/>
    <x v="0"/>
    <s v="USA"/>
    <x v="2"/>
    <x v="2"/>
    <n v="27"/>
  </r>
  <r>
    <s v="ID0825"/>
    <d v="2012-05-26T22:53:35"/>
    <n v="12000"/>
    <s v="USD"/>
    <n v="12000"/>
    <s v="Investment manager"/>
    <x v="3"/>
    <s v="Ukraine"/>
    <x v="6"/>
    <x v="0"/>
    <n v="5"/>
  </r>
  <r>
    <s v="ID0826"/>
    <d v="2012-05-26T23:02:00"/>
    <n v="1700000"/>
    <s v="INR"/>
    <n v="30273.458368652366"/>
    <s v="Operations Lead"/>
    <x v="3"/>
    <s v="India"/>
    <x v="0"/>
    <x v="1"/>
    <n v="1.1000000000000001"/>
  </r>
  <r>
    <s v="ID0827"/>
    <d v="2012-05-26T23:03:21"/>
    <n v="30000"/>
    <s v="USD"/>
    <n v="30000"/>
    <s v="Financial Control Section Headm"/>
    <x v="1"/>
    <s v="Inonesia"/>
    <x v="56"/>
    <x v="0"/>
    <n v="7"/>
  </r>
  <r>
    <s v="ID0828"/>
    <d v="2012-05-26T23:03:59"/>
    <n v="360000"/>
    <s v="INR"/>
    <n v="6410.8500074793246"/>
    <s v="Application Developer"/>
    <x v="0"/>
    <s v="India"/>
    <x v="0"/>
    <x v="1"/>
    <n v="4"/>
  </r>
  <r>
    <s v="ID0829"/>
    <d v="2012-05-26T23:04:02"/>
    <n v="100000"/>
    <s v="USD"/>
    <n v="100000"/>
    <s v="director"/>
    <x v="4"/>
    <s v="USA"/>
    <x v="2"/>
    <x v="0"/>
    <n v="10"/>
  </r>
  <r>
    <s v="ID0830"/>
    <d v="2012-05-26T23:04:53"/>
    <n v="42000"/>
    <s v="EUR"/>
    <n v="53356.776437647524"/>
    <s v="Project Engineer"/>
    <x v="2"/>
    <s v="The Netherlands"/>
    <x v="18"/>
    <x v="0"/>
    <n v="2"/>
  </r>
  <r>
    <s v="ID0831"/>
    <d v="2012-05-26T23:05:15"/>
    <n v="40000"/>
    <s v="USD"/>
    <n v="40000"/>
    <s v="High School Teacher"/>
    <x v="3"/>
    <s v="USA"/>
    <x v="2"/>
    <x v="2"/>
    <n v="20"/>
  </r>
  <r>
    <s v="ID0832"/>
    <d v="2012-05-26T23:14:58"/>
    <n v="550000"/>
    <s v="INR"/>
    <n v="9794.354178093412"/>
    <s v="web analyst"/>
    <x v="0"/>
    <s v="India"/>
    <x v="0"/>
    <x v="0"/>
    <n v="1"/>
  </r>
  <r>
    <s v="ID0833"/>
    <d v="2012-05-26T23:15:18"/>
    <n v="65000"/>
    <s v="RON"/>
    <n v="18499.860539512854"/>
    <s v="HR Planning Specialist"/>
    <x v="6"/>
    <s v="Romania"/>
    <x v="38"/>
    <x v="0"/>
    <n v="6"/>
  </r>
  <r>
    <s v="ID0834"/>
    <d v="2012-05-26T23:17:09"/>
    <n v="15600"/>
    <s v="EUR"/>
    <n v="19818.231248269083"/>
    <s v="Managment controller"/>
    <x v="1"/>
    <s v="Portugal"/>
    <x v="7"/>
    <x v="0"/>
    <n v="5"/>
  </r>
  <r>
    <s v="ID0835"/>
    <d v="2012-05-26T23:21:57"/>
    <n v="600000"/>
    <s v="INR"/>
    <n v="10684.750012465542"/>
    <s v="AO"/>
    <x v="3"/>
    <s v="India"/>
    <x v="0"/>
    <x v="1"/>
    <n v="20"/>
  </r>
  <r>
    <s v="ID0836"/>
    <d v="2012-05-26T23:36:14"/>
    <n v="600000"/>
    <s v="INR"/>
    <n v="10684.750012465542"/>
    <s v="Project Manager"/>
    <x v="3"/>
    <s v="India"/>
    <x v="0"/>
    <x v="2"/>
    <n v="18"/>
  </r>
  <r>
    <s v="ID0837"/>
    <d v="2012-05-26T23:38:24"/>
    <n v="1000000"/>
    <s v="INR"/>
    <n v="17807.916687442568"/>
    <s v="business analyist"/>
    <x v="0"/>
    <s v="India"/>
    <x v="0"/>
    <x v="0"/>
    <n v="10"/>
  </r>
  <r>
    <s v="ID0838"/>
    <d v="2012-05-26T23:47:34"/>
    <n v="13000"/>
    <s v="USD"/>
    <n v="13000"/>
    <s v="Business Analyst"/>
    <x v="0"/>
    <s v="India"/>
    <x v="0"/>
    <x v="1"/>
    <n v="6"/>
  </r>
  <r>
    <s v="ID0839"/>
    <d v="2012-05-26T23:58:53"/>
    <n v="900000"/>
    <s v="INR"/>
    <n v="16027.125018698311"/>
    <s v="Deputy Manager"/>
    <x v="3"/>
    <s v="India"/>
    <x v="0"/>
    <x v="3"/>
    <n v="9"/>
  </r>
  <r>
    <s v="ID0840"/>
    <d v="2012-05-27T00:02:45"/>
    <n v="85000"/>
    <s v="USD"/>
    <n v="85000"/>
    <s v="actuary"/>
    <x v="5"/>
    <s v="USA"/>
    <x v="2"/>
    <x v="1"/>
    <n v="1"/>
  </r>
  <r>
    <s v="ID0841"/>
    <d v="2012-05-27T00:07:52"/>
    <n v="6000"/>
    <s v="USD"/>
    <n v="6000"/>
    <s v="Analysis Quality"/>
    <x v="0"/>
    <s v="Colombia - South America"/>
    <x v="28"/>
    <x v="3"/>
    <n v="10"/>
  </r>
  <r>
    <s v="ID0842"/>
    <d v="2012-05-27T00:12:53"/>
    <n v="30000"/>
    <s v="USD"/>
    <n v="30000"/>
    <s v="MIS Executive"/>
    <x v="7"/>
    <s v="India"/>
    <x v="0"/>
    <x v="0"/>
    <n v="2"/>
  </r>
  <r>
    <s v="ID0844"/>
    <d v="2012-05-27T00:19:04"/>
    <n v="100000"/>
    <s v="GBP"/>
    <n v="157617.8272067284"/>
    <s v="Financial Controller"/>
    <x v="1"/>
    <s v="UK"/>
    <x v="14"/>
    <x v="2"/>
    <n v="20"/>
  </r>
  <r>
    <s v="ID0845"/>
    <d v="2012-05-27T00:33:06"/>
    <n v="1200000"/>
    <s v="INR"/>
    <n v="21369.500024931083"/>
    <s v="project manager"/>
    <x v="3"/>
    <s v="India"/>
    <x v="0"/>
    <x v="3"/>
    <n v="18"/>
  </r>
  <r>
    <s v="ID0846"/>
    <d v="2012-05-27T00:53:20"/>
    <n v="200000"/>
    <s v="INR"/>
    <n v="3561.5833374885137"/>
    <s v="Bio-Statiscian"/>
    <x v="7"/>
    <s v="India"/>
    <x v="0"/>
    <x v="0"/>
    <n v="1"/>
  </r>
  <r>
    <s v="ID0847"/>
    <d v="2012-05-27T01:04:46"/>
    <n v="5000"/>
    <s v="USD"/>
    <n v="5000"/>
    <s v="Management Intern"/>
    <x v="3"/>
    <s v="India"/>
    <x v="0"/>
    <x v="0"/>
    <n v="1"/>
  </r>
  <r>
    <s v="ID0848"/>
    <d v="2012-05-27T01:22:06"/>
    <n v="200000"/>
    <s v="INR"/>
    <n v="3561.5833374885137"/>
    <s v="Sales Analyst"/>
    <x v="0"/>
    <s v="India"/>
    <x v="0"/>
    <x v="0"/>
    <n v="2"/>
  </r>
  <r>
    <s v="ID0849"/>
    <d v="2012-05-27T01:30:55"/>
    <n v="30000"/>
    <s v="EUR"/>
    <n v="38111.983169748237"/>
    <s v="financialcotroller"/>
    <x v="5"/>
    <s v="portugal"/>
    <x v="7"/>
    <x v="1"/>
    <n v="8"/>
  </r>
  <r>
    <s v="ID0850"/>
    <d v="2012-05-27T01:41:11"/>
    <n v="1000000"/>
    <s v="INR"/>
    <n v="17807.916687442568"/>
    <s v="HR Analyst"/>
    <x v="0"/>
    <s v="India"/>
    <x v="0"/>
    <x v="0"/>
    <n v="6.5"/>
  </r>
  <r>
    <s v="ID0851"/>
    <d v="2012-05-27T01:46:00"/>
    <n v="650000"/>
    <s v="INR"/>
    <n v="11575.14584683767"/>
    <s v="Financial Analyist"/>
    <x v="0"/>
    <s v="India"/>
    <x v="0"/>
    <x v="1"/>
    <n v="3.5"/>
  </r>
  <r>
    <s v="ID0852"/>
    <d v="2012-05-27T02:33:22"/>
    <n v="100000"/>
    <s v="CAD"/>
    <n v="98336.152303032693"/>
    <s v="Marketing Manager"/>
    <x v="3"/>
    <s v="Canada"/>
    <x v="17"/>
    <x v="2"/>
    <n v="10"/>
  </r>
  <r>
    <s v="ID0854"/>
    <d v="2012-05-27T03:06:02"/>
    <n v="92500"/>
    <s v="USD"/>
    <n v="92500"/>
    <s v="Dir of Analytics"/>
    <x v="0"/>
    <s v="USA"/>
    <x v="2"/>
    <x v="2"/>
    <n v="15"/>
  </r>
  <r>
    <s v="ID0855"/>
    <d v="2012-05-27T03:16:05"/>
    <n v="550000"/>
    <s v="INR"/>
    <n v="9794.354178093412"/>
    <s v="Analyst"/>
    <x v="0"/>
    <s v="India"/>
    <x v="0"/>
    <x v="0"/>
    <n v="1"/>
  </r>
  <r>
    <s v="ID0856"/>
    <d v="2012-05-27T03:19:29"/>
    <n v="32000"/>
    <s v="USD"/>
    <n v="32000"/>
    <s v="Reporting Manager"/>
    <x v="3"/>
    <s v="USA"/>
    <x v="2"/>
    <x v="0"/>
    <n v="1"/>
  </r>
  <r>
    <s v="ID0857"/>
    <d v="2012-05-27T03:25:05"/>
    <n v="55000"/>
    <s v="USD"/>
    <n v="55000"/>
    <s v="Analyst"/>
    <x v="0"/>
    <s v="USA"/>
    <x v="2"/>
    <x v="0"/>
    <n v="10"/>
  </r>
  <r>
    <s v="ID0858"/>
    <d v="2012-05-27T03:25:53"/>
    <n v="40000"/>
    <s v="USD"/>
    <n v="40000"/>
    <s v="Data Research Assistant"/>
    <x v="0"/>
    <s v="USA"/>
    <x v="2"/>
    <x v="1"/>
    <n v="4"/>
  </r>
  <r>
    <s v="ID0859"/>
    <d v="2012-05-27T03:37:32"/>
    <n v="3000"/>
    <s v="USD"/>
    <n v="3000"/>
    <s v="Statistical Analyst"/>
    <x v="0"/>
    <s v="Pakistan"/>
    <x v="3"/>
    <x v="2"/>
    <n v="2"/>
  </r>
  <r>
    <s v="ID0860"/>
    <d v="2012-05-27T03:37:36"/>
    <n v="43600"/>
    <s v="USD"/>
    <n v="43600"/>
    <s v="Data Analyst"/>
    <x v="0"/>
    <s v="USA"/>
    <x v="2"/>
    <x v="0"/>
    <n v="5"/>
  </r>
  <r>
    <s v="ID0861"/>
    <d v="2012-05-27T04:00:14"/>
    <n v="540000"/>
    <s v="INR"/>
    <n v="9616.275011218986"/>
    <s v="Senior analyst"/>
    <x v="0"/>
    <s v="India"/>
    <x v="0"/>
    <x v="1"/>
    <n v="8"/>
  </r>
  <r>
    <s v="ID0862"/>
    <d v="2012-05-27T04:05:28"/>
    <n v="35000"/>
    <s v="USD"/>
    <n v="35000"/>
    <s v="Purchasing Manager"/>
    <x v="3"/>
    <s v="Uruguay"/>
    <x v="64"/>
    <x v="1"/>
    <n v="10"/>
  </r>
  <r>
    <s v="ID0863"/>
    <d v="2012-05-27T04:07:07"/>
    <n v="12000"/>
    <s v="USD"/>
    <n v="12000"/>
    <s v="Guide for About.com"/>
    <x v="8"/>
    <s v="Spain"/>
    <x v="48"/>
    <x v="2"/>
    <n v="15"/>
  </r>
  <r>
    <s v="ID0864"/>
    <d v="2012-05-27T04:12:04"/>
    <n v="5000"/>
    <s v="USD"/>
    <n v="5000"/>
    <s v="Policy advisor"/>
    <x v="8"/>
    <s v="Aruba"/>
    <x v="65"/>
    <x v="3"/>
    <n v="13"/>
  </r>
  <r>
    <s v="ID0865"/>
    <d v="2012-05-27T04:31:08"/>
    <n v="134000"/>
    <s v="ZAR"/>
    <n v="16337.518501630093"/>
    <s v="Data Analyst"/>
    <x v="0"/>
    <s v="South Africa"/>
    <x v="11"/>
    <x v="0"/>
    <n v="2"/>
  </r>
  <r>
    <s v="ID0866"/>
    <d v="2012-05-27T04:40:33"/>
    <n v="65000"/>
    <s v="USD"/>
    <n v="65000"/>
    <s v="Security Access Governance Analyst"/>
    <x v="0"/>
    <s v="USA"/>
    <x v="2"/>
    <x v="3"/>
    <n v="8"/>
  </r>
  <r>
    <s v="ID0867"/>
    <d v="2012-05-27T06:17:41"/>
    <n v="40000"/>
    <s v="USD"/>
    <n v="40000"/>
    <s v="IT Capacity Planner"/>
    <x v="0"/>
    <s v="USA"/>
    <x v="2"/>
    <x v="1"/>
    <n v="2"/>
  </r>
  <r>
    <s v="ID0868"/>
    <d v="2012-05-27T06:37:13"/>
    <n v="98000"/>
    <s v="USD"/>
    <n v="98000"/>
    <s v="supply chain manager"/>
    <x v="3"/>
    <s v="indonesia"/>
    <x v="56"/>
    <x v="2"/>
    <n v="14"/>
  </r>
  <r>
    <s v="ID0869"/>
    <d v="2012-05-27T06:37:15"/>
    <n v="50000"/>
    <s v="USD"/>
    <n v="50000"/>
    <s v="Boss"/>
    <x v="4"/>
    <s v="USA"/>
    <x v="2"/>
    <x v="1"/>
    <n v="15"/>
  </r>
  <r>
    <s v="ID0870"/>
    <d v="2012-05-27T07:19:14"/>
    <n v="135000"/>
    <s v="USD"/>
    <n v="135000"/>
    <s v="Director, P&amp;A"/>
    <x v="4"/>
    <s v="USA"/>
    <x v="2"/>
    <x v="0"/>
    <n v="25"/>
  </r>
  <r>
    <s v="ID0871"/>
    <d v="2012-05-27T08:07:40"/>
    <n v="125000"/>
    <s v="USD"/>
    <n v="125000"/>
    <s v="Project controls manager"/>
    <x v="3"/>
    <s v="Norway"/>
    <x v="47"/>
    <x v="0"/>
    <n v="6"/>
  </r>
  <r>
    <s v="ID0872"/>
    <d v="2012-05-27T08:54:28"/>
    <n v="4500"/>
    <s v="USD"/>
    <n v="4500"/>
    <s v="senior associate"/>
    <x v="0"/>
    <s v="indonesia"/>
    <x v="56"/>
    <x v="2"/>
    <n v="4"/>
  </r>
  <r>
    <s v="ID0873"/>
    <d v="2012-05-27T08:55:36"/>
    <n v="115000"/>
    <s v="USD"/>
    <n v="115000"/>
    <s v="Principal Financial Analyst"/>
    <x v="0"/>
    <s v="USA"/>
    <x v="2"/>
    <x v="0"/>
    <n v="10"/>
  </r>
  <r>
    <s v="ID0874"/>
    <d v="2012-05-27T09:17:47"/>
    <n v="70000"/>
    <s v="USD"/>
    <n v="70000"/>
    <s v="Financial Analyst"/>
    <x v="0"/>
    <s v="USA"/>
    <x v="2"/>
    <x v="1"/>
    <n v="15"/>
  </r>
  <r>
    <s v="ID0875"/>
    <d v="2012-05-27T09:49:30"/>
    <n v="60000"/>
    <s v="USD"/>
    <n v="60000"/>
    <s v="Store keeper"/>
    <x v="0"/>
    <s v="USA"/>
    <x v="2"/>
    <x v="2"/>
    <n v="8"/>
  </r>
  <r>
    <s v="ID0876"/>
    <d v="2012-05-27T10:13:27"/>
    <n v="87456"/>
    <s v="USD"/>
    <n v="87456"/>
    <s v="qa team supervisor "/>
    <x v="3"/>
    <s v="USA"/>
    <x v="2"/>
    <x v="2"/>
    <n v="12"/>
  </r>
  <r>
    <s v="ID0877"/>
    <d v="2012-05-27T11:32:17"/>
    <n v="26400"/>
    <s v="USD"/>
    <n v="26400"/>
    <s v="Supply Chain Administrator"/>
    <x v="0"/>
    <s v="UAE"/>
    <x v="21"/>
    <x v="1"/>
    <n v="6"/>
  </r>
  <r>
    <s v="ID0878"/>
    <d v="2012-05-27T11:50:16"/>
    <n v="12000"/>
    <s v="USD"/>
    <n v="12000"/>
    <s v="sup"/>
    <x v="3"/>
    <s v="UAE"/>
    <x v="21"/>
    <x v="1"/>
    <n v="18"/>
  </r>
  <r>
    <s v="ID0879"/>
    <d v="2012-05-27T12:03:51"/>
    <n v="144000"/>
    <s v="INR"/>
    <n v="2564.3400029917298"/>
    <s v="Cost Trainee"/>
    <x v="0"/>
    <s v="India"/>
    <x v="0"/>
    <x v="0"/>
    <n v="1"/>
  </r>
  <r>
    <s v="ID0880"/>
    <d v="2012-05-27T12:32:45"/>
    <n v="62000"/>
    <s v="USD"/>
    <n v="62000"/>
    <s v="Deputy Manager Finance"/>
    <x v="3"/>
    <s v="Qatar"/>
    <x v="66"/>
    <x v="1"/>
    <n v="11"/>
  </r>
  <r>
    <s v="ID0881"/>
    <d v="2012-05-27T12:35:15"/>
    <n v="300000"/>
    <s v="INR"/>
    <n v="5342.3750062327708"/>
    <s v="Sales"/>
    <x v="0"/>
    <s v="India"/>
    <x v="0"/>
    <x v="3"/>
    <n v="10"/>
  </r>
  <r>
    <s v="ID0882"/>
    <d v="2012-05-27T12:37:02"/>
    <n v="40000"/>
    <s v="EUR"/>
    <n v="50815.977559664309"/>
    <s v="Medical information analist"/>
    <x v="0"/>
    <s v="Netherlands"/>
    <x v="18"/>
    <x v="0"/>
    <n v="4"/>
  </r>
  <r>
    <s v="ID0883"/>
    <d v="2012-05-27T12:41:29"/>
    <n v="25560"/>
    <s v="USD"/>
    <n v="25560"/>
    <s v="Training Coordinator"/>
    <x v="3"/>
    <s v="saudi arabia"/>
    <x v="22"/>
    <x v="0"/>
    <n v="3"/>
  </r>
  <r>
    <s v="ID0884"/>
    <d v="2012-05-27T12:57:51"/>
    <n v="720000"/>
    <s v="INR"/>
    <n v="12821.700014958649"/>
    <s v="Article (Internship) - CA"/>
    <x v="5"/>
    <s v="India"/>
    <x v="0"/>
    <x v="0"/>
    <n v="3"/>
  </r>
  <r>
    <s v="ID0885"/>
    <d v="2012-05-27T13:06:50"/>
    <n v="600000"/>
    <s v="INR"/>
    <n v="10684.750012465542"/>
    <s v="Asst Manager"/>
    <x v="3"/>
    <s v="India"/>
    <x v="0"/>
    <x v="1"/>
    <n v="5"/>
  </r>
  <r>
    <s v="ID0886"/>
    <d v="2012-05-27T13:27:19"/>
    <n v="420000"/>
    <s v="PKR"/>
    <n v="4457.9172610556352"/>
    <s v="Assistant Manager"/>
    <x v="3"/>
    <s v="Pakistan"/>
    <x v="3"/>
    <x v="1"/>
    <n v="4"/>
  </r>
  <r>
    <s v="ID0887"/>
    <d v="2012-05-27T13:29:52"/>
    <n v="125000"/>
    <s v="USD"/>
    <n v="125000"/>
    <s v="Commercial Director"/>
    <x v="4"/>
    <s v="South Africa"/>
    <x v="11"/>
    <x v="0"/>
    <n v="20"/>
  </r>
  <r>
    <s v="ID0888"/>
    <d v="2012-05-27T13:34:12"/>
    <n v="43000"/>
    <s v="USD"/>
    <n v="43000"/>
    <s v="Financial Analyst"/>
    <x v="0"/>
    <s v="USA"/>
    <x v="2"/>
    <x v="0"/>
    <n v="1"/>
  </r>
  <r>
    <s v="ID0889"/>
    <d v="2012-05-27T13:41:04"/>
    <n v="400000"/>
    <s v="INR"/>
    <n v="7123.1666749770275"/>
    <s v="engineer"/>
    <x v="2"/>
    <s v="India"/>
    <x v="0"/>
    <x v="2"/>
    <n v="6"/>
  </r>
  <r>
    <s v="ID0890"/>
    <d v="2012-05-27T13:41:05"/>
    <n v="10000"/>
    <s v="USD"/>
    <n v="10000"/>
    <s v="Finance Staff"/>
    <x v="5"/>
    <s v="Viet Nam"/>
    <x v="67"/>
    <x v="0"/>
    <n v="4"/>
  </r>
  <r>
    <s v="ID0891"/>
    <d v="2012-05-27T13:42:15"/>
    <n v="500000"/>
    <s v="INR"/>
    <n v="8903.9583437212841"/>
    <s v="team coach"/>
    <x v="3"/>
    <s v="India"/>
    <x v="0"/>
    <x v="3"/>
    <n v="5"/>
  </r>
  <r>
    <s v="ID0892"/>
    <d v="2012-05-27T13:45:47"/>
    <n v="36500"/>
    <s v="USD"/>
    <n v="36500"/>
    <s v="Accountant"/>
    <x v="5"/>
    <s v="Saudi Arabia"/>
    <x v="22"/>
    <x v="0"/>
    <n v="15"/>
  </r>
  <r>
    <s v="ID0893"/>
    <d v="2012-05-27T13:52:53"/>
    <n v="100000"/>
    <s v="USD"/>
    <n v="100000"/>
    <s v="Director"/>
    <x v="4"/>
    <s v="MÃ©xico"/>
    <x v="26"/>
    <x v="1"/>
    <n v="10"/>
  </r>
  <r>
    <s v="ID0894"/>
    <d v="2012-05-27T14:04:31"/>
    <n v="400000"/>
    <s v="INR"/>
    <n v="7123.1666749770275"/>
    <s v="Accountancy"/>
    <x v="5"/>
    <s v="India"/>
    <x v="0"/>
    <x v="2"/>
    <n v="8"/>
  </r>
  <r>
    <s v="ID0895"/>
    <d v="2012-05-27T14:22:11"/>
    <n v="2300000"/>
    <s v="INR"/>
    <n v="40958.208381117904"/>
    <s v="Manager - Business Planning &amp; Reporting"/>
    <x v="3"/>
    <s v="India"/>
    <x v="0"/>
    <x v="2"/>
    <n v="8"/>
  </r>
  <r>
    <s v="ID0896"/>
    <d v="2012-05-27T14:27:33"/>
    <n v="1200000"/>
    <s v="INR"/>
    <n v="21369.500024931083"/>
    <s v="ASST VICE PREDISDENT"/>
    <x v="4"/>
    <s v="India"/>
    <x v="0"/>
    <x v="0"/>
    <n v="17"/>
  </r>
  <r>
    <s v="ID0897"/>
    <d v="2012-05-27T14:47:21"/>
    <n v="120000"/>
    <s v="INR"/>
    <n v="2136.9500024931081"/>
    <s v="co ordinator"/>
    <x v="3"/>
    <s v="India"/>
    <x v="0"/>
    <x v="0"/>
    <n v="5"/>
  </r>
  <r>
    <s v="ID0898"/>
    <d v="2012-05-27T14:49:12"/>
    <n v="500000"/>
    <s v="INR"/>
    <n v="8903.9583437212841"/>
    <s v="Planning Engineer"/>
    <x v="2"/>
    <s v="India"/>
    <x v="0"/>
    <x v="2"/>
    <n v="3"/>
  </r>
  <r>
    <s v="ID0899"/>
    <d v="2012-05-27T14:50:56"/>
    <n v="1000000"/>
    <s v="INR"/>
    <n v="17807.916687442568"/>
    <s v="Engagement Lead"/>
    <x v="3"/>
    <s v="India"/>
    <x v="0"/>
    <x v="0"/>
    <n v="5"/>
  </r>
  <r>
    <s v="ID0900"/>
    <d v="2012-05-27T14:55:30"/>
    <n v="850000"/>
    <s v="INR"/>
    <n v="15136.729184326183"/>
    <s v="Assistant Manager"/>
    <x v="3"/>
    <s v="India"/>
    <x v="0"/>
    <x v="2"/>
    <n v="3"/>
  </r>
  <r>
    <s v="ID0901"/>
    <d v="2012-05-27T15:01:02"/>
    <n v="168000"/>
    <s v="PHP"/>
    <n v="3982.448779308334"/>
    <s v="Clerk"/>
    <x v="0"/>
    <s v="Philippines"/>
    <x v="33"/>
    <x v="0"/>
    <n v="10"/>
  </r>
  <r>
    <s v="ID0903"/>
    <d v="2012-05-27T15:25:40"/>
    <n v="15600"/>
    <s v="USD"/>
    <n v="15600"/>
    <s v="Document controller "/>
    <x v="1"/>
    <s v="Kuwait "/>
    <x v="68"/>
    <x v="0"/>
    <n v="13"/>
  </r>
  <r>
    <s v="ID0904"/>
    <d v="2012-05-27T15:26:34"/>
    <n v="180000"/>
    <s v="INR"/>
    <n v="3205.4250037396623"/>
    <s v="Executive"/>
    <x v="0"/>
    <s v="India"/>
    <x v="0"/>
    <x v="2"/>
    <n v="3.5"/>
  </r>
  <r>
    <s v="ID0905"/>
    <d v="2012-05-27T15:32:10"/>
    <n v="10000"/>
    <s v="USD"/>
    <n v="10000"/>
    <s v="Planner"/>
    <x v="3"/>
    <s v="India"/>
    <x v="0"/>
    <x v="0"/>
    <n v="6"/>
  </r>
  <r>
    <s v="ID0906"/>
    <d v="2012-05-27T15:44:07"/>
    <n v="75010"/>
    <s v="USD"/>
    <n v="75010"/>
    <s v="Senior Business Analyst"/>
    <x v="0"/>
    <s v="USA"/>
    <x v="2"/>
    <x v="2"/>
    <n v="6"/>
  </r>
  <r>
    <s v="ID0907"/>
    <d v="2012-05-27T15:44:52"/>
    <n v="600000"/>
    <s v="INR"/>
    <n v="10684.750012465542"/>
    <s v="Manager"/>
    <x v="3"/>
    <s v="India"/>
    <x v="0"/>
    <x v="1"/>
    <n v="9"/>
  </r>
  <r>
    <s v="ID0908"/>
    <d v="2012-05-27T15:48:03"/>
    <n v="16350"/>
    <s v="USD"/>
    <n v="16350"/>
    <s v="Estimator"/>
    <x v="3"/>
    <s v="India"/>
    <x v="0"/>
    <x v="0"/>
    <n v="5"/>
  </r>
  <r>
    <s v="ID0909"/>
    <d v="2012-05-27T16:10:04"/>
    <n v="80000"/>
    <s v="GBP"/>
    <n v="126094.26176538273"/>
    <s v="Financial Modeller"/>
    <x v="5"/>
    <s v="UK"/>
    <x v="14"/>
    <x v="0"/>
    <n v="10"/>
  </r>
  <r>
    <s v="ID0910"/>
    <d v="2012-05-27T16:10:27"/>
    <n v="60000"/>
    <s v="USD"/>
    <n v="60000"/>
    <s v="Cost accountant"/>
    <x v="5"/>
    <s v="Singapore"/>
    <x v="30"/>
    <x v="1"/>
    <n v="10"/>
  </r>
  <r>
    <s v="ID0911"/>
    <d v="2012-05-27T16:24:50"/>
    <n v="1300000"/>
    <s v="INR"/>
    <n v="23150.291693675339"/>
    <s v="banker"/>
    <x v="3"/>
    <s v="India"/>
    <x v="0"/>
    <x v="3"/>
    <n v="3"/>
  </r>
  <r>
    <s v="ID0912"/>
    <d v="2012-05-27T16:30:54"/>
    <n v="775000"/>
    <s v="INR"/>
    <n v="13801.135432767991"/>
    <s v="Analyst"/>
    <x v="0"/>
    <s v="India"/>
    <x v="0"/>
    <x v="0"/>
    <n v="2"/>
  </r>
  <r>
    <s v="ID0913"/>
    <d v="2012-05-27T16:50:50"/>
    <n v="1050000"/>
    <s v="INR"/>
    <n v="18698.312521814696"/>
    <s v="Manager Market Reesrach"/>
    <x v="3"/>
    <s v="India"/>
    <x v="0"/>
    <x v="1"/>
    <n v="5"/>
  </r>
  <r>
    <s v="ID0914"/>
    <d v="2012-05-27T17:10:36"/>
    <n v="36000"/>
    <s v="USD"/>
    <n v="36000"/>
    <s v="QA Supervisor"/>
    <x v="1"/>
    <s v="Czech Republic"/>
    <x v="69"/>
    <x v="2"/>
    <n v="9"/>
  </r>
  <r>
    <s v="ID0915"/>
    <d v="2012-05-27T17:16:55"/>
    <n v="486000"/>
    <s v="INR"/>
    <n v="8654.6475100970874"/>
    <s v="Assistant manager"/>
    <x v="3"/>
    <s v="India"/>
    <x v="0"/>
    <x v="1"/>
    <n v="6"/>
  </r>
  <r>
    <s v="ID0916"/>
    <d v="2012-05-27T17:17:24"/>
    <n v="65000"/>
    <s v="GBP"/>
    <n v="102451.58768437347"/>
    <s v="Manager"/>
    <x v="3"/>
    <s v="UK"/>
    <x v="14"/>
    <x v="3"/>
    <n v="15"/>
  </r>
  <r>
    <s v="ID0917"/>
    <d v="2012-05-27T17:24:09"/>
    <n v="36400"/>
    <s v="USD"/>
    <n v="36400"/>
    <s v="Analyst"/>
    <x v="0"/>
    <s v="Zimbabwe"/>
    <x v="70"/>
    <x v="0"/>
    <n v="20"/>
  </r>
  <r>
    <s v="ID0918"/>
    <d v="2012-05-27T18:19:31"/>
    <n v="64210"/>
    <s v="GBP"/>
    <n v="101206.40684944032"/>
    <s v="HR Advisor - Systems &amp; MI"/>
    <x v="8"/>
    <s v="UK"/>
    <x v="14"/>
    <x v="0"/>
    <n v="16"/>
  </r>
  <r>
    <s v="ID0919"/>
    <d v="2012-05-27T18:33:51"/>
    <n v="300000"/>
    <s v="INR"/>
    <n v="5342.3750062327708"/>
    <s v="ANALYST"/>
    <x v="0"/>
    <s v="India"/>
    <x v="0"/>
    <x v="0"/>
    <n v="0.5"/>
  </r>
  <r>
    <s v="ID0920"/>
    <d v="2012-05-27T19:39:26"/>
    <n v="104000"/>
    <s v="AED"/>
    <n v="28310.79811950968"/>
    <s v="Financial Analyst"/>
    <x v="0"/>
    <s v="UAE"/>
    <x v="21"/>
    <x v="0"/>
    <n v="11"/>
  </r>
  <r>
    <s v="ID0921"/>
    <d v="2012-05-27T19:41:55"/>
    <n v="20500"/>
    <s v="EUR"/>
    <n v="26043.18849932796"/>
    <s v="C&amp;B Manager"/>
    <x v="3"/>
    <s v="Poland"/>
    <x v="15"/>
    <x v="0"/>
    <n v="8"/>
  </r>
  <r>
    <s v="ID0922"/>
    <d v="2012-05-27T20:18:50"/>
    <n v="95000"/>
    <s v="AUD"/>
    <n v="96891.417358250401"/>
    <s v="Senior Marketing Analyst"/>
    <x v="0"/>
    <s v="Australia"/>
    <x v="16"/>
    <x v="3"/>
    <n v="7"/>
  </r>
  <r>
    <s v="ID0923"/>
    <d v="2012-05-27T20:43:13"/>
    <n v="144000"/>
    <s v="INR"/>
    <n v="2564.3400029917298"/>
    <s v="operation supervisor"/>
    <x v="1"/>
    <s v="India"/>
    <x v="0"/>
    <x v="0"/>
    <n v="4"/>
  </r>
  <r>
    <s v="ID0924"/>
    <d v="2012-05-27T20:51:55"/>
    <n v="180000"/>
    <s v="INR"/>
    <n v="3205.4250037396623"/>
    <s v="MIS TEAM MEMBER"/>
    <x v="7"/>
    <s v="India"/>
    <x v="0"/>
    <x v="1"/>
    <n v="8"/>
  </r>
  <r>
    <s v="ID0925"/>
    <d v="2012-05-27T21:04:07"/>
    <n v="600000"/>
    <s v="INR"/>
    <n v="10684.750012465542"/>
    <s v="Sales Analyst"/>
    <x v="0"/>
    <s v="India"/>
    <x v="0"/>
    <x v="1"/>
    <n v="8"/>
  </r>
  <r>
    <s v="ID0927"/>
    <d v="2012-05-27T21:21:41"/>
    <n v="150000"/>
    <s v="USD"/>
    <n v="150000"/>
    <s v="Controller"/>
    <x v="1"/>
    <s v="USA"/>
    <x v="2"/>
    <x v="0"/>
    <n v="25"/>
  </r>
  <r>
    <s v="ID0928"/>
    <d v="2012-05-27T21:24:42"/>
    <n v="700000"/>
    <s v="INR"/>
    <n v="12465.541681209797"/>
    <s v="Business Support Executive"/>
    <x v="3"/>
    <s v="India"/>
    <x v="0"/>
    <x v="0"/>
    <n v="3"/>
  </r>
  <r>
    <s v="ID0929"/>
    <d v="2012-05-27T21:44:39"/>
    <n v="15000"/>
    <s v="EUR"/>
    <n v="19055.991584874118"/>
    <s v="analytic"/>
    <x v="0"/>
    <s v="Slovenia"/>
    <x v="71"/>
    <x v="0"/>
    <n v="4"/>
  </r>
  <r>
    <s v="ID0930"/>
    <d v="2012-05-27T21:49:55"/>
    <n v="105000"/>
    <s v="USD"/>
    <n v="105000"/>
    <s v="business analyst"/>
    <x v="0"/>
    <s v="USA"/>
    <x v="2"/>
    <x v="0"/>
    <n v="20"/>
  </r>
  <r>
    <s v="ID0931"/>
    <d v="2012-05-27T22:05:15"/>
    <n v="24000"/>
    <s v="USD"/>
    <n v="24000"/>
    <s v="business analyst"/>
    <x v="0"/>
    <s v="India"/>
    <x v="0"/>
    <x v="0"/>
    <n v="3"/>
  </r>
  <r>
    <s v="ID0932"/>
    <d v="2012-05-27T22:22:01"/>
    <n v="50000"/>
    <s v="GBP"/>
    <n v="78808.913603364199"/>
    <s v="Finance Analyst"/>
    <x v="0"/>
    <s v="UK"/>
    <x v="14"/>
    <x v="1"/>
    <n v="10"/>
  </r>
  <r>
    <s v="ID0933"/>
    <d v="2012-05-27T22:35:22"/>
    <n v="42000"/>
    <s v="USD"/>
    <n v="42000"/>
    <s v="Credit Controller"/>
    <x v="1"/>
    <s v="Saudi Arabia"/>
    <x v="22"/>
    <x v="1"/>
    <n v="15"/>
  </r>
  <r>
    <s v="ID0934"/>
    <d v="2012-05-27T22:40:38"/>
    <n v="19200"/>
    <s v="BRL"/>
    <n v="9490.1984044603923"/>
    <s v="Programmer"/>
    <x v="0"/>
    <s v="Brazil"/>
    <x v="24"/>
    <x v="1"/>
    <n v="8"/>
  </r>
  <r>
    <s v="ID0935"/>
    <d v="2012-05-27T22:58:39"/>
    <n v="60000"/>
    <s v="USD"/>
    <n v="60000"/>
    <s v="Consultant"/>
    <x v="8"/>
    <s v="Singapore"/>
    <x v="30"/>
    <x v="0"/>
    <n v="5"/>
  </r>
  <r>
    <s v="ID0936"/>
    <d v="2012-05-27T23:03:21"/>
    <n v="1000000"/>
    <s v="INR"/>
    <n v="17807.916687442568"/>
    <s v="business"/>
    <x v="3"/>
    <s v="India"/>
    <x v="0"/>
    <x v="1"/>
    <n v="8"/>
  </r>
  <r>
    <s v="ID0937"/>
    <d v="2012-05-27T23:10:01"/>
    <n v="700000"/>
    <s v="INR"/>
    <n v="12465.541681209797"/>
    <s v="Business Analyst"/>
    <x v="0"/>
    <s v="India"/>
    <x v="0"/>
    <x v="1"/>
    <n v="1"/>
  </r>
  <r>
    <s v="ID0938"/>
    <d v="2012-05-27T23:32:30"/>
    <n v="20571"/>
    <s v="USD"/>
    <n v="20571"/>
    <s v="CFO"/>
    <x v="4"/>
    <s v="Albania"/>
    <x v="72"/>
    <x v="0"/>
    <n v="8"/>
  </r>
  <r>
    <s v="ID0939"/>
    <d v="2012-05-27T23:43:21"/>
    <n v="3480"/>
    <s v="USD"/>
    <n v="3480"/>
    <s v="Reconciliation Manager in Textile Mill"/>
    <x v="3"/>
    <s v="Pakistan"/>
    <x v="3"/>
    <x v="1"/>
    <n v="6"/>
  </r>
  <r>
    <s v="ID0940"/>
    <d v="2012-05-27T23:46:03"/>
    <n v="18060"/>
    <s v="USD"/>
    <n v="18060"/>
    <s v="Reporting Supervisor"/>
    <x v="7"/>
    <s v="Philippines"/>
    <x v="33"/>
    <x v="0"/>
    <n v="12"/>
  </r>
  <r>
    <s v="ID0941"/>
    <d v="2012-05-27T23:47:25"/>
    <n v="30000"/>
    <s v="USD"/>
    <n v="30000"/>
    <s v="Financial Expert"/>
    <x v="5"/>
    <s v="Iran"/>
    <x v="40"/>
    <x v="2"/>
    <n v="30"/>
  </r>
  <r>
    <s v="ID0943"/>
    <d v="2012-05-27T23:52:48"/>
    <n v="24000"/>
    <s v="USD"/>
    <n v="24000"/>
    <s v="sr manager"/>
    <x v="3"/>
    <s v="India"/>
    <x v="0"/>
    <x v="0"/>
    <n v="10"/>
  </r>
  <r>
    <s v="ID0944"/>
    <d v="2012-05-28T00:10:43"/>
    <n v="63200"/>
    <s v="EUR"/>
    <n v="80289.244544269619"/>
    <s v="Consultant"/>
    <x v="8"/>
    <s v="France"/>
    <x v="19"/>
    <x v="0"/>
    <n v="3"/>
  </r>
  <r>
    <s v="ID0945"/>
    <d v="2012-05-28T00:17:26"/>
    <n v="70000"/>
    <s v="USD"/>
    <n v="70000"/>
    <s v="Client Manager"/>
    <x v="3"/>
    <s v="USA"/>
    <x v="2"/>
    <x v="0"/>
    <n v="4"/>
  </r>
  <r>
    <s v="ID0946"/>
    <d v="2012-05-28T00:28:56"/>
    <n v="480000"/>
    <s v="INR"/>
    <n v="8547.8000099724322"/>
    <s v="Manager"/>
    <x v="3"/>
    <s v="India"/>
    <x v="0"/>
    <x v="2"/>
    <n v="2"/>
  </r>
  <r>
    <s v="ID0948"/>
    <d v="2012-05-28T00:36:20"/>
    <n v="600000"/>
    <s v="INR"/>
    <n v="10684.750012465542"/>
    <s v="Asst. Mgr. Finance"/>
    <x v="0"/>
    <s v="India"/>
    <x v="0"/>
    <x v="0"/>
    <n v="11"/>
  </r>
  <r>
    <s v="ID0949"/>
    <d v="2012-05-28T00:43:40"/>
    <n v="600000"/>
    <s v="INR"/>
    <n v="10684.750012465542"/>
    <s v="Executive"/>
    <x v="0"/>
    <s v="India"/>
    <x v="0"/>
    <x v="2"/>
    <n v="4"/>
  </r>
  <r>
    <s v="ID0950"/>
    <d v="2012-05-28T00:48:23"/>
    <n v="20000"/>
    <s v="USD"/>
    <n v="20000"/>
    <s v="Financial Modeller"/>
    <x v="5"/>
    <s v="Zambia"/>
    <x v="73"/>
    <x v="1"/>
    <n v="2"/>
  </r>
  <r>
    <s v="ID0951"/>
    <d v="2012-05-28T01:17:17"/>
    <n v="42000"/>
    <s v="EUR"/>
    <n v="53356.776437647524"/>
    <s v="Consultant"/>
    <x v="8"/>
    <s v="Germany"/>
    <x v="5"/>
    <x v="2"/>
    <n v="3"/>
  </r>
  <r>
    <s v="ID0952"/>
    <d v="2012-05-28T01:29:19"/>
    <n v="36000"/>
    <s v="USD"/>
    <n v="36000"/>
    <s v="Accountant"/>
    <x v="5"/>
    <s v="United Arab Emirates"/>
    <x v="21"/>
    <x v="0"/>
    <n v="4.5"/>
  </r>
  <r>
    <s v="ID0953"/>
    <d v="2012-05-28T01:30:29"/>
    <n v="57000"/>
    <s v="USD"/>
    <n v="57000"/>
    <s v="Construction Engineer"/>
    <x v="2"/>
    <s v="USA"/>
    <x v="2"/>
    <x v="2"/>
    <n v="4"/>
  </r>
  <r>
    <s v="ID0954"/>
    <d v="2012-05-28T01:47:29"/>
    <n v="135000"/>
    <s v="USD"/>
    <n v="135000"/>
    <s v="Marketing Insights Manager"/>
    <x v="3"/>
    <s v="USA"/>
    <x v="2"/>
    <x v="1"/>
    <n v="15"/>
  </r>
  <r>
    <s v="ID0955"/>
    <d v="2012-05-28T02:25:13"/>
    <n v="75000"/>
    <s v="EUR"/>
    <n v="95279.957924370581"/>
    <s v="Risk analyst"/>
    <x v="0"/>
    <s v="Netherlands"/>
    <x v="18"/>
    <x v="0"/>
    <n v="4"/>
  </r>
  <r>
    <s v="ID0957"/>
    <d v="2012-05-28T03:34:14"/>
    <n v="45000"/>
    <s v="EUR"/>
    <n v="57167.974754622352"/>
    <s v="data analist"/>
    <x v="0"/>
    <s v="netherlands"/>
    <x v="18"/>
    <x v="2"/>
    <n v="10"/>
  </r>
  <r>
    <s v="ID0958"/>
    <d v="2012-05-28T03:44:00"/>
    <n v="2000000"/>
    <s v="NAIRA"/>
    <n v="12326.656394453004"/>
    <s v="Head Business Advisory"/>
    <x v="3"/>
    <s v="Nigeria"/>
    <x v="61"/>
    <x v="0"/>
    <n v="5"/>
  </r>
  <r>
    <s v="ID0959"/>
    <d v="2012-05-28T04:05:14"/>
    <n v="8000"/>
    <s v="USD"/>
    <n v="8000"/>
    <s v="IT Analyst"/>
    <x v="0"/>
    <s v="India"/>
    <x v="0"/>
    <x v="3"/>
    <n v="5"/>
  </r>
  <r>
    <s v="ID0960"/>
    <d v="2012-05-28T04:40:41"/>
    <n v="48000"/>
    <s v="USD"/>
    <n v="48000"/>
    <s v="Merchandise planner"/>
    <x v="3"/>
    <s v="France"/>
    <x v="19"/>
    <x v="0"/>
    <n v="5"/>
  </r>
  <r>
    <s v="ID0961"/>
    <d v="2012-05-28T05:07:44"/>
    <n v="40000"/>
    <s v="USD"/>
    <n v="40000"/>
    <s v="analyst"/>
    <x v="0"/>
    <s v="NZ"/>
    <x v="49"/>
    <x v="0"/>
    <n v="5"/>
  </r>
  <r>
    <s v="ID0962"/>
    <d v="2012-05-28T05:09:12"/>
    <n v="75000"/>
    <s v="NZD"/>
    <n v="59819.107020370408"/>
    <s v="Information Analyst"/>
    <x v="0"/>
    <s v="New  Zealand"/>
    <x v="49"/>
    <x v="0"/>
    <n v="10"/>
  </r>
  <r>
    <s v="ID0963"/>
    <d v="2012-05-28T05:12:38"/>
    <n v="150000"/>
    <s v="USD"/>
    <n v="150000"/>
    <s v="Software Tester"/>
    <x v="0"/>
    <s v="Switzerland"/>
    <x v="10"/>
    <x v="3"/>
    <n v="20"/>
  </r>
  <r>
    <s v="ID0964"/>
    <d v="2012-05-28T05:20:41"/>
    <n v="80000"/>
    <s v="AUD"/>
    <n v="81592.772512210868"/>
    <s v="Billing manager"/>
    <x v="3"/>
    <s v="Australia"/>
    <x v="16"/>
    <x v="0"/>
    <n v="25"/>
  </r>
  <r>
    <s v="ID0965"/>
    <d v="2012-05-28T05:48:56"/>
    <n v="95000"/>
    <s v="AUD"/>
    <n v="96891.417358250401"/>
    <s v="financial analyst"/>
    <x v="0"/>
    <s v="Australia"/>
    <x v="16"/>
    <x v="2"/>
    <n v="20"/>
  </r>
  <r>
    <s v="ID0966"/>
    <d v="2012-05-28T05:51:10"/>
    <n v="90000"/>
    <s v="AUD"/>
    <n v="91791.869076237213"/>
    <s v="Senior Research Analyst"/>
    <x v="0"/>
    <s v="Australia"/>
    <x v="16"/>
    <x v="0"/>
    <n v="13"/>
  </r>
  <r>
    <s v="ID0967"/>
    <d v="2012-05-28T05:51:20"/>
    <n v="15000"/>
    <s v="USD"/>
    <n v="15000"/>
    <s v="Quality Executive"/>
    <x v="0"/>
    <s v="India"/>
    <x v="0"/>
    <x v="2"/>
    <n v="2"/>
  </r>
  <r>
    <s v="ID0968"/>
    <d v="2012-05-28T06:25:36"/>
    <n v="65000"/>
    <s v="AUD"/>
    <n v="66294.12766617132"/>
    <s v="Business Support "/>
    <x v="3"/>
    <s v="Australia"/>
    <x v="16"/>
    <x v="2"/>
    <n v="5"/>
  </r>
  <r>
    <s v="ID0969"/>
    <d v="2012-05-28T06:35:50"/>
    <n v="100000"/>
    <s v="AUD"/>
    <n v="101990.96564026357"/>
    <s v="Senior Consultant"/>
    <x v="8"/>
    <s v="Australia"/>
    <x v="16"/>
    <x v="1"/>
    <n v="6"/>
  </r>
  <r>
    <s v="ID0970"/>
    <d v="2012-05-28T06:51:54"/>
    <n v="60000"/>
    <s v="USD"/>
    <n v="60000"/>
    <s v="Sales Manager"/>
    <x v="3"/>
    <s v="USA"/>
    <x v="2"/>
    <x v="2"/>
    <n v="3"/>
  </r>
  <r>
    <s v="ID0971"/>
    <d v="2012-05-28T06:52:05"/>
    <n v="43000"/>
    <s v="AUD"/>
    <n v="43856.11522531334"/>
    <s v="Finance Officer"/>
    <x v="3"/>
    <s v="Australia"/>
    <x v="16"/>
    <x v="1"/>
    <n v="1"/>
  </r>
  <r>
    <s v="ID0972"/>
    <d v="2012-05-28T06:52:05"/>
    <n v="45616"/>
    <s v="USD"/>
    <n v="45616"/>
    <s v="Assistant Fleet Analyst"/>
    <x v="0"/>
    <s v="Australia"/>
    <x v="16"/>
    <x v="0"/>
    <n v="1.5"/>
  </r>
  <r>
    <s v="ID0973"/>
    <d v="2012-05-28T07:00:25"/>
    <n v="95000"/>
    <s v="NZD"/>
    <n v="75770.868892469181"/>
    <s v="Cost Accountant"/>
    <x v="5"/>
    <s v="New Zealand"/>
    <x v="49"/>
    <x v="0"/>
    <n v="20"/>
  </r>
  <r>
    <s v="ID0974"/>
    <d v="2012-05-28T07:21:12"/>
    <n v="56600"/>
    <s v="AUD"/>
    <n v="57726.886552389187"/>
    <s v="Operations Coordinator"/>
    <x v="3"/>
    <s v="Australia"/>
    <x v="16"/>
    <x v="2"/>
    <n v="2"/>
  </r>
  <r>
    <s v="ID0975"/>
    <d v="2012-05-28T07:23:07"/>
    <n v="20000"/>
    <s v="USD"/>
    <n v="20000"/>
    <s v="data analyst"/>
    <x v="0"/>
    <s v="Australia"/>
    <x v="16"/>
    <x v="2"/>
    <n v="2"/>
  </r>
  <r>
    <s v="ID0976"/>
    <d v="2012-05-28T07:28:07"/>
    <n v="200000"/>
    <s v="AUD"/>
    <n v="203981.93128052715"/>
    <s v="Corporate Finance Manager"/>
    <x v="3"/>
    <s v="Australia"/>
    <x v="16"/>
    <x v="0"/>
    <n v="15"/>
  </r>
  <r>
    <s v="ID0977"/>
    <d v="2012-05-28T07:28:34"/>
    <n v="50000"/>
    <s v="AUD"/>
    <n v="50995.482820131787"/>
    <s v="Operations"/>
    <x v="1"/>
    <s v="Australia"/>
    <x v="16"/>
    <x v="3"/>
    <n v="5"/>
  </r>
  <r>
    <s v="ID0978"/>
    <d v="2012-05-28T07:29:43"/>
    <n v="125000"/>
    <s v="AUD"/>
    <n v="127488.70705032947"/>
    <s v="Director, Informatics"/>
    <x v="4"/>
    <s v="Australia"/>
    <x v="16"/>
    <x v="0"/>
    <n v="15"/>
  </r>
  <r>
    <s v="ID0979"/>
    <d v="2012-05-28T07:33:29"/>
    <n v="65000"/>
    <s v="AUD"/>
    <n v="66294.12766617132"/>
    <s v="Data Analyst"/>
    <x v="0"/>
    <s v="Australia"/>
    <x v="16"/>
    <x v="0"/>
    <n v="4"/>
  </r>
  <r>
    <s v="ID0980"/>
    <d v="2012-05-28T07:39:22"/>
    <n v="62000"/>
    <s v="AUD"/>
    <n v="63234.398696963413"/>
    <s v="Business Analyst"/>
    <x v="0"/>
    <s v="Australia"/>
    <x v="16"/>
    <x v="0"/>
    <n v="3"/>
  </r>
  <r>
    <s v="ID0981"/>
    <d v="2012-05-28T07:46:28"/>
    <n v="260000"/>
    <s v="USD"/>
    <n v="260000"/>
    <s v="CFO"/>
    <x v="4"/>
    <s v="USA"/>
    <x v="2"/>
    <x v="2"/>
    <n v="10"/>
  </r>
  <r>
    <s v="ID0983"/>
    <d v="2012-05-28T07:59:49"/>
    <n v="110000"/>
    <s v="AUD"/>
    <n v="112190.06220428993"/>
    <s v="Sustainability Strategy Advisor"/>
    <x v="3"/>
    <s v="Australia"/>
    <x v="16"/>
    <x v="2"/>
    <n v="8"/>
  </r>
  <r>
    <s v="ID0984"/>
    <d v="2012-05-28T08:03:10"/>
    <n v="70000"/>
    <s v="AUD"/>
    <n v="71393.675948184507"/>
    <s v="Business Development"/>
    <x v="3"/>
    <s v="Australia"/>
    <x v="16"/>
    <x v="0"/>
    <n v="7"/>
  </r>
  <r>
    <s v="ID0985"/>
    <d v="2012-05-28T08:22:44"/>
    <n v="85000"/>
    <s v="USD"/>
    <n v="85000"/>
    <s v="Reporting and DB Analyist"/>
    <x v="7"/>
    <s v="Australia"/>
    <x v="16"/>
    <x v="0"/>
    <n v="8"/>
  </r>
  <r>
    <s v="ID0986"/>
    <d v="2012-05-28T08:26:43"/>
    <n v="94000"/>
    <s v="AUD"/>
    <n v="95871.50770184776"/>
    <s v="Business Analyst"/>
    <x v="0"/>
    <s v="Australia"/>
    <x v="16"/>
    <x v="2"/>
    <n v="2.5"/>
  </r>
  <r>
    <s v="ID0987"/>
    <d v="2012-05-28T08:35:32"/>
    <n v="107000"/>
    <s v="AUD"/>
    <n v="109130.33323508203"/>
    <s v="Management Accountant"/>
    <x v="3"/>
    <s v="Australia"/>
    <x v="16"/>
    <x v="0"/>
    <n v="35"/>
  </r>
  <r>
    <s v="ID0988"/>
    <d v="2012-05-28T08:39:53"/>
    <n v="36000"/>
    <s v="USD"/>
    <n v="36000"/>
    <s v="Project manager"/>
    <x v="3"/>
    <s v="malaysia"/>
    <x v="74"/>
    <x v="3"/>
    <n v="3"/>
  </r>
  <r>
    <s v="ID0989"/>
    <d v="2012-05-28T08:41:13"/>
    <n v="120000"/>
    <s v="AUD"/>
    <n v="122389.15876831629"/>
    <s v="analyst"/>
    <x v="0"/>
    <s v="Australia"/>
    <x v="16"/>
    <x v="0"/>
    <n v="2"/>
  </r>
  <r>
    <s v="ID0990"/>
    <d v="2012-05-28T08:47:39"/>
    <n v="52000"/>
    <s v="AUD"/>
    <n v="53035.30213293706"/>
    <s v="Shipping Administrator"/>
    <x v="0"/>
    <s v="Australia"/>
    <x v="16"/>
    <x v="0"/>
    <n v="4"/>
  </r>
  <r>
    <s v="ID0991"/>
    <d v="2012-05-28T08:48:56"/>
    <n v="125000"/>
    <s v="USD"/>
    <n v="125000"/>
    <s v="VP, Operational Analytics"/>
    <x v="4"/>
    <s v="USA"/>
    <x v="2"/>
    <x v="0"/>
    <n v="10"/>
  </r>
  <r>
    <s v="ID0992"/>
    <d v="2012-05-28T09:03:56"/>
    <n v="19000"/>
    <s v="USD"/>
    <n v="19000"/>
    <s v="Finance analyst"/>
    <x v="0"/>
    <s v="China"/>
    <x v="54"/>
    <x v="0"/>
    <n v="6"/>
  </r>
  <r>
    <s v="ID0993"/>
    <d v="2012-05-28T09:12:27"/>
    <n v="92000"/>
    <s v="AUD"/>
    <n v="93831.688389042494"/>
    <s v="Finance analyst"/>
    <x v="0"/>
    <s v="Australia"/>
    <x v="16"/>
    <x v="1"/>
    <n v="6"/>
  </r>
  <r>
    <s v="ID0994"/>
    <d v="2012-05-28T09:21:56"/>
    <n v="100000"/>
    <s v="AUD"/>
    <n v="101990.96564026357"/>
    <s v="Reporting Analyst"/>
    <x v="0"/>
    <s v="Australia"/>
    <x v="16"/>
    <x v="0"/>
    <n v="20"/>
  </r>
  <r>
    <s v="ID0995"/>
    <d v="2012-05-28T09:26:10"/>
    <n v="120000"/>
    <s v="AUD"/>
    <n v="122389.15876831629"/>
    <s v="HSLP Data Analyst"/>
    <x v="0"/>
    <s v="Australia"/>
    <x v="16"/>
    <x v="0"/>
    <n v="5"/>
  </r>
  <r>
    <s v="ID0996"/>
    <d v="2012-05-28T09:38:29"/>
    <n v="35000"/>
    <s v="CAD"/>
    <n v="34417.653306061438"/>
    <s v="Reporting Analyst"/>
    <x v="0"/>
    <s v="Canada"/>
    <x v="17"/>
    <x v="1"/>
    <n v="4"/>
  </r>
  <r>
    <s v="ID0997"/>
    <d v="2012-05-28T09:40:10"/>
    <n v="12000"/>
    <s v="USD"/>
    <n v="12000"/>
    <s v="Manager"/>
    <x v="3"/>
    <s v="Asia"/>
    <x v="75"/>
    <x v="1"/>
    <n v="3"/>
  </r>
  <r>
    <s v="ID0998"/>
    <d v="2012-05-28T09:41:04"/>
    <n v="204000"/>
    <s v="INR"/>
    <n v="3632.815004238284"/>
    <s v="Retired Government Officer, having knowledge in excel."/>
    <x v="3"/>
    <s v="India"/>
    <x v="0"/>
    <x v="0"/>
    <n v="0"/>
  </r>
  <r>
    <s v="ID0999"/>
    <d v="2012-05-28T09:43:33"/>
    <n v="1200000"/>
    <s v="INR"/>
    <n v="21369.500024931083"/>
    <s v="Senior Consultant"/>
    <x v="8"/>
    <s v="India"/>
    <x v="0"/>
    <x v="1"/>
    <n v="6"/>
  </r>
  <r>
    <s v="ID1000"/>
    <d v="2012-05-28T09:51:24"/>
    <n v="500000"/>
    <s v="INR"/>
    <n v="8903.9583437212841"/>
    <s v="Business Analyst"/>
    <x v="0"/>
    <s v="India"/>
    <x v="0"/>
    <x v="0"/>
    <n v="7"/>
  </r>
  <r>
    <s v="ID1001"/>
    <d v="2012-05-28T10:15:27"/>
    <n v="48000"/>
    <s v="MYR"/>
    <n v="15206.427249917633"/>
    <s v="Credit Risk Manager"/>
    <x v="3"/>
    <s v="Malaysia"/>
    <x v="74"/>
    <x v="0"/>
    <n v="2"/>
  </r>
  <r>
    <s v="ID1002"/>
    <d v="2012-05-28T10:21:58"/>
    <n v="180000"/>
    <s v="NZD"/>
    <n v="143565.85684888897"/>
    <s v="Commercial Manager"/>
    <x v="3"/>
    <s v="New Zealand"/>
    <x v="49"/>
    <x v="0"/>
    <n v="25"/>
  </r>
  <r>
    <s v="ID1003"/>
    <d v="2012-05-28T10:25:51"/>
    <n v="545000"/>
    <s v="INR"/>
    <n v="9705.3145946561999"/>
    <s v="Assistant Manager"/>
    <x v="3"/>
    <s v="India"/>
    <x v="0"/>
    <x v="2"/>
    <n v="6"/>
  </r>
  <r>
    <s v="ID1004"/>
    <d v="2012-05-28T10:27:45"/>
    <n v="1000000"/>
    <s v="INR"/>
    <n v="17807.916687442568"/>
    <s v="Credit Manager - Loans"/>
    <x v="3"/>
    <s v="India"/>
    <x v="0"/>
    <x v="1"/>
    <n v="8"/>
  </r>
  <r>
    <s v="ID1005"/>
    <d v="2012-05-28T10:27:48"/>
    <n v="180000"/>
    <s v="INR"/>
    <n v="3205.4250037396623"/>
    <s v="Audit executive"/>
    <x v="0"/>
    <s v="INDIA"/>
    <x v="0"/>
    <x v="0"/>
    <n v="10"/>
  </r>
  <r>
    <s v="ID1006"/>
    <d v="2012-05-28T10:29:41"/>
    <n v="45000"/>
    <s v="USD"/>
    <n v="45000"/>
    <s v="Staff accountant -- Auditing"/>
    <x v="5"/>
    <s v="USA"/>
    <x v="2"/>
    <x v="1"/>
    <n v="3"/>
  </r>
  <r>
    <s v="ID1007"/>
    <d v="2012-05-28T10:38:53"/>
    <n v="700000"/>
    <s v="INR"/>
    <n v="12465.541681209797"/>
    <s v="Asst Manager - Quality"/>
    <x v="3"/>
    <s v="India"/>
    <x v="0"/>
    <x v="2"/>
    <n v="7"/>
  </r>
  <r>
    <s v="ID1008"/>
    <d v="2012-05-28T10:41:38"/>
    <n v="94000"/>
    <s v="AUD"/>
    <n v="95871.50770184776"/>
    <s v="Principal Analyst"/>
    <x v="0"/>
    <s v="Australia"/>
    <x v="16"/>
    <x v="2"/>
    <n v="14"/>
  </r>
  <r>
    <s v="ID1009"/>
    <d v="2012-05-28T10:42:08"/>
    <n v="170000"/>
    <s v="AUD"/>
    <n v="173384.64158844808"/>
    <s v="Business Consultant"/>
    <x v="8"/>
    <s v="Australia"/>
    <x v="16"/>
    <x v="2"/>
    <n v="8"/>
  </r>
  <r>
    <s v="ID1010"/>
    <d v="2012-05-28T11:11:53"/>
    <n v="650000"/>
    <s v="INR"/>
    <n v="11575.14584683767"/>
    <s v="Ass Research  Manager"/>
    <x v="3"/>
    <s v="India"/>
    <x v="0"/>
    <x v="2"/>
    <n v="1"/>
  </r>
  <r>
    <s v="ID1011"/>
    <d v="2012-05-28T11:31:20"/>
    <n v="18000"/>
    <s v="USD"/>
    <n v="18000"/>
    <s v="Data Specialist"/>
    <x v="6"/>
    <s v="India"/>
    <x v="0"/>
    <x v="1"/>
    <n v="8"/>
  </r>
  <r>
    <s v="ID1012"/>
    <d v="2012-05-28T11:33:05"/>
    <n v="70000"/>
    <s v="AUD"/>
    <n v="71393.675948184507"/>
    <s v="Director"/>
    <x v="4"/>
    <s v="Australia"/>
    <x v="16"/>
    <x v="1"/>
    <n v="2"/>
  </r>
  <r>
    <s v="ID1013"/>
    <d v="2012-05-28T11:33:07"/>
    <n v="350000"/>
    <s v="INR"/>
    <n v="6232.7708406048987"/>
    <s v="Data Analyst"/>
    <x v="0"/>
    <s v="India"/>
    <x v="0"/>
    <x v="0"/>
    <n v="2.5"/>
  </r>
  <r>
    <s v="ID1014"/>
    <d v="2012-05-28T11:37:17"/>
    <n v="240000"/>
    <s v="LKR"/>
    <n v="1805.7739622442759"/>
    <s v="Management Trainee"/>
    <x v="3"/>
    <s v="Sri Lanka"/>
    <x v="55"/>
    <x v="0"/>
    <n v="3"/>
  </r>
  <r>
    <s v="ID1015"/>
    <d v="2012-05-28T11:39:01"/>
    <n v="640000"/>
    <s v="INR"/>
    <n v="11397.066679963244"/>
    <s v="Sr.Analyst - Process Excellence"/>
    <x v="0"/>
    <s v="India"/>
    <x v="0"/>
    <x v="1"/>
    <n v="6"/>
  </r>
  <r>
    <s v="ID1016"/>
    <d v="2012-05-28T11:41:11"/>
    <n v="15000"/>
    <s v="USD"/>
    <n v="15000"/>
    <s v="Operations Management"/>
    <x v="3"/>
    <s v="India"/>
    <x v="0"/>
    <x v="0"/>
    <n v="4"/>
  </r>
  <r>
    <s v="ID1017"/>
    <d v="2012-05-28T11:58:39"/>
    <n v="308500"/>
    <s v="ZAR"/>
    <n v="37612.869087708088"/>
    <s v="Management Information Consultant"/>
    <x v="3"/>
    <s v="South Africa"/>
    <x v="11"/>
    <x v="1"/>
    <n v="3"/>
  </r>
  <r>
    <s v="ID1018"/>
    <d v="2012-05-28T12:00:14"/>
    <n v="365000"/>
    <s v="INR"/>
    <n v="6499.8895909165376"/>
    <s v="associate analyst"/>
    <x v="0"/>
    <s v="India"/>
    <x v="0"/>
    <x v="0"/>
    <n v="3"/>
  </r>
  <r>
    <s v="ID1019"/>
    <d v="2012-05-28T12:09:37"/>
    <n v="20000"/>
    <s v="USD"/>
    <n v="20000"/>
    <s v="Head of Financial Reporting"/>
    <x v="7"/>
    <s v="Paraguay"/>
    <x v="76"/>
    <x v="1"/>
    <n v="6"/>
  </r>
  <r>
    <s v="ID1020"/>
    <d v="2012-05-28T12:10:09"/>
    <n v="7265"/>
    <s v="USD"/>
    <n v="7265"/>
    <s v="Softwar Engineer"/>
    <x v="2"/>
    <s v="India"/>
    <x v="0"/>
    <x v="0"/>
    <n v="6"/>
  </r>
  <r>
    <s v="ID1021"/>
    <d v="2012-05-28T12:15:53"/>
    <n v="92000"/>
    <s v="SGD"/>
    <n v="72571.80269935554"/>
    <s v="Finance Manager"/>
    <x v="3"/>
    <s v="Singapore"/>
    <x v="30"/>
    <x v="1"/>
    <n v="15"/>
  </r>
  <r>
    <s v="ID1023"/>
    <d v="2012-05-28T12:20:48"/>
    <n v="450000"/>
    <s v="INR"/>
    <n v="8013.5625093491553"/>
    <s v="Asst. Manager"/>
    <x v="3"/>
    <s v="India"/>
    <x v="0"/>
    <x v="1"/>
    <n v="15"/>
  </r>
  <r>
    <s v="ID1024"/>
    <d v="2012-05-28T12:26:01"/>
    <n v="570000"/>
    <s v="INR"/>
    <n v="10150.512511842264"/>
    <s v="MIS &amp; Analysis"/>
    <x v="0"/>
    <s v="India"/>
    <x v="0"/>
    <x v="0"/>
    <n v="5"/>
  </r>
  <r>
    <s v="ID1025"/>
    <d v="2012-05-28T12:26:42"/>
    <n v="65000"/>
    <s v="USD"/>
    <n v="65000"/>
    <s v="Controller"/>
    <x v="1"/>
    <s v="USA"/>
    <x v="2"/>
    <x v="0"/>
    <n v="9"/>
  </r>
  <r>
    <s v="ID1026"/>
    <d v="2012-05-28T12:32:12"/>
    <n v="300000"/>
    <s v="PKR"/>
    <n v="3184.2266150397395"/>
    <s v="Banker"/>
    <x v="3"/>
    <s v="Pakistan"/>
    <x v="3"/>
    <x v="0"/>
    <n v="4"/>
  </r>
  <r>
    <s v="ID1027"/>
    <d v="2012-05-28T12:35:38"/>
    <n v="612000"/>
    <s v="INR"/>
    <n v="10898.445012714852"/>
    <s v="Asst. Manager "/>
    <x v="3"/>
    <s v="India"/>
    <x v="0"/>
    <x v="2"/>
    <n v="13"/>
  </r>
  <r>
    <s v="ID1028"/>
    <d v="2012-05-28T12:40:26"/>
    <n v="10800"/>
    <s v="USD"/>
    <n v="10800"/>
    <s v="Project Managment Office"/>
    <x v="3"/>
    <s v="Pakistan"/>
    <x v="3"/>
    <x v="1"/>
    <n v="5"/>
  </r>
  <r>
    <s v="ID1029"/>
    <d v="2012-05-28T12:47:20"/>
    <n v="120000"/>
    <s v="INR"/>
    <n v="2136.9500024931081"/>
    <s v="Audit Assistant"/>
    <x v="0"/>
    <s v="India"/>
    <x v="0"/>
    <x v="2"/>
    <n v="3.5"/>
  </r>
  <r>
    <s v="ID1030"/>
    <d v="2012-05-28T12:51:53"/>
    <n v="45000"/>
    <s v="USD"/>
    <n v="45000"/>
    <s v="Engineer"/>
    <x v="2"/>
    <s v="singapore"/>
    <x v="30"/>
    <x v="2"/>
    <n v="4"/>
  </r>
  <r>
    <s v="ID1031"/>
    <d v="2012-05-28T12:57:13"/>
    <n v="400000"/>
    <s v="INR"/>
    <n v="7123.1666749770275"/>
    <s v="Sr. Executive"/>
    <x v="3"/>
    <s v="India"/>
    <x v="0"/>
    <x v="2"/>
    <n v="5"/>
  </r>
  <r>
    <s v="ID1032"/>
    <d v="2012-05-28T12:58:44"/>
    <n v="300000"/>
    <s v="INR"/>
    <n v="5342.3750062327708"/>
    <s v="ACCOUNTS"/>
    <x v="5"/>
    <s v="India"/>
    <x v="0"/>
    <x v="2"/>
    <n v="5"/>
  </r>
  <r>
    <s v="ID1033"/>
    <d v="2012-05-28T12:59:59"/>
    <n v="18000"/>
    <s v="USD"/>
    <n v="18000"/>
    <s v="Area Sales Manager"/>
    <x v="3"/>
    <s v="India"/>
    <x v="0"/>
    <x v="2"/>
    <n v="4.5999999999999996"/>
  </r>
  <r>
    <s v="ID1034"/>
    <d v="2012-05-28T13:01:42"/>
    <n v="456000"/>
    <s v="PKR"/>
    <n v="4840.0244548604041"/>
    <s v="Strategic Planning Executive"/>
    <x v="3"/>
    <s v="Pakistan"/>
    <x v="3"/>
    <x v="0"/>
    <n v="2"/>
  </r>
  <r>
    <s v="ID1035"/>
    <d v="2012-05-28T13:02:56"/>
    <n v="420000"/>
    <s v="INR"/>
    <n v="7479.3250087258784"/>
    <s v="Analyst"/>
    <x v="0"/>
    <s v="India"/>
    <x v="0"/>
    <x v="2"/>
    <n v="10"/>
  </r>
  <r>
    <s v="ID1036"/>
    <d v="2012-05-28T13:05:39"/>
    <n v="210000"/>
    <s v="INR"/>
    <n v="3739.6625043629392"/>
    <s v="MIS executive"/>
    <x v="7"/>
    <s v="India"/>
    <x v="0"/>
    <x v="1"/>
    <n v="3.5"/>
  </r>
  <r>
    <s v="ID1037"/>
    <d v="2012-05-28T13:06:37"/>
    <n v="42000"/>
    <s v="USD"/>
    <n v="42000"/>
    <s v="Category Operations Supv."/>
    <x v="3"/>
    <s v="Kuwait"/>
    <x v="77"/>
    <x v="1"/>
    <n v="5"/>
  </r>
  <r>
    <s v="ID1038"/>
    <d v="2012-05-28T13:10:02"/>
    <n v="28000"/>
    <s v="USD"/>
    <n v="28000"/>
    <s v="BI"/>
    <x v="7"/>
    <s v="India"/>
    <x v="0"/>
    <x v="2"/>
    <n v="3"/>
  </r>
  <r>
    <s v="ID1039"/>
    <d v="2012-05-28T13:11:42"/>
    <n v="6000"/>
    <s v="USD"/>
    <n v="6000"/>
    <s v="Manager"/>
    <x v="3"/>
    <s v="India"/>
    <x v="0"/>
    <x v="0"/>
    <n v="5"/>
  </r>
  <r>
    <s v="ID1040"/>
    <d v="2012-05-28T13:26:22"/>
    <n v="55000"/>
    <s v="NZD"/>
    <n v="43867.345148271634"/>
    <s v="Financial Analyst"/>
    <x v="0"/>
    <s v="New Zealand"/>
    <x v="49"/>
    <x v="1"/>
    <n v="10"/>
  </r>
  <r>
    <s v="ID1041"/>
    <d v="2012-05-28T13:27:46"/>
    <n v="1000000"/>
    <s v="INR"/>
    <n v="17807.916687442568"/>
    <s v="Teaching"/>
    <x v="0"/>
    <s v="India"/>
    <x v="0"/>
    <x v="3"/>
    <n v="25"/>
  </r>
  <r>
    <s v="ID1042"/>
    <d v="2012-05-28T13:37:10"/>
    <n v="600000"/>
    <s v="INR"/>
    <n v="10684.750012465542"/>
    <s v="Business Analyst"/>
    <x v="0"/>
    <s v="India"/>
    <x v="0"/>
    <x v="1"/>
    <n v="12"/>
  </r>
  <r>
    <s v="ID1043"/>
    <d v="2012-05-28T13:40:58"/>
    <n v="60000"/>
    <s v="USD"/>
    <n v="60000"/>
    <s v="Excel Developer"/>
    <x v="8"/>
    <s v="Finland"/>
    <x v="41"/>
    <x v="1"/>
    <n v="5"/>
  </r>
  <r>
    <s v="ID1044"/>
    <d v="2012-05-28T13:41:33"/>
    <n v="476000"/>
    <s v="INR"/>
    <n v="8476.5683432226633"/>
    <s v="Report Specialist"/>
    <x v="7"/>
    <s v="India"/>
    <x v="0"/>
    <x v="0"/>
    <n v="8"/>
  </r>
  <r>
    <s v="ID1045"/>
    <d v="2012-05-28T13:42:12"/>
    <n v="8700"/>
    <s v="USD"/>
    <n v="8700"/>
    <s v="Project Controlling (MIS Reports)"/>
    <x v="1"/>
    <s v="India"/>
    <x v="0"/>
    <x v="2"/>
    <n v="7"/>
  </r>
  <r>
    <s v="ID1046"/>
    <d v="2012-05-28T13:42:35"/>
    <n v="200000"/>
    <s v="INR"/>
    <n v="3561.5833374885137"/>
    <s v="Monitoring &amp; evaluation officer"/>
    <x v="3"/>
    <s v="India"/>
    <x v="0"/>
    <x v="1"/>
    <n v="8"/>
  </r>
  <r>
    <s v="ID1047"/>
    <d v="2012-05-28T13:43:01"/>
    <n v="180000"/>
    <s v="INR"/>
    <n v="3205.4250037396623"/>
    <s v="MIS EXCUTIVE"/>
    <x v="7"/>
    <s v="India"/>
    <x v="0"/>
    <x v="1"/>
    <n v="4"/>
  </r>
  <r>
    <s v="ID1048"/>
    <d v="2012-05-28T13:46:17"/>
    <n v="252000"/>
    <s v="INR"/>
    <n v="4487.5950052355274"/>
    <s v="Accounts Exec"/>
    <x v="5"/>
    <s v="India"/>
    <x v="0"/>
    <x v="3"/>
    <n v="5"/>
  </r>
  <r>
    <s v="ID1049"/>
    <d v="2012-05-28T13:54:57"/>
    <n v="700000"/>
    <s v="INR"/>
    <n v="12465.541681209797"/>
    <s v="Credit Analyst"/>
    <x v="0"/>
    <s v="India"/>
    <x v="0"/>
    <x v="0"/>
    <n v="5"/>
  </r>
  <r>
    <s v="ID1050"/>
    <d v="2012-05-28T14:00:56"/>
    <n v="2400"/>
    <s v="USD"/>
    <n v="2400"/>
    <s v="Accounts Officer"/>
    <x v="5"/>
    <s v="Pakistan"/>
    <x v="3"/>
    <x v="2"/>
    <n v="15"/>
  </r>
  <r>
    <s v="ID1051"/>
    <d v="2012-05-28T14:11:34"/>
    <n v="55000"/>
    <s v="USD"/>
    <n v="55000"/>
    <s v="Economist"/>
    <x v="7"/>
    <s v="Israel"/>
    <x v="35"/>
    <x v="0"/>
    <n v="6"/>
  </r>
  <r>
    <s v="ID1052"/>
    <d v="2012-05-28T14:12:35"/>
    <n v="12000"/>
    <s v="USD"/>
    <n v="12000"/>
    <s v="planning &amp; Sales Control emploee"/>
    <x v="1"/>
    <s v="Iran"/>
    <x v="40"/>
    <x v="0"/>
    <n v="3"/>
  </r>
  <r>
    <s v="ID1053"/>
    <d v="2012-05-28T14:12:50"/>
    <n v="43500"/>
    <s v="EUR"/>
    <n v="55262.375596134938"/>
    <s v="RRHH"/>
    <x v="3"/>
    <s v="SPAIN"/>
    <x v="48"/>
    <x v="2"/>
    <n v="10"/>
  </r>
  <r>
    <s v="ID1054"/>
    <d v="2012-05-28T14:12:52"/>
    <n v="1200000"/>
    <s v="INR"/>
    <n v="21369.500024931083"/>
    <s v="Management Trainee"/>
    <x v="3"/>
    <s v="India"/>
    <x v="0"/>
    <x v="2"/>
    <n v="2"/>
  </r>
  <r>
    <s v="ID1055"/>
    <d v="2012-05-28T14:18:40"/>
    <n v="26000"/>
    <s v="GBP"/>
    <n v="40980.635073749385"/>
    <s v="Consultant"/>
    <x v="8"/>
    <s v="UK"/>
    <x v="14"/>
    <x v="1"/>
    <n v="8"/>
  </r>
  <r>
    <s v="ID1056"/>
    <d v="2012-05-28T14:21:27"/>
    <n v="50000"/>
    <s v="AUD"/>
    <n v="50995.482820131787"/>
    <s v="BA"/>
    <x v="0"/>
    <s v="Australia"/>
    <x v="16"/>
    <x v="0"/>
    <n v="4"/>
  </r>
  <r>
    <s v="ID1057"/>
    <d v="2012-05-28T14:22:02"/>
    <n v="16000"/>
    <s v="EUR"/>
    <n v="20326.391023865726"/>
    <s v="Management Information Systems"/>
    <x v="3"/>
    <s v="Greece"/>
    <x v="27"/>
    <x v="1"/>
    <n v="16"/>
  </r>
  <r>
    <s v="ID1058"/>
    <d v="2012-05-28T14:23:57"/>
    <n v="12000"/>
    <s v="USD"/>
    <n v="12000"/>
    <s v="consultant"/>
    <x v="8"/>
    <s v="India"/>
    <x v="0"/>
    <x v="2"/>
    <n v="8"/>
  </r>
  <r>
    <s v="ID1059"/>
    <d v="2012-05-28T14:30:05"/>
    <n v="240000"/>
    <s v="ZAR"/>
    <n v="29261.227167098674"/>
    <s v="Bookkeeper"/>
    <x v="5"/>
    <s v="South Africa"/>
    <x v="11"/>
    <x v="2"/>
    <n v="20"/>
  </r>
  <r>
    <s v="ID1060"/>
    <d v="2012-05-28T14:32:11"/>
    <n v="120000"/>
    <s v="ZAR"/>
    <n v="14630.613583549337"/>
    <s v="VP"/>
    <x v="4"/>
    <s v="South Africa"/>
    <x v="11"/>
    <x v="0"/>
    <n v="10"/>
  </r>
  <r>
    <s v="ID1061"/>
    <d v="2012-05-28T14:34:34"/>
    <n v="408000"/>
    <s v="INR"/>
    <n v="7265.630008476568"/>
    <s v="Sr Exec - Finance"/>
    <x v="5"/>
    <s v="India"/>
    <x v="0"/>
    <x v="1"/>
    <n v="5"/>
  </r>
  <r>
    <s v="ID1062"/>
    <d v="2012-05-28T14:34:37"/>
    <n v="28000"/>
    <s v="GBP"/>
    <n v="44132.991617883956"/>
    <s v="Modeller"/>
    <x v="0"/>
    <s v="UK"/>
    <x v="14"/>
    <x v="2"/>
    <n v="16"/>
  </r>
  <r>
    <s v="ID1063"/>
    <d v="2012-05-28T14:40:54"/>
    <n v="530000"/>
    <s v="INR"/>
    <n v="9438.1958443445619"/>
    <s v="Project Administrator"/>
    <x v="0"/>
    <s v="India"/>
    <x v="0"/>
    <x v="2"/>
    <n v="7"/>
  </r>
  <r>
    <s v="ID1064"/>
    <d v="2012-05-28T14:43:40"/>
    <n v="18000"/>
    <s v="USD"/>
    <n v="18000"/>
    <s v="Analyst"/>
    <x v="0"/>
    <s v="Poland"/>
    <x v="15"/>
    <x v="0"/>
    <n v="7"/>
  </r>
  <r>
    <s v="ID1065"/>
    <d v="2012-05-28T14:44:26"/>
    <n v="200000"/>
    <s v="INR"/>
    <n v="3561.5833374885137"/>
    <s v="Business Development Executive"/>
    <x v="3"/>
    <s v="India"/>
    <x v="0"/>
    <x v="2"/>
    <n v="5"/>
  </r>
  <r>
    <s v="ID1066"/>
    <d v="2012-05-28T14:45:04"/>
    <n v="200000"/>
    <s v="INR"/>
    <n v="3561.5833374885137"/>
    <s v="MIS Executive"/>
    <x v="7"/>
    <s v="India"/>
    <x v="0"/>
    <x v="0"/>
    <n v="3"/>
  </r>
  <r>
    <s v="ID1067"/>
    <d v="2012-05-28T14:46:42"/>
    <n v="5100"/>
    <s v="USD"/>
    <n v="5100"/>
    <s v="MIS Executive"/>
    <x v="7"/>
    <s v="India"/>
    <x v="0"/>
    <x v="1"/>
    <n v="8"/>
  </r>
  <r>
    <s v="ID1068"/>
    <d v="2012-05-28T14:50:03"/>
    <n v="1200000"/>
    <s v="INR"/>
    <n v="21369.500024931083"/>
    <s v="executive"/>
    <x v="0"/>
    <s v="India"/>
    <x v="0"/>
    <x v="0"/>
    <n v="7"/>
  </r>
  <r>
    <s v="ID1069"/>
    <d v="2012-05-28T14:52:45"/>
    <n v="300000"/>
    <s v="INR"/>
    <n v="5342.3750062327708"/>
    <s v="Professional consultant-Finance"/>
    <x v="8"/>
    <s v="India"/>
    <x v="0"/>
    <x v="2"/>
    <n v="1"/>
  </r>
  <r>
    <s v="ID1070"/>
    <d v="2012-05-28T14:53:02"/>
    <n v="50000"/>
    <s v="USD"/>
    <n v="50000"/>
    <s v="Managing Partner"/>
    <x v="4"/>
    <s v="India"/>
    <x v="0"/>
    <x v="3"/>
    <n v="26"/>
  </r>
  <r>
    <s v="ID1071"/>
    <d v="2012-05-28T14:53:44"/>
    <n v="1600000"/>
    <s v="INR"/>
    <n v="28492.66669990811"/>
    <s v="Manager Fin"/>
    <x v="3"/>
    <s v="India"/>
    <x v="0"/>
    <x v="1"/>
    <n v="9"/>
  </r>
  <r>
    <s v="ID1072"/>
    <d v="2012-05-28T14:56:27"/>
    <n v="15600"/>
    <s v="GBP"/>
    <n v="24588.381044249632"/>
    <s v="business data analyst"/>
    <x v="0"/>
    <s v="UK"/>
    <x v="14"/>
    <x v="1"/>
    <n v="0"/>
  </r>
  <r>
    <s v="ID1074"/>
    <d v="2012-05-28T15:12:38"/>
    <n v="7000"/>
    <s v="USD"/>
    <n v="7000"/>
    <s v="MIS Executive"/>
    <x v="7"/>
    <s v="India"/>
    <x v="0"/>
    <x v="1"/>
    <n v="5"/>
  </r>
  <r>
    <s v="ID1075"/>
    <d v="2012-05-28T15:16:20"/>
    <n v="438000"/>
    <s v="INR"/>
    <n v="7799.8675090998449"/>
    <s v="Assistant Professor"/>
    <x v="0"/>
    <s v="India"/>
    <x v="0"/>
    <x v="3"/>
    <n v="10"/>
  </r>
  <r>
    <s v="ID1076"/>
    <d v="2012-05-28T15:21:51"/>
    <n v="50000"/>
    <s v="GBP"/>
    <n v="78808.913603364199"/>
    <s v="Production manager"/>
    <x v="3"/>
    <s v="UK"/>
    <x v="14"/>
    <x v="2"/>
    <n v="12"/>
  </r>
  <r>
    <s v="ID1077"/>
    <d v="2012-05-28T15:27:59"/>
    <n v="6720"/>
    <s v="USD"/>
    <n v="6720"/>
    <s v="MIS Executive"/>
    <x v="7"/>
    <s v="India"/>
    <x v="0"/>
    <x v="0"/>
    <n v="6"/>
  </r>
  <r>
    <s v="ID1078"/>
    <d v="2012-05-28T15:29:24"/>
    <n v="250000"/>
    <s v="INR"/>
    <n v="4451.9791718606421"/>
    <s v="SR. MIS "/>
    <x v="7"/>
    <s v="India"/>
    <x v="0"/>
    <x v="1"/>
    <n v="3.5"/>
  </r>
  <r>
    <s v="ID1079"/>
    <d v="2012-05-28T15:29:53"/>
    <n v="30000"/>
    <s v="GBP"/>
    <n v="47285.348162018527"/>
    <s v="Data Analyst"/>
    <x v="0"/>
    <s v="UK"/>
    <x v="14"/>
    <x v="1"/>
    <n v="15"/>
  </r>
  <r>
    <s v="ID1080"/>
    <d v="2012-05-28T15:33:23"/>
    <n v="7200"/>
    <s v="USD"/>
    <n v="7200"/>
    <s v="Data Entry Operator"/>
    <x v="0"/>
    <s v="India"/>
    <x v="0"/>
    <x v="1"/>
    <n v="10"/>
  </r>
  <r>
    <s v="ID1081"/>
    <d v="2012-05-28T15:33:37"/>
    <n v="2500000"/>
    <s v="INR"/>
    <n v="44519.791718606422"/>
    <s v="Vice President"/>
    <x v="4"/>
    <s v="India"/>
    <x v="0"/>
    <x v="0"/>
    <n v="9"/>
  </r>
  <r>
    <s v="ID1082"/>
    <d v="2012-05-28T15:34:12"/>
    <n v="140000"/>
    <s v="INR"/>
    <n v="2493.1083362419595"/>
    <s v="Accountant"/>
    <x v="5"/>
    <s v="India"/>
    <x v="0"/>
    <x v="0"/>
    <n v="4"/>
  </r>
  <r>
    <s v="ID1083"/>
    <d v="2012-05-28T15:35:32"/>
    <n v="20000"/>
    <s v="GBP"/>
    <n v="31523.565441345683"/>
    <s v="finance assistant"/>
    <x v="0"/>
    <s v="UK"/>
    <x v="14"/>
    <x v="0"/>
    <n v="1"/>
  </r>
  <r>
    <s v="ID1084"/>
    <d v="2012-05-28T15:37:23"/>
    <n v="1200000"/>
    <s v="INR"/>
    <n v="21369.500024931083"/>
    <s v="finance controller"/>
    <x v="1"/>
    <s v="India"/>
    <x v="0"/>
    <x v="0"/>
    <n v="8"/>
  </r>
  <r>
    <s v="ID1085"/>
    <d v="2012-05-28T15:42:04"/>
    <n v="80000"/>
    <s v="GBP"/>
    <n v="126094.26176538273"/>
    <s v="Manufacturing consultant"/>
    <x v="8"/>
    <s v="UK"/>
    <x v="14"/>
    <x v="0"/>
    <n v="10"/>
  </r>
  <r>
    <s v="ID1086"/>
    <d v="2012-05-28T15:44:12"/>
    <n v="63000"/>
    <s v="GBP"/>
    <n v="99299.231140238902"/>
    <s v="Business Improvement Specialist"/>
    <x v="6"/>
    <s v="UK"/>
    <x v="14"/>
    <x v="2"/>
    <n v="1"/>
  </r>
  <r>
    <s v="ID1087"/>
    <d v="2012-05-28T15:47:46"/>
    <n v="55000"/>
    <s v="GBP"/>
    <n v="86689.804963700633"/>
    <s v="Finance Director"/>
    <x v="4"/>
    <s v="UK"/>
    <x v="14"/>
    <x v="2"/>
    <n v="22"/>
  </r>
  <r>
    <s v="ID1088"/>
    <d v="2012-05-28T15:48:23"/>
    <n v="50000"/>
    <s v="USD"/>
    <n v="50000"/>
    <s v="Sr. Manager MIS"/>
    <x v="3"/>
    <s v="India"/>
    <x v="0"/>
    <x v="2"/>
    <n v="30"/>
  </r>
  <r>
    <s v="ID1089"/>
    <d v="2012-05-28T15:49:22"/>
    <n v="240000"/>
    <s v="INR"/>
    <n v="4273.9000049862161"/>
    <s v="Executive"/>
    <x v="0"/>
    <s v="India"/>
    <x v="0"/>
    <x v="2"/>
    <n v="3"/>
  </r>
  <r>
    <s v="ID1090"/>
    <d v="2012-05-28T15:49:54"/>
    <n v="250000"/>
    <s v="INR"/>
    <n v="4451.9791718606421"/>
    <s v="MIS Executive"/>
    <x v="7"/>
    <s v="India"/>
    <x v="0"/>
    <x v="2"/>
    <n v="3"/>
  </r>
  <r>
    <s v="ID1091"/>
    <d v="2012-05-28T15:51:32"/>
    <n v="600000"/>
    <s v="INR"/>
    <n v="10684.750012465542"/>
    <s v="Sr.Supervisor"/>
    <x v="0"/>
    <s v="India"/>
    <x v="0"/>
    <x v="0"/>
    <n v="10"/>
  </r>
  <r>
    <s v="ID1092"/>
    <d v="2012-05-28T15:59:46"/>
    <n v="40500"/>
    <s v="GBP"/>
    <n v="63835.220018725006"/>
    <s v="Policy, Performance and Research Officer"/>
    <x v="3"/>
    <s v="UK"/>
    <x v="14"/>
    <x v="2"/>
    <n v="25"/>
  </r>
  <r>
    <s v="ID1093"/>
    <d v="2012-05-28T16:01:05"/>
    <n v="23000"/>
    <s v="GBP"/>
    <n v="36252.100257547536"/>
    <s v="Data Analyst"/>
    <x v="0"/>
    <s v="UK"/>
    <x v="14"/>
    <x v="1"/>
    <n v="5"/>
  </r>
  <r>
    <s v="ID1094"/>
    <d v="2012-05-28T16:03:18"/>
    <n v="7960"/>
    <s v="USD"/>
    <n v="7960"/>
    <s v="Team Leader"/>
    <x v="3"/>
    <s v="India"/>
    <x v="0"/>
    <x v="0"/>
    <n v="7"/>
  </r>
  <r>
    <s v="ID1095"/>
    <d v="2012-05-28T16:03:45"/>
    <n v="500000"/>
    <s v="INR"/>
    <n v="8903.9583437212841"/>
    <s v="Executive"/>
    <x v="0"/>
    <s v="India"/>
    <x v="0"/>
    <x v="2"/>
    <n v="23"/>
  </r>
  <r>
    <s v="ID1096"/>
    <d v="2012-05-28T16:05:43"/>
    <n v="40000"/>
    <s v="EUR"/>
    <n v="50815.977559664309"/>
    <s v="Accounting analyst"/>
    <x v="0"/>
    <s v="Netherlands"/>
    <x v="18"/>
    <x v="0"/>
    <n v="3"/>
  </r>
  <r>
    <s v="ID1097"/>
    <d v="2012-05-28T16:07:51"/>
    <n v="30000"/>
    <s v="GBP"/>
    <n v="47285.348162018527"/>
    <s v="Information Analyst"/>
    <x v="0"/>
    <s v="UK"/>
    <x v="14"/>
    <x v="0"/>
    <n v="4"/>
  </r>
  <r>
    <s v="ID1098"/>
    <d v="2012-05-28T16:07:51"/>
    <n v="48000"/>
    <s v="GBP"/>
    <n v="75656.557059229643"/>
    <s v="Business Operations Co-ordinator"/>
    <x v="3"/>
    <s v="UK"/>
    <x v="14"/>
    <x v="2"/>
    <n v="10"/>
  </r>
  <r>
    <s v="ID1099"/>
    <d v="2012-05-28T16:10:52"/>
    <n v="240000"/>
    <s v="INR"/>
    <n v="4273.9000049862161"/>
    <s v="Accountant"/>
    <x v="5"/>
    <s v="India"/>
    <x v="0"/>
    <x v="1"/>
    <n v="20"/>
  </r>
  <r>
    <s v="ID1100"/>
    <d v="2012-05-28T16:19:21"/>
    <n v="37000"/>
    <s v="EUR"/>
    <n v="47004.779242689488"/>
    <s v="Project Control Analyst"/>
    <x v="0"/>
    <s v="Spain"/>
    <x v="48"/>
    <x v="0"/>
    <n v="11"/>
  </r>
  <r>
    <s v="ID1101"/>
    <d v="2012-05-28T16:19:41"/>
    <n v="30000"/>
    <s v="GBP"/>
    <n v="47285.348162018527"/>
    <s v="MDM Executive (Business Analyst)"/>
    <x v="0"/>
    <s v="UK"/>
    <x v="14"/>
    <x v="1"/>
    <n v="10"/>
  </r>
  <r>
    <s v="ID1102"/>
    <d v="2012-05-28T16:20:52"/>
    <n v="58000"/>
    <s v="GBP"/>
    <n v="91418.339779902482"/>
    <s v="Data analyst"/>
    <x v="0"/>
    <s v="UK"/>
    <x v="14"/>
    <x v="1"/>
    <n v="8"/>
  </r>
  <r>
    <s v="ID1103"/>
    <d v="2012-05-28T16:21:27"/>
    <n v="79000"/>
    <s v="GBP"/>
    <n v="124518.08349331544"/>
    <s v="Market Analyst"/>
    <x v="0"/>
    <s v="UK"/>
    <x v="14"/>
    <x v="2"/>
    <n v="14"/>
  </r>
  <r>
    <s v="ID1104"/>
    <d v="2012-05-28T16:26:14"/>
    <n v="43912"/>
    <s v="GBP"/>
    <n v="69213.140283018583"/>
    <s v="Senior Data Analyst"/>
    <x v="0"/>
    <s v="UK"/>
    <x v="14"/>
    <x v="1"/>
    <n v="3"/>
  </r>
  <r>
    <s v="ID1105"/>
    <d v="2012-05-28T16:28:25"/>
    <n v="3500"/>
    <s v="USD"/>
    <n v="3500"/>
    <s v="OFFICER"/>
    <x v="3"/>
    <s v="PAKISTAN"/>
    <x v="3"/>
    <x v="0"/>
    <n v="4"/>
  </r>
  <r>
    <s v="ID1107"/>
    <d v="2012-05-28T16:34:48"/>
    <n v="40000"/>
    <s v="GBP"/>
    <n v="63047.130882691366"/>
    <s v="Buyer"/>
    <x v="3"/>
    <s v="UK"/>
    <x v="14"/>
    <x v="3"/>
    <n v="20"/>
  </r>
  <r>
    <s v="ID1108"/>
    <d v="2012-05-28T16:35:19"/>
    <n v="57000"/>
    <s v="EUR"/>
    <n v="72412.768022521646"/>
    <s v="Spare Part Coordinator"/>
    <x v="3"/>
    <s v="Norway"/>
    <x v="47"/>
    <x v="3"/>
    <n v="15"/>
  </r>
  <r>
    <s v="ID1109"/>
    <d v="2012-05-28T16:41:27"/>
    <n v="40000"/>
    <s v="EUR"/>
    <n v="50815.977559664309"/>
    <s v="Actuary"/>
    <x v="5"/>
    <s v="Portugal"/>
    <x v="7"/>
    <x v="2"/>
    <n v="10"/>
  </r>
  <r>
    <s v="ID1110"/>
    <d v="2012-05-28T16:45:28"/>
    <n v="1200000"/>
    <s v="INR"/>
    <n v="21369.500024931083"/>
    <s v="coordinator"/>
    <x v="3"/>
    <s v="India"/>
    <x v="0"/>
    <x v="2"/>
    <n v="5"/>
  </r>
  <r>
    <s v="ID1111"/>
    <d v="2012-05-28T16:45:32"/>
    <n v="35000"/>
    <s v="GBP"/>
    <n v="55166.239522354947"/>
    <s v="Systems Analyst"/>
    <x v="0"/>
    <s v="UK"/>
    <x v="14"/>
    <x v="2"/>
    <n v="6"/>
  </r>
  <r>
    <s v="ID1112"/>
    <d v="2012-05-28T16:53:13"/>
    <n v="180000"/>
    <s v="INR"/>
    <n v="3205.4250037396623"/>
    <s v="Logistics Operation Analyst"/>
    <x v="0"/>
    <s v="India"/>
    <x v="0"/>
    <x v="1"/>
    <n v="3"/>
  </r>
  <r>
    <s v="ID1113"/>
    <d v="2012-05-28T16:58:03"/>
    <n v="600000"/>
    <s v="INR"/>
    <n v="10684.750012465542"/>
    <s v="Company Secretary"/>
    <x v="5"/>
    <s v="India"/>
    <x v="0"/>
    <x v="2"/>
    <n v="8"/>
  </r>
  <r>
    <s v="ID1114"/>
    <d v="2012-05-28T16:59:48"/>
    <n v="300000"/>
    <s v="INR"/>
    <n v="5342.3750062327708"/>
    <s v="Analyst"/>
    <x v="0"/>
    <s v="India"/>
    <x v="0"/>
    <x v="0"/>
    <n v="5"/>
  </r>
  <r>
    <s v="ID1115"/>
    <d v="2012-05-28T17:02:43"/>
    <n v="75000"/>
    <s v="GBP"/>
    <n v="118213.37040504631"/>
    <s v="Management Consultant"/>
    <x v="3"/>
    <s v="UK"/>
    <x v="14"/>
    <x v="2"/>
    <n v="10"/>
  </r>
  <r>
    <s v="ID1116"/>
    <d v="2012-05-28T17:04:04"/>
    <n v="100000"/>
    <s v="ZAR"/>
    <n v="12192.177986291113"/>
    <s v="Q.A.Officer"/>
    <x v="3"/>
    <s v="South Africa"/>
    <x v="11"/>
    <x v="1"/>
    <n v="15"/>
  </r>
  <r>
    <s v="ID1117"/>
    <d v="2012-05-28T17:05:07"/>
    <n v="45000"/>
    <s v="GBP"/>
    <n v="70928.022243027779"/>
    <s v="Assistant Director - Performance Information"/>
    <x v="4"/>
    <s v="UK"/>
    <x v="14"/>
    <x v="0"/>
    <n v="8"/>
  </r>
  <r>
    <s v="ID1118"/>
    <d v="2012-05-28T17:09:40"/>
    <n v="25000"/>
    <s v="GBP"/>
    <n v="39404.456801682099"/>
    <s v="Developer"/>
    <x v="0"/>
    <s v="UK"/>
    <x v="14"/>
    <x v="0"/>
    <n v="3"/>
  </r>
  <r>
    <s v="ID1119"/>
    <d v="2012-05-28T17:12:47"/>
    <n v="18987"/>
    <s v="USD"/>
    <n v="18987"/>
    <s v="Business Analyst"/>
    <x v="0"/>
    <s v="Nigeria"/>
    <x v="61"/>
    <x v="1"/>
    <n v="7"/>
  </r>
  <r>
    <s v="ID1120"/>
    <d v="2012-05-28T17:15:29"/>
    <n v="28500"/>
    <s v="GBP"/>
    <n v="44921.080753917595"/>
    <s v="Development (Project &amp; Planning) Manager"/>
    <x v="3"/>
    <s v="UK"/>
    <x v="14"/>
    <x v="3"/>
    <n v="15"/>
  </r>
  <r>
    <s v="ID1121"/>
    <d v="2012-05-28T17:17:39"/>
    <n v="60000"/>
    <s v="USD"/>
    <n v="60000"/>
    <s v="manager"/>
    <x v="3"/>
    <s v="India"/>
    <x v="0"/>
    <x v="1"/>
    <n v="14"/>
  </r>
  <r>
    <s v="ID1122"/>
    <d v="2012-05-28T17:18:47"/>
    <n v="45200"/>
    <s v="GBP"/>
    <n v="71243.257897441246"/>
    <s v="Clinical audit manager"/>
    <x v="3"/>
    <s v="UK"/>
    <x v="14"/>
    <x v="2"/>
    <n v="5"/>
  </r>
  <r>
    <s v="ID1123"/>
    <d v="2012-05-28T17:22:19"/>
    <n v="252000"/>
    <s v="INR"/>
    <n v="4487.5950052355274"/>
    <s v="Inventory Manager"/>
    <x v="3"/>
    <s v="India"/>
    <x v="0"/>
    <x v="3"/>
    <n v="16"/>
  </r>
  <r>
    <s v="ID1124"/>
    <d v="2012-05-28T17:34:16"/>
    <n v="242304"/>
    <s v="INR"/>
    <n v="4314.929445034084"/>
    <s v="accountant"/>
    <x v="5"/>
    <s v="India"/>
    <x v="0"/>
    <x v="0"/>
    <n v="7"/>
  </r>
  <r>
    <s v="ID1125"/>
    <d v="2012-05-28T17:38:46"/>
    <n v="210000"/>
    <s v="INR"/>
    <n v="3739.6625043629392"/>
    <s v="information Analyst"/>
    <x v="0"/>
    <s v="India"/>
    <x v="0"/>
    <x v="1"/>
    <n v="1"/>
  </r>
  <r>
    <s v="ID1126"/>
    <d v="2012-05-28T17:42:11"/>
    <n v="60000"/>
    <s v="EUR"/>
    <n v="76223.966339496474"/>
    <s v="Development Manager"/>
    <x v="3"/>
    <s v="Finland"/>
    <x v="41"/>
    <x v="3"/>
    <n v="4"/>
  </r>
  <r>
    <s v="ID1127"/>
    <d v="2012-05-28T17:42:22"/>
    <n v="120000"/>
    <s v="AED"/>
    <n v="32666.305522511171"/>
    <s v="Finance Manager"/>
    <x v="3"/>
    <s v="UAE"/>
    <x v="21"/>
    <x v="2"/>
    <n v="12"/>
  </r>
  <r>
    <s v="ID1128"/>
    <d v="2012-05-28T17:42:51"/>
    <n v="19000"/>
    <s v="USD"/>
    <n v="19000"/>
    <s v="MI Specialist"/>
    <x v="7"/>
    <s v="UK"/>
    <x v="14"/>
    <x v="1"/>
    <n v="8"/>
  </r>
  <r>
    <s v="ID1129"/>
    <d v="2012-05-28T17:42:57"/>
    <n v="50000"/>
    <s v="EUR"/>
    <n v="63519.971949580387"/>
    <s v="Network Enginer"/>
    <x v="2"/>
    <s v="Portugal"/>
    <x v="7"/>
    <x v="2"/>
    <n v="14"/>
  </r>
  <r>
    <s v="ID1130"/>
    <d v="2012-05-28T17:53:43"/>
    <n v="900000"/>
    <s v="INR"/>
    <n v="16027.125018698311"/>
    <s v="officer"/>
    <x v="3"/>
    <s v="India"/>
    <x v="0"/>
    <x v="0"/>
    <n v="22"/>
  </r>
  <r>
    <s v="ID1131"/>
    <d v="2012-05-28T18:02:44"/>
    <n v="400000"/>
    <s v="INR"/>
    <n v="7123.1666749770275"/>
    <s v="Sr. Team Lead - MIS"/>
    <x v="7"/>
    <s v="India"/>
    <x v="0"/>
    <x v="0"/>
    <n v="9"/>
  </r>
  <r>
    <s v="ID1132"/>
    <d v="2012-05-28T18:05:13"/>
    <n v="150252"/>
    <s v="INR"/>
    <n v="2675.675098121621"/>
    <s v="KEY"/>
    <x v="3"/>
    <s v="India"/>
    <x v="0"/>
    <x v="2"/>
    <n v="5"/>
  </r>
  <r>
    <s v="ID1133"/>
    <d v="2012-05-28T18:05:16"/>
    <n v="15000"/>
    <s v="GBP"/>
    <n v="23642.674081009263"/>
    <s v="MI Specialist"/>
    <x v="7"/>
    <s v="UK"/>
    <x v="14"/>
    <x v="1"/>
    <n v="2"/>
  </r>
  <r>
    <s v="ID1134"/>
    <d v="2012-05-28T18:11:36"/>
    <n v="45000"/>
    <s v="EUR"/>
    <n v="57167.974754622352"/>
    <s v="Sales Planning"/>
    <x v="3"/>
    <s v="Spain"/>
    <x v="48"/>
    <x v="0"/>
    <n v="14"/>
  </r>
  <r>
    <s v="ID1135"/>
    <d v="2012-05-28T18:30:51"/>
    <n v="2400000"/>
    <s v="INR"/>
    <n v="42739.000049862167"/>
    <s v="GM Finance"/>
    <x v="3"/>
    <s v="India"/>
    <x v="0"/>
    <x v="1"/>
    <n v="10"/>
  </r>
  <r>
    <s v="ID1136"/>
    <d v="2012-05-28T18:34:12"/>
    <n v="216000"/>
    <s v="PHP"/>
    <n v="5120.2912876821438"/>
    <s v="Planner"/>
    <x v="3"/>
    <s v="Philippines"/>
    <x v="33"/>
    <x v="0"/>
    <n v="2"/>
  </r>
  <r>
    <s v="ID1137"/>
    <d v="2012-05-28T18:38:06"/>
    <n v="100000"/>
    <s v="EUR"/>
    <n v="127039.94389916077"/>
    <s v="Finance Director"/>
    <x v="4"/>
    <s v="Spain"/>
    <x v="48"/>
    <x v="3"/>
    <n v="20"/>
  </r>
  <r>
    <s v="ID1138"/>
    <d v="2012-05-28T18:39:19"/>
    <n v="90000"/>
    <s v="USD"/>
    <n v="90000"/>
    <s v="Performance manager"/>
    <x v="3"/>
    <s v="USA"/>
    <x v="2"/>
    <x v="0"/>
    <n v="5"/>
  </r>
  <r>
    <s v="ID1139"/>
    <d v="2012-05-28T18:40:08"/>
    <n v="400000"/>
    <s v="INR"/>
    <n v="7123.1666749770275"/>
    <s v="software engineer"/>
    <x v="2"/>
    <s v="India"/>
    <x v="0"/>
    <x v="3"/>
    <n v="2"/>
  </r>
  <r>
    <s v="ID1140"/>
    <d v="2012-05-28T18:45:00"/>
    <n v="10000"/>
    <s v="USD"/>
    <n v="10000"/>
    <s v="Business analyst"/>
    <x v="0"/>
    <s v="India"/>
    <x v="0"/>
    <x v="2"/>
    <n v="5"/>
  </r>
  <r>
    <s v="ID1141"/>
    <d v="2012-05-28T18:50:35"/>
    <n v="29000"/>
    <s v="GBP"/>
    <n v="45709.169889951241"/>
    <s v="Financial Analyst"/>
    <x v="0"/>
    <s v="UK"/>
    <x v="14"/>
    <x v="0"/>
    <n v="14"/>
  </r>
  <r>
    <s v="ID1142"/>
    <d v="2012-05-28T19:05:22"/>
    <n v="200000"/>
    <s v="INR"/>
    <n v="3561.5833374885137"/>
    <s v="MIS Sr. Executive"/>
    <x v="7"/>
    <s v="India"/>
    <x v="0"/>
    <x v="1"/>
    <n v="5"/>
  </r>
  <r>
    <s v="ID1143"/>
    <d v="2012-05-28T19:09:37"/>
    <n v="30000"/>
    <s v="EUR"/>
    <n v="38111.983169748237"/>
    <s v="Translator"/>
    <x v="0"/>
    <s v="Belgium"/>
    <x v="12"/>
    <x v="3"/>
    <n v="15"/>
  </r>
  <r>
    <s v="ID1144"/>
    <d v="2012-05-28T19:19:51"/>
    <n v="60000"/>
    <s v="USD"/>
    <n v="60000"/>
    <s v="Business Anaylyst"/>
    <x v="0"/>
    <s v="USA"/>
    <x v="2"/>
    <x v="2"/>
    <n v="4"/>
  </r>
  <r>
    <s v="ID1145"/>
    <d v="2012-05-28T19:23:29"/>
    <n v="40000"/>
    <s v="USD"/>
    <n v="40000"/>
    <s v="Engineer"/>
    <x v="2"/>
    <s v="India"/>
    <x v="0"/>
    <x v="2"/>
    <n v="2"/>
  </r>
  <r>
    <s v="ID1146"/>
    <d v="2012-05-28T19:25:04"/>
    <n v="853000"/>
    <s v="INR"/>
    <n v="15190.15293438851"/>
    <s v="Lead Research Analyst"/>
    <x v="0"/>
    <s v="India"/>
    <x v="0"/>
    <x v="2"/>
    <n v="6"/>
  </r>
  <r>
    <s v="ID1147"/>
    <d v="2012-05-28T19:25:35"/>
    <n v="90000"/>
    <s v="EUR"/>
    <n v="114335.9495092447"/>
    <s v="Management Information Manager"/>
    <x v="3"/>
    <s v="Continental Europe"/>
    <x v="78"/>
    <x v="2"/>
    <n v="20"/>
  </r>
  <r>
    <s v="ID1148"/>
    <d v="2012-05-28T19:32:15"/>
    <n v="23000"/>
    <s v="GBP"/>
    <n v="36252.100257547536"/>
    <s v="Data Management Officer"/>
    <x v="3"/>
    <s v="UK"/>
    <x v="14"/>
    <x v="0"/>
    <n v="10"/>
  </r>
  <r>
    <s v="ID1149"/>
    <d v="2012-05-28T19:53:14"/>
    <n v="30000"/>
    <s v="GBP"/>
    <n v="47285.348162018527"/>
    <s v="Reporting Accountant"/>
    <x v="5"/>
    <s v="UK"/>
    <x v="14"/>
    <x v="2"/>
    <n v="5"/>
  </r>
  <r>
    <s v="ID1150"/>
    <d v="2012-05-28T20:05:20"/>
    <n v="70000"/>
    <s v="EUR"/>
    <n v="88927.960729412545"/>
    <s v="Construction Planner"/>
    <x v="8"/>
    <s v="Ireland"/>
    <x v="8"/>
    <x v="2"/>
    <n v="20"/>
  </r>
  <r>
    <s v="ID1151"/>
    <d v="2012-05-28T20:19:57"/>
    <n v="6000"/>
    <s v="USD"/>
    <n v="6000"/>
    <s v="Assistant Accountant"/>
    <x v="5"/>
    <s v="Zambia"/>
    <x v="73"/>
    <x v="1"/>
    <n v="5"/>
  </r>
  <r>
    <s v="ID1152"/>
    <d v="2012-05-28T20:20:54"/>
    <n v="35000"/>
    <s v="USD"/>
    <n v="35000"/>
    <s v="BI Analyst"/>
    <x v="0"/>
    <s v="USA"/>
    <x v="2"/>
    <x v="1"/>
    <n v="20"/>
  </r>
  <r>
    <s v="ID1153"/>
    <d v="2012-05-28T20:35:30"/>
    <n v="35000"/>
    <s v="GBP"/>
    <n v="55166.239522354947"/>
    <s v="MI Analyst"/>
    <x v="0"/>
    <s v="UK"/>
    <x v="14"/>
    <x v="0"/>
    <n v="10"/>
  </r>
  <r>
    <s v="ID1154"/>
    <d v="2012-05-28T20:43:31"/>
    <n v="168000"/>
    <s v="PKR"/>
    <n v="1783.166904422254"/>
    <s v="Accounts Assistant"/>
    <x v="5"/>
    <s v="Pakistan"/>
    <x v="3"/>
    <x v="0"/>
    <n v="10"/>
  </r>
  <r>
    <s v="ID1155"/>
    <d v="2012-05-28T20:45:35"/>
    <n v="13500"/>
    <s v="USD"/>
    <n v="13500"/>
    <s v="Project manager"/>
    <x v="3"/>
    <s v="Montenegro"/>
    <x v="79"/>
    <x v="0"/>
    <n v="13"/>
  </r>
  <r>
    <s v="ID1156"/>
    <d v="2012-05-28T20:51:37"/>
    <n v="37500"/>
    <s v="GBP"/>
    <n v="59106.685202523156"/>
    <s v="Corporate Finance Executive"/>
    <x v="5"/>
    <s v="UK"/>
    <x v="14"/>
    <x v="2"/>
    <n v="5"/>
  </r>
  <r>
    <s v="ID1157"/>
    <d v="2012-05-28T20:54:29"/>
    <n v="708000"/>
    <s v="INR"/>
    <n v="12608.005014709339"/>
    <s v="Manager-Operation"/>
    <x v="3"/>
    <s v="India"/>
    <x v="0"/>
    <x v="0"/>
    <n v="5"/>
  </r>
  <r>
    <s v="ID1158"/>
    <d v="2012-05-28T21:14:25"/>
    <n v="366252"/>
    <s v="ZAR"/>
    <n v="44654.095718350931"/>
    <s v="Accountant"/>
    <x v="5"/>
    <s v="South Africa"/>
    <x v="11"/>
    <x v="1"/>
    <n v="15"/>
  </r>
  <r>
    <s v="ID1159"/>
    <d v="2012-05-28T21:17:04"/>
    <n v="69000"/>
    <s v="USD"/>
    <n v="69000"/>
    <s v="Financial Analysist"/>
    <x v="0"/>
    <s v="USA"/>
    <x v="2"/>
    <x v="2"/>
    <n v="20"/>
  </r>
  <r>
    <s v="ID1160"/>
    <d v="2012-05-28T21:55:25"/>
    <n v="6000"/>
    <s v="USD"/>
    <n v="6000"/>
    <s v="AM Ops"/>
    <x v="3"/>
    <s v="India"/>
    <x v="0"/>
    <x v="0"/>
    <n v="6"/>
  </r>
  <r>
    <s v="ID1161"/>
    <d v="2012-05-28T22:08:12"/>
    <n v="500000"/>
    <s v="INR"/>
    <n v="8903.9583437212841"/>
    <s v="Deputy Manager"/>
    <x v="3"/>
    <s v="India"/>
    <x v="0"/>
    <x v="3"/>
    <n v="25"/>
  </r>
  <r>
    <s v="ID1162"/>
    <d v="2012-05-28T22:10:12"/>
    <n v="30000"/>
    <s v="USD"/>
    <n v="30000"/>
    <s v="pricing and cost manager"/>
    <x v="3"/>
    <s v="mexico"/>
    <x v="26"/>
    <x v="1"/>
    <n v="17"/>
  </r>
  <r>
    <s v="ID1163"/>
    <d v="2012-05-28T22:13:24"/>
    <n v="8600"/>
    <s v="USD"/>
    <n v="8600"/>
    <s v="Catlog associates"/>
    <x v="0"/>
    <s v="India"/>
    <x v="0"/>
    <x v="0"/>
    <n v="2"/>
  </r>
  <r>
    <s v="ID1164"/>
    <d v="2012-05-28T22:25:04"/>
    <n v="81600"/>
    <s v="USD"/>
    <n v="81600"/>
    <s v="Business Analyst - Central Finance"/>
    <x v="0"/>
    <s v="UK"/>
    <x v="14"/>
    <x v="0"/>
    <n v="4"/>
  </r>
  <r>
    <s v="ID1165"/>
    <d v="2012-05-28T22:33:29"/>
    <n v="600000"/>
    <s v="DOP"/>
    <n v="15404.364569961488"/>
    <s v="Analista de Produccion"/>
    <x v="0"/>
    <s v="Republica Dominicana"/>
    <x v="80"/>
    <x v="1"/>
    <n v="3"/>
  </r>
  <r>
    <s v="ID1166"/>
    <d v="2012-05-28T22:35:56"/>
    <n v="65000"/>
    <s v="CAD"/>
    <n v="63918.498996971248"/>
    <s v="IT Analyst (Reporting)"/>
    <x v="0"/>
    <s v="Canada"/>
    <x v="17"/>
    <x v="0"/>
    <n v="20"/>
  </r>
  <r>
    <s v="ID1167"/>
    <d v="2012-05-28T22:36:22"/>
    <n v="75000"/>
    <s v="USD"/>
    <n v="75000"/>
    <s v="Controller"/>
    <x v="1"/>
    <s v="USA"/>
    <x v="2"/>
    <x v="2"/>
    <n v="20"/>
  </r>
  <r>
    <s v="ID1168"/>
    <d v="2012-05-28T22:36:47"/>
    <n v="59000"/>
    <s v="USD"/>
    <n v="59000"/>
    <s v="Management Analyst"/>
    <x v="0"/>
    <s v="USA"/>
    <x v="2"/>
    <x v="0"/>
    <n v="14"/>
  </r>
  <r>
    <s v="ID1169"/>
    <d v="2012-05-28T22:38:37"/>
    <n v="50000"/>
    <s v="USD"/>
    <n v="50000"/>
    <s v="Program Manager"/>
    <x v="3"/>
    <s v="Canada"/>
    <x v="17"/>
    <x v="3"/>
    <n v="5"/>
  </r>
  <r>
    <s v="ID1170"/>
    <d v="2012-05-28T22:39:09"/>
    <n v="80000"/>
    <s v="GBP"/>
    <n v="126094.26176538273"/>
    <s v="Financial Controller"/>
    <x v="1"/>
    <s v="UK"/>
    <x v="14"/>
    <x v="0"/>
    <n v="15"/>
  </r>
  <r>
    <s v="ID1171"/>
    <d v="2012-05-28T22:41:01"/>
    <n v="54000"/>
    <s v="BRL"/>
    <n v="26691.183012544854"/>
    <s v="Logistics Coordinator"/>
    <x v="3"/>
    <s v="Brazil"/>
    <x v="24"/>
    <x v="3"/>
    <n v="7"/>
  </r>
  <r>
    <s v="ID1172"/>
    <d v="2012-05-28T22:41:15"/>
    <n v="500000"/>
    <s v="INR"/>
    <n v="8903.9583437212841"/>
    <s v="Business Analyst"/>
    <x v="0"/>
    <s v="India"/>
    <x v="0"/>
    <x v="0"/>
    <n v="0.8"/>
  </r>
  <r>
    <s v="ID1173"/>
    <d v="2012-05-28T22:41:26"/>
    <n v="8725"/>
    <s v="USD"/>
    <n v="8725"/>
    <s v="Administration Officer"/>
    <x v="3"/>
    <s v="Pakistan"/>
    <x v="3"/>
    <x v="2"/>
    <n v="18"/>
  </r>
  <r>
    <s v="ID1175"/>
    <d v="2012-05-28T22:44:48"/>
    <n v="32000"/>
    <s v="GBP"/>
    <n v="50437.70470615309"/>
    <s v="Service Analyst"/>
    <x v="0"/>
    <s v="UK"/>
    <x v="14"/>
    <x v="0"/>
    <n v="4"/>
  </r>
  <r>
    <s v="ID1176"/>
    <d v="2012-05-28T22:45:49"/>
    <n v="43000"/>
    <s v="GBP"/>
    <n v="67775.665698893223"/>
    <s v="Head of Finance"/>
    <x v="5"/>
    <s v="UK"/>
    <x v="14"/>
    <x v="1"/>
    <n v="15"/>
  </r>
  <r>
    <s v="ID1177"/>
    <d v="2012-05-28T22:46:37"/>
    <n v="53000"/>
    <s v="CAD"/>
    <n v="52118.160720607324"/>
    <s v="Data Analyst"/>
    <x v="0"/>
    <s v="Canada"/>
    <x v="17"/>
    <x v="0"/>
    <n v="6"/>
  </r>
  <r>
    <s v="ID1178"/>
    <d v="2012-05-28T22:48:32"/>
    <n v="200000"/>
    <s v="INR"/>
    <n v="3561.5833374885137"/>
    <s v="Associate"/>
    <x v="0"/>
    <s v="India"/>
    <x v="0"/>
    <x v="3"/>
    <n v="6"/>
  </r>
  <r>
    <s v="ID1179"/>
    <d v="2012-05-28T22:49:15"/>
    <n v="450000"/>
    <s v="INR"/>
    <n v="8013.5625093491553"/>
    <s v="Production Manager"/>
    <x v="3"/>
    <s v="India"/>
    <x v="0"/>
    <x v="0"/>
    <n v="21"/>
  </r>
  <r>
    <s v="ID1180"/>
    <d v="2012-05-28T22:50:51"/>
    <n v="28000"/>
    <s v="USD"/>
    <n v="28000"/>
    <s v="Business Intelligence Manager"/>
    <x v="3"/>
    <s v="Poland"/>
    <x v="15"/>
    <x v="0"/>
    <n v="5"/>
  </r>
  <r>
    <s v="ID1181"/>
    <d v="2012-05-28T22:51:27"/>
    <n v="31763"/>
    <s v="GBP"/>
    <n v="50064.150455673145"/>
    <s v="Network Administrator"/>
    <x v="0"/>
    <s v="UK"/>
    <x v="14"/>
    <x v="2"/>
    <n v="2"/>
  </r>
  <r>
    <s v="ID1182"/>
    <d v="2012-05-28T22:52:19"/>
    <n v="32000"/>
    <s v="GBP"/>
    <n v="50437.70470615309"/>
    <s v="Performance Analyst"/>
    <x v="0"/>
    <s v="Canada"/>
    <x v="17"/>
    <x v="0"/>
    <n v="9"/>
  </r>
  <r>
    <s v="ID1183"/>
    <d v="2012-05-28T22:53:03"/>
    <n v="27840"/>
    <s v="USD"/>
    <n v="27840"/>
    <s v="Data Entry Clerk III"/>
    <x v="0"/>
    <s v="USA"/>
    <x v="2"/>
    <x v="2"/>
    <n v="1"/>
  </r>
  <r>
    <s v="ID1184"/>
    <d v="2012-05-28T22:54:24"/>
    <n v="350000"/>
    <s v="INR"/>
    <n v="6232.7708406048987"/>
    <s v="officer accounts"/>
    <x v="5"/>
    <s v="India"/>
    <x v="0"/>
    <x v="2"/>
    <n v="1.5"/>
  </r>
  <r>
    <s v="ID1185"/>
    <d v="2012-05-28T22:55:40"/>
    <n v="50000"/>
    <s v="USD"/>
    <n v="50000"/>
    <s v="Engineer"/>
    <x v="2"/>
    <s v="Singapore"/>
    <x v="30"/>
    <x v="2"/>
    <n v="25"/>
  </r>
  <r>
    <s v="ID1186"/>
    <d v="2012-05-28T22:58:25"/>
    <n v="48000"/>
    <s v="USD"/>
    <n v="48000"/>
    <s v="Cost Controlling Executive"/>
    <x v="1"/>
    <s v="Qatar"/>
    <x v="66"/>
    <x v="2"/>
    <n v="10"/>
  </r>
  <r>
    <s v="ID1187"/>
    <d v="2012-05-28T22:59:16"/>
    <n v="24000"/>
    <s v="USD"/>
    <n v="24000"/>
    <s v="Administration Manager"/>
    <x v="3"/>
    <s v="Argentina"/>
    <x v="81"/>
    <x v="0"/>
    <n v="21"/>
  </r>
  <r>
    <s v="ID1188"/>
    <d v="2012-05-28T23:02:08"/>
    <n v="75000"/>
    <s v="USD"/>
    <n v="75000"/>
    <s v="Financial Analyst"/>
    <x v="0"/>
    <s v="USA"/>
    <x v="2"/>
    <x v="0"/>
    <n v="12"/>
  </r>
  <r>
    <s v="ID1189"/>
    <d v="2012-05-28T23:05:03"/>
    <n v="216000"/>
    <s v="AED"/>
    <n v="58799.349940520107"/>
    <s v="Financial analyst"/>
    <x v="0"/>
    <s v="Dubai"/>
    <x v="34"/>
    <x v="0"/>
    <n v="2"/>
  </r>
  <r>
    <s v="ID1190"/>
    <d v="2012-05-28T23:06:22"/>
    <n v="2000000"/>
    <s v="PKR"/>
    <n v="21228.177433598263"/>
    <s v="Excel Corporate Trainer"/>
    <x v="8"/>
    <s v="Pakistan"/>
    <x v="3"/>
    <x v="1"/>
    <n v="8"/>
  </r>
  <r>
    <s v="ID1191"/>
    <d v="2012-05-28T23:13:24"/>
    <n v="60000"/>
    <s v="USD"/>
    <n v="60000"/>
    <s v="Quality Management"/>
    <x v="3"/>
    <s v="USA"/>
    <x v="2"/>
    <x v="2"/>
    <n v="10"/>
  </r>
  <r>
    <s v="ID1192"/>
    <d v="2012-05-28T23:13:31"/>
    <n v="60000"/>
    <s v="PLN"/>
    <n v="18018.883790212141"/>
    <s v="Sales Analyst"/>
    <x v="0"/>
    <s v="Poland"/>
    <x v="15"/>
    <x v="1"/>
    <n v="10"/>
  </r>
  <r>
    <s v="ID1193"/>
    <d v="2012-05-28T23:17:12"/>
    <n v="7200"/>
    <s v="USD"/>
    <n v="7200"/>
    <s v="Supervisor MIS"/>
    <x v="7"/>
    <s v="India"/>
    <x v="0"/>
    <x v="0"/>
    <n v="7"/>
  </r>
  <r>
    <s v="ID1194"/>
    <d v="2012-05-28T23:17:31"/>
    <n v="56000"/>
    <s v="USD"/>
    <n v="56000"/>
    <s v="Analyst"/>
    <x v="0"/>
    <s v="USA"/>
    <x v="2"/>
    <x v="3"/>
    <n v="2"/>
  </r>
  <r>
    <s v="ID1195"/>
    <d v="2012-05-28T23:19:36"/>
    <n v="540000"/>
    <s v="INR"/>
    <n v="9616.275011218986"/>
    <s v="Business Analyst - Solutions"/>
    <x v="0"/>
    <s v="India"/>
    <x v="0"/>
    <x v="0"/>
    <n v="7.9"/>
  </r>
  <r>
    <s v="ID1196"/>
    <d v="2012-05-28T23:21:02"/>
    <n v="4300000"/>
    <s v="KENYA"/>
    <n v="51497.005988023957"/>
    <s v="Finance Manager"/>
    <x v="3"/>
    <s v="Kenya"/>
    <x v="82"/>
    <x v="0"/>
    <n v="9"/>
  </r>
  <r>
    <s v="ID1197"/>
    <d v="2012-05-28T23:25:32"/>
    <n v="82000"/>
    <s v="EUR"/>
    <n v="104172.75399731184"/>
    <s v="Finance Project Manager"/>
    <x v="3"/>
    <s v="Netherlands"/>
    <x v="18"/>
    <x v="1"/>
    <n v="25"/>
  </r>
  <r>
    <s v="ID1198"/>
    <d v="2012-05-28T23:33:59"/>
    <n v="88000"/>
    <s v="USD"/>
    <n v="88000"/>
    <s v="Manager, Strategy &amp; Insights"/>
    <x v="3"/>
    <s v="USA"/>
    <x v="2"/>
    <x v="0"/>
    <n v="2"/>
  </r>
  <r>
    <s v="ID1199"/>
    <d v="2012-05-28T23:38:52"/>
    <n v="80000"/>
    <s v="USD"/>
    <n v="80000"/>
    <s v="Financial/Data Analyst"/>
    <x v="0"/>
    <s v="USA"/>
    <x v="2"/>
    <x v="0"/>
    <n v="6"/>
  </r>
  <r>
    <s v="ID1200"/>
    <d v="2012-05-28T23:47:10"/>
    <n v="19000"/>
    <s v="USD"/>
    <n v="19000"/>
    <s v="Accountant"/>
    <x v="5"/>
    <s v="UK"/>
    <x v="14"/>
    <x v="0"/>
    <n v="20"/>
  </r>
  <r>
    <s v="ID1201"/>
    <d v="2012-05-28T23:51:37"/>
    <n v="15000"/>
    <s v="EUR"/>
    <n v="19055.991584874118"/>
    <s v="business consultant"/>
    <x v="8"/>
    <s v="Italy"/>
    <x v="63"/>
    <x v="0"/>
    <n v="3"/>
  </r>
  <r>
    <s v="ID1202"/>
    <d v="2012-05-28T23:52:42"/>
    <n v="480000"/>
    <s v="INR"/>
    <n v="8547.8000099724322"/>
    <s v="Documentation Consultant"/>
    <x v="8"/>
    <s v="India"/>
    <x v="0"/>
    <x v="1"/>
    <n v="15"/>
  </r>
  <r>
    <s v="ID1203"/>
    <d v="2012-05-28T23:53:02"/>
    <n v="1100000"/>
    <s v="INR"/>
    <n v="19588.708356186824"/>
    <s v="Sr. Consultant"/>
    <x v="8"/>
    <s v="India"/>
    <x v="0"/>
    <x v="1"/>
    <n v="13"/>
  </r>
  <r>
    <s v="ID1204"/>
    <d v="2012-05-29T00:00:21"/>
    <n v="61000"/>
    <s v="USD"/>
    <n v="61000"/>
    <s v="Financial Analyst"/>
    <x v="0"/>
    <s v="USA"/>
    <x v="2"/>
    <x v="0"/>
    <n v="1.5"/>
  </r>
  <r>
    <s v="ID1205"/>
    <d v="2012-05-29T00:03:43"/>
    <n v="34000"/>
    <s v="GBP"/>
    <n v="53590.061250287661"/>
    <s v="investment accountant"/>
    <x v="5"/>
    <s v="UK"/>
    <x v="14"/>
    <x v="1"/>
    <n v="10"/>
  </r>
  <r>
    <s v="ID1206"/>
    <d v="2012-05-29T00:03:48"/>
    <n v="34000"/>
    <s v="GBP"/>
    <n v="53590.061250287661"/>
    <s v="investment accountant"/>
    <x v="5"/>
    <s v="UK"/>
    <x v="14"/>
    <x v="1"/>
    <n v="10"/>
  </r>
  <r>
    <s v="ID1207"/>
    <d v="2012-05-29T00:07:00"/>
    <n v="250000"/>
    <s v="INR"/>
    <n v="4451.9791718606421"/>
    <s v="Officer Production"/>
    <x v="3"/>
    <s v="India"/>
    <x v="0"/>
    <x v="0"/>
    <n v="1"/>
  </r>
  <r>
    <s v="ID1208"/>
    <d v="2012-05-29T00:07:36"/>
    <n v="20000"/>
    <s v="EUR"/>
    <n v="25407.988779832154"/>
    <s v="warehouse management"/>
    <x v="3"/>
    <s v="GREECE"/>
    <x v="27"/>
    <x v="3"/>
    <n v="12"/>
  </r>
  <r>
    <s v="ID1209"/>
    <d v="2012-05-29T00:12:23"/>
    <n v="23000"/>
    <s v="USD"/>
    <n v="23000"/>
    <s v="Chief Accountant"/>
    <x v="5"/>
    <s v="Saudi Arabia"/>
    <x v="22"/>
    <x v="1"/>
    <n v="14"/>
  </r>
  <r>
    <s v="ID1210"/>
    <d v="2012-05-29T00:16:55"/>
    <n v="900000"/>
    <s v="INR"/>
    <n v="16027.125018698311"/>
    <s v="Manager F &amp; A"/>
    <x v="3"/>
    <s v="India"/>
    <x v="0"/>
    <x v="3"/>
    <n v="13"/>
  </r>
  <r>
    <s v="ID1211"/>
    <d v="2012-05-29T00:25:39"/>
    <n v="60000"/>
    <s v="USD"/>
    <n v="60000"/>
    <s v="Quality Assurance Engineer"/>
    <x v="2"/>
    <s v="USA"/>
    <x v="2"/>
    <x v="3"/>
    <n v="6"/>
  </r>
  <r>
    <s v="ID1212"/>
    <d v="2012-05-29T00:25:46"/>
    <n v="4800"/>
    <s v="USD"/>
    <n v="4800"/>
    <s v="Financial Analyst"/>
    <x v="0"/>
    <s v="India"/>
    <x v="0"/>
    <x v="0"/>
    <n v="5"/>
  </r>
  <r>
    <s v="ID1213"/>
    <d v="2012-05-29T00:26:21"/>
    <n v="625000"/>
    <s v="DKK"/>
    <n v="106815.148267971"/>
    <s v="Manager Business Controlling"/>
    <x v="3"/>
    <s v="Denmark"/>
    <x v="62"/>
    <x v="0"/>
    <n v="25"/>
  </r>
  <r>
    <s v="ID1214"/>
    <d v="2012-05-29T00:28:38"/>
    <n v="500000"/>
    <s v="INR"/>
    <n v="8903.9583437212841"/>
    <s v="Consultant"/>
    <x v="8"/>
    <s v="India"/>
    <x v="0"/>
    <x v="2"/>
    <n v="3"/>
  </r>
  <r>
    <s v="ID1215"/>
    <d v="2012-05-29T00:29:32"/>
    <n v="60000"/>
    <s v="USD"/>
    <n v="60000"/>
    <s v="sample manager"/>
    <x v="3"/>
    <s v="USA"/>
    <x v="2"/>
    <x v="0"/>
    <n v="12"/>
  </r>
  <r>
    <s v="ID1216"/>
    <d v="2012-05-29T00:30:42"/>
    <n v="2600000"/>
    <s v="INR"/>
    <n v="46300.583387350678"/>
    <s v="Practice Manager"/>
    <x v="3"/>
    <s v="India"/>
    <x v="0"/>
    <x v="0"/>
    <n v="4"/>
  </r>
  <r>
    <s v="ID1217"/>
    <d v="2012-05-29T00:32:35"/>
    <n v="750000"/>
    <s v="INR"/>
    <n v="13355.937515581925"/>
    <s v="Assistant Manager"/>
    <x v="3"/>
    <s v="India"/>
    <x v="0"/>
    <x v="2"/>
    <n v="3"/>
  </r>
  <r>
    <s v="ID1218"/>
    <d v="2012-05-29T00:36:21"/>
    <n v="74000"/>
    <s v="USD"/>
    <n v="74000"/>
    <s v="marketing specialist"/>
    <x v="6"/>
    <s v="USA"/>
    <x v="2"/>
    <x v="0"/>
    <n v="10"/>
  </r>
  <r>
    <s v="ID1219"/>
    <d v="2012-05-29T00:47:17"/>
    <n v="95856"/>
    <s v="USD"/>
    <n v="95856"/>
    <s v="Analyst"/>
    <x v="0"/>
    <s v="USA"/>
    <x v="2"/>
    <x v="2"/>
    <n v="13"/>
  </r>
  <r>
    <s v="ID1220"/>
    <d v="2012-05-29T01:03:19"/>
    <n v="40000"/>
    <s v="USD"/>
    <n v="40000"/>
    <s v="Staff Accountant"/>
    <x v="5"/>
    <s v="USA"/>
    <x v="2"/>
    <x v="2"/>
    <n v="15"/>
  </r>
  <r>
    <s v="ID1221"/>
    <d v="2012-05-29T01:06:44"/>
    <n v="4400"/>
    <s v="USD"/>
    <n v="4400"/>
    <s v="Manager Corporate Finance"/>
    <x v="3"/>
    <s v="Latin America"/>
    <x v="83"/>
    <x v="2"/>
    <n v="5"/>
  </r>
  <r>
    <s v="ID1222"/>
    <d v="2012-05-29T01:12:28"/>
    <n v="90000"/>
    <s v="USD"/>
    <n v="90000"/>
    <s v="Senior Analyst"/>
    <x v="0"/>
    <s v="USA"/>
    <x v="2"/>
    <x v="0"/>
    <n v="30"/>
  </r>
  <r>
    <s v="ID1223"/>
    <d v="2012-05-29T01:19:26"/>
    <n v="450000"/>
    <s v="INR"/>
    <n v="8013.5625093491553"/>
    <s v="ASSISTANT MANAGER"/>
    <x v="3"/>
    <s v="India"/>
    <x v="0"/>
    <x v="1"/>
    <n v="2"/>
  </r>
  <r>
    <s v="ID1224"/>
    <d v="2012-05-29T01:22:59"/>
    <n v="1000000"/>
    <s v="INR"/>
    <n v="17807.916687442568"/>
    <s v="Asst Manager"/>
    <x v="3"/>
    <s v="India"/>
    <x v="0"/>
    <x v="0"/>
    <n v="8.5"/>
  </r>
  <r>
    <s v="ID1225"/>
    <d v="2012-05-29T01:31:39"/>
    <n v="700000"/>
    <s v="INR"/>
    <n v="12465.541681209797"/>
    <s v="Lead Executive MIS"/>
    <x v="7"/>
    <s v="India"/>
    <x v="0"/>
    <x v="0"/>
    <n v="6"/>
  </r>
  <r>
    <s v="ID1226"/>
    <d v="2012-05-29T01:41:00"/>
    <n v="80000"/>
    <s v="USD"/>
    <n v="80000"/>
    <s v="Snr Business Analyst"/>
    <x v="0"/>
    <s v="Singapore"/>
    <x v="30"/>
    <x v="3"/>
    <n v="6"/>
  </r>
  <r>
    <s v="ID1227"/>
    <d v="2012-05-29T01:44:03"/>
    <n v="100000"/>
    <s v="USD"/>
    <n v="100000"/>
    <s v="Finance Manager"/>
    <x v="3"/>
    <s v="USA"/>
    <x v="2"/>
    <x v="0"/>
    <n v="11"/>
  </r>
  <r>
    <s v="ID1228"/>
    <d v="2012-05-29T01:45:13"/>
    <n v="49200"/>
    <s v="USD"/>
    <n v="49200"/>
    <s v="Chief Accountant"/>
    <x v="5"/>
    <s v="QATAR"/>
    <x v="66"/>
    <x v="2"/>
    <n v="25"/>
  </r>
  <r>
    <s v="ID1229"/>
    <d v="2012-05-29T01:47:39"/>
    <n v="9000"/>
    <s v="USD"/>
    <n v="9000"/>
    <s v="assurance manager"/>
    <x v="3"/>
    <s v="India"/>
    <x v="0"/>
    <x v="0"/>
    <n v="1"/>
  </r>
  <r>
    <s v="ID1230"/>
    <d v="2012-05-29T01:50:01"/>
    <n v="300000"/>
    <s v="INR"/>
    <n v="5342.3750062327708"/>
    <s v="Finance Analyst"/>
    <x v="0"/>
    <s v="India"/>
    <x v="0"/>
    <x v="0"/>
    <n v="6"/>
  </r>
  <r>
    <s v="ID1231"/>
    <d v="2012-05-29T02:02:39"/>
    <n v="40000"/>
    <s v="USD"/>
    <n v="40000"/>
    <s v="SOX,SAP, Insurance Coordinator"/>
    <x v="3"/>
    <s v="Pakistan, Angola"/>
    <x v="3"/>
    <x v="0"/>
    <n v="15"/>
  </r>
  <r>
    <s v="ID1232"/>
    <d v="2012-05-29T02:12:32"/>
    <n v="26000"/>
    <s v="GBP"/>
    <n v="40980.635073749385"/>
    <s v="Business Analyst"/>
    <x v="0"/>
    <s v="UK"/>
    <x v="14"/>
    <x v="0"/>
    <n v="2"/>
  </r>
  <r>
    <s v="ID1233"/>
    <d v="2012-05-29T02:19:27"/>
    <n v="29000"/>
    <s v="GBP"/>
    <n v="45709.169889951241"/>
    <s v="Financial Accountant"/>
    <x v="5"/>
    <s v="UK"/>
    <x v="14"/>
    <x v="2"/>
    <n v="8"/>
  </r>
  <r>
    <s v="ID1234"/>
    <d v="2012-05-29T02:22:13"/>
    <n v="400000"/>
    <s v="INR"/>
    <n v="7123.1666749770275"/>
    <s v="Pmo"/>
    <x v="3"/>
    <s v="India"/>
    <x v="0"/>
    <x v="0"/>
    <n v="1"/>
  </r>
  <r>
    <s v="ID1235"/>
    <d v="2012-05-29T02:26:28"/>
    <n v="100000"/>
    <s v="USD"/>
    <n v="100000"/>
    <s v="Controller"/>
    <x v="1"/>
    <s v="Norway"/>
    <x v="47"/>
    <x v="0"/>
    <n v="12"/>
  </r>
  <r>
    <s v="ID1236"/>
    <d v="2012-05-29T02:43:44"/>
    <n v="62000"/>
    <s v="EUR"/>
    <n v="78764.765217479682"/>
    <s v="Stafmember"/>
    <x v="0"/>
    <s v="Netherlands"/>
    <x v="18"/>
    <x v="0"/>
    <n v="15"/>
  </r>
  <r>
    <s v="ID1237"/>
    <d v="2012-05-29T03:16:02"/>
    <n v="150000"/>
    <s v="AUD"/>
    <n v="152986.44846039536"/>
    <s v="Analyst"/>
    <x v="0"/>
    <s v="Australia"/>
    <x v="16"/>
    <x v="2"/>
    <n v="10"/>
  </r>
  <r>
    <s v="ID1238"/>
    <d v="2012-05-29T03:28:37"/>
    <n v="35000"/>
    <s v="EUR"/>
    <n v="44463.980364706273"/>
    <s v="Business Analyst"/>
    <x v="0"/>
    <s v="Ireland"/>
    <x v="8"/>
    <x v="1"/>
    <n v="12"/>
  </r>
  <r>
    <s v="ID1239"/>
    <d v="2012-05-29T03:51:09"/>
    <n v="30000"/>
    <s v="EUR"/>
    <n v="38111.983169748237"/>
    <s v="education advisor"/>
    <x v="8"/>
    <s v="the Netherlands"/>
    <x v="18"/>
    <x v="3"/>
    <n v="8"/>
  </r>
  <r>
    <s v="ID1240"/>
    <d v="2012-05-29T03:51:28"/>
    <n v="75000"/>
    <s v="GBP"/>
    <n v="118213.37040504631"/>
    <s v="Finance Manager"/>
    <x v="3"/>
    <s v="UK"/>
    <x v="14"/>
    <x v="0"/>
    <n v="20"/>
  </r>
  <r>
    <s v="ID1241"/>
    <d v="2012-05-29T04:03:07"/>
    <n v="25000"/>
    <s v="GBP"/>
    <n v="39404.456801682099"/>
    <s v="Senior Accounts Clerk"/>
    <x v="5"/>
    <s v="UK"/>
    <x v="14"/>
    <x v="2"/>
    <n v="10"/>
  </r>
  <r>
    <s v="ID1242"/>
    <d v="2012-05-29T04:08:45"/>
    <n v="71000"/>
    <s v="EUR"/>
    <n v="90198.36016840415"/>
    <s v="Consultant"/>
    <x v="8"/>
    <s v="Germany"/>
    <x v="5"/>
    <x v="3"/>
    <n v="3"/>
  </r>
  <r>
    <s v="ID1243"/>
    <d v="2012-05-29T04:11:58"/>
    <n v="30000"/>
    <s v="GBP"/>
    <n v="47285.348162018527"/>
    <s v="Infection Prevention Surveillance Specialist"/>
    <x v="6"/>
    <s v="UK"/>
    <x v="14"/>
    <x v="0"/>
    <n v="14"/>
  </r>
  <r>
    <s v="ID1244"/>
    <d v="2012-05-29T04:25:02"/>
    <n v="56000"/>
    <s v="USD"/>
    <n v="56000"/>
    <s v="Accountant"/>
    <x v="5"/>
    <s v="USA"/>
    <x v="2"/>
    <x v="0"/>
    <n v="1"/>
  </r>
  <r>
    <s v="ID1245"/>
    <d v="2012-05-29T04:30:10"/>
    <n v="48000000"/>
    <s v="IDR"/>
    <n v="5082.6943786459069"/>
    <s v="Office Instructor"/>
    <x v="0"/>
    <s v="Indonesia"/>
    <x v="56"/>
    <x v="3"/>
    <n v="2"/>
  </r>
  <r>
    <s v="ID1246"/>
    <d v="2012-05-29T04:33:37"/>
    <n v="34000"/>
    <s v="GBP"/>
    <n v="53590.061250287661"/>
    <s v="Investment Accountant"/>
    <x v="5"/>
    <s v="UK"/>
    <x v="14"/>
    <x v="1"/>
    <n v="10"/>
  </r>
  <r>
    <s v="ID1247"/>
    <d v="2012-05-29T05:03:26"/>
    <n v="450000"/>
    <s v="DKK"/>
    <n v="76906.906752939132"/>
    <s v="owner"/>
    <x v="4"/>
    <s v="Denmark"/>
    <x v="62"/>
    <x v="1"/>
    <n v="17"/>
  </r>
  <r>
    <s v="ID1248"/>
    <d v="2012-05-29T05:08:57"/>
    <n v="85000"/>
    <s v="USD"/>
    <n v="85000"/>
    <s v="Senior Executive Compensation Analyst "/>
    <x v="0"/>
    <s v="USA"/>
    <x v="2"/>
    <x v="0"/>
    <n v="5"/>
  </r>
  <r>
    <s v="ID1249"/>
    <d v="2012-05-29T05:11:03"/>
    <n v="72000"/>
    <s v="USD"/>
    <n v="72000"/>
    <s v="Markets Adviser"/>
    <x v="8"/>
    <s v="New Zealand"/>
    <x v="49"/>
    <x v="2"/>
    <n v="10"/>
  </r>
  <r>
    <s v="ID1250"/>
    <d v="2012-05-29T05:21:39"/>
    <n v="55000"/>
    <s v="USD"/>
    <n v="55000"/>
    <s v="Systems Analyst"/>
    <x v="0"/>
    <s v="USA"/>
    <x v="2"/>
    <x v="3"/>
    <n v="7"/>
  </r>
  <r>
    <s v="ID1251"/>
    <d v="2012-05-29T05:47:34"/>
    <n v="43000"/>
    <s v="GBP"/>
    <n v="67775.665698893223"/>
    <s v="Financial Controller"/>
    <x v="1"/>
    <s v="UK"/>
    <x v="14"/>
    <x v="0"/>
    <n v="25"/>
  </r>
  <r>
    <s v="ID1252"/>
    <d v="2012-05-29T05:53:42"/>
    <n v="25750"/>
    <s v="GBP"/>
    <n v="40586.590505732565"/>
    <s v="Energy Analyst"/>
    <x v="0"/>
    <s v="UK"/>
    <x v="14"/>
    <x v="0"/>
    <n v="1"/>
  </r>
  <r>
    <s v="ID1253"/>
    <d v="2012-05-29T06:08:12"/>
    <n v="50846"/>
    <s v="USD"/>
    <n v="50846"/>
    <s v="Program &amp; Policy Analyst-Advanced"/>
    <x v="0"/>
    <s v="USA"/>
    <x v="2"/>
    <x v="0"/>
    <n v="25"/>
  </r>
  <r>
    <s v="ID1254"/>
    <d v="2012-05-29T06:24:36"/>
    <n v="63000"/>
    <s v="USD"/>
    <n v="63000"/>
    <s v="Senior Staff Accountant"/>
    <x v="5"/>
    <s v="USA"/>
    <x v="2"/>
    <x v="1"/>
    <n v="16"/>
  </r>
  <r>
    <s v="ID1255"/>
    <d v="2012-05-29T06:26:05"/>
    <n v="80000"/>
    <s v="AUD"/>
    <n v="81592.772512210868"/>
    <s v="systems accountant"/>
    <x v="5"/>
    <s v="Australia"/>
    <x v="16"/>
    <x v="0"/>
    <n v="5"/>
  </r>
  <r>
    <s v="ID1256"/>
    <d v="2012-05-29T07:21:41"/>
    <n v="50700"/>
    <s v="USD"/>
    <n v="50700"/>
    <s v="Sr. Systems Analyst"/>
    <x v="0"/>
    <s v="Brazil"/>
    <x v="24"/>
    <x v="3"/>
    <n v="15"/>
  </r>
  <r>
    <s v="ID1257"/>
    <d v="2012-05-29T07:28:41"/>
    <n v="20000"/>
    <s v="GBP"/>
    <n v="31523.565441345683"/>
    <s v="Environmental Information Analyst"/>
    <x v="0"/>
    <s v="UK"/>
    <x v="14"/>
    <x v="0"/>
    <n v="1"/>
  </r>
  <r>
    <s v="ID1258"/>
    <d v="2012-05-29T07:46:56"/>
    <n v="70000"/>
    <s v="USD"/>
    <n v="70000"/>
    <s v="Develope"/>
    <x v="0"/>
    <s v="USA"/>
    <x v="2"/>
    <x v="3"/>
    <n v="6"/>
  </r>
  <r>
    <s v="ID1259"/>
    <d v="2012-05-29T07:52:56"/>
    <n v="65000"/>
    <s v="CAD"/>
    <n v="63918.498996971248"/>
    <s v="it manager"/>
    <x v="3"/>
    <s v="Canada"/>
    <x v="17"/>
    <x v="2"/>
    <n v="15"/>
  </r>
  <r>
    <s v="ID1260"/>
    <d v="2012-05-29T07:57:04"/>
    <n v="9600000"/>
    <s v="MONGOLIAN"/>
    <n v="7261.724659606657"/>
    <s v="Analyst"/>
    <x v="0"/>
    <s v="Mongolia"/>
    <x v="84"/>
    <x v="1"/>
    <n v="2"/>
  </r>
  <r>
    <s v="ID1261"/>
    <d v="2012-05-29T08:13:06"/>
    <n v="36000"/>
    <s v="MYR"/>
    <n v="11404.820437438224"/>
    <s v="Process Engineering"/>
    <x v="2"/>
    <s v="Malaysia"/>
    <x v="74"/>
    <x v="0"/>
    <n v="2"/>
  </r>
  <r>
    <s v="ID1262"/>
    <d v="2012-05-29T08:25:51"/>
    <n v="120000"/>
    <s v="USD"/>
    <n v="120000"/>
    <s v="Consultant - Process Improvement"/>
    <x v="8"/>
    <s v="Singapore"/>
    <x v="30"/>
    <x v="3"/>
    <n v="5"/>
  </r>
  <r>
    <s v="ID1263"/>
    <d v="2012-05-29T08:41:02"/>
    <n v="90000"/>
    <s v="AUD"/>
    <n v="91791.869076237213"/>
    <s v="Business Analyst"/>
    <x v="0"/>
    <s v="Australia"/>
    <x v="16"/>
    <x v="0"/>
    <n v="5"/>
  </r>
  <r>
    <s v="ID1264"/>
    <d v="2012-05-29T08:41:14"/>
    <n v="110000"/>
    <s v="AUD"/>
    <n v="112190.06220428993"/>
    <s v="Analyst"/>
    <x v="0"/>
    <s v="Australia"/>
    <x v="16"/>
    <x v="2"/>
    <n v="7"/>
  </r>
  <r>
    <s v="ID1265"/>
    <d v="2012-05-29T08:47:48"/>
    <n v="40000"/>
    <s v="USD"/>
    <n v="40000"/>
    <s v="Senior Materials Handler"/>
    <x v="3"/>
    <s v="USA"/>
    <x v="2"/>
    <x v="2"/>
    <n v="18"/>
  </r>
  <r>
    <s v="ID1266"/>
    <d v="2012-05-29T08:59:41"/>
    <n v="107000"/>
    <s v="USD"/>
    <n v="107000"/>
    <s v="Certified Public Accountant"/>
    <x v="5"/>
    <s v="USA"/>
    <x v="2"/>
    <x v="0"/>
    <n v="12"/>
  </r>
  <r>
    <s v="ID1267"/>
    <d v="2012-05-29T09:15:09"/>
    <n v="82000"/>
    <s v="USD"/>
    <n v="82000"/>
    <s v="Manager - Marketing Analytics"/>
    <x v="3"/>
    <s v="USA"/>
    <x v="2"/>
    <x v="0"/>
    <n v="10"/>
  </r>
  <r>
    <s v="ID1268"/>
    <d v="2012-05-29T09:25:31"/>
    <n v="100000"/>
    <s v="AUD"/>
    <n v="101990.96564026357"/>
    <s v="Contractor/Consultant"/>
    <x v="8"/>
    <s v="Australia"/>
    <x v="16"/>
    <x v="0"/>
    <n v="15"/>
  </r>
  <r>
    <s v="ID1270"/>
    <d v="2012-05-29T09:37:40"/>
    <n v="43000"/>
    <s v="USD"/>
    <n v="43000"/>
    <s v="Operations Support Officer"/>
    <x v="3"/>
    <s v="Australia"/>
    <x v="16"/>
    <x v="2"/>
    <n v="4"/>
  </r>
  <r>
    <s v="ID1271"/>
    <d v="2012-05-29T09:38:14"/>
    <n v="69000"/>
    <s v="USD"/>
    <n v="69000"/>
    <s v="master scheduler"/>
    <x v="1"/>
    <s v="USA"/>
    <x v="2"/>
    <x v="0"/>
    <n v="20"/>
  </r>
  <r>
    <s v="ID1273"/>
    <d v="2012-05-29T09:47:47"/>
    <n v="30000"/>
    <s v="USD"/>
    <n v="30000"/>
    <s v="Practice Manager - Business Operations"/>
    <x v="3"/>
    <s v="India"/>
    <x v="0"/>
    <x v="2"/>
    <n v="3"/>
  </r>
  <r>
    <s v="ID1274"/>
    <d v="2012-05-29T09:52:02"/>
    <n v="48000"/>
    <s v="AUD"/>
    <n v="48955.663507326513"/>
    <s v="Research Assistant"/>
    <x v="0"/>
    <s v="Australia"/>
    <x v="16"/>
    <x v="3"/>
    <n v="2"/>
  </r>
  <r>
    <s v="ID1275"/>
    <d v="2012-05-29T10:08:21"/>
    <n v="70000"/>
    <s v="USD"/>
    <n v="70000"/>
    <s v="Project Manager"/>
    <x v="3"/>
    <s v="USA"/>
    <x v="2"/>
    <x v="0"/>
    <n v="8"/>
  </r>
  <r>
    <s v="ID1276"/>
    <d v="2012-05-29T10:09:37"/>
    <n v="45000"/>
    <s v="USD"/>
    <n v="45000"/>
    <s v="Staff Assistant"/>
    <x v="0"/>
    <s v="USA"/>
    <x v="2"/>
    <x v="0"/>
    <n v="7"/>
  </r>
  <r>
    <s v="ID1277"/>
    <d v="2012-05-29T10:11:28"/>
    <n v="35000"/>
    <s v="USD"/>
    <n v="35000"/>
    <s v="AVP Securitisation"/>
    <x v="4"/>
    <s v="Malaysia"/>
    <x v="74"/>
    <x v="1"/>
    <n v="12"/>
  </r>
  <r>
    <s v="ID1278"/>
    <d v="2012-05-29T10:43:49"/>
    <n v="500000"/>
    <s v="INR"/>
    <n v="8903.9583437212841"/>
    <s v="Asstt. Manager"/>
    <x v="3"/>
    <s v="India"/>
    <x v="0"/>
    <x v="2"/>
    <n v="29"/>
  </r>
  <r>
    <s v="ID1279"/>
    <d v="2012-05-29T10:45:46"/>
    <n v="89500"/>
    <s v="MYR"/>
    <n v="28353.650809742252"/>
    <s v="Manager"/>
    <x v="3"/>
    <s v="Malaysia"/>
    <x v="74"/>
    <x v="2"/>
    <n v="20"/>
  </r>
  <r>
    <s v="ID1280"/>
    <d v="2012-05-29T10:48:33"/>
    <n v="11800"/>
    <s v="USD"/>
    <n v="11800"/>
    <s v="Assistant Data Analyst"/>
    <x v="0"/>
    <s v="India"/>
    <x v="0"/>
    <x v="0"/>
    <n v="10"/>
  </r>
  <r>
    <s v="ID1281"/>
    <d v="2012-05-29T10:51:02"/>
    <n v="360000"/>
    <s v="INR"/>
    <n v="6410.8500074793246"/>
    <s v="Team Leader WFM"/>
    <x v="3"/>
    <s v="India"/>
    <x v="0"/>
    <x v="1"/>
    <n v="6"/>
  </r>
  <r>
    <s v="ID1282"/>
    <d v="2012-05-29T10:51:31"/>
    <n v="50000"/>
    <s v="USD"/>
    <n v="50000"/>
    <s v="Data Analyst"/>
    <x v="0"/>
    <s v="USA"/>
    <x v="2"/>
    <x v="0"/>
    <n v="3"/>
  </r>
  <r>
    <s v="ID1283"/>
    <d v="2012-05-29T11:00:32"/>
    <n v="85000"/>
    <s v="USD"/>
    <n v="85000"/>
    <s v="manager operation"/>
    <x v="3"/>
    <s v="srilanka"/>
    <x v="55"/>
    <x v="1"/>
    <n v="10"/>
  </r>
  <r>
    <s v="ID1284"/>
    <d v="2012-05-29T11:35:53"/>
    <n v="1000000"/>
    <s v="INR"/>
    <n v="17807.916687442568"/>
    <s v="Manager"/>
    <x v="3"/>
    <s v="India"/>
    <x v="0"/>
    <x v="2"/>
    <n v="10"/>
  </r>
  <r>
    <s v="ID1285"/>
    <d v="2012-05-29T11:46:47"/>
    <n v="900000"/>
    <s v="INR"/>
    <n v="16027.125018698311"/>
    <s v="RENTAL INVENTORY CONTROLLER"/>
    <x v="1"/>
    <s v="India"/>
    <x v="0"/>
    <x v="1"/>
    <n v="8"/>
  </r>
  <r>
    <s v="ID1286"/>
    <d v="2012-05-29T11:51:35"/>
    <n v="192000"/>
    <s v="USD"/>
    <n v="192000"/>
    <s v="Publisher"/>
    <x v="4"/>
    <s v="USA"/>
    <x v="2"/>
    <x v="1"/>
    <n v="27"/>
  </r>
  <r>
    <s v="ID1287"/>
    <d v="2012-05-29T12:14:02"/>
    <n v="54000"/>
    <s v="USD"/>
    <n v="54000"/>
    <s v="Resource Planning Analyst"/>
    <x v="0"/>
    <s v="USA"/>
    <x v="2"/>
    <x v="1"/>
    <n v="6"/>
  </r>
  <r>
    <s v="ID1288"/>
    <d v="2012-05-29T12:17:07"/>
    <n v="18000"/>
    <s v="USD"/>
    <n v="18000"/>
    <s v="Manager"/>
    <x v="3"/>
    <s v="India"/>
    <x v="0"/>
    <x v="0"/>
    <n v="12"/>
  </r>
  <r>
    <s v="ID1289"/>
    <d v="2012-05-29T12:19:39"/>
    <n v="300000"/>
    <s v="INR"/>
    <n v="5342.3750062327708"/>
    <s v="MIS OFFICER"/>
    <x v="7"/>
    <s v="India"/>
    <x v="0"/>
    <x v="2"/>
    <n v="5"/>
  </r>
  <r>
    <s v="ID1290"/>
    <d v="2012-05-29T12:20:32"/>
    <n v="400000"/>
    <s v="INR"/>
    <n v="7123.1666749770275"/>
    <s v="PMO"/>
    <x v="3"/>
    <s v="India"/>
    <x v="0"/>
    <x v="1"/>
    <n v="3"/>
  </r>
  <r>
    <s v="ID1291"/>
    <d v="2012-05-29T12:28:41"/>
    <n v="15000"/>
    <s v="USD"/>
    <n v="15000"/>
    <s v="Monitoring &amp; Evaluation officer"/>
    <x v="3"/>
    <s v="Myanmar"/>
    <x v="85"/>
    <x v="0"/>
    <n v="10"/>
  </r>
  <r>
    <s v="ID1292"/>
    <d v="2012-05-29T12:29:12"/>
    <n v="14000"/>
    <s v="USD"/>
    <n v="14000"/>
    <s v="Pricing Analyst"/>
    <x v="0"/>
    <s v="India"/>
    <x v="0"/>
    <x v="0"/>
    <n v="12"/>
  </r>
  <r>
    <s v="ID1294"/>
    <d v="2012-05-29T13:06:30"/>
    <n v="8000"/>
    <s v="USD"/>
    <n v="8000"/>
    <s v="Data Analyst"/>
    <x v="0"/>
    <s v="India"/>
    <x v="0"/>
    <x v="1"/>
    <n v="4"/>
  </r>
  <r>
    <s v="ID1295"/>
    <d v="2012-05-29T13:13:56"/>
    <n v="12500"/>
    <s v="USD"/>
    <n v="12500"/>
    <s v="Specialist"/>
    <x v="6"/>
    <s v="Philippines"/>
    <x v="33"/>
    <x v="2"/>
    <n v="7"/>
  </r>
  <r>
    <s v="ID1296"/>
    <d v="2012-05-29T13:15:17"/>
    <n v="140000"/>
    <s v="USD"/>
    <n v="140000"/>
    <s v="Senior Accountant"/>
    <x v="5"/>
    <s v="USA"/>
    <x v="2"/>
    <x v="0"/>
    <n v="12"/>
  </r>
  <r>
    <s v="ID1297"/>
    <d v="2012-05-29T13:16:45"/>
    <n v="12000"/>
    <s v="USD"/>
    <n v="12000"/>
    <s v="excel prof"/>
    <x v="8"/>
    <s v="pakistan"/>
    <x v="3"/>
    <x v="0"/>
    <n v="1"/>
  </r>
  <r>
    <s v="ID1298"/>
    <d v="2012-05-29T13:16:59"/>
    <n v="30000"/>
    <s v="EUR"/>
    <n v="38111.983169748237"/>
    <s v="Employee"/>
    <x v="0"/>
    <s v="Belgium"/>
    <x v="12"/>
    <x v="2"/>
    <n v="15"/>
  </r>
  <r>
    <s v="ID1299"/>
    <d v="2012-05-29T13:23:45"/>
    <n v="600000"/>
    <s v="INR"/>
    <n v="10684.750012465542"/>
    <s v="Senior Business Executive"/>
    <x v="3"/>
    <s v="India"/>
    <x v="0"/>
    <x v="2"/>
    <n v="2"/>
  </r>
  <r>
    <s v="ID1301"/>
    <d v="2012-05-29T13:40:09"/>
    <n v="350000"/>
    <s v="INR"/>
    <n v="6232.7708406048987"/>
    <s v="I dont know"/>
    <x v="0"/>
    <s v="India"/>
    <x v="0"/>
    <x v="0"/>
    <n v="1.5"/>
  </r>
  <r>
    <s v="ID1302"/>
    <d v="2012-05-29T13:52:13"/>
    <n v="45000"/>
    <s v="USD"/>
    <n v="45000"/>
    <s v="Financial Analysis"/>
    <x v="0"/>
    <s v="Pakistan"/>
    <x v="3"/>
    <x v="1"/>
    <n v="8"/>
  </r>
  <r>
    <s v="ID1303"/>
    <d v="2012-05-29T13:53:59"/>
    <n v="80000"/>
    <s v="USD"/>
    <n v="80000"/>
    <s v="Manager"/>
    <x v="3"/>
    <s v="USA"/>
    <x v="2"/>
    <x v="3"/>
    <n v="6"/>
  </r>
  <r>
    <s v="ID1304"/>
    <d v="2012-05-29T13:54:38"/>
    <n v="1500000"/>
    <s v="INR"/>
    <n v="26711.875031163851"/>
    <s v="Analyst"/>
    <x v="0"/>
    <s v="India"/>
    <x v="0"/>
    <x v="0"/>
    <n v="7"/>
  </r>
  <r>
    <s v="ID1305"/>
    <d v="2012-05-29T13:58:30"/>
    <n v="100000"/>
    <s v="USD"/>
    <n v="100000"/>
    <s v="Business Analyst"/>
    <x v="0"/>
    <s v="Uganda"/>
    <x v="86"/>
    <x v="0"/>
    <n v="17"/>
  </r>
  <r>
    <s v="ID1306"/>
    <d v="2012-05-29T13:59:14"/>
    <n v="68000"/>
    <s v="AUD"/>
    <n v="69353.856635379227"/>
    <s v="Project Support Officer"/>
    <x v="3"/>
    <s v="Australia"/>
    <x v="16"/>
    <x v="0"/>
    <n v="10"/>
  </r>
  <r>
    <s v="ID1307"/>
    <d v="2012-05-29T14:10:28"/>
    <n v="49000"/>
    <s v="AUD"/>
    <n v="49975.573163729154"/>
    <s v="Document Control"/>
    <x v="1"/>
    <s v="Australia"/>
    <x v="16"/>
    <x v="0"/>
    <n v="30"/>
  </r>
  <r>
    <s v="ID1308"/>
    <d v="2012-05-29T14:16:06"/>
    <n v="575000"/>
    <s v="INR"/>
    <n v="10239.552095279476"/>
    <s v="Asst Manager HR"/>
    <x v="3"/>
    <s v="India"/>
    <x v="0"/>
    <x v="2"/>
    <n v="5"/>
  </r>
  <r>
    <s v="ID1309"/>
    <d v="2012-05-29T14:34:42"/>
    <n v="500000"/>
    <s v="INR"/>
    <n v="8903.9583437212841"/>
    <s v="Senior software engineer"/>
    <x v="2"/>
    <s v="India"/>
    <x v="0"/>
    <x v="0"/>
    <n v="2"/>
  </r>
  <r>
    <s v="ID1310"/>
    <d v="2012-05-29T14:55:21"/>
    <n v="36000"/>
    <s v="USD"/>
    <n v="36000"/>
    <s v="Administrative Assistant"/>
    <x v="0"/>
    <s v="Kuwait"/>
    <x v="77"/>
    <x v="2"/>
    <n v="10"/>
  </r>
  <r>
    <s v="ID1311"/>
    <d v="2012-05-29T14:55:29"/>
    <n v="210000"/>
    <s v="INR"/>
    <n v="3739.6625043629392"/>
    <s v="MIS cum Purchase Executive"/>
    <x v="7"/>
    <s v="India"/>
    <x v="0"/>
    <x v="3"/>
    <n v="4.5"/>
  </r>
  <r>
    <s v="ID1312"/>
    <d v="2012-05-29T14:59:11"/>
    <n v="48500"/>
    <s v="EUR"/>
    <n v="61614.372791092981"/>
    <s v="Information analyst"/>
    <x v="0"/>
    <s v="Netherlands"/>
    <x v="18"/>
    <x v="0"/>
    <n v="8"/>
  </r>
  <r>
    <s v="ID1313"/>
    <d v="2012-05-29T15:02:56"/>
    <n v="200000"/>
    <s v="INR"/>
    <n v="3561.5833374885137"/>
    <s v="MIS"/>
    <x v="7"/>
    <s v="India"/>
    <x v="0"/>
    <x v="2"/>
    <n v="3"/>
  </r>
  <r>
    <s v="ID1314"/>
    <d v="2012-05-29T15:04:11"/>
    <n v="360000"/>
    <s v="INR"/>
    <n v="6410.8500074793246"/>
    <s v="Sr. Executive -HR"/>
    <x v="0"/>
    <s v="India"/>
    <x v="0"/>
    <x v="1"/>
    <n v="6"/>
  </r>
  <r>
    <s v="ID1315"/>
    <d v="2012-05-29T15:08:12"/>
    <n v="28500"/>
    <s v="EUR"/>
    <n v="36206.384011260823"/>
    <s v="Salary Professsional"/>
    <x v="0"/>
    <s v="Netherlands"/>
    <x v="18"/>
    <x v="3"/>
    <n v="5"/>
  </r>
  <r>
    <s v="ID1316"/>
    <d v="2012-05-29T15:10:24"/>
    <n v="13500"/>
    <s v="USD"/>
    <n v="13500"/>
    <s v="Asst. Manager"/>
    <x v="3"/>
    <s v="India"/>
    <x v="0"/>
    <x v="2"/>
    <n v="20"/>
  </r>
  <r>
    <s v="ID1317"/>
    <d v="2012-05-29T15:18:45"/>
    <n v="3000"/>
    <s v="USD"/>
    <n v="3000"/>
    <s v="FANANCE"/>
    <x v="5"/>
    <s v="SRI LANKA"/>
    <x v="55"/>
    <x v="0"/>
    <n v="2"/>
  </r>
  <r>
    <s v="ID1318"/>
    <d v="2012-05-29T15:24:45"/>
    <n v="1200000"/>
    <s v="INR"/>
    <n v="21369.500024931083"/>
    <s v="Manager - Corporate strategy and Planning"/>
    <x v="3"/>
    <s v="India"/>
    <x v="0"/>
    <x v="0"/>
    <n v="9"/>
  </r>
  <r>
    <s v="ID1319"/>
    <d v="2012-05-29T15:36:25"/>
    <n v="600000"/>
    <s v="INR"/>
    <n v="10684.750012465542"/>
    <s v="General Manager"/>
    <x v="3"/>
    <s v="India"/>
    <x v="0"/>
    <x v="2"/>
    <n v="28"/>
  </r>
  <r>
    <s v="ID1320"/>
    <d v="2012-05-29T15:36:42"/>
    <n v="139000"/>
    <s v="EUR"/>
    <n v="176585.52201983347"/>
    <s v="NAF Support Manager"/>
    <x v="3"/>
    <s v="Germany"/>
    <x v="5"/>
    <x v="3"/>
    <n v="25"/>
  </r>
  <r>
    <s v="ID1322"/>
    <d v="2012-05-29T15:38:40"/>
    <n v="43000"/>
    <s v="EUR"/>
    <n v="54627.175876639136"/>
    <s v="Project manager of IT infrastructure"/>
    <x v="3"/>
    <s v="France"/>
    <x v="19"/>
    <x v="1"/>
    <n v="7"/>
  </r>
  <r>
    <s v="ID1323"/>
    <d v="2012-05-29T15:46:17"/>
    <n v="24000"/>
    <s v="EUR"/>
    <n v="30489.586535798586"/>
    <s v="Controller"/>
    <x v="1"/>
    <s v="Italy"/>
    <x v="63"/>
    <x v="0"/>
    <n v="10"/>
  </r>
  <r>
    <s v="ID1324"/>
    <d v="2012-05-29T15:49:41"/>
    <n v="314000"/>
    <s v="INR"/>
    <n v="5591.6858398569666"/>
    <s v="relationship manager"/>
    <x v="3"/>
    <s v="India"/>
    <x v="0"/>
    <x v="3"/>
    <n v="0.1"/>
  </r>
  <r>
    <s v="ID1325"/>
    <d v="2012-05-29T15:51:21"/>
    <n v="82000"/>
    <s v="USD"/>
    <n v="82000"/>
    <s v="Consultant"/>
    <x v="8"/>
    <s v="South Africa"/>
    <x v="11"/>
    <x v="0"/>
    <n v="10"/>
  </r>
  <r>
    <s v="ID1326"/>
    <d v="2012-05-29T15:53:14"/>
    <n v="10000"/>
    <s v="USD"/>
    <n v="10000"/>
    <s v="MIS"/>
    <x v="7"/>
    <s v="India"/>
    <x v="0"/>
    <x v="3"/>
    <n v="0.5"/>
  </r>
  <r>
    <s v="ID1327"/>
    <d v="2012-05-29T16:07:59"/>
    <n v="9000"/>
    <s v="USD"/>
    <n v="9000"/>
    <s v="Data Analyst"/>
    <x v="0"/>
    <s v="India"/>
    <x v="0"/>
    <x v="1"/>
    <n v="0.6"/>
  </r>
  <r>
    <s v="ID1328"/>
    <d v="2012-05-29T16:08:40"/>
    <n v="9000"/>
    <s v="USD"/>
    <n v="9000"/>
    <s v="Data Analyst"/>
    <x v="0"/>
    <s v="India"/>
    <x v="0"/>
    <x v="0"/>
    <n v="1"/>
  </r>
  <r>
    <s v="ID1329"/>
    <d v="2012-05-29T16:18:59"/>
    <n v="660000"/>
    <s v="INR"/>
    <n v="11753.225013712095"/>
    <s v="AM business Intelligence"/>
    <x v="3"/>
    <s v="India"/>
    <x v="0"/>
    <x v="1"/>
    <n v="7"/>
  </r>
  <r>
    <s v="ID1330"/>
    <d v="2012-05-29T16:26:15"/>
    <n v="204000"/>
    <s v="INR"/>
    <n v="3632.815004238284"/>
    <s v="MIS Associate"/>
    <x v="7"/>
    <s v="India"/>
    <x v="0"/>
    <x v="1"/>
    <n v="2"/>
  </r>
  <r>
    <s v="ID1331"/>
    <d v="2012-05-29T16:31:06"/>
    <n v="75000"/>
    <s v="EUR"/>
    <n v="95279.957924370581"/>
    <s v="Financial Analyst"/>
    <x v="0"/>
    <s v="Netherlands"/>
    <x v="18"/>
    <x v="1"/>
    <n v="16"/>
  </r>
  <r>
    <s v="ID1332"/>
    <d v="2012-05-29T16:39:11"/>
    <n v="45000"/>
    <s v="GBP"/>
    <n v="70928.022243027779"/>
    <s v="Senior Consultant"/>
    <x v="8"/>
    <s v="UK"/>
    <x v="14"/>
    <x v="2"/>
    <n v="4"/>
  </r>
  <r>
    <s v="ID1333"/>
    <d v="2012-05-29T16:41:19"/>
    <n v="41000"/>
    <s v="EUR"/>
    <n v="52086.37699865592"/>
    <s v="engineer"/>
    <x v="2"/>
    <s v="Spain"/>
    <x v="48"/>
    <x v="0"/>
    <n v="12"/>
  </r>
  <r>
    <s v="ID1334"/>
    <d v="2012-05-29T16:49:44"/>
    <n v="275000"/>
    <s v="INR"/>
    <n v="4897.177089046706"/>
    <s v="TL WFM"/>
    <x v="3"/>
    <s v="India"/>
    <x v="0"/>
    <x v="1"/>
    <n v="4"/>
  </r>
  <r>
    <s v="ID1335"/>
    <d v="2012-05-29T16:55:43"/>
    <n v="80000"/>
    <s v="NZD"/>
    <n v="63807.047488395103"/>
    <s v="accountant"/>
    <x v="5"/>
    <s v="new zealand"/>
    <x v="49"/>
    <x v="1"/>
    <n v="15"/>
  </r>
  <r>
    <s v="ID1336"/>
    <d v="2012-05-29T17:05:31"/>
    <n v="24000"/>
    <s v="USD"/>
    <n v="24000"/>
    <s v="Dir. Revenue Mgt"/>
    <x v="3"/>
    <s v="Kingdom of Saudi Arabia"/>
    <x v="22"/>
    <x v="0"/>
    <n v="5"/>
  </r>
  <r>
    <s v="ID1337"/>
    <d v="2012-05-29T17:09:02"/>
    <n v="60000"/>
    <s v="USD"/>
    <n v="60000"/>
    <s v="Controlling Manager"/>
    <x v="3"/>
    <s v="CEE"/>
    <x v="78"/>
    <x v="1"/>
    <n v="20"/>
  </r>
  <r>
    <s v="ID1338"/>
    <d v="2012-05-29T17:09:52"/>
    <n v="300000"/>
    <s v="INR"/>
    <n v="5342.3750062327708"/>
    <s v="Financial Modelling Analyst"/>
    <x v="0"/>
    <s v="India"/>
    <x v="0"/>
    <x v="1"/>
    <n v="3"/>
  </r>
  <r>
    <s v="ID1339"/>
    <d v="2012-05-29T17:16:20"/>
    <n v="500000"/>
    <s v="INR"/>
    <n v="8903.9583437212841"/>
    <s v="support manager"/>
    <x v="3"/>
    <s v="India"/>
    <x v="0"/>
    <x v="2"/>
    <n v="5"/>
  </r>
  <r>
    <s v="ID1340"/>
    <d v="2012-05-29T17:17:13"/>
    <n v="26000"/>
    <s v="GBP"/>
    <n v="40980.635073749385"/>
    <s v="Web Analyst"/>
    <x v="0"/>
    <s v="UK"/>
    <x v="14"/>
    <x v="0"/>
    <n v="2"/>
  </r>
  <r>
    <s v="ID1341"/>
    <d v="2012-05-29T17:17:46"/>
    <n v="600000"/>
    <s v="INR"/>
    <n v="10684.750012465542"/>
    <s v="Assistant Manager"/>
    <x v="3"/>
    <s v="India"/>
    <x v="0"/>
    <x v="3"/>
    <n v="7"/>
  </r>
  <r>
    <s v="ID1342"/>
    <d v="2012-05-29T17:30:43"/>
    <n v="1200000"/>
    <s v="INR"/>
    <n v="21369.500024931083"/>
    <s v="Consultant"/>
    <x v="8"/>
    <s v="India"/>
    <x v="0"/>
    <x v="2"/>
    <n v="21"/>
  </r>
  <r>
    <s v="ID1343"/>
    <d v="2012-05-29T17:36:13"/>
    <n v="18000"/>
    <s v="USD"/>
    <n v="18000"/>
    <s v="liquidity manager"/>
    <x v="3"/>
    <s v="Ghana"/>
    <x v="87"/>
    <x v="0"/>
    <n v="12"/>
  </r>
  <r>
    <s v="ID1344"/>
    <d v="2012-05-29T17:39:55"/>
    <n v="41000"/>
    <s v="USD"/>
    <n v="41000"/>
    <s v="PO/PMO/Planner/PM"/>
    <x v="3"/>
    <s v="Israel"/>
    <x v="35"/>
    <x v="2"/>
    <n v="4"/>
  </r>
  <r>
    <s v="ID1345"/>
    <d v="2012-05-29T17:45:59"/>
    <n v="1600000"/>
    <s v="INR"/>
    <n v="28492.66669990811"/>
    <s v="Senior Associate "/>
    <x v="0"/>
    <s v="India"/>
    <x v="0"/>
    <x v="2"/>
    <n v="4"/>
  </r>
  <r>
    <s v="ID1346"/>
    <d v="2012-05-29T17:48:04"/>
    <n v="49500"/>
    <s v="USD"/>
    <n v="49500"/>
    <s v="Financial Analyst II"/>
    <x v="0"/>
    <s v="USA"/>
    <x v="2"/>
    <x v="0"/>
    <n v="4.5"/>
  </r>
  <r>
    <s v="ID1347"/>
    <d v="2012-05-29T18:00:19"/>
    <n v="6600"/>
    <s v="USD"/>
    <n v="6600"/>
    <s v="MIS HR,HRIS"/>
    <x v="7"/>
    <s v="India"/>
    <x v="0"/>
    <x v="2"/>
    <n v="6.4"/>
  </r>
  <r>
    <s v="ID1348"/>
    <d v="2012-05-29T18:05:50"/>
    <n v="70000"/>
    <s v="GBP"/>
    <n v="110332.47904470989"/>
    <s v="Consultant"/>
    <x v="8"/>
    <s v="UK"/>
    <x v="14"/>
    <x v="0"/>
    <n v="15"/>
  </r>
  <r>
    <s v="ID1349"/>
    <d v="2012-05-29T18:14:48"/>
    <n v="30000"/>
    <s v="GBP"/>
    <n v="47285.348162018527"/>
    <s v="Market Analyst"/>
    <x v="0"/>
    <s v="UK"/>
    <x v="14"/>
    <x v="1"/>
    <n v="6"/>
  </r>
  <r>
    <s v="ID1350"/>
    <d v="2012-05-29T18:14:53"/>
    <n v="5300"/>
    <s v="USD"/>
    <n v="5300"/>
    <s v="Asst. Production Manager"/>
    <x v="3"/>
    <s v="Pakistan"/>
    <x v="3"/>
    <x v="0"/>
    <n v="5"/>
  </r>
  <r>
    <s v="ID1351"/>
    <d v="2012-05-29T18:21:13"/>
    <n v="34500"/>
    <s v="EUR"/>
    <n v="43828.780645210471"/>
    <s v="Analyst"/>
    <x v="0"/>
    <s v="Netherlands"/>
    <x v="18"/>
    <x v="0"/>
    <n v="15"/>
  </r>
  <r>
    <s v="ID1352"/>
    <d v="2012-05-29T18:33:08"/>
    <n v="80000"/>
    <s v="USD"/>
    <n v="80000"/>
    <s v="Developer"/>
    <x v="0"/>
    <s v="USA"/>
    <x v="2"/>
    <x v="3"/>
    <n v="14"/>
  </r>
  <r>
    <s v="ID1353"/>
    <d v="2012-05-29T18:35:10"/>
    <n v="9067"/>
    <s v="EUR"/>
    <n v="11518.711713336908"/>
    <s v="assistant"/>
    <x v="0"/>
    <s v="Hungary"/>
    <x v="9"/>
    <x v="2"/>
    <n v="3"/>
  </r>
  <r>
    <s v="ID1354"/>
    <d v="2012-05-29T18:35:31"/>
    <n v="150000"/>
    <s v="AUD"/>
    <n v="152986.44846039536"/>
    <s v="Bus Analyst"/>
    <x v="0"/>
    <s v="Australia"/>
    <x v="16"/>
    <x v="3"/>
    <n v="5.5"/>
  </r>
  <r>
    <s v="ID1355"/>
    <d v="2012-05-29T18:38:51"/>
    <n v="125000"/>
    <s v="USD"/>
    <n v="125000"/>
    <s v="Vice President of Performance Management"/>
    <x v="3"/>
    <s v="USA"/>
    <x v="2"/>
    <x v="0"/>
    <n v="2"/>
  </r>
  <r>
    <s v="ID1356"/>
    <d v="2012-05-29T18:55:18"/>
    <n v="100000"/>
    <s v="AUD"/>
    <n v="101990.96564026357"/>
    <s v="Principal advisor"/>
    <x v="8"/>
    <s v="Australia"/>
    <x v="16"/>
    <x v="3"/>
    <n v="30"/>
  </r>
  <r>
    <s v="ID1357"/>
    <d v="2012-05-29T18:55:20"/>
    <n v="105000"/>
    <s v="USD"/>
    <n v="105000"/>
    <s v="Director of Technology"/>
    <x v="4"/>
    <s v="USA"/>
    <x v="2"/>
    <x v="3"/>
    <n v="15"/>
  </r>
  <r>
    <s v="ID1358"/>
    <d v="2012-05-29T19:01:05"/>
    <n v="40000"/>
    <s v="EUR"/>
    <n v="50815.977559664309"/>
    <s v="officer"/>
    <x v="3"/>
    <s v="Austria"/>
    <x v="88"/>
    <x v="0"/>
    <n v="20"/>
  </r>
  <r>
    <s v="ID1359"/>
    <d v="2012-05-29T19:01:48"/>
    <n v="75000"/>
    <s v="USD"/>
    <n v="75000"/>
    <s v="Financial Analyst"/>
    <x v="0"/>
    <s v="USA"/>
    <x v="2"/>
    <x v="0"/>
    <n v="7"/>
  </r>
  <r>
    <s v="ID1360"/>
    <d v="2012-05-29T19:06:14"/>
    <n v="250000"/>
    <s v="INR"/>
    <n v="4451.9791718606421"/>
    <s v="Credit Executive"/>
    <x v="0"/>
    <s v="India"/>
    <x v="0"/>
    <x v="1"/>
    <n v="8"/>
  </r>
  <r>
    <s v="ID1361"/>
    <d v="2012-05-29T19:08:37"/>
    <n v="110000"/>
    <s v="USD"/>
    <n v="110000"/>
    <s v="Business Analytics Associate"/>
    <x v="0"/>
    <s v="USA"/>
    <x v="2"/>
    <x v="3"/>
    <n v="10"/>
  </r>
  <r>
    <s v="ID1362"/>
    <d v="2012-05-29T19:10:05"/>
    <n v="27000"/>
    <s v="GBP"/>
    <n v="42556.81334581667"/>
    <s v="Engineering Tech"/>
    <x v="2"/>
    <s v="UK"/>
    <x v="14"/>
    <x v="0"/>
    <n v="1"/>
  </r>
  <r>
    <s v="ID1363"/>
    <d v="2012-05-29T19:11:31"/>
    <n v="450000"/>
    <s v="INR"/>
    <n v="8013.5625093491553"/>
    <s v="Mechanical Design engineer"/>
    <x v="2"/>
    <s v="India"/>
    <x v="0"/>
    <x v="3"/>
    <n v="7"/>
  </r>
  <r>
    <s v="ID1364"/>
    <d v="2012-05-29T19:12:19"/>
    <n v="125000"/>
    <s v="USD"/>
    <n v="125000"/>
    <s v="Finance Manager"/>
    <x v="3"/>
    <s v="USA"/>
    <x v="2"/>
    <x v="0"/>
    <n v="25"/>
  </r>
  <r>
    <s v="ID1365"/>
    <d v="2012-05-29T19:23:32"/>
    <n v="60000"/>
    <s v="USD"/>
    <n v="60000"/>
    <s v="Business Information Analyst"/>
    <x v="0"/>
    <s v="USA"/>
    <x v="2"/>
    <x v="1"/>
    <n v="12"/>
  </r>
  <r>
    <s v="ID1366"/>
    <d v="2012-05-29T19:31:32"/>
    <n v="2210000"/>
    <s v="INR"/>
    <n v="39355.495879248076"/>
    <s v="Marketing"/>
    <x v="0"/>
    <s v="India"/>
    <x v="0"/>
    <x v="3"/>
    <n v="5.6"/>
  </r>
  <r>
    <s v="ID1367"/>
    <d v="2012-05-29T19:33:07"/>
    <n v="45000"/>
    <s v="EUR"/>
    <n v="57167.974754622352"/>
    <s v="Junior Controller"/>
    <x v="1"/>
    <s v="Germany"/>
    <x v="5"/>
    <x v="0"/>
    <n v="12"/>
  </r>
  <r>
    <s v="ID1368"/>
    <d v="2012-05-29T19:39:35"/>
    <n v="4000000"/>
    <s v="JPY"/>
    <n v="50694.322109187968"/>
    <s v="System Analyst (Configuration Mgmt)"/>
    <x v="0"/>
    <s v="Japan"/>
    <x v="52"/>
    <x v="0"/>
    <n v="8"/>
  </r>
  <r>
    <s v="ID1369"/>
    <d v="2012-05-29T19:47:18"/>
    <n v="57500"/>
    <s v="USD"/>
    <n v="57500"/>
    <s v="Planning Supervisor"/>
    <x v="3"/>
    <s v="USA"/>
    <x v="2"/>
    <x v="0"/>
    <n v="30"/>
  </r>
  <r>
    <s v="ID1370"/>
    <d v="2012-05-29T19:50:25"/>
    <n v="62000"/>
    <s v="EUR"/>
    <n v="78764.765217479682"/>
    <s v="Controller"/>
    <x v="1"/>
    <s v="Netherlands"/>
    <x v="18"/>
    <x v="0"/>
    <n v="15"/>
  </r>
  <r>
    <s v="ID1371"/>
    <d v="2012-05-29T19:52:35"/>
    <n v="80000"/>
    <s v="USD"/>
    <n v="80000"/>
    <s v="Manager of Data Analytics"/>
    <x v="3"/>
    <s v="USA"/>
    <x v="2"/>
    <x v="0"/>
    <n v="10"/>
  </r>
  <r>
    <s v="ID1372"/>
    <d v="2012-05-29T19:54:38"/>
    <n v="45000"/>
    <s v="GBP"/>
    <n v="70928.022243027779"/>
    <s v="Management Accountant"/>
    <x v="3"/>
    <s v="UK"/>
    <x v="14"/>
    <x v="2"/>
    <n v="15"/>
  </r>
  <r>
    <s v="ID1373"/>
    <d v="2012-05-29T20:03:07"/>
    <n v="33000"/>
    <s v="USD"/>
    <n v="33000"/>
    <s v="Quality Control Supervisor"/>
    <x v="1"/>
    <s v="USA"/>
    <x v="2"/>
    <x v="0"/>
    <n v="3"/>
  </r>
  <r>
    <s v="ID1374"/>
    <d v="2012-05-29T20:20:21"/>
    <n v="100000"/>
    <s v="USD"/>
    <n v="100000"/>
    <s v="Senior Financial Analyst"/>
    <x v="0"/>
    <s v="USA"/>
    <x v="2"/>
    <x v="0"/>
    <n v="1"/>
  </r>
  <r>
    <s v="ID1375"/>
    <d v="2012-05-29T20:40:12"/>
    <n v="60000"/>
    <s v="USD"/>
    <n v="60000"/>
    <s v="project manager"/>
    <x v="3"/>
    <s v="USA"/>
    <x v="2"/>
    <x v="2"/>
    <n v="20"/>
  </r>
  <r>
    <s v="ID1376"/>
    <d v="2012-05-29T20:53:43"/>
    <n v="95000"/>
    <s v="USD"/>
    <n v="95000"/>
    <s v="Cost Analyst"/>
    <x v="0"/>
    <s v="USA"/>
    <x v="2"/>
    <x v="2"/>
    <n v="7"/>
  </r>
  <r>
    <s v="ID1377"/>
    <d v="2012-05-29T21:07:27"/>
    <n v="24000"/>
    <s v="USD"/>
    <n v="24000"/>
    <s v="clerk 24 hrs per week"/>
    <x v="0"/>
    <s v="USA"/>
    <x v="2"/>
    <x v="3"/>
    <n v="33"/>
  </r>
  <r>
    <s v="ID1378"/>
    <d v="2012-05-29T21:17:26"/>
    <n v="50000"/>
    <s v="USD"/>
    <n v="50000"/>
    <s v="Engineering Intern"/>
    <x v="2"/>
    <s v="USA"/>
    <x v="2"/>
    <x v="0"/>
    <n v="0.5"/>
  </r>
  <r>
    <s v="ID1379"/>
    <d v="2012-05-29T21:25:03"/>
    <n v="103000"/>
    <s v="USD"/>
    <n v="103000"/>
    <s v="Controller"/>
    <x v="1"/>
    <s v="USA"/>
    <x v="2"/>
    <x v="0"/>
    <n v="22"/>
  </r>
  <r>
    <s v="ID1380"/>
    <d v="2012-05-29T21:27:23"/>
    <n v="36000"/>
    <s v="USD"/>
    <n v="36000"/>
    <s v="Data Specialist"/>
    <x v="6"/>
    <s v="USA"/>
    <x v="2"/>
    <x v="1"/>
    <n v="8"/>
  </r>
  <r>
    <s v="ID1381"/>
    <d v="2012-05-29T21:28:07"/>
    <n v="85000"/>
    <s v="USD"/>
    <n v="85000"/>
    <s v="Senior Analyst"/>
    <x v="0"/>
    <s v="USA"/>
    <x v="2"/>
    <x v="0"/>
    <n v="17"/>
  </r>
  <r>
    <s v="ID1382"/>
    <d v="2012-05-29T21:29:36"/>
    <n v="100000"/>
    <s v="USD"/>
    <n v="100000"/>
    <s v="Vice Head of Dpt in Education"/>
    <x v="4"/>
    <s v="Sweden"/>
    <x v="36"/>
    <x v="2"/>
    <n v="20"/>
  </r>
  <r>
    <s v="ID1383"/>
    <d v="2012-05-29T21:33:42"/>
    <n v="83000"/>
    <s v="USD"/>
    <n v="83000"/>
    <s v="Senior Planning Analyst"/>
    <x v="0"/>
    <s v="Canada"/>
    <x v="17"/>
    <x v="0"/>
    <n v="12"/>
  </r>
  <r>
    <s v="ID1384"/>
    <d v="2012-05-29T21:38:10"/>
    <n v="85000"/>
    <s v="USD"/>
    <n v="85000"/>
    <s v="energy engineer"/>
    <x v="2"/>
    <s v="USA"/>
    <x v="2"/>
    <x v="2"/>
    <n v="25"/>
  </r>
  <r>
    <s v="ID1385"/>
    <d v="2012-05-29T21:42:44"/>
    <n v="120000"/>
    <s v="USD"/>
    <n v="120000"/>
    <s v="Finance Manager"/>
    <x v="3"/>
    <s v="USA"/>
    <x v="2"/>
    <x v="2"/>
    <n v="5"/>
  </r>
  <r>
    <s v="ID1386"/>
    <d v="2012-05-29T21:44:00"/>
    <n v="69960"/>
    <s v="USD"/>
    <n v="69960"/>
    <s v="Measurement &amp; Verification Engineer"/>
    <x v="2"/>
    <s v="USA"/>
    <x v="2"/>
    <x v="2"/>
    <n v="22"/>
  </r>
  <r>
    <s v="ID1387"/>
    <d v="2012-05-29T21:46:28"/>
    <n v="97000"/>
    <s v="USD"/>
    <n v="97000"/>
    <s v="Sr. Manager of Finance"/>
    <x v="3"/>
    <s v="USA"/>
    <x v="2"/>
    <x v="0"/>
    <n v="14"/>
  </r>
  <r>
    <s v="ID1388"/>
    <d v="2012-05-29T21:48:13"/>
    <n v="60000"/>
    <s v="GBP"/>
    <n v="94570.696324037053"/>
    <s v="Analyst"/>
    <x v="0"/>
    <s v="UK"/>
    <x v="14"/>
    <x v="0"/>
    <n v="7"/>
  </r>
  <r>
    <s v="ID1389"/>
    <d v="2012-05-29T21:50:30"/>
    <n v="39000"/>
    <s v="USD"/>
    <n v="39000"/>
    <s v="I.T Manager"/>
    <x v="3"/>
    <s v="South Africa"/>
    <x v="11"/>
    <x v="1"/>
    <n v="6"/>
  </r>
  <r>
    <s v="ID1390"/>
    <d v="2012-05-29T21:50:45"/>
    <n v="250000"/>
    <s v="INR"/>
    <n v="4451.9791718606421"/>
    <s v="Manager"/>
    <x v="3"/>
    <s v="India"/>
    <x v="0"/>
    <x v="3"/>
    <n v="15"/>
  </r>
  <r>
    <s v="ID1391"/>
    <d v="2012-05-29T21:54:33"/>
    <n v="62000"/>
    <s v="USD"/>
    <n v="62000"/>
    <s v="Measurement Specialist"/>
    <x v="6"/>
    <s v="USA"/>
    <x v="2"/>
    <x v="1"/>
    <n v="25"/>
  </r>
  <r>
    <s v="ID1392"/>
    <d v="2012-05-29T21:59:35"/>
    <n v="44000"/>
    <s v="USD"/>
    <n v="44000"/>
    <s v="Test engineer"/>
    <x v="2"/>
    <s v="USA"/>
    <x v="2"/>
    <x v="0"/>
    <n v="15"/>
  </r>
  <r>
    <s v="ID1393"/>
    <d v="2012-05-29T22:02:31"/>
    <n v="150000"/>
    <s v="USD"/>
    <n v="150000"/>
    <s v="VP, Business Management"/>
    <x v="3"/>
    <s v="USA"/>
    <x v="2"/>
    <x v="2"/>
    <n v="30"/>
  </r>
  <r>
    <s v="ID1394"/>
    <d v="2012-05-29T22:04:09"/>
    <n v="180000"/>
    <s v="EUR"/>
    <n v="228671.89901848941"/>
    <s v="MIS Controller"/>
    <x v="1"/>
    <s v="Europe"/>
    <x v="89"/>
    <x v="0"/>
    <n v="15"/>
  </r>
  <r>
    <s v="ID1395"/>
    <d v="2012-05-29T22:13:08"/>
    <n v="73500"/>
    <s v="USD"/>
    <n v="73500"/>
    <s v="Senior Underwriting Analyst"/>
    <x v="0"/>
    <s v="USA"/>
    <x v="2"/>
    <x v="1"/>
    <n v="6"/>
  </r>
  <r>
    <s v="ID1396"/>
    <d v="2012-05-29T22:14:19"/>
    <n v="77500"/>
    <s v="USD"/>
    <n v="77500"/>
    <s v="Sr Financial Analyst"/>
    <x v="0"/>
    <s v="USA"/>
    <x v="2"/>
    <x v="0"/>
    <n v="7"/>
  </r>
  <r>
    <s v="ID1397"/>
    <d v="2012-05-29T22:18:48"/>
    <n v="60800"/>
    <s v="USD"/>
    <n v="60800"/>
    <s v="Data Integrity &amp; Reporting Tool Analyst"/>
    <x v="0"/>
    <s v="USA"/>
    <x v="2"/>
    <x v="1"/>
    <n v="10"/>
  </r>
  <r>
    <s v="ID1398"/>
    <d v="2012-05-29T22:24:28"/>
    <n v="136000"/>
    <s v="USD"/>
    <n v="136000"/>
    <s v="Manager FP and A"/>
    <x v="3"/>
    <s v="USA"/>
    <x v="2"/>
    <x v="0"/>
    <n v="10"/>
  </r>
  <r>
    <s v="ID1399"/>
    <d v="2012-05-29T22:32:16"/>
    <n v="20000"/>
    <s v="USD"/>
    <n v="20000"/>
    <s v="Business Operation Specialist"/>
    <x v="6"/>
    <s v="India"/>
    <x v="0"/>
    <x v="0"/>
    <n v="6"/>
  </r>
  <r>
    <s v="ID1400"/>
    <d v="2012-05-29T22:35:17"/>
    <n v="95000"/>
    <s v="USD"/>
    <n v="95000"/>
    <s v="Stress Engineer"/>
    <x v="2"/>
    <s v="USA"/>
    <x v="2"/>
    <x v="0"/>
    <n v="14"/>
  </r>
  <r>
    <s v="ID1401"/>
    <d v="2012-05-29T22:47:10"/>
    <n v="130000"/>
    <s v="USD"/>
    <n v="130000"/>
    <s v="Manager"/>
    <x v="3"/>
    <s v="USA"/>
    <x v="2"/>
    <x v="3"/>
    <n v="25"/>
  </r>
  <r>
    <s v="ID1402"/>
    <d v="2012-05-29T22:50:16"/>
    <n v="65000"/>
    <s v="USD"/>
    <n v="65000"/>
    <s v="eeo analyst"/>
    <x v="0"/>
    <s v="USA"/>
    <x v="2"/>
    <x v="2"/>
    <n v="10"/>
  </r>
  <r>
    <s v="ID1403"/>
    <d v="2012-05-29T22:50:20"/>
    <n v="80000"/>
    <s v="USD"/>
    <n v="80000"/>
    <s v="Sr Process Consultant"/>
    <x v="8"/>
    <s v="USA"/>
    <x v="2"/>
    <x v="2"/>
    <n v="8"/>
  </r>
  <r>
    <s v="ID1404"/>
    <d v="2012-05-29T22:56:24"/>
    <n v="37000"/>
    <s v="USD"/>
    <n v="37000"/>
    <s v="Credentialing Coordinator &amp; Productivity Reports &quot;Guru&quot;"/>
    <x v="7"/>
    <s v="USA"/>
    <x v="2"/>
    <x v="2"/>
    <n v="30"/>
  </r>
  <r>
    <s v="ID1405"/>
    <d v="2012-05-29T23:06:00"/>
    <n v="40000"/>
    <s v="USD"/>
    <n v="40000"/>
    <s v="Transportation Planner"/>
    <x v="3"/>
    <s v="USA"/>
    <x v="2"/>
    <x v="3"/>
    <n v="8"/>
  </r>
  <r>
    <s v="ID1406"/>
    <d v="2012-05-29T23:08:45"/>
    <n v="49000"/>
    <s v="USD"/>
    <n v="49000"/>
    <s v="Research Analyst"/>
    <x v="0"/>
    <s v="USA"/>
    <x v="2"/>
    <x v="0"/>
    <n v="10"/>
  </r>
  <r>
    <s v="ID1407"/>
    <d v="2012-05-29T23:09:29"/>
    <n v="65000"/>
    <s v="USD"/>
    <n v="65000"/>
    <s v="Data Analyst"/>
    <x v="0"/>
    <s v="USA"/>
    <x v="2"/>
    <x v="1"/>
    <n v="14"/>
  </r>
  <r>
    <s v="ID1408"/>
    <d v="2012-05-29T23:13:32"/>
    <n v="55000"/>
    <s v="USD"/>
    <n v="55000"/>
    <s v="Risk Analyst"/>
    <x v="0"/>
    <s v="USA"/>
    <x v="2"/>
    <x v="1"/>
    <n v="1"/>
  </r>
  <r>
    <s v="ID1409"/>
    <d v="2012-05-29T23:20:41"/>
    <n v="40000"/>
    <s v="USD"/>
    <n v="40000"/>
    <s v="Project Coordinator"/>
    <x v="3"/>
    <s v="USA"/>
    <x v="2"/>
    <x v="0"/>
    <n v="1"/>
  </r>
  <r>
    <s v="ID1410"/>
    <d v="2012-05-29T23:21:25"/>
    <n v="60000"/>
    <s v="USD"/>
    <n v="60000"/>
    <s v="business analyst"/>
    <x v="0"/>
    <s v="USA"/>
    <x v="2"/>
    <x v="0"/>
    <n v="15"/>
  </r>
  <r>
    <s v="ID1411"/>
    <d v="2012-05-29T23:31:03"/>
    <n v="36000"/>
    <s v="EUR"/>
    <n v="45734.379803697877"/>
    <s v="Data Analytics Consultant"/>
    <x v="0"/>
    <s v="Ireland"/>
    <x v="8"/>
    <x v="2"/>
    <n v="4"/>
  </r>
  <r>
    <s v="ID1412"/>
    <d v="2012-05-29T23:39:13"/>
    <n v="150000"/>
    <s v="USD"/>
    <n v="150000"/>
    <s v="Senior Analyst"/>
    <x v="0"/>
    <s v="USA"/>
    <x v="2"/>
    <x v="2"/>
    <n v="30"/>
  </r>
  <r>
    <s v="ID1413"/>
    <d v="2012-05-29T23:44:26"/>
    <n v="88000"/>
    <s v="USD"/>
    <n v="88000"/>
    <s v="Manager, Financial Planning &amp; Analysis"/>
    <x v="3"/>
    <s v="USA"/>
    <x v="2"/>
    <x v="0"/>
    <n v="21"/>
  </r>
  <r>
    <s v="ID1414"/>
    <d v="2012-05-30T00:02:08"/>
    <n v="64500"/>
    <s v="USD"/>
    <n v="64500"/>
    <s v="Lead Budget/Financial Analyst"/>
    <x v="0"/>
    <s v="USA"/>
    <x v="2"/>
    <x v="0"/>
    <n v="13"/>
  </r>
  <r>
    <s v="ID1415"/>
    <d v="2012-05-30T00:13:07"/>
    <n v="216000"/>
    <s v="SAR"/>
    <n v="57600"/>
    <s v="Senior Electrical Engineer"/>
    <x v="2"/>
    <s v="Saudi Arabia"/>
    <x v="22"/>
    <x v="0"/>
    <n v="20"/>
  </r>
  <r>
    <s v="ID1416"/>
    <d v="2012-05-30T00:22:28"/>
    <n v="50000"/>
    <s v="USD"/>
    <n v="50000"/>
    <s v="Accounting Supervisor"/>
    <x v="5"/>
    <s v="USA"/>
    <x v="2"/>
    <x v="0"/>
    <n v="15"/>
  </r>
  <r>
    <s v="ID1417"/>
    <d v="2012-05-30T00:25:43"/>
    <n v="120000"/>
    <s v="USD"/>
    <n v="120000"/>
    <s v="Finance Manager"/>
    <x v="3"/>
    <s v="USA"/>
    <x v="2"/>
    <x v="2"/>
    <n v="10"/>
  </r>
  <r>
    <s v="ID1418"/>
    <d v="2012-05-30T00:34:53"/>
    <n v="107000"/>
    <s v="USD"/>
    <n v="107000"/>
    <s v="Tax Manager"/>
    <x v="3"/>
    <s v="USA"/>
    <x v="2"/>
    <x v="1"/>
    <n v="29"/>
  </r>
  <r>
    <s v="ID1419"/>
    <d v="2012-05-30T00:42:50"/>
    <n v="40000"/>
    <s v="USD"/>
    <n v="40000"/>
    <s v="Metrics Analyst"/>
    <x v="0"/>
    <s v="USA"/>
    <x v="2"/>
    <x v="2"/>
    <n v="6"/>
  </r>
  <r>
    <s v="ID1420"/>
    <d v="2012-05-30T00:50:03"/>
    <n v="81000"/>
    <s v="USD"/>
    <n v="81000"/>
    <s v="Finance &amp; IT Manager"/>
    <x v="3"/>
    <s v="USA"/>
    <x v="2"/>
    <x v="3"/>
    <n v="12"/>
  </r>
  <r>
    <s v="ID1421"/>
    <d v="2012-05-30T01:05:26"/>
    <n v="45000"/>
    <s v="USD"/>
    <n v="45000"/>
    <s v="Technical Support Specialist"/>
    <x v="6"/>
    <s v="USA"/>
    <x v="2"/>
    <x v="0"/>
    <n v="20"/>
  </r>
  <r>
    <s v="ID1422"/>
    <d v="2012-05-30T01:12:04"/>
    <n v="49000"/>
    <s v="USD"/>
    <n v="49000"/>
    <s v="Clinical Data Specialist"/>
    <x v="6"/>
    <s v="USA"/>
    <x v="2"/>
    <x v="0"/>
    <n v="5"/>
  </r>
  <r>
    <s v="ID1423"/>
    <d v="2012-05-30T01:12:35"/>
    <n v="750000"/>
    <s v="INR"/>
    <n v="13355.937515581925"/>
    <s v="Associate - Indirect Tax"/>
    <x v="4"/>
    <s v="India"/>
    <x v="0"/>
    <x v="3"/>
    <n v="1"/>
  </r>
  <r>
    <s v="ID1424"/>
    <d v="2012-05-30T01:15:32"/>
    <n v="72000"/>
    <s v="USD"/>
    <n v="72000"/>
    <s v="Manager"/>
    <x v="3"/>
    <s v="USA"/>
    <x v="2"/>
    <x v="3"/>
    <n v="20"/>
  </r>
  <r>
    <s v="ID1425"/>
    <d v="2012-05-30T01:25:17"/>
    <n v="50000"/>
    <s v="USD"/>
    <n v="50000"/>
    <s v="Digital Analyst"/>
    <x v="0"/>
    <s v="USA"/>
    <x v="2"/>
    <x v="0"/>
    <n v="7"/>
  </r>
  <r>
    <s v="ID1426"/>
    <d v="2012-05-30T01:25:26"/>
    <n v="57678"/>
    <s v="USD"/>
    <n v="57678"/>
    <s v="Financial Analyst"/>
    <x v="0"/>
    <s v="USA"/>
    <x v="2"/>
    <x v="0"/>
    <n v="2"/>
  </r>
  <r>
    <s v="ID1427"/>
    <d v="2012-05-30T01:29:51"/>
    <n v="80442"/>
    <s v="USD"/>
    <n v="80442"/>
    <s v="Senior Budget Analyst"/>
    <x v="0"/>
    <s v="USA"/>
    <x v="2"/>
    <x v="0"/>
    <n v="16"/>
  </r>
  <r>
    <s v="ID1428"/>
    <d v="2012-05-30T01:48:18"/>
    <n v="75000"/>
    <s v="USD"/>
    <n v="75000"/>
    <s v="HR Cordinator"/>
    <x v="3"/>
    <s v="USA"/>
    <x v="2"/>
    <x v="3"/>
    <n v="9"/>
  </r>
  <r>
    <s v="ID1429"/>
    <d v="2012-05-30T01:52:33"/>
    <n v="61000"/>
    <s v="USD"/>
    <n v="61000"/>
    <s v="Treasury Analyst"/>
    <x v="0"/>
    <s v="USA"/>
    <x v="2"/>
    <x v="0"/>
    <n v="12"/>
  </r>
  <r>
    <s v="ID1430"/>
    <d v="2012-05-30T01:57:58"/>
    <n v="77000"/>
    <s v="USD"/>
    <n v="77000"/>
    <s v="Assistant Engineer"/>
    <x v="2"/>
    <s v="USA"/>
    <x v="2"/>
    <x v="0"/>
    <n v="10"/>
  </r>
  <r>
    <s v="ID1431"/>
    <d v="2012-05-30T02:18:02"/>
    <n v="92000"/>
    <s v="USD"/>
    <n v="92000"/>
    <s v="Controller"/>
    <x v="1"/>
    <s v="USA"/>
    <x v="2"/>
    <x v="2"/>
    <n v="9"/>
  </r>
  <r>
    <s v="ID1432"/>
    <d v="2012-05-30T02:18:30"/>
    <n v="72000"/>
    <s v="USD"/>
    <n v="72000"/>
    <s v="sr. senior analyst"/>
    <x v="0"/>
    <s v="USA"/>
    <x v="2"/>
    <x v="1"/>
    <n v="10"/>
  </r>
  <r>
    <s v="ID1433"/>
    <d v="2012-05-30T02:22:39"/>
    <n v="14000"/>
    <s v="USD"/>
    <n v="14000"/>
    <s v="Consultant"/>
    <x v="8"/>
    <s v="India"/>
    <x v="0"/>
    <x v="0"/>
    <n v="3"/>
  </r>
  <r>
    <s v="ID1434"/>
    <d v="2012-05-30T02:22:59"/>
    <n v="111000"/>
    <s v="USD"/>
    <n v="111000"/>
    <s v="Project Manager - Finance"/>
    <x v="3"/>
    <s v="USA"/>
    <x v="2"/>
    <x v="2"/>
    <n v="10"/>
  </r>
  <r>
    <s v="ID1435"/>
    <d v="2012-05-30T02:32:17"/>
    <n v="80000"/>
    <s v="USD"/>
    <n v="80000"/>
    <s v="Senior analyst, ops support"/>
    <x v="0"/>
    <s v="USA"/>
    <x v="2"/>
    <x v="0"/>
    <n v="20"/>
  </r>
  <r>
    <s v="ID1436"/>
    <d v="2012-05-30T02:35:40"/>
    <n v="3250000"/>
    <s v="INR"/>
    <n v="57875.729234188344"/>
    <s v="ISO TS Documentation"/>
    <x v="0"/>
    <s v="India"/>
    <x v="0"/>
    <x v="0"/>
    <n v="5.5"/>
  </r>
  <r>
    <s v="ID1437"/>
    <d v="2012-05-30T02:39:50"/>
    <n v="25000"/>
    <s v="USD"/>
    <n v="25000"/>
    <s v="Accountant"/>
    <x v="5"/>
    <s v="India"/>
    <x v="0"/>
    <x v="2"/>
    <n v="8"/>
  </r>
  <r>
    <s v="ID1438"/>
    <d v="2012-05-30T03:20:17"/>
    <n v="24000"/>
    <s v="USD"/>
    <n v="24000"/>
    <s v="inventory controller"/>
    <x v="1"/>
    <s v="USA"/>
    <x v="2"/>
    <x v="3"/>
    <n v="2"/>
  </r>
  <r>
    <s v="ID1439"/>
    <d v="2012-05-30T04:13:50"/>
    <n v="61000"/>
    <s v="USD"/>
    <n v="61000"/>
    <s v="Accounting manager"/>
    <x v="3"/>
    <s v="USA"/>
    <x v="2"/>
    <x v="2"/>
    <n v="25"/>
  </r>
  <r>
    <s v="ID1440"/>
    <d v="2012-05-30T08:05:16"/>
    <n v="55000"/>
    <s v="AUD"/>
    <n v="56095.031102144967"/>
    <s v="PA"/>
    <x v="0"/>
    <s v="Australia"/>
    <x v="16"/>
    <x v="2"/>
    <n v="11"/>
  </r>
  <r>
    <s v="ID1442"/>
    <d v="2012-05-30T09:42:01"/>
    <n v="70000"/>
    <s v="AUD"/>
    <n v="71393.675948184507"/>
    <s v="Assistant Accountant"/>
    <x v="5"/>
    <s v="Australia"/>
    <x v="16"/>
    <x v="2"/>
    <n v="5"/>
  </r>
  <r>
    <s v="ID1443"/>
    <d v="2012-05-30T10:11:19"/>
    <n v="96230"/>
    <s v="USD"/>
    <n v="96230"/>
    <s v="Manager, Data Management"/>
    <x v="3"/>
    <s v="USA"/>
    <x v="2"/>
    <x v="0"/>
    <n v="18"/>
  </r>
  <r>
    <s v="ID1444"/>
    <d v="2012-05-30T10:40:24"/>
    <n v="75000"/>
    <s v="USD"/>
    <n v="75000"/>
    <s v="Business Analyst"/>
    <x v="0"/>
    <s v="USA"/>
    <x v="2"/>
    <x v="2"/>
    <n v="1.5"/>
  </r>
  <r>
    <s v="ID1445"/>
    <d v="2012-05-30T10:57:38"/>
    <n v="102000"/>
    <s v="USD"/>
    <n v="102000"/>
    <s v="Sales Analyst"/>
    <x v="0"/>
    <s v="USA"/>
    <x v="2"/>
    <x v="0"/>
    <n v="5"/>
  </r>
  <r>
    <s v="ID1446"/>
    <d v="2012-05-30T11:20:33"/>
    <n v="60000"/>
    <s v="MYR"/>
    <n v="19008.034062397041"/>
    <s v="Liquidity Management Executive"/>
    <x v="3"/>
    <s v="Malaysia"/>
    <x v="74"/>
    <x v="0"/>
    <n v="3"/>
  </r>
  <r>
    <s v="ID1447"/>
    <d v="2012-05-30T11:38:53"/>
    <n v="4356"/>
    <s v="USD"/>
    <n v="4356"/>
    <s v="Business Analyst"/>
    <x v="0"/>
    <s v="India"/>
    <x v="0"/>
    <x v="0"/>
    <n v="5"/>
  </r>
  <r>
    <s v="ID1448"/>
    <d v="2012-05-30T11:43:50"/>
    <n v="300000"/>
    <s v="INR"/>
    <n v="5342.3750062327708"/>
    <s v="accountant"/>
    <x v="5"/>
    <s v="India"/>
    <x v="0"/>
    <x v="0"/>
    <n v="4"/>
  </r>
  <r>
    <s v="ID1449"/>
    <d v="2012-05-30T12:12:38"/>
    <n v="67000"/>
    <s v="USD"/>
    <n v="67000"/>
    <s v="accounting systems manager "/>
    <x v="3"/>
    <s v="USA"/>
    <x v="2"/>
    <x v="2"/>
    <n v="20"/>
  </r>
  <r>
    <s v="ID1450"/>
    <d v="2012-05-30T12:25:23"/>
    <n v="480000"/>
    <s v="INR"/>
    <n v="8547.8000099724322"/>
    <s v="Performance Analyst"/>
    <x v="0"/>
    <s v="India"/>
    <x v="0"/>
    <x v="0"/>
    <n v="7"/>
  </r>
  <r>
    <s v="ID1451"/>
    <d v="2012-05-30T12:35:08"/>
    <n v="900000"/>
    <s v="INR"/>
    <n v="16027.125018698311"/>
    <s v="Data Analyst"/>
    <x v="0"/>
    <s v="India"/>
    <x v="0"/>
    <x v="0"/>
    <n v="4"/>
  </r>
  <r>
    <s v="ID1452"/>
    <d v="2012-05-30T12:56:38"/>
    <n v="600000"/>
    <s v="INR"/>
    <n v="10684.750012465542"/>
    <s v="consultant"/>
    <x v="8"/>
    <s v="India"/>
    <x v="0"/>
    <x v="2"/>
    <n v="36"/>
  </r>
  <r>
    <s v="ID1453"/>
    <d v="2012-05-30T13:06:12"/>
    <n v="30000"/>
    <s v="USD"/>
    <n v="30000"/>
    <s v="Accounting Specialist"/>
    <x v="5"/>
    <s v="UAE"/>
    <x v="21"/>
    <x v="0"/>
    <n v="8"/>
  </r>
  <r>
    <s v="ID1454"/>
    <d v="2012-05-30T13:21:06"/>
    <n v="500000"/>
    <s v="INR"/>
    <n v="8903.9583437212841"/>
    <s v="Project Management"/>
    <x v="3"/>
    <s v="India"/>
    <x v="0"/>
    <x v="2"/>
    <n v="0"/>
  </r>
  <r>
    <s v="ID1455"/>
    <d v="2012-05-30T13:25:12"/>
    <n v="20000"/>
    <s v="USD"/>
    <n v="20000"/>
    <s v="manager"/>
    <x v="3"/>
    <s v="India"/>
    <x v="0"/>
    <x v="4"/>
    <n v="10"/>
  </r>
  <r>
    <s v="ID1456"/>
    <d v="2012-05-30T13:31:35"/>
    <n v="86000"/>
    <s v="AUD"/>
    <n v="87712.230450626681"/>
    <s v="data analyst"/>
    <x v="0"/>
    <s v="Australia"/>
    <x v="16"/>
    <x v="0"/>
    <n v="10"/>
  </r>
  <r>
    <s v="ID1457"/>
    <d v="2012-05-30T13:36:42"/>
    <n v="1000000"/>
    <s v="INR"/>
    <n v="17807.916687442568"/>
    <s v="project management"/>
    <x v="3"/>
    <s v="India"/>
    <x v="0"/>
    <x v="1"/>
    <n v="6"/>
  </r>
  <r>
    <s v="ID1458"/>
    <d v="2012-05-30T13:36:48"/>
    <n v="41000"/>
    <s v="USD"/>
    <n v="41000"/>
    <s v="Marketing Analyst"/>
    <x v="0"/>
    <s v="Japan"/>
    <x v="52"/>
    <x v="2"/>
    <n v="2"/>
  </r>
  <r>
    <s v="ID1459"/>
    <d v="2012-05-30T13:41:41"/>
    <n v="60000"/>
    <s v="USD"/>
    <n v="60000"/>
    <s v="Business Intelligence Supervisor"/>
    <x v="3"/>
    <s v="USA"/>
    <x v="2"/>
    <x v="2"/>
    <n v="4"/>
  </r>
  <r>
    <s v="ID1460"/>
    <d v="2012-05-30T13:47:51"/>
    <n v="264000"/>
    <s v="ZAR"/>
    <n v="32187.34988380854"/>
    <s v="Analyst"/>
    <x v="0"/>
    <s v="SouthAfrica"/>
    <x v="11"/>
    <x v="1"/>
    <n v="2"/>
  </r>
  <r>
    <s v="ID1461"/>
    <d v="2012-05-30T13:56:27"/>
    <n v="50000"/>
    <s v="NZD"/>
    <n v="39879.404680246938"/>
    <s v="stress engineer"/>
    <x v="2"/>
    <s v="nld"/>
    <x v="49"/>
    <x v="0"/>
    <n v="5"/>
  </r>
  <r>
    <s v="ID1462"/>
    <d v="2012-05-30T13:56:48"/>
    <n v="320000"/>
    <s v="INR"/>
    <n v="5698.5333399816218"/>
    <s v="Analyst"/>
    <x v="0"/>
    <s v="India"/>
    <x v="0"/>
    <x v="2"/>
    <n v="2"/>
  </r>
  <r>
    <s v="ID1463"/>
    <d v="2012-05-30T14:09:10"/>
    <n v="400000"/>
    <s v="INR"/>
    <n v="7123.1666749770275"/>
    <s v="Reporting Manager"/>
    <x v="3"/>
    <s v="India"/>
    <x v="0"/>
    <x v="0"/>
    <n v="6"/>
  </r>
  <r>
    <s v="ID1464"/>
    <d v="2012-05-30T14:19:07"/>
    <n v="250000"/>
    <s v="INR"/>
    <n v="4451.9791718606421"/>
    <s v="Manager Commercial"/>
    <x v="3"/>
    <s v="India"/>
    <x v="0"/>
    <x v="2"/>
    <n v="15"/>
  </r>
  <r>
    <s v="ID1465"/>
    <d v="2012-05-30T14:21:57"/>
    <n v="360000"/>
    <s v="INR"/>
    <n v="6410.8500074793246"/>
    <s v="analyst"/>
    <x v="0"/>
    <s v="India"/>
    <x v="0"/>
    <x v="2"/>
    <n v="6"/>
  </r>
  <r>
    <s v="ID1466"/>
    <d v="2012-05-30T14:28:57"/>
    <n v="1150000"/>
    <s v="INR"/>
    <n v="20479.104190558952"/>
    <s v="Project Manager"/>
    <x v="3"/>
    <s v="India"/>
    <x v="0"/>
    <x v="1"/>
    <n v="12"/>
  </r>
  <r>
    <s v="ID1467"/>
    <d v="2012-05-30T14:31:33"/>
    <n v="620000"/>
    <s v="INR"/>
    <n v="11040.908346214392"/>
    <s v="Catalog Auditor"/>
    <x v="0"/>
    <s v="India"/>
    <x v="0"/>
    <x v="3"/>
    <n v="5"/>
  </r>
  <r>
    <s v="ID1468"/>
    <d v="2012-05-30T15:59:01"/>
    <n v="1000000"/>
    <s v="INR"/>
    <n v="17807.916687442568"/>
    <s v="Marketing Specialist"/>
    <x v="6"/>
    <s v="India"/>
    <x v="0"/>
    <x v="2"/>
    <n v="7"/>
  </r>
  <r>
    <s v="ID1469"/>
    <d v="2012-05-30T16:12:34"/>
    <n v="200000"/>
    <s v="INR"/>
    <n v="3561.5833374885137"/>
    <s v="Executive"/>
    <x v="0"/>
    <s v="India"/>
    <x v="0"/>
    <x v="0"/>
    <n v="11"/>
  </r>
  <r>
    <s v="ID1470"/>
    <d v="2012-05-30T16:22:19"/>
    <n v="17000"/>
    <s v="GBP"/>
    <n v="26795.030625143831"/>
    <s v="Verification Agent"/>
    <x v="0"/>
    <s v="UK"/>
    <x v="14"/>
    <x v="2"/>
    <n v="5"/>
  </r>
  <r>
    <s v="ID1471"/>
    <d v="2012-05-30T16:48:32"/>
    <n v="20400"/>
    <s v="USD"/>
    <n v="20400"/>
    <s v="M &amp; E Officer"/>
    <x v="3"/>
    <s v="Myanmar [Burma]"/>
    <x v="85"/>
    <x v="3"/>
    <n v="10"/>
  </r>
  <r>
    <s v="ID1472"/>
    <d v="2012-05-30T16:49:15"/>
    <n v="25000"/>
    <s v="GBP"/>
    <n v="39404.456801682099"/>
    <s v="Assistant Financial Accountant"/>
    <x v="5"/>
    <s v="UK"/>
    <x v="14"/>
    <x v="0"/>
    <n v="35"/>
  </r>
  <r>
    <s v="ID1473"/>
    <d v="2012-05-30T16:55:51"/>
    <n v="118000"/>
    <s v="EUR"/>
    <n v="149907.13380100971"/>
    <s v="Support"/>
    <x v="0"/>
    <s v="EU"/>
    <x v="89"/>
    <x v="0"/>
    <n v="7"/>
  </r>
  <r>
    <s v="ID1474"/>
    <d v="2012-05-30T17:01:10"/>
    <n v="230000"/>
    <s v="INR"/>
    <n v="4095.8208381117906"/>
    <s v="Process Assocaite"/>
    <x v="0"/>
    <s v="India"/>
    <x v="0"/>
    <x v="0"/>
    <n v="1.6"/>
  </r>
  <r>
    <s v="ID1475"/>
    <d v="2012-05-30T17:04:53"/>
    <n v="125000"/>
    <s v="AUD"/>
    <n v="127488.70705032947"/>
    <s v="Financial Application Developer"/>
    <x v="5"/>
    <s v="Australia"/>
    <x v="16"/>
    <x v="0"/>
    <n v="7"/>
  </r>
  <r>
    <s v="ID1476"/>
    <d v="2012-05-30T17:07:47"/>
    <n v="37000"/>
    <s v="GBP"/>
    <n v="58318.59606648951"/>
    <s v="Planning &amp; Scheduling Manager"/>
    <x v="3"/>
    <s v="UK"/>
    <x v="14"/>
    <x v="1"/>
    <n v="20"/>
  </r>
  <r>
    <s v="ID1477"/>
    <d v="2012-05-30T17:14:27"/>
    <n v="78000"/>
    <s v="ZAR"/>
    <n v="9509.8988293070688"/>
    <s v="Online Stats Controller"/>
    <x v="1"/>
    <s v="South Africa"/>
    <x v="11"/>
    <x v="0"/>
    <n v="2"/>
  </r>
  <r>
    <s v="ID1478"/>
    <d v="2012-05-30T17:18:38"/>
    <n v="720000"/>
    <s v="INR"/>
    <n v="12821.700014958649"/>
    <s v="DEO"/>
    <x v="0"/>
    <s v="India"/>
    <x v="0"/>
    <x v="0"/>
    <n v="3"/>
  </r>
  <r>
    <s v="ID1479"/>
    <d v="2012-05-30T18:15:28"/>
    <n v="4000"/>
    <s v="USD"/>
    <n v="4000"/>
    <s v="M I S Executive"/>
    <x v="0"/>
    <s v="India"/>
    <x v="0"/>
    <x v="1"/>
    <n v="6"/>
  </r>
  <r>
    <s v="ID1480"/>
    <d v="2012-05-30T18:16:05"/>
    <n v="42000"/>
    <s v="USD"/>
    <n v="42000"/>
    <s v="Service Solution Rep"/>
    <x v="0"/>
    <s v="USA"/>
    <x v="2"/>
    <x v="1"/>
    <n v="2"/>
  </r>
  <r>
    <s v="ID1481"/>
    <d v="2012-05-30T18:47:17"/>
    <n v="3200"/>
    <s v="USD"/>
    <n v="3200"/>
    <s v="Regional Business Manager "/>
    <x v="3"/>
    <s v="India"/>
    <x v="0"/>
    <x v="1"/>
    <n v="19"/>
  </r>
  <r>
    <s v="ID1482"/>
    <d v="2012-05-30T18:51:57"/>
    <n v="60000"/>
    <s v="USD"/>
    <n v="60000"/>
    <s v="sales&amp;marketing"/>
    <x v="0"/>
    <s v="turkey"/>
    <x v="29"/>
    <x v="2"/>
    <n v="10"/>
  </r>
  <r>
    <s v="ID1483"/>
    <d v="2012-05-30T19:01:20"/>
    <n v="85000"/>
    <s v="USD"/>
    <n v="85000"/>
    <s v="sr analyst"/>
    <x v="0"/>
    <s v="USA"/>
    <x v="2"/>
    <x v="0"/>
    <n v="9"/>
  </r>
  <r>
    <s v="ID1484"/>
    <d v="2012-05-30T19:04:44"/>
    <n v="109000"/>
    <s v="USD"/>
    <n v="109000"/>
    <s v="Mgr Technology"/>
    <x v="3"/>
    <s v="USA"/>
    <x v="2"/>
    <x v="0"/>
    <n v="15"/>
  </r>
  <r>
    <s v="ID1485"/>
    <d v="2012-05-30T19:27:35"/>
    <n v="60000"/>
    <s v="EUR"/>
    <n v="76223.966339496474"/>
    <s v="Sales Analyst"/>
    <x v="0"/>
    <s v="Italy"/>
    <x v="63"/>
    <x v="1"/>
    <n v="14"/>
  </r>
  <r>
    <s v="ID1486"/>
    <d v="2012-05-30T19:42:50"/>
    <n v="77000"/>
    <s v="USD"/>
    <n v="77000"/>
    <s v="Chemical Engineer"/>
    <x v="2"/>
    <s v="USA"/>
    <x v="2"/>
    <x v="2"/>
    <n v="13"/>
  </r>
  <r>
    <s v="ID1487"/>
    <d v="2012-05-30T19:43:43"/>
    <n v="25000"/>
    <s v="USD"/>
    <n v="25000"/>
    <s v="data analyst"/>
    <x v="0"/>
    <s v="India"/>
    <x v="0"/>
    <x v="1"/>
    <n v="4"/>
  </r>
  <r>
    <s v="ID1488"/>
    <d v="2012-05-30T20:19:51"/>
    <n v="64000"/>
    <s v="USD"/>
    <n v="64000"/>
    <s v="Program Manager"/>
    <x v="3"/>
    <s v="USA"/>
    <x v="2"/>
    <x v="2"/>
    <n v="12"/>
  </r>
  <r>
    <s v="ID1489"/>
    <d v="2012-05-30T20:26:10"/>
    <n v="146633"/>
    <s v="GBP"/>
    <n v="231119.74856804207"/>
    <s v="Senior Planning Engineer"/>
    <x v="2"/>
    <s v="UK"/>
    <x v="14"/>
    <x v="2"/>
    <n v="10"/>
  </r>
  <r>
    <s v="ID1490"/>
    <d v="2012-05-30T20:40:45"/>
    <n v="76000"/>
    <s v="USD"/>
    <n v="76000"/>
    <s v="Sr. Analyst"/>
    <x v="0"/>
    <s v="USA"/>
    <x v="2"/>
    <x v="1"/>
    <n v="10"/>
  </r>
  <r>
    <s v="ID1491"/>
    <d v="2012-05-30T20:42:27"/>
    <n v="10000"/>
    <s v="GBP"/>
    <n v="15761.782720672842"/>
    <s v="Analyst"/>
    <x v="0"/>
    <s v="UK"/>
    <x v="14"/>
    <x v="2"/>
    <n v="8"/>
  </r>
  <r>
    <s v="ID1492"/>
    <d v="2012-05-30T20:42:47"/>
    <n v="165000"/>
    <s v="AUD"/>
    <n v="168285.09330643489"/>
    <s v="Engineer"/>
    <x v="2"/>
    <s v="Australia"/>
    <x v="16"/>
    <x v="2"/>
    <n v="17"/>
  </r>
  <r>
    <s v="ID1493"/>
    <d v="2012-05-30T20:47:55"/>
    <n v="50000"/>
    <s v="USD"/>
    <n v="50000"/>
    <s v="Sr. Financial Analyst"/>
    <x v="0"/>
    <s v="Kuwait"/>
    <x v="77"/>
    <x v="0"/>
    <n v="13"/>
  </r>
  <r>
    <s v="ID1494"/>
    <d v="2012-05-30T20:53:12"/>
    <n v="7200"/>
    <s v="USD"/>
    <n v="7200"/>
    <s v="control process auxiliary"/>
    <x v="1"/>
    <s v="Colombia"/>
    <x v="28"/>
    <x v="0"/>
    <n v="8"/>
  </r>
  <r>
    <s v="ID1495"/>
    <d v="2012-05-30T21:07:54"/>
    <n v="42000"/>
    <s v="EUR"/>
    <n v="53356.776437647524"/>
    <s v="Business Intelligence Consultant"/>
    <x v="8"/>
    <s v="Germany"/>
    <x v="5"/>
    <x v="1"/>
    <n v="7"/>
  </r>
  <r>
    <s v="ID1496"/>
    <d v="2012-05-30T21:19:31"/>
    <n v="45000"/>
    <s v="USD"/>
    <n v="45000"/>
    <s v="Data Specialist"/>
    <x v="6"/>
    <s v="USA"/>
    <x v="2"/>
    <x v="2"/>
    <n v="10"/>
  </r>
  <r>
    <s v="ID1497"/>
    <d v="2012-05-30T21:26:04"/>
    <n v="5000"/>
    <s v="USD"/>
    <n v="5000"/>
    <s v="Officer MIS"/>
    <x v="3"/>
    <s v="India"/>
    <x v="0"/>
    <x v="1"/>
    <n v="4"/>
  </r>
  <r>
    <s v="ID1498"/>
    <d v="2012-05-30T21:45:06"/>
    <n v="74000"/>
    <s v="AUD"/>
    <n v="75473.31457379504"/>
    <s v="operations Administrator"/>
    <x v="0"/>
    <s v="Australia"/>
    <x v="16"/>
    <x v="1"/>
    <n v="20"/>
  </r>
  <r>
    <s v="ID1499"/>
    <d v="2012-05-30T22:11:21"/>
    <n v="15000"/>
    <s v="USD"/>
    <n v="15000"/>
    <s v="Manager"/>
    <x v="3"/>
    <s v="Romania"/>
    <x v="38"/>
    <x v="2"/>
    <n v="5"/>
  </r>
  <r>
    <s v="ID1500"/>
    <d v="2012-05-30T22:31:33"/>
    <n v="33500"/>
    <s v="EUR"/>
    <n v="42558.381206218859"/>
    <s v="Controller / VBA Developet"/>
    <x v="1"/>
    <s v="Germany"/>
    <x v="5"/>
    <x v="1"/>
    <n v="8"/>
  </r>
  <r>
    <s v="ID1501"/>
    <d v="2012-05-30T22:31:35"/>
    <n v="61000"/>
    <s v="USD"/>
    <n v="61000"/>
    <s v="Financial Analyst"/>
    <x v="0"/>
    <s v="USA"/>
    <x v="2"/>
    <x v="0"/>
    <n v="5"/>
  </r>
  <r>
    <s v="ID1502"/>
    <d v="2012-05-30T22:32:21"/>
    <n v="66000"/>
    <s v="USD"/>
    <n v="66000"/>
    <s v="Director of Business Analytics"/>
    <x v="0"/>
    <s v="USA"/>
    <x v="2"/>
    <x v="0"/>
    <n v="2"/>
  </r>
  <r>
    <s v="ID1503"/>
    <d v="2012-05-30T22:59:44"/>
    <n v="278000"/>
    <s v="INR"/>
    <n v="4950.6008391090336"/>
    <s v="MIS Executive"/>
    <x v="7"/>
    <s v="India"/>
    <x v="0"/>
    <x v="1"/>
    <n v="8"/>
  </r>
  <r>
    <s v="ID1504"/>
    <d v="2012-05-30T23:01:48"/>
    <n v="55000"/>
    <s v="USD"/>
    <n v="55000"/>
    <s v="Supplier Manager"/>
    <x v="3"/>
    <s v="USA"/>
    <x v="2"/>
    <x v="2"/>
    <n v="14"/>
  </r>
  <r>
    <s v="ID1505"/>
    <d v="2012-05-30T23:26:00"/>
    <n v="32000"/>
    <s v="USD"/>
    <n v="32000"/>
    <s v="Reports Writer"/>
    <x v="7"/>
    <s v="USA"/>
    <x v="2"/>
    <x v="0"/>
    <n v="10"/>
  </r>
  <r>
    <s v="ID1506"/>
    <d v="2012-05-30T23:29:58"/>
    <n v="18000"/>
    <s v="USD"/>
    <n v="18000"/>
    <s v="Process Associate"/>
    <x v="0"/>
    <s v="India"/>
    <x v="0"/>
    <x v="1"/>
    <n v="6"/>
  </r>
  <r>
    <s v="ID1507"/>
    <d v="2012-05-30T23:59:22"/>
    <n v="650000"/>
    <s v="INR"/>
    <n v="11575.14584683767"/>
    <s v="HR/ADMINISTRATION"/>
    <x v="0"/>
    <s v="India"/>
    <x v="0"/>
    <x v="0"/>
    <n v="21"/>
  </r>
  <r>
    <s v="ID1508"/>
    <d v="2012-05-31T00:36:30"/>
    <n v="50000"/>
    <s v="EUR"/>
    <n v="63519.971949580387"/>
    <s v="accountant"/>
    <x v="5"/>
    <s v="italy"/>
    <x v="63"/>
    <x v="1"/>
    <n v="15"/>
  </r>
  <r>
    <s v="ID1509"/>
    <d v="2012-05-31T00:46:55"/>
    <n v="4000000"/>
    <s v="INR"/>
    <n v="71231.666749770273"/>
    <s v="Operational Specialist"/>
    <x v="6"/>
    <s v="India"/>
    <x v="0"/>
    <x v="1"/>
    <n v="5"/>
  </r>
  <r>
    <s v="ID1510"/>
    <d v="2012-05-31T01:09:06"/>
    <n v="10000"/>
    <s v="USD"/>
    <n v="10000"/>
    <s v="Trainee"/>
    <x v="0"/>
    <s v="Brazil"/>
    <x v="24"/>
    <x v="0"/>
    <n v="1"/>
  </r>
  <r>
    <s v="ID1511"/>
    <d v="2012-05-31T01:17:16"/>
    <n v="74300"/>
    <s v="USD"/>
    <n v="74300"/>
    <s v="Senior Business Research Analyst"/>
    <x v="0"/>
    <s v="USA"/>
    <x v="2"/>
    <x v="0"/>
    <n v="3"/>
  </r>
  <r>
    <s v="ID1512"/>
    <d v="2012-05-31T01:17:48"/>
    <n v="1500000"/>
    <s v="INR"/>
    <n v="26711.875031163851"/>
    <s v="Senior Consultant - PMO"/>
    <x v="8"/>
    <s v="India"/>
    <x v="0"/>
    <x v="0"/>
    <n v="10"/>
  </r>
  <r>
    <s v="ID1513"/>
    <d v="2012-05-31T01:45:48"/>
    <n v="536000"/>
    <s v="INR"/>
    <n v="9545.0433444692171"/>
    <s v="Team Lead"/>
    <x v="3"/>
    <s v="India"/>
    <x v="0"/>
    <x v="0"/>
    <n v="4"/>
  </r>
  <r>
    <s v="ID1514"/>
    <d v="2012-05-31T01:50:26"/>
    <n v="95000"/>
    <s v="USD"/>
    <n v="95000"/>
    <s v="Sr Financial Analyst"/>
    <x v="0"/>
    <s v="USA"/>
    <x v="2"/>
    <x v="0"/>
    <n v="15"/>
  </r>
  <r>
    <s v="ID1515"/>
    <d v="2012-05-31T02:24:37"/>
    <n v="64300"/>
    <s v="USD"/>
    <n v="64300"/>
    <s v="Financial Analst"/>
    <x v="5"/>
    <s v="USA"/>
    <x v="2"/>
    <x v="0"/>
    <n v="15"/>
  </r>
  <r>
    <s v="ID1516"/>
    <d v="2012-05-31T02:37:09"/>
    <n v="250000"/>
    <s v="USD"/>
    <n v="250000"/>
    <s v="consultant"/>
    <x v="8"/>
    <s v="USA"/>
    <x v="2"/>
    <x v="1"/>
    <n v="20"/>
  </r>
  <r>
    <s v="ID1519"/>
    <d v="2012-05-31T03:07:09"/>
    <n v="89000"/>
    <s v="USD"/>
    <n v="89000"/>
    <s v="Finance Manager"/>
    <x v="3"/>
    <s v="USA"/>
    <x v="2"/>
    <x v="2"/>
    <n v="10"/>
  </r>
  <r>
    <s v="ID1520"/>
    <d v="2012-05-31T04:12:19"/>
    <n v="75000"/>
    <s v="USD"/>
    <n v="75000"/>
    <s v="Financial Analyst"/>
    <x v="0"/>
    <s v="USA"/>
    <x v="2"/>
    <x v="1"/>
    <n v="1.5"/>
  </r>
  <r>
    <s v="ID1521"/>
    <d v="2012-05-31T05:02:59"/>
    <n v="45000"/>
    <s v="USD"/>
    <n v="45000"/>
    <s v="Excel Business Analyst"/>
    <x v="0"/>
    <s v="USA"/>
    <x v="2"/>
    <x v="1"/>
    <n v="5"/>
  </r>
  <r>
    <s v="ID1522"/>
    <d v="2012-05-31T05:23:58"/>
    <n v="127500"/>
    <s v="USD"/>
    <n v="127500"/>
    <s v="SVP"/>
    <x v="4"/>
    <s v="USA"/>
    <x v="2"/>
    <x v="1"/>
    <n v="22"/>
  </r>
  <r>
    <s v="ID1523"/>
    <d v="2012-05-31T05:31:54"/>
    <n v="170000"/>
    <s v="USD"/>
    <n v="170000"/>
    <s v="CFO"/>
    <x v="4"/>
    <s v="USA"/>
    <x v="2"/>
    <x v="2"/>
    <n v="18"/>
  </r>
  <r>
    <s v="ID1524"/>
    <d v="2012-05-31T05:37:29"/>
    <n v="9600"/>
    <s v="USD"/>
    <n v="9600"/>
    <s v="Reporting Analyst"/>
    <x v="0"/>
    <s v="Bolivia"/>
    <x v="90"/>
    <x v="1"/>
    <n v="2"/>
  </r>
  <r>
    <s v="ID1525"/>
    <d v="2012-05-31T06:13:42"/>
    <n v="62000"/>
    <s v="USD"/>
    <n v="62000"/>
    <s v="info analyst"/>
    <x v="0"/>
    <s v="USA"/>
    <x v="2"/>
    <x v="1"/>
    <n v="27"/>
  </r>
  <r>
    <s v="ID1526"/>
    <d v="2012-05-31T06:23:09"/>
    <n v="22000"/>
    <s v="USD"/>
    <n v="22000"/>
    <s v="Data Manager"/>
    <x v="3"/>
    <s v="USA"/>
    <x v="2"/>
    <x v="0"/>
    <n v="3"/>
  </r>
  <r>
    <s v="ID1527"/>
    <d v="2012-05-31T06:23:55"/>
    <n v="45000"/>
    <s v="USD"/>
    <n v="45000"/>
    <s v="Business Analyst"/>
    <x v="0"/>
    <s v="USA"/>
    <x v="2"/>
    <x v="0"/>
    <n v="8"/>
  </r>
  <r>
    <s v="ID1528"/>
    <d v="2012-05-31T07:17:36"/>
    <n v="145000"/>
    <s v="USD"/>
    <n v="145000"/>
    <s v="Associate"/>
    <x v="0"/>
    <s v="USA"/>
    <x v="2"/>
    <x v="0"/>
    <n v="6"/>
  </r>
  <r>
    <s v="ID1529"/>
    <d v="2012-05-31T08:20:03"/>
    <n v="89000"/>
    <s v="USD"/>
    <n v="89000"/>
    <s v="BI Analyst"/>
    <x v="0"/>
    <s v="USA"/>
    <x v="2"/>
    <x v="1"/>
    <n v="14"/>
  </r>
  <r>
    <s v="ID1530"/>
    <d v="2012-05-31T09:28:05"/>
    <n v="38000"/>
    <s v="USD"/>
    <n v="38000"/>
    <s v="Accountant"/>
    <x v="5"/>
    <s v="USA"/>
    <x v="2"/>
    <x v="0"/>
    <n v="11"/>
  </r>
  <r>
    <s v="ID1531"/>
    <d v="2012-05-31T09:45:09"/>
    <n v="50000"/>
    <s v="CAD"/>
    <n v="49168.076151516347"/>
    <s v="Business Analyst"/>
    <x v="0"/>
    <s v="Canada"/>
    <x v="17"/>
    <x v="0"/>
    <n v="3"/>
  </r>
  <r>
    <s v="ID1532"/>
    <d v="2012-05-31T10:29:42"/>
    <n v="500000"/>
    <s v="INR"/>
    <n v="8903.9583437212841"/>
    <s v="Developer"/>
    <x v="0"/>
    <s v="India"/>
    <x v="0"/>
    <x v="0"/>
    <n v="8"/>
  </r>
  <r>
    <s v="ID1533"/>
    <d v="2012-05-31T10:33:07"/>
    <n v="10000"/>
    <s v="USD"/>
    <n v="10000"/>
    <s v="Project management"/>
    <x v="3"/>
    <s v="Vietnam"/>
    <x v="91"/>
    <x v="2"/>
    <n v="8"/>
  </r>
  <r>
    <s v="ID1534"/>
    <d v="2012-05-31T10:37:38"/>
    <n v="105000"/>
    <s v="USD"/>
    <n v="105000"/>
    <s v="Business Banker"/>
    <x v="3"/>
    <s v="USA"/>
    <x v="2"/>
    <x v="3"/>
    <n v="30"/>
  </r>
  <r>
    <s v="ID1535"/>
    <d v="2012-05-31T10:54:48"/>
    <n v="12000"/>
    <s v="USD"/>
    <n v="12000"/>
    <s v="Associate Analyst"/>
    <x v="0"/>
    <s v="MYS"/>
    <x v="92"/>
    <x v="2"/>
    <n v="0"/>
  </r>
  <r>
    <s v="ID1536"/>
    <d v="2012-05-31T11:08:38"/>
    <n v="200000"/>
    <s v="INR"/>
    <n v="3561.5833374885137"/>
    <s v="Accounts Executive"/>
    <x v="5"/>
    <s v="India"/>
    <x v="0"/>
    <x v="1"/>
    <n v="3"/>
  </r>
  <r>
    <s v="ID1537"/>
    <d v="2012-05-31T13:25:49"/>
    <n v="85000"/>
    <s v="AUD"/>
    <n v="86692.320794224041"/>
    <s v="Demand Planner"/>
    <x v="0"/>
    <s v="Australia"/>
    <x v="16"/>
    <x v="3"/>
    <n v="5"/>
  </r>
  <r>
    <s v="ID1539"/>
    <d v="2012-05-31T16:00:16"/>
    <n v="8000"/>
    <s v="USD"/>
    <n v="8000"/>
    <s v="Owner"/>
    <x v="4"/>
    <s v="India"/>
    <x v="0"/>
    <x v="0"/>
    <n v="18"/>
  </r>
  <r>
    <s v="ID1540"/>
    <d v="2012-05-31T16:10:28"/>
    <n v="380000"/>
    <s v="INR"/>
    <n v="6767.0083412281756"/>
    <s v="reporting analyst"/>
    <x v="0"/>
    <s v="India"/>
    <x v="0"/>
    <x v="2"/>
    <n v="6"/>
  </r>
  <r>
    <s v="ID1541"/>
    <d v="2012-05-31T16:16:11"/>
    <n v="30500"/>
    <s v="GBP"/>
    <n v="48073.437298052166"/>
    <s v="Construction Estimator"/>
    <x v="8"/>
    <s v="UK"/>
    <x v="14"/>
    <x v="0"/>
    <n v="14"/>
  </r>
  <r>
    <s v="ID1542"/>
    <d v="2012-05-31T16:25:23"/>
    <n v="60000"/>
    <s v="EUR"/>
    <n v="76223.966339496474"/>
    <s v="Trade Marketing"/>
    <x v="3"/>
    <s v="NL"/>
    <x v="18"/>
    <x v="2"/>
    <n v="15"/>
  </r>
  <r>
    <s v="ID1543"/>
    <d v="2012-05-31T16:25:24"/>
    <n v="320000"/>
    <s v="SAR"/>
    <n v="85333.333333333328"/>
    <s v="Merchandise Planning Manager"/>
    <x v="3"/>
    <s v="Saudi Arabia"/>
    <x v="22"/>
    <x v="2"/>
    <n v="15"/>
  </r>
  <r>
    <s v="ID1544"/>
    <d v="2012-05-31T16:30:09"/>
    <n v="48360"/>
    <s v="GBP"/>
    <n v="76223.981237173866"/>
    <s v="pricing manager"/>
    <x v="3"/>
    <s v="UK"/>
    <x v="14"/>
    <x v="1"/>
    <n v="8"/>
  </r>
  <r>
    <s v="ID1545"/>
    <d v="2012-05-31T17:08:59"/>
    <n v="30000"/>
    <s v="USD"/>
    <n v="30000"/>
    <s v="Marketing Services Manager"/>
    <x v="3"/>
    <s v="Pakistan"/>
    <x v="3"/>
    <x v="0"/>
    <n v="5"/>
  </r>
  <r>
    <s v="ID1546"/>
    <d v="2012-05-31T17:21:45"/>
    <n v="34000"/>
    <s v="USD"/>
    <n v="34000"/>
    <s v="Sr Analyst"/>
    <x v="0"/>
    <s v="India"/>
    <x v="0"/>
    <x v="1"/>
    <n v="4"/>
  </r>
  <r>
    <s v="ID1547"/>
    <d v="2012-05-31T17:34:34"/>
    <n v="180000"/>
    <s v="INR"/>
    <n v="3205.4250037396623"/>
    <s v="Asst Store Manager"/>
    <x v="3"/>
    <s v="India"/>
    <x v="0"/>
    <x v="0"/>
    <n v="5"/>
  </r>
  <r>
    <s v="ID1548"/>
    <d v="2012-05-31T17:35:33"/>
    <n v="45000"/>
    <s v="USD"/>
    <n v="45000"/>
    <s v="Junior Reporting Manager"/>
    <x v="3"/>
    <s v="Germany"/>
    <x v="5"/>
    <x v="2"/>
    <n v="5"/>
  </r>
  <r>
    <s v="ID1549"/>
    <d v="2012-05-31T18:35:30"/>
    <n v="24864"/>
    <s v="USD"/>
    <n v="24864"/>
    <s v="Brand manager"/>
    <x v="3"/>
    <s v="Libya"/>
    <x v="93"/>
    <x v="1"/>
    <n v="8"/>
  </r>
  <r>
    <s v="ID1550"/>
    <d v="2012-05-31T19:51:29"/>
    <n v="30000"/>
    <s v="GBP"/>
    <n v="47285.348162018527"/>
    <s v="Cost Analyst"/>
    <x v="0"/>
    <s v="UK"/>
    <x v="14"/>
    <x v="0"/>
    <n v="7"/>
  </r>
  <r>
    <s v="ID1551"/>
    <d v="2012-05-31T20:13:27"/>
    <n v="1000000"/>
    <s v="INR"/>
    <n v="17807.916687442568"/>
    <s v="Financial analyst"/>
    <x v="0"/>
    <s v="India"/>
    <x v="0"/>
    <x v="1"/>
    <n v="10"/>
  </r>
  <r>
    <s v="ID1552"/>
    <d v="2012-05-31T20:14:20"/>
    <n v="35000"/>
    <s v="GBP"/>
    <n v="55166.239522354947"/>
    <s v="Research Analyst"/>
    <x v="0"/>
    <s v="UK"/>
    <x v="14"/>
    <x v="0"/>
    <n v="3"/>
  </r>
  <r>
    <s v="ID1553"/>
    <d v="2012-05-31T21:05:02"/>
    <n v="55000"/>
    <s v="EUR"/>
    <n v="69871.969144538423"/>
    <s v="Risk Officer"/>
    <x v="3"/>
    <s v="The Netherlands"/>
    <x v="18"/>
    <x v="3"/>
    <n v="5"/>
  </r>
  <r>
    <s v="ID1554"/>
    <d v="2012-05-31T21:06:45"/>
    <n v="70970"/>
    <s v="USD"/>
    <n v="70970"/>
    <s v="Sr. Risk Analyst"/>
    <x v="0"/>
    <s v="USA"/>
    <x v="2"/>
    <x v="0"/>
    <n v="17"/>
  </r>
  <r>
    <s v="ID1555"/>
    <d v="2012-05-31T21:45:03"/>
    <n v="60000"/>
    <s v="EUR"/>
    <n v="76223.966339496474"/>
    <s v="Business Engineer"/>
    <x v="2"/>
    <s v="Netherlands"/>
    <x v="18"/>
    <x v="0"/>
    <n v="7"/>
  </r>
  <r>
    <s v="ID1556"/>
    <d v="2012-05-31T21:47:37"/>
    <n v="110000"/>
    <s v="USD"/>
    <n v="110000"/>
    <s v="Business Controller"/>
    <x v="1"/>
    <s v="Norway"/>
    <x v="47"/>
    <x v="1"/>
    <n v="5"/>
  </r>
  <r>
    <s v="ID1557"/>
    <d v="2012-05-31T21:48:35"/>
    <n v="14400"/>
    <s v="USD"/>
    <n v="14400"/>
    <s v="FA /financial Analyst"/>
    <x v="0"/>
    <s v="Bulgaria"/>
    <x v="94"/>
    <x v="1"/>
    <n v="15"/>
  </r>
  <r>
    <s v="ID1558"/>
    <d v="2012-05-31T22:05:03"/>
    <n v="125000"/>
    <s v="USD"/>
    <n v="125000"/>
    <s v="Consultant"/>
    <x v="8"/>
    <s v="USA"/>
    <x v="2"/>
    <x v="1"/>
    <n v="8"/>
  </r>
  <r>
    <s v="ID1559"/>
    <d v="2012-05-31T22:06:59"/>
    <n v="74000"/>
    <s v="CAD"/>
    <n v="72768.752704244194"/>
    <s v="Operations Analyst"/>
    <x v="0"/>
    <s v="Canada"/>
    <x v="17"/>
    <x v="0"/>
    <n v="10"/>
  </r>
  <r>
    <s v="ID1560"/>
    <d v="2012-05-31T22:56:21"/>
    <n v="59000"/>
    <s v="USD"/>
    <n v="59000"/>
    <s v="Operations Manager"/>
    <x v="3"/>
    <s v="USA"/>
    <x v="2"/>
    <x v="0"/>
    <n v="15"/>
  </r>
  <r>
    <s v="ID1561"/>
    <d v="2012-05-31T23:08:12"/>
    <n v="71500"/>
    <s v="USD"/>
    <n v="71500"/>
    <s v="Management Reporting Analyst"/>
    <x v="0"/>
    <s v="USA"/>
    <x v="2"/>
    <x v="0"/>
    <n v="5"/>
  </r>
  <r>
    <s v="ID1562"/>
    <d v="2012-05-31T23:09:08"/>
    <n v="25000"/>
    <s v="GBP"/>
    <n v="39404.456801682099"/>
    <s v="Reporting Team Lead"/>
    <x v="7"/>
    <s v="UK"/>
    <x v="14"/>
    <x v="0"/>
    <n v="2"/>
  </r>
  <r>
    <s v="ID1563"/>
    <d v="2012-05-31T23:10:44"/>
    <n v="70000"/>
    <s v="EUR"/>
    <n v="88927.960729412545"/>
    <s v="Specialist Learning Technology"/>
    <x v="6"/>
    <s v="Germany"/>
    <x v="5"/>
    <x v="3"/>
    <n v="5"/>
  </r>
  <r>
    <s v="ID1564"/>
    <d v="2012-05-31T23:48:36"/>
    <n v="90000"/>
    <s v="USD"/>
    <n v="90000"/>
    <s v="Operationsl Regional Manager"/>
    <x v="3"/>
    <s v="USA"/>
    <x v="2"/>
    <x v="0"/>
    <n v="25"/>
  </r>
  <r>
    <s v="ID1565"/>
    <d v="2012-06-01T00:02:34"/>
    <n v="700000"/>
    <s v="INR"/>
    <n v="12465.541681209797"/>
    <s v="Manager - Business Development"/>
    <x v="3"/>
    <s v="India"/>
    <x v="0"/>
    <x v="1"/>
    <n v="30"/>
  </r>
  <r>
    <s v="ID1566"/>
    <d v="2012-06-01T00:18:35"/>
    <n v="40000"/>
    <s v="USD"/>
    <n v="40000"/>
    <s v="QA Data Analyst"/>
    <x v="0"/>
    <s v="USA"/>
    <x v="2"/>
    <x v="0"/>
    <n v="8"/>
  </r>
  <r>
    <s v="ID1567"/>
    <d v="2012-06-01T00:23:54"/>
    <n v="30000"/>
    <s v="USD"/>
    <n v="30000"/>
    <s v="SME"/>
    <x v="0"/>
    <s v="India"/>
    <x v="0"/>
    <x v="1"/>
    <n v="4"/>
  </r>
  <r>
    <s v="ID1569"/>
    <d v="2012-06-01T01:29:02"/>
    <n v="46325"/>
    <s v="USD"/>
    <n v="46325"/>
    <s v="Work Force Scheduler for Call Center"/>
    <x v="1"/>
    <s v="USA"/>
    <x v="2"/>
    <x v="0"/>
    <n v="1"/>
  </r>
  <r>
    <s v="ID1570"/>
    <d v="2012-06-01T01:47:43"/>
    <n v="15000"/>
    <s v="USD"/>
    <n v="15000"/>
    <s v="Application Developer"/>
    <x v="0"/>
    <s v="USA"/>
    <x v="2"/>
    <x v="1"/>
    <n v="8"/>
  </r>
  <r>
    <s v="ID1571"/>
    <d v="2012-06-01T02:33:02"/>
    <n v="31200"/>
    <s v="USD"/>
    <n v="31200"/>
    <s v="Data Analyst"/>
    <x v="0"/>
    <s v="USA"/>
    <x v="2"/>
    <x v="0"/>
    <n v="15"/>
  </r>
  <r>
    <s v="ID1572"/>
    <d v="2012-06-01T02:46:21"/>
    <n v="500000"/>
    <s v="INR"/>
    <n v="8903.9583437212841"/>
    <s v="Sr. Associate"/>
    <x v="0"/>
    <s v="India"/>
    <x v="0"/>
    <x v="0"/>
    <n v="9"/>
  </r>
  <r>
    <s v="ID1573"/>
    <d v="2012-06-01T03:01:04"/>
    <n v="15840"/>
    <s v="USD"/>
    <n v="15840"/>
    <s v="Asistente"/>
    <x v="0"/>
    <s v="Peru"/>
    <x v="95"/>
    <x v="1"/>
    <n v="8"/>
  </r>
  <r>
    <s v="ID1574"/>
    <d v="2012-06-01T03:07:31"/>
    <n v="850000"/>
    <s v="INR"/>
    <n v="15136.729184326183"/>
    <s v="Sr Business analyst"/>
    <x v="0"/>
    <s v="India"/>
    <x v="0"/>
    <x v="0"/>
    <n v="5"/>
  </r>
  <r>
    <s v="ID1575"/>
    <d v="2012-06-01T04:10:52"/>
    <n v="41000"/>
    <s v="USD"/>
    <n v="41000"/>
    <s v="Excel Developer"/>
    <x v="8"/>
    <s v="USA"/>
    <x v="2"/>
    <x v="0"/>
    <n v="10"/>
  </r>
  <r>
    <s v="ID1576"/>
    <d v="2012-06-01T04:44:29"/>
    <n v="11000"/>
    <s v="USD"/>
    <n v="11000"/>
    <s v="Coordinator"/>
    <x v="3"/>
    <s v="MÃ©xico"/>
    <x v="26"/>
    <x v="0"/>
    <n v="2"/>
  </r>
  <r>
    <s v="ID1577"/>
    <d v="2012-06-01T05:32:31"/>
    <n v="35000"/>
    <s v="GBP"/>
    <n v="55166.239522354947"/>
    <s v="finance director"/>
    <x v="4"/>
    <s v="UK"/>
    <x v="14"/>
    <x v="2"/>
    <n v="30"/>
  </r>
  <r>
    <s v="ID1578"/>
    <d v="2012-06-01T05:37:32"/>
    <n v="240000"/>
    <s v="PHP"/>
    <n v="5689.2125418690484"/>
    <s v="IT Coordinator"/>
    <x v="3"/>
    <s v="Philippines"/>
    <x v="33"/>
    <x v="0"/>
    <n v="15"/>
  </r>
  <r>
    <s v="ID1579"/>
    <d v="2012-06-01T05:52:11"/>
    <n v="17728"/>
    <s v="USD"/>
    <n v="17728"/>
    <s v="Financial analyst"/>
    <x v="0"/>
    <s v="Mexico"/>
    <x v="26"/>
    <x v="0"/>
    <n v="3"/>
  </r>
  <r>
    <s v="ID1580"/>
    <d v="2012-06-01T05:56:20"/>
    <n v="120000"/>
    <s v="MAD"/>
    <n v="13745.704467353951"/>
    <s v="Supply chain Controller"/>
    <x v="1"/>
    <s v="Morocco"/>
    <x v="96"/>
    <x v="1"/>
    <n v="8"/>
  </r>
  <r>
    <s v="ID1581"/>
    <d v="2012-06-01T06:17:19"/>
    <n v="50000"/>
    <s v="USD"/>
    <n v="50000"/>
    <s v="Staff Accountant"/>
    <x v="5"/>
    <s v="USA"/>
    <x v="2"/>
    <x v="0"/>
    <n v="15"/>
  </r>
  <r>
    <s v="ID1582"/>
    <d v="2012-06-01T06:31:49"/>
    <n v="80000"/>
    <s v="CAD"/>
    <n v="78668.921842426149"/>
    <s v="Business Operations Analyst"/>
    <x v="0"/>
    <s v="Canada"/>
    <x v="17"/>
    <x v="0"/>
    <n v="7"/>
  </r>
  <r>
    <s v="ID1583"/>
    <d v="2012-06-01T06:53:52"/>
    <n v="85000"/>
    <s v="USD"/>
    <n v="85000"/>
    <s v="Sr Report Developer"/>
    <x v="7"/>
    <s v="USA"/>
    <x v="2"/>
    <x v="0"/>
    <n v="10"/>
  </r>
  <r>
    <s v="ID1584"/>
    <d v="2012-06-01T07:22:36"/>
    <n v="100000"/>
    <s v="AUD"/>
    <n v="101990.96564026357"/>
    <s v="Management Accountant"/>
    <x v="3"/>
    <s v="Australia"/>
    <x v="16"/>
    <x v="0"/>
    <n v="20"/>
  </r>
  <r>
    <s v="ID1585"/>
    <d v="2012-06-01T08:06:34"/>
    <n v="5650000"/>
    <s v="INR"/>
    <n v="100614.72928405051"/>
    <s v="MIS"/>
    <x v="7"/>
    <s v="India"/>
    <x v="0"/>
    <x v="2"/>
    <n v="6"/>
  </r>
  <r>
    <s v="ID1586"/>
    <d v="2012-06-01T08:52:31"/>
    <n v="85000"/>
    <s v="AUD"/>
    <n v="86692.320794224041"/>
    <s v="Administrator"/>
    <x v="0"/>
    <s v="Australia"/>
    <x v="16"/>
    <x v="0"/>
    <n v="30"/>
  </r>
  <r>
    <s v="ID1587"/>
    <d v="2012-06-01T10:55:27"/>
    <n v="120000"/>
    <s v="AUD"/>
    <n v="122389.15876831629"/>
    <s v="Reporting Analyst"/>
    <x v="0"/>
    <s v="Australia"/>
    <x v="16"/>
    <x v="2"/>
    <n v="5"/>
  </r>
  <r>
    <s v="ID1588"/>
    <d v="2012-06-01T10:57:59"/>
    <n v="360000"/>
    <s v="INR"/>
    <n v="6410.8500074793246"/>
    <s v="team leader "/>
    <x v="3"/>
    <s v="India"/>
    <x v="0"/>
    <x v="2"/>
    <n v="8"/>
  </r>
  <r>
    <s v="ID1589"/>
    <d v="2012-06-01T13:03:18"/>
    <n v="44000"/>
    <s v="USD"/>
    <n v="44000"/>
    <s v="Quality Assurance Analyst"/>
    <x v="0"/>
    <s v="USA"/>
    <x v="2"/>
    <x v="0"/>
    <n v="3.5"/>
  </r>
  <r>
    <s v="ID1590"/>
    <d v="2012-06-01T14:32:41"/>
    <n v="250000"/>
    <s v="INR"/>
    <n v="4451.9791718606421"/>
    <s v="Analytics engineer"/>
    <x v="2"/>
    <s v="India"/>
    <x v="0"/>
    <x v="0"/>
    <n v="2.5"/>
  </r>
  <r>
    <s v="ID1591"/>
    <d v="2012-06-01T14:50:41"/>
    <n v="4500"/>
    <s v="USD"/>
    <n v="4500"/>
    <s v="Assistant Manger Service Quality Assurance"/>
    <x v="0"/>
    <s v="Pakistan"/>
    <x v="3"/>
    <x v="0"/>
    <n v="6"/>
  </r>
  <r>
    <s v="ID1592"/>
    <d v="2012-06-01T15:09:27"/>
    <n v="1700000"/>
    <s v="INR"/>
    <n v="30273.458368652366"/>
    <s v="AVP"/>
    <x v="4"/>
    <s v="India"/>
    <x v="0"/>
    <x v="0"/>
    <n v="6"/>
  </r>
  <r>
    <s v="ID1593"/>
    <d v="2012-06-01T15:39:20"/>
    <n v="52000"/>
    <s v="USD"/>
    <n v="52000"/>
    <s v="Planner"/>
    <x v="0"/>
    <s v="USA"/>
    <x v="2"/>
    <x v="1"/>
    <n v="5"/>
  </r>
  <r>
    <s v="ID1594"/>
    <d v="2012-06-01T18:08:07"/>
    <n v="75000"/>
    <s v="USD"/>
    <n v="75000"/>
    <s v="Consultant"/>
    <x v="8"/>
    <s v="Germany"/>
    <x v="5"/>
    <x v="2"/>
    <n v="9"/>
  </r>
  <r>
    <s v="ID1595"/>
    <d v="2012-06-01T18:18:31"/>
    <n v="1000000"/>
    <s v="INR"/>
    <n v="17807.916687442568"/>
    <s v="Senior Analyst"/>
    <x v="0"/>
    <s v="India"/>
    <x v="0"/>
    <x v="1"/>
    <n v="4"/>
  </r>
  <r>
    <s v="ID1596"/>
    <d v="2012-06-01T18:58:42"/>
    <n v="177600"/>
    <s v="USD"/>
    <n v="177600"/>
    <s v="Accountant"/>
    <x v="5"/>
    <s v="Lesotho"/>
    <x v="97"/>
    <x v="0"/>
    <n v="6"/>
  </r>
  <r>
    <s v="ID1597"/>
    <d v="2012-06-01T19:42:46"/>
    <n v="650000"/>
    <s v="INR"/>
    <n v="11575.14584683767"/>
    <s v="Associate"/>
    <x v="0"/>
    <s v="India"/>
    <x v="0"/>
    <x v="0"/>
    <n v="5"/>
  </r>
  <r>
    <s v="ID1598"/>
    <d v="2012-06-01T19:46:33"/>
    <n v="21000"/>
    <s v="EUR"/>
    <n v="26678.388218823762"/>
    <s v="Coordenador PeÃ§as Grupo"/>
    <x v="3"/>
    <s v="Portugal"/>
    <x v="7"/>
    <x v="0"/>
    <n v="10"/>
  </r>
  <r>
    <s v="ID1600"/>
    <d v="2012-06-01T19:57:45"/>
    <n v="80000"/>
    <s v="GBP"/>
    <n v="126094.26176538273"/>
    <s v="Owner of Business Improvement Consultancy"/>
    <x v="8"/>
    <s v="UK"/>
    <x v="14"/>
    <x v="0"/>
    <n v="12"/>
  </r>
  <r>
    <s v="ID1601"/>
    <d v="2012-06-01T20:12:22"/>
    <n v="6000"/>
    <s v="USD"/>
    <n v="6000"/>
    <s v="Business Analyst"/>
    <x v="0"/>
    <s v="India"/>
    <x v="0"/>
    <x v="0"/>
    <n v="2"/>
  </r>
  <r>
    <s v="ID1602"/>
    <d v="2012-06-01T20:27:23"/>
    <n v="10000"/>
    <s v="USD"/>
    <n v="10000"/>
    <s v="MIS"/>
    <x v="7"/>
    <s v="India"/>
    <x v="0"/>
    <x v="1"/>
    <n v="6"/>
  </r>
  <r>
    <s v="ID1603"/>
    <d v="2012-06-01T20:37:53"/>
    <n v="50000"/>
    <s v="USD"/>
    <n v="50000"/>
    <s v="Sales Operations Analyst"/>
    <x v="0"/>
    <s v="USA"/>
    <x v="2"/>
    <x v="1"/>
    <n v="2"/>
  </r>
  <r>
    <s v="ID1604"/>
    <d v="2012-06-01T20:38:57"/>
    <n v="10000"/>
    <s v="USD"/>
    <n v="10000"/>
    <s v="dgm"/>
    <x v="3"/>
    <s v="India"/>
    <x v="0"/>
    <x v="1"/>
    <n v="12"/>
  </r>
  <r>
    <s v="ID1605"/>
    <d v="2012-06-01T20:53:08"/>
    <n v="50000"/>
    <s v="USD"/>
    <n v="50000"/>
    <s v="Catalog Circulation Analyst"/>
    <x v="0"/>
    <s v="USA"/>
    <x v="2"/>
    <x v="1"/>
    <n v="12"/>
  </r>
  <r>
    <s v="ID1606"/>
    <d v="2012-06-01T22:20:26"/>
    <n v="20000"/>
    <s v="USD"/>
    <n v="20000"/>
    <s v="Manager"/>
    <x v="3"/>
    <s v="India"/>
    <x v="0"/>
    <x v="0"/>
    <n v="1"/>
  </r>
  <r>
    <s v="ID1607"/>
    <d v="2012-06-01T23:29:43"/>
    <n v="20000"/>
    <s v="GBP"/>
    <n v="31523.565441345683"/>
    <s v="Operations Analyst"/>
    <x v="0"/>
    <s v="UK"/>
    <x v="14"/>
    <x v="1"/>
    <n v="3"/>
  </r>
  <r>
    <s v="ID1608"/>
    <d v="2012-06-02T01:29:04"/>
    <n v="50000"/>
    <s v="EUR"/>
    <n v="63519.971949580387"/>
    <s v="Controller"/>
    <x v="1"/>
    <s v="Netherlands"/>
    <x v="18"/>
    <x v="0"/>
    <n v="10"/>
  </r>
  <r>
    <s v="ID1609"/>
    <d v="2012-06-02T01:43:24"/>
    <n v="27600"/>
    <s v="EUR"/>
    <n v="35063.024516168378"/>
    <s v="controller"/>
    <x v="1"/>
    <s v="Hungary"/>
    <x v="9"/>
    <x v="1"/>
    <n v="15"/>
  </r>
  <r>
    <s v="ID1610"/>
    <d v="2012-06-02T02:24:39"/>
    <n v="55000"/>
    <s v="USD"/>
    <n v="55000"/>
    <s v="Business Analyst"/>
    <x v="0"/>
    <s v="USA"/>
    <x v="2"/>
    <x v="0"/>
    <n v="2"/>
  </r>
  <r>
    <s v="ID1611"/>
    <d v="2012-06-02T02:28:30"/>
    <n v="38000"/>
    <s v="USD"/>
    <n v="38000"/>
    <s v="Business Analyst"/>
    <x v="0"/>
    <s v="USA"/>
    <x v="2"/>
    <x v="1"/>
    <n v="1"/>
  </r>
  <r>
    <s v="ID1612"/>
    <d v="2012-06-02T03:08:50"/>
    <n v="1800000"/>
    <s v="INR"/>
    <n v="32054.250037396621"/>
    <s v="analyst"/>
    <x v="0"/>
    <s v="India"/>
    <x v="0"/>
    <x v="1"/>
    <n v="1"/>
  </r>
  <r>
    <s v="ID1613"/>
    <d v="2012-06-02T03:13:57"/>
    <n v="35500"/>
    <s v="USD"/>
    <n v="35500"/>
    <s v="SAS Adminstrator"/>
    <x v="0"/>
    <s v="USA"/>
    <x v="2"/>
    <x v="0"/>
    <n v="20"/>
  </r>
  <r>
    <s v="ID1614"/>
    <d v="2012-06-02T03:23:09"/>
    <n v="62000"/>
    <s v="USD"/>
    <n v="62000"/>
    <s v="Financial Analyst"/>
    <x v="0"/>
    <s v="USA"/>
    <x v="2"/>
    <x v="2"/>
    <n v="5"/>
  </r>
  <r>
    <s v="ID1615"/>
    <d v="2012-06-02T03:29:19"/>
    <n v="21500"/>
    <s v="GBP"/>
    <n v="33887.832849446611"/>
    <s v="Data Analyst"/>
    <x v="0"/>
    <s v="UK"/>
    <x v="14"/>
    <x v="1"/>
    <n v="1"/>
  </r>
  <r>
    <s v="ID1616"/>
    <d v="2012-06-02T04:49:42"/>
    <n v="60000"/>
    <s v="USD"/>
    <n v="60000"/>
    <s v="Data Analyst"/>
    <x v="0"/>
    <s v="USA"/>
    <x v="2"/>
    <x v="2"/>
    <n v="1"/>
  </r>
  <r>
    <s v="ID1617"/>
    <d v="2012-06-02T06:21:45"/>
    <n v="32884"/>
    <s v="USD"/>
    <n v="32884"/>
    <s v="Administrative Assistant"/>
    <x v="0"/>
    <s v="USA"/>
    <x v="2"/>
    <x v="1"/>
    <n v="10"/>
  </r>
  <r>
    <s v="ID1618"/>
    <d v="2012-06-02T06:31:21"/>
    <n v="42000"/>
    <s v="USD"/>
    <n v="42000"/>
    <s v="production clerk"/>
    <x v="0"/>
    <s v="USA"/>
    <x v="2"/>
    <x v="0"/>
    <n v="2"/>
  </r>
  <r>
    <s v="ID1619"/>
    <d v="2012-06-02T06:43:25"/>
    <n v="68000"/>
    <s v="USD"/>
    <n v="68000"/>
    <s v="Supply Chain Analyst"/>
    <x v="0"/>
    <s v="USA"/>
    <x v="2"/>
    <x v="0"/>
    <n v="12"/>
  </r>
  <r>
    <s v="ID1620"/>
    <d v="2012-06-02T07:42:02"/>
    <n v="85000"/>
    <s v="USD"/>
    <n v="85000"/>
    <s v="Senior Accountant"/>
    <x v="5"/>
    <s v="USA"/>
    <x v="2"/>
    <x v="2"/>
    <n v="8"/>
  </r>
  <r>
    <s v="ID1621"/>
    <d v="2012-06-02T11:11:18"/>
    <n v="13000"/>
    <s v="USD"/>
    <n v="13000"/>
    <s v="Dss Analyst"/>
    <x v="0"/>
    <s v="Brazil"/>
    <x v="24"/>
    <x v="1"/>
    <n v="4"/>
  </r>
  <r>
    <s v="ID1623"/>
    <d v="2012-06-02T13:58:46"/>
    <n v="15000"/>
    <s v="USD"/>
    <n v="15000"/>
    <s v="Business Analysis &amp; MIS "/>
    <x v="0"/>
    <s v="India"/>
    <x v="0"/>
    <x v="0"/>
    <n v="5"/>
  </r>
  <r>
    <s v="ID1624"/>
    <d v="2012-06-02T17:34:20"/>
    <n v="50000"/>
    <s v="USD"/>
    <n v="50000"/>
    <s v="Associate Vice President"/>
    <x v="4"/>
    <s v="India"/>
    <x v="0"/>
    <x v="3"/>
    <n v="8"/>
  </r>
  <r>
    <s v="ID1625"/>
    <d v="2012-06-02T18:47:32"/>
    <n v="7000"/>
    <s v="USD"/>
    <n v="7000"/>
    <s v="M.I.S"/>
    <x v="7"/>
    <s v="India"/>
    <x v="0"/>
    <x v="0"/>
    <n v="1"/>
  </r>
  <r>
    <s v="ID1626"/>
    <d v="2012-06-02T19:14:35"/>
    <n v="140000"/>
    <s v="USD"/>
    <n v="140000"/>
    <s v="sr manager"/>
    <x v="3"/>
    <s v="USA"/>
    <x v="2"/>
    <x v="0"/>
    <n v="12"/>
  </r>
  <r>
    <s v="ID1627"/>
    <d v="2012-06-02T20:50:40"/>
    <n v="400000"/>
    <s v="INR"/>
    <n v="7123.1666749770275"/>
    <s v="application dev"/>
    <x v="0"/>
    <s v="India"/>
    <x v="0"/>
    <x v="3"/>
    <n v="2.5"/>
  </r>
  <r>
    <s v="ID1628"/>
    <d v="2012-06-02T20:52:59"/>
    <n v="37000"/>
    <s v="GBP"/>
    <n v="58318.59606648951"/>
    <s v="Technical Web Analyst"/>
    <x v="0"/>
    <s v="UK"/>
    <x v="14"/>
    <x v="0"/>
    <n v="9"/>
  </r>
  <r>
    <s v="ID1629"/>
    <d v="2012-06-02T21:42:42"/>
    <n v="680000"/>
    <s v="INR"/>
    <n v="12109.383347460946"/>
    <s v="Deputy Manager"/>
    <x v="3"/>
    <s v="India"/>
    <x v="0"/>
    <x v="3"/>
    <n v="2"/>
  </r>
  <r>
    <s v="ID1630"/>
    <d v="2012-06-02T22:33:32"/>
    <n v="55000"/>
    <s v="USD"/>
    <n v="55000"/>
    <s v="Supply Chain Analyst"/>
    <x v="0"/>
    <s v="USA"/>
    <x v="2"/>
    <x v="0"/>
    <n v="1"/>
  </r>
  <r>
    <s v="ID1631"/>
    <d v="2012-06-02T22:38:56"/>
    <n v="60000"/>
    <s v="USD"/>
    <n v="60000"/>
    <s v="Head of Business"/>
    <x v="3"/>
    <s v="Indonesia"/>
    <x v="56"/>
    <x v="2"/>
    <n v="16"/>
  </r>
  <r>
    <s v="ID1632"/>
    <d v="2012-06-03T01:33:57"/>
    <n v="320000"/>
    <s v="INR"/>
    <n v="5698.5333399816218"/>
    <s v="senior executive"/>
    <x v="3"/>
    <s v="India"/>
    <x v="0"/>
    <x v="0"/>
    <n v="5"/>
  </r>
  <r>
    <s v="ID1633"/>
    <d v="2012-06-03T01:36:43"/>
    <n v="288000"/>
    <s v="MUR"/>
    <n v="9376.2513877177607"/>
    <s v="IT Support Engineer"/>
    <x v="2"/>
    <s v="Mauritius"/>
    <x v="98"/>
    <x v="0"/>
    <n v="7"/>
  </r>
  <r>
    <s v="ID1634"/>
    <d v="2012-06-03T02:06:44"/>
    <n v="60000"/>
    <s v="GBP"/>
    <n v="94570.696324037053"/>
    <s v="Data Analyst"/>
    <x v="0"/>
    <s v="UK"/>
    <x v="14"/>
    <x v="0"/>
    <n v="5"/>
  </r>
  <r>
    <s v="ID1635"/>
    <d v="2012-06-03T02:54:32"/>
    <n v="36000"/>
    <s v="USD"/>
    <n v="36000"/>
    <s v="Environmental Adviser"/>
    <x v="8"/>
    <s v="Azerbaijan"/>
    <x v="99"/>
    <x v="0"/>
    <n v="5"/>
  </r>
  <r>
    <s v="ID1636"/>
    <d v="2012-06-03T04:14:45"/>
    <n v="3700000"/>
    <s v="INR"/>
    <n v="65889.291743537498"/>
    <s v="Senior Officer"/>
    <x v="3"/>
    <s v="India"/>
    <x v="0"/>
    <x v="1"/>
    <n v="4"/>
  </r>
  <r>
    <s v="ID1637"/>
    <d v="2012-06-03T04:42:54"/>
    <n v="106000"/>
    <s v="USD"/>
    <n v="106000"/>
    <s v="IT Developer"/>
    <x v="0"/>
    <s v="Denmark"/>
    <x v="62"/>
    <x v="3"/>
    <n v="7"/>
  </r>
  <r>
    <s v="ID1638"/>
    <d v="2012-06-03T07:16:47"/>
    <n v="485000"/>
    <s v="DKK"/>
    <n v="82888.5550559455"/>
    <s v="Controller"/>
    <x v="1"/>
    <s v="Denmark"/>
    <x v="62"/>
    <x v="0"/>
    <n v="18"/>
  </r>
  <r>
    <s v="ID1639"/>
    <d v="2012-06-03T09:42:40"/>
    <n v="75000"/>
    <s v="NZD"/>
    <n v="59819.107020370408"/>
    <s v="business support analyst"/>
    <x v="0"/>
    <s v="New zealand"/>
    <x v="49"/>
    <x v="2"/>
    <n v="10"/>
  </r>
  <r>
    <s v="ID1640"/>
    <d v="2012-06-03T10:10:43"/>
    <n v="6545"/>
    <s v="USD"/>
    <n v="6545"/>
    <s v="Operations"/>
    <x v="3"/>
    <s v="India"/>
    <x v="0"/>
    <x v="1"/>
    <n v="9"/>
  </r>
  <r>
    <s v="ID1641"/>
    <d v="2012-06-03T12:09:27"/>
    <n v="1000000"/>
    <s v="INR"/>
    <n v="17807.916687442568"/>
    <s v="Category Manager"/>
    <x v="3"/>
    <s v="India"/>
    <x v="0"/>
    <x v="2"/>
    <n v="13"/>
  </r>
  <r>
    <s v="ID1642"/>
    <d v="2012-06-03T12:16:15"/>
    <n v="54000"/>
    <s v="USD"/>
    <n v="54000"/>
    <s v="assistant director of finance"/>
    <x v="4"/>
    <s v="USA"/>
    <x v="2"/>
    <x v="0"/>
    <n v="10"/>
  </r>
  <r>
    <s v="ID1643"/>
    <d v="2012-06-03T12:27:07"/>
    <n v="100000"/>
    <s v="USD"/>
    <n v="100000"/>
    <s v="Consultant"/>
    <x v="8"/>
    <s v="USA"/>
    <x v="2"/>
    <x v="2"/>
    <n v="4"/>
  </r>
  <r>
    <s v="ID1644"/>
    <d v="2012-06-03T13:30:47"/>
    <n v="50000"/>
    <s v="CAD"/>
    <n v="49168.076151516347"/>
    <s v="Application Developer"/>
    <x v="0"/>
    <s v="Canada"/>
    <x v="17"/>
    <x v="0"/>
    <n v="5"/>
  </r>
  <r>
    <s v="ID1645"/>
    <d v="2012-06-03T14:27:29"/>
    <n v="4019"/>
    <s v="USD"/>
    <n v="4019"/>
    <s v="Clinical Intake Specialist"/>
    <x v="6"/>
    <s v="Philippines"/>
    <x v="33"/>
    <x v="2"/>
    <n v="3"/>
  </r>
  <r>
    <s v="ID1646"/>
    <d v="2012-06-03T14:34:56"/>
    <n v="15000"/>
    <s v="USD"/>
    <n v="15000"/>
    <s v="Marketing services"/>
    <x v="0"/>
    <s v="Pakistan"/>
    <x v="3"/>
    <x v="0"/>
    <n v="5"/>
  </r>
  <r>
    <s v="ID1647"/>
    <d v="2012-06-03T14:52:21"/>
    <n v="1000000"/>
    <s v="INR"/>
    <n v="17807.916687442568"/>
    <s v="Senior Associate, Finance"/>
    <x v="0"/>
    <s v="India"/>
    <x v="0"/>
    <x v="1"/>
    <n v="4"/>
  </r>
  <r>
    <s v="ID1648"/>
    <d v="2012-06-03T16:48:54"/>
    <n v="12000"/>
    <s v="USD"/>
    <n v="12000"/>
    <s v="MIS "/>
    <x v="7"/>
    <s v="India"/>
    <x v="0"/>
    <x v="1"/>
    <n v="3"/>
  </r>
  <r>
    <s v="ID1649"/>
    <d v="2012-06-03T17:39:14"/>
    <n v="125000"/>
    <s v="INR"/>
    <n v="2225.989585930321"/>
    <s v="No"/>
    <x v="0"/>
    <s v="India"/>
    <x v="0"/>
    <x v="2"/>
    <n v="4"/>
  </r>
  <r>
    <s v="ID1650"/>
    <d v="2012-06-03T19:40:18"/>
    <n v="86000"/>
    <s v="USD"/>
    <n v="86000"/>
    <s v="Analyst"/>
    <x v="0"/>
    <s v="Philippines"/>
    <x v="33"/>
    <x v="1"/>
    <n v="3"/>
  </r>
  <r>
    <s v="ID1651"/>
    <d v="2012-06-04T01:45:03"/>
    <n v="340000"/>
    <s v="INR"/>
    <n v="6054.6916737304728"/>
    <s v="Assistant Manager"/>
    <x v="3"/>
    <s v="India"/>
    <x v="0"/>
    <x v="0"/>
    <n v="5"/>
  </r>
  <r>
    <s v="ID1652"/>
    <d v="2012-06-04T02:03:53"/>
    <n v="3360"/>
    <s v="USD"/>
    <n v="3360"/>
    <s v="service executive"/>
    <x v="0"/>
    <s v="India"/>
    <x v="0"/>
    <x v="3"/>
    <n v="3"/>
  </r>
  <r>
    <s v="ID1653"/>
    <d v="2012-06-04T02:30:11"/>
    <n v="10000"/>
    <s v="USD"/>
    <n v="10000"/>
    <s v="ceo"/>
    <x v="4"/>
    <s v="India"/>
    <x v="0"/>
    <x v="1"/>
    <n v="1"/>
  </r>
  <r>
    <s v="ID1654"/>
    <d v="2012-06-04T04:31:53"/>
    <n v="70000"/>
    <s v="USD"/>
    <n v="70000"/>
    <s v="Sr financial analyst"/>
    <x v="0"/>
    <s v="USA"/>
    <x v="2"/>
    <x v="0"/>
    <n v="9"/>
  </r>
  <r>
    <s v="ID1655"/>
    <d v="2012-06-04T09:49:44"/>
    <n v="155000"/>
    <s v="USD"/>
    <n v="155000"/>
    <s v="Consulting Practice Manager"/>
    <x v="3"/>
    <s v="USA"/>
    <x v="2"/>
    <x v="3"/>
    <n v="14"/>
  </r>
  <r>
    <s v="ID1656"/>
    <d v="2012-06-04T10:23:27"/>
    <n v="225000"/>
    <s v="USD"/>
    <n v="225000"/>
    <s v="SVP of Acquisitions"/>
    <x v="4"/>
    <s v="USA"/>
    <x v="2"/>
    <x v="0"/>
    <n v="15"/>
  </r>
  <r>
    <s v="ID1657"/>
    <d v="2012-06-04T12:22:05"/>
    <n v="10000"/>
    <s v="USD"/>
    <n v="10000"/>
    <s v="MIS Executive"/>
    <x v="7"/>
    <s v="India"/>
    <x v="0"/>
    <x v="1"/>
    <n v="2"/>
  </r>
  <r>
    <s v="ID1658"/>
    <d v="2012-06-04T12:58:06"/>
    <n v="300000"/>
    <s v="INR"/>
    <n v="5342.3750062327708"/>
    <s v="Store Inventory"/>
    <x v="0"/>
    <s v="India"/>
    <x v="0"/>
    <x v="0"/>
    <n v="8"/>
  </r>
  <r>
    <s v="ID1659"/>
    <d v="2012-06-04T13:30:51"/>
    <n v="84000"/>
    <s v="AUD"/>
    <n v="85672.4111378214"/>
    <s v="consultant"/>
    <x v="8"/>
    <s v="Australia"/>
    <x v="16"/>
    <x v="0"/>
    <n v="6"/>
  </r>
  <r>
    <s v="ID1660"/>
    <d v="2012-06-04T14:25:45"/>
    <n v="240000"/>
    <s v="INR"/>
    <n v="4273.9000049862161"/>
    <s v="Exicutive TQM"/>
    <x v="1"/>
    <s v="India"/>
    <x v="0"/>
    <x v="2"/>
    <n v="15"/>
  </r>
  <r>
    <s v="ID1661"/>
    <d v="2012-06-04T16:31:09"/>
    <n v="500000"/>
    <s v="INR"/>
    <n v="8903.9583437212841"/>
    <s v="Team Leader"/>
    <x v="3"/>
    <s v="India"/>
    <x v="0"/>
    <x v="1"/>
    <n v="20"/>
  </r>
  <r>
    <s v="ID1662"/>
    <d v="2012-06-04T18:03:21"/>
    <n v="42000"/>
    <s v="GBP"/>
    <n v="66199.48742682593"/>
    <s v="Management Accountant"/>
    <x v="3"/>
    <s v="UK"/>
    <x v="14"/>
    <x v="0"/>
    <n v="23"/>
  </r>
  <r>
    <s v="ID1663"/>
    <d v="2012-06-04T18:55:54"/>
    <n v="320000"/>
    <s v="INR"/>
    <n v="5698.5333399816218"/>
    <s v="Research Associate"/>
    <x v="0"/>
    <s v="India"/>
    <x v="0"/>
    <x v="0"/>
    <n v="2.5"/>
  </r>
  <r>
    <s v="ID1664"/>
    <d v="2012-06-04T19:11:18"/>
    <n v="22000"/>
    <s v="GBP"/>
    <n v="34675.92198548025"/>
    <s v="Supply/Demand Planner"/>
    <x v="3"/>
    <s v="UK"/>
    <x v="14"/>
    <x v="0"/>
    <n v="17"/>
  </r>
  <r>
    <s v="ID1665"/>
    <d v="2012-06-04T19:46:09"/>
    <n v="31200"/>
    <s v="USD"/>
    <n v="31200"/>
    <s v="Economist"/>
    <x v="7"/>
    <s v="ISRAEL"/>
    <x v="35"/>
    <x v="1"/>
    <n v="11"/>
  </r>
  <r>
    <s v="ID1666"/>
    <d v="2012-06-04T21:43:15"/>
    <n v="56000"/>
    <s v="CAD"/>
    <n v="55068.245289698301"/>
    <s v="consultant"/>
    <x v="8"/>
    <s v="Canada"/>
    <x v="17"/>
    <x v="1"/>
    <n v="1"/>
  </r>
  <r>
    <s v="ID1667"/>
    <d v="2012-06-04T22:16:00"/>
    <n v="13000"/>
    <s v="USD"/>
    <n v="13000"/>
    <s v="logistics analyst"/>
    <x v="0"/>
    <s v="Slovakia"/>
    <x v="100"/>
    <x v="1"/>
    <n v="6"/>
  </r>
  <r>
    <s v="ID1668"/>
    <d v="2012-06-04T23:00:10"/>
    <n v="92000"/>
    <s v="USD"/>
    <n v="92000"/>
    <s v="BI director"/>
    <x v="7"/>
    <s v="USA"/>
    <x v="2"/>
    <x v="2"/>
    <n v="12"/>
  </r>
  <r>
    <s v="ID1669"/>
    <d v="2012-06-04T23:18:41"/>
    <n v="85000"/>
    <s v="USD"/>
    <n v="85000"/>
    <s v="Sr Manager"/>
    <x v="3"/>
    <s v="USA"/>
    <x v="2"/>
    <x v="1"/>
    <n v="10"/>
  </r>
  <r>
    <s v="ID1670"/>
    <d v="2012-06-04T23:38:42"/>
    <n v="11000"/>
    <s v="USD"/>
    <n v="11000"/>
    <s v="Dataminer"/>
    <x v="0"/>
    <s v="Tunisia"/>
    <x v="101"/>
    <x v="0"/>
    <n v="8"/>
  </r>
  <r>
    <s v="ID1671"/>
    <d v="2012-06-04T23:38:47"/>
    <n v="30000"/>
    <s v="EUR"/>
    <n v="38111.983169748237"/>
    <s v="Safety technician"/>
    <x v="0"/>
    <s v="Spain"/>
    <x v="48"/>
    <x v="3"/>
    <n v="12"/>
  </r>
  <r>
    <s v="ID1672"/>
    <d v="2012-06-04T23:41:47"/>
    <n v="49000"/>
    <s v="USD"/>
    <n v="49000"/>
    <s v="Marketing Data Analyst"/>
    <x v="0"/>
    <s v="USA"/>
    <x v="2"/>
    <x v="2"/>
    <n v="3"/>
  </r>
  <r>
    <s v="ID1673"/>
    <d v="2012-06-05T00:22:14"/>
    <n v="59000"/>
    <s v="USD"/>
    <n v="59000"/>
    <s v="Category Leader"/>
    <x v="3"/>
    <s v="USA"/>
    <x v="2"/>
    <x v="3"/>
    <n v="3"/>
  </r>
  <r>
    <s v="ID1674"/>
    <d v="2012-06-05T02:03:48"/>
    <n v="55000"/>
    <s v="USD"/>
    <n v="55000"/>
    <s v="Customer Sales Analyst"/>
    <x v="0"/>
    <s v="USA"/>
    <x v="2"/>
    <x v="0"/>
    <n v="15"/>
  </r>
  <r>
    <s v="ID1675"/>
    <d v="2012-06-05T02:21:01"/>
    <n v="75000"/>
    <s v="USD"/>
    <n v="75000"/>
    <s v="Accountant"/>
    <x v="5"/>
    <s v="USA"/>
    <x v="2"/>
    <x v="0"/>
    <n v="10"/>
  </r>
  <r>
    <s v="ID1677"/>
    <d v="2012-06-05T03:50:02"/>
    <n v="39600"/>
    <s v="EUR"/>
    <n v="50307.817784067665"/>
    <s v="Maintenance Manager"/>
    <x v="3"/>
    <s v="Europe"/>
    <x v="89"/>
    <x v="3"/>
    <n v="5"/>
  </r>
  <r>
    <s v="ID1678"/>
    <d v="2012-06-05T03:55:36"/>
    <n v="30500"/>
    <s v="USD"/>
    <n v="30500"/>
    <s v="Financial Analyst"/>
    <x v="0"/>
    <s v="Brazil"/>
    <x v="24"/>
    <x v="1"/>
    <n v="8"/>
  </r>
  <r>
    <s v="ID1679"/>
    <d v="2012-06-05T04:06:09"/>
    <n v="80000"/>
    <s v="USD"/>
    <n v="80000"/>
    <s v="Data Resource Specialist"/>
    <x v="6"/>
    <s v="USA"/>
    <x v="2"/>
    <x v="2"/>
    <n v="2"/>
  </r>
  <r>
    <s v="ID1680"/>
    <d v="2012-06-05T05:03:04"/>
    <n v="12000"/>
    <s v="USD"/>
    <n v="12000"/>
    <s v="Waiter"/>
    <x v="0"/>
    <s v="USA"/>
    <x v="2"/>
    <x v="2"/>
    <n v="1"/>
  </r>
  <r>
    <s v="ID1681"/>
    <d v="2012-06-05T05:03:20"/>
    <n v="48500"/>
    <s v="USD"/>
    <n v="48500"/>
    <s v="Business Systems Analyst I"/>
    <x v="0"/>
    <s v="USA"/>
    <x v="2"/>
    <x v="0"/>
    <n v="6"/>
  </r>
  <r>
    <s v="ID1682"/>
    <d v="2012-06-05T06:51:36"/>
    <n v="40000"/>
    <s v="GBP"/>
    <n v="63047.130882691366"/>
    <s v="Technical Specialist"/>
    <x v="6"/>
    <s v="UK"/>
    <x v="14"/>
    <x v="2"/>
    <n v="25"/>
  </r>
  <r>
    <s v="ID1683"/>
    <d v="2012-06-05T07:05:12"/>
    <n v="192000"/>
    <s v="INR"/>
    <n v="3419.1200039889732"/>
    <s v="Sr Associate"/>
    <x v="0"/>
    <s v="India"/>
    <x v="0"/>
    <x v="0"/>
    <n v="5"/>
  </r>
  <r>
    <s v="ID1684"/>
    <d v="2012-06-05T10:43:34"/>
    <n v="110000"/>
    <s v="NZD"/>
    <n v="87734.690296543267"/>
    <s v="Enterprise Portfolio Manager"/>
    <x v="3"/>
    <s v="New Zealand"/>
    <x v="49"/>
    <x v="0"/>
    <n v="6"/>
  </r>
  <r>
    <s v="ID1685"/>
    <d v="2012-06-05T12:42:38"/>
    <n v="71000"/>
    <s v="NZD"/>
    <n v="56628.754645950656"/>
    <s v="Business Analyst"/>
    <x v="0"/>
    <s v="NZ"/>
    <x v="49"/>
    <x v="1"/>
    <n v="6"/>
  </r>
  <r>
    <s v="ID1686"/>
    <d v="2012-06-05T17:59:39"/>
    <n v="450000"/>
    <s v="INR"/>
    <n v="8013.5625093491553"/>
    <s v="Sr Executive - MIS"/>
    <x v="7"/>
    <s v="India"/>
    <x v="0"/>
    <x v="1"/>
    <n v="4"/>
  </r>
  <r>
    <s v="ID1687"/>
    <d v="2012-06-05T18:31:59"/>
    <n v="200000"/>
    <s v="INR"/>
    <n v="3561.5833374885137"/>
    <s v="Executive"/>
    <x v="0"/>
    <s v="India"/>
    <x v="0"/>
    <x v="3"/>
    <n v="16"/>
  </r>
  <r>
    <s v="ID1688"/>
    <d v="2012-06-05T19:14:04"/>
    <n v="62000"/>
    <s v="USD"/>
    <n v="62000"/>
    <s v="Quality Engineer"/>
    <x v="2"/>
    <s v="USA"/>
    <x v="2"/>
    <x v="2"/>
    <n v="12"/>
  </r>
  <r>
    <s v="ID1689"/>
    <d v="2012-06-05T19:16:03"/>
    <n v="21000"/>
    <s v="EUR"/>
    <n v="26678.388218823762"/>
    <s v="Sales Planning"/>
    <x v="0"/>
    <s v="Portugal"/>
    <x v="7"/>
    <x v="0"/>
    <n v="5"/>
  </r>
  <r>
    <s v="ID1690"/>
    <d v="2012-06-05T19:37:13"/>
    <n v="45000"/>
    <s v="GBP"/>
    <n v="70928.022243027779"/>
    <s v="Data Analyst"/>
    <x v="0"/>
    <s v="UK"/>
    <x v="14"/>
    <x v="1"/>
    <n v="5"/>
  </r>
  <r>
    <s v="ID1691"/>
    <d v="2012-06-05T19:59:35"/>
    <n v="33000"/>
    <s v="EUR"/>
    <n v="41923.181486723057"/>
    <s v="assistant"/>
    <x v="0"/>
    <s v="france"/>
    <x v="19"/>
    <x v="0"/>
    <n v="6"/>
  </r>
  <r>
    <s v="ID1692"/>
    <d v="2012-06-05T20:43:21"/>
    <n v="90000"/>
    <s v="USD"/>
    <n v="90000"/>
    <s v="Senior QA Tester"/>
    <x v="0"/>
    <s v="USA"/>
    <x v="2"/>
    <x v="2"/>
    <n v="8"/>
  </r>
  <r>
    <s v="ID1693"/>
    <d v="2012-06-05T21:07:16"/>
    <n v="400000"/>
    <s v="NOK"/>
    <n v="67700.452577525488"/>
    <s v="Economic analyst"/>
    <x v="0"/>
    <s v="Norway"/>
    <x v="47"/>
    <x v="1"/>
    <n v="5"/>
  </r>
  <r>
    <s v="ID1694"/>
    <d v="2012-06-05T21:33:47"/>
    <n v="85000"/>
    <s v="USD"/>
    <n v="85000"/>
    <s v="Financial Analyst"/>
    <x v="0"/>
    <s v="USA"/>
    <x v="2"/>
    <x v="0"/>
    <n v="12"/>
  </r>
  <r>
    <s v="ID1695"/>
    <d v="2012-06-05T21:49:10"/>
    <n v="50000"/>
    <s v="GBP"/>
    <n v="78808.913603364199"/>
    <s v="Commercial Director"/>
    <x v="4"/>
    <s v="UK"/>
    <x v="14"/>
    <x v="0"/>
    <n v="10"/>
  </r>
  <r>
    <s v="ID1696"/>
    <d v="2012-06-05T21:59:40"/>
    <n v="65000"/>
    <s v="USD"/>
    <n v="65000"/>
    <s v="Business Analyst"/>
    <x v="0"/>
    <s v="USA"/>
    <x v="2"/>
    <x v="0"/>
    <n v="8"/>
  </r>
  <r>
    <s v="ID1697"/>
    <d v="2012-06-05T22:05:10"/>
    <n v="75000"/>
    <s v="USD"/>
    <n v="75000"/>
    <s v="Directer of Sales Support"/>
    <x v="4"/>
    <s v="USA"/>
    <x v="2"/>
    <x v="2"/>
    <n v="3"/>
  </r>
  <r>
    <s v="ID1698"/>
    <d v="2012-06-05T22:44:27"/>
    <n v="92000"/>
    <s v="USD"/>
    <n v="92000"/>
    <s v="Anallyst"/>
    <x v="0"/>
    <s v="USA"/>
    <x v="2"/>
    <x v="0"/>
    <n v="9"/>
  </r>
  <r>
    <s v="ID1699"/>
    <d v="2012-06-05T22:50:20"/>
    <n v="40000"/>
    <s v="EUR"/>
    <n v="50815.977559664309"/>
    <s v="Financial Analyst"/>
    <x v="0"/>
    <s v="Germany"/>
    <x v="5"/>
    <x v="2"/>
    <n v="3"/>
  </r>
  <r>
    <s v="ID1700"/>
    <d v="2012-06-05T23:09:44"/>
    <n v="35500"/>
    <s v="GBP"/>
    <n v="55954.328658388586"/>
    <s v="Assistant Accountant"/>
    <x v="5"/>
    <s v="UK"/>
    <x v="14"/>
    <x v="0"/>
    <n v="8"/>
  </r>
  <r>
    <s v="ID1701"/>
    <d v="2012-06-06T00:49:15"/>
    <n v="45000"/>
    <s v="USD"/>
    <n v="45000"/>
    <s v="Bussiness Analyst"/>
    <x v="0"/>
    <s v="USA"/>
    <x v="2"/>
    <x v="2"/>
    <n v="4"/>
  </r>
  <r>
    <s v="ID1702"/>
    <d v="2012-06-06T01:04:35"/>
    <n v="400000"/>
    <s v="INR"/>
    <n v="7123.1666749770275"/>
    <s v="Analyst"/>
    <x v="0"/>
    <s v="India"/>
    <x v="0"/>
    <x v="0"/>
    <n v="4"/>
  </r>
  <r>
    <s v="ID1703"/>
    <d v="2012-06-06T01:26:56"/>
    <n v="38920"/>
    <s v="EUR"/>
    <n v="49443.946165553374"/>
    <s v="functional analyst"/>
    <x v="0"/>
    <s v="Belgium"/>
    <x v="12"/>
    <x v="0"/>
    <n v="1.5"/>
  </r>
  <r>
    <s v="ID1704"/>
    <d v="2012-06-06T01:41:40"/>
    <n v="45000"/>
    <s v="USD"/>
    <n v="45000"/>
    <s v="CFO"/>
    <x v="4"/>
    <s v="Mexico"/>
    <x v="26"/>
    <x v="0"/>
    <n v="5"/>
  </r>
  <r>
    <s v="ID1705"/>
    <d v="2012-06-06T02:11:58"/>
    <n v="60000"/>
    <s v="USD"/>
    <n v="60000"/>
    <s v="Analyst"/>
    <x v="0"/>
    <s v="USA"/>
    <x v="2"/>
    <x v="1"/>
    <n v="1"/>
  </r>
  <r>
    <s v="ID1706"/>
    <d v="2012-06-06T02:17:14"/>
    <n v="65000"/>
    <s v="USD"/>
    <n v="65000"/>
    <s v="Actuarial Analyst"/>
    <x v="0"/>
    <s v="USA"/>
    <x v="2"/>
    <x v="1"/>
    <n v="4"/>
  </r>
  <r>
    <s v="ID1707"/>
    <d v="2012-06-06T03:14:56"/>
    <n v="73000"/>
    <s v="USD"/>
    <n v="73000"/>
    <s v="process coordinator"/>
    <x v="3"/>
    <s v="USA"/>
    <x v="2"/>
    <x v="2"/>
    <n v="6"/>
  </r>
  <r>
    <s v="ID1708"/>
    <d v="2012-06-06T04:00:52"/>
    <n v="54000"/>
    <s v="USD"/>
    <n v="54000"/>
    <s v="Energy Analyst"/>
    <x v="0"/>
    <s v="USA"/>
    <x v="2"/>
    <x v="1"/>
    <n v="6"/>
  </r>
  <r>
    <s v="ID1710"/>
    <d v="2012-06-06T05:52:59"/>
    <n v="81000"/>
    <s v="USD"/>
    <n v="81000"/>
    <s v="Contact Operations Analyst"/>
    <x v="0"/>
    <s v="USA"/>
    <x v="2"/>
    <x v="0"/>
    <n v="6"/>
  </r>
  <r>
    <s v="ID1711"/>
    <d v="2012-06-06T07:28:48"/>
    <n v="10000"/>
    <s v="USD"/>
    <n v="10000"/>
    <s v="Student assistant"/>
    <x v="0"/>
    <s v="USA"/>
    <x v="2"/>
    <x v="0"/>
    <n v="2"/>
  </r>
  <r>
    <s v="ID1712"/>
    <d v="2012-06-06T08:25:56"/>
    <n v="42000"/>
    <s v="USD"/>
    <n v="42000"/>
    <s v="Staff Accountant"/>
    <x v="5"/>
    <s v="USA"/>
    <x v="2"/>
    <x v="0"/>
    <n v="1"/>
  </r>
  <r>
    <s v="ID1713"/>
    <d v="2012-06-06T09:31:47"/>
    <n v="80000"/>
    <s v="AUD"/>
    <n v="81592.772512210868"/>
    <s v="PPC Search Specialist"/>
    <x v="6"/>
    <s v="Australia"/>
    <x v="16"/>
    <x v="0"/>
    <n v="5"/>
  </r>
  <r>
    <s v="ID1714"/>
    <d v="2012-06-06T11:21:08"/>
    <n v="36000"/>
    <s v="CAD"/>
    <n v="35401.014829091764"/>
    <s v="data organizer"/>
    <x v="0"/>
    <s v="Canada"/>
    <x v="17"/>
    <x v="1"/>
    <n v="2"/>
  </r>
  <r>
    <s v="ID1716"/>
    <d v="2012-06-06T16:03:39"/>
    <n v="500000"/>
    <s v="INR"/>
    <n v="8903.9583437212841"/>
    <s v="Sr. Associate"/>
    <x v="0"/>
    <s v="India"/>
    <x v="0"/>
    <x v="0"/>
    <n v="4"/>
  </r>
  <r>
    <s v="ID1717"/>
    <d v="2012-06-06T17:41:41"/>
    <n v="600000"/>
    <s v="INR"/>
    <n v="10684.750012465542"/>
    <s v="admin"/>
    <x v="0"/>
    <s v="India"/>
    <x v="0"/>
    <x v="1"/>
    <n v="5"/>
  </r>
  <r>
    <s v="ID1718"/>
    <d v="2012-06-06T18:52:03"/>
    <n v="8400"/>
    <s v="USD"/>
    <n v="8400"/>
    <s v="gov employee"/>
    <x v="0"/>
    <s v="indonesia"/>
    <x v="56"/>
    <x v="0"/>
    <n v="14"/>
  </r>
  <r>
    <s v="ID1719"/>
    <d v="2012-06-06T19:39:06"/>
    <n v="550000"/>
    <s v="INR"/>
    <n v="9794.354178093412"/>
    <s v="Accounts manager"/>
    <x v="3"/>
    <s v="India"/>
    <x v="0"/>
    <x v="0"/>
    <n v="13"/>
  </r>
  <r>
    <s v="ID1720"/>
    <d v="2012-06-06T19:54:49"/>
    <n v="14400"/>
    <s v="USD"/>
    <n v="14400"/>
    <s v="Engineer"/>
    <x v="2"/>
    <s v="India"/>
    <x v="0"/>
    <x v="3"/>
    <n v="8"/>
  </r>
  <r>
    <s v="ID1721"/>
    <d v="2012-06-06T20:07:43"/>
    <n v="150000"/>
    <s v="INR"/>
    <n v="2671.1875031163854"/>
    <s v="MIS Executive"/>
    <x v="7"/>
    <s v="India"/>
    <x v="0"/>
    <x v="1"/>
    <n v="3"/>
  </r>
  <r>
    <s v="ID1722"/>
    <d v="2012-06-06T20:41:35"/>
    <n v="22000"/>
    <s v="USD"/>
    <n v="22000"/>
    <s v="Manager (MIS)"/>
    <x v="3"/>
    <s v="India"/>
    <x v="0"/>
    <x v="1"/>
    <n v="6"/>
  </r>
  <r>
    <s v="ID1723"/>
    <d v="2012-06-06T21:18:51"/>
    <n v="100000"/>
    <s v="USD"/>
    <n v="100000"/>
    <s v="financial analyst (real estate)"/>
    <x v="0"/>
    <s v="Russia"/>
    <x v="13"/>
    <x v="1"/>
    <n v="6"/>
  </r>
  <r>
    <s v="ID1724"/>
    <d v="2012-06-06T21:20:38"/>
    <n v="40000"/>
    <s v="GBP"/>
    <n v="63047.130882691366"/>
    <s v="project manager"/>
    <x v="3"/>
    <s v="UK"/>
    <x v="14"/>
    <x v="0"/>
    <n v="15"/>
  </r>
  <r>
    <s v="ID1725"/>
    <d v="2012-06-06T22:14:27"/>
    <n v="36000"/>
    <s v="GBP"/>
    <n v="56742.417794422225"/>
    <s v="contracts officer"/>
    <x v="3"/>
    <s v="UK"/>
    <x v="14"/>
    <x v="3"/>
    <n v="25"/>
  </r>
  <r>
    <s v="ID1726"/>
    <d v="2012-06-06T22:42:16"/>
    <n v="25000"/>
    <s v="USD"/>
    <n v="25000"/>
    <s v="exe"/>
    <x v="0"/>
    <s v="India"/>
    <x v="0"/>
    <x v="1"/>
    <n v="8"/>
  </r>
  <r>
    <s v="ID1727"/>
    <d v="2012-06-07T00:32:24"/>
    <n v="500000"/>
    <s v="INR"/>
    <n v="8903.9583437212841"/>
    <s v="Business Analyst"/>
    <x v="0"/>
    <s v="India"/>
    <x v="0"/>
    <x v="0"/>
    <n v="2"/>
  </r>
  <r>
    <s v="ID1729"/>
    <d v="2012-06-07T06:22:17"/>
    <n v="27000"/>
    <s v="GBP"/>
    <n v="42556.81334581667"/>
    <s v="Network Designer"/>
    <x v="0"/>
    <s v="UK"/>
    <x v="14"/>
    <x v="0"/>
    <n v="2"/>
  </r>
  <r>
    <s v="ID1730"/>
    <d v="2012-06-07T08:36:51"/>
    <n v="134000"/>
    <s v="CAD"/>
    <n v="131770.4440860638"/>
    <s v="Senior Production Accountant"/>
    <x v="5"/>
    <s v="Canada"/>
    <x v="17"/>
    <x v="1"/>
    <n v="20"/>
  </r>
  <r>
    <s v="ID1731"/>
    <d v="2012-06-07T09:25:45"/>
    <n v="70000"/>
    <s v="CAD"/>
    <n v="68835.306612122877"/>
    <s v="Financial Analyst"/>
    <x v="0"/>
    <s v="Canada"/>
    <x v="17"/>
    <x v="1"/>
    <n v="2"/>
  </r>
  <r>
    <s v="ID1732"/>
    <d v="2012-06-07T14:06:38"/>
    <n v="6000"/>
    <s v="USD"/>
    <n v="6000"/>
    <s v="Reporting Coordinator"/>
    <x v="7"/>
    <s v="Armenia"/>
    <x v="102"/>
    <x v="1"/>
    <n v="5"/>
  </r>
  <r>
    <s v="ID1733"/>
    <d v="2012-06-07T15:19:53"/>
    <n v="50000"/>
    <s v="GBP"/>
    <n v="78808.913603364199"/>
    <s v="Research Analyst"/>
    <x v="0"/>
    <s v="UK"/>
    <x v="14"/>
    <x v="2"/>
    <n v="2"/>
  </r>
  <r>
    <s v="ID1734"/>
    <d v="2012-06-07T16:45:01"/>
    <n v="421000"/>
    <s v="INR"/>
    <n v="7497.1329254133216"/>
    <s v="PMO Analyst"/>
    <x v="0"/>
    <s v="India"/>
    <x v="0"/>
    <x v="0"/>
    <n v="4"/>
  </r>
  <r>
    <s v="ID1735"/>
    <d v="2012-06-07T16:53:54"/>
    <n v="10000"/>
    <s v="USD"/>
    <n v="10000"/>
    <s v="AGM - Operations &amp; Customer Support"/>
    <x v="3"/>
    <s v="India"/>
    <x v="0"/>
    <x v="0"/>
    <n v="11"/>
  </r>
  <r>
    <s v="ID1736"/>
    <d v="2012-06-07T17:09:18"/>
    <n v="360000"/>
    <s v="INR"/>
    <n v="6410.8500074793246"/>
    <s v="Baan ERP Functional Consultant"/>
    <x v="8"/>
    <s v="India"/>
    <x v="0"/>
    <x v="3"/>
    <n v="2"/>
  </r>
  <r>
    <s v="ID1737"/>
    <d v="2012-06-07T17:13:42"/>
    <n v="40000"/>
    <s v="GBP"/>
    <n v="63047.130882691366"/>
    <s v="Analyst"/>
    <x v="0"/>
    <s v="UK"/>
    <x v="14"/>
    <x v="0"/>
    <n v="5"/>
  </r>
  <r>
    <s v="ID1738"/>
    <d v="2012-06-07T20:10:41"/>
    <n v="60000"/>
    <s v="AUD"/>
    <n v="61194.579384158147"/>
    <s v="business analyst"/>
    <x v="0"/>
    <s v="Australia"/>
    <x v="16"/>
    <x v="2"/>
    <n v="3"/>
  </r>
  <r>
    <s v="ID1739"/>
    <d v="2012-06-07T20:48:04"/>
    <n v="73000"/>
    <s v="GBP"/>
    <n v="115061.01386091174"/>
    <s v="Financial Controller"/>
    <x v="1"/>
    <s v="UK"/>
    <x v="14"/>
    <x v="0"/>
    <n v="8"/>
  </r>
  <r>
    <s v="ID1740"/>
    <d v="2012-06-07T23:33:23"/>
    <n v="45000"/>
    <s v="USD"/>
    <n v="45000"/>
    <s v="Sourcing Analyst"/>
    <x v="0"/>
    <s v="USA"/>
    <x v="2"/>
    <x v="1"/>
    <n v="2"/>
  </r>
  <r>
    <s v="ID1741"/>
    <d v="2012-06-07T23:48:29"/>
    <n v="36000"/>
    <s v="USD"/>
    <n v="36000"/>
    <s v="clerk"/>
    <x v="0"/>
    <s v="USA"/>
    <x v="2"/>
    <x v="0"/>
    <n v="4"/>
  </r>
  <r>
    <s v="ID1742"/>
    <d v="2012-06-08T00:01:49"/>
    <n v="68000"/>
    <s v="USD"/>
    <n v="68000"/>
    <s v="Tax Associate"/>
    <x v="0"/>
    <s v="USA"/>
    <x v="2"/>
    <x v="0"/>
    <n v="2.5"/>
  </r>
  <r>
    <s v="ID1743"/>
    <d v="2012-06-08T00:21:23"/>
    <n v="75000"/>
    <s v="USD"/>
    <n v="75000"/>
    <s v="Senior Financial Analyst"/>
    <x v="0"/>
    <s v="USA"/>
    <x v="2"/>
    <x v="1"/>
    <n v="5"/>
  </r>
  <r>
    <s v="ID1744"/>
    <d v="2012-06-08T02:27:13"/>
    <n v="88000"/>
    <s v="USD"/>
    <n v="88000"/>
    <s v="Senior Fiancial Analyst"/>
    <x v="0"/>
    <s v="USA"/>
    <x v="2"/>
    <x v="1"/>
    <n v="10"/>
  </r>
  <r>
    <s v="ID1745"/>
    <d v="2012-06-08T02:28:45"/>
    <n v="258000"/>
    <s v="INR"/>
    <n v="4594.4425053601826"/>
    <s v="Senior Data Associate"/>
    <x v="0"/>
    <s v="India"/>
    <x v="0"/>
    <x v="0"/>
    <n v="4"/>
  </r>
  <r>
    <s v="ID1746"/>
    <d v="2012-06-08T03:23:20"/>
    <n v="69000"/>
    <s v="USD"/>
    <n v="69000"/>
    <s v="Business Analyst II"/>
    <x v="0"/>
    <s v="USA"/>
    <x v="2"/>
    <x v="1"/>
    <n v="15"/>
  </r>
  <r>
    <s v="ID1747"/>
    <d v="2012-06-08T03:34:51"/>
    <n v="30000"/>
    <s v="USD"/>
    <n v="30000"/>
    <s v="Inventory Manager"/>
    <x v="3"/>
    <s v="USA"/>
    <x v="2"/>
    <x v="0"/>
    <n v="1"/>
  </r>
  <r>
    <s v="ID1748"/>
    <d v="2012-06-08T04:51:45"/>
    <n v="80000"/>
    <s v="USD"/>
    <n v="80000"/>
    <s v="Sales / Finance Manager"/>
    <x v="3"/>
    <s v="USA"/>
    <x v="2"/>
    <x v="0"/>
    <n v="7"/>
  </r>
  <r>
    <s v="ID1749"/>
    <d v="2012-06-08T06:42:32"/>
    <n v="75000"/>
    <s v="USD"/>
    <n v="75000"/>
    <s v="actuary"/>
    <x v="5"/>
    <s v="USA"/>
    <x v="2"/>
    <x v="1"/>
    <n v="1"/>
  </r>
  <r>
    <s v="ID1750"/>
    <d v="2012-06-08T08:15:54"/>
    <n v="31200"/>
    <s v="USD"/>
    <n v="31200"/>
    <s v="Risk analyst"/>
    <x v="0"/>
    <s v="Brazil"/>
    <x v="24"/>
    <x v="0"/>
    <n v="4"/>
  </r>
  <r>
    <s v="ID1751"/>
    <d v="2012-06-08T09:46:59"/>
    <n v="85000"/>
    <s v="USD"/>
    <n v="85000"/>
    <s v="Actuary"/>
    <x v="5"/>
    <s v="USA"/>
    <x v="2"/>
    <x v="0"/>
    <n v="20"/>
  </r>
  <r>
    <s v="ID1752"/>
    <d v="2012-06-08T13:38:45"/>
    <n v="950000"/>
    <s v="INR"/>
    <n v="16917.52085307044"/>
    <s v="Associate Manager, Drug Safety Operations"/>
    <x v="3"/>
    <s v="India"/>
    <x v="0"/>
    <x v="2"/>
    <n v="9"/>
  </r>
  <r>
    <s v="ID1753"/>
    <d v="2012-06-08T13:55:44"/>
    <n v="180000"/>
    <s v="INR"/>
    <n v="3205.4250037396623"/>
    <s v="mis"/>
    <x v="7"/>
    <s v="India"/>
    <x v="0"/>
    <x v="0"/>
    <n v="2"/>
  </r>
  <r>
    <s v="ID1754"/>
    <d v="2012-06-08T14:43:05"/>
    <n v="60000"/>
    <s v="USD"/>
    <n v="60000"/>
    <s v="Project Lead "/>
    <x v="3"/>
    <s v="USA"/>
    <x v="2"/>
    <x v="1"/>
    <n v="2"/>
  </r>
  <r>
    <s v="ID1755"/>
    <d v="2012-06-08T14:43:40"/>
    <n v="60000"/>
    <s v="USD"/>
    <n v="60000"/>
    <s v="Project Lead "/>
    <x v="3"/>
    <s v="USA"/>
    <x v="2"/>
    <x v="1"/>
    <n v="2"/>
  </r>
  <r>
    <s v="ID1756"/>
    <d v="2012-06-08T15:43:16"/>
    <n v="800000"/>
    <s v="INR"/>
    <n v="14246.333349954055"/>
    <s v="MANAGER"/>
    <x v="3"/>
    <s v="India"/>
    <x v="0"/>
    <x v="2"/>
    <n v="0"/>
  </r>
  <r>
    <s v="ID1757"/>
    <d v="2012-06-08T15:45:14"/>
    <n v="800000"/>
    <s v="INR"/>
    <n v="14246.333349954055"/>
    <s v="MANAGER"/>
    <x v="3"/>
    <s v="India"/>
    <x v="0"/>
    <x v="2"/>
    <n v="0"/>
  </r>
  <r>
    <s v="ID1758"/>
    <d v="2012-06-08T18:48:12"/>
    <n v="28995"/>
    <s v="USD"/>
    <n v="28995"/>
    <s v="Senior Executive"/>
    <x v="3"/>
    <s v="India"/>
    <x v="0"/>
    <x v="0"/>
    <n v="6"/>
  </r>
  <r>
    <s v="ID1759"/>
    <d v="2012-06-08T18:52:06"/>
    <n v="1230000"/>
    <s v="INR"/>
    <n v="21903.737525554359"/>
    <s v="Financial Analyst "/>
    <x v="0"/>
    <s v="India"/>
    <x v="0"/>
    <x v="1"/>
    <n v="3"/>
  </r>
  <r>
    <s v="ID1760"/>
    <d v="2012-06-08T18:52:44"/>
    <n v="1130000"/>
    <s v="INR"/>
    <n v="20122.945856810104"/>
    <s v="Financial Analyst "/>
    <x v="0"/>
    <s v="India"/>
    <x v="0"/>
    <x v="1"/>
    <n v="3"/>
  </r>
  <r>
    <s v="ID1761"/>
    <d v="2012-06-08T20:47:58"/>
    <n v="45000"/>
    <s v="GBP"/>
    <n v="70928.022243027779"/>
    <s v="bUSINESS aNALYST"/>
    <x v="0"/>
    <s v="UK"/>
    <x v="14"/>
    <x v="1"/>
    <n v="20"/>
  </r>
  <r>
    <s v="ID1762"/>
    <d v="2012-06-08T21:00:25"/>
    <n v="67000"/>
    <s v="USD"/>
    <n v="67000"/>
    <s v="Manager"/>
    <x v="3"/>
    <s v="USA"/>
    <x v="2"/>
    <x v="0"/>
    <n v="16"/>
  </r>
  <r>
    <s v="ID1763"/>
    <d v="2012-06-08T21:02:48"/>
    <n v="30000"/>
    <s v="USD"/>
    <n v="30000"/>
    <s v="Customer Service"/>
    <x v="0"/>
    <s v="USA"/>
    <x v="2"/>
    <x v="2"/>
    <n v="4"/>
  </r>
  <r>
    <s v="ID1764"/>
    <d v="2012-06-08T22:48:39"/>
    <n v="140000"/>
    <s v="CHF"/>
    <n v="148102.22862117883"/>
    <s v="Projektleiter"/>
    <x v="3"/>
    <s v="Switzerland"/>
    <x v="10"/>
    <x v="2"/>
    <n v="6"/>
  </r>
  <r>
    <s v="ID1765"/>
    <d v="2012-06-08T23:20:36"/>
    <n v="71500"/>
    <s v="USD"/>
    <n v="71500"/>
    <s v="Pricing Manager"/>
    <x v="3"/>
    <s v="USA"/>
    <x v="2"/>
    <x v="1"/>
    <n v="11"/>
  </r>
  <r>
    <s v="ID1766"/>
    <d v="2012-06-08T23:46:11"/>
    <n v="67000"/>
    <s v="USD"/>
    <n v="67000"/>
    <s v="Manager"/>
    <x v="3"/>
    <s v="USA"/>
    <x v="2"/>
    <x v="4"/>
    <n v="6"/>
  </r>
  <r>
    <s v="ID1767"/>
    <d v="2012-06-09T00:49:07"/>
    <n v="40000"/>
    <s v="USD"/>
    <n v="40000"/>
    <s v="Market Research Analyst"/>
    <x v="0"/>
    <s v="USA"/>
    <x v="2"/>
    <x v="0"/>
    <n v="5"/>
  </r>
  <r>
    <s v="ID1768"/>
    <d v="2012-06-09T01:15:44"/>
    <n v="65000"/>
    <s v="USD"/>
    <n v="65000"/>
    <s v="Compliance Officer"/>
    <x v="3"/>
    <s v="USA"/>
    <x v="2"/>
    <x v="0"/>
    <n v="2"/>
  </r>
  <r>
    <s v="ID1769"/>
    <d v="2012-06-09T01:47:30"/>
    <n v="72000"/>
    <s v="USD"/>
    <n v="72000"/>
    <s v="Consultant"/>
    <x v="8"/>
    <s v="USA"/>
    <x v="2"/>
    <x v="2"/>
    <n v="13"/>
  </r>
  <r>
    <s v="ID1770"/>
    <d v="2012-06-09T03:20:15"/>
    <n v="52500"/>
    <s v="USD"/>
    <n v="52500"/>
    <s v="Data Management Solutions Supervisor"/>
    <x v="3"/>
    <s v="USA"/>
    <x v="2"/>
    <x v="1"/>
    <n v="3"/>
  </r>
  <r>
    <s v="ID1771"/>
    <d v="2012-06-09T12:01:19"/>
    <n v="5320"/>
    <s v="USD"/>
    <n v="5320"/>
    <s v="Officer"/>
    <x v="3"/>
    <s v="India"/>
    <x v="0"/>
    <x v="2"/>
    <n v="5"/>
  </r>
  <r>
    <s v="ID1772"/>
    <d v="2012-06-09T20:38:03"/>
    <n v="18000"/>
    <s v="USD"/>
    <n v="18000"/>
    <s v="accountant"/>
    <x v="5"/>
    <s v="uae"/>
    <x v="21"/>
    <x v="1"/>
    <n v="3"/>
  </r>
  <r>
    <s v="ID1773"/>
    <d v="2012-06-10T00:50:26"/>
    <n v="140000"/>
    <s v="INR"/>
    <n v="2493.1083362419595"/>
    <s v="magic"/>
    <x v="9"/>
    <s v="India"/>
    <x v="0"/>
    <x v="0"/>
    <n v="5"/>
  </r>
  <r>
    <s v="ID1774"/>
    <d v="2012-06-10T01:48:44"/>
    <n v="16800"/>
    <s v="EUR"/>
    <n v="21342.710575059013"/>
    <s v="account"/>
    <x v="5"/>
    <s v="portugal"/>
    <x v="7"/>
    <x v="0"/>
    <n v="15"/>
  </r>
  <r>
    <s v="ID1775"/>
    <d v="2012-06-10T02:20:05"/>
    <n v="85000"/>
    <s v="USD"/>
    <n v="85000"/>
    <s v="purchasing manager"/>
    <x v="3"/>
    <s v="USA"/>
    <x v="2"/>
    <x v="2"/>
    <n v="15"/>
  </r>
  <r>
    <s v="ID1776"/>
    <d v="2012-06-10T02:29:57"/>
    <n v="80000"/>
    <s v="USD"/>
    <n v="80000"/>
    <s v="Engineer"/>
    <x v="2"/>
    <s v="Brazil"/>
    <x v="24"/>
    <x v="3"/>
    <n v="9"/>
  </r>
  <r>
    <s v="ID1777"/>
    <d v="2012-06-10T04:16:05"/>
    <n v="500000"/>
    <s v="INR"/>
    <n v="8903.9583437212841"/>
    <s v="equity research trainee"/>
    <x v="0"/>
    <s v="India"/>
    <x v="0"/>
    <x v="1"/>
    <n v="0"/>
  </r>
  <r>
    <s v="ID1778"/>
    <d v="2012-06-10T12:31:48"/>
    <n v="125000"/>
    <s v="USD"/>
    <n v="125000"/>
    <s v="project manager"/>
    <x v="3"/>
    <s v="USA"/>
    <x v="2"/>
    <x v="1"/>
    <n v="10"/>
  </r>
  <r>
    <s v="ID1779"/>
    <d v="2012-06-10T14:58:39"/>
    <n v="1300000"/>
    <s v="INR"/>
    <n v="23150.291693675339"/>
    <s v="Manager"/>
    <x v="3"/>
    <s v="India"/>
    <x v="0"/>
    <x v="1"/>
    <n v="9"/>
  </r>
  <r>
    <s v="ID1780"/>
    <d v="2012-06-10T15:20:01"/>
    <n v="12000"/>
    <s v="USD"/>
    <n v="12000"/>
    <s v="project engineer "/>
    <x v="2"/>
    <s v="India"/>
    <x v="0"/>
    <x v="2"/>
    <n v="7"/>
  </r>
  <r>
    <s v="ID1781"/>
    <d v="2012-06-10T15:59:17"/>
    <n v="30000"/>
    <s v="USD"/>
    <n v="30000"/>
    <s v="Teacher"/>
    <x v="0"/>
    <s v="Malaysia"/>
    <x v="74"/>
    <x v="3"/>
    <n v="12"/>
  </r>
  <r>
    <s v="ID1782"/>
    <d v="2012-06-10T17:21:08"/>
    <n v="72000"/>
    <s v="EUR"/>
    <n v="91468.759607395754"/>
    <s v="regional sales manager"/>
    <x v="3"/>
    <s v="croatia"/>
    <x v="1"/>
    <x v="3"/>
    <n v="3"/>
  </r>
  <r>
    <s v="ID1783"/>
    <d v="2012-06-10T20:30:23"/>
    <n v="22300"/>
    <s v="GBP"/>
    <n v="35148.775467100437"/>
    <s v="Analysis &amp; insight consultant"/>
    <x v="0"/>
    <s v="UK"/>
    <x v="14"/>
    <x v="1"/>
    <n v="4"/>
  </r>
  <r>
    <s v="ID1784"/>
    <d v="2012-06-10T21:52:30"/>
    <n v="31185"/>
    <s v="GBP"/>
    <n v="49153.119414418252"/>
    <s v="Data Team Leader"/>
    <x v="3"/>
    <s v="UK"/>
    <x v="14"/>
    <x v="0"/>
    <n v="7"/>
  </r>
  <r>
    <s v="ID1785"/>
    <d v="2012-06-11T03:11:39"/>
    <n v="150000"/>
    <s v="INR"/>
    <n v="2671.1875031163854"/>
    <s v="ENGINEER"/>
    <x v="2"/>
    <s v="India"/>
    <x v="0"/>
    <x v="2"/>
    <n v="1"/>
  </r>
  <r>
    <s v="ID1786"/>
    <d v="2012-06-11T05:59:09"/>
    <n v="27000"/>
    <s v="GBP"/>
    <n v="42556.81334581667"/>
    <s v="assistant account manager"/>
    <x v="3"/>
    <s v="UK"/>
    <x v="14"/>
    <x v="0"/>
    <n v="3"/>
  </r>
  <r>
    <s v="ID1787"/>
    <d v="2012-06-11T05:59:55"/>
    <n v="27000"/>
    <s v="GBP"/>
    <n v="42556.81334581667"/>
    <s v="assistant account manager"/>
    <x v="3"/>
    <s v="UK"/>
    <x v="14"/>
    <x v="0"/>
    <n v="3"/>
  </r>
  <r>
    <s v="ID1788"/>
    <d v="2012-06-11T10:04:43"/>
    <n v="74461"/>
    <s v="USD"/>
    <n v="74461"/>
    <s v="Scientist III"/>
    <x v="9"/>
    <s v="USA"/>
    <x v="2"/>
    <x v="3"/>
    <n v="9"/>
  </r>
  <r>
    <s v="ID1789"/>
    <d v="2012-06-11T16:55:40"/>
    <n v="26500"/>
    <s v="GBP"/>
    <n v="41768.724209783031"/>
    <s v="Compliance Manager"/>
    <x v="3"/>
    <s v="UK"/>
    <x v="14"/>
    <x v="0"/>
    <n v="16"/>
  </r>
  <r>
    <s v="ID1790"/>
    <d v="2012-06-11T17:01:58"/>
    <n v="480000"/>
    <s v="INR"/>
    <n v="8547.8000099724322"/>
    <s v="Development Analyst"/>
    <x v="0"/>
    <s v="India"/>
    <x v="0"/>
    <x v="0"/>
    <n v="1"/>
  </r>
  <r>
    <s v="ID1791"/>
    <d v="2012-06-11T17:54:22"/>
    <n v="2400"/>
    <s v="USD"/>
    <n v="2400"/>
    <s v="computer operator"/>
    <x v="0"/>
    <s v="India"/>
    <x v="0"/>
    <x v="2"/>
    <n v="3"/>
  </r>
  <r>
    <s v="ID1792"/>
    <d v="2012-06-11T19:40:47"/>
    <n v="3000"/>
    <s v="USD"/>
    <n v="3000"/>
    <s v="executive"/>
    <x v="0"/>
    <s v="Bangladesh"/>
    <x v="37"/>
    <x v="3"/>
    <n v="12"/>
  </r>
  <r>
    <s v="ID1793"/>
    <d v="2012-06-11T19:56:36"/>
    <n v="11000"/>
    <s v="USD"/>
    <n v="11000"/>
    <s v="Web Analyst"/>
    <x v="0"/>
    <s v="India"/>
    <x v="0"/>
    <x v="0"/>
    <n v="2"/>
  </r>
  <r>
    <s v="ID1794"/>
    <d v="2012-06-11T21:03:36"/>
    <n v="40000"/>
    <s v="USD"/>
    <n v="40000"/>
    <s v="Intern"/>
    <x v="0"/>
    <s v="USA"/>
    <x v="2"/>
    <x v="2"/>
    <n v="2"/>
  </r>
  <r>
    <s v="ID1795"/>
    <d v="2012-06-11T21:29:29"/>
    <n v="3600"/>
    <s v="USD"/>
    <n v="3600"/>
    <s v="Analyst"/>
    <x v="0"/>
    <s v="India"/>
    <x v="0"/>
    <x v="0"/>
    <n v="1"/>
  </r>
  <r>
    <s v="ID1796"/>
    <d v="2012-06-11T21:52:14"/>
    <n v="56600"/>
    <s v="USD"/>
    <n v="56600"/>
    <s v="ECommerce Manager"/>
    <x v="3"/>
    <s v="USA"/>
    <x v="2"/>
    <x v="0"/>
    <n v="12"/>
  </r>
  <r>
    <s v="ID1797"/>
    <d v="2012-06-11T22:21:25"/>
    <n v="33600"/>
    <s v="USD"/>
    <n v="33600"/>
    <s v="Executive"/>
    <x v="0"/>
    <s v="Singapore"/>
    <x v="30"/>
    <x v="1"/>
    <n v="2"/>
  </r>
  <r>
    <s v="ID1798"/>
    <d v="2012-06-11T22:22:00"/>
    <n v="33600"/>
    <s v="USD"/>
    <n v="33600"/>
    <s v="Executive"/>
    <x v="0"/>
    <s v="Singapore"/>
    <x v="30"/>
    <x v="1"/>
    <n v="2"/>
  </r>
  <r>
    <s v="ID1799"/>
    <d v="2012-06-12T00:26:07"/>
    <n v="100000"/>
    <s v="USD"/>
    <n v="100000"/>
    <s v="analyst"/>
    <x v="0"/>
    <s v="USA"/>
    <x v="2"/>
    <x v="1"/>
    <n v="12"/>
  </r>
  <r>
    <s v="ID1800"/>
    <d v="2012-06-12T01:55:12"/>
    <n v="40000"/>
    <s v="CAD"/>
    <n v="39334.460921213074"/>
    <s v="Machine Scheduler"/>
    <x v="0"/>
    <s v="Canada"/>
    <x v="17"/>
    <x v="3"/>
    <n v="1"/>
  </r>
  <r>
    <s v="ID1801"/>
    <d v="2012-06-12T01:58:00"/>
    <n v="400000"/>
    <s v="INR"/>
    <n v="7123.1666749770275"/>
    <s v="business analyst"/>
    <x v="0"/>
    <s v="India"/>
    <x v="0"/>
    <x v="2"/>
    <n v="3"/>
  </r>
  <r>
    <s v="ID1802"/>
    <d v="2012-06-12T02:43:17"/>
    <n v="65000"/>
    <s v="USD"/>
    <n v="65000"/>
    <s v="Sr Financial Systems Analyst"/>
    <x v="0"/>
    <s v="USA"/>
    <x v="2"/>
    <x v="0"/>
    <n v="14"/>
  </r>
  <r>
    <s v="ID1803"/>
    <d v="2012-06-12T02:59:16"/>
    <n v="65000"/>
    <s v="USD"/>
    <n v="65000"/>
    <s v="Data Analyst"/>
    <x v="0"/>
    <s v="USA"/>
    <x v="2"/>
    <x v="2"/>
    <n v="10"/>
  </r>
  <r>
    <s v="ID1804"/>
    <d v="2012-06-12T03:32:27"/>
    <n v="65000"/>
    <s v="USD"/>
    <n v="65000"/>
    <s v="Assistant Controller"/>
    <x v="1"/>
    <s v="USA"/>
    <x v="2"/>
    <x v="2"/>
    <n v="13"/>
  </r>
  <r>
    <s v="ID1805"/>
    <d v="2012-06-12T03:45:25"/>
    <n v="78000"/>
    <s v="CAD"/>
    <n v="76702.198796365497"/>
    <s v="SFA"/>
    <x v="0"/>
    <s v="Canada"/>
    <x v="17"/>
    <x v="1"/>
    <n v="4"/>
  </r>
  <r>
    <s v="ID1806"/>
    <d v="2012-06-12T06:36:12"/>
    <n v="63000"/>
    <s v="USD"/>
    <n v="63000"/>
    <s v="Sales Analyst"/>
    <x v="0"/>
    <s v="USA"/>
    <x v="2"/>
    <x v="1"/>
    <n v="10"/>
  </r>
  <r>
    <s v="ID1807"/>
    <d v="2012-06-12T08:36:15"/>
    <n v="87000"/>
    <s v="USD"/>
    <n v="87000"/>
    <s v="Ð˜Ð¨ Ð¤Ñ‚Ñ„Ð´Ð½Ñ‹Ðµ"/>
    <x v="9"/>
    <s v="USA"/>
    <x v="2"/>
    <x v="0"/>
    <n v="3"/>
  </r>
  <r>
    <s v="ID1808"/>
    <d v="2012-06-12T08:46:15"/>
    <n v="45000"/>
    <s v="USD"/>
    <n v="45000"/>
    <s v="ba"/>
    <x v="0"/>
    <s v="USA"/>
    <x v="2"/>
    <x v="0"/>
    <n v="4"/>
  </r>
  <r>
    <s v="ID1809"/>
    <d v="2012-06-12T12:15:46"/>
    <n v="85000"/>
    <s v="USD"/>
    <n v="85000"/>
    <s v="Lead Financial Analyst"/>
    <x v="0"/>
    <s v="USA"/>
    <x v="2"/>
    <x v="1"/>
    <n v="3"/>
  </r>
  <r>
    <s v="ID1810"/>
    <d v="2012-06-12T15:09:22"/>
    <n v="156000"/>
    <s v="AUD"/>
    <n v="159105.90639881117"/>
    <s v="Senior Associate Engineer"/>
    <x v="2"/>
    <s v="Australia"/>
    <x v="16"/>
    <x v="2"/>
    <n v="12"/>
  </r>
  <r>
    <s v="ID1811"/>
    <d v="2012-06-12T15:58:36"/>
    <n v="560000"/>
    <s v="INR"/>
    <n v="9972.4333449678379"/>
    <s v="Associate Manager"/>
    <x v="3"/>
    <s v="India"/>
    <x v="0"/>
    <x v="2"/>
    <n v="4"/>
  </r>
  <r>
    <s v="ID1812"/>
    <d v="2012-06-12T16:16:25"/>
    <n v="14000"/>
    <s v="USD"/>
    <n v="14000"/>
    <s v="Manager"/>
    <x v="3"/>
    <s v="India"/>
    <x v="0"/>
    <x v="0"/>
    <n v="5"/>
  </r>
  <r>
    <s v="ID1813"/>
    <d v="2012-06-12T18:09:58"/>
    <n v="32000"/>
    <s v="GBP"/>
    <n v="50437.70470615309"/>
    <s v="Business Analyst"/>
    <x v="0"/>
    <s v="UK"/>
    <x v="14"/>
    <x v="0"/>
    <n v="20"/>
  </r>
  <r>
    <s v="ID1814"/>
    <d v="2012-06-12T18:28:39"/>
    <n v="32000"/>
    <s v="GBP"/>
    <n v="50437.70470615309"/>
    <s v="Financial Analyst"/>
    <x v="0"/>
    <s v="UK"/>
    <x v="14"/>
    <x v="1"/>
    <n v="1"/>
  </r>
  <r>
    <s v="ID1815"/>
    <d v="2012-06-12T20:11:24"/>
    <n v="1281600"/>
    <s v="PKR"/>
    <n v="13603.016099449767"/>
    <s v="Manager MIS &amp; Analytics"/>
    <x v="3"/>
    <s v="pakistan"/>
    <x v="3"/>
    <x v="1"/>
    <n v="8"/>
  </r>
  <r>
    <s v="ID1816"/>
    <d v="2012-06-12T20:47:33"/>
    <n v="145000"/>
    <s v="AUD"/>
    <n v="147886.90017838217"/>
    <s v="Financial controller"/>
    <x v="1"/>
    <s v="Australia"/>
    <x v="16"/>
    <x v="2"/>
    <n v="15"/>
  </r>
  <r>
    <s v="ID1818"/>
    <d v="2012-06-12T21:47:54"/>
    <n v="280000"/>
    <s v="INR"/>
    <n v="4986.216672483919"/>
    <s v="Sales Cordinator"/>
    <x v="0"/>
    <s v="India"/>
    <x v="0"/>
    <x v="1"/>
    <n v="8"/>
  </r>
  <r>
    <s v="ID1819"/>
    <d v="2012-06-12T21:58:21"/>
    <n v="4800"/>
    <s v="USD"/>
    <n v="4800"/>
    <s v="Sr Executive"/>
    <x v="3"/>
    <s v="India"/>
    <x v="0"/>
    <x v="1"/>
    <n v="3"/>
  </r>
  <r>
    <s v="ID1820"/>
    <d v="2012-06-13T00:20:14"/>
    <n v="450000"/>
    <s v="INR"/>
    <n v="8013.5625093491553"/>
    <s v="MIS Executive"/>
    <x v="7"/>
    <s v="India"/>
    <x v="0"/>
    <x v="0"/>
    <n v="4"/>
  </r>
  <r>
    <s v="ID1821"/>
    <d v="2012-06-13T00:23:31"/>
    <n v="80000"/>
    <s v="USD"/>
    <n v="80000"/>
    <s v="Manager, Operations"/>
    <x v="3"/>
    <s v="USA"/>
    <x v="2"/>
    <x v="0"/>
    <n v="2"/>
  </r>
  <r>
    <s v="ID1822"/>
    <d v="2012-06-13T00:37:24"/>
    <n v="45000"/>
    <s v="EUR"/>
    <n v="57167.974754622352"/>
    <s v="IT Trainer"/>
    <x v="0"/>
    <s v="Netherlands"/>
    <x v="18"/>
    <x v="2"/>
    <n v="14"/>
  </r>
  <r>
    <s v="ID1823"/>
    <d v="2012-06-13T00:50:20"/>
    <n v="20000"/>
    <s v="USD"/>
    <n v="20000"/>
    <s v="administrator"/>
    <x v="0"/>
    <s v="Canada"/>
    <x v="17"/>
    <x v="2"/>
    <n v="2"/>
  </r>
  <r>
    <s v="ID1824"/>
    <d v="2012-06-13T01:56:23"/>
    <n v="70000"/>
    <s v="USD"/>
    <n v="70000"/>
    <s v="business analyst"/>
    <x v="0"/>
    <s v="USA"/>
    <x v="2"/>
    <x v="2"/>
    <n v="5"/>
  </r>
  <r>
    <s v="ID1825"/>
    <d v="2012-06-13T03:23:05"/>
    <n v="214000"/>
    <s v="USD"/>
    <n v="214000"/>
    <s v="Assistant Corporate Controller"/>
    <x v="1"/>
    <s v="USA"/>
    <x v="2"/>
    <x v="1"/>
    <n v="20"/>
  </r>
  <r>
    <s v="ID1826"/>
    <d v="2012-06-13T03:48:39"/>
    <n v="78000"/>
    <s v="USD"/>
    <n v="78000"/>
    <s v="Data Integration Engenieer"/>
    <x v="2"/>
    <s v="USA"/>
    <x v="2"/>
    <x v="1"/>
    <n v="5"/>
  </r>
  <r>
    <s v="ID1827"/>
    <d v="2012-06-13T04:39:37"/>
    <n v="42307"/>
    <s v="USD"/>
    <n v="42307"/>
    <s v="purchasing operations administrator"/>
    <x v="0"/>
    <s v="USA"/>
    <x v="2"/>
    <x v="2"/>
    <n v="25"/>
  </r>
  <r>
    <s v="ID1828"/>
    <d v="2012-06-13T04:40:03"/>
    <n v="33250"/>
    <s v="USD"/>
    <n v="33250"/>
    <s v="Planning and Logistics Coordinator"/>
    <x v="3"/>
    <s v="USA"/>
    <x v="2"/>
    <x v="1"/>
    <n v="20"/>
  </r>
  <r>
    <s v="ID1829"/>
    <d v="2012-06-13T05:20:32"/>
    <n v="19200"/>
    <s v="EUR"/>
    <n v="24391.669228638868"/>
    <s v="bank clerk"/>
    <x v="0"/>
    <s v="italy"/>
    <x v="63"/>
    <x v="0"/>
    <n v="10"/>
  </r>
  <r>
    <s v="ID1830"/>
    <d v="2012-06-13T06:19:24"/>
    <n v="120000"/>
    <s v="USD"/>
    <n v="120000"/>
    <s v="Financial Modeler"/>
    <x v="5"/>
    <s v="USA"/>
    <x v="2"/>
    <x v="0"/>
    <n v="20"/>
  </r>
  <r>
    <s v="ID1831"/>
    <d v="2012-06-13T11:58:30"/>
    <n v="20000"/>
    <s v="USD"/>
    <n v="20000"/>
    <s v="Personal Assistant"/>
    <x v="0"/>
    <s v="Hong Kong"/>
    <x v="103"/>
    <x v="3"/>
    <n v="1"/>
  </r>
  <r>
    <s v="ID1832"/>
    <d v="2012-06-13T17:22:47"/>
    <n v="15000"/>
    <s v="USD"/>
    <n v="15000"/>
    <s v="senior associate"/>
    <x v="0"/>
    <s v="India"/>
    <x v="0"/>
    <x v="2"/>
    <n v="0.3"/>
  </r>
  <r>
    <s v="ID1833"/>
    <d v="2012-06-13T18:25:00"/>
    <n v="1000000"/>
    <s v="INR"/>
    <n v="17807.916687442568"/>
    <s v="Mnanager- Customer Project finance &amp; recovery"/>
    <x v="3"/>
    <s v="India"/>
    <x v="0"/>
    <x v="2"/>
    <n v="10"/>
  </r>
  <r>
    <s v="ID1834"/>
    <d v="2012-06-13T19:20:25"/>
    <n v="900000"/>
    <s v="INR"/>
    <n v="16027.125018698311"/>
    <s v="Lead "/>
    <x v="3"/>
    <s v="India"/>
    <x v="0"/>
    <x v="2"/>
    <n v="6"/>
  </r>
  <r>
    <s v="ID1835"/>
    <d v="2012-06-13T19:33:58"/>
    <n v="36000"/>
    <s v="GBP"/>
    <n v="56742.417794422225"/>
    <s v="Senior officer data reporting"/>
    <x v="3"/>
    <s v="UK"/>
    <x v="14"/>
    <x v="1"/>
    <n v="7"/>
  </r>
  <r>
    <s v="ID1836"/>
    <d v="2012-06-13T19:40:16"/>
    <n v="1200000"/>
    <s v="INR"/>
    <n v="21369.500024931083"/>
    <s v="AM"/>
    <x v="3"/>
    <s v="India"/>
    <x v="0"/>
    <x v="0"/>
    <n v="7"/>
  </r>
  <r>
    <s v="ID1837"/>
    <d v="2012-06-13T20:39:18"/>
    <n v="425000"/>
    <s v="INR"/>
    <n v="7568.3645921630914"/>
    <s v="accountant"/>
    <x v="5"/>
    <s v="India"/>
    <x v="0"/>
    <x v="2"/>
    <n v="6"/>
  </r>
  <r>
    <s v="ID1838"/>
    <d v="2012-06-13T23:32:36"/>
    <n v="50000"/>
    <s v="GBP"/>
    <n v="78808.913603364199"/>
    <s v="Assistant Financial Accountant"/>
    <x v="5"/>
    <s v="UK"/>
    <x v="14"/>
    <x v="2"/>
    <n v="10"/>
  </r>
  <r>
    <s v="ID1839"/>
    <d v="2012-06-14T01:55:13"/>
    <n v="60000"/>
    <s v="USD"/>
    <n v="60000"/>
    <s v="Business Analyst"/>
    <x v="0"/>
    <s v="USA"/>
    <x v="2"/>
    <x v="0"/>
    <n v="15"/>
  </r>
  <r>
    <s v="ID1840"/>
    <d v="2012-06-14T02:44:43"/>
    <n v="57000"/>
    <s v="USD"/>
    <n v="57000"/>
    <s v="Staff Accountant"/>
    <x v="5"/>
    <s v="USA"/>
    <x v="2"/>
    <x v="0"/>
    <n v="9"/>
  </r>
  <r>
    <s v="ID1841"/>
    <d v="2012-06-14T04:22:36"/>
    <n v="40000"/>
    <s v="USD"/>
    <n v="40000"/>
    <s v="Rates Analyst"/>
    <x v="0"/>
    <s v="USA"/>
    <x v="2"/>
    <x v="2"/>
    <n v="0"/>
  </r>
  <r>
    <s v="ID1842"/>
    <d v="2012-06-14T07:16:41"/>
    <n v="80000"/>
    <s v="USD"/>
    <n v="80000"/>
    <s v="Project Controller"/>
    <x v="1"/>
    <s v="USA"/>
    <x v="2"/>
    <x v="0"/>
    <n v="9"/>
  </r>
  <r>
    <s v="ID1843"/>
    <d v="2012-06-14T12:27:30"/>
    <n v="118000"/>
    <s v="USD"/>
    <n v="118000"/>
    <s v="AVP"/>
    <x v="4"/>
    <s v="USA"/>
    <x v="2"/>
    <x v="0"/>
    <n v="6"/>
  </r>
  <r>
    <s v="ID1844"/>
    <d v="2012-06-14T14:08:58"/>
    <n v="60000"/>
    <s v="USD"/>
    <n v="60000"/>
    <s v="Analyst"/>
    <x v="0"/>
    <s v="UAE"/>
    <x v="21"/>
    <x v="0"/>
    <n v="5"/>
  </r>
  <r>
    <s v="ID1845"/>
    <d v="2012-06-14T18:27:04"/>
    <n v="6720"/>
    <s v="USD"/>
    <n v="6720"/>
    <s v="accoutant"/>
    <x v="5"/>
    <s v="India"/>
    <x v="0"/>
    <x v="0"/>
    <n v="5"/>
  </r>
  <r>
    <s v="ID1846"/>
    <d v="2012-06-14T22:03:05"/>
    <n v="20640"/>
    <s v="USD"/>
    <n v="20640"/>
    <s v="Programme Officer"/>
    <x v="3"/>
    <s v="Singapore"/>
    <x v="30"/>
    <x v="0"/>
    <n v="3"/>
  </r>
  <r>
    <s v="ID1847"/>
    <d v="2012-06-15T00:35:45"/>
    <n v="50000"/>
    <s v="USD"/>
    <n v="50000"/>
    <s v="Digital Media Analyst"/>
    <x v="0"/>
    <s v="USA"/>
    <x v="2"/>
    <x v="1"/>
    <n v="15"/>
  </r>
  <r>
    <s v="ID1848"/>
    <d v="2012-06-15T00:52:38"/>
    <n v="24000"/>
    <s v="USD"/>
    <n v="24000"/>
    <s v="Plant Controller"/>
    <x v="1"/>
    <s v="Russia"/>
    <x v="13"/>
    <x v="1"/>
    <n v="23"/>
  </r>
  <r>
    <s v="ID1849"/>
    <d v="2012-06-15T01:02:48"/>
    <n v="60000"/>
    <s v="USD"/>
    <n v="60000"/>
    <s v="Business Analyst"/>
    <x v="0"/>
    <s v="USA"/>
    <x v="2"/>
    <x v="2"/>
    <n v="3"/>
  </r>
  <r>
    <s v="ID1850"/>
    <d v="2012-06-15T01:10:09"/>
    <n v="37500"/>
    <s v="USD"/>
    <n v="37500"/>
    <s v="consultant"/>
    <x v="8"/>
    <s v="India"/>
    <x v="0"/>
    <x v="1"/>
    <n v="0"/>
  </r>
  <r>
    <s v="ID1851"/>
    <d v="2012-06-15T02:24:44"/>
    <n v="40000"/>
    <s v="USD"/>
    <n v="40000"/>
    <s v="Research Support Specialist"/>
    <x v="6"/>
    <s v="USA"/>
    <x v="2"/>
    <x v="0"/>
    <n v="1"/>
  </r>
  <r>
    <s v="ID1852"/>
    <d v="2012-06-15T02:30:11"/>
    <n v="85000"/>
    <s v="USD"/>
    <n v="85000"/>
    <s v="Chief Financial Officer"/>
    <x v="4"/>
    <s v="USA"/>
    <x v="2"/>
    <x v="2"/>
    <n v="15"/>
  </r>
  <r>
    <s v="ID1853"/>
    <d v="2012-06-15T03:00:04"/>
    <n v="30000"/>
    <s v="USD"/>
    <n v="30000"/>
    <s v="Trainee"/>
    <x v="0"/>
    <s v="Brazil"/>
    <x v="24"/>
    <x v="2"/>
    <n v="1"/>
  </r>
  <r>
    <s v="ID1854"/>
    <d v="2012-06-15T03:51:50"/>
    <n v="33500"/>
    <s v="GBP"/>
    <n v="52801.972114254015"/>
    <s v="Senior Manufacturing Engineer"/>
    <x v="2"/>
    <s v="UK"/>
    <x v="14"/>
    <x v="2"/>
    <n v="7"/>
  </r>
  <r>
    <s v="ID1855"/>
    <d v="2012-06-15T05:44:30"/>
    <n v="29000"/>
    <s v="USD"/>
    <n v="29000"/>
    <s v="Customer Experence Engineer"/>
    <x v="2"/>
    <s v="USA"/>
    <x v="2"/>
    <x v="1"/>
    <n v="1"/>
  </r>
  <r>
    <s v="ID1857"/>
    <d v="2012-06-15T09:00:08"/>
    <n v="48000"/>
    <s v="USD"/>
    <n v="48000"/>
    <s v="Accountant"/>
    <x v="5"/>
    <s v="USA"/>
    <x v="2"/>
    <x v="0"/>
    <n v="1"/>
  </r>
  <r>
    <s v="ID1858"/>
    <d v="2012-06-15T09:01:23"/>
    <n v="48000"/>
    <s v="USD"/>
    <n v="48000"/>
    <s v="Accountant"/>
    <x v="5"/>
    <s v="USA"/>
    <x v="2"/>
    <x v="0"/>
    <n v="1"/>
  </r>
  <r>
    <s v="ID1859"/>
    <d v="2012-06-15T15:07:11"/>
    <n v="8400"/>
    <s v="USD"/>
    <n v="8400"/>
    <s v="Analyst"/>
    <x v="0"/>
    <s v="Baltic"/>
    <x v="104"/>
    <x v="1"/>
    <n v="0.3"/>
  </r>
  <r>
    <s v="ID1860"/>
    <d v="2012-06-15T15:43:42"/>
    <n v="270000"/>
    <s v="INR"/>
    <n v="4808.137505609493"/>
    <s v="Team Lead"/>
    <x v="3"/>
    <s v="India"/>
    <x v="0"/>
    <x v="2"/>
    <n v="5"/>
  </r>
  <r>
    <s v="ID1861"/>
    <d v="2012-06-15T16:36:47"/>
    <n v="1400000"/>
    <s v="INR"/>
    <n v="24931.083362419595"/>
    <s v="Manager - Controlling"/>
    <x v="3"/>
    <s v="India"/>
    <x v="0"/>
    <x v="0"/>
    <n v="10"/>
  </r>
  <r>
    <s v="ID1862"/>
    <d v="2012-06-15T17:16:19"/>
    <n v="700000"/>
    <s v="INR"/>
    <n v="12465.541681209797"/>
    <s v="Sr. System Analyst"/>
    <x v="0"/>
    <s v="India"/>
    <x v="0"/>
    <x v="2"/>
    <n v="4"/>
  </r>
  <r>
    <s v="ID1863"/>
    <d v="2012-06-15T17:35:32"/>
    <n v="20000"/>
    <s v="GBP"/>
    <n v="31523.565441345683"/>
    <s v="Accountant"/>
    <x v="5"/>
    <s v="UK"/>
    <x v="14"/>
    <x v="2"/>
    <n v="10"/>
  </r>
  <r>
    <s v="ID1864"/>
    <d v="2012-06-15T17:36:10"/>
    <n v="1000000"/>
    <s v="INR"/>
    <n v="17807.916687442568"/>
    <s v="Sr.Manager"/>
    <x v="3"/>
    <s v="India"/>
    <x v="0"/>
    <x v="1"/>
    <n v="10"/>
  </r>
  <r>
    <s v="ID1865"/>
    <d v="2012-06-15T18:13:12"/>
    <n v="112000"/>
    <s v="USD"/>
    <n v="112000"/>
    <s v="manager"/>
    <x v="3"/>
    <s v="USA"/>
    <x v="2"/>
    <x v="2"/>
    <n v="8"/>
  </r>
  <r>
    <s v="ID1866"/>
    <d v="2012-06-15T20:00:26"/>
    <n v="11000"/>
    <s v="USD"/>
    <n v="11000"/>
    <s v="AM"/>
    <x v="3"/>
    <s v="India"/>
    <x v="0"/>
    <x v="1"/>
    <n v="8"/>
  </r>
  <r>
    <s v="ID1867"/>
    <d v="2012-06-15T20:50:49"/>
    <n v="90000"/>
    <s v="EUR"/>
    <n v="114335.9495092447"/>
    <s v="Controller"/>
    <x v="1"/>
    <s v="mainland Europe (Euro zone)"/>
    <x v="89"/>
    <x v="2"/>
    <n v="20"/>
  </r>
  <r>
    <s v="ID1868"/>
    <d v="2012-06-15T21:32:16"/>
    <n v="16110"/>
    <s v="USD"/>
    <n v="16110"/>
    <s v="INFORMATION ANALIST"/>
    <x v="0"/>
    <s v="COLOMBIA"/>
    <x v="28"/>
    <x v="1"/>
    <n v="10"/>
  </r>
  <r>
    <s v="ID1869"/>
    <d v="2012-06-15T22:36:45"/>
    <n v="72000"/>
    <s v="USD"/>
    <n v="72000"/>
    <s v="HR Supervisor"/>
    <x v="3"/>
    <s v="USA"/>
    <x v="2"/>
    <x v="0"/>
    <n v="10"/>
  </r>
  <r>
    <s v="ID1870"/>
    <d v="2012-06-15T23:21:00"/>
    <n v="60000"/>
    <s v="USD"/>
    <n v="60000"/>
    <s v="Marketing Initatities Analyst"/>
    <x v="0"/>
    <s v="USA"/>
    <x v="2"/>
    <x v="1"/>
    <n v="10"/>
  </r>
  <r>
    <s v="ID1871"/>
    <d v="2012-06-15T23:50:11"/>
    <n v="67000"/>
    <s v="USD"/>
    <n v="67000"/>
    <s v="Sales Compensation Analyst"/>
    <x v="0"/>
    <s v="USA"/>
    <x v="2"/>
    <x v="0"/>
    <n v="6"/>
  </r>
  <r>
    <s v="ID1872"/>
    <d v="2012-06-16T02:50:49"/>
    <n v="54000"/>
    <s v="USD"/>
    <n v="54000"/>
    <s v="materials"/>
    <x v="0"/>
    <s v="USA"/>
    <x v="2"/>
    <x v="0"/>
    <n v="18"/>
  </r>
  <r>
    <s v="ID1873"/>
    <d v="2012-06-16T05:23:03"/>
    <n v="38666"/>
    <s v="USD"/>
    <n v="38666"/>
    <s v="Actuarial Specialist"/>
    <x v="6"/>
    <s v="South Africa"/>
    <x v="11"/>
    <x v="1"/>
    <n v="10"/>
  </r>
  <r>
    <s v="ID1874"/>
    <d v="2012-06-16T06:17:53"/>
    <n v="63000"/>
    <s v="USD"/>
    <n v="63000"/>
    <s v="Marketing Database Analyst"/>
    <x v="0"/>
    <s v="USA"/>
    <x v="2"/>
    <x v="0"/>
    <n v="6"/>
  </r>
  <r>
    <s v="ID1875"/>
    <d v="2012-06-16T08:10:59"/>
    <n v="63000"/>
    <s v="USD"/>
    <n v="63000"/>
    <s v="Financial Analyst"/>
    <x v="0"/>
    <s v="USA"/>
    <x v="2"/>
    <x v="1"/>
    <n v="1"/>
  </r>
  <r>
    <s v="ID1876"/>
    <d v="2012-06-16T14:10:51"/>
    <n v="360000"/>
    <s v="INR"/>
    <n v="6410.8500074793246"/>
    <s v="Analyst"/>
    <x v="0"/>
    <s v="India"/>
    <x v="0"/>
    <x v="1"/>
    <n v="2"/>
  </r>
  <r>
    <s v="ID1877"/>
    <d v="2012-06-16T17:07:45"/>
    <n v="600000"/>
    <s v="INR"/>
    <n v="10684.750012465542"/>
    <s v="Manager- Customer Support"/>
    <x v="3"/>
    <s v="India"/>
    <x v="0"/>
    <x v="0"/>
    <n v="12"/>
  </r>
  <r>
    <s v="ID1878"/>
    <d v="2012-06-16T17:14:03"/>
    <n v="40000"/>
    <s v="USD"/>
    <n v="40000"/>
    <s v="Assistant Manager"/>
    <x v="3"/>
    <s v="India"/>
    <x v="0"/>
    <x v="0"/>
    <n v="5"/>
  </r>
  <r>
    <s v="ID1879"/>
    <d v="2012-06-16T17:49:27"/>
    <n v="350000"/>
    <s v="INR"/>
    <n v="6232.7708406048987"/>
    <s v="Analyst"/>
    <x v="0"/>
    <s v="India"/>
    <x v="0"/>
    <x v="0"/>
    <n v="6"/>
  </r>
  <r>
    <s v="ID1880"/>
    <d v="2012-06-16T18:31:59"/>
    <n v="2342342"/>
    <s v="INR"/>
    <n v="41712.231189497601"/>
    <s v="3r23regedf"/>
    <x v="9"/>
    <s v="India"/>
    <x v="0"/>
    <x v="2"/>
    <n v="12"/>
  </r>
  <r>
    <s v="ID1881"/>
    <d v="2012-06-16T18:33:25"/>
    <n v="700000"/>
    <s v="INR"/>
    <n v="12465.541681209797"/>
    <s v="Revenue Focus Manager"/>
    <x v="3"/>
    <s v="India"/>
    <x v="0"/>
    <x v="2"/>
    <n v="9"/>
  </r>
  <r>
    <s v="ID1882"/>
    <d v="2012-06-16T22:24:30"/>
    <n v="20500"/>
    <s v="GBP"/>
    <n v="32311.654577379326"/>
    <s v="analyst"/>
    <x v="0"/>
    <s v="UK"/>
    <x v="14"/>
    <x v="0"/>
    <n v="20"/>
  </r>
  <r>
    <s v="ID1883"/>
    <d v="2012-06-17T01:34:46"/>
    <n v="400000"/>
    <s v="INR"/>
    <n v="7123.1666749770275"/>
    <s v="technical analyst"/>
    <x v="0"/>
    <s v="India"/>
    <x v="0"/>
    <x v="3"/>
    <n v="2"/>
  </r>
  <r>
    <s v="ID1884"/>
    <d v="2012-06-17T04:02:00"/>
    <n v="100000"/>
    <s v="USD"/>
    <n v="100000"/>
    <s v="Senior Manager MIS"/>
    <x v="3"/>
    <s v="UAE"/>
    <x v="21"/>
    <x v="1"/>
    <n v="15"/>
  </r>
  <r>
    <s v="ID1885"/>
    <d v="2012-06-17T11:38:53"/>
    <n v="75000"/>
    <s v="NZD"/>
    <n v="59819.107020370408"/>
    <s v="Commercial Accountant"/>
    <x v="5"/>
    <s v="New Zealand"/>
    <x v="49"/>
    <x v="0"/>
    <n v="4"/>
  </r>
  <r>
    <s v="ID1886"/>
    <d v="2012-06-17T12:00:57"/>
    <n v="25000"/>
    <s v="USD"/>
    <n v="25000"/>
    <s v="Data Analyst"/>
    <x v="0"/>
    <s v="India"/>
    <x v="0"/>
    <x v="1"/>
    <n v="1.5"/>
  </r>
  <r>
    <s v="ID1887"/>
    <d v="2012-06-17T12:48:52"/>
    <n v="5000"/>
    <s v="USD"/>
    <n v="5000"/>
    <s v="admin"/>
    <x v="0"/>
    <s v="India"/>
    <x v="0"/>
    <x v="2"/>
    <n v="10"/>
  </r>
  <r>
    <s v="ID1888"/>
    <d v="2012-06-17T13:26:38"/>
    <n v="63000"/>
    <s v="AUD"/>
    <n v="64254.308353366054"/>
    <s v="Financial Modelling adviser"/>
    <x v="5"/>
    <s v="Australia"/>
    <x v="16"/>
    <x v="1"/>
    <n v="3"/>
  </r>
  <r>
    <s v="ID1889"/>
    <d v="2012-06-17T16:01:50"/>
    <n v="60000"/>
    <s v="EUR"/>
    <n v="76223.966339496474"/>
    <s v="pm"/>
    <x v="3"/>
    <s v="Germany"/>
    <x v="5"/>
    <x v="0"/>
    <n v="6"/>
  </r>
  <r>
    <s v="ID1890"/>
    <d v="2012-06-18T05:42:18"/>
    <n v="600000"/>
    <s v="DKK"/>
    <n v="102542.54233725216"/>
    <s v="Engineer"/>
    <x v="2"/>
    <s v="DK"/>
    <x v="62"/>
    <x v="2"/>
    <n v="20"/>
  </r>
  <r>
    <s v="ID1891"/>
    <d v="2012-06-18T06:14:35"/>
    <n v="46000"/>
    <s v="USD"/>
    <n v="46000"/>
    <s v="AML Analyst"/>
    <x v="0"/>
    <s v="USA"/>
    <x v="2"/>
    <x v="1"/>
    <n v="1"/>
  </r>
  <r>
    <s v="ID1892"/>
    <d v="2012-06-18T08:19:01"/>
    <n v="5000"/>
    <s v="USD"/>
    <n v="5000"/>
    <s v="analyst "/>
    <x v="0"/>
    <s v="India"/>
    <x v="0"/>
    <x v="1"/>
    <n v="2"/>
  </r>
  <r>
    <s v="ID1893"/>
    <d v="2012-06-18T14:27:59"/>
    <n v="76300"/>
    <s v="AUD"/>
    <n v="77819.106783521114"/>
    <s v="Operations Analyst"/>
    <x v="0"/>
    <s v="Australia"/>
    <x v="16"/>
    <x v="1"/>
    <n v="3"/>
  </r>
  <r>
    <s v="ID1894"/>
    <d v="2012-06-18T17:51:52"/>
    <n v="350000"/>
    <s v="INR"/>
    <n v="6232.7708406048987"/>
    <s v="manager purchase"/>
    <x v="3"/>
    <s v="India"/>
    <x v="0"/>
    <x v="2"/>
    <n v="27"/>
  </r>
  <r>
    <s v="ID1895"/>
    <d v="2012-06-18T18:26:47"/>
    <n v="35000"/>
    <s v="GBP"/>
    <n v="55166.239522354947"/>
    <s v="Process Analyst"/>
    <x v="0"/>
    <s v="UK"/>
    <x v="14"/>
    <x v="1"/>
    <n v="34"/>
  </r>
  <r>
    <s v="ID1896"/>
    <d v="2012-06-19T00:23:24"/>
    <n v="45000"/>
    <s v="USD"/>
    <n v="45000"/>
    <s v="Senior Accountant"/>
    <x v="5"/>
    <s v="USA"/>
    <x v="2"/>
    <x v="2"/>
    <n v="5"/>
  </r>
  <r>
    <s v="ID1897"/>
    <d v="2012-06-19T01:49:49"/>
    <n v="60000"/>
    <s v="USD"/>
    <n v="60000"/>
    <s v="buyer"/>
    <x v="3"/>
    <s v="Canada"/>
    <x v="17"/>
    <x v="2"/>
    <n v="10"/>
  </r>
  <r>
    <s v="ID1898"/>
    <d v="2012-06-19T03:25:34"/>
    <n v="43000"/>
    <s v="USD"/>
    <n v="43000"/>
    <s v="Performance Improvement Analyst"/>
    <x v="0"/>
    <s v="USA"/>
    <x v="2"/>
    <x v="0"/>
    <n v="5"/>
  </r>
  <r>
    <s v="ID1899"/>
    <d v="2012-06-19T04:55:06"/>
    <n v="28000"/>
    <s v="EUR"/>
    <n v="35571.184291765021"/>
    <s v="controller"/>
    <x v="1"/>
    <s v="Spain"/>
    <x v="48"/>
    <x v="0"/>
    <n v="8"/>
  </r>
  <r>
    <s v="ID1900"/>
    <d v="2012-06-19T06:50:47"/>
    <n v="48000"/>
    <s v="USD"/>
    <n v="48000"/>
    <s v="Inventory Analyst"/>
    <x v="0"/>
    <s v="USA"/>
    <x v="2"/>
    <x v="0"/>
    <n v="12"/>
  </r>
  <r>
    <s v="ID1901"/>
    <d v="2012-06-19T07:59:00"/>
    <n v="120000"/>
    <s v="AUD"/>
    <n v="122389.15876831629"/>
    <s v="Manager"/>
    <x v="3"/>
    <s v="Australia"/>
    <x v="16"/>
    <x v="3"/>
    <n v="8"/>
  </r>
  <r>
    <s v="ID1902"/>
    <d v="2012-06-19T12:39:16"/>
    <n v="4000"/>
    <s v="USD"/>
    <n v="4000"/>
    <s v="operator"/>
    <x v="0"/>
    <s v="India"/>
    <x v="0"/>
    <x v="2"/>
    <n v="4"/>
  </r>
  <r>
    <s v="ID1903"/>
    <d v="2012-06-19T15:15:38"/>
    <n v="250000"/>
    <s v="INR"/>
    <n v="4451.9791718606421"/>
    <s v="MIS EXECUTIVE"/>
    <x v="7"/>
    <s v="India"/>
    <x v="0"/>
    <x v="0"/>
    <n v="3"/>
  </r>
  <r>
    <s v="ID1904"/>
    <d v="2012-06-19T17:01:38"/>
    <n v="52224"/>
    <s v="ETB"/>
    <n v="2953.8461538461538"/>
    <s v="Project Costing &amp;Dashboard reporting"/>
    <x v="7"/>
    <s v="Ethiopia"/>
    <x v="105"/>
    <x v="0"/>
    <n v="3"/>
  </r>
  <r>
    <s v="ID1905"/>
    <d v="2012-06-19T18:17:42"/>
    <n v="25000"/>
    <s v="GBP"/>
    <n v="39404.456801682099"/>
    <s v="Data Analyst"/>
    <x v="0"/>
    <s v="UK"/>
    <x v="14"/>
    <x v="0"/>
    <n v="3"/>
  </r>
  <r>
    <s v="ID1906"/>
    <d v="2012-06-19T19:33:25"/>
    <n v="74000"/>
    <s v="AUD"/>
    <n v="75473.31457379504"/>
    <s v="Systems Analyst"/>
    <x v="0"/>
    <s v="Australia"/>
    <x v="16"/>
    <x v="0"/>
    <n v="8"/>
  </r>
  <r>
    <s v="ID1907"/>
    <d v="2012-06-19T20:16:30"/>
    <n v="750000"/>
    <s v="INR"/>
    <n v="13355.937515581925"/>
    <s v="Analyst"/>
    <x v="0"/>
    <s v="India"/>
    <x v="0"/>
    <x v="0"/>
    <n v="5"/>
  </r>
  <r>
    <s v="ID1908"/>
    <d v="2012-06-19T20:35:35"/>
    <n v="25000"/>
    <s v="USD"/>
    <n v="25000"/>
    <s v="Team Lead"/>
    <x v="3"/>
    <s v="India"/>
    <x v="0"/>
    <x v="0"/>
    <n v="10"/>
  </r>
  <r>
    <s v="ID1909"/>
    <d v="2012-06-19T21:01:21"/>
    <n v="420000"/>
    <s v="INR"/>
    <n v="7479.3250087258784"/>
    <s v="Analyst"/>
    <x v="0"/>
    <s v="India"/>
    <x v="0"/>
    <x v="0"/>
    <n v="2"/>
  </r>
  <r>
    <s v="ID1910"/>
    <d v="2012-06-19T21:06:16"/>
    <n v="62000"/>
    <s v="USD"/>
    <n v="62000"/>
    <s v="Analyst"/>
    <x v="0"/>
    <s v="USA"/>
    <x v="2"/>
    <x v="0"/>
    <n v="4"/>
  </r>
  <r>
    <s v="ID1911"/>
    <d v="2012-06-19T21:32:36"/>
    <n v="48000"/>
    <s v="USD"/>
    <n v="48000"/>
    <s v="Marketing Analyst Co-op"/>
    <x v="0"/>
    <s v="USA"/>
    <x v="2"/>
    <x v="0"/>
    <n v="1"/>
  </r>
  <r>
    <s v="ID1912"/>
    <d v="2012-06-19T22:42:55"/>
    <n v="5000"/>
    <s v="USD"/>
    <n v="5000"/>
    <s v="abc"/>
    <x v="9"/>
    <s v="India"/>
    <x v="0"/>
    <x v="0"/>
    <n v="3"/>
  </r>
  <r>
    <s v="ID1914"/>
    <d v="2012-06-20T00:27:54"/>
    <n v="276000"/>
    <s v="INR"/>
    <n v="4914.9850057341491"/>
    <s v="MIS specialist"/>
    <x v="7"/>
    <s v="India"/>
    <x v="0"/>
    <x v="1"/>
    <n v="6"/>
  </r>
  <r>
    <s v="ID1915"/>
    <d v="2012-06-20T00:55:28"/>
    <n v="75000"/>
    <s v="USD"/>
    <n v="75000"/>
    <s v="Data Analyst"/>
    <x v="0"/>
    <s v="USA"/>
    <x v="2"/>
    <x v="3"/>
    <n v="3"/>
  </r>
  <r>
    <s v="ID1916"/>
    <d v="2012-06-20T01:20:49"/>
    <n v="250000"/>
    <s v="INR"/>
    <n v="4451.9791718606421"/>
    <s v="research associate"/>
    <x v="0"/>
    <s v="India"/>
    <x v="0"/>
    <x v="4"/>
    <n v="1.6"/>
  </r>
  <r>
    <s v="ID1917"/>
    <d v="2012-06-20T01:43:12"/>
    <n v="8400"/>
    <s v="USD"/>
    <n v="8400"/>
    <s v="Sr. Executive MIS"/>
    <x v="7"/>
    <s v="India"/>
    <x v="0"/>
    <x v="1"/>
    <n v="6"/>
  </r>
  <r>
    <s v="ID1918"/>
    <d v="2012-06-20T01:54:10"/>
    <n v="20000"/>
    <s v="USD"/>
    <n v="20000"/>
    <s v="Monitoring and Evaluation Officer"/>
    <x v="3"/>
    <s v="India"/>
    <x v="0"/>
    <x v="2"/>
    <n v="5"/>
  </r>
  <r>
    <s v="ID1919"/>
    <d v="2012-06-20T02:31:52"/>
    <n v="110000"/>
    <s v="USD"/>
    <n v="110000"/>
    <s v="Vice President - Finance"/>
    <x v="4"/>
    <s v="USA"/>
    <x v="2"/>
    <x v="0"/>
    <n v="10"/>
  </r>
  <r>
    <s v="ID1920"/>
    <d v="2012-06-20T03:52:40"/>
    <n v="50000"/>
    <s v="USD"/>
    <n v="50000"/>
    <s v="Operations Analyst "/>
    <x v="0"/>
    <s v="USA"/>
    <x v="2"/>
    <x v="1"/>
    <n v="3.5"/>
  </r>
  <r>
    <s v="ID1921"/>
    <d v="2012-06-20T03:55:55"/>
    <n v="46000"/>
    <s v="USD"/>
    <n v="46000"/>
    <s v="Poultry Analyst"/>
    <x v="0"/>
    <s v="USA"/>
    <x v="2"/>
    <x v="0"/>
    <n v="8"/>
  </r>
  <r>
    <s v="ID1922"/>
    <d v="2012-06-20T05:03:44"/>
    <n v="115000"/>
    <s v="USD"/>
    <n v="115000"/>
    <s v="Business Analyst"/>
    <x v="0"/>
    <s v="USA"/>
    <x v="2"/>
    <x v="1"/>
    <n v="15"/>
  </r>
  <r>
    <s v="ID1924"/>
    <d v="2012-06-20T12:53:56"/>
    <n v="180000"/>
    <s v="INR"/>
    <n v="3205.4250037396623"/>
    <s v="Customer Resolution"/>
    <x v="0"/>
    <s v="India"/>
    <x v="0"/>
    <x v="0"/>
    <n v="3"/>
  </r>
  <r>
    <s v="ID1925"/>
    <d v="2012-06-20T13:05:17"/>
    <n v="60000"/>
    <s v="EUR"/>
    <n v="76223.966339496474"/>
    <s v="Project Manager"/>
    <x v="3"/>
    <s v="Europe"/>
    <x v="89"/>
    <x v="2"/>
    <n v="20"/>
  </r>
  <r>
    <s v="ID1927"/>
    <d v="2012-06-20T14:08:51"/>
    <n v="52500"/>
    <s v="USD"/>
    <n v="52500"/>
    <s v="Business Analist"/>
    <x v="0"/>
    <s v="south africa"/>
    <x v="11"/>
    <x v="0"/>
    <n v="21"/>
  </r>
  <r>
    <s v="ID1928"/>
    <d v="2012-06-20T20:58:23"/>
    <n v="100800"/>
    <s v="USD"/>
    <n v="100800"/>
    <s v="AVP"/>
    <x v="4"/>
    <s v="Oman"/>
    <x v="106"/>
    <x v="0"/>
    <n v="4"/>
  </r>
  <r>
    <s v="ID1929"/>
    <d v="2012-06-21T03:46:23"/>
    <n v="21000"/>
    <s v="USD"/>
    <n v="21000"/>
    <s v="eorl"/>
    <x v="9"/>
    <s v="India"/>
    <x v="0"/>
    <x v="1"/>
    <n v="5"/>
  </r>
  <r>
    <s v="ID1930"/>
    <d v="2012-06-21T04:06:15"/>
    <n v="40000"/>
    <s v="USD"/>
    <n v="40000"/>
    <s v="Corporate Trainer"/>
    <x v="0"/>
    <s v="USA"/>
    <x v="2"/>
    <x v="3"/>
    <n v="3"/>
  </r>
  <r>
    <s v="ID1931"/>
    <d v="2012-06-21T04:44:20"/>
    <n v="46359"/>
    <s v="USD"/>
    <n v="46359"/>
    <s v="Data Analyst"/>
    <x v="0"/>
    <s v="USA"/>
    <x v="2"/>
    <x v="1"/>
    <n v="5"/>
  </r>
  <r>
    <s v="ID1932"/>
    <d v="2012-06-21T04:46:24"/>
    <n v="70000"/>
    <s v="USD"/>
    <n v="70000"/>
    <s v="Administrative Coordinator"/>
    <x v="0"/>
    <s v="USA"/>
    <x v="2"/>
    <x v="0"/>
    <n v="1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4" cacheId="0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compact="0" compactData="0" gridDropZones="1" multipleFieldFilters="0">
  <location ref="L46:O58" firstHeaderRow="1" firstDataRow="2" firstDataCol="2"/>
  <pivotFields count="11">
    <pivotField dataField="1" compact="0" outline="0" showAll="0"/>
    <pivotField compact="0" numFmtId="165" outline="0" showAll="0"/>
    <pivotField compact="0" outline="0" showAll="0"/>
    <pivotField compact="0" outline="0" showAll="0"/>
    <pivotField dataField="1" compact="0" outline="0" showAll="0"/>
    <pivotField compact="0" outline="0" showAll="0"/>
    <pivotField axis="axisRow" compact="0" outline="0" showAll="0">
      <items count="11">
        <item x="5"/>
        <item x="0"/>
        <item x="8"/>
        <item x="1"/>
        <item x="4"/>
        <item x="2"/>
        <item x="3"/>
        <item x="9"/>
        <item x="7"/>
        <item x="6"/>
        <item t="default"/>
      </items>
    </pivotField>
    <pivotField compact="0" outline="0" showAll="0"/>
    <pivotField axis="axisRow" compact="0" outline="0" multipleItemSelectionAllowed="1" showAll="0" sortType="descending" defaultSubtotal="0">
      <items count="107">
        <item h="1" x="72"/>
        <item h="1" x="25"/>
        <item h="1" x="81"/>
        <item h="1" x="102"/>
        <item h="1" x="65"/>
        <item h="1" x="75"/>
        <item h="1" x="16"/>
        <item h="1" x="88"/>
        <item h="1" x="99"/>
        <item h="1" x="104"/>
        <item h="1" x="37"/>
        <item h="1" x="12"/>
        <item h="1" x="31"/>
        <item h="1" x="60"/>
        <item h="1" x="90"/>
        <item h="1" x="20"/>
        <item h="1" x="24"/>
        <item h="1" x="94"/>
        <item h="1" x="57"/>
        <item h="1" x="17"/>
        <item h="1" x="78"/>
        <item h="1" x="50"/>
        <item h="1" x="54"/>
        <item h="1" x="28"/>
        <item h="1" x="39"/>
        <item h="1" x="1"/>
        <item h="1" x="69"/>
        <item h="1" x="62"/>
        <item h="1" x="42"/>
        <item h="1" x="34"/>
        <item h="1" x="59"/>
        <item h="1" x="45"/>
        <item h="1" x="105"/>
        <item h="1" x="89"/>
        <item h="1" x="41"/>
        <item h="1" x="19"/>
        <item h="1" x="5"/>
        <item h="1" x="87"/>
        <item h="1" x="27"/>
        <item h="1" x="53"/>
        <item h="1" x="103"/>
        <item h="1" x="9"/>
        <item h="1" x="4"/>
        <item h="1" x="0"/>
        <item h="1" x="56"/>
        <item h="1" x="40"/>
        <item h="1" x="8"/>
        <item h="1" x="35"/>
        <item h="1" x="63"/>
        <item h="1" x="52"/>
        <item h="1" x="82"/>
        <item h="1" x="77"/>
        <item h="1" x="68"/>
        <item h="1" x="83"/>
        <item h="1" x="97"/>
        <item h="1" x="93"/>
        <item h="1" x="58"/>
        <item h="1" x="74"/>
        <item h="1" x="98"/>
        <item h="1" x="26"/>
        <item h="1" x="84"/>
        <item h="1" x="79"/>
        <item h="1" x="96"/>
        <item h="1" x="46"/>
        <item h="1" x="85"/>
        <item h="1" x="92"/>
        <item h="1" x="18"/>
        <item h="1" x="49"/>
        <item h="1" x="61"/>
        <item h="1" x="47"/>
        <item h="1" x="106"/>
        <item h="1" x="3"/>
        <item h="1" x="23"/>
        <item h="1" x="76"/>
        <item h="1" x="95"/>
        <item h="1" x="33"/>
        <item h="1" x="15"/>
        <item h="1" x="7"/>
        <item h="1" x="66"/>
        <item h="1" x="44"/>
        <item h="1" x="80"/>
        <item h="1" x="38"/>
        <item h="1" x="13"/>
        <item h="1" x="22"/>
        <item h="1" x="51"/>
        <item h="1" x="30"/>
        <item h="1" x="100"/>
        <item h="1" x="71"/>
        <item h="1" x="43"/>
        <item h="1" x="11"/>
        <item h="1" x="48"/>
        <item h="1" x="55"/>
        <item h="1" x="36"/>
        <item h="1" x="10"/>
        <item h="1" x="32"/>
        <item h="1" x="101"/>
        <item h="1" x="29"/>
        <item h="1" x="21"/>
        <item h="1" x="86"/>
        <item h="1" x="14"/>
        <item h="1" x="6"/>
        <item h="1" x="64"/>
        <item x="2"/>
        <item h="1" x="67"/>
        <item h="1" x="91"/>
        <item h="1" x="73"/>
        <item h="1" x="70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/>
    <pivotField compact="0" outline="0" showAll="0"/>
  </pivotFields>
  <rowFields count="2">
    <field x="8"/>
    <field x="6"/>
  </rowFields>
  <rowItems count="11">
    <i>
      <x v="10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t="grand">
      <x/>
    </i>
  </rowItems>
  <colFields count="1">
    <field x="-2"/>
  </colFields>
  <colItems count="2">
    <i>
      <x/>
    </i>
    <i i="1">
      <x v="1"/>
    </i>
  </colItems>
  <dataFields count="2">
    <dataField name="Average of Salary in USD" fld="4" subtotal="average" baseField="0" baseItem="1308088"/>
    <dataField name="Count of Unique ID" fld="0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3" cacheId="0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compact="0" compactData="0" gridDropZones="1" multipleFieldFilters="0">
  <location ref="L26:Q38" firstHeaderRow="1" firstDataRow="2" firstDataCol="1" rowPageCount="1" colPageCount="1"/>
  <pivotFields count="11">
    <pivotField dataField="1" compact="0" outline="0" showAll="0"/>
    <pivotField compact="0" numFmtId="165" outline="0" showAll="0"/>
    <pivotField compact="0" outline="0" showAll="0"/>
    <pivotField compact="0" outline="0" showAll="0"/>
    <pivotField dataField="1" compact="0" outline="0" showAll="0"/>
    <pivotField compact="0" outline="0" showAll="0"/>
    <pivotField axis="axisRow" compact="0" outline="0" showAll="0">
      <items count="11">
        <item x="5"/>
        <item x="0"/>
        <item x="8"/>
        <item x="1"/>
        <item x="4"/>
        <item x="2"/>
        <item x="3"/>
        <item x="9"/>
        <item x="7"/>
        <item x="6"/>
        <item t="default"/>
      </items>
    </pivotField>
    <pivotField compact="0" outline="0" showAll="0"/>
    <pivotField axis="axisPage" compact="0" outline="0" multipleItemSelectionAllowed="1" showAll="0" sortType="descending" defaultSubtotal="0">
      <items count="107">
        <item h="1" x="72"/>
        <item h="1" x="25"/>
        <item h="1" x="81"/>
        <item h="1" x="102"/>
        <item h="1" x="65"/>
        <item h="1" x="75"/>
        <item x="16"/>
        <item h="1" x="88"/>
        <item h="1" x="99"/>
        <item h="1" x="104"/>
        <item h="1" x="37"/>
        <item h="1" x="12"/>
        <item h="1" x="31"/>
        <item h="1" x="60"/>
        <item h="1" x="90"/>
        <item h="1" x="20"/>
        <item x="24"/>
        <item h="1" x="94"/>
        <item h="1" x="57"/>
        <item x="17"/>
        <item h="1" x="78"/>
        <item h="1" x="50"/>
        <item h="1" x="54"/>
        <item h="1" x="28"/>
        <item h="1" x="39"/>
        <item h="1" x="1"/>
        <item h="1" x="69"/>
        <item x="62"/>
        <item h="1" x="42"/>
        <item h="1" x="34"/>
        <item h="1" x="59"/>
        <item h="1" x="45"/>
        <item h="1" x="105"/>
        <item h="1" x="89"/>
        <item h="1" x="41"/>
        <item x="19"/>
        <item x="5"/>
        <item h="1" x="87"/>
        <item h="1" x="27"/>
        <item h="1" x="53"/>
        <item h="1" x="103"/>
        <item h="1" x="9"/>
        <item h="1" x="4"/>
        <item x="0"/>
        <item x="56"/>
        <item h="1" x="40"/>
        <item h="1" x="8"/>
        <item h="1" x="35"/>
        <item x="63"/>
        <item h="1" x="52"/>
        <item h="1" x="82"/>
        <item h="1" x="77"/>
        <item h="1" x="68"/>
        <item h="1" x="83"/>
        <item h="1" x="97"/>
        <item h="1" x="93"/>
        <item h="1" x="58"/>
        <item x="74"/>
        <item h="1" x="98"/>
        <item x="26"/>
        <item h="1" x="84"/>
        <item h="1" x="79"/>
        <item h="1" x="96"/>
        <item h="1" x="46"/>
        <item h="1" x="85"/>
        <item h="1" x="92"/>
        <item x="18"/>
        <item x="49"/>
        <item h="1" x="61"/>
        <item x="47"/>
        <item h="1" x="106"/>
        <item x="3"/>
        <item h="1" x="23"/>
        <item h="1" x="76"/>
        <item h="1" x="95"/>
        <item x="33"/>
        <item x="15"/>
        <item x="7"/>
        <item h="1" x="66"/>
        <item h="1" x="44"/>
        <item h="1" x="80"/>
        <item x="38"/>
        <item x="13"/>
        <item x="22"/>
        <item h="1" x="51"/>
        <item x="30"/>
        <item h="1" x="100"/>
        <item h="1" x="71"/>
        <item h="1" x="43"/>
        <item x="11"/>
        <item x="48"/>
        <item h="1" x="55"/>
        <item h="1" x="36"/>
        <item h="1" x="10"/>
        <item h="1" x="32"/>
        <item h="1" x="101"/>
        <item h="1" x="29"/>
        <item x="21"/>
        <item h="1" x="86"/>
        <item x="14"/>
        <item h="1" x="6"/>
        <item h="1" x="64"/>
        <item x="2"/>
        <item h="1" x="67"/>
        <item h="1" x="91"/>
        <item h="1" x="73"/>
        <item h="1" x="70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/>
    <pivotField dataField="1" compact="0" outline="0" showAll="0"/>
  </pivotFields>
  <rowFields count="1">
    <field x="6"/>
  </rowFields>
  <row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pageFields count="1">
    <pageField fld="8" hier="-1"/>
  </pageFields>
  <dataFields count="5">
    <dataField name="Average of Salary in USD" fld="4" subtotal="average" baseField="0" baseItem="1308088"/>
    <dataField name="Count of Unique ID" fld="0" subtotal="count" baseField="0" baseItem="0"/>
    <dataField name="Sum of Years of Experience" fld="10" baseField="6" baseItem="2"/>
    <dataField name="Count of Years of Experience2" fld="10" subtotal="count" baseField="0" baseItem="0"/>
    <dataField name="Average of Years of Experience" fld="10" subtotal="average" baseField="6" baseItem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PivotTable2" cacheId="0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compact="0" compactData="0" gridDropZones="1" multipleFieldFilters="0">
  <location ref="L4:N16" firstHeaderRow="1" firstDataRow="2" firstDataCol="1" rowPageCount="1" colPageCount="1"/>
  <pivotFields count="11">
    <pivotField dataField="1" compact="0" outline="0" showAll="0"/>
    <pivotField compact="0" numFmtId="165" outline="0" showAll="0"/>
    <pivotField compact="0" outline="0" showAll="0"/>
    <pivotField compact="0" outline="0" showAll="0"/>
    <pivotField dataField="1" compact="0" outline="0" showAll="0"/>
    <pivotField compact="0" outline="0" showAll="0"/>
    <pivotField axis="axisRow" compact="0" outline="0" showAll="0">
      <items count="11">
        <item x="5"/>
        <item x="0"/>
        <item x="8"/>
        <item x="1"/>
        <item x="4"/>
        <item x="2"/>
        <item x="3"/>
        <item x="9"/>
        <item x="7"/>
        <item x="6"/>
        <item t="default"/>
      </items>
    </pivotField>
    <pivotField compact="0" outline="0" showAll="0"/>
    <pivotField axis="axisPage" compact="0" outline="0" multipleItemSelectionAllowed="1" showAll="0" sortType="descending" defaultSubtotal="0">
      <items count="107">
        <item h="1" x="72"/>
        <item h="1" x="25"/>
        <item h="1" x="81"/>
        <item h="1" x="102"/>
        <item h="1" x="65"/>
        <item h="1" x="75"/>
        <item x="16"/>
        <item h="1" x="88"/>
        <item h="1" x="99"/>
        <item h="1" x="104"/>
        <item h="1" x="37"/>
        <item h="1" x="12"/>
        <item h="1" x="31"/>
        <item h="1" x="60"/>
        <item h="1" x="90"/>
        <item h="1" x="20"/>
        <item x="24"/>
        <item h="1" x="94"/>
        <item h="1" x="57"/>
        <item x="17"/>
        <item h="1" x="78"/>
        <item h="1" x="50"/>
        <item h="1" x="54"/>
        <item h="1" x="28"/>
        <item h="1" x="39"/>
        <item h="1" x="1"/>
        <item h="1" x="69"/>
        <item x="62"/>
        <item h="1" x="42"/>
        <item h="1" x="34"/>
        <item h="1" x="59"/>
        <item h="1" x="45"/>
        <item h="1" x="105"/>
        <item h="1" x="89"/>
        <item h="1" x="41"/>
        <item x="19"/>
        <item x="5"/>
        <item h="1" x="87"/>
        <item h="1" x="27"/>
        <item h="1" x="53"/>
        <item h="1" x="103"/>
        <item h="1" x="9"/>
        <item h="1" x="4"/>
        <item x="0"/>
        <item x="56"/>
        <item h="1" x="40"/>
        <item h="1" x="8"/>
        <item h="1" x="35"/>
        <item x="63"/>
        <item h="1" x="52"/>
        <item h="1" x="82"/>
        <item h="1" x="77"/>
        <item h="1" x="68"/>
        <item h="1" x="83"/>
        <item h="1" x="97"/>
        <item h="1" x="93"/>
        <item h="1" x="58"/>
        <item x="74"/>
        <item h="1" x="98"/>
        <item x="26"/>
        <item h="1" x="84"/>
        <item h="1" x="79"/>
        <item h="1" x="96"/>
        <item h="1" x="46"/>
        <item h="1" x="85"/>
        <item h="1" x="92"/>
        <item x="18"/>
        <item x="49"/>
        <item h="1" x="61"/>
        <item x="47"/>
        <item h="1" x="106"/>
        <item x="3"/>
        <item h="1" x="23"/>
        <item h="1" x="76"/>
        <item h="1" x="95"/>
        <item x="33"/>
        <item x="15"/>
        <item x="7"/>
        <item h="1" x="66"/>
        <item h="1" x="44"/>
        <item h="1" x="80"/>
        <item x="38"/>
        <item x="13"/>
        <item x="22"/>
        <item h="1" x="51"/>
        <item x="30"/>
        <item h="1" x="100"/>
        <item h="1" x="71"/>
        <item h="1" x="43"/>
        <item x="11"/>
        <item x="48"/>
        <item h="1" x="55"/>
        <item h="1" x="36"/>
        <item h="1" x="10"/>
        <item h="1" x="32"/>
        <item h="1" x="101"/>
        <item h="1" x="29"/>
        <item x="21"/>
        <item h="1" x="86"/>
        <item x="14"/>
        <item h="1" x="6"/>
        <item h="1" x="64"/>
        <item x="2"/>
        <item h="1" x="67"/>
        <item h="1" x="91"/>
        <item h="1" x="73"/>
        <item h="1" x="70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/>
    <pivotField compact="0" outline="0" showAll="0"/>
  </pivotFields>
  <rowFields count="1">
    <field x="6"/>
  </rowFields>
  <row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rowItems>
  <colFields count="1">
    <field x="-2"/>
  </colFields>
  <colItems count="2">
    <i>
      <x/>
    </i>
    <i i="1">
      <x v="1"/>
    </i>
  </colItems>
  <pageFields count="1">
    <pageField fld="8" hier="-1"/>
  </pageFields>
  <dataFields count="2">
    <dataField name="Average of Salary in USD" fld="4" subtotal="average" baseField="0" baseItem="1308088"/>
    <dataField name="Count of Unique ID" fld="0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>
  <location ref="A3:C111" firstHeaderRow="0" firstDataRow="1" firstDataCol="1" rowPageCount="1" colPageCount="1"/>
  <pivotFields count="11">
    <pivotField dataField="1" showAll="0"/>
    <pivotField numFmtId="165" showAll="0"/>
    <pivotField showAll="0"/>
    <pivotField showAll="0"/>
    <pivotField dataField="1" showAll="0"/>
    <pivotField showAll="0"/>
    <pivotField axis="axisPage" showAll="0">
      <items count="11">
        <item x="5"/>
        <item x="0"/>
        <item x="8"/>
        <item x="1"/>
        <item x="4"/>
        <item x="2"/>
        <item x="3"/>
        <item x="9"/>
        <item x="7"/>
        <item x="6"/>
        <item t="default"/>
      </items>
    </pivotField>
    <pivotField showAll="0"/>
    <pivotField axis="axisRow" showAll="0" sortType="descending">
      <items count="108">
        <item x="72"/>
        <item x="25"/>
        <item x="81"/>
        <item x="102"/>
        <item x="65"/>
        <item x="75"/>
        <item x="16"/>
        <item x="88"/>
        <item x="99"/>
        <item x="104"/>
        <item x="37"/>
        <item x="12"/>
        <item x="31"/>
        <item x="60"/>
        <item x="90"/>
        <item x="20"/>
        <item x="24"/>
        <item x="94"/>
        <item x="57"/>
        <item x="17"/>
        <item x="78"/>
        <item x="50"/>
        <item x="54"/>
        <item x="28"/>
        <item x="39"/>
        <item x="1"/>
        <item x="69"/>
        <item x="62"/>
        <item x="42"/>
        <item x="34"/>
        <item x="59"/>
        <item x="45"/>
        <item x="105"/>
        <item x="89"/>
        <item x="41"/>
        <item x="19"/>
        <item x="5"/>
        <item x="87"/>
        <item x="27"/>
        <item x="53"/>
        <item x="103"/>
        <item x="9"/>
        <item x="4"/>
        <item x="0"/>
        <item x="56"/>
        <item x="40"/>
        <item x="8"/>
        <item x="35"/>
        <item x="63"/>
        <item x="52"/>
        <item x="82"/>
        <item x="77"/>
        <item x="68"/>
        <item x="83"/>
        <item x="97"/>
        <item x="93"/>
        <item x="58"/>
        <item x="74"/>
        <item x="98"/>
        <item x="26"/>
        <item x="84"/>
        <item x="79"/>
        <item x="96"/>
        <item x="46"/>
        <item x="85"/>
        <item x="92"/>
        <item x="18"/>
        <item x="49"/>
        <item x="61"/>
        <item x="47"/>
        <item x="106"/>
        <item x="3"/>
        <item x="23"/>
        <item x="76"/>
        <item x="95"/>
        <item x="33"/>
        <item x="15"/>
        <item x="7"/>
        <item x="66"/>
        <item x="44"/>
        <item x="80"/>
        <item x="38"/>
        <item x="13"/>
        <item x="22"/>
        <item x="51"/>
        <item x="30"/>
        <item x="100"/>
        <item x="71"/>
        <item x="43"/>
        <item x="11"/>
        <item x="48"/>
        <item x="55"/>
        <item x="36"/>
        <item x="10"/>
        <item x="32"/>
        <item x="101"/>
        <item x="29"/>
        <item x="21"/>
        <item x="86"/>
        <item x="14"/>
        <item x="6"/>
        <item x="64"/>
        <item x="2"/>
        <item x="67"/>
        <item x="91"/>
        <item x="73"/>
        <item x="70"/>
        <item t="default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  <pivotField showAll="0"/>
    <pivotField showAll="0"/>
  </pivotFields>
  <rowFields count="1">
    <field x="8"/>
  </rowFields>
  <rowItems count="108">
    <i>
      <x v="102"/>
    </i>
    <i>
      <x v="43"/>
    </i>
    <i>
      <x v="99"/>
    </i>
    <i>
      <x v="6"/>
    </i>
    <i>
      <x v="19"/>
    </i>
    <i>
      <x v="71"/>
    </i>
    <i>
      <x v="66"/>
    </i>
    <i>
      <x v="89"/>
    </i>
    <i>
      <x v="97"/>
    </i>
    <i>
      <x v="36"/>
    </i>
    <i>
      <x v="16"/>
    </i>
    <i>
      <x v="67"/>
    </i>
    <i>
      <x v="85"/>
    </i>
    <i>
      <x v="83"/>
    </i>
    <i>
      <x v="75"/>
    </i>
    <i>
      <x v="90"/>
    </i>
    <i>
      <x v="59"/>
    </i>
    <i>
      <x v="77"/>
    </i>
    <i>
      <x v="82"/>
    </i>
    <i>
      <x v="44"/>
    </i>
    <i>
      <x v="57"/>
    </i>
    <i>
      <x v="69"/>
    </i>
    <i>
      <x v="27"/>
    </i>
    <i>
      <x v="81"/>
    </i>
    <i>
      <x v="76"/>
    </i>
    <i>
      <x v="35"/>
    </i>
    <i>
      <x v="48"/>
    </i>
    <i>
      <x v="33"/>
    </i>
    <i>
      <x v="23"/>
    </i>
    <i>
      <x v="91"/>
    </i>
    <i>
      <x v="41"/>
    </i>
    <i>
      <x v="46"/>
    </i>
    <i>
      <x v="47"/>
    </i>
    <i>
      <x v="93"/>
    </i>
    <i>
      <x v="11"/>
    </i>
    <i>
      <x v="100"/>
    </i>
    <i>
      <x v="29"/>
    </i>
    <i>
      <x v="68"/>
    </i>
    <i>
      <x v="15"/>
    </i>
    <i>
      <x v="38"/>
    </i>
    <i>
      <x v="78"/>
    </i>
    <i>
      <x v="45"/>
    </i>
    <i>
      <x v="34"/>
    </i>
    <i>
      <x v="25"/>
    </i>
    <i>
      <x v="49"/>
    </i>
    <i>
      <x v="51"/>
    </i>
    <i>
      <x v="94"/>
    </i>
    <i>
      <x v="10"/>
    </i>
    <i>
      <x v="64"/>
    </i>
    <i>
      <x v="20"/>
    </i>
    <i>
      <x v="92"/>
    </i>
    <i>
      <x v="22"/>
    </i>
    <i>
      <x v="96"/>
    </i>
    <i>
      <x v="105"/>
    </i>
    <i>
      <x v="72"/>
    </i>
    <i>
      <x v="86"/>
    </i>
    <i>
      <x v="104"/>
    </i>
    <i>
      <x/>
    </i>
    <i>
      <x v="56"/>
    </i>
    <i>
      <x v="12"/>
    </i>
    <i>
      <x v="1"/>
    </i>
    <i>
      <x v="39"/>
    </i>
    <i>
      <x v="58"/>
    </i>
    <i>
      <x v="98"/>
    </i>
    <i>
      <x v="24"/>
    </i>
    <i>
      <x v="80"/>
    </i>
    <i>
      <x v="60"/>
    </i>
    <i>
      <x v="84"/>
    </i>
    <i>
      <x v="61"/>
    </i>
    <i>
      <x v="88"/>
    </i>
    <i>
      <x v="62"/>
    </i>
    <i>
      <x v="21"/>
    </i>
    <i>
      <x v="63"/>
    </i>
    <i>
      <x v="54"/>
    </i>
    <i>
      <x v="50"/>
    </i>
    <i>
      <x v="55"/>
    </i>
    <i>
      <x v="65"/>
    </i>
    <i>
      <x v="79"/>
    </i>
    <i>
      <x v="7"/>
    </i>
    <i>
      <x v="2"/>
    </i>
    <i>
      <x v="26"/>
    </i>
    <i>
      <x v="13"/>
    </i>
    <i>
      <x v="8"/>
    </i>
    <i>
      <x v="37"/>
    </i>
    <i>
      <x v="28"/>
    </i>
    <i>
      <x v="87"/>
    </i>
    <i>
      <x v="70"/>
    </i>
    <i>
      <x v="14"/>
    </i>
    <i>
      <x v="9"/>
    </i>
    <i>
      <x v="40"/>
    </i>
    <i>
      <x v="17"/>
    </i>
    <i>
      <x v="3"/>
    </i>
    <i>
      <x v="101"/>
    </i>
    <i>
      <x v="95"/>
    </i>
    <i>
      <x v="103"/>
    </i>
    <i>
      <x v="42"/>
    </i>
    <i>
      <x v="30"/>
    </i>
    <i>
      <x v="4"/>
    </i>
    <i>
      <x v="31"/>
    </i>
    <i>
      <x v="32"/>
    </i>
    <i>
      <x v="18"/>
    </i>
    <i>
      <x v="73"/>
    </i>
    <i>
      <x v="5"/>
    </i>
    <i>
      <x v="74"/>
    </i>
    <i>
      <x v="106"/>
    </i>
    <i>
      <x v="52"/>
    </i>
    <i>
      <x v="53"/>
    </i>
    <i t="grand">
      <x/>
    </i>
  </rowItems>
  <colFields count="1">
    <field x="-2"/>
  </colFields>
  <colItems count="2">
    <i>
      <x/>
    </i>
    <i i="1">
      <x v="1"/>
    </i>
  </colItems>
  <pageFields count="1">
    <pageField fld="6" hier="-1"/>
  </pageFields>
  <dataFields count="2">
    <dataField name="Average of Salary in USD" fld="4" subtotal="average" baseField="0" baseItem="1308088"/>
    <dataField name="Count of Unique ID" fld="0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5.xml><?xml version="1.0" encoding="utf-8"?>
<pivotTableDefinition xmlns="http://schemas.openxmlformats.org/spreadsheetml/2006/main" name="PivotTable5" cacheId="0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compact="0" compactData="0" gridDropZones="1" multipleFieldFilters="0">
  <location ref="L67:P79" firstHeaderRow="1" firstDataRow="2" firstDataCol="2" rowPageCount="1" colPageCount="1"/>
  <pivotFields count="11">
    <pivotField dataField="1" compact="0" outline="0" showAll="0"/>
    <pivotField compact="0" numFmtId="165" outline="0" showAll="0"/>
    <pivotField compact="0" outline="0" showAll="0"/>
    <pivotField compact="0" outline="0" showAll="0"/>
    <pivotField dataField="1" compact="0" outline="0" showAll="0"/>
    <pivotField compact="0" outline="0" showAll="0"/>
    <pivotField axis="axisRow" compact="0" outline="0" multipleItemSelectionAllowed="1" showAll="0" sortType="descending" defaultSubtotal="0">
      <items count="10">
        <item h="1" x="5"/>
        <item x="0"/>
        <item h="1" x="8"/>
        <item h="1" x="1"/>
        <item h="1" x="4"/>
        <item h="1" x="2"/>
        <item x="3"/>
        <item h="1" x="9"/>
        <item h="1" x="7"/>
        <item h="1" x="6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outline="0" showAll="0"/>
    <pivotField axis="axisPage" compact="0" outline="0" multipleItemSelectionAllowed="1" showAll="0" sortType="descending" defaultSubtotal="0">
      <items count="107">
        <item h="1" x="72"/>
        <item h="1" x="25"/>
        <item h="1" x="81"/>
        <item h="1" x="102"/>
        <item h="1" x="65"/>
        <item h="1" x="75"/>
        <item x="16"/>
        <item h="1" x="88"/>
        <item h="1" x="99"/>
        <item h="1" x="104"/>
        <item h="1" x="37"/>
        <item h="1" x="12"/>
        <item h="1" x="31"/>
        <item h="1" x="60"/>
        <item h="1" x="90"/>
        <item h="1" x="20"/>
        <item x="24"/>
        <item h="1" x="94"/>
        <item h="1" x="57"/>
        <item x="17"/>
        <item h="1" x="78"/>
        <item h="1" x="50"/>
        <item h="1" x="54"/>
        <item h="1" x="28"/>
        <item h="1" x="39"/>
        <item h="1" x="1"/>
        <item h="1" x="69"/>
        <item x="62"/>
        <item h="1" x="42"/>
        <item h="1" x="34"/>
        <item h="1" x="59"/>
        <item h="1" x="45"/>
        <item h="1" x="105"/>
        <item h="1" x="89"/>
        <item h="1" x="41"/>
        <item x="19"/>
        <item x="5"/>
        <item h="1" x="87"/>
        <item h="1" x="27"/>
        <item h="1" x="53"/>
        <item h="1" x="103"/>
        <item h="1" x="9"/>
        <item h="1" x="4"/>
        <item x="0"/>
        <item x="56"/>
        <item h="1" x="40"/>
        <item h="1" x="8"/>
        <item h="1" x="35"/>
        <item x="63"/>
        <item h="1" x="52"/>
        <item h="1" x="82"/>
        <item h="1" x="77"/>
        <item h="1" x="68"/>
        <item h="1" x="83"/>
        <item h="1" x="97"/>
        <item h="1" x="93"/>
        <item h="1" x="58"/>
        <item x="74"/>
        <item h="1" x="98"/>
        <item x="26"/>
        <item h="1" x="84"/>
        <item h="1" x="79"/>
        <item h="1" x="96"/>
        <item h="1" x="46"/>
        <item h="1" x="85"/>
        <item h="1" x="92"/>
        <item x="18"/>
        <item x="49"/>
        <item h="1" x="61"/>
        <item x="47"/>
        <item h="1" x="106"/>
        <item x="3"/>
        <item h="1" x="23"/>
        <item h="1" x="76"/>
        <item h="1" x="95"/>
        <item x="33"/>
        <item x="15"/>
        <item x="7"/>
        <item h="1" x="66"/>
        <item h="1" x="44"/>
        <item h="1" x="80"/>
        <item x="38"/>
        <item x="13"/>
        <item x="22"/>
        <item h="1" x="51"/>
        <item x="30"/>
        <item h="1" x="100"/>
        <item h="1" x="71"/>
        <item h="1" x="43"/>
        <item x="11"/>
        <item x="48"/>
        <item h="1" x="55"/>
        <item h="1" x="36"/>
        <item h="1" x="10"/>
        <item h="1" x="32"/>
        <item h="1" x="101"/>
        <item h="1" x="29"/>
        <item x="21"/>
        <item h="1" x="86"/>
        <item x="14"/>
        <item h="1" x="6"/>
        <item h="1" x="64"/>
        <item x="2"/>
        <item h="1" x="67"/>
        <item h="1" x="91"/>
        <item h="1" x="73"/>
        <item h="1" x="70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6">
        <item x="3"/>
        <item x="2"/>
        <item x="0"/>
        <item x="1"/>
        <item x="4"/>
        <item t="default"/>
      </items>
    </pivotField>
    <pivotField dataField="1" compact="0" outline="0" showAll="0"/>
  </pivotFields>
  <rowFields count="2">
    <field x="6"/>
    <field x="9"/>
  </rowFields>
  <rowItems count="11">
    <i>
      <x v="1"/>
      <x/>
    </i>
    <i r="1">
      <x v="1"/>
    </i>
    <i r="1">
      <x v="2"/>
    </i>
    <i r="1">
      <x v="3"/>
    </i>
    <i r="1">
      <x v="4"/>
    </i>
    <i>
      <x v="6"/>
      <x/>
    </i>
    <i r="1">
      <x v="1"/>
    </i>
    <i r="1">
      <x v="2"/>
    </i>
    <i r="1">
      <x v="3"/>
    </i>
    <i r="1">
      <x v="4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8" hier="-1"/>
  </pageFields>
  <dataFields count="3">
    <dataField name="Count of Unique ID" fld="0" subtotal="count" baseField="0" baseItem="0"/>
    <dataField name="Average of Salary in USD" fld="4" subtotal="average" baseField="6" baseItem="0"/>
    <dataField name="Average of Years of Experience" fld="10" subtotal="average" baseField="9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ables/table1.xml><?xml version="1.0" encoding="utf-8"?>
<table xmlns="http://schemas.openxmlformats.org/spreadsheetml/2006/main" id="1" name="tblSalaries" displayName="tblSalaries" ref="A1:K1884" totalsRowShown="0">
  <sortState ref="A2:L1884">
    <sortCondition ref="A5:A1888"/>
  </sortState>
  <tableColumns count="11">
    <tableColumn id="1" name="Unique ID"/>
    <tableColumn id="2" name="Timestamp" dataDxfId="3"/>
    <tableColumn id="4" name="clean Salary (in local currency)"/>
    <tableColumn id="5" name="Currency"/>
    <tableColumn id="13" name="Salary in USD" dataDxfId="2">
      <calculatedColumnFormula>tblSalaries[[#This Row],[clean Salary (in local currency)]]*VLOOKUP(tblSalaries[[#This Row],[Currency]],[1]!tblXrate[#Data],2,FALSE)</calculatedColumnFormula>
    </tableColumn>
    <tableColumn id="7" name="Your Job Title"/>
    <tableColumn id="6" name="Job Type"/>
    <tableColumn id="8" name="Where do you work"/>
    <tableColumn id="10" name="clean Country" dataDxfId="1">
      <calculatedColumnFormula>VLOOKUP(tblSalaries[[#This Row],[Where do you work]],[1]!tblCountries[[Actual]:[Mapping]],2,FALSE)</calculatedColumnFormula>
    </tableColumn>
    <tableColumn id="9" name="How many hours of a day you work on Excel"/>
    <tableColumn id="12" name="Years of Experienc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7" Type="http://schemas.openxmlformats.org/officeDocument/2006/relationships/drawing" Target="../drawings/drawing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rinterSettings" Target="../printerSettings/printerSettings4.bin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01" enableFormatConditionsCalculation="0">
    <pageSetUpPr fitToPage="1"/>
  </sheetPr>
  <dimension ref="A1:BG49"/>
  <sheetViews>
    <sheetView showGridLines="0" tabSelected="1" zoomScale="85" zoomScaleNormal="85" workbookViewId="0"/>
  </sheetViews>
  <sheetFormatPr defaultColWidth="10.7109375" defaultRowHeight="12.75" customHeight="1" x14ac:dyDescent="0.2"/>
  <cols>
    <col min="1" max="1" width="1.7109375" style="17" customWidth="1"/>
    <col min="2" max="2" width="9.28515625" style="17" customWidth="1"/>
    <col min="3" max="3" width="13" style="17" customWidth="1"/>
    <col min="4" max="18" width="10.7109375" style="17" customWidth="1"/>
    <col min="19" max="19" width="1.7109375" style="17" customWidth="1"/>
    <col min="20" max="20" width="4.42578125" style="17" customWidth="1"/>
    <col min="21" max="16384" width="10.7109375" style="17"/>
  </cols>
  <sheetData>
    <row r="1" spans="1:59" s="2" customFormat="1" ht="5.0999999999999996" customHeight="1" x14ac:dyDescent="0.2">
      <c r="A1"/>
      <c r="B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</row>
    <row r="2" spans="1:59" ht="35.25" customHeight="1" x14ac:dyDescent="0.25">
      <c r="A2" s="1"/>
      <c r="B2" s="1"/>
      <c r="F2" s="70"/>
      <c r="G2" s="56"/>
      <c r="H2" s="56"/>
      <c r="I2" s="56"/>
      <c r="J2" s="74" t="s">
        <v>4053</v>
      </c>
      <c r="K2" s="75"/>
      <c r="L2" s="75"/>
      <c r="M2" s="75"/>
      <c r="N2" s="76"/>
      <c r="O2" s="77" t="s">
        <v>4054</v>
      </c>
      <c r="P2" s="56"/>
      <c r="Q2" s="56"/>
      <c r="R2" s="18"/>
      <c r="S2" s="18"/>
    </row>
    <row r="3" spans="1:59" ht="23.25" x14ac:dyDescent="0.2">
      <c r="A3" s="18"/>
      <c r="B3" s="18"/>
      <c r="C3" s="18"/>
      <c r="D3" s="18"/>
      <c r="E3" s="69" t="s">
        <v>4040</v>
      </c>
      <c r="F3" s="18"/>
      <c r="G3" s="18"/>
      <c r="H3" s="18"/>
      <c r="I3" s="18"/>
      <c r="J3" s="72">
        <f>Control!E16</f>
        <v>11873.552586779413</v>
      </c>
      <c r="K3" s="18"/>
      <c r="L3" s="18"/>
      <c r="M3" s="18"/>
      <c r="O3" s="73">
        <f>Control!E15</f>
        <v>99016.174371435307</v>
      </c>
      <c r="P3" s="18"/>
      <c r="Q3" s="18"/>
      <c r="R3" s="18"/>
      <c r="S3" s="18"/>
    </row>
    <row r="4" spans="1:59" x14ac:dyDescent="0.2">
      <c r="A4" s="18"/>
      <c r="B4" s="18"/>
      <c r="C4" s="18"/>
      <c r="D4" s="18"/>
      <c r="E4" s="18"/>
      <c r="F4" s="18"/>
      <c r="G4" s="18"/>
      <c r="H4" s="18"/>
      <c r="I4" s="18"/>
      <c r="J4" s="18"/>
      <c r="K4" s="18"/>
      <c r="L4" s="18"/>
      <c r="M4" s="18"/>
      <c r="N4" s="18"/>
      <c r="O4" s="18"/>
      <c r="P4" s="18"/>
      <c r="Q4" s="18"/>
      <c r="R4" s="18"/>
      <c r="S4" s="18"/>
    </row>
    <row r="5" spans="1:59" ht="12.75" customHeight="1" x14ac:dyDescent="0.2">
      <c r="A5" s="18"/>
      <c r="B5" s="18"/>
      <c r="C5" s="18"/>
      <c r="D5" s="18"/>
      <c r="E5" s="18"/>
      <c r="F5" s="18"/>
      <c r="G5" s="18"/>
      <c r="H5" s="18"/>
      <c r="I5" s="18"/>
      <c r="J5" s="18"/>
      <c r="K5" s="18"/>
      <c r="L5" s="18"/>
      <c r="M5" s="18"/>
      <c r="N5" s="18"/>
      <c r="O5" s="18"/>
      <c r="P5" s="18"/>
      <c r="Q5" s="18"/>
      <c r="R5" s="18"/>
      <c r="S5" s="18"/>
      <c r="AP5" s="2"/>
      <c r="AQ5" s="2"/>
      <c r="BG5" s="2"/>
    </row>
    <row r="6" spans="1:59" ht="12.75" customHeight="1" x14ac:dyDescent="0.2">
      <c r="A6" s="18"/>
      <c r="B6" s="18"/>
      <c r="C6" s="18"/>
      <c r="D6" s="18"/>
      <c r="E6" s="18"/>
      <c r="F6" s="18"/>
      <c r="G6" s="18"/>
      <c r="H6" s="18"/>
      <c r="I6" s="18"/>
      <c r="J6" s="18"/>
      <c r="K6" s="18"/>
      <c r="L6" s="18"/>
      <c r="M6" s="18"/>
      <c r="N6" s="18"/>
      <c r="O6" s="18"/>
      <c r="P6" s="18"/>
      <c r="Q6" s="18"/>
      <c r="R6" s="18"/>
      <c r="S6" s="18"/>
      <c r="AR6" s="2"/>
      <c r="AS6" s="2"/>
    </row>
    <row r="7" spans="1:59" ht="12.75" customHeight="1" x14ac:dyDescent="0.2">
      <c r="A7" s="18"/>
      <c r="B7" s="18"/>
      <c r="C7" s="18"/>
      <c r="D7" s="18"/>
      <c r="E7" s="18"/>
      <c r="F7" s="18"/>
      <c r="G7" s="18"/>
      <c r="H7" s="18"/>
      <c r="I7" s="18"/>
      <c r="J7" s="18"/>
      <c r="K7" s="18"/>
      <c r="L7" s="18"/>
      <c r="M7" s="18"/>
      <c r="N7" s="18"/>
      <c r="O7" s="18"/>
      <c r="P7" s="18"/>
      <c r="Q7" s="18"/>
      <c r="R7" s="18"/>
      <c r="S7" s="18"/>
    </row>
    <row r="8" spans="1:59" ht="12.75" customHeight="1" x14ac:dyDescent="0.2">
      <c r="A8" s="18"/>
      <c r="B8" s="18"/>
      <c r="C8" s="18"/>
      <c r="D8" s="18"/>
      <c r="E8" s="18"/>
      <c r="F8" s="18"/>
      <c r="G8" s="18"/>
      <c r="H8" s="18"/>
      <c r="I8" s="18"/>
      <c r="J8" s="18"/>
      <c r="K8" s="18"/>
      <c r="L8" s="18"/>
      <c r="M8" s="18"/>
      <c r="N8" s="18"/>
      <c r="O8" s="18"/>
      <c r="P8" s="18"/>
      <c r="Q8" s="18"/>
      <c r="R8" s="18"/>
      <c r="S8" s="18"/>
    </row>
    <row r="9" spans="1:59" ht="12.75" customHeight="1" x14ac:dyDescent="0.2">
      <c r="A9" s="18"/>
      <c r="B9" s="18"/>
      <c r="C9" s="18"/>
      <c r="D9" s="18"/>
      <c r="E9" s="18"/>
      <c r="F9" s="18"/>
      <c r="G9" s="18"/>
      <c r="H9" s="18"/>
      <c r="I9" s="18"/>
      <c r="J9" s="18"/>
      <c r="K9" s="18"/>
      <c r="L9" s="18"/>
      <c r="M9" s="18"/>
      <c r="N9" s="18"/>
      <c r="O9" s="18"/>
      <c r="P9" s="18"/>
      <c r="Q9" s="18"/>
      <c r="R9" s="18"/>
      <c r="S9" s="18"/>
    </row>
    <row r="10" spans="1:59" ht="12.75" customHeight="1" x14ac:dyDescent="0.2">
      <c r="A10" s="18"/>
      <c r="B10" s="18"/>
      <c r="C10" s="18"/>
      <c r="D10" s="18"/>
      <c r="E10" s="18"/>
      <c r="F10" s="18"/>
      <c r="G10" s="18"/>
      <c r="H10" s="18"/>
      <c r="I10" s="18"/>
      <c r="J10" s="18"/>
      <c r="K10" s="18"/>
      <c r="L10" s="18"/>
      <c r="M10" s="18"/>
      <c r="N10" s="18"/>
      <c r="O10" s="18"/>
      <c r="P10" s="18"/>
      <c r="Q10" s="18"/>
      <c r="R10" s="18"/>
      <c r="S10" s="18"/>
    </row>
    <row r="11" spans="1:59" ht="12.75" customHeight="1" x14ac:dyDescent="0.2">
      <c r="A11" s="18"/>
      <c r="B11" s="18"/>
      <c r="C11" s="18"/>
      <c r="D11" s="18"/>
      <c r="E11" s="18"/>
      <c r="F11" s="18"/>
      <c r="G11" s="18"/>
      <c r="H11" s="18"/>
      <c r="I11" s="18"/>
      <c r="J11" s="18"/>
      <c r="K11" s="18"/>
      <c r="L11" s="18"/>
      <c r="M11" s="18"/>
      <c r="N11" s="18"/>
      <c r="O11" s="18"/>
      <c r="P11" s="18"/>
      <c r="Q11" s="18"/>
      <c r="R11" s="18"/>
      <c r="S11" s="18"/>
    </row>
    <row r="12" spans="1:59" ht="12.75" customHeight="1" x14ac:dyDescent="0.2">
      <c r="A12" s="18"/>
      <c r="B12" s="18"/>
      <c r="C12" s="18"/>
      <c r="D12" s="18"/>
      <c r="E12" s="18"/>
      <c r="F12" s="18"/>
      <c r="G12" s="18"/>
      <c r="H12" s="18"/>
      <c r="I12" s="18"/>
      <c r="J12" s="18"/>
      <c r="K12" s="18"/>
      <c r="L12" s="18"/>
      <c r="M12" s="18"/>
      <c r="N12" s="18"/>
      <c r="O12" s="18"/>
      <c r="P12" s="18"/>
      <c r="Q12" s="18"/>
      <c r="R12" s="18"/>
      <c r="S12" s="18"/>
    </row>
    <row r="13" spans="1:59" ht="12.75" customHeight="1" x14ac:dyDescent="0.2">
      <c r="A13" s="18"/>
      <c r="B13" s="18"/>
      <c r="C13" s="18"/>
      <c r="D13" s="18"/>
      <c r="E13" s="18"/>
      <c r="F13" s="18"/>
      <c r="G13" s="18"/>
      <c r="H13" s="18"/>
      <c r="I13" s="18"/>
      <c r="J13" s="18"/>
      <c r="K13" s="18"/>
      <c r="L13" s="18"/>
      <c r="M13" s="18"/>
      <c r="N13" s="18"/>
      <c r="O13" s="18"/>
      <c r="P13" s="18"/>
      <c r="Q13" s="18"/>
      <c r="R13" s="18"/>
      <c r="S13" s="18"/>
    </row>
    <row r="14" spans="1:59" ht="12.75" customHeight="1" x14ac:dyDescent="0.2">
      <c r="A14" s="18"/>
      <c r="B14" s="18"/>
      <c r="C14" s="18"/>
      <c r="D14" s="18"/>
      <c r="E14" s="18"/>
      <c r="F14" s="18"/>
      <c r="G14" s="18"/>
      <c r="H14" s="18"/>
      <c r="I14" s="18"/>
      <c r="J14" s="18"/>
      <c r="K14" s="18"/>
      <c r="L14" s="18"/>
      <c r="M14" s="18"/>
      <c r="N14" s="18"/>
      <c r="O14" s="18"/>
      <c r="P14" s="18"/>
      <c r="Q14" s="18"/>
      <c r="R14" s="18"/>
      <c r="S14" s="18"/>
    </row>
    <row r="15" spans="1:59" ht="12.75" customHeight="1" x14ac:dyDescent="0.2">
      <c r="A15" s="18"/>
      <c r="B15" s="18"/>
      <c r="C15" s="18"/>
      <c r="D15" s="18"/>
      <c r="E15" s="18"/>
      <c r="F15" s="18"/>
      <c r="G15" s="18"/>
      <c r="H15" s="18"/>
      <c r="I15" s="18"/>
      <c r="J15" s="18"/>
      <c r="K15" s="18"/>
      <c r="L15" s="18"/>
      <c r="M15" s="18"/>
      <c r="N15" s="18"/>
      <c r="O15" s="18"/>
      <c r="P15" s="18"/>
      <c r="Q15" s="18"/>
      <c r="R15" s="18"/>
      <c r="S15" s="18"/>
    </row>
    <row r="16" spans="1:59" ht="12.75" customHeight="1" x14ac:dyDescent="0.2">
      <c r="A16" s="18"/>
      <c r="B16" s="18"/>
      <c r="C16" s="18"/>
      <c r="D16" s="18"/>
      <c r="E16" s="18"/>
      <c r="F16" s="18"/>
      <c r="G16" s="18"/>
      <c r="H16" s="18"/>
      <c r="I16" s="18"/>
      <c r="J16" s="18"/>
      <c r="K16" s="18"/>
      <c r="L16" s="18"/>
      <c r="M16" s="18"/>
      <c r="N16" s="18"/>
      <c r="O16" s="18"/>
      <c r="P16" s="18"/>
      <c r="Q16" s="18"/>
      <c r="R16" s="18"/>
      <c r="S16" s="18"/>
    </row>
    <row r="17" spans="1:19" ht="12.75" customHeight="1" x14ac:dyDescent="0.2">
      <c r="A17" s="18"/>
      <c r="B17" s="18"/>
      <c r="C17" s="18"/>
      <c r="D17" s="18"/>
      <c r="E17" s="18"/>
      <c r="F17" s="18"/>
      <c r="G17" s="18"/>
      <c r="H17" s="18"/>
      <c r="I17" s="18"/>
      <c r="J17" s="18"/>
      <c r="K17" s="18"/>
      <c r="L17" s="18"/>
      <c r="M17" s="18"/>
      <c r="N17" s="18"/>
      <c r="O17" s="18"/>
      <c r="P17" s="18"/>
      <c r="Q17" s="18"/>
      <c r="R17" s="18"/>
      <c r="S17" s="18"/>
    </row>
    <row r="18" spans="1:19" ht="12.75" customHeight="1" x14ac:dyDescent="0.2">
      <c r="A18" s="18"/>
      <c r="B18" s="18"/>
      <c r="C18" s="18"/>
      <c r="D18" s="18"/>
      <c r="E18" s="18"/>
      <c r="F18" s="18"/>
      <c r="G18" s="18"/>
      <c r="H18" s="18"/>
      <c r="I18" s="18"/>
      <c r="J18" s="18"/>
      <c r="K18" s="18"/>
      <c r="L18" s="18"/>
      <c r="M18" s="18"/>
      <c r="N18" s="18"/>
      <c r="O18" s="18"/>
      <c r="P18" s="18"/>
      <c r="Q18" s="18"/>
      <c r="R18" s="18"/>
      <c r="S18" s="18"/>
    </row>
    <row r="19" spans="1:19" ht="12.75" customHeight="1" x14ac:dyDescent="0.2">
      <c r="A19" s="18"/>
      <c r="B19" s="18"/>
      <c r="C19" s="18"/>
      <c r="D19" s="18"/>
      <c r="E19" s="18"/>
      <c r="F19" s="18"/>
      <c r="G19" s="18"/>
      <c r="H19" s="18"/>
      <c r="I19" s="18"/>
      <c r="J19" s="18"/>
      <c r="K19" s="18"/>
      <c r="L19" s="18"/>
      <c r="M19" s="18"/>
      <c r="N19" s="18"/>
      <c r="O19" s="18"/>
      <c r="P19" s="18"/>
      <c r="Q19" s="18"/>
      <c r="R19" s="18"/>
      <c r="S19" s="18"/>
    </row>
    <row r="20" spans="1:19" ht="12.75" customHeight="1" x14ac:dyDescent="0.2">
      <c r="A20" s="18"/>
      <c r="B20" s="18"/>
      <c r="C20" s="18"/>
      <c r="D20" s="18"/>
      <c r="E20" s="18"/>
      <c r="F20" s="18"/>
      <c r="G20" s="18"/>
      <c r="H20" s="18"/>
      <c r="I20" s="18"/>
      <c r="J20" s="18"/>
      <c r="K20" s="18"/>
      <c r="L20" s="18"/>
      <c r="M20" s="18"/>
      <c r="N20" s="18"/>
      <c r="O20" s="18"/>
      <c r="P20" s="18"/>
      <c r="Q20" s="18"/>
      <c r="R20" s="18"/>
      <c r="S20" s="18"/>
    </row>
    <row r="21" spans="1:19" ht="12.75" customHeight="1" x14ac:dyDescent="0.2">
      <c r="A21" s="18"/>
      <c r="B21" s="18"/>
      <c r="C21" s="18"/>
      <c r="D21" s="18"/>
      <c r="E21" s="18"/>
      <c r="F21" s="18"/>
      <c r="G21" s="18"/>
      <c r="H21" s="18"/>
      <c r="I21" s="18"/>
      <c r="J21" s="18"/>
      <c r="K21" s="18"/>
      <c r="L21" s="18"/>
      <c r="M21" s="18"/>
      <c r="N21" s="18"/>
      <c r="O21" s="18"/>
      <c r="P21" s="18"/>
      <c r="Q21" s="18"/>
      <c r="R21" s="18"/>
      <c r="S21" s="18"/>
    </row>
    <row r="22" spans="1:19" ht="12.75" customHeight="1" x14ac:dyDescent="0.2">
      <c r="A22" s="18"/>
      <c r="B22" s="18"/>
      <c r="C22" s="18"/>
      <c r="D22" s="18"/>
      <c r="E22" s="18"/>
      <c r="F22" s="18"/>
      <c r="G22" s="18"/>
      <c r="H22" s="18"/>
      <c r="I22" s="18"/>
      <c r="J22" s="18"/>
      <c r="K22" s="18"/>
      <c r="L22" s="18"/>
      <c r="M22" s="18"/>
      <c r="N22" s="18"/>
      <c r="O22" s="18"/>
      <c r="P22" s="18"/>
      <c r="Q22" s="18"/>
      <c r="R22" s="18"/>
      <c r="S22" s="18"/>
    </row>
    <row r="23" spans="1:19" ht="12.75" customHeight="1" x14ac:dyDescent="0.2">
      <c r="A23" s="18"/>
      <c r="B23" s="18"/>
      <c r="C23" s="18"/>
      <c r="D23" s="18"/>
      <c r="E23" s="18"/>
      <c r="F23" s="18"/>
      <c r="G23" s="18"/>
      <c r="H23" s="18"/>
      <c r="I23" s="18"/>
      <c r="J23" s="18"/>
      <c r="K23" s="18"/>
      <c r="L23" s="18"/>
      <c r="M23" s="18"/>
      <c r="N23" s="18"/>
      <c r="O23" s="18"/>
      <c r="P23" s="18"/>
      <c r="Q23" s="18"/>
      <c r="R23" s="18"/>
      <c r="S23" s="18"/>
    </row>
    <row r="24" spans="1:19" ht="12.75" customHeight="1" x14ac:dyDescent="0.2">
      <c r="A24" s="18"/>
      <c r="B24" s="18"/>
      <c r="C24" s="18"/>
      <c r="D24" s="18"/>
      <c r="E24" s="18"/>
      <c r="F24" s="18"/>
      <c r="G24" s="18"/>
      <c r="H24" s="18"/>
      <c r="I24" s="18"/>
      <c r="J24" s="18"/>
      <c r="K24" s="18"/>
      <c r="L24" s="18"/>
      <c r="M24" s="18"/>
      <c r="N24" s="18"/>
      <c r="O24" s="18"/>
      <c r="P24" s="18"/>
      <c r="Q24" s="18"/>
      <c r="R24" s="18"/>
      <c r="S24" s="18"/>
    </row>
    <row r="25" spans="1:19" ht="12.75" customHeight="1" x14ac:dyDescent="0.2">
      <c r="A25" s="18"/>
      <c r="B25" s="18"/>
      <c r="C25" s="18"/>
      <c r="D25" s="18"/>
      <c r="E25" s="18"/>
      <c r="F25" s="18"/>
      <c r="G25" s="18"/>
      <c r="H25" s="18"/>
      <c r="I25" s="18"/>
      <c r="J25" s="18"/>
      <c r="K25" s="18"/>
      <c r="L25" s="18"/>
      <c r="M25" s="18"/>
      <c r="N25" s="18"/>
      <c r="O25" s="18"/>
      <c r="P25" s="18"/>
      <c r="Q25" s="18"/>
      <c r="R25" s="18"/>
      <c r="S25" s="18"/>
    </row>
    <row r="26" spans="1:19" ht="12.75" customHeight="1" x14ac:dyDescent="0.2">
      <c r="A26" s="18"/>
      <c r="B26" s="18"/>
      <c r="C26" s="18"/>
      <c r="D26" s="18"/>
      <c r="E26" s="18"/>
      <c r="F26" s="18"/>
      <c r="G26" s="18"/>
      <c r="H26" s="18"/>
      <c r="I26" s="18"/>
      <c r="J26" s="18"/>
      <c r="K26" s="18"/>
      <c r="L26" s="18"/>
      <c r="M26" s="18"/>
      <c r="N26" s="18"/>
      <c r="O26" s="18"/>
      <c r="P26" s="18"/>
      <c r="Q26" s="18"/>
      <c r="R26" s="18"/>
      <c r="S26" s="18"/>
    </row>
    <row r="27" spans="1:19" ht="12.75" customHeight="1" x14ac:dyDescent="0.2">
      <c r="A27" s="18"/>
      <c r="B27" s="18"/>
      <c r="C27" s="18"/>
      <c r="D27" s="18"/>
      <c r="E27" s="18"/>
      <c r="F27" s="18"/>
      <c r="G27" s="18"/>
      <c r="H27" s="18"/>
      <c r="I27" s="18"/>
      <c r="J27" s="18"/>
      <c r="K27" s="18"/>
      <c r="L27" s="18"/>
      <c r="M27" s="18"/>
      <c r="N27" s="18"/>
      <c r="O27" s="18"/>
      <c r="P27" s="18"/>
      <c r="Q27" s="18"/>
      <c r="R27" s="18"/>
      <c r="S27" s="18"/>
    </row>
    <row r="28" spans="1:19" ht="12.75" customHeight="1" x14ac:dyDescent="0.2">
      <c r="A28" s="18"/>
      <c r="B28" s="18"/>
      <c r="C28" s="18"/>
      <c r="D28" s="18"/>
      <c r="E28" s="18"/>
      <c r="F28" s="18"/>
      <c r="G28" s="18"/>
      <c r="H28" s="18"/>
      <c r="I28" s="18"/>
      <c r="J28" s="18"/>
      <c r="K28" s="18"/>
      <c r="L28" s="18"/>
      <c r="M28" s="18"/>
      <c r="N28" s="18"/>
      <c r="O28" s="18"/>
      <c r="P28" s="18"/>
      <c r="Q28" s="18"/>
      <c r="R28" s="18"/>
      <c r="S28" s="18"/>
    </row>
    <row r="29" spans="1:19" ht="12.75" customHeight="1" x14ac:dyDescent="0.2">
      <c r="A29" s="18"/>
      <c r="B29" s="18"/>
      <c r="C29" s="18"/>
      <c r="D29" s="18"/>
      <c r="E29" s="18"/>
      <c r="F29" s="18"/>
      <c r="G29" s="18"/>
      <c r="H29" s="18"/>
      <c r="I29" s="18"/>
      <c r="J29" s="18"/>
      <c r="K29" s="18"/>
      <c r="L29" s="18"/>
      <c r="M29" s="18"/>
      <c r="N29" s="18"/>
      <c r="O29" s="18"/>
      <c r="P29" s="18"/>
      <c r="Q29" s="18"/>
      <c r="R29" s="18"/>
      <c r="S29" s="18"/>
    </row>
    <row r="30" spans="1:19" ht="12.75" customHeight="1" x14ac:dyDescent="0.2">
      <c r="A30" s="18"/>
      <c r="B30" s="18"/>
      <c r="C30" s="18"/>
      <c r="D30" s="18"/>
      <c r="E30" s="18"/>
      <c r="F30" s="18"/>
      <c r="G30" s="18"/>
      <c r="H30" s="18"/>
      <c r="I30" s="18"/>
      <c r="J30" s="18"/>
      <c r="K30" s="18"/>
      <c r="L30" s="18"/>
      <c r="M30" s="18"/>
      <c r="N30" s="18"/>
      <c r="O30" s="18"/>
      <c r="P30" s="18"/>
      <c r="Q30" s="18"/>
      <c r="R30" s="18"/>
      <c r="S30" s="18"/>
    </row>
    <row r="31" spans="1:19" ht="12.75" customHeight="1" x14ac:dyDescent="0.2">
      <c r="A31" s="18"/>
      <c r="B31" s="18"/>
      <c r="C31" s="18"/>
      <c r="D31" s="18"/>
      <c r="E31" s="18"/>
      <c r="F31" s="18"/>
      <c r="G31" s="18"/>
      <c r="H31" s="18"/>
      <c r="I31" s="18"/>
      <c r="J31" s="18"/>
      <c r="K31" s="18"/>
      <c r="L31" s="18"/>
      <c r="M31" s="18"/>
      <c r="N31" s="18"/>
      <c r="O31" s="18"/>
      <c r="P31" s="18"/>
      <c r="Q31" s="18"/>
      <c r="R31" s="18"/>
      <c r="S31" s="18"/>
    </row>
    <row r="32" spans="1:19" ht="12.75" customHeight="1" x14ac:dyDescent="0.2">
      <c r="A32" s="18"/>
      <c r="B32" s="18"/>
      <c r="C32" s="18"/>
      <c r="D32" s="18"/>
      <c r="E32" s="18"/>
      <c r="F32" s="18"/>
      <c r="G32" s="18"/>
      <c r="H32" s="18"/>
      <c r="I32" s="18"/>
      <c r="J32" s="18"/>
      <c r="K32" s="18"/>
      <c r="L32" s="18"/>
      <c r="M32" s="18"/>
      <c r="N32" s="18"/>
      <c r="O32" s="18"/>
      <c r="P32" s="18"/>
      <c r="Q32" s="18"/>
      <c r="R32" s="18"/>
      <c r="S32" s="18"/>
    </row>
    <row r="33" spans="1:19" ht="12.75" customHeight="1" x14ac:dyDescent="0.2">
      <c r="A33" s="18"/>
      <c r="B33" s="18"/>
      <c r="C33" s="18"/>
      <c r="D33" s="18"/>
      <c r="E33" s="18"/>
      <c r="F33" s="18"/>
      <c r="G33" s="18"/>
      <c r="H33" s="18"/>
      <c r="I33" s="18"/>
      <c r="J33" s="18"/>
      <c r="K33" s="18"/>
      <c r="L33" s="18"/>
      <c r="M33" s="18"/>
      <c r="N33" s="18"/>
      <c r="O33" s="18"/>
      <c r="P33" s="18"/>
      <c r="Q33" s="18"/>
      <c r="R33" s="18"/>
      <c r="S33" s="18"/>
    </row>
    <row r="34" spans="1:19" ht="12.75" customHeight="1" x14ac:dyDescent="0.2">
      <c r="A34" s="18"/>
      <c r="B34" s="18"/>
      <c r="C34" s="18"/>
      <c r="D34" s="18"/>
      <c r="E34" s="18"/>
      <c r="F34" s="18"/>
      <c r="G34" s="18"/>
      <c r="H34" s="18"/>
      <c r="I34" s="18"/>
      <c r="J34" s="18"/>
      <c r="K34" s="18"/>
      <c r="L34" s="18"/>
      <c r="M34" s="18"/>
      <c r="N34" s="18"/>
      <c r="O34" s="18"/>
      <c r="P34" s="18"/>
      <c r="Q34" s="18"/>
      <c r="R34" s="18"/>
      <c r="S34" s="18"/>
    </row>
    <row r="35" spans="1:19" ht="12.75" customHeight="1" x14ac:dyDescent="0.2">
      <c r="A35" s="18"/>
      <c r="B35" s="18"/>
      <c r="C35" s="18"/>
      <c r="D35" s="18"/>
      <c r="E35" s="18"/>
      <c r="F35" s="18"/>
      <c r="G35" s="18"/>
      <c r="H35" s="18"/>
      <c r="I35" s="18"/>
      <c r="J35" s="18"/>
      <c r="K35" s="18"/>
      <c r="L35" s="18"/>
      <c r="M35" s="18"/>
      <c r="N35" s="18"/>
      <c r="O35" s="18"/>
      <c r="P35" s="18"/>
      <c r="Q35" s="18"/>
      <c r="R35" s="18"/>
      <c r="S35" s="18"/>
    </row>
    <row r="36" spans="1:19" ht="12.75" customHeight="1" x14ac:dyDescent="0.2">
      <c r="A36" s="18"/>
      <c r="B36" s="18"/>
      <c r="C36" s="18"/>
      <c r="D36" s="18"/>
      <c r="E36" s="18"/>
      <c r="F36" s="18"/>
      <c r="G36" s="18"/>
      <c r="H36" s="18"/>
      <c r="I36" s="18"/>
      <c r="J36" s="18"/>
      <c r="K36" s="18"/>
      <c r="L36" s="18"/>
      <c r="M36" s="18"/>
      <c r="N36" s="18"/>
      <c r="O36" s="18"/>
      <c r="P36" s="18"/>
      <c r="Q36" s="18"/>
      <c r="R36" s="18"/>
      <c r="S36" s="18"/>
    </row>
    <row r="37" spans="1:19" ht="12.75" customHeight="1" x14ac:dyDescent="0.2">
      <c r="A37" s="18"/>
      <c r="B37" s="18"/>
      <c r="C37" s="18"/>
      <c r="D37" s="18"/>
      <c r="E37" s="18"/>
      <c r="F37" s="18"/>
      <c r="G37" s="18"/>
      <c r="H37" s="18"/>
      <c r="I37" s="18"/>
      <c r="J37" s="18"/>
      <c r="K37" s="18"/>
      <c r="L37" s="18"/>
      <c r="M37" s="18"/>
      <c r="N37" s="18"/>
      <c r="O37" s="18"/>
      <c r="P37" s="18"/>
      <c r="Q37" s="18"/>
      <c r="R37" s="18"/>
      <c r="S37" s="18"/>
    </row>
    <row r="38" spans="1:19" ht="12.75" customHeight="1" x14ac:dyDescent="0.2">
      <c r="A38" s="18"/>
      <c r="B38" s="18"/>
      <c r="C38" s="18"/>
      <c r="D38" s="18"/>
      <c r="E38" s="18"/>
      <c r="F38" s="18"/>
      <c r="G38" s="18"/>
      <c r="H38" s="18"/>
      <c r="I38" s="18"/>
      <c r="J38" s="18"/>
      <c r="K38" s="18"/>
      <c r="L38" s="18"/>
      <c r="M38" s="18"/>
      <c r="N38" s="18"/>
      <c r="O38" s="18"/>
      <c r="P38" s="18"/>
      <c r="Q38" s="18"/>
      <c r="R38" s="18"/>
      <c r="S38" s="18"/>
    </row>
    <row r="39" spans="1:19" ht="12.75" customHeight="1" x14ac:dyDescent="0.2">
      <c r="A39" s="18"/>
      <c r="B39" s="18"/>
      <c r="C39" s="18"/>
      <c r="D39" s="18"/>
      <c r="E39" s="18"/>
      <c r="F39" s="18"/>
      <c r="G39" s="18"/>
      <c r="H39" s="18"/>
      <c r="I39" s="18"/>
      <c r="J39" s="18"/>
      <c r="K39" s="18"/>
      <c r="L39" s="18"/>
      <c r="M39" s="18"/>
      <c r="N39" s="18"/>
      <c r="O39" s="18"/>
      <c r="P39" s="18"/>
      <c r="Q39" s="18"/>
      <c r="R39" s="18"/>
      <c r="S39" s="18"/>
    </row>
    <row r="40" spans="1:19" ht="12.75" customHeight="1" x14ac:dyDescent="0.2">
      <c r="A40" s="18"/>
      <c r="B40" s="18"/>
      <c r="C40" s="18"/>
      <c r="D40" s="18"/>
      <c r="E40" s="18"/>
      <c r="F40" s="18"/>
      <c r="G40" s="18"/>
      <c r="H40" s="18"/>
      <c r="I40" s="18"/>
      <c r="J40" s="18"/>
      <c r="K40" s="18"/>
      <c r="L40" s="18"/>
      <c r="M40" s="18"/>
      <c r="N40" s="18"/>
      <c r="O40" s="18"/>
      <c r="P40" s="18"/>
      <c r="Q40" s="18"/>
      <c r="R40" s="18"/>
      <c r="S40" s="18"/>
    </row>
    <row r="41" spans="1:19" ht="12.75" customHeight="1" x14ac:dyDescent="0.2">
      <c r="A41" s="18"/>
      <c r="B41" s="18"/>
      <c r="C41" s="18"/>
      <c r="D41" s="18"/>
      <c r="E41" s="18"/>
      <c r="F41" s="18"/>
      <c r="G41" s="18"/>
      <c r="H41" s="18"/>
      <c r="I41" s="18"/>
      <c r="J41" s="18"/>
      <c r="K41" s="18"/>
      <c r="L41" s="18"/>
      <c r="M41" s="18"/>
      <c r="N41" s="18"/>
      <c r="O41" s="18"/>
      <c r="P41" s="18"/>
      <c r="Q41" s="18"/>
      <c r="R41" s="18"/>
      <c r="S41" s="18"/>
    </row>
    <row r="42" spans="1:19" ht="12.75" customHeight="1" x14ac:dyDescent="0.2">
      <c r="A42" s="18"/>
      <c r="B42" s="18"/>
      <c r="C42" s="18"/>
      <c r="D42" s="18"/>
      <c r="E42" s="18"/>
      <c r="F42" s="18"/>
      <c r="G42" s="18"/>
      <c r="H42" s="18"/>
      <c r="I42" s="18"/>
      <c r="J42" s="18"/>
      <c r="K42" s="18"/>
      <c r="L42" s="18"/>
      <c r="M42" s="18"/>
      <c r="N42" s="18"/>
      <c r="O42" s="18"/>
      <c r="P42" s="18"/>
      <c r="Q42" s="18"/>
      <c r="R42" s="18"/>
      <c r="S42" s="18"/>
    </row>
    <row r="43" spans="1:19" ht="12.75" customHeight="1" x14ac:dyDescent="0.2">
      <c r="A43" s="18"/>
      <c r="B43" s="18"/>
      <c r="C43" s="18"/>
      <c r="D43" s="18"/>
      <c r="E43" s="18"/>
      <c r="F43" s="18"/>
      <c r="G43" s="18"/>
      <c r="H43" s="18"/>
      <c r="I43" s="18"/>
      <c r="J43" s="18"/>
      <c r="K43" s="18"/>
      <c r="L43" s="18"/>
      <c r="M43" s="18"/>
      <c r="N43" s="18"/>
      <c r="O43" s="18"/>
      <c r="P43" s="18"/>
      <c r="Q43" s="18"/>
      <c r="R43" s="18"/>
      <c r="S43" s="18"/>
    </row>
    <row r="44" spans="1:19" ht="12.75" customHeight="1" x14ac:dyDescent="0.2">
      <c r="A44" s="18"/>
      <c r="B44" s="18"/>
      <c r="C44" s="18"/>
      <c r="D44" s="18"/>
      <c r="E44" s="18"/>
      <c r="F44" s="18"/>
      <c r="G44" s="18"/>
      <c r="R44" s="18"/>
      <c r="S44" s="18"/>
    </row>
    <row r="47" spans="1:19" ht="12.75" customHeight="1" x14ac:dyDescent="0.2">
      <c r="F47" s="18"/>
      <c r="G47" s="71" t="s">
        <v>4049</v>
      </c>
      <c r="H47" s="54" t="s">
        <v>4041</v>
      </c>
      <c r="I47" s="55"/>
      <c r="J47" s="56"/>
      <c r="K47" s="56"/>
      <c r="L47" s="56"/>
      <c r="M47" s="56"/>
      <c r="N47" s="18"/>
      <c r="O47" s="18"/>
    </row>
    <row r="48" spans="1:19" ht="12.75" customHeight="1" x14ac:dyDescent="0.2">
      <c r="G48" s="71" t="s">
        <v>4048</v>
      </c>
      <c r="H48" s="54" t="s">
        <v>4050</v>
      </c>
    </row>
    <row r="49" spans="9:59" ht="12.75" customHeight="1" x14ac:dyDescent="0.2">
      <c r="I49" s="2"/>
      <c r="AP49" s="2"/>
      <c r="AQ49" s="2"/>
      <c r="BG49" s="2"/>
    </row>
  </sheetData>
  <phoneticPr fontId="5" type="noConversion"/>
  <printOptions horizontalCentered="1" verticalCentered="1"/>
  <pageMargins left="0.19685039370078741" right="0.19685039370078741" top="0.39370078740157483" bottom="0.59055118110236227" header="0.19685039370078741" footer="0.19685039370078741"/>
  <pageSetup paperSize="9" scale="82" orientation="landscape" r:id="rId1"/>
  <headerFooter alignWithMargins="0">
    <oddFooter>&amp;R&amp;"Arial,Standard"&amp;8page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490" r:id="rId4" name="Drop Down1">
              <controlPr defaultSize="0" autoLine="0" autoPict="0" macro="[0]!UpdateMap">
                <anchor moveWithCells="1">
                  <from>
                    <xdr:col>4</xdr:col>
                    <xdr:colOff>152400</xdr:colOff>
                    <xdr:row>3</xdr:row>
                    <xdr:rowOff>19050</xdr:rowOff>
                  </from>
                  <to>
                    <xdr:col>7</xdr:col>
                    <xdr:colOff>114300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02">
    <pageSetUpPr fitToPage="1"/>
  </sheetPr>
  <dimension ref="B2:K194"/>
  <sheetViews>
    <sheetView showGridLines="0" zoomScale="85" zoomScaleNormal="85" workbookViewId="0">
      <selection activeCell="F3" sqref="F3"/>
    </sheetView>
  </sheetViews>
  <sheetFormatPr defaultColWidth="10.7109375" defaultRowHeight="12.75" customHeight="1" x14ac:dyDescent="0.2"/>
  <cols>
    <col min="1" max="1" width="1.7109375" style="3" customWidth="1"/>
    <col min="2" max="2" width="6.7109375" style="3" customWidth="1"/>
    <col min="3" max="3" width="44.7109375" style="3" customWidth="1"/>
    <col min="4" max="4" width="10.7109375" style="3" customWidth="1"/>
    <col min="5" max="9" width="20.7109375" style="3" customWidth="1"/>
    <col min="10" max="10" width="1.7109375" style="3" customWidth="1"/>
    <col min="11" max="11" width="20.7109375" style="3" customWidth="1"/>
    <col min="12" max="12" width="1.7109375" style="3" customWidth="1"/>
    <col min="13" max="16384" width="10.7109375" style="3"/>
  </cols>
  <sheetData>
    <row r="2" spans="2:11" ht="30" customHeight="1" thickBot="1" x14ac:dyDescent="0.25">
      <c r="B2" s="58" t="s">
        <v>741</v>
      </c>
      <c r="C2" s="58"/>
      <c r="D2" s="53"/>
      <c r="E2" s="25"/>
    </row>
    <row r="3" spans="2:11" ht="12.75" customHeight="1" x14ac:dyDescent="0.2">
      <c r="C3" s="4"/>
      <c r="D3" s="4"/>
      <c r="E3" s="4"/>
      <c r="F3" s="4"/>
      <c r="G3" s="4"/>
      <c r="H3" s="4"/>
      <c r="I3" s="4"/>
    </row>
    <row r="4" spans="2:11" ht="12" x14ac:dyDescent="0.2">
      <c r="B4" s="5" t="s">
        <v>0</v>
      </c>
      <c r="C4" s="6" t="s">
        <v>1</v>
      </c>
      <c r="D4" s="5" t="s">
        <v>6</v>
      </c>
      <c r="E4" s="5" t="s">
        <v>4045</v>
      </c>
      <c r="F4" s="5" t="s">
        <v>4046</v>
      </c>
      <c r="G4" s="5" t="s">
        <v>4047</v>
      </c>
      <c r="H4" s="5"/>
      <c r="I4" s="5"/>
      <c r="K4" s="5" t="s">
        <v>3</v>
      </c>
    </row>
    <row r="5" spans="2:11" ht="12.75" customHeight="1" x14ac:dyDescent="0.2">
      <c r="B5" s="7">
        <v>1</v>
      </c>
      <c r="C5" s="10" t="s">
        <v>7</v>
      </c>
      <c r="D5" s="11" t="s">
        <v>8</v>
      </c>
      <c r="E5" s="12">
        <f>IF(ISNA(VLOOKUP(D5,Pivot!$D$4:$E$30,2,0)),MIN(Pivot!$E$4:$E$30),VLOOKUP(D5,Pivot!$D$4:$E$30,2,0))</f>
        <v>11873.552586779413</v>
      </c>
      <c r="F5" s="68">
        <f>IF(ISNA(VLOOKUP(D5,Pivot!$F$4:$G$12,2,0)),MIN(Pivot!$F$4:$G$12),VLOOKUP(D5,Pivot!$F$4:$G$12,2,0))</f>
        <v>11264.716264070181</v>
      </c>
      <c r="G5" s="12">
        <f>IF(ISNA(VLOOKUP(D5,Pivot!$H$4:$I$10,2,0)),MIN(Pivot!$H$4:$I$10),VLOOKUP(D5,Pivot!$H$4:$I$10,2,0))</f>
        <v>10382.341810335902</v>
      </c>
      <c r="H5" s="19"/>
      <c r="I5" s="19"/>
      <c r="K5" s="20">
        <f>INDEX(E5:I5,1,Control!$C$10)</f>
        <v>11873.552586779413</v>
      </c>
    </row>
    <row r="6" spans="2:11" ht="12.75" customHeight="1" x14ac:dyDescent="0.2">
      <c r="B6" s="8">
        <f>B5+1</f>
        <v>2</v>
      </c>
      <c r="C6" s="14" t="s">
        <v>11</v>
      </c>
      <c r="D6" s="13" t="s">
        <v>12</v>
      </c>
      <c r="E6" s="12">
        <f>IF(ISNA(VLOOKUP(D6,Pivot!$D$4:$E$30,2,0)),MIN(Pivot!$E$4:$E$30),VLOOKUP(D6,Pivot!$D$4:$E$30,2,0))</f>
        <v>11873.552586779413</v>
      </c>
      <c r="F6" s="68">
        <f>IF(ISNA(VLOOKUP(D6,Pivot!$F$4:$G$12,2,0)),MIN(Pivot!$F$4:$G$12),VLOOKUP(D6,Pivot!$F$4:$G$12,2,0))</f>
        <v>11264.716264070181</v>
      </c>
      <c r="G6" s="12">
        <f>IF(ISNA(VLOOKUP(D6,Pivot!$H$4:$I$10,2,0)),MIN(Pivot!$H$4:$I$10),VLOOKUP(D6,Pivot!$H$4:$I$10,2,0))</f>
        <v>10382.341810335902</v>
      </c>
      <c r="H6" s="23"/>
      <c r="I6" s="23"/>
      <c r="K6" s="21">
        <f>INDEX(E6:I6,1,Control!$C$10)</f>
        <v>11873.552586779413</v>
      </c>
    </row>
    <row r="7" spans="2:11" ht="12.75" customHeight="1" x14ac:dyDescent="0.2">
      <c r="B7" s="8">
        <f t="shared" ref="B7:B70" si="0">B6+1</f>
        <v>3</v>
      </c>
      <c r="C7" s="14" t="s">
        <v>13</v>
      </c>
      <c r="D7" s="13" t="s">
        <v>14</v>
      </c>
      <c r="E7" s="12">
        <f>IF(ISNA(VLOOKUP(D7,Pivot!$D$4:$E$30,2,0)),MIN(Pivot!$E$4:$E$30),VLOOKUP(D7,Pivot!$D$4:$E$30,2,0))</f>
        <v>11873.552586779413</v>
      </c>
      <c r="F7" s="68">
        <f>IF(ISNA(VLOOKUP(D7,Pivot!$F$4:$G$12,2,0)),MIN(Pivot!$F$4:$G$12),VLOOKUP(D7,Pivot!$F$4:$G$12,2,0))</f>
        <v>11264.716264070181</v>
      </c>
      <c r="G7" s="12">
        <f>IF(ISNA(VLOOKUP(D7,Pivot!$H$4:$I$10,2,0)),MIN(Pivot!$H$4:$I$10),VLOOKUP(D7,Pivot!$H$4:$I$10,2,0))</f>
        <v>10382.341810335902</v>
      </c>
      <c r="H7" s="23"/>
      <c r="I7" s="23"/>
      <c r="K7" s="21">
        <f>INDEX(E7:I7,1,Control!$C$10)</f>
        <v>11873.552586779413</v>
      </c>
    </row>
    <row r="8" spans="2:11" ht="12.75" customHeight="1" x14ac:dyDescent="0.2">
      <c r="B8" s="8">
        <f t="shared" si="0"/>
        <v>4</v>
      </c>
      <c r="C8" s="14" t="s">
        <v>16</v>
      </c>
      <c r="D8" s="13" t="s">
        <v>17</v>
      </c>
      <c r="E8" s="12">
        <f>IF(ISNA(VLOOKUP(D8,Pivot!$D$4:$E$30,2,0)),MIN(Pivot!$E$4:$E$30),VLOOKUP(D8,Pivot!$D$4:$E$30,2,0))</f>
        <v>11873.552586779413</v>
      </c>
      <c r="F8" s="68">
        <f>IF(ISNA(VLOOKUP(D8,Pivot!$F$4:$G$12,2,0)),MIN(Pivot!$F$4:$G$12),VLOOKUP(D8,Pivot!$F$4:$G$12,2,0))</f>
        <v>11264.716264070181</v>
      </c>
      <c r="G8" s="12">
        <f>IF(ISNA(VLOOKUP(D8,Pivot!$H$4:$I$10,2,0)),MIN(Pivot!$H$4:$I$10),VLOOKUP(D8,Pivot!$H$4:$I$10,2,0))</f>
        <v>10382.341810335902</v>
      </c>
      <c r="H8" s="23"/>
      <c r="I8" s="23"/>
      <c r="K8" s="21">
        <f>INDEX(E8:I8,1,Control!$C$10)</f>
        <v>11873.552586779413</v>
      </c>
    </row>
    <row r="9" spans="2:11" ht="12.75" customHeight="1" x14ac:dyDescent="0.2">
      <c r="B9" s="8">
        <f t="shared" si="0"/>
        <v>5</v>
      </c>
      <c r="C9" s="14" t="s">
        <v>18</v>
      </c>
      <c r="D9" s="13" t="s">
        <v>19</v>
      </c>
      <c r="E9" s="12">
        <f>IF(ISNA(VLOOKUP(D9,Pivot!$D$4:$E$30,2,0)),MIN(Pivot!$E$4:$E$30),VLOOKUP(D9,Pivot!$D$4:$E$30,2,0))</f>
        <v>11873.552586779413</v>
      </c>
      <c r="F9" s="68">
        <f>IF(ISNA(VLOOKUP(D9,Pivot!$F$4:$G$12,2,0)),MIN(Pivot!$F$4:$G$12),VLOOKUP(D9,Pivot!$F$4:$G$12,2,0))</f>
        <v>11264.716264070181</v>
      </c>
      <c r="G9" s="12">
        <f>IF(ISNA(VLOOKUP(D9,Pivot!$H$4:$I$10,2,0)),MIN(Pivot!$H$4:$I$10),VLOOKUP(D9,Pivot!$H$4:$I$10,2,0))</f>
        <v>10382.341810335902</v>
      </c>
      <c r="H9" s="23"/>
      <c r="I9" s="23"/>
      <c r="K9" s="21">
        <f>INDEX(E9:I9,1,Control!$C$10)</f>
        <v>11873.552586779413</v>
      </c>
    </row>
    <row r="10" spans="2:11" ht="12.75" customHeight="1" x14ac:dyDescent="0.2">
      <c r="B10" s="8">
        <f t="shared" si="0"/>
        <v>6</v>
      </c>
      <c r="C10" s="14" t="s">
        <v>772</v>
      </c>
      <c r="D10" s="13" t="s">
        <v>21</v>
      </c>
      <c r="E10" s="12">
        <f>IF(ISNA(VLOOKUP(D10,Pivot!$D$4:$E$30,2,0)),MIN(Pivot!$E$4:$E$30),VLOOKUP(D10,Pivot!$D$4:$E$30,2,0))</f>
        <v>11873.552586779413</v>
      </c>
      <c r="F10" s="68">
        <f>IF(ISNA(VLOOKUP(D10,Pivot!$F$4:$G$12,2,0)),MIN(Pivot!$F$4:$G$12),VLOOKUP(D10,Pivot!$F$4:$G$12,2,0))</f>
        <v>11264.716264070181</v>
      </c>
      <c r="G10" s="12">
        <f>IF(ISNA(VLOOKUP(D10,Pivot!$H$4:$I$10,2,0)),MIN(Pivot!$H$4:$I$10),VLOOKUP(D10,Pivot!$H$4:$I$10,2,0))</f>
        <v>10382.341810335902</v>
      </c>
      <c r="H10" s="23"/>
      <c r="I10" s="23"/>
      <c r="K10" s="21">
        <f>INDEX(E10:I10,1,Control!$C$10)</f>
        <v>11873.552586779413</v>
      </c>
    </row>
    <row r="11" spans="2:11" ht="12.75" customHeight="1" x14ac:dyDescent="0.2">
      <c r="B11" s="8">
        <f t="shared" si="0"/>
        <v>7</v>
      </c>
      <c r="C11" s="14" t="s">
        <v>24</v>
      </c>
      <c r="D11" s="13" t="s">
        <v>25</v>
      </c>
      <c r="E11" s="12">
        <f>IF(ISNA(VLOOKUP(D11,Pivot!$D$4:$E$30,2,0)),MIN(Pivot!$E$4:$E$30),VLOOKUP(D11,Pivot!$D$4:$E$30,2,0))</f>
        <v>11873.552586779413</v>
      </c>
      <c r="F11" s="68">
        <f>IF(ISNA(VLOOKUP(D11,Pivot!$F$4:$G$12,2,0)),MIN(Pivot!$F$4:$G$12),VLOOKUP(D11,Pivot!$F$4:$G$12,2,0))</f>
        <v>11264.716264070181</v>
      </c>
      <c r="G11" s="12">
        <f>IF(ISNA(VLOOKUP(D11,Pivot!$H$4:$I$10,2,0)),MIN(Pivot!$H$4:$I$10),VLOOKUP(D11,Pivot!$H$4:$I$10,2,0))</f>
        <v>10382.341810335902</v>
      </c>
      <c r="H11" s="23"/>
      <c r="I11" s="23"/>
      <c r="K11" s="21">
        <f>INDEX(E11:I11,1,Control!$C$10)</f>
        <v>11873.552586779413</v>
      </c>
    </row>
    <row r="12" spans="2:11" ht="12.75" customHeight="1" x14ac:dyDescent="0.2">
      <c r="B12" s="8">
        <f t="shared" si="0"/>
        <v>8</v>
      </c>
      <c r="C12" s="14" t="s">
        <v>26</v>
      </c>
      <c r="D12" s="13" t="s">
        <v>27</v>
      </c>
      <c r="E12" s="12">
        <f>IF(ISNA(VLOOKUP(D12,Pivot!$D$4:$E$30,2,0)),MIN(Pivot!$E$4:$E$30),VLOOKUP(D12,Pivot!$D$4:$E$30,2,0))</f>
        <v>11873.552586779413</v>
      </c>
      <c r="F12" s="68">
        <f>IF(ISNA(VLOOKUP(D12,Pivot!$F$4:$G$12,2,0)),MIN(Pivot!$F$4:$G$12),VLOOKUP(D12,Pivot!$F$4:$G$12,2,0))</f>
        <v>11264.716264070181</v>
      </c>
      <c r="G12" s="12">
        <f>IF(ISNA(VLOOKUP(D12,Pivot!$H$4:$I$10,2,0)),MIN(Pivot!$H$4:$I$10),VLOOKUP(D12,Pivot!$H$4:$I$10,2,0))</f>
        <v>10382.341810335902</v>
      </c>
      <c r="H12" s="23"/>
      <c r="I12" s="23"/>
      <c r="K12" s="21">
        <f>INDEX(E12:I12,1,Control!$C$10)</f>
        <v>11873.552586779413</v>
      </c>
    </row>
    <row r="13" spans="2:11" ht="12.75" customHeight="1" x14ac:dyDescent="0.2">
      <c r="B13" s="8">
        <f t="shared" si="0"/>
        <v>9</v>
      </c>
      <c r="C13" s="14" t="s">
        <v>33</v>
      </c>
      <c r="D13" s="13" t="s">
        <v>34</v>
      </c>
      <c r="E13" s="12">
        <f>IF(ISNA(VLOOKUP(D13,Pivot!$D$4:$E$30,2,0)),MIN(Pivot!$E$4:$E$30),VLOOKUP(D13,Pivot!$D$4:$E$30,2,0))</f>
        <v>92857.629854916348</v>
      </c>
      <c r="F13" s="68">
        <f>IF(ISNA(VLOOKUP(D13,Pivot!$F$4:$G$12,2,0)),MIN(Pivot!$F$4:$G$12),VLOOKUP(D13,Pivot!$F$4:$G$12,2,0))</f>
        <v>86525.394195457935</v>
      </c>
      <c r="G13" s="12">
        <f>IF(ISNA(VLOOKUP(D13,Pivot!$H$4:$I$10,2,0)),MIN(Pivot!$H$4:$I$10),VLOOKUP(D13,Pivot!$H$4:$I$10,2,0))</f>
        <v>95631.029699178704</v>
      </c>
      <c r="H13" s="23"/>
      <c r="I13" s="23"/>
      <c r="K13" s="21">
        <f>INDEX(E13:I13,1,Control!$C$10)</f>
        <v>92857.629854916348</v>
      </c>
    </row>
    <row r="14" spans="2:11" ht="12.75" customHeight="1" x14ac:dyDescent="0.2">
      <c r="B14" s="8">
        <f t="shared" si="0"/>
        <v>10</v>
      </c>
      <c r="C14" s="14" t="s">
        <v>237</v>
      </c>
      <c r="D14" s="13" t="s">
        <v>238</v>
      </c>
      <c r="E14" s="12">
        <f>IF(ISNA(VLOOKUP(D14,Pivot!$D$4:$E$30,2,0)),MIN(Pivot!$E$4:$E$30),VLOOKUP(D14,Pivot!$D$4:$E$30,2,0))</f>
        <v>11873.552586779413</v>
      </c>
      <c r="F14" s="68">
        <f>IF(ISNA(VLOOKUP(D14,Pivot!$F$4:$G$12,2,0)),MIN(Pivot!$F$4:$G$12),VLOOKUP(D14,Pivot!$F$4:$G$12,2,0))</f>
        <v>11264.716264070181</v>
      </c>
      <c r="G14" s="12">
        <f>IF(ISNA(VLOOKUP(D14,Pivot!$H$4:$I$10,2,0)),MIN(Pivot!$H$4:$I$10),VLOOKUP(D14,Pivot!$H$4:$I$10,2,0))</f>
        <v>10382.341810335902</v>
      </c>
      <c r="H14" s="23"/>
      <c r="I14" s="23"/>
      <c r="K14" s="21">
        <f>INDEX(E14:I14,1,Control!$C$10)</f>
        <v>11873.552586779413</v>
      </c>
    </row>
    <row r="15" spans="2:11" ht="12.75" customHeight="1" x14ac:dyDescent="0.2">
      <c r="B15" s="8">
        <f t="shared" si="0"/>
        <v>11</v>
      </c>
      <c r="C15" s="14" t="s">
        <v>29</v>
      </c>
      <c r="D15" s="13" t="s">
        <v>30</v>
      </c>
      <c r="E15" s="12">
        <f>IF(ISNA(VLOOKUP(D15,Pivot!$D$4:$E$30,2,0)),MIN(Pivot!$E$4:$E$30),VLOOKUP(D15,Pivot!$D$4:$E$30,2,0))</f>
        <v>11873.552586779413</v>
      </c>
      <c r="F15" s="68">
        <f>IF(ISNA(VLOOKUP(D15,Pivot!$F$4:$G$12,2,0)),MIN(Pivot!$F$4:$G$12),VLOOKUP(D15,Pivot!$F$4:$G$12,2,0))</f>
        <v>11264.716264070181</v>
      </c>
      <c r="G15" s="12">
        <f>IF(ISNA(VLOOKUP(D15,Pivot!$H$4:$I$10,2,0)),MIN(Pivot!$H$4:$I$10),VLOOKUP(D15,Pivot!$H$4:$I$10,2,0))</f>
        <v>10382.341810335902</v>
      </c>
      <c r="H15" s="23"/>
      <c r="I15" s="23"/>
      <c r="K15" s="21">
        <f>INDEX(E15:I15,1,Control!$C$10)</f>
        <v>11873.552586779413</v>
      </c>
    </row>
    <row r="16" spans="2:11" ht="12.75" customHeight="1" x14ac:dyDescent="0.2">
      <c r="B16" s="8">
        <f t="shared" si="0"/>
        <v>12</v>
      </c>
      <c r="C16" s="14" t="s">
        <v>768</v>
      </c>
      <c r="D16" s="13" t="s">
        <v>35</v>
      </c>
      <c r="E16" s="12">
        <f>IF(ISNA(VLOOKUP(D16,Pivot!$D$4:$E$30,2,0)),MIN(Pivot!$E$4:$E$30),VLOOKUP(D16,Pivot!$D$4:$E$30,2,0))</f>
        <v>11873.552586779413</v>
      </c>
      <c r="F16" s="68">
        <f>IF(ISNA(VLOOKUP(D16,Pivot!$F$4:$G$12,2,0)),MIN(Pivot!$F$4:$G$12),VLOOKUP(D16,Pivot!$F$4:$G$12,2,0))</f>
        <v>11264.716264070181</v>
      </c>
      <c r="G16" s="12">
        <f>IF(ISNA(VLOOKUP(D16,Pivot!$H$4:$I$10,2,0)),MIN(Pivot!$H$4:$I$10),VLOOKUP(D16,Pivot!$H$4:$I$10,2,0))</f>
        <v>10382.341810335902</v>
      </c>
      <c r="H16" s="23"/>
      <c r="I16" s="23"/>
      <c r="K16" s="21">
        <f>INDEX(E16:I16,1,Control!$C$10)</f>
        <v>11873.552586779413</v>
      </c>
    </row>
    <row r="17" spans="2:11" ht="12.75" customHeight="1" x14ac:dyDescent="0.2">
      <c r="B17" s="8">
        <f t="shared" si="0"/>
        <v>13</v>
      </c>
      <c r="C17" s="14" t="s">
        <v>36</v>
      </c>
      <c r="D17" s="13" t="s">
        <v>37</v>
      </c>
      <c r="E17" s="12">
        <f>IF(ISNA(VLOOKUP(D17,Pivot!$D$4:$E$30,2,0)),MIN(Pivot!$E$4:$E$30),VLOOKUP(D17,Pivot!$D$4:$E$30,2,0))</f>
        <v>11873.552586779413</v>
      </c>
      <c r="F17" s="68">
        <f>IF(ISNA(VLOOKUP(D17,Pivot!$F$4:$G$12,2,0)),MIN(Pivot!$F$4:$G$12),VLOOKUP(D17,Pivot!$F$4:$G$12,2,0))</f>
        <v>11264.716264070181</v>
      </c>
      <c r="G17" s="12">
        <f>IF(ISNA(VLOOKUP(D17,Pivot!$H$4:$I$10,2,0)),MIN(Pivot!$H$4:$I$10),VLOOKUP(D17,Pivot!$H$4:$I$10,2,0))</f>
        <v>10382.341810335902</v>
      </c>
      <c r="H17" s="23"/>
      <c r="I17" s="23"/>
      <c r="K17" s="21">
        <f>INDEX(E17:I17,1,Control!$C$10)</f>
        <v>11873.552586779413</v>
      </c>
    </row>
    <row r="18" spans="2:11" ht="12.75" customHeight="1" x14ac:dyDescent="0.2">
      <c r="B18" s="8">
        <f t="shared" si="0"/>
        <v>14</v>
      </c>
      <c r="C18" s="14" t="s">
        <v>38</v>
      </c>
      <c r="D18" s="13" t="s">
        <v>39</v>
      </c>
      <c r="E18" s="12">
        <f>IF(ISNA(VLOOKUP(D18,Pivot!$D$4:$E$30,2,0)),MIN(Pivot!$E$4:$E$30),VLOOKUP(D18,Pivot!$D$4:$E$30,2,0))</f>
        <v>11873.552586779413</v>
      </c>
      <c r="F18" s="68">
        <f>IF(ISNA(VLOOKUP(D18,Pivot!$F$4:$G$12,2,0)),MIN(Pivot!$F$4:$G$12),VLOOKUP(D18,Pivot!$F$4:$G$12,2,0))</f>
        <v>11264.716264070181</v>
      </c>
      <c r="G18" s="12">
        <f>IF(ISNA(VLOOKUP(D18,Pivot!$H$4:$I$10,2,0)),MIN(Pivot!$H$4:$I$10),VLOOKUP(D18,Pivot!$H$4:$I$10,2,0))</f>
        <v>10382.341810335902</v>
      </c>
      <c r="H18" s="23"/>
      <c r="I18" s="23"/>
      <c r="K18" s="21">
        <f>INDEX(E18:I18,1,Control!$C$10)</f>
        <v>11873.552586779413</v>
      </c>
    </row>
    <row r="19" spans="2:11" ht="12.75" customHeight="1" x14ac:dyDescent="0.2">
      <c r="B19" s="8">
        <f t="shared" si="0"/>
        <v>15</v>
      </c>
      <c r="C19" s="14" t="s">
        <v>40</v>
      </c>
      <c r="D19" s="13" t="s">
        <v>41</v>
      </c>
      <c r="E19" s="12">
        <f>IF(ISNA(VLOOKUP(D19,Pivot!$D$4:$E$30,2,0)),MIN(Pivot!$E$4:$E$30),VLOOKUP(D19,Pivot!$D$4:$E$30,2,0))</f>
        <v>11873.552586779413</v>
      </c>
      <c r="F19" s="68">
        <f>IF(ISNA(VLOOKUP(D19,Pivot!$F$4:$G$12,2,0)),MIN(Pivot!$F$4:$G$12),VLOOKUP(D19,Pivot!$F$4:$G$12,2,0))</f>
        <v>11264.716264070181</v>
      </c>
      <c r="G19" s="12">
        <f>IF(ISNA(VLOOKUP(D19,Pivot!$H$4:$I$10,2,0)),MIN(Pivot!$H$4:$I$10),VLOOKUP(D19,Pivot!$H$4:$I$10,2,0))</f>
        <v>10382.341810335902</v>
      </c>
      <c r="H19" s="23"/>
      <c r="I19" s="23"/>
      <c r="K19" s="21">
        <f>INDEX(E19:I19,1,Control!$C$10)</f>
        <v>11873.552586779413</v>
      </c>
    </row>
    <row r="20" spans="2:11" ht="12.75" customHeight="1" x14ac:dyDescent="0.2">
      <c r="B20" s="8">
        <f t="shared" si="0"/>
        <v>16</v>
      </c>
      <c r="C20" s="14" t="s">
        <v>755</v>
      </c>
      <c r="D20" s="13" t="s">
        <v>345</v>
      </c>
      <c r="E20" s="12">
        <f>IF(ISNA(VLOOKUP(D20,Pivot!$D$4:$E$30,2,0)),MIN(Pivot!$E$4:$E$30),VLOOKUP(D20,Pivot!$D$4:$E$30,2,0))</f>
        <v>11873.552586779413</v>
      </c>
      <c r="F20" s="68">
        <f>IF(ISNA(VLOOKUP(D20,Pivot!$F$4:$G$12,2,0)),MIN(Pivot!$F$4:$G$12),VLOOKUP(D20,Pivot!$F$4:$G$12,2,0))</f>
        <v>11264.716264070181</v>
      </c>
      <c r="G20" s="12">
        <f>IF(ISNA(VLOOKUP(D20,Pivot!$H$4:$I$10,2,0)),MIN(Pivot!$H$4:$I$10),VLOOKUP(D20,Pivot!$H$4:$I$10,2,0))</f>
        <v>10382.341810335902</v>
      </c>
      <c r="H20" s="23"/>
      <c r="I20" s="23"/>
      <c r="K20" s="21">
        <f>INDEX(E20:I20,1,Control!$C$10)</f>
        <v>11873.552586779413</v>
      </c>
    </row>
    <row r="21" spans="2:11" ht="12.75" customHeight="1" x14ac:dyDescent="0.2">
      <c r="B21" s="8">
        <f t="shared" si="0"/>
        <v>17</v>
      </c>
      <c r="C21" s="14" t="s">
        <v>42</v>
      </c>
      <c r="D21" s="13" t="s">
        <v>43</v>
      </c>
      <c r="E21" s="12">
        <f>IF(ISNA(VLOOKUP(D21,Pivot!$D$4:$E$30,2,0)),MIN(Pivot!$E$4:$E$30),VLOOKUP(D21,Pivot!$D$4:$E$30,2,0))</f>
        <v>11873.552586779413</v>
      </c>
      <c r="F21" s="68">
        <f>IF(ISNA(VLOOKUP(D21,Pivot!$F$4:$G$12,2,0)),MIN(Pivot!$F$4:$G$12),VLOOKUP(D21,Pivot!$F$4:$G$12,2,0))</f>
        <v>11264.716264070181</v>
      </c>
      <c r="G21" s="12">
        <f>IF(ISNA(VLOOKUP(D21,Pivot!$H$4:$I$10,2,0)),MIN(Pivot!$H$4:$I$10),VLOOKUP(D21,Pivot!$H$4:$I$10,2,0))</f>
        <v>10382.341810335902</v>
      </c>
      <c r="H21" s="23"/>
      <c r="I21" s="23"/>
      <c r="K21" s="21">
        <f>INDEX(E21:I21,1,Control!$C$10)</f>
        <v>11873.552586779413</v>
      </c>
    </row>
    <row r="22" spans="2:11" ht="12.75" customHeight="1" x14ac:dyDescent="0.2">
      <c r="B22" s="8">
        <f t="shared" si="0"/>
        <v>18</v>
      </c>
      <c r="C22" s="14" t="s">
        <v>44</v>
      </c>
      <c r="D22" s="13" t="s">
        <v>45</v>
      </c>
      <c r="E22" s="12">
        <f>IF(ISNA(VLOOKUP(D22,Pivot!$D$4:$E$30,2,0)),MIN(Pivot!$E$4:$E$30),VLOOKUP(D22,Pivot!$D$4:$E$30,2,0))</f>
        <v>11873.552586779413</v>
      </c>
      <c r="F22" s="68">
        <f>IF(ISNA(VLOOKUP(D22,Pivot!$F$4:$G$12,2,0)),MIN(Pivot!$F$4:$G$12),VLOOKUP(D22,Pivot!$F$4:$G$12,2,0))</f>
        <v>11264.716264070181</v>
      </c>
      <c r="G22" s="12">
        <f>IF(ISNA(VLOOKUP(D22,Pivot!$H$4:$I$10,2,0)),MIN(Pivot!$H$4:$I$10),VLOOKUP(D22,Pivot!$H$4:$I$10,2,0))</f>
        <v>10382.341810335902</v>
      </c>
      <c r="H22" s="23"/>
      <c r="I22" s="23"/>
      <c r="K22" s="21">
        <f>INDEX(E22:I22,1,Control!$C$10)</f>
        <v>11873.552586779413</v>
      </c>
    </row>
    <row r="23" spans="2:11" ht="12.75" customHeight="1" x14ac:dyDescent="0.2">
      <c r="B23" s="8">
        <f t="shared" si="0"/>
        <v>19</v>
      </c>
      <c r="C23" s="14" t="s">
        <v>46</v>
      </c>
      <c r="D23" s="13" t="s">
        <v>47</v>
      </c>
      <c r="E23" s="12">
        <f>IF(ISNA(VLOOKUP(D23,Pivot!$D$4:$E$30,2,0)),MIN(Pivot!$E$4:$E$30),VLOOKUP(D23,Pivot!$D$4:$E$30,2,0))</f>
        <v>11873.552586779413</v>
      </c>
      <c r="F23" s="68">
        <f>IF(ISNA(VLOOKUP(D23,Pivot!$F$4:$G$12,2,0)),MIN(Pivot!$F$4:$G$12),VLOOKUP(D23,Pivot!$F$4:$G$12,2,0))</f>
        <v>11264.716264070181</v>
      </c>
      <c r="G23" s="12">
        <f>IF(ISNA(VLOOKUP(D23,Pivot!$H$4:$I$10,2,0)),MIN(Pivot!$H$4:$I$10),VLOOKUP(D23,Pivot!$H$4:$I$10,2,0))</f>
        <v>10382.341810335902</v>
      </c>
      <c r="H23" s="23"/>
      <c r="I23" s="23"/>
      <c r="K23" s="21">
        <f>INDEX(E23:I23,1,Control!$C$10)</f>
        <v>11873.552586779413</v>
      </c>
    </row>
    <row r="24" spans="2:11" ht="12.75" customHeight="1" x14ac:dyDescent="0.2">
      <c r="B24" s="8">
        <f t="shared" si="0"/>
        <v>20</v>
      </c>
      <c r="C24" s="14" t="s">
        <v>48</v>
      </c>
      <c r="D24" s="13" t="s">
        <v>49</v>
      </c>
      <c r="E24" s="12">
        <f>IF(ISNA(VLOOKUP(D24,Pivot!$D$4:$E$30,2,0)),MIN(Pivot!$E$4:$E$30),VLOOKUP(D24,Pivot!$D$4:$E$30,2,0))</f>
        <v>11873.552586779413</v>
      </c>
      <c r="F24" s="68">
        <f>IF(ISNA(VLOOKUP(D24,Pivot!$F$4:$G$12,2,0)),MIN(Pivot!$F$4:$G$12),VLOOKUP(D24,Pivot!$F$4:$G$12,2,0))</f>
        <v>11264.716264070181</v>
      </c>
      <c r="G24" s="12">
        <f>IF(ISNA(VLOOKUP(D24,Pivot!$H$4:$I$10,2,0)),MIN(Pivot!$H$4:$I$10),VLOOKUP(D24,Pivot!$H$4:$I$10,2,0))</f>
        <v>10382.341810335902</v>
      </c>
      <c r="H24" s="23"/>
      <c r="I24" s="23"/>
      <c r="K24" s="21">
        <f>INDEX(E24:I24,1,Control!$C$10)</f>
        <v>11873.552586779413</v>
      </c>
    </row>
    <row r="25" spans="2:11" ht="12.75" customHeight="1" x14ac:dyDescent="0.2">
      <c r="B25" s="8">
        <f t="shared" si="0"/>
        <v>21</v>
      </c>
      <c r="C25" s="14" t="s">
        <v>50</v>
      </c>
      <c r="D25" s="13" t="s">
        <v>51</v>
      </c>
      <c r="E25" s="12">
        <f>IF(ISNA(VLOOKUP(D25,Pivot!$D$4:$E$30,2,0)),MIN(Pivot!$E$4:$E$30),VLOOKUP(D25,Pivot!$D$4:$E$30,2,0))</f>
        <v>11873.552586779413</v>
      </c>
      <c r="F25" s="68">
        <f>IF(ISNA(VLOOKUP(D25,Pivot!$F$4:$G$12,2,0)),MIN(Pivot!$F$4:$G$12),VLOOKUP(D25,Pivot!$F$4:$G$12,2,0))</f>
        <v>11264.716264070181</v>
      </c>
      <c r="G25" s="12">
        <f>IF(ISNA(VLOOKUP(D25,Pivot!$H$4:$I$10,2,0)),MIN(Pivot!$H$4:$I$10),VLOOKUP(D25,Pivot!$H$4:$I$10,2,0))</f>
        <v>10382.341810335902</v>
      </c>
      <c r="H25" s="23"/>
      <c r="I25" s="23"/>
      <c r="K25" s="21">
        <f>INDEX(E25:I25,1,Control!$C$10)</f>
        <v>11873.552586779413</v>
      </c>
    </row>
    <row r="26" spans="2:11" ht="12.75" customHeight="1" x14ac:dyDescent="0.2">
      <c r="B26" s="8">
        <f t="shared" si="0"/>
        <v>22</v>
      </c>
      <c r="C26" s="14" t="s">
        <v>756</v>
      </c>
      <c r="D26" s="13" t="s">
        <v>52</v>
      </c>
      <c r="E26" s="12">
        <f>IF(ISNA(VLOOKUP(D26,Pivot!$D$4:$E$30,2,0)),MIN(Pivot!$E$4:$E$30),VLOOKUP(D26,Pivot!$D$4:$E$30,2,0))</f>
        <v>11873.552586779413</v>
      </c>
      <c r="F26" s="68">
        <f>IF(ISNA(VLOOKUP(D26,Pivot!$F$4:$G$12,2,0)),MIN(Pivot!$F$4:$G$12),VLOOKUP(D26,Pivot!$F$4:$G$12,2,0))</f>
        <v>11264.716264070181</v>
      </c>
      <c r="G26" s="12">
        <f>IF(ISNA(VLOOKUP(D26,Pivot!$H$4:$I$10,2,0)),MIN(Pivot!$H$4:$I$10),VLOOKUP(D26,Pivot!$H$4:$I$10,2,0))</f>
        <v>10382.341810335902</v>
      </c>
      <c r="H26" s="23"/>
      <c r="I26" s="23"/>
      <c r="K26" s="21">
        <f>INDEX(E26:I26,1,Control!$C$10)</f>
        <v>11873.552586779413</v>
      </c>
    </row>
    <row r="27" spans="2:11" ht="12.75" customHeight="1" x14ac:dyDescent="0.2">
      <c r="B27" s="8">
        <f t="shared" si="0"/>
        <v>23</v>
      </c>
      <c r="C27" s="14" t="s">
        <v>762</v>
      </c>
      <c r="D27" s="13" t="s">
        <v>53</v>
      </c>
      <c r="E27" s="12">
        <f>IF(ISNA(VLOOKUP(D27,Pivot!$D$4:$E$30,2,0)),MIN(Pivot!$E$4:$E$30),VLOOKUP(D27,Pivot!$D$4:$E$30,2,0))</f>
        <v>11873.552586779413</v>
      </c>
      <c r="F27" s="68">
        <f>IF(ISNA(VLOOKUP(D27,Pivot!$F$4:$G$12,2,0)),MIN(Pivot!$F$4:$G$12),VLOOKUP(D27,Pivot!$F$4:$G$12,2,0))</f>
        <v>11264.716264070181</v>
      </c>
      <c r="G27" s="12">
        <f>IF(ISNA(VLOOKUP(D27,Pivot!$H$4:$I$10,2,0)),MIN(Pivot!$H$4:$I$10),VLOOKUP(D27,Pivot!$H$4:$I$10,2,0))</f>
        <v>10382.341810335902</v>
      </c>
      <c r="H27" s="23"/>
      <c r="I27" s="23"/>
      <c r="K27" s="21">
        <f>INDEX(E27:I27,1,Control!$C$10)</f>
        <v>11873.552586779413</v>
      </c>
    </row>
    <row r="28" spans="2:11" ht="12.75" customHeight="1" x14ac:dyDescent="0.2">
      <c r="B28" s="8">
        <f t="shared" si="0"/>
        <v>24</v>
      </c>
      <c r="C28" s="14" t="s">
        <v>54</v>
      </c>
      <c r="D28" s="13" t="s">
        <v>55</v>
      </c>
      <c r="E28" s="12">
        <f>IF(ISNA(VLOOKUP(D28,Pivot!$D$4:$E$30,2,0)),MIN(Pivot!$E$4:$E$30),VLOOKUP(D28,Pivot!$D$4:$E$30,2,0))</f>
        <v>44287.984205099929</v>
      </c>
      <c r="F28" s="68">
        <f>IF(ISNA(VLOOKUP(D28,Pivot!$F$4:$G$12,2,0)),MIN(Pivot!$F$4:$G$12),VLOOKUP(D28,Pivot!$F$4:$G$12,2,0))</f>
        <v>34591.322588559458</v>
      </c>
      <c r="G28" s="12">
        <f>IF(ISNA(VLOOKUP(D28,Pivot!$H$4:$I$10,2,0)),MIN(Pivot!$H$4:$I$10),VLOOKUP(D28,Pivot!$H$4:$I$10,2,0))</f>
        <v>10382.341810335902</v>
      </c>
      <c r="H28" s="23"/>
      <c r="I28" s="23"/>
      <c r="K28" s="21">
        <f>INDEX(E28:I28,1,Control!$C$10)</f>
        <v>44287.984205099929</v>
      </c>
    </row>
    <row r="29" spans="2:11" ht="12.75" customHeight="1" x14ac:dyDescent="0.2">
      <c r="B29" s="8">
        <f t="shared" si="0"/>
        <v>25</v>
      </c>
      <c r="C29" s="14" t="s">
        <v>56</v>
      </c>
      <c r="D29" s="13" t="s">
        <v>57</v>
      </c>
      <c r="E29" s="12">
        <f>IF(ISNA(VLOOKUP(D29,Pivot!$D$4:$E$30,2,0)),MIN(Pivot!$E$4:$E$30),VLOOKUP(D29,Pivot!$D$4:$E$30,2,0))</f>
        <v>11873.552586779413</v>
      </c>
      <c r="F29" s="68">
        <f>IF(ISNA(VLOOKUP(D29,Pivot!$F$4:$G$12,2,0)),MIN(Pivot!$F$4:$G$12),VLOOKUP(D29,Pivot!$F$4:$G$12,2,0))</f>
        <v>11264.716264070181</v>
      </c>
      <c r="G29" s="12">
        <f>IF(ISNA(VLOOKUP(D29,Pivot!$H$4:$I$10,2,0)),MIN(Pivot!$H$4:$I$10),VLOOKUP(D29,Pivot!$H$4:$I$10,2,0))</f>
        <v>10382.341810335902</v>
      </c>
      <c r="H29" s="23"/>
      <c r="I29" s="23"/>
      <c r="K29" s="21">
        <f>INDEX(E29:I29,1,Control!$C$10)</f>
        <v>11873.552586779413</v>
      </c>
    </row>
    <row r="30" spans="2:11" ht="12.75" customHeight="1" x14ac:dyDescent="0.2">
      <c r="B30" s="8">
        <f t="shared" si="0"/>
        <v>26</v>
      </c>
      <c r="C30" s="14" t="s">
        <v>58</v>
      </c>
      <c r="D30" s="13" t="s">
        <v>59</v>
      </c>
      <c r="E30" s="12">
        <f>IF(ISNA(VLOOKUP(D30,Pivot!$D$4:$E$30,2,0)),MIN(Pivot!$E$4:$E$30),VLOOKUP(D30,Pivot!$D$4:$E$30,2,0))</f>
        <v>11873.552586779413</v>
      </c>
      <c r="F30" s="68">
        <f>IF(ISNA(VLOOKUP(D30,Pivot!$F$4:$G$12,2,0)),MIN(Pivot!$F$4:$G$12),VLOOKUP(D30,Pivot!$F$4:$G$12,2,0))</f>
        <v>11264.716264070181</v>
      </c>
      <c r="G30" s="12">
        <f>IF(ISNA(VLOOKUP(D30,Pivot!$H$4:$I$10,2,0)),MIN(Pivot!$H$4:$I$10),VLOOKUP(D30,Pivot!$H$4:$I$10,2,0))</f>
        <v>10382.341810335902</v>
      </c>
      <c r="H30" s="23"/>
      <c r="I30" s="23"/>
      <c r="K30" s="21">
        <f>INDEX(E30:I30,1,Control!$C$10)</f>
        <v>11873.552586779413</v>
      </c>
    </row>
    <row r="31" spans="2:11" ht="12.75" customHeight="1" x14ac:dyDescent="0.2">
      <c r="B31" s="8">
        <f t="shared" si="0"/>
        <v>27</v>
      </c>
      <c r="C31" s="14" t="s">
        <v>748</v>
      </c>
      <c r="D31" s="13" t="s">
        <v>218</v>
      </c>
      <c r="E31" s="12">
        <f>IF(ISNA(VLOOKUP(D31,Pivot!$D$4:$E$30,2,0)),MIN(Pivot!$E$4:$E$30),VLOOKUP(D31,Pivot!$D$4:$E$30,2,0))</f>
        <v>11873.552586779413</v>
      </c>
      <c r="F31" s="68">
        <f>IF(ISNA(VLOOKUP(D31,Pivot!$F$4:$G$12,2,0)),MIN(Pivot!$F$4:$G$12),VLOOKUP(D31,Pivot!$F$4:$G$12,2,0))</f>
        <v>11264.716264070181</v>
      </c>
      <c r="G31" s="12">
        <f>IF(ISNA(VLOOKUP(D31,Pivot!$H$4:$I$10,2,0)),MIN(Pivot!$H$4:$I$10),VLOOKUP(D31,Pivot!$H$4:$I$10,2,0))</f>
        <v>10382.341810335902</v>
      </c>
      <c r="H31" s="23"/>
      <c r="I31" s="23"/>
      <c r="K31" s="21">
        <f>INDEX(E31:I31,1,Control!$C$10)</f>
        <v>11873.552586779413</v>
      </c>
    </row>
    <row r="32" spans="2:11" ht="12.75" customHeight="1" x14ac:dyDescent="0.2">
      <c r="B32" s="8">
        <f t="shared" si="0"/>
        <v>28</v>
      </c>
      <c r="C32" s="14" t="s">
        <v>60</v>
      </c>
      <c r="D32" s="13" t="s">
        <v>61</v>
      </c>
      <c r="E32" s="12">
        <f>IF(ISNA(VLOOKUP(D32,Pivot!$D$4:$E$30,2,0)),MIN(Pivot!$E$4:$E$30),VLOOKUP(D32,Pivot!$D$4:$E$30,2,0))</f>
        <v>11873.552586779413</v>
      </c>
      <c r="F32" s="68">
        <f>IF(ISNA(VLOOKUP(D32,Pivot!$F$4:$G$12,2,0)),MIN(Pivot!$F$4:$G$12),VLOOKUP(D32,Pivot!$F$4:$G$12,2,0))</f>
        <v>11264.716264070181</v>
      </c>
      <c r="G32" s="12">
        <f>IF(ISNA(VLOOKUP(D32,Pivot!$H$4:$I$10,2,0)),MIN(Pivot!$H$4:$I$10),VLOOKUP(D32,Pivot!$H$4:$I$10,2,0))</f>
        <v>10382.341810335902</v>
      </c>
      <c r="H32" s="23"/>
      <c r="I32" s="23"/>
      <c r="K32" s="21">
        <f>INDEX(E32:I32,1,Control!$C$10)</f>
        <v>11873.552586779413</v>
      </c>
    </row>
    <row r="33" spans="2:11" ht="12.75" customHeight="1" x14ac:dyDescent="0.2">
      <c r="B33" s="8">
        <f t="shared" si="0"/>
        <v>29</v>
      </c>
      <c r="C33" s="14" t="s">
        <v>139</v>
      </c>
      <c r="D33" s="13" t="s">
        <v>140</v>
      </c>
      <c r="E33" s="12">
        <f>IF(ISNA(VLOOKUP(D33,Pivot!$D$4:$E$30,2,0)),MIN(Pivot!$E$4:$E$30),VLOOKUP(D33,Pivot!$D$4:$E$30,2,0))</f>
        <v>11873.552586779413</v>
      </c>
      <c r="F33" s="68">
        <f>IF(ISNA(VLOOKUP(D33,Pivot!$F$4:$G$12,2,0)),MIN(Pivot!$F$4:$G$12),VLOOKUP(D33,Pivot!$F$4:$G$12,2,0))</f>
        <v>11264.716264070181</v>
      </c>
      <c r="G33" s="12">
        <f>IF(ISNA(VLOOKUP(D33,Pivot!$H$4:$I$10,2,0)),MIN(Pivot!$H$4:$I$10),VLOOKUP(D33,Pivot!$H$4:$I$10,2,0))</f>
        <v>10382.341810335902</v>
      </c>
      <c r="H33" s="23"/>
      <c r="I33" s="23"/>
      <c r="K33" s="21">
        <f>INDEX(E33:I33,1,Control!$C$10)</f>
        <v>11873.552586779413</v>
      </c>
    </row>
    <row r="34" spans="2:11" ht="12.75" customHeight="1" x14ac:dyDescent="0.2">
      <c r="B34" s="8">
        <f t="shared" si="0"/>
        <v>30</v>
      </c>
      <c r="C34" s="14" t="s">
        <v>141</v>
      </c>
      <c r="D34" s="13" t="s">
        <v>142</v>
      </c>
      <c r="E34" s="12">
        <f>IF(ISNA(VLOOKUP(D34,Pivot!$D$4:$E$30,2,0)),MIN(Pivot!$E$4:$E$30),VLOOKUP(D34,Pivot!$D$4:$E$30,2,0))</f>
        <v>11873.552586779413</v>
      </c>
      <c r="F34" s="68">
        <f>IF(ISNA(VLOOKUP(D34,Pivot!$F$4:$G$12,2,0)),MIN(Pivot!$F$4:$G$12),VLOOKUP(D34,Pivot!$F$4:$G$12,2,0))</f>
        <v>11264.716264070181</v>
      </c>
      <c r="G34" s="12">
        <f>IF(ISNA(VLOOKUP(D34,Pivot!$H$4:$I$10,2,0)),MIN(Pivot!$H$4:$I$10),VLOOKUP(D34,Pivot!$H$4:$I$10,2,0))</f>
        <v>10382.341810335902</v>
      </c>
      <c r="H34" s="23"/>
      <c r="I34" s="23"/>
      <c r="K34" s="21">
        <f>INDEX(E34:I34,1,Control!$C$10)</f>
        <v>11873.552586779413</v>
      </c>
    </row>
    <row r="35" spans="2:11" ht="12.75" customHeight="1" x14ac:dyDescent="0.2">
      <c r="B35" s="8">
        <f t="shared" si="0"/>
        <v>31</v>
      </c>
      <c r="C35" s="14" t="s">
        <v>143</v>
      </c>
      <c r="D35" s="13" t="s">
        <v>144</v>
      </c>
      <c r="E35" s="12">
        <f>IF(ISNA(VLOOKUP(D35,Pivot!$D$4:$E$30,2,0)),MIN(Pivot!$E$4:$E$30),VLOOKUP(D35,Pivot!$D$4:$E$30,2,0))</f>
        <v>89799.526836779929</v>
      </c>
      <c r="F35" s="68">
        <f>IF(ISNA(VLOOKUP(D35,Pivot!$F$4:$G$12,2,0)),MIN(Pivot!$F$4:$G$12),VLOOKUP(D35,Pivot!$F$4:$G$12,2,0))</f>
        <v>63558.641342985735</v>
      </c>
      <c r="G35" s="12">
        <f>IF(ISNA(VLOOKUP(D35,Pivot!$H$4:$I$10,2,0)),MIN(Pivot!$H$4:$I$10),VLOOKUP(D35,Pivot!$H$4:$I$10,2,0))</f>
        <v>70334.475671635912</v>
      </c>
      <c r="H35" s="23"/>
      <c r="I35" s="23"/>
      <c r="K35" s="21">
        <f>INDEX(E35:I35,1,Control!$C$10)</f>
        <v>89799.526836779929</v>
      </c>
    </row>
    <row r="36" spans="2:11" ht="12.75" customHeight="1" x14ac:dyDescent="0.2">
      <c r="B36" s="8">
        <f t="shared" si="0"/>
        <v>32</v>
      </c>
      <c r="C36" s="14" t="s">
        <v>145</v>
      </c>
      <c r="D36" s="13" t="s">
        <v>146</v>
      </c>
      <c r="E36" s="12">
        <f>IF(ISNA(VLOOKUP(D36,Pivot!$D$4:$E$30,2,0)),MIN(Pivot!$E$4:$E$30),VLOOKUP(D36,Pivot!$D$4:$E$30,2,0))</f>
        <v>11873.552586779413</v>
      </c>
      <c r="F36" s="68">
        <f>IF(ISNA(VLOOKUP(D36,Pivot!$F$4:$G$12,2,0)),MIN(Pivot!$F$4:$G$12),VLOOKUP(D36,Pivot!$F$4:$G$12,2,0))</f>
        <v>11264.716264070181</v>
      </c>
      <c r="G36" s="12">
        <f>IF(ISNA(VLOOKUP(D36,Pivot!$H$4:$I$10,2,0)),MIN(Pivot!$H$4:$I$10),VLOOKUP(D36,Pivot!$H$4:$I$10,2,0))</f>
        <v>10382.341810335902</v>
      </c>
      <c r="H36" s="23"/>
      <c r="I36" s="23"/>
      <c r="K36" s="21">
        <f>INDEX(E36:I36,1,Control!$C$10)</f>
        <v>11873.552586779413</v>
      </c>
    </row>
    <row r="37" spans="2:11" ht="12.75" customHeight="1" x14ac:dyDescent="0.2">
      <c r="B37" s="8">
        <f t="shared" si="0"/>
        <v>33</v>
      </c>
      <c r="C37" s="14" t="s">
        <v>347</v>
      </c>
      <c r="D37" s="13" t="s">
        <v>348</v>
      </c>
      <c r="E37" s="12">
        <f>IF(ISNA(VLOOKUP(D37,Pivot!$D$4:$E$30,2,0)),MIN(Pivot!$E$4:$E$30),VLOOKUP(D37,Pivot!$D$4:$E$30,2,0))</f>
        <v>11873.552586779413</v>
      </c>
      <c r="F37" s="68">
        <f>IF(ISNA(VLOOKUP(D37,Pivot!$F$4:$G$12,2,0)),MIN(Pivot!$F$4:$G$12),VLOOKUP(D37,Pivot!$F$4:$G$12,2,0))</f>
        <v>11264.716264070181</v>
      </c>
      <c r="G37" s="12">
        <f>IF(ISNA(VLOOKUP(D37,Pivot!$H$4:$I$10,2,0)),MIN(Pivot!$H$4:$I$10),VLOOKUP(D37,Pivot!$H$4:$I$10,2,0))</f>
        <v>10382.341810335902</v>
      </c>
      <c r="H37" s="23"/>
      <c r="I37" s="23"/>
      <c r="K37" s="21">
        <f>INDEX(E37:I37,1,Control!$C$10)</f>
        <v>11873.552586779413</v>
      </c>
    </row>
    <row r="38" spans="2:11" ht="12.75" customHeight="1" x14ac:dyDescent="0.2">
      <c r="B38" s="8">
        <f t="shared" si="0"/>
        <v>34</v>
      </c>
      <c r="C38" s="14" t="s">
        <v>315</v>
      </c>
      <c r="D38" s="13" t="s">
        <v>316</v>
      </c>
      <c r="E38" s="12">
        <f>IF(ISNA(VLOOKUP(D38,Pivot!$D$4:$E$30,2,0)),MIN(Pivot!$E$4:$E$30),VLOOKUP(D38,Pivot!$D$4:$E$30,2,0))</f>
        <v>11873.552586779413</v>
      </c>
      <c r="F38" s="68">
        <f>IF(ISNA(VLOOKUP(D38,Pivot!$F$4:$G$12,2,0)),MIN(Pivot!$F$4:$G$12),VLOOKUP(D38,Pivot!$F$4:$G$12,2,0))</f>
        <v>11264.716264070181</v>
      </c>
      <c r="G38" s="12">
        <f>IF(ISNA(VLOOKUP(D38,Pivot!$H$4:$I$10,2,0)),MIN(Pivot!$H$4:$I$10),VLOOKUP(D38,Pivot!$H$4:$I$10,2,0))</f>
        <v>10382.341810335902</v>
      </c>
      <c r="H38" s="23"/>
      <c r="I38" s="23"/>
      <c r="K38" s="21">
        <f>INDEX(E38:I38,1,Control!$C$10)</f>
        <v>11873.552586779413</v>
      </c>
    </row>
    <row r="39" spans="2:11" ht="12.75" customHeight="1" x14ac:dyDescent="0.2">
      <c r="B39" s="8">
        <f t="shared" si="0"/>
        <v>35</v>
      </c>
      <c r="C39" s="14" t="s">
        <v>62</v>
      </c>
      <c r="D39" s="13" t="s">
        <v>63</v>
      </c>
      <c r="E39" s="12">
        <f>IF(ISNA(VLOOKUP(D39,Pivot!$D$4:$E$30,2,0)),MIN(Pivot!$E$4:$E$30),VLOOKUP(D39,Pivot!$D$4:$E$30,2,0))</f>
        <v>11873.552586779413</v>
      </c>
      <c r="F39" s="68">
        <f>IF(ISNA(VLOOKUP(D39,Pivot!$F$4:$G$12,2,0)),MIN(Pivot!$F$4:$G$12),VLOOKUP(D39,Pivot!$F$4:$G$12,2,0))</f>
        <v>11264.716264070181</v>
      </c>
      <c r="G39" s="12">
        <f>IF(ISNA(VLOOKUP(D39,Pivot!$H$4:$I$10,2,0)),MIN(Pivot!$H$4:$I$10),VLOOKUP(D39,Pivot!$H$4:$I$10,2,0))</f>
        <v>10382.341810335902</v>
      </c>
      <c r="H39" s="23"/>
      <c r="I39" s="23"/>
      <c r="K39" s="21">
        <f>INDEX(E39:I39,1,Control!$C$10)</f>
        <v>11873.552586779413</v>
      </c>
    </row>
    <row r="40" spans="2:11" ht="12.75" customHeight="1" x14ac:dyDescent="0.2">
      <c r="B40" s="8">
        <f t="shared" si="0"/>
        <v>36</v>
      </c>
      <c r="C40" s="14" t="s">
        <v>742</v>
      </c>
      <c r="D40" s="13" t="s">
        <v>64</v>
      </c>
      <c r="E40" s="12">
        <f>IF(ISNA(VLOOKUP(D40,Pivot!$D$4:$E$30,2,0)),MIN(Pivot!$E$4:$E$30),VLOOKUP(D40,Pivot!$D$4:$E$30,2,0))</f>
        <v>11873.552586779413</v>
      </c>
      <c r="F40" s="68">
        <f>IF(ISNA(VLOOKUP(D40,Pivot!$F$4:$G$12,2,0)),MIN(Pivot!$F$4:$G$12),VLOOKUP(D40,Pivot!$F$4:$G$12,2,0))</f>
        <v>11264.716264070181</v>
      </c>
      <c r="G40" s="12">
        <f>IF(ISNA(VLOOKUP(D40,Pivot!$H$4:$I$10,2,0)),MIN(Pivot!$H$4:$I$10),VLOOKUP(D40,Pivot!$H$4:$I$10,2,0))</f>
        <v>10382.341810335902</v>
      </c>
      <c r="H40" s="23"/>
      <c r="I40" s="23"/>
      <c r="K40" s="21">
        <f>INDEX(E40:I40,1,Control!$C$10)</f>
        <v>11873.552586779413</v>
      </c>
    </row>
    <row r="41" spans="2:11" ht="12.75" customHeight="1" x14ac:dyDescent="0.2">
      <c r="B41" s="8">
        <f t="shared" si="0"/>
        <v>37</v>
      </c>
      <c r="C41" s="14" t="s">
        <v>157</v>
      </c>
      <c r="D41" s="13" t="s">
        <v>158</v>
      </c>
      <c r="E41" s="12">
        <f>IF(ISNA(VLOOKUP(D41,Pivot!$D$4:$E$30,2,0)),MIN(Pivot!$E$4:$E$30),VLOOKUP(D41,Pivot!$D$4:$E$30,2,0))</f>
        <v>11873.552586779413</v>
      </c>
      <c r="F41" s="68">
        <f>IF(ISNA(VLOOKUP(D41,Pivot!$F$4:$G$12,2,0)),MIN(Pivot!$F$4:$G$12),VLOOKUP(D41,Pivot!$F$4:$G$12,2,0))</f>
        <v>11264.716264070181</v>
      </c>
      <c r="G41" s="12">
        <f>IF(ISNA(VLOOKUP(D41,Pivot!$H$4:$I$10,2,0)),MIN(Pivot!$H$4:$I$10),VLOOKUP(D41,Pivot!$H$4:$I$10,2,0))</f>
        <v>10382.341810335902</v>
      </c>
      <c r="H41" s="23"/>
      <c r="I41" s="23"/>
      <c r="K41" s="21">
        <f>INDEX(E41:I41,1,Control!$C$10)</f>
        <v>11873.552586779413</v>
      </c>
    </row>
    <row r="42" spans="2:11" ht="12.75" customHeight="1" x14ac:dyDescent="0.2">
      <c r="B42" s="8">
        <f t="shared" si="0"/>
        <v>38</v>
      </c>
      <c r="C42" s="14" t="s">
        <v>159</v>
      </c>
      <c r="D42" s="13" t="s">
        <v>160</v>
      </c>
      <c r="E42" s="12">
        <f>IF(ISNA(VLOOKUP(D42,Pivot!$D$4:$E$30,2,0)),MIN(Pivot!$E$4:$E$30),VLOOKUP(D42,Pivot!$D$4:$E$30,2,0))</f>
        <v>11873.552586779413</v>
      </c>
      <c r="F42" s="68">
        <f>IF(ISNA(VLOOKUP(D42,Pivot!$F$4:$G$12,2,0)),MIN(Pivot!$F$4:$G$12),VLOOKUP(D42,Pivot!$F$4:$G$12,2,0))</f>
        <v>11264.716264070181</v>
      </c>
      <c r="G42" s="12">
        <f>IF(ISNA(VLOOKUP(D42,Pivot!$H$4:$I$10,2,0)),MIN(Pivot!$H$4:$I$10),VLOOKUP(D42,Pivot!$H$4:$I$10,2,0))</f>
        <v>10382.341810335902</v>
      </c>
      <c r="H42" s="23"/>
      <c r="I42" s="23"/>
      <c r="K42" s="21">
        <f>INDEX(E42:I42,1,Control!$C$10)</f>
        <v>11873.552586779413</v>
      </c>
    </row>
    <row r="43" spans="2:11" ht="12.75" customHeight="1" x14ac:dyDescent="0.2">
      <c r="B43" s="8">
        <f t="shared" si="0"/>
        <v>39</v>
      </c>
      <c r="C43" s="14" t="s">
        <v>745</v>
      </c>
      <c r="D43" s="13" t="s">
        <v>161</v>
      </c>
      <c r="E43" s="12">
        <f>IF(ISNA(VLOOKUP(D43,Pivot!$D$4:$E$30,2,0)),MIN(Pivot!$E$4:$E$30),VLOOKUP(D43,Pivot!$D$4:$E$30,2,0))</f>
        <v>11873.552586779413</v>
      </c>
      <c r="F43" s="68">
        <f>IF(ISNA(VLOOKUP(D43,Pivot!$F$4:$G$12,2,0)),MIN(Pivot!$F$4:$G$12),VLOOKUP(D43,Pivot!$F$4:$G$12,2,0))</f>
        <v>11264.716264070181</v>
      </c>
      <c r="G43" s="12">
        <f>IF(ISNA(VLOOKUP(D43,Pivot!$H$4:$I$10,2,0)),MIN(Pivot!$H$4:$I$10),VLOOKUP(D43,Pivot!$H$4:$I$10,2,0))</f>
        <v>10382.341810335902</v>
      </c>
      <c r="H43" s="23"/>
      <c r="I43" s="23"/>
      <c r="K43" s="21">
        <f>INDEX(E43:I43,1,Control!$C$10)</f>
        <v>11873.552586779413</v>
      </c>
    </row>
    <row r="44" spans="2:11" ht="12.75" customHeight="1" x14ac:dyDescent="0.2">
      <c r="B44" s="8">
        <f t="shared" si="0"/>
        <v>40</v>
      </c>
      <c r="C44" s="14" t="s">
        <v>758</v>
      </c>
      <c r="D44" s="13" t="s">
        <v>162</v>
      </c>
      <c r="E44" s="12">
        <f>IF(ISNA(VLOOKUP(D44,Pivot!$D$4:$E$30,2,0)),MIN(Pivot!$E$4:$E$30),VLOOKUP(D44,Pivot!$D$4:$E$30,2,0))</f>
        <v>11873.552586779413</v>
      </c>
      <c r="F44" s="68">
        <f>IF(ISNA(VLOOKUP(D44,Pivot!$F$4:$G$12,2,0)),MIN(Pivot!$F$4:$G$12),VLOOKUP(D44,Pivot!$F$4:$G$12,2,0))</f>
        <v>11264.716264070181</v>
      </c>
      <c r="G44" s="12">
        <f>IF(ISNA(VLOOKUP(D44,Pivot!$H$4:$I$10,2,0)),MIN(Pivot!$H$4:$I$10),VLOOKUP(D44,Pivot!$H$4:$I$10,2,0))</f>
        <v>10382.341810335902</v>
      </c>
      <c r="H44" s="23"/>
      <c r="I44" s="23"/>
      <c r="K44" s="21">
        <f>INDEX(E44:I44,1,Control!$C$10)</f>
        <v>11873.552586779413</v>
      </c>
    </row>
    <row r="45" spans="2:11" ht="12.75" customHeight="1" x14ac:dyDescent="0.2">
      <c r="B45" s="8">
        <f t="shared" si="0"/>
        <v>41</v>
      </c>
      <c r="C45" s="14" t="s">
        <v>66</v>
      </c>
      <c r="D45" s="13" t="s">
        <v>67</v>
      </c>
      <c r="E45" s="12">
        <f>IF(ISNA(VLOOKUP(D45,Pivot!$D$4:$E$30,2,0)),MIN(Pivot!$E$4:$E$30),VLOOKUP(D45,Pivot!$D$4:$E$30,2,0))</f>
        <v>11873.552586779413</v>
      </c>
      <c r="F45" s="68">
        <f>IF(ISNA(VLOOKUP(D45,Pivot!$F$4:$G$12,2,0)),MIN(Pivot!$F$4:$G$12),VLOOKUP(D45,Pivot!$F$4:$G$12,2,0))</f>
        <v>11264.716264070181</v>
      </c>
      <c r="G45" s="12">
        <f>IF(ISNA(VLOOKUP(D45,Pivot!$H$4:$I$10,2,0)),MIN(Pivot!$H$4:$I$10),VLOOKUP(D45,Pivot!$H$4:$I$10,2,0))</f>
        <v>10382.341810335902</v>
      </c>
      <c r="H45" s="23"/>
      <c r="I45" s="23"/>
      <c r="K45" s="21">
        <f>INDEX(E45:I45,1,Control!$C$10)</f>
        <v>11873.552586779413</v>
      </c>
    </row>
    <row r="46" spans="2:11" ht="12.75" customHeight="1" x14ac:dyDescent="0.2">
      <c r="B46" s="8">
        <f t="shared" si="0"/>
        <v>42</v>
      </c>
      <c r="C46" s="14" t="s">
        <v>752</v>
      </c>
      <c r="D46" s="13" t="s">
        <v>68</v>
      </c>
      <c r="E46" s="12">
        <f>IF(ISNA(VLOOKUP(D46,Pivot!$D$4:$E$30,2,0)),MIN(Pivot!$E$4:$E$30),VLOOKUP(D46,Pivot!$D$4:$E$30,2,0))</f>
        <v>11873.552586779413</v>
      </c>
      <c r="F46" s="68">
        <f>IF(ISNA(VLOOKUP(D46,Pivot!$F$4:$G$12,2,0)),MIN(Pivot!$F$4:$G$12),VLOOKUP(D46,Pivot!$F$4:$G$12,2,0))</f>
        <v>11264.716264070181</v>
      </c>
      <c r="G46" s="12">
        <f>IF(ISNA(VLOOKUP(D46,Pivot!$H$4:$I$10,2,0)),MIN(Pivot!$H$4:$I$10),VLOOKUP(D46,Pivot!$H$4:$I$10,2,0))</f>
        <v>10382.341810335902</v>
      </c>
      <c r="H46" s="23"/>
      <c r="I46" s="23"/>
      <c r="K46" s="21">
        <f>INDEX(E46:I46,1,Control!$C$10)</f>
        <v>11873.552586779413</v>
      </c>
    </row>
    <row r="47" spans="2:11" ht="12.75" customHeight="1" x14ac:dyDescent="0.2">
      <c r="B47" s="8">
        <f t="shared" si="0"/>
        <v>43</v>
      </c>
      <c r="C47" s="14" t="s">
        <v>165</v>
      </c>
      <c r="D47" s="13" t="s">
        <v>166</v>
      </c>
      <c r="E47" s="12">
        <f>IF(ISNA(VLOOKUP(D47,Pivot!$D$4:$E$30,2,0)),MIN(Pivot!$E$4:$E$30),VLOOKUP(D47,Pivot!$D$4:$E$30,2,0))</f>
        <v>11873.552586779413</v>
      </c>
      <c r="F47" s="68">
        <f>IF(ISNA(VLOOKUP(D47,Pivot!$F$4:$G$12,2,0)),MIN(Pivot!$F$4:$G$12),VLOOKUP(D47,Pivot!$F$4:$G$12,2,0))</f>
        <v>11264.716264070181</v>
      </c>
      <c r="G47" s="12">
        <f>IF(ISNA(VLOOKUP(D47,Pivot!$H$4:$I$10,2,0)),MIN(Pivot!$H$4:$I$10),VLOOKUP(D47,Pivot!$H$4:$I$10,2,0))</f>
        <v>10382.341810335902</v>
      </c>
      <c r="H47" s="23"/>
      <c r="I47" s="23"/>
      <c r="K47" s="21">
        <f>INDEX(E47:I47,1,Control!$C$10)</f>
        <v>11873.552586779413</v>
      </c>
    </row>
    <row r="48" spans="2:11" ht="12.75" customHeight="1" x14ac:dyDescent="0.2">
      <c r="B48" s="8">
        <f t="shared" si="0"/>
        <v>44</v>
      </c>
      <c r="C48" s="14" t="s">
        <v>753</v>
      </c>
      <c r="D48" s="13" t="s">
        <v>69</v>
      </c>
      <c r="E48" s="12">
        <f>IF(ISNA(VLOOKUP(D48,Pivot!$D$4:$E$30,2,0)),MIN(Pivot!$E$4:$E$30),VLOOKUP(D48,Pivot!$D$4:$E$30,2,0))</f>
        <v>11873.552586779413</v>
      </c>
      <c r="F48" s="68">
        <f>IF(ISNA(VLOOKUP(D48,Pivot!$F$4:$G$12,2,0)),MIN(Pivot!$F$4:$G$12),VLOOKUP(D48,Pivot!$F$4:$G$12,2,0))</f>
        <v>11264.716264070181</v>
      </c>
      <c r="G48" s="12">
        <f>IF(ISNA(VLOOKUP(D48,Pivot!$H$4:$I$10,2,0)),MIN(Pivot!$H$4:$I$10),VLOOKUP(D48,Pivot!$H$4:$I$10,2,0))</f>
        <v>10382.341810335902</v>
      </c>
      <c r="H48" s="23"/>
      <c r="I48" s="23"/>
      <c r="K48" s="21">
        <f>INDEX(E48:I48,1,Control!$C$10)</f>
        <v>11873.552586779413</v>
      </c>
    </row>
    <row r="49" spans="2:11" ht="12.75" customHeight="1" x14ac:dyDescent="0.2">
      <c r="B49" s="8">
        <f t="shared" si="0"/>
        <v>45</v>
      </c>
      <c r="C49" s="14" t="s">
        <v>349</v>
      </c>
      <c r="D49" s="13" t="s">
        <v>350</v>
      </c>
      <c r="E49" s="12">
        <f>IF(ISNA(VLOOKUP(D49,Pivot!$D$4:$E$30,2,0)),MIN(Pivot!$E$4:$E$30),VLOOKUP(D49,Pivot!$D$4:$E$30,2,0))</f>
        <v>11873.552586779413</v>
      </c>
      <c r="F49" s="68">
        <f>IF(ISNA(VLOOKUP(D49,Pivot!$F$4:$G$12,2,0)),MIN(Pivot!$F$4:$G$12),VLOOKUP(D49,Pivot!$F$4:$G$12,2,0))</f>
        <v>11264.716264070181</v>
      </c>
      <c r="G49" s="12">
        <f>IF(ISNA(VLOOKUP(D49,Pivot!$H$4:$I$10,2,0)),MIN(Pivot!$H$4:$I$10),VLOOKUP(D49,Pivot!$H$4:$I$10,2,0))</f>
        <v>10382.341810335902</v>
      </c>
      <c r="H49" s="23"/>
      <c r="I49" s="23"/>
      <c r="K49" s="21">
        <f>INDEX(E49:I49,1,Control!$C$10)</f>
        <v>11873.552586779413</v>
      </c>
    </row>
    <row r="50" spans="2:11" ht="12.75" customHeight="1" x14ac:dyDescent="0.2">
      <c r="B50" s="8">
        <f t="shared" si="0"/>
        <v>46</v>
      </c>
      <c r="C50" s="14" t="s">
        <v>317</v>
      </c>
      <c r="D50" s="13" t="s">
        <v>318</v>
      </c>
      <c r="E50" s="12">
        <f>IF(ISNA(VLOOKUP(D50,Pivot!$D$4:$E$30,2,0)),MIN(Pivot!$E$4:$E$30),VLOOKUP(D50,Pivot!$D$4:$E$30,2,0))</f>
        <v>11873.552586779413</v>
      </c>
      <c r="F50" s="68">
        <f>IF(ISNA(VLOOKUP(D50,Pivot!$F$4:$G$12,2,0)),MIN(Pivot!$F$4:$G$12),VLOOKUP(D50,Pivot!$F$4:$G$12,2,0))</f>
        <v>11264.716264070181</v>
      </c>
      <c r="G50" s="12">
        <f>IF(ISNA(VLOOKUP(D50,Pivot!$H$4:$I$10,2,0)),MIN(Pivot!$H$4:$I$10),VLOOKUP(D50,Pivot!$H$4:$I$10,2,0))</f>
        <v>10382.341810335902</v>
      </c>
      <c r="H50" s="23"/>
      <c r="I50" s="23"/>
      <c r="K50" s="21">
        <f>INDEX(E50:I50,1,Control!$C$10)</f>
        <v>11873.552586779413</v>
      </c>
    </row>
    <row r="51" spans="2:11" ht="12.75" customHeight="1" x14ac:dyDescent="0.2">
      <c r="B51" s="8">
        <f t="shared" si="0"/>
        <v>47</v>
      </c>
      <c r="C51" s="14" t="s">
        <v>70</v>
      </c>
      <c r="D51" s="13" t="s">
        <v>71</v>
      </c>
      <c r="E51" s="12">
        <f>IF(ISNA(VLOOKUP(D51,Pivot!$D$4:$E$30,2,0)),MIN(Pivot!$E$4:$E$30),VLOOKUP(D51,Pivot!$D$4:$E$30,2,0))</f>
        <v>82525.525402351297</v>
      </c>
      <c r="F51" s="68">
        <f>IF(ISNA(VLOOKUP(D51,Pivot!$F$4:$G$12,2,0)),MIN(Pivot!$F$4:$G$12),VLOOKUP(D51,Pivot!$F$4:$G$12,2,0))</f>
        <v>11264.716264070181</v>
      </c>
      <c r="G51" s="12">
        <f>IF(ISNA(VLOOKUP(D51,Pivot!$H$4:$I$10,2,0)),MIN(Pivot!$H$4:$I$10),VLOOKUP(D51,Pivot!$H$4:$I$10,2,0))</f>
        <v>10382.341810335902</v>
      </c>
      <c r="H51" s="23"/>
      <c r="I51" s="23"/>
      <c r="K51" s="21">
        <f>INDEX(E51:I51,1,Control!$C$10)</f>
        <v>82525.525402351297</v>
      </c>
    </row>
    <row r="52" spans="2:11" ht="12.75" customHeight="1" x14ac:dyDescent="0.2">
      <c r="B52" s="8">
        <f t="shared" si="0"/>
        <v>48</v>
      </c>
      <c r="C52" s="14" t="s">
        <v>78</v>
      </c>
      <c r="D52" s="13" t="s">
        <v>79</v>
      </c>
      <c r="E52" s="12">
        <f>IF(ISNA(VLOOKUP(D52,Pivot!$D$4:$E$30,2,0)),MIN(Pivot!$E$4:$E$30),VLOOKUP(D52,Pivot!$D$4:$E$30,2,0))</f>
        <v>11873.552586779413</v>
      </c>
      <c r="F52" s="68">
        <f>IF(ISNA(VLOOKUP(D52,Pivot!$F$4:$G$12,2,0)),MIN(Pivot!$F$4:$G$12),VLOOKUP(D52,Pivot!$F$4:$G$12,2,0))</f>
        <v>11264.716264070181</v>
      </c>
      <c r="G52" s="12">
        <f>IF(ISNA(VLOOKUP(D52,Pivot!$H$4:$I$10,2,0)),MIN(Pivot!$H$4:$I$10),VLOOKUP(D52,Pivot!$H$4:$I$10,2,0))</f>
        <v>10382.341810335902</v>
      </c>
      <c r="H52" s="23"/>
      <c r="I52" s="23"/>
      <c r="K52" s="21">
        <f>INDEX(E52:I52,1,Control!$C$10)</f>
        <v>11873.552586779413</v>
      </c>
    </row>
    <row r="53" spans="2:11" ht="12.75" customHeight="1" x14ac:dyDescent="0.2">
      <c r="B53" s="8">
        <f t="shared" si="0"/>
        <v>49</v>
      </c>
      <c r="C53" s="14" t="s">
        <v>74</v>
      </c>
      <c r="D53" s="13" t="s">
        <v>75</v>
      </c>
      <c r="E53" s="12">
        <f>IF(ISNA(VLOOKUP(D53,Pivot!$D$4:$E$30,2,0)),MIN(Pivot!$E$4:$E$30),VLOOKUP(D53,Pivot!$D$4:$E$30,2,0))</f>
        <v>11873.552586779413</v>
      </c>
      <c r="F53" s="68">
        <f>IF(ISNA(VLOOKUP(D53,Pivot!$F$4:$G$12,2,0)),MIN(Pivot!$F$4:$G$12),VLOOKUP(D53,Pivot!$F$4:$G$12,2,0))</f>
        <v>11264.716264070181</v>
      </c>
      <c r="G53" s="12">
        <f>IF(ISNA(VLOOKUP(D53,Pivot!$H$4:$I$10,2,0)),MIN(Pivot!$H$4:$I$10),VLOOKUP(D53,Pivot!$H$4:$I$10,2,0))</f>
        <v>10382.341810335902</v>
      </c>
      <c r="H53" s="23"/>
      <c r="I53" s="23"/>
      <c r="K53" s="21">
        <f>INDEX(E53:I53,1,Control!$C$10)</f>
        <v>11873.552586779413</v>
      </c>
    </row>
    <row r="54" spans="2:11" ht="12.75" customHeight="1" x14ac:dyDescent="0.2">
      <c r="B54" s="8">
        <f t="shared" si="0"/>
        <v>50</v>
      </c>
      <c r="C54" s="14" t="s">
        <v>76</v>
      </c>
      <c r="D54" s="13" t="s">
        <v>77</v>
      </c>
      <c r="E54" s="12">
        <f>IF(ISNA(VLOOKUP(D54,Pivot!$D$4:$E$30,2,0)),MIN(Pivot!$E$4:$E$30),VLOOKUP(D54,Pivot!$D$4:$E$30,2,0))</f>
        <v>11873.552586779413</v>
      </c>
      <c r="F54" s="68">
        <f>IF(ISNA(VLOOKUP(D54,Pivot!$F$4:$G$12,2,0)),MIN(Pivot!$F$4:$G$12),VLOOKUP(D54,Pivot!$F$4:$G$12,2,0))</f>
        <v>11264.716264070181</v>
      </c>
      <c r="G54" s="12">
        <f>IF(ISNA(VLOOKUP(D54,Pivot!$H$4:$I$10,2,0)),MIN(Pivot!$H$4:$I$10),VLOOKUP(D54,Pivot!$H$4:$I$10,2,0))</f>
        <v>10382.341810335902</v>
      </c>
      <c r="H54" s="23"/>
      <c r="I54" s="23"/>
      <c r="K54" s="21">
        <f>INDEX(E54:I54,1,Control!$C$10)</f>
        <v>11873.552586779413</v>
      </c>
    </row>
    <row r="55" spans="2:11" ht="12.75" customHeight="1" x14ac:dyDescent="0.2">
      <c r="B55" s="8">
        <f t="shared" si="0"/>
        <v>51</v>
      </c>
      <c r="C55" s="14" t="s">
        <v>80</v>
      </c>
      <c r="D55" s="13" t="s">
        <v>81</v>
      </c>
      <c r="E55" s="12">
        <f>IF(ISNA(VLOOKUP(D55,Pivot!$D$4:$E$30,2,0)),MIN(Pivot!$E$4:$E$30),VLOOKUP(D55,Pivot!$D$4:$E$30,2,0))</f>
        <v>11873.552586779413</v>
      </c>
      <c r="F55" s="68">
        <f>IF(ISNA(VLOOKUP(D55,Pivot!$F$4:$G$12,2,0)),MIN(Pivot!$F$4:$G$12),VLOOKUP(D55,Pivot!$F$4:$G$12,2,0))</f>
        <v>11264.716264070181</v>
      </c>
      <c r="G55" s="12">
        <f>IF(ISNA(VLOOKUP(D55,Pivot!$H$4:$I$10,2,0)),MIN(Pivot!$H$4:$I$10),VLOOKUP(D55,Pivot!$H$4:$I$10,2,0))</f>
        <v>10382.341810335902</v>
      </c>
      <c r="H55" s="23"/>
      <c r="I55" s="23"/>
      <c r="K55" s="21">
        <f>INDEX(E55:I55,1,Control!$C$10)</f>
        <v>11873.552586779413</v>
      </c>
    </row>
    <row r="56" spans="2:11" ht="12.75" customHeight="1" x14ac:dyDescent="0.2">
      <c r="B56" s="8">
        <f t="shared" si="0"/>
        <v>52</v>
      </c>
      <c r="C56" s="14" t="s">
        <v>9</v>
      </c>
      <c r="D56" s="13" t="s">
        <v>10</v>
      </c>
      <c r="E56" s="12">
        <f>IF(ISNA(VLOOKUP(D56,Pivot!$D$4:$E$30,2,0)),MIN(Pivot!$E$4:$E$30),VLOOKUP(D56,Pivot!$D$4:$E$30,2,0))</f>
        <v>11873.552586779413</v>
      </c>
      <c r="F56" s="68">
        <f>IF(ISNA(VLOOKUP(D56,Pivot!$F$4:$G$12,2,0)),MIN(Pivot!$F$4:$G$12),VLOOKUP(D56,Pivot!$F$4:$G$12,2,0))</f>
        <v>11264.716264070181</v>
      </c>
      <c r="G56" s="12">
        <f>IF(ISNA(VLOOKUP(D56,Pivot!$H$4:$I$10,2,0)),MIN(Pivot!$H$4:$I$10),VLOOKUP(D56,Pivot!$H$4:$I$10,2,0))</f>
        <v>10382.341810335902</v>
      </c>
      <c r="H56" s="23"/>
      <c r="I56" s="23"/>
      <c r="K56" s="21">
        <f>INDEX(E56:I56,1,Control!$C$10)</f>
        <v>11873.552586779413</v>
      </c>
    </row>
    <row r="57" spans="2:11" ht="12.75" customHeight="1" x14ac:dyDescent="0.2">
      <c r="B57" s="8">
        <f t="shared" si="0"/>
        <v>53</v>
      </c>
      <c r="C57" s="14" t="s">
        <v>82</v>
      </c>
      <c r="D57" s="13" t="s">
        <v>83</v>
      </c>
      <c r="E57" s="12">
        <f>IF(ISNA(VLOOKUP(D57,Pivot!$D$4:$E$30,2,0)),MIN(Pivot!$E$4:$E$30),VLOOKUP(D57,Pivot!$D$4:$E$30,2,0))</f>
        <v>11873.552586779413</v>
      </c>
      <c r="F57" s="68">
        <f>IF(ISNA(VLOOKUP(D57,Pivot!$F$4:$G$12,2,0)),MIN(Pivot!$F$4:$G$12),VLOOKUP(D57,Pivot!$F$4:$G$12,2,0))</f>
        <v>11264.716264070181</v>
      </c>
      <c r="G57" s="12">
        <f>IF(ISNA(VLOOKUP(D57,Pivot!$H$4:$I$10,2,0)),MIN(Pivot!$H$4:$I$10),VLOOKUP(D57,Pivot!$H$4:$I$10,2,0))</f>
        <v>10382.341810335902</v>
      </c>
      <c r="H57" s="23"/>
      <c r="I57" s="23"/>
      <c r="K57" s="21">
        <f>INDEX(E57:I57,1,Control!$C$10)</f>
        <v>11873.552586779413</v>
      </c>
    </row>
    <row r="58" spans="2:11" ht="12.75" customHeight="1" x14ac:dyDescent="0.2">
      <c r="B58" s="8">
        <f t="shared" si="0"/>
        <v>54</v>
      </c>
      <c r="C58" s="14" t="s">
        <v>22</v>
      </c>
      <c r="D58" s="13" t="s">
        <v>23</v>
      </c>
      <c r="E58" s="12">
        <f>IF(ISNA(VLOOKUP(D58,Pivot!$D$4:$E$30,2,0)),MIN(Pivot!$E$4:$E$30),VLOOKUP(D58,Pivot!$D$4:$E$30,2,0))</f>
        <v>11873.552586779413</v>
      </c>
      <c r="F58" s="68">
        <f>IF(ISNA(VLOOKUP(D58,Pivot!$F$4:$G$12,2,0)),MIN(Pivot!$F$4:$G$12),VLOOKUP(D58,Pivot!$F$4:$G$12,2,0))</f>
        <v>11264.716264070181</v>
      </c>
      <c r="G58" s="12">
        <f>IF(ISNA(VLOOKUP(D58,Pivot!$H$4:$I$10,2,0)),MIN(Pivot!$H$4:$I$10),VLOOKUP(D58,Pivot!$H$4:$I$10,2,0))</f>
        <v>10382.341810335902</v>
      </c>
      <c r="H58" s="23"/>
      <c r="I58" s="23"/>
      <c r="K58" s="21">
        <f>INDEX(E58:I58,1,Control!$C$10)</f>
        <v>11873.552586779413</v>
      </c>
    </row>
    <row r="59" spans="2:11" ht="12.75" customHeight="1" x14ac:dyDescent="0.2">
      <c r="B59" s="8">
        <f t="shared" si="0"/>
        <v>55</v>
      </c>
      <c r="C59" s="14" t="s">
        <v>84</v>
      </c>
      <c r="D59" s="13" t="s">
        <v>85</v>
      </c>
      <c r="E59" s="12">
        <f>IF(ISNA(VLOOKUP(D59,Pivot!$D$4:$E$30,2,0)),MIN(Pivot!$E$4:$E$30),VLOOKUP(D59,Pivot!$D$4:$E$30,2,0))</f>
        <v>11873.552586779413</v>
      </c>
      <c r="F59" s="68">
        <f>IF(ISNA(VLOOKUP(D59,Pivot!$F$4:$G$12,2,0)),MIN(Pivot!$F$4:$G$12),VLOOKUP(D59,Pivot!$F$4:$G$12,2,0))</f>
        <v>11264.716264070181</v>
      </c>
      <c r="G59" s="12">
        <f>IF(ISNA(VLOOKUP(D59,Pivot!$H$4:$I$10,2,0)),MIN(Pivot!$H$4:$I$10),VLOOKUP(D59,Pivot!$H$4:$I$10,2,0))</f>
        <v>10382.341810335902</v>
      </c>
      <c r="H59" s="23"/>
      <c r="I59" s="23"/>
      <c r="K59" s="21">
        <f>INDEX(E59:I59,1,Control!$C$10)</f>
        <v>11873.552586779413</v>
      </c>
    </row>
    <row r="60" spans="2:11" ht="12.75" customHeight="1" x14ac:dyDescent="0.2">
      <c r="B60" s="8">
        <f t="shared" si="0"/>
        <v>56</v>
      </c>
      <c r="C60" s="14" t="s">
        <v>86</v>
      </c>
      <c r="D60" s="13" t="s">
        <v>87</v>
      </c>
      <c r="E60" s="12">
        <f>IF(ISNA(VLOOKUP(D60,Pivot!$D$4:$E$30,2,0)),MIN(Pivot!$E$4:$E$30),VLOOKUP(D60,Pivot!$D$4:$E$30,2,0))</f>
        <v>11873.552586779413</v>
      </c>
      <c r="F60" s="68">
        <f>IF(ISNA(VLOOKUP(D60,Pivot!$F$4:$G$12,2,0)),MIN(Pivot!$F$4:$G$12),VLOOKUP(D60,Pivot!$F$4:$G$12,2,0))</f>
        <v>11264.716264070181</v>
      </c>
      <c r="G60" s="12">
        <f>IF(ISNA(VLOOKUP(D60,Pivot!$H$4:$I$10,2,0)),MIN(Pivot!$H$4:$I$10),VLOOKUP(D60,Pivot!$H$4:$I$10,2,0))</f>
        <v>10382.341810335902</v>
      </c>
      <c r="H60" s="23"/>
      <c r="I60" s="23"/>
      <c r="K60" s="21">
        <f>INDEX(E60:I60,1,Control!$C$10)</f>
        <v>11873.552586779413</v>
      </c>
    </row>
    <row r="61" spans="2:11" ht="12.75" customHeight="1" x14ac:dyDescent="0.2">
      <c r="B61" s="8">
        <f t="shared" si="0"/>
        <v>57</v>
      </c>
      <c r="C61" s="14" t="s">
        <v>31</v>
      </c>
      <c r="D61" s="13" t="s">
        <v>32</v>
      </c>
      <c r="E61" s="12">
        <f>IF(ISNA(VLOOKUP(D61,Pivot!$D$4:$E$30,2,0)),MIN(Pivot!$E$4:$E$30),VLOOKUP(D61,Pivot!$D$4:$E$30,2,0))</f>
        <v>11873.552586779413</v>
      </c>
      <c r="F61" s="68">
        <f>IF(ISNA(VLOOKUP(D61,Pivot!$F$4:$G$12,2,0)),MIN(Pivot!$F$4:$G$12),VLOOKUP(D61,Pivot!$F$4:$G$12,2,0))</f>
        <v>11264.716264070181</v>
      </c>
      <c r="G61" s="12">
        <f>IF(ISNA(VLOOKUP(D61,Pivot!$H$4:$I$10,2,0)),MIN(Pivot!$H$4:$I$10),VLOOKUP(D61,Pivot!$H$4:$I$10,2,0))</f>
        <v>10382.341810335902</v>
      </c>
      <c r="H61" s="23"/>
      <c r="I61" s="23"/>
      <c r="K61" s="21">
        <f>INDEX(E61:I61,1,Control!$C$10)</f>
        <v>11873.552586779413</v>
      </c>
    </row>
    <row r="62" spans="2:11" ht="12.75" customHeight="1" x14ac:dyDescent="0.2">
      <c r="B62" s="8">
        <f t="shared" si="0"/>
        <v>58</v>
      </c>
      <c r="C62" s="14" t="s">
        <v>88</v>
      </c>
      <c r="D62" s="13" t="s">
        <v>89</v>
      </c>
      <c r="E62" s="12">
        <f>IF(ISNA(VLOOKUP(D62,Pivot!$D$4:$E$30,2,0)),MIN(Pivot!$E$4:$E$30),VLOOKUP(D62,Pivot!$D$4:$E$30,2,0))</f>
        <v>11873.552586779413</v>
      </c>
      <c r="F62" s="68">
        <f>IF(ISNA(VLOOKUP(D62,Pivot!$F$4:$G$12,2,0)),MIN(Pivot!$F$4:$G$12),VLOOKUP(D62,Pivot!$F$4:$G$12,2,0))</f>
        <v>11264.716264070181</v>
      </c>
      <c r="G62" s="12">
        <f>IF(ISNA(VLOOKUP(D62,Pivot!$H$4:$I$10,2,0)),MIN(Pivot!$H$4:$I$10),VLOOKUP(D62,Pivot!$H$4:$I$10,2,0))</f>
        <v>10382.341810335902</v>
      </c>
      <c r="H62" s="23"/>
      <c r="I62" s="23"/>
      <c r="K62" s="21">
        <f>INDEX(E62:I62,1,Control!$C$10)</f>
        <v>11873.552586779413</v>
      </c>
    </row>
    <row r="63" spans="2:11" ht="12.75" customHeight="1" x14ac:dyDescent="0.2">
      <c r="B63" s="8">
        <f t="shared" si="0"/>
        <v>59</v>
      </c>
      <c r="C63" s="14" t="s">
        <v>90</v>
      </c>
      <c r="D63" s="13" t="s">
        <v>91</v>
      </c>
      <c r="E63" s="12">
        <f>IF(ISNA(VLOOKUP(D63,Pivot!$D$4:$E$30,2,0)),MIN(Pivot!$E$4:$E$30),VLOOKUP(D63,Pivot!$D$4:$E$30,2,0))</f>
        <v>11873.552586779413</v>
      </c>
      <c r="F63" s="68">
        <f>IF(ISNA(VLOOKUP(D63,Pivot!$F$4:$G$12,2,0)),MIN(Pivot!$F$4:$G$12),VLOOKUP(D63,Pivot!$F$4:$G$12,2,0))</f>
        <v>11264.716264070181</v>
      </c>
      <c r="G63" s="12">
        <f>IF(ISNA(VLOOKUP(D63,Pivot!$H$4:$I$10,2,0)),MIN(Pivot!$H$4:$I$10),VLOOKUP(D63,Pivot!$H$4:$I$10,2,0))</f>
        <v>10382.341810335902</v>
      </c>
      <c r="H63" s="23"/>
      <c r="I63" s="23"/>
      <c r="K63" s="21">
        <f>INDEX(E63:I63,1,Control!$C$10)</f>
        <v>11873.552586779413</v>
      </c>
    </row>
    <row r="64" spans="2:11" ht="12.75" customHeight="1" x14ac:dyDescent="0.2">
      <c r="B64" s="8">
        <f t="shared" si="0"/>
        <v>60</v>
      </c>
      <c r="C64" s="14" t="s">
        <v>92</v>
      </c>
      <c r="D64" s="13" t="s">
        <v>93</v>
      </c>
      <c r="E64" s="12">
        <f>IF(ISNA(VLOOKUP(D64,Pivot!$D$4:$E$30,2,0)),MIN(Pivot!$E$4:$E$30),VLOOKUP(D64,Pivot!$D$4:$E$30,2,0))</f>
        <v>56952.725049143286</v>
      </c>
      <c r="F64" s="68">
        <f>IF(ISNA(VLOOKUP(D64,Pivot!$F$4:$G$12,2,0)),MIN(Pivot!$F$4:$G$12),VLOOKUP(D64,Pivot!$F$4:$G$12,2,0))</f>
        <v>11264.716264070181</v>
      </c>
      <c r="G64" s="12">
        <f>IF(ISNA(VLOOKUP(D64,Pivot!$H$4:$I$10,2,0)),MIN(Pivot!$H$4:$I$10),VLOOKUP(D64,Pivot!$H$4:$I$10,2,0))</f>
        <v>10382.341810335902</v>
      </c>
      <c r="H64" s="23"/>
      <c r="I64" s="23"/>
      <c r="K64" s="21">
        <f>INDEX(E64:I64,1,Control!$C$10)</f>
        <v>56952.725049143286</v>
      </c>
    </row>
    <row r="65" spans="2:11" ht="12.75" customHeight="1" x14ac:dyDescent="0.2">
      <c r="B65" s="8">
        <f t="shared" si="0"/>
        <v>61</v>
      </c>
      <c r="C65" s="14" t="s">
        <v>94</v>
      </c>
      <c r="D65" s="13" t="s">
        <v>95</v>
      </c>
      <c r="E65" s="12">
        <f>IF(ISNA(VLOOKUP(D65,Pivot!$D$4:$E$30,2,0)),MIN(Pivot!$E$4:$E$30),VLOOKUP(D65,Pivot!$D$4:$E$30,2,0))</f>
        <v>11873.552586779413</v>
      </c>
      <c r="F65" s="68">
        <f>IF(ISNA(VLOOKUP(D65,Pivot!$F$4:$G$12,2,0)),MIN(Pivot!$F$4:$G$12),VLOOKUP(D65,Pivot!$F$4:$G$12,2,0))</f>
        <v>11264.716264070181</v>
      </c>
      <c r="G65" s="12">
        <f>IF(ISNA(VLOOKUP(D65,Pivot!$H$4:$I$10,2,0)),MIN(Pivot!$H$4:$I$10),VLOOKUP(D65,Pivot!$H$4:$I$10,2,0))</f>
        <v>10382.341810335902</v>
      </c>
      <c r="H65" s="23"/>
      <c r="I65" s="23"/>
      <c r="K65" s="21">
        <f>INDEX(E65:I65,1,Control!$C$10)</f>
        <v>11873.552586779413</v>
      </c>
    </row>
    <row r="66" spans="2:11" ht="12.75" customHeight="1" x14ac:dyDescent="0.2">
      <c r="B66" s="8">
        <f t="shared" si="0"/>
        <v>62</v>
      </c>
      <c r="C66" s="14" t="s">
        <v>763</v>
      </c>
      <c r="D66" s="13" t="s">
        <v>96</v>
      </c>
      <c r="E66" s="12">
        <f>IF(ISNA(VLOOKUP(D66,Pivot!$D$4:$E$30,2,0)),MIN(Pivot!$E$4:$E$30),VLOOKUP(D66,Pivot!$D$4:$E$30,2,0))</f>
        <v>11873.552586779413</v>
      </c>
      <c r="F66" s="68">
        <f>IF(ISNA(VLOOKUP(D66,Pivot!$F$4:$G$12,2,0)),MIN(Pivot!$F$4:$G$12),VLOOKUP(D66,Pivot!$F$4:$G$12,2,0))</f>
        <v>11264.716264070181</v>
      </c>
      <c r="G66" s="12">
        <f>IF(ISNA(VLOOKUP(D66,Pivot!$H$4:$I$10,2,0)),MIN(Pivot!$H$4:$I$10),VLOOKUP(D66,Pivot!$H$4:$I$10,2,0))</f>
        <v>10382.341810335902</v>
      </c>
      <c r="H66" s="23"/>
      <c r="I66" s="23"/>
      <c r="K66" s="21">
        <f>INDEX(E66:I66,1,Control!$C$10)</f>
        <v>11873.552586779413</v>
      </c>
    </row>
    <row r="67" spans="2:11" ht="12.75" customHeight="1" x14ac:dyDescent="0.2">
      <c r="B67" s="8">
        <f t="shared" si="0"/>
        <v>63</v>
      </c>
      <c r="C67" s="14" t="s">
        <v>97</v>
      </c>
      <c r="D67" s="13" t="s">
        <v>98</v>
      </c>
      <c r="E67" s="12">
        <f>IF(ISNA(VLOOKUP(D67,Pivot!$D$4:$E$30,2,0)),MIN(Pivot!$E$4:$E$30),VLOOKUP(D67,Pivot!$D$4:$E$30,2,0))</f>
        <v>11873.552586779413</v>
      </c>
      <c r="F67" s="68">
        <f>IF(ISNA(VLOOKUP(D67,Pivot!$F$4:$G$12,2,0)),MIN(Pivot!$F$4:$G$12),VLOOKUP(D67,Pivot!$F$4:$G$12,2,0))</f>
        <v>11264.716264070181</v>
      </c>
      <c r="G67" s="12">
        <f>IF(ISNA(VLOOKUP(D67,Pivot!$H$4:$I$10,2,0)),MIN(Pivot!$H$4:$I$10),VLOOKUP(D67,Pivot!$H$4:$I$10,2,0))</f>
        <v>10382.341810335902</v>
      </c>
      <c r="H67" s="23"/>
      <c r="I67" s="23"/>
      <c r="K67" s="21">
        <f>INDEX(E67:I67,1,Control!$C$10)</f>
        <v>11873.552586779413</v>
      </c>
    </row>
    <row r="68" spans="2:11" ht="12.75" customHeight="1" x14ac:dyDescent="0.2">
      <c r="B68" s="8">
        <f t="shared" si="0"/>
        <v>64</v>
      </c>
      <c r="C68" s="14" t="s">
        <v>72</v>
      </c>
      <c r="D68" s="13" t="s">
        <v>73</v>
      </c>
      <c r="E68" s="12">
        <f>IF(ISNA(VLOOKUP(D68,Pivot!$D$4:$E$30,2,0)),MIN(Pivot!$E$4:$E$30),VLOOKUP(D68,Pivot!$D$4:$E$30,2,0))</f>
        <v>79637.147017647629</v>
      </c>
      <c r="F68" s="68">
        <f>IF(ISNA(VLOOKUP(D68,Pivot!$F$4:$G$12,2,0)),MIN(Pivot!$F$4:$G$12),VLOOKUP(D68,Pivot!$F$4:$G$12,2,0))</f>
        <v>11264.716264070181</v>
      </c>
      <c r="G68" s="12">
        <f>IF(ISNA(VLOOKUP(D68,Pivot!$H$4:$I$10,2,0)),MIN(Pivot!$H$4:$I$10),VLOOKUP(D68,Pivot!$H$4:$I$10,2,0))</f>
        <v>10382.341810335902</v>
      </c>
      <c r="H68" s="23"/>
      <c r="I68" s="23"/>
      <c r="K68" s="21">
        <f>INDEX(E68:I68,1,Control!$C$10)</f>
        <v>79637.147017647629</v>
      </c>
    </row>
    <row r="69" spans="2:11" ht="12.75" customHeight="1" x14ac:dyDescent="0.2">
      <c r="B69" s="8">
        <f t="shared" si="0"/>
        <v>65</v>
      </c>
      <c r="C69" s="14" t="s">
        <v>99</v>
      </c>
      <c r="D69" s="13" t="s">
        <v>100</v>
      </c>
      <c r="E69" s="12">
        <f>IF(ISNA(VLOOKUP(D69,Pivot!$D$4:$E$30,2,0)),MIN(Pivot!$E$4:$E$30),VLOOKUP(D69,Pivot!$D$4:$E$30,2,0))</f>
        <v>11873.552586779413</v>
      </c>
      <c r="F69" s="68">
        <f>IF(ISNA(VLOOKUP(D69,Pivot!$F$4:$G$12,2,0)),MIN(Pivot!$F$4:$G$12),VLOOKUP(D69,Pivot!$F$4:$G$12,2,0))</f>
        <v>11264.716264070181</v>
      </c>
      <c r="G69" s="12">
        <f>IF(ISNA(VLOOKUP(D69,Pivot!$H$4:$I$10,2,0)),MIN(Pivot!$H$4:$I$10),VLOOKUP(D69,Pivot!$H$4:$I$10,2,0))</f>
        <v>10382.341810335902</v>
      </c>
      <c r="H69" s="23"/>
      <c r="I69" s="23"/>
      <c r="K69" s="21">
        <f>INDEX(E69:I69,1,Control!$C$10)</f>
        <v>11873.552586779413</v>
      </c>
    </row>
    <row r="70" spans="2:11" ht="12.75" customHeight="1" x14ac:dyDescent="0.2">
      <c r="B70" s="8">
        <f t="shared" si="0"/>
        <v>66</v>
      </c>
      <c r="C70" s="14" t="s">
        <v>103</v>
      </c>
      <c r="D70" s="13" t="s">
        <v>104</v>
      </c>
      <c r="E70" s="12">
        <f>IF(ISNA(VLOOKUP(D70,Pivot!$D$4:$E$30,2,0)),MIN(Pivot!$E$4:$E$30),VLOOKUP(D70,Pivot!$D$4:$E$30,2,0))</f>
        <v>11873.552586779413</v>
      </c>
      <c r="F70" s="68">
        <f>IF(ISNA(VLOOKUP(D70,Pivot!$F$4:$G$12,2,0)),MIN(Pivot!$F$4:$G$12),VLOOKUP(D70,Pivot!$F$4:$G$12,2,0))</f>
        <v>11264.716264070181</v>
      </c>
      <c r="G70" s="12">
        <f>IF(ISNA(VLOOKUP(D70,Pivot!$H$4:$I$10,2,0)),MIN(Pivot!$H$4:$I$10),VLOOKUP(D70,Pivot!$H$4:$I$10,2,0))</f>
        <v>10382.341810335902</v>
      </c>
      <c r="H70" s="23"/>
      <c r="I70" s="23"/>
      <c r="K70" s="21">
        <f>INDEX(E70:I70,1,Control!$C$10)</f>
        <v>11873.552586779413</v>
      </c>
    </row>
    <row r="71" spans="2:11" ht="12.75" customHeight="1" x14ac:dyDescent="0.2">
      <c r="B71" s="8">
        <f t="shared" ref="B71:B134" si="1">B70+1</f>
        <v>67</v>
      </c>
      <c r="C71" s="14" t="s">
        <v>101</v>
      </c>
      <c r="D71" s="13" t="s">
        <v>102</v>
      </c>
      <c r="E71" s="12">
        <f>IF(ISNA(VLOOKUP(D71,Pivot!$D$4:$E$30,2,0)),MIN(Pivot!$E$4:$E$30),VLOOKUP(D71,Pivot!$D$4:$E$30,2,0))</f>
        <v>11873.552586779413</v>
      </c>
      <c r="F71" s="68">
        <f>IF(ISNA(VLOOKUP(D71,Pivot!$F$4:$G$12,2,0)),MIN(Pivot!$F$4:$G$12),VLOOKUP(D71,Pivot!$F$4:$G$12,2,0))</f>
        <v>11264.716264070181</v>
      </c>
      <c r="G71" s="12">
        <f>IF(ISNA(VLOOKUP(D71,Pivot!$H$4:$I$10,2,0)),MIN(Pivot!$H$4:$I$10),VLOOKUP(D71,Pivot!$H$4:$I$10,2,0))</f>
        <v>10382.341810335902</v>
      </c>
      <c r="H71" s="23"/>
      <c r="I71" s="23"/>
      <c r="K71" s="21">
        <f>INDEX(E71:I71,1,Control!$C$10)</f>
        <v>11873.552586779413</v>
      </c>
    </row>
    <row r="72" spans="2:11" ht="12.75" customHeight="1" x14ac:dyDescent="0.2">
      <c r="B72" s="8">
        <f t="shared" si="1"/>
        <v>68</v>
      </c>
      <c r="C72" s="14" t="s">
        <v>105</v>
      </c>
      <c r="D72" s="13" t="s">
        <v>106</v>
      </c>
      <c r="E72" s="12">
        <f>IF(ISNA(VLOOKUP(D72,Pivot!$D$4:$E$30,2,0)),MIN(Pivot!$E$4:$E$30),VLOOKUP(D72,Pivot!$D$4:$E$30,2,0))</f>
        <v>11873.552586779413</v>
      </c>
      <c r="F72" s="68">
        <f>IF(ISNA(VLOOKUP(D72,Pivot!$F$4:$G$12,2,0)),MIN(Pivot!$F$4:$G$12),VLOOKUP(D72,Pivot!$F$4:$G$12,2,0))</f>
        <v>11264.716264070181</v>
      </c>
      <c r="G72" s="12">
        <f>IF(ISNA(VLOOKUP(D72,Pivot!$H$4:$I$10,2,0)),MIN(Pivot!$H$4:$I$10),VLOOKUP(D72,Pivot!$H$4:$I$10,2,0))</f>
        <v>10382.341810335902</v>
      </c>
      <c r="H72" s="23"/>
      <c r="I72" s="23"/>
      <c r="K72" s="21">
        <f>INDEX(E72:I72,1,Control!$C$10)</f>
        <v>11873.552586779413</v>
      </c>
    </row>
    <row r="73" spans="2:11" ht="12.75" customHeight="1" x14ac:dyDescent="0.2">
      <c r="B73" s="8">
        <f t="shared" si="1"/>
        <v>69</v>
      </c>
      <c r="C73" s="14" t="s">
        <v>107</v>
      </c>
      <c r="D73" s="13" t="s">
        <v>108</v>
      </c>
      <c r="E73" s="12">
        <f>IF(ISNA(VLOOKUP(D73,Pivot!$D$4:$E$30,2,0)),MIN(Pivot!$E$4:$E$30),VLOOKUP(D73,Pivot!$D$4:$E$30,2,0))</f>
        <v>11873.552586779413</v>
      </c>
      <c r="F73" s="68">
        <f>IF(ISNA(VLOOKUP(D73,Pivot!$F$4:$G$12,2,0)),MIN(Pivot!$F$4:$G$12),VLOOKUP(D73,Pivot!$F$4:$G$12,2,0))</f>
        <v>11264.716264070181</v>
      </c>
      <c r="G73" s="12">
        <f>IF(ISNA(VLOOKUP(D73,Pivot!$H$4:$I$10,2,0)),MIN(Pivot!$H$4:$I$10),VLOOKUP(D73,Pivot!$H$4:$I$10,2,0))</f>
        <v>10382.341810335902</v>
      </c>
      <c r="H73" s="23"/>
      <c r="I73" s="23"/>
      <c r="K73" s="21">
        <f>INDEX(E73:I73,1,Control!$C$10)</f>
        <v>11873.552586779413</v>
      </c>
    </row>
    <row r="74" spans="2:11" ht="12.75" customHeight="1" x14ac:dyDescent="0.2">
      <c r="B74" s="8">
        <f t="shared" si="1"/>
        <v>70</v>
      </c>
      <c r="C74" s="14" t="s">
        <v>109</v>
      </c>
      <c r="D74" s="13" t="s">
        <v>110</v>
      </c>
      <c r="E74" s="12">
        <f>IF(ISNA(VLOOKUP(D74,Pivot!$D$4:$E$30,2,0)),MIN(Pivot!$E$4:$E$30),VLOOKUP(D74,Pivot!$D$4:$E$30,2,0))</f>
        <v>11873.552586779413</v>
      </c>
      <c r="F74" s="68">
        <f>IF(ISNA(VLOOKUP(D74,Pivot!$F$4:$G$12,2,0)),MIN(Pivot!$F$4:$G$12),VLOOKUP(D74,Pivot!$F$4:$G$12,2,0))</f>
        <v>11264.716264070181</v>
      </c>
      <c r="G74" s="12">
        <f>IF(ISNA(VLOOKUP(D74,Pivot!$H$4:$I$10,2,0)),MIN(Pivot!$H$4:$I$10),VLOOKUP(D74,Pivot!$H$4:$I$10,2,0))</f>
        <v>10382.341810335902</v>
      </c>
      <c r="H74" s="23"/>
      <c r="I74" s="23"/>
      <c r="K74" s="21">
        <f>INDEX(E74:I74,1,Control!$C$10)</f>
        <v>11873.552586779413</v>
      </c>
    </row>
    <row r="75" spans="2:11" ht="12.75" customHeight="1" x14ac:dyDescent="0.2">
      <c r="B75" s="8">
        <f t="shared" si="1"/>
        <v>71</v>
      </c>
      <c r="C75" s="14" t="s">
        <v>111</v>
      </c>
      <c r="D75" s="13" t="s">
        <v>112</v>
      </c>
      <c r="E75" s="12">
        <f>IF(ISNA(VLOOKUP(D75,Pivot!$D$4:$E$30,2,0)),MIN(Pivot!$E$4:$E$30),VLOOKUP(D75,Pivot!$D$4:$E$30,2,0))</f>
        <v>11873.552586779413</v>
      </c>
      <c r="F75" s="68">
        <f>IF(ISNA(VLOOKUP(D75,Pivot!$F$4:$G$12,2,0)),MIN(Pivot!$F$4:$G$12),VLOOKUP(D75,Pivot!$F$4:$G$12,2,0))</f>
        <v>11264.716264070181</v>
      </c>
      <c r="G75" s="12">
        <f>IF(ISNA(VLOOKUP(D75,Pivot!$H$4:$I$10,2,0)),MIN(Pivot!$H$4:$I$10),VLOOKUP(D75,Pivot!$H$4:$I$10,2,0))</f>
        <v>10382.341810335902</v>
      </c>
      <c r="H75" s="23"/>
      <c r="I75" s="23"/>
      <c r="K75" s="21">
        <f>INDEX(E75:I75,1,Control!$C$10)</f>
        <v>11873.552586779413</v>
      </c>
    </row>
    <row r="76" spans="2:11" ht="12.75" customHeight="1" x14ac:dyDescent="0.2">
      <c r="B76" s="8">
        <f t="shared" si="1"/>
        <v>72</v>
      </c>
      <c r="C76" s="14" t="s">
        <v>113</v>
      </c>
      <c r="D76" s="13" t="s">
        <v>114</v>
      </c>
      <c r="E76" s="12">
        <f>IF(ISNA(VLOOKUP(D76,Pivot!$D$4:$E$30,2,0)),MIN(Pivot!$E$4:$E$30),VLOOKUP(D76,Pivot!$D$4:$E$30,2,0))</f>
        <v>11873.552586779413</v>
      </c>
      <c r="F76" s="68">
        <f>IF(ISNA(VLOOKUP(D76,Pivot!$F$4:$G$12,2,0)),MIN(Pivot!$F$4:$G$12),VLOOKUP(D76,Pivot!$F$4:$G$12,2,0))</f>
        <v>11264.716264070181</v>
      </c>
      <c r="G76" s="12">
        <f>IF(ISNA(VLOOKUP(D76,Pivot!$H$4:$I$10,2,0)),MIN(Pivot!$H$4:$I$10),VLOOKUP(D76,Pivot!$H$4:$I$10,2,0))</f>
        <v>10382.341810335902</v>
      </c>
      <c r="H76" s="23"/>
      <c r="I76" s="23"/>
      <c r="K76" s="21">
        <f>INDEX(E76:I76,1,Control!$C$10)</f>
        <v>11873.552586779413</v>
      </c>
    </row>
    <row r="77" spans="2:11" ht="12.75" customHeight="1" x14ac:dyDescent="0.2">
      <c r="B77" s="8">
        <f t="shared" si="1"/>
        <v>73</v>
      </c>
      <c r="C77" s="14" t="s">
        <v>115</v>
      </c>
      <c r="D77" s="13" t="s">
        <v>116</v>
      </c>
      <c r="E77" s="12">
        <f>IF(ISNA(VLOOKUP(D77,Pivot!$D$4:$E$30,2,0)),MIN(Pivot!$E$4:$E$30),VLOOKUP(D77,Pivot!$D$4:$E$30,2,0))</f>
        <v>11873.552586779413</v>
      </c>
      <c r="F77" s="68">
        <f>IF(ISNA(VLOOKUP(D77,Pivot!$F$4:$G$12,2,0)),MIN(Pivot!$F$4:$G$12),VLOOKUP(D77,Pivot!$F$4:$G$12,2,0))</f>
        <v>11264.716264070181</v>
      </c>
      <c r="G77" s="12">
        <f>IF(ISNA(VLOOKUP(D77,Pivot!$H$4:$I$10,2,0)),MIN(Pivot!$H$4:$I$10),VLOOKUP(D77,Pivot!$H$4:$I$10,2,0))</f>
        <v>10382.341810335902</v>
      </c>
      <c r="H77" s="23"/>
      <c r="I77" s="23"/>
      <c r="K77" s="21">
        <f>INDEX(E77:I77,1,Control!$C$10)</f>
        <v>11873.552586779413</v>
      </c>
    </row>
    <row r="78" spans="2:11" ht="12.75" customHeight="1" x14ac:dyDescent="0.2">
      <c r="B78" s="8">
        <f t="shared" si="1"/>
        <v>74</v>
      </c>
      <c r="C78" s="14" t="s">
        <v>331</v>
      </c>
      <c r="D78" s="13" t="s">
        <v>332</v>
      </c>
      <c r="E78" s="12">
        <f>IF(ISNA(VLOOKUP(D78,Pivot!$D$4:$E$30,2,0)),MIN(Pivot!$E$4:$E$30),VLOOKUP(D78,Pivot!$D$4:$E$30,2,0))</f>
        <v>11873.552586779413</v>
      </c>
      <c r="F78" s="68">
        <f>IF(ISNA(VLOOKUP(D78,Pivot!$F$4:$G$12,2,0)),MIN(Pivot!$F$4:$G$12),VLOOKUP(D78,Pivot!$F$4:$G$12,2,0))</f>
        <v>11264.716264070181</v>
      </c>
      <c r="G78" s="12">
        <f>IF(ISNA(VLOOKUP(D78,Pivot!$H$4:$I$10,2,0)),MIN(Pivot!$H$4:$I$10),VLOOKUP(D78,Pivot!$H$4:$I$10,2,0))</f>
        <v>10382.341810335902</v>
      </c>
      <c r="H78" s="23"/>
      <c r="I78" s="23"/>
      <c r="K78" s="21">
        <f>INDEX(E78:I78,1,Control!$C$10)</f>
        <v>11873.552586779413</v>
      </c>
    </row>
    <row r="79" spans="2:11" ht="12.75" customHeight="1" x14ac:dyDescent="0.2">
      <c r="B79" s="8">
        <f t="shared" si="1"/>
        <v>75</v>
      </c>
      <c r="C79" s="14" t="s">
        <v>126</v>
      </c>
      <c r="D79" s="13" t="s">
        <v>127</v>
      </c>
      <c r="E79" s="12">
        <f>IF(ISNA(VLOOKUP(D79,Pivot!$D$4:$E$30,2,0)),MIN(Pivot!$E$4:$E$30),VLOOKUP(D79,Pivot!$D$4:$E$30,2,0))</f>
        <v>11873.552586779413</v>
      </c>
      <c r="F79" s="68">
        <f>IF(ISNA(VLOOKUP(D79,Pivot!$F$4:$G$12,2,0)),MIN(Pivot!$F$4:$G$12),VLOOKUP(D79,Pivot!$F$4:$G$12,2,0))</f>
        <v>11264.716264070181</v>
      </c>
      <c r="G79" s="12">
        <f>IF(ISNA(VLOOKUP(D79,Pivot!$H$4:$I$10,2,0)),MIN(Pivot!$H$4:$I$10),VLOOKUP(D79,Pivot!$H$4:$I$10,2,0))</f>
        <v>10382.341810335902</v>
      </c>
      <c r="H79" s="23"/>
      <c r="I79" s="23"/>
      <c r="K79" s="21">
        <f>INDEX(E79:I79,1,Control!$C$10)</f>
        <v>11873.552586779413</v>
      </c>
    </row>
    <row r="80" spans="2:11" ht="12.75" customHeight="1" x14ac:dyDescent="0.2">
      <c r="B80" s="8">
        <f t="shared" si="1"/>
        <v>76</v>
      </c>
      <c r="C80" s="14" t="s">
        <v>117</v>
      </c>
      <c r="D80" s="13" t="s">
        <v>118</v>
      </c>
      <c r="E80" s="12">
        <f>IF(ISNA(VLOOKUP(D80,Pivot!$D$4:$E$30,2,0)),MIN(Pivot!$E$4:$E$30),VLOOKUP(D80,Pivot!$D$4:$E$30,2,0))</f>
        <v>13529.430894182482</v>
      </c>
      <c r="F80" s="68">
        <f>IF(ISNA(VLOOKUP(D80,Pivot!$F$4:$G$12,2,0)),MIN(Pivot!$F$4:$G$12),VLOOKUP(D80,Pivot!$F$4:$G$12,2,0))</f>
        <v>11264.716264070181</v>
      </c>
      <c r="G80" s="12">
        <f>IF(ISNA(VLOOKUP(D80,Pivot!$H$4:$I$10,2,0)),MIN(Pivot!$H$4:$I$10),VLOOKUP(D80,Pivot!$H$4:$I$10,2,0))</f>
        <v>15642.546484974018</v>
      </c>
      <c r="H80" s="23"/>
      <c r="I80" s="23"/>
      <c r="K80" s="21">
        <f>INDEX(E80:I80,1,Control!$C$10)</f>
        <v>13529.430894182482</v>
      </c>
    </row>
    <row r="81" spans="2:11" ht="12.75" customHeight="1" x14ac:dyDescent="0.2">
      <c r="B81" s="8">
        <f t="shared" si="1"/>
        <v>77</v>
      </c>
      <c r="C81" s="14" t="s">
        <v>119</v>
      </c>
      <c r="D81" s="13" t="s">
        <v>120</v>
      </c>
      <c r="E81" s="12">
        <f>IF(ISNA(VLOOKUP(D81,Pivot!$D$4:$E$30,2,0)),MIN(Pivot!$E$4:$E$30),VLOOKUP(D81,Pivot!$D$4:$E$30,2,0))</f>
        <v>28872.83679733074</v>
      </c>
      <c r="F81" s="68">
        <f>IF(ISNA(VLOOKUP(D81,Pivot!$F$4:$G$12,2,0)),MIN(Pivot!$F$4:$G$12),VLOOKUP(D81,Pivot!$F$4:$G$12,2,0))</f>
        <v>11264.716264070181</v>
      </c>
      <c r="G81" s="12">
        <f>IF(ISNA(VLOOKUP(D81,Pivot!$H$4:$I$10,2,0)),MIN(Pivot!$H$4:$I$10),VLOOKUP(D81,Pivot!$H$4:$I$10,2,0))</f>
        <v>10382.341810335902</v>
      </c>
      <c r="H81" s="23"/>
      <c r="I81" s="23"/>
      <c r="K81" s="21">
        <f>INDEX(E81:I81,1,Control!$C$10)</f>
        <v>28872.83679733074</v>
      </c>
    </row>
    <row r="82" spans="2:11" ht="12.75" customHeight="1" x14ac:dyDescent="0.2">
      <c r="B82" s="8">
        <f t="shared" si="1"/>
        <v>78</v>
      </c>
      <c r="C82" s="14" t="s">
        <v>123</v>
      </c>
      <c r="D82" s="13" t="s">
        <v>124</v>
      </c>
      <c r="E82" s="12">
        <f>IF(ISNA(VLOOKUP(D82,Pivot!$D$4:$E$30,2,0)),MIN(Pivot!$E$4:$E$30),VLOOKUP(D82,Pivot!$D$4:$E$30,2,0))</f>
        <v>11873.552586779413</v>
      </c>
      <c r="F82" s="68">
        <f>IF(ISNA(VLOOKUP(D82,Pivot!$F$4:$G$12,2,0)),MIN(Pivot!$F$4:$G$12),VLOOKUP(D82,Pivot!$F$4:$G$12,2,0))</f>
        <v>11264.716264070181</v>
      </c>
      <c r="G82" s="12">
        <f>IF(ISNA(VLOOKUP(D82,Pivot!$H$4:$I$10,2,0)),MIN(Pivot!$H$4:$I$10),VLOOKUP(D82,Pivot!$H$4:$I$10,2,0))</f>
        <v>10382.341810335902</v>
      </c>
      <c r="H82" s="23"/>
      <c r="I82" s="23"/>
      <c r="K82" s="21">
        <f>INDEX(E82:I82,1,Control!$C$10)</f>
        <v>11873.552586779413</v>
      </c>
    </row>
    <row r="83" spans="2:11" ht="12.75" customHeight="1" x14ac:dyDescent="0.2">
      <c r="B83" s="8">
        <f t="shared" si="1"/>
        <v>79</v>
      </c>
      <c r="C83" s="14" t="s">
        <v>121</v>
      </c>
      <c r="D83" s="13" t="s">
        <v>122</v>
      </c>
      <c r="E83" s="12">
        <f>IF(ISNA(VLOOKUP(D83,Pivot!$D$4:$E$30,2,0)),MIN(Pivot!$E$4:$E$30),VLOOKUP(D83,Pivot!$D$4:$E$30,2,0))</f>
        <v>11873.552586779413</v>
      </c>
      <c r="F83" s="68">
        <f>IF(ISNA(VLOOKUP(D83,Pivot!$F$4:$G$12,2,0)),MIN(Pivot!$F$4:$G$12),VLOOKUP(D83,Pivot!$F$4:$G$12,2,0))</f>
        <v>11264.716264070181</v>
      </c>
      <c r="G83" s="12">
        <f>IF(ISNA(VLOOKUP(D83,Pivot!$H$4:$I$10,2,0)),MIN(Pivot!$H$4:$I$10),VLOOKUP(D83,Pivot!$H$4:$I$10,2,0))</f>
        <v>10382.341810335902</v>
      </c>
      <c r="H83" s="23"/>
      <c r="I83" s="23"/>
      <c r="K83" s="21">
        <f>INDEX(E83:I83,1,Control!$C$10)</f>
        <v>11873.552586779413</v>
      </c>
    </row>
    <row r="84" spans="2:11" ht="12.75" customHeight="1" x14ac:dyDescent="0.2">
      <c r="B84" s="8">
        <f t="shared" si="1"/>
        <v>80</v>
      </c>
      <c r="C84" s="14" t="s">
        <v>351</v>
      </c>
      <c r="D84" s="13" t="s">
        <v>125</v>
      </c>
      <c r="E84" s="12">
        <f>IF(ISNA(VLOOKUP(D84,Pivot!$D$4:$E$30,2,0)),MIN(Pivot!$E$4:$E$30),VLOOKUP(D84,Pivot!$D$4:$E$30,2,0))</f>
        <v>11873.552586779413</v>
      </c>
      <c r="F84" s="68">
        <f>IF(ISNA(VLOOKUP(D84,Pivot!$F$4:$G$12,2,0)),MIN(Pivot!$F$4:$G$12),VLOOKUP(D84,Pivot!$F$4:$G$12,2,0))</f>
        <v>11264.716264070181</v>
      </c>
      <c r="G84" s="12">
        <f>IF(ISNA(VLOOKUP(D84,Pivot!$H$4:$I$10,2,0)),MIN(Pivot!$H$4:$I$10),VLOOKUP(D84,Pivot!$H$4:$I$10,2,0))</f>
        <v>10382.341810335902</v>
      </c>
      <c r="H84" s="23"/>
      <c r="I84" s="23"/>
      <c r="K84" s="21">
        <f>INDEX(E84:I84,1,Control!$C$10)</f>
        <v>11873.552586779413</v>
      </c>
    </row>
    <row r="85" spans="2:11" ht="12.75" customHeight="1" x14ac:dyDescent="0.2">
      <c r="B85" s="8">
        <f t="shared" si="1"/>
        <v>81</v>
      </c>
      <c r="C85" s="14" t="s">
        <v>128</v>
      </c>
      <c r="D85" s="13" t="s">
        <v>129</v>
      </c>
      <c r="E85" s="12">
        <f>IF(ISNA(VLOOKUP(D85,Pivot!$D$4:$E$30,2,0)),MIN(Pivot!$E$4:$E$30),VLOOKUP(D85,Pivot!$D$4:$E$30,2,0))</f>
        <v>11873.552586779413</v>
      </c>
      <c r="F85" s="68">
        <f>IF(ISNA(VLOOKUP(D85,Pivot!$F$4:$G$12,2,0)),MIN(Pivot!$F$4:$G$12),VLOOKUP(D85,Pivot!$F$4:$G$12,2,0))</f>
        <v>11264.716264070181</v>
      </c>
      <c r="G85" s="12">
        <f>IF(ISNA(VLOOKUP(D85,Pivot!$H$4:$I$10,2,0)),MIN(Pivot!$H$4:$I$10),VLOOKUP(D85,Pivot!$H$4:$I$10,2,0))</f>
        <v>10382.341810335902</v>
      </c>
      <c r="H85" s="23"/>
      <c r="I85" s="23"/>
      <c r="K85" s="21">
        <f>INDEX(E85:I85,1,Control!$C$10)</f>
        <v>11873.552586779413</v>
      </c>
    </row>
    <row r="86" spans="2:11" ht="12.75" customHeight="1" x14ac:dyDescent="0.2">
      <c r="B86" s="8">
        <f t="shared" si="1"/>
        <v>82</v>
      </c>
      <c r="C86" s="14" t="s">
        <v>130</v>
      </c>
      <c r="D86" s="13" t="s">
        <v>131</v>
      </c>
      <c r="E86" s="12">
        <f>IF(ISNA(VLOOKUP(D86,Pivot!$D$4:$E$30,2,0)),MIN(Pivot!$E$4:$E$30),VLOOKUP(D86,Pivot!$D$4:$E$30,2,0))</f>
        <v>47258.859130487806</v>
      </c>
      <c r="F86" s="68">
        <f>IF(ISNA(VLOOKUP(D86,Pivot!$F$4:$G$12,2,0)),MIN(Pivot!$F$4:$G$12),VLOOKUP(D86,Pivot!$F$4:$G$12,2,0))</f>
        <v>11264.716264070181</v>
      </c>
      <c r="G86" s="12">
        <f>IF(ISNA(VLOOKUP(D86,Pivot!$H$4:$I$10,2,0)),MIN(Pivot!$H$4:$I$10),VLOOKUP(D86,Pivot!$H$4:$I$10,2,0))</f>
        <v>10382.341810335902</v>
      </c>
      <c r="H86" s="23"/>
      <c r="I86" s="23"/>
      <c r="K86" s="21">
        <f>INDEX(E86:I86,1,Control!$C$10)</f>
        <v>47258.859130487806</v>
      </c>
    </row>
    <row r="87" spans="2:11" ht="12.75" customHeight="1" x14ac:dyDescent="0.2">
      <c r="B87" s="8">
        <f t="shared" si="1"/>
        <v>83</v>
      </c>
      <c r="C87" s="14" t="s">
        <v>760</v>
      </c>
      <c r="D87" s="13" t="s">
        <v>132</v>
      </c>
      <c r="E87" s="12">
        <f>IF(ISNA(VLOOKUP(D87,Pivot!$D$4:$E$30,2,0)),MIN(Pivot!$E$4:$E$30),VLOOKUP(D87,Pivot!$D$4:$E$30,2,0))</f>
        <v>11873.552586779413</v>
      </c>
      <c r="F87" s="68">
        <f>IF(ISNA(VLOOKUP(D87,Pivot!$F$4:$G$12,2,0)),MIN(Pivot!$F$4:$G$12),VLOOKUP(D87,Pivot!$F$4:$G$12,2,0))</f>
        <v>11264.716264070181</v>
      </c>
      <c r="G87" s="12">
        <f>IF(ISNA(VLOOKUP(D87,Pivot!$H$4:$I$10,2,0)),MIN(Pivot!$H$4:$I$10),VLOOKUP(D87,Pivot!$H$4:$I$10,2,0))</f>
        <v>10382.341810335902</v>
      </c>
      <c r="H87" s="23"/>
      <c r="I87" s="23"/>
      <c r="K87" s="21">
        <f>INDEX(E87:I87,1,Control!$C$10)</f>
        <v>11873.552586779413</v>
      </c>
    </row>
    <row r="88" spans="2:11" ht="12.75" customHeight="1" x14ac:dyDescent="0.2">
      <c r="B88" s="8">
        <f t="shared" si="1"/>
        <v>84</v>
      </c>
      <c r="C88" s="14" t="s">
        <v>133</v>
      </c>
      <c r="D88" s="13" t="s">
        <v>134</v>
      </c>
      <c r="E88" s="12">
        <f>IF(ISNA(VLOOKUP(D88,Pivot!$D$4:$E$30,2,0)),MIN(Pivot!$E$4:$E$30),VLOOKUP(D88,Pivot!$D$4:$E$30,2,0))</f>
        <v>11873.552586779413</v>
      </c>
      <c r="F88" s="68">
        <f>IF(ISNA(VLOOKUP(D88,Pivot!$F$4:$G$12,2,0)),MIN(Pivot!$F$4:$G$12),VLOOKUP(D88,Pivot!$F$4:$G$12,2,0))</f>
        <v>11264.716264070181</v>
      </c>
      <c r="G88" s="12">
        <f>IF(ISNA(VLOOKUP(D88,Pivot!$H$4:$I$10,2,0)),MIN(Pivot!$H$4:$I$10),VLOOKUP(D88,Pivot!$H$4:$I$10,2,0))</f>
        <v>10382.341810335902</v>
      </c>
      <c r="H88" s="23"/>
      <c r="I88" s="23"/>
      <c r="K88" s="21">
        <f>INDEX(E88:I88,1,Control!$C$10)</f>
        <v>11873.552586779413</v>
      </c>
    </row>
    <row r="89" spans="2:11" ht="12.75" customHeight="1" x14ac:dyDescent="0.2">
      <c r="B89" s="8">
        <f t="shared" si="1"/>
        <v>85</v>
      </c>
      <c r="C89" s="14" t="s">
        <v>137</v>
      </c>
      <c r="D89" s="13" t="s">
        <v>138</v>
      </c>
      <c r="E89" s="12">
        <f>IF(ISNA(VLOOKUP(D89,Pivot!$D$4:$E$30,2,0)),MIN(Pivot!$E$4:$E$30),VLOOKUP(D89,Pivot!$D$4:$E$30,2,0))</f>
        <v>11873.552586779413</v>
      </c>
      <c r="F89" s="68">
        <f>IF(ISNA(VLOOKUP(D89,Pivot!$F$4:$G$12,2,0)),MIN(Pivot!$F$4:$G$12),VLOOKUP(D89,Pivot!$F$4:$G$12,2,0))</f>
        <v>11264.716264070181</v>
      </c>
      <c r="G89" s="12">
        <f>IF(ISNA(VLOOKUP(D89,Pivot!$H$4:$I$10,2,0)),MIN(Pivot!$H$4:$I$10),VLOOKUP(D89,Pivot!$H$4:$I$10,2,0))</f>
        <v>10382.341810335902</v>
      </c>
      <c r="H89" s="23"/>
      <c r="I89" s="23"/>
      <c r="K89" s="21">
        <f>INDEX(E89:I89,1,Control!$C$10)</f>
        <v>11873.552586779413</v>
      </c>
    </row>
    <row r="90" spans="2:11" ht="12.75" customHeight="1" x14ac:dyDescent="0.2">
      <c r="B90" s="8">
        <f t="shared" si="1"/>
        <v>86</v>
      </c>
      <c r="C90" s="14" t="s">
        <v>147</v>
      </c>
      <c r="D90" s="13" t="s">
        <v>148</v>
      </c>
      <c r="E90" s="12">
        <f>IF(ISNA(VLOOKUP(D90,Pivot!$D$4:$E$30,2,0)),MIN(Pivot!$E$4:$E$30),VLOOKUP(D90,Pivot!$D$4:$E$30,2,0))</f>
        <v>11873.552586779413</v>
      </c>
      <c r="F90" s="68">
        <f>IF(ISNA(VLOOKUP(D90,Pivot!$F$4:$G$12,2,0)),MIN(Pivot!$F$4:$G$12),VLOOKUP(D90,Pivot!$F$4:$G$12,2,0))</f>
        <v>11264.716264070181</v>
      </c>
      <c r="G90" s="12">
        <f>IF(ISNA(VLOOKUP(D90,Pivot!$H$4:$I$10,2,0)),MIN(Pivot!$H$4:$I$10),VLOOKUP(D90,Pivot!$H$4:$I$10,2,0))</f>
        <v>10382.341810335902</v>
      </c>
      <c r="H90" s="23"/>
      <c r="I90" s="23"/>
      <c r="K90" s="21">
        <f>INDEX(E90:I90,1,Control!$C$10)</f>
        <v>11873.552586779413</v>
      </c>
    </row>
    <row r="91" spans="2:11" ht="12.75" customHeight="1" x14ac:dyDescent="0.2">
      <c r="B91" s="8">
        <f t="shared" si="1"/>
        <v>87</v>
      </c>
      <c r="C91" s="14" t="s">
        <v>151</v>
      </c>
      <c r="D91" s="13" t="s">
        <v>152</v>
      </c>
      <c r="E91" s="12">
        <f>IF(ISNA(VLOOKUP(D91,Pivot!$D$4:$E$30,2,0)),MIN(Pivot!$E$4:$E$30),VLOOKUP(D91,Pivot!$D$4:$E$30,2,0))</f>
        <v>11873.552586779413</v>
      </c>
      <c r="F91" s="68">
        <f>IF(ISNA(VLOOKUP(D91,Pivot!$F$4:$G$12,2,0)),MIN(Pivot!$F$4:$G$12),VLOOKUP(D91,Pivot!$F$4:$G$12,2,0))</f>
        <v>11264.716264070181</v>
      </c>
      <c r="G91" s="12">
        <f>IF(ISNA(VLOOKUP(D91,Pivot!$H$4:$I$10,2,0)),MIN(Pivot!$H$4:$I$10),VLOOKUP(D91,Pivot!$H$4:$I$10,2,0))</f>
        <v>10382.341810335902</v>
      </c>
      <c r="H91" s="23"/>
      <c r="I91" s="23"/>
      <c r="K91" s="21">
        <f>INDEX(E91:I91,1,Control!$C$10)</f>
        <v>11873.552586779413</v>
      </c>
    </row>
    <row r="92" spans="2:11" ht="12.75" customHeight="1" x14ac:dyDescent="0.2">
      <c r="B92" s="8">
        <f t="shared" si="1"/>
        <v>88</v>
      </c>
      <c r="C92" s="14" t="s">
        <v>155</v>
      </c>
      <c r="D92" s="13" t="s">
        <v>156</v>
      </c>
      <c r="E92" s="12">
        <f>IF(ISNA(VLOOKUP(D92,Pivot!$D$4:$E$30,2,0)),MIN(Pivot!$E$4:$E$30),VLOOKUP(D92,Pivot!$D$4:$E$30,2,0))</f>
        <v>11873.552586779413</v>
      </c>
      <c r="F92" s="68">
        <f>IF(ISNA(VLOOKUP(D92,Pivot!$F$4:$G$12,2,0)),MIN(Pivot!$F$4:$G$12),VLOOKUP(D92,Pivot!$F$4:$G$12,2,0))</f>
        <v>11264.716264070181</v>
      </c>
      <c r="G92" s="12">
        <f>IF(ISNA(VLOOKUP(D92,Pivot!$H$4:$I$10,2,0)),MIN(Pivot!$H$4:$I$10),VLOOKUP(D92,Pivot!$H$4:$I$10,2,0))</f>
        <v>10382.341810335902</v>
      </c>
      <c r="H92" s="23"/>
      <c r="I92" s="23"/>
      <c r="K92" s="21">
        <f>INDEX(E92:I92,1,Control!$C$10)</f>
        <v>11873.552586779413</v>
      </c>
    </row>
    <row r="93" spans="2:11" ht="12.75" customHeight="1" x14ac:dyDescent="0.2">
      <c r="B93" s="8">
        <f t="shared" si="1"/>
        <v>89</v>
      </c>
      <c r="C93" s="14" t="s">
        <v>750</v>
      </c>
      <c r="D93" s="13" t="s">
        <v>163</v>
      </c>
      <c r="E93" s="12">
        <f>IF(ISNA(VLOOKUP(D93,Pivot!$D$4:$E$30,2,0)),MIN(Pivot!$E$4:$E$30),VLOOKUP(D93,Pivot!$D$4:$E$30,2,0))</f>
        <v>11873.552586779413</v>
      </c>
      <c r="F93" s="68">
        <f>IF(ISNA(VLOOKUP(D93,Pivot!$F$4:$G$12,2,0)),MIN(Pivot!$F$4:$G$12),VLOOKUP(D93,Pivot!$F$4:$G$12,2,0))</f>
        <v>11264.716264070181</v>
      </c>
      <c r="G93" s="12">
        <f>IF(ISNA(VLOOKUP(D93,Pivot!$H$4:$I$10,2,0)),MIN(Pivot!$H$4:$I$10),VLOOKUP(D93,Pivot!$H$4:$I$10,2,0))</f>
        <v>10382.341810335902</v>
      </c>
      <c r="H93" s="23"/>
      <c r="I93" s="23"/>
      <c r="K93" s="21">
        <f>INDEX(E93:I93,1,Control!$C$10)</f>
        <v>11873.552586779413</v>
      </c>
    </row>
    <row r="94" spans="2:11" ht="12.75" customHeight="1" x14ac:dyDescent="0.2">
      <c r="B94" s="8">
        <f t="shared" si="1"/>
        <v>90</v>
      </c>
      <c r="C94" s="14" t="s">
        <v>747</v>
      </c>
      <c r="D94" s="13" t="s">
        <v>164</v>
      </c>
      <c r="E94" s="12">
        <f>IF(ISNA(VLOOKUP(D94,Pivot!$D$4:$E$30,2,0)),MIN(Pivot!$E$4:$E$30),VLOOKUP(D94,Pivot!$D$4:$E$30,2,0))</f>
        <v>11873.552586779413</v>
      </c>
      <c r="F94" s="68">
        <f>IF(ISNA(VLOOKUP(D94,Pivot!$F$4:$G$12,2,0)),MIN(Pivot!$F$4:$G$12),VLOOKUP(D94,Pivot!$F$4:$G$12,2,0))</f>
        <v>11264.716264070181</v>
      </c>
      <c r="G94" s="12">
        <f>IF(ISNA(VLOOKUP(D94,Pivot!$H$4:$I$10,2,0)),MIN(Pivot!$H$4:$I$10),VLOOKUP(D94,Pivot!$H$4:$I$10,2,0))</f>
        <v>10382.341810335902</v>
      </c>
      <c r="H94" s="23"/>
      <c r="I94" s="23"/>
      <c r="K94" s="21">
        <f>INDEX(E94:I94,1,Control!$C$10)</f>
        <v>11873.552586779413</v>
      </c>
    </row>
    <row r="95" spans="2:11" ht="12.75" customHeight="1" x14ac:dyDescent="0.2">
      <c r="B95" s="8">
        <f t="shared" si="1"/>
        <v>91</v>
      </c>
      <c r="C95" s="14" t="s">
        <v>167</v>
      </c>
      <c r="D95" s="13" t="s">
        <v>168</v>
      </c>
      <c r="E95" s="12">
        <f>IF(ISNA(VLOOKUP(D95,Pivot!$D$4:$E$30,2,0)),MIN(Pivot!$E$4:$E$30),VLOOKUP(D95,Pivot!$D$4:$E$30,2,0))</f>
        <v>11873.552586779413</v>
      </c>
      <c r="F95" s="68">
        <f>IF(ISNA(VLOOKUP(D95,Pivot!$F$4:$G$12,2,0)),MIN(Pivot!$F$4:$G$12),VLOOKUP(D95,Pivot!$F$4:$G$12,2,0))</f>
        <v>11264.716264070181</v>
      </c>
      <c r="G95" s="12">
        <f>IF(ISNA(VLOOKUP(D95,Pivot!$H$4:$I$10,2,0)),MIN(Pivot!$H$4:$I$10),VLOOKUP(D95,Pivot!$H$4:$I$10,2,0))</f>
        <v>10382.341810335902</v>
      </c>
      <c r="H95" s="23"/>
      <c r="I95" s="23"/>
      <c r="K95" s="21">
        <f>INDEX(E95:I95,1,Control!$C$10)</f>
        <v>11873.552586779413</v>
      </c>
    </row>
    <row r="96" spans="2:11" ht="12.75" customHeight="1" x14ac:dyDescent="0.2">
      <c r="B96" s="8">
        <f t="shared" si="1"/>
        <v>92</v>
      </c>
      <c r="C96" s="14" t="s">
        <v>153</v>
      </c>
      <c r="D96" s="13" t="s">
        <v>154</v>
      </c>
      <c r="E96" s="12">
        <f>IF(ISNA(VLOOKUP(D96,Pivot!$D$4:$E$30,2,0)),MIN(Pivot!$E$4:$E$30),VLOOKUP(D96,Pivot!$D$4:$E$30,2,0))</f>
        <v>11873.552586779413</v>
      </c>
      <c r="F96" s="68">
        <f>IF(ISNA(VLOOKUP(D96,Pivot!$F$4:$G$12,2,0)),MIN(Pivot!$F$4:$G$12),VLOOKUP(D96,Pivot!$F$4:$G$12,2,0))</f>
        <v>11264.716264070181</v>
      </c>
      <c r="G96" s="12">
        <f>IF(ISNA(VLOOKUP(D96,Pivot!$H$4:$I$10,2,0)),MIN(Pivot!$H$4:$I$10),VLOOKUP(D96,Pivot!$H$4:$I$10,2,0))</f>
        <v>10382.341810335902</v>
      </c>
      <c r="H96" s="23"/>
      <c r="I96" s="23"/>
      <c r="K96" s="21">
        <f>INDEX(E96:I96,1,Control!$C$10)</f>
        <v>11873.552586779413</v>
      </c>
    </row>
    <row r="97" spans="2:11" ht="12.75" customHeight="1" x14ac:dyDescent="0.2">
      <c r="B97" s="8">
        <f t="shared" si="1"/>
        <v>93</v>
      </c>
      <c r="C97" s="14" t="s">
        <v>169</v>
      </c>
      <c r="D97" s="13" t="s">
        <v>170</v>
      </c>
      <c r="E97" s="12">
        <f>IF(ISNA(VLOOKUP(D97,Pivot!$D$4:$E$30,2,0)),MIN(Pivot!$E$4:$E$30),VLOOKUP(D97,Pivot!$D$4:$E$30,2,0))</f>
        <v>11873.552586779413</v>
      </c>
      <c r="F97" s="68">
        <f>IF(ISNA(VLOOKUP(D97,Pivot!$F$4:$G$12,2,0)),MIN(Pivot!$F$4:$G$12),VLOOKUP(D97,Pivot!$F$4:$G$12,2,0))</f>
        <v>11264.716264070181</v>
      </c>
      <c r="G97" s="12">
        <f>IF(ISNA(VLOOKUP(D97,Pivot!$H$4:$I$10,2,0)),MIN(Pivot!$H$4:$I$10),VLOOKUP(D97,Pivot!$H$4:$I$10,2,0))</f>
        <v>10382.341810335902</v>
      </c>
      <c r="H97" s="23"/>
      <c r="I97" s="23"/>
      <c r="K97" s="21">
        <f>INDEX(E97:I97,1,Control!$C$10)</f>
        <v>11873.552586779413</v>
      </c>
    </row>
    <row r="98" spans="2:11" ht="12.75" customHeight="1" x14ac:dyDescent="0.2">
      <c r="B98" s="8">
        <f t="shared" si="1"/>
        <v>94</v>
      </c>
      <c r="C98" s="14" t="s">
        <v>173</v>
      </c>
      <c r="D98" s="13" t="s">
        <v>174</v>
      </c>
      <c r="E98" s="12">
        <f>IF(ISNA(VLOOKUP(D98,Pivot!$D$4:$E$30,2,0)),MIN(Pivot!$E$4:$E$30),VLOOKUP(D98,Pivot!$D$4:$E$30,2,0))</f>
        <v>11873.552586779413</v>
      </c>
      <c r="F98" s="68">
        <f>IF(ISNA(VLOOKUP(D98,Pivot!$F$4:$G$12,2,0)),MIN(Pivot!$F$4:$G$12),VLOOKUP(D98,Pivot!$F$4:$G$12,2,0))</f>
        <v>11264.716264070181</v>
      </c>
      <c r="G98" s="12">
        <f>IF(ISNA(VLOOKUP(D98,Pivot!$H$4:$I$10,2,0)),MIN(Pivot!$H$4:$I$10),VLOOKUP(D98,Pivot!$H$4:$I$10,2,0))</f>
        <v>10382.341810335902</v>
      </c>
      <c r="H98" s="23"/>
      <c r="I98" s="23"/>
      <c r="K98" s="21">
        <f>INDEX(E98:I98,1,Control!$C$10)</f>
        <v>11873.552586779413</v>
      </c>
    </row>
    <row r="99" spans="2:11" ht="12.75" customHeight="1" x14ac:dyDescent="0.2">
      <c r="B99" s="8">
        <f t="shared" si="1"/>
        <v>95</v>
      </c>
      <c r="C99" s="14" t="s">
        <v>175</v>
      </c>
      <c r="D99" s="13" t="s">
        <v>176</v>
      </c>
      <c r="E99" s="12">
        <f>IF(ISNA(VLOOKUP(D99,Pivot!$D$4:$E$30,2,0)),MIN(Pivot!$E$4:$E$30),VLOOKUP(D99,Pivot!$D$4:$E$30,2,0))</f>
        <v>11873.552586779413</v>
      </c>
      <c r="F99" s="68">
        <f>IF(ISNA(VLOOKUP(D99,Pivot!$F$4:$G$12,2,0)),MIN(Pivot!$F$4:$G$12),VLOOKUP(D99,Pivot!$F$4:$G$12,2,0))</f>
        <v>11264.716264070181</v>
      </c>
      <c r="G99" s="12">
        <f>IF(ISNA(VLOOKUP(D99,Pivot!$H$4:$I$10,2,0)),MIN(Pivot!$H$4:$I$10),VLOOKUP(D99,Pivot!$H$4:$I$10,2,0))</f>
        <v>10382.341810335902</v>
      </c>
      <c r="H99" s="23"/>
      <c r="I99" s="23"/>
      <c r="K99" s="21">
        <f>INDEX(E99:I99,1,Control!$C$10)</f>
        <v>11873.552586779413</v>
      </c>
    </row>
    <row r="100" spans="2:11" ht="12.75" customHeight="1" x14ac:dyDescent="0.2">
      <c r="B100" s="8">
        <f t="shared" si="1"/>
        <v>96</v>
      </c>
      <c r="C100" s="14" t="s">
        <v>171</v>
      </c>
      <c r="D100" s="13" t="s">
        <v>172</v>
      </c>
      <c r="E100" s="12">
        <f>IF(ISNA(VLOOKUP(D100,Pivot!$D$4:$E$30,2,0)),MIN(Pivot!$E$4:$E$30),VLOOKUP(D100,Pivot!$D$4:$E$30,2,0))</f>
        <v>11873.552586779413</v>
      </c>
      <c r="F100" s="68">
        <f>IF(ISNA(VLOOKUP(D100,Pivot!$F$4:$G$12,2,0)),MIN(Pivot!$F$4:$G$12),VLOOKUP(D100,Pivot!$F$4:$G$12,2,0))</f>
        <v>11264.716264070181</v>
      </c>
      <c r="G100" s="12">
        <f>IF(ISNA(VLOOKUP(D100,Pivot!$H$4:$I$10,2,0)),MIN(Pivot!$H$4:$I$10),VLOOKUP(D100,Pivot!$H$4:$I$10,2,0))</f>
        <v>10382.341810335902</v>
      </c>
      <c r="H100" s="23"/>
      <c r="I100" s="23"/>
      <c r="K100" s="21">
        <f>INDEX(E100:I100,1,Control!$C$10)</f>
        <v>11873.552586779413</v>
      </c>
    </row>
    <row r="101" spans="2:11" ht="12.75" customHeight="1" x14ac:dyDescent="0.2">
      <c r="B101" s="8">
        <f t="shared" si="1"/>
        <v>97</v>
      </c>
      <c r="C101" s="14" t="s">
        <v>759</v>
      </c>
      <c r="D101" s="13" t="s">
        <v>177</v>
      </c>
      <c r="E101" s="12">
        <f>IF(ISNA(VLOOKUP(D101,Pivot!$D$4:$E$30,2,0)),MIN(Pivot!$E$4:$E$30),VLOOKUP(D101,Pivot!$D$4:$E$30,2,0))</f>
        <v>11873.552586779413</v>
      </c>
      <c r="F101" s="68">
        <f>IF(ISNA(VLOOKUP(D101,Pivot!$F$4:$G$12,2,0)),MIN(Pivot!$F$4:$G$12),VLOOKUP(D101,Pivot!$F$4:$G$12,2,0))</f>
        <v>11264.716264070181</v>
      </c>
      <c r="G101" s="12">
        <f>IF(ISNA(VLOOKUP(D101,Pivot!$H$4:$I$10,2,0)),MIN(Pivot!$H$4:$I$10),VLOOKUP(D101,Pivot!$H$4:$I$10,2,0))</f>
        <v>10382.341810335902</v>
      </c>
      <c r="H101" s="23"/>
      <c r="I101" s="23"/>
      <c r="K101" s="21">
        <f>INDEX(E101:I101,1,Control!$C$10)</f>
        <v>11873.552586779413</v>
      </c>
    </row>
    <row r="102" spans="2:11" ht="12.75" customHeight="1" x14ac:dyDescent="0.2">
      <c r="B102" s="8">
        <f t="shared" si="1"/>
        <v>98</v>
      </c>
      <c r="C102" s="14" t="s">
        <v>178</v>
      </c>
      <c r="D102" s="13" t="s">
        <v>179</v>
      </c>
      <c r="E102" s="12">
        <f>IF(ISNA(VLOOKUP(D102,Pivot!$D$4:$E$30,2,0)),MIN(Pivot!$E$4:$E$30),VLOOKUP(D102,Pivot!$D$4:$E$30,2,0))</f>
        <v>11873.552586779413</v>
      </c>
      <c r="F102" s="68">
        <f>IF(ISNA(VLOOKUP(D102,Pivot!$F$4:$G$12,2,0)),MIN(Pivot!$F$4:$G$12),VLOOKUP(D102,Pivot!$F$4:$G$12,2,0))</f>
        <v>11264.716264070181</v>
      </c>
      <c r="G102" s="12">
        <f>IF(ISNA(VLOOKUP(D102,Pivot!$H$4:$I$10,2,0)),MIN(Pivot!$H$4:$I$10),VLOOKUP(D102,Pivot!$H$4:$I$10,2,0))</f>
        <v>10382.341810335902</v>
      </c>
      <c r="H102" s="23"/>
      <c r="I102" s="23"/>
      <c r="K102" s="21">
        <f>INDEX(E102:I102,1,Control!$C$10)</f>
        <v>11873.552586779413</v>
      </c>
    </row>
    <row r="103" spans="2:11" ht="12.75" customHeight="1" x14ac:dyDescent="0.2">
      <c r="B103" s="8">
        <f t="shared" si="1"/>
        <v>99</v>
      </c>
      <c r="C103" s="14" t="s">
        <v>180</v>
      </c>
      <c r="D103" s="13" t="s">
        <v>181</v>
      </c>
      <c r="E103" s="12">
        <f>IF(ISNA(VLOOKUP(D103,Pivot!$D$4:$E$30,2,0)),MIN(Pivot!$E$4:$E$30),VLOOKUP(D103,Pivot!$D$4:$E$30,2,0))</f>
        <v>11873.552586779413</v>
      </c>
      <c r="F103" s="68">
        <f>IF(ISNA(VLOOKUP(D103,Pivot!$F$4:$G$12,2,0)),MIN(Pivot!$F$4:$G$12),VLOOKUP(D103,Pivot!$F$4:$G$12,2,0))</f>
        <v>11264.716264070181</v>
      </c>
      <c r="G103" s="12">
        <f>IF(ISNA(VLOOKUP(D103,Pivot!$H$4:$I$10,2,0)),MIN(Pivot!$H$4:$I$10),VLOOKUP(D103,Pivot!$H$4:$I$10,2,0))</f>
        <v>10382.341810335902</v>
      </c>
      <c r="H103" s="23"/>
      <c r="I103" s="23"/>
      <c r="K103" s="21">
        <f>INDEX(E103:I103,1,Control!$C$10)</f>
        <v>11873.552586779413</v>
      </c>
    </row>
    <row r="104" spans="2:11" ht="12.75" customHeight="1" x14ac:dyDescent="0.2">
      <c r="B104" s="8">
        <f t="shared" si="1"/>
        <v>100</v>
      </c>
      <c r="C104" s="14" t="s">
        <v>182</v>
      </c>
      <c r="D104" s="13" t="s">
        <v>183</v>
      </c>
      <c r="E104" s="12">
        <f>IF(ISNA(VLOOKUP(D104,Pivot!$D$4:$E$30,2,0)),MIN(Pivot!$E$4:$E$30),VLOOKUP(D104,Pivot!$D$4:$E$30,2,0))</f>
        <v>11873.552586779413</v>
      </c>
      <c r="F104" s="68">
        <f>IF(ISNA(VLOOKUP(D104,Pivot!$F$4:$G$12,2,0)),MIN(Pivot!$F$4:$G$12),VLOOKUP(D104,Pivot!$F$4:$G$12,2,0))</f>
        <v>11264.716264070181</v>
      </c>
      <c r="G104" s="12">
        <f>IF(ISNA(VLOOKUP(D104,Pivot!$H$4:$I$10,2,0)),MIN(Pivot!$H$4:$I$10),VLOOKUP(D104,Pivot!$H$4:$I$10,2,0))</f>
        <v>10382.341810335902</v>
      </c>
      <c r="H104" s="23"/>
      <c r="I104" s="23"/>
      <c r="K104" s="21">
        <f>INDEX(E104:I104,1,Control!$C$10)</f>
        <v>11873.552586779413</v>
      </c>
    </row>
    <row r="105" spans="2:11" ht="12.75" customHeight="1" x14ac:dyDescent="0.2">
      <c r="B105" s="8">
        <f t="shared" si="1"/>
        <v>101</v>
      </c>
      <c r="C105" s="14" t="s">
        <v>184</v>
      </c>
      <c r="D105" s="13" t="s">
        <v>185</v>
      </c>
      <c r="E105" s="12">
        <f>IF(ISNA(VLOOKUP(D105,Pivot!$D$4:$E$30,2,0)),MIN(Pivot!$E$4:$E$30),VLOOKUP(D105,Pivot!$D$4:$E$30,2,0))</f>
        <v>11873.552586779413</v>
      </c>
      <c r="F105" s="68">
        <f>IF(ISNA(VLOOKUP(D105,Pivot!$F$4:$G$12,2,0)),MIN(Pivot!$F$4:$G$12),VLOOKUP(D105,Pivot!$F$4:$G$12,2,0))</f>
        <v>11264.716264070181</v>
      </c>
      <c r="G105" s="12">
        <f>IF(ISNA(VLOOKUP(D105,Pivot!$H$4:$I$10,2,0)),MIN(Pivot!$H$4:$I$10),VLOOKUP(D105,Pivot!$H$4:$I$10,2,0))</f>
        <v>10382.341810335902</v>
      </c>
      <c r="H105" s="23"/>
      <c r="I105" s="23"/>
      <c r="K105" s="21">
        <f>INDEX(E105:I105,1,Control!$C$10)</f>
        <v>11873.552586779413</v>
      </c>
    </row>
    <row r="106" spans="2:11" ht="12.75" customHeight="1" x14ac:dyDescent="0.2">
      <c r="B106" s="8">
        <f t="shared" si="1"/>
        <v>102</v>
      </c>
      <c r="C106" s="14" t="s">
        <v>761</v>
      </c>
      <c r="D106" s="13" t="s">
        <v>206</v>
      </c>
      <c r="E106" s="12">
        <f>IF(ISNA(VLOOKUP(D106,Pivot!$D$4:$E$30,2,0)),MIN(Pivot!$E$4:$E$30),VLOOKUP(D106,Pivot!$D$4:$E$30,2,0))</f>
        <v>11873.552586779413</v>
      </c>
      <c r="F106" s="68">
        <f>IF(ISNA(VLOOKUP(D106,Pivot!$F$4:$G$12,2,0)),MIN(Pivot!$F$4:$G$12),VLOOKUP(D106,Pivot!$F$4:$G$12,2,0))</f>
        <v>11264.716264070181</v>
      </c>
      <c r="G106" s="12">
        <f>IF(ISNA(VLOOKUP(D106,Pivot!$H$4:$I$10,2,0)),MIN(Pivot!$H$4:$I$10),VLOOKUP(D106,Pivot!$H$4:$I$10,2,0))</f>
        <v>10382.341810335902</v>
      </c>
      <c r="H106" s="23"/>
      <c r="I106" s="23"/>
      <c r="K106" s="21">
        <f>INDEX(E106:I106,1,Control!$C$10)</f>
        <v>11873.552586779413</v>
      </c>
    </row>
    <row r="107" spans="2:11" ht="12.75" customHeight="1" x14ac:dyDescent="0.2">
      <c r="B107" s="8">
        <f t="shared" si="1"/>
        <v>103</v>
      </c>
      <c r="C107" s="14" t="s">
        <v>186</v>
      </c>
      <c r="D107" s="13" t="s">
        <v>187</v>
      </c>
      <c r="E107" s="12">
        <f>IF(ISNA(VLOOKUP(D107,Pivot!$D$4:$E$30,2,0)),MIN(Pivot!$E$4:$E$30),VLOOKUP(D107,Pivot!$D$4:$E$30,2,0))</f>
        <v>11873.552586779413</v>
      </c>
      <c r="F107" s="68">
        <f>IF(ISNA(VLOOKUP(D107,Pivot!$F$4:$G$12,2,0)),MIN(Pivot!$F$4:$G$12),VLOOKUP(D107,Pivot!$F$4:$G$12,2,0))</f>
        <v>11264.716264070181</v>
      </c>
      <c r="G107" s="12">
        <f>IF(ISNA(VLOOKUP(D107,Pivot!$H$4:$I$10,2,0)),MIN(Pivot!$H$4:$I$10),VLOOKUP(D107,Pivot!$H$4:$I$10,2,0))</f>
        <v>10382.341810335902</v>
      </c>
      <c r="H107" s="23"/>
      <c r="I107" s="23"/>
      <c r="K107" s="21">
        <f>INDEX(E107:I107,1,Control!$C$10)</f>
        <v>11873.552586779413</v>
      </c>
    </row>
    <row r="108" spans="2:11" ht="12.75" customHeight="1" x14ac:dyDescent="0.2">
      <c r="B108" s="8">
        <f t="shared" si="1"/>
        <v>104</v>
      </c>
      <c r="C108" s="14" t="s">
        <v>188</v>
      </c>
      <c r="D108" s="13" t="s">
        <v>189</v>
      </c>
      <c r="E108" s="12">
        <f>IF(ISNA(VLOOKUP(D108,Pivot!$D$4:$E$30,2,0)),MIN(Pivot!$E$4:$E$30),VLOOKUP(D108,Pivot!$D$4:$E$30,2,0))</f>
        <v>11873.552586779413</v>
      </c>
      <c r="F108" s="68">
        <f>IF(ISNA(VLOOKUP(D108,Pivot!$F$4:$G$12,2,0)),MIN(Pivot!$F$4:$G$12),VLOOKUP(D108,Pivot!$F$4:$G$12,2,0))</f>
        <v>11264.716264070181</v>
      </c>
      <c r="G108" s="12">
        <f>IF(ISNA(VLOOKUP(D108,Pivot!$H$4:$I$10,2,0)),MIN(Pivot!$H$4:$I$10),VLOOKUP(D108,Pivot!$H$4:$I$10,2,0))</f>
        <v>10382.341810335902</v>
      </c>
      <c r="H108" s="23"/>
      <c r="I108" s="23"/>
      <c r="K108" s="21">
        <f>INDEX(E108:I108,1,Control!$C$10)</f>
        <v>11873.552586779413</v>
      </c>
    </row>
    <row r="109" spans="2:11" ht="12.75" customHeight="1" x14ac:dyDescent="0.2">
      <c r="B109" s="8">
        <f t="shared" si="1"/>
        <v>105</v>
      </c>
      <c r="C109" s="14" t="s">
        <v>190</v>
      </c>
      <c r="D109" s="13" t="s">
        <v>191</v>
      </c>
      <c r="E109" s="12">
        <f>IF(ISNA(VLOOKUP(D109,Pivot!$D$4:$E$30,2,0)),MIN(Pivot!$E$4:$E$30),VLOOKUP(D109,Pivot!$D$4:$E$30,2,0))</f>
        <v>24996.133222785022</v>
      </c>
      <c r="F109" s="68">
        <f>IF(ISNA(VLOOKUP(D109,Pivot!$F$4:$G$12,2,0)),MIN(Pivot!$F$4:$G$12),VLOOKUP(D109,Pivot!$F$4:$G$12,2,0))</f>
        <v>11264.716264070181</v>
      </c>
      <c r="G109" s="12">
        <f>IF(ISNA(VLOOKUP(D109,Pivot!$H$4:$I$10,2,0)),MIN(Pivot!$H$4:$I$10),VLOOKUP(D109,Pivot!$H$4:$I$10,2,0))</f>
        <v>10382.341810335902</v>
      </c>
      <c r="H109" s="23"/>
      <c r="I109" s="23"/>
      <c r="K109" s="21">
        <f>INDEX(E109:I109,1,Control!$C$10)</f>
        <v>24996.133222785022</v>
      </c>
    </row>
    <row r="110" spans="2:11" ht="12.75" customHeight="1" x14ac:dyDescent="0.2">
      <c r="B110" s="8">
        <f t="shared" si="1"/>
        <v>106</v>
      </c>
      <c r="C110" s="14" t="s">
        <v>192</v>
      </c>
      <c r="D110" s="13" t="s">
        <v>193</v>
      </c>
      <c r="E110" s="12">
        <f>IF(ISNA(VLOOKUP(D110,Pivot!$D$4:$E$30,2,0)),MIN(Pivot!$E$4:$E$30),VLOOKUP(D110,Pivot!$D$4:$E$30,2,0))</f>
        <v>11873.552586779413</v>
      </c>
      <c r="F110" s="68">
        <f>IF(ISNA(VLOOKUP(D110,Pivot!$F$4:$G$12,2,0)),MIN(Pivot!$F$4:$G$12),VLOOKUP(D110,Pivot!$F$4:$G$12,2,0))</f>
        <v>11264.716264070181</v>
      </c>
      <c r="G110" s="12">
        <f>IF(ISNA(VLOOKUP(D110,Pivot!$H$4:$I$10,2,0)),MIN(Pivot!$H$4:$I$10),VLOOKUP(D110,Pivot!$H$4:$I$10,2,0))</f>
        <v>10382.341810335902</v>
      </c>
      <c r="H110" s="23"/>
      <c r="I110" s="23"/>
      <c r="K110" s="21">
        <f>INDEX(E110:I110,1,Control!$C$10)</f>
        <v>11873.552586779413</v>
      </c>
    </row>
    <row r="111" spans="2:11" ht="12.75" customHeight="1" x14ac:dyDescent="0.2">
      <c r="B111" s="8">
        <f t="shared" si="1"/>
        <v>107</v>
      </c>
      <c r="C111" s="14" t="s">
        <v>194</v>
      </c>
      <c r="D111" s="13" t="s">
        <v>195</v>
      </c>
      <c r="E111" s="12">
        <f>IF(ISNA(VLOOKUP(D111,Pivot!$D$4:$E$30,2,0)),MIN(Pivot!$E$4:$E$30),VLOOKUP(D111,Pivot!$D$4:$E$30,2,0))</f>
        <v>11873.552586779413</v>
      </c>
      <c r="F111" s="68">
        <f>IF(ISNA(VLOOKUP(D111,Pivot!$F$4:$G$12,2,0)),MIN(Pivot!$F$4:$G$12),VLOOKUP(D111,Pivot!$F$4:$G$12,2,0))</f>
        <v>11264.716264070181</v>
      </c>
      <c r="G111" s="12">
        <f>IF(ISNA(VLOOKUP(D111,Pivot!$H$4:$I$10,2,0)),MIN(Pivot!$H$4:$I$10),VLOOKUP(D111,Pivot!$H$4:$I$10,2,0))</f>
        <v>10382.341810335902</v>
      </c>
      <c r="H111" s="23"/>
      <c r="I111" s="23"/>
      <c r="K111" s="21">
        <f>INDEX(E111:I111,1,Control!$C$10)</f>
        <v>11873.552586779413</v>
      </c>
    </row>
    <row r="112" spans="2:11" ht="12.75" customHeight="1" x14ac:dyDescent="0.2">
      <c r="B112" s="8">
        <f t="shared" si="1"/>
        <v>108</v>
      </c>
      <c r="C112" s="14" t="s">
        <v>196</v>
      </c>
      <c r="D112" s="13" t="s">
        <v>197</v>
      </c>
      <c r="E112" s="12">
        <f>IF(ISNA(VLOOKUP(D112,Pivot!$D$4:$E$30,2,0)),MIN(Pivot!$E$4:$E$30),VLOOKUP(D112,Pivot!$D$4:$E$30,2,0))</f>
        <v>11873.552586779413</v>
      </c>
      <c r="F112" s="68">
        <f>IF(ISNA(VLOOKUP(D112,Pivot!$F$4:$G$12,2,0)),MIN(Pivot!$F$4:$G$12),VLOOKUP(D112,Pivot!$F$4:$G$12,2,0))</f>
        <v>11264.716264070181</v>
      </c>
      <c r="G112" s="12">
        <f>IF(ISNA(VLOOKUP(D112,Pivot!$H$4:$I$10,2,0)),MIN(Pivot!$H$4:$I$10),VLOOKUP(D112,Pivot!$H$4:$I$10,2,0))</f>
        <v>10382.341810335902</v>
      </c>
      <c r="H112" s="23"/>
      <c r="I112" s="23"/>
      <c r="K112" s="21">
        <f>INDEX(E112:I112,1,Control!$C$10)</f>
        <v>11873.552586779413</v>
      </c>
    </row>
    <row r="113" spans="2:11" ht="12.75" customHeight="1" x14ac:dyDescent="0.2">
      <c r="B113" s="8">
        <f t="shared" si="1"/>
        <v>109</v>
      </c>
      <c r="C113" s="14" t="s">
        <v>200</v>
      </c>
      <c r="D113" s="13" t="s">
        <v>201</v>
      </c>
      <c r="E113" s="12">
        <f>IF(ISNA(VLOOKUP(D113,Pivot!$D$4:$E$30,2,0)),MIN(Pivot!$E$4:$E$30),VLOOKUP(D113,Pivot!$D$4:$E$30,2,0))</f>
        <v>11873.552586779413</v>
      </c>
      <c r="F113" s="68">
        <f>IF(ISNA(VLOOKUP(D113,Pivot!$F$4:$G$12,2,0)),MIN(Pivot!$F$4:$G$12),VLOOKUP(D113,Pivot!$F$4:$G$12,2,0))</f>
        <v>11264.716264070181</v>
      </c>
      <c r="G113" s="12">
        <f>IF(ISNA(VLOOKUP(D113,Pivot!$H$4:$I$10,2,0)),MIN(Pivot!$H$4:$I$10),VLOOKUP(D113,Pivot!$H$4:$I$10,2,0))</f>
        <v>10382.341810335902</v>
      </c>
      <c r="H113" s="23"/>
      <c r="I113" s="23"/>
      <c r="K113" s="21">
        <f>INDEX(E113:I113,1,Control!$C$10)</f>
        <v>11873.552586779413</v>
      </c>
    </row>
    <row r="114" spans="2:11" ht="12.75" customHeight="1" x14ac:dyDescent="0.2">
      <c r="B114" s="8">
        <f t="shared" si="1"/>
        <v>110</v>
      </c>
      <c r="C114" s="14" t="s">
        <v>202</v>
      </c>
      <c r="D114" s="13" t="s">
        <v>203</v>
      </c>
      <c r="E114" s="12">
        <f>IF(ISNA(VLOOKUP(D114,Pivot!$D$4:$E$30,2,0)),MIN(Pivot!$E$4:$E$30),VLOOKUP(D114,Pivot!$D$4:$E$30,2,0))</f>
        <v>11873.552586779413</v>
      </c>
      <c r="F114" s="68">
        <f>IF(ISNA(VLOOKUP(D114,Pivot!$F$4:$G$12,2,0)),MIN(Pivot!$F$4:$G$12),VLOOKUP(D114,Pivot!$F$4:$G$12,2,0))</f>
        <v>11264.716264070181</v>
      </c>
      <c r="G114" s="12">
        <f>IF(ISNA(VLOOKUP(D114,Pivot!$H$4:$I$10,2,0)),MIN(Pivot!$H$4:$I$10),VLOOKUP(D114,Pivot!$H$4:$I$10,2,0))</f>
        <v>10382.341810335902</v>
      </c>
      <c r="H114" s="23"/>
      <c r="I114" s="23"/>
      <c r="K114" s="21">
        <f>INDEX(E114:I114,1,Control!$C$10)</f>
        <v>11873.552586779413</v>
      </c>
    </row>
    <row r="115" spans="2:11" ht="12.75" customHeight="1" x14ac:dyDescent="0.2">
      <c r="B115" s="8">
        <f t="shared" si="1"/>
        <v>111</v>
      </c>
      <c r="C115" s="14" t="s">
        <v>204</v>
      </c>
      <c r="D115" s="13" t="s">
        <v>205</v>
      </c>
      <c r="E115" s="12">
        <f>IF(ISNA(VLOOKUP(D115,Pivot!$D$4:$E$30,2,0)),MIN(Pivot!$E$4:$E$30),VLOOKUP(D115,Pivot!$D$4:$E$30,2,0))</f>
        <v>11873.552586779413</v>
      </c>
      <c r="F115" s="68">
        <f>IF(ISNA(VLOOKUP(D115,Pivot!$F$4:$G$12,2,0)),MIN(Pivot!$F$4:$G$12),VLOOKUP(D115,Pivot!$F$4:$G$12,2,0))</f>
        <v>11264.716264070181</v>
      </c>
      <c r="G115" s="12">
        <f>IF(ISNA(VLOOKUP(D115,Pivot!$H$4:$I$10,2,0)),MIN(Pivot!$H$4:$I$10),VLOOKUP(D115,Pivot!$H$4:$I$10,2,0))</f>
        <v>10382.341810335902</v>
      </c>
      <c r="H115" s="23"/>
      <c r="I115" s="23"/>
      <c r="K115" s="21">
        <f>INDEX(E115:I115,1,Control!$C$10)</f>
        <v>11873.552586779413</v>
      </c>
    </row>
    <row r="116" spans="2:11" ht="12.75" customHeight="1" x14ac:dyDescent="0.2">
      <c r="B116" s="8">
        <f t="shared" si="1"/>
        <v>112</v>
      </c>
      <c r="C116" s="14" t="s">
        <v>2</v>
      </c>
      <c r="D116" s="13" t="s">
        <v>207</v>
      </c>
      <c r="E116" s="12">
        <f>IF(ISNA(VLOOKUP(D116,Pivot!$D$4:$E$30,2,0)),MIN(Pivot!$E$4:$E$30),VLOOKUP(D116,Pivot!$D$4:$E$30,2,0))</f>
        <v>32138.498288519273</v>
      </c>
      <c r="F116" s="68">
        <f>IF(ISNA(VLOOKUP(D116,Pivot!$F$4:$G$12,2,0)),MIN(Pivot!$F$4:$G$12),VLOOKUP(D116,Pivot!$F$4:$G$12,2,0))</f>
        <v>11264.716264070181</v>
      </c>
      <c r="G116" s="12">
        <f>IF(ISNA(VLOOKUP(D116,Pivot!$H$4:$I$10,2,0)),MIN(Pivot!$H$4:$I$10),VLOOKUP(D116,Pivot!$H$4:$I$10,2,0))</f>
        <v>10382.341810335902</v>
      </c>
      <c r="H116" s="23"/>
      <c r="I116" s="23"/>
      <c r="K116" s="21">
        <f>INDEX(E116:I116,1,Control!$C$10)</f>
        <v>32138.498288519273</v>
      </c>
    </row>
    <row r="117" spans="2:11" ht="12.75" customHeight="1" x14ac:dyDescent="0.2">
      <c r="B117" s="8">
        <f t="shared" si="1"/>
        <v>113</v>
      </c>
      <c r="C117" s="14" t="s">
        <v>771</v>
      </c>
      <c r="D117" s="13" t="s">
        <v>208</v>
      </c>
      <c r="E117" s="12">
        <f>IF(ISNA(VLOOKUP(D117,Pivot!$D$4:$E$30,2,0)),MIN(Pivot!$E$4:$E$30),VLOOKUP(D117,Pivot!$D$4:$E$30,2,0))</f>
        <v>11873.552586779413</v>
      </c>
      <c r="F117" s="68">
        <f>IF(ISNA(VLOOKUP(D117,Pivot!$F$4:$G$12,2,0)),MIN(Pivot!$F$4:$G$12),VLOOKUP(D117,Pivot!$F$4:$G$12,2,0))</f>
        <v>11264.716264070181</v>
      </c>
      <c r="G117" s="12">
        <f>IF(ISNA(VLOOKUP(D117,Pivot!$H$4:$I$10,2,0)),MIN(Pivot!$H$4:$I$10),VLOOKUP(D117,Pivot!$H$4:$I$10,2,0))</f>
        <v>10382.341810335902</v>
      </c>
      <c r="H117" s="23"/>
      <c r="I117" s="23"/>
      <c r="K117" s="21">
        <f>INDEX(E117:I117,1,Control!$C$10)</f>
        <v>11873.552586779413</v>
      </c>
    </row>
    <row r="118" spans="2:11" ht="12.75" customHeight="1" x14ac:dyDescent="0.2">
      <c r="B118" s="8">
        <f t="shared" si="1"/>
        <v>114</v>
      </c>
      <c r="C118" s="14" t="s">
        <v>757</v>
      </c>
      <c r="D118" s="13" t="s">
        <v>209</v>
      </c>
      <c r="E118" s="12">
        <f>IF(ISNA(VLOOKUP(D118,Pivot!$D$4:$E$30,2,0)),MIN(Pivot!$E$4:$E$30),VLOOKUP(D118,Pivot!$D$4:$E$30,2,0))</f>
        <v>11873.552586779413</v>
      </c>
      <c r="F118" s="68">
        <f>IF(ISNA(VLOOKUP(D118,Pivot!$F$4:$G$12,2,0)),MIN(Pivot!$F$4:$G$12),VLOOKUP(D118,Pivot!$F$4:$G$12,2,0))</f>
        <v>11264.716264070181</v>
      </c>
      <c r="G118" s="12">
        <f>IF(ISNA(VLOOKUP(D118,Pivot!$H$4:$I$10,2,0)),MIN(Pivot!$H$4:$I$10),VLOOKUP(D118,Pivot!$H$4:$I$10,2,0))</f>
        <v>10382.341810335902</v>
      </c>
      <c r="H118" s="23"/>
      <c r="I118" s="23"/>
      <c r="K118" s="21">
        <f>INDEX(E118:I118,1,Control!$C$10)</f>
        <v>11873.552586779413</v>
      </c>
    </row>
    <row r="119" spans="2:11" ht="12.75" customHeight="1" x14ac:dyDescent="0.2">
      <c r="B119" s="8">
        <f t="shared" si="1"/>
        <v>115</v>
      </c>
      <c r="C119" s="14" t="s">
        <v>210</v>
      </c>
      <c r="D119" s="13" t="s">
        <v>211</v>
      </c>
      <c r="E119" s="12">
        <f>IF(ISNA(VLOOKUP(D119,Pivot!$D$4:$E$30,2,0)),MIN(Pivot!$E$4:$E$30),VLOOKUP(D119,Pivot!$D$4:$E$30,2,0))</f>
        <v>11873.552586779413</v>
      </c>
      <c r="F119" s="68">
        <f>IF(ISNA(VLOOKUP(D119,Pivot!$F$4:$G$12,2,0)),MIN(Pivot!$F$4:$G$12),VLOOKUP(D119,Pivot!$F$4:$G$12,2,0))</f>
        <v>11264.716264070181</v>
      </c>
      <c r="G119" s="12">
        <f>IF(ISNA(VLOOKUP(D119,Pivot!$H$4:$I$10,2,0)),MIN(Pivot!$H$4:$I$10),VLOOKUP(D119,Pivot!$H$4:$I$10,2,0))</f>
        <v>10382.341810335902</v>
      </c>
      <c r="H119" s="23"/>
      <c r="I119" s="23"/>
      <c r="K119" s="21">
        <f>INDEX(E119:I119,1,Control!$C$10)</f>
        <v>11873.552586779413</v>
      </c>
    </row>
    <row r="120" spans="2:11" ht="12.75" customHeight="1" x14ac:dyDescent="0.2">
      <c r="B120" s="8">
        <f t="shared" si="1"/>
        <v>116</v>
      </c>
      <c r="C120" s="14" t="s">
        <v>212</v>
      </c>
      <c r="D120" s="13" t="s">
        <v>213</v>
      </c>
      <c r="E120" s="12">
        <f>IF(ISNA(VLOOKUP(D120,Pivot!$D$4:$E$30,2,0)),MIN(Pivot!$E$4:$E$30),VLOOKUP(D120,Pivot!$D$4:$E$30,2,0))</f>
        <v>11873.552586779413</v>
      </c>
      <c r="F120" s="68">
        <f>IF(ISNA(VLOOKUP(D120,Pivot!$F$4:$G$12,2,0)),MIN(Pivot!$F$4:$G$12),VLOOKUP(D120,Pivot!$F$4:$G$12,2,0))</f>
        <v>11264.716264070181</v>
      </c>
      <c r="G120" s="12">
        <f>IF(ISNA(VLOOKUP(D120,Pivot!$H$4:$I$10,2,0)),MIN(Pivot!$H$4:$I$10),VLOOKUP(D120,Pivot!$H$4:$I$10,2,0))</f>
        <v>10382.341810335902</v>
      </c>
      <c r="H120" s="23"/>
      <c r="I120" s="23"/>
      <c r="K120" s="21">
        <f>INDEX(E120:I120,1,Control!$C$10)</f>
        <v>11873.552586779413</v>
      </c>
    </row>
    <row r="121" spans="2:11" ht="12.75" customHeight="1" x14ac:dyDescent="0.2">
      <c r="B121" s="8">
        <f t="shared" si="1"/>
        <v>117</v>
      </c>
      <c r="C121" s="14" t="s">
        <v>214</v>
      </c>
      <c r="D121" s="13" t="s">
        <v>215</v>
      </c>
      <c r="E121" s="12">
        <f>IF(ISNA(VLOOKUP(D121,Pivot!$D$4:$E$30,2,0)),MIN(Pivot!$E$4:$E$30),VLOOKUP(D121,Pivot!$D$4:$E$30,2,0))</f>
        <v>11873.552586779413</v>
      </c>
      <c r="F121" s="68">
        <f>IF(ISNA(VLOOKUP(D121,Pivot!$F$4:$G$12,2,0)),MIN(Pivot!$F$4:$G$12),VLOOKUP(D121,Pivot!$F$4:$G$12,2,0))</f>
        <v>11264.716264070181</v>
      </c>
      <c r="G121" s="12">
        <f>IF(ISNA(VLOOKUP(D121,Pivot!$H$4:$I$10,2,0)),MIN(Pivot!$H$4:$I$10),VLOOKUP(D121,Pivot!$H$4:$I$10,2,0))</f>
        <v>10382.341810335902</v>
      </c>
      <c r="H121" s="23"/>
      <c r="I121" s="23"/>
      <c r="K121" s="21">
        <f>INDEX(E121:I121,1,Control!$C$10)</f>
        <v>11873.552586779413</v>
      </c>
    </row>
    <row r="122" spans="2:11" ht="12.75" customHeight="1" x14ac:dyDescent="0.2">
      <c r="B122" s="8">
        <f t="shared" si="1"/>
        <v>118</v>
      </c>
      <c r="C122" s="14" t="s">
        <v>198</v>
      </c>
      <c r="D122" s="13" t="s">
        <v>199</v>
      </c>
      <c r="E122" s="12">
        <f>IF(ISNA(VLOOKUP(D122,Pivot!$D$4:$E$30,2,0)),MIN(Pivot!$E$4:$E$30),VLOOKUP(D122,Pivot!$D$4:$E$30,2,0))</f>
        <v>11873.552586779413</v>
      </c>
      <c r="F122" s="68">
        <f>IF(ISNA(VLOOKUP(D122,Pivot!$F$4:$G$12,2,0)),MIN(Pivot!$F$4:$G$12),VLOOKUP(D122,Pivot!$F$4:$G$12,2,0))</f>
        <v>11264.716264070181</v>
      </c>
      <c r="G122" s="12">
        <f>IF(ISNA(VLOOKUP(D122,Pivot!$H$4:$I$10,2,0)),MIN(Pivot!$H$4:$I$10),VLOOKUP(D122,Pivot!$H$4:$I$10,2,0))</f>
        <v>10382.341810335902</v>
      </c>
      <c r="H122" s="23"/>
      <c r="I122" s="23"/>
      <c r="K122" s="21">
        <f>INDEX(E122:I122,1,Control!$C$10)</f>
        <v>11873.552586779413</v>
      </c>
    </row>
    <row r="123" spans="2:11" ht="12.75" customHeight="1" x14ac:dyDescent="0.2">
      <c r="B123" s="8">
        <f t="shared" si="1"/>
        <v>119</v>
      </c>
      <c r="C123" s="14" t="s">
        <v>216</v>
      </c>
      <c r="D123" s="13" t="s">
        <v>217</v>
      </c>
      <c r="E123" s="12">
        <f>IF(ISNA(VLOOKUP(D123,Pivot!$D$4:$E$30,2,0)),MIN(Pivot!$E$4:$E$30),VLOOKUP(D123,Pivot!$D$4:$E$30,2,0))</f>
        <v>11873.552586779413</v>
      </c>
      <c r="F123" s="68">
        <f>IF(ISNA(VLOOKUP(D123,Pivot!$F$4:$G$12,2,0)),MIN(Pivot!$F$4:$G$12),VLOOKUP(D123,Pivot!$F$4:$G$12,2,0))</f>
        <v>11264.716264070181</v>
      </c>
      <c r="G123" s="12">
        <f>IF(ISNA(VLOOKUP(D123,Pivot!$H$4:$I$10,2,0)),MIN(Pivot!$H$4:$I$10),VLOOKUP(D123,Pivot!$H$4:$I$10,2,0))</f>
        <v>10382.341810335902</v>
      </c>
      <c r="H123" s="23"/>
      <c r="I123" s="23"/>
      <c r="K123" s="21">
        <f>INDEX(E123:I123,1,Control!$C$10)</f>
        <v>11873.552586779413</v>
      </c>
    </row>
    <row r="124" spans="2:11" ht="12.75" customHeight="1" x14ac:dyDescent="0.2">
      <c r="B124" s="8">
        <f t="shared" si="1"/>
        <v>120</v>
      </c>
      <c r="C124" s="14" t="s">
        <v>219</v>
      </c>
      <c r="D124" s="13" t="s">
        <v>220</v>
      </c>
      <c r="E124" s="12">
        <f>IF(ISNA(VLOOKUP(D124,Pivot!$D$4:$E$30,2,0)),MIN(Pivot!$E$4:$E$30),VLOOKUP(D124,Pivot!$D$4:$E$30,2,0))</f>
        <v>11873.552586779413</v>
      </c>
      <c r="F124" s="68">
        <f>IF(ISNA(VLOOKUP(D124,Pivot!$F$4:$G$12,2,0)),MIN(Pivot!$F$4:$G$12),VLOOKUP(D124,Pivot!$F$4:$G$12,2,0))</f>
        <v>11264.716264070181</v>
      </c>
      <c r="G124" s="12">
        <f>IF(ISNA(VLOOKUP(D124,Pivot!$H$4:$I$10,2,0)),MIN(Pivot!$H$4:$I$10),VLOOKUP(D124,Pivot!$H$4:$I$10,2,0))</f>
        <v>10382.341810335902</v>
      </c>
      <c r="H124" s="23"/>
      <c r="I124" s="23"/>
      <c r="K124" s="21">
        <f>INDEX(E124:I124,1,Control!$C$10)</f>
        <v>11873.552586779413</v>
      </c>
    </row>
    <row r="125" spans="2:11" ht="12.75" customHeight="1" x14ac:dyDescent="0.2">
      <c r="B125" s="8">
        <f t="shared" si="1"/>
        <v>121</v>
      </c>
      <c r="C125" s="14" t="s">
        <v>221</v>
      </c>
      <c r="D125" s="13" t="s">
        <v>222</v>
      </c>
      <c r="E125" s="12">
        <f>IF(ISNA(VLOOKUP(D125,Pivot!$D$4:$E$30,2,0)),MIN(Pivot!$E$4:$E$30),VLOOKUP(D125,Pivot!$D$4:$E$30,2,0))</f>
        <v>11873.552586779413</v>
      </c>
      <c r="F125" s="68">
        <f>IF(ISNA(VLOOKUP(D125,Pivot!$F$4:$G$12,2,0)),MIN(Pivot!$F$4:$G$12),VLOOKUP(D125,Pivot!$F$4:$G$12,2,0))</f>
        <v>11264.716264070181</v>
      </c>
      <c r="G125" s="12">
        <f>IF(ISNA(VLOOKUP(D125,Pivot!$H$4:$I$10,2,0)),MIN(Pivot!$H$4:$I$10),VLOOKUP(D125,Pivot!$H$4:$I$10,2,0))</f>
        <v>10382.341810335902</v>
      </c>
      <c r="H125" s="23"/>
      <c r="I125" s="23"/>
      <c r="K125" s="21">
        <f>INDEX(E125:I125,1,Control!$C$10)</f>
        <v>11873.552586779413</v>
      </c>
    </row>
    <row r="126" spans="2:11" ht="12.75" customHeight="1" x14ac:dyDescent="0.2">
      <c r="B126" s="8">
        <f t="shared" si="1"/>
        <v>122</v>
      </c>
      <c r="C126" s="14" t="s">
        <v>223</v>
      </c>
      <c r="D126" s="13" t="s">
        <v>224</v>
      </c>
      <c r="E126" s="12">
        <f>IF(ISNA(VLOOKUP(D126,Pivot!$D$4:$E$30,2,0)),MIN(Pivot!$E$4:$E$30),VLOOKUP(D126,Pivot!$D$4:$E$30,2,0))</f>
        <v>11873.552586779413</v>
      </c>
      <c r="F126" s="68">
        <f>IF(ISNA(VLOOKUP(D126,Pivot!$F$4:$G$12,2,0)),MIN(Pivot!$F$4:$G$12),VLOOKUP(D126,Pivot!$F$4:$G$12,2,0))</f>
        <v>11264.716264070181</v>
      </c>
      <c r="G126" s="12">
        <f>IF(ISNA(VLOOKUP(D126,Pivot!$H$4:$I$10,2,0)),MIN(Pivot!$H$4:$I$10),VLOOKUP(D126,Pivot!$H$4:$I$10,2,0))</f>
        <v>10382.341810335902</v>
      </c>
      <c r="H126" s="23"/>
      <c r="I126" s="23"/>
      <c r="K126" s="21">
        <f>INDEX(E126:I126,1,Control!$C$10)</f>
        <v>11873.552586779413</v>
      </c>
    </row>
    <row r="127" spans="2:11" ht="12.75" customHeight="1" x14ac:dyDescent="0.2">
      <c r="B127" s="8">
        <f t="shared" si="1"/>
        <v>123</v>
      </c>
      <c r="C127" s="14" t="s">
        <v>228</v>
      </c>
      <c r="D127" s="13" t="s">
        <v>28</v>
      </c>
      <c r="E127" s="12">
        <f>IF(ISNA(VLOOKUP(D127,Pivot!$D$4:$E$30,2,0)),MIN(Pivot!$E$4:$E$30),VLOOKUP(D127,Pivot!$D$4:$E$30,2,0))</f>
        <v>73006.431203838249</v>
      </c>
      <c r="F127" s="68">
        <f>IF(ISNA(VLOOKUP(D127,Pivot!$F$4:$G$12,2,0)),MIN(Pivot!$F$4:$G$12),VLOOKUP(D127,Pivot!$F$4:$G$12,2,0))</f>
        <v>62090.772580714816</v>
      </c>
      <c r="G127" s="12">
        <f>IF(ISNA(VLOOKUP(D127,Pivot!$H$4:$I$10,2,0)),MIN(Pivot!$H$4:$I$10),VLOOKUP(D127,Pivot!$H$4:$I$10,2,0))</f>
        <v>10382.341810335902</v>
      </c>
      <c r="H127" s="23"/>
      <c r="I127" s="23"/>
      <c r="K127" s="21">
        <f>INDEX(E127:I127,1,Control!$C$10)</f>
        <v>73006.431203838249</v>
      </c>
    </row>
    <row r="128" spans="2:11" ht="12.75" customHeight="1" x14ac:dyDescent="0.2">
      <c r="B128" s="8">
        <f t="shared" si="1"/>
        <v>124</v>
      </c>
      <c r="C128" s="14" t="s">
        <v>225</v>
      </c>
      <c r="D128" s="13" t="s">
        <v>65</v>
      </c>
      <c r="E128" s="12">
        <f>IF(ISNA(VLOOKUP(D128,Pivot!$D$4:$E$30,2,0)),MIN(Pivot!$E$4:$E$30),VLOOKUP(D128,Pivot!$D$4:$E$30,2,0))</f>
        <v>70287.554967112796</v>
      </c>
      <c r="F128" s="68">
        <f>IF(ISNA(VLOOKUP(D128,Pivot!$F$4:$G$12,2,0)),MIN(Pivot!$F$4:$G$12),VLOOKUP(D128,Pivot!$F$4:$G$12,2,0))</f>
        <v>53990.226887226367</v>
      </c>
      <c r="G128" s="12">
        <f>IF(ISNA(VLOOKUP(D128,Pivot!$H$4:$I$10,2,0)),MIN(Pivot!$H$4:$I$10),VLOOKUP(D128,Pivot!$H$4:$I$10,2,0))</f>
        <v>10382.341810335902</v>
      </c>
      <c r="H128" s="23"/>
      <c r="I128" s="23"/>
      <c r="K128" s="21">
        <f>INDEX(E128:I128,1,Control!$C$10)</f>
        <v>70287.554967112796</v>
      </c>
    </row>
    <row r="129" spans="2:11" ht="12.75" customHeight="1" x14ac:dyDescent="0.2">
      <c r="B129" s="8">
        <f t="shared" si="1"/>
        <v>125</v>
      </c>
      <c r="C129" s="14" t="s">
        <v>226</v>
      </c>
      <c r="D129" s="13" t="s">
        <v>227</v>
      </c>
      <c r="E129" s="12">
        <f>IF(ISNA(VLOOKUP(D129,Pivot!$D$4:$E$30,2,0)),MIN(Pivot!$E$4:$E$30),VLOOKUP(D129,Pivot!$D$4:$E$30,2,0))</f>
        <v>11873.552586779413</v>
      </c>
      <c r="F129" s="68">
        <f>IF(ISNA(VLOOKUP(D129,Pivot!$F$4:$G$12,2,0)),MIN(Pivot!$F$4:$G$12),VLOOKUP(D129,Pivot!$F$4:$G$12,2,0))</f>
        <v>11264.716264070181</v>
      </c>
      <c r="G129" s="12">
        <f>IF(ISNA(VLOOKUP(D129,Pivot!$H$4:$I$10,2,0)),MIN(Pivot!$H$4:$I$10),VLOOKUP(D129,Pivot!$H$4:$I$10,2,0))</f>
        <v>10382.341810335902</v>
      </c>
      <c r="H129" s="23"/>
      <c r="I129" s="23"/>
      <c r="K129" s="21">
        <f>INDEX(E129:I129,1,Control!$C$10)</f>
        <v>11873.552586779413</v>
      </c>
    </row>
    <row r="130" spans="2:11" ht="12.75" customHeight="1" x14ac:dyDescent="0.2">
      <c r="B130" s="8">
        <f t="shared" si="1"/>
        <v>126</v>
      </c>
      <c r="C130" s="14" t="s">
        <v>229</v>
      </c>
      <c r="D130" s="13" t="s">
        <v>230</v>
      </c>
      <c r="E130" s="12">
        <f>IF(ISNA(VLOOKUP(D130,Pivot!$D$4:$E$30,2,0)),MIN(Pivot!$E$4:$E$30),VLOOKUP(D130,Pivot!$D$4:$E$30,2,0))</f>
        <v>11873.552586779413</v>
      </c>
      <c r="F130" s="68">
        <f>IF(ISNA(VLOOKUP(D130,Pivot!$F$4:$G$12,2,0)),MIN(Pivot!$F$4:$G$12),VLOOKUP(D130,Pivot!$F$4:$G$12,2,0))</f>
        <v>11264.716264070181</v>
      </c>
      <c r="G130" s="12">
        <f>IF(ISNA(VLOOKUP(D130,Pivot!$H$4:$I$10,2,0)),MIN(Pivot!$H$4:$I$10),VLOOKUP(D130,Pivot!$H$4:$I$10,2,0))</f>
        <v>10382.341810335902</v>
      </c>
      <c r="H130" s="23"/>
      <c r="I130" s="23"/>
      <c r="K130" s="21">
        <f>INDEX(E130:I130,1,Control!$C$10)</f>
        <v>11873.552586779413</v>
      </c>
    </row>
    <row r="131" spans="2:11" ht="12.75" customHeight="1" x14ac:dyDescent="0.2">
      <c r="B131" s="8">
        <f t="shared" si="1"/>
        <v>127</v>
      </c>
      <c r="C131" s="14" t="s">
        <v>231</v>
      </c>
      <c r="D131" s="13" t="s">
        <v>232</v>
      </c>
      <c r="E131" s="12">
        <f>IF(ISNA(VLOOKUP(D131,Pivot!$D$4:$E$30,2,0)),MIN(Pivot!$E$4:$E$30),VLOOKUP(D131,Pivot!$D$4:$E$30,2,0))</f>
        <v>11873.552586779413</v>
      </c>
      <c r="F131" s="68">
        <f>IF(ISNA(VLOOKUP(D131,Pivot!$F$4:$G$12,2,0)),MIN(Pivot!$F$4:$G$12),VLOOKUP(D131,Pivot!$F$4:$G$12,2,0))</f>
        <v>11264.716264070181</v>
      </c>
      <c r="G131" s="12">
        <f>IF(ISNA(VLOOKUP(D131,Pivot!$H$4:$I$10,2,0)),MIN(Pivot!$H$4:$I$10),VLOOKUP(D131,Pivot!$H$4:$I$10,2,0))</f>
        <v>10382.341810335902</v>
      </c>
      <c r="H131" s="23"/>
      <c r="I131" s="23"/>
      <c r="K131" s="21">
        <f>INDEX(E131:I131,1,Control!$C$10)</f>
        <v>11873.552586779413</v>
      </c>
    </row>
    <row r="132" spans="2:11" ht="12.75" customHeight="1" x14ac:dyDescent="0.2">
      <c r="B132" s="8">
        <f t="shared" si="1"/>
        <v>128</v>
      </c>
      <c r="C132" s="14" t="s">
        <v>233</v>
      </c>
      <c r="D132" s="13" t="s">
        <v>234</v>
      </c>
      <c r="E132" s="12">
        <f>IF(ISNA(VLOOKUP(D132,Pivot!$D$4:$E$30,2,0)),MIN(Pivot!$E$4:$E$30),VLOOKUP(D132,Pivot!$D$4:$E$30,2,0))</f>
        <v>99016.174371435307</v>
      </c>
      <c r="F132" s="68">
        <f>IF(ISNA(VLOOKUP(D132,Pivot!$F$4:$G$12,2,0)),MIN(Pivot!$F$4:$G$12),VLOOKUP(D132,Pivot!$F$4:$G$12,2,0))</f>
        <v>11264.716264070181</v>
      </c>
      <c r="G132" s="12">
        <f>IF(ISNA(VLOOKUP(D132,Pivot!$H$4:$I$10,2,0)),MIN(Pivot!$H$4:$I$10),VLOOKUP(D132,Pivot!$H$4:$I$10,2,0))</f>
        <v>10382.341810335902</v>
      </c>
      <c r="H132" s="23"/>
      <c r="I132" s="23"/>
      <c r="K132" s="21">
        <f>INDEX(E132:I132,1,Control!$C$10)</f>
        <v>99016.174371435307</v>
      </c>
    </row>
    <row r="133" spans="2:11" ht="12.75" customHeight="1" x14ac:dyDescent="0.2">
      <c r="B133" s="8">
        <f t="shared" si="1"/>
        <v>129</v>
      </c>
      <c r="C133" s="14" t="s">
        <v>235</v>
      </c>
      <c r="D133" s="13" t="s">
        <v>236</v>
      </c>
      <c r="E133" s="12">
        <f>IF(ISNA(VLOOKUP(D133,Pivot!$D$4:$E$30,2,0)),MIN(Pivot!$E$4:$E$30),VLOOKUP(D133,Pivot!$D$4:$E$30,2,0))</f>
        <v>11873.552586779413</v>
      </c>
      <c r="F133" s="68">
        <f>IF(ISNA(VLOOKUP(D133,Pivot!$F$4:$G$12,2,0)),MIN(Pivot!$F$4:$G$12),VLOOKUP(D133,Pivot!$F$4:$G$12,2,0))</f>
        <v>11264.716264070181</v>
      </c>
      <c r="G133" s="12">
        <f>IF(ISNA(VLOOKUP(D133,Pivot!$H$4:$I$10,2,0)),MIN(Pivot!$H$4:$I$10),VLOOKUP(D133,Pivot!$H$4:$I$10,2,0))</f>
        <v>10382.341810335902</v>
      </c>
      <c r="H133" s="23"/>
      <c r="I133" s="23"/>
      <c r="K133" s="21">
        <f>INDEX(E133:I133,1,Control!$C$10)</f>
        <v>11873.552586779413</v>
      </c>
    </row>
    <row r="134" spans="2:11" ht="12.75" customHeight="1" x14ac:dyDescent="0.2">
      <c r="B134" s="8">
        <f t="shared" si="1"/>
        <v>130</v>
      </c>
      <c r="C134" s="14" t="s">
        <v>240</v>
      </c>
      <c r="D134" s="13" t="s">
        <v>241</v>
      </c>
      <c r="E134" s="12">
        <f>IF(ISNA(VLOOKUP(D134,Pivot!$D$4:$E$30,2,0)),MIN(Pivot!$E$4:$E$30),VLOOKUP(D134,Pivot!$D$4:$E$30,2,0))</f>
        <v>11873.552586779413</v>
      </c>
      <c r="F134" s="68">
        <f>IF(ISNA(VLOOKUP(D134,Pivot!$F$4:$G$12,2,0)),MIN(Pivot!$F$4:$G$12),VLOOKUP(D134,Pivot!$F$4:$G$12,2,0))</f>
        <v>14887</v>
      </c>
      <c r="G134" s="12">
        <f>IF(ISNA(VLOOKUP(D134,Pivot!$H$4:$I$10,2,0)),MIN(Pivot!$H$4:$I$10),VLOOKUP(D134,Pivot!$H$4:$I$10,2,0))</f>
        <v>10382.341810335902</v>
      </c>
      <c r="H134" s="23"/>
      <c r="I134" s="23"/>
      <c r="K134" s="21">
        <f>INDEX(E134:I134,1,Control!$C$10)</f>
        <v>11873.552586779413</v>
      </c>
    </row>
    <row r="135" spans="2:11" ht="12.75" customHeight="1" x14ac:dyDescent="0.2">
      <c r="B135" s="8">
        <f>B134+1</f>
        <v>131</v>
      </c>
      <c r="C135" s="14" t="s">
        <v>242</v>
      </c>
      <c r="D135" s="13" t="s">
        <v>243</v>
      </c>
      <c r="E135" s="12">
        <f>IF(ISNA(VLOOKUP(D135,Pivot!$D$4:$E$30,2,0)),MIN(Pivot!$E$4:$E$30),VLOOKUP(D135,Pivot!$D$4:$E$30,2,0))</f>
        <v>11873.552586779413</v>
      </c>
      <c r="F135" s="68">
        <f>IF(ISNA(VLOOKUP(D135,Pivot!$F$4:$G$12,2,0)),MIN(Pivot!$F$4:$G$12),VLOOKUP(D135,Pivot!$F$4:$G$12,2,0))</f>
        <v>11264.716264070181</v>
      </c>
      <c r="G135" s="12">
        <f>IF(ISNA(VLOOKUP(D135,Pivot!$H$4:$I$10,2,0)),MIN(Pivot!$H$4:$I$10),VLOOKUP(D135,Pivot!$H$4:$I$10,2,0))</f>
        <v>10382.341810335902</v>
      </c>
      <c r="H135" s="23"/>
      <c r="I135" s="23"/>
      <c r="K135" s="21">
        <f>INDEX(E135:I135,1,Control!$C$10)</f>
        <v>11873.552586779413</v>
      </c>
    </row>
    <row r="136" spans="2:11" ht="12.75" customHeight="1" x14ac:dyDescent="0.2">
      <c r="B136" s="8">
        <f>B135+1</f>
        <v>132</v>
      </c>
      <c r="C136" s="14" t="s">
        <v>244</v>
      </c>
      <c r="D136" s="13" t="s">
        <v>245</v>
      </c>
      <c r="E136" s="12">
        <f>IF(ISNA(VLOOKUP(D136,Pivot!$D$4:$E$30,2,0)),MIN(Pivot!$E$4:$E$30),VLOOKUP(D136,Pivot!$D$4:$E$30,2,0))</f>
        <v>11873.552586779413</v>
      </c>
      <c r="F136" s="68">
        <f>IF(ISNA(VLOOKUP(D136,Pivot!$F$4:$G$12,2,0)),MIN(Pivot!$F$4:$G$12),VLOOKUP(D136,Pivot!$F$4:$G$12,2,0))</f>
        <v>11264.716264070181</v>
      </c>
      <c r="G136" s="12">
        <f>IF(ISNA(VLOOKUP(D136,Pivot!$H$4:$I$10,2,0)),MIN(Pivot!$H$4:$I$10),VLOOKUP(D136,Pivot!$H$4:$I$10,2,0))</f>
        <v>10382.341810335902</v>
      </c>
      <c r="H136" s="23"/>
      <c r="I136" s="23"/>
      <c r="K136" s="21">
        <f>INDEX(E136:I136,1,Control!$C$10)</f>
        <v>11873.552586779413</v>
      </c>
    </row>
    <row r="137" spans="2:11" ht="12.75" customHeight="1" x14ac:dyDescent="0.2">
      <c r="B137" s="8">
        <f>B136+1</f>
        <v>133</v>
      </c>
      <c r="C137" s="14" t="s">
        <v>246</v>
      </c>
      <c r="D137" s="13" t="s">
        <v>247</v>
      </c>
      <c r="E137" s="12">
        <f>IF(ISNA(VLOOKUP(D137,Pivot!$D$4:$E$30,2,0)),MIN(Pivot!$E$4:$E$30),VLOOKUP(D137,Pivot!$D$4:$E$30,2,0))</f>
        <v>11873.552586779413</v>
      </c>
      <c r="F137" s="68">
        <f>IF(ISNA(VLOOKUP(D137,Pivot!$F$4:$G$12,2,0)),MIN(Pivot!$F$4:$G$12),VLOOKUP(D137,Pivot!$F$4:$G$12,2,0))</f>
        <v>11264.716264070181</v>
      </c>
      <c r="G137" s="12">
        <f>IF(ISNA(VLOOKUP(D137,Pivot!$H$4:$I$10,2,0)),MIN(Pivot!$H$4:$I$10),VLOOKUP(D137,Pivot!$H$4:$I$10,2,0))</f>
        <v>10382.341810335902</v>
      </c>
      <c r="H137" s="23"/>
      <c r="I137" s="23"/>
      <c r="K137" s="21">
        <f>INDEX(E137:I137,1,Control!$C$10)</f>
        <v>11873.552586779413</v>
      </c>
    </row>
    <row r="138" spans="2:11" ht="12.75" customHeight="1" x14ac:dyDescent="0.2">
      <c r="B138" s="8">
        <f>B137+1</f>
        <v>134</v>
      </c>
      <c r="C138" s="14" t="s">
        <v>248</v>
      </c>
      <c r="D138" s="13" t="s">
        <v>249</v>
      </c>
      <c r="E138" s="12">
        <f>IF(ISNA(VLOOKUP(D138,Pivot!$D$4:$E$30,2,0)),MIN(Pivot!$E$4:$E$30),VLOOKUP(D138,Pivot!$D$4:$E$30,2,0))</f>
        <v>11873.552586779413</v>
      </c>
      <c r="F138" s="68">
        <f>IF(ISNA(VLOOKUP(D138,Pivot!$F$4:$G$12,2,0)),MIN(Pivot!$F$4:$G$12),VLOOKUP(D138,Pivot!$F$4:$G$12,2,0))</f>
        <v>11264.716264070181</v>
      </c>
      <c r="G138" s="12">
        <f>IF(ISNA(VLOOKUP(D138,Pivot!$H$4:$I$10,2,0)),MIN(Pivot!$H$4:$I$10),VLOOKUP(D138,Pivot!$H$4:$I$10,2,0))</f>
        <v>10382.341810335902</v>
      </c>
      <c r="H138" s="23"/>
      <c r="I138" s="23"/>
      <c r="K138" s="21">
        <f>INDEX(E138:I138,1,Control!$C$10)</f>
        <v>11873.552586779413</v>
      </c>
    </row>
    <row r="139" spans="2:11" ht="12.75" customHeight="1" x14ac:dyDescent="0.2">
      <c r="B139" s="8">
        <f t="shared" ref="B139:B194" si="2">B138+1</f>
        <v>135</v>
      </c>
      <c r="C139" s="14" t="s">
        <v>250</v>
      </c>
      <c r="D139" s="13" t="s">
        <v>251</v>
      </c>
      <c r="E139" s="12">
        <f>IF(ISNA(VLOOKUP(D139,Pivot!$D$4:$E$30,2,0)),MIN(Pivot!$E$4:$E$30),VLOOKUP(D139,Pivot!$D$4:$E$30,2,0))</f>
        <v>11873.552586779413</v>
      </c>
      <c r="F139" s="68">
        <f>IF(ISNA(VLOOKUP(D139,Pivot!$F$4:$G$12,2,0)),MIN(Pivot!$F$4:$G$12),VLOOKUP(D139,Pivot!$F$4:$G$12,2,0))</f>
        <v>11264.716264070181</v>
      </c>
      <c r="G139" s="12">
        <f>IF(ISNA(VLOOKUP(D139,Pivot!$H$4:$I$10,2,0)),MIN(Pivot!$H$4:$I$10),VLOOKUP(D139,Pivot!$H$4:$I$10,2,0))</f>
        <v>10382.341810335902</v>
      </c>
      <c r="H139" s="23"/>
      <c r="I139" s="23"/>
      <c r="K139" s="21">
        <f>INDEX(E139:I139,1,Control!$C$10)</f>
        <v>11873.552586779413</v>
      </c>
    </row>
    <row r="140" spans="2:11" ht="12.75" customHeight="1" x14ac:dyDescent="0.2">
      <c r="B140" s="8">
        <f t="shared" si="2"/>
        <v>136</v>
      </c>
      <c r="C140" s="14" t="s">
        <v>252</v>
      </c>
      <c r="D140" s="13" t="s">
        <v>253</v>
      </c>
      <c r="E140" s="12">
        <f>IF(ISNA(VLOOKUP(D140,Pivot!$D$4:$E$30,2,0)),MIN(Pivot!$E$4:$E$30),VLOOKUP(D140,Pivot!$D$4:$E$30,2,0))</f>
        <v>17479.292364753517</v>
      </c>
      <c r="F140" s="68">
        <f>IF(ISNA(VLOOKUP(D140,Pivot!$F$4:$G$12,2,0)),MIN(Pivot!$F$4:$G$12),VLOOKUP(D140,Pivot!$F$4:$G$12,2,0))</f>
        <v>11264.716264070181</v>
      </c>
      <c r="G140" s="12">
        <f>IF(ISNA(VLOOKUP(D140,Pivot!$H$4:$I$10,2,0)),MIN(Pivot!$H$4:$I$10),VLOOKUP(D140,Pivot!$H$4:$I$10,2,0))</f>
        <v>10382.341810335902</v>
      </c>
      <c r="H140" s="23"/>
      <c r="I140" s="23"/>
      <c r="K140" s="21">
        <f>INDEX(E140:I140,1,Control!$C$10)</f>
        <v>17479.292364753517</v>
      </c>
    </row>
    <row r="141" spans="2:11" ht="12.75" customHeight="1" x14ac:dyDescent="0.2">
      <c r="B141" s="8">
        <f t="shared" si="2"/>
        <v>137</v>
      </c>
      <c r="C141" s="14" t="s">
        <v>254</v>
      </c>
      <c r="D141" s="13" t="s">
        <v>255</v>
      </c>
      <c r="E141" s="12">
        <f>IF(ISNA(VLOOKUP(D141,Pivot!$D$4:$E$30,2,0)),MIN(Pivot!$E$4:$E$30),VLOOKUP(D141,Pivot!$D$4:$E$30,2,0))</f>
        <v>34210.345381590014</v>
      </c>
      <c r="F141" s="68">
        <f>IF(ISNA(VLOOKUP(D141,Pivot!$F$4:$G$12,2,0)),MIN(Pivot!$F$4:$G$12),VLOOKUP(D141,Pivot!$F$4:$G$12,2,0))</f>
        <v>11264.716264070181</v>
      </c>
      <c r="G141" s="12">
        <f>IF(ISNA(VLOOKUP(D141,Pivot!$H$4:$I$10,2,0)),MIN(Pivot!$H$4:$I$10),VLOOKUP(D141,Pivot!$H$4:$I$10,2,0))</f>
        <v>10382.341810335902</v>
      </c>
      <c r="H141" s="23"/>
      <c r="I141" s="23"/>
      <c r="K141" s="21">
        <f>INDEX(E141:I141,1,Control!$C$10)</f>
        <v>34210.345381590014</v>
      </c>
    </row>
    <row r="142" spans="2:11" ht="12.75" customHeight="1" x14ac:dyDescent="0.2">
      <c r="B142" s="8">
        <f t="shared" si="2"/>
        <v>138</v>
      </c>
      <c r="C142" s="14" t="s">
        <v>256</v>
      </c>
      <c r="D142" s="13" t="s">
        <v>257</v>
      </c>
      <c r="E142" s="12">
        <f>IF(ISNA(VLOOKUP(D142,Pivot!$D$4:$E$30,2,0)),MIN(Pivot!$E$4:$E$30),VLOOKUP(D142,Pivot!$D$4:$E$30,2,0))</f>
        <v>32907.763410971675</v>
      </c>
      <c r="F142" s="68">
        <f>IF(ISNA(VLOOKUP(D142,Pivot!$F$4:$G$12,2,0)),MIN(Pivot!$F$4:$G$12),VLOOKUP(D142,Pivot!$F$4:$G$12,2,0))</f>
        <v>11264.716264070181</v>
      </c>
      <c r="G142" s="12">
        <f>IF(ISNA(VLOOKUP(D142,Pivot!$H$4:$I$10,2,0)),MIN(Pivot!$H$4:$I$10),VLOOKUP(D142,Pivot!$H$4:$I$10,2,0))</f>
        <v>10382.341810335902</v>
      </c>
      <c r="H142" s="23"/>
      <c r="I142" s="23"/>
      <c r="K142" s="21">
        <f>INDEX(E142:I142,1,Control!$C$10)</f>
        <v>32907.763410971675</v>
      </c>
    </row>
    <row r="143" spans="2:11" ht="12.75" customHeight="1" x14ac:dyDescent="0.2">
      <c r="B143" s="8">
        <f t="shared" si="2"/>
        <v>139</v>
      </c>
      <c r="C143" s="14" t="s">
        <v>149</v>
      </c>
      <c r="D143" s="13" t="s">
        <v>150</v>
      </c>
      <c r="E143" s="12">
        <f>IF(ISNA(VLOOKUP(D143,Pivot!$D$4:$E$30,2,0)),MIN(Pivot!$E$4:$E$30),VLOOKUP(D143,Pivot!$D$4:$E$30,2,0))</f>
        <v>11873.552586779413</v>
      </c>
      <c r="F143" s="68">
        <f>IF(ISNA(VLOOKUP(D143,Pivot!$F$4:$G$12,2,0)),MIN(Pivot!$F$4:$G$12),VLOOKUP(D143,Pivot!$F$4:$G$12,2,0))</f>
        <v>11264.716264070181</v>
      </c>
      <c r="G143" s="12">
        <f>IF(ISNA(VLOOKUP(D143,Pivot!$H$4:$I$10,2,0)),MIN(Pivot!$H$4:$I$10),VLOOKUP(D143,Pivot!$H$4:$I$10,2,0))</f>
        <v>10382.341810335902</v>
      </c>
      <c r="H143" s="23"/>
      <c r="I143" s="23"/>
      <c r="K143" s="21">
        <f>INDEX(E143:I143,1,Control!$C$10)</f>
        <v>11873.552586779413</v>
      </c>
    </row>
    <row r="144" spans="2:11" ht="12.75" customHeight="1" x14ac:dyDescent="0.2">
      <c r="B144" s="8">
        <f t="shared" si="2"/>
        <v>140</v>
      </c>
      <c r="C144" s="14" t="s">
        <v>751</v>
      </c>
      <c r="D144" s="13" t="s">
        <v>260</v>
      </c>
      <c r="E144" s="12">
        <f>IF(ISNA(VLOOKUP(D144,Pivot!$D$4:$E$30,2,0)),MIN(Pivot!$E$4:$E$30),VLOOKUP(D144,Pivot!$D$4:$E$30,2,0))</f>
        <v>16449.976756585475</v>
      </c>
      <c r="F144" s="68">
        <f>IF(ISNA(VLOOKUP(D144,Pivot!$F$4:$G$12,2,0)),MIN(Pivot!$F$4:$G$12),VLOOKUP(D144,Pivot!$F$4:$G$12,2,0))</f>
        <v>11264.716264070181</v>
      </c>
      <c r="G144" s="12">
        <f>IF(ISNA(VLOOKUP(D144,Pivot!$H$4:$I$10,2,0)),MIN(Pivot!$H$4:$I$10),VLOOKUP(D144,Pivot!$H$4:$I$10,2,0))</f>
        <v>10382.341810335902</v>
      </c>
      <c r="H144" s="23"/>
      <c r="I144" s="23"/>
      <c r="K144" s="21">
        <f>INDEX(E144:I144,1,Control!$C$10)</f>
        <v>16449.976756585475</v>
      </c>
    </row>
    <row r="145" spans="2:11" ht="12.75" customHeight="1" x14ac:dyDescent="0.2">
      <c r="B145" s="8">
        <f t="shared" si="2"/>
        <v>141</v>
      </c>
      <c r="C145" s="14" t="s">
        <v>744</v>
      </c>
      <c r="D145" s="13" t="s">
        <v>261</v>
      </c>
      <c r="E145" s="12">
        <f>IF(ISNA(VLOOKUP(D145,Pivot!$D$4:$E$30,2,0)),MIN(Pivot!$E$4:$E$30),VLOOKUP(D145,Pivot!$D$4:$E$30,2,0))</f>
        <v>55905.222222222219</v>
      </c>
      <c r="F145" s="68">
        <f>IF(ISNA(VLOOKUP(D145,Pivot!$F$4:$G$12,2,0)),MIN(Pivot!$F$4:$G$12),VLOOKUP(D145,Pivot!$F$4:$G$12,2,0))</f>
        <v>11264.716264070181</v>
      </c>
      <c r="G145" s="12">
        <f>IF(ISNA(VLOOKUP(D145,Pivot!$H$4:$I$10,2,0)),MIN(Pivot!$H$4:$I$10),VLOOKUP(D145,Pivot!$H$4:$I$10,2,0))</f>
        <v>10382.341810335902</v>
      </c>
      <c r="H145" s="23"/>
      <c r="I145" s="23"/>
      <c r="K145" s="21">
        <f>INDEX(E145:I145,1,Control!$C$10)</f>
        <v>55905.222222222219</v>
      </c>
    </row>
    <row r="146" spans="2:11" ht="12.75" customHeight="1" x14ac:dyDescent="0.2">
      <c r="B146" s="8">
        <f t="shared" si="2"/>
        <v>142</v>
      </c>
      <c r="C146" s="14" t="s">
        <v>258</v>
      </c>
      <c r="D146" s="13" t="s">
        <v>259</v>
      </c>
      <c r="E146" s="12">
        <f>IF(ISNA(VLOOKUP(D146,Pivot!$D$4:$E$30,2,0)),MIN(Pivot!$E$4:$E$30),VLOOKUP(D146,Pivot!$D$4:$E$30,2,0))</f>
        <v>11873.552586779413</v>
      </c>
      <c r="F146" s="68">
        <f>IF(ISNA(VLOOKUP(D146,Pivot!$F$4:$G$12,2,0)),MIN(Pivot!$F$4:$G$12),VLOOKUP(D146,Pivot!$F$4:$G$12,2,0))</f>
        <v>11264.716264070181</v>
      </c>
      <c r="G146" s="12">
        <f>IF(ISNA(VLOOKUP(D146,Pivot!$H$4:$I$10,2,0)),MIN(Pivot!$H$4:$I$10),VLOOKUP(D146,Pivot!$H$4:$I$10,2,0))</f>
        <v>10382.341810335902</v>
      </c>
      <c r="H146" s="23"/>
      <c r="I146" s="23"/>
      <c r="K146" s="21">
        <f>INDEX(E146:I146,1,Control!$C$10)</f>
        <v>11873.552586779413</v>
      </c>
    </row>
    <row r="147" spans="2:11" ht="12.75" customHeight="1" x14ac:dyDescent="0.2">
      <c r="B147" s="8">
        <f t="shared" si="2"/>
        <v>143</v>
      </c>
      <c r="C147" s="14" t="s">
        <v>770</v>
      </c>
      <c r="D147" s="13" t="s">
        <v>262</v>
      </c>
      <c r="E147" s="12">
        <f>IF(ISNA(VLOOKUP(D147,Pivot!$D$4:$E$30,2,0)),MIN(Pivot!$E$4:$E$30),VLOOKUP(D147,Pivot!$D$4:$E$30,2,0))</f>
        <v>11873.552586779413</v>
      </c>
      <c r="F147" s="68">
        <f>IF(ISNA(VLOOKUP(D147,Pivot!$F$4:$G$12,2,0)),MIN(Pivot!$F$4:$G$12),VLOOKUP(D147,Pivot!$F$4:$G$12,2,0))</f>
        <v>11264.716264070181</v>
      </c>
      <c r="G147" s="12">
        <f>IF(ISNA(VLOOKUP(D147,Pivot!$H$4:$I$10,2,0)),MIN(Pivot!$H$4:$I$10),VLOOKUP(D147,Pivot!$H$4:$I$10,2,0))</f>
        <v>10382.341810335902</v>
      </c>
      <c r="H147" s="23"/>
      <c r="I147" s="23"/>
      <c r="K147" s="21">
        <f>INDEX(E147:I147,1,Control!$C$10)</f>
        <v>11873.552586779413</v>
      </c>
    </row>
    <row r="148" spans="2:11" ht="12.75" customHeight="1" x14ac:dyDescent="0.2">
      <c r="B148" s="8">
        <f t="shared" si="2"/>
        <v>144</v>
      </c>
      <c r="C148" s="14" t="s">
        <v>769</v>
      </c>
      <c r="D148" s="13" t="s">
        <v>267</v>
      </c>
      <c r="E148" s="12">
        <f>IF(ISNA(VLOOKUP(D148,Pivot!$D$4:$E$30,2,0)),MIN(Pivot!$E$4:$E$30),VLOOKUP(D148,Pivot!$D$4:$E$30,2,0))</f>
        <v>11873.552586779413</v>
      </c>
      <c r="F148" s="68">
        <f>IF(ISNA(VLOOKUP(D148,Pivot!$F$4:$G$12,2,0)),MIN(Pivot!$F$4:$G$12),VLOOKUP(D148,Pivot!$F$4:$G$12,2,0))</f>
        <v>11264.716264070181</v>
      </c>
      <c r="G148" s="12">
        <f>IF(ISNA(VLOOKUP(D148,Pivot!$H$4:$I$10,2,0)),MIN(Pivot!$H$4:$I$10),VLOOKUP(D148,Pivot!$H$4:$I$10,2,0))</f>
        <v>10382.341810335902</v>
      </c>
      <c r="H148" s="23"/>
      <c r="I148" s="23"/>
      <c r="K148" s="21">
        <f>INDEX(E148:I148,1,Control!$C$10)</f>
        <v>11873.552586779413</v>
      </c>
    </row>
    <row r="149" spans="2:11" ht="12.75" customHeight="1" x14ac:dyDescent="0.2">
      <c r="B149" s="8">
        <f t="shared" si="2"/>
        <v>145</v>
      </c>
      <c r="C149" s="14" t="s">
        <v>749</v>
      </c>
      <c r="D149" s="13" t="s">
        <v>268</v>
      </c>
      <c r="E149" s="12">
        <f>IF(ISNA(VLOOKUP(D149,Pivot!$D$4:$E$30,2,0)),MIN(Pivot!$E$4:$E$30),VLOOKUP(D149,Pivot!$D$4:$E$30,2,0))</f>
        <v>35832.121212121208</v>
      </c>
      <c r="F149" s="68">
        <f>IF(ISNA(VLOOKUP(D149,Pivot!$F$4:$G$12,2,0)),MIN(Pivot!$F$4:$G$12),VLOOKUP(D149,Pivot!$F$4:$G$12,2,0))</f>
        <v>11264.716264070181</v>
      </c>
      <c r="G149" s="12">
        <f>IF(ISNA(VLOOKUP(D149,Pivot!$H$4:$I$10,2,0)),MIN(Pivot!$H$4:$I$10),VLOOKUP(D149,Pivot!$H$4:$I$10,2,0))</f>
        <v>10382.341810335902</v>
      </c>
      <c r="H149" s="23"/>
      <c r="I149" s="23"/>
      <c r="K149" s="21">
        <f>INDEX(E149:I149,1,Control!$C$10)</f>
        <v>35832.121212121208</v>
      </c>
    </row>
    <row r="150" spans="2:11" ht="12.75" customHeight="1" x14ac:dyDescent="0.2">
      <c r="B150" s="8">
        <f t="shared" si="2"/>
        <v>146</v>
      </c>
      <c r="C150" s="14" t="s">
        <v>273</v>
      </c>
      <c r="D150" s="13" t="s">
        <v>274</v>
      </c>
      <c r="E150" s="12">
        <f>IF(ISNA(VLOOKUP(D150,Pivot!$D$4:$E$30,2,0)),MIN(Pivot!$E$4:$E$30),VLOOKUP(D150,Pivot!$D$4:$E$30,2,0))</f>
        <v>11873.552586779413</v>
      </c>
      <c r="F150" s="68">
        <f>IF(ISNA(VLOOKUP(D150,Pivot!$F$4:$G$12,2,0)),MIN(Pivot!$F$4:$G$12),VLOOKUP(D150,Pivot!$F$4:$G$12,2,0))</f>
        <v>11264.716264070181</v>
      </c>
      <c r="G150" s="12">
        <f>IF(ISNA(VLOOKUP(D150,Pivot!$H$4:$I$10,2,0)),MIN(Pivot!$H$4:$I$10),VLOOKUP(D150,Pivot!$H$4:$I$10,2,0))</f>
        <v>10382.341810335902</v>
      </c>
      <c r="H150" s="23"/>
      <c r="I150" s="23"/>
      <c r="K150" s="21">
        <f>INDEX(E150:I150,1,Control!$C$10)</f>
        <v>11873.552586779413</v>
      </c>
    </row>
    <row r="151" spans="2:11" ht="12.75" customHeight="1" x14ac:dyDescent="0.2">
      <c r="B151" s="8">
        <f t="shared" si="2"/>
        <v>147</v>
      </c>
      <c r="C151" s="14" t="s">
        <v>275</v>
      </c>
      <c r="D151" s="13" t="s">
        <v>276</v>
      </c>
      <c r="E151" s="12">
        <f>IF(ISNA(VLOOKUP(D151,Pivot!$D$4:$E$30,2,0)),MIN(Pivot!$E$4:$E$30),VLOOKUP(D151,Pivot!$D$4:$E$30,2,0))</f>
        <v>11873.552586779413</v>
      </c>
      <c r="F151" s="68">
        <f>IF(ISNA(VLOOKUP(D151,Pivot!$F$4:$G$12,2,0)),MIN(Pivot!$F$4:$G$12),VLOOKUP(D151,Pivot!$F$4:$G$12,2,0))</f>
        <v>11264.716264070181</v>
      </c>
      <c r="G151" s="12">
        <f>IF(ISNA(VLOOKUP(D151,Pivot!$H$4:$I$10,2,0)),MIN(Pivot!$H$4:$I$10),VLOOKUP(D151,Pivot!$H$4:$I$10,2,0))</f>
        <v>10382.341810335902</v>
      </c>
      <c r="H151" s="23"/>
      <c r="I151" s="23"/>
      <c r="K151" s="21">
        <f>INDEX(E151:I151,1,Control!$C$10)</f>
        <v>11873.552586779413</v>
      </c>
    </row>
    <row r="152" spans="2:11" ht="12.75" customHeight="1" x14ac:dyDescent="0.2">
      <c r="B152" s="8">
        <f t="shared" si="2"/>
        <v>148</v>
      </c>
      <c r="C152" s="14" t="s">
        <v>277</v>
      </c>
      <c r="D152" s="13" t="s">
        <v>278</v>
      </c>
      <c r="E152" s="12">
        <f>IF(ISNA(VLOOKUP(D152,Pivot!$D$4:$E$30,2,0)),MIN(Pivot!$E$4:$E$30),VLOOKUP(D152,Pivot!$D$4:$E$30,2,0))</f>
        <v>11873.552586779413</v>
      </c>
      <c r="F152" s="68">
        <f>IF(ISNA(VLOOKUP(D152,Pivot!$F$4:$G$12,2,0)),MIN(Pivot!$F$4:$G$12),VLOOKUP(D152,Pivot!$F$4:$G$12,2,0))</f>
        <v>11264.716264070181</v>
      </c>
      <c r="G152" s="12">
        <f>IF(ISNA(VLOOKUP(D152,Pivot!$H$4:$I$10,2,0)),MIN(Pivot!$H$4:$I$10),VLOOKUP(D152,Pivot!$H$4:$I$10,2,0))</f>
        <v>10382.341810335902</v>
      </c>
      <c r="H152" s="23"/>
      <c r="I152" s="23"/>
      <c r="K152" s="21">
        <f>INDEX(E152:I152,1,Control!$C$10)</f>
        <v>11873.552586779413</v>
      </c>
    </row>
    <row r="153" spans="2:11" ht="12.75" customHeight="1" x14ac:dyDescent="0.2">
      <c r="B153" s="8">
        <f t="shared" si="2"/>
        <v>149</v>
      </c>
      <c r="C153" s="14" t="s">
        <v>279</v>
      </c>
      <c r="D153" s="13" t="s">
        <v>280</v>
      </c>
      <c r="E153" s="12">
        <f>IF(ISNA(VLOOKUP(D153,Pivot!$D$4:$E$30,2,0)),MIN(Pivot!$E$4:$E$30),VLOOKUP(D153,Pivot!$D$4:$E$30,2,0))</f>
        <v>11873.552586779413</v>
      </c>
      <c r="F153" s="68">
        <f>IF(ISNA(VLOOKUP(D153,Pivot!$F$4:$G$12,2,0)),MIN(Pivot!$F$4:$G$12),VLOOKUP(D153,Pivot!$F$4:$G$12,2,0))</f>
        <v>11264.716264070181</v>
      </c>
      <c r="G153" s="12">
        <f>IF(ISNA(VLOOKUP(D153,Pivot!$H$4:$I$10,2,0)),MIN(Pivot!$H$4:$I$10),VLOOKUP(D153,Pivot!$H$4:$I$10,2,0))</f>
        <v>10382.341810335902</v>
      </c>
      <c r="H153" s="23"/>
      <c r="I153" s="23"/>
      <c r="K153" s="21">
        <f>INDEX(E153:I153,1,Control!$C$10)</f>
        <v>11873.552586779413</v>
      </c>
    </row>
    <row r="154" spans="2:11" ht="12.75" customHeight="1" x14ac:dyDescent="0.2">
      <c r="B154" s="8">
        <f t="shared" si="2"/>
        <v>150</v>
      </c>
      <c r="C154" s="14" t="s">
        <v>283</v>
      </c>
      <c r="D154" s="13" t="s">
        <v>284</v>
      </c>
      <c r="E154" s="12">
        <f>IF(ISNA(VLOOKUP(D154,Pivot!$D$4:$E$30,2,0)),MIN(Pivot!$E$4:$E$30),VLOOKUP(D154,Pivot!$D$4:$E$30,2,0))</f>
        <v>52154.754053796576</v>
      </c>
      <c r="F154" s="68">
        <f>IF(ISNA(VLOOKUP(D154,Pivot!$F$4:$G$12,2,0)),MIN(Pivot!$F$4:$G$12),VLOOKUP(D154,Pivot!$F$4:$G$12,2,0))</f>
        <v>11264.716264070181</v>
      </c>
      <c r="G154" s="12">
        <f>IF(ISNA(VLOOKUP(D154,Pivot!$H$4:$I$10,2,0)),MIN(Pivot!$H$4:$I$10),VLOOKUP(D154,Pivot!$H$4:$I$10,2,0))</f>
        <v>10382.341810335902</v>
      </c>
      <c r="H154" s="23"/>
      <c r="I154" s="23"/>
      <c r="K154" s="21">
        <f>INDEX(E154:I154,1,Control!$C$10)</f>
        <v>52154.754053796576</v>
      </c>
    </row>
    <row r="155" spans="2:11" ht="12.75" customHeight="1" x14ac:dyDescent="0.2">
      <c r="B155" s="8">
        <f t="shared" si="2"/>
        <v>151</v>
      </c>
      <c r="C155" s="14" t="s">
        <v>285</v>
      </c>
      <c r="D155" s="13" t="s">
        <v>286</v>
      </c>
      <c r="E155" s="12">
        <f>IF(ISNA(VLOOKUP(D155,Pivot!$D$4:$E$30,2,0)),MIN(Pivot!$E$4:$E$30),VLOOKUP(D155,Pivot!$D$4:$E$30,2,0))</f>
        <v>11873.552586779413</v>
      </c>
      <c r="F155" s="68">
        <f>IF(ISNA(VLOOKUP(D155,Pivot!$F$4:$G$12,2,0)),MIN(Pivot!$F$4:$G$12),VLOOKUP(D155,Pivot!$F$4:$G$12,2,0))</f>
        <v>11264.716264070181</v>
      </c>
      <c r="G155" s="12">
        <f>IF(ISNA(VLOOKUP(D155,Pivot!$H$4:$I$10,2,0)),MIN(Pivot!$H$4:$I$10),VLOOKUP(D155,Pivot!$H$4:$I$10,2,0))</f>
        <v>10382.341810335902</v>
      </c>
      <c r="H155" s="23"/>
      <c r="I155" s="23"/>
      <c r="K155" s="21">
        <f>INDEX(E155:I155,1,Control!$C$10)</f>
        <v>11873.552586779413</v>
      </c>
    </row>
    <row r="156" spans="2:11" ht="12.75" customHeight="1" x14ac:dyDescent="0.2">
      <c r="B156" s="8">
        <f t="shared" si="2"/>
        <v>152</v>
      </c>
      <c r="C156" s="14" t="s">
        <v>287</v>
      </c>
      <c r="D156" s="13" t="s">
        <v>288</v>
      </c>
      <c r="E156" s="12">
        <f>IF(ISNA(VLOOKUP(D156,Pivot!$D$4:$E$30,2,0)),MIN(Pivot!$E$4:$E$30),VLOOKUP(D156,Pivot!$D$4:$E$30,2,0))</f>
        <v>11873.552586779413</v>
      </c>
      <c r="F156" s="68">
        <f>IF(ISNA(VLOOKUP(D156,Pivot!$F$4:$G$12,2,0)),MIN(Pivot!$F$4:$G$12),VLOOKUP(D156,Pivot!$F$4:$G$12,2,0))</f>
        <v>11264.716264070181</v>
      </c>
      <c r="G156" s="12">
        <f>IF(ISNA(VLOOKUP(D156,Pivot!$H$4:$I$10,2,0)),MIN(Pivot!$H$4:$I$10),VLOOKUP(D156,Pivot!$H$4:$I$10,2,0))</f>
        <v>10382.341810335902</v>
      </c>
      <c r="H156" s="23"/>
      <c r="I156" s="23"/>
      <c r="K156" s="21">
        <f>INDEX(E156:I156,1,Control!$C$10)</f>
        <v>11873.552586779413</v>
      </c>
    </row>
    <row r="157" spans="2:11" ht="12.75" customHeight="1" x14ac:dyDescent="0.2">
      <c r="B157" s="8">
        <f t="shared" si="2"/>
        <v>153</v>
      </c>
      <c r="C157" s="14" t="s">
        <v>263</v>
      </c>
      <c r="D157" s="13" t="s">
        <v>264</v>
      </c>
      <c r="E157" s="12">
        <f>IF(ISNA(VLOOKUP(D157,Pivot!$D$4:$E$30,2,0)),MIN(Pivot!$E$4:$E$30),VLOOKUP(D157,Pivot!$D$4:$E$30,2,0))</f>
        <v>11873.552586779413</v>
      </c>
      <c r="F157" s="68">
        <f>IF(ISNA(VLOOKUP(D157,Pivot!$F$4:$G$12,2,0)),MIN(Pivot!$F$4:$G$12),VLOOKUP(D157,Pivot!$F$4:$G$12,2,0))</f>
        <v>11264.716264070181</v>
      </c>
      <c r="G157" s="12">
        <f>IF(ISNA(VLOOKUP(D157,Pivot!$H$4:$I$10,2,0)),MIN(Pivot!$H$4:$I$10),VLOOKUP(D157,Pivot!$H$4:$I$10,2,0))</f>
        <v>10382.341810335902</v>
      </c>
      <c r="H157" s="23"/>
      <c r="I157" s="23"/>
      <c r="K157" s="21">
        <f>INDEX(E157:I157,1,Control!$C$10)</f>
        <v>11873.552586779413</v>
      </c>
    </row>
    <row r="158" spans="2:11" ht="12.75" customHeight="1" x14ac:dyDescent="0.2">
      <c r="B158" s="8">
        <f t="shared" si="2"/>
        <v>154</v>
      </c>
      <c r="C158" s="14" t="s">
        <v>754</v>
      </c>
      <c r="D158" s="13" t="s">
        <v>289</v>
      </c>
      <c r="E158" s="12">
        <f>IF(ISNA(VLOOKUP(D158,Pivot!$D$4:$E$30,2,0)),MIN(Pivot!$E$4:$E$30),VLOOKUP(D158,Pivot!$D$4:$E$30,2,0))</f>
        <v>11873.552586779413</v>
      </c>
      <c r="F158" s="68">
        <f>IF(ISNA(VLOOKUP(D158,Pivot!$F$4:$G$12,2,0)),MIN(Pivot!$F$4:$G$12),VLOOKUP(D158,Pivot!$F$4:$G$12,2,0))</f>
        <v>11264.716264070181</v>
      </c>
      <c r="G158" s="12">
        <f>IF(ISNA(VLOOKUP(D158,Pivot!$H$4:$I$10,2,0)),MIN(Pivot!$H$4:$I$10),VLOOKUP(D158,Pivot!$H$4:$I$10,2,0))</f>
        <v>10382.341810335902</v>
      </c>
      <c r="H158" s="23"/>
      <c r="I158" s="23"/>
      <c r="K158" s="21">
        <f>INDEX(E158:I158,1,Control!$C$10)</f>
        <v>11873.552586779413</v>
      </c>
    </row>
    <row r="159" spans="2:11" ht="12.75" customHeight="1" x14ac:dyDescent="0.2">
      <c r="B159" s="8">
        <f t="shared" si="2"/>
        <v>155</v>
      </c>
      <c r="C159" s="14" t="s">
        <v>294</v>
      </c>
      <c r="D159" s="13" t="s">
        <v>295</v>
      </c>
      <c r="E159" s="12">
        <f>IF(ISNA(VLOOKUP(D159,Pivot!$D$4:$E$30,2,0)),MIN(Pivot!$E$4:$E$30),VLOOKUP(D159,Pivot!$D$4:$E$30,2,0))</f>
        <v>49555.624994016209</v>
      </c>
      <c r="F159" s="68">
        <f>IF(ISNA(VLOOKUP(D159,Pivot!$F$4:$G$12,2,0)),MIN(Pivot!$F$4:$G$12),VLOOKUP(D159,Pivot!$F$4:$G$12,2,0))</f>
        <v>11264.716264070181</v>
      </c>
      <c r="G159" s="12">
        <f>IF(ISNA(VLOOKUP(D159,Pivot!$H$4:$I$10,2,0)),MIN(Pivot!$H$4:$I$10),VLOOKUP(D159,Pivot!$H$4:$I$10,2,0))</f>
        <v>10382.341810335902</v>
      </c>
      <c r="H159" s="23"/>
      <c r="I159" s="23"/>
      <c r="K159" s="21">
        <f>INDEX(E159:I159,1,Control!$C$10)</f>
        <v>49555.624994016209</v>
      </c>
    </row>
    <row r="160" spans="2:11" ht="12.75" customHeight="1" x14ac:dyDescent="0.2">
      <c r="B160" s="8">
        <f t="shared" si="2"/>
        <v>156</v>
      </c>
      <c r="C160" s="14" t="s">
        <v>290</v>
      </c>
      <c r="D160" s="13" t="s">
        <v>291</v>
      </c>
      <c r="E160" s="12">
        <f>IF(ISNA(VLOOKUP(D160,Pivot!$D$4:$E$30,2,0)),MIN(Pivot!$E$4:$E$30),VLOOKUP(D160,Pivot!$D$4:$E$30,2,0))</f>
        <v>46235.660112252495</v>
      </c>
      <c r="F160" s="68">
        <f>IF(ISNA(VLOOKUP(D160,Pivot!$F$4:$G$12,2,0)),MIN(Pivot!$F$4:$G$12),VLOOKUP(D160,Pivot!$F$4:$G$12,2,0))</f>
        <v>11264.716264070181</v>
      </c>
      <c r="G160" s="12">
        <f>IF(ISNA(VLOOKUP(D160,Pivot!$H$4:$I$10,2,0)),MIN(Pivot!$H$4:$I$10),VLOOKUP(D160,Pivot!$H$4:$I$10,2,0))</f>
        <v>10382.341810335902</v>
      </c>
      <c r="H160" s="23"/>
      <c r="I160" s="23"/>
      <c r="K160" s="21">
        <f>INDEX(E160:I160,1,Control!$C$10)</f>
        <v>46235.660112252495</v>
      </c>
    </row>
    <row r="161" spans="2:11" ht="12.75" customHeight="1" x14ac:dyDescent="0.2">
      <c r="B161" s="8">
        <f t="shared" si="2"/>
        <v>157</v>
      </c>
      <c r="C161" s="14" t="s">
        <v>292</v>
      </c>
      <c r="D161" s="13" t="s">
        <v>293</v>
      </c>
      <c r="E161" s="12">
        <f>IF(ISNA(VLOOKUP(D161,Pivot!$D$4:$E$30,2,0)),MIN(Pivot!$E$4:$E$30),VLOOKUP(D161,Pivot!$D$4:$E$30,2,0))</f>
        <v>11873.552586779413</v>
      </c>
      <c r="F161" s="68">
        <f>IF(ISNA(VLOOKUP(D161,Pivot!$F$4:$G$12,2,0)),MIN(Pivot!$F$4:$G$12),VLOOKUP(D161,Pivot!$F$4:$G$12,2,0))</f>
        <v>11264.716264070181</v>
      </c>
      <c r="G161" s="12">
        <f>IF(ISNA(VLOOKUP(D161,Pivot!$H$4:$I$10,2,0)),MIN(Pivot!$H$4:$I$10),VLOOKUP(D161,Pivot!$H$4:$I$10,2,0))</f>
        <v>10382.341810335902</v>
      </c>
      <c r="H161" s="23"/>
      <c r="I161" s="23"/>
      <c r="K161" s="21">
        <f>INDEX(E161:I161,1,Control!$C$10)</f>
        <v>11873.552586779413</v>
      </c>
    </row>
    <row r="162" spans="2:11" ht="12.75" customHeight="1" x14ac:dyDescent="0.2">
      <c r="B162" s="8">
        <f t="shared" si="2"/>
        <v>158</v>
      </c>
      <c r="C162" s="14" t="s">
        <v>296</v>
      </c>
      <c r="D162" s="13" t="s">
        <v>297</v>
      </c>
      <c r="E162" s="12">
        <f>IF(ISNA(VLOOKUP(D162,Pivot!$D$4:$E$30,2,0)),MIN(Pivot!$E$4:$E$30),VLOOKUP(D162,Pivot!$D$4:$E$30,2,0))</f>
        <v>11873.552586779413</v>
      </c>
      <c r="F162" s="68">
        <f>IF(ISNA(VLOOKUP(D162,Pivot!$F$4:$G$12,2,0)),MIN(Pivot!$F$4:$G$12),VLOOKUP(D162,Pivot!$F$4:$G$12,2,0))</f>
        <v>11264.716264070181</v>
      </c>
      <c r="G162" s="12">
        <f>IF(ISNA(VLOOKUP(D162,Pivot!$H$4:$I$10,2,0)),MIN(Pivot!$H$4:$I$10),VLOOKUP(D162,Pivot!$H$4:$I$10,2,0))</f>
        <v>10382.341810335902</v>
      </c>
      <c r="H162" s="23"/>
      <c r="I162" s="23"/>
      <c r="K162" s="21">
        <f>INDEX(E162:I162,1,Control!$C$10)</f>
        <v>11873.552586779413</v>
      </c>
    </row>
    <row r="163" spans="2:11" ht="12.75" customHeight="1" x14ac:dyDescent="0.2">
      <c r="B163" s="8">
        <f t="shared" si="2"/>
        <v>159</v>
      </c>
      <c r="C163" s="14" t="s">
        <v>766</v>
      </c>
      <c r="D163" s="13" t="s">
        <v>298</v>
      </c>
      <c r="E163" s="12">
        <f>IF(ISNA(VLOOKUP(D163,Pivot!$D$4:$E$30,2,0)),MIN(Pivot!$E$4:$E$30),VLOOKUP(D163,Pivot!$D$4:$E$30,2,0))</f>
        <v>11873.552586779413</v>
      </c>
      <c r="F163" s="68">
        <f>IF(ISNA(VLOOKUP(D163,Pivot!$F$4:$G$12,2,0)),MIN(Pivot!$F$4:$G$12),VLOOKUP(D163,Pivot!$F$4:$G$12,2,0))</f>
        <v>11264.716264070181</v>
      </c>
      <c r="G163" s="12">
        <f>IF(ISNA(VLOOKUP(D163,Pivot!$H$4:$I$10,2,0)),MIN(Pivot!$H$4:$I$10),VLOOKUP(D163,Pivot!$H$4:$I$10,2,0))</f>
        <v>10382.341810335902</v>
      </c>
      <c r="H163" s="23"/>
      <c r="I163" s="23"/>
      <c r="K163" s="21">
        <f>INDEX(E163:I163,1,Control!$C$10)</f>
        <v>11873.552586779413</v>
      </c>
    </row>
    <row r="164" spans="2:11" ht="12.75" customHeight="1" x14ac:dyDescent="0.2">
      <c r="B164" s="8">
        <f t="shared" si="2"/>
        <v>160</v>
      </c>
      <c r="C164" s="14" t="s">
        <v>299</v>
      </c>
      <c r="D164" s="13" t="s">
        <v>300</v>
      </c>
      <c r="E164" s="12">
        <f>IF(ISNA(VLOOKUP(D164,Pivot!$D$4:$E$30,2,0)),MIN(Pivot!$E$4:$E$30),VLOOKUP(D164,Pivot!$D$4:$E$30,2,0))</f>
        <v>11873.552586779413</v>
      </c>
      <c r="F164" s="68">
        <f>IF(ISNA(VLOOKUP(D164,Pivot!$F$4:$G$12,2,0)),MIN(Pivot!$F$4:$G$12),VLOOKUP(D164,Pivot!$F$4:$G$12,2,0))</f>
        <v>11264.716264070181</v>
      </c>
      <c r="G164" s="12">
        <f>IF(ISNA(VLOOKUP(D164,Pivot!$H$4:$I$10,2,0)),MIN(Pivot!$H$4:$I$10),VLOOKUP(D164,Pivot!$H$4:$I$10,2,0))</f>
        <v>10382.341810335902</v>
      </c>
      <c r="H164" s="23"/>
      <c r="I164" s="23"/>
      <c r="K164" s="21">
        <f>INDEX(E164:I164,1,Control!$C$10)</f>
        <v>11873.552586779413</v>
      </c>
    </row>
    <row r="165" spans="2:11" ht="12.75" customHeight="1" x14ac:dyDescent="0.2">
      <c r="B165" s="8">
        <f t="shared" si="2"/>
        <v>161</v>
      </c>
      <c r="C165" s="14" t="s">
        <v>269</v>
      </c>
      <c r="D165" s="13" t="s">
        <v>270</v>
      </c>
      <c r="E165" s="12">
        <f>IF(ISNA(VLOOKUP(D165,Pivot!$D$4:$E$30,2,0)),MIN(Pivot!$E$4:$E$30),VLOOKUP(D165,Pivot!$D$4:$E$30,2,0))</f>
        <v>11873.552586779413</v>
      </c>
      <c r="F165" s="68">
        <f>IF(ISNA(VLOOKUP(D165,Pivot!$F$4:$G$12,2,0)),MIN(Pivot!$F$4:$G$12),VLOOKUP(D165,Pivot!$F$4:$G$12,2,0))</f>
        <v>11264.716264070181</v>
      </c>
      <c r="G165" s="12">
        <f>IF(ISNA(VLOOKUP(D165,Pivot!$H$4:$I$10,2,0)),MIN(Pivot!$H$4:$I$10),VLOOKUP(D165,Pivot!$H$4:$I$10,2,0))</f>
        <v>10382.341810335902</v>
      </c>
      <c r="H165" s="23"/>
      <c r="I165" s="23"/>
      <c r="K165" s="21">
        <f>INDEX(E165:I165,1,Control!$C$10)</f>
        <v>11873.552586779413</v>
      </c>
    </row>
    <row r="166" spans="2:11" ht="12.75" customHeight="1" x14ac:dyDescent="0.2">
      <c r="B166" s="8">
        <f t="shared" si="2"/>
        <v>162</v>
      </c>
      <c r="C166" s="14" t="s">
        <v>271</v>
      </c>
      <c r="D166" s="13" t="s">
        <v>272</v>
      </c>
      <c r="E166" s="12">
        <f>IF(ISNA(VLOOKUP(D166,Pivot!$D$4:$E$30,2,0)),MIN(Pivot!$E$4:$E$30),VLOOKUP(D166,Pivot!$D$4:$E$30,2,0))</f>
        <v>11873.552586779413</v>
      </c>
      <c r="F166" s="68">
        <f>IF(ISNA(VLOOKUP(D166,Pivot!$F$4:$G$12,2,0)),MIN(Pivot!$F$4:$G$12),VLOOKUP(D166,Pivot!$F$4:$G$12,2,0))</f>
        <v>11264.716264070181</v>
      </c>
      <c r="G166" s="12">
        <f>IF(ISNA(VLOOKUP(D166,Pivot!$H$4:$I$10,2,0)),MIN(Pivot!$H$4:$I$10),VLOOKUP(D166,Pivot!$H$4:$I$10,2,0))</f>
        <v>10382.341810335902</v>
      </c>
      <c r="H166" s="23"/>
      <c r="I166" s="23"/>
      <c r="K166" s="21">
        <f>INDEX(E166:I166,1,Control!$C$10)</f>
        <v>11873.552586779413</v>
      </c>
    </row>
    <row r="167" spans="2:11" ht="12.75" customHeight="1" x14ac:dyDescent="0.2">
      <c r="B167" s="8">
        <f t="shared" si="2"/>
        <v>163</v>
      </c>
      <c r="C167" s="14" t="s">
        <v>301</v>
      </c>
      <c r="D167" s="13" t="s">
        <v>302</v>
      </c>
      <c r="E167" s="12">
        <f>IF(ISNA(VLOOKUP(D167,Pivot!$D$4:$E$30,2,0)),MIN(Pivot!$E$4:$E$30),VLOOKUP(D167,Pivot!$D$4:$E$30,2,0))</f>
        <v>11873.552586779413</v>
      </c>
      <c r="F167" s="68">
        <f>IF(ISNA(VLOOKUP(D167,Pivot!$F$4:$G$12,2,0)),MIN(Pivot!$F$4:$G$12),VLOOKUP(D167,Pivot!$F$4:$G$12,2,0))</f>
        <v>11264.716264070181</v>
      </c>
      <c r="G167" s="12">
        <f>IF(ISNA(VLOOKUP(D167,Pivot!$H$4:$I$10,2,0)),MIN(Pivot!$H$4:$I$10),VLOOKUP(D167,Pivot!$H$4:$I$10,2,0))</f>
        <v>10382.341810335902</v>
      </c>
      <c r="H167" s="23"/>
      <c r="I167" s="23"/>
      <c r="K167" s="21">
        <f>INDEX(E167:I167,1,Control!$C$10)</f>
        <v>11873.552586779413</v>
      </c>
    </row>
    <row r="168" spans="2:11" ht="12.75" customHeight="1" x14ac:dyDescent="0.2">
      <c r="B168" s="8">
        <f t="shared" si="2"/>
        <v>164</v>
      </c>
      <c r="C168" s="14" t="s">
        <v>737</v>
      </c>
      <c r="D168" s="13" t="s">
        <v>305</v>
      </c>
      <c r="E168" s="12">
        <f>IF(ISNA(VLOOKUP(D168,Pivot!$D$4:$E$30,2,0)),MIN(Pivot!$E$4:$E$30),VLOOKUP(D168,Pivot!$D$4:$E$30,2,0))</f>
        <v>11873.552586779413</v>
      </c>
      <c r="F168" s="68">
        <f>IF(ISNA(VLOOKUP(D168,Pivot!$F$4:$G$12,2,0)),MIN(Pivot!$F$4:$G$12),VLOOKUP(D168,Pivot!$F$4:$G$12,2,0))</f>
        <v>11264.716264070181</v>
      </c>
      <c r="G168" s="12">
        <f>IF(ISNA(VLOOKUP(D168,Pivot!$H$4:$I$10,2,0)),MIN(Pivot!$H$4:$I$10),VLOOKUP(D168,Pivot!$H$4:$I$10,2,0))</f>
        <v>10382.341810335902</v>
      </c>
      <c r="H168" s="23"/>
      <c r="I168" s="23"/>
      <c r="K168" s="21">
        <f>INDEX(E168:I168,1,Control!$C$10)</f>
        <v>11873.552586779413</v>
      </c>
    </row>
    <row r="169" spans="2:11" ht="12.75" customHeight="1" x14ac:dyDescent="0.2">
      <c r="B169" s="8">
        <f t="shared" si="2"/>
        <v>165</v>
      </c>
      <c r="C169" s="14" t="s">
        <v>737</v>
      </c>
      <c r="D169" s="13" t="s">
        <v>738</v>
      </c>
      <c r="E169" s="12">
        <f>IF(ISNA(VLOOKUP(D169,Pivot!$D$4:$E$30,2,0)),MIN(Pivot!$E$4:$E$30),VLOOKUP(D169,Pivot!$D$4:$E$30,2,0))</f>
        <v>11873.552586779413</v>
      </c>
      <c r="F169" s="68">
        <f>IF(ISNA(VLOOKUP(D169,Pivot!$F$4:$G$12,2,0)),MIN(Pivot!$F$4:$G$12),VLOOKUP(D169,Pivot!$F$4:$G$12,2,0))</f>
        <v>11264.716264070181</v>
      </c>
      <c r="G169" s="12">
        <f>IF(ISNA(VLOOKUP(D169,Pivot!$H$4:$I$10,2,0)),MIN(Pivot!$H$4:$I$10),VLOOKUP(D169,Pivot!$H$4:$I$10,2,0))</f>
        <v>10382.341810335902</v>
      </c>
      <c r="H169" s="23"/>
      <c r="I169" s="23"/>
      <c r="K169" s="21">
        <f>INDEX(E169:I169,1,Control!$C$10)</f>
        <v>11873.552586779413</v>
      </c>
    </row>
    <row r="170" spans="2:11" ht="12.75" customHeight="1" x14ac:dyDescent="0.2">
      <c r="B170" s="8">
        <f t="shared" si="2"/>
        <v>166</v>
      </c>
      <c r="C170" s="14" t="s">
        <v>303</v>
      </c>
      <c r="D170" s="13" t="s">
        <v>304</v>
      </c>
      <c r="E170" s="12">
        <f>IF(ISNA(VLOOKUP(D170,Pivot!$D$4:$E$30,2,0)),MIN(Pivot!$E$4:$E$30),VLOOKUP(D170,Pivot!$D$4:$E$30,2,0))</f>
        <v>11873.552586779413</v>
      </c>
      <c r="F170" s="68">
        <f>IF(ISNA(VLOOKUP(D170,Pivot!$F$4:$G$12,2,0)),MIN(Pivot!$F$4:$G$12),VLOOKUP(D170,Pivot!$F$4:$G$12,2,0))</f>
        <v>11264.716264070181</v>
      </c>
      <c r="G170" s="12">
        <f>IF(ISNA(VLOOKUP(D170,Pivot!$H$4:$I$10,2,0)),MIN(Pivot!$H$4:$I$10),VLOOKUP(D170,Pivot!$H$4:$I$10,2,0))</f>
        <v>10382.341810335902</v>
      </c>
      <c r="H170" s="23"/>
      <c r="I170" s="23"/>
      <c r="K170" s="21">
        <f>INDEX(E170:I170,1,Control!$C$10)</f>
        <v>11873.552586779413</v>
      </c>
    </row>
    <row r="171" spans="2:11" ht="12.75" customHeight="1" x14ac:dyDescent="0.2">
      <c r="B171" s="8">
        <f t="shared" si="2"/>
        <v>167</v>
      </c>
      <c r="C171" s="14" t="s">
        <v>306</v>
      </c>
      <c r="D171" s="13" t="s">
        <v>307</v>
      </c>
      <c r="E171" s="12">
        <f>IF(ISNA(VLOOKUP(D171,Pivot!$D$4:$E$30,2,0)),MIN(Pivot!$E$4:$E$30),VLOOKUP(D171,Pivot!$D$4:$E$30,2,0))</f>
        <v>11873.552586779413</v>
      </c>
      <c r="F171" s="68">
        <f>IF(ISNA(VLOOKUP(D171,Pivot!$F$4:$G$12,2,0)),MIN(Pivot!$F$4:$G$12),VLOOKUP(D171,Pivot!$F$4:$G$12,2,0))</f>
        <v>11264.716264070181</v>
      </c>
      <c r="G171" s="12">
        <f>IF(ISNA(VLOOKUP(D171,Pivot!$H$4:$I$10,2,0)),MIN(Pivot!$H$4:$I$10),VLOOKUP(D171,Pivot!$H$4:$I$10,2,0))</f>
        <v>10382.341810335902</v>
      </c>
      <c r="H171" s="23"/>
      <c r="I171" s="23"/>
      <c r="K171" s="21">
        <f>INDEX(E171:I171,1,Control!$C$10)</f>
        <v>11873.552586779413</v>
      </c>
    </row>
    <row r="172" spans="2:11" ht="12.75" customHeight="1" x14ac:dyDescent="0.2">
      <c r="B172" s="8">
        <f t="shared" si="2"/>
        <v>168</v>
      </c>
      <c r="C172" s="14" t="s">
        <v>308</v>
      </c>
      <c r="D172" s="13" t="s">
        <v>309</v>
      </c>
      <c r="E172" s="12">
        <f>IF(ISNA(VLOOKUP(D172,Pivot!$D$4:$E$30,2,0)),MIN(Pivot!$E$4:$E$30),VLOOKUP(D172,Pivot!$D$4:$E$30,2,0))</f>
        <v>11873.552586779413</v>
      </c>
      <c r="F172" s="68">
        <f>IF(ISNA(VLOOKUP(D172,Pivot!$F$4:$G$12,2,0)),MIN(Pivot!$F$4:$G$12),VLOOKUP(D172,Pivot!$F$4:$G$12,2,0))</f>
        <v>11264.716264070181</v>
      </c>
      <c r="G172" s="12">
        <f>IF(ISNA(VLOOKUP(D172,Pivot!$H$4:$I$10,2,0)),MIN(Pivot!$H$4:$I$10),VLOOKUP(D172,Pivot!$H$4:$I$10,2,0))</f>
        <v>10382.341810335902</v>
      </c>
      <c r="H172" s="23"/>
      <c r="I172" s="23"/>
      <c r="K172" s="21">
        <f>INDEX(E172:I172,1,Control!$C$10)</f>
        <v>11873.552586779413</v>
      </c>
    </row>
    <row r="173" spans="2:11" ht="12.75" customHeight="1" x14ac:dyDescent="0.2">
      <c r="B173" s="8">
        <f t="shared" si="2"/>
        <v>169</v>
      </c>
      <c r="C173" s="14" t="s">
        <v>765</v>
      </c>
      <c r="D173" s="13" t="s">
        <v>239</v>
      </c>
      <c r="E173" s="12">
        <f>IF(ISNA(VLOOKUP(D173,Pivot!$D$4:$E$30,2,0)),MIN(Pivot!$E$4:$E$30),VLOOKUP(D173,Pivot!$D$4:$E$30,2,0))</f>
        <v>11873.552586779413</v>
      </c>
      <c r="F173" s="68">
        <f>IF(ISNA(VLOOKUP(D173,Pivot!$F$4:$G$12,2,0)),MIN(Pivot!$F$4:$G$12),VLOOKUP(D173,Pivot!$F$4:$G$12,2,0))</f>
        <v>11264.716264070181</v>
      </c>
      <c r="G173" s="12">
        <f>IF(ISNA(VLOOKUP(D173,Pivot!$H$4:$I$10,2,0)),MIN(Pivot!$H$4:$I$10),VLOOKUP(D173,Pivot!$H$4:$I$10,2,0))</f>
        <v>10382.341810335902</v>
      </c>
      <c r="H173" s="23"/>
      <c r="I173" s="23"/>
      <c r="K173" s="21">
        <f>INDEX(E173:I173,1,Control!$C$10)</f>
        <v>11873.552586779413</v>
      </c>
    </row>
    <row r="174" spans="2:11" ht="12.75" customHeight="1" x14ac:dyDescent="0.2">
      <c r="B174" s="8">
        <f t="shared" si="2"/>
        <v>170</v>
      </c>
      <c r="C174" s="14" t="s">
        <v>310</v>
      </c>
      <c r="D174" s="13" t="s">
        <v>311</v>
      </c>
      <c r="E174" s="12">
        <f>IF(ISNA(VLOOKUP(D174,Pivot!$D$4:$E$30,2,0)),MIN(Pivot!$E$4:$E$30),VLOOKUP(D174,Pivot!$D$4:$E$30,2,0))</f>
        <v>11873.552586779413</v>
      </c>
      <c r="F174" s="68">
        <f>IF(ISNA(VLOOKUP(D174,Pivot!$F$4:$G$12,2,0)),MIN(Pivot!$F$4:$G$12),VLOOKUP(D174,Pivot!$F$4:$G$12,2,0))</f>
        <v>11264.716264070181</v>
      </c>
      <c r="G174" s="12">
        <f>IF(ISNA(VLOOKUP(D174,Pivot!$H$4:$I$10,2,0)),MIN(Pivot!$H$4:$I$10),VLOOKUP(D174,Pivot!$H$4:$I$10,2,0))</f>
        <v>10382.341810335902</v>
      </c>
      <c r="H174" s="23"/>
      <c r="I174" s="23"/>
      <c r="K174" s="21">
        <f>INDEX(E174:I174,1,Control!$C$10)</f>
        <v>11873.552586779413</v>
      </c>
    </row>
    <row r="175" spans="2:11" ht="12.75" customHeight="1" x14ac:dyDescent="0.2">
      <c r="B175" s="8">
        <f t="shared" si="2"/>
        <v>171</v>
      </c>
      <c r="C175" s="14" t="s">
        <v>312</v>
      </c>
      <c r="D175" s="13" t="s">
        <v>313</v>
      </c>
      <c r="E175" s="12">
        <f>IF(ISNA(VLOOKUP(D175,Pivot!$D$4:$E$30,2,0)),MIN(Pivot!$E$4:$E$30),VLOOKUP(D175,Pivot!$D$4:$E$30,2,0))</f>
        <v>11873.552586779413</v>
      </c>
      <c r="F175" s="68">
        <f>IF(ISNA(VLOOKUP(D175,Pivot!$F$4:$G$12,2,0)),MIN(Pivot!$F$4:$G$12),VLOOKUP(D175,Pivot!$F$4:$G$12,2,0))</f>
        <v>11264.716264070181</v>
      </c>
      <c r="G175" s="12">
        <f>IF(ISNA(VLOOKUP(D175,Pivot!$H$4:$I$10,2,0)),MIN(Pivot!$H$4:$I$10),VLOOKUP(D175,Pivot!$H$4:$I$10,2,0))</f>
        <v>10382.341810335902</v>
      </c>
      <c r="H175" s="23"/>
      <c r="I175" s="23"/>
      <c r="K175" s="21">
        <f>INDEX(E175:I175,1,Control!$C$10)</f>
        <v>11873.552586779413</v>
      </c>
    </row>
    <row r="176" spans="2:11" ht="12.75" customHeight="1" x14ac:dyDescent="0.2">
      <c r="B176" s="8">
        <f t="shared" si="2"/>
        <v>172</v>
      </c>
      <c r="C176" s="14" t="s">
        <v>764</v>
      </c>
      <c r="D176" s="13" t="s">
        <v>314</v>
      </c>
      <c r="E176" s="12">
        <f>IF(ISNA(VLOOKUP(D176,Pivot!$D$4:$E$30,2,0)),MIN(Pivot!$E$4:$E$30),VLOOKUP(D176,Pivot!$D$4:$E$30,2,0))</f>
        <v>11873.552586779413</v>
      </c>
      <c r="F176" s="68">
        <f>IF(ISNA(VLOOKUP(D176,Pivot!$F$4:$G$12,2,0)),MIN(Pivot!$F$4:$G$12),VLOOKUP(D176,Pivot!$F$4:$G$12,2,0))</f>
        <v>11264.716264070181</v>
      </c>
      <c r="G176" s="12">
        <f>IF(ISNA(VLOOKUP(D176,Pivot!$H$4:$I$10,2,0)),MIN(Pivot!$H$4:$I$10),VLOOKUP(D176,Pivot!$H$4:$I$10,2,0))</f>
        <v>10382.341810335902</v>
      </c>
      <c r="H176" s="23"/>
      <c r="I176" s="23"/>
      <c r="K176" s="21">
        <f>INDEX(E176:I176,1,Control!$C$10)</f>
        <v>11873.552586779413</v>
      </c>
    </row>
    <row r="177" spans="2:11" ht="12.75" customHeight="1" x14ac:dyDescent="0.2">
      <c r="B177" s="8">
        <f t="shared" si="2"/>
        <v>173</v>
      </c>
      <c r="C177" s="14" t="s">
        <v>319</v>
      </c>
      <c r="D177" s="13" t="s">
        <v>320</v>
      </c>
      <c r="E177" s="12">
        <f>IF(ISNA(VLOOKUP(D177,Pivot!$D$4:$E$30,2,0)),MIN(Pivot!$E$4:$E$30),VLOOKUP(D177,Pivot!$D$4:$E$30,2,0))</f>
        <v>11873.552586779413</v>
      </c>
      <c r="F177" s="68">
        <f>IF(ISNA(VLOOKUP(D177,Pivot!$F$4:$G$12,2,0)),MIN(Pivot!$F$4:$G$12),VLOOKUP(D177,Pivot!$F$4:$G$12,2,0))</f>
        <v>11264.716264070181</v>
      </c>
      <c r="G177" s="12">
        <f>IF(ISNA(VLOOKUP(D177,Pivot!$H$4:$I$10,2,0)),MIN(Pivot!$H$4:$I$10),VLOOKUP(D177,Pivot!$H$4:$I$10,2,0))</f>
        <v>10382.341810335902</v>
      </c>
      <c r="H177" s="23"/>
      <c r="I177" s="23"/>
      <c r="K177" s="21">
        <f>INDEX(E177:I177,1,Control!$C$10)</f>
        <v>11873.552586779413</v>
      </c>
    </row>
    <row r="178" spans="2:11" ht="12.75" customHeight="1" x14ac:dyDescent="0.2">
      <c r="B178" s="8">
        <f t="shared" si="2"/>
        <v>174</v>
      </c>
      <c r="C178" s="14" t="s">
        <v>321</v>
      </c>
      <c r="D178" s="13" t="s">
        <v>322</v>
      </c>
      <c r="E178" s="12">
        <f>IF(ISNA(VLOOKUP(D178,Pivot!$D$4:$E$30,2,0)),MIN(Pivot!$E$4:$E$30),VLOOKUP(D178,Pivot!$D$4:$E$30,2,0))</f>
        <v>11873.552586779413</v>
      </c>
      <c r="F178" s="68">
        <f>IF(ISNA(VLOOKUP(D178,Pivot!$F$4:$G$12,2,0)),MIN(Pivot!$F$4:$G$12),VLOOKUP(D178,Pivot!$F$4:$G$12,2,0))</f>
        <v>11264.716264070181</v>
      </c>
      <c r="G178" s="12">
        <f>IF(ISNA(VLOOKUP(D178,Pivot!$H$4:$I$10,2,0)),MIN(Pivot!$H$4:$I$10),VLOOKUP(D178,Pivot!$H$4:$I$10,2,0))</f>
        <v>10382.341810335902</v>
      </c>
      <c r="H178" s="23"/>
      <c r="I178" s="23"/>
      <c r="K178" s="21">
        <f>INDEX(E178:I178,1,Control!$C$10)</f>
        <v>11873.552586779413</v>
      </c>
    </row>
    <row r="179" spans="2:11" ht="12.75" customHeight="1" x14ac:dyDescent="0.2">
      <c r="B179" s="8">
        <f t="shared" si="2"/>
        <v>175</v>
      </c>
      <c r="C179" s="14" t="s">
        <v>323</v>
      </c>
      <c r="D179" s="13" t="s">
        <v>324</v>
      </c>
      <c r="E179" s="12">
        <f>IF(ISNA(VLOOKUP(D179,Pivot!$D$4:$E$30,2,0)),MIN(Pivot!$E$4:$E$30),VLOOKUP(D179,Pivot!$D$4:$E$30,2,0))</f>
        <v>11873.552586779413</v>
      </c>
      <c r="F179" s="68">
        <f>IF(ISNA(VLOOKUP(D179,Pivot!$F$4:$G$12,2,0)),MIN(Pivot!$F$4:$G$12),VLOOKUP(D179,Pivot!$F$4:$G$12,2,0))</f>
        <v>11264.716264070181</v>
      </c>
      <c r="G179" s="12">
        <f>IF(ISNA(VLOOKUP(D179,Pivot!$H$4:$I$10,2,0)),MIN(Pivot!$H$4:$I$10),VLOOKUP(D179,Pivot!$H$4:$I$10,2,0))</f>
        <v>10382.341810335902</v>
      </c>
      <c r="H179" s="23"/>
      <c r="I179" s="23"/>
      <c r="K179" s="21">
        <f>INDEX(E179:I179,1,Control!$C$10)</f>
        <v>11873.552586779413</v>
      </c>
    </row>
    <row r="180" spans="2:11" ht="12.75" customHeight="1" x14ac:dyDescent="0.2">
      <c r="B180" s="8">
        <f t="shared" si="2"/>
        <v>176</v>
      </c>
      <c r="C180" s="14" t="s">
        <v>325</v>
      </c>
      <c r="D180" s="13" t="s">
        <v>326</v>
      </c>
      <c r="E180" s="12">
        <f>IF(ISNA(VLOOKUP(D180,Pivot!$D$4:$E$30,2,0)),MIN(Pivot!$E$4:$E$30),VLOOKUP(D180,Pivot!$D$4:$E$30,2,0))</f>
        <v>11873.552586779413</v>
      </c>
      <c r="F180" s="68">
        <f>IF(ISNA(VLOOKUP(D180,Pivot!$F$4:$G$12,2,0)),MIN(Pivot!$F$4:$G$12),VLOOKUP(D180,Pivot!$F$4:$G$12,2,0))</f>
        <v>11264.716264070181</v>
      </c>
      <c r="G180" s="12">
        <f>IF(ISNA(VLOOKUP(D180,Pivot!$H$4:$I$10,2,0)),MIN(Pivot!$H$4:$I$10),VLOOKUP(D180,Pivot!$H$4:$I$10,2,0))</f>
        <v>10382.341810335902</v>
      </c>
      <c r="H180" s="23"/>
      <c r="I180" s="23"/>
      <c r="K180" s="21">
        <f>INDEX(E180:I180,1,Control!$C$10)</f>
        <v>11873.552586779413</v>
      </c>
    </row>
    <row r="181" spans="2:11" ht="12.75" customHeight="1" x14ac:dyDescent="0.2">
      <c r="B181" s="8">
        <f t="shared" si="2"/>
        <v>177</v>
      </c>
      <c r="C181" s="14" t="s">
        <v>327</v>
      </c>
      <c r="D181" s="13" t="s">
        <v>328</v>
      </c>
      <c r="E181" s="12">
        <f>IF(ISNA(VLOOKUP(D181,Pivot!$D$4:$E$30,2,0)),MIN(Pivot!$E$4:$E$30),VLOOKUP(D181,Pivot!$D$4:$E$30,2,0))</f>
        <v>11873.552586779413</v>
      </c>
      <c r="F181" s="68">
        <f>IF(ISNA(VLOOKUP(D181,Pivot!$F$4:$G$12,2,0)),MIN(Pivot!$F$4:$G$12),VLOOKUP(D181,Pivot!$F$4:$G$12,2,0))</f>
        <v>11264.716264070181</v>
      </c>
      <c r="G181" s="12">
        <f>IF(ISNA(VLOOKUP(D181,Pivot!$H$4:$I$10,2,0)),MIN(Pivot!$H$4:$I$10),VLOOKUP(D181,Pivot!$H$4:$I$10,2,0))</f>
        <v>10382.341810335902</v>
      </c>
      <c r="H181" s="23"/>
      <c r="I181" s="23"/>
      <c r="K181" s="21">
        <f>INDEX(E181:I181,1,Control!$C$10)</f>
        <v>11873.552586779413</v>
      </c>
    </row>
    <row r="182" spans="2:11" ht="12.75" customHeight="1" x14ac:dyDescent="0.2">
      <c r="B182" s="8">
        <f t="shared" si="2"/>
        <v>178</v>
      </c>
      <c r="C182" s="14" t="s">
        <v>329</v>
      </c>
      <c r="D182" s="13" t="s">
        <v>330</v>
      </c>
      <c r="E182" s="12">
        <f>IF(ISNA(VLOOKUP(D182,Pivot!$D$4:$E$30,2,0)),MIN(Pivot!$E$4:$E$30),VLOOKUP(D182,Pivot!$D$4:$E$30,2,0))</f>
        <v>11873.552586779413</v>
      </c>
      <c r="F182" s="68">
        <f>IF(ISNA(VLOOKUP(D182,Pivot!$F$4:$G$12,2,0)),MIN(Pivot!$F$4:$G$12),VLOOKUP(D182,Pivot!$F$4:$G$12,2,0))</f>
        <v>11264.716264070181</v>
      </c>
      <c r="G182" s="12">
        <f>IF(ISNA(VLOOKUP(D182,Pivot!$H$4:$I$10,2,0)),MIN(Pivot!$H$4:$I$10),VLOOKUP(D182,Pivot!$H$4:$I$10,2,0))</f>
        <v>10382.341810335902</v>
      </c>
      <c r="H182" s="23"/>
      <c r="I182" s="23"/>
      <c r="K182" s="21">
        <f>INDEX(E182:I182,1,Control!$C$10)</f>
        <v>11873.552586779413</v>
      </c>
    </row>
    <row r="183" spans="2:11" ht="12.75" customHeight="1" x14ac:dyDescent="0.2">
      <c r="B183" s="8">
        <f t="shared" si="2"/>
        <v>179</v>
      </c>
      <c r="C183" s="14" t="s">
        <v>341</v>
      </c>
      <c r="D183" s="13" t="s">
        <v>342</v>
      </c>
      <c r="E183" s="12">
        <f>IF(ISNA(VLOOKUP(D183,Pivot!$D$4:$E$30,2,0)),MIN(Pivot!$E$4:$E$30),VLOOKUP(D183,Pivot!$D$4:$E$30,2,0))</f>
        <v>43014.900191685309</v>
      </c>
      <c r="F183" s="68">
        <f>IF(ISNA(VLOOKUP(D183,Pivot!$F$4:$G$12,2,0)),MIN(Pivot!$F$4:$G$12),VLOOKUP(D183,Pivot!$F$4:$G$12,2,0))</f>
        <v>11264.716264070181</v>
      </c>
      <c r="G183" s="12">
        <f>IF(ISNA(VLOOKUP(D183,Pivot!$H$4:$I$10,2,0)),MIN(Pivot!$H$4:$I$10),VLOOKUP(D183,Pivot!$H$4:$I$10,2,0))</f>
        <v>50759.038190313891</v>
      </c>
      <c r="H183" s="23"/>
      <c r="I183" s="23"/>
      <c r="K183" s="21">
        <f>INDEX(E183:I183,1,Control!$C$10)</f>
        <v>43014.900191685309</v>
      </c>
    </row>
    <row r="184" spans="2:11" ht="12.75" customHeight="1" x14ac:dyDescent="0.2">
      <c r="B184" s="8">
        <f t="shared" si="2"/>
        <v>180</v>
      </c>
      <c r="C184" s="14" t="s">
        <v>746</v>
      </c>
      <c r="D184" s="13" t="s">
        <v>20</v>
      </c>
      <c r="E184" s="12">
        <f>IF(ISNA(VLOOKUP(D184,Pivot!$D$4:$E$30,2,0)),MIN(Pivot!$E$4:$E$30),VLOOKUP(D184,Pivot!$D$4:$E$30,2,0))</f>
        <v>67240.730112795849</v>
      </c>
      <c r="F184" s="68">
        <f>IF(ISNA(VLOOKUP(D184,Pivot!$F$4:$G$12,2,0)),MIN(Pivot!$F$4:$G$12),VLOOKUP(D184,Pivot!$F$4:$G$12,2,0))</f>
        <v>57469.449414841118</v>
      </c>
      <c r="G184" s="12">
        <f>IF(ISNA(VLOOKUP(D184,Pivot!$H$4:$I$10,2,0)),MIN(Pivot!$H$4:$I$10),VLOOKUP(D184,Pivot!$H$4:$I$10,2,0))</f>
        <v>66390.12811100109</v>
      </c>
      <c r="H184" s="23"/>
      <c r="I184" s="23"/>
      <c r="K184" s="21">
        <f>INDEX(E184:I184,1,Control!$C$10)</f>
        <v>67240.730112795849</v>
      </c>
    </row>
    <row r="185" spans="2:11" ht="12.75" customHeight="1" x14ac:dyDescent="0.2">
      <c r="B185" s="8">
        <f t="shared" si="2"/>
        <v>181</v>
      </c>
      <c r="C185" s="14" t="s">
        <v>743</v>
      </c>
      <c r="D185" s="13" t="s">
        <v>15</v>
      </c>
      <c r="E185" s="12">
        <f>IF(ISNA(VLOOKUP(D185,Pivot!$D$4:$E$30,2,0)),MIN(Pivot!$E$4:$E$30),VLOOKUP(D185,Pivot!$D$4:$E$30,2,0))</f>
        <v>72738.12965964344</v>
      </c>
      <c r="F185" s="68">
        <f>IF(ISNA(VLOOKUP(D185,Pivot!$F$4:$G$12,2,0)),MIN(Pivot!$F$4:$G$12),VLOOKUP(D185,Pivot!$F$4:$G$12,2,0))</f>
        <v>62583.737373737371</v>
      </c>
      <c r="G185" s="12">
        <f>IF(ISNA(VLOOKUP(D185,Pivot!$H$4:$I$10,2,0)),MIN(Pivot!$H$4:$I$10),VLOOKUP(D185,Pivot!$H$4:$I$10,2,0))</f>
        <v>77581.710344827588</v>
      </c>
      <c r="H185" s="23"/>
      <c r="I185" s="23"/>
      <c r="K185" s="21">
        <f>INDEX(E185:I185,1,Control!$C$10)</f>
        <v>72738.12965964344</v>
      </c>
    </row>
    <row r="186" spans="2:11" ht="12.75" customHeight="1" x14ac:dyDescent="0.2">
      <c r="B186" s="8">
        <f t="shared" si="2"/>
        <v>182</v>
      </c>
      <c r="C186" s="14" t="s">
        <v>333</v>
      </c>
      <c r="D186" s="13" t="s">
        <v>334</v>
      </c>
      <c r="E186" s="12">
        <f>IF(ISNA(VLOOKUP(D186,Pivot!$D$4:$E$30,2,0)),MIN(Pivot!$E$4:$E$30),VLOOKUP(D186,Pivot!$D$4:$E$30,2,0))</f>
        <v>11873.552586779413</v>
      </c>
      <c r="F186" s="68">
        <f>IF(ISNA(VLOOKUP(D186,Pivot!$F$4:$G$12,2,0)),MIN(Pivot!$F$4:$G$12),VLOOKUP(D186,Pivot!$F$4:$G$12,2,0))</f>
        <v>11264.716264070181</v>
      </c>
      <c r="G186" s="12">
        <f>IF(ISNA(VLOOKUP(D186,Pivot!$H$4:$I$10,2,0)),MIN(Pivot!$H$4:$I$10),VLOOKUP(D186,Pivot!$H$4:$I$10,2,0))</f>
        <v>10382.341810335902</v>
      </c>
      <c r="H186" s="23"/>
      <c r="I186" s="23"/>
      <c r="K186" s="21">
        <f>INDEX(E186:I186,1,Control!$C$10)</f>
        <v>11873.552586779413</v>
      </c>
    </row>
    <row r="187" spans="2:11" ht="12.75" customHeight="1" x14ac:dyDescent="0.2">
      <c r="B187" s="8">
        <f t="shared" si="2"/>
        <v>183</v>
      </c>
      <c r="C187" s="14" t="s">
        <v>335</v>
      </c>
      <c r="D187" s="13" t="s">
        <v>336</v>
      </c>
      <c r="E187" s="12">
        <f>IF(ISNA(VLOOKUP(D187,Pivot!$D$4:$E$30,2,0)),MIN(Pivot!$E$4:$E$30),VLOOKUP(D187,Pivot!$D$4:$E$30,2,0))</f>
        <v>11873.552586779413</v>
      </c>
      <c r="F187" s="68">
        <f>IF(ISNA(VLOOKUP(D187,Pivot!$F$4:$G$12,2,0)),MIN(Pivot!$F$4:$G$12),VLOOKUP(D187,Pivot!$F$4:$G$12,2,0))</f>
        <v>11264.716264070181</v>
      </c>
      <c r="G187" s="12">
        <f>IF(ISNA(VLOOKUP(D187,Pivot!$H$4:$I$10,2,0)),MIN(Pivot!$H$4:$I$10),VLOOKUP(D187,Pivot!$H$4:$I$10,2,0))</f>
        <v>10382.341810335902</v>
      </c>
      <c r="H187" s="23"/>
      <c r="I187" s="23"/>
      <c r="K187" s="21">
        <f>INDEX(E187:I187,1,Control!$C$10)</f>
        <v>11873.552586779413</v>
      </c>
    </row>
    <row r="188" spans="2:11" ht="12.75" customHeight="1" x14ac:dyDescent="0.2">
      <c r="B188" s="8">
        <f t="shared" si="2"/>
        <v>184</v>
      </c>
      <c r="C188" s="14" t="s">
        <v>337</v>
      </c>
      <c r="D188" s="13" t="s">
        <v>338</v>
      </c>
      <c r="E188" s="12">
        <f>IF(ISNA(VLOOKUP(D188,Pivot!$D$4:$E$30,2,0)),MIN(Pivot!$E$4:$E$30),VLOOKUP(D188,Pivot!$D$4:$E$30,2,0))</f>
        <v>11873.552586779413</v>
      </c>
      <c r="F188" s="68">
        <f>IF(ISNA(VLOOKUP(D188,Pivot!$F$4:$G$12,2,0)),MIN(Pivot!$F$4:$G$12),VLOOKUP(D188,Pivot!$F$4:$G$12,2,0))</f>
        <v>11264.716264070181</v>
      </c>
      <c r="G188" s="12">
        <f>IF(ISNA(VLOOKUP(D188,Pivot!$H$4:$I$10,2,0)),MIN(Pivot!$H$4:$I$10),VLOOKUP(D188,Pivot!$H$4:$I$10,2,0))</f>
        <v>10382.341810335902</v>
      </c>
      <c r="H188" s="23"/>
      <c r="I188" s="23"/>
      <c r="K188" s="21">
        <f>INDEX(E188:I188,1,Control!$C$10)</f>
        <v>11873.552586779413</v>
      </c>
    </row>
    <row r="189" spans="2:11" ht="12.75" customHeight="1" x14ac:dyDescent="0.2">
      <c r="B189" s="8">
        <f t="shared" si="2"/>
        <v>185</v>
      </c>
      <c r="C189" s="14" t="s">
        <v>339</v>
      </c>
      <c r="D189" s="13" t="s">
        <v>340</v>
      </c>
      <c r="E189" s="12">
        <f>IF(ISNA(VLOOKUP(D189,Pivot!$D$4:$E$30,2,0)),MIN(Pivot!$E$4:$E$30),VLOOKUP(D189,Pivot!$D$4:$E$30,2,0))</f>
        <v>11873.552586779413</v>
      </c>
      <c r="F189" s="68">
        <f>IF(ISNA(VLOOKUP(D189,Pivot!$F$4:$G$12,2,0)),MIN(Pivot!$F$4:$G$12),VLOOKUP(D189,Pivot!$F$4:$G$12,2,0))</f>
        <v>11264.716264070181</v>
      </c>
      <c r="G189" s="12">
        <f>IF(ISNA(VLOOKUP(D189,Pivot!$H$4:$I$10,2,0)),MIN(Pivot!$H$4:$I$10),VLOOKUP(D189,Pivot!$H$4:$I$10,2,0))</f>
        <v>10382.341810335902</v>
      </c>
      <c r="H189" s="23"/>
      <c r="I189" s="23"/>
      <c r="K189" s="21">
        <f>INDEX(E189:I189,1,Control!$C$10)</f>
        <v>11873.552586779413</v>
      </c>
    </row>
    <row r="190" spans="2:11" ht="12.75" customHeight="1" x14ac:dyDescent="0.2">
      <c r="B190" s="8">
        <f t="shared" si="2"/>
        <v>186</v>
      </c>
      <c r="C190" s="14" t="s">
        <v>343</v>
      </c>
      <c r="D190" s="13" t="s">
        <v>344</v>
      </c>
      <c r="E190" s="12">
        <f>IF(ISNA(VLOOKUP(D190,Pivot!$D$4:$E$30,2,0)),MIN(Pivot!$E$4:$E$30),VLOOKUP(D190,Pivot!$D$4:$E$30,2,0))</f>
        <v>11873.552586779413</v>
      </c>
      <c r="F190" s="68">
        <f>IF(ISNA(VLOOKUP(D190,Pivot!$F$4:$G$12,2,0)),MIN(Pivot!$F$4:$G$12),VLOOKUP(D190,Pivot!$F$4:$G$12,2,0))</f>
        <v>11264.716264070181</v>
      </c>
      <c r="G190" s="12">
        <f>IF(ISNA(VLOOKUP(D190,Pivot!$H$4:$I$10,2,0)),MIN(Pivot!$H$4:$I$10),VLOOKUP(D190,Pivot!$H$4:$I$10,2,0))</f>
        <v>10382.341810335902</v>
      </c>
      <c r="H190" s="23"/>
      <c r="I190" s="23"/>
      <c r="K190" s="21">
        <f>INDEX(E190:I190,1,Control!$C$10)</f>
        <v>11873.552586779413</v>
      </c>
    </row>
    <row r="191" spans="2:11" ht="12.75" customHeight="1" x14ac:dyDescent="0.2">
      <c r="B191" s="8">
        <f t="shared" si="2"/>
        <v>187</v>
      </c>
      <c r="C191" s="14" t="s">
        <v>767</v>
      </c>
      <c r="D191" s="13" t="s">
        <v>346</v>
      </c>
      <c r="E191" s="12">
        <f>IF(ISNA(VLOOKUP(D191,Pivot!$D$4:$E$30,2,0)),MIN(Pivot!$E$4:$E$30),VLOOKUP(D191,Pivot!$D$4:$E$30,2,0))</f>
        <v>11873.552586779413</v>
      </c>
      <c r="F191" s="68">
        <f>IF(ISNA(VLOOKUP(D191,Pivot!$F$4:$G$12,2,0)),MIN(Pivot!$F$4:$G$12),VLOOKUP(D191,Pivot!$F$4:$G$12,2,0))</f>
        <v>11264.716264070181</v>
      </c>
      <c r="G191" s="12">
        <f>IF(ISNA(VLOOKUP(D191,Pivot!$H$4:$I$10,2,0)),MIN(Pivot!$H$4:$I$10),VLOOKUP(D191,Pivot!$H$4:$I$10,2,0))</f>
        <v>10382.341810335902</v>
      </c>
      <c r="H191" s="23"/>
      <c r="I191" s="23"/>
      <c r="K191" s="21">
        <f>INDEX(E191:I191,1,Control!$C$10)</f>
        <v>11873.552586779413</v>
      </c>
    </row>
    <row r="192" spans="2:11" ht="12.75" customHeight="1" x14ac:dyDescent="0.2">
      <c r="B192" s="8">
        <f t="shared" si="2"/>
        <v>188</v>
      </c>
      <c r="C192" s="14" t="s">
        <v>135</v>
      </c>
      <c r="D192" s="13" t="s">
        <v>136</v>
      </c>
      <c r="E192" s="12">
        <f>IF(ISNA(VLOOKUP(D192,Pivot!$D$4:$E$30,2,0)),MIN(Pivot!$E$4:$E$30),VLOOKUP(D192,Pivot!$D$4:$E$30,2,0))</f>
        <v>11873.552586779413</v>
      </c>
      <c r="F192" s="68">
        <f>IF(ISNA(VLOOKUP(D192,Pivot!$F$4:$G$12,2,0)),MIN(Pivot!$F$4:$G$12),VLOOKUP(D192,Pivot!$F$4:$G$12,2,0))</f>
        <v>11264.716264070181</v>
      </c>
      <c r="G192" s="12">
        <f>IF(ISNA(VLOOKUP(D192,Pivot!$H$4:$I$10,2,0)),MIN(Pivot!$H$4:$I$10),VLOOKUP(D192,Pivot!$H$4:$I$10,2,0))</f>
        <v>10382.341810335902</v>
      </c>
      <c r="H192" s="23"/>
      <c r="I192" s="23"/>
      <c r="K192" s="21">
        <f>INDEX(E192:I192,1,Control!$C$10)</f>
        <v>11873.552586779413</v>
      </c>
    </row>
    <row r="193" spans="2:11" ht="12.75" customHeight="1" x14ac:dyDescent="0.2">
      <c r="B193" s="8">
        <f t="shared" si="2"/>
        <v>189</v>
      </c>
      <c r="C193" s="14" t="s">
        <v>265</v>
      </c>
      <c r="D193" s="13" t="s">
        <v>266</v>
      </c>
      <c r="E193" s="12">
        <f>IF(ISNA(VLOOKUP(D193,Pivot!$D$4:$E$30,2,0)),MIN(Pivot!$E$4:$E$30),VLOOKUP(D193,Pivot!$D$4:$E$30,2,0))</f>
        <v>11873.552586779413</v>
      </c>
      <c r="F193" s="68">
        <f>IF(ISNA(VLOOKUP(D193,Pivot!$F$4:$G$12,2,0)),MIN(Pivot!$F$4:$G$12),VLOOKUP(D193,Pivot!$F$4:$G$12,2,0))</f>
        <v>11264.716264070181</v>
      </c>
      <c r="G193" s="12">
        <f>IF(ISNA(VLOOKUP(D193,Pivot!$H$4:$I$10,2,0)),MIN(Pivot!$H$4:$I$10),VLOOKUP(D193,Pivot!$H$4:$I$10,2,0))</f>
        <v>10382.341810335902</v>
      </c>
      <c r="H193" s="23"/>
      <c r="I193" s="23"/>
      <c r="K193" s="21">
        <f>INDEX(E193:I193,1,Control!$C$10)</f>
        <v>11873.552586779413</v>
      </c>
    </row>
    <row r="194" spans="2:11" ht="12.75" customHeight="1" x14ac:dyDescent="0.2">
      <c r="B194" s="9">
        <f t="shared" si="2"/>
        <v>190</v>
      </c>
      <c r="C194" s="15" t="s">
        <v>281</v>
      </c>
      <c r="D194" s="16" t="s">
        <v>282</v>
      </c>
      <c r="E194" s="12">
        <f>IF(ISNA(VLOOKUP(D194,Pivot!$D$4:$E$30,2,0)),MIN(Pivot!$E$4:$E$30),VLOOKUP(D194,Pivot!$D$4:$E$30,2,0))</f>
        <v>11873.552586779413</v>
      </c>
      <c r="F194" s="68">
        <f>IF(ISNA(VLOOKUP(D194,Pivot!$F$4:$G$12,2,0)),MIN(Pivot!$F$4:$G$12),VLOOKUP(D194,Pivot!$F$4:$G$12,2,0))</f>
        <v>11264.716264070181</v>
      </c>
      <c r="G194" s="12">
        <f>IF(ISNA(VLOOKUP(D194,Pivot!$H$4:$I$10,2,0)),MIN(Pivot!$H$4:$I$10),VLOOKUP(D194,Pivot!$H$4:$I$10,2,0))</f>
        <v>10382.341810335902</v>
      </c>
      <c r="H194" s="24"/>
      <c r="I194" s="24"/>
      <c r="K194" s="22">
        <f>INDEX(E194:I194,1,Control!$C$10)</f>
        <v>11873.552586779413</v>
      </c>
    </row>
  </sheetData>
  <phoneticPr fontId="1" type="noConversion"/>
  <printOptions horizontalCentered="1"/>
  <pageMargins left="0.19685039370078741" right="0.19685039370078741" top="0.39370078740157483" bottom="0.39370078740157483" header="0.19685039370078741" footer="0.19685039370078741"/>
  <pageSetup paperSize="9" scale="38" fitToHeight="100" orientation="landscape" cellComments="atEnd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03" enableFormatConditionsCalculation="0">
    <pageSetUpPr fitToPage="1"/>
  </sheetPr>
  <dimension ref="A2:M256"/>
  <sheetViews>
    <sheetView showGridLines="0" zoomScaleNormal="85" workbookViewId="0">
      <selection activeCell="F3" sqref="F3"/>
    </sheetView>
  </sheetViews>
  <sheetFormatPr defaultColWidth="10.7109375" defaultRowHeight="12.75" customHeight="1" x14ac:dyDescent="0.2"/>
  <cols>
    <col min="1" max="1" width="1.7109375" style="29" customWidth="1"/>
    <col min="2" max="5" width="20.7109375" style="29" customWidth="1"/>
    <col min="6" max="6" width="1.7109375" style="29" customWidth="1"/>
    <col min="7" max="16384" width="10.7109375" style="29"/>
  </cols>
  <sheetData>
    <row r="2" spans="1:13" ht="30" customHeight="1" thickBot="1" x14ac:dyDescent="0.25">
      <c r="A2" s="30"/>
      <c r="B2" s="57" t="s">
        <v>4</v>
      </c>
      <c r="C2" s="57"/>
      <c r="D2" s="57"/>
      <c r="E2" s="57"/>
      <c r="F2" s="30"/>
    </row>
    <row r="3" spans="1:13" ht="12.75" customHeight="1" x14ac:dyDescent="0.2">
      <c r="A3" s="30"/>
      <c r="E3" s="30"/>
      <c r="F3" s="30"/>
      <c r="M3" s="5" t="s">
        <v>4046</v>
      </c>
    </row>
    <row r="4" spans="1:13" ht="12.75" customHeight="1" x14ac:dyDescent="0.2">
      <c r="A4" s="30"/>
      <c r="B4" s="31" t="s">
        <v>773</v>
      </c>
      <c r="C4" s="28" t="s">
        <v>4045</v>
      </c>
      <c r="D4" s="32"/>
      <c r="E4" s="30"/>
      <c r="F4" s="30"/>
      <c r="M4" s="5" t="s">
        <v>4047</v>
      </c>
    </row>
    <row r="5" spans="1:13" ht="12.75" customHeight="1" x14ac:dyDescent="0.2">
      <c r="A5" s="30"/>
      <c r="B5" s="30"/>
      <c r="C5" s="26" t="s">
        <v>4051</v>
      </c>
      <c r="D5" s="33"/>
      <c r="E5" s="30"/>
      <c r="F5" s="30"/>
    </row>
    <row r="6" spans="1:13" ht="12.75" customHeight="1" x14ac:dyDescent="0.2">
      <c r="A6" s="30"/>
      <c r="B6" s="30"/>
      <c r="C6" s="26" t="s">
        <v>4052</v>
      </c>
      <c r="D6" s="33"/>
      <c r="E6" s="30"/>
      <c r="F6" s="30"/>
    </row>
    <row r="7" spans="1:13" ht="12.75" customHeight="1" x14ac:dyDescent="0.2">
      <c r="A7" s="30"/>
      <c r="B7" s="30"/>
      <c r="C7" s="26"/>
      <c r="D7" s="33"/>
      <c r="E7" s="30"/>
      <c r="F7" s="30"/>
    </row>
    <row r="8" spans="1:13" ht="12.75" customHeight="1" x14ac:dyDescent="0.2">
      <c r="A8" s="30"/>
      <c r="B8" s="30"/>
      <c r="C8" s="27"/>
      <c r="D8" s="34"/>
      <c r="E8" s="30"/>
      <c r="F8" s="30"/>
    </row>
    <row r="9" spans="1:13" ht="12.75" customHeight="1" x14ac:dyDescent="0.2">
      <c r="A9" s="30"/>
      <c r="B9" s="30"/>
      <c r="C9" s="30"/>
      <c r="D9" s="30"/>
      <c r="E9" s="30"/>
      <c r="F9" s="30"/>
    </row>
    <row r="10" spans="1:13" ht="12.75" customHeight="1" x14ac:dyDescent="0.2">
      <c r="A10" s="30"/>
      <c r="B10" s="31" t="s">
        <v>3</v>
      </c>
      <c r="C10" s="35">
        <v>1</v>
      </c>
      <c r="D10" s="30"/>
      <c r="E10" s="30"/>
      <c r="F10" s="30"/>
    </row>
    <row r="11" spans="1:13" ht="12.75" customHeight="1" x14ac:dyDescent="0.2">
      <c r="A11" s="30"/>
      <c r="B11" s="30"/>
      <c r="C11" s="30"/>
      <c r="D11" s="30"/>
      <c r="E11" s="30"/>
      <c r="F11" s="30"/>
    </row>
    <row r="12" spans="1:13" ht="12.75" customHeight="1" x14ac:dyDescent="0.2">
      <c r="A12" s="30"/>
      <c r="B12" s="31" t="s">
        <v>735</v>
      </c>
      <c r="C12" s="36">
        <v>5</v>
      </c>
      <c r="D12" s="30" t="s">
        <v>736</v>
      </c>
      <c r="E12" s="30"/>
      <c r="F12" s="30"/>
    </row>
    <row r="13" spans="1:13" ht="12.75" customHeight="1" x14ac:dyDescent="0.2">
      <c r="A13" s="30"/>
      <c r="B13" s="30"/>
      <c r="C13" s="30"/>
      <c r="D13" s="30"/>
      <c r="E13" s="30"/>
      <c r="F13" s="30"/>
    </row>
    <row r="14" spans="1:13" ht="12.75" customHeight="1" x14ac:dyDescent="0.2">
      <c r="A14" s="30"/>
      <c r="B14" s="37" t="s">
        <v>5</v>
      </c>
      <c r="C14" s="37" t="s">
        <v>732</v>
      </c>
      <c r="D14" s="37" t="s">
        <v>733</v>
      </c>
      <c r="E14" s="37" t="s">
        <v>734</v>
      </c>
      <c r="F14" s="30"/>
    </row>
    <row r="15" spans="1:13" ht="12.75" customHeight="1" x14ac:dyDescent="0.3">
      <c r="A15" s="30"/>
      <c r="B15" s="38">
        <f t="shared" ref="B15:B62" si="0">B16+$C$12</f>
        <v>245</v>
      </c>
      <c r="C15" s="39">
        <f>E16</f>
        <v>11873.552586779413</v>
      </c>
      <c r="D15" s="38">
        <f t="shared" ref="D15:D63" si="1">udf_RGB(MIN(50+B15,245),MIN(100+B15,245),B15)</f>
        <v>16119285</v>
      </c>
      <c r="E15" s="40">
        <f>MAX(Data!$K$5:$K$194)</f>
        <v>99016.174371435307</v>
      </c>
      <c r="F15" s="30"/>
      <c r="G15" s="63" t="s">
        <v>4028</v>
      </c>
    </row>
    <row r="16" spans="1:13" ht="12.75" customHeight="1" x14ac:dyDescent="0.2">
      <c r="A16" s="30"/>
      <c r="B16" s="41">
        <f t="shared" si="0"/>
        <v>240</v>
      </c>
      <c r="C16" s="42">
        <f t="shared" ref="C16:C47" si="2">C15+$E$17</f>
        <v>13689.023873959744</v>
      </c>
      <c r="D16" s="38">
        <f t="shared" si="1"/>
        <v>15791605</v>
      </c>
      <c r="E16" s="43">
        <f>MIN(Data!$K$5:$K$194)</f>
        <v>11873.552586779413</v>
      </c>
      <c r="F16" s="30"/>
    </row>
    <row r="17" spans="1:7" ht="12.75" customHeight="1" x14ac:dyDescent="0.2">
      <c r="A17" s="30"/>
      <c r="B17" s="41">
        <f t="shared" si="0"/>
        <v>235</v>
      </c>
      <c r="C17" s="42">
        <f t="shared" si="2"/>
        <v>15504.495161140076</v>
      </c>
      <c r="D17" s="38">
        <f t="shared" si="1"/>
        <v>15463925</v>
      </c>
      <c r="E17" s="44">
        <f>(E15-E16)/(COUNT($B$15:$B$64)-2)</f>
        <v>1815.4712871803313</v>
      </c>
      <c r="F17" s="30"/>
    </row>
    <row r="18" spans="1:7" ht="12.75" customHeight="1" x14ac:dyDescent="0.2">
      <c r="A18" s="30"/>
      <c r="B18" s="41">
        <f t="shared" si="0"/>
        <v>230</v>
      </c>
      <c r="C18" s="42">
        <f t="shared" si="2"/>
        <v>17319.966448320407</v>
      </c>
      <c r="D18" s="38">
        <f t="shared" si="1"/>
        <v>15136245</v>
      </c>
      <c r="E18" s="30"/>
      <c r="F18" s="30"/>
    </row>
    <row r="19" spans="1:7" ht="12.75" customHeight="1" x14ac:dyDescent="0.2">
      <c r="A19" s="30"/>
      <c r="B19" s="41">
        <f t="shared" si="0"/>
        <v>225</v>
      </c>
      <c r="C19" s="42">
        <f t="shared" si="2"/>
        <v>19135.437735500738</v>
      </c>
      <c r="D19" s="38">
        <f t="shared" si="1"/>
        <v>14808565</v>
      </c>
      <c r="E19" s="30"/>
      <c r="F19" s="30"/>
    </row>
    <row r="20" spans="1:7" ht="12.75" customHeight="1" x14ac:dyDescent="0.2">
      <c r="A20" s="30"/>
      <c r="B20" s="41">
        <f t="shared" si="0"/>
        <v>220</v>
      </c>
      <c r="C20" s="42">
        <f t="shared" si="2"/>
        <v>20950.909022681069</v>
      </c>
      <c r="D20" s="38">
        <f t="shared" si="1"/>
        <v>14480885</v>
      </c>
      <c r="E20" s="30"/>
      <c r="F20" s="30"/>
    </row>
    <row r="21" spans="1:7" ht="12.75" customHeight="1" x14ac:dyDescent="0.2">
      <c r="A21" s="30"/>
      <c r="B21" s="41">
        <f t="shared" si="0"/>
        <v>215</v>
      </c>
      <c r="C21" s="42">
        <f t="shared" si="2"/>
        <v>22766.380309861401</v>
      </c>
      <c r="D21" s="38">
        <f t="shared" si="1"/>
        <v>14153205</v>
      </c>
      <c r="E21" s="30"/>
      <c r="F21" s="30"/>
    </row>
    <row r="22" spans="1:7" ht="12.75" customHeight="1" x14ac:dyDescent="0.2">
      <c r="A22" s="30"/>
      <c r="B22" s="41">
        <f t="shared" si="0"/>
        <v>210</v>
      </c>
      <c r="C22" s="42">
        <f t="shared" si="2"/>
        <v>24581.851597041732</v>
      </c>
      <c r="D22" s="38">
        <f t="shared" si="1"/>
        <v>13825525</v>
      </c>
      <c r="E22" s="30"/>
      <c r="F22" s="30"/>
    </row>
    <row r="23" spans="1:7" ht="12.75" customHeight="1" x14ac:dyDescent="0.2">
      <c r="A23" s="30"/>
      <c r="B23" s="41">
        <f t="shared" si="0"/>
        <v>205</v>
      </c>
      <c r="C23" s="42">
        <f t="shared" si="2"/>
        <v>26397.322884222063</v>
      </c>
      <c r="D23" s="38">
        <f t="shared" si="1"/>
        <v>13497845</v>
      </c>
      <c r="E23" s="30"/>
      <c r="F23" s="30"/>
    </row>
    <row r="24" spans="1:7" ht="12.75" customHeight="1" x14ac:dyDescent="0.2">
      <c r="A24" s="30"/>
      <c r="B24" s="41">
        <f t="shared" si="0"/>
        <v>200</v>
      </c>
      <c r="C24" s="42">
        <f t="shared" si="2"/>
        <v>28212.794171402395</v>
      </c>
      <c r="D24" s="38">
        <f t="shared" si="1"/>
        <v>13170165</v>
      </c>
      <c r="E24" s="30"/>
      <c r="F24" s="30"/>
    </row>
    <row r="25" spans="1:7" ht="12.75" customHeight="1" x14ac:dyDescent="0.2">
      <c r="A25" s="30"/>
      <c r="B25" s="41">
        <f t="shared" si="0"/>
        <v>195</v>
      </c>
      <c r="C25" s="42">
        <f t="shared" si="2"/>
        <v>30028.265458582726</v>
      </c>
      <c r="D25" s="38">
        <f t="shared" si="1"/>
        <v>12842485</v>
      </c>
      <c r="E25" s="30"/>
      <c r="F25" s="30"/>
    </row>
    <row r="26" spans="1:7" ht="12.75" customHeight="1" x14ac:dyDescent="0.3">
      <c r="A26" s="30"/>
      <c r="B26" s="41">
        <f t="shared" si="0"/>
        <v>190</v>
      </c>
      <c r="C26" s="42">
        <f t="shared" si="2"/>
        <v>31843.736745763057</v>
      </c>
      <c r="D26" s="38">
        <f t="shared" si="1"/>
        <v>12514800</v>
      </c>
      <c r="E26" s="30"/>
      <c r="F26" s="30"/>
      <c r="G26" s="63" t="s">
        <v>4027</v>
      </c>
    </row>
    <row r="27" spans="1:7" ht="12.75" customHeight="1" x14ac:dyDescent="0.2">
      <c r="A27" s="30"/>
      <c r="B27" s="41">
        <f t="shared" si="0"/>
        <v>185</v>
      </c>
      <c r="C27" s="42">
        <f t="shared" si="2"/>
        <v>33659.208032943388</v>
      </c>
      <c r="D27" s="38">
        <f t="shared" si="1"/>
        <v>12187115</v>
      </c>
      <c r="E27" s="30"/>
      <c r="F27" s="30"/>
    </row>
    <row r="28" spans="1:7" ht="12.75" customHeight="1" x14ac:dyDescent="0.2">
      <c r="A28" s="30"/>
      <c r="B28" s="41">
        <f t="shared" si="0"/>
        <v>180</v>
      </c>
      <c r="C28" s="42">
        <f t="shared" si="2"/>
        <v>35474.679320123716</v>
      </c>
      <c r="D28" s="38">
        <f t="shared" si="1"/>
        <v>11859430</v>
      </c>
      <c r="E28" s="30"/>
      <c r="F28" s="30"/>
    </row>
    <row r="29" spans="1:7" ht="12.75" customHeight="1" x14ac:dyDescent="0.2">
      <c r="A29" s="30"/>
      <c r="B29" s="41">
        <f t="shared" si="0"/>
        <v>175</v>
      </c>
      <c r="C29" s="42">
        <f t="shared" si="2"/>
        <v>37290.150607304051</v>
      </c>
      <c r="D29" s="38">
        <f t="shared" si="1"/>
        <v>11531745</v>
      </c>
      <c r="E29" s="30"/>
      <c r="F29" s="30"/>
    </row>
    <row r="30" spans="1:7" ht="12.75" customHeight="1" x14ac:dyDescent="0.2">
      <c r="A30" s="30"/>
      <c r="B30" s="41">
        <f t="shared" si="0"/>
        <v>170</v>
      </c>
      <c r="C30" s="42">
        <f t="shared" si="2"/>
        <v>39105.621894484386</v>
      </c>
      <c r="D30" s="38">
        <f t="shared" si="1"/>
        <v>11204060</v>
      </c>
      <c r="E30" s="30"/>
      <c r="F30" s="30"/>
    </row>
    <row r="31" spans="1:7" ht="12.75" customHeight="1" x14ac:dyDescent="0.2">
      <c r="A31" s="30"/>
      <c r="B31" s="41">
        <f t="shared" si="0"/>
        <v>165</v>
      </c>
      <c r="C31" s="42">
        <f t="shared" si="2"/>
        <v>40921.093181664721</v>
      </c>
      <c r="D31" s="38">
        <f t="shared" si="1"/>
        <v>10876375</v>
      </c>
      <c r="E31" s="30"/>
      <c r="F31" s="30"/>
    </row>
    <row r="32" spans="1:7" ht="12.75" customHeight="1" x14ac:dyDescent="0.2">
      <c r="A32" s="30"/>
      <c r="B32" s="41">
        <f t="shared" si="0"/>
        <v>160</v>
      </c>
      <c r="C32" s="42">
        <f t="shared" si="2"/>
        <v>42736.564468845056</v>
      </c>
      <c r="D32" s="38">
        <f t="shared" si="1"/>
        <v>10548690</v>
      </c>
      <c r="E32" s="30"/>
      <c r="F32" s="30"/>
    </row>
    <row r="33" spans="1:6" ht="12.75" customHeight="1" x14ac:dyDescent="0.2">
      <c r="A33" s="30"/>
      <c r="B33" s="41">
        <f t="shared" si="0"/>
        <v>155</v>
      </c>
      <c r="C33" s="42">
        <f t="shared" si="2"/>
        <v>44552.035756025391</v>
      </c>
      <c r="D33" s="38">
        <f t="shared" si="1"/>
        <v>10221005</v>
      </c>
      <c r="E33" s="30"/>
      <c r="F33" s="30"/>
    </row>
    <row r="34" spans="1:6" ht="12.75" customHeight="1" x14ac:dyDescent="0.2">
      <c r="A34" s="30"/>
      <c r="B34" s="41">
        <f t="shared" si="0"/>
        <v>150</v>
      </c>
      <c r="C34" s="42">
        <f t="shared" si="2"/>
        <v>46367.507043205725</v>
      </c>
      <c r="D34" s="38">
        <f t="shared" si="1"/>
        <v>9893320</v>
      </c>
      <c r="E34" s="30"/>
      <c r="F34" s="30"/>
    </row>
    <row r="35" spans="1:6" ht="12.75" customHeight="1" x14ac:dyDescent="0.2">
      <c r="A35" s="30"/>
      <c r="B35" s="41">
        <f t="shared" si="0"/>
        <v>145</v>
      </c>
      <c r="C35" s="42">
        <f t="shared" si="2"/>
        <v>48182.97833038606</v>
      </c>
      <c r="D35" s="38">
        <f t="shared" si="1"/>
        <v>9565635</v>
      </c>
      <c r="E35" s="30"/>
      <c r="F35" s="30"/>
    </row>
    <row r="36" spans="1:6" ht="12.75" customHeight="1" x14ac:dyDescent="0.2">
      <c r="A36" s="30"/>
      <c r="B36" s="41">
        <f t="shared" si="0"/>
        <v>140</v>
      </c>
      <c r="C36" s="42">
        <f t="shared" si="2"/>
        <v>49998.449617566395</v>
      </c>
      <c r="D36" s="38">
        <f t="shared" si="1"/>
        <v>9236670</v>
      </c>
      <c r="E36" s="30"/>
      <c r="F36" s="30"/>
    </row>
    <row r="37" spans="1:6" ht="12.75" customHeight="1" x14ac:dyDescent="0.2">
      <c r="A37" s="30"/>
      <c r="B37" s="41">
        <f t="shared" si="0"/>
        <v>135</v>
      </c>
      <c r="C37" s="42">
        <f t="shared" si="2"/>
        <v>51813.92090474673</v>
      </c>
      <c r="D37" s="38">
        <f t="shared" si="1"/>
        <v>8907705</v>
      </c>
      <c r="E37" s="30"/>
      <c r="F37" s="30"/>
    </row>
    <row r="38" spans="1:6" ht="12.75" customHeight="1" x14ac:dyDescent="0.2">
      <c r="A38" s="30"/>
      <c r="B38" s="41">
        <f t="shared" si="0"/>
        <v>130</v>
      </c>
      <c r="C38" s="42">
        <f t="shared" si="2"/>
        <v>53629.392191927065</v>
      </c>
      <c r="D38" s="38">
        <f t="shared" si="1"/>
        <v>8578740</v>
      </c>
      <c r="E38" s="30"/>
      <c r="F38" s="30"/>
    </row>
    <row r="39" spans="1:6" ht="12.75" customHeight="1" x14ac:dyDescent="0.2">
      <c r="A39" s="30"/>
      <c r="B39" s="41">
        <f t="shared" si="0"/>
        <v>125</v>
      </c>
      <c r="C39" s="42">
        <f t="shared" si="2"/>
        <v>55444.8634791074</v>
      </c>
      <c r="D39" s="38">
        <f t="shared" si="1"/>
        <v>8249775</v>
      </c>
      <c r="E39" s="30"/>
      <c r="F39" s="30"/>
    </row>
    <row r="40" spans="1:6" ht="12.75" customHeight="1" x14ac:dyDescent="0.2">
      <c r="A40" s="30"/>
      <c r="B40" s="41">
        <f t="shared" si="0"/>
        <v>120</v>
      </c>
      <c r="C40" s="42">
        <f t="shared" si="2"/>
        <v>57260.334766287735</v>
      </c>
      <c r="D40" s="38">
        <f t="shared" si="1"/>
        <v>7920810</v>
      </c>
      <c r="E40" s="30"/>
      <c r="F40" s="30"/>
    </row>
    <row r="41" spans="1:6" ht="12.75" customHeight="1" x14ac:dyDescent="0.2">
      <c r="A41" s="30"/>
      <c r="B41" s="41">
        <f t="shared" si="0"/>
        <v>115</v>
      </c>
      <c r="C41" s="42">
        <f t="shared" si="2"/>
        <v>59075.80605346807</v>
      </c>
      <c r="D41" s="38">
        <f t="shared" si="1"/>
        <v>7591845</v>
      </c>
      <c r="E41" s="30"/>
      <c r="F41" s="30"/>
    </row>
    <row r="42" spans="1:6" ht="12.75" customHeight="1" x14ac:dyDescent="0.2">
      <c r="A42" s="30"/>
      <c r="B42" s="41">
        <f t="shared" si="0"/>
        <v>110</v>
      </c>
      <c r="C42" s="42">
        <f t="shared" si="2"/>
        <v>60891.277340648405</v>
      </c>
      <c r="D42" s="38">
        <f t="shared" si="1"/>
        <v>7262880</v>
      </c>
      <c r="E42" s="30"/>
      <c r="F42" s="30"/>
    </row>
    <row r="43" spans="1:6" ht="12.75" customHeight="1" x14ac:dyDescent="0.2">
      <c r="A43" s="30"/>
      <c r="B43" s="41">
        <f t="shared" si="0"/>
        <v>105</v>
      </c>
      <c r="C43" s="42">
        <f t="shared" si="2"/>
        <v>62706.74862782874</v>
      </c>
      <c r="D43" s="38">
        <f t="shared" si="1"/>
        <v>6933915</v>
      </c>
      <c r="E43" s="30"/>
      <c r="F43" s="30"/>
    </row>
    <row r="44" spans="1:6" ht="12.75" customHeight="1" x14ac:dyDescent="0.2">
      <c r="A44" s="30"/>
      <c r="B44" s="41">
        <f t="shared" si="0"/>
        <v>100</v>
      </c>
      <c r="C44" s="42">
        <f t="shared" si="2"/>
        <v>64522.219915009075</v>
      </c>
      <c r="D44" s="38">
        <f t="shared" si="1"/>
        <v>6604950</v>
      </c>
      <c r="E44" s="30"/>
      <c r="F44" s="30"/>
    </row>
    <row r="45" spans="1:6" ht="12.75" customHeight="1" x14ac:dyDescent="0.2">
      <c r="A45" s="30"/>
      <c r="B45" s="41">
        <f t="shared" si="0"/>
        <v>95</v>
      </c>
      <c r="C45" s="42">
        <f t="shared" si="2"/>
        <v>66337.69120218941</v>
      </c>
      <c r="D45" s="38">
        <f t="shared" si="1"/>
        <v>6275985</v>
      </c>
      <c r="E45" s="30"/>
      <c r="F45" s="30"/>
    </row>
    <row r="46" spans="1:6" ht="12.75" customHeight="1" x14ac:dyDescent="0.2">
      <c r="A46" s="30"/>
      <c r="B46" s="41">
        <f t="shared" si="0"/>
        <v>90</v>
      </c>
      <c r="C46" s="42">
        <f t="shared" si="2"/>
        <v>68153.162489369744</v>
      </c>
      <c r="D46" s="38">
        <f t="shared" si="1"/>
        <v>5947020</v>
      </c>
      <c r="E46" s="30"/>
      <c r="F46" s="30"/>
    </row>
    <row r="47" spans="1:6" ht="12.75" customHeight="1" x14ac:dyDescent="0.2">
      <c r="A47" s="30"/>
      <c r="B47" s="41">
        <f t="shared" si="0"/>
        <v>85</v>
      </c>
      <c r="C47" s="42">
        <f t="shared" si="2"/>
        <v>69968.633776550079</v>
      </c>
      <c r="D47" s="38">
        <f t="shared" si="1"/>
        <v>5618055</v>
      </c>
      <c r="E47" s="30"/>
      <c r="F47" s="30"/>
    </row>
    <row r="48" spans="1:6" ht="12.75" customHeight="1" x14ac:dyDescent="0.2">
      <c r="A48" s="30"/>
      <c r="B48" s="41">
        <f t="shared" si="0"/>
        <v>80</v>
      </c>
      <c r="C48" s="42">
        <f t="shared" ref="C48:C64" si="3">C47+$E$17</f>
        <v>71784.105063730414</v>
      </c>
      <c r="D48" s="38">
        <f t="shared" si="1"/>
        <v>5289090</v>
      </c>
      <c r="E48" s="30"/>
      <c r="F48" s="30"/>
    </row>
    <row r="49" spans="1:7" ht="12.75" customHeight="1" x14ac:dyDescent="0.2">
      <c r="A49" s="30"/>
      <c r="B49" s="41">
        <f t="shared" si="0"/>
        <v>75</v>
      </c>
      <c r="C49" s="42">
        <f t="shared" si="3"/>
        <v>73599.576350910749</v>
      </c>
      <c r="D49" s="38">
        <f t="shared" si="1"/>
        <v>4960125</v>
      </c>
      <c r="E49" s="30"/>
      <c r="F49" s="30"/>
    </row>
    <row r="50" spans="1:7" ht="12.75" customHeight="1" x14ac:dyDescent="0.2">
      <c r="A50" s="30"/>
      <c r="B50" s="41">
        <f t="shared" si="0"/>
        <v>70</v>
      </c>
      <c r="C50" s="42">
        <f t="shared" si="3"/>
        <v>75415.047638091084</v>
      </c>
      <c r="D50" s="38">
        <f t="shared" si="1"/>
        <v>4631160</v>
      </c>
      <c r="E50" s="30"/>
      <c r="F50" s="30"/>
    </row>
    <row r="51" spans="1:7" ht="12.75" customHeight="1" x14ac:dyDescent="0.2">
      <c r="A51" s="30"/>
      <c r="B51" s="41">
        <f t="shared" si="0"/>
        <v>65</v>
      </c>
      <c r="C51" s="42">
        <f t="shared" si="3"/>
        <v>77230.518925271419</v>
      </c>
      <c r="D51" s="38">
        <f t="shared" si="1"/>
        <v>4302195</v>
      </c>
      <c r="E51" s="30"/>
      <c r="F51" s="30"/>
    </row>
    <row r="52" spans="1:7" ht="12.75" customHeight="1" x14ac:dyDescent="0.2">
      <c r="A52" s="30"/>
      <c r="B52" s="41">
        <f t="shared" si="0"/>
        <v>60</v>
      </c>
      <c r="C52" s="42">
        <f t="shared" si="3"/>
        <v>79045.990212451754</v>
      </c>
      <c r="D52" s="38">
        <f t="shared" si="1"/>
        <v>3973230</v>
      </c>
      <c r="E52" s="30"/>
      <c r="F52" s="30"/>
    </row>
    <row r="53" spans="1:7" ht="12.75" customHeight="1" x14ac:dyDescent="0.2">
      <c r="A53" s="30"/>
      <c r="B53" s="41">
        <f t="shared" si="0"/>
        <v>55</v>
      </c>
      <c r="C53" s="42">
        <f t="shared" si="3"/>
        <v>80861.461499632089</v>
      </c>
      <c r="D53" s="38">
        <f t="shared" si="1"/>
        <v>3644265</v>
      </c>
      <c r="E53" s="30"/>
      <c r="F53" s="30"/>
    </row>
    <row r="54" spans="1:7" ht="12.75" customHeight="1" x14ac:dyDescent="0.2">
      <c r="A54" s="30"/>
      <c r="B54" s="41">
        <f t="shared" si="0"/>
        <v>50</v>
      </c>
      <c r="C54" s="42">
        <f t="shared" si="3"/>
        <v>82676.932786812424</v>
      </c>
      <c r="D54" s="38">
        <f t="shared" si="1"/>
        <v>3315300</v>
      </c>
      <c r="E54" s="30"/>
      <c r="F54" s="30"/>
    </row>
    <row r="55" spans="1:7" ht="12.75" customHeight="1" x14ac:dyDescent="0.2">
      <c r="A55" s="30"/>
      <c r="B55" s="41">
        <f t="shared" si="0"/>
        <v>45</v>
      </c>
      <c r="C55" s="42">
        <f t="shared" si="3"/>
        <v>84492.404073992759</v>
      </c>
      <c r="D55" s="38">
        <f t="shared" si="1"/>
        <v>2986335</v>
      </c>
      <c r="E55" s="30"/>
      <c r="F55" s="30"/>
    </row>
    <row r="56" spans="1:7" ht="12.75" customHeight="1" x14ac:dyDescent="0.2">
      <c r="A56" s="30"/>
      <c r="B56" s="41">
        <f t="shared" si="0"/>
        <v>40</v>
      </c>
      <c r="C56" s="42">
        <f t="shared" si="3"/>
        <v>86307.875361173094</v>
      </c>
      <c r="D56" s="38">
        <f t="shared" si="1"/>
        <v>2657370</v>
      </c>
      <c r="E56" s="30"/>
      <c r="F56" s="30"/>
    </row>
    <row r="57" spans="1:7" ht="12.75" customHeight="1" x14ac:dyDescent="0.2">
      <c r="A57" s="30"/>
      <c r="B57" s="41">
        <f t="shared" si="0"/>
        <v>35</v>
      </c>
      <c r="C57" s="42">
        <f t="shared" si="3"/>
        <v>88123.346648353428</v>
      </c>
      <c r="D57" s="38">
        <f t="shared" si="1"/>
        <v>2328405</v>
      </c>
      <c r="E57" s="30"/>
      <c r="F57" s="30"/>
    </row>
    <row r="58" spans="1:7" ht="12.75" customHeight="1" x14ac:dyDescent="0.2">
      <c r="A58" s="30"/>
      <c r="B58" s="41">
        <f t="shared" si="0"/>
        <v>30</v>
      </c>
      <c r="C58" s="42">
        <f t="shared" si="3"/>
        <v>89938.817935533763</v>
      </c>
      <c r="D58" s="38">
        <f t="shared" si="1"/>
        <v>1999440</v>
      </c>
      <c r="E58" s="30"/>
      <c r="F58" s="30"/>
    </row>
    <row r="59" spans="1:7" ht="12.75" customHeight="1" x14ac:dyDescent="0.2">
      <c r="A59" s="30"/>
      <c r="B59" s="41">
        <f t="shared" si="0"/>
        <v>25</v>
      </c>
      <c r="C59" s="42">
        <f t="shared" si="3"/>
        <v>91754.289222714098</v>
      </c>
      <c r="D59" s="38">
        <f t="shared" si="1"/>
        <v>1670475</v>
      </c>
      <c r="E59" s="30"/>
      <c r="F59" s="30"/>
    </row>
    <row r="60" spans="1:7" ht="12.75" customHeight="1" x14ac:dyDescent="0.2">
      <c r="A60" s="30"/>
      <c r="B60" s="41">
        <f t="shared" si="0"/>
        <v>20</v>
      </c>
      <c r="C60" s="42">
        <f t="shared" si="3"/>
        <v>93569.760509894433</v>
      </c>
      <c r="D60" s="38">
        <f t="shared" si="1"/>
        <v>1341510</v>
      </c>
      <c r="E60" s="30"/>
      <c r="F60" s="30"/>
    </row>
    <row r="61" spans="1:7" ht="12.75" customHeight="1" x14ac:dyDescent="0.2">
      <c r="A61" s="30"/>
      <c r="B61" s="41">
        <f t="shared" si="0"/>
        <v>15</v>
      </c>
      <c r="C61" s="42">
        <f t="shared" si="3"/>
        <v>95385.231797074768</v>
      </c>
      <c r="D61" s="38">
        <f t="shared" si="1"/>
        <v>1012545</v>
      </c>
      <c r="E61" s="30"/>
      <c r="F61" s="30"/>
    </row>
    <row r="62" spans="1:7" ht="12.75" customHeight="1" x14ac:dyDescent="0.2">
      <c r="A62" s="30"/>
      <c r="B62" s="41">
        <f t="shared" si="0"/>
        <v>10</v>
      </c>
      <c r="C62" s="42">
        <f t="shared" si="3"/>
        <v>97200.703084255103</v>
      </c>
      <c r="D62" s="38">
        <f t="shared" si="1"/>
        <v>683580</v>
      </c>
      <c r="E62" s="30"/>
      <c r="F62" s="30"/>
    </row>
    <row r="63" spans="1:7" ht="12.75" customHeight="1" x14ac:dyDescent="0.2">
      <c r="A63" s="30"/>
      <c r="B63" s="41">
        <f>B64+$C$12</f>
        <v>5</v>
      </c>
      <c r="C63" s="42">
        <f t="shared" si="3"/>
        <v>99016.174371435438</v>
      </c>
      <c r="D63" s="38">
        <f t="shared" si="1"/>
        <v>354615</v>
      </c>
      <c r="E63" s="30"/>
      <c r="F63" s="30"/>
    </row>
    <row r="64" spans="1:7" ht="12.75" customHeight="1" x14ac:dyDescent="0.3">
      <c r="A64" s="30"/>
      <c r="B64" s="45">
        <v>0</v>
      </c>
      <c r="C64" s="46">
        <f t="shared" si="3"/>
        <v>100831.64565861577</v>
      </c>
      <c r="D64" s="38">
        <f>udf_RGB(MIN(50+B64,245),MIN(100+B64,245),B64)</f>
        <v>25650</v>
      </c>
      <c r="E64" s="30"/>
      <c r="F64" s="30"/>
      <c r="G64" s="63" t="s">
        <v>4026</v>
      </c>
    </row>
    <row r="65" spans="1:6" ht="12.75" customHeight="1" x14ac:dyDescent="0.2">
      <c r="A65" s="30"/>
      <c r="B65" s="47"/>
      <c r="C65" s="48"/>
      <c r="D65" s="48"/>
      <c r="E65" s="30"/>
      <c r="F65" s="30"/>
    </row>
    <row r="66" spans="1:6" ht="12.75" customHeight="1" x14ac:dyDescent="0.2">
      <c r="A66" s="30"/>
      <c r="B66" s="49" t="s">
        <v>730</v>
      </c>
      <c r="C66" s="49" t="s">
        <v>731</v>
      </c>
      <c r="D66" s="30"/>
      <c r="E66" s="30"/>
      <c r="F66" s="30"/>
    </row>
    <row r="67" spans="1:6" ht="12.75" customHeight="1" x14ac:dyDescent="0.2">
      <c r="A67" s="30"/>
      <c r="B67" s="50" t="s">
        <v>352</v>
      </c>
      <c r="C67" s="50" t="s">
        <v>541</v>
      </c>
      <c r="D67" s="30"/>
      <c r="E67" s="30"/>
      <c r="F67" s="30"/>
    </row>
    <row r="68" spans="1:6" ht="12.75" customHeight="1" x14ac:dyDescent="0.2">
      <c r="A68" s="30"/>
      <c r="B68" s="51" t="s">
        <v>357</v>
      </c>
      <c r="C68" s="51" t="s">
        <v>546</v>
      </c>
      <c r="D68" s="30"/>
      <c r="E68" s="30"/>
      <c r="F68" s="30"/>
    </row>
    <row r="69" spans="1:6" ht="12.75" customHeight="1" x14ac:dyDescent="0.2">
      <c r="A69" s="30"/>
      <c r="B69" s="51" t="s">
        <v>353</v>
      </c>
      <c r="C69" s="51" t="s">
        <v>542</v>
      </c>
      <c r="D69" s="30"/>
      <c r="E69" s="30"/>
      <c r="F69" s="30"/>
    </row>
    <row r="70" spans="1:6" ht="12.75" customHeight="1" x14ac:dyDescent="0.2">
      <c r="A70" s="30"/>
      <c r="B70" s="51" t="s">
        <v>356</v>
      </c>
      <c r="C70" s="51" t="s">
        <v>545</v>
      </c>
      <c r="D70" s="30"/>
      <c r="E70" s="30"/>
      <c r="F70" s="30"/>
    </row>
    <row r="71" spans="1:6" ht="12.75" customHeight="1" x14ac:dyDescent="0.2">
      <c r="A71" s="30"/>
      <c r="B71" s="51" t="s">
        <v>529</v>
      </c>
      <c r="C71" s="51" t="s">
        <v>718</v>
      </c>
      <c r="D71" s="30"/>
      <c r="E71" s="30"/>
      <c r="F71" s="30"/>
    </row>
    <row r="72" spans="1:6" ht="12.75" customHeight="1" x14ac:dyDescent="0.2">
      <c r="A72" s="30"/>
      <c r="B72" s="51" t="s">
        <v>359</v>
      </c>
      <c r="C72" s="51" t="s">
        <v>548</v>
      </c>
      <c r="D72" s="30"/>
      <c r="E72" s="30"/>
      <c r="F72" s="30"/>
    </row>
    <row r="73" spans="1:6" ht="12.75" customHeight="1" x14ac:dyDescent="0.2">
      <c r="A73" s="30"/>
      <c r="B73" s="51" t="s">
        <v>360</v>
      </c>
      <c r="C73" s="51" t="s">
        <v>549</v>
      </c>
      <c r="D73" s="30"/>
      <c r="E73" s="30"/>
      <c r="F73" s="30"/>
    </row>
    <row r="74" spans="1:6" ht="12.75" customHeight="1" x14ac:dyDescent="0.2">
      <c r="A74" s="30"/>
      <c r="B74" s="51" t="s">
        <v>358</v>
      </c>
      <c r="C74" s="51" t="s">
        <v>547</v>
      </c>
      <c r="D74" s="30"/>
      <c r="E74" s="30"/>
      <c r="F74" s="30"/>
    </row>
    <row r="75" spans="1:6" ht="12.75" customHeight="1" x14ac:dyDescent="0.2">
      <c r="A75" s="30"/>
      <c r="B75" s="51" t="s">
        <v>361</v>
      </c>
      <c r="C75" s="51" t="s">
        <v>550</v>
      </c>
      <c r="D75" s="30"/>
      <c r="E75" s="30"/>
      <c r="F75" s="30"/>
    </row>
    <row r="76" spans="1:6" ht="12.75" customHeight="1" x14ac:dyDescent="0.2">
      <c r="A76" s="30"/>
      <c r="B76" s="51" t="s">
        <v>362</v>
      </c>
      <c r="C76" s="51" t="s">
        <v>551</v>
      </c>
      <c r="D76" s="30"/>
      <c r="E76" s="30"/>
      <c r="F76" s="30"/>
    </row>
    <row r="77" spans="1:6" ht="12.75" customHeight="1" x14ac:dyDescent="0.2">
      <c r="A77" s="30"/>
      <c r="B77" s="51" t="s">
        <v>363</v>
      </c>
      <c r="C77" s="51" t="s">
        <v>552</v>
      </c>
      <c r="D77" s="30"/>
      <c r="E77" s="30"/>
      <c r="F77" s="30"/>
    </row>
    <row r="78" spans="1:6" ht="12.75" customHeight="1" x14ac:dyDescent="0.2">
      <c r="A78" s="30"/>
      <c r="B78" s="51" t="s">
        <v>379</v>
      </c>
      <c r="C78" s="51" t="s">
        <v>568</v>
      </c>
      <c r="D78" s="30"/>
      <c r="E78" s="30"/>
      <c r="F78" s="30"/>
    </row>
    <row r="79" spans="1:6" ht="12.75" customHeight="1" x14ac:dyDescent="0.2">
      <c r="A79" s="30"/>
      <c r="B79" s="51" t="s">
        <v>369</v>
      </c>
      <c r="C79" s="51" t="s">
        <v>558</v>
      </c>
      <c r="D79" s="30"/>
      <c r="E79" s="30"/>
      <c r="F79" s="30"/>
    </row>
    <row r="80" spans="1:6" ht="12.75" customHeight="1" x14ac:dyDescent="0.2">
      <c r="A80" s="30"/>
      <c r="B80" s="51" t="s">
        <v>371</v>
      </c>
      <c r="C80" s="51" t="s">
        <v>560</v>
      </c>
      <c r="D80" s="30"/>
      <c r="E80" s="30"/>
      <c r="F80" s="30"/>
    </row>
    <row r="81" spans="1:6" ht="12.75" customHeight="1" x14ac:dyDescent="0.2">
      <c r="A81" s="30"/>
      <c r="B81" s="51" t="s">
        <v>378</v>
      </c>
      <c r="C81" s="51" t="s">
        <v>567</v>
      </c>
      <c r="D81" s="30"/>
      <c r="E81" s="30"/>
      <c r="F81" s="30"/>
    </row>
    <row r="82" spans="1:6" ht="12.75" customHeight="1" x14ac:dyDescent="0.2">
      <c r="A82" s="30"/>
      <c r="B82" s="51" t="s">
        <v>366</v>
      </c>
      <c r="C82" s="51" t="s">
        <v>555</v>
      </c>
      <c r="D82" s="30"/>
      <c r="E82" s="30"/>
      <c r="F82" s="30"/>
    </row>
    <row r="83" spans="1:6" ht="12.75" customHeight="1" x14ac:dyDescent="0.2">
      <c r="A83" s="30"/>
      <c r="B83" s="51" t="s">
        <v>377</v>
      </c>
      <c r="C83" s="51" t="s">
        <v>566</v>
      </c>
      <c r="D83" s="30"/>
      <c r="E83" s="30"/>
      <c r="F83" s="30"/>
    </row>
    <row r="84" spans="1:6" ht="12.75" customHeight="1" x14ac:dyDescent="0.2">
      <c r="A84" s="30"/>
      <c r="B84" s="51" t="s">
        <v>365</v>
      </c>
      <c r="C84" s="51" t="s">
        <v>554</v>
      </c>
      <c r="D84" s="30"/>
      <c r="E84" s="30"/>
      <c r="F84" s="30"/>
    </row>
    <row r="85" spans="1:6" ht="12.75" customHeight="1" x14ac:dyDescent="0.2">
      <c r="A85" s="30"/>
      <c r="B85" s="51" t="s">
        <v>364</v>
      </c>
      <c r="C85" s="51" t="s">
        <v>553</v>
      </c>
      <c r="D85" s="30"/>
      <c r="E85" s="30"/>
      <c r="F85" s="30"/>
    </row>
    <row r="86" spans="1:6" ht="12.75" customHeight="1" x14ac:dyDescent="0.2">
      <c r="A86" s="30"/>
      <c r="B86" s="51" t="s">
        <v>374</v>
      </c>
      <c r="C86" s="51" t="s">
        <v>563</v>
      </c>
      <c r="D86" s="30"/>
      <c r="E86" s="30"/>
      <c r="F86" s="30"/>
    </row>
    <row r="87" spans="1:6" ht="12.75" customHeight="1" x14ac:dyDescent="0.2">
      <c r="A87" s="30"/>
      <c r="B87" s="51" t="s">
        <v>368</v>
      </c>
      <c r="C87" s="51" t="s">
        <v>557</v>
      </c>
      <c r="D87" s="30"/>
      <c r="E87" s="30"/>
      <c r="F87" s="30"/>
    </row>
    <row r="88" spans="1:6" ht="12.75" customHeight="1" x14ac:dyDescent="0.2">
      <c r="A88" s="30"/>
      <c r="B88" s="51" t="s">
        <v>370</v>
      </c>
      <c r="C88" s="51" t="s">
        <v>559</v>
      </c>
      <c r="D88" s="30"/>
      <c r="E88" s="30"/>
      <c r="F88" s="30"/>
    </row>
    <row r="89" spans="1:6" ht="12.75" customHeight="1" x14ac:dyDescent="0.2">
      <c r="A89" s="30"/>
      <c r="B89" s="51" t="s">
        <v>373</v>
      </c>
      <c r="C89" s="51" t="s">
        <v>562</v>
      </c>
      <c r="D89" s="30"/>
      <c r="E89" s="30"/>
      <c r="F89" s="30"/>
    </row>
    <row r="90" spans="1:6" ht="12.75" customHeight="1" x14ac:dyDescent="0.2">
      <c r="A90" s="30"/>
      <c r="B90" s="51" t="s">
        <v>376</v>
      </c>
      <c r="C90" s="51" t="s">
        <v>565</v>
      </c>
      <c r="D90" s="30"/>
      <c r="E90" s="30"/>
      <c r="F90" s="30"/>
    </row>
    <row r="91" spans="1:6" ht="12.75" customHeight="1" x14ac:dyDescent="0.2">
      <c r="A91" s="30"/>
      <c r="B91" s="51" t="s">
        <v>367</v>
      </c>
      <c r="C91" s="51" t="s">
        <v>556</v>
      </c>
      <c r="D91" s="30"/>
      <c r="E91" s="30"/>
      <c r="F91" s="30"/>
    </row>
    <row r="92" spans="1:6" ht="12.75" customHeight="1" x14ac:dyDescent="0.2">
      <c r="A92" s="30"/>
      <c r="B92" s="51" t="s">
        <v>372</v>
      </c>
      <c r="C92" s="51" t="s">
        <v>561</v>
      </c>
      <c r="D92" s="30"/>
      <c r="E92" s="30"/>
      <c r="F92" s="30"/>
    </row>
    <row r="93" spans="1:6" ht="12.75" customHeight="1" x14ac:dyDescent="0.2">
      <c r="A93" s="30"/>
      <c r="B93" s="51" t="s">
        <v>375</v>
      </c>
      <c r="C93" s="51" t="s">
        <v>564</v>
      </c>
      <c r="D93" s="30"/>
      <c r="E93" s="30"/>
      <c r="F93" s="30"/>
    </row>
    <row r="94" spans="1:6" ht="12.75" customHeight="1" x14ac:dyDescent="0.2">
      <c r="A94" s="30"/>
      <c r="B94" s="51" t="s">
        <v>384</v>
      </c>
      <c r="C94" s="51" t="s">
        <v>573</v>
      </c>
      <c r="D94" s="30"/>
      <c r="E94" s="30"/>
      <c r="F94" s="30"/>
    </row>
    <row r="95" spans="1:6" ht="12.75" customHeight="1" x14ac:dyDescent="0.2">
      <c r="A95" s="30"/>
      <c r="B95" s="51" t="s">
        <v>382</v>
      </c>
      <c r="C95" s="51" t="s">
        <v>571</v>
      </c>
      <c r="D95" s="30"/>
      <c r="E95" s="30"/>
      <c r="F95" s="30"/>
    </row>
    <row r="96" spans="1:6" ht="12.75" customHeight="1" x14ac:dyDescent="0.2">
      <c r="A96" s="30"/>
      <c r="B96" s="51" t="s">
        <v>469</v>
      </c>
      <c r="C96" s="51" t="s">
        <v>658</v>
      </c>
      <c r="D96" s="30"/>
      <c r="E96" s="30"/>
      <c r="F96" s="30"/>
    </row>
    <row r="97" spans="1:6" ht="12.75" customHeight="1" x14ac:dyDescent="0.2">
      <c r="A97" s="30"/>
      <c r="B97" s="51" t="s">
        <v>515</v>
      </c>
      <c r="C97" s="51" t="s">
        <v>704</v>
      </c>
      <c r="D97" s="30"/>
      <c r="E97" s="30"/>
      <c r="F97" s="30"/>
    </row>
    <row r="98" spans="1:6" ht="12.75" customHeight="1" x14ac:dyDescent="0.2">
      <c r="A98" s="30"/>
      <c r="B98" s="51" t="s">
        <v>386</v>
      </c>
      <c r="C98" s="51" t="s">
        <v>575</v>
      </c>
      <c r="D98" s="30"/>
      <c r="E98" s="30"/>
      <c r="F98" s="30"/>
    </row>
    <row r="99" spans="1:6" ht="12.75" customHeight="1" x14ac:dyDescent="0.2">
      <c r="A99" s="30"/>
      <c r="B99" s="51" t="s">
        <v>488</v>
      </c>
      <c r="C99" s="51" t="s">
        <v>677</v>
      </c>
      <c r="D99" s="30"/>
      <c r="E99" s="30"/>
      <c r="F99" s="30"/>
    </row>
    <row r="100" spans="1:6" ht="12.75" customHeight="1" x14ac:dyDescent="0.2">
      <c r="A100" s="30"/>
      <c r="B100" s="51" t="s">
        <v>437</v>
      </c>
      <c r="C100" s="51" t="s">
        <v>626</v>
      </c>
      <c r="D100" s="30"/>
      <c r="E100" s="30"/>
      <c r="F100" s="30"/>
    </row>
    <row r="101" spans="1:6" ht="12.75" customHeight="1" x14ac:dyDescent="0.2">
      <c r="A101" s="30"/>
      <c r="B101" s="51" t="s">
        <v>381</v>
      </c>
      <c r="C101" s="51" t="s">
        <v>570</v>
      </c>
      <c r="D101" s="30"/>
      <c r="E101" s="30"/>
      <c r="F101" s="30"/>
    </row>
    <row r="102" spans="1:6" ht="12.75" customHeight="1" x14ac:dyDescent="0.2">
      <c r="A102" s="30"/>
      <c r="B102" s="51" t="s">
        <v>397</v>
      </c>
      <c r="C102" s="51" t="s">
        <v>586</v>
      </c>
      <c r="D102" s="30"/>
      <c r="E102" s="30"/>
      <c r="F102" s="30"/>
    </row>
    <row r="103" spans="1:6" ht="12.75" customHeight="1" x14ac:dyDescent="0.2">
      <c r="A103" s="30"/>
      <c r="B103" s="51" t="s">
        <v>396</v>
      </c>
      <c r="C103" s="51" t="s">
        <v>585</v>
      </c>
      <c r="D103" s="30"/>
      <c r="E103" s="30"/>
      <c r="F103" s="30"/>
    </row>
    <row r="104" spans="1:6" ht="12.75" customHeight="1" x14ac:dyDescent="0.2">
      <c r="A104" s="30"/>
      <c r="B104" s="51" t="s">
        <v>388</v>
      </c>
      <c r="C104" s="51" t="s">
        <v>577</v>
      </c>
      <c r="D104" s="30"/>
      <c r="E104" s="30"/>
      <c r="F104" s="30"/>
    </row>
    <row r="105" spans="1:6" ht="12.75" customHeight="1" x14ac:dyDescent="0.2">
      <c r="A105" s="30"/>
      <c r="B105" s="51" t="s">
        <v>389</v>
      </c>
      <c r="C105" s="51" t="s">
        <v>578</v>
      </c>
      <c r="D105" s="30"/>
      <c r="E105" s="30"/>
      <c r="F105" s="30"/>
    </row>
    <row r="106" spans="1:6" ht="12.75" customHeight="1" x14ac:dyDescent="0.2">
      <c r="A106" s="30"/>
      <c r="B106" s="51" t="s">
        <v>383</v>
      </c>
      <c r="C106" s="51" t="s">
        <v>572</v>
      </c>
      <c r="D106" s="30"/>
      <c r="E106" s="30"/>
      <c r="F106" s="30"/>
    </row>
    <row r="107" spans="1:6" ht="12.75" customHeight="1" x14ac:dyDescent="0.2">
      <c r="A107" s="30"/>
      <c r="B107" s="51" t="s">
        <v>390</v>
      </c>
      <c r="C107" s="51" t="s">
        <v>579</v>
      </c>
      <c r="D107" s="30"/>
      <c r="E107" s="30"/>
      <c r="F107" s="30"/>
    </row>
    <row r="108" spans="1:6" ht="12.75" customHeight="1" x14ac:dyDescent="0.2">
      <c r="A108" s="30"/>
      <c r="B108" s="51" t="s">
        <v>392</v>
      </c>
      <c r="C108" s="51" t="s">
        <v>581</v>
      </c>
      <c r="D108" s="30"/>
      <c r="E108" s="30"/>
      <c r="F108" s="30"/>
    </row>
    <row r="109" spans="1:6" ht="12.75" customHeight="1" x14ac:dyDescent="0.2">
      <c r="A109" s="30"/>
      <c r="B109" s="51" t="s">
        <v>393</v>
      </c>
      <c r="C109" s="51" t="s">
        <v>582</v>
      </c>
      <c r="D109" s="30"/>
      <c r="E109" s="30"/>
      <c r="F109" s="30"/>
    </row>
    <row r="110" spans="1:6" ht="12.75" customHeight="1" x14ac:dyDescent="0.2">
      <c r="A110" s="30"/>
      <c r="B110" s="51" t="s">
        <v>394</v>
      </c>
      <c r="C110" s="51" t="s">
        <v>583</v>
      </c>
      <c r="D110" s="30"/>
      <c r="E110" s="30"/>
      <c r="F110" s="30"/>
    </row>
    <row r="111" spans="1:6" ht="12.75" customHeight="1" x14ac:dyDescent="0.2">
      <c r="A111" s="30"/>
      <c r="B111" s="51" t="s">
        <v>418</v>
      </c>
      <c r="C111" s="51" t="s">
        <v>607</v>
      </c>
      <c r="D111" s="30"/>
      <c r="E111" s="30"/>
      <c r="F111" s="30"/>
    </row>
    <row r="112" spans="1:6" ht="12.75" customHeight="1" x14ac:dyDescent="0.2">
      <c r="A112" s="30"/>
      <c r="B112" s="51" t="s">
        <v>399</v>
      </c>
      <c r="C112" s="51" t="s">
        <v>588</v>
      </c>
      <c r="D112" s="30"/>
      <c r="E112" s="30"/>
      <c r="F112" s="30"/>
    </row>
    <row r="113" spans="1:6" ht="12.75" customHeight="1" x14ac:dyDescent="0.2">
      <c r="A113" s="30"/>
      <c r="B113" s="51" t="s">
        <v>400</v>
      </c>
      <c r="C113" s="51" t="s">
        <v>589</v>
      </c>
      <c r="D113" s="30"/>
      <c r="E113" s="30"/>
      <c r="F113" s="30"/>
    </row>
    <row r="114" spans="1:6" ht="12.75" customHeight="1" x14ac:dyDescent="0.2">
      <c r="A114" s="30"/>
      <c r="B114" s="51" t="s">
        <v>398</v>
      </c>
      <c r="C114" s="51" t="s">
        <v>587</v>
      </c>
      <c r="D114" s="30"/>
      <c r="E114" s="30"/>
      <c r="F114" s="30"/>
    </row>
    <row r="115" spans="1:6" ht="12.75" customHeight="1" x14ac:dyDescent="0.2">
      <c r="A115" s="30"/>
      <c r="B115" s="51" t="s">
        <v>401</v>
      </c>
      <c r="C115" s="51" t="s">
        <v>590</v>
      </c>
      <c r="D115" s="30"/>
      <c r="E115" s="30"/>
      <c r="F115" s="30"/>
    </row>
    <row r="116" spans="1:6" ht="12.75" customHeight="1" x14ac:dyDescent="0.2">
      <c r="A116" s="30"/>
      <c r="B116" s="51" t="s">
        <v>354</v>
      </c>
      <c r="C116" s="51" t="s">
        <v>543</v>
      </c>
      <c r="D116" s="30"/>
      <c r="E116" s="30"/>
      <c r="F116" s="30"/>
    </row>
    <row r="117" spans="1:6" ht="12.75" customHeight="1" x14ac:dyDescent="0.2">
      <c r="A117" s="30"/>
      <c r="B117" s="51" t="s">
        <v>403</v>
      </c>
      <c r="C117" s="51" t="s">
        <v>592</v>
      </c>
      <c r="D117" s="30"/>
      <c r="E117" s="30"/>
      <c r="F117" s="30"/>
    </row>
    <row r="118" spans="1:6" ht="12.75" customHeight="1" x14ac:dyDescent="0.2">
      <c r="A118" s="30"/>
      <c r="B118" s="51" t="s">
        <v>404</v>
      </c>
      <c r="C118" s="51" t="s">
        <v>593</v>
      </c>
      <c r="D118" s="30"/>
      <c r="E118" s="30"/>
      <c r="F118" s="30"/>
    </row>
    <row r="119" spans="1:6" ht="12.75" customHeight="1" x14ac:dyDescent="0.2">
      <c r="A119" s="30"/>
      <c r="B119" s="51" t="s">
        <v>407</v>
      </c>
      <c r="C119" s="51" t="s">
        <v>596</v>
      </c>
      <c r="D119" s="30"/>
      <c r="E119" s="30"/>
      <c r="F119" s="30"/>
    </row>
    <row r="120" spans="1:6" ht="12.75" customHeight="1" x14ac:dyDescent="0.2">
      <c r="A120" s="30"/>
      <c r="B120" s="51" t="s">
        <v>536</v>
      </c>
      <c r="C120" s="51" t="s">
        <v>725</v>
      </c>
      <c r="D120" s="30"/>
      <c r="E120" s="30"/>
      <c r="F120" s="30"/>
    </row>
    <row r="121" spans="1:6" ht="12.75" customHeight="1" x14ac:dyDescent="0.2">
      <c r="A121" s="30"/>
      <c r="B121" s="51" t="s">
        <v>508</v>
      </c>
      <c r="C121" s="51" t="s">
        <v>697</v>
      </c>
      <c r="D121" s="30"/>
      <c r="E121" s="30"/>
      <c r="F121" s="30"/>
    </row>
    <row r="122" spans="1:6" ht="12.75" customHeight="1" x14ac:dyDescent="0.2">
      <c r="A122" s="30"/>
      <c r="B122" s="51" t="s">
        <v>408</v>
      </c>
      <c r="C122" s="51" t="s">
        <v>597</v>
      </c>
      <c r="D122" s="30"/>
      <c r="E122" s="30"/>
      <c r="F122" s="30"/>
    </row>
    <row r="123" spans="1:6" ht="12.75" customHeight="1" x14ac:dyDescent="0.2">
      <c r="A123" s="30"/>
      <c r="B123" s="51" t="s">
        <v>409</v>
      </c>
      <c r="C123" s="51" t="s">
        <v>598</v>
      </c>
      <c r="D123" s="30"/>
      <c r="E123" s="30"/>
      <c r="F123" s="30"/>
    </row>
    <row r="124" spans="1:6" ht="12.75" customHeight="1" x14ac:dyDescent="0.2">
      <c r="A124" s="30"/>
      <c r="B124" s="51" t="s">
        <v>412</v>
      </c>
      <c r="C124" s="51" t="s">
        <v>601</v>
      </c>
      <c r="D124" s="30"/>
      <c r="E124" s="30"/>
      <c r="F124" s="30"/>
    </row>
    <row r="125" spans="1:6" ht="12.75" customHeight="1" x14ac:dyDescent="0.2">
      <c r="A125" s="30"/>
      <c r="B125" s="51" t="s">
        <v>411</v>
      </c>
      <c r="C125" s="51" t="s">
        <v>600</v>
      </c>
      <c r="D125" s="30"/>
      <c r="E125" s="30"/>
      <c r="F125" s="30"/>
    </row>
    <row r="126" spans="1:6" ht="12.75" customHeight="1" x14ac:dyDescent="0.2">
      <c r="A126" s="30"/>
      <c r="B126" s="51" t="s">
        <v>414</v>
      </c>
      <c r="C126" s="51" t="s">
        <v>603</v>
      </c>
      <c r="D126" s="30"/>
      <c r="E126" s="30"/>
      <c r="F126" s="30"/>
    </row>
    <row r="127" spans="1:6" ht="12.75" customHeight="1" x14ac:dyDescent="0.2">
      <c r="A127" s="30"/>
      <c r="B127" s="51" t="s">
        <v>410</v>
      </c>
      <c r="C127" s="51" t="s">
        <v>599</v>
      </c>
      <c r="D127" s="30"/>
      <c r="E127" s="30"/>
      <c r="F127" s="30"/>
    </row>
    <row r="128" spans="1:6" ht="12.75" customHeight="1" x14ac:dyDescent="0.2">
      <c r="A128" s="30"/>
      <c r="B128" s="51" t="s">
        <v>415</v>
      </c>
      <c r="C128" s="51" t="s">
        <v>604</v>
      </c>
      <c r="D128" s="30"/>
      <c r="E128" s="30"/>
      <c r="F128" s="30"/>
    </row>
    <row r="129" spans="1:6" ht="12.75" customHeight="1" x14ac:dyDescent="0.2">
      <c r="A129" s="30"/>
      <c r="B129" s="51" t="s">
        <v>420</v>
      </c>
      <c r="C129" s="51" t="s">
        <v>609</v>
      </c>
      <c r="D129" s="30"/>
      <c r="E129" s="30"/>
      <c r="F129" s="30"/>
    </row>
    <row r="130" spans="1:6" ht="12.75" customHeight="1" x14ac:dyDescent="0.2">
      <c r="A130" s="30"/>
      <c r="B130" s="51" t="s">
        <v>417</v>
      </c>
      <c r="C130" s="51" t="s">
        <v>606</v>
      </c>
      <c r="D130" s="30"/>
      <c r="E130" s="30"/>
      <c r="F130" s="30"/>
    </row>
    <row r="131" spans="1:6" ht="12.75" customHeight="1" x14ac:dyDescent="0.2">
      <c r="A131" s="30"/>
      <c r="B131" s="51" t="s">
        <v>419</v>
      </c>
      <c r="C131" s="51" t="s">
        <v>608</v>
      </c>
      <c r="D131" s="30"/>
      <c r="E131" s="30"/>
      <c r="F131" s="30"/>
    </row>
    <row r="132" spans="1:6" ht="12.75" customHeight="1" x14ac:dyDescent="0.2">
      <c r="A132" s="30"/>
      <c r="B132" s="51" t="s">
        <v>424</v>
      </c>
      <c r="C132" s="51" t="s">
        <v>613</v>
      </c>
      <c r="D132" s="30"/>
      <c r="E132" s="30"/>
      <c r="F132" s="30"/>
    </row>
    <row r="133" spans="1:6" ht="12.75" customHeight="1" x14ac:dyDescent="0.2">
      <c r="A133" s="30"/>
      <c r="B133" s="51" t="s">
        <v>416</v>
      </c>
      <c r="C133" s="51" t="s">
        <v>605</v>
      </c>
      <c r="D133" s="30"/>
      <c r="E133" s="30"/>
      <c r="F133" s="30"/>
    </row>
    <row r="134" spans="1:6" ht="12.75" customHeight="1" x14ac:dyDescent="0.2">
      <c r="A134" s="30"/>
      <c r="B134" s="51" t="s">
        <v>425</v>
      </c>
      <c r="C134" s="51" t="s">
        <v>614</v>
      </c>
      <c r="D134" s="30"/>
      <c r="E134" s="30"/>
      <c r="F134" s="30"/>
    </row>
    <row r="135" spans="1:6" ht="12.75" customHeight="1" x14ac:dyDescent="0.2">
      <c r="A135" s="30"/>
      <c r="B135" s="51" t="s">
        <v>406</v>
      </c>
      <c r="C135" s="51" t="s">
        <v>595</v>
      </c>
      <c r="D135" s="30"/>
      <c r="E135" s="30"/>
      <c r="F135" s="30"/>
    </row>
    <row r="136" spans="1:6" ht="12.75" customHeight="1" x14ac:dyDescent="0.2">
      <c r="A136" s="30"/>
      <c r="B136" s="51" t="s">
        <v>421</v>
      </c>
      <c r="C136" s="51" t="s">
        <v>610</v>
      </c>
      <c r="D136" s="30"/>
      <c r="E136" s="30"/>
      <c r="F136" s="30"/>
    </row>
    <row r="137" spans="1:6" ht="12.75" customHeight="1" x14ac:dyDescent="0.2">
      <c r="A137" s="30"/>
      <c r="B137" s="51" t="s">
        <v>422</v>
      </c>
      <c r="C137" s="51" t="s">
        <v>611</v>
      </c>
      <c r="D137" s="30"/>
      <c r="E137" s="30"/>
      <c r="F137" s="30"/>
    </row>
    <row r="138" spans="1:6" ht="12.75" customHeight="1" x14ac:dyDescent="0.2">
      <c r="A138" s="30"/>
      <c r="B138" s="51" t="s">
        <v>423</v>
      </c>
      <c r="C138" s="51" t="s">
        <v>612</v>
      </c>
      <c r="D138" s="30"/>
      <c r="E138" s="30"/>
      <c r="F138" s="30"/>
    </row>
    <row r="139" spans="1:6" ht="12.75" customHeight="1" x14ac:dyDescent="0.2">
      <c r="A139" s="30"/>
      <c r="B139" s="51" t="s">
        <v>426</v>
      </c>
      <c r="C139" s="51" t="s">
        <v>615</v>
      </c>
      <c r="D139" s="30"/>
      <c r="E139" s="30"/>
      <c r="F139" s="30"/>
    </row>
    <row r="140" spans="1:6" ht="12.75" customHeight="1" x14ac:dyDescent="0.2">
      <c r="A140" s="30"/>
      <c r="B140" s="51" t="s">
        <v>428</v>
      </c>
      <c r="C140" s="51" t="s">
        <v>617</v>
      </c>
      <c r="D140" s="30"/>
      <c r="E140" s="30"/>
      <c r="F140" s="30"/>
    </row>
    <row r="141" spans="1:6" ht="12.75" customHeight="1" x14ac:dyDescent="0.2">
      <c r="A141" s="30"/>
      <c r="B141" s="51" t="s">
        <v>391</v>
      </c>
      <c r="C141" s="51" t="s">
        <v>580</v>
      </c>
      <c r="D141" s="30"/>
      <c r="E141" s="30"/>
      <c r="F141" s="30"/>
    </row>
    <row r="142" spans="1:6" ht="12.75" customHeight="1" x14ac:dyDescent="0.2">
      <c r="A142" s="30"/>
      <c r="B142" s="51" t="s">
        <v>427</v>
      </c>
      <c r="C142" s="51" t="s">
        <v>616</v>
      </c>
      <c r="D142" s="30"/>
      <c r="E142" s="30"/>
      <c r="F142" s="30"/>
    </row>
    <row r="143" spans="1:6" ht="12.75" customHeight="1" x14ac:dyDescent="0.2">
      <c r="A143" s="30"/>
      <c r="B143" s="51" t="s">
        <v>429</v>
      </c>
      <c r="C143" s="51" t="s">
        <v>618</v>
      </c>
      <c r="D143" s="30"/>
      <c r="E143" s="30"/>
      <c r="F143" s="30"/>
    </row>
    <row r="144" spans="1:6" ht="12.75" customHeight="1" x14ac:dyDescent="0.2">
      <c r="A144" s="30"/>
      <c r="B144" s="51" t="s">
        <v>432</v>
      </c>
      <c r="C144" s="51" t="s">
        <v>621</v>
      </c>
      <c r="D144" s="30"/>
      <c r="E144" s="30"/>
      <c r="F144" s="30"/>
    </row>
    <row r="145" spans="1:6" ht="12.75" customHeight="1" x14ac:dyDescent="0.2">
      <c r="A145" s="30"/>
      <c r="B145" s="51" t="s">
        <v>431</v>
      </c>
      <c r="C145" s="51" t="s">
        <v>620</v>
      </c>
      <c r="D145" s="30"/>
      <c r="E145" s="30"/>
      <c r="F145" s="30"/>
    </row>
    <row r="146" spans="1:6" ht="12.75" customHeight="1" x14ac:dyDescent="0.2">
      <c r="A146" s="30"/>
      <c r="B146" s="51" t="s">
        <v>355</v>
      </c>
      <c r="C146" s="51" t="s">
        <v>544</v>
      </c>
      <c r="D146" s="30"/>
      <c r="E146" s="30"/>
      <c r="F146" s="30"/>
    </row>
    <row r="147" spans="1:6" ht="12.75" customHeight="1" x14ac:dyDescent="0.2">
      <c r="A147" s="30"/>
      <c r="B147" s="51" t="s">
        <v>433</v>
      </c>
      <c r="C147" s="51" t="s">
        <v>622</v>
      </c>
      <c r="D147" s="30"/>
      <c r="E147" s="30"/>
      <c r="F147" s="30"/>
    </row>
    <row r="148" spans="1:6" ht="12.75" customHeight="1" x14ac:dyDescent="0.2">
      <c r="A148" s="30"/>
      <c r="B148" s="51" t="s">
        <v>434</v>
      </c>
      <c r="C148" s="51" t="s">
        <v>623</v>
      </c>
      <c r="D148" s="30"/>
      <c r="E148" s="30"/>
      <c r="F148" s="30"/>
    </row>
    <row r="149" spans="1:6" ht="12.75" customHeight="1" x14ac:dyDescent="0.2">
      <c r="A149" s="30"/>
      <c r="B149" s="51" t="s">
        <v>430</v>
      </c>
      <c r="C149" s="51" t="s">
        <v>619</v>
      </c>
      <c r="D149" s="30"/>
      <c r="E149" s="30"/>
      <c r="F149" s="30"/>
    </row>
    <row r="150" spans="1:6" ht="12.75" customHeight="1" x14ac:dyDescent="0.2">
      <c r="A150" s="30"/>
      <c r="B150" s="51" t="s">
        <v>435</v>
      </c>
      <c r="C150" s="51" t="s">
        <v>624</v>
      </c>
      <c r="D150" s="30"/>
      <c r="E150" s="30"/>
      <c r="F150" s="30"/>
    </row>
    <row r="151" spans="1:6" ht="12.75" customHeight="1" x14ac:dyDescent="0.2">
      <c r="A151" s="30"/>
      <c r="B151" s="51" t="s">
        <v>436</v>
      </c>
      <c r="C151" s="51" t="s">
        <v>625</v>
      </c>
      <c r="D151" s="30"/>
      <c r="E151" s="30"/>
      <c r="F151" s="30"/>
    </row>
    <row r="152" spans="1:6" ht="12.75" customHeight="1" x14ac:dyDescent="0.2">
      <c r="A152" s="30"/>
      <c r="B152" s="51" t="s">
        <v>438</v>
      </c>
      <c r="C152" s="51" t="s">
        <v>627</v>
      </c>
      <c r="D152" s="30"/>
      <c r="E152" s="30"/>
      <c r="F152" s="30"/>
    </row>
    <row r="153" spans="1:6" ht="12.75" customHeight="1" x14ac:dyDescent="0.2">
      <c r="A153" s="30"/>
      <c r="B153" s="51" t="s">
        <v>440</v>
      </c>
      <c r="C153" s="51" t="s">
        <v>629</v>
      </c>
      <c r="D153" s="30"/>
      <c r="E153" s="30"/>
      <c r="F153" s="30"/>
    </row>
    <row r="154" spans="1:6" ht="12.75" customHeight="1" x14ac:dyDescent="0.2">
      <c r="A154" s="30"/>
      <c r="B154" s="51" t="s">
        <v>439</v>
      </c>
      <c r="C154" s="51" t="s">
        <v>628</v>
      </c>
      <c r="D154" s="30"/>
      <c r="E154" s="30"/>
      <c r="F154" s="30"/>
    </row>
    <row r="155" spans="1:6" ht="12.75" customHeight="1" x14ac:dyDescent="0.2">
      <c r="A155" s="30"/>
      <c r="B155" s="51" t="s">
        <v>441</v>
      </c>
      <c r="C155" s="51" t="s">
        <v>630</v>
      </c>
      <c r="D155" s="30"/>
      <c r="E155" s="30"/>
      <c r="F155" s="30"/>
    </row>
    <row r="156" spans="1:6" ht="12.75" customHeight="1" x14ac:dyDescent="0.2">
      <c r="A156" s="30"/>
      <c r="B156" s="51" t="s">
        <v>442</v>
      </c>
      <c r="C156" s="51" t="s">
        <v>631</v>
      </c>
      <c r="D156" s="30"/>
      <c r="E156" s="30"/>
      <c r="F156" s="30"/>
    </row>
    <row r="157" spans="1:6" ht="12.75" customHeight="1" x14ac:dyDescent="0.2">
      <c r="A157" s="30"/>
      <c r="B157" s="51" t="s">
        <v>446</v>
      </c>
      <c r="C157" s="51" t="s">
        <v>635</v>
      </c>
      <c r="D157" s="30"/>
      <c r="E157" s="30"/>
      <c r="F157" s="30"/>
    </row>
    <row r="158" spans="1:6" ht="12.75" customHeight="1" x14ac:dyDescent="0.2">
      <c r="A158" s="30"/>
      <c r="B158" s="51" t="s">
        <v>380</v>
      </c>
      <c r="C158" s="51" t="s">
        <v>569</v>
      </c>
      <c r="D158" s="30"/>
      <c r="E158" s="30"/>
      <c r="F158" s="30"/>
    </row>
    <row r="159" spans="1:6" ht="12.75" customHeight="1" x14ac:dyDescent="0.2">
      <c r="A159" s="30"/>
      <c r="B159" s="51" t="s">
        <v>444</v>
      </c>
      <c r="C159" s="51" t="s">
        <v>633</v>
      </c>
      <c r="D159" s="30"/>
      <c r="E159" s="30"/>
      <c r="F159" s="30"/>
    </row>
    <row r="160" spans="1:6" ht="12.75" customHeight="1" x14ac:dyDescent="0.2">
      <c r="A160" s="30"/>
      <c r="B160" s="51" t="s">
        <v>494</v>
      </c>
      <c r="C160" s="51" t="s">
        <v>683</v>
      </c>
      <c r="D160" s="30"/>
      <c r="E160" s="30"/>
      <c r="F160" s="30"/>
    </row>
    <row r="161" spans="1:6" ht="12.75" customHeight="1" x14ac:dyDescent="0.2">
      <c r="A161" s="30"/>
      <c r="B161" s="51" t="s">
        <v>445</v>
      </c>
      <c r="C161" s="51" t="s">
        <v>634</v>
      </c>
      <c r="D161" s="30"/>
      <c r="E161" s="30"/>
      <c r="F161" s="30"/>
    </row>
    <row r="162" spans="1:6" ht="12.75" customHeight="1" x14ac:dyDescent="0.2">
      <c r="A162" s="30"/>
      <c r="B162" s="51" t="s">
        <v>447</v>
      </c>
      <c r="C162" s="51" t="s">
        <v>636</v>
      </c>
      <c r="D162" s="30"/>
      <c r="E162" s="30"/>
      <c r="F162" s="30"/>
    </row>
    <row r="163" spans="1:6" ht="12.75" customHeight="1" x14ac:dyDescent="0.2">
      <c r="A163" s="30"/>
      <c r="B163" s="51" t="s">
        <v>449</v>
      </c>
      <c r="C163" s="51" t="s">
        <v>638</v>
      </c>
      <c r="D163" s="30"/>
      <c r="E163" s="30"/>
      <c r="F163" s="30"/>
    </row>
    <row r="164" spans="1:6" ht="12.75" customHeight="1" x14ac:dyDescent="0.2">
      <c r="A164" s="30"/>
      <c r="B164" s="51" t="s">
        <v>451</v>
      </c>
      <c r="C164" s="51" t="s">
        <v>640</v>
      </c>
      <c r="D164" s="30"/>
      <c r="E164" s="30"/>
      <c r="F164" s="30"/>
    </row>
    <row r="165" spans="1:6" ht="12.75" customHeight="1" x14ac:dyDescent="0.2">
      <c r="A165" s="30"/>
      <c r="B165" s="51" t="s">
        <v>452</v>
      </c>
      <c r="C165" s="51" t="s">
        <v>641</v>
      </c>
      <c r="D165" s="30"/>
      <c r="E165" s="30"/>
      <c r="F165" s="30"/>
    </row>
    <row r="166" spans="1:6" ht="12.75" customHeight="1" x14ac:dyDescent="0.2">
      <c r="A166" s="30"/>
      <c r="B166" s="51" t="s">
        <v>510</v>
      </c>
      <c r="C166" s="51" t="s">
        <v>699</v>
      </c>
      <c r="D166" s="30"/>
      <c r="E166" s="30"/>
      <c r="F166" s="30"/>
    </row>
    <row r="167" spans="1:6" ht="12.75" customHeight="1" x14ac:dyDescent="0.2">
      <c r="A167" s="30"/>
      <c r="B167" s="51" t="s">
        <v>453</v>
      </c>
      <c r="C167" s="51" t="s">
        <v>642</v>
      </c>
      <c r="D167" s="30"/>
      <c r="E167" s="30"/>
      <c r="F167" s="30"/>
    </row>
    <row r="168" spans="1:6" ht="12.75" customHeight="1" x14ac:dyDescent="0.2">
      <c r="A168" s="30"/>
      <c r="B168" s="51" t="s">
        <v>509</v>
      </c>
      <c r="C168" s="51" t="s">
        <v>698</v>
      </c>
      <c r="D168" s="30"/>
      <c r="E168" s="30"/>
      <c r="F168" s="30"/>
    </row>
    <row r="169" spans="1:6" ht="12.75" customHeight="1" x14ac:dyDescent="0.2">
      <c r="A169" s="30"/>
      <c r="B169" s="51" t="s">
        <v>450</v>
      </c>
      <c r="C169" s="51" t="s">
        <v>639</v>
      </c>
      <c r="D169" s="30"/>
      <c r="E169" s="30"/>
      <c r="F169" s="30"/>
    </row>
    <row r="170" spans="1:6" ht="12.75" customHeight="1" x14ac:dyDescent="0.2">
      <c r="A170" s="30"/>
      <c r="B170" s="51" t="s">
        <v>454</v>
      </c>
      <c r="C170" s="51" t="s">
        <v>643</v>
      </c>
      <c r="D170" s="30"/>
      <c r="E170" s="30"/>
      <c r="F170" s="30"/>
    </row>
    <row r="171" spans="1:6" ht="12.75" customHeight="1" x14ac:dyDescent="0.2">
      <c r="A171" s="30"/>
      <c r="B171" s="51" t="s">
        <v>455</v>
      </c>
      <c r="C171" s="51" t="s">
        <v>644</v>
      </c>
      <c r="D171" s="30"/>
      <c r="E171" s="30"/>
      <c r="F171" s="30"/>
    </row>
    <row r="172" spans="1:6" ht="12.75" customHeight="1" x14ac:dyDescent="0.2">
      <c r="A172" s="30"/>
      <c r="B172" s="51" t="s">
        <v>448</v>
      </c>
      <c r="C172" s="51" t="s">
        <v>637</v>
      </c>
      <c r="D172" s="30"/>
      <c r="E172" s="30"/>
      <c r="F172" s="30"/>
    </row>
    <row r="173" spans="1:6" ht="12.75" customHeight="1" x14ac:dyDescent="0.2">
      <c r="A173" s="30"/>
      <c r="B173" s="51" t="s">
        <v>470</v>
      </c>
      <c r="C173" s="51" t="s">
        <v>659</v>
      </c>
      <c r="D173" s="30"/>
      <c r="E173" s="30"/>
      <c r="F173" s="30"/>
    </row>
    <row r="174" spans="1:6" ht="12.75" customHeight="1" x14ac:dyDescent="0.2">
      <c r="A174" s="30"/>
      <c r="B174" s="51" t="s">
        <v>467</v>
      </c>
      <c r="C174" s="51" t="s">
        <v>656</v>
      </c>
      <c r="D174" s="30"/>
      <c r="E174" s="30"/>
      <c r="F174" s="30"/>
    </row>
    <row r="175" spans="1:6" ht="12.75" customHeight="1" x14ac:dyDescent="0.2">
      <c r="A175" s="30"/>
      <c r="B175" s="51" t="s">
        <v>466</v>
      </c>
      <c r="C175" s="51" t="s">
        <v>655</v>
      </c>
      <c r="D175" s="30"/>
      <c r="E175" s="30"/>
      <c r="F175" s="30"/>
    </row>
    <row r="176" spans="1:6" ht="12.75" customHeight="1" x14ac:dyDescent="0.2">
      <c r="A176" s="30"/>
      <c r="B176" s="51" t="s">
        <v>456</v>
      </c>
      <c r="C176" s="51" t="s">
        <v>645</v>
      </c>
      <c r="D176" s="30"/>
      <c r="E176" s="30"/>
      <c r="F176" s="30"/>
    </row>
    <row r="177" spans="1:6" ht="12.75" customHeight="1" x14ac:dyDescent="0.2">
      <c r="A177" s="30"/>
      <c r="B177" s="51" t="s">
        <v>459</v>
      </c>
      <c r="C177" s="51" t="s">
        <v>648</v>
      </c>
      <c r="D177" s="30"/>
      <c r="E177" s="30"/>
      <c r="F177" s="30"/>
    </row>
    <row r="178" spans="1:6" ht="12.75" customHeight="1" x14ac:dyDescent="0.2">
      <c r="A178" s="30"/>
      <c r="B178" s="51" t="s">
        <v>465</v>
      </c>
      <c r="C178" s="51" t="s">
        <v>654</v>
      </c>
      <c r="D178" s="30"/>
      <c r="E178" s="30"/>
      <c r="F178" s="30"/>
    </row>
    <row r="179" spans="1:6" ht="12.75" customHeight="1" x14ac:dyDescent="0.2">
      <c r="A179" s="30"/>
      <c r="B179" s="51" t="s">
        <v>462</v>
      </c>
      <c r="C179" s="51" t="s">
        <v>651</v>
      </c>
      <c r="D179" s="30"/>
      <c r="E179" s="30"/>
      <c r="F179" s="30"/>
    </row>
    <row r="180" spans="1:6" ht="12.75" customHeight="1" x14ac:dyDescent="0.2">
      <c r="A180" s="30"/>
      <c r="B180" s="51" t="s">
        <v>413</v>
      </c>
      <c r="C180" s="51" t="s">
        <v>602</v>
      </c>
      <c r="D180" s="30"/>
      <c r="E180" s="30"/>
      <c r="F180" s="30"/>
    </row>
    <row r="181" spans="1:6" ht="12.75" customHeight="1" x14ac:dyDescent="0.2">
      <c r="A181" s="30"/>
      <c r="B181" s="51" t="s">
        <v>460</v>
      </c>
      <c r="C181" s="51" t="s">
        <v>649</v>
      </c>
      <c r="D181" s="30"/>
      <c r="E181" s="30"/>
      <c r="F181" s="30"/>
    </row>
    <row r="182" spans="1:6" ht="12.75" customHeight="1" x14ac:dyDescent="0.2">
      <c r="A182" s="30"/>
      <c r="B182" s="51" t="s">
        <v>461</v>
      </c>
      <c r="C182" s="51" t="s">
        <v>650</v>
      </c>
      <c r="D182" s="30"/>
      <c r="E182" s="30"/>
      <c r="F182" s="30"/>
    </row>
    <row r="183" spans="1:6" ht="12.75" customHeight="1" x14ac:dyDescent="0.2">
      <c r="A183" s="30"/>
      <c r="B183" s="51" t="s">
        <v>472</v>
      </c>
      <c r="C183" s="51" t="s">
        <v>661</v>
      </c>
      <c r="D183" s="30"/>
      <c r="E183" s="30"/>
      <c r="F183" s="30"/>
    </row>
    <row r="184" spans="1:6" ht="12.75" customHeight="1" x14ac:dyDescent="0.2">
      <c r="A184" s="30"/>
      <c r="B184" s="51" t="s">
        <v>468</v>
      </c>
      <c r="C184" s="51" t="s">
        <v>657</v>
      </c>
      <c r="D184" s="30"/>
      <c r="E184" s="30"/>
      <c r="F184" s="30"/>
    </row>
    <row r="185" spans="1:6" ht="12.75" customHeight="1" x14ac:dyDescent="0.2">
      <c r="A185" s="30"/>
      <c r="B185" s="51" t="s">
        <v>471</v>
      </c>
      <c r="C185" s="51" t="s">
        <v>660</v>
      </c>
      <c r="D185" s="30"/>
      <c r="E185" s="30"/>
      <c r="F185" s="30"/>
    </row>
    <row r="186" spans="1:6" ht="12.75" customHeight="1" x14ac:dyDescent="0.2">
      <c r="A186" s="30"/>
      <c r="B186" s="51" t="s">
        <v>463</v>
      </c>
      <c r="C186" s="51" t="s">
        <v>652</v>
      </c>
      <c r="D186" s="30"/>
      <c r="E186" s="30"/>
      <c r="F186" s="30"/>
    </row>
    <row r="187" spans="1:6" ht="12.75" customHeight="1" x14ac:dyDescent="0.2">
      <c r="A187" s="30"/>
      <c r="B187" s="51" t="s">
        <v>464</v>
      </c>
      <c r="C187" s="51" t="s">
        <v>653</v>
      </c>
      <c r="D187" s="30"/>
      <c r="E187" s="30"/>
      <c r="F187" s="30"/>
    </row>
    <row r="188" spans="1:6" ht="12.75" customHeight="1" x14ac:dyDescent="0.2">
      <c r="A188" s="30"/>
      <c r="B188" s="51" t="s">
        <v>457</v>
      </c>
      <c r="C188" s="51" t="s">
        <v>646</v>
      </c>
      <c r="D188" s="30"/>
      <c r="E188" s="30"/>
      <c r="F188" s="30"/>
    </row>
    <row r="189" spans="1:6" ht="12.75" customHeight="1" x14ac:dyDescent="0.2">
      <c r="A189" s="30"/>
      <c r="B189" s="51" t="s">
        <v>458</v>
      </c>
      <c r="C189" s="51" t="s">
        <v>647</v>
      </c>
      <c r="D189" s="30"/>
      <c r="E189" s="30"/>
      <c r="F189" s="30"/>
    </row>
    <row r="190" spans="1:6" ht="12.75" customHeight="1" x14ac:dyDescent="0.2">
      <c r="A190" s="30"/>
      <c r="B190" s="51" t="s">
        <v>473</v>
      </c>
      <c r="C190" s="51" t="s">
        <v>662</v>
      </c>
      <c r="D190" s="30"/>
      <c r="E190" s="30"/>
      <c r="F190" s="30"/>
    </row>
    <row r="191" spans="1:6" ht="12.75" customHeight="1" x14ac:dyDescent="0.2">
      <c r="A191" s="30"/>
      <c r="B191" s="51" t="s">
        <v>479</v>
      </c>
      <c r="C191" s="51" t="s">
        <v>668</v>
      </c>
      <c r="D191" s="30"/>
      <c r="E191" s="30"/>
      <c r="F191" s="30"/>
    </row>
    <row r="192" spans="1:6" ht="12.75" customHeight="1" x14ac:dyDescent="0.2">
      <c r="A192" s="30"/>
      <c r="B192" s="51" t="s">
        <v>480</v>
      </c>
      <c r="C192" s="51" t="s">
        <v>669</v>
      </c>
      <c r="D192" s="30"/>
      <c r="E192" s="30"/>
      <c r="F192" s="30"/>
    </row>
    <row r="193" spans="1:6" ht="12.75" customHeight="1" x14ac:dyDescent="0.2">
      <c r="A193" s="30"/>
      <c r="B193" s="51" t="s">
        <v>478</v>
      </c>
      <c r="C193" s="51" t="s">
        <v>667</v>
      </c>
      <c r="D193" s="30"/>
      <c r="E193" s="30"/>
      <c r="F193" s="30"/>
    </row>
    <row r="194" spans="1:6" ht="12.75" customHeight="1" x14ac:dyDescent="0.2">
      <c r="A194" s="30"/>
      <c r="B194" s="51" t="s">
        <v>476</v>
      </c>
      <c r="C194" s="51" t="s">
        <v>665</v>
      </c>
      <c r="D194" s="30"/>
      <c r="E194" s="30"/>
      <c r="F194" s="30"/>
    </row>
    <row r="195" spans="1:6" ht="12.75" customHeight="1" x14ac:dyDescent="0.2">
      <c r="A195" s="30"/>
      <c r="B195" s="51" t="s">
        <v>481</v>
      </c>
      <c r="C195" s="51" t="s">
        <v>670</v>
      </c>
      <c r="D195" s="30"/>
      <c r="E195" s="30"/>
      <c r="F195" s="30"/>
    </row>
    <row r="196" spans="1:6" ht="12.75" customHeight="1" x14ac:dyDescent="0.2">
      <c r="A196" s="30"/>
      <c r="B196" s="51" t="s">
        <v>475</v>
      </c>
      <c r="C196" s="51" t="s">
        <v>664</v>
      </c>
      <c r="D196" s="30"/>
      <c r="E196" s="30"/>
      <c r="F196" s="30"/>
    </row>
    <row r="197" spans="1:6" ht="12.75" customHeight="1" x14ac:dyDescent="0.2">
      <c r="A197" s="30"/>
      <c r="B197" s="51" t="s">
        <v>474</v>
      </c>
      <c r="C197" s="51" t="s">
        <v>663</v>
      </c>
      <c r="D197" s="30"/>
      <c r="E197" s="30"/>
      <c r="F197" s="30"/>
    </row>
    <row r="198" spans="1:6" ht="12.75" customHeight="1" x14ac:dyDescent="0.2">
      <c r="A198" s="30"/>
      <c r="B198" s="51" t="s">
        <v>477</v>
      </c>
      <c r="C198" s="51" t="s">
        <v>666</v>
      </c>
      <c r="D198" s="30"/>
      <c r="E198" s="30"/>
      <c r="F198" s="30"/>
    </row>
    <row r="199" spans="1:6" ht="12.75" customHeight="1" x14ac:dyDescent="0.2">
      <c r="A199" s="30"/>
      <c r="B199" s="51" t="s">
        <v>482</v>
      </c>
      <c r="C199" s="51" t="s">
        <v>671</v>
      </c>
      <c r="D199" s="30"/>
      <c r="E199" s="30"/>
      <c r="F199" s="30"/>
    </row>
    <row r="200" spans="1:6" ht="12.75" customHeight="1" x14ac:dyDescent="0.2">
      <c r="A200" s="30"/>
      <c r="B200" s="51" t="s">
        <v>483</v>
      </c>
      <c r="C200" s="51" t="s">
        <v>672</v>
      </c>
      <c r="D200" s="30"/>
      <c r="E200" s="30"/>
      <c r="F200" s="30"/>
    </row>
    <row r="201" spans="1:6" ht="12.75" customHeight="1" x14ac:dyDescent="0.2">
      <c r="A201" s="30"/>
      <c r="B201" s="51" t="s">
        <v>485</v>
      </c>
      <c r="C201" s="51" t="s">
        <v>674</v>
      </c>
      <c r="D201" s="30"/>
      <c r="E201" s="30"/>
      <c r="F201" s="30"/>
    </row>
    <row r="202" spans="1:6" ht="12.75" customHeight="1" x14ac:dyDescent="0.2">
      <c r="A202" s="30"/>
      <c r="B202" s="51" t="s">
        <v>489</v>
      </c>
      <c r="C202" s="51" t="s">
        <v>678</v>
      </c>
      <c r="D202" s="30"/>
      <c r="E202" s="30"/>
      <c r="F202" s="30"/>
    </row>
    <row r="203" spans="1:6" ht="12.75" customHeight="1" x14ac:dyDescent="0.2">
      <c r="A203" s="30"/>
      <c r="B203" s="51" t="s">
        <v>490</v>
      </c>
      <c r="C203" s="51" t="s">
        <v>679</v>
      </c>
      <c r="D203" s="30"/>
      <c r="E203" s="30"/>
      <c r="F203" s="30"/>
    </row>
    <row r="204" spans="1:6" ht="12.75" customHeight="1" x14ac:dyDescent="0.2">
      <c r="A204" s="30"/>
      <c r="B204" s="51" t="s">
        <v>484</v>
      </c>
      <c r="C204" s="51" t="s">
        <v>673</v>
      </c>
      <c r="D204" s="30"/>
      <c r="E204" s="30"/>
      <c r="F204" s="30"/>
    </row>
    <row r="205" spans="1:6" ht="12.75" customHeight="1" x14ac:dyDescent="0.2">
      <c r="A205" s="30"/>
      <c r="B205" s="51" t="s">
        <v>486</v>
      </c>
      <c r="C205" s="51" t="s">
        <v>675</v>
      </c>
      <c r="D205" s="30"/>
      <c r="E205" s="30"/>
      <c r="F205" s="30"/>
    </row>
    <row r="206" spans="1:6" ht="12.75" customHeight="1" x14ac:dyDescent="0.2">
      <c r="A206" s="30"/>
      <c r="B206" s="51" t="s">
        <v>491</v>
      </c>
      <c r="C206" s="51" t="s">
        <v>680</v>
      </c>
      <c r="D206" s="30"/>
      <c r="E206" s="30"/>
      <c r="F206" s="30"/>
    </row>
    <row r="207" spans="1:6" ht="12.75" customHeight="1" x14ac:dyDescent="0.2">
      <c r="A207" s="30"/>
      <c r="B207" s="51" t="s">
        <v>395</v>
      </c>
      <c r="C207" s="51" t="s">
        <v>584</v>
      </c>
      <c r="D207" s="30"/>
      <c r="E207" s="30"/>
      <c r="F207" s="30"/>
    </row>
    <row r="208" spans="1:6" ht="12.75" customHeight="1" x14ac:dyDescent="0.2">
      <c r="A208" s="30"/>
      <c r="B208" s="51" t="s">
        <v>492</v>
      </c>
      <c r="C208" s="51" t="s">
        <v>681</v>
      </c>
      <c r="D208" s="30"/>
      <c r="E208" s="30"/>
      <c r="F208" s="30"/>
    </row>
    <row r="209" spans="1:6" ht="12.75" customHeight="1" x14ac:dyDescent="0.2">
      <c r="A209" s="30"/>
      <c r="B209" s="51" t="s">
        <v>487</v>
      </c>
      <c r="C209" s="51" t="s">
        <v>676</v>
      </c>
      <c r="D209" s="30"/>
      <c r="E209" s="30"/>
      <c r="F209" s="30"/>
    </row>
    <row r="210" spans="1:6" ht="12.75" customHeight="1" x14ac:dyDescent="0.2">
      <c r="A210" s="30"/>
      <c r="B210" s="51" t="s">
        <v>493</v>
      </c>
      <c r="C210" s="51" t="s">
        <v>682</v>
      </c>
      <c r="D210" s="30"/>
      <c r="E210" s="30"/>
      <c r="F210" s="30"/>
    </row>
    <row r="211" spans="1:6" ht="12.75" customHeight="1" x14ac:dyDescent="0.2">
      <c r="A211" s="30"/>
      <c r="B211" s="51" t="s">
        <v>495</v>
      </c>
      <c r="C211" s="51" t="s">
        <v>684</v>
      </c>
      <c r="D211" s="30"/>
      <c r="E211" s="30"/>
      <c r="F211" s="30"/>
    </row>
    <row r="212" spans="1:6" ht="12.75" customHeight="1" x14ac:dyDescent="0.2">
      <c r="A212" s="30"/>
      <c r="B212" s="51" t="s">
        <v>496</v>
      </c>
      <c r="C212" s="51" t="s">
        <v>685</v>
      </c>
      <c r="D212" s="30"/>
      <c r="E212" s="30"/>
      <c r="F212" s="30"/>
    </row>
    <row r="213" spans="1:6" ht="12.75" customHeight="1" x14ac:dyDescent="0.2">
      <c r="A213" s="30"/>
      <c r="B213" s="51" t="s">
        <v>497</v>
      </c>
      <c r="C213" s="51" t="s">
        <v>686</v>
      </c>
      <c r="D213" s="30"/>
      <c r="E213" s="30"/>
      <c r="F213" s="30"/>
    </row>
    <row r="214" spans="1:6" ht="12.75" customHeight="1" x14ac:dyDescent="0.2">
      <c r="A214" s="30"/>
      <c r="B214" s="51" t="s">
        <v>443</v>
      </c>
      <c r="C214" s="51" t="s">
        <v>632</v>
      </c>
      <c r="D214" s="30"/>
      <c r="E214" s="30"/>
      <c r="F214" s="30"/>
    </row>
    <row r="215" spans="1:6" ht="12.75" customHeight="1" x14ac:dyDescent="0.2">
      <c r="A215" s="30"/>
      <c r="B215" s="51" t="s">
        <v>511</v>
      </c>
      <c r="C215" s="51" t="s">
        <v>700</v>
      </c>
      <c r="D215" s="30"/>
      <c r="E215" s="30"/>
      <c r="F215" s="30"/>
    </row>
    <row r="216" spans="1:6" ht="12.75" customHeight="1" x14ac:dyDescent="0.2">
      <c r="A216" s="30"/>
      <c r="B216" s="51" t="s">
        <v>498</v>
      </c>
      <c r="C216" s="51" t="s">
        <v>687</v>
      </c>
      <c r="D216" s="30"/>
      <c r="E216" s="30"/>
      <c r="F216" s="30"/>
    </row>
    <row r="217" spans="1:6" ht="12.75" customHeight="1" x14ac:dyDescent="0.2">
      <c r="A217" s="30"/>
      <c r="B217" s="51" t="s">
        <v>502</v>
      </c>
      <c r="C217" s="51" t="s">
        <v>691</v>
      </c>
      <c r="D217" s="30"/>
      <c r="E217" s="30"/>
      <c r="F217" s="30"/>
    </row>
    <row r="218" spans="1:6" ht="12.75" customHeight="1" x14ac:dyDescent="0.2">
      <c r="A218" s="30"/>
      <c r="B218" s="51" t="s">
        <v>505</v>
      </c>
      <c r="C218" s="51" t="s">
        <v>694</v>
      </c>
      <c r="D218" s="30"/>
      <c r="E218" s="30"/>
      <c r="F218" s="30"/>
    </row>
    <row r="219" spans="1:6" ht="12.75" customHeight="1" x14ac:dyDescent="0.2">
      <c r="A219" s="30"/>
      <c r="B219" s="51" t="s">
        <v>501</v>
      </c>
      <c r="C219" s="51" t="s">
        <v>690</v>
      </c>
      <c r="D219" s="30"/>
      <c r="E219" s="30"/>
      <c r="F219" s="30"/>
    </row>
    <row r="220" spans="1:6" ht="12.75" customHeight="1" x14ac:dyDescent="0.2">
      <c r="A220" s="30"/>
      <c r="B220" s="51" t="s">
        <v>405</v>
      </c>
      <c r="C220" s="51" t="s">
        <v>594</v>
      </c>
      <c r="D220" s="30"/>
      <c r="E220" s="30"/>
      <c r="F220" s="30"/>
    </row>
    <row r="221" spans="1:6" ht="12.75" customHeight="1" x14ac:dyDescent="0.2">
      <c r="A221" s="30"/>
      <c r="B221" s="51" t="s">
        <v>506</v>
      </c>
      <c r="C221" s="51" t="s">
        <v>695</v>
      </c>
      <c r="D221" s="30"/>
      <c r="E221" s="30"/>
      <c r="F221" s="30"/>
    </row>
    <row r="222" spans="1:6" ht="12.75" customHeight="1" x14ac:dyDescent="0.2">
      <c r="A222" s="30"/>
      <c r="B222" s="51" t="s">
        <v>499</v>
      </c>
      <c r="C222" s="51" t="s">
        <v>688</v>
      </c>
      <c r="D222" s="30"/>
      <c r="E222" s="30"/>
      <c r="F222" s="30"/>
    </row>
    <row r="223" spans="1:6" ht="12.75" customHeight="1" x14ac:dyDescent="0.2">
      <c r="A223" s="30"/>
      <c r="B223" s="51" t="s">
        <v>512</v>
      </c>
      <c r="C223" s="51" t="s">
        <v>701</v>
      </c>
      <c r="D223" s="30"/>
      <c r="E223" s="30"/>
      <c r="F223" s="30"/>
    </row>
    <row r="224" spans="1:6" ht="12.75" customHeight="1" x14ac:dyDescent="0.2">
      <c r="A224" s="30"/>
      <c r="B224" s="51" t="s">
        <v>503</v>
      </c>
      <c r="C224" s="51" t="s">
        <v>692</v>
      </c>
      <c r="D224" s="30"/>
      <c r="E224" s="30"/>
      <c r="F224" s="30"/>
    </row>
    <row r="225" spans="1:6" ht="12.75" customHeight="1" x14ac:dyDescent="0.2">
      <c r="A225" s="30"/>
      <c r="B225" s="51" t="s">
        <v>504</v>
      </c>
      <c r="C225" s="51" t="s">
        <v>693</v>
      </c>
      <c r="D225" s="30"/>
      <c r="E225" s="30"/>
      <c r="F225" s="30"/>
    </row>
    <row r="226" spans="1:6" ht="12.75" customHeight="1" x14ac:dyDescent="0.2">
      <c r="A226" s="30"/>
      <c r="B226" s="51" t="s">
        <v>514</v>
      </c>
      <c r="C226" s="51" t="s">
        <v>703</v>
      </c>
      <c r="D226" s="30"/>
      <c r="E226" s="30"/>
      <c r="F226" s="30"/>
    </row>
    <row r="227" spans="1:6" ht="12.75" customHeight="1" x14ac:dyDescent="0.2">
      <c r="A227" s="30"/>
      <c r="B227" s="51" t="s">
        <v>513</v>
      </c>
      <c r="C227" s="51" t="s">
        <v>702</v>
      </c>
      <c r="D227" s="30"/>
      <c r="E227" s="30"/>
      <c r="F227" s="30"/>
    </row>
    <row r="228" spans="1:6" ht="12.75" customHeight="1" x14ac:dyDescent="0.2">
      <c r="A228" s="30"/>
      <c r="B228" s="51" t="s">
        <v>500</v>
      </c>
      <c r="C228" s="51" t="s">
        <v>689</v>
      </c>
      <c r="D228" s="30"/>
      <c r="E228" s="30"/>
      <c r="F228" s="30"/>
    </row>
    <row r="229" spans="1:6" ht="12.75" customHeight="1" x14ac:dyDescent="0.2">
      <c r="A229" s="30"/>
      <c r="B229" s="51" t="s">
        <v>516</v>
      </c>
      <c r="C229" s="51" t="s">
        <v>705</v>
      </c>
      <c r="D229" s="30"/>
      <c r="E229" s="30"/>
      <c r="F229" s="30"/>
    </row>
    <row r="230" spans="1:6" ht="12.75" customHeight="1" x14ac:dyDescent="0.2">
      <c r="A230" s="30"/>
      <c r="B230" s="51" t="s">
        <v>739</v>
      </c>
      <c r="C230" s="51" t="s">
        <v>740</v>
      </c>
      <c r="D230" s="30"/>
      <c r="E230" s="30"/>
      <c r="F230" s="30"/>
    </row>
    <row r="231" spans="1:6" ht="12.75" customHeight="1" x14ac:dyDescent="0.2">
      <c r="A231" s="30"/>
      <c r="B231" s="51" t="s">
        <v>385</v>
      </c>
      <c r="C231" s="51" t="s">
        <v>574</v>
      </c>
      <c r="D231" s="30"/>
      <c r="E231" s="30"/>
      <c r="F231" s="30"/>
    </row>
    <row r="232" spans="1:6" ht="12.75" customHeight="1" x14ac:dyDescent="0.2">
      <c r="A232" s="30"/>
      <c r="B232" s="51" t="s">
        <v>520</v>
      </c>
      <c r="C232" s="51" t="s">
        <v>709</v>
      </c>
      <c r="D232" s="30"/>
      <c r="E232" s="30"/>
      <c r="F232" s="30"/>
    </row>
    <row r="233" spans="1:6" ht="12.75" customHeight="1" x14ac:dyDescent="0.2">
      <c r="A233" s="30"/>
      <c r="B233" s="51" t="s">
        <v>519</v>
      </c>
      <c r="C233" s="51" t="s">
        <v>708</v>
      </c>
      <c r="D233" s="30"/>
      <c r="E233" s="30"/>
      <c r="F233" s="30"/>
    </row>
    <row r="234" spans="1:6" ht="12.75" customHeight="1" x14ac:dyDescent="0.2">
      <c r="A234" s="30"/>
      <c r="B234" s="51" t="s">
        <v>517</v>
      </c>
      <c r="C234" s="51" t="s">
        <v>706</v>
      </c>
      <c r="D234" s="30"/>
      <c r="E234" s="30"/>
      <c r="F234" s="30"/>
    </row>
    <row r="235" spans="1:6" ht="12.75" customHeight="1" x14ac:dyDescent="0.2">
      <c r="A235" s="30"/>
      <c r="B235" s="51" t="s">
        <v>525</v>
      </c>
      <c r="C235" s="51" t="s">
        <v>714</v>
      </c>
      <c r="D235" s="30"/>
      <c r="E235" s="30"/>
      <c r="F235" s="30"/>
    </row>
    <row r="236" spans="1:6" ht="12.75" customHeight="1" x14ac:dyDescent="0.2">
      <c r="A236" s="30"/>
      <c r="B236" s="51" t="s">
        <v>402</v>
      </c>
      <c r="C236" s="51" t="s">
        <v>591</v>
      </c>
      <c r="D236" s="30"/>
      <c r="E236" s="30"/>
      <c r="F236" s="30"/>
    </row>
    <row r="237" spans="1:6" ht="12.75" customHeight="1" x14ac:dyDescent="0.2">
      <c r="A237" s="30"/>
      <c r="B237" s="51" t="s">
        <v>521</v>
      </c>
      <c r="C237" s="51" t="s">
        <v>710</v>
      </c>
      <c r="D237" s="30"/>
      <c r="E237" s="30"/>
      <c r="F237" s="30"/>
    </row>
    <row r="238" spans="1:6" ht="12.75" customHeight="1" x14ac:dyDescent="0.2">
      <c r="A238" s="30"/>
      <c r="B238" s="51" t="s">
        <v>522</v>
      </c>
      <c r="C238" s="51" t="s">
        <v>711</v>
      </c>
      <c r="D238" s="30"/>
      <c r="E238" s="30"/>
      <c r="F238" s="30"/>
    </row>
    <row r="239" spans="1:6" ht="12.75" customHeight="1" x14ac:dyDescent="0.2">
      <c r="A239" s="30"/>
      <c r="B239" s="51" t="s">
        <v>523</v>
      </c>
      <c r="C239" s="51" t="s">
        <v>712</v>
      </c>
      <c r="D239" s="30"/>
      <c r="E239" s="30"/>
      <c r="F239" s="30"/>
    </row>
    <row r="240" spans="1:6" ht="12.75" customHeight="1" x14ac:dyDescent="0.2">
      <c r="A240" s="30"/>
      <c r="B240" s="51" t="s">
        <v>524</v>
      </c>
      <c r="C240" s="51" t="s">
        <v>713</v>
      </c>
      <c r="D240" s="30"/>
      <c r="E240" s="30"/>
      <c r="F240" s="30"/>
    </row>
    <row r="241" spans="1:6" ht="12.75" customHeight="1" x14ac:dyDescent="0.2">
      <c r="A241" s="30"/>
      <c r="B241" s="51" t="s">
        <v>526</v>
      </c>
      <c r="C241" s="51" t="s">
        <v>715</v>
      </c>
      <c r="D241" s="30"/>
      <c r="E241" s="30"/>
      <c r="F241" s="30"/>
    </row>
    <row r="242" spans="1:6" ht="12.75" customHeight="1" x14ac:dyDescent="0.2">
      <c r="A242" s="30"/>
      <c r="B242" s="51" t="s">
        <v>387</v>
      </c>
      <c r="C242" s="51" t="s">
        <v>576</v>
      </c>
      <c r="D242" s="30"/>
      <c r="E242" s="30"/>
      <c r="F242" s="30"/>
    </row>
    <row r="243" spans="1:6" ht="12.75" customHeight="1" x14ac:dyDescent="0.2">
      <c r="A243" s="30"/>
      <c r="B243" s="51" t="s">
        <v>518</v>
      </c>
      <c r="C243" s="51" t="s">
        <v>707</v>
      </c>
      <c r="D243" s="30"/>
      <c r="E243" s="30"/>
      <c r="F243" s="30"/>
    </row>
    <row r="244" spans="1:6" ht="12.75" customHeight="1" x14ac:dyDescent="0.2">
      <c r="A244" s="30"/>
      <c r="B244" s="51" t="s">
        <v>527</v>
      </c>
      <c r="C244" s="51" t="s">
        <v>716</v>
      </c>
      <c r="D244" s="30"/>
      <c r="E244" s="30"/>
      <c r="F244" s="30"/>
    </row>
    <row r="245" spans="1:6" ht="12.75" customHeight="1" x14ac:dyDescent="0.2">
      <c r="A245" s="30"/>
      <c r="B245" s="51" t="s">
        <v>528</v>
      </c>
      <c r="C245" s="51" t="s">
        <v>717</v>
      </c>
      <c r="D245" s="30"/>
      <c r="E245" s="30"/>
      <c r="F245" s="30"/>
    </row>
    <row r="246" spans="1:6" ht="12.75" customHeight="1" x14ac:dyDescent="0.2">
      <c r="A246" s="30"/>
      <c r="B246" s="51" t="s">
        <v>531</v>
      </c>
      <c r="C246" s="51" t="s">
        <v>720</v>
      </c>
      <c r="D246" s="30"/>
      <c r="E246" s="30"/>
      <c r="F246" s="30"/>
    </row>
    <row r="247" spans="1:6" ht="12.75" customHeight="1" x14ac:dyDescent="0.2">
      <c r="A247" s="30"/>
      <c r="B247" s="51" t="s">
        <v>530</v>
      </c>
      <c r="C247" s="51" t="s">
        <v>719</v>
      </c>
      <c r="D247" s="30"/>
      <c r="E247" s="30"/>
      <c r="F247" s="30"/>
    </row>
    <row r="248" spans="1:6" ht="12.75" customHeight="1" x14ac:dyDescent="0.2">
      <c r="A248" s="30"/>
      <c r="B248" s="51" t="s">
        <v>532</v>
      </c>
      <c r="C248" s="51" t="s">
        <v>721</v>
      </c>
      <c r="D248" s="30"/>
      <c r="E248" s="30"/>
      <c r="F248" s="30"/>
    </row>
    <row r="249" spans="1:6" ht="12.75" customHeight="1" x14ac:dyDescent="0.2">
      <c r="A249" s="30"/>
      <c r="B249" s="51" t="s">
        <v>534</v>
      </c>
      <c r="C249" s="51" t="s">
        <v>723</v>
      </c>
      <c r="D249" s="30"/>
      <c r="E249" s="30"/>
      <c r="F249" s="30"/>
    </row>
    <row r="250" spans="1:6" ht="12.75" customHeight="1" x14ac:dyDescent="0.2">
      <c r="A250" s="30"/>
      <c r="B250" s="51" t="s">
        <v>535</v>
      </c>
      <c r="C250" s="51" t="s">
        <v>724</v>
      </c>
      <c r="D250" s="30"/>
      <c r="E250" s="30"/>
      <c r="F250" s="30"/>
    </row>
    <row r="251" spans="1:6" ht="12.75" customHeight="1" x14ac:dyDescent="0.2">
      <c r="A251" s="30"/>
      <c r="B251" s="51" t="s">
        <v>533</v>
      </c>
      <c r="C251" s="51" t="s">
        <v>722</v>
      </c>
      <c r="D251" s="30"/>
      <c r="E251" s="30"/>
      <c r="F251" s="30"/>
    </row>
    <row r="252" spans="1:6" ht="12.75" customHeight="1" x14ac:dyDescent="0.2">
      <c r="A252" s="30"/>
      <c r="B252" s="51" t="s">
        <v>537</v>
      </c>
      <c r="C252" s="51" t="s">
        <v>726</v>
      </c>
      <c r="D252" s="30"/>
      <c r="E252" s="30"/>
      <c r="F252" s="30"/>
    </row>
    <row r="253" spans="1:6" ht="12.75" customHeight="1" x14ac:dyDescent="0.2">
      <c r="A253" s="30"/>
      <c r="B253" s="51" t="s">
        <v>538</v>
      </c>
      <c r="C253" s="51" t="s">
        <v>727</v>
      </c>
      <c r="D253" s="30"/>
      <c r="E253" s="30"/>
      <c r="F253" s="30"/>
    </row>
    <row r="254" spans="1:6" ht="12.75" customHeight="1" x14ac:dyDescent="0.2">
      <c r="A254" s="30"/>
      <c r="B254" s="51" t="s">
        <v>507</v>
      </c>
      <c r="C254" s="51" t="s">
        <v>696</v>
      </c>
      <c r="D254" s="30"/>
      <c r="E254" s="30"/>
      <c r="F254" s="30"/>
    </row>
    <row r="255" spans="1:6" ht="12.75" customHeight="1" x14ac:dyDescent="0.2">
      <c r="A255" s="30"/>
      <c r="B255" s="51" t="s">
        <v>539</v>
      </c>
      <c r="C255" s="51" t="s">
        <v>728</v>
      </c>
      <c r="D255" s="30"/>
      <c r="E255" s="30"/>
      <c r="F255" s="30"/>
    </row>
    <row r="256" spans="1:6" ht="12.75" customHeight="1" x14ac:dyDescent="0.2">
      <c r="A256" s="30"/>
      <c r="B256" s="52" t="s">
        <v>540</v>
      </c>
      <c r="C256" s="52" t="s">
        <v>729</v>
      </c>
      <c r="D256" s="30"/>
      <c r="E256" s="30"/>
      <c r="F256" s="30"/>
    </row>
  </sheetData>
  <sheetProtection selectLockedCells="1" selectUnlockedCells="1"/>
  <phoneticPr fontId="5" type="noConversion"/>
  <printOptions horizontalCentered="1"/>
  <pageMargins left="0.19685039370078741" right="0.19685039370078741" top="0.39370078740157483" bottom="0.39370078740157483" header="0.19685039370078741" footer="0.19685039370078741"/>
  <pageSetup paperSize="9" fitToHeight="10" orientation="portrait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T161"/>
  <sheetViews>
    <sheetView topLeftCell="L31" zoomScale="85" zoomScaleNormal="85" workbookViewId="0">
      <selection activeCell="F3" sqref="F3"/>
    </sheetView>
  </sheetViews>
  <sheetFormatPr defaultRowHeight="12.75" x14ac:dyDescent="0.2"/>
  <cols>
    <col min="1" max="1" width="19.7109375" customWidth="1"/>
    <col min="2" max="2" width="24.42578125" bestFit="1" customWidth="1"/>
    <col min="3" max="3" width="18.42578125" bestFit="1" customWidth="1"/>
    <col min="12" max="13" width="45.5703125" customWidth="1"/>
    <col min="14" max="14" width="18.42578125" customWidth="1"/>
    <col min="15" max="15" width="24.42578125" customWidth="1"/>
    <col min="16" max="17" width="31" customWidth="1"/>
    <col min="18" max="25" width="30.85546875" customWidth="1"/>
    <col min="26" max="33" width="13" customWidth="1"/>
    <col min="34" max="34" width="29.7109375" bestFit="1" customWidth="1"/>
    <col min="39" max="39" width="9.140625" style="64"/>
  </cols>
  <sheetData>
    <row r="1" spans="1:46" x14ac:dyDescent="0.2">
      <c r="A1" s="61" t="s">
        <v>780</v>
      </c>
      <c r="B1" t="s">
        <v>4029</v>
      </c>
    </row>
    <row r="2" spans="1:46" x14ac:dyDescent="0.2">
      <c r="L2" s="61" t="s">
        <v>782</v>
      </c>
      <c r="M2" t="s">
        <v>4030</v>
      </c>
    </row>
    <row r="3" spans="1:46" x14ac:dyDescent="0.2">
      <c r="A3" s="61" t="s">
        <v>4023</v>
      </c>
      <c r="B3" t="s">
        <v>4022</v>
      </c>
      <c r="C3" t="s">
        <v>4025</v>
      </c>
      <c r="D3" s="78" t="s">
        <v>4042</v>
      </c>
      <c r="E3" s="78"/>
      <c r="F3" s="78" t="s">
        <v>4043</v>
      </c>
      <c r="G3" s="78"/>
      <c r="H3" s="78" t="s">
        <v>4044</v>
      </c>
      <c r="I3" s="78"/>
      <c r="R3" s="64" t="s">
        <v>4035</v>
      </c>
      <c r="S3" s="64" t="s">
        <v>4036</v>
      </c>
      <c r="T3" t="s">
        <v>4039</v>
      </c>
    </row>
    <row r="4" spans="1:46" x14ac:dyDescent="0.2">
      <c r="A4" s="62" t="s">
        <v>15</v>
      </c>
      <c r="B4" s="60">
        <v>72738.12965964344</v>
      </c>
      <c r="C4" s="60">
        <v>617</v>
      </c>
      <c r="D4" t="s">
        <v>15</v>
      </c>
      <c r="E4" s="66">
        <v>72738.12965964344</v>
      </c>
      <c r="F4" s="64" t="s">
        <v>15</v>
      </c>
      <c r="G4" s="66">
        <v>62583.737373737371</v>
      </c>
      <c r="H4" t="s">
        <v>118</v>
      </c>
      <c r="I4">
        <v>15642.546484974018</v>
      </c>
      <c r="M4" s="61" t="s">
        <v>4031</v>
      </c>
      <c r="Q4" t="s">
        <v>817</v>
      </c>
      <c r="R4" s="67">
        <v>56254.205053704041</v>
      </c>
      <c r="S4">
        <v>121</v>
      </c>
      <c r="T4" s="65">
        <v>9.3333333333333339</v>
      </c>
      <c r="U4" t="s">
        <v>817</v>
      </c>
      <c r="AI4" s="64" t="s">
        <v>1</v>
      </c>
      <c r="AJ4" s="64" t="s">
        <v>4032</v>
      </c>
      <c r="AK4" s="64" t="s">
        <v>1</v>
      </c>
      <c r="AL4" s="64" t="s">
        <v>4033</v>
      </c>
      <c r="AM4" s="64" t="s">
        <v>4032</v>
      </c>
      <c r="AN4" s="64" t="s">
        <v>4034</v>
      </c>
    </row>
    <row r="5" spans="1:46" x14ac:dyDescent="0.2">
      <c r="A5" s="62" t="s">
        <v>117</v>
      </c>
      <c r="B5" s="60">
        <v>13529.430894182482</v>
      </c>
      <c r="C5" s="60">
        <v>565</v>
      </c>
      <c r="D5" t="s">
        <v>118</v>
      </c>
      <c r="E5" s="66">
        <v>13529.430894182482</v>
      </c>
      <c r="F5" t="s">
        <v>118</v>
      </c>
      <c r="G5" s="66">
        <v>11264.716264070181</v>
      </c>
      <c r="H5" s="64" t="s">
        <v>15</v>
      </c>
      <c r="I5">
        <v>77581.710344827588</v>
      </c>
      <c r="L5" s="61" t="s">
        <v>780</v>
      </c>
      <c r="M5" t="s">
        <v>4022</v>
      </c>
      <c r="N5" t="s">
        <v>4025</v>
      </c>
      <c r="Q5" t="s">
        <v>788</v>
      </c>
      <c r="R5" s="67">
        <v>47076.271579145701</v>
      </c>
      <c r="S5">
        <v>694</v>
      </c>
      <c r="T5" s="65">
        <v>7.2947261663285996</v>
      </c>
      <c r="U5" t="s">
        <v>788</v>
      </c>
      <c r="AD5" t="s">
        <v>234</v>
      </c>
      <c r="AE5">
        <v>99016.174371435307</v>
      </c>
      <c r="AI5" t="s">
        <v>15</v>
      </c>
      <c r="AJ5" t="s">
        <v>817</v>
      </c>
      <c r="AK5">
        <f>VLOOKUP(AI5,$AS$17:$AT$43,2,0)</f>
        <v>1</v>
      </c>
      <c r="AL5">
        <v>64737.190476190473</v>
      </c>
      <c r="AM5" s="64">
        <f>VLOOKUP(AJ5,$AS$5:$AT$15,2,0)</f>
        <v>1</v>
      </c>
      <c r="AN5">
        <v>42</v>
      </c>
      <c r="AS5" t="s">
        <v>817</v>
      </c>
      <c r="AT5">
        <v>1</v>
      </c>
    </row>
    <row r="6" spans="1:46" x14ac:dyDescent="0.2">
      <c r="A6" s="62" t="s">
        <v>863</v>
      </c>
      <c r="B6" s="60">
        <v>67240.730112795849</v>
      </c>
      <c r="C6" s="60">
        <v>154</v>
      </c>
      <c r="D6" t="s">
        <v>20</v>
      </c>
      <c r="E6" s="66">
        <v>67240.730112795849</v>
      </c>
      <c r="F6" s="64" t="s">
        <v>20</v>
      </c>
      <c r="G6" s="66">
        <v>57469.449414841118</v>
      </c>
      <c r="H6" s="64" t="s">
        <v>20</v>
      </c>
      <c r="I6">
        <v>66390.12811100109</v>
      </c>
      <c r="L6" t="s">
        <v>817</v>
      </c>
      <c r="M6" s="60">
        <v>56254.205053704041</v>
      </c>
      <c r="N6" s="60">
        <v>121</v>
      </c>
      <c r="Q6" t="s">
        <v>867</v>
      </c>
      <c r="R6" s="67">
        <v>64329.565583209107</v>
      </c>
      <c r="S6">
        <v>84</v>
      </c>
      <c r="T6" s="65">
        <v>9.2452830188679247</v>
      </c>
      <c r="U6" t="s">
        <v>867</v>
      </c>
      <c r="AD6" t="s">
        <v>34</v>
      </c>
      <c r="AE6">
        <v>92857.629854916348</v>
      </c>
      <c r="AI6" t="s">
        <v>15</v>
      </c>
      <c r="AJ6" t="s">
        <v>788</v>
      </c>
      <c r="AK6">
        <f t="shared" ref="AK6:AK69" si="0">VLOOKUP(AI6,$AS$17:$AT$43,2,0)</f>
        <v>1</v>
      </c>
      <c r="AL6">
        <v>62583.737373737371</v>
      </c>
      <c r="AM6" s="64">
        <f t="shared" ref="AM6:AM69" si="1">VLOOKUP(AJ6,$AS$5:$AT$15,2,0)</f>
        <v>2</v>
      </c>
      <c r="AN6">
        <v>297</v>
      </c>
      <c r="AS6" t="s">
        <v>788</v>
      </c>
      <c r="AT6">
        <v>2</v>
      </c>
    </row>
    <row r="7" spans="1:46" x14ac:dyDescent="0.2">
      <c r="A7" s="62" t="s">
        <v>33</v>
      </c>
      <c r="B7" s="60">
        <v>92857.629854916348</v>
      </c>
      <c r="C7" s="60">
        <v>81</v>
      </c>
      <c r="D7" t="s">
        <v>34</v>
      </c>
      <c r="E7" s="66">
        <v>92857.629854916348</v>
      </c>
      <c r="F7" t="s">
        <v>34</v>
      </c>
      <c r="G7" s="66">
        <v>86525.394195457935</v>
      </c>
      <c r="H7" t="s">
        <v>34</v>
      </c>
      <c r="I7">
        <v>95631.029699178704</v>
      </c>
      <c r="L7" t="s">
        <v>788</v>
      </c>
      <c r="M7" s="60">
        <v>47076.271579145701</v>
      </c>
      <c r="N7" s="60">
        <v>694</v>
      </c>
      <c r="Q7" t="s">
        <v>792</v>
      </c>
      <c r="R7" s="67">
        <v>66864.484858455166</v>
      </c>
      <c r="S7">
        <v>55</v>
      </c>
      <c r="T7" s="65">
        <v>11.733333333333333</v>
      </c>
      <c r="U7" t="s">
        <v>792</v>
      </c>
      <c r="AD7" t="s">
        <v>144</v>
      </c>
      <c r="AE7">
        <v>89799.526836779929</v>
      </c>
      <c r="AI7" t="s">
        <v>15</v>
      </c>
      <c r="AJ7" t="s">
        <v>867</v>
      </c>
      <c r="AK7">
        <f t="shared" si="0"/>
        <v>1</v>
      </c>
      <c r="AL7">
        <v>98388.888888888891</v>
      </c>
      <c r="AM7" s="64">
        <f t="shared" si="1"/>
        <v>3</v>
      </c>
      <c r="AN7">
        <v>18</v>
      </c>
      <c r="AS7" t="s">
        <v>867</v>
      </c>
      <c r="AT7">
        <v>3</v>
      </c>
    </row>
    <row r="8" spans="1:46" x14ac:dyDescent="0.2">
      <c r="A8" s="62" t="s">
        <v>143</v>
      </c>
      <c r="B8" s="60">
        <v>89799.526836779929</v>
      </c>
      <c r="C8" s="60">
        <v>58</v>
      </c>
      <c r="D8" t="s">
        <v>144</v>
      </c>
      <c r="E8" s="66">
        <v>89799.526836779929</v>
      </c>
      <c r="F8" t="s">
        <v>144</v>
      </c>
      <c r="G8" s="66">
        <v>63558.641342985735</v>
      </c>
      <c r="H8" t="s">
        <v>144</v>
      </c>
      <c r="I8">
        <v>70334.475671635912</v>
      </c>
      <c r="L8" t="s">
        <v>867</v>
      </c>
      <c r="M8" s="60">
        <v>64329.565583209107</v>
      </c>
      <c r="N8" s="60">
        <v>84</v>
      </c>
      <c r="Q8" t="s">
        <v>813</v>
      </c>
      <c r="R8" s="67">
        <v>98289.713681683977</v>
      </c>
      <c r="S8">
        <v>71</v>
      </c>
      <c r="T8" s="65">
        <v>13.602272727272727</v>
      </c>
      <c r="U8" t="s">
        <v>813</v>
      </c>
      <c r="AD8" t="s">
        <v>71</v>
      </c>
      <c r="AE8">
        <v>82525.525402351297</v>
      </c>
      <c r="AI8" t="s">
        <v>15</v>
      </c>
      <c r="AJ8" t="s">
        <v>792</v>
      </c>
      <c r="AK8">
        <f t="shared" si="0"/>
        <v>1</v>
      </c>
      <c r="AL8">
        <v>87813.23529411765</v>
      </c>
      <c r="AM8" s="64">
        <f t="shared" si="1"/>
        <v>4</v>
      </c>
      <c r="AN8">
        <v>17</v>
      </c>
      <c r="AS8" t="s">
        <v>792</v>
      </c>
      <c r="AT8">
        <v>4</v>
      </c>
    </row>
    <row r="9" spans="1:46" x14ac:dyDescent="0.2">
      <c r="A9" s="62" t="s">
        <v>240</v>
      </c>
      <c r="B9" s="60">
        <v>11873.552586779413</v>
      </c>
      <c r="C9" s="60">
        <v>29</v>
      </c>
      <c r="D9" t="s">
        <v>241</v>
      </c>
      <c r="E9" s="66">
        <v>11873.552586779413</v>
      </c>
      <c r="F9" t="s">
        <v>28</v>
      </c>
      <c r="G9" s="66">
        <v>62090.772580714816</v>
      </c>
      <c r="H9" t="s">
        <v>241</v>
      </c>
      <c r="I9">
        <v>10382.341810335902</v>
      </c>
      <c r="L9" t="s">
        <v>792</v>
      </c>
      <c r="M9" s="60">
        <v>66864.484858455166</v>
      </c>
      <c r="N9" s="60">
        <v>55</v>
      </c>
      <c r="Q9" t="s">
        <v>802</v>
      </c>
      <c r="R9" s="67">
        <v>52679.941362757236</v>
      </c>
      <c r="S9">
        <v>69</v>
      </c>
      <c r="T9" s="65">
        <v>7.958333333333333</v>
      </c>
      <c r="U9" t="s">
        <v>802</v>
      </c>
      <c r="AD9" t="s">
        <v>73</v>
      </c>
      <c r="AE9">
        <v>79637.147017647629</v>
      </c>
      <c r="AI9" t="s">
        <v>15</v>
      </c>
      <c r="AJ9" t="s">
        <v>813</v>
      </c>
      <c r="AK9">
        <f t="shared" si="0"/>
        <v>1</v>
      </c>
      <c r="AL9">
        <v>125615.38461538461</v>
      </c>
      <c r="AM9" s="64">
        <f t="shared" si="1"/>
        <v>5</v>
      </c>
      <c r="AN9">
        <v>39</v>
      </c>
      <c r="AS9" t="s">
        <v>813</v>
      </c>
      <c r="AT9">
        <v>5</v>
      </c>
    </row>
    <row r="10" spans="1:46" x14ac:dyDescent="0.2">
      <c r="A10" s="62" t="s">
        <v>228</v>
      </c>
      <c r="B10" s="60">
        <v>73006.431203838249</v>
      </c>
      <c r="C10" s="60">
        <v>23</v>
      </c>
      <c r="D10" t="s">
        <v>28</v>
      </c>
      <c r="E10" s="66">
        <v>73006.431203838249</v>
      </c>
      <c r="F10" t="s">
        <v>55</v>
      </c>
      <c r="G10" s="66">
        <v>34591.322588559458</v>
      </c>
      <c r="H10" s="64" t="s">
        <v>342</v>
      </c>
      <c r="I10">
        <v>50759.038190313891</v>
      </c>
      <c r="L10" t="s">
        <v>813</v>
      </c>
      <c r="M10" s="60">
        <v>98289.713681683977</v>
      </c>
      <c r="N10" s="60">
        <v>71</v>
      </c>
      <c r="Q10" t="s">
        <v>807</v>
      </c>
      <c r="R10" s="67">
        <v>46683.104881983985</v>
      </c>
      <c r="S10">
        <v>514</v>
      </c>
      <c r="T10" s="65">
        <v>9.9102493074792246</v>
      </c>
      <c r="U10" t="s">
        <v>807</v>
      </c>
      <c r="AD10" t="s">
        <v>28</v>
      </c>
      <c r="AE10">
        <v>73006.431203838249</v>
      </c>
      <c r="AI10" t="s">
        <v>15</v>
      </c>
      <c r="AJ10" t="s">
        <v>802</v>
      </c>
      <c r="AK10">
        <f t="shared" si="0"/>
        <v>1</v>
      </c>
      <c r="AL10">
        <v>72056.153846153844</v>
      </c>
      <c r="AM10" s="64">
        <f t="shared" si="1"/>
        <v>6</v>
      </c>
      <c r="AN10">
        <v>26</v>
      </c>
      <c r="AS10" t="s">
        <v>802</v>
      </c>
      <c r="AT10">
        <v>6</v>
      </c>
    </row>
    <row r="11" spans="1:46" x14ac:dyDescent="0.2">
      <c r="A11" s="62" t="s">
        <v>294</v>
      </c>
      <c r="B11" s="60">
        <v>49555.624994016209</v>
      </c>
      <c r="C11" s="60">
        <v>19</v>
      </c>
      <c r="D11" t="s">
        <v>295</v>
      </c>
      <c r="E11" s="66">
        <v>49555.624994016209</v>
      </c>
      <c r="F11" t="s">
        <v>65</v>
      </c>
      <c r="G11" s="66">
        <v>53990.226887226367</v>
      </c>
      <c r="L11" t="s">
        <v>802</v>
      </c>
      <c r="M11" s="60">
        <v>52679.941362757236</v>
      </c>
      <c r="N11" s="60">
        <v>69</v>
      </c>
      <c r="Q11" t="s">
        <v>888</v>
      </c>
      <c r="R11" s="67">
        <v>45952.334217962802</v>
      </c>
      <c r="S11">
        <v>7</v>
      </c>
      <c r="T11" s="65">
        <v>6.166666666666667</v>
      </c>
      <c r="U11" t="s">
        <v>888</v>
      </c>
      <c r="AD11" t="s">
        <v>15</v>
      </c>
      <c r="AE11">
        <v>72738.12965964344</v>
      </c>
      <c r="AI11" t="s">
        <v>15</v>
      </c>
      <c r="AJ11" t="s">
        <v>807</v>
      </c>
      <c r="AK11">
        <f t="shared" si="0"/>
        <v>1</v>
      </c>
      <c r="AL11">
        <v>77581.710344827588</v>
      </c>
      <c r="AM11" s="64">
        <f t="shared" si="1"/>
        <v>7</v>
      </c>
      <c r="AN11">
        <v>145</v>
      </c>
      <c r="AS11" t="s">
        <v>807</v>
      </c>
      <c r="AT11">
        <v>7</v>
      </c>
    </row>
    <row r="12" spans="1:46" x14ac:dyDescent="0.2">
      <c r="A12" s="62" t="s">
        <v>1022</v>
      </c>
      <c r="B12" s="60">
        <v>43014.900191685309</v>
      </c>
      <c r="C12" s="60">
        <v>19</v>
      </c>
      <c r="D12" t="s">
        <v>342</v>
      </c>
      <c r="E12" s="66">
        <v>43014.900191685309</v>
      </c>
      <c r="F12" t="s">
        <v>241</v>
      </c>
      <c r="G12" s="66">
        <v>14887</v>
      </c>
      <c r="L12" t="s">
        <v>807</v>
      </c>
      <c r="M12" s="60">
        <v>46683.104881983985</v>
      </c>
      <c r="N12" s="60">
        <v>514</v>
      </c>
      <c r="Q12" t="s">
        <v>836</v>
      </c>
      <c r="R12" s="67">
        <v>19409.107948456251</v>
      </c>
      <c r="S12">
        <v>77</v>
      </c>
      <c r="T12" s="65">
        <v>5.21060606060606</v>
      </c>
      <c r="U12" t="s">
        <v>836</v>
      </c>
      <c r="AD12" t="s">
        <v>65</v>
      </c>
      <c r="AE12">
        <v>70287.554967112796</v>
      </c>
      <c r="AI12" t="s">
        <v>15</v>
      </c>
      <c r="AJ12" t="s">
        <v>888</v>
      </c>
      <c r="AK12">
        <f t="shared" si="0"/>
        <v>1</v>
      </c>
      <c r="AL12">
        <v>83820.333333333328</v>
      </c>
      <c r="AM12" s="64">
        <f t="shared" si="1"/>
        <v>8</v>
      </c>
      <c r="AN12">
        <v>3</v>
      </c>
      <c r="AS12" t="s">
        <v>888</v>
      </c>
      <c r="AT12">
        <v>8</v>
      </c>
    </row>
    <row r="13" spans="1:46" x14ac:dyDescent="0.2">
      <c r="A13" s="62" t="s">
        <v>72</v>
      </c>
      <c r="B13" s="60">
        <v>79637.147017647629</v>
      </c>
      <c r="C13" s="60">
        <v>17</v>
      </c>
      <c r="D13" t="s">
        <v>73</v>
      </c>
      <c r="E13" s="66">
        <v>79637.147017647629</v>
      </c>
      <c r="L13" t="s">
        <v>888</v>
      </c>
      <c r="M13" s="60">
        <v>45952.334217962802</v>
      </c>
      <c r="N13" s="60">
        <v>7</v>
      </c>
      <c r="Q13" t="s">
        <v>820</v>
      </c>
      <c r="R13" s="67">
        <v>61916.568790768935</v>
      </c>
      <c r="S13">
        <v>48</v>
      </c>
      <c r="T13" s="65">
        <v>9.2592592592592595</v>
      </c>
      <c r="U13" t="s">
        <v>820</v>
      </c>
      <c r="AD13" t="s">
        <v>20</v>
      </c>
      <c r="AE13">
        <v>67240.730112795849</v>
      </c>
      <c r="AI13" t="s">
        <v>15</v>
      </c>
      <c r="AJ13" t="s">
        <v>836</v>
      </c>
      <c r="AK13">
        <f t="shared" si="0"/>
        <v>1</v>
      </c>
      <c r="AL13">
        <v>58200</v>
      </c>
      <c r="AM13" s="64">
        <f t="shared" si="1"/>
        <v>9</v>
      </c>
      <c r="AN13">
        <v>5</v>
      </c>
      <c r="AS13" t="s">
        <v>836</v>
      </c>
      <c r="AT13">
        <v>9</v>
      </c>
    </row>
    <row r="14" spans="1:46" x14ac:dyDescent="0.2">
      <c r="A14" s="62" t="s">
        <v>54</v>
      </c>
      <c r="B14" s="60">
        <v>44287.984205099929</v>
      </c>
      <c r="C14" s="60">
        <v>17</v>
      </c>
      <c r="D14" t="s">
        <v>55</v>
      </c>
      <c r="E14" s="66">
        <v>44287.984205099929</v>
      </c>
      <c r="L14" t="s">
        <v>836</v>
      </c>
      <c r="M14" s="60">
        <v>19409.107948456251</v>
      </c>
      <c r="N14" s="60">
        <v>77</v>
      </c>
      <c r="AD14" t="s">
        <v>93</v>
      </c>
      <c r="AE14">
        <v>56952.725049143286</v>
      </c>
      <c r="AI14" t="s">
        <v>15</v>
      </c>
      <c r="AJ14" t="s">
        <v>820</v>
      </c>
      <c r="AK14">
        <f t="shared" si="0"/>
        <v>1</v>
      </c>
      <c r="AL14">
        <v>69800</v>
      </c>
      <c r="AM14" s="64">
        <f t="shared" si="1"/>
        <v>10</v>
      </c>
      <c r="AN14">
        <v>25</v>
      </c>
      <c r="AS14" t="s">
        <v>820</v>
      </c>
      <c r="AT14">
        <v>10</v>
      </c>
    </row>
    <row r="15" spans="1:46" x14ac:dyDescent="0.2">
      <c r="A15" s="62" t="s">
        <v>225</v>
      </c>
      <c r="B15" s="60">
        <v>70287.554967112796</v>
      </c>
      <c r="C15" s="60">
        <v>15</v>
      </c>
      <c r="D15" t="s">
        <v>65</v>
      </c>
      <c r="E15" s="66">
        <v>70287.554967112796</v>
      </c>
      <c r="L15" t="s">
        <v>820</v>
      </c>
      <c r="M15" s="60">
        <v>61916.568790768935</v>
      </c>
      <c r="N15" s="60">
        <v>48</v>
      </c>
      <c r="Q15" t="s">
        <v>788</v>
      </c>
      <c r="R15" s="67">
        <v>43819.276613241367</v>
      </c>
      <c r="S15">
        <v>57</v>
      </c>
      <c r="T15" s="65">
        <v>8.0878048780487806</v>
      </c>
      <c r="U15" t="s">
        <v>808</v>
      </c>
      <c r="AD15" t="s">
        <v>261</v>
      </c>
      <c r="AE15">
        <v>55905.222222222219</v>
      </c>
      <c r="AI15" t="s">
        <v>117</v>
      </c>
      <c r="AJ15" t="s">
        <v>817</v>
      </c>
      <c r="AK15">
        <f t="shared" si="0"/>
        <v>2</v>
      </c>
      <c r="AL15">
        <v>10766.881887825843</v>
      </c>
      <c r="AM15" s="64">
        <f t="shared" si="1"/>
        <v>1</v>
      </c>
      <c r="AN15">
        <v>29</v>
      </c>
    </row>
    <row r="16" spans="1:46" x14ac:dyDescent="0.2">
      <c r="A16" s="62" t="s">
        <v>283</v>
      </c>
      <c r="B16" s="60">
        <v>52154.754053796576</v>
      </c>
      <c r="C16" s="60">
        <v>13</v>
      </c>
      <c r="D16" t="s">
        <v>284</v>
      </c>
      <c r="E16" s="66">
        <v>52154.754053796576</v>
      </c>
      <c r="L16" t="s">
        <v>4024</v>
      </c>
      <c r="M16" s="60">
        <v>50549.244799950196</v>
      </c>
      <c r="N16" s="60">
        <v>1740</v>
      </c>
      <c r="Q16" t="s">
        <v>788</v>
      </c>
      <c r="R16" s="67">
        <v>48572.511802634945</v>
      </c>
      <c r="S16">
        <v>137</v>
      </c>
      <c r="T16" s="65">
        <v>7.9584158415841584</v>
      </c>
      <c r="U16" t="s">
        <v>799</v>
      </c>
      <c r="AD16" t="s">
        <v>284</v>
      </c>
      <c r="AE16">
        <v>52154.754053796576</v>
      </c>
      <c r="AI16" t="s">
        <v>117</v>
      </c>
      <c r="AJ16" t="s">
        <v>788</v>
      </c>
      <c r="AK16">
        <f t="shared" si="0"/>
        <v>2</v>
      </c>
      <c r="AL16">
        <v>11264.716264070179</v>
      </c>
      <c r="AM16" s="64">
        <f t="shared" si="1"/>
        <v>2</v>
      </c>
      <c r="AN16">
        <v>189</v>
      </c>
    </row>
    <row r="17" spans="1:46" x14ac:dyDescent="0.2">
      <c r="A17" s="62" t="s">
        <v>749</v>
      </c>
      <c r="B17" s="60">
        <v>35832.121212121208</v>
      </c>
      <c r="C17" s="60">
        <v>11</v>
      </c>
      <c r="D17" t="s">
        <v>268</v>
      </c>
      <c r="E17" s="66">
        <v>35832.121212121208</v>
      </c>
      <c r="Q17" t="s">
        <v>788</v>
      </c>
      <c r="R17" s="67">
        <v>47705.91094588126</v>
      </c>
      <c r="S17">
        <v>329</v>
      </c>
      <c r="T17" s="65">
        <v>7.4029914529914524</v>
      </c>
      <c r="U17" t="s">
        <v>789</v>
      </c>
      <c r="AD17" t="s">
        <v>295</v>
      </c>
      <c r="AE17">
        <v>49555.624994016209</v>
      </c>
      <c r="AI17" t="s">
        <v>117</v>
      </c>
      <c r="AJ17" t="s">
        <v>867</v>
      </c>
      <c r="AK17">
        <f t="shared" si="0"/>
        <v>2</v>
      </c>
      <c r="AL17">
        <v>13928.395969712295</v>
      </c>
      <c r="AM17" s="64">
        <f t="shared" si="1"/>
        <v>3</v>
      </c>
      <c r="AN17">
        <v>20</v>
      </c>
      <c r="AS17" t="s">
        <v>15</v>
      </c>
      <c r="AT17">
        <v>1</v>
      </c>
    </row>
    <row r="18" spans="1:46" x14ac:dyDescent="0.2">
      <c r="A18" s="62" t="s">
        <v>252</v>
      </c>
      <c r="B18" s="60">
        <v>17479.292364753517</v>
      </c>
      <c r="C18" s="60">
        <v>11</v>
      </c>
      <c r="D18" t="s">
        <v>253</v>
      </c>
      <c r="E18" s="66">
        <v>17479.292364753517</v>
      </c>
      <c r="Q18" t="s">
        <v>788</v>
      </c>
      <c r="R18" s="67">
        <v>42953.141493969306</v>
      </c>
      <c r="S18">
        <v>215</v>
      </c>
      <c r="T18" s="65">
        <v>6.5853333333333337</v>
      </c>
      <c r="U18" t="s">
        <v>794</v>
      </c>
      <c r="AD18" t="s">
        <v>131</v>
      </c>
      <c r="AE18">
        <v>47258.859130487806</v>
      </c>
      <c r="AI18" t="s">
        <v>117</v>
      </c>
      <c r="AJ18" t="s">
        <v>792</v>
      </c>
      <c r="AK18">
        <f t="shared" si="0"/>
        <v>2</v>
      </c>
      <c r="AL18">
        <v>10468.177151120017</v>
      </c>
      <c r="AM18" s="64">
        <f t="shared" si="1"/>
        <v>4</v>
      </c>
      <c r="AN18">
        <v>7</v>
      </c>
      <c r="AS18" t="s">
        <v>117</v>
      </c>
      <c r="AT18">
        <v>2</v>
      </c>
    </row>
    <row r="19" spans="1:46" x14ac:dyDescent="0.2">
      <c r="A19" s="62" t="s">
        <v>290</v>
      </c>
      <c r="B19" s="60">
        <v>46235.660112252495</v>
      </c>
      <c r="C19" s="60">
        <v>10</v>
      </c>
      <c r="D19" t="s">
        <v>291</v>
      </c>
      <c r="E19" s="66">
        <v>46235.660112252495</v>
      </c>
      <c r="R19" s="67"/>
      <c r="T19" s="65"/>
      <c r="AD19" t="s">
        <v>291</v>
      </c>
      <c r="AE19">
        <v>46235.660112252495</v>
      </c>
      <c r="AI19" t="s">
        <v>117</v>
      </c>
      <c r="AJ19" t="s">
        <v>813</v>
      </c>
      <c r="AK19">
        <f t="shared" si="0"/>
        <v>2</v>
      </c>
      <c r="AL19">
        <v>28659.371813410293</v>
      </c>
      <c r="AM19" s="64">
        <f t="shared" si="1"/>
        <v>5</v>
      </c>
      <c r="AN19">
        <v>13</v>
      </c>
      <c r="AS19" t="s">
        <v>863</v>
      </c>
      <c r="AT19">
        <v>3</v>
      </c>
    </row>
    <row r="20" spans="1:46" x14ac:dyDescent="0.2">
      <c r="A20" s="62" t="s">
        <v>2</v>
      </c>
      <c r="B20" s="60">
        <v>32138.498288519273</v>
      </c>
      <c r="C20" s="60">
        <v>10</v>
      </c>
      <c r="D20" t="s">
        <v>207</v>
      </c>
      <c r="E20" s="66">
        <v>32138.498288519273</v>
      </c>
      <c r="Q20" t="s">
        <v>807</v>
      </c>
      <c r="R20" s="67">
        <v>57523.37251198075</v>
      </c>
      <c r="S20">
        <v>65</v>
      </c>
      <c r="T20" s="65">
        <v>11.502083333333333</v>
      </c>
      <c r="U20" t="s">
        <v>808</v>
      </c>
      <c r="AD20" t="s">
        <v>55</v>
      </c>
      <c r="AE20">
        <v>44287.984205099929</v>
      </c>
      <c r="AI20" t="s">
        <v>117</v>
      </c>
      <c r="AJ20" t="s">
        <v>802</v>
      </c>
      <c r="AK20">
        <f t="shared" si="0"/>
        <v>2</v>
      </c>
      <c r="AL20">
        <v>12397.82557404629</v>
      </c>
      <c r="AM20" s="64">
        <f t="shared" si="1"/>
        <v>6</v>
      </c>
      <c r="AN20">
        <v>22</v>
      </c>
      <c r="AS20" t="s">
        <v>33</v>
      </c>
      <c r="AT20">
        <v>4</v>
      </c>
    </row>
    <row r="21" spans="1:46" x14ac:dyDescent="0.2">
      <c r="A21" s="62" t="s">
        <v>256</v>
      </c>
      <c r="B21" s="60">
        <v>32907.763410971675</v>
      </c>
      <c r="C21" s="60">
        <v>10</v>
      </c>
      <c r="D21" t="s">
        <v>257</v>
      </c>
      <c r="E21" s="66">
        <v>32907.763410971675</v>
      </c>
      <c r="Q21" t="s">
        <v>807</v>
      </c>
      <c r="R21" s="67">
        <v>48023.281907762757</v>
      </c>
      <c r="S21">
        <v>166</v>
      </c>
      <c r="T21" s="65">
        <v>10.153043478260869</v>
      </c>
      <c r="U21" t="s">
        <v>799</v>
      </c>
      <c r="AD21" t="s">
        <v>342</v>
      </c>
      <c r="AE21">
        <v>43014.900191685309</v>
      </c>
      <c r="AI21" t="s">
        <v>117</v>
      </c>
      <c r="AJ21" t="s">
        <v>807</v>
      </c>
      <c r="AK21">
        <f t="shared" si="0"/>
        <v>2</v>
      </c>
      <c r="AL21">
        <v>15642.546484974009</v>
      </c>
      <c r="AM21" s="64">
        <f t="shared" si="1"/>
        <v>7</v>
      </c>
      <c r="AN21">
        <v>215</v>
      </c>
      <c r="AS21" t="s">
        <v>143</v>
      </c>
      <c r="AT21">
        <v>5</v>
      </c>
    </row>
    <row r="22" spans="1:46" x14ac:dyDescent="0.2">
      <c r="A22" s="62" t="s">
        <v>744</v>
      </c>
      <c r="B22" s="60">
        <v>55905.222222222219</v>
      </c>
      <c r="C22" s="60">
        <v>9</v>
      </c>
      <c r="D22" t="s">
        <v>261</v>
      </c>
      <c r="E22" s="66">
        <v>55905.222222222219</v>
      </c>
      <c r="Q22" t="s">
        <v>807</v>
      </c>
      <c r="R22" s="67">
        <v>47649.893196817437</v>
      </c>
      <c r="S22">
        <v>215</v>
      </c>
      <c r="T22" s="65">
        <v>9.2328767123287676</v>
      </c>
      <c r="U22" t="s">
        <v>789</v>
      </c>
      <c r="AD22" t="s">
        <v>268</v>
      </c>
      <c r="AE22">
        <v>35832.121212121208</v>
      </c>
      <c r="AI22" t="s">
        <v>117</v>
      </c>
      <c r="AJ22" t="s">
        <v>888</v>
      </c>
      <c r="AK22">
        <f t="shared" si="0"/>
        <v>2</v>
      </c>
      <c r="AL22">
        <v>17551.33488143489</v>
      </c>
      <c r="AM22" s="64">
        <f t="shared" si="1"/>
        <v>8</v>
      </c>
      <c r="AN22">
        <v>4</v>
      </c>
      <c r="AS22" t="s">
        <v>240</v>
      </c>
      <c r="AT22">
        <v>6</v>
      </c>
    </row>
    <row r="23" spans="1:46" x14ac:dyDescent="0.2">
      <c r="A23" s="62" t="s">
        <v>119</v>
      </c>
      <c r="B23" s="60">
        <v>28872.83679733074</v>
      </c>
      <c r="C23" s="60">
        <v>8</v>
      </c>
      <c r="D23" t="s">
        <v>120</v>
      </c>
      <c r="E23" s="66">
        <v>28872.83679733074</v>
      </c>
      <c r="Q23" t="s">
        <v>807</v>
      </c>
      <c r="R23" s="67">
        <v>35434.79336782475</v>
      </c>
      <c r="S23">
        <v>110</v>
      </c>
      <c r="T23" s="65">
        <v>9.7277108433734956</v>
      </c>
      <c r="U23" t="s">
        <v>794</v>
      </c>
      <c r="AD23" t="s">
        <v>255</v>
      </c>
      <c r="AE23">
        <v>34210.345381590014</v>
      </c>
      <c r="AI23" t="s">
        <v>117</v>
      </c>
      <c r="AJ23" t="s">
        <v>836</v>
      </c>
      <c r="AK23">
        <f t="shared" si="0"/>
        <v>2</v>
      </c>
      <c r="AL23">
        <v>10314.751394359879</v>
      </c>
      <c r="AM23" s="64">
        <f t="shared" si="1"/>
        <v>9</v>
      </c>
      <c r="AN23">
        <v>60</v>
      </c>
      <c r="AS23" t="s">
        <v>228</v>
      </c>
      <c r="AT23">
        <v>7</v>
      </c>
    </row>
    <row r="24" spans="1:46" x14ac:dyDescent="0.2">
      <c r="A24" s="62" t="s">
        <v>2514</v>
      </c>
      <c r="B24" s="60">
        <v>24996.133222785022</v>
      </c>
      <c r="C24" s="60">
        <v>7</v>
      </c>
      <c r="D24" t="s">
        <v>191</v>
      </c>
      <c r="E24" s="66">
        <v>24996.133222785022</v>
      </c>
      <c r="L24" s="61" t="s">
        <v>782</v>
      </c>
      <c r="M24" t="s">
        <v>4030</v>
      </c>
      <c r="R24" s="67"/>
      <c r="T24" s="65"/>
      <c r="AD24" t="s">
        <v>257</v>
      </c>
      <c r="AE24">
        <v>32907.763410971675</v>
      </c>
      <c r="AI24" t="s">
        <v>117</v>
      </c>
      <c r="AJ24" t="s">
        <v>820</v>
      </c>
      <c r="AK24">
        <f t="shared" si="0"/>
        <v>2</v>
      </c>
      <c r="AL24">
        <v>25575.072240782029</v>
      </c>
      <c r="AM24" s="64">
        <f t="shared" si="1"/>
        <v>10</v>
      </c>
      <c r="AN24">
        <v>6</v>
      </c>
      <c r="AS24" t="s">
        <v>1022</v>
      </c>
      <c r="AT24">
        <v>8</v>
      </c>
    </row>
    <row r="25" spans="1:46" x14ac:dyDescent="0.2">
      <c r="A25" s="62" t="s">
        <v>233</v>
      </c>
      <c r="B25" s="60">
        <v>99016.174371435307</v>
      </c>
      <c r="C25" s="60">
        <v>7</v>
      </c>
      <c r="D25" t="s">
        <v>234</v>
      </c>
      <c r="E25" s="66">
        <v>99016.174371435307</v>
      </c>
      <c r="AD25" t="s">
        <v>207</v>
      </c>
      <c r="AE25">
        <v>32138.498288519273</v>
      </c>
      <c r="AI25" t="s">
        <v>863</v>
      </c>
      <c r="AJ25" t="s">
        <v>817</v>
      </c>
      <c r="AK25">
        <f t="shared" si="0"/>
        <v>3</v>
      </c>
      <c r="AL25">
        <v>55820.30473645281</v>
      </c>
      <c r="AM25" s="64">
        <f t="shared" si="1"/>
        <v>1</v>
      </c>
      <c r="AN25">
        <v>17</v>
      </c>
      <c r="AS25" t="s">
        <v>294</v>
      </c>
      <c r="AT25">
        <v>9</v>
      </c>
    </row>
    <row r="26" spans="1:46" x14ac:dyDescent="0.2">
      <c r="A26" s="62" t="s">
        <v>70</v>
      </c>
      <c r="B26" s="60">
        <v>82525.525402351297</v>
      </c>
      <c r="C26" s="60">
        <v>6</v>
      </c>
      <c r="D26" t="s">
        <v>71</v>
      </c>
      <c r="E26" s="66">
        <v>82525.525402351297</v>
      </c>
      <c r="M26" s="61" t="s">
        <v>4031</v>
      </c>
      <c r="AD26" t="s">
        <v>120</v>
      </c>
      <c r="AE26">
        <v>28872.83679733074</v>
      </c>
      <c r="AI26" t="s">
        <v>863</v>
      </c>
      <c r="AJ26" t="s">
        <v>788</v>
      </c>
      <c r="AK26">
        <f t="shared" si="0"/>
        <v>3</v>
      </c>
      <c r="AL26">
        <v>57469.449414841103</v>
      </c>
      <c r="AM26" s="64">
        <f t="shared" si="1"/>
        <v>2</v>
      </c>
      <c r="AN26">
        <v>58</v>
      </c>
      <c r="AS26" t="s">
        <v>72</v>
      </c>
      <c r="AT26">
        <v>10</v>
      </c>
    </row>
    <row r="27" spans="1:46" x14ac:dyDescent="0.2">
      <c r="A27" s="62" t="s">
        <v>751</v>
      </c>
      <c r="B27" s="60">
        <v>16449.976756585475</v>
      </c>
      <c r="C27" s="60">
        <v>6</v>
      </c>
      <c r="D27" t="s">
        <v>260</v>
      </c>
      <c r="E27" s="66">
        <v>16449.976756585475</v>
      </c>
      <c r="L27" s="61" t="s">
        <v>780</v>
      </c>
      <c r="M27" t="s">
        <v>4022</v>
      </c>
      <c r="N27" t="s">
        <v>4025</v>
      </c>
      <c r="O27" t="s">
        <v>4038</v>
      </c>
      <c r="P27" t="s">
        <v>4037</v>
      </c>
      <c r="Q27" t="s">
        <v>4039</v>
      </c>
      <c r="AD27" t="s">
        <v>191</v>
      </c>
      <c r="AE27">
        <v>24996.133222785022</v>
      </c>
      <c r="AI27" t="s">
        <v>863</v>
      </c>
      <c r="AJ27" t="s">
        <v>867</v>
      </c>
      <c r="AK27">
        <f t="shared" si="0"/>
        <v>3</v>
      </c>
      <c r="AL27">
        <v>83902.612935800164</v>
      </c>
      <c r="AM27" s="64">
        <f t="shared" si="1"/>
        <v>3</v>
      </c>
      <c r="AN27">
        <v>12</v>
      </c>
      <c r="AS27" t="s">
        <v>54</v>
      </c>
      <c r="AT27">
        <v>11</v>
      </c>
    </row>
    <row r="28" spans="1:46" x14ac:dyDescent="0.2">
      <c r="A28" s="62" t="s">
        <v>254</v>
      </c>
      <c r="B28" s="60">
        <v>34210.345381590014</v>
      </c>
      <c r="C28" s="60">
        <v>6</v>
      </c>
      <c r="D28" t="s">
        <v>255</v>
      </c>
      <c r="E28" s="66">
        <v>34210.345381590014</v>
      </c>
      <c r="L28" t="s">
        <v>817</v>
      </c>
      <c r="M28" s="60">
        <v>56254.205053704041</v>
      </c>
      <c r="N28" s="60">
        <v>121</v>
      </c>
      <c r="O28" s="60">
        <v>840</v>
      </c>
      <c r="P28" s="60">
        <v>90</v>
      </c>
      <c r="Q28" s="60">
        <v>9.3333333333333339</v>
      </c>
      <c r="R28">
        <f>O28/P28</f>
        <v>9.3333333333333339</v>
      </c>
      <c r="AD28" t="s">
        <v>253</v>
      </c>
      <c r="AE28">
        <v>17479.292364753517</v>
      </c>
      <c r="AI28" t="s">
        <v>863</v>
      </c>
      <c r="AJ28" t="s">
        <v>792</v>
      </c>
      <c r="AK28">
        <f t="shared" si="0"/>
        <v>3</v>
      </c>
      <c r="AL28">
        <v>109281.69352999836</v>
      </c>
      <c r="AM28" s="64">
        <f t="shared" si="1"/>
        <v>4</v>
      </c>
      <c r="AN28">
        <v>6</v>
      </c>
      <c r="AS28" t="s">
        <v>225</v>
      </c>
      <c r="AT28">
        <v>12</v>
      </c>
    </row>
    <row r="29" spans="1:46" x14ac:dyDescent="0.2">
      <c r="A29" s="62" t="s">
        <v>92</v>
      </c>
      <c r="B29" s="60">
        <v>56952.725049143286</v>
      </c>
      <c r="C29" s="60">
        <v>6</v>
      </c>
      <c r="D29" t="s">
        <v>93</v>
      </c>
      <c r="E29" s="66">
        <v>56952.725049143286</v>
      </c>
      <c r="L29" t="s">
        <v>788</v>
      </c>
      <c r="M29" s="60">
        <v>47076.271579145701</v>
      </c>
      <c r="N29" s="60">
        <v>694</v>
      </c>
      <c r="O29" s="60">
        <v>3596.2999999999997</v>
      </c>
      <c r="P29" s="60">
        <v>493</v>
      </c>
      <c r="Q29" s="60">
        <v>7.2947261663285996</v>
      </c>
      <c r="R29">
        <f t="shared" ref="R29:R37" si="2">O29/P29</f>
        <v>7.2947261663285996</v>
      </c>
      <c r="AD29" t="s">
        <v>260</v>
      </c>
      <c r="AE29">
        <v>16449.976756585475</v>
      </c>
      <c r="AI29" t="s">
        <v>863</v>
      </c>
      <c r="AJ29" t="s">
        <v>813</v>
      </c>
      <c r="AK29">
        <f t="shared" si="0"/>
        <v>3</v>
      </c>
      <c r="AL29">
        <v>114272.92472487809</v>
      </c>
      <c r="AM29" s="64">
        <f t="shared" si="1"/>
        <v>5</v>
      </c>
      <c r="AN29">
        <v>6</v>
      </c>
      <c r="AS29" t="s">
        <v>283</v>
      </c>
      <c r="AT29">
        <v>13</v>
      </c>
    </row>
    <row r="30" spans="1:46" x14ac:dyDescent="0.2">
      <c r="A30" s="62" t="s">
        <v>2175</v>
      </c>
      <c r="B30" s="60">
        <v>47258.859130487806</v>
      </c>
      <c r="C30" s="60">
        <v>6</v>
      </c>
      <c r="D30" t="s">
        <v>131</v>
      </c>
      <c r="E30" s="66">
        <v>47258.859130487806</v>
      </c>
      <c r="L30" t="s">
        <v>867</v>
      </c>
      <c r="M30" s="60">
        <v>64329.565583209107</v>
      </c>
      <c r="N30" s="60">
        <v>84</v>
      </c>
      <c r="O30" s="60">
        <v>490</v>
      </c>
      <c r="P30" s="60">
        <v>53</v>
      </c>
      <c r="Q30" s="60">
        <v>9.2452830188679247</v>
      </c>
      <c r="R30">
        <f t="shared" si="2"/>
        <v>9.2452830188679247</v>
      </c>
      <c r="AD30" t="s">
        <v>118</v>
      </c>
      <c r="AE30">
        <v>13529.430894182482</v>
      </c>
      <c r="AI30" t="s">
        <v>863</v>
      </c>
      <c r="AJ30" t="s">
        <v>802</v>
      </c>
      <c r="AK30">
        <f t="shared" si="0"/>
        <v>3</v>
      </c>
      <c r="AL30">
        <v>81372.725180708847</v>
      </c>
      <c r="AM30" s="64">
        <f t="shared" si="1"/>
        <v>6</v>
      </c>
      <c r="AN30">
        <v>5</v>
      </c>
      <c r="AS30" t="s">
        <v>749</v>
      </c>
      <c r="AT30">
        <v>14</v>
      </c>
    </row>
    <row r="31" spans="1:46" x14ac:dyDescent="0.2">
      <c r="A31" s="62" t="s">
        <v>3182</v>
      </c>
      <c r="B31" s="60">
        <v>123889.35329046159</v>
      </c>
      <c r="C31" s="60">
        <v>5</v>
      </c>
      <c r="L31" t="s">
        <v>792</v>
      </c>
      <c r="M31" s="60">
        <v>66864.484858455166</v>
      </c>
      <c r="N31" s="60">
        <v>55</v>
      </c>
      <c r="O31" s="60">
        <v>528</v>
      </c>
      <c r="P31" s="60">
        <v>45</v>
      </c>
      <c r="Q31" s="60">
        <v>11.733333333333333</v>
      </c>
      <c r="R31">
        <f t="shared" si="2"/>
        <v>11.733333333333333</v>
      </c>
      <c r="AD31" t="s">
        <v>241</v>
      </c>
      <c r="AE31">
        <v>11873.552586779413</v>
      </c>
      <c r="AI31" t="s">
        <v>863</v>
      </c>
      <c r="AJ31" t="s">
        <v>807</v>
      </c>
      <c r="AK31">
        <f t="shared" si="0"/>
        <v>3</v>
      </c>
      <c r="AL31">
        <v>66390.12811100109</v>
      </c>
      <c r="AM31" s="64">
        <f t="shared" si="1"/>
        <v>7</v>
      </c>
      <c r="AN31">
        <v>41</v>
      </c>
      <c r="AS31" t="s">
        <v>252</v>
      </c>
      <c r="AT31">
        <v>15</v>
      </c>
    </row>
    <row r="32" spans="1:46" x14ac:dyDescent="0.2">
      <c r="A32" s="62" t="s">
        <v>157</v>
      </c>
      <c r="B32" s="60">
        <v>12362</v>
      </c>
      <c r="C32" s="60">
        <v>5</v>
      </c>
      <c r="L32" t="s">
        <v>813</v>
      </c>
      <c r="M32" s="60">
        <v>98289.713681683977</v>
      </c>
      <c r="N32" s="60">
        <v>71</v>
      </c>
      <c r="O32" s="60">
        <v>598.5</v>
      </c>
      <c r="P32" s="60">
        <v>44</v>
      </c>
      <c r="Q32" s="60">
        <v>13.602272727272727</v>
      </c>
      <c r="R32">
        <f t="shared" si="2"/>
        <v>13.602272727272727</v>
      </c>
      <c r="AI32" t="s">
        <v>863</v>
      </c>
      <c r="AJ32" t="s">
        <v>836</v>
      </c>
      <c r="AK32">
        <f t="shared" si="0"/>
        <v>3</v>
      </c>
      <c r="AL32">
        <v>31939.07519316065</v>
      </c>
      <c r="AM32" s="64">
        <f t="shared" si="1"/>
        <v>9</v>
      </c>
      <c r="AN32">
        <v>4</v>
      </c>
      <c r="AS32" t="s">
        <v>290</v>
      </c>
      <c r="AT32">
        <v>16</v>
      </c>
    </row>
    <row r="33" spans="1:46" x14ac:dyDescent="0.2">
      <c r="A33" s="62" t="s">
        <v>292</v>
      </c>
      <c r="B33" s="60">
        <v>22921.154792448855</v>
      </c>
      <c r="C33" s="60">
        <v>5</v>
      </c>
      <c r="L33" t="s">
        <v>802</v>
      </c>
      <c r="M33" s="60">
        <v>52679.941362757236</v>
      </c>
      <c r="N33" s="60">
        <v>69</v>
      </c>
      <c r="O33" s="60">
        <v>382</v>
      </c>
      <c r="P33" s="60">
        <v>48</v>
      </c>
      <c r="Q33" s="60">
        <v>7.958333333333333</v>
      </c>
      <c r="R33">
        <f t="shared" si="2"/>
        <v>7.958333333333333</v>
      </c>
      <c r="AI33" t="s">
        <v>863</v>
      </c>
      <c r="AJ33" t="s">
        <v>820</v>
      </c>
      <c r="AK33">
        <f t="shared" si="0"/>
        <v>3</v>
      </c>
      <c r="AL33">
        <v>93624.989360796666</v>
      </c>
      <c r="AM33" s="64">
        <f t="shared" si="1"/>
        <v>10</v>
      </c>
      <c r="AN33">
        <v>5</v>
      </c>
      <c r="AS33" t="s">
        <v>256</v>
      </c>
      <c r="AT33">
        <v>17</v>
      </c>
    </row>
    <row r="34" spans="1:46" x14ac:dyDescent="0.2">
      <c r="A34" s="62" t="s">
        <v>331</v>
      </c>
      <c r="B34" s="60">
        <v>24716.347245901055</v>
      </c>
      <c r="C34" s="60">
        <v>5</v>
      </c>
      <c r="L34" t="s">
        <v>807</v>
      </c>
      <c r="M34" s="60">
        <v>46683.104881983985</v>
      </c>
      <c r="N34" s="60">
        <v>514</v>
      </c>
      <c r="O34" s="60">
        <v>3577.6</v>
      </c>
      <c r="P34" s="60">
        <v>361</v>
      </c>
      <c r="Q34" s="60">
        <v>9.9102493074792246</v>
      </c>
      <c r="R34">
        <f t="shared" si="2"/>
        <v>9.9102493074792246</v>
      </c>
      <c r="AI34" t="s">
        <v>33</v>
      </c>
      <c r="AJ34" t="s">
        <v>817</v>
      </c>
      <c r="AK34">
        <f t="shared" si="0"/>
        <v>4</v>
      </c>
      <c r="AL34">
        <v>92811.778732639854</v>
      </c>
      <c r="AM34" s="64">
        <f t="shared" si="1"/>
        <v>1</v>
      </c>
      <c r="AN34">
        <v>6</v>
      </c>
      <c r="AS34" t="s">
        <v>2</v>
      </c>
      <c r="AT34">
        <v>18</v>
      </c>
    </row>
    <row r="35" spans="1:46" x14ac:dyDescent="0.2">
      <c r="A35" s="62" t="s">
        <v>351</v>
      </c>
      <c r="B35" s="60">
        <v>61652.484774262724</v>
      </c>
      <c r="C35" s="60">
        <v>5</v>
      </c>
      <c r="L35" t="s">
        <v>888</v>
      </c>
      <c r="M35" s="60">
        <v>45952.334217962802</v>
      </c>
      <c r="N35" s="60">
        <v>7</v>
      </c>
      <c r="O35" s="60">
        <v>37</v>
      </c>
      <c r="P35" s="60">
        <v>6</v>
      </c>
      <c r="Q35" s="60">
        <v>6.166666666666667</v>
      </c>
      <c r="R35">
        <f t="shared" si="2"/>
        <v>6.166666666666667</v>
      </c>
      <c r="AI35" t="s">
        <v>33</v>
      </c>
      <c r="AJ35" t="s">
        <v>788</v>
      </c>
      <c r="AK35">
        <f t="shared" si="0"/>
        <v>4</v>
      </c>
      <c r="AL35">
        <v>86525.394195457935</v>
      </c>
      <c r="AM35" s="64">
        <f t="shared" si="1"/>
        <v>2</v>
      </c>
      <c r="AN35">
        <v>38</v>
      </c>
      <c r="AS35" t="s">
        <v>744</v>
      </c>
      <c r="AT35">
        <v>19</v>
      </c>
    </row>
    <row r="36" spans="1:46" x14ac:dyDescent="0.2">
      <c r="A36" s="62" t="s">
        <v>128</v>
      </c>
      <c r="B36" s="60">
        <v>66840</v>
      </c>
      <c r="C36" s="60">
        <v>5</v>
      </c>
      <c r="L36" t="s">
        <v>836</v>
      </c>
      <c r="M36" s="60">
        <v>19409.107948456251</v>
      </c>
      <c r="N36" s="60">
        <v>77</v>
      </c>
      <c r="O36" s="60">
        <v>343.9</v>
      </c>
      <c r="P36" s="60">
        <v>66</v>
      </c>
      <c r="Q36" s="60">
        <v>5.21060606060606</v>
      </c>
      <c r="R36">
        <f t="shared" si="2"/>
        <v>5.21060606060606</v>
      </c>
      <c r="AI36" t="s">
        <v>33</v>
      </c>
      <c r="AJ36" t="s">
        <v>867</v>
      </c>
      <c r="AK36">
        <f t="shared" si="0"/>
        <v>4</v>
      </c>
      <c r="AL36">
        <v>103302.27805563841</v>
      </c>
      <c r="AM36" s="64">
        <f t="shared" si="1"/>
        <v>3</v>
      </c>
      <c r="AN36">
        <v>7</v>
      </c>
      <c r="AS36" t="s">
        <v>119</v>
      </c>
      <c r="AT36">
        <v>20</v>
      </c>
    </row>
    <row r="37" spans="1:46" x14ac:dyDescent="0.2">
      <c r="A37" s="62" t="s">
        <v>271</v>
      </c>
      <c r="B37" s="60">
        <v>137525.55715529469</v>
      </c>
      <c r="C37" s="60">
        <v>4</v>
      </c>
      <c r="L37" t="s">
        <v>820</v>
      </c>
      <c r="M37" s="60">
        <v>61916.568790768935</v>
      </c>
      <c r="N37" s="60">
        <v>48</v>
      </c>
      <c r="O37" s="60">
        <v>250</v>
      </c>
      <c r="P37" s="60">
        <v>27</v>
      </c>
      <c r="Q37" s="60">
        <v>9.2592592592592595</v>
      </c>
      <c r="R37">
        <f t="shared" si="2"/>
        <v>9.2592592592592595</v>
      </c>
      <c r="AI37" t="s">
        <v>33</v>
      </c>
      <c r="AJ37" t="s">
        <v>792</v>
      </c>
      <c r="AK37">
        <f t="shared" si="0"/>
        <v>4</v>
      </c>
      <c r="AL37">
        <v>82952.652054081045</v>
      </c>
      <c r="AM37" s="64">
        <f t="shared" si="1"/>
        <v>4</v>
      </c>
      <c r="AN37">
        <v>3</v>
      </c>
      <c r="AS37" t="s">
        <v>2514</v>
      </c>
      <c r="AT37">
        <v>21</v>
      </c>
    </row>
    <row r="38" spans="1:46" x14ac:dyDescent="0.2">
      <c r="A38" s="62" t="s">
        <v>42</v>
      </c>
      <c r="B38" s="60">
        <v>41707.21358209449</v>
      </c>
      <c r="C38" s="60">
        <v>4</v>
      </c>
      <c r="L38" t="s">
        <v>4024</v>
      </c>
      <c r="M38" s="60">
        <v>50549.244799950196</v>
      </c>
      <c r="N38" s="60">
        <v>1740</v>
      </c>
      <c r="O38" s="60">
        <v>10643.300000000001</v>
      </c>
      <c r="P38" s="60">
        <v>1233</v>
      </c>
      <c r="Q38" s="60">
        <v>8.632035685320357</v>
      </c>
      <c r="AI38" t="s">
        <v>33</v>
      </c>
      <c r="AJ38" t="s">
        <v>813</v>
      </c>
      <c r="AK38">
        <f t="shared" si="0"/>
        <v>4</v>
      </c>
      <c r="AL38">
        <v>95191.567930912672</v>
      </c>
      <c r="AM38" s="64">
        <f t="shared" si="1"/>
        <v>5</v>
      </c>
      <c r="AN38">
        <v>3</v>
      </c>
      <c r="AS38" t="s">
        <v>233</v>
      </c>
      <c r="AT38">
        <v>22</v>
      </c>
    </row>
    <row r="39" spans="1:46" x14ac:dyDescent="0.2">
      <c r="A39" s="62" t="s">
        <v>329</v>
      </c>
      <c r="B39" s="60">
        <v>11650</v>
      </c>
      <c r="C39" s="60">
        <v>4</v>
      </c>
      <c r="AI39" t="s">
        <v>33</v>
      </c>
      <c r="AJ39" t="s">
        <v>802</v>
      </c>
      <c r="AK39">
        <f t="shared" si="0"/>
        <v>4</v>
      </c>
      <c r="AL39">
        <v>163695.49985262303</v>
      </c>
      <c r="AM39" s="64">
        <f t="shared" si="1"/>
        <v>6</v>
      </c>
      <c r="AN39">
        <v>2</v>
      </c>
      <c r="AS39" t="s">
        <v>92</v>
      </c>
      <c r="AT39">
        <v>23</v>
      </c>
    </row>
    <row r="40" spans="1:46" x14ac:dyDescent="0.2">
      <c r="A40" s="62" t="s">
        <v>1334</v>
      </c>
      <c r="B40" s="60">
        <v>32166.959188895635</v>
      </c>
      <c r="C40" s="60">
        <v>4</v>
      </c>
      <c r="AI40" t="s">
        <v>33</v>
      </c>
      <c r="AJ40" t="s">
        <v>807</v>
      </c>
      <c r="AK40">
        <f t="shared" si="0"/>
        <v>4</v>
      </c>
      <c r="AL40">
        <v>95631.029699178704</v>
      </c>
      <c r="AM40" s="64">
        <f t="shared" si="1"/>
        <v>7</v>
      </c>
      <c r="AN40">
        <v>19</v>
      </c>
      <c r="AS40" t="s">
        <v>70</v>
      </c>
      <c r="AT40">
        <v>24</v>
      </c>
    </row>
    <row r="41" spans="1:46" x14ac:dyDescent="0.2">
      <c r="A41" s="62" t="s">
        <v>231</v>
      </c>
      <c r="B41" s="60">
        <v>13494.896250642014</v>
      </c>
      <c r="C41" s="60">
        <v>3</v>
      </c>
      <c r="AI41" t="s">
        <v>33</v>
      </c>
      <c r="AJ41" t="s">
        <v>836</v>
      </c>
      <c r="AK41">
        <f t="shared" si="0"/>
        <v>4</v>
      </c>
      <c r="AL41">
        <v>85000</v>
      </c>
      <c r="AM41" s="64">
        <f t="shared" si="1"/>
        <v>9</v>
      </c>
      <c r="AN41">
        <v>1</v>
      </c>
      <c r="AS41" t="s">
        <v>254</v>
      </c>
      <c r="AT41">
        <v>25</v>
      </c>
    </row>
    <row r="42" spans="1:46" x14ac:dyDescent="0.2">
      <c r="A42" s="62" t="s">
        <v>923</v>
      </c>
      <c r="B42" s="60">
        <v>33515</v>
      </c>
      <c r="C42" s="60">
        <v>3</v>
      </c>
      <c r="AI42" t="s">
        <v>33</v>
      </c>
      <c r="AJ42" t="s">
        <v>820</v>
      </c>
      <c r="AK42">
        <f t="shared" si="0"/>
        <v>4</v>
      </c>
      <c r="AL42">
        <v>94851.598045445135</v>
      </c>
      <c r="AM42" s="64">
        <f t="shared" si="1"/>
        <v>10</v>
      </c>
      <c r="AN42">
        <v>2</v>
      </c>
      <c r="AS42" t="s">
        <v>751</v>
      </c>
      <c r="AT42">
        <v>26</v>
      </c>
    </row>
    <row r="43" spans="1:46" x14ac:dyDescent="0.2">
      <c r="A43" s="62" t="s">
        <v>103</v>
      </c>
      <c r="B43" s="60">
        <v>30066.120056134718</v>
      </c>
      <c r="C43" s="60">
        <v>3</v>
      </c>
      <c r="AI43" t="s">
        <v>143</v>
      </c>
      <c r="AJ43" t="s">
        <v>817</v>
      </c>
      <c r="AK43">
        <f t="shared" si="0"/>
        <v>5</v>
      </c>
      <c r="AL43">
        <v>680486.17393698625</v>
      </c>
      <c r="AM43" s="64">
        <f t="shared" si="1"/>
        <v>1</v>
      </c>
      <c r="AN43">
        <v>2</v>
      </c>
      <c r="AS43" t="s">
        <v>2175</v>
      </c>
      <c r="AT43">
        <v>27</v>
      </c>
    </row>
    <row r="44" spans="1:46" x14ac:dyDescent="0.2">
      <c r="A44" s="62" t="s">
        <v>149</v>
      </c>
      <c r="B44" s="60">
        <v>53066.666666666664</v>
      </c>
      <c r="C44" s="60">
        <v>3</v>
      </c>
      <c r="AI44" t="s">
        <v>143</v>
      </c>
      <c r="AJ44" t="s">
        <v>788</v>
      </c>
      <c r="AK44">
        <f t="shared" si="0"/>
        <v>5</v>
      </c>
      <c r="AL44">
        <v>63558.641342985735</v>
      </c>
      <c r="AM44" s="64">
        <f t="shared" si="1"/>
        <v>2</v>
      </c>
      <c r="AN44">
        <v>31</v>
      </c>
    </row>
    <row r="45" spans="1:46" x14ac:dyDescent="0.2">
      <c r="A45" s="62" t="s">
        <v>1581</v>
      </c>
      <c r="B45" s="60">
        <v>18000</v>
      </c>
      <c r="C45" s="60">
        <v>3</v>
      </c>
      <c r="AI45" t="s">
        <v>143</v>
      </c>
      <c r="AJ45" t="s">
        <v>867</v>
      </c>
      <c r="AK45">
        <f t="shared" si="0"/>
        <v>5</v>
      </c>
      <c r="AL45">
        <v>100958.44969778023</v>
      </c>
      <c r="AM45" s="64">
        <f t="shared" si="1"/>
        <v>3</v>
      </c>
      <c r="AN45">
        <v>3</v>
      </c>
    </row>
    <row r="46" spans="1:46" x14ac:dyDescent="0.2">
      <c r="A46" s="62" t="s">
        <v>90</v>
      </c>
      <c r="B46" s="60">
        <v>75389.415540034111</v>
      </c>
      <c r="C46" s="60">
        <v>3</v>
      </c>
      <c r="N46" s="61" t="s">
        <v>4031</v>
      </c>
      <c r="AI46" t="s">
        <v>143</v>
      </c>
      <c r="AJ46" t="s">
        <v>792</v>
      </c>
      <c r="AK46">
        <f t="shared" si="0"/>
        <v>5</v>
      </c>
      <c r="AL46">
        <v>89485.898595759732</v>
      </c>
      <c r="AM46" s="64">
        <f t="shared" si="1"/>
        <v>4</v>
      </c>
      <c r="AN46">
        <v>2</v>
      </c>
    </row>
    <row r="47" spans="1:46" x14ac:dyDescent="0.2">
      <c r="A47" s="62" t="s">
        <v>165</v>
      </c>
      <c r="B47" s="60">
        <v>43489.586535798582</v>
      </c>
      <c r="C47" s="60">
        <v>3</v>
      </c>
      <c r="L47" s="61" t="s">
        <v>782</v>
      </c>
      <c r="M47" s="61" t="s">
        <v>780</v>
      </c>
      <c r="N47" t="s">
        <v>4022</v>
      </c>
      <c r="O47" t="s">
        <v>4025</v>
      </c>
      <c r="AI47" t="s">
        <v>143</v>
      </c>
      <c r="AJ47" t="s">
        <v>813</v>
      </c>
      <c r="AK47">
        <f t="shared" si="0"/>
        <v>5</v>
      </c>
      <c r="AL47">
        <v>98336.152303032693</v>
      </c>
      <c r="AM47" s="64">
        <f t="shared" si="1"/>
        <v>5</v>
      </c>
      <c r="AN47">
        <v>1</v>
      </c>
    </row>
    <row r="48" spans="1:46" x14ac:dyDescent="0.2">
      <c r="A48" s="62" t="s">
        <v>133</v>
      </c>
      <c r="B48" s="60">
        <v>67564.774036395989</v>
      </c>
      <c r="C48" s="60">
        <v>3</v>
      </c>
      <c r="L48" t="s">
        <v>15</v>
      </c>
      <c r="M48" t="s">
        <v>817</v>
      </c>
      <c r="N48" s="60">
        <v>64737.190476190473</v>
      </c>
      <c r="O48" s="60">
        <v>42</v>
      </c>
      <c r="AI48" t="s">
        <v>143</v>
      </c>
      <c r="AJ48" t="s">
        <v>802</v>
      </c>
      <c r="AK48">
        <f t="shared" si="0"/>
        <v>5</v>
      </c>
      <c r="AL48">
        <v>68835.306612122877</v>
      </c>
      <c r="AM48" s="64">
        <f t="shared" si="1"/>
        <v>6</v>
      </c>
      <c r="AN48">
        <v>1</v>
      </c>
    </row>
    <row r="49" spans="1:40" x14ac:dyDescent="0.2">
      <c r="A49" s="62" t="s">
        <v>167</v>
      </c>
      <c r="B49" s="60">
        <v>42666.666666666664</v>
      </c>
      <c r="C49" s="60">
        <v>3</v>
      </c>
      <c r="L49" t="s">
        <v>15</v>
      </c>
      <c r="M49" t="s">
        <v>788</v>
      </c>
      <c r="N49" s="60">
        <v>62583.737373737371</v>
      </c>
      <c r="O49" s="60">
        <v>297</v>
      </c>
      <c r="AI49" t="s">
        <v>143</v>
      </c>
      <c r="AJ49" t="s">
        <v>807</v>
      </c>
      <c r="AK49">
        <f t="shared" si="0"/>
        <v>5</v>
      </c>
      <c r="AL49">
        <v>70334.475671635912</v>
      </c>
      <c r="AM49" s="64">
        <f t="shared" si="1"/>
        <v>7</v>
      </c>
      <c r="AN49">
        <v>16</v>
      </c>
    </row>
    <row r="50" spans="1:40" x14ac:dyDescent="0.2">
      <c r="A50" s="62" t="s">
        <v>308</v>
      </c>
      <c r="B50" s="60">
        <v>73000</v>
      </c>
      <c r="C50" s="60">
        <v>2</v>
      </c>
      <c r="L50" t="s">
        <v>15</v>
      </c>
      <c r="M50" t="s">
        <v>867</v>
      </c>
      <c r="N50" s="60">
        <v>98388.888888888891</v>
      </c>
      <c r="O50" s="60">
        <v>18</v>
      </c>
      <c r="AI50" t="s">
        <v>143</v>
      </c>
      <c r="AJ50" t="s">
        <v>820</v>
      </c>
      <c r="AK50">
        <f t="shared" si="0"/>
        <v>5</v>
      </c>
      <c r="AL50">
        <v>51356.055540258822</v>
      </c>
      <c r="AM50" s="64">
        <f t="shared" si="1"/>
        <v>10</v>
      </c>
      <c r="AN50">
        <v>2</v>
      </c>
    </row>
    <row r="51" spans="1:40" x14ac:dyDescent="0.2">
      <c r="A51" s="62" t="s">
        <v>38</v>
      </c>
      <c r="B51" s="60">
        <v>10299.008645025993</v>
      </c>
      <c r="C51" s="60">
        <v>2</v>
      </c>
      <c r="L51" t="s">
        <v>15</v>
      </c>
      <c r="M51" t="s">
        <v>792</v>
      </c>
      <c r="N51" s="60">
        <v>87813.23529411765</v>
      </c>
      <c r="O51" s="60">
        <v>17</v>
      </c>
      <c r="AI51" t="s">
        <v>240</v>
      </c>
      <c r="AJ51" t="s">
        <v>817</v>
      </c>
      <c r="AK51">
        <f t="shared" si="0"/>
        <v>6</v>
      </c>
      <c r="AL51">
        <v>4633.3537123836695</v>
      </c>
      <c r="AM51" s="64">
        <f t="shared" si="1"/>
        <v>1</v>
      </c>
      <c r="AN51">
        <v>4</v>
      </c>
    </row>
    <row r="52" spans="1:40" x14ac:dyDescent="0.2">
      <c r="A52" s="62" t="s">
        <v>3016</v>
      </c>
      <c r="B52" s="60">
        <v>17700</v>
      </c>
      <c r="C52" s="60">
        <v>2</v>
      </c>
      <c r="L52" t="s">
        <v>15</v>
      </c>
      <c r="M52" t="s">
        <v>813</v>
      </c>
      <c r="N52" s="60">
        <v>125615.38461538461</v>
      </c>
      <c r="O52" s="60">
        <v>39</v>
      </c>
      <c r="AI52" t="s">
        <v>240</v>
      </c>
      <c r="AJ52" t="s">
        <v>788</v>
      </c>
      <c r="AK52">
        <f t="shared" si="0"/>
        <v>6</v>
      </c>
      <c r="AL52">
        <v>14887</v>
      </c>
      <c r="AM52" s="64">
        <f t="shared" si="1"/>
        <v>2</v>
      </c>
      <c r="AN52">
        <v>6</v>
      </c>
    </row>
    <row r="53" spans="1:40" x14ac:dyDescent="0.2">
      <c r="A53" s="62" t="s">
        <v>3088</v>
      </c>
      <c r="B53" s="60">
        <v>87167.974754622352</v>
      </c>
      <c r="C53" s="60">
        <v>2</v>
      </c>
      <c r="L53" t="s">
        <v>15</v>
      </c>
      <c r="M53" t="s">
        <v>802</v>
      </c>
      <c r="N53" s="60">
        <v>72056.153846153844</v>
      </c>
      <c r="O53" s="60">
        <v>26</v>
      </c>
      <c r="AI53" t="s">
        <v>240</v>
      </c>
      <c r="AJ53" t="s">
        <v>867</v>
      </c>
      <c r="AK53">
        <f t="shared" si="0"/>
        <v>6</v>
      </c>
      <c r="AL53">
        <v>12899.157665919436</v>
      </c>
      <c r="AM53" s="64">
        <f t="shared" si="1"/>
        <v>3</v>
      </c>
      <c r="AN53">
        <v>4</v>
      </c>
    </row>
    <row r="54" spans="1:40" x14ac:dyDescent="0.2">
      <c r="A54" s="62" t="s">
        <v>269</v>
      </c>
      <c r="B54" s="60">
        <v>84477.260092140481</v>
      </c>
      <c r="C54" s="60">
        <v>2</v>
      </c>
      <c r="L54" t="s">
        <v>15</v>
      </c>
      <c r="M54" t="s">
        <v>807</v>
      </c>
      <c r="N54" s="60">
        <v>77581.710344827588</v>
      </c>
      <c r="O54" s="60">
        <v>145</v>
      </c>
      <c r="AI54" t="s">
        <v>240</v>
      </c>
      <c r="AJ54" t="s">
        <v>792</v>
      </c>
      <c r="AK54">
        <f t="shared" si="0"/>
        <v>6</v>
      </c>
      <c r="AL54">
        <v>48000</v>
      </c>
      <c r="AM54" s="64">
        <f t="shared" si="1"/>
        <v>4</v>
      </c>
      <c r="AN54">
        <v>1</v>
      </c>
    </row>
    <row r="55" spans="1:40" x14ac:dyDescent="0.2">
      <c r="A55" s="62" t="s">
        <v>1868</v>
      </c>
      <c r="B55" s="60">
        <v>17046.090103460039</v>
      </c>
      <c r="C55" s="60">
        <v>2</v>
      </c>
      <c r="L55" t="s">
        <v>15</v>
      </c>
      <c r="M55" t="s">
        <v>888</v>
      </c>
      <c r="N55" s="60">
        <v>83820.333333333328</v>
      </c>
      <c r="O55" s="60">
        <v>3</v>
      </c>
      <c r="AI55" t="s">
        <v>240</v>
      </c>
      <c r="AJ55" t="s">
        <v>807</v>
      </c>
      <c r="AK55">
        <f t="shared" si="0"/>
        <v>6</v>
      </c>
      <c r="AL55">
        <v>10382.341810335902</v>
      </c>
      <c r="AM55" s="64">
        <f t="shared" si="1"/>
        <v>7</v>
      </c>
      <c r="AN55">
        <v>13</v>
      </c>
    </row>
    <row r="56" spans="1:40" x14ac:dyDescent="0.2">
      <c r="A56" s="62" t="s">
        <v>321</v>
      </c>
      <c r="B56" s="60">
        <v>48000</v>
      </c>
      <c r="C56" s="60">
        <v>2</v>
      </c>
      <c r="L56" t="s">
        <v>15</v>
      </c>
      <c r="M56" t="s">
        <v>836</v>
      </c>
      <c r="N56" s="60">
        <v>58200</v>
      </c>
      <c r="O56" s="60">
        <v>5</v>
      </c>
      <c r="AI56" t="s">
        <v>240</v>
      </c>
      <c r="AJ56" t="s">
        <v>836</v>
      </c>
      <c r="AK56">
        <f t="shared" si="0"/>
        <v>6</v>
      </c>
      <c r="AL56">
        <v>1910.5359690238436</v>
      </c>
      <c r="AM56" s="64">
        <f t="shared" si="1"/>
        <v>9</v>
      </c>
      <c r="AN56">
        <v>1</v>
      </c>
    </row>
    <row r="57" spans="1:40" x14ac:dyDescent="0.2">
      <c r="A57" s="62" t="s">
        <v>265</v>
      </c>
      <c r="B57" s="60">
        <v>13000</v>
      </c>
      <c r="C57" s="60">
        <v>2</v>
      </c>
      <c r="L57" t="s">
        <v>15</v>
      </c>
      <c r="M57" t="s">
        <v>820</v>
      </c>
      <c r="N57" s="60">
        <v>69800</v>
      </c>
      <c r="O57" s="60">
        <v>25</v>
      </c>
      <c r="AI57" t="s">
        <v>228</v>
      </c>
      <c r="AJ57" t="s">
        <v>817</v>
      </c>
      <c r="AK57">
        <f t="shared" si="0"/>
        <v>7</v>
      </c>
      <c r="AL57">
        <v>62564.631571458704</v>
      </c>
      <c r="AM57" s="64">
        <f t="shared" si="1"/>
        <v>1</v>
      </c>
      <c r="AN57">
        <v>1</v>
      </c>
    </row>
    <row r="58" spans="1:40" x14ac:dyDescent="0.2">
      <c r="A58" s="62" t="s">
        <v>244</v>
      </c>
      <c r="B58" s="60">
        <v>44759.985974790194</v>
      </c>
      <c r="C58" s="60">
        <v>2</v>
      </c>
      <c r="L58" t="s">
        <v>4024</v>
      </c>
      <c r="N58" s="60">
        <v>72738.12965964344</v>
      </c>
      <c r="O58" s="60">
        <v>617</v>
      </c>
      <c r="AI58" t="s">
        <v>228</v>
      </c>
      <c r="AJ58" t="s">
        <v>788</v>
      </c>
      <c r="AK58">
        <f t="shared" si="0"/>
        <v>7</v>
      </c>
      <c r="AL58">
        <v>62090.772580714816</v>
      </c>
      <c r="AM58" s="64">
        <f t="shared" si="1"/>
        <v>2</v>
      </c>
      <c r="AN58">
        <v>12</v>
      </c>
    </row>
    <row r="59" spans="1:40" x14ac:dyDescent="0.2">
      <c r="A59" s="62" t="s">
        <v>285</v>
      </c>
      <c r="B59" s="60">
        <v>13000</v>
      </c>
      <c r="C59" s="60">
        <v>1</v>
      </c>
      <c r="AI59" t="s">
        <v>228</v>
      </c>
      <c r="AJ59" t="s">
        <v>867</v>
      </c>
      <c r="AK59">
        <f t="shared" si="0"/>
        <v>7</v>
      </c>
      <c r="AL59">
        <v>38111.983169748237</v>
      </c>
      <c r="AM59" s="64">
        <f t="shared" si="1"/>
        <v>3</v>
      </c>
      <c r="AN59">
        <v>1</v>
      </c>
    </row>
    <row r="60" spans="1:40" x14ac:dyDescent="0.2">
      <c r="A60" s="62" t="s">
        <v>343</v>
      </c>
      <c r="B60" s="60">
        <v>10000</v>
      </c>
      <c r="C60" s="60">
        <v>1</v>
      </c>
      <c r="AI60" t="s">
        <v>228</v>
      </c>
      <c r="AJ60" t="s">
        <v>792</v>
      </c>
      <c r="AK60">
        <f t="shared" si="0"/>
        <v>7</v>
      </c>
      <c r="AL60">
        <v>71142.368583530042</v>
      </c>
      <c r="AM60" s="64">
        <f t="shared" si="1"/>
        <v>4</v>
      </c>
      <c r="AN60">
        <v>2</v>
      </c>
    </row>
    <row r="61" spans="1:40" x14ac:dyDescent="0.2">
      <c r="A61" s="62" t="s">
        <v>11</v>
      </c>
      <c r="B61" s="60">
        <v>20571</v>
      </c>
      <c r="C61" s="60">
        <v>1</v>
      </c>
      <c r="AI61" t="s">
        <v>228</v>
      </c>
      <c r="AJ61" t="s">
        <v>802</v>
      </c>
      <c r="AK61">
        <f t="shared" si="0"/>
        <v>7</v>
      </c>
      <c r="AL61">
        <v>64790.371388571999</v>
      </c>
      <c r="AM61" s="64">
        <f t="shared" si="1"/>
        <v>6</v>
      </c>
      <c r="AN61">
        <v>2</v>
      </c>
    </row>
    <row r="62" spans="1:40" x14ac:dyDescent="0.2">
      <c r="A62" s="62" t="s">
        <v>182</v>
      </c>
      <c r="B62" s="60">
        <v>15000</v>
      </c>
      <c r="C62" s="60">
        <v>1</v>
      </c>
      <c r="AI62" t="s">
        <v>228</v>
      </c>
      <c r="AJ62" t="s">
        <v>807</v>
      </c>
      <c r="AK62">
        <f t="shared" si="0"/>
        <v>7</v>
      </c>
      <c r="AL62">
        <v>76859.166058992269</v>
      </c>
      <c r="AM62" s="64">
        <f t="shared" si="1"/>
        <v>7</v>
      </c>
      <c r="AN62">
        <v>4</v>
      </c>
    </row>
    <row r="63" spans="1:40" x14ac:dyDescent="0.2">
      <c r="A63" s="62" t="s">
        <v>1218</v>
      </c>
      <c r="B63" s="60">
        <v>78000</v>
      </c>
      <c r="C63" s="60">
        <v>1</v>
      </c>
      <c r="AI63" t="s">
        <v>228</v>
      </c>
      <c r="AJ63" t="s">
        <v>836</v>
      </c>
      <c r="AK63">
        <f t="shared" si="0"/>
        <v>7</v>
      </c>
      <c r="AL63">
        <v>254079.88779832155</v>
      </c>
      <c r="AM63" s="64">
        <f t="shared" si="1"/>
        <v>9</v>
      </c>
      <c r="AN63">
        <v>1</v>
      </c>
    </row>
    <row r="64" spans="1:40" x14ac:dyDescent="0.2">
      <c r="A64" s="62" t="s">
        <v>1001</v>
      </c>
      <c r="B64" s="60">
        <v>21000</v>
      </c>
      <c r="C64" s="60">
        <v>1</v>
      </c>
      <c r="AI64" t="s">
        <v>1022</v>
      </c>
      <c r="AJ64" t="s">
        <v>817</v>
      </c>
      <c r="AK64">
        <f t="shared" si="0"/>
        <v>8</v>
      </c>
      <c r="AL64">
        <v>27000</v>
      </c>
      <c r="AM64" s="64">
        <f t="shared" si="1"/>
        <v>1</v>
      </c>
      <c r="AN64">
        <v>4</v>
      </c>
    </row>
    <row r="65" spans="1:40" x14ac:dyDescent="0.2">
      <c r="A65" s="62" t="s">
        <v>111</v>
      </c>
      <c r="B65" s="60">
        <v>6000</v>
      </c>
      <c r="C65" s="60">
        <v>1</v>
      </c>
      <c r="L65" s="61" t="s">
        <v>782</v>
      </c>
      <c r="M65" t="s">
        <v>4030</v>
      </c>
      <c r="AI65" t="s">
        <v>1022</v>
      </c>
      <c r="AJ65" t="s">
        <v>788</v>
      </c>
      <c r="AK65">
        <f t="shared" si="0"/>
        <v>8</v>
      </c>
      <c r="AL65">
        <v>31677.69952987742</v>
      </c>
      <c r="AM65" s="64">
        <f t="shared" si="1"/>
        <v>2</v>
      </c>
      <c r="AN65">
        <v>4</v>
      </c>
    </row>
    <row r="66" spans="1:40" x14ac:dyDescent="0.2">
      <c r="A66" s="62" t="s">
        <v>204</v>
      </c>
      <c r="B66" s="60">
        <v>9376.2513877177607</v>
      </c>
      <c r="C66" s="60">
        <v>1</v>
      </c>
      <c r="AI66" t="s">
        <v>1022</v>
      </c>
      <c r="AJ66" t="s">
        <v>792</v>
      </c>
      <c r="AK66">
        <f t="shared" si="0"/>
        <v>8</v>
      </c>
      <c r="AL66">
        <v>70250</v>
      </c>
      <c r="AM66" s="64">
        <f t="shared" si="1"/>
        <v>4</v>
      </c>
      <c r="AN66">
        <v>2</v>
      </c>
    </row>
    <row r="67" spans="1:40" x14ac:dyDescent="0.2">
      <c r="A67" s="62" t="s">
        <v>327</v>
      </c>
      <c r="B67" s="60">
        <v>100000</v>
      </c>
      <c r="C67" s="60">
        <v>1</v>
      </c>
      <c r="N67" s="61" t="s">
        <v>4031</v>
      </c>
      <c r="AI67" t="s">
        <v>1022</v>
      </c>
      <c r="AJ67" t="s">
        <v>802</v>
      </c>
      <c r="AK67">
        <f t="shared" si="0"/>
        <v>8</v>
      </c>
      <c r="AL67">
        <v>36000</v>
      </c>
      <c r="AM67" s="64">
        <f t="shared" si="1"/>
        <v>6</v>
      </c>
      <c r="AN67">
        <v>1</v>
      </c>
    </row>
    <row r="68" spans="1:40" x14ac:dyDescent="0.2">
      <c r="A68" s="62" t="s">
        <v>66</v>
      </c>
      <c r="B68" s="60">
        <v>28109.627547434993</v>
      </c>
      <c r="C68" s="60">
        <v>1</v>
      </c>
      <c r="L68" s="61" t="s">
        <v>780</v>
      </c>
      <c r="M68" s="61" t="s">
        <v>783</v>
      </c>
      <c r="N68" t="s">
        <v>4025</v>
      </c>
      <c r="O68" t="s">
        <v>4022</v>
      </c>
      <c r="P68" t="s">
        <v>4039</v>
      </c>
      <c r="AI68" t="s">
        <v>1022</v>
      </c>
      <c r="AJ68" t="s">
        <v>807</v>
      </c>
      <c r="AK68">
        <f t="shared" si="0"/>
        <v>8</v>
      </c>
      <c r="AL68">
        <v>50759.038190313899</v>
      </c>
      <c r="AM68" s="64">
        <f t="shared" si="1"/>
        <v>7</v>
      </c>
      <c r="AN68">
        <v>8</v>
      </c>
    </row>
    <row r="69" spans="1:40" x14ac:dyDescent="0.2">
      <c r="A69" s="62" t="s">
        <v>2806</v>
      </c>
      <c r="B69" s="60">
        <v>15404.364569961488</v>
      </c>
      <c r="C69" s="60">
        <v>1</v>
      </c>
      <c r="L69" t="s">
        <v>788</v>
      </c>
      <c r="M69" t="s">
        <v>808</v>
      </c>
      <c r="N69" s="60">
        <v>50</v>
      </c>
      <c r="O69" s="60">
        <v>45021.735675700198</v>
      </c>
      <c r="P69" s="60">
        <v>7.6000000000000005</v>
      </c>
      <c r="AI69" t="s">
        <v>294</v>
      </c>
      <c r="AJ69" t="s">
        <v>817</v>
      </c>
      <c r="AK69">
        <f t="shared" si="0"/>
        <v>9</v>
      </c>
      <c r="AL69">
        <v>36957.661442724799</v>
      </c>
      <c r="AM69" s="64">
        <f t="shared" si="1"/>
        <v>1</v>
      </c>
      <c r="AN69">
        <v>2</v>
      </c>
    </row>
    <row r="70" spans="1:40" x14ac:dyDescent="0.2">
      <c r="A70" s="62" t="s">
        <v>212</v>
      </c>
      <c r="B70" s="60">
        <v>7261.724659606657</v>
      </c>
      <c r="C70" s="60">
        <v>1</v>
      </c>
      <c r="M70" t="s">
        <v>799</v>
      </c>
      <c r="N70" s="60">
        <v>128</v>
      </c>
      <c r="O70" s="60">
        <v>49847.429882688688</v>
      </c>
      <c r="P70" s="60">
        <v>8.0829787234042545</v>
      </c>
      <c r="AI70" t="s">
        <v>294</v>
      </c>
      <c r="AJ70" t="s">
        <v>788</v>
      </c>
      <c r="AK70">
        <f t="shared" ref="AK70:AK133" si="3">VLOOKUP(AI70,$AS$17:$AT$43,2,0)</f>
        <v>9</v>
      </c>
      <c r="AL70">
        <v>44070.894052411735</v>
      </c>
      <c r="AM70" s="64">
        <f t="shared" ref="AM70:AM133" si="4">VLOOKUP(AJ70,$AS$5:$AT$15,2,0)</f>
        <v>2</v>
      </c>
      <c r="AN70">
        <v>5</v>
      </c>
    </row>
    <row r="71" spans="1:40" x14ac:dyDescent="0.2">
      <c r="A71" s="62" t="s">
        <v>1783</v>
      </c>
      <c r="B71" s="60">
        <v>50000</v>
      </c>
      <c r="C71" s="60">
        <v>1</v>
      </c>
      <c r="M71" t="s">
        <v>789</v>
      </c>
      <c r="N71" s="60">
        <v>316</v>
      </c>
      <c r="O71" s="60">
        <v>47571.594891279143</v>
      </c>
      <c r="P71" s="60">
        <v>7.3713004484304934</v>
      </c>
      <c r="AI71" t="s">
        <v>294</v>
      </c>
      <c r="AJ71" t="s">
        <v>867</v>
      </c>
      <c r="AK71">
        <f t="shared" si="3"/>
        <v>9</v>
      </c>
      <c r="AL71">
        <v>82000</v>
      </c>
      <c r="AM71" s="64">
        <f t="shared" si="4"/>
        <v>3</v>
      </c>
      <c r="AN71">
        <v>1</v>
      </c>
    </row>
    <row r="72" spans="1:40" x14ac:dyDescent="0.2">
      <c r="A72" s="62" t="s">
        <v>214</v>
      </c>
      <c r="B72" s="60">
        <v>13500</v>
      </c>
      <c r="C72" s="60">
        <v>1</v>
      </c>
      <c r="M72" t="s">
        <v>794</v>
      </c>
      <c r="N72" s="60">
        <v>195</v>
      </c>
      <c r="O72" s="60">
        <v>44570.753902359298</v>
      </c>
      <c r="P72" s="60">
        <v>6.6007194244604319</v>
      </c>
      <c r="AI72" t="s">
        <v>294</v>
      </c>
      <c r="AJ72" t="s">
        <v>792</v>
      </c>
      <c r="AK72">
        <f t="shared" si="3"/>
        <v>9</v>
      </c>
      <c r="AL72">
        <v>9509.8988293070688</v>
      </c>
      <c r="AM72" s="64">
        <f t="shared" si="4"/>
        <v>4</v>
      </c>
      <c r="AN72">
        <v>1</v>
      </c>
    </row>
    <row r="73" spans="1:40" x14ac:dyDescent="0.2">
      <c r="A73" s="62" t="s">
        <v>754</v>
      </c>
      <c r="B73" s="60">
        <v>78000</v>
      </c>
      <c r="C73" s="60">
        <v>1</v>
      </c>
      <c r="M73" t="s">
        <v>1033</v>
      </c>
      <c r="N73" s="60">
        <v>5</v>
      </c>
      <c r="O73" s="60">
        <v>63090.734110736055</v>
      </c>
      <c r="P73" s="60">
        <v>1.6</v>
      </c>
      <c r="AI73" t="s">
        <v>294</v>
      </c>
      <c r="AJ73" t="s">
        <v>813</v>
      </c>
      <c r="AK73">
        <f t="shared" si="3"/>
        <v>9</v>
      </c>
      <c r="AL73">
        <v>69815.306791774667</v>
      </c>
      <c r="AM73" s="64">
        <f t="shared" si="4"/>
        <v>5</v>
      </c>
      <c r="AN73">
        <v>2</v>
      </c>
    </row>
    <row r="74" spans="1:40" x14ac:dyDescent="0.2">
      <c r="A74" s="62" t="s">
        <v>198</v>
      </c>
      <c r="B74" s="60">
        <v>13745.704467353951</v>
      </c>
      <c r="C74" s="60">
        <v>1</v>
      </c>
      <c r="L74" t="s">
        <v>807</v>
      </c>
      <c r="M74" t="s">
        <v>808</v>
      </c>
      <c r="N74" s="60">
        <v>59</v>
      </c>
      <c r="O74" s="60">
        <v>58800.181029965359</v>
      </c>
      <c r="P74" s="60">
        <v>11.859523809523811</v>
      </c>
      <c r="AI74" t="s">
        <v>294</v>
      </c>
      <c r="AJ74" t="s">
        <v>807</v>
      </c>
      <c r="AK74">
        <f t="shared" si="3"/>
        <v>9</v>
      </c>
      <c r="AL74">
        <v>64096.11386518865</v>
      </c>
      <c r="AM74" s="64">
        <f t="shared" si="4"/>
        <v>7</v>
      </c>
      <c r="AN74">
        <v>5</v>
      </c>
    </row>
    <row r="75" spans="1:40" x14ac:dyDescent="0.2">
      <c r="A75" s="62" t="s">
        <v>1776</v>
      </c>
      <c r="B75" s="60">
        <v>95000</v>
      </c>
      <c r="C75" s="60">
        <v>1</v>
      </c>
      <c r="M75" t="s">
        <v>799</v>
      </c>
      <c r="N75" s="60">
        <v>157</v>
      </c>
      <c r="O75" s="60">
        <v>47650.392661857601</v>
      </c>
      <c r="P75" s="60">
        <v>10.229906542056074</v>
      </c>
      <c r="AI75" t="s">
        <v>294</v>
      </c>
      <c r="AJ75" t="s">
        <v>836</v>
      </c>
      <c r="AK75">
        <f t="shared" si="3"/>
        <v>9</v>
      </c>
      <c r="AL75">
        <v>28500</v>
      </c>
      <c r="AM75" s="64">
        <f t="shared" si="4"/>
        <v>9</v>
      </c>
      <c r="AN75">
        <v>2</v>
      </c>
    </row>
    <row r="76" spans="1:40" x14ac:dyDescent="0.2">
      <c r="A76" s="62" t="s">
        <v>1678</v>
      </c>
      <c r="B76" s="60">
        <v>24000</v>
      </c>
      <c r="C76" s="60">
        <v>1</v>
      </c>
      <c r="M76" t="s">
        <v>789</v>
      </c>
      <c r="N76" s="60">
        <v>198</v>
      </c>
      <c r="O76" s="60">
        <v>48005.841925370354</v>
      </c>
      <c r="P76" s="60">
        <v>9.1240875912408761</v>
      </c>
      <c r="AI76" t="s">
        <v>294</v>
      </c>
      <c r="AJ76" t="s">
        <v>820</v>
      </c>
      <c r="AK76">
        <f t="shared" si="3"/>
        <v>9</v>
      </c>
      <c r="AL76">
        <v>38666</v>
      </c>
      <c r="AM76" s="64">
        <f t="shared" si="4"/>
        <v>10</v>
      </c>
      <c r="AN76">
        <v>1</v>
      </c>
    </row>
    <row r="77" spans="1:40" x14ac:dyDescent="0.2">
      <c r="A77" s="62" t="s">
        <v>171</v>
      </c>
      <c r="B77" s="60">
        <v>177600</v>
      </c>
      <c r="C77" s="60">
        <v>1</v>
      </c>
      <c r="M77" t="s">
        <v>794</v>
      </c>
      <c r="N77" s="60">
        <v>98</v>
      </c>
      <c r="O77" s="60">
        <v>35230.988565682208</v>
      </c>
      <c r="P77" s="60">
        <v>9.8479452054794532</v>
      </c>
      <c r="AI77" t="s">
        <v>72</v>
      </c>
      <c r="AJ77" t="s">
        <v>788</v>
      </c>
      <c r="AK77">
        <f t="shared" si="3"/>
        <v>10</v>
      </c>
      <c r="AL77">
        <v>74545.578120672697</v>
      </c>
      <c r="AM77" s="64">
        <f t="shared" si="4"/>
        <v>2</v>
      </c>
      <c r="AN77">
        <v>4</v>
      </c>
    </row>
    <row r="78" spans="1:40" x14ac:dyDescent="0.2">
      <c r="A78" s="62" t="s">
        <v>151</v>
      </c>
      <c r="B78" s="60">
        <v>51497.005988023957</v>
      </c>
      <c r="C78" s="60">
        <v>1</v>
      </c>
      <c r="M78" t="s">
        <v>1033</v>
      </c>
      <c r="N78" s="60">
        <v>2</v>
      </c>
      <c r="O78" s="60">
        <v>43500</v>
      </c>
      <c r="P78" s="60">
        <v>8</v>
      </c>
      <c r="AI78" t="s">
        <v>72</v>
      </c>
      <c r="AJ78" t="s">
        <v>867</v>
      </c>
      <c r="AK78">
        <f t="shared" si="3"/>
        <v>10</v>
      </c>
      <c r="AL78">
        <v>67977.978260924807</v>
      </c>
      <c r="AM78" s="64">
        <f t="shared" si="4"/>
        <v>3</v>
      </c>
      <c r="AN78">
        <v>4</v>
      </c>
    </row>
    <row r="79" spans="1:40" x14ac:dyDescent="0.2">
      <c r="A79" s="62" t="s">
        <v>178</v>
      </c>
      <c r="B79" s="60">
        <v>24864</v>
      </c>
      <c r="C79" s="60">
        <v>1</v>
      </c>
      <c r="L79" t="s">
        <v>4024</v>
      </c>
      <c r="N79" s="60">
        <v>1208</v>
      </c>
      <c r="O79" s="60">
        <v>46908.980451379859</v>
      </c>
      <c r="P79" s="60">
        <v>8.400351288056207</v>
      </c>
      <c r="AI79" t="s">
        <v>72</v>
      </c>
      <c r="AJ79" t="s">
        <v>792</v>
      </c>
      <c r="AK79">
        <f t="shared" si="3"/>
        <v>10</v>
      </c>
      <c r="AL79">
        <v>60767.43983176523</v>
      </c>
      <c r="AM79" s="64">
        <f t="shared" si="4"/>
        <v>4</v>
      </c>
      <c r="AN79">
        <v>3</v>
      </c>
    </row>
    <row r="80" spans="1:40" x14ac:dyDescent="0.2">
      <c r="A80" s="62" t="s">
        <v>191</v>
      </c>
      <c r="B80" s="60">
        <v>12000</v>
      </c>
      <c r="C80" s="60">
        <v>1</v>
      </c>
      <c r="AI80" t="s">
        <v>72</v>
      </c>
      <c r="AJ80" t="s">
        <v>807</v>
      </c>
      <c r="AK80">
        <f t="shared" si="3"/>
        <v>10</v>
      </c>
      <c r="AL80">
        <v>102501.39870978233</v>
      </c>
      <c r="AM80" s="64">
        <f t="shared" si="4"/>
        <v>7</v>
      </c>
      <c r="AN80">
        <v>5</v>
      </c>
    </row>
    <row r="81" spans="1:40" x14ac:dyDescent="0.2">
      <c r="A81" s="62" t="s">
        <v>1659</v>
      </c>
      <c r="B81" s="60">
        <v>5250</v>
      </c>
      <c r="C81" s="60">
        <v>1</v>
      </c>
      <c r="AI81" t="s">
        <v>72</v>
      </c>
      <c r="AJ81" t="s">
        <v>820</v>
      </c>
      <c r="AK81">
        <f t="shared" si="3"/>
        <v>10</v>
      </c>
      <c r="AL81">
        <v>88927.960729412545</v>
      </c>
      <c r="AM81" s="64">
        <f t="shared" si="4"/>
        <v>10</v>
      </c>
      <c r="AN81">
        <v>1</v>
      </c>
    </row>
    <row r="82" spans="1:40" x14ac:dyDescent="0.2">
      <c r="A82" s="62" t="s">
        <v>237</v>
      </c>
      <c r="B82" s="60">
        <v>50815.977559664309</v>
      </c>
      <c r="C82" s="60">
        <v>1</v>
      </c>
      <c r="AI82" t="s">
        <v>54</v>
      </c>
      <c r="AJ82" t="s">
        <v>788</v>
      </c>
      <c r="AK82">
        <f t="shared" si="3"/>
        <v>11</v>
      </c>
      <c r="AL82">
        <v>34591.322588559458</v>
      </c>
      <c r="AM82" s="64">
        <f t="shared" si="4"/>
        <v>2</v>
      </c>
      <c r="AN82">
        <v>11</v>
      </c>
    </row>
    <row r="83" spans="1:40" x14ac:dyDescent="0.2">
      <c r="A83" s="62" t="s">
        <v>24</v>
      </c>
      <c r="B83" s="60">
        <v>24000</v>
      </c>
      <c r="C83" s="60">
        <v>1</v>
      </c>
      <c r="AI83" t="s">
        <v>54</v>
      </c>
      <c r="AJ83" t="s">
        <v>867</v>
      </c>
      <c r="AK83">
        <f t="shared" si="3"/>
        <v>11</v>
      </c>
      <c r="AL83">
        <v>116050</v>
      </c>
      <c r="AM83" s="64">
        <f t="shared" si="4"/>
        <v>3</v>
      </c>
      <c r="AN83">
        <v>2</v>
      </c>
    </row>
    <row r="84" spans="1:40" x14ac:dyDescent="0.2">
      <c r="A84" s="62" t="s">
        <v>317</v>
      </c>
      <c r="B84" s="60">
        <v>36000</v>
      </c>
      <c r="C84" s="60">
        <v>1</v>
      </c>
      <c r="AI84" t="s">
        <v>54</v>
      </c>
      <c r="AJ84" t="s">
        <v>792</v>
      </c>
      <c r="AK84">
        <f t="shared" si="3"/>
        <v>11</v>
      </c>
      <c r="AL84">
        <v>15600</v>
      </c>
      <c r="AM84" s="64">
        <f t="shared" si="4"/>
        <v>4</v>
      </c>
      <c r="AN84">
        <v>1</v>
      </c>
    </row>
    <row r="85" spans="1:40" x14ac:dyDescent="0.2">
      <c r="A85" s="62" t="s">
        <v>48</v>
      </c>
      <c r="B85" s="60">
        <v>4800</v>
      </c>
      <c r="C85" s="60">
        <v>1</v>
      </c>
      <c r="AI85" t="s">
        <v>54</v>
      </c>
      <c r="AJ85" t="s">
        <v>802</v>
      </c>
      <c r="AK85">
        <f t="shared" si="3"/>
        <v>11</v>
      </c>
      <c r="AL85">
        <v>49000</v>
      </c>
      <c r="AM85" s="64">
        <f t="shared" si="4"/>
        <v>6</v>
      </c>
      <c r="AN85">
        <v>2</v>
      </c>
    </row>
    <row r="86" spans="1:40" x14ac:dyDescent="0.2">
      <c r="A86" s="62" t="s">
        <v>29</v>
      </c>
      <c r="B86" s="60">
        <v>36000</v>
      </c>
      <c r="C86" s="60">
        <v>1</v>
      </c>
      <c r="AI86" t="s">
        <v>54</v>
      </c>
      <c r="AJ86" t="s">
        <v>807</v>
      </c>
      <c r="AK86">
        <f t="shared" si="3"/>
        <v>11</v>
      </c>
      <c r="AL86">
        <v>26691.183012544854</v>
      </c>
      <c r="AM86" s="64">
        <f t="shared" si="4"/>
        <v>7</v>
      </c>
      <c r="AN86">
        <v>1</v>
      </c>
    </row>
    <row r="87" spans="1:40" x14ac:dyDescent="0.2">
      <c r="A87" s="62" t="s">
        <v>99</v>
      </c>
      <c r="B87" s="60">
        <v>18000</v>
      </c>
      <c r="C87" s="60">
        <v>1</v>
      </c>
      <c r="AI87" t="s">
        <v>225</v>
      </c>
      <c r="AJ87" t="s">
        <v>817</v>
      </c>
      <c r="AK87">
        <f t="shared" si="3"/>
        <v>12</v>
      </c>
      <c r="AL87">
        <v>66465.674467078221</v>
      </c>
      <c r="AM87" s="64">
        <f t="shared" si="4"/>
        <v>1</v>
      </c>
      <c r="AN87">
        <v>3</v>
      </c>
    </row>
    <row r="88" spans="1:40" x14ac:dyDescent="0.2">
      <c r="A88" s="62" t="s">
        <v>76</v>
      </c>
      <c r="B88" s="60">
        <v>6629</v>
      </c>
      <c r="C88" s="60">
        <v>1</v>
      </c>
      <c r="AI88" t="s">
        <v>225</v>
      </c>
      <c r="AJ88" t="s">
        <v>788</v>
      </c>
      <c r="AK88">
        <f t="shared" si="3"/>
        <v>12</v>
      </c>
      <c r="AL88">
        <v>53990.226887226374</v>
      </c>
      <c r="AM88" s="64">
        <f t="shared" si="4"/>
        <v>2</v>
      </c>
      <c r="AN88">
        <v>6</v>
      </c>
    </row>
    <row r="89" spans="1:40" x14ac:dyDescent="0.2">
      <c r="A89" s="62" t="s">
        <v>287</v>
      </c>
      <c r="B89" s="60">
        <v>19055.991584874118</v>
      </c>
      <c r="C89" s="60">
        <v>1</v>
      </c>
      <c r="AI89" t="s">
        <v>225</v>
      </c>
      <c r="AJ89" t="s">
        <v>867</v>
      </c>
      <c r="AK89">
        <f t="shared" si="3"/>
        <v>12</v>
      </c>
      <c r="AL89">
        <v>72000</v>
      </c>
      <c r="AM89" s="64">
        <f t="shared" si="4"/>
        <v>3</v>
      </c>
      <c r="AN89">
        <v>1</v>
      </c>
    </row>
    <row r="90" spans="1:40" x14ac:dyDescent="0.2">
      <c r="A90" s="62" t="s">
        <v>235</v>
      </c>
      <c r="B90" s="60">
        <v>100800</v>
      </c>
      <c r="C90" s="60">
        <v>1</v>
      </c>
      <c r="AI90" t="s">
        <v>225</v>
      </c>
      <c r="AJ90" t="s">
        <v>802</v>
      </c>
      <c r="AK90">
        <f t="shared" si="3"/>
        <v>12</v>
      </c>
      <c r="AL90">
        <v>39879.404680246938</v>
      </c>
      <c r="AM90" s="64">
        <f t="shared" si="4"/>
        <v>6</v>
      </c>
      <c r="AN90">
        <v>1</v>
      </c>
    </row>
    <row r="91" spans="1:40" x14ac:dyDescent="0.2">
      <c r="A91" s="62" t="s">
        <v>50</v>
      </c>
      <c r="B91" s="60">
        <v>9600</v>
      </c>
      <c r="C91" s="60">
        <v>1</v>
      </c>
      <c r="AI91" t="s">
        <v>225</v>
      </c>
      <c r="AJ91" t="s">
        <v>807</v>
      </c>
      <c r="AK91">
        <f t="shared" si="3"/>
        <v>12</v>
      </c>
      <c r="AL91">
        <v>104773.88377546301</v>
      </c>
      <c r="AM91" s="64">
        <f t="shared" si="4"/>
        <v>7</v>
      </c>
      <c r="AN91">
        <v>4</v>
      </c>
    </row>
    <row r="92" spans="1:40" x14ac:dyDescent="0.2">
      <c r="A92" s="62" t="s">
        <v>3908</v>
      </c>
      <c r="B92" s="60">
        <v>8400</v>
      </c>
      <c r="C92" s="60">
        <v>1</v>
      </c>
      <c r="AI92" t="s">
        <v>283</v>
      </c>
      <c r="AJ92" t="s">
        <v>817</v>
      </c>
      <c r="AK92">
        <f t="shared" si="3"/>
        <v>13</v>
      </c>
      <c r="AL92">
        <v>60000</v>
      </c>
      <c r="AM92" s="64">
        <f t="shared" si="4"/>
        <v>1</v>
      </c>
      <c r="AN92">
        <v>1</v>
      </c>
    </row>
    <row r="93" spans="1:40" x14ac:dyDescent="0.2">
      <c r="A93" s="62" t="s">
        <v>3867</v>
      </c>
      <c r="B93" s="60">
        <v>20000</v>
      </c>
      <c r="C93" s="60">
        <v>1</v>
      </c>
      <c r="AI93" t="s">
        <v>283</v>
      </c>
      <c r="AJ93" t="s">
        <v>788</v>
      </c>
      <c r="AK93">
        <f t="shared" si="3"/>
        <v>13</v>
      </c>
      <c r="AL93">
        <v>43550</v>
      </c>
      <c r="AM93" s="64">
        <f t="shared" si="4"/>
        <v>2</v>
      </c>
      <c r="AN93">
        <v>4</v>
      </c>
    </row>
    <row r="94" spans="1:40" x14ac:dyDescent="0.2">
      <c r="A94" s="62" t="s">
        <v>56</v>
      </c>
      <c r="B94" s="60">
        <v>14400</v>
      </c>
      <c r="C94" s="60">
        <v>1</v>
      </c>
      <c r="AI94" t="s">
        <v>283</v>
      </c>
      <c r="AJ94" t="s">
        <v>867</v>
      </c>
      <c r="AK94">
        <f t="shared" si="3"/>
        <v>13</v>
      </c>
      <c r="AL94">
        <v>63900</v>
      </c>
      <c r="AM94" s="64">
        <f t="shared" si="4"/>
        <v>3</v>
      </c>
      <c r="AN94">
        <v>4</v>
      </c>
    </row>
    <row r="95" spans="1:40" x14ac:dyDescent="0.2">
      <c r="A95" s="62" t="s">
        <v>26</v>
      </c>
      <c r="B95" s="60">
        <v>6000</v>
      </c>
      <c r="C95" s="60">
        <v>1</v>
      </c>
      <c r="AI95" t="s">
        <v>283</v>
      </c>
      <c r="AJ95" t="s">
        <v>802</v>
      </c>
      <c r="AK95">
        <f t="shared" si="3"/>
        <v>13</v>
      </c>
      <c r="AL95">
        <v>47500</v>
      </c>
      <c r="AM95" s="64">
        <f t="shared" si="4"/>
        <v>6</v>
      </c>
      <c r="AN95">
        <v>2</v>
      </c>
    </row>
    <row r="96" spans="1:40" x14ac:dyDescent="0.2">
      <c r="A96" s="62" t="s">
        <v>333</v>
      </c>
      <c r="B96" s="60">
        <v>35000</v>
      </c>
      <c r="C96" s="60">
        <v>1</v>
      </c>
      <c r="AI96" t="s">
        <v>283</v>
      </c>
      <c r="AJ96" t="s">
        <v>807</v>
      </c>
      <c r="AK96">
        <f t="shared" si="3"/>
        <v>13</v>
      </c>
      <c r="AL96">
        <v>46605.90134967777</v>
      </c>
      <c r="AM96" s="64">
        <f t="shared" si="4"/>
        <v>7</v>
      </c>
      <c r="AN96">
        <v>2</v>
      </c>
    </row>
    <row r="97" spans="1:40" x14ac:dyDescent="0.2">
      <c r="A97" s="62" t="s">
        <v>319</v>
      </c>
      <c r="B97" s="60">
        <v>11000</v>
      </c>
      <c r="C97" s="60">
        <v>1</v>
      </c>
      <c r="AI97" t="s">
        <v>749</v>
      </c>
      <c r="AJ97" t="s">
        <v>817</v>
      </c>
      <c r="AK97">
        <f t="shared" si="3"/>
        <v>14</v>
      </c>
      <c r="AL97">
        <v>29750</v>
      </c>
      <c r="AM97" s="64">
        <f t="shared" si="4"/>
        <v>1</v>
      </c>
      <c r="AN97">
        <v>2</v>
      </c>
    </row>
    <row r="98" spans="1:40" x14ac:dyDescent="0.2">
      <c r="A98" s="62" t="s">
        <v>2367</v>
      </c>
      <c r="B98" s="60">
        <v>10000</v>
      </c>
      <c r="C98" s="60">
        <v>1</v>
      </c>
      <c r="AI98" t="s">
        <v>749</v>
      </c>
      <c r="AJ98" t="s">
        <v>788</v>
      </c>
      <c r="AK98">
        <f t="shared" si="3"/>
        <v>14</v>
      </c>
      <c r="AL98">
        <v>18000</v>
      </c>
      <c r="AM98" s="64">
        <f t="shared" si="4"/>
        <v>2</v>
      </c>
      <c r="AN98">
        <v>1</v>
      </c>
    </row>
    <row r="99" spans="1:40" x14ac:dyDescent="0.2">
      <c r="A99" s="62" t="s">
        <v>126</v>
      </c>
      <c r="B99" s="60">
        <v>41731</v>
      </c>
      <c r="C99" s="60">
        <v>1</v>
      </c>
      <c r="AI99" t="s">
        <v>749</v>
      </c>
      <c r="AJ99" t="s">
        <v>792</v>
      </c>
      <c r="AK99">
        <f t="shared" si="3"/>
        <v>14</v>
      </c>
      <c r="AL99">
        <v>28480</v>
      </c>
      <c r="AM99" s="64">
        <f t="shared" si="4"/>
        <v>4</v>
      </c>
      <c r="AN99">
        <v>2</v>
      </c>
    </row>
    <row r="100" spans="1:40" x14ac:dyDescent="0.2">
      <c r="A100" s="62" t="s">
        <v>9</v>
      </c>
      <c r="B100" s="60">
        <v>19831.432821021317</v>
      </c>
      <c r="C100" s="60">
        <v>1</v>
      </c>
      <c r="AI100" t="s">
        <v>749</v>
      </c>
      <c r="AJ100" t="s">
        <v>802</v>
      </c>
      <c r="AK100">
        <f t="shared" si="3"/>
        <v>14</v>
      </c>
      <c r="AL100">
        <v>57600</v>
      </c>
      <c r="AM100" s="64">
        <f t="shared" si="4"/>
        <v>6</v>
      </c>
      <c r="AN100">
        <v>1</v>
      </c>
    </row>
    <row r="101" spans="1:40" x14ac:dyDescent="0.2">
      <c r="A101" s="62" t="s">
        <v>2316</v>
      </c>
      <c r="B101" s="60">
        <v>5000</v>
      </c>
      <c r="C101" s="60">
        <v>1</v>
      </c>
      <c r="AI101" t="s">
        <v>749</v>
      </c>
      <c r="AJ101" t="s">
        <v>807</v>
      </c>
      <c r="AK101">
        <f t="shared" si="3"/>
        <v>14</v>
      </c>
      <c r="AL101">
        <v>40418.666666666664</v>
      </c>
      <c r="AM101" s="64">
        <f t="shared" si="4"/>
        <v>7</v>
      </c>
      <c r="AN101">
        <v>5</v>
      </c>
    </row>
    <row r="102" spans="1:40" x14ac:dyDescent="0.2">
      <c r="A102" s="62" t="s">
        <v>86</v>
      </c>
      <c r="B102" s="60">
        <v>12000</v>
      </c>
      <c r="C102" s="60">
        <v>1</v>
      </c>
      <c r="AI102" t="s">
        <v>252</v>
      </c>
      <c r="AJ102" t="s">
        <v>817</v>
      </c>
      <c r="AK102">
        <f t="shared" si="3"/>
        <v>15</v>
      </c>
      <c r="AL102">
        <v>19068</v>
      </c>
      <c r="AM102" s="64">
        <f t="shared" si="4"/>
        <v>1</v>
      </c>
      <c r="AN102">
        <v>1</v>
      </c>
    </row>
    <row r="103" spans="1:40" x14ac:dyDescent="0.2">
      <c r="A103" s="62" t="s">
        <v>31</v>
      </c>
      <c r="B103" s="60">
        <v>2953.8461538461538</v>
      </c>
      <c r="C103" s="60">
        <v>1</v>
      </c>
      <c r="AI103" t="s">
        <v>252</v>
      </c>
      <c r="AJ103" t="s">
        <v>788</v>
      </c>
      <c r="AK103">
        <f t="shared" si="3"/>
        <v>15</v>
      </c>
      <c r="AL103">
        <v>44991.224389654169</v>
      </c>
      <c r="AM103" s="64">
        <f t="shared" si="4"/>
        <v>2</v>
      </c>
      <c r="AN103">
        <v>2</v>
      </c>
    </row>
    <row r="104" spans="1:40" x14ac:dyDescent="0.2">
      <c r="A104" s="62" t="s">
        <v>139</v>
      </c>
      <c r="B104" s="60">
        <v>3000</v>
      </c>
      <c r="C104" s="60">
        <v>1</v>
      </c>
      <c r="AI104" t="s">
        <v>252</v>
      </c>
      <c r="AJ104" t="s">
        <v>807</v>
      </c>
      <c r="AK104">
        <f t="shared" si="3"/>
        <v>15</v>
      </c>
      <c r="AL104">
        <v>9458.3158508572924</v>
      </c>
      <c r="AM104" s="64">
        <f t="shared" si="4"/>
        <v>7</v>
      </c>
      <c r="AN104">
        <v>4</v>
      </c>
    </row>
    <row r="105" spans="1:40" x14ac:dyDescent="0.2">
      <c r="A105" s="62" t="s">
        <v>248</v>
      </c>
      <c r="B105" s="60">
        <v>20000</v>
      </c>
      <c r="C105" s="60">
        <v>1</v>
      </c>
      <c r="AI105" t="s">
        <v>252</v>
      </c>
      <c r="AJ105" t="s">
        <v>836</v>
      </c>
      <c r="AK105">
        <f t="shared" si="3"/>
        <v>15</v>
      </c>
      <c r="AL105">
        <v>14434.751914775596</v>
      </c>
      <c r="AM105" s="64">
        <f t="shared" si="4"/>
        <v>9</v>
      </c>
      <c r="AN105">
        <v>2</v>
      </c>
    </row>
    <row r="106" spans="1:40" x14ac:dyDescent="0.2">
      <c r="A106" s="62" t="s">
        <v>2528</v>
      </c>
      <c r="B106" s="60">
        <v>12000</v>
      </c>
      <c r="C106" s="60">
        <v>1</v>
      </c>
      <c r="AI106" t="s">
        <v>252</v>
      </c>
      <c r="AJ106" t="s">
        <v>820</v>
      </c>
      <c r="AK106">
        <f t="shared" si="3"/>
        <v>15</v>
      </c>
      <c r="AL106">
        <v>8259.5</v>
      </c>
      <c r="AM106" s="64">
        <f t="shared" si="4"/>
        <v>10</v>
      </c>
      <c r="AN106">
        <v>2</v>
      </c>
    </row>
    <row r="107" spans="1:40" x14ac:dyDescent="0.2">
      <c r="A107" s="62" t="s">
        <v>250</v>
      </c>
      <c r="B107" s="60">
        <v>15840</v>
      </c>
      <c r="C107" s="60">
        <v>1</v>
      </c>
      <c r="AI107" t="s">
        <v>290</v>
      </c>
      <c r="AJ107" t="s">
        <v>788</v>
      </c>
      <c r="AK107">
        <f t="shared" si="3"/>
        <v>16</v>
      </c>
      <c r="AL107">
        <v>30807.186395546494</v>
      </c>
      <c r="AM107" s="64">
        <f t="shared" si="4"/>
        <v>2</v>
      </c>
      <c r="AN107">
        <v>4</v>
      </c>
    </row>
    <row r="108" spans="1:40" x14ac:dyDescent="0.2">
      <c r="A108" s="62" t="s">
        <v>281</v>
      </c>
      <c r="B108" s="60">
        <v>36400</v>
      </c>
      <c r="C108" s="60">
        <v>1</v>
      </c>
      <c r="AI108" t="s">
        <v>290</v>
      </c>
      <c r="AJ108" t="s">
        <v>867</v>
      </c>
      <c r="AK108">
        <f t="shared" si="3"/>
        <v>16</v>
      </c>
      <c r="AL108">
        <v>12000</v>
      </c>
      <c r="AM108" s="64">
        <f t="shared" si="4"/>
        <v>3</v>
      </c>
      <c r="AN108">
        <v>1</v>
      </c>
    </row>
    <row r="109" spans="1:40" x14ac:dyDescent="0.2">
      <c r="A109" s="62" t="s">
        <v>2389</v>
      </c>
      <c r="B109" s="60">
        <v>15600</v>
      </c>
      <c r="C109" s="60">
        <v>1</v>
      </c>
      <c r="AI109" t="s">
        <v>290</v>
      </c>
      <c r="AJ109" t="s">
        <v>792</v>
      </c>
      <c r="AK109">
        <f t="shared" si="3"/>
        <v>16</v>
      </c>
      <c r="AL109">
        <v>35571.184291765021</v>
      </c>
      <c r="AM109" s="64">
        <f t="shared" si="4"/>
        <v>4</v>
      </c>
      <c r="AN109">
        <v>1</v>
      </c>
    </row>
    <row r="110" spans="1:40" x14ac:dyDescent="0.2">
      <c r="A110" s="62" t="s">
        <v>2899</v>
      </c>
      <c r="B110" s="60">
        <v>4400</v>
      </c>
      <c r="C110" s="60">
        <v>1</v>
      </c>
      <c r="AI110" t="s">
        <v>290</v>
      </c>
      <c r="AJ110" t="s">
        <v>813</v>
      </c>
      <c r="AK110">
        <f t="shared" si="3"/>
        <v>16</v>
      </c>
      <c r="AL110">
        <v>127039.94389916077</v>
      </c>
      <c r="AM110" s="64">
        <f t="shared" si="4"/>
        <v>5</v>
      </c>
      <c r="AN110">
        <v>1</v>
      </c>
    </row>
    <row r="111" spans="1:40" x14ac:dyDescent="0.2">
      <c r="A111" s="62" t="s">
        <v>4024</v>
      </c>
      <c r="B111" s="60">
        <v>49814.598255587051</v>
      </c>
      <c r="C111" s="60">
        <v>1883</v>
      </c>
      <c r="AI111" t="s">
        <v>290</v>
      </c>
      <c r="AJ111" t="s">
        <v>802</v>
      </c>
      <c r="AK111">
        <f t="shared" si="3"/>
        <v>16</v>
      </c>
      <c r="AL111">
        <v>52086.37699865592</v>
      </c>
      <c r="AM111" s="64">
        <f t="shared" si="4"/>
        <v>6</v>
      </c>
      <c r="AN111">
        <v>1</v>
      </c>
    </row>
    <row r="112" spans="1:40" x14ac:dyDescent="0.2">
      <c r="AI112" t="s">
        <v>290</v>
      </c>
      <c r="AJ112" t="s">
        <v>807</v>
      </c>
      <c r="AK112">
        <f t="shared" si="3"/>
        <v>16</v>
      </c>
      <c r="AL112">
        <v>56215.175175378645</v>
      </c>
      <c r="AM112" s="64">
        <f t="shared" si="4"/>
        <v>7</v>
      </c>
      <c r="AN112">
        <v>2</v>
      </c>
    </row>
    <row r="113" spans="35:40" x14ac:dyDescent="0.2">
      <c r="AI113" t="s">
        <v>256</v>
      </c>
      <c r="AJ113" t="s">
        <v>817</v>
      </c>
      <c r="AK113">
        <f t="shared" si="3"/>
        <v>17</v>
      </c>
      <c r="AL113">
        <v>36756.89043482385</v>
      </c>
      <c r="AM113" s="64">
        <f t="shared" si="4"/>
        <v>1</v>
      </c>
      <c r="AN113">
        <v>3</v>
      </c>
    </row>
    <row r="114" spans="35:40" x14ac:dyDescent="0.2">
      <c r="AI114" t="s">
        <v>256</v>
      </c>
      <c r="AJ114" t="s">
        <v>788</v>
      </c>
      <c r="AK114">
        <f t="shared" si="3"/>
        <v>17</v>
      </c>
      <c r="AL114">
        <v>26678.388218823762</v>
      </c>
      <c r="AM114" s="64">
        <f t="shared" si="4"/>
        <v>2</v>
      </c>
      <c r="AN114">
        <v>1</v>
      </c>
    </row>
    <row r="115" spans="35:40" x14ac:dyDescent="0.2">
      <c r="AI115" t="s">
        <v>256</v>
      </c>
      <c r="AJ115" t="s">
        <v>792</v>
      </c>
      <c r="AK115">
        <f t="shared" si="3"/>
        <v>17</v>
      </c>
      <c r="AL115">
        <v>19818.231248269083</v>
      </c>
      <c r="AM115" s="64">
        <f t="shared" si="4"/>
        <v>4</v>
      </c>
      <c r="AN115">
        <v>1</v>
      </c>
    </row>
    <row r="116" spans="35:40" x14ac:dyDescent="0.2">
      <c r="AI116" t="s">
        <v>256</v>
      </c>
      <c r="AJ116" t="s">
        <v>813</v>
      </c>
      <c r="AK116">
        <f t="shared" si="3"/>
        <v>17</v>
      </c>
      <c r="AL116">
        <v>44000</v>
      </c>
      <c r="AM116" s="64">
        <f t="shared" si="4"/>
        <v>5</v>
      </c>
      <c r="AN116">
        <v>1</v>
      </c>
    </row>
    <row r="117" spans="35:40" x14ac:dyDescent="0.2">
      <c r="AI117" t="s">
        <v>256</v>
      </c>
      <c r="AJ117" t="s">
        <v>802</v>
      </c>
      <c r="AK117">
        <f t="shared" si="3"/>
        <v>17</v>
      </c>
      <c r="AL117">
        <v>63519.971949580387</v>
      </c>
      <c r="AM117" s="64">
        <f t="shared" si="4"/>
        <v>6</v>
      </c>
      <c r="AN117">
        <v>1</v>
      </c>
    </row>
    <row r="118" spans="35:40" x14ac:dyDescent="0.2">
      <c r="AI118" t="s">
        <v>256</v>
      </c>
      <c r="AJ118" t="s">
        <v>807</v>
      </c>
      <c r="AK118">
        <f t="shared" si="3"/>
        <v>17</v>
      </c>
      <c r="AL118">
        <v>24772.789060336348</v>
      </c>
      <c r="AM118" s="64">
        <f t="shared" si="4"/>
        <v>7</v>
      </c>
      <c r="AN118">
        <v>2</v>
      </c>
    </row>
    <row r="119" spans="35:40" x14ac:dyDescent="0.2">
      <c r="AI119" t="s">
        <v>256</v>
      </c>
      <c r="AJ119" t="s">
        <v>820</v>
      </c>
      <c r="AK119">
        <f t="shared" si="3"/>
        <v>17</v>
      </c>
      <c r="AL119">
        <v>15244.793267899293</v>
      </c>
      <c r="AM119" s="64">
        <f t="shared" si="4"/>
        <v>10</v>
      </c>
      <c r="AN119">
        <v>1</v>
      </c>
    </row>
    <row r="120" spans="35:40" x14ac:dyDescent="0.2">
      <c r="AI120" t="s">
        <v>2</v>
      </c>
      <c r="AJ120" t="s">
        <v>817</v>
      </c>
      <c r="AK120">
        <f t="shared" si="3"/>
        <v>18</v>
      </c>
      <c r="AL120">
        <v>15500</v>
      </c>
      <c r="AM120" s="64">
        <f t="shared" si="4"/>
        <v>1</v>
      </c>
      <c r="AN120">
        <v>1</v>
      </c>
    </row>
    <row r="121" spans="35:40" x14ac:dyDescent="0.2">
      <c r="AI121" t="s">
        <v>2</v>
      </c>
      <c r="AJ121" t="s">
        <v>788</v>
      </c>
      <c r="AK121">
        <f t="shared" si="3"/>
        <v>18</v>
      </c>
      <c r="AL121">
        <v>24471.245721298183</v>
      </c>
      <c r="AM121" s="64">
        <f t="shared" si="4"/>
        <v>2</v>
      </c>
      <c r="AN121">
        <v>4</v>
      </c>
    </row>
    <row r="122" spans="35:40" x14ac:dyDescent="0.2">
      <c r="AI122" t="s">
        <v>2</v>
      </c>
      <c r="AJ122" t="s">
        <v>813</v>
      </c>
      <c r="AK122">
        <f t="shared" si="3"/>
        <v>18</v>
      </c>
      <c r="AL122">
        <v>72500</v>
      </c>
      <c r="AM122" s="64">
        <f t="shared" si="4"/>
        <v>5</v>
      </c>
      <c r="AN122">
        <v>2</v>
      </c>
    </row>
    <row r="123" spans="35:40" x14ac:dyDescent="0.2">
      <c r="AI123" t="s">
        <v>2</v>
      </c>
      <c r="AJ123" t="s">
        <v>807</v>
      </c>
      <c r="AK123">
        <f t="shared" si="3"/>
        <v>18</v>
      </c>
      <c r="AL123">
        <v>21000</v>
      </c>
      <c r="AM123" s="64">
        <f t="shared" si="4"/>
        <v>7</v>
      </c>
      <c r="AN123">
        <v>3</v>
      </c>
    </row>
    <row r="124" spans="35:40" x14ac:dyDescent="0.2">
      <c r="AI124" t="s">
        <v>744</v>
      </c>
      <c r="AJ124" t="s">
        <v>788</v>
      </c>
      <c r="AK124">
        <f t="shared" si="3"/>
        <v>19</v>
      </c>
      <c r="AL124">
        <v>69000</v>
      </c>
      <c r="AM124" s="64">
        <f t="shared" si="4"/>
        <v>2</v>
      </c>
      <c r="AN124">
        <v>3</v>
      </c>
    </row>
    <row r="125" spans="35:40" x14ac:dyDescent="0.2">
      <c r="AI125" t="s">
        <v>744</v>
      </c>
      <c r="AJ125" t="s">
        <v>867</v>
      </c>
      <c r="AK125">
        <f t="shared" si="3"/>
        <v>19</v>
      </c>
      <c r="AL125">
        <v>36000</v>
      </c>
      <c r="AM125" s="64">
        <f t="shared" si="4"/>
        <v>3</v>
      </c>
      <c r="AN125">
        <v>1</v>
      </c>
    </row>
    <row r="126" spans="35:40" x14ac:dyDescent="0.2">
      <c r="AI126" t="s">
        <v>744</v>
      </c>
      <c r="AJ126" t="s">
        <v>792</v>
      </c>
      <c r="AK126">
        <f t="shared" si="3"/>
        <v>19</v>
      </c>
      <c r="AL126">
        <v>24000</v>
      </c>
      <c r="AM126" s="64">
        <f t="shared" si="4"/>
        <v>4</v>
      </c>
      <c r="AN126">
        <v>1</v>
      </c>
    </row>
    <row r="127" spans="35:40" x14ac:dyDescent="0.2">
      <c r="AI127" t="s">
        <v>744</v>
      </c>
      <c r="AJ127" t="s">
        <v>807</v>
      </c>
      <c r="AK127">
        <f t="shared" si="3"/>
        <v>19</v>
      </c>
      <c r="AL127">
        <v>50500</v>
      </c>
      <c r="AM127" s="64">
        <f t="shared" si="4"/>
        <v>7</v>
      </c>
      <c r="AN127">
        <v>2</v>
      </c>
    </row>
    <row r="128" spans="35:40" x14ac:dyDescent="0.2">
      <c r="AI128" t="s">
        <v>744</v>
      </c>
      <c r="AJ128" t="s">
        <v>820</v>
      </c>
      <c r="AK128">
        <f t="shared" si="3"/>
        <v>19</v>
      </c>
      <c r="AL128">
        <v>67573.5</v>
      </c>
      <c r="AM128" s="64">
        <f t="shared" si="4"/>
        <v>10</v>
      </c>
      <c r="AN128">
        <v>2</v>
      </c>
    </row>
    <row r="129" spans="35:40" x14ac:dyDescent="0.2">
      <c r="AI129" t="s">
        <v>119</v>
      </c>
      <c r="AJ129" t="s">
        <v>788</v>
      </c>
      <c r="AK129">
        <f t="shared" si="3"/>
        <v>20</v>
      </c>
      <c r="AL129">
        <v>8245.6735946614772</v>
      </c>
      <c r="AM129" s="64">
        <f t="shared" si="4"/>
        <v>2</v>
      </c>
      <c r="AN129">
        <v>4</v>
      </c>
    </row>
    <row r="130" spans="35:40" x14ac:dyDescent="0.2">
      <c r="AI130" t="s">
        <v>119</v>
      </c>
      <c r="AJ130" t="s">
        <v>792</v>
      </c>
      <c r="AK130">
        <f t="shared" si="3"/>
        <v>20</v>
      </c>
      <c r="AL130">
        <v>30000</v>
      </c>
      <c r="AM130" s="64">
        <f t="shared" si="4"/>
        <v>4</v>
      </c>
      <c r="AN130">
        <v>1</v>
      </c>
    </row>
    <row r="131" spans="35:40" x14ac:dyDescent="0.2">
      <c r="AI131" t="s">
        <v>119</v>
      </c>
      <c r="AJ131" t="s">
        <v>807</v>
      </c>
      <c r="AK131">
        <f t="shared" si="3"/>
        <v>20</v>
      </c>
      <c r="AL131">
        <v>56000</v>
      </c>
      <c r="AM131" s="64">
        <f t="shared" si="4"/>
        <v>7</v>
      </c>
      <c r="AN131">
        <v>3</v>
      </c>
    </row>
    <row r="132" spans="35:40" x14ac:dyDescent="0.2">
      <c r="AI132" t="s">
        <v>2514</v>
      </c>
      <c r="AJ132" t="s">
        <v>788</v>
      </c>
      <c r="AK132">
        <f t="shared" si="3"/>
        <v>21</v>
      </c>
      <c r="AL132">
        <v>30000</v>
      </c>
      <c r="AM132" s="64">
        <f t="shared" si="4"/>
        <v>2</v>
      </c>
      <c r="AN132">
        <v>1</v>
      </c>
    </row>
    <row r="133" spans="35:40" x14ac:dyDescent="0.2">
      <c r="AI133" t="s">
        <v>2514</v>
      </c>
      <c r="AJ133" t="s">
        <v>813</v>
      </c>
      <c r="AK133">
        <f t="shared" si="3"/>
        <v>21</v>
      </c>
      <c r="AL133">
        <v>35000</v>
      </c>
      <c r="AM133" s="64">
        <f t="shared" si="4"/>
        <v>5</v>
      </c>
      <c r="AN133">
        <v>1</v>
      </c>
    </row>
    <row r="134" spans="35:40" x14ac:dyDescent="0.2">
      <c r="AI134" t="s">
        <v>2514</v>
      </c>
      <c r="AJ134" t="s">
        <v>802</v>
      </c>
      <c r="AK134">
        <f t="shared" ref="AK134:AK161" si="5">VLOOKUP(AI134,$AS$17:$AT$43,2,0)</f>
        <v>21</v>
      </c>
      <c r="AL134">
        <v>11404.820437438224</v>
      </c>
      <c r="AM134" s="64">
        <f t="shared" ref="AM134:AM161" si="6">VLOOKUP(AJ134,$AS$5:$AT$15,2,0)</f>
        <v>6</v>
      </c>
      <c r="AN134">
        <v>1</v>
      </c>
    </row>
    <row r="135" spans="35:40" x14ac:dyDescent="0.2">
      <c r="AI135" t="s">
        <v>2514</v>
      </c>
      <c r="AJ135" t="s">
        <v>807</v>
      </c>
      <c r="AK135">
        <f t="shared" si="5"/>
        <v>21</v>
      </c>
      <c r="AL135">
        <v>24642.02803051423</v>
      </c>
      <c r="AM135" s="64">
        <f t="shared" si="6"/>
        <v>7</v>
      </c>
      <c r="AN135">
        <v>4</v>
      </c>
    </row>
    <row r="136" spans="35:40" x14ac:dyDescent="0.2">
      <c r="AI136" t="s">
        <v>233</v>
      </c>
      <c r="AJ136" t="s">
        <v>817</v>
      </c>
      <c r="AK136">
        <f t="shared" si="5"/>
        <v>22</v>
      </c>
      <c r="AL136">
        <v>110000</v>
      </c>
      <c r="AM136" s="64">
        <f t="shared" si="6"/>
        <v>1</v>
      </c>
      <c r="AN136">
        <v>1</v>
      </c>
    </row>
    <row r="137" spans="35:40" x14ac:dyDescent="0.2">
      <c r="AI137" t="s">
        <v>233</v>
      </c>
      <c r="AJ137" t="s">
        <v>788</v>
      </c>
      <c r="AK137">
        <f t="shared" si="5"/>
        <v>22</v>
      </c>
      <c r="AL137">
        <v>67700.452577525488</v>
      </c>
      <c r="AM137" s="64">
        <f t="shared" si="6"/>
        <v>2</v>
      </c>
      <c r="AN137">
        <v>1</v>
      </c>
    </row>
    <row r="138" spans="35:40" x14ac:dyDescent="0.2">
      <c r="AI138" t="s">
        <v>233</v>
      </c>
      <c r="AJ138" t="s">
        <v>792</v>
      </c>
      <c r="AK138">
        <f t="shared" si="5"/>
        <v>22</v>
      </c>
      <c r="AL138">
        <v>105000</v>
      </c>
      <c r="AM138" s="64">
        <f t="shared" si="6"/>
        <v>4</v>
      </c>
      <c r="AN138">
        <v>2</v>
      </c>
    </row>
    <row r="139" spans="35:40" x14ac:dyDescent="0.2">
      <c r="AI139" t="s">
        <v>233</v>
      </c>
      <c r="AJ139" t="s">
        <v>807</v>
      </c>
      <c r="AK139">
        <f t="shared" si="5"/>
        <v>22</v>
      </c>
      <c r="AL139">
        <v>101804.25600750721</v>
      </c>
      <c r="AM139" s="64">
        <f t="shared" si="6"/>
        <v>7</v>
      </c>
      <c r="AN139">
        <v>3</v>
      </c>
    </row>
    <row r="140" spans="35:40" x14ac:dyDescent="0.2">
      <c r="AI140" t="s">
        <v>92</v>
      </c>
      <c r="AJ140" t="s">
        <v>788</v>
      </c>
      <c r="AK140">
        <f t="shared" si="5"/>
        <v>23</v>
      </c>
      <c r="AL140">
        <v>41923.181486723057</v>
      </c>
      <c r="AM140" s="64">
        <f t="shared" si="6"/>
        <v>2</v>
      </c>
      <c r="AN140">
        <v>1</v>
      </c>
    </row>
    <row r="141" spans="35:40" x14ac:dyDescent="0.2">
      <c r="AI141" t="s">
        <v>92</v>
      </c>
      <c r="AJ141" t="s">
        <v>867</v>
      </c>
      <c r="AK141">
        <f t="shared" si="5"/>
        <v>23</v>
      </c>
      <c r="AL141">
        <v>67458.210210454374</v>
      </c>
      <c r="AM141" s="64">
        <f t="shared" si="6"/>
        <v>3</v>
      </c>
      <c r="AN141">
        <v>2</v>
      </c>
    </row>
    <row r="142" spans="35:40" x14ac:dyDescent="0.2">
      <c r="AI142" t="s">
        <v>92</v>
      </c>
      <c r="AJ142" t="s">
        <v>807</v>
      </c>
      <c r="AK142">
        <f t="shared" si="5"/>
        <v>23</v>
      </c>
      <c r="AL142">
        <v>54958.916129075973</v>
      </c>
      <c r="AM142" s="64">
        <f t="shared" si="6"/>
        <v>7</v>
      </c>
      <c r="AN142">
        <v>3</v>
      </c>
    </row>
    <row r="143" spans="35:40" x14ac:dyDescent="0.2">
      <c r="AI143" t="s">
        <v>70</v>
      </c>
      <c r="AJ143" t="s">
        <v>788</v>
      </c>
      <c r="AK143">
        <f t="shared" si="5"/>
        <v>24</v>
      </c>
      <c r="AL143">
        <v>106000</v>
      </c>
      <c r="AM143" s="64">
        <f t="shared" si="6"/>
        <v>2</v>
      </c>
      <c r="AN143">
        <v>1</v>
      </c>
    </row>
    <row r="144" spans="35:40" x14ac:dyDescent="0.2">
      <c r="AI144" t="s">
        <v>70</v>
      </c>
      <c r="AJ144" t="s">
        <v>867</v>
      </c>
      <c r="AK144">
        <f t="shared" si="5"/>
        <v>24</v>
      </c>
      <c r="AL144">
        <v>20000</v>
      </c>
      <c r="AM144" s="64">
        <f t="shared" si="6"/>
        <v>3</v>
      </c>
      <c r="AN144">
        <v>1</v>
      </c>
    </row>
    <row r="145" spans="35:40" x14ac:dyDescent="0.2">
      <c r="AI145" t="s">
        <v>70</v>
      </c>
      <c r="AJ145" t="s">
        <v>792</v>
      </c>
      <c r="AK145">
        <f t="shared" si="5"/>
        <v>24</v>
      </c>
      <c r="AL145">
        <v>82888.5550559455</v>
      </c>
      <c r="AM145" s="64">
        <f t="shared" si="6"/>
        <v>4</v>
      </c>
      <c r="AN145">
        <v>1</v>
      </c>
    </row>
    <row r="146" spans="35:40" x14ac:dyDescent="0.2">
      <c r="AI146" t="s">
        <v>70</v>
      </c>
      <c r="AJ146" t="s">
        <v>813</v>
      </c>
      <c r="AK146">
        <f t="shared" si="5"/>
        <v>24</v>
      </c>
      <c r="AL146">
        <v>76906.906752939132</v>
      </c>
      <c r="AM146" s="64">
        <f t="shared" si="6"/>
        <v>5</v>
      </c>
      <c r="AN146">
        <v>1</v>
      </c>
    </row>
    <row r="147" spans="35:40" x14ac:dyDescent="0.2">
      <c r="AI147" t="s">
        <v>70</v>
      </c>
      <c r="AJ147" t="s">
        <v>802</v>
      </c>
      <c r="AK147">
        <f t="shared" si="5"/>
        <v>24</v>
      </c>
      <c r="AL147">
        <v>102542.54233725216</v>
      </c>
      <c r="AM147" s="64">
        <f t="shared" si="6"/>
        <v>6</v>
      </c>
      <c r="AN147">
        <v>1</v>
      </c>
    </row>
    <row r="148" spans="35:40" x14ac:dyDescent="0.2">
      <c r="AI148" t="s">
        <v>70</v>
      </c>
      <c r="AJ148" t="s">
        <v>807</v>
      </c>
      <c r="AK148">
        <f t="shared" si="5"/>
        <v>24</v>
      </c>
      <c r="AL148">
        <v>106815.148267971</v>
      </c>
      <c r="AM148" s="64">
        <f t="shared" si="6"/>
        <v>7</v>
      </c>
      <c r="AN148">
        <v>1</v>
      </c>
    </row>
    <row r="149" spans="35:40" x14ac:dyDescent="0.2">
      <c r="AI149" t="s">
        <v>254</v>
      </c>
      <c r="AJ149" t="s">
        <v>788</v>
      </c>
      <c r="AK149">
        <f t="shared" si="5"/>
        <v>25</v>
      </c>
      <c r="AL149">
        <v>18406.294596737382</v>
      </c>
      <c r="AM149" s="64">
        <f t="shared" si="6"/>
        <v>2</v>
      </c>
      <c r="AN149">
        <v>3</v>
      </c>
    </row>
    <row r="150" spans="35:40" x14ac:dyDescent="0.2">
      <c r="AI150" t="s">
        <v>254</v>
      </c>
      <c r="AJ150" t="s">
        <v>867</v>
      </c>
      <c r="AK150">
        <f t="shared" si="5"/>
        <v>25</v>
      </c>
      <c r="AL150">
        <v>96000</v>
      </c>
      <c r="AM150" s="64">
        <f t="shared" si="6"/>
        <v>3</v>
      </c>
      <c r="AN150">
        <v>1</v>
      </c>
    </row>
    <row r="151" spans="35:40" x14ac:dyDescent="0.2">
      <c r="AI151" t="s">
        <v>254</v>
      </c>
      <c r="AJ151" t="s">
        <v>807</v>
      </c>
      <c r="AK151">
        <f t="shared" si="5"/>
        <v>25</v>
      </c>
      <c r="AL151">
        <v>27021.59424966398</v>
      </c>
      <c r="AM151" s="64">
        <f t="shared" si="6"/>
        <v>7</v>
      </c>
      <c r="AN151">
        <v>2</v>
      </c>
    </row>
    <row r="152" spans="35:40" x14ac:dyDescent="0.2">
      <c r="AI152" t="s">
        <v>751</v>
      </c>
      <c r="AJ152" t="s">
        <v>817</v>
      </c>
      <c r="AK152">
        <f t="shared" si="5"/>
        <v>26</v>
      </c>
      <c r="AL152">
        <v>8500</v>
      </c>
      <c r="AM152" s="64">
        <f t="shared" si="6"/>
        <v>1</v>
      </c>
      <c r="AN152">
        <v>1</v>
      </c>
    </row>
    <row r="153" spans="35:40" x14ac:dyDescent="0.2">
      <c r="AI153" t="s">
        <v>751</v>
      </c>
      <c r="AJ153" t="s">
        <v>788</v>
      </c>
      <c r="AK153">
        <f t="shared" si="5"/>
        <v>26</v>
      </c>
      <c r="AL153">
        <v>7500</v>
      </c>
      <c r="AM153" s="64">
        <f t="shared" si="6"/>
        <v>2</v>
      </c>
      <c r="AN153">
        <v>1</v>
      </c>
    </row>
    <row r="154" spans="35:40" x14ac:dyDescent="0.2">
      <c r="AI154" t="s">
        <v>751</v>
      </c>
      <c r="AJ154" t="s">
        <v>807</v>
      </c>
      <c r="AK154">
        <f t="shared" si="5"/>
        <v>26</v>
      </c>
      <c r="AL154">
        <v>17100</v>
      </c>
      <c r="AM154" s="64">
        <f t="shared" si="6"/>
        <v>7</v>
      </c>
      <c r="AN154">
        <v>2</v>
      </c>
    </row>
    <row r="155" spans="35:40" x14ac:dyDescent="0.2">
      <c r="AI155" t="s">
        <v>751</v>
      </c>
      <c r="AJ155" t="s">
        <v>836</v>
      </c>
      <c r="AK155">
        <f t="shared" si="5"/>
        <v>26</v>
      </c>
      <c r="AL155">
        <v>30000</v>
      </c>
      <c r="AM155" s="64">
        <f t="shared" si="6"/>
        <v>9</v>
      </c>
      <c r="AN155">
        <v>1</v>
      </c>
    </row>
    <row r="156" spans="35:40" x14ac:dyDescent="0.2">
      <c r="AI156" t="s">
        <v>751</v>
      </c>
      <c r="AJ156" t="s">
        <v>820</v>
      </c>
      <c r="AK156">
        <f t="shared" si="5"/>
        <v>26</v>
      </c>
      <c r="AL156">
        <v>18499.860539512854</v>
      </c>
      <c r="AM156" s="64">
        <f t="shared" si="6"/>
        <v>10</v>
      </c>
      <c r="AN156">
        <v>1</v>
      </c>
    </row>
    <row r="157" spans="35:40" x14ac:dyDescent="0.2">
      <c r="AI157" t="s">
        <v>2175</v>
      </c>
      <c r="AJ157" t="s">
        <v>817</v>
      </c>
      <c r="AK157">
        <f t="shared" si="5"/>
        <v>27</v>
      </c>
      <c r="AL157">
        <v>63519.971949580387</v>
      </c>
      <c r="AM157" s="64">
        <f t="shared" si="6"/>
        <v>1</v>
      </c>
      <c r="AN157">
        <v>1</v>
      </c>
    </row>
    <row r="158" spans="35:40" x14ac:dyDescent="0.2">
      <c r="AI158" t="s">
        <v>2175</v>
      </c>
      <c r="AJ158" t="s">
        <v>788</v>
      </c>
      <c r="AK158">
        <f t="shared" si="5"/>
        <v>27</v>
      </c>
      <c r="AL158">
        <v>50307.817784067673</v>
      </c>
      <c r="AM158" s="64">
        <f t="shared" si="6"/>
        <v>2</v>
      </c>
      <c r="AN158">
        <v>2</v>
      </c>
    </row>
    <row r="159" spans="35:40" x14ac:dyDescent="0.2">
      <c r="AI159" t="s">
        <v>2175</v>
      </c>
      <c r="AJ159" t="s">
        <v>867</v>
      </c>
      <c r="AK159">
        <f t="shared" si="5"/>
        <v>27</v>
      </c>
      <c r="AL159">
        <v>19055.991584874118</v>
      </c>
      <c r="AM159" s="64">
        <f t="shared" si="6"/>
        <v>3</v>
      </c>
      <c r="AN159">
        <v>1</v>
      </c>
    </row>
    <row r="160" spans="35:40" x14ac:dyDescent="0.2">
      <c r="AI160" t="s">
        <v>2175</v>
      </c>
      <c r="AJ160" t="s">
        <v>792</v>
      </c>
      <c r="AK160">
        <f t="shared" si="5"/>
        <v>27</v>
      </c>
      <c r="AL160">
        <v>30489.586535798586</v>
      </c>
      <c r="AM160" s="64">
        <f t="shared" si="6"/>
        <v>4</v>
      </c>
      <c r="AN160">
        <v>1</v>
      </c>
    </row>
    <row r="161" spans="35:40" x14ac:dyDescent="0.2">
      <c r="AI161" t="s">
        <v>2175</v>
      </c>
      <c r="AJ161" t="s">
        <v>813</v>
      </c>
      <c r="AK161">
        <f t="shared" si="5"/>
        <v>27</v>
      </c>
      <c r="AL161">
        <v>69871.969144538423</v>
      </c>
      <c r="AM161" s="64">
        <f t="shared" si="6"/>
        <v>5</v>
      </c>
      <c r="AN161">
        <v>1</v>
      </c>
    </row>
  </sheetData>
  <mergeCells count="3">
    <mergeCell ref="D3:E3"/>
    <mergeCell ref="H3:I3"/>
    <mergeCell ref="F3:G3"/>
  </mergeCells>
  <pageMargins left="0.7" right="0.7" top="0.75" bottom="0.75" header="0.3" footer="0.3"/>
  <pageSetup orientation="portrait" horizontalDpi="0" verticalDpi="0" r:id="rId6"/>
  <drawing r:id="rId7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884"/>
  <sheetViews>
    <sheetView topLeftCell="G1" workbookViewId="0">
      <selection activeCell="F3" sqref="F3"/>
    </sheetView>
  </sheetViews>
  <sheetFormatPr defaultRowHeight="12.75" x14ac:dyDescent="0.2"/>
  <cols>
    <col min="1" max="1" width="9.85546875" bestFit="1" customWidth="1"/>
    <col min="2" max="2" width="21.5703125" bestFit="1" customWidth="1"/>
    <col min="3" max="3" width="11.28515625" customWidth="1"/>
    <col min="4" max="4" width="12.85546875" bestFit="1" customWidth="1"/>
    <col min="5" max="5" width="13.7109375" bestFit="1" customWidth="1"/>
    <col min="6" max="6" width="55.28515625" bestFit="1" customWidth="1"/>
    <col min="7" max="7" width="16.42578125" bestFit="1" customWidth="1"/>
    <col min="8" max="8" width="25.5703125" bestFit="1" customWidth="1"/>
    <col min="9" max="9" width="19.7109375" bestFit="1" customWidth="1"/>
    <col min="10" max="10" width="42.42578125" bestFit="1" customWidth="1"/>
    <col min="11" max="11" width="19.42578125" bestFit="1" customWidth="1"/>
  </cols>
  <sheetData>
    <row r="1" spans="1:11" x14ac:dyDescent="0.2">
      <c r="A1" t="s">
        <v>774</v>
      </c>
      <c r="B1" t="s">
        <v>775</v>
      </c>
      <c r="C1" t="s">
        <v>776</v>
      </c>
      <c r="D1" t="s">
        <v>777</v>
      </c>
      <c r="E1" t="s">
        <v>778</v>
      </c>
      <c r="F1" t="s">
        <v>779</v>
      </c>
      <c r="G1" t="s">
        <v>780</v>
      </c>
      <c r="H1" t="s">
        <v>781</v>
      </c>
      <c r="I1" t="s">
        <v>782</v>
      </c>
      <c r="J1" t="s">
        <v>783</v>
      </c>
      <c r="K1" t="s">
        <v>784</v>
      </c>
    </row>
    <row r="2" spans="1:11" x14ac:dyDescent="0.2">
      <c r="A2" t="s">
        <v>785</v>
      </c>
      <c r="B2" s="59">
        <v>41054.133009259262</v>
      </c>
      <c r="C2">
        <v>5846</v>
      </c>
      <c r="D2" t="s">
        <v>786</v>
      </c>
      <c r="E2">
        <f>tblSalaries[[#This Row],[clean Salary (in local currency)]]*VLOOKUP(tblSalaries[[#This Row],[Currency]],[1]!tblXrate[#Data],2,FALSE)</f>
        <v>5846</v>
      </c>
      <c r="F2" t="s">
        <v>787</v>
      </c>
      <c r="G2" t="s">
        <v>788</v>
      </c>
      <c r="H2" t="s">
        <v>117</v>
      </c>
      <c r="I2" t="str">
        <f>VLOOKUP(tblSalaries[[#This Row],[Where do you work]],[1]!tblCountries[[Actual]:[Mapping]],2,FALSE)</f>
        <v>India</v>
      </c>
      <c r="J2" t="s">
        <v>789</v>
      </c>
    </row>
    <row r="3" spans="1:11" x14ac:dyDescent="0.2">
      <c r="A3" t="s">
        <v>790</v>
      </c>
      <c r="B3" s="59">
        <v>41054.13417824074</v>
      </c>
      <c r="C3">
        <v>15000</v>
      </c>
      <c r="D3" t="s">
        <v>786</v>
      </c>
      <c r="E3">
        <f>tblSalaries[[#This Row],[clean Salary (in local currency)]]*VLOOKUP(tblSalaries[[#This Row],[Currency]],[1]!tblXrate[#Data],2,FALSE)</f>
        <v>15000</v>
      </c>
      <c r="F3" t="s">
        <v>791</v>
      </c>
      <c r="G3" t="s">
        <v>792</v>
      </c>
      <c r="H3" t="s">
        <v>793</v>
      </c>
      <c r="I3" t="str">
        <f>VLOOKUP(tblSalaries[[#This Row],[Where do you work]],[1]!tblCountries[[Actual]:[Mapping]],2,FALSE)</f>
        <v>Croatia</v>
      </c>
      <c r="J3" t="s">
        <v>794</v>
      </c>
    </row>
    <row r="4" spans="1:11" x14ac:dyDescent="0.2">
      <c r="A4" t="s">
        <v>795</v>
      </c>
      <c r="B4" s="59">
        <v>41054.136412037034</v>
      </c>
      <c r="C4">
        <v>58000</v>
      </c>
      <c r="D4" t="s">
        <v>786</v>
      </c>
      <c r="E4">
        <f>tblSalaries[[#This Row],[clean Salary (in local currency)]]*VLOOKUP(tblSalaries[[#This Row],[Currency]],[1]!tblXrate[#Data],2,FALSE)</f>
        <v>58000</v>
      </c>
      <c r="F4" t="s">
        <v>796</v>
      </c>
      <c r="G4" t="s">
        <v>788</v>
      </c>
      <c r="H4" t="s">
        <v>15</v>
      </c>
      <c r="I4" t="str">
        <f>VLOOKUP(tblSalaries[[#This Row],[Where do you work]],[1]!tblCountries[[Actual]:[Mapping]],2,FALSE)</f>
        <v>USA</v>
      </c>
      <c r="J4" t="s">
        <v>794</v>
      </c>
    </row>
    <row r="5" spans="1:11" x14ac:dyDescent="0.2">
      <c r="A5" t="s">
        <v>797</v>
      </c>
      <c r="B5" s="59">
        <v>41054.141458333332</v>
      </c>
      <c r="C5">
        <v>48000</v>
      </c>
      <c r="D5" t="s">
        <v>786</v>
      </c>
      <c r="E5">
        <f>tblSalaries[[#This Row],[clean Salary (in local currency)]]*VLOOKUP(tblSalaries[[#This Row],[Currency]],[1]!tblXrate[#Data],2,FALSE)</f>
        <v>48000</v>
      </c>
      <c r="F5" t="s">
        <v>798</v>
      </c>
      <c r="G5" t="s">
        <v>792</v>
      </c>
      <c r="H5" t="s">
        <v>240</v>
      </c>
      <c r="I5" t="str">
        <f>VLOOKUP(tblSalaries[[#This Row],[Where do you work]],[1]!tblCountries[[Actual]:[Mapping]],2,FALSE)</f>
        <v>Pakistan</v>
      </c>
      <c r="J5" t="s">
        <v>799</v>
      </c>
    </row>
    <row r="6" spans="1:11" x14ac:dyDescent="0.2">
      <c r="A6" t="s">
        <v>800</v>
      </c>
      <c r="B6" s="59">
        <v>41054.143796296295</v>
      </c>
      <c r="C6">
        <v>54000</v>
      </c>
      <c r="D6" t="s">
        <v>786</v>
      </c>
      <c r="E6">
        <f>tblSalaries[[#This Row],[clean Salary (in local currency)]]*VLOOKUP(tblSalaries[[#This Row],[Currency]],[1]!tblXrate[#Data],2,FALSE)</f>
        <v>54000</v>
      </c>
      <c r="F6" t="s">
        <v>801</v>
      </c>
      <c r="G6" t="s">
        <v>802</v>
      </c>
      <c r="H6" t="s">
        <v>15</v>
      </c>
      <c r="I6" t="str">
        <f>VLOOKUP(tblSalaries[[#This Row],[Where do you work]],[1]!tblCountries[[Actual]:[Mapping]],2,FALSE)</f>
        <v>USA</v>
      </c>
      <c r="J6" t="s">
        <v>794</v>
      </c>
    </row>
    <row r="7" spans="1:11" x14ac:dyDescent="0.2">
      <c r="A7" t="s">
        <v>803</v>
      </c>
      <c r="B7" s="59">
        <v>41054.144768518519</v>
      </c>
      <c r="C7">
        <v>41731</v>
      </c>
      <c r="D7" t="s">
        <v>786</v>
      </c>
      <c r="E7">
        <f>tblSalaries[[#This Row],[clean Salary (in local currency)]]*VLOOKUP(tblSalaries[[#This Row],[Currency]],[1]!tblXrate[#Data],2,FALSE)</f>
        <v>41731</v>
      </c>
      <c r="F7" t="s">
        <v>788</v>
      </c>
      <c r="G7" t="s">
        <v>788</v>
      </c>
      <c r="H7" t="s">
        <v>126</v>
      </c>
      <c r="I7" t="str">
        <f>VLOOKUP(tblSalaries[[#This Row],[Where do you work]],[1]!tblCountries[[Actual]:[Mapping]],2,FALSE)</f>
        <v>Iceland</v>
      </c>
      <c r="J7" t="s">
        <v>794</v>
      </c>
    </row>
    <row r="8" spans="1:11" x14ac:dyDescent="0.2">
      <c r="A8" t="s">
        <v>804</v>
      </c>
      <c r="B8" s="59">
        <v>41054.148506944446</v>
      </c>
      <c r="C8">
        <v>145000</v>
      </c>
      <c r="D8" t="s">
        <v>805</v>
      </c>
      <c r="E8">
        <f>tblSalaries[[#This Row],[clean Salary (in local currency)]]*VLOOKUP(tblSalaries[[#This Row],[Currency]],[1]!tblXrate[#Data],2,FALSE)</f>
        <v>184207.91865378313</v>
      </c>
      <c r="F8" t="s">
        <v>806</v>
      </c>
      <c r="G8" t="s">
        <v>807</v>
      </c>
      <c r="H8" t="s">
        <v>72</v>
      </c>
      <c r="I8" t="str">
        <f>VLOOKUP(tblSalaries[[#This Row],[Where do you work]],[1]!tblCountries[[Actual]:[Mapping]],2,FALSE)</f>
        <v>Germany</v>
      </c>
      <c r="J8" t="s">
        <v>808</v>
      </c>
    </row>
    <row r="9" spans="1:11" x14ac:dyDescent="0.2">
      <c r="A9" t="s">
        <v>809</v>
      </c>
      <c r="B9" s="59">
        <v>41054.15042824074</v>
      </c>
      <c r="C9">
        <v>12000</v>
      </c>
      <c r="D9" t="s">
        <v>786</v>
      </c>
      <c r="E9">
        <f>tblSalaries[[#This Row],[clean Salary (in local currency)]]*VLOOKUP(tblSalaries[[#This Row],[Currency]],[1]!tblXrate[#Data],2,FALSE)</f>
        <v>12000</v>
      </c>
      <c r="F9" t="s">
        <v>810</v>
      </c>
      <c r="G9" t="s">
        <v>788</v>
      </c>
      <c r="H9" t="s">
        <v>329</v>
      </c>
      <c r="I9" t="str">
        <f>VLOOKUP(tblSalaries[[#This Row],[Where do you work]],[1]!tblCountries[[Actual]:[Mapping]],2,FALSE)</f>
        <v>Ukraine</v>
      </c>
      <c r="J9" t="s">
        <v>794</v>
      </c>
    </row>
    <row r="10" spans="1:11" x14ac:dyDescent="0.2">
      <c r="A10" t="s">
        <v>811</v>
      </c>
      <c r="B10" s="59">
        <v>41054.150891203702</v>
      </c>
      <c r="C10">
        <v>44000</v>
      </c>
      <c r="D10" t="s">
        <v>786</v>
      </c>
      <c r="E10">
        <f>tblSalaries[[#This Row],[clean Salary (in local currency)]]*VLOOKUP(tblSalaries[[#This Row],[Currency]],[1]!tblXrate[#Data],2,FALSE)</f>
        <v>44000</v>
      </c>
      <c r="F10" t="s">
        <v>812</v>
      </c>
      <c r="G10" t="s">
        <v>813</v>
      </c>
      <c r="H10" t="s">
        <v>256</v>
      </c>
      <c r="I10" t="str">
        <f>VLOOKUP(tblSalaries[[#This Row],[Where do you work]],[1]!tblCountries[[Actual]:[Mapping]],2,FALSE)</f>
        <v>Portugal</v>
      </c>
      <c r="J10" t="s">
        <v>808</v>
      </c>
    </row>
    <row r="11" spans="1:11" x14ac:dyDescent="0.2">
      <c r="A11" t="s">
        <v>814</v>
      </c>
      <c r="B11" s="59">
        <v>41054.152048611111</v>
      </c>
      <c r="C11">
        <v>1152000</v>
      </c>
      <c r="D11" t="s">
        <v>815</v>
      </c>
      <c r="E11">
        <f>tblSalaries[[#This Row],[clean Salary (in local currency)]]*VLOOKUP(tblSalaries[[#This Row],[Currency]],[1]!tblXrate[#Data],2,FALSE)</f>
        <v>12227.430201752599</v>
      </c>
      <c r="F11" t="s">
        <v>816</v>
      </c>
      <c r="G11" t="s">
        <v>817</v>
      </c>
      <c r="H11" t="s">
        <v>240</v>
      </c>
      <c r="I11" t="str">
        <f>VLOOKUP(tblSalaries[[#This Row],[Where do you work]],[1]!tblCountries[[Actual]:[Mapping]],2,FALSE)</f>
        <v>Pakistan</v>
      </c>
      <c r="J11" t="s">
        <v>794</v>
      </c>
    </row>
    <row r="12" spans="1:11" x14ac:dyDescent="0.2">
      <c r="A12" t="s">
        <v>818</v>
      </c>
      <c r="B12" s="59">
        <v>41054.155381944445</v>
      </c>
      <c r="C12">
        <v>51650</v>
      </c>
      <c r="D12" t="s">
        <v>805</v>
      </c>
      <c r="E12">
        <f>tblSalaries[[#This Row],[clean Salary (in local currency)]]*VLOOKUP(tblSalaries[[#This Row],[Currency]],[1]!tblXrate[#Data],2,FALSE)</f>
        <v>65616.131023916547</v>
      </c>
      <c r="F12" t="s">
        <v>819</v>
      </c>
      <c r="G12" t="s">
        <v>820</v>
      </c>
      <c r="H12" t="s">
        <v>351</v>
      </c>
      <c r="I12" t="str">
        <f>VLOOKUP(tblSalaries[[#This Row],[Where do you work]],[1]!tblCountries[[Actual]:[Mapping]],2,FALSE)</f>
        <v>Ireland</v>
      </c>
      <c r="J12" t="s">
        <v>799</v>
      </c>
    </row>
    <row r="13" spans="1:11" x14ac:dyDescent="0.2">
      <c r="A13" t="s">
        <v>821</v>
      </c>
      <c r="B13" s="59">
        <v>41054.155509259261</v>
      </c>
      <c r="C13">
        <v>14000</v>
      </c>
      <c r="D13" t="s">
        <v>786</v>
      </c>
      <c r="E13">
        <f>tblSalaries[[#This Row],[clean Salary (in local currency)]]*VLOOKUP(tblSalaries[[#This Row],[Currency]],[1]!tblXrate[#Data],2,FALSE)</f>
        <v>14000</v>
      </c>
      <c r="F13" t="s">
        <v>822</v>
      </c>
      <c r="G13" t="s">
        <v>802</v>
      </c>
      <c r="H13" t="s">
        <v>331</v>
      </c>
      <c r="I13" t="str">
        <f>VLOOKUP(tblSalaries[[#This Row],[Where do you work]],[1]!tblCountries[[Actual]:[Mapping]],2,FALSE)</f>
        <v>Hungary</v>
      </c>
      <c r="J13" t="s">
        <v>789</v>
      </c>
    </row>
    <row r="14" spans="1:11" x14ac:dyDescent="0.2">
      <c r="A14" t="s">
        <v>823</v>
      </c>
      <c r="B14" s="59">
        <v>41054.158946759257</v>
      </c>
      <c r="C14">
        <v>749000</v>
      </c>
      <c r="D14" t="s">
        <v>824</v>
      </c>
      <c r="E14">
        <f>tblSalaries[[#This Row],[clean Salary (in local currency)]]*VLOOKUP(tblSalaries[[#This Row],[Currency]],[1]!tblXrate[#Data],2,FALSE)</f>
        <v>13338.129598894484</v>
      </c>
      <c r="F14" t="s">
        <v>825</v>
      </c>
      <c r="G14" t="s">
        <v>788</v>
      </c>
      <c r="H14" t="s">
        <v>117</v>
      </c>
      <c r="I14" t="str">
        <f>VLOOKUP(tblSalaries[[#This Row],[Where do you work]],[1]!tblCountries[[Actual]:[Mapping]],2,FALSE)</f>
        <v>India</v>
      </c>
      <c r="J14" t="s">
        <v>794</v>
      </c>
    </row>
    <row r="15" spans="1:11" x14ac:dyDescent="0.2">
      <c r="A15" t="s">
        <v>826</v>
      </c>
      <c r="B15" s="59">
        <v>41054.160393518519</v>
      </c>
      <c r="C15">
        <v>49000</v>
      </c>
      <c r="D15" t="s">
        <v>786</v>
      </c>
      <c r="E15">
        <f>tblSalaries[[#This Row],[clean Salary (in local currency)]]*VLOOKUP(tblSalaries[[#This Row],[Currency]],[1]!tblXrate[#Data],2,FALSE)</f>
        <v>49000</v>
      </c>
      <c r="F15" t="s">
        <v>827</v>
      </c>
      <c r="G15" t="s">
        <v>788</v>
      </c>
      <c r="H15" t="s">
        <v>15</v>
      </c>
      <c r="I15" t="str">
        <f>VLOOKUP(tblSalaries[[#This Row],[Where do you work]],[1]!tblCountries[[Actual]:[Mapping]],2,FALSE)</f>
        <v>USA</v>
      </c>
      <c r="J15" t="s">
        <v>794</v>
      </c>
    </row>
    <row r="16" spans="1:11" x14ac:dyDescent="0.2">
      <c r="A16" t="s">
        <v>828</v>
      </c>
      <c r="B16" s="59">
        <v>41054.162060185183</v>
      </c>
      <c r="C16">
        <v>85000</v>
      </c>
      <c r="D16" t="s">
        <v>786</v>
      </c>
      <c r="E16">
        <f>tblSalaries[[#This Row],[clean Salary (in local currency)]]*VLOOKUP(tblSalaries[[#This Row],[Currency]],[1]!tblXrate[#Data],2,FALSE)</f>
        <v>85000</v>
      </c>
      <c r="F16" t="s">
        <v>829</v>
      </c>
      <c r="G16" t="s">
        <v>802</v>
      </c>
      <c r="H16" t="s">
        <v>15</v>
      </c>
      <c r="I16" t="str">
        <f>VLOOKUP(tblSalaries[[#This Row],[Where do you work]],[1]!tblCountries[[Actual]:[Mapping]],2,FALSE)</f>
        <v>USA</v>
      </c>
      <c r="J16" t="s">
        <v>808</v>
      </c>
    </row>
    <row r="17" spans="1:10" x14ac:dyDescent="0.2">
      <c r="A17" t="s">
        <v>830</v>
      </c>
      <c r="B17" s="59">
        <v>41054.164351851854</v>
      </c>
      <c r="C17">
        <v>75000</v>
      </c>
      <c r="D17" t="s">
        <v>786</v>
      </c>
      <c r="E17">
        <f>tblSalaries[[#This Row],[clean Salary (in local currency)]]*VLOOKUP(tblSalaries[[#This Row],[Currency]],[1]!tblXrate[#Data],2,FALSE)</f>
        <v>75000</v>
      </c>
      <c r="F17" t="s">
        <v>831</v>
      </c>
      <c r="G17" t="s">
        <v>802</v>
      </c>
      <c r="H17" t="s">
        <v>15</v>
      </c>
      <c r="I17" t="str">
        <f>VLOOKUP(tblSalaries[[#This Row],[Where do you work]],[1]!tblCountries[[Actual]:[Mapping]],2,FALSE)</f>
        <v>USA</v>
      </c>
      <c r="J17" t="s">
        <v>794</v>
      </c>
    </row>
    <row r="18" spans="1:10" x14ac:dyDescent="0.2">
      <c r="A18" t="s">
        <v>832</v>
      </c>
      <c r="B18" s="59">
        <v>41054.173738425925</v>
      </c>
      <c r="C18">
        <v>107000</v>
      </c>
      <c r="D18" t="s">
        <v>786</v>
      </c>
      <c r="E18">
        <f>tblSalaries[[#This Row],[clean Salary (in local currency)]]*VLOOKUP(tblSalaries[[#This Row],[Currency]],[1]!tblXrate[#Data],2,FALSE)</f>
        <v>107000</v>
      </c>
      <c r="F18" t="s">
        <v>833</v>
      </c>
      <c r="G18" t="s">
        <v>807</v>
      </c>
      <c r="H18" t="s">
        <v>271</v>
      </c>
      <c r="I18" t="str">
        <f>VLOOKUP(tblSalaries[[#This Row],[Where do you work]],[1]!tblCountries[[Actual]:[Mapping]],2,FALSE)</f>
        <v>Switzerland</v>
      </c>
      <c r="J18" t="s">
        <v>789</v>
      </c>
    </row>
    <row r="19" spans="1:10" x14ac:dyDescent="0.2">
      <c r="A19" t="s">
        <v>834</v>
      </c>
      <c r="B19" s="59">
        <v>41054.174120370371</v>
      </c>
      <c r="C19">
        <v>45000</v>
      </c>
      <c r="D19" t="s">
        <v>786</v>
      </c>
      <c r="E19">
        <f>tblSalaries[[#This Row],[clean Salary (in local currency)]]*VLOOKUP(tblSalaries[[#This Row],[Currency]],[1]!tblXrate[#Data],2,FALSE)</f>
        <v>45000</v>
      </c>
      <c r="F19" t="s">
        <v>835</v>
      </c>
      <c r="G19" t="s">
        <v>836</v>
      </c>
      <c r="H19" t="s">
        <v>294</v>
      </c>
      <c r="I19" t="str">
        <f>VLOOKUP(tblSalaries[[#This Row],[Where do you work]],[1]!tblCountries[[Actual]:[Mapping]],2,FALSE)</f>
        <v>South Africa</v>
      </c>
      <c r="J19" t="s">
        <v>794</v>
      </c>
    </row>
    <row r="20" spans="1:10" x14ac:dyDescent="0.2">
      <c r="A20" t="s">
        <v>837</v>
      </c>
      <c r="B20" s="59">
        <v>41054.178148148145</v>
      </c>
      <c r="C20">
        <v>550000</v>
      </c>
      <c r="D20" t="s">
        <v>824</v>
      </c>
      <c r="E20">
        <f>tblSalaries[[#This Row],[clean Salary (in local currency)]]*VLOOKUP(tblSalaries[[#This Row],[Currency]],[1]!tblXrate[#Data],2,FALSE)</f>
        <v>9794.354178093412</v>
      </c>
      <c r="F20" t="s">
        <v>838</v>
      </c>
      <c r="G20" t="s">
        <v>807</v>
      </c>
      <c r="H20" t="s">
        <v>117</v>
      </c>
      <c r="I20" t="str">
        <f>VLOOKUP(tblSalaries[[#This Row],[Where do you work]],[1]!tblCountries[[Actual]:[Mapping]],2,FALSE)</f>
        <v>India</v>
      </c>
      <c r="J20" t="s">
        <v>799</v>
      </c>
    </row>
    <row r="21" spans="1:10" x14ac:dyDescent="0.2">
      <c r="A21" t="s">
        <v>839</v>
      </c>
      <c r="B21" s="59">
        <v>41054.180115740739</v>
      </c>
      <c r="C21">
        <v>50000</v>
      </c>
      <c r="D21" t="s">
        <v>786</v>
      </c>
      <c r="E21">
        <f>tblSalaries[[#This Row],[clean Salary (in local currency)]]*VLOOKUP(tblSalaries[[#This Row],[Currency]],[1]!tblXrate[#Data],2,FALSE)</f>
        <v>50000</v>
      </c>
      <c r="F21" t="s">
        <v>840</v>
      </c>
      <c r="G21" t="s">
        <v>807</v>
      </c>
      <c r="H21" t="s">
        <v>117</v>
      </c>
      <c r="I21" t="str">
        <f>VLOOKUP(tblSalaries[[#This Row],[Where do you work]],[1]!tblCountries[[Actual]:[Mapping]],2,FALSE)</f>
        <v>India</v>
      </c>
      <c r="J21" t="s">
        <v>808</v>
      </c>
    </row>
    <row r="22" spans="1:10" x14ac:dyDescent="0.2">
      <c r="A22" t="s">
        <v>841</v>
      </c>
      <c r="B22" s="59">
        <v>41054.183344907404</v>
      </c>
      <c r="C22">
        <v>13500</v>
      </c>
      <c r="D22" t="s">
        <v>786</v>
      </c>
      <c r="E22">
        <f>tblSalaries[[#This Row],[clean Salary (in local currency)]]*VLOOKUP(tblSalaries[[#This Row],[Currency]],[1]!tblXrate[#Data],2,FALSE)</f>
        <v>13500</v>
      </c>
      <c r="F22" t="s">
        <v>842</v>
      </c>
      <c r="G22" t="s">
        <v>807</v>
      </c>
      <c r="H22" t="s">
        <v>117</v>
      </c>
      <c r="I22" t="str">
        <f>VLOOKUP(tblSalaries[[#This Row],[Where do you work]],[1]!tblCountries[[Actual]:[Mapping]],2,FALSE)</f>
        <v>India</v>
      </c>
      <c r="J22" t="s">
        <v>789</v>
      </c>
    </row>
    <row r="23" spans="1:10" x14ac:dyDescent="0.2">
      <c r="A23" t="s">
        <v>843</v>
      </c>
      <c r="B23" s="59">
        <v>41054.183472222219</v>
      </c>
      <c r="C23">
        <v>96000</v>
      </c>
      <c r="D23" t="s">
        <v>786</v>
      </c>
      <c r="E23">
        <f>tblSalaries[[#This Row],[clean Salary (in local currency)]]*VLOOKUP(tblSalaries[[#This Row],[Currency]],[1]!tblXrate[#Data],2,FALSE)</f>
        <v>96000</v>
      </c>
      <c r="F23" t="s">
        <v>788</v>
      </c>
      <c r="G23" t="s">
        <v>788</v>
      </c>
      <c r="H23" t="s">
        <v>15</v>
      </c>
      <c r="I23" t="str">
        <f>VLOOKUP(tblSalaries[[#This Row],[Where do you work]],[1]!tblCountries[[Actual]:[Mapping]],2,FALSE)</f>
        <v>USA</v>
      </c>
      <c r="J23" t="s">
        <v>799</v>
      </c>
    </row>
    <row r="24" spans="1:10" x14ac:dyDescent="0.2">
      <c r="A24" t="s">
        <v>844</v>
      </c>
      <c r="B24" s="59">
        <v>41054.188668981478</v>
      </c>
      <c r="C24">
        <v>1000000</v>
      </c>
      <c r="D24" t="s">
        <v>824</v>
      </c>
      <c r="E24">
        <f>tblSalaries[[#This Row],[clean Salary (in local currency)]]*VLOOKUP(tblSalaries[[#This Row],[Currency]],[1]!tblXrate[#Data],2,FALSE)</f>
        <v>17807.916687442568</v>
      </c>
      <c r="F24" t="s">
        <v>807</v>
      </c>
      <c r="G24" t="s">
        <v>807</v>
      </c>
      <c r="H24" t="s">
        <v>117</v>
      </c>
      <c r="I24" t="str">
        <f>VLOOKUP(tblSalaries[[#This Row],[Where do you work]],[1]!tblCountries[[Actual]:[Mapping]],2,FALSE)</f>
        <v>India</v>
      </c>
      <c r="J24" t="s">
        <v>789</v>
      </c>
    </row>
    <row r="25" spans="1:10" x14ac:dyDescent="0.2">
      <c r="A25" t="s">
        <v>845</v>
      </c>
      <c r="B25" s="59">
        <v>41054.189456018517</v>
      </c>
      <c r="C25">
        <v>75000</v>
      </c>
      <c r="D25" t="s">
        <v>786</v>
      </c>
      <c r="E25">
        <f>tblSalaries[[#This Row],[clean Salary (in local currency)]]*VLOOKUP(tblSalaries[[#This Row],[Currency]],[1]!tblXrate[#Data],2,FALSE)</f>
        <v>75000</v>
      </c>
      <c r="F25" t="s">
        <v>846</v>
      </c>
      <c r="G25" t="s">
        <v>813</v>
      </c>
      <c r="H25" t="s">
        <v>15</v>
      </c>
      <c r="I25" t="str">
        <f>VLOOKUP(tblSalaries[[#This Row],[Where do you work]],[1]!tblCountries[[Actual]:[Mapping]],2,FALSE)</f>
        <v>USA</v>
      </c>
      <c r="J25" t="s">
        <v>789</v>
      </c>
    </row>
    <row r="26" spans="1:10" x14ac:dyDescent="0.2">
      <c r="A26" t="s">
        <v>847</v>
      </c>
      <c r="B26" s="59">
        <v>41054.197118055556</v>
      </c>
      <c r="C26">
        <v>40000</v>
      </c>
      <c r="D26" t="s">
        <v>786</v>
      </c>
      <c r="E26">
        <f>tblSalaries[[#This Row],[clean Salary (in local currency)]]*VLOOKUP(tblSalaries[[#This Row],[Currency]],[1]!tblXrate[#Data],2,FALSE)</f>
        <v>40000</v>
      </c>
      <c r="F26" t="s">
        <v>848</v>
      </c>
      <c r="G26" t="s">
        <v>807</v>
      </c>
      <c r="H26" t="s">
        <v>15</v>
      </c>
      <c r="I26" t="str">
        <f>VLOOKUP(tblSalaries[[#This Row],[Where do you work]],[1]!tblCountries[[Actual]:[Mapping]],2,FALSE)</f>
        <v>USA</v>
      </c>
      <c r="J26" t="s">
        <v>799</v>
      </c>
    </row>
    <row r="27" spans="1:10" x14ac:dyDescent="0.2">
      <c r="A27" t="s">
        <v>849</v>
      </c>
      <c r="B27" s="59">
        <v>41054.197928240741</v>
      </c>
      <c r="C27">
        <v>60000</v>
      </c>
      <c r="D27" t="s">
        <v>786</v>
      </c>
      <c r="E27">
        <f>tblSalaries[[#This Row],[clean Salary (in local currency)]]*VLOOKUP(tblSalaries[[#This Row],[Currency]],[1]!tblXrate[#Data],2,FALSE)</f>
        <v>60000</v>
      </c>
      <c r="F27" t="s">
        <v>850</v>
      </c>
      <c r="G27" t="s">
        <v>788</v>
      </c>
      <c r="H27" t="s">
        <v>15</v>
      </c>
      <c r="I27" t="str">
        <f>VLOOKUP(tblSalaries[[#This Row],[Where do you work]],[1]!tblCountries[[Actual]:[Mapping]],2,FALSE)</f>
        <v>USA</v>
      </c>
      <c r="J27" t="s">
        <v>794</v>
      </c>
    </row>
    <row r="28" spans="1:10" x14ac:dyDescent="0.2">
      <c r="A28" t="s">
        <v>851</v>
      </c>
      <c r="B28" s="59">
        <v>41054.200381944444</v>
      </c>
      <c r="C28">
        <v>32400</v>
      </c>
      <c r="D28" t="s">
        <v>805</v>
      </c>
      <c r="E28">
        <f>tblSalaries[[#This Row],[clean Salary (in local currency)]]*VLOOKUP(tblSalaries[[#This Row],[Currency]],[1]!tblXrate[#Data],2,FALSE)</f>
        <v>41160.941823328096</v>
      </c>
      <c r="F28" t="s">
        <v>852</v>
      </c>
      <c r="G28" t="s">
        <v>807</v>
      </c>
      <c r="H28" t="s">
        <v>42</v>
      </c>
      <c r="I28" t="str">
        <f>VLOOKUP(tblSalaries[[#This Row],[Where do you work]],[1]!tblCountries[[Actual]:[Mapping]],2,FALSE)</f>
        <v>Belgium</v>
      </c>
      <c r="J28" t="s">
        <v>789</v>
      </c>
    </row>
    <row r="29" spans="1:10" x14ac:dyDescent="0.2">
      <c r="A29" t="s">
        <v>853</v>
      </c>
      <c r="B29" s="59">
        <v>41054.203043981484</v>
      </c>
      <c r="C29">
        <v>900000</v>
      </c>
      <c r="D29" t="s">
        <v>824</v>
      </c>
      <c r="E29">
        <f>tblSalaries[[#This Row],[clean Salary (in local currency)]]*VLOOKUP(tblSalaries[[#This Row],[Currency]],[1]!tblXrate[#Data],2,FALSE)</f>
        <v>16027.125018698311</v>
      </c>
      <c r="F29" t="s">
        <v>854</v>
      </c>
      <c r="G29" t="s">
        <v>802</v>
      </c>
      <c r="H29" t="s">
        <v>117</v>
      </c>
      <c r="I29" t="str">
        <f>VLOOKUP(tblSalaries[[#This Row],[Where do you work]],[1]!tblCountries[[Actual]:[Mapping]],2,FALSE)</f>
        <v>India</v>
      </c>
      <c r="J29" t="s">
        <v>808</v>
      </c>
    </row>
    <row r="30" spans="1:10" x14ac:dyDescent="0.2">
      <c r="A30" t="s">
        <v>855</v>
      </c>
      <c r="B30" s="59">
        <v>41054.205266203702</v>
      </c>
      <c r="C30">
        <v>600000</v>
      </c>
      <c r="D30" t="s">
        <v>824</v>
      </c>
      <c r="E30">
        <f>tblSalaries[[#This Row],[clean Salary (in local currency)]]*VLOOKUP(tblSalaries[[#This Row],[Currency]],[1]!tblXrate[#Data],2,FALSE)</f>
        <v>10684.750012465542</v>
      </c>
      <c r="F30" t="s">
        <v>856</v>
      </c>
      <c r="G30" t="s">
        <v>807</v>
      </c>
      <c r="H30" t="s">
        <v>117</v>
      </c>
      <c r="I30" t="str">
        <f>VLOOKUP(tblSalaries[[#This Row],[Where do you work]],[1]!tblCountries[[Actual]:[Mapping]],2,FALSE)</f>
        <v>India</v>
      </c>
      <c r="J30" t="s">
        <v>789</v>
      </c>
    </row>
    <row r="31" spans="1:10" x14ac:dyDescent="0.2">
      <c r="A31" t="s">
        <v>857</v>
      </c>
      <c r="B31" s="59">
        <v>41054.205416666664</v>
      </c>
      <c r="C31">
        <v>41000</v>
      </c>
      <c r="D31" t="s">
        <v>786</v>
      </c>
      <c r="E31">
        <f>tblSalaries[[#This Row],[clean Salary (in local currency)]]*VLOOKUP(tblSalaries[[#This Row],[Currency]],[1]!tblXrate[#Data],2,FALSE)</f>
        <v>41000</v>
      </c>
      <c r="F31" t="s">
        <v>858</v>
      </c>
      <c r="G31" t="s">
        <v>807</v>
      </c>
      <c r="H31" t="s">
        <v>744</v>
      </c>
      <c r="I31" t="str">
        <f>VLOOKUP(tblSalaries[[#This Row],[Where do you work]],[1]!tblCountries[[Actual]:[Mapping]],2,FALSE)</f>
        <v>Russia</v>
      </c>
      <c r="J31" t="s">
        <v>794</v>
      </c>
    </row>
    <row r="32" spans="1:10" x14ac:dyDescent="0.2">
      <c r="A32" t="s">
        <v>859</v>
      </c>
      <c r="B32" s="59">
        <v>41054.206319444442</v>
      </c>
      <c r="C32">
        <v>360000</v>
      </c>
      <c r="D32" t="s">
        <v>824</v>
      </c>
      <c r="E32">
        <f>tblSalaries[[#This Row],[clean Salary (in local currency)]]*VLOOKUP(tblSalaries[[#This Row],[Currency]],[1]!tblXrate[#Data],2,FALSE)</f>
        <v>6410.8500074793246</v>
      </c>
      <c r="F32" t="s">
        <v>820</v>
      </c>
      <c r="G32" t="s">
        <v>820</v>
      </c>
      <c r="H32" t="s">
        <v>117</v>
      </c>
      <c r="I32" t="str">
        <f>VLOOKUP(tblSalaries[[#This Row],[Where do you work]],[1]!tblCountries[[Actual]:[Mapping]],2,FALSE)</f>
        <v>India</v>
      </c>
      <c r="J32" t="s">
        <v>789</v>
      </c>
    </row>
    <row r="33" spans="1:10" x14ac:dyDescent="0.2">
      <c r="A33" t="s">
        <v>860</v>
      </c>
      <c r="B33" s="59">
        <v>41054.207465277781</v>
      </c>
      <c r="C33">
        <v>35000</v>
      </c>
      <c r="D33" t="s">
        <v>861</v>
      </c>
      <c r="E33">
        <f>tblSalaries[[#This Row],[clean Salary (in local currency)]]*VLOOKUP(tblSalaries[[#This Row],[Currency]],[1]!tblXrate[#Data],2,FALSE)</f>
        <v>55166.239522354947</v>
      </c>
      <c r="F33" t="s">
        <v>862</v>
      </c>
      <c r="G33" t="s">
        <v>788</v>
      </c>
      <c r="H33" t="s">
        <v>863</v>
      </c>
      <c r="I33" t="str">
        <f>VLOOKUP(tblSalaries[[#This Row],[Where do you work]],[1]!tblCountries[[Actual]:[Mapping]],2,FALSE)</f>
        <v>UK</v>
      </c>
      <c r="J33" t="s">
        <v>794</v>
      </c>
    </row>
    <row r="34" spans="1:10" x14ac:dyDescent="0.2">
      <c r="A34" t="s">
        <v>864</v>
      </c>
      <c r="B34" s="59">
        <v>41054.209131944444</v>
      </c>
      <c r="C34">
        <v>19200</v>
      </c>
      <c r="D34" t="s">
        <v>786</v>
      </c>
      <c r="E34">
        <f>tblSalaries[[#This Row],[clean Salary (in local currency)]]*VLOOKUP(tblSalaries[[#This Row],[Currency]],[1]!tblXrate[#Data],2,FALSE)</f>
        <v>19200</v>
      </c>
      <c r="F34" t="s">
        <v>788</v>
      </c>
      <c r="G34" t="s">
        <v>788</v>
      </c>
      <c r="H34" t="s">
        <v>254</v>
      </c>
      <c r="I34" t="str">
        <f>VLOOKUP(tblSalaries[[#This Row],[Where do you work]],[1]!tblCountries[[Actual]:[Mapping]],2,FALSE)</f>
        <v>Poland</v>
      </c>
      <c r="J34" t="s">
        <v>799</v>
      </c>
    </row>
    <row r="35" spans="1:10" x14ac:dyDescent="0.2">
      <c r="A35" t="s">
        <v>865</v>
      </c>
      <c r="B35" s="59">
        <v>41054.21125</v>
      </c>
      <c r="C35">
        <v>500000</v>
      </c>
      <c r="D35" t="s">
        <v>824</v>
      </c>
      <c r="E35">
        <f>tblSalaries[[#This Row],[clean Salary (in local currency)]]*VLOOKUP(tblSalaries[[#This Row],[Currency]],[1]!tblXrate[#Data],2,FALSE)</f>
        <v>8903.9583437212841</v>
      </c>
      <c r="F35" t="s">
        <v>866</v>
      </c>
      <c r="G35" t="s">
        <v>867</v>
      </c>
      <c r="H35" t="s">
        <v>117</v>
      </c>
      <c r="I35" t="str">
        <f>VLOOKUP(tblSalaries[[#This Row],[Where do you work]],[1]!tblCountries[[Actual]:[Mapping]],2,FALSE)</f>
        <v>India</v>
      </c>
      <c r="J35" t="s">
        <v>794</v>
      </c>
    </row>
    <row r="36" spans="1:10" x14ac:dyDescent="0.2">
      <c r="A36" t="s">
        <v>868</v>
      </c>
      <c r="B36" s="59">
        <v>41054.213553240741</v>
      </c>
      <c r="C36">
        <v>150000</v>
      </c>
      <c r="D36" t="s">
        <v>786</v>
      </c>
      <c r="E36">
        <f>tblSalaries[[#This Row],[clean Salary (in local currency)]]*VLOOKUP(tblSalaries[[#This Row],[Currency]],[1]!tblXrate[#Data],2,FALSE)</f>
        <v>150000</v>
      </c>
      <c r="F36" t="s">
        <v>869</v>
      </c>
      <c r="G36" t="s">
        <v>807</v>
      </c>
      <c r="H36" t="s">
        <v>15</v>
      </c>
      <c r="I36" t="str">
        <f>VLOOKUP(tblSalaries[[#This Row],[Where do you work]],[1]!tblCountries[[Actual]:[Mapping]],2,FALSE)</f>
        <v>USA</v>
      </c>
      <c r="J36" t="s">
        <v>799</v>
      </c>
    </row>
    <row r="37" spans="1:10" x14ac:dyDescent="0.2">
      <c r="A37" t="s">
        <v>870</v>
      </c>
      <c r="B37" s="59">
        <v>41054.215613425928</v>
      </c>
      <c r="C37">
        <v>69000</v>
      </c>
      <c r="D37" t="s">
        <v>786</v>
      </c>
      <c r="E37">
        <f>tblSalaries[[#This Row],[clean Salary (in local currency)]]*VLOOKUP(tblSalaries[[#This Row],[Currency]],[1]!tblXrate[#Data],2,FALSE)</f>
        <v>69000</v>
      </c>
      <c r="F37" t="s">
        <v>871</v>
      </c>
      <c r="G37" t="s">
        <v>802</v>
      </c>
      <c r="H37" t="s">
        <v>15</v>
      </c>
      <c r="I37" t="str">
        <f>VLOOKUP(tblSalaries[[#This Row],[Where do you work]],[1]!tblCountries[[Actual]:[Mapping]],2,FALSE)</f>
        <v>USA</v>
      </c>
      <c r="J37" t="s">
        <v>789</v>
      </c>
    </row>
    <row r="38" spans="1:10" x14ac:dyDescent="0.2">
      <c r="A38" t="s">
        <v>872</v>
      </c>
      <c r="B38" s="59">
        <v>41054.216400462959</v>
      </c>
      <c r="C38">
        <v>30000</v>
      </c>
      <c r="D38" t="s">
        <v>786</v>
      </c>
      <c r="E38">
        <f>tblSalaries[[#This Row],[clean Salary (in local currency)]]*VLOOKUP(tblSalaries[[#This Row],[Currency]],[1]!tblXrate[#Data],2,FALSE)</f>
        <v>30000</v>
      </c>
      <c r="F38" t="s">
        <v>873</v>
      </c>
      <c r="G38" t="s">
        <v>867</v>
      </c>
      <c r="H38" t="s">
        <v>15</v>
      </c>
      <c r="I38" t="str">
        <f>VLOOKUP(tblSalaries[[#This Row],[Where do you work]],[1]!tblCountries[[Actual]:[Mapping]],2,FALSE)</f>
        <v>USA</v>
      </c>
      <c r="J38" t="s">
        <v>799</v>
      </c>
    </row>
    <row r="39" spans="1:10" x14ac:dyDescent="0.2">
      <c r="A39" t="s">
        <v>874</v>
      </c>
      <c r="B39" s="59">
        <v>41054.217939814815</v>
      </c>
      <c r="C39">
        <v>400000</v>
      </c>
      <c r="D39" t="s">
        <v>824</v>
      </c>
      <c r="E39">
        <f>tblSalaries[[#This Row],[clean Salary (in local currency)]]*VLOOKUP(tblSalaries[[#This Row],[Currency]],[1]!tblXrate[#Data],2,FALSE)</f>
        <v>7123.1666749770275</v>
      </c>
      <c r="F39" t="s">
        <v>875</v>
      </c>
      <c r="G39" t="s">
        <v>807</v>
      </c>
      <c r="H39" t="s">
        <v>117</v>
      </c>
      <c r="I39" t="str">
        <f>VLOOKUP(tblSalaries[[#This Row],[Where do you work]],[1]!tblCountries[[Actual]:[Mapping]],2,FALSE)</f>
        <v>India</v>
      </c>
      <c r="J39" t="s">
        <v>789</v>
      </c>
    </row>
    <row r="40" spans="1:10" x14ac:dyDescent="0.2">
      <c r="A40" t="s">
        <v>876</v>
      </c>
      <c r="B40" s="59">
        <v>41054.221388888887</v>
      </c>
      <c r="C40">
        <v>70000</v>
      </c>
      <c r="D40" t="s">
        <v>877</v>
      </c>
      <c r="E40">
        <f>tblSalaries[[#This Row],[clean Salary (in local currency)]]*VLOOKUP(tblSalaries[[#This Row],[Currency]],[1]!tblXrate[#Data],2,FALSE)</f>
        <v>71393.675948184507</v>
      </c>
      <c r="F40" t="s">
        <v>878</v>
      </c>
      <c r="G40" t="s">
        <v>867</v>
      </c>
      <c r="H40" t="s">
        <v>33</v>
      </c>
      <c r="I40" t="str">
        <f>VLOOKUP(tblSalaries[[#This Row],[Where do you work]],[1]!tblCountries[[Actual]:[Mapping]],2,FALSE)</f>
        <v>Australia</v>
      </c>
      <c r="J40" t="s">
        <v>799</v>
      </c>
    </row>
    <row r="41" spans="1:10" x14ac:dyDescent="0.2">
      <c r="A41" t="s">
        <v>879</v>
      </c>
      <c r="B41" s="59">
        <v>41054.222337962965</v>
      </c>
      <c r="C41">
        <v>14500</v>
      </c>
      <c r="D41" t="s">
        <v>786</v>
      </c>
      <c r="E41">
        <f>tblSalaries[[#This Row],[clean Salary (in local currency)]]*VLOOKUP(tblSalaries[[#This Row],[Currency]],[1]!tblXrate[#Data],2,FALSE)</f>
        <v>14500</v>
      </c>
      <c r="F41" t="s">
        <v>880</v>
      </c>
      <c r="G41" t="s">
        <v>788</v>
      </c>
      <c r="H41" t="s">
        <v>117</v>
      </c>
      <c r="I41" t="str">
        <f>VLOOKUP(tblSalaries[[#This Row],[Where do you work]],[1]!tblCountries[[Actual]:[Mapping]],2,FALSE)</f>
        <v>India</v>
      </c>
      <c r="J41" t="s">
        <v>789</v>
      </c>
    </row>
    <row r="42" spans="1:10" x14ac:dyDescent="0.2">
      <c r="A42" t="s">
        <v>881</v>
      </c>
      <c r="B42" s="59">
        <v>41054.229618055557</v>
      </c>
      <c r="C42">
        <v>70000</v>
      </c>
      <c r="D42" t="s">
        <v>882</v>
      </c>
      <c r="E42">
        <f>tblSalaries[[#This Row],[clean Salary (in local currency)]]*VLOOKUP(tblSalaries[[#This Row],[Currency]],[1]!tblXrate[#Data],2,FALSE)</f>
        <v>68835.306612122877</v>
      </c>
      <c r="F42" t="s">
        <v>883</v>
      </c>
      <c r="G42" t="s">
        <v>802</v>
      </c>
      <c r="H42" t="s">
        <v>143</v>
      </c>
      <c r="I42" t="str">
        <f>VLOOKUP(tblSalaries[[#This Row],[Where do you work]],[1]!tblCountries[[Actual]:[Mapping]],2,FALSE)</f>
        <v>Canada</v>
      </c>
      <c r="J42" t="s">
        <v>799</v>
      </c>
    </row>
    <row r="43" spans="1:10" x14ac:dyDescent="0.2">
      <c r="A43" t="s">
        <v>884</v>
      </c>
      <c r="B43" s="59">
        <v>41054.23296296296</v>
      </c>
      <c r="C43">
        <v>58000</v>
      </c>
      <c r="D43" t="s">
        <v>786</v>
      </c>
      <c r="E43">
        <f>tblSalaries[[#This Row],[clean Salary (in local currency)]]*VLOOKUP(tblSalaries[[#This Row],[Currency]],[1]!tblXrate[#Data],2,FALSE)</f>
        <v>58000</v>
      </c>
      <c r="F43" t="s">
        <v>885</v>
      </c>
      <c r="G43" t="s">
        <v>817</v>
      </c>
      <c r="H43" t="s">
        <v>15</v>
      </c>
      <c r="I43" t="str">
        <f>VLOOKUP(tblSalaries[[#This Row],[Where do you work]],[1]!tblCountries[[Actual]:[Mapping]],2,FALSE)</f>
        <v>USA</v>
      </c>
      <c r="J43" t="s">
        <v>789</v>
      </c>
    </row>
    <row r="44" spans="1:10" x14ac:dyDescent="0.2">
      <c r="A44" t="s">
        <v>886</v>
      </c>
      <c r="B44" s="59">
        <v>41054.239594907405</v>
      </c>
      <c r="C44">
        <v>90000</v>
      </c>
      <c r="D44" t="s">
        <v>786</v>
      </c>
      <c r="E44">
        <f>tblSalaries[[#This Row],[clean Salary (in local currency)]]*VLOOKUP(tblSalaries[[#This Row],[Currency]],[1]!tblXrate[#Data],2,FALSE)</f>
        <v>90000</v>
      </c>
      <c r="F44" t="s">
        <v>887</v>
      </c>
      <c r="G44" t="s">
        <v>888</v>
      </c>
      <c r="H44" t="s">
        <v>15</v>
      </c>
      <c r="I44" t="str">
        <f>VLOOKUP(tblSalaries[[#This Row],[Where do you work]],[1]!tblCountries[[Actual]:[Mapping]],2,FALSE)</f>
        <v>USA</v>
      </c>
      <c r="J44" t="s">
        <v>808</v>
      </c>
    </row>
    <row r="45" spans="1:10" x14ac:dyDescent="0.2">
      <c r="A45" t="s">
        <v>889</v>
      </c>
      <c r="B45" s="59">
        <v>41054.24082175926</v>
      </c>
      <c r="C45">
        <v>800000</v>
      </c>
      <c r="D45" t="s">
        <v>824</v>
      </c>
      <c r="E45">
        <f>tblSalaries[[#This Row],[clean Salary (in local currency)]]*VLOOKUP(tblSalaries[[#This Row],[Currency]],[1]!tblXrate[#Data],2,FALSE)</f>
        <v>14246.333349954055</v>
      </c>
      <c r="F45" t="s">
        <v>890</v>
      </c>
      <c r="G45" t="s">
        <v>807</v>
      </c>
      <c r="H45" t="s">
        <v>117</v>
      </c>
      <c r="I45" t="str">
        <f>VLOOKUP(tblSalaries[[#This Row],[Where do you work]],[1]!tblCountries[[Actual]:[Mapping]],2,FALSE)</f>
        <v>India</v>
      </c>
      <c r="J45" t="s">
        <v>799</v>
      </c>
    </row>
    <row r="46" spans="1:10" x14ac:dyDescent="0.2">
      <c r="A46" t="s">
        <v>891</v>
      </c>
      <c r="B46" s="59">
        <v>41054.241087962961</v>
      </c>
      <c r="C46">
        <v>32000</v>
      </c>
      <c r="D46" t="s">
        <v>861</v>
      </c>
      <c r="E46">
        <f>tblSalaries[[#This Row],[clean Salary (in local currency)]]*VLOOKUP(tblSalaries[[#This Row],[Currency]],[1]!tblXrate[#Data],2,FALSE)</f>
        <v>50437.70470615309</v>
      </c>
      <c r="F46" t="s">
        <v>892</v>
      </c>
      <c r="G46" t="s">
        <v>788</v>
      </c>
      <c r="H46" t="s">
        <v>863</v>
      </c>
      <c r="I46" t="str">
        <f>VLOOKUP(tblSalaries[[#This Row],[Where do you work]],[1]!tblCountries[[Actual]:[Mapping]],2,FALSE)</f>
        <v>UK</v>
      </c>
      <c r="J46" t="s">
        <v>789</v>
      </c>
    </row>
    <row r="47" spans="1:10" x14ac:dyDescent="0.2">
      <c r="A47" t="s">
        <v>893</v>
      </c>
      <c r="B47" s="59">
        <v>41054.241574074076</v>
      </c>
      <c r="C47">
        <v>12000</v>
      </c>
      <c r="D47" t="s">
        <v>786</v>
      </c>
      <c r="E47">
        <f>tblSalaries[[#This Row],[clean Salary (in local currency)]]*VLOOKUP(tblSalaries[[#This Row],[Currency]],[1]!tblXrate[#Data],2,FALSE)</f>
        <v>12000</v>
      </c>
      <c r="F47" t="s">
        <v>894</v>
      </c>
      <c r="G47" t="s">
        <v>867</v>
      </c>
      <c r="H47" t="s">
        <v>15</v>
      </c>
      <c r="I47" t="str">
        <f>VLOOKUP(tblSalaries[[#This Row],[Where do you work]],[1]!tblCountries[[Actual]:[Mapping]],2,FALSE)</f>
        <v>USA</v>
      </c>
      <c r="J47" t="s">
        <v>808</v>
      </c>
    </row>
    <row r="48" spans="1:10" x14ac:dyDescent="0.2">
      <c r="A48" t="s">
        <v>895</v>
      </c>
      <c r="B48" s="59">
        <v>41054.253263888888</v>
      </c>
      <c r="C48">
        <v>45000</v>
      </c>
      <c r="D48" t="s">
        <v>805</v>
      </c>
      <c r="E48">
        <f>tblSalaries[[#This Row],[clean Salary (in local currency)]]*VLOOKUP(tblSalaries[[#This Row],[Currency]],[1]!tblXrate[#Data],2,FALSE)</f>
        <v>57167.974754622352</v>
      </c>
      <c r="F48" t="s">
        <v>896</v>
      </c>
      <c r="G48" t="s">
        <v>807</v>
      </c>
      <c r="H48" t="s">
        <v>897</v>
      </c>
      <c r="I48" t="str">
        <f>VLOOKUP(tblSalaries[[#This Row],[Where do you work]],[1]!tblCountries[[Actual]:[Mapping]],2,FALSE)</f>
        <v>Netherlands</v>
      </c>
      <c r="J48" t="s">
        <v>789</v>
      </c>
    </row>
    <row r="49" spans="1:10" x14ac:dyDescent="0.2">
      <c r="A49" t="s">
        <v>898</v>
      </c>
      <c r="B49" s="59">
        <v>41054.253437500003</v>
      </c>
      <c r="C49">
        <v>100000</v>
      </c>
      <c r="D49" t="s">
        <v>786</v>
      </c>
      <c r="E49">
        <f>tblSalaries[[#This Row],[clean Salary (in local currency)]]*VLOOKUP(tblSalaries[[#This Row],[Currency]],[1]!tblXrate[#Data],2,FALSE)</f>
        <v>100000</v>
      </c>
      <c r="F49" t="s">
        <v>899</v>
      </c>
      <c r="G49" t="s">
        <v>788</v>
      </c>
      <c r="H49" t="s">
        <v>72</v>
      </c>
      <c r="I49" t="str">
        <f>VLOOKUP(tblSalaries[[#This Row],[Where do you work]],[1]!tblCountries[[Actual]:[Mapping]],2,FALSE)</f>
        <v>Germany</v>
      </c>
      <c r="J49" t="s">
        <v>794</v>
      </c>
    </row>
    <row r="50" spans="1:10" x14ac:dyDescent="0.2">
      <c r="A50" t="s">
        <v>900</v>
      </c>
      <c r="B50" s="59">
        <v>41054.253668981481</v>
      </c>
      <c r="C50">
        <v>57000</v>
      </c>
      <c r="D50" t="s">
        <v>786</v>
      </c>
      <c r="E50">
        <f>tblSalaries[[#This Row],[clean Salary (in local currency)]]*VLOOKUP(tblSalaries[[#This Row],[Currency]],[1]!tblXrate[#Data],2,FALSE)</f>
        <v>57000</v>
      </c>
      <c r="F50" t="s">
        <v>901</v>
      </c>
      <c r="G50" t="s">
        <v>817</v>
      </c>
      <c r="H50" t="s">
        <v>15</v>
      </c>
      <c r="I50" t="str">
        <f>VLOOKUP(tblSalaries[[#This Row],[Where do you work]],[1]!tblCountries[[Actual]:[Mapping]],2,FALSE)</f>
        <v>USA</v>
      </c>
      <c r="J50" t="s">
        <v>799</v>
      </c>
    </row>
    <row r="51" spans="1:10" x14ac:dyDescent="0.2">
      <c r="A51" t="s">
        <v>902</v>
      </c>
      <c r="B51" s="59">
        <v>41054.25503472222</v>
      </c>
      <c r="C51">
        <v>40000</v>
      </c>
      <c r="D51" t="s">
        <v>861</v>
      </c>
      <c r="E51">
        <f>tblSalaries[[#This Row],[clean Salary (in local currency)]]*VLOOKUP(tblSalaries[[#This Row],[Currency]],[1]!tblXrate[#Data],2,FALSE)</f>
        <v>63047.130882691366</v>
      </c>
      <c r="F51" t="s">
        <v>885</v>
      </c>
      <c r="G51" t="s">
        <v>817</v>
      </c>
      <c r="H51" t="s">
        <v>863</v>
      </c>
      <c r="I51" t="str">
        <f>VLOOKUP(tblSalaries[[#This Row],[Where do you work]],[1]!tblCountries[[Actual]:[Mapping]],2,FALSE)</f>
        <v>UK</v>
      </c>
      <c r="J51" t="s">
        <v>789</v>
      </c>
    </row>
    <row r="52" spans="1:10" x14ac:dyDescent="0.2">
      <c r="A52" t="s">
        <v>903</v>
      </c>
      <c r="B52" s="59">
        <v>41054.25675925926</v>
      </c>
      <c r="C52">
        <v>24000</v>
      </c>
      <c r="D52" t="s">
        <v>805</v>
      </c>
      <c r="E52">
        <f>tblSalaries[[#This Row],[clean Salary (in local currency)]]*VLOOKUP(tblSalaries[[#This Row],[Currency]],[1]!tblXrate[#Data],2,FALSE)</f>
        <v>30489.586535798586</v>
      </c>
      <c r="F52" t="s">
        <v>904</v>
      </c>
      <c r="G52" t="s">
        <v>807</v>
      </c>
      <c r="H52" t="s">
        <v>72</v>
      </c>
      <c r="I52" t="str">
        <f>VLOOKUP(tblSalaries[[#This Row],[Where do you work]],[1]!tblCountries[[Actual]:[Mapping]],2,FALSE)</f>
        <v>Germany</v>
      </c>
      <c r="J52" t="s">
        <v>794</v>
      </c>
    </row>
    <row r="53" spans="1:10" x14ac:dyDescent="0.2">
      <c r="A53" t="s">
        <v>905</v>
      </c>
      <c r="B53" s="59">
        <v>41054.257152777776</v>
      </c>
      <c r="C53">
        <v>4320</v>
      </c>
      <c r="D53" t="s">
        <v>786</v>
      </c>
      <c r="E53">
        <f>tblSalaries[[#This Row],[clean Salary (in local currency)]]*VLOOKUP(tblSalaries[[#This Row],[Currency]],[1]!tblXrate[#Data],2,FALSE)</f>
        <v>4320</v>
      </c>
      <c r="F53" t="s">
        <v>906</v>
      </c>
      <c r="G53" t="s">
        <v>817</v>
      </c>
      <c r="H53" t="s">
        <v>117</v>
      </c>
      <c r="I53" t="str">
        <f>VLOOKUP(tblSalaries[[#This Row],[Where do you work]],[1]!tblCountries[[Actual]:[Mapping]],2,FALSE)</f>
        <v>India</v>
      </c>
      <c r="J53" t="s">
        <v>799</v>
      </c>
    </row>
    <row r="54" spans="1:10" x14ac:dyDescent="0.2">
      <c r="A54" t="s">
        <v>907</v>
      </c>
      <c r="B54" s="59">
        <v>41054.26090277778</v>
      </c>
      <c r="C54">
        <v>62000</v>
      </c>
      <c r="D54" t="s">
        <v>786</v>
      </c>
      <c r="E54">
        <f>tblSalaries[[#This Row],[clean Salary (in local currency)]]*VLOOKUP(tblSalaries[[#This Row],[Currency]],[1]!tblXrate[#Data],2,FALSE)</f>
        <v>62000</v>
      </c>
      <c r="F54" t="s">
        <v>788</v>
      </c>
      <c r="G54" t="s">
        <v>788</v>
      </c>
      <c r="H54" t="s">
        <v>15</v>
      </c>
      <c r="I54" t="str">
        <f>VLOOKUP(tblSalaries[[#This Row],[Where do you work]],[1]!tblCountries[[Actual]:[Mapping]],2,FALSE)</f>
        <v>USA</v>
      </c>
      <c r="J54" t="s">
        <v>789</v>
      </c>
    </row>
    <row r="55" spans="1:10" x14ac:dyDescent="0.2">
      <c r="A55" t="s">
        <v>908</v>
      </c>
      <c r="B55" s="59">
        <v>41054.268564814818</v>
      </c>
      <c r="C55">
        <v>7500</v>
      </c>
      <c r="D55" t="s">
        <v>786</v>
      </c>
      <c r="E55">
        <f>tblSalaries[[#This Row],[clean Salary (in local currency)]]*VLOOKUP(tblSalaries[[#This Row],[Currency]],[1]!tblXrate[#Data],2,FALSE)</f>
        <v>7500</v>
      </c>
      <c r="F55" t="s">
        <v>788</v>
      </c>
      <c r="G55" t="s">
        <v>788</v>
      </c>
      <c r="H55" t="s">
        <v>117</v>
      </c>
      <c r="I55" t="str">
        <f>VLOOKUP(tblSalaries[[#This Row],[Where do you work]],[1]!tblCountries[[Actual]:[Mapping]],2,FALSE)</f>
        <v>India</v>
      </c>
      <c r="J55" t="s">
        <v>789</v>
      </c>
    </row>
    <row r="56" spans="1:10" x14ac:dyDescent="0.2">
      <c r="A56" t="s">
        <v>909</v>
      </c>
      <c r="B56" s="59">
        <v>41054.269085648149</v>
      </c>
      <c r="C56">
        <v>18000</v>
      </c>
      <c r="D56" t="s">
        <v>861</v>
      </c>
      <c r="E56">
        <f>tblSalaries[[#This Row],[clean Salary (in local currency)]]*VLOOKUP(tblSalaries[[#This Row],[Currency]],[1]!tblXrate[#Data],2,FALSE)</f>
        <v>28371.208897211112</v>
      </c>
      <c r="F56" t="s">
        <v>910</v>
      </c>
      <c r="G56" t="s">
        <v>807</v>
      </c>
      <c r="H56" t="s">
        <v>863</v>
      </c>
      <c r="I56" t="str">
        <f>VLOOKUP(tblSalaries[[#This Row],[Where do you work]],[1]!tblCountries[[Actual]:[Mapping]],2,FALSE)</f>
        <v>UK</v>
      </c>
      <c r="J56" t="s">
        <v>808</v>
      </c>
    </row>
    <row r="57" spans="1:10" x14ac:dyDescent="0.2">
      <c r="A57" t="s">
        <v>911</v>
      </c>
      <c r="B57" s="59">
        <v>41054.284317129626</v>
      </c>
      <c r="C57">
        <v>49000</v>
      </c>
      <c r="D57" t="s">
        <v>805</v>
      </c>
      <c r="E57">
        <f>tblSalaries[[#This Row],[clean Salary (in local currency)]]*VLOOKUP(tblSalaries[[#This Row],[Currency]],[1]!tblXrate[#Data],2,FALSE)</f>
        <v>62249.572510588783</v>
      </c>
      <c r="F57" t="s">
        <v>912</v>
      </c>
      <c r="G57" t="s">
        <v>807</v>
      </c>
      <c r="H57" t="s">
        <v>92</v>
      </c>
      <c r="I57" t="str">
        <f>VLOOKUP(tblSalaries[[#This Row],[Where do you work]],[1]!tblCountries[[Actual]:[Mapping]],2,FALSE)</f>
        <v>France</v>
      </c>
      <c r="J57" t="s">
        <v>799</v>
      </c>
    </row>
    <row r="58" spans="1:10" x14ac:dyDescent="0.2">
      <c r="A58" t="s">
        <v>913</v>
      </c>
      <c r="B58" s="59">
        <v>41054.290185185186</v>
      </c>
      <c r="C58">
        <v>38000</v>
      </c>
      <c r="D58" t="s">
        <v>786</v>
      </c>
      <c r="E58">
        <f>tblSalaries[[#This Row],[clean Salary (in local currency)]]*VLOOKUP(tblSalaries[[#This Row],[Currency]],[1]!tblXrate[#Data],2,FALSE)</f>
        <v>38000</v>
      </c>
      <c r="F58" t="s">
        <v>914</v>
      </c>
      <c r="G58" t="s">
        <v>788</v>
      </c>
      <c r="H58" t="s">
        <v>15</v>
      </c>
      <c r="I58" t="str">
        <f>VLOOKUP(tblSalaries[[#This Row],[Where do you work]],[1]!tblCountries[[Actual]:[Mapping]],2,FALSE)</f>
        <v>USA</v>
      </c>
      <c r="J58" t="s">
        <v>789</v>
      </c>
    </row>
    <row r="59" spans="1:10" x14ac:dyDescent="0.2">
      <c r="A59" t="s">
        <v>915</v>
      </c>
      <c r="B59" s="59">
        <v>41054.292268518519</v>
      </c>
      <c r="C59">
        <v>41000</v>
      </c>
      <c r="D59" t="s">
        <v>786</v>
      </c>
      <c r="E59">
        <f>tblSalaries[[#This Row],[clean Salary (in local currency)]]*VLOOKUP(tblSalaries[[#This Row],[Currency]],[1]!tblXrate[#Data],2,FALSE)</f>
        <v>41000</v>
      </c>
      <c r="F59" t="s">
        <v>820</v>
      </c>
      <c r="G59" t="s">
        <v>820</v>
      </c>
      <c r="H59" t="s">
        <v>15</v>
      </c>
      <c r="I59" t="str">
        <f>VLOOKUP(tblSalaries[[#This Row],[Where do you work]],[1]!tblCountries[[Actual]:[Mapping]],2,FALSE)</f>
        <v>USA</v>
      </c>
      <c r="J59" t="s">
        <v>789</v>
      </c>
    </row>
    <row r="60" spans="1:10" x14ac:dyDescent="0.2">
      <c r="A60" t="s">
        <v>916</v>
      </c>
      <c r="B60" s="59">
        <v>41054.299409722225</v>
      </c>
      <c r="C60">
        <v>68000</v>
      </c>
      <c r="D60" t="s">
        <v>786</v>
      </c>
      <c r="E60">
        <f>tblSalaries[[#This Row],[clean Salary (in local currency)]]*VLOOKUP(tblSalaries[[#This Row],[Currency]],[1]!tblXrate[#Data],2,FALSE)</f>
        <v>68000</v>
      </c>
      <c r="F60" t="s">
        <v>917</v>
      </c>
      <c r="G60" t="s">
        <v>788</v>
      </c>
      <c r="H60" t="s">
        <v>15</v>
      </c>
      <c r="I60" t="str">
        <f>VLOOKUP(tblSalaries[[#This Row],[Where do you work]],[1]!tblCountries[[Actual]:[Mapping]],2,FALSE)</f>
        <v>USA</v>
      </c>
      <c r="J60" t="s">
        <v>794</v>
      </c>
    </row>
    <row r="61" spans="1:10" x14ac:dyDescent="0.2">
      <c r="A61" t="s">
        <v>918</v>
      </c>
      <c r="B61" s="59">
        <v>41054.301053240742</v>
      </c>
      <c r="C61">
        <v>56000</v>
      </c>
      <c r="D61" t="s">
        <v>882</v>
      </c>
      <c r="E61">
        <f>tblSalaries[[#This Row],[clean Salary (in local currency)]]*VLOOKUP(tblSalaries[[#This Row],[Currency]],[1]!tblXrate[#Data],2,FALSE)</f>
        <v>55068.245289698301</v>
      </c>
      <c r="F61" t="s">
        <v>919</v>
      </c>
      <c r="G61" t="s">
        <v>788</v>
      </c>
      <c r="H61" t="s">
        <v>920</v>
      </c>
      <c r="I61" t="str">
        <f>VLOOKUP(tblSalaries[[#This Row],[Where do you work]],[1]!tblCountries[[Actual]:[Mapping]],2,FALSE)</f>
        <v>Canada</v>
      </c>
      <c r="J61" t="s">
        <v>794</v>
      </c>
    </row>
    <row r="62" spans="1:10" x14ac:dyDescent="0.2">
      <c r="A62" t="s">
        <v>921</v>
      </c>
      <c r="B62" s="59">
        <v>41054.302222222221</v>
      </c>
      <c r="C62">
        <v>61000</v>
      </c>
      <c r="D62" t="s">
        <v>786</v>
      </c>
      <c r="E62">
        <f>tblSalaries[[#This Row],[clean Salary (in local currency)]]*VLOOKUP(tblSalaries[[#This Row],[Currency]],[1]!tblXrate[#Data],2,FALSE)</f>
        <v>61000</v>
      </c>
      <c r="F62" t="s">
        <v>922</v>
      </c>
      <c r="G62" t="s">
        <v>807</v>
      </c>
      <c r="H62" t="s">
        <v>923</v>
      </c>
      <c r="I62" t="str">
        <f>VLOOKUP(tblSalaries[[#This Row],[Where do you work]],[1]!tblCountries[[Actual]:[Mapping]],2,FALSE)</f>
        <v>Brasil</v>
      </c>
      <c r="J62" t="s">
        <v>794</v>
      </c>
    </row>
    <row r="63" spans="1:10" x14ac:dyDescent="0.2">
      <c r="A63" t="s">
        <v>924</v>
      </c>
      <c r="B63" s="59">
        <v>41054.304780092592</v>
      </c>
      <c r="C63">
        <v>43000</v>
      </c>
      <c r="D63" t="s">
        <v>805</v>
      </c>
      <c r="E63">
        <f>tblSalaries[[#This Row],[clean Salary (in local currency)]]*VLOOKUP(tblSalaries[[#This Row],[Currency]],[1]!tblXrate[#Data],2,FALSE)</f>
        <v>54627.175876639136</v>
      </c>
      <c r="F63" t="s">
        <v>925</v>
      </c>
      <c r="G63" t="s">
        <v>867</v>
      </c>
      <c r="H63" t="s">
        <v>926</v>
      </c>
      <c r="I63" t="str">
        <f>VLOOKUP(tblSalaries[[#This Row],[Where do you work]],[1]!tblCountries[[Actual]:[Mapping]],2,FALSE)</f>
        <v>France</v>
      </c>
      <c r="J63" t="s">
        <v>789</v>
      </c>
    </row>
    <row r="64" spans="1:10" x14ac:dyDescent="0.2">
      <c r="A64" t="s">
        <v>927</v>
      </c>
      <c r="B64" s="59">
        <v>41054.305648148147</v>
      </c>
      <c r="C64">
        <v>85000</v>
      </c>
      <c r="D64" t="s">
        <v>786</v>
      </c>
      <c r="E64">
        <f>tblSalaries[[#This Row],[clean Salary (in local currency)]]*VLOOKUP(tblSalaries[[#This Row],[Currency]],[1]!tblXrate[#Data],2,FALSE)</f>
        <v>85000</v>
      </c>
      <c r="F64" t="s">
        <v>807</v>
      </c>
      <c r="G64" t="s">
        <v>807</v>
      </c>
      <c r="H64" t="s">
        <v>15</v>
      </c>
      <c r="I64" t="str">
        <f>VLOOKUP(tblSalaries[[#This Row],[Where do you work]],[1]!tblCountries[[Actual]:[Mapping]],2,FALSE)</f>
        <v>USA</v>
      </c>
      <c r="J64" t="s">
        <v>789</v>
      </c>
    </row>
    <row r="65" spans="1:10" x14ac:dyDescent="0.2">
      <c r="A65" t="s">
        <v>928</v>
      </c>
      <c r="B65" s="59">
        <v>41054.306458333333</v>
      </c>
      <c r="C65">
        <v>38000</v>
      </c>
      <c r="D65" t="s">
        <v>805</v>
      </c>
      <c r="E65">
        <f>tblSalaries[[#This Row],[clean Salary (in local currency)]]*VLOOKUP(tblSalaries[[#This Row],[Currency]],[1]!tblXrate[#Data],2,FALSE)</f>
        <v>48275.178681681093</v>
      </c>
      <c r="F65" t="s">
        <v>929</v>
      </c>
      <c r="G65" t="s">
        <v>788</v>
      </c>
      <c r="H65" t="s">
        <v>897</v>
      </c>
      <c r="I65" t="str">
        <f>VLOOKUP(tblSalaries[[#This Row],[Where do you work]],[1]!tblCountries[[Actual]:[Mapping]],2,FALSE)</f>
        <v>Netherlands</v>
      </c>
      <c r="J65" t="s">
        <v>808</v>
      </c>
    </row>
    <row r="66" spans="1:10" x14ac:dyDescent="0.2">
      <c r="A66" t="s">
        <v>930</v>
      </c>
      <c r="B66" s="59">
        <v>41054.309166666666</v>
      </c>
      <c r="C66">
        <v>85000</v>
      </c>
      <c r="D66" t="s">
        <v>877</v>
      </c>
      <c r="E66">
        <f>tblSalaries[[#This Row],[clean Salary (in local currency)]]*VLOOKUP(tblSalaries[[#This Row],[Currency]],[1]!tblXrate[#Data],2,FALSE)</f>
        <v>86692.320794224041</v>
      </c>
      <c r="F66" t="s">
        <v>931</v>
      </c>
      <c r="G66" t="s">
        <v>813</v>
      </c>
      <c r="H66" t="s">
        <v>33</v>
      </c>
      <c r="I66" t="str">
        <f>VLOOKUP(tblSalaries[[#This Row],[Where do you work]],[1]!tblCountries[[Actual]:[Mapping]],2,FALSE)</f>
        <v>Australia</v>
      </c>
      <c r="J66" t="s">
        <v>789</v>
      </c>
    </row>
    <row r="67" spans="1:10" x14ac:dyDescent="0.2">
      <c r="A67" t="s">
        <v>932</v>
      </c>
      <c r="B67" s="59">
        <v>41054.311944444446</v>
      </c>
      <c r="C67">
        <v>85087</v>
      </c>
      <c r="D67" t="s">
        <v>786</v>
      </c>
      <c r="E67">
        <f>tblSalaries[[#This Row],[clean Salary (in local currency)]]*VLOOKUP(tblSalaries[[#This Row],[Currency]],[1]!tblXrate[#Data],2,FALSE)</f>
        <v>85087</v>
      </c>
      <c r="F67" t="s">
        <v>933</v>
      </c>
      <c r="G67" t="s">
        <v>788</v>
      </c>
      <c r="H67" t="s">
        <v>15</v>
      </c>
      <c r="I67" t="str">
        <f>VLOOKUP(tblSalaries[[#This Row],[Where do you work]],[1]!tblCountries[[Actual]:[Mapping]],2,FALSE)</f>
        <v>USA</v>
      </c>
      <c r="J67" t="s">
        <v>799</v>
      </c>
    </row>
    <row r="68" spans="1:10" x14ac:dyDescent="0.2">
      <c r="A68" t="s">
        <v>934</v>
      </c>
      <c r="B68" s="59">
        <v>41054.318310185183</v>
      </c>
      <c r="C68">
        <v>50000</v>
      </c>
      <c r="D68" t="s">
        <v>786</v>
      </c>
      <c r="E68">
        <f>tblSalaries[[#This Row],[clean Salary (in local currency)]]*VLOOKUP(tblSalaries[[#This Row],[Currency]],[1]!tblXrate[#Data],2,FALSE)</f>
        <v>50000</v>
      </c>
      <c r="F68" t="s">
        <v>935</v>
      </c>
      <c r="G68" t="s">
        <v>788</v>
      </c>
      <c r="H68" t="s">
        <v>15</v>
      </c>
      <c r="I68" t="str">
        <f>VLOOKUP(tblSalaries[[#This Row],[Where do you work]],[1]!tblCountries[[Actual]:[Mapping]],2,FALSE)</f>
        <v>USA</v>
      </c>
      <c r="J68" t="s">
        <v>794</v>
      </c>
    </row>
    <row r="69" spans="1:10" x14ac:dyDescent="0.2">
      <c r="A69" t="s">
        <v>936</v>
      </c>
      <c r="B69" s="59">
        <v>41054.324305555558</v>
      </c>
      <c r="C69">
        <v>100000</v>
      </c>
      <c r="D69" t="s">
        <v>786</v>
      </c>
      <c r="E69">
        <f>tblSalaries[[#This Row],[clean Salary (in local currency)]]*VLOOKUP(tblSalaries[[#This Row],[Currency]],[1]!tblXrate[#Data],2,FALSE)</f>
        <v>100000</v>
      </c>
      <c r="F69" t="s">
        <v>937</v>
      </c>
      <c r="G69" t="s">
        <v>807</v>
      </c>
      <c r="H69" t="s">
        <v>938</v>
      </c>
      <c r="I69" t="str">
        <f>VLOOKUP(tblSalaries[[#This Row],[Where do you work]],[1]!tblCountries[[Actual]:[Mapping]],2,FALSE)</f>
        <v>South Africa</v>
      </c>
      <c r="J69" t="s">
        <v>789</v>
      </c>
    </row>
    <row r="70" spans="1:10" x14ac:dyDescent="0.2">
      <c r="A70" t="s">
        <v>939</v>
      </c>
      <c r="B70" s="59">
        <v>41054.950694444444</v>
      </c>
      <c r="C70">
        <v>57000</v>
      </c>
      <c r="D70" t="s">
        <v>786</v>
      </c>
      <c r="E70">
        <f>tblSalaries[[#This Row],[clean Salary (in local currency)]]*VLOOKUP(tblSalaries[[#This Row],[Currency]],[1]!tblXrate[#Data],2,FALSE)</f>
        <v>57000</v>
      </c>
      <c r="F70" t="s">
        <v>940</v>
      </c>
      <c r="G70" t="s">
        <v>788</v>
      </c>
      <c r="H70" t="s">
        <v>15</v>
      </c>
      <c r="I70" t="str">
        <f>VLOOKUP(tblSalaries[[#This Row],[Where do you work]],[1]!tblCountries[[Actual]:[Mapping]],2,FALSE)</f>
        <v>USA</v>
      </c>
      <c r="J70" t="s">
        <v>789</v>
      </c>
    </row>
    <row r="71" spans="1:10" x14ac:dyDescent="0.2">
      <c r="A71" t="s">
        <v>941</v>
      </c>
      <c r="B71" s="59">
        <v>41054.953101851854</v>
      </c>
      <c r="C71">
        <v>75000</v>
      </c>
      <c r="D71" t="s">
        <v>786</v>
      </c>
      <c r="E71">
        <f>tblSalaries[[#This Row],[clean Salary (in local currency)]]*VLOOKUP(tblSalaries[[#This Row],[Currency]],[1]!tblXrate[#Data],2,FALSE)</f>
        <v>75000</v>
      </c>
      <c r="F71" t="s">
        <v>942</v>
      </c>
      <c r="G71" t="s">
        <v>807</v>
      </c>
      <c r="H71" t="s">
        <v>15</v>
      </c>
      <c r="I71" t="str">
        <f>VLOOKUP(tblSalaries[[#This Row],[Where do you work]],[1]!tblCountries[[Actual]:[Mapping]],2,FALSE)</f>
        <v>USA</v>
      </c>
      <c r="J71" t="s">
        <v>794</v>
      </c>
    </row>
    <row r="72" spans="1:10" x14ac:dyDescent="0.2">
      <c r="A72" t="s">
        <v>943</v>
      </c>
      <c r="B72" s="59">
        <v>41054.957696759258</v>
      </c>
      <c r="C72">
        <v>100000</v>
      </c>
      <c r="D72" t="s">
        <v>877</v>
      </c>
      <c r="E72">
        <f>tblSalaries[[#This Row],[clean Salary (in local currency)]]*VLOOKUP(tblSalaries[[#This Row],[Currency]],[1]!tblXrate[#Data],2,FALSE)</f>
        <v>101990.96564026357</v>
      </c>
      <c r="F72" t="s">
        <v>944</v>
      </c>
      <c r="G72" t="s">
        <v>807</v>
      </c>
      <c r="H72" t="s">
        <v>33</v>
      </c>
      <c r="I72" t="str">
        <f>VLOOKUP(tblSalaries[[#This Row],[Where do you work]],[1]!tblCountries[[Actual]:[Mapping]],2,FALSE)</f>
        <v>Australia</v>
      </c>
      <c r="J72" t="s">
        <v>789</v>
      </c>
    </row>
    <row r="73" spans="1:10" x14ac:dyDescent="0.2">
      <c r="A73" t="s">
        <v>945</v>
      </c>
      <c r="B73" s="59">
        <v>41054.95925925926</v>
      </c>
      <c r="C73">
        <v>33420</v>
      </c>
      <c r="D73" t="s">
        <v>786</v>
      </c>
      <c r="E73">
        <f>tblSalaries[[#This Row],[clean Salary (in local currency)]]*VLOOKUP(tblSalaries[[#This Row],[Currency]],[1]!tblXrate[#Data],2,FALSE)</f>
        <v>33420</v>
      </c>
      <c r="F73" t="s">
        <v>946</v>
      </c>
      <c r="G73" t="s">
        <v>807</v>
      </c>
      <c r="H73" t="s">
        <v>341</v>
      </c>
      <c r="I73" t="str">
        <f>VLOOKUP(tblSalaries[[#This Row],[Where do you work]],[1]!tblCountries[[Actual]:[Mapping]],2,FALSE)</f>
        <v>UAE</v>
      </c>
      <c r="J73" t="s">
        <v>794</v>
      </c>
    </row>
    <row r="74" spans="1:10" x14ac:dyDescent="0.2">
      <c r="A74" t="s">
        <v>947</v>
      </c>
      <c r="B74" s="59">
        <v>41054.960416666669</v>
      </c>
      <c r="C74">
        <v>59450</v>
      </c>
      <c r="D74" t="s">
        <v>882</v>
      </c>
      <c r="E74">
        <f>tblSalaries[[#This Row],[clean Salary (in local currency)]]*VLOOKUP(tblSalaries[[#This Row],[Currency]],[1]!tblXrate[#Data],2,FALSE)</f>
        <v>58460.842544152933</v>
      </c>
      <c r="F74" t="s">
        <v>948</v>
      </c>
      <c r="G74" t="s">
        <v>820</v>
      </c>
      <c r="H74" t="s">
        <v>143</v>
      </c>
      <c r="I74" t="str">
        <f>VLOOKUP(tblSalaries[[#This Row],[Where do you work]],[1]!tblCountries[[Actual]:[Mapping]],2,FALSE)</f>
        <v>Canada</v>
      </c>
      <c r="J74" t="s">
        <v>794</v>
      </c>
    </row>
    <row r="75" spans="1:10" x14ac:dyDescent="0.2">
      <c r="A75" t="s">
        <v>949</v>
      </c>
      <c r="B75" s="59">
        <v>41054.967002314814</v>
      </c>
      <c r="C75">
        <v>15000</v>
      </c>
      <c r="D75" t="s">
        <v>786</v>
      </c>
      <c r="E75">
        <f>tblSalaries[[#This Row],[clean Salary (in local currency)]]*VLOOKUP(tblSalaries[[#This Row],[Currency]],[1]!tblXrate[#Data],2,FALSE)</f>
        <v>15000</v>
      </c>
      <c r="F75" t="s">
        <v>950</v>
      </c>
      <c r="G75" t="s">
        <v>867</v>
      </c>
      <c r="H75" t="s">
        <v>15</v>
      </c>
      <c r="I75" t="str">
        <f>VLOOKUP(tblSalaries[[#This Row],[Where do you work]],[1]!tblCountries[[Actual]:[Mapping]],2,FALSE)</f>
        <v>USA</v>
      </c>
      <c r="J75" t="s">
        <v>794</v>
      </c>
    </row>
    <row r="76" spans="1:10" x14ac:dyDescent="0.2">
      <c r="A76" t="s">
        <v>951</v>
      </c>
      <c r="B76" s="59">
        <v>41054.969143518516</v>
      </c>
      <c r="C76">
        <v>60000</v>
      </c>
      <c r="D76" t="s">
        <v>786</v>
      </c>
      <c r="E76">
        <f>tblSalaries[[#This Row],[clean Salary (in local currency)]]*VLOOKUP(tblSalaries[[#This Row],[Currency]],[1]!tblXrate[#Data],2,FALSE)</f>
        <v>60000</v>
      </c>
      <c r="F76" t="s">
        <v>952</v>
      </c>
      <c r="G76" t="s">
        <v>788</v>
      </c>
      <c r="H76" t="s">
        <v>143</v>
      </c>
      <c r="I76" t="str">
        <f>VLOOKUP(tblSalaries[[#This Row],[Where do you work]],[1]!tblCountries[[Actual]:[Mapping]],2,FALSE)</f>
        <v>Canada</v>
      </c>
      <c r="J76" t="s">
        <v>808</v>
      </c>
    </row>
    <row r="77" spans="1:10" x14ac:dyDescent="0.2">
      <c r="A77" t="s">
        <v>953</v>
      </c>
      <c r="B77" s="59">
        <v>41054.971354166664</v>
      </c>
      <c r="C77">
        <v>100000</v>
      </c>
      <c r="D77" t="s">
        <v>861</v>
      </c>
      <c r="E77">
        <f>tblSalaries[[#This Row],[clean Salary (in local currency)]]*VLOOKUP(tblSalaries[[#This Row],[Currency]],[1]!tblXrate[#Data],2,FALSE)</f>
        <v>157617.8272067284</v>
      </c>
      <c r="F77" t="s">
        <v>788</v>
      </c>
      <c r="G77" t="s">
        <v>788</v>
      </c>
      <c r="H77" t="s">
        <v>863</v>
      </c>
      <c r="I77" t="str">
        <f>VLOOKUP(tblSalaries[[#This Row],[Where do you work]],[1]!tblCountries[[Actual]:[Mapping]],2,FALSE)</f>
        <v>UK</v>
      </c>
      <c r="J77" t="s">
        <v>799</v>
      </c>
    </row>
    <row r="78" spans="1:10" x14ac:dyDescent="0.2">
      <c r="A78" t="s">
        <v>954</v>
      </c>
      <c r="B78" s="59">
        <v>41054.972754629627</v>
      </c>
      <c r="C78">
        <v>18000</v>
      </c>
      <c r="D78" t="s">
        <v>786</v>
      </c>
      <c r="E78">
        <f>tblSalaries[[#This Row],[clean Salary (in local currency)]]*VLOOKUP(tblSalaries[[#This Row],[Currency]],[1]!tblXrate[#Data],2,FALSE)</f>
        <v>18000</v>
      </c>
      <c r="F78" t="s">
        <v>955</v>
      </c>
      <c r="G78" t="s">
        <v>788</v>
      </c>
      <c r="H78" t="s">
        <v>749</v>
      </c>
      <c r="I78" t="str">
        <f>VLOOKUP(tblSalaries[[#This Row],[Where do you work]],[1]!tblCountries[[Actual]:[Mapping]],2,FALSE)</f>
        <v>Saudi Arabia</v>
      </c>
      <c r="J78" t="s">
        <v>794</v>
      </c>
    </row>
    <row r="79" spans="1:10" x14ac:dyDescent="0.2">
      <c r="A79" t="s">
        <v>956</v>
      </c>
      <c r="B79" s="59">
        <v>41054.980046296296</v>
      </c>
      <c r="C79">
        <v>50000</v>
      </c>
      <c r="D79" t="s">
        <v>786</v>
      </c>
      <c r="E79">
        <f>tblSalaries[[#This Row],[clean Salary (in local currency)]]*VLOOKUP(tblSalaries[[#This Row],[Currency]],[1]!tblXrate[#Data],2,FALSE)</f>
        <v>50000</v>
      </c>
      <c r="F79" t="s">
        <v>957</v>
      </c>
      <c r="G79" t="s">
        <v>807</v>
      </c>
      <c r="H79" t="s">
        <v>15</v>
      </c>
      <c r="I79" t="str">
        <f>VLOOKUP(tblSalaries[[#This Row],[Where do you work]],[1]!tblCountries[[Actual]:[Mapping]],2,FALSE)</f>
        <v>USA</v>
      </c>
      <c r="J79" t="s">
        <v>799</v>
      </c>
    </row>
    <row r="80" spans="1:10" x14ac:dyDescent="0.2">
      <c r="A80" t="s">
        <v>958</v>
      </c>
      <c r="B80" s="59">
        <v>41054.981423611112</v>
      </c>
      <c r="C80">
        <v>26000</v>
      </c>
      <c r="D80" t="s">
        <v>786</v>
      </c>
      <c r="E80">
        <f>tblSalaries[[#This Row],[clean Salary (in local currency)]]*VLOOKUP(tblSalaries[[#This Row],[Currency]],[1]!tblXrate[#Data],2,FALSE)</f>
        <v>26000</v>
      </c>
      <c r="F80" t="s">
        <v>959</v>
      </c>
      <c r="G80" t="s">
        <v>788</v>
      </c>
      <c r="H80" t="s">
        <v>244</v>
      </c>
      <c r="I80" t="str">
        <f>VLOOKUP(tblSalaries[[#This Row],[Where do you work]],[1]!tblCountries[[Actual]:[Mapping]],2,FALSE)</f>
        <v>Panama</v>
      </c>
      <c r="J80" t="s">
        <v>794</v>
      </c>
    </row>
    <row r="81" spans="1:10" x14ac:dyDescent="0.2">
      <c r="A81" t="s">
        <v>960</v>
      </c>
      <c r="B81" s="59">
        <v>41054.992673611108</v>
      </c>
      <c r="C81">
        <v>30000</v>
      </c>
      <c r="D81" t="s">
        <v>861</v>
      </c>
      <c r="E81">
        <f>tblSalaries[[#This Row],[clean Salary (in local currency)]]*VLOOKUP(tblSalaries[[#This Row],[Currency]],[1]!tblXrate[#Data],2,FALSE)</f>
        <v>47285.348162018527</v>
      </c>
      <c r="F81" t="s">
        <v>961</v>
      </c>
      <c r="G81" t="s">
        <v>807</v>
      </c>
      <c r="H81" t="s">
        <v>863</v>
      </c>
      <c r="I81" t="str">
        <f>VLOOKUP(tblSalaries[[#This Row],[Where do you work]],[1]!tblCountries[[Actual]:[Mapping]],2,FALSE)</f>
        <v>UK</v>
      </c>
      <c r="J81" t="s">
        <v>789</v>
      </c>
    </row>
    <row r="82" spans="1:10" x14ac:dyDescent="0.2">
      <c r="A82" t="s">
        <v>962</v>
      </c>
      <c r="B82" s="59">
        <v>41055.000601851854</v>
      </c>
      <c r="C82">
        <v>150000</v>
      </c>
      <c r="D82" t="s">
        <v>786</v>
      </c>
      <c r="E82">
        <f>tblSalaries[[#This Row],[clean Salary (in local currency)]]*VLOOKUP(tblSalaries[[#This Row],[Currency]],[1]!tblXrate[#Data],2,FALSE)</f>
        <v>150000</v>
      </c>
      <c r="F82" t="s">
        <v>963</v>
      </c>
      <c r="G82" t="s">
        <v>813</v>
      </c>
      <c r="H82" t="s">
        <v>15</v>
      </c>
      <c r="I82" t="str">
        <f>VLOOKUP(tblSalaries[[#This Row],[Where do you work]],[1]!tblCountries[[Actual]:[Mapping]],2,FALSE)</f>
        <v>USA</v>
      </c>
      <c r="J82" t="s">
        <v>794</v>
      </c>
    </row>
    <row r="83" spans="1:10" x14ac:dyDescent="0.2">
      <c r="A83" t="s">
        <v>964</v>
      </c>
      <c r="B83" s="59">
        <v>41055.003993055558</v>
      </c>
      <c r="C83">
        <v>120000</v>
      </c>
      <c r="D83" t="s">
        <v>786</v>
      </c>
      <c r="E83">
        <f>tblSalaries[[#This Row],[clean Salary (in local currency)]]*VLOOKUP(tblSalaries[[#This Row],[Currency]],[1]!tblXrate[#Data],2,FALSE)</f>
        <v>120000</v>
      </c>
      <c r="F83" t="s">
        <v>965</v>
      </c>
      <c r="G83" t="s">
        <v>807</v>
      </c>
      <c r="H83" t="s">
        <v>15</v>
      </c>
      <c r="I83" t="str">
        <f>VLOOKUP(tblSalaries[[#This Row],[Where do you work]],[1]!tblCountries[[Actual]:[Mapping]],2,FALSE)</f>
        <v>USA</v>
      </c>
      <c r="J83" t="s">
        <v>789</v>
      </c>
    </row>
    <row r="84" spans="1:10" x14ac:dyDescent="0.2">
      <c r="A84" t="s">
        <v>966</v>
      </c>
      <c r="B84" s="59">
        <v>41055.007141203707</v>
      </c>
      <c r="C84">
        <v>500000</v>
      </c>
      <c r="D84" t="s">
        <v>824</v>
      </c>
      <c r="E84">
        <f>tblSalaries[[#This Row],[clean Salary (in local currency)]]*VLOOKUP(tblSalaries[[#This Row],[Currency]],[1]!tblXrate[#Data],2,FALSE)</f>
        <v>8903.9583437212841</v>
      </c>
      <c r="F84" t="s">
        <v>866</v>
      </c>
      <c r="G84" t="s">
        <v>867</v>
      </c>
      <c r="H84" t="s">
        <v>117</v>
      </c>
      <c r="I84" t="str">
        <f>VLOOKUP(tblSalaries[[#This Row],[Where do you work]],[1]!tblCountries[[Actual]:[Mapping]],2,FALSE)</f>
        <v>India</v>
      </c>
      <c r="J84" t="s">
        <v>794</v>
      </c>
    </row>
    <row r="85" spans="1:10" x14ac:dyDescent="0.2">
      <c r="A85" t="s">
        <v>967</v>
      </c>
      <c r="B85" s="59">
        <v>41055.007881944446</v>
      </c>
      <c r="C85">
        <v>31330</v>
      </c>
      <c r="D85" t="s">
        <v>786</v>
      </c>
      <c r="E85">
        <f>tblSalaries[[#This Row],[clean Salary (in local currency)]]*VLOOKUP(tblSalaries[[#This Row],[Currency]],[1]!tblXrate[#Data],2,FALSE)</f>
        <v>31330</v>
      </c>
      <c r="F85" t="s">
        <v>968</v>
      </c>
      <c r="G85" t="s">
        <v>788</v>
      </c>
      <c r="H85" t="s">
        <v>54</v>
      </c>
      <c r="I85" t="str">
        <f>VLOOKUP(tblSalaries[[#This Row],[Where do you work]],[1]!tblCountries[[Actual]:[Mapping]],2,FALSE)</f>
        <v>Brazil</v>
      </c>
      <c r="J85" t="s">
        <v>794</v>
      </c>
    </row>
    <row r="86" spans="1:10" x14ac:dyDescent="0.2">
      <c r="A86" t="s">
        <v>969</v>
      </c>
      <c r="B86" s="59">
        <v>41055.010613425926</v>
      </c>
      <c r="C86">
        <v>110000</v>
      </c>
      <c r="D86" t="s">
        <v>786</v>
      </c>
      <c r="E86">
        <f>tblSalaries[[#This Row],[clean Salary (in local currency)]]*VLOOKUP(tblSalaries[[#This Row],[Currency]],[1]!tblXrate[#Data],2,FALSE)</f>
        <v>110000</v>
      </c>
      <c r="F86" t="s">
        <v>970</v>
      </c>
      <c r="G86" t="s">
        <v>802</v>
      </c>
      <c r="H86" t="s">
        <v>15</v>
      </c>
      <c r="I86" t="str">
        <f>VLOOKUP(tblSalaries[[#This Row],[Where do you work]],[1]!tblCountries[[Actual]:[Mapping]],2,FALSE)</f>
        <v>USA</v>
      </c>
      <c r="J86" t="s">
        <v>799</v>
      </c>
    </row>
    <row r="87" spans="1:10" x14ac:dyDescent="0.2">
      <c r="A87" t="s">
        <v>971</v>
      </c>
      <c r="B87" s="59">
        <v>41055.015844907408</v>
      </c>
      <c r="C87">
        <v>81000</v>
      </c>
      <c r="D87" t="s">
        <v>786</v>
      </c>
      <c r="E87">
        <f>tblSalaries[[#This Row],[clean Salary (in local currency)]]*VLOOKUP(tblSalaries[[#This Row],[Currency]],[1]!tblXrate[#Data],2,FALSE)</f>
        <v>81000</v>
      </c>
      <c r="F87" t="s">
        <v>972</v>
      </c>
      <c r="G87" t="s">
        <v>867</v>
      </c>
      <c r="H87" t="s">
        <v>863</v>
      </c>
      <c r="I87" t="str">
        <f>VLOOKUP(tblSalaries[[#This Row],[Where do you work]],[1]!tblCountries[[Actual]:[Mapping]],2,FALSE)</f>
        <v>UK</v>
      </c>
      <c r="J87" t="s">
        <v>789</v>
      </c>
    </row>
    <row r="88" spans="1:10" x14ac:dyDescent="0.2">
      <c r="A88" t="s">
        <v>973</v>
      </c>
      <c r="B88" s="59">
        <v>41055.027129629627</v>
      </c>
      <c r="C88">
        <v>40000</v>
      </c>
      <c r="D88" t="s">
        <v>786</v>
      </c>
      <c r="E88">
        <f>tblSalaries[[#This Row],[clean Salary (in local currency)]]*VLOOKUP(tblSalaries[[#This Row],[Currency]],[1]!tblXrate[#Data],2,FALSE)</f>
        <v>40000</v>
      </c>
      <c r="F88" t="s">
        <v>974</v>
      </c>
      <c r="G88" t="s">
        <v>788</v>
      </c>
      <c r="H88" t="s">
        <v>15</v>
      </c>
      <c r="I88" t="str">
        <f>VLOOKUP(tblSalaries[[#This Row],[Where do you work]],[1]!tblCountries[[Actual]:[Mapping]],2,FALSE)</f>
        <v>USA</v>
      </c>
      <c r="J88" t="s">
        <v>789</v>
      </c>
    </row>
    <row r="89" spans="1:10" x14ac:dyDescent="0.2">
      <c r="A89" t="s">
        <v>975</v>
      </c>
      <c r="B89" s="59">
        <v>41055.027407407404</v>
      </c>
      <c r="C89">
        <v>42000</v>
      </c>
      <c r="D89" t="s">
        <v>882</v>
      </c>
      <c r="E89">
        <f>tblSalaries[[#This Row],[clean Salary (in local currency)]]*VLOOKUP(tblSalaries[[#This Row],[Currency]],[1]!tblXrate[#Data],2,FALSE)</f>
        <v>41301.183967273726</v>
      </c>
      <c r="F89" t="s">
        <v>976</v>
      </c>
      <c r="G89" t="s">
        <v>788</v>
      </c>
      <c r="H89" t="s">
        <v>143</v>
      </c>
      <c r="I89" t="str">
        <f>VLOOKUP(tblSalaries[[#This Row],[Where do you work]],[1]!tblCountries[[Actual]:[Mapping]],2,FALSE)</f>
        <v>Canada</v>
      </c>
      <c r="J89" t="s">
        <v>789</v>
      </c>
    </row>
    <row r="90" spans="1:10" x14ac:dyDescent="0.2">
      <c r="A90" t="s">
        <v>977</v>
      </c>
      <c r="B90" s="59">
        <v>41055.027499999997</v>
      </c>
      <c r="C90">
        <v>125000</v>
      </c>
      <c r="D90" t="s">
        <v>786</v>
      </c>
      <c r="E90">
        <f>tblSalaries[[#This Row],[clean Salary (in local currency)]]*VLOOKUP(tblSalaries[[#This Row],[Currency]],[1]!tblXrate[#Data],2,FALSE)</f>
        <v>125000</v>
      </c>
      <c r="F90" t="s">
        <v>978</v>
      </c>
      <c r="G90" t="s">
        <v>813</v>
      </c>
      <c r="H90" t="s">
        <v>15</v>
      </c>
      <c r="I90" t="str">
        <f>VLOOKUP(tblSalaries[[#This Row],[Where do you work]],[1]!tblCountries[[Actual]:[Mapping]],2,FALSE)</f>
        <v>USA</v>
      </c>
      <c r="J90" t="s">
        <v>789</v>
      </c>
    </row>
    <row r="91" spans="1:10" x14ac:dyDescent="0.2">
      <c r="A91" t="s">
        <v>979</v>
      </c>
      <c r="B91" s="59">
        <v>41055.02752314815</v>
      </c>
      <c r="C91">
        <v>36000</v>
      </c>
      <c r="D91" t="s">
        <v>786</v>
      </c>
      <c r="E91">
        <f>tblSalaries[[#This Row],[clean Salary (in local currency)]]*VLOOKUP(tblSalaries[[#This Row],[Currency]],[1]!tblXrate[#Data],2,FALSE)</f>
        <v>36000</v>
      </c>
      <c r="F91" t="s">
        <v>980</v>
      </c>
      <c r="G91" t="s">
        <v>807</v>
      </c>
      <c r="H91" t="s">
        <v>15</v>
      </c>
      <c r="I91" t="str">
        <f>VLOOKUP(tblSalaries[[#This Row],[Where do you work]],[1]!tblCountries[[Actual]:[Mapping]],2,FALSE)</f>
        <v>USA</v>
      </c>
      <c r="J91" t="s">
        <v>799</v>
      </c>
    </row>
    <row r="92" spans="1:10" x14ac:dyDescent="0.2">
      <c r="A92" t="s">
        <v>981</v>
      </c>
      <c r="B92" s="59">
        <v>41055.027708333335</v>
      </c>
      <c r="C92">
        <v>144000</v>
      </c>
      <c r="D92" t="s">
        <v>824</v>
      </c>
      <c r="E92">
        <f>tblSalaries[[#This Row],[clean Salary (in local currency)]]*VLOOKUP(tblSalaries[[#This Row],[Currency]],[1]!tblXrate[#Data],2,FALSE)</f>
        <v>2564.3400029917298</v>
      </c>
      <c r="F92" t="s">
        <v>982</v>
      </c>
      <c r="G92" t="s">
        <v>867</v>
      </c>
      <c r="H92" t="s">
        <v>117</v>
      </c>
      <c r="I92" t="str">
        <f>VLOOKUP(tblSalaries[[#This Row],[Where do you work]],[1]!tblCountries[[Actual]:[Mapping]],2,FALSE)</f>
        <v>India</v>
      </c>
      <c r="J92" t="s">
        <v>808</v>
      </c>
    </row>
    <row r="93" spans="1:10" x14ac:dyDescent="0.2">
      <c r="A93" t="s">
        <v>983</v>
      </c>
      <c r="B93" s="59">
        <v>41055.027777777781</v>
      </c>
      <c r="C93">
        <v>75000</v>
      </c>
      <c r="D93" t="s">
        <v>786</v>
      </c>
      <c r="E93">
        <f>tblSalaries[[#This Row],[clean Salary (in local currency)]]*VLOOKUP(tblSalaries[[#This Row],[Currency]],[1]!tblXrate[#Data],2,FALSE)</f>
        <v>75000</v>
      </c>
      <c r="F93" t="s">
        <v>984</v>
      </c>
      <c r="G93" t="s">
        <v>788</v>
      </c>
      <c r="H93" t="s">
        <v>15</v>
      </c>
      <c r="I93" t="str">
        <f>VLOOKUP(tblSalaries[[#This Row],[Where do you work]],[1]!tblCountries[[Actual]:[Mapping]],2,FALSE)</f>
        <v>USA</v>
      </c>
      <c r="J93" t="s">
        <v>808</v>
      </c>
    </row>
    <row r="94" spans="1:10" x14ac:dyDescent="0.2">
      <c r="A94" t="s">
        <v>985</v>
      </c>
      <c r="B94" s="59">
        <v>41055.028009259258</v>
      </c>
      <c r="C94">
        <v>95000</v>
      </c>
      <c r="D94" t="s">
        <v>786</v>
      </c>
      <c r="E94">
        <f>tblSalaries[[#This Row],[clean Salary (in local currency)]]*VLOOKUP(tblSalaries[[#This Row],[Currency]],[1]!tblXrate[#Data],2,FALSE)</f>
        <v>95000</v>
      </c>
      <c r="F94" t="s">
        <v>812</v>
      </c>
      <c r="G94" t="s">
        <v>813</v>
      </c>
      <c r="H94" t="s">
        <v>15</v>
      </c>
      <c r="I94" t="str">
        <f>VLOOKUP(tblSalaries[[#This Row],[Where do you work]],[1]!tblCountries[[Actual]:[Mapping]],2,FALSE)</f>
        <v>USA</v>
      </c>
      <c r="J94" t="s">
        <v>789</v>
      </c>
    </row>
    <row r="95" spans="1:10" x14ac:dyDescent="0.2">
      <c r="A95" t="s">
        <v>986</v>
      </c>
      <c r="B95" s="59">
        <v>41055.028090277781</v>
      </c>
      <c r="C95">
        <v>24000</v>
      </c>
      <c r="D95" t="s">
        <v>786</v>
      </c>
      <c r="E95">
        <f>tblSalaries[[#This Row],[clean Salary (in local currency)]]*VLOOKUP(tblSalaries[[#This Row],[Currency]],[1]!tblXrate[#Data],2,FALSE)</f>
        <v>24000</v>
      </c>
      <c r="F95" t="s">
        <v>987</v>
      </c>
      <c r="G95" t="s">
        <v>807</v>
      </c>
      <c r="H95" t="s">
        <v>15</v>
      </c>
      <c r="I95" t="str">
        <f>VLOOKUP(tblSalaries[[#This Row],[Where do you work]],[1]!tblCountries[[Actual]:[Mapping]],2,FALSE)</f>
        <v>USA</v>
      </c>
      <c r="J95" t="s">
        <v>799</v>
      </c>
    </row>
    <row r="96" spans="1:10" x14ac:dyDescent="0.2">
      <c r="A96" t="s">
        <v>988</v>
      </c>
      <c r="B96" s="59">
        <v>41055.028136574074</v>
      </c>
      <c r="C96">
        <v>91000</v>
      </c>
      <c r="D96" t="s">
        <v>786</v>
      </c>
      <c r="E96">
        <f>tblSalaries[[#This Row],[clean Salary (in local currency)]]*VLOOKUP(tblSalaries[[#This Row],[Currency]],[1]!tblXrate[#Data],2,FALSE)</f>
        <v>91000</v>
      </c>
      <c r="F96" t="s">
        <v>989</v>
      </c>
      <c r="G96" t="s">
        <v>807</v>
      </c>
      <c r="H96" t="s">
        <v>15</v>
      </c>
      <c r="I96" t="str">
        <f>VLOOKUP(tblSalaries[[#This Row],[Where do you work]],[1]!tblCountries[[Actual]:[Mapping]],2,FALSE)</f>
        <v>USA</v>
      </c>
      <c r="J96" t="s">
        <v>808</v>
      </c>
    </row>
    <row r="97" spans="1:10" x14ac:dyDescent="0.2">
      <c r="A97" t="s">
        <v>990</v>
      </c>
      <c r="B97" s="59">
        <v>41055.028229166666</v>
      </c>
      <c r="C97">
        <v>40000</v>
      </c>
      <c r="D97" t="s">
        <v>786</v>
      </c>
      <c r="E97">
        <f>tblSalaries[[#This Row],[clean Salary (in local currency)]]*VLOOKUP(tblSalaries[[#This Row],[Currency]],[1]!tblXrate[#Data],2,FALSE)</f>
        <v>40000</v>
      </c>
      <c r="F97" t="s">
        <v>991</v>
      </c>
      <c r="G97" t="s">
        <v>788</v>
      </c>
      <c r="H97" t="s">
        <v>15</v>
      </c>
      <c r="I97" t="str">
        <f>VLOOKUP(tblSalaries[[#This Row],[Where do you work]],[1]!tblCountries[[Actual]:[Mapping]],2,FALSE)</f>
        <v>USA</v>
      </c>
      <c r="J97" t="s">
        <v>789</v>
      </c>
    </row>
    <row r="98" spans="1:10" x14ac:dyDescent="0.2">
      <c r="A98" t="s">
        <v>992</v>
      </c>
      <c r="B98" s="59">
        <v>41055.028240740743</v>
      </c>
      <c r="C98">
        <v>57000</v>
      </c>
      <c r="D98" t="s">
        <v>786</v>
      </c>
      <c r="E98">
        <f>tblSalaries[[#This Row],[clean Salary (in local currency)]]*VLOOKUP(tblSalaries[[#This Row],[Currency]],[1]!tblXrate[#Data],2,FALSE)</f>
        <v>57000</v>
      </c>
      <c r="F98" t="s">
        <v>993</v>
      </c>
      <c r="G98" t="s">
        <v>807</v>
      </c>
      <c r="H98" t="s">
        <v>15</v>
      </c>
      <c r="I98" t="str">
        <f>VLOOKUP(tblSalaries[[#This Row],[Where do you work]],[1]!tblCountries[[Actual]:[Mapping]],2,FALSE)</f>
        <v>USA</v>
      </c>
      <c r="J98" t="s">
        <v>789</v>
      </c>
    </row>
    <row r="99" spans="1:10" x14ac:dyDescent="0.2">
      <c r="A99" t="s">
        <v>994</v>
      </c>
      <c r="B99" s="59">
        <v>41055.028252314813</v>
      </c>
      <c r="C99">
        <v>74000</v>
      </c>
      <c r="D99" t="s">
        <v>786</v>
      </c>
      <c r="E99">
        <f>tblSalaries[[#This Row],[clean Salary (in local currency)]]*VLOOKUP(tblSalaries[[#This Row],[Currency]],[1]!tblXrate[#Data],2,FALSE)</f>
        <v>74000</v>
      </c>
      <c r="F99" t="s">
        <v>866</v>
      </c>
      <c r="G99" t="s">
        <v>867</v>
      </c>
      <c r="H99" t="s">
        <v>15</v>
      </c>
      <c r="I99" t="str">
        <f>VLOOKUP(tblSalaries[[#This Row],[Where do you work]],[1]!tblCountries[[Actual]:[Mapping]],2,FALSE)</f>
        <v>USA</v>
      </c>
      <c r="J99" t="s">
        <v>789</v>
      </c>
    </row>
    <row r="100" spans="1:10" x14ac:dyDescent="0.2">
      <c r="A100" t="s">
        <v>995</v>
      </c>
      <c r="B100" s="59">
        <v>41055.028263888889</v>
      </c>
      <c r="C100">
        <v>80000</v>
      </c>
      <c r="D100" t="s">
        <v>786</v>
      </c>
      <c r="E100">
        <f>tblSalaries[[#This Row],[clean Salary (in local currency)]]*VLOOKUP(tblSalaries[[#This Row],[Currency]],[1]!tblXrate[#Data],2,FALSE)</f>
        <v>80000</v>
      </c>
      <c r="F100" t="s">
        <v>996</v>
      </c>
      <c r="G100" t="s">
        <v>788</v>
      </c>
      <c r="H100" t="s">
        <v>15</v>
      </c>
      <c r="I100" t="str">
        <f>VLOOKUP(tblSalaries[[#This Row],[Where do you work]],[1]!tblCountries[[Actual]:[Mapping]],2,FALSE)</f>
        <v>USA</v>
      </c>
      <c r="J100" t="s">
        <v>789</v>
      </c>
    </row>
    <row r="101" spans="1:10" x14ac:dyDescent="0.2">
      <c r="A101" t="s">
        <v>997</v>
      </c>
      <c r="B101" s="59">
        <v>41055.028310185182</v>
      </c>
      <c r="C101">
        <v>90000</v>
      </c>
      <c r="D101" t="s">
        <v>786</v>
      </c>
      <c r="E101">
        <f>tblSalaries[[#This Row],[clean Salary (in local currency)]]*VLOOKUP(tblSalaries[[#This Row],[Currency]],[1]!tblXrate[#Data],2,FALSE)</f>
        <v>90000</v>
      </c>
      <c r="F101" t="s">
        <v>998</v>
      </c>
      <c r="G101" t="s">
        <v>820</v>
      </c>
      <c r="H101" t="s">
        <v>15</v>
      </c>
      <c r="I101" t="str">
        <f>VLOOKUP(tblSalaries[[#This Row],[Where do you work]],[1]!tblCountries[[Actual]:[Mapping]],2,FALSE)</f>
        <v>USA</v>
      </c>
      <c r="J101" t="s">
        <v>789</v>
      </c>
    </row>
    <row r="102" spans="1:10" x14ac:dyDescent="0.2">
      <c r="A102" t="s">
        <v>999</v>
      </c>
      <c r="B102" s="59">
        <v>41055.028333333335</v>
      </c>
      <c r="C102">
        <v>21000</v>
      </c>
      <c r="D102" t="s">
        <v>786</v>
      </c>
      <c r="E102">
        <f>tblSalaries[[#This Row],[clean Salary (in local currency)]]*VLOOKUP(tblSalaries[[#This Row],[Currency]],[1]!tblXrate[#Data],2,FALSE)</f>
        <v>21000</v>
      </c>
      <c r="F102" t="s">
        <v>1000</v>
      </c>
      <c r="G102" t="s">
        <v>788</v>
      </c>
      <c r="H102" t="s">
        <v>1001</v>
      </c>
      <c r="I102" t="str">
        <f>VLOOKUP(tblSalaries[[#This Row],[Where do you work]],[1]!tblCountries[[Actual]:[Mapping]],2,FALSE)</f>
        <v>arabian Gulf</v>
      </c>
      <c r="J102" t="s">
        <v>808</v>
      </c>
    </row>
    <row r="103" spans="1:10" x14ac:dyDescent="0.2">
      <c r="A103" t="s">
        <v>1002</v>
      </c>
      <c r="B103" s="59">
        <v>41055.028356481482</v>
      </c>
      <c r="C103">
        <v>52000</v>
      </c>
      <c r="D103" t="s">
        <v>786</v>
      </c>
      <c r="E103">
        <f>tblSalaries[[#This Row],[clean Salary (in local currency)]]*VLOOKUP(tblSalaries[[#This Row],[Currency]],[1]!tblXrate[#Data],2,FALSE)</f>
        <v>52000</v>
      </c>
      <c r="F103" t="s">
        <v>1003</v>
      </c>
      <c r="G103" t="s">
        <v>807</v>
      </c>
      <c r="H103" t="s">
        <v>15</v>
      </c>
      <c r="I103" t="str">
        <f>VLOOKUP(tblSalaries[[#This Row],[Where do you work]],[1]!tblCountries[[Actual]:[Mapping]],2,FALSE)</f>
        <v>USA</v>
      </c>
      <c r="J103" t="s">
        <v>789</v>
      </c>
    </row>
    <row r="104" spans="1:10" x14ac:dyDescent="0.2">
      <c r="A104" t="s">
        <v>1004</v>
      </c>
      <c r="B104" s="59">
        <v>41055.028379629628</v>
      </c>
      <c r="C104">
        <v>19200</v>
      </c>
      <c r="D104" t="s">
        <v>786</v>
      </c>
      <c r="E104">
        <f>tblSalaries[[#This Row],[clean Salary (in local currency)]]*VLOOKUP(tblSalaries[[#This Row],[Currency]],[1]!tblXrate[#Data],2,FALSE)</f>
        <v>19200</v>
      </c>
      <c r="F104" t="s">
        <v>1005</v>
      </c>
      <c r="G104" t="s">
        <v>788</v>
      </c>
      <c r="H104" t="s">
        <v>2</v>
      </c>
      <c r="I104" t="str">
        <f>VLOOKUP(tblSalaries[[#This Row],[Where do you work]],[1]!tblCountries[[Actual]:[Mapping]],2,FALSE)</f>
        <v>Mexico</v>
      </c>
      <c r="J104" t="s">
        <v>789</v>
      </c>
    </row>
    <row r="105" spans="1:10" x14ac:dyDescent="0.2">
      <c r="A105" t="s">
        <v>1006</v>
      </c>
      <c r="B105" s="59">
        <v>41055.028437499997</v>
      </c>
      <c r="C105">
        <v>36000</v>
      </c>
      <c r="D105" t="s">
        <v>786</v>
      </c>
      <c r="E105">
        <f>tblSalaries[[#This Row],[clean Salary (in local currency)]]*VLOOKUP(tblSalaries[[#This Row],[Currency]],[1]!tblXrate[#Data],2,FALSE)</f>
        <v>36000</v>
      </c>
      <c r="F105" t="s">
        <v>788</v>
      </c>
      <c r="G105" t="s">
        <v>788</v>
      </c>
      <c r="H105" t="s">
        <v>15</v>
      </c>
      <c r="I105" t="str">
        <f>VLOOKUP(tblSalaries[[#This Row],[Where do you work]],[1]!tblCountries[[Actual]:[Mapping]],2,FALSE)</f>
        <v>USA</v>
      </c>
      <c r="J105" t="s">
        <v>789</v>
      </c>
    </row>
    <row r="106" spans="1:10" x14ac:dyDescent="0.2">
      <c r="A106" t="s">
        <v>1007</v>
      </c>
      <c r="B106" s="59">
        <v>41055.028495370374</v>
      </c>
      <c r="C106">
        <v>57400</v>
      </c>
      <c r="D106" t="s">
        <v>786</v>
      </c>
      <c r="E106">
        <f>tblSalaries[[#This Row],[clean Salary (in local currency)]]*VLOOKUP(tblSalaries[[#This Row],[Currency]],[1]!tblXrate[#Data],2,FALSE)</f>
        <v>57400</v>
      </c>
      <c r="F106" t="s">
        <v>1008</v>
      </c>
      <c r="G106" t="s">
        <v>788</v>
      </c>
      <c r="H106" t="s">
        <v>15</v>
      </c>
      <c r="I106" t="str">
        <f>VLOOKUP(tblSalaries[[#This Row],[Where do you work]],[1]!tblCountries[[Actual]:[Mapping]],2,FALSE)</f>
        <v>USA</v>
      </c>
      <c r="J106" t="s">
        <v>789</v>
      </c>
    </row>
    <row r="107" spans="1:10" x14ac:dyDescent="0.2">
      <c r="A107" t="s">
        <v>1009</v>
      </c>
      <c r="B107" s="59">
        <v>41055.028506944444</v>
      </c>
      <c r="C107">
        <v>66000</v>
      </c>
      <c r="D107" t="s">
        <v>786</v>
      </c>
      <c r="E107">
        <f>tblSalaries[[#This Row],[clean Salary (in local currency)]]*VLOOKUP(tblSalaries[[#This Row],[Currency]],[1]!tblXrate[#Data],2,FALSE)</f>
        <v>66000</v>
      </c>
      <c r="F107" t="s">
        <v>788</v>
      </c>
      <c r="G107" t="s">
        <v>788</v>
      </c>
      <c r="H107" t="s">
        <v>15</v>
      </c>
      <c r="I107" t="str">
        <f>VLOOKUP(tblSalaries[[#This Row],[Where do you work]],[1]!tblCountries[[Actual]:[Mapping]],2,FALSE)</f>
        <v>USA</v>
      </c>
      <c r="J107" t="s">
        <v>799</v>
      </c>
    </row>
    <row r="108" spans="1:10" x14ac:dyDescent="0.2">
      <c r="A108" t="s">
        <v>1010</v>
      </c>
      <c r="B108" s="59">
        <v>41055.028541666667</v>
      </c>
      <c r="C108">
        <v>35000</v>
      </c>
      <c r="D108" t="s">
        <v>805</v>
      </c>
      <c r="E108">
        <f>tblSalaries[[#This Row],[clean Salary (in local currency)]]*VLOOKUP(tblSalaries[[#This Row],[Currency]],[1]!tblXrate[#Data],2,FALSE)</f>
        <v>44463.980364706273</v>
      </c>
      <c r="F108" t="s">
        <v>1011</v>
      </c>
      <c r="G108" t="s">
        <v>807</v>
      </c>
      <c r="H108" t="s">
        <v>103</v>
      </c>
      <c r="I108" t="str">
        <f>VLOOKUP(tblSalaries[[#This Row],[Where do you work]],[1]!tblCountries[[Actual]:[Mapping]],2,FALSE)</f>
        <v>Greece</v>
      </c>
      <c r="J108" t="s">
        <v>789</v>
      </c>
    </row>
    <row r="109" spans="1:10" x14ac:dyDescent="0.2">
      <c r="A109" t="s">
        <v>1012</v>
      </c>
      <c r="B109" s="59">
        <v>41055.028657407405</v>
      </c>
      <c r="C109">
        <v>85000</v>
      </c>
      <c r="D109" t="s">
        <v>786</v>
      </c>
      <c r="E109">
        <f>tblSalaries[[#This Row],[clean Salary (in local currency)]]*VLOOKUP(tblSalaries[[#This Row],[Currency]],[1]!tblXrate[#Data],2,FALSE)</f>
        <v>85000</v>
      </c>
      <c r="F109" t="s">
        <v>1013</v>
      </c>
      <c r="G109" t="s">
        <v>788</v>
      </c>
      <c r="H109" t="s">
        <v>15</v>
      </c>
      <c r="I109" t="str">
        <f>VLOOKUP(tblSalaries[[#This Row],[Where do you work]],[1]!tblCountries[[Actual]:[Mapping]],2,FALSE)</f>
        <v>USA</v>
      </c>
      <c r="J109" t="s">
        <v>789</v>
      </c>
    </row>
    <row r="110" spans="1:10" x14ac:dyDescent="0.2">
      <c r="A110" t="s">
        <v>1014</v>
      </c>
      <c r="B110" s="59">
        <v>41055.028726851851</v>
      </c>
      <c r="C110">
        <v>50000</v>
      </c>
      <c r="D110" t="s">
        <v>786</v>
      </c>
      <c r="E110">
        <f>tblSalaries[[#This Row],[clean Salary (in local currency)]]*VLOOKUP(tblSalaries[[#This Row],[Currency]],[1]!tblXrate[#Data],2,FALSE)</f>
        <v>50000</v>
      </c>
      <c r="F110" t="s">
        <v>1015</v>
      </c>
      <c r="G110" t="s">
        <v>820</v>
      </c>
      <c r="H110" t="s">
        <v>15</v>
      </c>
      <c r="I110" t="str">
        <f>VLOOKUP(tblSalaries[[#This Row],[Where do you work]],[1]!tblCountries[[Actual]:[Mapping]],2,FALSE)</f>
        <v>USA</v>
      </c>
      <c r="J110" t="s">
        <v>789</v>
      </c>
    </row>
    <row r="111" spans="1:10" x14ac:dyDescent="0.2">
      <c r="A111" t="s">
        <v>1016</v>
      </c>
      <c r="B111" s="59">
        <v>41055.028784722221</v>
      </c>
      <c r="C111">
        <v>58000</v>
      </c>
      <c r="D111" t="s">
        <v>786</v>
      </c>
      <c r="E111">
        <f>tblSalaries[[#This Row],[clean Salary (in local currency)]]*VLOOKUP(tblSalaries[[#This Row],[Currency]],[1]!tblXrate[#Data],2,FALSE)</f>
        <v>58000</v>
      </c>
      <c r="F111" t="s">
        <v>1017</v>
      </c>
      <c r="G111" t="s">
        <v>807</v>
      </c>
      <c r="H111" t="s">
        <v>15</v>
      </c>
      <c r="I111" t="str">
        <f>VLOOKUP(tblSalaries[[#This Row],[Where do you work]],[1]!tblCountries[[Actual]:[Mapping]],2,FALSE)</f>
        <v>USA</v>
      </c>
      <c r="J111" t="s">
        <v>789</v>
      </c>
    </row>
    <row r="112" spans="1:10" x14ac:dyDescent="0.2">
      <c r="A112" t="s">
        <v>1018</v>
      </c>
      <c r="B112" s="59">
        <v>41055.028796296298</v>
      </c>
      <c r="C112">
        <v>37900</v>
      </c>
      <c r="D112" t="s">
        <v>786</v>
      </c>
      <c r="E112">
        <f>tblSalaries[[#This Row],[clean Salary (in local currency)]]*VLOOKUP(tblSalaries[[#This Row],[Currency]],[1]!tblXrate[#Data],2,FALSE)</f>
        <v>37900</v>
      </c>
      <c r="F112" t="s">
        <v>1019</v>
      </c>
      <c r="G112" t="s">
        <v>817</v>
      </c>
      <c r="H112" t="s">
        <v>15</v>
      </c>
      <c r="I112" t="str">
        <f>VLOOKUP(tblSalaries[[#This Row],[Where do you work]],[1]!tblCountries[[Actual]:[Mapping]],2,FALSE)</f>
        <v>USA</v>
      </c>
      <c r="J112" t="s">
        <v>794</v>
      </c>
    </row>
    <row r="113" spans="1:10" x14ac:dyDescent="0.2">
      <c r="A113" t="s">
        <v>1020</v>
      </c>
      <c r="B113" s="59">
        <v>41055.028819444444</v>
      </c>
      <c r="C113">
        <v>48000</v>
      </c>
      <c r="D113" t="s">
        <v>786</v>
      </c>
      <c r="E113">
        <f>tblSalaries[[#This Row],[clean Salary (in local currency)]]*VLOOKUP(tblSalaries[[#This Row],[Currency]],[1]!tblXrate[#Data],2,FALSE)</f>
        <v>48000</v>
      </c>
      <c r="F113" t="s">
        <v>1021</v>
      </c>
      <c r="G113" t="s">
        <v>807</v>
      </c>
      <c r="H113" t="s">
        <v>1022</v>
      </c>
      <c r="I113" t="str">
        <f>VLOOKUP(tblSalaries[[#This Row],[Where do you work]],[1]!tblCountries[[Actual]:[Mapping]],2,FALSE)</f>
        <v>UAE</v>
      </c>
      <c r="J113" t="s">
        <v>799</v>
      </c>
    </row>
    <row r="114" spans="1:10" x14ac:dyDescent="0.2">
      <c r="A114" t="s">
        <v>1023</v>
      </c>
      <c r="B114" s="59">
        <v>41055.02884259259</v>
      </c>
      <c r="C114">
        <v>67000</v>
      </c>
      <c r="D114" t="s">
        <v>786</v>
      </c>
      <c r="E114">
        <f>tblSalaries[[#This Row],[clean Salary (in local currency)]]*VLOOKUP(tblSalaries[[#This Row],[Currency]],[1]!tblXrate[#Data],2,FALSE)</f>
        <v>67000</v>
      </c>
      <c r="F114" t="s">
        <v>1024</v>
      </c>
      <c r="G114" t="s">
        <v>788</v>
      </c>
      <c r="H114" t="s">
        <v>15</v>
      </c>
      <c r="I114" t="str">
        <f>VLOOKUP(tblSalaries[[#This Row],[Where do you work]],[1]!tblCountries[[Actual]:[Mapping]],2,FALSE)</f>
        <v>USA</v>
      </c>
      <c r="J114" t="s">
        <v>789</v>
      </c>
    </row>
    <row r="115" spans="1:10" x14ac:dyDescent="0.2">
      <c r="A115" t="s">
        <v>1025</v>
      </c>
      <c r="B115" s="59">
        <v>41055.028877314813</v>
      </c>
      <c r="C115">
        <v>85000</v>
      </c>
      <c r="D115" t="s">
        <v>786</v>
      </c>
      <c r="E115">
        <f>tblSalaries[[#This Row],[clean Salary (in local currency)]]*VLOOKUP(tblSalaries[[#This Row],[Currency]],[1]!tblXrate[#Data],2,FALSE)</f>
        <v>85000</v>
      </c>
      <c r="F115" t="s">
        <v>1026</v>
      </c>
      <c r="G115" t="s">
        <v>792</v>
      </c>
      <c r="H115" t="s">
        <v>1022</v>
      </c>
      <c r="I115" t="str">
        <f>VLOOKUP(tblSalaries[[#This Row],[Where do you work]],[1]!tblCountries[[Actual]:[Mapping]],2,FALSE)</f>
        <v>UAE</v>
      </c>
      <c r="J115" t="s">
        <v>789</v>
      </c>
    </row>
    <row r="116" spans="1:10" x14ac:dyDescent="0.2">
      <c r="A116" t="s">
        <v>1027</v>
      </c>
      <c r="B116" s="59">
        <v>41055.028877314813</v>
      </c>
      <c r="C116">
        <v>56160</v>
      </c>
      <c r="D116" t="s">
        <v>786</v>
      </c>
      <c r="E116">
        <f>tblSalaries[[#This Row],[clean Salary (in local currency)]]*VLOOKUP(tblSalaries[[#This Row],[Currency]],[1]!tblXrate[#Data],2,FALSE)</f>
        <v>56160</v>
      </c>
      <c r="F116" t="s">
        <v>1028</v>
      </c>
      <c r="G116" t="s">
        <v>788</v>
      </c>
      <c r="H116" t="s">
        <v>15</v>
      </c>
      <c r="I116" t="str">
        <f>VLOOKUP(tblSalaries[[#This Row],[Where do you work]],[1]!tblCountries[[Actual]:[Mapping]],2,FALSE)</f>
        <v>USA</v>
      </c>
      <c r="J116" t="s">
        <v>789</v>
      </c>
    </row>
    <row r="117" spans="1:10" x14ac:dyDescent="0.2">
      <c r="A117" t="s">
        <v>1029</v>
      </c>
      <c r="B117" s="59">
        <v>41055.028912037036</v>
      </c>
      <c r="C117">
        <v>24000</v>
      </c>
      <c r="D117" t="s">
        <v>786</v>
      </c>
      <c r="E117">
        <f>tblSalaries[[#This Row],[clean Salary (in local currency)]]*VLOOKUP(tblSalaries[[#This Row],[Currency]],[1]!tblXrate[#Data],2,FALSE)</f>
        <v>24000</v>
      </c>
      <c r="F117" t="s">
        <v>1030</v>
      </c>
      <c r="G117" t="s">
        <v>807</v>
      </c>
      <c r="H117" t="s">
        <v>157</v>
      </c>
      <c r="I117" t="str">
        <f>VLOOKUP(tblSalaries[[#This Row],[Where do you work]],[1]!tblCountries[[Actual]:[Mapping]],2,FALSE)</f>
        <v>Colombia</v>
      </c>
      <c r="J117" t="s">
        <v>794</v>
      </c>
    </row>
    <row r="118" spans="1:10" x14ac:dyDescent="0.2">
      <c r="A118" t="s">
        <v>1031</v>
      </c>
      <c r="B118" s="59">
        <v>41055.028912037036</v>
      </c>
      <c r="C118">
        <v>52000</v>
      </c>
      <c r="D118" t="s">
        <v>786</v>
      </c>
      <c r="E118">
        <f>tblSalaries[[#This Row],[clean Salary (in local currency)]]*VLOOKUP(tblSalaries[[#This Row],[Currency]],[1]!tblXrate[#Data],2,FALSE)</f>
        <v>52000</v>
      </c>
      <c r="F118" t="s">
        <v>1032</v>
      </c>
      <c r="G118" t="s">
        <v>788</v>
      </c>
      <c r="H118" t="s">
        <v>15</v>
      </c>
      <c r="I118" t="str">
        <f>VLOOKUP(tblSalaries[[#This Row],[Where do you work]],[1]!tblCountries[[Actual]:[Mapping]],2,FALSE)</f>
        <v>USA</v>
      </c>
      <c r="J118" t="s">
        <v>1033</v>
      </c>
    </row>
    <row r="119" spans="1:10" x14ac:dyDescent="0.2">
      <c r="A119" t="s">
        <v>1034</v>
      </c>
      <c r="B119" s="59">
        <v>41055.028946759259</v>
      </c>
      <c r="C119">
        <v>60000</v>
      </c>
      <c r="D119" t="s">
        <v>882</v>
      </c>
      <c r="E119">
        <f>tblSalaries[[#This Row],[clean Salary (in local currency)]]*VLOOKUP(tblSalaries[[#This Row],[Currency]],[1]!tblXrate[#Data],2,FALSE)</f>
        <v>59001.691381819612</v>
      </c>
      <c r="F119" t="s">
        <v>1035</v>
      </c>
      <c r="G119" t="s">
        <v>788</v>
      </c>
      <c r="H119" t="s">
        <v>143</v>
      </c>
      <c r="I119" t="str">
        <f>VLOOKUP(tblSalaries[[#This Row],[Where do you work]],[1]!tblCountries[[Actual]:[Mapping]],2,FALSE)</f>
        <v>Canada</v>
      </c>
      <c r="J119" t="s">
        <v>1033</v>
      </c>
    </row>
    <row r="120" spans="1:10" x14ac:dyDescent="0.2">
      <c r="A120" t="s">
        <v>1036</v>
      </c>
      <c r="B120" s="59">
        <v>41055.028969907406</v>
      </c>
      <c r="C120">
        <v>70000</v>
      </c>
      <c r="D120" t="s">
        <v>786</v>
      </c>
      <c r="E120">
        <f>tblSalaries[[#This Row],[clean Salary (in local currency)]]*VLOOKUP(tblSalaries[[#This Row],[Currency]],[1]!tblXrate[#Data],2,FALSE)</f>
        <v>70000</v>
      </c>
      <c r="F120" t="s">
        <v>1037</v>
      </c>
      <c r="G120" t="s">
        <v>817</v>
      </c>
      <c r="H120" t="s">
        <v>15</v>
      </c>
      <c r="I120" t="str">
        <f>VLOOKUP(tblSalaries[[#This Row],[Where do you work]],[1]!tblCountries[[Actual]:[Mapping]],2,FALSE)</f>
        <v>USA</v>
      </c>
      <c r="J120" t="s">
        <v>794</v>
      </c>
    </row>
    <row r="121" spans="1:10" x14ac:dyDescent="0.2">
      <c r="A121" t="s">
        <v>1038</v>
      </c>
      <c r="B121" s="59">
        <v>41055.029120370367</v>
      </c>
      <c r="C121">
        <v>50000</v>
      </c>
      <c r="D121" t="s">
        <v>786</v>
      </c>
      <c r="E121">
        <f>tblSalaries[[#This Row],[clean Salary (in local currency)]]*VLOOKUP(tblSalaries[[#This Row],[Currency]],[1]!tblXrate[#Data],2,FALSE)</f>
        <v>50000</v>
      </c>
      <c r="F121" t="s">
        <v>1039</v>
      </c>
      <c r="G121" t="s">
        <v>820</v>
      </c>
      <c r="H121" t="s">
        <v>15</v>
      </c>
      <c r="I121" t="str">
        <f>VLOOKUP(tblSalaries[[#This Row],[Where do you work]],[1]!tblCountries[[Actual]:[Mapping]],2,FALSE)</f>
        <v>USA</v>
      </c>
      <c r="J121" t="s">
        <v>789</v>
      </c>
    </row>
    <row r="122" spans="1:10" x14ac:dyDescent="0.2">
      <c r="A122" t="s">
        <v>1040</v>
      </c>
      <c r="B122" s="59">
        <v>41055.029143518521</v>
      </c>
      <c r="C122">
        <v>2300000</v>
      </c>
      <c r="D122" t="s">
        <v>824</v>
      </c>
      <c r="E122">
        <f>tblSalaries[[#This Row],[clean Salary (in local currency)]]*VLOOKUP(tblSalaries[[#This Row],[Currency]],[1]!tblXrate[#Data],2,FALSE)</f>
        <v>40958.208381117904</v>
      </c>
      <c r="F122" t="s">
        <v>1041</v>
      </c>
      <c r="G122" t="s">
        <v>788</v>
      </c>
      <c r="H122" t="s">
        <v>117</v>
      </c>
      <c r="I122" t="str">
        <f>VLOOKUP(tblSalaries[[#This Row],[Where do you work]],[1]!tblCountries[[Actual]:[Mapping]],2,FALSE)</f>
        <v>India</v>
      </c>
      <c r="J122" t="s">
        <v>808</v>
      </c>
    </row>
    <row r="123" spans="1:10" x14ac:dyDescent="0.2">
      <c r="A123" t="s">
        <v>1042</v>
      </c>
      <c r="B123" s="59">
        <v>41055.029166666667</v>
      </c>
      <c r="C123">
        <v>80000</v>
      </c>
      <c r="D123" t="s">
        <v>786</v>
      </c>
      <c r="E123">
        <f>tblSalaries[[#This Row],[clean Salary (in local currency)]]*VLOOKUP(tblSalaries[[#This Row],[Currency]],[1]!tblXrate[#Data],2,FALSE)</f>
        <v>80000</v>
      </c>
      <c r="F123" t="s">
        <v>796</v>
      </c>
      <c r="G123" t="s">
        <v>788</v>
      </c>
      <c r="H123" t="s">
        <v>15</v>
      </c>
      <c r="I123" t="str">
        <f>VLOOKUP(tblSalaries[[#This Row],[Where do you work]],[1]!tblCountries[[Actual]:[Mapping]],2,FALSE)</f>
        <v>USA</v>
      </c>
      <c r="J123" t="s">
        <v>789</v>
      </c>
    </row>
    <row r="124" spans="1:10" x14ac:dyDescent="0.2">
      <c r="A124" t="s">
        <v>1043</v>
      </c>
      <c r="B124" s="59">
        <v>41055.02925925926</v>
      </c>
      <c r="C124">
        <v>128000</v>
      </c>
      <c r="D124" t="s">
        <v>786</v>
      </c>
      <c r="E124">
        <f>tblSalaries[[#This Row],[clean Salary (in local currency)]]*VLOOKUP(tblSalaries[[#This Row],[Currency]],[1]!tblXrate[#Data],2,FALSE)</f>
        <v>128000</v>
      </c>
      <c r="F124" t="s">
        <v>1044</v>
      </c>
      <c r="G124" t="s">
        <v>807</v>
      </c>
      <c r="H124" t="s">
        <v>15</v>
      </c>
      <c r="I124" t="str">
        <f>VLOOKUP(tblSalaries[[#This Row],[Where do you work]],[1]!tblCountries[[Actual]:[Mapping]],2,FALSE)</f>
        <v>USA</v>
      </c>
      <c r="J124" t="s">
        <v>794</v>
      </c>
    </row>
    <row r="125" spans="1:10" x14ac:dyDescent="0.2">
      <c r="A125" t="s">
        <v>1045</v>
      </c>
      <c r="B125" s="59">
        <v>41055.029282407406</v>
      </c>
      <c r="C125">
        <v>44000</v>
      </c>
      <c r="D125" t="s">
        <v>786</v>
      </c>
      <c r="E125">
        <f>tblSalaries[[#This Row],[clean Salary (in local currency)]]*VLOOKUP(tblSalaries[[#This Row],[Currency]],[1]!tblXrate[#Data],2,FALSE)</f>
        <v>44000</v>
      </c>
      <c r="F125" t="s">
        <v>1046</v>
      </c>
      <c r="G125" t="s">
        <v>807</v>
      </c>
      <c r="H125" t="s">
        <v>15</v>
      </c>
      <c r="I125" t="str">
        <f>VLOOKUP(tblSalaries[[#This Row],[Where do you work]],[1]!tblCountries[[Actual]:[Mapping]],2,FALSE)</f>
        <v>USA</v>
      </c>
      <c r="J125" t="s">
        <v>808</v>
      </c>
    </row>
    <row r="126" spans="1:10" x14ac:dyDescent="0.2">
      <c r="A126" t="s">
        <v>1047</v>
      </c>
      <c r="B126" s="59">
        <v>41055.029293981483</v>
      </c>
      <c r="C126">
        <v>65000</v>
      </c>
      <c r="D126" t="s">
        <v>786</v>
      </c>
      <c r="E126">
        <f>tblSalaries[[#This Row],[clean Salary (in local currency)]]*VLOOKUP(tblSalaries[[#This Row],[Currency]],[1]!tblXrate[#Data],2,FALSE)</f>
        <v>65000</v>
      </c>
      <c r="F126" t="s">
        <v>1048</v>
      </c>
      <c r="G126" t="s">
        <v>817</v>
      </c>
      <c r="H126" t="s">
        <v>15</v>
      </c>
      <c r="I126" t="str">
        <f>VLOOKUP(tblSalaries[[#This Row],[Where do you work]],[1]!tblCountries[[Actual]:[Mapping]],2,FALSE)</f>
        <v>USA</v>
      </c>
      <c r="J126" t="s">
        <v>794</v>
      </c>
    </row>
    <row r="127" spans="1:10" x14ac:dyDescent="0.2">
      <c r="A127" t="s">
        <v>1049</v>
      </c>
      <c r="B127" s="59">
        <v>41055.029537037037</v>
      </c>
      <c r="C127">
        <v>36000</v>
      </c>
      <c r="D127" t="s">
        <v>786</v>
      </c>
      <c r="E127">
        <f>tblSalaries[[#This Row],[clean Salary (in local currency)]]*VLOOKUP(tblSalaries[[#This Row],[Currency]],[1]!tblXrate[#Data],2,FALSE)</f>
        <v>36000</v>
      </c>
      <c r="F127" t="s">
        <v>1050</v>
      </c>
      <c r="G127" t="s">
        <v>817</v>
      </c>
      <c r="H127" t="s">
        <v>321</v>
      </c>
      <c r="I127" t="str">
        <f>VLOOKUP(tblSalaries[[#This Row],[Where do you work]],[1]!tblCountries[[Actual]:[Mapping]],2,FALSE)</f>
        <v>Turkey</v>
      </c>
      <c r="J127" t="s">
        <v>789</v>
      </c>
    </row>
    <row r="128" spans="1:10" x14ac:dyDescent="0.2">
      <c r="A128" t="s">
        <v>1051</v>
      </c>
      <c r="B128" s="59">
        <v>41055.029560185183</v>
      </c>
      <c r="C128">
        <v>12000</v>
      </c>
      <c r="D128" t="s">
        <v>786</v>
      </c>
      <c r="E128">
        <f>tblSalaries[[#This Row],[clean Salary (in local currency)]]*VLOOKUP(tblSalaries[[#This Row],[Currency]],[1]!tblXrate[#Data],2,FALSE)</f>
        <v>12000</v>
      </c>
      <c r="F128" t="s">
        <v>1052</v>
      </c>
      <c r="G128" t="s">
        <v>867</v>
      </c>
      <c r="H128" t="s">
        <v>240</v>
      </c>
      <c r="I128" t="str">
        <f>VLOOKUP(tblSalaries[[#This Row],[Where do you work]],[1]!tblCountries[[Actual]:[Mapping]],2,FALSE)</f>
        <v>Pakistan</v>
      </c>
      <c r="J128" t="s">
        <v>808</v>
      </c>
    </row>
    <row r="129" spans="1:10" x14ac:dyDescent="0.2">
      <c r="A129" t="s">
        <v>1053</v>
      </c>
      <c r="B129" s="59">
        <v>41055.029641203706</v>
      </c>
      <c r="C129">
        <v>28159</v>
      </c>
      <c r="D129" t="s">
        <v>861</v>
      </c>
      <c r="E129">
        <f>tblSalaries[[#This Row],[clean Salary (in local currency)]]*VLOOKUP(tblSalaries[[#This Row],[Currency]],[1]!tblXrate[#Data],2,FALSE)</f>
        <v>44383.603963142654</v>
      </c>
      <c r="F129" t="s">
        <v>984</v>
      </c>
      <c r="G129" t="s">
        <v>788</v>
      </c>
      <c r="H129" t="s">
        <v>863</v>
      </c>
      <c r="I129" t="str">
        <f>VLOOKUP(tblSalaries[[#This Row],[Where do you work]],[1]!tblCountries[[Actual]:[Mapping]],2,FALSE)</f>
        <v>UK</v>
      </c>
      <c r="J129" t="s">
        <v>794</v>
      </c>
    </row>
    <row r="130" spans="1:10" x14ac:dyDescent="0.2">
      <c r="A130" t="s">
        <v>1054</v>
      </c>
      <c r="B130" s="59">
        <v>41055.029699074075</v>
      </c>
      <c r="C130">
        <v>45000</v>
      </c>
      <c r="D130" t="s">
        <v>786</v>
      </c>
      <c r="E130">
        <f>tblSalaries[[#This Row],[clean Salary (in local currency)]]*VLOOKUP(tblSalaries[[#This Row],[Currency]],[1]!tblXrate[#Data],2,FALSE)</f>
        <v>45000</v>
      </c>
      <c r="F130" t="s">
        <v>1055</v>
      </c>
      <c r="G130" t="s">
        <v>788</v>
      </c>
      <c r="H130" t="s">
        <v>15</v>
      </c>
      <c r="I130" t="str">
        <f>VLOOKUP(tblSalaries[[#This Row],[Where do you work]],[1]!tblCountries[[Actual]:[Mapping]],2,FALSE)</f>
        <v>USA</v>
      </c>
      <c r="J130" t="s">
        <v>789</v>
      </c>
    </row>
    <row r="131" spans="1:10" x14ac:dyDescent="0.2">
      <c r="A131" t="s">
        <v>1056</v>
      </c>
      <c r="B131" s="59">
        <v>41055.02983796296</v>
      </c>
      <c r="C131">
        <v>54000</v>
      </c>
      <c r="D131" t="s">
        <v>786</v>
      </c>
      <c r="E131">
        <f>tblSalaries[[#This Row],[clean Salary (in local currency)]]*VLOOKUP(tblSalaries[[#This Row],[Currency]],[1]!tblXrate[#Data],2,FALSE)</f>
        <v>54000</v>
      </c>
      <c r="F131" t="s">
        <v>1057</v>
      </c>
      <c r="G131" t="s">
        <v>788</v>
      </c>
      <c r="H131" t="s">
        <v>15</v>
      </c>
      <c r="I131" t="str">
        <f>VLOOKUP(tblSalaries[[#This Row],[Where do you work]],[1]!tblCountries[[Actual]:[Mapping]],2,FALSE)</f>
        <v>USA</v>
      </c>
      <c r="J131" t="s">
        <v>799</v>
      </c>
    </row>
    <row r="132" spans="1:10" x14ac:dyDescent="0.2">
      <c r="A132" t="s">
        <v>1058</v>
      </c>
      <c r="B132" s="59">
        <v>41055.029895833337</v>
      </c>
      <c r="C132">
        <v>70000</v>
      </c>
      <c r="D132" t="s">
        <v>861</v>
      </c>
      <c r="E132">
        <f>tblSalaries[[#This Row],[clean Salary (in local currency)]]*VLOOKUP(tblSalaries[[#This Row],[Currency]],[1]!tblXrate[#Data],2,FALSE)</f>
        <v>110332.47904470989</v>
      </c>
      <c r="F132" t="s">
        <v>1059</v>
      </c>
      <c r="G132" t="s">
        <v>807</v>
      </c>
      <c r="H132" t="s">
        <v>863</v>
      </c>
      <c r="I132" t="str">
        <f>VLOOKUP(tblSalaries[[#This Row],[Where do you work]],[1]!tblCountries[[Actual]:[Mapping]],2,FALSE)</f>
        <v>UK</v>
      </c>
      <c r="J132" t="s">
        <v>799</v>
      </c>
    </row>
    <row r="133" spans="1:10" x14ac:dyDescent="0.2">
      <c r="A133" t="s">
        <v>1060</v>
      </c>
      <c r="B133" s="59">
        <v>41055.029942129629</v>
      </c>
      <c r="C133">
        <v>71000</v>
      </c>
      <c r="D133" t="s">
        <v>786</v>
      </c>
      <c r="E133">
        <f>tblSalaries[[#This Row],[clean Salary (in local currency)]]*VLOOKUP(tblSalaries[[#This Row],[Currency]],[1]!tblXrate[#Data],2,FALSE)</f>
        <v>71000</v>
      </c>
      <c r="F133" t="s">
        <v>1061</v>
      </c>
      <c r="G133" t="s">
        <v>788</v>
      </c>
      <c r="H133" t="s">
        <v>15</v>
      </c>
      <c r="I133" t="str">
        <f>VLOOKUP(tblSalaries[[#This Row],[Where do you work]],[1]!tblCountries[[Actual]:[Mapping]],2,FALSE)</f>
        <v>USA</v>
      </c>
      <c r="J133" t="s">
        <v>789</v>
      </c>
    </row>
    <row r="134" spans="1:10" x14ac:dyDescent="0.2">
      <c r="A134" t="s">
        <v>1062</v>
      </c>
      <c r="B134" s="59">
        <v>41055.029953703706</v>
      </c>
      <c r="C134">
        <v>800000</v>
      </c>
      <c r="D134" t="s">
        <v>824</v>
      </c>
      <c r="E134">
        <f>tblSalaries[[#This Row],[clean Salary (in local currency)]]*VLOOKUP(tblSalaries[[#This Row],[Currency]],[1]!tblXrate[#Data],2,FALSE)</f>
        <v>14246.333349954055</v>
      </c>
      <c r="F134" t="s">
        <v>1063</v>
      </c>
      <c r="G134" t="s">
        <v>807</v>
      </c>
      <c r="H134" t="s">
        <v>117</v>
      </c>
      <c r="I134" t="str">
        <f>VLOOKUP(tblSalaries[[#This Row],[Where do you work]],[1]!tblCountries[[Actual]:[Mapping]],2,FALSE)</f>
        <v>India</v>
      </c>
      <c r="J134" t="s">
        <v>799</v>
      </c>
    </row>
    <row r="135" spans="1:10" x14ac:dyDescent="0.2">
      <c r="A135" t="s">
        <v>1064</v>
      </c>
      <c r="B135" s="59">
        <v>41055.030057870368</v>
      </c>
      <c r="C135">
        <v>70000</v>
      </c>
      <c r="D135" t="s">
        <v>882</v>
      </c>
      <c r="E135">
        <f>tblSalaries[[#This Row],[clean Salary (in local currency)]]*VLOOKUP(tblSalaries[[#This Row],[Currency]],[1]!tblXrate[#Data],2,FALSE)</f>
        <v>68835.306612122877</v>
      </c>
      <c r="F135" t="s">
        <v>1065</v>
      </c>
      <c r="G135" t="s">
        <v>807</v>
      </c>
      <c r="H135" t="s">
        <v>1066</v>
      </c>
      <c r="I135" t="str">
        <f>VLOOKUP(tblSalaries[[#This Row],[Where do you work]],[1]!tblCountries[[Actual]:[Mapping]],2,FALSE)</f>
        <v>Canada</v>
      </c>
      <c r="J135" t="s">
        <v>789</v>
      </c>
    </row>
    <row r="136" spans="1:10" x14ac:dyDescent="0.2">
      <c r="A136" t="s">
        <v>1067</v>
      </c>
      <c r="B136" s="59">
        <v>41055.030150462961</v>
      </c>
      <c r="C136">
        <v>50000</v>
      </c>
      <c r="D136" t="s">
        <v>882</v>
      </c>
      <c r="E136">
        <f>tblSalaries[[#This Row],[clean Salary (in local currency)]]*VLOOKUP(tblSalaries[[#This Row],[Currency]],[1]!tblXrate[#Data],2,FALSE)</f>
        <v>49168.076151516347</v>
      </c>
      <c r="F136" t="s">
        <v>1068</v>
      </c>
      <c r="G136" t="s">
        <v>807</v>
      </c>
      <c r="H136" t="s">
        <v>143</v>
      </c>
      <c r="I136" t="str">
        <f>VLOOKUP(tblSalaries[[#This Row],[Where do you work]],[1]!tblCountries[[Actual]:[Mapping]],2,FALSE)</f>
        <v>Canada</v>
      </c>
      <c r="J136" t="s">
        <v>789</v>
      </c>
    </row>
    <row r="137" spans="1:10" x14ac:dyDescent="0.2">
      <c r="A137" t="s">
        <v>1069</v>
      </c>
      <c r="B137" s="59">
        <v>41055.030173611114</v>
      </c>
      <c r="C137">
        <v>40000</v>
      </c>
      <c r="D137" t="s">
        <v>786</v>
      </c>
      <c r="E137">
        <f>tblSalaries[[#This Row],[clean Salary (in local currency)]]*VLOOKUP(tblSalaries[[#This Row],[Currency]],[1]!tblXrate[#Data],2,FALSE)</f>
        <v>40000</v>
      </c>
      <c r="F137" t="s">
        <v>1070</v>
      </c>
      <c r="G137" t="s">
        <v>788</v>
      </c>
      <c r="H137" t="s">
        <v>15</v>
      </c>
      <c r="I137" t="str">
        <f>VLOOKUP(tblSalaries[[#This Row],[Where do you work]],[1]!tblCountries[[Actual]:[Mapping]],2,FALSE)</f>
        <v>USA</v>
      </c>
      <c r="J137" t="s">
        <v>789</v>
      </c>
    </row>
    <row r="138" spans="1:10" x14ac:dyDescent="0.2">
      <c r="A138" t="s">
        <v>1071</v>
      </c>
      <c r="B138" s="59">
        <v>41055.03025462963</v>
      </c>
      <c r="C138">
        <v>62000</v>
      </c>
      <c r="D138" t="s">
        <v>882</v>
      </c>
      <c r="E138">
        <f>tblSalaries[[#This Row],[clean Salary (in local currency)]]*VLOOKUP(tblSalaries[[#This Row],[Currency]],[1]!tblXrate[#Data],2,FALSE)</f>
        <v>60968.414427880263</v>
      </c>
      <c r="F138" t="s">
        <v>1072</v>
      </c>
      <c r="G138" t="s">
        <v>788</v>
      </c>
      <c r="H138" t="s">
        <v>143</v>
      </c>
      <c r="I138" t="str">
        <f>VLOOKUP(tblSalaries[[#This Row],[Where do you work]],[1]!tblCountries[[Actual]:[Mapping]],2,FALSE)</f>
        <v>Canada</v>
      </c>
      <c r="J138" t="s">
        <v>799</v>
      </c>
    </row>
    <row r="139" spans="1:10" x14ac:dyDescent="0.2">
      <c r="A139" t="s">
        <v>1073</v>
      </c>
      <c r="B139" s="59">
        <v>41055.030277777776</v>
      </c>
      <c r="C139">
        <v>336000</v>
      </c>
      <c r="D139" t="s">
        <v>824</v>
      </c>
      <c r="E139">
        <f>tblSalaries[[#This Row],[clean Salary (in local currency)]]*VLOOKUP(tblSalaries[[#This Row],[Currency]],[1]!tblXrate[#Data],2,FALSE)</f>
        <v>5983.4600069807029</v>
      </c>
      <c r="F139" t="s">
        <v>1074</v>
      </c>
      <c r="G139" t="s">
        <v>836</v>
      </c>
      <c r="H139" t="s">
        <v>117</v>
      </c>
      <c r="I139" t="str">
        <f>VLOOKUP(tblSalaries[[#This Row],[Where do you work]],[1]!tblCountries[[Actual]:[Mapping]],2,FALSE)</f>
        <v>India</v>
      </c>
      <c r="J139" t="s">
        <v>789</v>
      </c>
    </row>
    <row r="140" spans="1:10" x14ac:dyDescent="0.2">
      <c r="A140" t="s">
        <v>1075</v>
      </c>
      <c r="B140" s="59">
        <v>41055.030277777776</v>
      </c>
      <c r="C140">
        <v>53000</v>
      </c>
      <c r="D140" t="s">
        <v>786</v>
      </c>
      <c r="E140">
        <f>tblSalaries[[#This Row],[clean Salary (in local currency)]]*VLOOKUP(tblSalaries[[#This Row],[Currency]],[1]!tblXrate[#Data],2,FALSE)</f>
        <v>53000</v>
      </c>
      <c r="F140" t="s">
        <v>984</v>
      </c>
      <c r="G140" t="s">
        <v>788</v>
      </c>
      <c r="H140" t="s">
        <v>15</v>
      </c>
      <c r="I140" t="str">
        <f>VLOOKUP(tblSalaries[[#This Row],[Where do you work]],[1]!tblCountries[[Actual]:[Mapping]],2,FALSE)</f>
        <v>USA</v>
      </c>
      <c r="J140" t="s">
        <v>789</v>
      </c>
    </row>
    <row r="141" spans="1:10" x14ac:dyDescent="0.2">
      <c r="A141" t="s">
        <v>1076</v>
      </c>
      <c r="B141" s="59">
        <v>41055.030428240738</v>
      </c>
      <c r="C141">
        <v>104000</v>
      </c>
      <c r="D141" t="s">
        <v>786</v>
      </c>
      <c r="E141">
        <f>tblSalaries[[#This Row],[clean Salary (in local currency)]]*VLOOKUP(tblSalaries[[#This Row],[Currency]],[1]!tblXrate[#Data],2,FALSE)</f>
        <v>104000</v>
      </c>
      <c r="F141" t="s">
        <v>1077</v>
      </c>
      <c r="G141" t="s">
        <v>813</v>
      </c>
      <c r="H141" t="s">
        <v>15</v>
      </c>
      <c r="I141" t="str">
        <f>VLOOKUP(tblSalaries[[#This Row],[Where do you work]],[1]!tblCountries[[Actual]:[Mapping]],2,FALSE)</f>
        <v>USA</v>
      </c>
      <c r="J141" t="s">
        <v>799</v>
      </c>
    </row>
    <row r="142" spans="1:10" x14ac:dyDescent="0.2">
      <c r="A142" t="s">
        <v>1078</v>
      </c>
      <c r="B142" s="59">
        <v>41055.030578703707</v>
      </c>
      <c r="C142">
        <v>57000</v>
      </c>
      <c r="D142" t="s">
        <v>786</v>
      </c>
      <c r="E142">
        <f>tblSalaries[[#This Row],[clean Salary (in local currency)]]*VLOOKUP(tblSalaries[[#This Row],[Currency]],[1]!tblXrate[#Data],2,FALSE)</f>
        <v>57000</v>
      </c>
      <c r="F142" t="s">
        <v>1079</v>
      </c>
      <c r="G142" t="s">
        <v>802</v>
      </c>
      <c r="H142" t="s">
        <v>15</v>
      </c>
      <c r="I142" t="str">
        <f>VLOOKUP(tblSalaries[[#This Row],[Where do you work]],[1]!tblCountries[[Actual]:[Mapping]],2,FALSE)</f>
        <v>USA</v>
      </c>
      <c r="J142" t="s">
        <v>789</v>
      </c>
    </row>
    <row r="143" spans="1:10" x14ac:dyDescent="0.2">
      <c r="A143" t="s">
        <v>1080</v>
      </c>
      <c r="B143" s="59">
        <v>41055.030659722222</v>
      </c>
      <c r="C143">
        <v>45000</v>
      </c>
      <c r="D143" t="s">
        <v>786</v>
      </c>
      <c r="E143">
        <f>tblSalaries[[#This Row],[clean Salary (in local currency)]]*VLOOKUP(tblSalaries[[#This Row],[Currency]],[1]!tblXrate[#Data],2,FALSE)</f>
        <v>45000</v>
      </c>
      <c r="F143" t="s">
        <v>1081</v>
      </c>
      <c r="G143" t="s">
        <v>788</v>
      </c>
      <c r="H143" t="s">
        <v>15</v>
      </c>
      <c r="I143" t="str">
        <f>VLOOKUP(tblSalaries[[#This Row],[Where do you work]],[1]!tblCountries[[Actual]:[Mapping]],2,FALSE)</f>
        <v>USA</v>
      </c>
      <c r="J143" t="s">
        <v>799</v>
      </c>
    </row>
    <row r="144" spans="1:10" x14ac:dyDescent="0.2">
      <c r="A144" t="s">
        <v>1082</v>
      </c>
      <c r="B144" s="59">
        <v>41055.030729166669</v>
      </c>
      <c r="C144">
        <v>92000</v>
      </c>
      <c r="D144" t="s">
        <v>786</v>
      </c>
      <c r="E144">
        <f>tblSalaries[[#This Row],[clean Salary (in local currency)]]*VLOOKUP(tblSalaries[[#This Row],[Currency]],[1]!tblXrate[#Data],2,FALSE)</f>
        <v>92000</v>
      </c>
      <c r="F144" t="s">
        <v>1083</v>
      </c>
      <c r="G144" t="s">
        <v>788</v>
      </c>
      <c r="H144" t="s">
        <v>15</v>
      </c>
      <c r="I144" t="str">
        <f>VLOOKUP(tblSalaries[[#This Row],[Where do you work]],[1]!tblCountries[[Actual]:[Mapping]],2,FALSE)</f>
        <v>USA</v>
      </c>
      <c r="J144" t="s">
        <v>789</v>
      </c>
    </row>
    <row r="145" spans="1:10" x14ac:dyDescent="0.2">
      <c r="A145" t="s">
        <v>1084</v>
      </c>
      <c r="B145" s="59">
        <v>41055.030763888892</v>
      </c>
      <c r="C145">
        <v>88000</v>
      </c>
      <c r="D145" t="s">
        <v>786</v>
      </c>
      <c r="E145">
        <f>tblSalaries[[#This Row],[clean Salary (in local currency)]]*VLOOKUP(tblSalaries[[#This Row],[Currency]],[1]!tblXrate[#Data],2,FALSE)</f>
        <v>88000</v>
      </c>
      <c r="F145" t="s">
        <v>1085</v>
      </c>
      <c r="G145" t="s">
        <v>807</v>
      </c>
      <c r="H145" t="s">
        <v>15</v>
      </c>
      <c r="I145" t="str">
        <f>VLOOKUP(tblSalaries[[#This Row],[Where do you work]],[1]!tblCountries[[Actual]:[Mapping]],2,FALSE)</f>
        <v>USA</v>
      </c>
      <c r="J145" t="s">
        <v>789</v>
      </c>
    </row>
    <row r="146" spans="1:10" x14ac:dyDescent="0.2">
      <c r="A146" t="s">
        <v>1086</v>
      </c>
      <c r="B146" s="59">
        <v>41055.030787037038</v>
      </c>
      <c r="C146">
        <v>80000</v>
      </c>
      <c r="D146" t="s">
        <v>786</v>
      </c>
      <c r="E146">
        <f>tblSalaries[[#This Row],[clean Salary (in local currency)]]*VLOOKUP(tblSalaries[[#This Row],[Currency]],[1]!tblXrate[#Data],2,FALSE)</f>
        <v>80000</v>
      </c>
      <c r="F146" t="s">
        <v>1087</v>
      </c>
      <c r="G146" t="s">
        <v>788</v>
      </c>
      <c r="H146" t="s">
        <v>15</v>
      </c>
      <c r="I146" t="str">
        <f>VLOOKUP(tblSalaries[[#This Row],[Where do you work]],[1]!tblCountries[[Actual]:[Mapping]],2,FALSE)</f>
        <v>USA</v>
      </c>
      <c r="J146" t="s">
        <v>799</v>
      </c>
    </row>
    <row r="147" spans="1:10" x14ac:dyDescent="0.2">
      <c r="A147" t="s">
        <v>1088</v>
      </c>
      <c r="B147" s="59">
        <v>41055.030810185184</v>
      </c>
      <c r="C147">
        <v>69000</v>
      </c>
      <c r="D147" t="s">
        <v>786</v>
      </c>
      <c r="E147">
        <f>tblSalaries[[#This Row],[clean Salary (in local currency)]]*VLOOKUP(tblSalaries[[#This Row],[Currency]],[1]!tblXrate[#Data],2,FALSE)</f>
        <v>69000</v>
      </c>
      <c r="F147" t="s">
        <v>1089</v>
      </c>
      <c r="G147" t="s">
        <v>867</v>
      </c>
      <c r="H147" t="s">
        <v>15</v>
      </c>
      <c r="I147" t="str">
        <f>VLOOKUP(tblSalaries[[#This Row],[Where do you work]],[1]!tblCountries[[Actual]:[Mapping]],2,FALSE)</f>
        <v>USA</v>
      </c>
      <c r="J147" t="s">
        <v>789</v>
      </c>
    </row>
    <row r="148" spans="1:10" x14ac:dyDescent="0.2">
      <c r="A148" t="s">
        <v>1090</v>
      </c>
      <c r="B148" s="59">
        <v>41055.030821759261</v>
      </c>
      <c r="C148">
        <v>50000</v>
      </c>
      <c r="D148" t="s">
        <v>786</v>
      </c>
      <c r="E148">
        <f>tblSalaries[[#This Row],[clean Salary (in local currency)]]*VLOOKUP(tblSalaries[[#This Row],[Currency]],[1]!tblXrate[#Data],2,FALSE)</f>
        <v>50000</v>
      </c>
      <c r="F148" t="s">
        <v>1091</v>
      </c>
      <c r="G148" t="s">
        <v>788</v>
      </c>
      <c r="H148" t="s">
        <v>2</v>
      </c>
      <c r="I148" t="str">
        <f>VLOOKUP(tblSalaries[[#This Row],[Where do you work]],[1]!tblCountries[[Actual]:[Mapping]],2,FALSE)</f>
        <v>Mexico</v>
      </c>
      <c r="J148" t="s">
        <v>794</v>
      </c>
    </row>
    <row r="149" spans="1:10" x14ac:dyDescent="0.2">
      <c r="A149" t="s">
        <v>1092</v>
      </c>
      <c r="B149" s="59">
        <v>41055.031018518515</v>
      </c>
      <c r="C149">
        <v>35000</v>
      </c>
      <c r="D149" t="s">
        <v>786</v>
      </c>
      <c r="E149">
        <f>tblSalaries[[#This Row],[clean Salary (in local currency)]]*VLOOKUP(tblSalaries[[#This Row],[Currency]],[1]!tblXrate[#Data],2,FALSE)</f>
        <v>35000</v>
      </c>
      <c r="F149" t="s">
        <v>1093</v>
      </c>
      <c r="G149" t="s">
        <v>807</v>
      </c>
      <c r="H149" t="s">
        <v>15</v>
      </c>
      <c r="I149" t="str">
        <f>VLOOKUP(tblSalaries[[#This Row],[Where do you work]],[1]!tblCountries[[Actual]:[Mapping]],2,FALSE)</f>
        <v>USA</v>
      </c>
      <c r="J149" t="s">
        <v>799</v>
      </c>
    </row>
    <row r="150" spans="1:10" x14ac:dyDescent="0.2">
      <c r="A150" t="s">
        <v>1094</v>
      </c>
      <c r="B150" s="59">
        <v>41055.031238425923</v>
      </c>
      <c r="C150">
        <v>96000</v>
      </c>
      <c r="D150" t="s">
        <v>786</v>
      </c>
      <c r="E150">
        <f>tblSalaries[[#This Row],[clean Salary (in local currency)]]*VLOOKUP(tblSalaries[[#This Row],[Currency]],[1]!tblXrate[#Data],2,FALSE)</f>
        <v>96000</v>
      </c>
      <c r="F150" t="s">
        <v>1095</v>
      </c>
      <c r="G150" t="s">
        <v>788</v>
      </c>
      <c r="H150" t="s">
        <v>15</v>
      </c>
      <c r="I150" t="str">
        <f>VLOOKUP(tblSalaries[[#This Row],[Where do you work]],[1]!tblCountries[[Actual]:[Mapping]],2,FALSE)</f>
        <v>USA</v>
      </c>
      <c r="J150" t="s">
        <v>789</v>
      </c>
    </row>
    <row r="151" spans="1:10" x14ac:dyDescent="0.2">
      <c r="A151" t="s">
        <v>1096</v>
      </c>
      <c r="B151" s="59">
        <v>41055.03125</v>
      </c>
      <c r="C151">
        <v>65000</v>
      </c>
      <c r="D151" t="s">
        <v>786</v>
      </c>
      <c r="E151">
        <f>tblSalaries[[#This Row],[clean Salary (in local currency)]]*VLOOKUP(tblSalaries[[#This Row],[Currency]],[1]!tblXrate[#Data],2,FALSE)</f>
        <v>65000</v>
      </c>
      <c r="F151" t="s">
        <v>1097</v>
      </c>
      <c r="G151" t="s">
        <v>817</v>
      </c>
      <c r="H151" t="s">
        <v>15</v>
      </c>
      <c r="I151" t="str">
        <f>VLOOKUP(tblSalaries[[#This Row],[Where do you work]],[1]!tblCountries[[Actual]:[Mapping]],2,FALSE)</f>
        <v>USA</v>
      </c>
      <c r="J151" t="s">
        <v>794</v>
      </c>
    </row>
    <row r="152" spans="1:10" x14ac:dyDescent="0.2">
      <c r="A152" t="s">
        <v>1098</v>
      </c>
      <c r="B152" s="59">
        <v>41055.031319444446</v>
      </c>
      <c r="C152">
        <v>37440</v>
      </c>
      <c r="D152" t="s">
        <v>786</v>
      </c>
      <c r="E152">
        <f>tblSalaries[[#This Row],[clean Salary (in local currency)]]*VLOOKUP(tblSalaries[[#This Row],[Currency]],[1]!tblXrate[#Data],2,FALSE)</f>
        <v>37440</v>
      </c>
      <c r="F152" t="s">
        <v>940</v>
      </c>
      <c r="G152" t="s">
        <v>788</v>
      </c>
      <c r="H152" t="s">
        <v>15</v>
      </c>
      <c r="I152" t="str">
        <f>VLOOKUP(tblSalaries[[#This Row],[Where do you work]],[1]!tblCountries[[Actual]:[Mapping]],2,FALSE)</f>
        <v>USA</v>
      </c>
      <c r="J152" t="s">
        <v>794</v>
      </c>
    </row>
    <row r="153" spans="1:10" x14ac:dyDescent="0.2">
      <c r="A153" t="s">
        <v>1099</v>
      </c>
      <c r="B153" s="59">
        <v>41055.031377314815</v>
      </c>
      <c r="C153">
        <v>15500</v>
      </c>
      <c r="D153" t="s">
        <v>786</v>
      </c>
      <c r="E153">
        <f>tblSalaries[[#This Row],[clean Salary (in local currency)]]*VLOOKUP(tblSalaries[[#This Row],[Currency]],[1]!tblXrate[#Data],2,FALSE)</f>
        <v>15500</v>
      </c>
      <c r="F153" t="s">
        <v>1100</v>
      </c>
      <c r="G153" t="s">
        <v>817</v>
      </c>
      <c r="H153" t="s">
        <v>2</v>
      </c>
      <c r="I153" t="str">
        <f>VLOOKUP(tblSalaries[[#This Row],[Where do you work]],[1]!tblCountries[[Actual]:[Mapping]],2,FALSE)</f>
        <v>Mexico</v>
      </c>
      <c r="J153" t="s">
        <v>794</v>
      </c>
    </row>
    <row r="154" spans="1:10" x14ac:dyDescent="0.2">
      <c r="A154" t="s">
        <v>1101</v>
      </c>
      <c r="B154" s="59">
        <v>41055.031446759262</v>
      </c>
      <c r="C154">
        <v>90000</v>
      </c>
      <c r="D154" t="s">
        <v>786</v>
      </c>
      <c r="E154">
        <f>tblSalaries[[#This Row],[clean Salary (in local currency)]]*VLOOKUP(tblSalaries[[#This Row],[Currency]],[1]!tblXrate[#Data],2,FALSE)</f>
        <v>90000</v>
      </c>
      <c r="F154" t="s">
        <v>1102</v>
      </c>
      <c r="G154" t="s">
        <v>788</v>
      </c>
      <c r="H154" t="s">
        <v>15</v>
      </c>
      <c r="I154" t="str">
        <f>VLOOKUP(tblSalaries[[#This Row],[Where do you work]],[1]!tblCountries[[Actual]:[Mapping]],2,FALSE)</f>
        <v>USA</v>
      </c>
      <c r="J154" t="s">
        <v>799</v>
      </c>
    </row>
    <row r="155" spans="1:10" x14ac:dyDescent="0.2">
      <c r="A155" t="s">
        <v>1103</v>
      </c>
      <c r="B155" s="59">
        <v>41055.031782407408</v>
      </c>
      <c r="C155">
        <v>66500</v>
      </c>
      <c r="D155" t="s">
        <v>786</v>
      </c>
      <c r="E155">
        <f>tblSalaries[[#This Row],[clean Salary (in local currency)]]*VLOOKUP(tblSalaries[[#This Row],[Currency]],[1]!tblXrate[#Data],2,FALSE)</f>
        <v>66500</v>
      </c>
      <c r="F155" t="s">
        <v>1104</v>
      </c>
      <c r="G155" t="s">
        <v>788</v>
      </c>
      <c r="H155" t="s">
        <v>15</v>
      </c>
      <c r="I155" t="str">
        <f>VLOOKUP(tblSalaries[[#This Row],[Where do you work]],[1]!tblCountries[[Actual]:[Mapping]],2,FALSE)</f>
        <v>USA</v>
      </c>
      <c r="J155" t="s">
        <v>794</v>
      </c>
    </row>
    <row r="156" spans="1:10" x14ac:dyDescent="0.2">
      <c r="A156" t="s">
        <v>1105</v>
      </c>
      <c r="B156" s="59">
        <v>41055.031817129631</v>
      </c>
      <c r="C156">
        <v>100000</v>
      </c>
      <c r="D156" t="s">
        <v>786</v>
      </c>
      <c r="E156">
        <f>tblSalaries[[#This Row],[clean Salary (in local currency)]]*VLOOKUP(tblSalaries[[#This Row],[Currency]],[1]!tblXrate[#Data],2,FALSE)</f>
        <v>100000</v>
      </c>
      <c r="F156" t="s">
        <v>1106</v>
      </c>
      <c r="G156" t="s">
        <v>817</v>
      </c>
      <c r="H156" t="s">
        <v>15</v>
      </c>
      <c r="I156" t="str">
        <f>VLOOKUP(tblSalaries[[#This Row],[Where do you work]],[1]!tblCountries[[Actual]:[Mapping]],2,FALSE)</f>
        <v>USA</v>
      </c>
      <c r="J156" t="s">
        <v>794</v>
      </c>
    </row>
    <row r="157" spans="1:10" x14ac:dyDescent="0.2">
      <c r="A157" t="s">
        <v>1107</v>
      </c>
      <c r="B157" s="59">
        <v>41055.031840277778</v>
      </c>
      <c r="C157">
        <v>32250</v>
      </c>
      <c r="D157" t="s">
        <v>861</v>
      </c>
      <c r="E157">
        <f>tblSalaries[[#This Row],[clean Salary (in local currency)]]*VLOOKUP(tblSalaries[[#This Row],[Currency]],[1]!tblXrate[#Data],2,FALSE)</f>
        <v>50831.74927416991</v>
      </c>
      <c r="F157" t="s">
        <v>1108</v>
      </c>
      <c r="G157" t="s">
        <v>807</v>
      </c>
      <c r="H157" t="s">
        <v>863</v>
      </c>
      <c r="I157" t="str">
        <f>VLOOKUP(tblSalaries[[#This Row],[Where do you work]],[1]!tblCountries[[Actual]:[Mapping]],2,FALSE)</f>
        <v>UK</v>
      </c>
      <c r="J157" t="s">
        <v>789</v>
      </c>
    </row>
    <row r="158" spans="1:10" x14ac:dyDescent="0.2">
      <c r="A158" t="s">
        <v>1109</v>
      </c>
      <c r="B158" s="59">
        <v>41055.031863425924</v>
      </c>
      <c r="C158">
        <v>420000</v>
      </c>
      <c r="D158" t="s">
        <v>824</v>
      </c>
      <c r="E158">
        <f>tblSalaries[[#This Row],[clean Salary (in local currency)]]*VLOOKUP(tblSalaries[[#This Row],[Currency]],[1]!tblXrate[#Data],2,FALSE)</f>
        <v>7479.3250087258784</v>
      </c>
      <c r="F158" t="s">
        <v>1110</v>
      </c>
      <c r="G158" t="s">
        <v>807</v>
      </c>
      <c r="H158" t="s">
        <v>117</v>
      </c>
      <c r="I158" t="str">
        <f>VLOOKUP(tblSalaries[[#This Row],[Where do you work]],[1]!tblCountries[[Actual]:[Mapping]],2,FALSE)</f>
        <v>India</v>
      </c>
      <c r="J158" t="s">
        <v>808</v>
      </c>
    </row>
    <row r="159" spans="1:10" x14ac:dyDescent="0.2">
      <c r="A159" t="s">
        <v>1111</v>
      </c>
      <c r="B159" s="59">
        <v>41055.031944444447</v>
      </c>
      <c r="C159">
        <v>75000</v>
      </c>
      <c r="D159" t="s">
        <v>786</v>
      </c>
      <c r="E159">
        <f>tblSalaries[[#This Row],[clean Salary (in local currency)]]*VLOOKUP(tblSalaries[[#This Row],[Currency]],[1]!tblXrate[#Data],2,FALSE)</f>
        <v>75000</v>
      </c>
      <c r="F159" t="s">
        <v>1112</v>
      </c>
      <c r="G159" t="s">
        <v>788</v>
      </c>
      <c r="H159" t="s">
        <v>15</v>
      </c>
      <c r="I159" t="str">
        <f>VLOOKUP(tblSalaries[[#This Row],[Where do you work]],[1]!tblCountries[[Actual]:[Mapping]],2,FALSE)</f>
        <v>USA</v>
      </c>
      <c r="J159" t="s">
        <v>808</v>
      </c>
    </row>
    <row r="160" spans="1:10" x14ac:dyDescent="0.2">
      <c r="A160" t="s">
        <v>1113</v>
      </c>
      <c r="B160" s="59">
        <v>41055.032233796293</v>
      </c>
      <c r="C160">
        <v>58000</v>
      </c>
      <c r="D160" t="s">
        <v>786</v>
      </c>
      <c r="E160">
        <f>tblSalaries[[#This Row],[clean Salary (in local currency)]]*VLOOKUP(tblSalaries[[#This Row],[Currency]],[1]!tblXrate[#Data],2,FALSE)</f>
        <v>58000</v>
      </c>
      <c r="F160" t="s">
        <v>1114</v>
      </c>
      <c r="G160" t="s">
        <v>807</v>
      </c>
      <c r="H160" t="s">
        <v>143</v>
      </c>
      <c r="I160" t="str">
        <f>VLOOKUP(tblSalaries[[#This Row],[Where do you work]],[1]!tblCountries[[Actual]:[Mapping]],2,FALSE)</f>
        <v>Canada</v>
      </c>
      <c r="J160" t="s">
        <v>808</v>
      </c>
    </row>
    <row r="161" spans="1:10" x14ac:dyDescent="0.2">
      <c r="A161" t="s">
        <v>1115</v>
      </c>
      <c r="B161" s="59">
        <v>41055.032280092593</v>
      </c>
      <c r="C161">
        <v>55000</v>
      </c>
      <c r="D161" t="s">
        <v>786</v>
      </c>
      <c r="E161">
        <f>tblSalaries[[#This Row],[clean Salary (in local currency)]]*VLOOKUP(tblSalaries[[#This Row],[Currency]],[1]!tblXrate[#Data],2,FALSE)</f>
        <v>55000</v>
      </c>
      <c r="F161" t="s">
        <v>1116</v>
      </c>
      <c r="G161" t="s">
        <v>807</v>
      </c>
      <c r="H161" t="s">
        <v>15</v>
      </c>
      <c r="I161" t="str">
        <f>VLOOKUP(tblSalaries[[#This Row],[Where do you work]],[1]!tblCountries[[Actual]:[Mapping]],2,FALSE)</f>
        <v>USA</v>
      </c>
      <c r="J161" t="s">
        <v>799</v>
      </c>
    </row>
    <row r="162" spans="1:10" x14ac:dyDescent="0.2">
      <c r="A162" t="s">
        <v>1117</v>
      </c>
      <c r="B162" s="59">
        <v>41055.033125000002</v>
      </c>
      <c r="C162">
        <v>60000</v>
      </c>
      <c r="D162" t="s">
        <v>786</v>
      </c>
      <c r="E162">
        <f>tblSalaries[[#This Row],[clean Salary (in local currency)]]*VLOOKUP(tblSalaries[[#This Row],[Currency]],[1]!tblXrate[#Data],2,FALSE)</f>
        <v>60000</v>
      </c>
      <c r="F162" t="s">
        <v>1118</v>
      </c>
      <c r="G162" t="s">
        <v>788</v>
      </c>
      <c r="H162" t="s">
        <v>15</v>
      </c>
      <c r="I162" t="str">
        <f>VLOOKUP(tblSalaries[[#This Row],[Where do you work]],[1]!tblCountries[[Actual]:[Mapping]],2,FALSE)</f>
        <v>USA</v>
      </c>
      <c r="J162" t="s">
        <v>789</v>
      </c>
    </row>
    <row r="163" spans="1:10" x14ac:dyDescent="0.2">
      <c r="A163" t="s">
        <v>1119</v>
      </c>
      <c r="B163" s="59">
        <v>41055.033159722225</v>
      </c>
      <c r="C163">
        <v>1300000</v>
      </c>
      <c r="D163" t="s">
        <v>824</v>
      </c>
      <c r="E163">
        <f>tblSalaries[[#This Row],[clean Salary (in local currency)]]*VLOOKUP(tblSalaries[[#This Row],[Currency]],[1]!tblXrate[#Data],2,FALSE)</f>
        <v>23150.291693675339</v>
      </c>
      <c r="F163" t="s">
        <v>807</v>
      </c>
      <c r="G163" t="s">
        <v>807</v>
      </c>
      <c r="H163" t="s">
        <v>117</v>
      </c>
      <c r="I163" t="str">
        <f>VLOOKUP(tblSalaries[[#This Row],[Where do you work]],[1]!tblCountries[[Actual]:[Mapping]],2,FALSE)</f>
        <v>India</v>
      </c>
      <c r="J163" t="s">
        <v>789</v>
      </c>
    </row>
    <row r="164" spans="1:10" x14ac:dyDescent="0.2">
      <c r="A164" t="s">
        <v>1120</v>
      </c>
      <c r="B164" s="59">
        <v>41055.033217592594</v>
      </c>
      <c r="C164">
        <v>107000</v>
      </c>
      <c r="D164" t="s">
        <v>882</v>
      </c>
      <c r="E164">
        <f>tblSalaries[[#This Row],[clean Salary (in local currency)]]*VLOOKUP(tblSalaries[[#This Row],[Currency]],[1]!tblXrate[#Data],2,FALSE)</f>
        <v>105219.68296424497</v>
      </c>
      <c r="F164" t="s">
        <v>1121</v>
      </c>
      <c r="G164" t="s">
        <v>807</v>
      </c>
      <c r="H164" t="s">
        <v>143</v>
      </c>
      <c r="I164" t="str">
        <f>VLOOKUP(tblSalaries[[#This Row],[Where do you work]],[1]!tblCountries[[Actual]:[Mapping]],2,FALSE)</f>
        <v>Canada</v>
      </c>
      <c r="J164" t="s">
        <v>799</v>
      </c>
    </row>
    <row r="165" spans="1:10" x14ac:dyDescent="0.2">
      <c r="A165" t="s">
        <v>1122</v>
      </c>
      <c r="B165" s="59">
        <v>41055.03329861111</v>
      </c>
      <c r="C165">
        <v>145000</v>
      </c>
      <c r="D165" t="s">
        <v>786</v>
      </c>
      <c r="E165">
        <f>tblSalaries[[#This Row],[clean Salary (in local currency)]]*VLOOKUP(tblSalaries[[#This Row],[Currency]],[1]!tblXrate[#Data],2,FALSE)</f>
        <v>145000</v>
      </c>
      <c r="F165" t="s">
        <v>1123</v>
      </c>
      <c r="G165" t="s">
        <v>792</v>
      </c>
      <c r="H165" t="s">
        <v>271</v>
      </c>
      <c r="I165" t="str">
        <f>VLOOKUP(tblSalaries[[#This Row],[Where do you work]],[1]!tblCountries[[Actual]:[Mapping]],2,FALSE)</f>
        <v>Switzerland</v>
      </c>
      <c r="J165" t="s">
        <v>794</v>
      </c>
    </row>
    <row r="166" spans="1:10" x14ac:dyDescent="0.2">
      <c r="A166" t="s">
        <v>1124</v>
      </c>
      <c r="B166" s="59">
        <v>41055.033379629633</v>
      </c>
      <c r="C166">
        <v>22880</v>
      </c>
      <c r="D166" t="s">
        <v>786</v>
      </c>
      <c r="E166">
        <f>tblSalaries[[#This Row],[clean Salary (in local currency)]]*VLOOKUP(tblSalaries[[#This Row],[Currency]],[1]!tblXrate[#Data],2,FALSE)</f>
        <v>22880</v>
      </c>
      <c r="F166" t="s">
        <v>1125</v>
      </c>
      <c r="G166" t="s">
        <v>817</v>
      </c>
      <c r="H166" t="s">
        <v>15</v>
      </c>
      <c r="I166" t="str">
        <f>VLOOKUP(tblSalaries[[#This Row],[Where do you work]],[1]!tblCountries[[Actual]:[Mapping]],2,FALSE)</f>
        <v>USA</v>
      </c>
      <c r="J166" t="s">
        <v>789</v>
      </c>
    </row>
    <row r="167" spans="1:10" x14ac:dyDescent="0.2">
      <c r="A167" t="s">
        <v>1126</v>
      </c>
      <c r="B167" s="59">
        <v>41055.033414351848</v>
      </c>
      <c r="C167">
        <v>80000</v>
      </c>
      <c r="D167" t="s">
        <v>786</v>
      </c>
      <c r="E167">
        <f>tblSalaries[[#This Row],[clean Salary (in local currency)]]*VLOOKUP(tblSalaries[[#This Row],[Currency]],[1]!tblXrate[#Data],2,FALSE)</f>
        <v>80000</v>
      </c>
      <c r="F167" t="s">
        <v>1127</v>
      </c>
      <c r="G167" t="s">
        <v>867</v>
      </c>
      <c r="H167" t="s">
        <v>15</v>
      </c>
      <c r="I167" t="str">
        <f>VLOOKUP(tblSalaries[[#This Row],[Where do you work]],[1]!tblCountries[[Actual]:[Mapping]],2,FALSE)</f>
        <v>USA</v>
      </c>
      <c r="J167" t="s">
        <v>789</v>
      </c>
    </row>
    <row r="168" spans="1:10" x14ac:dyDescent="0.2">
      <c r="A168" t="s">
        <v>1128</v>
      </c>
      <c r="B168" s="59">
        <v>41055.033460648148</v>
      </c>
      <c r="C168">
        <v>500000</v>
      </c>
      <c r="D168" t="s">
        <v>824</v>
      </c>
      <c r="E168">
        <f>tblSalaries[[#This Row],[clean Salary (in local currency)]]*VLOOKUP(tblSalaries[[#This Row],[Currency]],[1]!tblXrate[#Data],2,FALSE)</f>
        <v>8903.9583437212841</v>
      </c>
      <c r="F168" t="s">
        <v>1129</v>
      </c>
      <c r="G168" t="s">
        <v>788</v>
      </c>
      <c r="H168" t="s">
        <v>117</v>
      </c>
      <c r="I168" t="str">
        <f>VLOOKUP(tblSalaries[[#This Row],[Where do you work]],[1]!tblCountries[[Actual]:[Mapping]],2,FALSE)</f>
        <v>India</v>
      </c>
      <c r="J168" t="s">
        <v>799</v>
      </c>
    </row>
    <row r="169" spans="1:10" x14ac:dyDescent="0.2">
      <c r="A169" t="s">
        <v>1130</v>
      </c>
      <c r="B169" s="59">
        <v>41055.033865740741</v>
      </c>
      <c r="C169">
        <v>90000</v>
      </c>
      <c r="D169" t="s">
        <v>882</v>
      </c>
      <c r="E169">
        <f>tblSalaries[[#This Row],[clean Salary (in local currency)]]*VLOOKUP(tblSalaries[[#This Row],[Currency]],[1]!tblXrate[#Data],2,FALSE)</f>
        <v>88502.537072729421</v>
      </c>
      <c r="F169" t="s">
        <v>1131</v>
      </c>
      <c r="G169" t="s">
        <v>788</v>
      </c>
      <c r="H169" t="s">
        <v>143</v>
      </c>
      <c r="I169" t="str">
        <f>VLOOKUP(tblSalaries[[#This Row],[Where do you work]],[1]!tblCountries[[Actual]:[Mapping]],2,FALSE)</f>
        <v>Canada</v>
      </c>
      <c r="J169" t="s">
        <v>789</v>
      </c>
    </row>
    <row r="170" spans="1:10" x14ac:dyDescent="0.2">
      <c r="A170" t="s">
        <v>1132</v>
      </c>
      <c r="B170" s="59">
        <v>41055.033888888887</v>
      </c>
      <c r="C170">
        <v>180000</v>
      </c>
      <c r="D170" t="s">
        <v>824</v>
      </c>
      <c r="E170">
        <f>tblSalaries[[#This Row],[clean Salary (in local currency)]]*VLOOKUP(tblSalaries[[#This Row],[Currency]],[1]!tblXrate[#Data],2,FALSE)</f>
        <v>3205.4250037396623</v>
      </c>
      <c r="F170" t="s">
        <v>1133</v>
      </c>
      <c r="G170" t="s">
        <v>788</v>
      </c>
      <c r="H170" t="s">
        <v>117</v>
      </c>
      <c r="I170" t="str">
        <f>VLOOKUP(tblSalaries[[#This Row],[Where do you work]],[1]!tblCountries[[Actual]:[Mapping]],2,FALSE)</f>
        <v>India</v>
      </c>
      <c r="J170" t="s">
        <v>789</v>
      </c>
    </row>
    <row r="171" spans="1:10" x14ac:dyDescent="0.2">
      <c r="A171" t="s">
        <v>1134</v>
      </c>
      <c r="B171" s="59">
        <v>41055.033888888887</v>
      </c>
      <c r="C171">
        <v>46584</v>
      </c>
      <c r="D171" t="s">
        <v>786</v>
      </c>
      <c r="E171">
        <f>tblSalaries[[#This Row],[clean Salary (in local currency)]]*VLOOKUP(tblSalaries[[#This Row],[Currency]],[1]!tblXrate[#Data],2,FALSE)</f>
        <v>46584</v>
      </c>
      <c r="F171" t="s">
        <v>1135</v>
      </c>
      <c r="G171" t="s">
        <v>788</v>
      </c>
      <c r="H171" t="s">
        <v>15</v>
      </c>
      <c r="I171" t="str">
        <f>VLOOKUP(tblSalaries[[#This Row],[Where do you work]],[1]!tblCountries[[Actual]:[Mapping]],2,FALSE)</f>
        <v>USA</v>
      </c>
      <c r="J171" t="s">
        <v>789</v>
      </c>
    </row>
    <row r="172" spans="1:10" x14ac:dyDescent="0.2">
      <c r="A172" t="s">
        <v>1136</v>
      </c>
      <c r="B172" s="59">
        <v>41055.033888888887</v>
      </c>
      <c r="C172">
        <v>67000</v>
      </c>
      <c r="D172" t="s">
        <v>786</v>
      </c>
      <c r="E172">
        <f>tblSalaries[[#This Row],[clean Salary (in local currency)]]*VLOOKUP(tblSalaries[[#This Row],[Currency]],[1]!tblXrate[#Data],2,FALSE)</f>
        <v>67000</v>
      </c>
      <c r="F172" t="s">
        <v>1137</v>
      </c>
      <c r="G172" t="s">
        <v>788</v>
      </c>
      <c r="H172" t="s">
        <v>15</v>
      </c>
      <c r="I172" t="str">
        <f>VLOOKUP(tblSalaries[[#This Row],[Where do you work]],[1]!tblCountries[[Actual]:[Mapping]],2,FALSE)</f>
        <v>USA</v>
      </c>
      <c r="J172" t="s">
        <v>789</v>
      </c>
    </row>
    <row r="173" spans="1:10" x14ac:dyDescent="0.2">
      <c r="A173" t="s">
        <v>1138</v>
      </c>
      <c r="B173" s="59">
        <v>41055.033993055556</v>
      </c>
      <c r="C173">
        <v>1100000</v>
      </c>
      <c r="D173" t="s">
        <v>824</v>
      </c>
      <c r="E173">
        <f>tblSalaries[[#This Row],[clean Salary (in local currency)]]*VLOOKUP(tblSalaries[[#This Row],[Currency]],[1]!tblXrate[#Data],2,FALSE)</f>
        <v>19588.708356186824</v>
      </c>
      <c r="F173" t="s">
        <v>1139</v>
      </c>
      <c r="G173" t="s">
        <v>807</v>
      </c>
      <c r="H173" t="s">
        <v>117</v>
      </c>
      <c r="I173" t="str">
        <f>VLOOKUP(tblSalaries[[#This Row],[Where do you work]],[1]!tblCountries[[Actual]:[Mapping]],2,FALSE)</f>
        <v>India</v>
      </c>
      <c r="J173" t="s">
        <v>789</v>
      </c>
    </row>
    <row r="174" spans="1:10" x14ac:dyDescent="0.2">
      <c r="A174" t="s">
        <v>1140</v>
      </c>
      <c r="B174" s="59">
        <v>41055.034236111111</v>
      </c>
      <c r="C174">
        <v>92000</v>
      </c>
      <c r="D174" t="s">
        <v>786</v>
      </c>
      <c r="E174">
        <f>tblSalaries[[#This Row],[clean Salary (in local currency)]]*VLOOKUP(tblSalaries[[#This Row],[Currency]],[1]!tblXrate[#Data],2,FALSE)</f>
        <v>92000</v>
      </c>
      <c r="F174" t="s">
        <v>1141</v>
      </c>
      <c r="G174" t="s">
        <v>802</v>
      </c>
      <c r="H174" t="s">
        <v>15</v>
      </c>
      <c r="I174" t="str">
        <f>VLOOKUP(tblSalaries[[#This Row],[Where do you work]],[1]!tblCountries[[Actual]:[Mapping]],2,FALSE)</f>
        <v>USA</v>
      </c>
      <c r="J174" t="s">
        <v>789</v>
      </c>
    </row>
    <row r="175" spans="1:10" x14ac:dyDescent="0.2">
      <c r="A175" t="s">
        <v>1142</v>
      </c>
      <c r="B175" s="59">
        <v>41055.034270833334</v>
      </c>
      <c r="C175">
        <v>75000</v>
      </c>
      <c r="D175" t="s">
        <v>786</v>
      </c>
      <c r="E175">
        <f>tblSalaries[[#This Row],[clean Salary (in local currency)]]*VLOOKUP(tblSalaries[[#This Row],[Currency]],[1]!tblXrate[#Data],2,FALSE)</f>
        <v>75000</v>
      </c>
      <c r="F175" t="s">
        <v>1143</v>
      </c>
      <c r="G175" t="s">
        <v>820</v>
      </c>
      <c r="H175" t="s">
        <v>15</v>
      </c>
      <c r="I175" t="str">
        <f>VLOOKUP(tblSalaries[[#This Row],[Where do you work]],[1]!tblCountries[[Actual]:[Mapping]],2,FALSE)</f>
        <v>USA</v>
      </c>
      <c r="J175" t="s">
        <v>794</v>
      </c>
    </row>
    <row r="176" spans="1:10" x14ac:dyDescent="0.2">
      <c r="A176" t="s">
        <v>1144</v>
      </c>
      <c r="B176" s="59">
        <v>41055.034432870372</v>
      </c>
      <c r="C176">
        <v>180000</v>
      </c>
      <c r="D176" t="s">
        <v>824</v>
      </c>
      <c r="E176">
        <f>tblSalaries[[#This Row],[clean Salary (in local currency)]]*VLOOKUP(tblSalaries[[#This Row],[Currency]],[1]!tblXrate[#Data],2,FALSE)</f>
        <v>3205.4250037396623</v>
      </c>
      <c r="F176" t="s">
        <v>1133</v>
      </c>
      <c r="G176" t="s">
        <v>788</v>
      </c>
      <c r="H176" t="s">
        <v>117</v>
      </c>
      <c r="I176" t="str">
        <f>VLOOKUP(tblSalaries[[#This Row],[Where do you work]],[1]!tblCountries[[Actual]:[Mapping]],2,FALSE)</f>
        <v>India</v>
      </c>
      <c r="J176" t="s">
        <v>789</v>
      </c>
    </row>
    <row r="177" spans="1:10" x14ac:dyDescent="0.2">
      <c r="A177" t="s">
        <v>1145</v>
      </c>
      <c r="B177" s="59">
        <v>41055.034583333334</v>
      </c>
      <c r="C177">
        <v>18500</v>
      </c>
      <c r="D177" t="s">
        <v>861</v>
      </c>
      <c r="E177">
        <f>tblSalaries[[#This Row],[clean Salary (in local currency)]]*VLOOKUP(tblSalaries[[#This Row],[Currency]],[1]!tblXrate[#Data],2,FALSE)</f>
        <v>29159.298033244755</v>
      </c>
      <c r="F177" t="s">
        <v>1146</v>
      </c>
      <c r="G177" t="s">
        <v>807</v>
      </c>
      <c r="H177" t="s">
        <v>863</v>
      </c>
      <c r="I177" t="str">
        <f>VLOOKUP(tblSalaries[[#This Row],[Where do you work]],[1]!tblCountries[[Actual]:[Mapping]],2,FALSE)</f>
        <v>UK</v>
      </c>
      <c r="J177" t="s">
        <v>794</v>
      </c>
    </row>
    <row r="178" spans="1:10" x14ac:dyDescent="0.2">
      <c r="A178" t="s">
        <v>1147</v>
      </c>
      <c r="B178" s="59">
        <v>41055.03460648148</v>
      </c>
      <c r="C178">
        <v>40000</v>
      </c>
      <c r="D178" t="s">
        <v>786</v>
      </c>
      <c r="E178">
        <f>tblSalaries[[#This Row],[clean Salary (in local currency)]]*VLOOKUP(tblSalaries[[#This Row],[Currency]],[1]!tblXrate[#Data],2,FALSE)</f>
        <v>40000</v>
      </c>
      <c r="F178" t="s">
        <v>1148</v>
      </c>
      <c r="G178" t="s">
        <v>788</v>
      </c>
      <c r="H178" t="s">
        <v>15</v>
      </c>
      <c r="I178" t="str">
        <f>VLOOKUP(tblSalaries[[#This Row],[Where do you work]],[1]!tblCountries[[Actual]:[Mapping]],2,FALSE)</f>
        <v>USA</v>
      </c>
      <c r="J178" t="s">
        <v>794</v>
      </c>
    </row>
    <row r="179" spans="1:10" x14ac:dyDescent="0.2">
      <c r="A179" t="s">
        <v>1149</v>
      </c>
      <c r="B179" s="59">
        <v>41055.034710648149</v>
      </c>
      <c r="C179">
        <v>111680</v>
      </c>
      <c r="D179" t="s">
        <v>786</v>
      </c>
      <c r="E179">
        <f>tblSalaries[[#This Row],[clean Salary (in local currency)]]*VLOOKUP(tblSalaries[[#This Row],[Currency]],[1]!tblXrate[#Data],2,FALSE)</f>
        <v>111680</v>
      </c>
      <c r="F179" t="s">
        <v>1150</v>
      </c>
      <c r="G179" t="s">
        <v>788</v>
      </c>
      <c r="H179" t="s">
        <v>15</v>
      </c>
      <c r="I179" t="str">
        <f>VLOOKUP(tblSalaries[[#This Row],[Where do you work]],[1]!tblCountries[[Actual]:[Mapping]],2,FALSE)</f>
        <v>USA</v>
      </c>
      <c r="J179" t="s">
        <v>799</v>
      </c>
    </row>
    <row r="180" spans="1:10" x14ac:dyDescent="0.2">
      <c r="A180" t="s">
        <v>1151</v>
      </c>
      <c r="B180" s="59">
        <v>41055.034849537034</v>
      </c>
      <c r="C180">
        <v>41406</v>
      </c>
      <c r="D180" t="s">
        <v>786</v>
      </c>
      <c r="E180">
        <f>tblSalaries[[#This Row],[clean Salary (in local currency)]]*VLOOKUP(tblSalaries[[#This Row],[Currency]],[1]!tblXrate[#Data],2,FALSE)</f>
        <v>41406</v>
      </c>
      <c r="F180" t="s">
        <v>1152</v>
      </c>
      <c r="G180" t="s">
        <v>788</v>
      </c>
      <c r="H180" t="s">
        <v>143</v>
      </c>
      <c r="I180" t="str">
        <f>VLOOKUP(tblSalaries[[#This Row],[Where do you work]],[1]!tblCountries[[Actual]:[Mapping]],2,FALSE)</f>
        <v>Canada</v>
      </c>
      <c r="J180" t="s">
        <v>808</v>
      </c>
    </row>
    <row r="181" spans="1:10" x14ac:dyDescent="0.2">
      <c r="A181" t="s">
        <v>1153</v>
      </c>
      <c r="B181" s="59">
        <v>41055.034895833334</v>
      </c>
      <c r="C181">
        <v>70000</v>
      </c>
      <c r="D181" t="s">
        <v>786</v>
      </c>
      <c r="E181">
        <f>tblSalaries[[#This Row],[clean Salary (in local currency)]]*VLOOKUP(tblSalaries[[#This Row],[Currency]],[1]!tblXrate[#Data],2,FALSE)</f>
        <v>70000</v>
      </c>
      <c r="F181" t="s">
        <v>1154</v>
      </c>
      <c r="G181" t="s">
        <v>807</v>
      </c>
      <c r="H181" t="s">
        <v>15</v>
      </c>
      <c r="I181" t="str">
        <f>VLOOKUP(tblSalaries[[#This Row],[Where do you work]],[1]!tblCountries[[Actual]:[Mapping]],2,FALSE)</f>
        <v>USA</v>
      </c>
      <c r="J181" t="s">
        <v>789</v>
      </c>
    </row>
    <row r="182" spans="1:10" x14ac:dyDescent="0.2">
      <c r="A182" t="s">
        <v>1155</v>
      </c>
      <c r="B182" s="59">
        <v>41055.035081018519</v>
      </c>
      <c r="C182">
        <v>40700</v>
      </c>
      <c r="D182" t="s">
        <v>786</v>
      </c>
      <c r="E182">
        <f>tblSalaries[[#This Row],[clean Salary (in local currency)]]*VLOOKUP(tblSalaries[[#This Row],[Currency]],[1]!tblXrate[#Data],2,FALSE)</f>
        <v>40700</v>
      </c>
      <c r="F182" t="s">
        <v>1156</v>
      </c>
      <c r="G182" t="s">
        <v>788</v>
      </c>
      <c r="H182" t="s">
        <v>15</v>
      </c>
      <c r="I182" t="str">
        <f>VLOOKUP(tblSalaries[[#This Row],[Where do you work]],[1]!tblCountries[[Actual]:[Mapping]],2,FALSE)</f>
        <v>USA</v>
      </c>
      <c r="J182" t="s">
        <v>808</v>
      </c>
    </row>
    <row r="183" spans="1:10" x14ac:dyDescent="0.2">
      <c r="A183" t="s">
        <v>1157</v>
      </c>
      <c r="B183" s="59">
        <v>41055.035092592596</v>
      </c>
      <c r="C183">
        <v>40000</v>
      </c>
      <c r="D183" t="s">
        <v>786</v>
      </c>
      <c r="E183">
        <f>tblSalaries[[#This Row],[clean Salary (in local currency)]]*VLOOKUP(tblSalaries[[#This Row],[Currency]],[1]!tblXrate[#Data],2,FALSE)</f>
        <v>40000</v>
      </c>
      <c r="F183" t="s">
        <v>1158</v>
      </c>
      <c r="G183" t="s">
        <v>788</v>
      </c>
      <c r="H183" t="s">
        <v>15</v>
      </c>
      <c r="I183" t="str">
        <f>VLOOKUP(tblSalaries[[#This Row],[Where do you work]],[1]!tblCountries[[Actual]:[Mapping]],2,FALSE)</f>
        <v>USA</v>
      </c>
      <c r="J183" t="s">
        <v>789</v>
      </c>
    </row>
    <row r="184" spans="1:10" x14ac:dyDescent="0.2">
      <c r="A184" t="s">
        <v>1159</v>
      </c>
      <c r="B184" s="59">
        <v>41055.035162037035</v>
      </c>
      <c r="C184">
        <v>60000</v>
      </c>
      <c r="D184" t="s">
        <v>786</v>
      </c>
      <c r="E184">
        <f>tblSalaries[[#This Row],[clean Salary (in local currency)]]*VLOOKUP(tblSalaries[[#This Row],[Currency]],[1]!tblXrate[#Data],2,FALSE)</f>
        <v>60000</v>
      </c>
      <c r="F184" t="s">
        <v>1160</v>
      </c>
      <c r="G184" t="s">
        <v>817</v>
      </c>
      <c r="H184" t="s">
        <v>15</v>
      </c>
      <c r="I184" t="str">
        <f>VLOOKUP(tblSalaries[[#This Row],[Where do you work]],[1]!tblCountries[[Actual]:[Mapping]],2,FALSE)</f>
        <v>USA</v>
      </c>
      <c r="J184" t="s">
        <v>789</v>
      </c>
    </row>
    <row r="185" spans="1:10" x14ac:dyDescent="0.2">
      <c r="A185" t="s">
        <v>1161</v>
      </c>
      <c r="B185" s="59">
        <v>41055.035196759258</v>
      </c>
      <c r="C185">
        <v>92000</v>
      </c>
      <c r="D185" t="s">
        <v>882</v>
      </c>
      <c r="E185">
        <f>tblSalaries[[#This Row],[clean Salary (in local currency)]]*VLOOKUP(tblSalaries[[#This Row],[Currency]],[1]!tblXrate[#Data],2,FALSE)</f>
        <v>90469.260118790073</v>
      </c>
      <c r="F185" t="s">
        <v>1162</v>
      </c>
      <c r="G185" t="s">
        <v>867</v>
      </c>
      <c r="H185" t="s">
        <v>143</v>
      </c>
      <c r="I185" t="str">
        <f>VLOOKUP(tblSalaries[[#This Row],[Where do you work]],[1]!tblCountries[[Actual]:[Mapping]],2,FALSE)</f>
        <v>Canada</v>
      </c>
      <c r="J185" t="s">
        <v>794</v>
      </c>
    </row>
    <row r="186" spans="1:10" x14ac:dyDescent="0.2">
      <c r="A186" t="s">
        <v>1163</v>
      </c>
      <c r="B186" s="59">
        <v>41055.035219907404</v>
      </c>
      <c r="C186">
        <v>13636</v>
      </c>
      <c r="D186" t="s">
        <v>786</v>
      </c>
      <c r="E186">
        <f>tblSalaries[[#This Row],[clean Salary (in local currency)]]*VLOOKUP(tblSalaries[[#This Row],[Currency]],[1]!tblXrate[#Data],2,FALSE)</f>
        <v>13636</v>
      </c>
      <c r="F186" t="s">
        <v>1164</v>
      </c>
      <c r="G186" t="s">
        <v>807</v>
      </c>
      <c r="H186" t="s">
        <v>117</v>
      </c>
      <c r="I186" t="str">
        <f>VLOOKUP(tblSalaries[[#This Row],[Where do you work]],[1]!tblCountries[[Actual]:[Mapping]],2,FALSE)</f>
        <v>India</v>
      </c>
      <c r="J186" t="s">
        <v>794</v>
      </c>
    </row>
    <row r="187" spans="1:10" x14ac:dyDescent="0.2">
      <c r="A187" t="s">
        <v>1165</v>
      </c>
      <c r="B187" s="59">
        <v>41055.035219907404</v>
      </c>
      <c r="C187">
        <v>80000</v>
      </c>
      <c r="D187" t="s">
        <v>786</v>
      </c>
      <c r="E187">
        <f>tblSalaries[[#This Row],[clean Salary (in local currency)]]*VLOOKUP(tblSalaries[[#This Row],[Currency]],[1]!tblXrate[#Data],2,FALSE)</f>
        <v>80000</v>
      </c>
      <c r="F187" t="s">
        <v>1166</v>
      </c>
      <c r="G187" t="s">
        <v>807</v>
      </c>
      <c r="H187" t="s">
        <v>15</v>
      </c>
      <c r="I187" t="str">
        <f>VLOOKUP(tblSalaries[[#This Row],[Where do you work]],[1]!tblCountries[[Actual]:[Mapping]],2,FALSE)</f>
        <v>USA</v>
      </c>
      <c r="J187" t="s">
        <v>799</v>
      </c>
    </row>
    <row r="188" spans="1:10" x14ac:dyDescent="0.2">
      <c r="A188" t="s">
        <v>1167</v>
      </c>
      <c r="B188" s="59">
        <v>41055.035416666666</v>
      </c>
      <c r="C188">
        <v>60000</v>
      </c>
      <c r="D188" t="s">
        <v>882</v>
      </c>
      <c r="E188">
        <f>tblSalaries[[#This Row],[clean Salary (in local currency)]]*VLOOKUP(tblSalaries[[#This Row],[Currency]],[1]!tblXrate[#Data],2,FALSE)</f>
        <v>59001.691381819612</v>
      </c>
      <c r="F188" t="s">
        <v>1168</v>
      </c>
      <c r="G188" t="s">
        <v>788</v>
      </c>
      <c r="H188" t="s">
        <v>143</v>
      </c>
      <c r="I188" t="str">
        <f>VLOOKUP(tblSalaries[[#This Row],[Where do you work]],[1]!tblCountries[[Actual]:[Mapping]],2,FALSE)</f>
        <v>Canada</v>
      </c>
      <c r="J188" t="s">
        <v>799</v>
      </c>
    </row>
    <row r="189" spans="1:10" x14ac:dyDescent="0.2">
      <c r="A189" t="s">
        <v>1169</v>
      </c>
      <c r="B189" s="59">
        <v>41055.035914351851</v>
      </c>
      <c r="C189">
        <v>28000</v>
      </c>
      <c r="D189" t="s">
        <v>786</v>
      </c>
      <c r="E189">
        <f>tblSalaries[[#This Row],[clean Salary (in local currency)]]*VLOOKUP(tblSalaries[[#This Row],[Currency]],[1]!tblXrate[#Data],2,FALSE)</f>
        <v>28000</v>
      </c>
      <c r="F189" t="s">
        <v>1170</v>
      </c>
      <c r="G189" t="s">
        <v>788</v>
      </c>
      <c r="H189" t="s">
        <v>15</v>
      </c>
      <c r="I189" t="str">
        <f>VLOOKUP(tblSalaries[[#This Row],[Where do you work]],[1]!tblCountries[[Actual]:[Mapping]],2,FALSE)</f>
        <v>USA</v>
      </c>
      <c r="J189" t="s">
        <v>789</v>
      </c>
    </row>
    <row r="190" spans="1:10" x14ac:dyDescent="0.2">
      <c r="A190" t="s">
        <v>1171</v>
      </c>
      <c r="B190" s="59">
        <v>41055.036053240743</v>
      </c>
      <c r="C190">
        <v>60000</v>
      </c>
      <c r="D190" t="s">
        <v>786</v>
      </c>
      <c r="E190">
        <f>tblSalaries[[#This Row],[clean Salary (in local currency)]]*VLOOKUP(tblSalaries[[#This Row],[Currency]],[1]!tblXrate[#Data],2,FALSE)</f>
        <v>60000</v>
      </c>
      <c r="F190" t="s">
        <v>1172</v>
      </c>
      <c r="G190" t="s">
        <v>788</v>
      </c>
      <c r="H190" t="s">
        <v>15</v>
      </c>
      <c r="I190" t="str">
        <f>VLOOKUP(tblSalaries[[#This Row],[Where do you work]],[1]!tblCountries[[Actual]:[Mapping]],2,FALSE)</f>
        <v>USA</v>
      </c>
      <c r="J190" t="s">
        <v>789</v>
      </c>
    </row>
    <row r="191" spans="1:10" x14ac:dyDescent="0.2">
      <c r="A191" t="s">
        <v>1173</v>
      </c>
      <c r="B191" s="59">
        <v>41055.036099537036</v>
      </c>
      <c r="C191">
        <v>96000</v>
      </c>
      <c r="D191" t="s">
        <v>786</v>
      </c>
      <c r="E191">
        <f>tblSalaries[[#This Row],[clean Salary (in local currency)]]*VLOOKUP(tblSalaries[[#This Row],[Currency]],[1]!tblXrate[#Data],2,FALSE)</f>
        <v>96000</v>
      </c>
      <c r="F191" t="s">
        <v>1174</v>
      </c>
      <c r="G191" t="s">
        <v>820</v>
      </c>
      <c r="H191" t="s">
        <v>15</v>
      </c>
      <c r="I191" t="str">
        <f>VLOOKUP(tblSalaries[[#This Row],[Where do you work]],[1]!tblCountries[[Actual]:[Mapping]],2,FALSE)</f>
        <v>USA</v>
      </c>
      <c r="J191" t="s">
        <v>799</v>
      </c>
    </row>
    <row r="192" spans="1:10" x14ac:dyDescent="0.2">
      <c r="A192" t="s">
        <v>1175</v>
      </c>
      <c r="B192" s="59">
        <v>41055.036354166667</v>
      </c>
      <c r="C192">
        <v>67000</v>
      </c>
      <c r="D192" t="s">
        <v>786</v>
      </c>
      <c r="E192">
        <f>tblSalaries[[#This Row],[clean Salary (in local currency)]]*VLOOKUP(tblSalaries[[#This Row],[Currency]],[1]!tblXrate[#Data],2,FALSE)</f>
        <v>67000</v>
      </c>
      <c r="F192" t="s">
        <v>796</v>
      </c>
      <c r="G192" t="s">
        <v>788</v>
      </c>
      <c r="H192" t="s">
        <v>15</v>
      </c>
      <c r="I192" t="str">
        <f>VLOOKUP(tblSalaries[[#This Row],[Where do you work]],[1]!tblCountries[[Actual]:[Mapping]],2,FALSE)</f>
        <v>USA</v>
      </c>
      <c r="J192" t="s">
        <v>789</v>
      </c>
    </row>
    <row r="193" spans="1:10" x14ac:dyDescent="0.2">
      <c r="A193" t="s">
        <v>1176</v>
      </c>
      <c r="B193" s="59">
        <v>41055.036400462966</v>
      </c>
      <c r="C193">
        <v>70000</v>
      </c>
      <c r="D193" t="s">
        <v>786</v>
      </c>
      <c r="E193">
        <f>tblSalaries[[#This Row],[clean Salary (in local currency)]]*VLOOKUP(tblSalaries[[#This Row],[Currency]],[1]!tblXrate[#Data],2,FALSE)</f>
        <v>70000</v>
      </c>
      <c r="F193" t="s">
        <v>1177</v>
      </c>
      <c r="G193" t="s">
        <v>788</v>
      </c>
      <c r="H193" t="s">
        <v>15</v>
      </c>
      <c r="I193" t="str">
        <f>VLOOKUP(tblSalaries[[#This Row],[Where do you work]],[1]!tblCountries[[Actual]:[Mapping]],2,FALSE)</f>
        <v>USA</v>
      </c>
      <c r="J193" t="s">
        <v>789</v>
      </c>
    </row>
    <row r="194" spans="1:10" x14ac:dyDescent="0.2">
      <c r="A194" t="s">
        <v>1178</v>
      </c>
      <c r="B194" s="59">
        <v>41055.036458333336</v>
      </c>
      <c r="C194">
        <v>233000</v>
      </c>
      <c r="D194" t="s">
        <v>824</v>
      </c>
      <c r="E194">
        <f>tblSalaries[[#This Row],[clean Salary (in local currency)]]*VLOOKUP(tblSalaries[[#This Row],[Currency]],[1]!tblXrate[#Data],2,FALSE)</f>
        <v>4149.2445881741187</v>
      </c>
      <c r="F194" t="s">
        <v>1179</v>
      </c>
      <c r="G194" t="s">
        <v>807</v>
      </c>
      <c r="H194" t="s">
        <v>117</v>
      </c>
      <c r="I194" t="str">
        <f>VLOOKUP(tblSalaries[[#This Row],[Where do you work]],[1]!tblCountries[[Actual]:[Mapping]],2,FALSE)</f>
        <v>India</v>
      </c>
      <c r="J194" t="s">
        <v>794</v>
      </c>
    </row>
    <row r="195" spans="1:10" x14ac:dyDescent="0.2">
      <c r="A195" t="s">
        <v>1180</v>
      </c>
      <c r="B195" s="59">
        <v>41055.036539351851</v>
      </c>
      <c r="C195">
        <v>99000</v>
      </c>
      <c r="D195" t="s">
        <v>786</v>
      </c>
      <c r="E195">
        <f>tblSalaries[[#This Row],[clean Salary (in local currency)]]*VLOOKUP(tblSalaries[[#This Row],[Currency]],[1]!tblXrate[#Data],2,FALSE)</f>
        <v>99000</v>
      </c>
      <c r="F195" t="s">
        <v>1181</v>
      </c>
      <c r="G195" t="s">
        <v>792</v>
      </c>
      <c r="H195" t="s">
        <v>15</v>
      </c>
      <c r="I195" t="str">
        <f>VLOOKUP(tblSalaries[[#This Row],[Where do you work]],[1]!tblCountries[[Actual]:[Mapping]],2,FALSE)</f>
        <v>USA</v>
      </c>
      <c r="J195" t="s">
        <v>789</v>
      </c>
    </row>
    <row r="196" spans="1:10" x14ac:dyDescent="0.2">
      <c r="A196" t="s">
        <v>1182</v>
      </c>
      <c r="B196" s="59">
        <v>41055.036805555559</v>
      </c>
      <c r="C196">
        <v>90000</v>
      </c>
      <c r="D196" t="s">
        <v>786</v>
      </c>
      <c r="E196">
        <f>tblSalaries[[#This Row],[clean Salary (in local currency)]]*VLOOKUP(tblSalaries[[#This Row],[Currency]],[1]!tblXrate[#Data],2,FALSE)</f>
        <v>90000</v>
      </c>
      <c r="F196" t="s">
        <v>1059</v>
      </c>
      <c r="G196" t="s">
        <v>807</v>
      </c>
      <c r="H196" t="s">
        <v>15</v>
      </c>
      <c r="I196" t="str">
        <f>VLOOKUP(tblSalaries[[#This Row],[Where do you work]],[1]!tblCountries[[Actual]:[Mapping]],2,FALSE)</f>
        <v>USA</v>
      </c>
      <c r="J196" t="s">
        <v>799</v>
      </c>
    </row>
    <row r="197" spans="1:10" x14ac:dyDescent="0.2">
      <c r="A197" t="s">
        <v>1183</v>
      </c>
      <c r="B197" s="59">
        <v>41055.036828703705</v>
      </c>
      <c r="C197">
        <v>275000</v>
      </c>
      <c r="D197" t="s">
        <v>824</v>
      </c>
      <c r="E197">
        <f>tblSalaries[[#This Row],[clean Salary (in local currency)]]*VLOOKUP(tblSalaries[[#This Row],[Currency]],[1]!tblXrate[#Data],2,FALSE)</f>
        <v>4897.177089046706</v>
      </c>
      <c r="F197" t="s">
        <v>1184</v>
      </c>
      <c r="G197" t="s">
        <v>788</v>
      </c>
      <c r="H197" t="s">
        <v>117</v>
      </c>
      <c r="I197" t="str">
        <f>VLOOKUP(tblSalaries[[#This Row],[Where do you work]],[1]!tblCountries[[Actual]:[Mapping]],2,FALSE)</f>
        <v>India</v>
      </c>
      <c r="J197" t="s">
        <v>799</v>
      </c>
    </row>
    <row r="198" spans="1:10" x14ac:dyDescent="0.2">
      <c r="A198" t="s">
        <v>1185</v>
      </c>
      <c r="B198" s="59">
        <v>41055.03701388889</v>
      </c>
      <c r="C198">
        <v>192000</v>
      </c>
      <c r="D198" t="s">
        <v>824</v>
      </c>
      <c r="E198">
        <f>tblSalaries[[#This Row],[clean Salary (in local currency)]]*VLOOKUP(tblSalaries[[#This Row],[Currency]],[1]!tblXrate[#Data],2,FALSE)</f>
        <v>3419.1200039889732</v>
      </c>
      <c r="F198" t="s">
        <v>1186</v>
      </c>
      <c r="G198" t="s">
        <v>788</v>
      </c>
      <c r="H198" t="s">
        <v>117</v>
      </c>
      <c r="I198" t="str">
        <f>VLOOKUP(tblSalaries[[#This Row],[Where do you work]],[1]!tblCountries[[Actual]:[Mapping]],2,FALSE)</f>
        <v>India</v>
      </c>
      <c r="J198" t="s">
        <v>794</v>
      </c>
    </row>
    <row r="199" spans="1:10" x14ac:dyDescent="0.2">
      <c r="A199" t="s">
        <v>1187</v>
      </c>
      <c r="B199" s="59">
        <v>41055.037233796298</v>
      </c>
      <c r="C199">
        <v>51000</v>
      </c>
      <c r="D199" t="s">
        <v>786</v>
      </c>
      <c r="E199">
        <f>tblSalaries[[#This Row],[clean Salary (in local currency)]]*VLOOKUP(tblSalaries[[#This Row],[Currency]],[1]!tblXrate[#Data],2,FALSE)</f>
        <v>51000</v>
      </c>
      <c r="F199" t="s">
        <v>1188</v>
      </c>
      <c r="G199" t="s">
        <v>807</v>
      </c>
      <c r="H199" t="s">
        <v>15</v>
      </c>
      <c r="I199" t="str">
        <f>VLOOKUP(tblSalaries[[#This Row],[Where do you work]],[1]!tblCountries[[Actual]:[Mapping]],2,FALSE)</f>
        <v>USA</v>
      </c>
      <c r="J199" t="s">
        <v>789</v>
      </c>
    </row>
    <row r="200" spans="1:10" x14ac:dyDescent="0.2">
      <c r="A200" t="s">
        <v>1189</v>
      </c>
      <c r="B200" s="59">
        <v>41055.037291666667</v>
      </c>
      <c r="C200">
        <v>100000</v>
      </c>
      <c r="D200" t="s">
        <v>786</v>
      </c>
      <c r="E200">
        <f>tblSalaries[[#This Row],[clean Salary (in local currency)]]*VLOOKUP(tblSalaries[[#This Row],[Currency]],[1]!tblXrate[#Data],2,FALSE)</f>
        <v>100000</v>
      </c>
      <c r="F200" t="s">
        <v>1190</v>
      </c>
      <c r="G200" t="s">
        <v>807</v>
      </c>
      <c r="H200" t="s">
        <v>15</v>
      </c>
      <c r="I200" t="str">
        <f>VLOOKUP(tblSalaries[[#This Row],[Where do you work]],[1]!tblCountries[[Actual]:[Mapping]],2,FALSE)</f>
        <v>USA</v>
      </c>
      <c r="J200" t="s">
        <v>794</v>
      </c>
    </row>
    <row r="201" spans="1:10" x14ac:dyDescent="0.2">
      <c r="A201" t="s">
        <v>1191</v>
      </c>
      <c r="B201" s="59">
        <v>41055.03733796296</v>
      </c>
      <c r="C201">
        <v>1800000</v>
      </c>
      <c r="D201" t="s">
        <v>824</v>
      </c>
      <c r="E201">
        <f>tblSalaries[[#This Row],[clean Salary (in local currency)]]*VLOOKUP(tblSalaries[[#This Row],[Currency]],[1]!tblXrate[#Data],2,FALSE)</f>
        <v>32054.250037396621</v>
      </c>
      <c r="F201" t="s">
        <v>1192</v>
      </c>
      <c r="G201" t="s">
        <v>807</v>
      </c>
      <c r="H201" t="s">
        <v>117</v>
      </c>
      <c r="I201" t="str">
        <f>VLOOKUP(tblSalaries[[#This Row],[Where do you work]],[1]!tblCountries[[Actual]:[Mapping]],2,FALSE)</f>
        <v>India</v>
      </c>
      <c r="J201" t="s">
        <v>808</v>
      </c>
    </row>
    <row r="202" spans="1:10" x14ac:dyDescent="0.2">
      <c r="A202" t="s">
        <v>1193</v>
      </c>
      <c r="B202" s="59">
        <v>41055.037638888891</v>
      </c>
      <c r="C202">
        <v>30000</v>
      </c>
      <c r="D202" t="s">
        <v>861</v>
      </c>
      <c r="E202">
        <f>tblSalaries[[#This Row],[clean Salary (in local currency)]]*VLOOKUP(tblSalaries[[#This Row],[Currency]],[1]!tblXrate[#Data],2,FALSE)</f>
        <v>47285.348162018527</v>
      </c>
      <c r="F202" t="s">
        <v>1194</v>
      </c>
      <c r="G202" t="s">
        <v>788</v>
      </c>
      <c r="H202" t="s">
        <v>863</v>
      </c>
      <c r="I202" t="str">
        <f>VLOOKUP(tblSalaries[[#This Row],[Where do you work]],[1]!tblCountries[[Actual]:[Mapping]],2,FALSE)</f>
        <v>UK</v>
      </c>
      <c r="J202" t="s">
        <v>799</v>
      </c>
    </row>
    <row r="203" spans="1:10" x14ac:dyDescent="0.2">
      <c r="A203" t="s">
        <v>1195</v>
      </c>
      <c r="B203" s="59">
        <v>41055.037662037037</v>
      </c>
      <c r="C203">
        <v>50000</v>
      </c>
      <c r="D203" t="s">
        <v>805</v>
      </c>
      <c r="E203">
        <f>tblSalaries[[#This Row],[clean Salary (in local currency)]]*VLOOKUP(tblSalaries[[#This Row],[Currency]],[1]!tblXrate[#Data],2,FALSE)</f>
        <v>63519.971949580387</v>
      </c>
      <c r="F203" t="s">
        <v>984</v>
      </c>
      <c r="G203" t="s">
        <v>788</v>
      </c>
      <c r="H203" t="s">
        <v>351</v>
      </c>
      <c r="I203" t="str">
        <f>VLOOKUP(tblSalaries[[#This Row],[Where do you work]],[1]!tblCountries[[Actual]:[Mapping]],2,FALSE)</f>
        <v>Ireland</v>
      </c>
      <c r="J203" t="s">
        <v>789</v>
      </c>
    </row>
    <row r="204" spans="1:10" x14ac:dyDescent="0.2">
      <c r="A204" t="s">
        <v>1196</v>
      </c>
      <c r="B204" s="59">
        <v>41055.037685185183</v>
      </c>
      <c r="C204">
        <v>108160</v>
      </c>
      <c r="D204" t="s">
        <v>786</v>
      </c>
      <c r="E204">
        <f>tblSalaries[[#This Row],[clean Salary (in local currency)]]*VLOOKUP(tblSalaries[[#This Row],[Currency]],[1]!tblXrate[#Data],2,FALSE)</f>
        <v>108160</v>
      </c>
      <c r="F204" t="s">
        <v>1197</v>
      </c>
      <c r="G204" t="s">
        <v>788</v>
      </c>
      <c r="H204" t="s">
        <v>15</v>
      </c>
      <c r="I204" t="str">
        <f>VLOOKUP(tblSalaries[[#This Row],[Where do you work]],[1]!tblCountries[[Actual]:[Mapping]],2,FALSE)</f>
        <v>USA</v>
      </c>
      <c r="J204" t="s">
        <v>789</v>
      </c>
    </row>
    <row r="205" spans="1:10" x14ac:dyDescent="0.2">
      <c r="A205" t="s">
        <v>1198</v>
      </c>
      <c r="B205" s="59">
        <v>41055.037812499999</v>
      </c>
      <c r="C205">
        <v>50000</v>
      </c>
      <c r="D205" t="s">
        <v>786</v>
      </c>
      <c r="E205">
        <f>tblSalaries[[#This Row],[clean Salary (in local currency)]]*VLOOKUP(tblSalaries[[#This Row],[Currency]],[1]!tblXrate[#Data],2,FALSE)</f>
        <v>50000</v>
      </c>
      <c r="F205" t="s">
        <v>1199</v>
      </c>
      <c r="G205" t="s">
        <v>807</v>
      </c>
      <c r="H205" t="s">
        <v>15</v>
      </c>
      <c r="I205" t="str">
        <f>VLOOKUP(tblSalaries[[#This Row],[Where do you work]],[1]!tblCountries[[Actual]:[Mapping]],2,FALSE)</f>
        <v>USA</v>
      </c>
      <c r="J205" t="s">
        <v>789</v>
      </c>
    </row>
    <row r="206" spans="1:10" x14ac:dyDescent="0.2">
      <c r="A206" t="s">
        <v>1200</v>
      </c>
      <c r="B206" s="59">
        <v>41055.037824074076</v>
      </c>
      <c r="C206">
        <v>400000</v>
      </c>
      <c r="D206" t="s">
        <v>786</v>
      </c>
      <c r="E206">
        <f>tblSalaries[[#This Row],[clean Salary (in local currency)]]*VLOOKUP(tblSalaries[[#This Row],[Currency]],[1]!tblXrate[#Data],2,FALSE)</f>
        <v>400000</v>
      </c>
      <c r="F206" t="s">
        <v>1201</v>
      </c>
      <c r="G206" t="s">
        <v>807</v>
      </c>
      <c r="H206" t="s">
        <v>15</v>
      </c>
      <c r="I206" t="str">
        <f>VLOOKUP(tblSalaries[[#This Row],[Where do you work]],[1]!tblCountries[[Actual]:[Mapping]],2,FALSE)</f>
        <v>USA</v>
      </c>
      <c r="J206" t="s">
        <v>808</v>
      </c>
    </row>
    <row r="207" spans="1:10" x14ac:dyDescent="0.2">
      <c r="A207" t="s">
        <v>1202</v>
      </c>
      <c r="B207" s="59">
        <v>41055.037974537037</v>
      </c>
      <c r="C207">
        <v>43000</v>
      </c>
      <c r="D207" t="s">
        <v>786</v>
      </c>
      <c r="E207">
        <f>tblSalaries[[#This Row],[clean Salary (in local currency)]]*VLOOKUP(tblSalaries[[#This Row],[Currency]],[1]!tblXrate[#Data],2,FALSE)</f>
        <v>43000</v>
      </c>
      <c r="F207" t="s">
        <v>1203</v>
      </c>
      <c r="G207" t="s">
        <v>788</v>
      </c>
      <c r="H207" t="s">
        <v>15</v>
      </c>
      <c r="I207" t="str">
        <f>VLOOKUP(tblSalaries[[#This Row],[Where do you work]],[1]!tblCountries[[Actual]:[Mapping]],2,FALSE)</f>
        <v>USA</v>
      </c>
      <c r="J207" t="s">
        <v>794</v>
      </c>
    </row>
    <row r="208" spans="1:10" x14ac:dyDescent="0.2">
      <c r="A208" t="s">
        <v>1204</v>
      </c>
      <c r="B208" s="59">
        <v>41055.038032407407</v>
      </c>
      <c r="C208">
        <v>27000</v>
      </c>
      <c r="D208" t="s">
        <v>786</v>
      </c>
      <c r="E208">
        <f>tblSalaries[[#This Row],[clean Salary (in local currency)]]*VLOOKUP(tblSalaries[[#This Row],[Currency]],[1]!tblXrate[#Data],2,FALSE)</f>
        <v>27000</v>
      </c>
      <c r="F208" t="s">
        <v>1205</v>
      </c>
      <c r="G208" t="s">
        <v>788</v>
      </c>
      <c r="H208" t="s">
        <v>283</v>
      </c>
      <c r="I208" t="str">
        <f>VLOOKUP(tblSalaries[[#This Row],[Where do you work]],[1]!tblCountries[[Actual]:[Mapping]],2,FALSE)</f>
        <v>Singapore</v>
      </c>
      <c r="J208" t="s">
        <v>794</v>
      </c>
    </row>
    <row r="209" spans="1:10" x14ac:dyDescent="0.2">
      <c r="A209" t="s">
        <v>1206</v>
      </c>
      <c r="B209" s="59">
        <v>41055.038148148145</v>
      </c>
      <c r="C209">
        <v>41000</v>
      </c>
      <c r="D209" t="s">
        <v>786</v>
      </c>
      <c r="E209">
        <f>tblSalaries[[#This Row],[clean Salary (in local currency)]]*VLOOKUP(tblSalaries[[#This Row],[Currency]],[1]!tblXrate[#Data],2,FALSE)</f>
        <v>41000</v>
      </c>
      <c r="F209" t="s">
        <v>1207</v>
      </c>
      <c r="G209" t="s">
        <v>807</v>
      </c>
      <c r="H209" t="s">
        <v>15</v>
      </c>
      <c r="I209" t="str">
        <f>VLOOKUP(tblSalaries[[#This Row],[Where do you work]],[1]!tblCountries[[Actual]:[Mapping]],2,FALSE)</f>
        <v>USA</v>
      </c>
      <c r="J209" t="s">
        <v>794</v>
      </c>
    </row>
    <row r="210" spans="1:10" x14ac:dyDescent="0.2">
      <c r="A210" t="s">
        <v>1208</v>
      </c>
      <c r="B210" s="59">
        <v>41055.038263888891</v>
      </c>
      <c r="C210">
        <v>100000</v>
      </c>
      <c r="D210" t="s">
        <v>786</v>
      </c>
      <c r="E210">
        <f>tblSalaries[[#This Row],[clean Salary (in local currency)]]*VLOOKUP(tblSalaries[[#This Row],[Currency]],[1]!tblXrate[#Data],2,FALSE)</f>
        <v>100000</v>
      </c>
      <c r="F210" t="s">
        <v>1209</v>
      </c>
      <c r="G210" t="s">
        <v>813</v>
      </c>
      <c r="H210" t="s">
        <v>15</v>
      </c>
      <c r="I210" t="str">
        <f>VLOOKUP(tblSalaries[[#This Row],[Where do you work]],[1]!tblCountries[[Actual]:[Mapping]],2,FALSE)</f>
        <v>USA</v>
      </c>
      <c r="J210" t="s">
        <v>789</v>
      </c>
    </row>
    <row r="211" spans="1:10" x14ac:dyDescent="0.2">
      <c r="A211" t="s">
        <v>1210</v>
      </c>
      <c r="B211" s="59">
        <v>41055.038773148146</v>
      </c>
      <c r="C211">
        <v>42140</v>
      </c>
      <c r="D211" t="s">
        <v>786</v>
      </c>
      <c r="E211">
        <f>tblSalaries[[#This Row],[clean Salary (in local currency)]]*VLOOKUP(tblSalaries[[#This Row],[Currency]],[1]!tblXrate[#Data],2,FALSE)</f>
        <v>42140</v>
      </c>
      <c r="F211" t="s">
        <v>1211</v>
      </c>
      <c r="G211" t="s">
        <v>788</v>
      </c>
      <c r="H211" t="s">
        <v>15</v>
      </c>
      <c r="I211" t="str">
        <f>VLOOKUP(tblSalaries[[#This Row],[Where do you work]],[1]!tblCountries[[Actual]:[Mapping]],2,FALSE)</f>
        <v>USA</v>
      </c>
      <c r="J211" t="s">
        <v>789</v>
      </c>
    </row>
    <row r="212" spans="1:10" x14ac:dyDescent="0.2">
      <c r="A212" t="s">
        <v>1212</v>
      </c>
      <c r="B212" s="59">
        <v>41055.038958333331</v>
      </c>
      <c r="C212">
        <v>80000</v>
      </c>
      <c r="D212" t="s">
        <v>786</v>
      </c>
      <c r="E212">
        <f>tblSalaries[[#This Row],[clean Salary (in local currency)]]*VLOOKUP(tblSalaries[[#This Row],[Currency]],[1]!tblXrate[#Data],2,FALSE)</f>
        <v>80000</v>
      </c>
      <c r="F212" t="s">
        <v>959</v>
      </c>
      <c r="G212" t="s">
        <v>788</v>
      </c>
      <c r="H212" t="s">
        <v>15</v>
      </c>
      <c r="I212" t="str">
        <f>VLOOKUP(tblSalaries[[#This Row],[Where do you work]],[1]!tblCountries[[Actual]:[Mapping]],2,FALSE)</f>
        <v>USA</v>
      </c>
      <c r="J212" t="s">
        <v>789</v>
      </c>
    </row>
    <row r="213" spans="1:10" x14ac:dyDescent="0.2">
      <c r="A213" t="s">
        <v>1213</v>
      </c>
      <c r="B213" s="59">
        <v>41055.039317129631</v>
      </c>
      <c r="C213">
        <v>41600</v>
      </c>
      <c r="D213" t="s">
        <v>786</v>
      </c>
      <c r="E213">
        <f>tblSalaries[[#This Row],[clean Salary (in local currency)]]*VLOOKUP(tblSalaries[[#This Row],[Currency]],[1]!tblXrate[#Data],2,FALSE)</f>
        <v>41600</v>
      </c>
      <c r="F213" t="s">
        <v>1059</v>
      </c>
      <c r="G213" t="s">
        <v>807</v>
      </c>
      <c r="H213" t="s">
        <v>15</v>
      </c>
      <c r="I213" t="str">
        <f>VLOOKUP(tblSalaries[[#This Row],[Where do you work]],[1]!tblCountries[[Actual]:[Mapping]],2,FALSE)</f>
        <v>USA</v>
      </c>
      <c r="J213" t="s">
        <v>789</v>
      </c>
    </row>
    <row r="214" spans="1:10" x14ac:dyDescent="0.2">
      <c r="A214" t="s">
        <v>1214</v>
      </c>
      <c r="B214" s="59">
        <v>41055.039317129631</v>
      </c>
      <c r="C214">
        <v>45000</v>
      </c>
      <c r="D214" t="s">
        <v>786</v>
      </c>
      <c r="E214">
        <f>tblSalaries[[#This Row],[clean Salary (in local currency)]]*VLOOKUP(tblSalaries[[#This Row],[Currency]],[1]!tblXrate[#Data],2,FALSE)</f>
        <v>45000</v>
      </c>
      <c r="F214" t="s">
        <v>1215</v>
      </c>
      <c r="G214" t="s">
        <v>817</v>
      </c>
      <c r="H214" t="s">
        <v>15</v>
      </c>
      <c r="I214" t="str">
        <f>VLOOKUP(tblSalaries[[#This Row],[Where do you work]],[1]!tblCountries[[Actual]:[Mapping]],2,FALSE)</f>
        <v>USA</v>
      </c>
      <c r="J214" t="s">
        <v>799</v>
      </c>
    </row>
    <row r="215" spans="1:10" x14ac:dyDescent="0.2">
      <c r="A215" t="s">
        <v>1216</v>
      </c>
      <c r="B215" s="59">
        <v>41055.039513888885</v>
      </c>
      <c r="C215">
        <v>78000</v>
      </c>
      <c r="D215" t="s">
        <v>786</v>
      </c>
      <c r="E215">
        <f>tblSalaries[[#This Row],[clean Salary (in local currency)]]*VLOOKUP(tblSalaries[[#This Row],[Currency]],[1]!tblXrate[#Data],2,FALSE)</f>
        <v>78000</v>
      </c>
      <c r="F215" t="s">
        <v>1217</v>
      </c>
      <c r="G215" t="s">
        <v>817</v>
      </c>
      <c r="H215" t="s">
        <v>1218</v>
      </c>
      <c r="I215" t="str">
        <f>VLOOKUP(tblSalaries[[#This Row],[Where do you work]],[1]!tblCountries[[Actual]:[Mapping]],2,FALSE)</f>
        <v>Bermuda</v>
      </c>
      <c r="J215" t="s">
        <v>789</v>
      </c>
    </row>
    <row r="216" spans="1:10" x14ac:dyDescent="0.2">
      <c r="A216" t="s">
        <v>1219</v>
      </c>
      <c r="B216" s="59">
        <v>41055.039826388886</v>
      </c>
      <c r="C216">
        <v>500000</v>
      </c>
      <c r="D216" t="s">
        <v>824</v>
      </c>
      <c r="E216">
        <f>tblSalaries[[#This Row],[clean Salary (in local currency)]]*VLOOKUP(tblSalaries[[#This Row],[Currency]],[1]!tblXrate[#Data],2,FALSE)</f>
        <v>8903.9583437212841</v>
      </c>
      <c r="F216" t="s">
        <v>1059</v>
      </c>
      <c r="G216" t="s">
        <v>807</v>
      </c>
      <c r="H216" t="s">
        <v>117</v>
      </c>
      <c r="I216" t="str">
        <f>VLOOKUP(tblSalaries[[#This Row],[Where do you work]],[1]!tblCountries[[Actual]:[Mapping]],2,FALSE)</f>
        <v>India</v>
      </c>
      <c r="J216" t="s">
        <v>789</v>
      </c>
    </row>
    <row r="217" spans="1:10" x14ac:dyDescent="0.2">
      <c r="A217" t="s">
        <v>1220</v>
      </c>
      <c r="B217" s="59">
        <v>41055.039988425924</v>
      </c>
      <c r="C217">
        <v>350000</v>
      </c>
      <c r="D217" t="s">
        <v>824</v>
      </c>
      <c r="E217">
        <f>tblSalaries[[#This Row],[clean Salary (in local currency)]]*VLOOKUP(tblSalaries[[#This Row],[Currency]],[1]!tblXrate[#Data],2,FALSE)</f>
        <v>6232.7708406048987</v>
      </c>
      <c r="F217" t="s">
        <v>1221</v>
      </c>
      <c r="G217" t="s">
        <v>817</v>
      </c>
      <c r="H217" t="s">
        <v>117</v>
      </c>
      <c r="I217" t="str">
        <f>VLOOKUP(tblSalaries[[#This Row],[Where do you work]],[1]!tblCountries[[Actual]:[Mapping]],2,FALSE)</f>
        <v>India</v>
      </c>
      <c r="J217" t="s">
        <v>789</v>
      </c>
    </row>
    <row r="218" spans="1:10" x14ac:dyDescent="0.2">
      <c r="A218" t="s">
        <v>1222</v>
      </c>
      <c r="B218" s="59">
        <v>41055.040092592593</v>
      </c>
      <c r="C218">
        <v>72500</v>
      </c>
      <c r="D218" t="s">
        <v>786</v>
      </c>
      <c r="E218">
        <f>tblSalaries[[#This Row],[clean Salary (in local currency)]]*VLOOKUP(tblSalaries[[#This Row],[Currency]],[1]!tblXrate[#Data],2,FALSE)</f>
        <v>72500</v>
      </c>
      <c r="F218" t="s">
        <v>1223</v>
      </c>
      <c r="G218" t="s">
        <v>792</v>
      </c>
      <c r="H218" t="s">
        <v>15</v>
      </c>
      <c r="I218" t="str">
        <f>VLOOKUP(tblSalaries[[#This Row],[Where do you work]],[1]!tblCountries[[Actual]:[Mapping]],2,FALSE)</f>
        <v>USA</v>
      </c>
      <c r="J218" t="s">
        <v>789</v>
      </c>
    </row>
    <row r="219" spans="1:10" x14ac:dyDescent="0.2">
      <c r="A219" t="s">
        <v>1224</v>
      </c>
      <c r="B219" s="59">
        <v>41055.040185185186</v>
      </c>
      <c r="C219">
        <v>138000</v>
      </c>
      <c r="D219" t="s">
        <v>786</v>
      </c>
      <c r="E219">
        <f>tblSalaries[[#This Row],[clean Salary (in local currency)]]*VLOOKUP(tblSalaries[[#This Row],[Currency]],[1]!tblXrate[#Data],2,FALSE)</f>
        <v>138000</v>
      </c>
      <c r="F219" t="s">
        <v>1225</v>
      </c>
      <c r="G219" t="s">
        <v>802</v>
      </c>
      <c r="H219" t="s">
        <v>308</v>
      </c>
      <c r="I219" t="str">
        <f>VLOOKUP(tblSalaries[[#This Row],[Where do you work]],[1]!tblCountries[[Actual]:[Mapping]],2,FALSE)</f>
        <v>Thailand</v>
      </c>
      <c r="J219" t="s">
        <v>789</v>
      </c>
    </row>
    <row r="220" spans="1:10" x14ac:dyDescent="0.2">
      <c r="A220" t="s">
        <v>1226</v>
      </c>
      <c r="B220" s="59">
        <v>41055.040312500001</v>
      </c>
      <c r="C220">
        <v>480000</v>
      </c>
      <c r="D220" t="s">
        <v>824</v>
      </c>
      <c r="E220">
        <f>tblSalaries[[#This Row],[clean Salary (in local currency)]]*VLOOKUP(tblSalaries[[#This Row],[Currency]],[1]!tblXrate[#Data],2,FALSE)</f>
        <v>8547.8000099724322</v>
      </c>
      <c r="F220" t="s">
        <v>1227</v>
      </c>
      <c r="G220" t="s">
        <v>807</v>
      </c>
      <c r="H220" t="s">
        <v>117</v>
      </c>
      <c r="I220" t="str">
        <f>VLOOKUP(tblSalaries[[#This Row],[Where do you work]],[1]!tblCountries[[Actual]:[Mapping]],2,FALSE)</f>
        <v>India</v>
      </c>
      <c r="J220" t="s">
        <v>789</v>
      </c>
    </row>
    <row r="221" spans="1:10" x14ac:dyDescent="0.2">
      <c r="A221" t="s">
        <v>1228</v>
      </c>
      <c r="B221" s="59">
        <v>41055.040335648147</v>
      </c>
      <c r="C221">
        <v>80000</v>
      </c>
      <c r="D221" t="s">
        <v>786</v>
      </c>
      <c r="E221">
        <f>tblSalaries[[#This Row],[clean Salary (in local currency)]]*VLOOKUP(tblSalaries[[#This Row],[Currency]],[1]!tblXrate[#Data],2,FALSE)</f>
        <v>80000</v>
      </c>
      <c r="F221" t="s">
        <v>914</v>
      </c>
      <c r="G221" t="s">
        <v>788</v>
      </c>
      <c r="H221" t="s">
        <v>15</v>
      </c>
      <c r="I221" t="str">
        <f>VLOOKUP(tblSalaries[[#This Row],[Where do you work]],[1]!tblCountries[[Actual]:[Mapping]],2,FALSE)</f>
        <v>USA</v>
      </c>
      <c r="J221" t="s">
        <v>789</v>
      </c>
    </row>
    <row r="222" spans="1:10" x14ac:dyDescent="0.2">
      <c r="A222" t="s">
        <v>1229</v>
      </c>
      <c r="B222" s="59">
        <v>41055.040347222224</v>
      </c>
      <c r="C222">
        <v>50000</v>
      </c>
      <c r="D222" t="s">
        <v>786</v>
      </c>
      <c r="E222">
        <f>tblSalaries[[#This Row],[clean Salary (in local currency)]]*VLOOKUP(tblSalaries[[#This Row],[Currency]],[1]!tblXrate[#Data],2,FALSE)</f>
        <v>50000</v>
      </c>
      <c r="F222" t="s">
        <v>1059</v>
      </c>
      <c r="G222" t="s">
        <v>807</v>
      </c>
      <c r="H222" t="s">
        <v>15</v>
      </c>
      <c r="I222" t="str">
        <f>VLOOKUP(tblSalaries[[#This Row],[Where do you work]],[1]!tblCountries[[Actual]:[Mapping]],2,FALSE)</f>
        <v>USA</v>
      </c>
      <c r="J222" t="s">
        <v>789</v>
      </c>
    </row>
    <row r="223" spans="1:10" x14ac:dyDescent="0.2">
      <c r="A223" t="s">
        <v>1230</v>
      </c>
      <c r="B223" s="59">
        <v>41055.040393518517</v>
      </c>
      <c r="C223">
        <v>45000</v>
      </c>
      <c r="D223" t="s">
        <v>882</v>
      </c>
      <c r="E223">
        <f>tblSalaries[[#This Row],[clean Salary (in local currency)]]*VLOOKUP(tblSalaries[[#This Row],[Currency]],[1]!tblXrate[#Data],2,FALSE)</f>
        <v>44251.268536364711</v>
      </c>
      <c r="F223" t="s">
        <v>1231</v>
      </c>
      <c r="G223" t="s">
        <v>820</v>
      </c>
      <c r="H223" t="s">
        <v>143</v>
      </c>
      <c r="I223" t="str">
        <f>VLOOKUP(tblSalaries[[#This Row],[Where do you work]],[1]!tblCountries[[Actual]:[Mapping]],2,FALSE)</f>
        <v>Canada</v>
      </c>
      <c r="J223" t="s">
        <v>808</v>
      </c>
    </row>
    <row r="224" spans="1:10" x14ac:dyDescent="0.2">
      <c r="A224" t="s">
        <v>1232</v>
      </c>
      <c r="B224" s="59">
        <v>41055.040532407409</v>
      </c>
      <c r="C224">
        <v>43000</v>
      </c>
      <c r="D224" t="s">
        <v>861</v>
      </c>
      <c r="E224">
        <f>tblSalaries[[#This Row],[clean Salary (in local currency)]]*VLOOKUP(tblSalaries[[#This Row],[Currency]],[1]!tblXrate[#Data],2,FALSE)</f>
        <v>67775.665698893223</v>
      </c>
      <c r="F224" t="s">
        <v>1233</v>
      </c>
      <c r="G224" t="s">
        <v>807</v>
      </c>
      <c r="H224" t="s">
        <v>863</v>
      </c>
      <c r="I224" t="str">
        <f>VLOOKUP(tblSalaries[[#This Row],[Where do you work]],[1]!tblCountries[[Actual]:[Mapping]],2,FALSE)</f>
        <v>UK</v>
      </c>
      <c r="J224" t="s">
        <v>799</v>
      </c>
    </row>
    <row r="225" spans="1:10" x14ac:dyDescent="0.2">
      <c r="A225" t="s">
        <v>1234</v>
      </c>
      <c r="B225" s="59">
        <v>41055.040925925925</v>
      </c>
      <c r="C225">
        <v>200000</v>
      </c>
      <c r="D225" t="s">
        <v>824</v>
      </c>
      <c r="E225">
        <f>tblSalaries[[#This Row],[clean Salary (in local currency)]]*VLOOKUP(tblSalaries[[#This Row],[Currency]],[1]!tblXrate[#Data],2,FALSE)</f>
        <v>3561.5833374885137</v>
      </c>
      <c r="F225" t="s">
        <v>1235</v>
      </c>
      <c r="G225" t="s">
        <v>788</v>
      </c>
      <c r="H225" t="s">
        <v>117</v>
      </c>
      <c r="I225" t="str">
        <f>VLOOKUP(tblSalaries[[#This Row],[Where do you work]],[1]!tblCountries[[Actual]:[Mapping]],2,FALSE)</f>
        <v>India</v>
      </c>
      <c r="J225" t="s">
        <v>808</v>
      </c>
    </row>
    <row r="226" spans="1:10" x14ac:dyDescent="0.2">
      <c r="A226" t="s">
        <v>1236</v>
      </c>
      <c r="B226" s="59">
        <v>41055.041006944448</v>
      </c>
      <c r="C226">
        <v>65000</v>
      </c>
      <c r="D226" t="s">
        <v>786</v>
      </c>
      <c r="E226">
        <f>tblSalaries[[#This Row],[clean Salary (in local currency)]]*VLOOKUP(tblSalaries[[#This Row],[Currency]],[1]!tblXrate[#Data],2,FALSE)</f>
        <v>65000</v>
      </c>
      <c r="F226" t="s">
        <v>1237</v>
      </c>
      <c r="G226" t="s">
        <v>820</v>
      </c>
      <c r="H226" t="s">
        <v>15</v>
      </c>
      <c r="I226" t="str">
        <f>VLOOKUP(tblSalaries[[#This Row],[Where do you work]],[1]!tblCountries[[Actual]:[Mapping]],2,FALSE)</f>
        <v>USA</v>
      </c>
      <c r="J226" t="s">
        <v>799</v>
      </c>
    </row>
    <row r="227" spans="1:10" x14ac:dyDescent="0.2">
      <c r="A227" t="s">
        <v>1238</v>
      </c>
      <c r="B227" s="59">
        <v>41055.041076388887</v>
      </c>
      <c r="C227">
        <v>114000</v>
      </c>
      <c r="D227" t="s">
        <v>786</v>
      </c>
      <c r="E227">
        <f>tblSalaries[[#This Row],[clean Salary (in local currency)]]*VLOOKUP(tblSalaries[[#This Row],[Currency]],[1]!tblXrate[#Data],2,FALSE)</f>
        <v>114000</v>
      </c>
      <c r="F227" t="s">
        <v>963</v>
      </c>
      <c r="G227" t="s">
        <v>813</v>
      </c>
      <c r="H227" t="s">
        <v>15</v>
      </c>
      <c r="I227" t="str">
        <f>VLOOKUP(tblSalaries[[#This Row],[Where do you work]],[1]!tblCountries[[Actual]:[Mapping]],2,FALSE)</f>
        <v>USA</v>
      </c>
      <c r="J227" t="s">
        <v>799</v>
      </c>
    </row>
    <row r="228" spans="1:10" x14ac:dyDescent="0.2">
      <c r="A228" t="s">
        <v>1239</v>
      </c>
      <c r="B228" s="59">
        <v>41055.041284722225</v>
      </c>
      <c r="C228">
        <v>95000</v>
      </c>
      <c r="D228" t="s">
        <v>786</v>
      </c>
      <c r="E228">
        <f>tblSalaries[[#This Row],[clean Salary (in local currency)]]*VLOOKUP(tblSalaries[[#This Row],[Currency]],[1]!tblXrate[#Data],2,FALSE)</f>
        <v>95000</v>
      </c>
      <c r="F228" t="s">
        <v>1240</v>
      </c>
      <c r="G228" t="s">
        <v>813</v>
      </c>
      <c r="H228" t="s">
        <v>15</v>
      </c>
      <c r="I228" t="str">
        <f>VLOOKUP(tblSalaries[[#This Row],[Where do you work]],[1]!tblCountries[[Actual]:[Mapping]],2,FALSE)</f>
        <v>USA</v>
      </c>
      <c r="J228" t="s">
        <v>789</v>
      </c>
    </row>
    <row r="229" spans="1:10" x14ac:dyDescent="0.2">
      <c r="A229" t="s">
        <v>1241</v>
      </c>
      <c r="B229" s="59">
        <v>41055.042256944442</v>
      </c>
      <c r="C229">
        <v>52500</v>
      </c>
      <c r="D229" t="s">
        <v>786</v>
      </c>
      <c r="E229">
        <f>tblSalaries[[#This Row],[clean Salary (in local currency)]]*VLOOKUP(tblSalaries[[#This Row],[Currency]],[1]!tblXrate[#Data],2,FALSE)</f>
        <v>52500</v>
      </c>
      <c r="F229" t="s">
        <v>1242</v>
      </c>
      <c r="G229" t="s">
        <v>788</v>
      </c>
      <c r="H229" t="s">
        <v>15</v>
      </c>
      <c r="I229" t="str">
        <f>VLOOKUP(tblSalaries[[#This Row],[Where do you work]],[1]!tblCountries[[Actual]:[Mapping]],2,FALSE)</f>
        <v>USA</v>
      </c>
      <c r="J229" t="s">
        <v>789</v>
      </c>
    </row>
    <row r="230" spans="1:10" x14ac:dyDescent="0.2">
      <c r="A230" t="s">
        <v>1243</v>
      </c>
      <c r="B230" s="59">
        <v>41055.042395833334</v>
      </c>
      <c r="C230">
        <v>45000</v>
      </c>
      <c r="D230" t="s">
        <v>861</v>
      </c>
      <c r="E230">
        <f>tblSalaries[[#This Row],[clean Salary (in local currency)]]*VLOOKUP(tblSalaries[[#This Row],[Currency]],[1]!tblXrate[#Data],2,FALSE)</f>
        <v>70928.022243027779</v>
      </c>
      <c r="F230" t="s">
        <v>1244</v>
      </c>
      <c r="G230" t="s">
        <v>807</v>
      </c>
      <c r="H230" t="s">
        <v>863</v>
      </c>
      <c r="I230" t="str">
        <f>VLOOKUP(tblSalaries[[#This Row],[Where do you work]],[1]!tblCountries[[Actual]:[Mapping]],2,FALSE)</f>
        <v>UK</v>
      </c>
      <c r="J230" t="s">
        <v>799</v>
      </c>
    </row>
    <row r="231" spans="1:10" x14ac:dyDescent="0.2">
      <c r="A231" t="s">
        <v>1245</v>
      </c>
      <c r="B231" s="59">
        <v>41055.042731481481</v>
      </c>
      <c r="C231">
        <v>60000</v>
      </c>
      <c r="D231" t="s">
        <v>786</v>
      </c>
      <c r="E231">
        <f>tblSalaries[[#This Row],[clean Salary (in local currency)]]*VLOOKUP(tblSalaries[[#This Row],[Currency]],[1]!tblXrate[#Data],2,FALSE)</f>
        <v>60000</v>
      </c>
      <c r="F231" t="s">
        <v>1246</v>
      </c>
      <c r="G231" t="s">
        <v>788</v>
      </c>
      <c r="H231" t="s">
        <v>15</v>
      </c>
      <c r="I231" t="str">
        <f>VLOOKUP(tblSalaries[[#This Row],[Where do you work]],[1]!tblCountries[[Actual]:[Mapping]],2,FALSE)</f>
        <v>USA</v>
      </c>
      <c r="J231" t="s">
        <v>789</v>
      </c>
    </row>
    <row r="232" spans="1:10" x14ac:dyDescent="0.2">
      <c r="A232" t="s">
        <v>1247</v>
      </c>
      <c r="B232" s="59">
        <v>41055.04310185185</v>
      </c>
      <c r="C232">
        <v>65250</v>
      </c>
      <c r="D232" t="s">
        <v>786</v>
      </c>
      <c r="E232">
        <f>tblSalaries[[#This Row],[clean Salary (in local currency)]]*VLOOKUP(tblSalaries[[#This Row],[Currency]],[1]!tblXrate[#Data],2,FALSE)</f>
        <v>65250</v>
      </c>
      <c r="F232" t="s">
        <v>817</v>
      </c>
      <c r="G232" t="s">
        <v>817</v>
      </c>
      <c r="H232" t="s">
        <v>15</v>
      </c>
      <c r="I232" t="str">
        <f>VLOOKUP(tblSalaries[[#This Row],[Where do you work]],[1]!tblCountries[[Actual]:[Mapping]],2,FALSE)</f>
        <v>USA</v>
      </c>
      <c r="J232" t="s">
        <v>789</v>
      </c>
    </row>
    <row r="233" spans="1:10" x14ac:dyDescent="0.2">
      <c r="A233" t="s">
        <v>1248</v>
      </c>
      <c r="B233" s="59">
        <v>41055.043136574073</v>
      </c>
      <c r="C233">
        <v>1200000</v>
      </c>
      <c r="D233" t="s">
        <v>824</v>
      </c>
      <c r="E233">
        <f>tblSalaries[[#This Row],[clean Salary (in local currency)]]*VLOOKUP(tblSalaries[[#This Row],[Currency]],[1]!tblXrate[#Data],2,FALSE)</f>
        <v>21369.500024931083</v>
      </c>
      <c r="F233" t="s">
        <v>1249</v>
      </c>
      <c r="G233" t="s">
        <v>807</v>
      </c>
      <c r="H233" t="s">
        <v>117</v>
      </c>
      <c r="I233" t="str">
        <f>VLOOKUP(tblSalaries[[#This Row],[Where do you work]],[1]!tblCountries[[Actual]:[Mapping]],2,FALSE)</f>
        <v>India</v>
      </c>
      <c r="J233" t="s">
        <v>799</v>
      </c>
    </row>
    <row r="234" spans="1:10" x14ac:dyDescent="0.2">
      <c r="A234" t="s">
        <v>1250</v>
      </c>
      <c r="B234" s="59">
        <v>41055.043171296296</v>
      </c>
      <c r="C234">
        <v>100000</v>
      </c>
      <c r="D234" t="s">
        <v>882</v>
      </c>
      <c r="E234">
        <f>tblSalaries[[#This Row],[clean Salary (in local currency)]]*VLOOKUP(tblSalaries[[#This Row],[Currency]],[1]!tblXrate[#Data],2,FALSE)</f>
        <v>98336.152303032693</v>
      </c>
      <c r="F234" t="s">
        <v>1251</v>
      </c>
      <c r="G234" t="s">
        <v>807</v>
      </c>
      <c r="H234" t="s">
        <v>143</v>
      </c>
      <c r="I234" t="str">
        <f>VLOOKUP(tblSalaries[[#This Row],[Where do you work]],[1]!tblCountries[[Actual]:[Mapping]],2,FALSE)</f>
        <v>Canada</v>
      </c>
      <c r="J234" t="s">
        <v>799</v>
      </c>
    </row>
    <row r="235" spans="1:10" x14ac:dyDescent="0.2">
      <c r="A235" t="s">
        <v>1252</v>
      </c>
      <c r="B235" s="59">
        <v>41055.043240740742</v>
      </c>
      <c r="C235">
        <v>12000</v>
      </c>
      <c r="D235" t="s">
        <v>805</v>
      </c>
      <c r="E235">
        <f>tblSalaries[[#This Row],[clean Salary (in local currency)]]*VLOOKUP(tblSalaries[[#This Row],[Currency]],[1]!tblXrate[#Data],2,FALSE)</f>
        <v>15244.793267899293</v>
      </c>
      <c r="F235" t="s">
        <v>1253</v>
      </c>
      <c r="G235" t="s">
        <v>820</v>
      </c>
      <c r="H235" t="s">
        <v>256</v>
      </c>
      <c r="I235" t="str">
        <f>VLOOKUP(tblSalaries[[#This Row],[Where do you work]],[1]!tblCountries[[Actual]:[Mapping]],2,FALSE)</f>
        <v>Portugal</v>
      </c>
      <c r="J235" t="s">
        <v>794</v>
      </c>
    </row>
    <row r="236" spans="1:10" x14ac:dyDescent="0.2">
      <c r="A236" t="s">
        <v>1254</v>
      </c>
      <c r="B236" s="59">
        <v>41055.043298611112</v>
      </c>
      <c r="C236">
        <v>73000</v>
      </c>
      <c r="D236" t="s">
        <v>786</v>
      </c>
      <c r="E236">
        <f>tblSalaries[[#This Row],[clean Salary (in local currency)]]*VLOOKUP(tblSalaries[[#This Row],[Currency]],[1]!tblXrate[#Data],2,FALSE)</f>
        <v>73000</v>
      </c>
      <c r="F236" t="s">
        <v>796</v>
      </c>
      <c r="G236" t="s">
        <v>788</v>
      </c>
      <c r="H236" t="s">
        <v>15</v>
      </c>
      <c r="I236" t="str">
        <f>VLOOKUP(tblSalaries[[#This Row],[Where do you work]],[1]!tblCountries[[Actual]:[Mapping]],2,FALSE)</f>
        <v>USA</v>
      </c>
      <c r="J236" t="s">
        <v>789</v>
      </c>
    </row>
    <row r="237" spans="1:10" x14ac:dyDescent="0.2">
      <c r="A237" t="s">
        <v>1255</v>
      </c>
      <c r="B237" s="59">
        <v>41055.043599537035</v>
      </c>
      <c r="C237">
        <v>50000</v>
      </c>
      <c r="D237" t="s">
        <v>786</v>
      </c>
      <c r="E237">
        <f>tblSalaries[[#This Row],[clean Salary (in local currency)]]*VLOOKUP(tblSalaries[[#This Row],[Currency]],[1]!tblXrate[#Data],2,FALSE)</f>
        <v>50000</v>
      </c>
      <c r="F237" t="s">
        <v>1081</v>
      </c>
      <c r="G237" t="s">
        <v>788</v>
      </c>
      <c r="H237" t="s">
        <v>15</v>
      </c>
      <c r="I237" t="str">
        <f>VLOOKUP(tblSalaries[[#This Row],[Where do you work]],[1]!tblCountries[[Actual]:[Mapping]],2,FALSE)</f>
        <v>USA</v>
      </c>
      <c r="J237" t="s">
        <v>794</v>
      </c>
    </row>
    <row r="238" spans="1:10" x14ac:dyDescent="0.2">
      <c r="A238" t="s">
        <v>1256</v>
      </c>
      <c r="B238" s="59">
        <v>41055.043645833335</v>
      </c>
      <c r="C238">
        <v>79000</v>
      </c>
      <c r="D238" t="s">
        <v>786</v>
      </c>
      <c r="E238">
        <f>tblSalaries[[#This Row],[clean Salary (in local currency)]]*VLOOKUP(tblSalaries[[#This Row],[Currency]],[1]!tblXrate[#Data],2,FALSE)</f>
        <v>79000</v>
      </c>
      <c r="F238" t="s">
        <v>1257</v>
      </c>
      <c r="G238" t="s">
        <v>817</v>
      </c>
      <c r="H238" t="s">
        <v>15</v>
      </c>
      <c r="I238" t="str">
        <f>VLOOKUP(tblSalaries[[#This Row],[Where do you work]],[1]!tblCountries[[Actual]:[Mapping]],2,FALSE)</f>
        <v>USA</v>
      </c>
      <c r="J238" t="s">
        <v>799</v>
      </c>
    </row>
    <row r="239" spans="1:10" x14ac:dyDescent="0.2">
      <c r="A239" t="s">
        <v>1258</v>
      </c>
      <c r="B239" s="59">
        <v>41055.04383101852</v>
      </c>
      <c r="C239">
        <v>90000</v>
      </c>
      <c r="D239" t="s">
        <v>786</v>
      </c>
      <c r="E239">
        <f>tblSalaries[[#This Row],[clean Salary (in local currency)]]*VLOOKUP(tblSalaries[[#This Row],[Currency]],[1]!tblXrate[#Data],2,FALSE)</f>
        <v>90000</v>
      </c>
      <c r="F239" t="s">
        <v>1259</v>
      </c>
      <c r="G239" t="s">
        <v>807</v>
      </c>
      <c r="H239" t="s">
        <v>15</v>
      </c>
      <c r="I239" t="str">
        <f>VLOOKUP(tblSalaries[[#This Row],[Where do you work]],[1]!tblCountries[[Actual]:[Mapping]],2,FALSE)</f>
        <v>USA</v>
      </c>
      <c r="J239" t="s">
        <v>789</v>
      </c>
    </row>
    <row r="240" spans="1:10" x14ac:dyDescent="0.2">
      <c r="A240" t="s">
        <v>1260</v>
      </c>
      <c r="B240" s="59">
        <v>41055.044074074074</v>
      </c>
      <c r="C240">
        <v>70000</v>
      </c>
      <c r="D240" t="s">
        <v>786</v>
      </c>
      <c r="E240">
        <f>tblSalaries[[#This Row],[clean Salary (in local currency)]]*VLOOKUP(tblSalaries[[#This Row],[Currency]],[1]!tblXrate[#Data],2,FALSE)</f>
        <v>70000</v>
      </c>
      <c r="F240" t="s">
        <v>1261</v>
      </c>
      <c r="G240" t="s">
        <v>807</v>
      </c>
      <c r="H240" t="s">
        <v>15</v>
      </c>
      <c r="I240" t="str">
        <f>VLOOKUP(tblSalaries[[#This Row],[Where do you work]],[1]!tblCountries[[Actual]:[Mapping]],2,FALSE)</f>
        <v>USA</v>
      </c>
      <c r="J240" t="s">
        <v>799</v>
      </c>
    </row>
    <row r="241" spans="1:10" x14ac:dyDescent="0.2">
      <c r="A241" t="s">
        <v>1262</v>
      </c>
      <c r="B241" s="59">
        <v>41055.04414351852</v>
      </c>
      <c r="C241">
        <v>65000</v>
      </c>
      <c r="D241" t="s">
        <v>882</v>
      </c>
      <c r="E241">
        <f>tblSalaries[[#This Row],[clean Salary (in local currency)]]*VLOOKUP(tblSalaries[[#This Row],[Currency]],[1]!tblXrate[#Data],2,FALSE)</f>
        <v>63918.498996971248</v>
      </c>
      <c r="F241" t="s">
        <v>1263</v>
      </c>
      <c r="G241" t="s">
        <v>807</v>
      </c>
      <c r="H241" t="s">
        <v>143</v>
      </c>
      <c r="I241" t="str">
        <f>VLOOKUP(tblSalaries[[#This Row],[Where do you work]],[1]!tblCountries[[Actual]:[Mapping]],2,FALSE)</f>
        <v>Canada</v>
      </c>
      <c r="J241" t="s">
        <v>789</v>
      </c>
    </row>
    <row r="242" spans="1:10" x14ac:dyDescent="0.2">
      <c r="A242" t="s">
        <v>1264</v>
      </c>
      <c r="B242" s="59">
        <v>41055.044351851851</v>
      </c>
      <c r="C242">
        <v>80000</v>
      </c>
      <c r="D242" t="s">
        <v>786</v>
      </c>
      <c r="E242">
        <f>tblSalaries[[#This Row],[clean Salary (in local currency)]]*VLOOKUP(tblSalaries[[#This Row],[Currency]],[1]!tblXrate[#Data],2,FALSE)</f>
        <v>80000</v>
      </c>
      <c r="F242" t="s">
        <v>788</v>
      </c>
      <c r="G242" t="s">
        <v>788</v>
      </c>
      <c r="H242" t="s">
        <v>15</v>
      </c>
      <c r="I242" t="str">
        <f>VLOOKUP(tblSalaries[[#This Row],[Where do you work]],[1]!tblCountries[[Actual]:[Mapping]],2,FALSE)</f>
        <v>USA</v>
      </c>
      <c r="J242" t="s">
        <v>789</v>
      </c>
    </row>
    <row r="243" spans="1:10" x14ac:dyDescent="0.2">
      <c r="A243" t="s">
        <v>1265</v>
      </c>
      <c r="B243" s="59">
        <v>41055.044374999998</v>
      </c>
      <c r="C243">
        <v>140000</v>
      </c>
      <c r="D243" t="s">
        <v>786</v>
      </c>
      <c r="E243">
        <f>tblSalaries[[#This Row],[clean Salary (in local currency)]]*VLOOKUP(tblSalaries[[#This Row],[Currency]],[1]!tblXrate[#Data],2,FALSE)</f>
        <v>140000</v>
      </c>
      <c r="F243" t="s">
        <v>807</v>
      </c>
      <c r="G243" t="s">
        <v>807</v>
      </c>
      <c r="H243" t="s">
        <v>15</v>
      </c>
      <c r="I243" t="str">
        <f>VLOOKUP(tblSalaries[[#This Row],[Where do you work]],[1]!tblCountries[[Actual]:[Mapping]],2,FALSE)</f>
        <v>USA</v>
      </c>
      <c r="J243" t="s">
        <v>789</v>
      </c>
    </row>
    <row r="244" spans="1:10" x14ac:dyDescent="0.2">
      <c r="A244" t="s">
        <v>1266</v>
      </c>
      <c r="B244" s="59">
        <v>41055.044594907406</v>
      </c>
      <c r="C244">
        <v>96000</v>
      </c>
      <c r="D244" t="s">
        <v>786</v>
      </c>
      <c r="E244">
        <f>tblSalaries[[#This Row],[clean Salary (in local currency)]]*VLOOKUP(tblSalaries[[#This Row],[Currency]],[1]!tblXrate[#Data],2,FALSE)</f>
        <v>96000</v>
      </c>
      <c r="F244" t="s">
        <v>1267</v>
      </c>
      <c r="G244" t="s">
        <v>867</v>
      </c>
      <c r="H244" t="s">
        <v>254</v>
      </c>
      <c r="I244" t="str">
        <f>VLOOKUP(tblSalaries[[#This Row],[Where do you work]],[1]!tblCountries[[Actual]:[Mapping]],2,FALSE)</f>
        <v>Poland</v>
      </c>
      <c r="J244" t="s">
        <v>799</v>
      </c>
    </row>
    <row r="245" spans="1:10" x14ac:dyDescent="0.2">
      <c r="A245" t="s">
        <v>1268</v>
      </c>
      <c r="B245" s="59">
        <v>41055.044641203705</v>
      </c>
      <c r="C245">
        <v>20000</v>
      </c>
      <c r="D245" t="s">
        <v>786</v>
      </c>
      <c r="E245">
        <f>tblSalaries[[#This Row],[clean Salary (in local currency)]]*VLOOKUP(tblSalaries[[#This Row],[Currency]],[1]!tblXrate[#Data],2,FALSE)</f>
        <v>20000</v>
      </c>
      <c r="F245" t="s">
        <v>1269</v>
      </c>
      <c r="G245" t="s">
        <v>807</v>
      </c>
      <c r="H245" t="s">
        <v>117</v>
      </c>
      <c r="I245" t="str">
        <f>VLOOKUP(tblSalaries[[#This Row],[Where do you work]],[1]!tblCountries[[Actual]:[Mapping]],2,FALSE)</f>
        <v>India</v>
      </c>
      <c r="J245" t="s">
        <v>789</v>
      </c>
    </row>
    <row r="246" spans="1:10" x14ac:dyDescent="0.2">
      <c r="A246" t="s">
        <v>1270</v>
      </c>
      <c r="B246" s="59">
        <v>41055.045023148145</v>
      </c>
      <c r="C246">
        <v>47700</v>
      </c>
      <c r="D246" t="s">
        <v>786</v>
      </c>
      <c r="E246">
        <f>tblSalaries[[#This Row],[clean Salary (in local currency)]]*VLOOKUP(tblSalaries[[#This Row],[Currency]],[1]!tblXrate[#Data],2,FALSE)</f>
        <v>47700</v>
      </c>
      <c r="F246" t="s">
        <v>1271</v>
      </c>
      <c r="G246" t="s">
        <v>788</v>
      </c>
      <c r="H246" t="s">
        <v>15</v>
      </c>
      <c r="I246" t="str">
        <f>VLOOKUP(tblSalaries[[#This Row],[Where do you work]],[1]!tblCountries[[Actual]:[Mapping]],2,FALSE)</f>
        <v>USA</v>
      </c>
      <c r="J246" t="s">
        <v>789</v>
      </c>
    </row>
    <row r="247" spans="1:10" x14ac:dyDescent="0.2">
      <c r="A247" t="s">
        <v>1272</v>
      </c>
      <c r="B247" s="59">
        <v>41055.045300925929</v>
      </c>
      <c r="C247">
        <v>25000</v>
      </c>
      <c r="D247" t="s">
        <v>786</v>
      </c>
      <c r="E247">
        <f>tblSalaries[[#This Row],[clean Salary (in local currency)]]*VLOOKUP(tblSalaries[[#This Row],[Currency]],[1]!tblXrate[#Data],2,FALSE)</f>
        <v>25000</v>
      </c>
      <c r="F247" t="s">
        <v>890</v>
      </c>
      <c r="G247" t="s">
        <v>807</v>
      </c>
      <c r="H247" t="s">
        <v>117</v>
      </c>
      <c r="I247" t="str">
        <f>VLOOKUP(tblSalaries[[#This Row],[Where do you work]],[1]!tblCountries[[Actual]:[Mapping]],2,FALSE)</f>
        <v>India</v>
      </c>
      <c r="J247" t="s">
        <v>808</v>
      </c>
    </row>
    <row r="248" spans="1:10" x14ac:dyDescent="0.2">
      <c r="A248" t="s">
        <v>1273</v>
      </c>
      <c r="B248" s="59">
        <v>41055.045347222222</v>
      </c>
      <c r="C248">
        <v>52500</v>
      </c>
      <c r="D248" t="s">
        <v>786</v>
      </c>
      <c r="E248">
        <f>tblSalaries[[#This Row],[clean Salary (in local currency)]]*VLOOKUP(tblSalaries[[#This Row],[Currency]],[1]!tblXrate[#Data],2,FALSE)</f>
        <v>52500</v>
      </c>
      <c r="F248" t="s">
        <v>788</v>
      </c>
      <c r="G248" t="s">
        <v>788</v>
      </c>
      <c r="H248" t="s">
        <v>15</v>
      </c>
      <c r="I248" t="str">
        <f>VLOOKUP(tblSalaries[[#This Row],[Where do you work]],[1]!tblCountries[[Actual]:[Mapping]],2,FALSE)</f>
        <v>USA</v>
      </c>
      <c r="J248" t="s">
        <v>789</v>
      </c>
    </row>
    <row r="249" spans="1:10" x14ac:dyDescent="0.2">
      <c r="A249" t="s">
        <v>1274</v>
      </c>
      <c r="B249" s="59">
        <v>41055.045451388891</v>
      </c>
      <c r="C249">
        <v>40000</v>
      </c>
      <c r="D249" t="s">
        <v>786</v>
      </c>
      <c r="E249">
        <f>tblSalaries[[#This Row],[clean Salary (in local currency)]]*VLOOKUP(tblSalaries[[#This Row],[Currency]],[1]!tblXrate[#Data],2,FALSE)</f>
        <v>40000</v>
      </c>
      <c r="F249" t="s">
        <v>1070</v>
      </c>
      <c r="G249" t="s">
        <v>788</v>
      </c>
      <c r="H249" t="s">
        <v>15</v>
      </c>
      <c r="I249" t="str">
        <f>VLOOKUP(tblSalaries[[#This Row],[Where do you work]],[1]!tblCountries[[Actual]:[Mapping]],2,FALSE)</f>
        <v>USA</v>
      </c>
      <c r="J249" t="s">
        <v>794</v>
      </c>
    </row>
    <row r="250" spans="1:10" x14ac:dyDescent="0.2">
      <c r="A250" t="s">
        <v>1275</v>
      </c>
      <c r="B250" s="59">
        <v>41055.045856481483</v>
      </c>
      <c r="C250">
        <v>31000</v>
      </c>
      <c r="D250" t="s">
        <v>786</v>
      </c>
      <c r="E250">
        <f>tblSalaries[[#This Row],[clean Salary (in local currency)]]*VLOOKUP(tblSalaries[[#This Row],[Currency]],[1]!tblXrate[#Data],2,FALSE)</f>
        <v>31000</v>
      </c>
      <c r="F250" t="s">
        <v>1276</v>
      </c>
      <c r="G250" t="s">
        <v>788</v>
      </c>
      <c r="H250" t="s">
        <v>15</v>
      </c>
      <c r="I250" t="str">
        <f>VLOOKUP(tblSalaries[[#This Row],[Where do you work]],[1]!tblCountries[[Actual]:[Mapping]],2,FALSE)</f>
        <v>USA</v>
      </c>
      <c r="J250" t="s">
        <v>789</v>
      </c>
    </row>
    <row r="251" spans="1:10" x14ac:dyDescent="0.2">
      <c r="A251" t="s">
        <v>1277</v>
      </c>
      <c r="B251" s="59">
        <v>41055.045972222222</v>
      </c>
      <c r="C251">
        <v>52680</v>
      </c>
      <c r="D251" t="s">
        <v>861</v>
      </c>
      <c r="E251">
        <f>tblSalaries[[#This Row],[clean Salary (in local currency)]]*VLOOKUP(tblSalaries[[#This Row],[Currency]],[1]!tblXrate[#Data],2,FALSE)</f>
        <v>83033.071372504521</v>
      </c>
      <c r="F251" t="s">
        <v>1278</v>
      </c>
      <c r="G251" t="s">
        <v>867</v>
      </c>
      <c r="H251" t="s">
        <v>863</v>
      </c>
      <c r="I251" t="str">
        <f>VLOOKUP(tblSalaries[[#This Row],[Where do you work]],[1]!tblCountries[[Actual]:[Mapping]],2,FALSE)</f>
        <v>UK</v>
      </c>
      <c r="J251" t="s">
        <v>794</v>
      </c>
    </row>
    <row r="252" spans="1:10" x14ac:dyDescent="0.2">
      <c r="A252" t="s">
        <v>1279</v>
      </c>
      <c r="B252" s="59">
        <v>41055.04619212963</v>
      </c>
      <c r="C252">
        <v>130000</v>
      </c>
      <c r="D252" t="s">
        <v>786</v>
      </c>
      <c r="E252">
        <f>tblSalaries[[#This Row],[clean Salary (in local currency)]]*VLOOKUP(tblSalaries[[#This Row],[Currency]],[1]!tblXrate[#Data],2,FALSE)</f>
        <v>130000</v>
      </c>
      <c r="F252" t="s">
        <v>1280</v>
      </c>
      <c r="G252" t="s">
        <v>807</v>
      </c>
      <c r="H252" t="s">
        <v>15</v>
      </c>
      <c r="I252" t="str">
        <f>VLOOKUP(tblSalaries[[#This Row],[Where do you work]],[1]!tblCountries[[Actual]:[Mapping]],2,FALSE)</f>
        <v>USA</v>
      </c>
      <c r="J252" t="s">
        <v>789</v>
      </c>
    </row>
    <row r="253" spans="1:10" x14ac:dyDescent="0.2">
      <c r="A253" t="s">
        <v>1281</v>
      </c>
      <c r="B253" s="59">
        <v>41055.046273148146</v>
      </c>
      <c r="C253">
        <v>470000</v>
      </c>
      <c r="D253" t="s">
        <v>824</v>
      </c>
      <c r="E253">
        <f>tblSalaries[[#This Row],[clean Salary (in local currency)]]*VLOOKUP(tblSalaries[[#This Row],[Currency]],[1]!tblXrate[#Data],2,FALSE)</f>
        <v>8369.7208430980063</v>
      </c>
      <c r="F253" t="s">
        <v>1282</v>
      </c>
      <c r="G253" t="s">
        <v>788</v>
      </c>
      <c r="H253" t="s">
        <v>117</v>
      </c>
      <c r="I253" t="str">
        <f>VLOOKUP(tblSalaries[[#This Row],[Where do you work]],[1]!tblCountries[[Actual]:[Mapping]],2,FALSE)</f>
        <v>India</v>
      </c>
      <c r="J253" t="s">
        <v>794</v>
      </c>
    </row>
    <row r="254" spans="1:10" x14ac:dyDescent="0.2">
      <c r="A254" t="s">
        <v>1283</v>
      </c>
      <c r="B254" s="59">
        <v>41055.046550925923</v>
      </c>
      <c r="C254">
        <v>51000</v>
      </c>
      <c r="D254" t="s">
        <v>786</v>
      </c>
      <c r="E254">
        <f>tblSalaries[[#This Row],[clean Salary (in local currency)]]*VLOOKUP(tblSalaries[[#This Row],[Currency]],[1]!tblXrate[#Data],2,FALSE)</f>
        <v>51000</v>
      </c>
      <c r="F254" t="s">
        <v>1284</v>
      </c>
      <c r="G254" t="s">
        <v>788</v>
      </c>
      <c r="H254" t="s">
        <v>15</v>
      </c>
      <c r="I254" t="str">
        <f>VLOOKUP(tblSalaries[[#This Row],[Where do you work]],[1]!tblCountries[[Actual]:[Mapping]],2,FALSE)</f>
        <v>USA</v>
      </c>
      <c r="J254" t="s">
        <v>799</v>
      </c>
    </row>
    <row r="255" spans="1:10" x14ac:dyDescent="0.2">
      <c r="A255" t="s">
        <v>1285</v>
      </c>
      <c r="B255" s="59">
        <v>41055.046736111108</v>
      </c>
      <c r="C255">
        <v>60000</v>
      </c>
      <c r="D255" t="s">
        <v>861</v>
      </c>
      <c r="E255">
        <f>tblSalaries[[#This Row],[clean Salary (in local currency)]]*VLOOKUP(tblSalaries[[#This Row],[Currency]],[1]!tblXrate[#Data],2,FALSE)</f>
        <v>94570.696324037053</v>
      </c>
      <c r="F255" t="s">
        <v>1286</v>
      </c>
      <c r="G255" t="s">
        <v>788</v>
      </c>
      <c r="H255" t="s">
        <v>863</v>
      </c>
      <c r="I255" t="str">
        <f>VLOOKUP(tblSalaries[[#This Row],[Where do you work]],[1]!tblCountries[[Actual]:[Mapping]],2,FALSE)</f>
        <v>UK</v>
      </c>
      <c r="J255" t="s">
        <v>794</v>
      </c>
    </row>
    <row r="256" spans="1:10" x14ac:dyDescent="0.2">
      <c r="A256" t="s">
        <v>1287</v>
      </c>
      <c r="B256" s="59">
        <v>41055.047013888892</v>
      </c>
      <c r="C256">
        <v>1920000</v>
      </c>
      <c r="D256" t="s">
        <v>824</v>
      </c>
      <c r="E256">
        <f>tblSalaries[[#This Row],[clean Salary (in local currency)]]*VLOOKUP(tblSalaries[[#This Row],[Currency]],[1]!tblXrate[#Data],2,FALSE)</f>
        <v>34191.200039889729</v>
      </c>
      <c r="F256" t="s">
        <v>1059</v>
      </c>
      <c r="G256" t="s">
        <v>807</v>
      </c>
      <c r="H256" t="s">
        <v>117</v>
      </c>
      <c r="I256" t="str">
        <f>VLOOKUP(tblSalaries[[#This Row],[Where do you work]],[1]!tblCountries[[Actual]:[Mapping]],2,FALSE)</f>
        <v>India</v>
      </c>
      <c r="J256" t="s">
        <v>799</v>
      </c>
    </row>
    <row r="257" spans="1:10" x14ac:dyDescent="0.2">
      <c r="A257" t="s">
        <v>1288</v>
      </c>
      <c r="B257" s="59">
        <v>41055.047222222223</v>
      </c>
      <c r="C257">
        <v>28000</v>
      </c>
      <c r="D257" t="s">
        <v>861</v>
      </c>
      <c r="E257">
        <f>tblSalaries[[#This Row],[clean Salary (in local currency)]]*VLOOKUP(tblSalaries[[#This Row],[Currency]],[1]!tblXrate[#Data],2,FALSE)</f>
        <v>44132.991617883956</v>
      </c>
      <c r="F257" t="s">
        <v>1289</v>
      </c>
      <c r="G257" t="s">
        <v>788</v>
      </c>
      <c r="H257" t="s">
        <v>863</v>
      </c>
      <c r="I257" t="str">
        <f>VLOOKUP(tblSalaries[[#This Row],[Where do you work]],[1]!tblCountries[[Actual]:[Mapping]],2,FALSE)</f>
        <v>UK</v>
      </c>
      <c r="J257" t="s">
        <v>794</v>
      </c>
    </row>
    <row r="258" spans="1:10" x14ac:dyDescent="0.2">
      <c r="A258" t="s">
        <v>1290</v>
      </c>
      <c r="B258" s="59">
        <v>41055.047268518516</v>
      </c>
      <c r="C258">
        <v>73000</v>
      </c>
      <c r="D258" t="s">
        <v>786</v>
      </c>
      <c r="E258">
        <f>tblSalaries[[#This Row],[clean Salary (in local currency)]]*VLOOKUP(tblSalaries[[#This Row],[Currency]],[1]!tblXrate[#Data],2,FALSE)</f>
        <v>73000</v>
      </c>
      <c r="F258" t="s">
        <v>1291</v>
      </c>
      <c r="G258" t="s">
        <v>820</v>
      </c>
      <c r="H258" t="s">
        <v>15</v>
      </c>
      <c r="I258" t="str">
        <f>VLOOKUP(tblSalaries[[#This Row],[Where do you work]],[1]!tblCountries[[Actual]:[Mapping]],2,FALSE)</f>
        <v>USA</v>
      </c>
      <c r="J258" t="s">
        <v>789</v>
      </c>
    </row>
    <row r="259" spans="1:10" x14ac:dyDescent="0.2">
      <c r="A259" t="s">
        <v>1292</v>
      </c>
      <c r="B259" s="59">
        <v>41055.047442129631</v>
      </c>
      <c r="C259">
        <v>62400</v>
      </c>
      <c r="D259" t="s">
        <v>786</v>
      </c>
      <c r="E259">
        <f>tblSalaries[[#This Row],[clean Salary (in local currency)]]*VLOOKUP(tblSalaries[[#This Row],[Currency]],[1]!tblXrate[#Data],2,FALSE)</f>
        <v>62400</v>
      </c>
      <c r="F259" t="s">
        <v>1293</v>
      </c>
      <c r="G259" t="s">
        <v>817</v>
      </c>
      <c r="H259" t="s">
        <v>15</v>
      </c>
      <c r="I259" t="str">
        <f>VLOOKUP(tblSalaries[[#This Row],[Where do you work]],[1]!tblCountries[[Actual]:[Mapping]],2,FALSE)</f>
        <v>USA</v>
      </c>
      <c r="J259" t="s">
        <v>794</v>
      </c>
    </row>
    <row r="260" spans="1:10" x14ac:dyDescent="0.2">
      <c r="A260" t="s">
        <v>1294</v>
      </c>
      <c r="B260" s="59">
        <v>41055.047465277778</v>
      </c>
      <c r="C260">
        <v>27600</v>
      </c>
      <c r="D260" t="s">
        <v>786</v>
      </c>
      <c r="E260">
        <f>tblSalaries[[#This Row],[clean Salary (in local currency)]]*VLOOKUP(tblSalaries[[#This Row],[Currency]],[1]!tblXrate[#Data],2,FALSE)</f>
        <v>27600</v>
      </c>
      <c r="F260" t="s">
        <v>1295</v>
      </c>
      <c r="G260" t="s">
        <v>867</v>
      </c>
      <c r="H260" t="s">
        <v>283</v>
      </c>
      <c r="I260" t="str">
        <f>VLOOKUP(tblSalaries[[#This Row],[Where do you work]],[1]!tblCountries[[Actual]:[Mapping]],2,FALSE)</f>
        <v>Singapore</v>
      </c>
      <c r="J260" t="s">
        <v>794</v>
      </c>
    </row>
    <row r="261" spans="1:10" x14ac:dyDescent="0.2">
      <c r="A261" t="s">
        <v>1296</v>
      </c>
      <c r="B261" s="59">
        <v>41055.047627314816</v>
      </c>
      <c r="C261">
        <v>54000</v>
      </c>
      <c r="D261" t="s">
        <v>786</v>
      </c>
      <c r="E261">
        <f>tblSalaries[[#This Row],[clean Salary (in local currency)]]*VLOOKUP(tblSalaries[[#This Row],[Currency]],[1]!tblXrate[#Data],2,FALSE)</f>
        <v>54000</v>
      </c>
      <c r="F261" t="s">
        <v>1297</v>
      </c>
      <c r="G261" t="s">
        <v>807</v>
      </c>
      <c r="H261" t="s">
        <v>15</v>
      </c>
      <c r="I261" t="str">
        <f>VLOOKUP(tblSalaries[[#This Row],[Where do you work]],[1]!tblCountries[[Actual]:[Mapping]],2,FALSE)</f>
        <v>USA</v>
      </c>
      <c r="J261" t="s">
        <v>794</v>
      </c>
    </row>
    <row r="262" spans="1:10" x14ac:dyDescent="0.2">
      <c r="A262" t="s">
        <v>1298</v>
      </c>
      <c r="B262" s="59">
        <v>41055.047673611109</v>
      </c>
      <c r="C262">
        <v>276000</v>
      </c>
      <c r="D262" t="s">
        <v>824</v>
      </c>
      <c r="E262">
        <f>tblSalaries[[#This Row],[clean Salary (in local currency)]]*VLOOKUP(tblSalaries[[#This Row],[Currency]],[1]!tblXrate[#Data],2,FALSE)</f>
        <v>4914.9850057341491</v>
      </c>
      <c r="F262" t="s">
        <v>1158</v>
      </c>
      <c r="G262" t="s">
        <v>788</v>
      </c>
      <c r="H262" t="s">
        <v>117</v>
      </c>
      <c r="I262" t="str">
        <f>VLOOKUP(tblSalaries[[#This Row],[Where do you work]],[1]!tblCountries[[Actual]:[Mapping]],2,FALSE)</f>
        <v>India</v>
      </c>
      <c r="J262" t="s">
        <v>794</v>
      </c>
    </row>
    <row r="263" spans="1:10" x14ac:dyDescent="0.2">
      <c r="A263" t="s">
        <v>1299</v>
      </c>
      <c r="B263" s="59">
        <v>41055.047708333332</v>
      </c>
      <c r="C263">
        <v>77000</v>
      </c>
      <c r="D263" t="s">
        <v>786</v>
      </c>
      <c r="E263">
        <f>tblSalaries[[#This Row],[clean Salary (in local currency)]]*VLOOKUP(tblSalaries[[#This Row],[Currency]],[1]!tblXrate[#Data],2,FALSE)</f>
        <v>77000</v>
      </c>
      <c r="F263" t="s">
        <v>1300</v>
      </c>
      <c r="G263" t="s">
        <v>817</v>
      </c>
      <c r="H263" t="s">
        <v>15</v>
      </c>
      <c r="I263" t="str">
        <f>VLOOKUP(tblSalaries[[#This Row],[Where do you work]],[1]!tblCountries[[Actual]:[Mapping]],2,FALSE)</f>
        <v>USA</v>
      </c>
      <c r="J263" t="s">
        <v>789</v>
      </c>
    </row>
    <row r="264" spans="1:10" x14ac:dyDescent="0.2">
      <c r="A264" t="s">
        <v>1301</v>
      </c>
      <c r="B264" s="59">
        <v>41055.04792824074</v>
      </c>
      <c r="C264">
        <v>76000</v>
      </c>
      <c r="D264" t="s">
        <v>786</v>
      </c>
      <c r="E264">
        <f>tblSalaries[[#This Row],[clean Salary (in local currency)]]*VLOOKUP(tblSalaries[[#This Row],[Currency]],[1]!tblXrate[#Data],2,FALSE)</f>
        <v>76000</v>
      </c>
      <c r="F264" t="s">
        <v>1302</v>
      </c>
      <c r="G264" t="s">
        <v>807</v>
      </c>
      <c r="H264" t="s">
        <v>15</v>
      </c>
      <c r="I264" t="str">
        <f>VLOOKUP(tblSalaries[[#This Row],[Where do you work]],[1]!tblCountries[[Actual]:[Mapping]],2,FALSE)</f>
        <v>USA</v>
      </c>
      <c r="J264" t="s">
        <v>794</v>
      </c>
    </row>
    <row r="265" spans="1:10" x14ac:dyDescent="0.2">
      <c r="A265" t="s">
        <v>1303</v>
      </c>
      <c r="B265" s="59">
        <v>41055.04828703704</v>
      </c>
      <c r="C265">
        <v>103000</v>
      </c>
      <c r="D265" t="s">
        <v>786</v>
      </c>
      <c r="E265">
        <f>tblSalaries[[#This Row],[clean Salary (in local currency)]]*VLOOKUP(tblSalaries[[#This Row],[Currency]],[1]!tblXrate[#Data],2,FALSE)</f>
        <v>103000</v>
      </c>
      <c r="F265" t="s">
        <v>1304</v>
      </c>
      <c r="G265" t="s">
        <v>813</v>
      </c>
      <c r="H265" t="s">
        <v>15</v>
      </c>
      <c r="I265" t="str">
        <f>VLOOKUP(tblSalaries[[#This Row],[Where do you work]],[1]!tblCountries[[Actual]:[Mapping]],2,FALSE)</f>
        <v>USA</v>
      </c>
      <c r="J265" t="s">
        <v>799</v>
      </c>
    </row>
    <row r="266" spans="1:10" x14ac:dyDescent="0.2">
      <c r="A266" t="s">
        <v>1305</v>
      </c>
      <c r="B266" s="59">
        <v>41055.048310185186</v>
      </c>
      <c r="C266">
        <v>7600</v>
      </c>
      <c r="D266" t="s">
        <v>786</v>
      </c>
      <c r="E266">
        <f>tblSalaries[[#This Row],[clean Salary (in local currency)]]*VLOOKUP(tblSalaries[[#This Row],[Currency]],[1]!tblXrate[#Data],2,FALSE)</f>
        <v>7600</v>
      </c>
      <c r="F266" t="s">
        <v>1306</v>
      </c>
      <c r="G266" t="s">
        <v>820</v>
      </c>
      <c r="H266" t="s">
        <v>329</v>
      </c>
      <c r="I266" t="str">
        <f>VLOOKUP(tblSalaries[[#This Row],[Where do you work]],[1]!tblCountries[[Actual]:[Mapping]],2,FALSE)</f>
        <v>Ukraine</v>
      </c>
      <c r="J266" t="s">
        <v>808</v>
      </c>
    </row>
    <row r="267" spans="1:10" x14ac:dyDescent="0.2">
      <c r="A267" t="s">
        <v>1307</v>
      </c>
      <c r="B267" s="59">
        <v>41055.048564814817</v>
      </c>
      <c r="C267">
        <v>40000</v>
      </c>
      <c r="D267" t="s">
        <v>786</v>
      </c>
      <c r="E267">
        <f>tblSalaries[[#This Row],[clean Salary (in local currency)]]*VLOOKUP(tblSalaries[[#This Row],[Currency]],[1]!tblXrate[#Data],2,FALSE)</f>
        <v>40000</v>
      </c>
      <c r="F267" t="s">
        <v>1308</v>
      </c>
      <c r="G267" t="s">
        <v>788</v>
      </c>
      <c r="H267" t="s">
        <v>15</v>
      </c>
      <c r="I267" t="str">
        <f>VLOOKUP(tblSalaries[[#This Row],[Where do you work]],[1]!tblCountries[[Actual]:[Mapping]],2,FALSE)</f>
        <v>USA</v>
      </c>
      <c r="J267" t="s">
        <v>789</v>
      </c>
    </row>
    <row r="268" spans="1:10" x14ac:dyDescent="0.2">
      <c r="A268" t="s">
        <v>1309</v>
      </c>
      <c r="B268" s="59">
        <v>41055.048842592594</v>
      </c>
      <c r="C268">
        <v>80000</v>
      </c>
      <c r="D268" t="s">
        <v>786</v>
      </c>
      <c r="E268">
        <f>tblSalaries[[#This Row],[clean Salary (in local currency)]]*VLOOKUP(tblSalaries[[#This Row],[Currency]],[1]!tblXrate[#Data],2,FALSE)</f>
        <v>80000</v>
      </c>
      <c r="F268" t="s">
        <v>1310</v>
      </c>
      <c r="G268" t="s">
        <v>813</v>
      </c>
      <c r="H268" t="s">
        <v>15</v>
      </c>
      <c r="I268" t="str">
        <f>VLOOKUP(tblSalaries[[#This Row],[Where do you work]],[1]!tblCountries[[Actual]:[Mapping]],2,FALSE)</f>
        <v>USA</v>
      </c>
      <c r="J268" t="s">
        <v>799</v>
      </c>
    </row>
    <row r="269" spans="1:10" x14ac:dyDescent="0.2">
      <c r="A269" t="s">
        <v>1311</v>
      </c>
      <c r="B269" s="59">
        <v>41055.048888888887</v>
      </c>
      <c r="C269">
        <v>55000</v>
      </c>
      <c r="D269" t="s">
        <v>786</v>
      </c>
      <c r="E269">
        <f>tblSalaries[[#This Row],[clean Salary (in local currency)]]*VLOOKUP(tblSalaries[[#This Row],[Currency]],[1]!tblXrate[#Data],2,FALSE)</f>
        <v>55000</v>
      </c>
      <c r="F269" t="s">
        <v>1081</v>
      </c>
      <c r="G269" t="s">
        <v>788</v>
      </c>
      <c r="H269" t="s">
        <v>15</v>
      </c>
      <c r="I269" t="str">
        <f>VLOOKUP(tblSalaries[[#This Row],[Where do you work]],[1]!tblCountries[[Actual]:[Mapping]],2,FALSE)</f>
        <v>USA</v>
      </c>
      <c r="J269" t="s">
        <v>794</v>
      </c>
    </row>
    <row r="270" spans="1:10" x14ac:dyDescent="0.2">
      <c r="A270" t="s">
        <v>1312</v>
      </c>
      <c r="B270" s="59">
        <v>41055.049247685187</v>
      </c>
      <c r="C270">
        <v>99000</v>
      </c>
      <c r="D270" t="s">
        <v>786</v>
      </c>
      <c r="E270">
        <f>tblSalaries[[#This Row],[clean Salary (in local currency)]]*VLOOKUP(tblSalaries[[#This Row],[Currency]],[1]!tblXrate[#Data],2,FALSE)</f>
        <v>99000</v>
      </c>
      <c r="F270" t="s">
        <v>1070</v>
      </c>
      <c r="G270" t="s">
        <v>788</v>
      </c>
      <c r="H270" t="s">
        <v>15</v>
      </c>
      <c r="I270" t="str">
        <f>VLOOKUP(tblSalaries[[#This Row],[Where do you work]],[1]!tblCountries[[Actual]:[Mapping]],2,FALSE)</f>
        <v>USA</v>
      </c>
      <c r="J270" t="s">
        <v>799</v>
      </c>
    </row>
    <row r="271" spans="1:10" x14ac:dyDescent="0.2">
      <c r="A271" t="s">
        <v>1313</v>
      </c>
      <c r="B271" s="59">
        <v>41055.049259259256</v>
      </c>
      <c r="C271">
        <v>420000</v>
      </c>
      <c r="D271" t="s">
        <v>1314</v>
      </c>
      <c r="E271">
        <f>tblSalaries[[#This Row],[clean Salary (in local currency)]]*VLOOKUP(tblSalaries[[#This Row],[Currency]],[1]!tblXrate[#Data],2,FALSE)</f>
        <v>9956.1219482708348</v>
      </c>
      <c r="F271" t="s">
        <v>1315</v>
      </c>
      <c r="G271" t="s">
        <v>807</v>
      </c>
      <c r="H271" t="s">
        <v>252</v>
      </c>
      <c r="I271" t="str">
        <f>VLOOKUP(tblSalaries[[#This Row],[Where do you work]],[1]!tblCountries[[Actual]:[Mapping]],2,FALSE)</f>
        <v>Philippines</v>
      </c>
      <c r="J271" t="s">
        <v>789</v>
      </c>
    </row>
    <row r="272" spans="1:10" x14ac:dyDescent="0.2">
      <c r="A272" t="s">
        <v>1316</v>
      </c>
      <c r="B272" s="59">
        <v>41055.049444444441</v>
      </c>
      <c r="C272">
        <v>75000</v>
      </c>
      <c r="D272" t="s">
        <v>786</v>
      </c>
      <c r="E272">
        <f>tblSalaries[[#This Row],[clean Salary (in local currency)]]*VLOOKUP(tblSalaries[[#This Row],[Currency]],[1]!tblXrate[#Data],2,FALSE)</f>
        <v>75000</v>
      </c>
      <c r="F272" t="s">
        <v>996</v>
      </c>
      <c r="G272" t="s">
        <v>788</v>
      </c>
      <c r="H272" t="s">
        <v>15</v>
      </c>
      <c r="I272" t="str">
        <f>VLOOKUP(tblSalaries[[#This Row],[Where do you work]],[1]!tblCountries[[Actual]:[Mapping]],2,FALSE)</f>
        <v>USA</v>
      </c>
      <c r="J272" t="s">
        <v>789</v>
      </c>
    </row>
    <row r="273" spans="1:10" x14ac:dyDescent="0.2">
      <c r="A273" t="s">
        <v>1317</v>
      </c>
      <c r="B273" s="59">
        <v>41055.049930555557</v>
      </c>
      <c r="C273">
        <v>80000</v>
      </c>
      <c r="D273" t="s">
        <v>786</v>
      </c>
      <c r="E273">
        <f>tblSalaries[[#This Row],[clean Salary (in local currency)]]*VLOOKUP(tblSalaries[[#This Row],[Currency]],[1]!tblXrate[#Data],2,FALSE)</f>
        <v>80000</v>
      </c>
      <c r="F273" t="s">
        <v>1318</v>
      </c>
      <c r="G273" t="s">
        <v>807</v>
      </c>
      <c r="H273" t="s">
        <v>15</v>
      </c>
      <c r="I273" t="str">
        <f>VLOOKUP(tblSalaries[[#This Row],[Where do you work]],[1]!tblCountries[[Actual]:[Mapping]],2,FALSE)</f>
        <v>USA</v>
      </c>
      <c r="J273" t="s">
        <v>799</v>
      </c>
    </row>
    <row r="274" spans="1:10" x14ac:dyDescent="0.2">
      <c r="A274" t="s">
        <v>1319</v>
      </c>
      <c r="B274" s="59">
        <v>41055.050474537034</v>
      </c>
      <c r="C274">
        <v>20000</v>
      </c>
      <c r="D274" t="s">
        <v>786</v>
      </c>
      <c r="E274">
        <f>tblSalaries[[#This Row],[clean Salary (in local currency)]]*VLOOKUP(tblSalaries[[#This Row],[Currency]],[1]!tblXrate[#Data],2,FALSE)</f>
        <v>20000</v>
      </c>
      <c r="F274" t="s">
        <v>788</v>
      </c>
      <c r="G274" t="s">
        <v>788</v>
      </c>
      <c r="H274" t="s">
        <v>117</v>
      </c>
      <c r="I274" t="str">
        <f>VLOOKUP(tblSalaries[[#This Row],[Where do you work]],[1]!tblCountries[[Actual]:[Mapping]],2,FALSE)</f>
        <v>India</v>
      </c>
      <c r="J274" t="s">
        <v>794</v>
      </c>
    </row>
    <row r="275" spans="1:10" x14ac:dyDescent="0.2">
      <c r="A275" t="s">
        <v>1320</v>
      </c>
      <c r="B275" s="59">
        <v>41055.05127314815</v>
      </c>
      <c r="C275">
        <v>40000</v>
      </c>
      <c r="D275" t="s">
        <v>786</v>
      </c>
      <c r="E275">
        <f>tblSalaries[[#This Row],[clean Salary (in local currency)]]*VLOOKUP(tblSalaries[[#This Row],[Currency]],[1]!tblXrate[#Data],2,FALSE)</f>
        <v>40000</v>
      </c>
      <c r="F275" t="s">
        <v>1070</v>
      </c>
      <c r="G275" t="s">
        <v>788</v>
      </c>
      <c r="H275" t="s">
        <v>15</v>
      </c>
      <c r="I275" t="str">
        <f>VLOOKUP(tblSalaries[[#This Row],[Where do you work]],[1]!tblCountries[[Actual]:[Mapping]],2,FALSE)</f>
        <v>USA</v>
      </c>
      <c r="J275" t="s">
        <v>794</v>
      </c>
    </row>
    <row r="276" spans="1:10" x14ac:dyDescent="0.2">
      <c r="A276" t="s">
        <v>1321</v>
      </c>
      <c r="B276" s="59">
        <v>41055.051701388889</v>
      </c>
      <c r="C276">
        <v>46000</v>
      </c>
      <c r="D276" t="s">
        <v>786</v>
      </c>
      <c r="E276">
        <f>tblSalaries[[#This Row],[clean Salary (in local currency)]]*VLOOKUP(tblSalaries[[#This Row],[Currency]],[1]!tblXrate[#Data],2,FALSE)</f>
        <v>46000</v>
      </c>
      <c r="F276" t="s">
        <v>1322</v>
      </c>
      <c r="G276" t="s">
        <v>788</v>
      </c>
      <c r="H276" t="s">
        <v>15</v>
      </c>
      <c r="I276" t="str">
        <f>VLOOKUP(tblSalaries[[#This Row],[Where do you work]],[1]!tblCountries[[Actual]:[Mapping]],2,FALSE)</f>
        <v>USA</v>
      </c>
      <c r="J276" t="s">
        <v>794</v>
      </c>
    </row>
    <row r="277" spans="1:10" x14ac:dyDescent="0.2">
      <c r="A277" t="s">
        <v>1323</v>
      </c>
      <c r="B277" s="59">
        <v>41055.052025462966</v>
      </c>
      <c r="C277">
        <v>14000</v>
      </c>
      <c r="D277" t="s">
        <v>786</v>
      </c>
      <c r="E277">
        <f>tblSalaries[[#This Row],[clean Salary (in local currency)]]*VLOOKUP(tblSalaries[[#This Row],[Currency]],[1]!tblXrate[#Data],2,FALSE)</f>
        <v>14000</v>
      </c>
      <c r="F277" t="s">
        <v>1324</v>
      </c>
      <c r="G277" t="s">
        <v>788</v>
      </c>
      <c r="H277" t="s">
        <v>54</v>
      </c>
      <c r="I277" t="str">
        <f>VLOOKUP(tblSalaries[[#This Row],[Where do you work]],[1]!tblCountries[[Actual]:[Mapping]],2,FALSE)</f>
        <v>Brazil</v>
      </c>
      <c r="J277" t="s">
        <v>808</v>
      </c>
    </row>
    <row r="278" spans="1:10" x14ac:dyDescent="0.2">
      <c r="A278" t="s">
        <v>1325</v>
      </c>
      <c r="B278" s="59">
        <v>41055.052141203705</v>
      </c>
      <c r="C278">
        <v>70000</v>
      </c>
      <c r="D278" t="s">
        <v>786</v>
      </c>
      <c r="E278">
        <f>tblSalaries[[#This Row],[clean Salary (in local currency)]]*VLOOKUP(tblSalaries[[#This Row],[Currency]],[1]!tblXrate[#Data],2,FALSE)</f>
        <v>70000</v>
      </c>
      <c r="F278" t="s">
        <v>1326</v>
      </c>
      <c r="G278" t="s">
        <v>802</v>
      </c>
      <c r="H278" t="s">
        <v>15</v>
      </c>
      <c r="I278" t="str">
        <f>VLOOKUP(tblSalaries[[#This Row],[Where do you work]],[1]!tblCountries[[Actual]:[Mapping]],2,FALSE)</f>
        <v>USA</v>
      </c>
      <c r="J278" t="s">
        <v>794</v>
      </c>
    </row>
    <row r="279" spans="1:10" x14ac:dyDescent="0.2">
      <c r="A279" t="s">
        <v>1327</v>
      </c>
      <c r="B279" s="59">
        <v>41055.052222222221</v>
      </c>
      <c r="C279">
        <v>36000</v>
      </c>
      <c r="D279" t="s">
        <v>786</v>
      </c>
      <c r="E279">
        <f>tblSalaries[[#This Row],[clean Salary (in local currency)]]*VLOOKUP(tblSalaries[[#This Row],[Currency]],[1]!tblXrate[#Data],2,FALSE)</f>
        <v>36000</v>
      </c>
      <c r="F279" t="s">
        <v>1328</v>
      </c>
      <c r="G279" t="s">
        <v>820</v>
      </c>
      <c r="H279" t="s">
        <v>744</v>
      </c>
      <c r="I279" t="str">
        <f>VLOOKUP(tblSalaries[[#This Row],[Where do you work]],[1]!tblCountries[[Actual]:[Mapping]],2,FALSE)</f>
        <v>Russia</v>
      </c>
      <c r="J279" t="s">
        <v>789</v>
      </c>
    </row>
    <row r="280" spans="1:10" x14ac:dyDescent="0.2">
      <c r="A280" t="s">
        <v>1329</v>
      </c>
      <c r="B280" s="59">
        <v>41055.052372685182</v>
      </c>
      <c r="C280">
        <v>15000</v>
      </c>
      <c r="D280" t="s">
        <v>786</v>
      </c>
      <c r="E280">
        <f>tblSalaries[[#This Row],[clean Salary (in local currency)]]*VLOOKUP(tblSalaries[[#This Row],[Currency]],[1]!tblXrate[#Data],2,FALSE)</f>
        <v>15000</v>
      </c>
      <c r="F280" t="s">
        <v>1330</v>
      </c>
      <c r="G280" t="s">
        <v>807</v>
      </c>
      <c r="H280" t="s">
        <v>15</v>
      </c>
      <c r="I280" t="str">
        <f>VLOOKUP(tblSalaries[[#This Row],[Where do you work]],[1]!tblCountries[[Actual]:[Mapping]],2,FALSE)</f>
        <v>USA</v>
      </c>
      <c r="J280" t="s">
        <v>799</v>
      </c>
    </row>
    <row r="281" spans="1:10" x14ac:dyDescent="0.2">
      <c r="A281" t="s">
        <v>1331</v>
      </c>
      <c r="B281" s="59">
        <v>41055.052986111114</v>
      </c>
      <c r="C281">
        <v>1500000</v>
      </c>
      <c r="D281" t="s">
        <v>824</v>
      </c>
      <c r="E281">
        <f>tblSalaries[[#This Row],[clean Salary (in local currency)]]*VLOOKUP(tblSalaries[[#This Row],[Currency]],[1]!tblXrate[#Data],2,FALSE)</f>
        <v>26711.875031163851</v>
      </c>
      <c r="F281" t="s">
        <v>867</v>
      </c>
      <c r="G281" t="s">
        <v>867</v>
      </c>
      <c r="H281" t="s">
        <v>117</v>
      </c>
      <c r="I281" t="str">
        <f>VLOOKUP(tblSalaries[[#This Row],[Where do you work]],[1]!tblCountries[[Actual]:[Mapping]],2,FALSE)</f>
        <v>India</v>
      </c>
      <c r="J281" t="s">
        <v>794</v>
      </c>
    </row>
    <row r="282" spans="1:10" x14ac:dyDescent="0.2">
      <c r="A282" t="s">
        <v>1332</v>
      </c>
      <c r="B282" s="59">
        <v>41055.053599537037</v>
      </c>
      <c r="C282">
        <v>100000</v>
      </c>
      <c r="D282" t="s">
        <v>1333</v>
      </c>
      <c r="E282">
        <f>tblSalaries[[#This Row],[clean Salary (in local currency)]]*VLOOKUP(tblSalaries[[#This Row],[Currency]],[1]!tblXrate[#Data],2,FALSE)</f>
        <v>27221.92126875931</v>
      </c>
      <c r="F282" t="s">
        <v>817</v>
      </c>
      <c r="G282" t="s">
        <v>817</v>
      </c>
      <c r="H282" t="s">
        <v>1334</v>
      </c>
      <c r="I282" t="str">
        <f>VLOOKUP(tblSalaries[[#This Row],[Where do you work]],[1]!tblCountries[[Actual]:[Mapping]],2,FALSE)</f>
        <v>Dubai</v>
      </c>
      <c r="J282" t="s">
        <v>789</v>
      </c>
    </row>
    <row r="283" spans="1:10" x14ac:dyDescent="0.2">
      <c r="A283" t="s">
        <v>1335</v>
      </c>
      <c r="B283" s="59">
        <v>41055.054050925923</v>
      </c>
      <c r="C283">
        <v>22000</v>
      </c>
      <c r="D283" t="s">
        <v>786</v>
      </c>
      <c r="E283">
        <f>tblSalaries[[#This Row],[clean Salary (in local currency)]]*VLOOKUP(tblSalaries[[#This Row],[Currency]],[1]!tblXrate[#Data],2,FALSE)</f>
        <v>22000</v>
      </c>
      <c r="F283" t="s">
        <v>1336</v>
      </c>
      <c r="G283" t="s">
        <v>836</v>
      </c>
      <c r="H283" t="s">
        <v>117</v>
      </c>
      <c r="I283" t="str">
        <f>VLOOKUP(tblSalaries[[#This Row],[Where do you work]],[1]!tblCountries[[Actual]:[Mapping]],2,FALSE)</f>
        <v>India</v>
      </c>
      <c r="J283" t="s">
        <v>794</v>
      </c>
    </row>
    <row r="284" spans="1:10" x14ac:dyDescent="0.2">
      <c r="A284" t="s">
        <v>1337</v>
      </c>
      <c r="B284" s="59">
        <v>41055.054120370369</v>
      </c>
      <c r="C284">
        <v>68000</v>
      </c>
      <c r="D284" t="s">
        <v>786</v>
      </c>
      <c r="E284">
        <f>tblSalaries[[#This Row],[clean Salary (in local currency)]]*VLOOKUP(tblSalaries[[#This Row],[Currency]],[1]!tblXrate[#Data],2,FALSE)</f>
        <v>68000</v>
      </c>
      <c r="F284" t="s">
        <v>1338</v>
      </c>
      <c r="G284" t="s">
        <v>807</v>
      </c>
      <c r="H284" t="s">
        <v>15</v>
      </c>
      <c r="I284" t="str">
        <f>VLOOKUP(tblSalaries[[#This Row],[Where do you work]],[1]!tblCountries[[Actual]:[Mapping]],2,FALSE)</f>
        <v>USA</v>
      </c>
      <c r="J284" t="s">
        <v>794</v>
      </c>
    </row>
    <row r="285" spans="1:10" x14ac:dyDescent="0.2">
      <c r="A285" t="s">
        <v>1339</v>
      </c>
      <c r="B285" s="59">
        <v>41055.054131944446</v>
      </c>
      <c r="C285">
        <v>97000</v>
      </c>
      <c r="D285" t="s">
        <v>786</v>
      </c>
      <c r="E285">
        <f>tblSalaries[[#This Row],[clean Salary (in local currency)]]*VLOOKUP(tblSalaries[[#This Row],[Currency]],[1]!tblXrate[#Data],2,FALSE)</f>
        <v>97000</v>
      </c>
      <c r="F285" t="s">
        <v>827</v>
      </c>
      <c r="G285" t="s">
        <v>788</v>
      </c>
      <c r="H285" t="s">
        <v>15</v>
      </c>
      <c r="I285" t="str">
        <f>VLOOKUP(tblSalaries[[#This Row],[Where do you work]],[1]!tblCountries[[Actual]:[Mapping]],2,FALSE)</f>
        <v>USA</v>
      </c>
      <c r="J285" t="s">
        <v>794</v>
      </c>
    </row>
    <row r="286" spans="1:10" x14ac:dyDescent="0.2">
      <c r="A286" t="s">
        <v>1340</v>
      </c>
      <c r="B286" s="59">
        <v>41055.054571759261</v>
      </c>
      <c r="C286">
        <v>31000</v>
      </c>
      <c r="D286" t="s">
        <v>861</v>
      </c>
      <c r="E286">
        <f>tblSalaries[[#This Row],[clean Salary (in local currency)]]*VLOOKUP(tblSalaries[[#This Row],[Currency]],[1]!tblXrate[#Data],2,FALSE)</f>
        <v>48861.526434085805</v>
      </c>
      <c r="F286" t="s">
        <v>1341</v>
      </c>
      <c r="G286" t="s">
        <v>802</v>
      </c>
      <c r="H286" t="s">
        <v>863</v>
      </c>
      <c r="I286" t="str">
        <f>VLOOKUP(tblSalaries[[#This Row],[Where do you work]],[1]!tblCountries[[Actual]:[Mapping]],2,FALSE)</f>
        <v>UK</v>
      </c>
      <c r="J286" t="s">
        <v>799</v>
      </c>
    </row>
    <row r="287" spans="1:10" x14ac:dyDescent="0.2">
      <c r="A287" t="s">
        <v>1342</v>
      </c>
      <c r="B287" s="59">
        <v>41055.0547337963</v>
      </c>
      <c r="C287">
        <v>65000</v>
      </c>
      <c r="D287" t="s">
        <v>786</v>
      </c>
      <c r="E287">
        <f>tblSalaries[[#This Row],[clean Salary (in local currency)]]*VLOOKUP(tblSalaries[[#This Row],[Currency]],[1]!tblXrate[#Data],2,FALSE)</f>
        <v>65000</v>
      </c>
      <c r="F287" t="s">
        <v>1343</v>
      </c>
      <c r="G287" t="s">
        <v>788</v>
      </c>
      <c r="H287" t="s">
        <v>15</v>
      </c>
      <c r="I287" t="str">
        <f>VLOOKUP(tblSalaries[[#This Row],[Where do you work]],[1]!tblCountries[[Actual]:[Mapping]],2,FALSE)</f>
        <v>USA</v>
      </c>
      <c r="J287" t="s">
        <v>789</v>
      </c>
    </row>
    <row r="288" spans="1:10" x14ac:dyDescent="0.2">
      <c r="A288" t="s">
        <v>1344</v>
      </c>
      <c r="B288" s="59">
        <v>41055.054837962962</v>
      </c>
      <c r="C288">
        <v>43200</v>
      </c>
      <c r="D288" t="s">
        <v>786</v>
      </c>
      <c r="E288">
        <f>tblSalaries[[#This Row],[clean Salary (in local currency)]]*VLOOKUP(tblSalaries[[#This Row],[Currency]],[1]!tblXrate[#Data],2,FALSE)</f>
        <v>43200</v>
      </c>
      <c r="F288" t="s">
        <v>1345</v>
      </c>
      <c r="G288" t="s">
        <v>807</v>
      </c>
      <c r="H288" t="s">
        <v>749</v>
      </c>
      <c r="I288" t="str">
        <f>VLOOKUP(tblSalaries[[#This Row],[Where do you work]],[1]!tblCountries[[Actual]:[Mapping]],2,FALSE)</f>
        <v>Saudi Arabia</v>
      </c>
      <c r="J288" t="s">
        <v>789</v>
      </c>
    </row>
    <row r="289" spans="1:10" x14ac:dyDescent="0.2">
      <c r="A289" t="s">
        <v>1346</v>
      </c>
      <c r="B289" s="59">
        <v>41055.054965277777</v>
      </c>
      <c r="C289">
        <v>450000</v>
      </c>
      <c r="D289" t="s">
        <v>824</v>
      </c>
      <c r="E289">
        <f>tblSalaries[[#This Row],[clean Salary (in local currency)]]*VLOOKUP(tblSalaries[[#This Row],[Currency]],[1]!tblXrate[#Data],2,FALSE)</f>
        <v>8013.5625093491553</v>
      </c>
      <c r="F289" t="s">
        <v>1070</v>
      </c>
      <c r="G289" t="s">
        <v>788</v>
      </c>
      <c r="H289" t="s">
        <v>117</v>
      </c>
      <c r="I289" t="str">
        <f>VLOOKUP(tblSalaries[[#This Row],[Where do you work]],[1]!tblCountries[[Actual]:[Mapping]],2,FALSE)</f>
        <v>India</v>
      </c>
      <c r="J289" t="s">
        <v>789</v>
      </c>
    </row>
    <row r="290" spans="1:10" x14ac:dyDescent="0.2">
      <c r="A290" t="s">
        <v>1347</v>
      </c>
      <c r="B290" s="59">
        <v>41055.054965277777</v>
      </c>
      <c r="C290">
        <v>50000</v>
      </c>
      <c r="D290" t="s">
        <v>786</v>
      </c>
      <c r="E290">
        <f>tblSalaries[[#This Row],[clean Salary (in local currency)]]*VLOOKUP(tblSalaries[[#This Row],[Currency]],[1]!tblXrate[#Data],2,FALSE)</f>
        <v>50000</v>
      </c>
      <c r="F290" t="s">
        <v>1348</v>
      </c>
      <c r="G290" t="s">
        <v>788</v>
      </c>
      <c r="H290" t="s">
        <v>15</v>
      </c>
      <c r="I290" t="str">
        <f>VLOOKUP(tblSalaries[[#This Row],[Where do you work]],[1]!tblCountries[[Actual]:[Mapping]],2,FALSE)</f>
        <v>USA</v>
      </c>
      <c r="J290" t="s">
        <v>794</v>
      </c>
    </row>
    <row r="291" spans="1:10" x14ac:dyDescent="0.2">
      <c r="A291" t="s">
        <v>1349</v>
      </c>
      <c r="B291" s="59">
        <v>41055.055115740739</v>
      </c>
      <c r="C291">
        <v>45000</v>
      </c>
      <c r="D291" t="s">
        <v>786</v>
      </c>
      <c r="E291">
        <f>tblSalaries[[#This Row],[clean Salary (in local currency)]]*VLOOKUP(tblSalaries[[#This Row],[Currency]],[1]!tblXrate[#Data],2,FALSE)</f>
        <v>45000</v>
      </c>
      <c r="F291" t="s">
        <v>1350</v>
      </c>
      <c r="G291" t="s">
        <v>788</v>
      </c>
      <c r="H291" t="s">
        <v>15</v>
      </c>
      <c r="I291" t="str">
        <f>VLOOKUP(tblSalaries[[#This Row],[Where do you work]],[1]!tblCountries[[Actual]:[Mapping]],2,FALSE)</f>
        <v>USA</v>
      </c>
      <c r="J291" t="s">
        <v>789</v>
      </c>
    </row>
    <row r="292" spans="1:10" x14ac:dyDescent="0.2">
      <c r="A292" t="s">
        <v>1351</v>
      </c>
      <c r="B292" s="59">
        <v>41055.055289351854</v>
      </c>
      <c r="C292">
        <v>180000</v>
      </c>
      <c r="D292" t="s">
        <v>824</v>
      </c>
      <c r="E292">
        <f>tblSalaries[[#This Row],[clean Salary (in local currency)]]*VLOOKUP(tblSalaries[[#This Row],[Currency]],[1]!tblXrate[#Data],2,FALSE)</f>
        <v>3205.4250037396623</v>
      </c>
      <c r="F292" t="s">
        <v>1352</v>
      </c>
      <c r="G292" t="s">
        <v>807</v>
      </c>
      <c r="H292" t="s">
        <v>117</v>
      </c>
      <c r="I292" t="str">
        <f>VLOOKUP(tblSalaries[[#This Row],[Where do you work]],[1]!tblCountries[[Actual]:[Mapping]],2,FALSE)</f>
        <v>India</v>
      </c>
      <c r="J292" t="s">
        <v>789</v>
      </c>
    </row>
    <row r="293" spans="1:10" x14ac:dyDescent="0.2">
      <c r="A293" t="s">
        <v>1353</v>
      </c>
      <c r="B293" s="59">
        <v>41055.055567129632</v>
      </c>
      <c r="C293">
        <v>60000</v>
      </c>
      <c r="D293" t="s">
        <v>786</v>
      </c>
      <c r="E293">
        <f>tblSalaries[[#This Row],[clean Salary (in local currency)]]*VLOOKUP(tblSalaries[[#This Row],[Currency]],[1]!tblXrate[#Data],2,FALSE)</f>
        <v>60000</v>
      </c>
      <c r="F293" t="s">
        <v>1354</v>
      </c>
      <c r="G293" t="s">
        <v>807</v>
      </c>
      <c r="H293" t="s">
        <v>15</v>
      </c>
      <c r="I293" t="str">
        <f>VLOOKUP(tblSalaries[[#This Row],[Where do you work]],[1]!tblCountries[[Actual]:[Mapping]],2,FALSE)</f>
        <v>USA</v>
      </c>
      <c r="J293" t="s">
        <v>794</v>
      </c>
    </row>
    <row r="294" spans="1:10" x14ac:dyDescent="0.2">
      <c r="A294" t="s">
        <v>1355</v>
      </c>
      <c r="B294" s="59">
        <v>41055.056087962963</v>
      </c>
      <c r="C294">
        <v>31000</v>
      </c>
      <c r="D294" t="s">
        <v>786</v>
      </c>
      <c r="E294">
        <f>tblSalaries[[#This Row],[clean Salary (in local currency)]]*VLOOKUP(tblSalaries[[#This Row],[Currency]],[1]!tblXrate[#Data],2,FALSE)</f>
        <v>31000</v>
      </c>
      <c r="F294" t="s">
        <v>1356</v>
      </c>
      <c r="G294" t="s">
        <v>820</v>
      </c>
      <c r="H294" t="s">
        <v>15</v>
      </c>
      <c r="I294" t="str">
        <f>VLOOKUP(tblSalaries[[#This Row],[Where do you work]],[1]!tblCountries[[Actual]:[Mapping]],2,FALSE)</f>
        <v>USA</v>
      </c>
      <c r="J294" t="s">
        <v>799</v>
      </c>
    </row>
    <row r="295" spans="1:10" x14ac:dyDescent="0.2">
      <c r="A295" t="s">
        <v>1357</v>
      </c>
      <c r="B295" s="59">
        <v>41055.056319444448</v>
      </c>
      <c r="C295">
        <v>75000</v>
      </c>
      <c r="D295" t="s">
        <v>786</v>
      </c>
      <c r="E295">
        <f>tblSalaries[[#This Row],[clean Salary (in local currency)]]*VLOOKUP(tblSalaries[[#This Row],[Currency]],[1]!tblXrate[#Data],2,FALSE)</f>
        <v>75000</v>
      </c>
      <c r="F295" t="s">
        <v>1358</v>
      </c>
      <c r="G295" t="s">
        <v>788</v>
      </c>
      <c r="H295" t="s">
        <v>15</v>
      </c>
      <c r="I295" t="str">
        <f>VLOOKUP(tblSalaries[[#This Row],[Where do you work]],[1]!tblCountries[[Actual]:[Mapping]],2,FALSE)</f>
        <v>USA</v>
      </c>
      <c r="J295" t="s">
        <v>789</v>
      </c>
    </row>
    <row r="296" spans="1:10" x14ac:dyDescent="0.2">
      <c r="A296" t="s">
        <v>1359</v>
      </c>
      <c r="B296" s="59">
        <v>41055.05704861111</v>
      </c>
      <c r="C296">
        <v>16000</v>
      </c>
      <c r="D296" t="s">
        <v>786</v>
      </c>
      <c r="E296">
        <f>tblSalaries[[#This Row],[clean Salary (in local currency)]]*VLOOKUP(tblSalaries[[#This Row],[Currency]],[1]!tblXrate[#Data],2,FALSE)</f>
        <v>16000</v>
      </c>
      <c r="F296" t="s">
        <v>1360</v>
      </c>
      <c r="G296" t="s">
        <v>813</v>
      </c>
      <c r="H296" t="s">
        <v>15</v>
      </c>
      <c r="I296" t="str">
        <f>VLOOKUP(tblSalaries[[#This Row],[Where do you work]],[1]!tblCountries[[Actual]:[Mapping]],2,FALSE)</f>
        <v>USA</v>
      </c>
      <c r="J296" t="s">
        <v>808</v>
      </c>
    </row>
    <row r="297" spans="1:10" x14ac:dyDescent="0.2">
      <c r="A297" t="s">
        <v>1361</v>
      </c>
      <c r="B297" s="59">
        <v>41055.057199074072</v>
      </c>
      <c r="C297">
        <v>36000</v>
      </c>
      <c r="D297" t="s">
        <v>786</v>
      </c>
      <c r="E297">
        <f>tblSalaries[[#This Row],[clean Salary (in local currency)]]*VLOOKUP(tblSalaries[[#This Row],[Currency]],[1]!tblXrate[#Data],2,FALSE)</f>
        <v>36000</v>
      </c>
      <c r="F297" t="s">
        <v>1362</v>
      </c>
      <c r="G297" t="s">
        <v>788</v>
      </c>
      <c r="H297" t="s">
        <v>15</v>
      </c>
      <c r="I297" t="str">
        <f>VLOOKUP(tblSalaries[[#This Row],[Where do you work]],[1]!tblCountries[[Actual]:[Mapping]],2,FALSE)</f>
        <v>USA</v>
      </c>
      <c r="J297" t="s">
        <v>794</v>
      </c>
    </row>
    <row r="298" spans="1:10" x14ac:dyDescent="0.2">
      <c r="A298" t="s">
        <v>1363</v>
      </c>
      <c r="B298" s="59">
        <v>41055.05740740741</v>
      </c>
      <c r="C298">
        <v>42000</v>
      </c>
      <c r="D298" t="s">
        <v>882</v>
      </c>
      <c r="E298">
        <f>tblSalaries[[#This Row],[clean Salary (in local currency)]]*VLOOKUP(tblSalaries[[#This Row],[Currency]],[1]!tblXrate[#Data],2,FALSE)</f>
        <v>41301.183967273726</v>
      </c>
      <c r="F298" t="s">
        <v>796</v>
      </c>
      <c r="G298" t="s">
        <v>788</v>
      </c>
      <c r="H298" t="s">
        <v>143</v>
      </c>
      <c r="I298" t="str">
        <f>VLOOKUP(tblSalaries[[#This Row],[Where do you work]],[1]!tblCountries[[Actual]:[Mapping]],2,FALSE)</f>
        <v>Canada</v>
      </c>
      <c r="J298" t="s">
        <v>794</v>
      </c>
    </row>
    <row r="299" spans="1:10" x14ac:dyDescent="0.2">
      <c r="A299" t="s">
        <v>1364</v>
      </c>
      <c r="B299" s="59">
        <v>41055.05746527778</v>
      </c>
      <c r="C299">
        <v>53000</v>
      </c>
      <c r="D299" t="s">
        <v>786</v>
      </c>
      <c r="E299">
        <f>tblSalaries[[#This Row],[clean Salary (in local currency)]]*VLOOKUP(tblSalaries[[#This Row],[Currency]],[1]!tblXrate[#Data],2,FALSE)</f>
        <v>53000</v>
      </c>
      <c r="F299" t="s">
        <v>984</v>
      </c>
      <c r="G299" t="s">
        <v>788</v>
      </c>
      <c r="H299" t="s">
        <v>15</v>
      </c>
      <c r="I299" t="str">
        <f>VLOOKUP(tblSalaries[[#This Row],[Where do you work]],[1]!tblCountries[[Actual]:[Mapping]],2,FALSE)</f>
        <v>USA</v>
      </c>
      <c r="J299" t="s">
        <v>789</v>
      </c>
    </row>
    <row r="300" spans="1:10" x14ac:dyDescent="0.2">
      <c r="A300" t="s">
        <v>1365</v>
      </c>
      <c r="B300" s="59">
        <v>41055.057500000003</v>
      </c>
      <c r="C300">
        <v>65000</v>
      </c>
      <c r="D300" t="s">
        <v>805</v>
      </c>
      <c r="E300">
        <f>tblSalaries[[#This Row],[clean Salary (in local currency)]]*VLOOKUP(tblSalaries[[#This Row],[Currency]],[1]!tblXrate[#Data],2,FALSE)</f>
        <v>82575.963534454509</v>
      </c>
      <c r="F300" t="s">
        <v>1366</v>
      </c>
      <c r="G300" t="s">
        <v>792</v>
      </c>
      <c r="H300" t="s">
        <v>1367</v>
      </c>
      <c r="I300" t="str">
        <f>VLOOKUP(tblSalaries[[#This Row],[Where do you work]],[1]!tblCountries[[Actual]:[Mapping]],2,FALSE)</f>
        <v>Germany</v>
      </c>
      <c r="J300" t="s">
        <v>794</v>
      </c>
    </row>
    <row r="301" spans="1:10" x14ac:dyDescent="0.2">
      <c r="A301" t="s">
        <v>1368</v>
      </c>
      <c r="B301" s="59">
        <v>41055.057592592595</v>
      </c>
      <c r="C301">
        <v>67000</v>
      </c>
      <c r="D301" t="s">
        <v>786</v>
      </c>
      <c r="E301">
        <f>tblSalaries[[#This Row],[clean Salary (in local currency)]]*VLOOKUP(tblSalaries[[#This Row],[Currency]],[1]!tblXrate[#Data],2,FALSE)</f>
        <v>67000</v>
      </c>
      <c r="F301" t="s">
        <v>1369</v>
      </c>
      <c r="G301" t="s">
        <v>788</v>
      </c>
      <c r="H301" t="s">
        <v>15</v>
      </c>
      <c r="I301" t="str">
        <f>VLOOKUP(tblSalaries[[#This Row],[Where do you work]],[1]!tblCountries[[Actual]:[Mapping]],2,FALSE)</f>
        <v>USA</v>
      </c>
      <c r="J301" t="s">
        <v>789</v>
      </c>
    </row>
    <row r="302" spans="1:10" x14ac:dyDescent="0.2">
      <c r="A302" t="s">
        <v>1370</v>
      </c>
      <c r="B302" s="59">
        <v>41055.057881944442</v>
      </c>
      <c r="C302">
        <v>12000</v>
      </c>
      <c r="D302" t="s">
        <v>786</v>
      </c>
      <c r="E302">
        <f>tblSalaries[[#This Row],[clean Salary (in local currency)]]*VLOOKUP(tblSalaries[[#This Row],[Currency]],[1]!tblXrate[#Data],2,FALSE)</f>
        <v>12000</v>
      </c>
      <c r="F302" t="s">
        <v>788</v>
      </c>
      <c r="G302" t="s">
        <v>788</v>
      </c>
      <c r="H302" t="s">
        <v>117</v>
      </c>
      <c r="I302" t="str">
        <f>VLOOKUP(tblSalaries[[#This Row],[Where do you work]],[1]!tblCountries[[Actual]:[Mapping]],2,FALSE)</f>
        <v>India</v>
      </c>
      <c r="J302" t="s">
        <v>794</v>
      </c>
    </row>
    <row r="303" spans="1:10" x14ac:dyDescent="0.2">
      <c r="A303" t="s">
        <v>1371</v>
      </c>
      <c r="B303" s="59">
        <v>41055.058136574073</v>
      </c>
      <c r="C303">
        <v>85000</v>
      </c>
      <c r="D303" t="s">
        <v>786</v>
      </c>
      <c r="E303">
        <f>tblSalaries[[#This Row],[clean Salary (in local currency)]]*VLOOKUP(tblSalaries[[#This Row],[Currency]],[1]!tblXrate[#Data],2,FALSE)</f>
        <v>85000</v>
      </c>
      <c r="F303" t="s">
        <v>1372</v>
      </c>
      <c r="G303" t="s">
        <v>792</v>
      </c>
      <c r="H303" t="s">
        <v>15</v>
      </c>
      <c r="I303" t="str">
        <f>VLOOKUP(tblSalaries[[#This Row],[Where do you work]],[1]!tblCountries[[Actual]:[Mapping]],2,FALSE)</f>
        <v>USA</v>
      </c>
      <c r="J303" t="s">
        <v>794</v>
      </c>
    </row>
    <row r="304" spans="1:10" x14ac:dyDescent="0.2">
      <c r="A304" t="s">
        <v>1373</v>
      </c>
      <c r="B304" s="59">
        <v>41055.058217592596</v>
      </c>
      <c r="C304">
        <v>200000</v>
      </c>
      <c r="D304" t="s">
        <v>805</v>
      </c>
      <c r="E304">
        <f>tblSalaries[[#This Row],[clean Salary (in local currency)]]*VLOOKUP(tblSalaries[[#This Row],[Currency]],[1]!tblXrate[#Data],2,FALSE)</f>
        <v>254079.88779832155</v>
      </c>
      <c r="F304" t="s">
        <v>1374</v>
      </c>
      <c r="G304" t="s">
        <v>836</v>
      </c>
      <c r="H304" t="s">
        <v>1375</v>
      </c>
      <c r="I304" t="str">
        <f>VLOOKUP(tblSalaries[[#This Row],[Where do you work]],[1]!tblCountries[[Actual]:[Mapping]],2,FALSE)</f>
        <v>Netherlands</v>
      </c>
      <c r="J304" t="s">
        <v>794</v>
      </c>
    </row>
    <row r="305" spans="1:10" x14ac:dyDescent="0.2">
      <c r="A305" t="s">
        <v>1376</v>
      </c>
      <c r="B305" s="59">
        <v>41055.058298611111</v>
      </c>
      <c r="C305">
        <v>40000</v>
      </c>
      <c r="D305" t="s">
        <v>786</v>
      </c>
      <c r="E305">
        <f>tblSalaries[[#This Row],[clean Salary (in local currency)]]*VLOOKUP(tblSalaries[[#This Row],[Currency]],[1]!tblXrate[#Data],2,FALSE)</f>
        <v>40000</v>
      </c>
      <c r="F305" t="s">
        <v>1377</v>
      </c>
      <c r="G305" t="s">
        <v>807</v>
      </c>
      <c r="H305" t="s">
        <v>15</v>
      </c>
      <c r="I305" t="str">
        <f>VLOOKUP(tblSalaries[[#This Row],[Where do you work]],[1]!tblCountries[[Actual]:[Mapping]],2,FALSE)</f>
        <v>USA</v>
      </c>
      <c r="J305" t="s">
        <v>789</v>
      </c>
    </row>
    <row r="306" spans="1:10" x14ac:dyDescent="0.2">
      <c r="A306" t="s">
        <v>1378</v>
      </c>
      <c r="B306" s="59">
        <v>41055.058368055557</v>
      </c>
      <c r="C306">
        <v>20000</v>
      </c>
      <c r="D306" t="s">
        <v>861</v>
      </c>
      <c r="E306">
        <f>tblSalaries[[#This Row],[clean Salary (in local currency)]]*VLOOKUP(tblSalaries[[#This Row],[Currency]],[1]!tblXrate[#Data],2,FALSE)</f>
        <v>31523.565441345683</v>
      </c>
      <c r="F306" t="s">
        <v>1379</v>
      </c>
      <c r="G306" t="s">
        <v>802</v>
      </c>
      <c r="H306" t="s">
        <v>863</v>
      </c>
      <c r="I306" t="str">
        <f>VLOOKUP(tblSalaries[[#This Row],[Where do you work]],[1]!tblCountries[[Actual]:[Mapping]],2,FALSE)</f>
        <v>UK</v>
      </c>
      <c r="J306" t="s">
        <v>808</v>
      </c>
    </row>
    <row r="307" spans="1:10" x14ac:dyDescent="0.2">
      <c r="A307" t="s">
        <v>1380</v>
      </c>
      <c r="B307" s="59">
        <v>41055.05908564815</v>
      </c>
      <c r="C307">
        <v>41000</v>
      </c>
      <c r="D307" t="s">
        <v>786</v>
      </c>
      <c r="E307">
        <f>tblSalaries[[#This Row],[clean Salary (in local currency)]]*VLOOKUP(tblSalaries[[#This Row],[Currency]],[1]!tblXrate[#Data],2,FALSE)</f>
        <v>41000</v>
      </c>
      <c r="F307" t="s">
        <v>1381</v>
      </c>
      <c r="G307" t="s">
        <v>788</v>
      </c>
      <c r="H307" t="s">
        <v>15</v>
      </c>
      <c r="I307" t="str">
        <f>VLOOKUP(tblSalaries[[#This Row],[Where do you work]],[1]!tblCountries[[Actual]:[Mapping]],2,FALSE)</f>
        <v>USA</v>
      </c>
      <c r="J307" t="s">
        <v>789</v>
      </c>
    </row>
    <row r="308" spans="1:10" x14ac:dyDescent="0.2">
      <c r="A308" t="s">
        <v>1382</v>
      </c>
      <c r="B308" s="59">
        <v>41055.05909722222</v>
      </c>
      <c r="C308">
        <v>1400000</v>
      </c>
      <c r="D308" t="s">
        <v>824</v>
      </c>
      <c r="E308">
        <f>tblSalaries[[#This Row],[clean Salary (in local currency)]]*VLOOKUP(tblSalaries[[#This Row],[Currency]],[1]!tblXrate[#Data],2,FALSE)</f>
        <v>24931.083362419595</v>
      </c>
      <c r="F308" t="s">
        <v>1383</v>
      </c>
      <c r="G308" t="s">
        <v>807</v>
      </c>
      <c r="H308" t="s">
        <v>117</v>
      </c>
      <c r="I308" t="str">
        <f>VLOOKUP(tblSalaries[[#This Row],[Where do you work]],[1]!tblCountries[[Actual]:[Mapping]],2,FALSE)</f>
        <v>India</v>
      </c>
      <c r="J308" t="s">
        <v>808</v>
      </c>
    </row>
    <row r="309" spans="1:10" x14ac:dyDescent="0.2">
      <c r="A309" t="s">
        <v>1384</v>
      </c>
      <c r="B309" s="59">
        <v>41055.059374999997</v>
      </c>
      <c r="C309">
        <v>125000</v>
      </c>
      <c r="D309" t="s">
        <v>786</v>
      </c>
      <c r="E309">
        <f>tblSalaries[[#This Row],[clean Salary (in local currency)]]*VLOOKUP(tblSalaries[[#This Row],[Currency]],[1]!tblXrate[#Data],2,FALSE)</f>
        <v>125000</v>
      </c>
      <c r="F309" t="s">
        <v>1385</v>
      </c>
      <c r="G309" t="s">
        <v>807</v>
      </c>
      <c r="H309" t="s">
        <v>15</v>
      </c>
      <c r="I309" t="str">
        <f>VLOOKUP(tblSalaries[[#This Row],[Where do you work]],[1]!tblCountries[[Actual]:[Mapping]],2,FALSE)</f>
        <v>USA</v>
      </c>
      <c r="J309" t="s">
        <v>789</v>
      </c>
    </row>
    <row r="310" spans="1:10" x14ac:dyDescent="0.2">
      <c r="A310" t="s">
        <v>1386</v>
      </c>
      <c r="B310" s="59">
        <v>41055.060023148151</v>
      </c>
      <c r="C310">
        <v>60000</v>
      </c>
      <c r="D310" t="s">
        <v>882</v>
      </c>
      <c r="E310">
        <f>tblSalaries[[#This Row],[clean Salary (in local currency)]]*VLOOKUP(tblSalaries[[#This Row],[Currency]],[1]!tblXrate[#Data],2,FALSE)</f>
        <v>59001.691381819612</v>
      </c>
      <c r="F310" t="s">
        <v>1387</v>
      </c>
      <c r="G310" t="s">
        <v>788</v>
      </c>
      <c r="H310" t="s">
        <v>143</v>
      </c>
      <c r="I310" t="str">
        <f>VLOOKUP(tblSalaries[[#This Row],[Where do you work]],[1]!tblCountries[[Actual]:[Mapping]],2,FALSE)</f>
        <v>Canada</v>
      </c>
      <c r="J310" t="s">
        <v>794</v>
      </c>
    </row>
    <row r="311" spans="1:10" x14ac:dyDescent="0.2">
      <c r="A311" t="s">
        <v>1388</v>
      </c>
      <c r="B311" s="59">
        <v>41055.060150462959</v>
      </c>
      <c r="C311">
        <v>150000</v>
      </c>
      <c r="D311" t="s">
        <v>1389</v>
      </c>
      <c r="E311">
        <f>tblSalaries[[#This Row],[clean Salary (in local currency)]]*VLOOKUP(tblSalaries[[#This Row],[Currency]],[1]!tblXrate[#Data],2,FALSE)</f>
        <v>10956.982885192734</v>
      </c>
      <c r="F311" t="s">
        <v>1390</v>
      </c>
      <c r="G311" t="s">
        <v>788</v>
      </c>
      <c r="H311" t="s">
        <v>2</v>
      </c>
      <c r="I311" t="str">
        <f>VLOOKUP(tblSalaries[[#This Row],[Where do you work]],[1]!tblCountries[[Actual]:[Mapping]],2,FALSE)</f>
        <v>Mexico</v>
      </c>
      <c r="J311" t="s">
        <v>794</v>
      </c>
    </row>
    <row r="312" spans="1:10" x14ac:dyDescent="0.2">
      <c r="A312" t="s">
        <v>1391</v>
      </c>
      <c r="B312" s="59">
        <v>41055.060324074075</v>
      </c>
      <c r="C312">
        <v>70000</v>
      </c>
      <c r="D312" t="s">
        <v>786</v>
      </c>
      <c r="E312">
        <f>tblSalaries[[#This Row],[clean Salary (in local currency)]]*VLOOKUP(tblSalaries[[#This Row],[Currency]],[1]!tblXrate[#Data],2,FALSE)</f>
        <v>70000</v>
      </c>
      <c r="F312" t="s">
        <v>788</v>
      </c>
      <c r="G312" t="s">
        <v>788</v>
      </c>
      <c r="H312" t="s">
        <v>15</v>
      </c>
      <c r="I312" t="str">
        <f>VLOOKUP(tblSalaries[[#This Row],[Where do you work]],[1]!tblCountries[[Actual]:[Mapping]],2,FALSE)</f>
        <v>USA</v>
      </c>
      <c r="J312" t="s">
        <v>799</v>
      </c>
    </row>
    <row r="313" spans="1:10" x14ac:dyDescent="0.2">
      <c r="A313" t="s">
        <v>1392</v>
      </c>
      <c r="B313" s="59">
        <v>41055.06045138889</v>
      </c>
      <c r="C313">
        <v>400000</v>
      </c>
      <c r="D313" t="s">
        <v>786</v>
      </c>
      <c r="E313">
        <f>tblSalaries[[#This Row],[clean Salary (in local currency)]]*VLOOKUP(tblSalaries[[#This Row],[Currency]],[1]!tblXrate[#Data],2,FALSE)</f>
        <v>400000</v>
      </c>
      <c r="F313" t="s">
        <v>1393</v>
      </c>
      <c r="G313" t="s">
        <v>820</v>
      </c>
      <c r="H313" t="s">
        <v>15</v>
      </c>
      <c r="I313" t="str">
        <f>VLOOKUP(tblSalaries[[#This Row],[Where do you work]],[1]!tblCountries[[Actual]:[Mapping]],2,FALSE)</f>
        <v>USA</v>
      </c>
      <c r="J313" t="s">
        <v>794</v>
      </c>
    </row>
    <row r="314" spans="1:10" x14ac:dyDescent="0.2">
      <c r="A314" t="s">
        <v>1394</v>
      </c>
      <c r="B314" s="59">
        <v>41055.060717592591</v>
      </c>
      <c r="C314">
        <v>55000</v>
      </c>
      <c r="D314" t="s">
        <v>786</v>
      </c>
      <c r="E314">
        <f>tblSalaries[[#This Row],[clean Salary (in local currency)]]*VLOOKUP(tblSalaries[[#This Row],[Currency]],[1]!tblXrate[#Data],2,FALSE)</f>
        <v>55000</v>
      </c>
      <c r="F314" t="s">
        <v>1070</v>
      </c>
      <c r="G314" t="s">
        <v>788</v>
      </c>
      <c r="H314" t="s">
        <v>15</v>
      </c>
      <c r="I314" t="str">
        <f>VLOOKUP(tblSalaries[[#This Row],[Where do you work]],[1]!tblCountries[[Actual]:[Mapping]],2,FALSE)</f>
        <v>USA</v>
      </c>
      <c r="J314" t="s">
        <v>789</v>
      </c>
    </row>
    <row r="315" spans="1:10" x14ac:dyDescent="0.2">
      <c r="A315" t="s">
        <v>1395</v>
      </c>
      <c r="B315" s="59">
        <v>41055.060752314814</v>
      </c>
      <c r="C315">
        <v>60000</v>
      </c>
      <c r="D315" t="s">
        <v>786</v>
      </c>
      <c r="E315">
        <f>tblSalaries[[#This Row],[clean Salary (in local currency)]]*VLOOKUP(tblSalaries[[#This Row],[Currency]],[1]!tblXrate[#Data],2,FALSE)</f>
        <v>60000</v>
      </c>
      <c r="F315" t="s">
        <v>1396</v>
      </c>
      <c r="G315" t="s">
        <v>788</v>
      </c>
      <c r="H315" t="s">
        <v>15</v>
      </c>
      <c r="I315" t="str">
        <f>VLOOKUP(tblSalaries[[#This Row],[Where do you work]],[1]!tblCountries[[Actual]:[Mapping]],2,FALSE)</f>
        <v>USA</v>
      </c>
      <c r="J315" t="s">
        <v>789</v>
      </c>
    </row>
    <row r="316" spans="1:10" x14ac:dyDescent="0.2">
      <c r="A316" t="s">
        <v>1397</v>
      </c>
      <c r="B316" s="59">
        <v>41055.060925925929</v>
      </c>
      <c r="C316">
        <v>1000000</v>
      </c>
      <c r="D316" t="s">
        <v>824</v>
      </c>
      <c r="E316">
        <f>tblSalaries[[#This Row],[clean Salary (in local currency)]]*VLOOKUP(tblSalaries[[#This Row],[Currency]],[1]!tblXrate[#Data],2,FALSE)</f>
        <v>17807.916687442568</v>
      </c>
      <c r="F316" t="s">
        <v>807</v>
      </c>
      <c r="G316" t="s">
        <v>807</v>
      </c>
      <c r="H316" t="s">
        <v>117</v>
      </c>
      <c r="I316" t="str">
        <f>VLOOKUP(tblSalaries[[#This Row],[Where do you work]],[1]!tblCountries[[Actual]:[Mapping]],2,FALSE)</f>
        <v>India</v>
      </c>
      <c r="J316" t="s">
        <v>789</v>
      </c>
    </row>
    <row r="317" spans="1:10" x14ac:dyDescent="0.2">
      <c r="A317" t="s">
        <v>1398</v>
      </c>
      <c r="B317" s="59">
        <v>41055.061018518521</v>
      </c>
      <c r="C317">
        <v>40000</v>
      </c>
      <c r="D317" t="s">
        <v>786</v>
      </c>
      <c r="E317">
        <f>tblSalaries[[#This Row],[clean Salary (in local currency)]]*VLOOKUP(tblSalaries[[#This Row],[Currency]],[1]!tblXrate[#Data],2,FALSE)</f>
        <v>40000</v>
      </c>
      <c r="F317" t="s">
        <v>1399</v>
      </c>
      <c r="G317" t="s">
        <v>807</v>
      </c>
      <c r="H317" t="s">
        <v>331</v>
      </c>
      <c r="I317" t="str">
        <f>VLOOKUP(tblSalaries[[#This Row],[Where do you work]],[1]!tblCountries[[Actual]:[Mapping]],2,FALSE)</f>
        <v>Hungary</v>
      </c>
      <c r="J317" t="s">
        <v>789</v>
      </c>
    </row>
    <row r="318" spans="1:10" x14ac:dyDescent="0.2">
      <c r="A318" t="s">
        <v>1400</v>
      </c>
      <c r="B318" s="59">
        <v>41055.061539351853</v>
      </c>
      <c r="C318">
        <v>137500</v>
      </c>
      <c r="D318" t="s">
        <v>786</v>
      </c>
      <c r="E318">
        <f>tblSalaries[[#This Row],[clean Salary (in local currency)]]*VLOOKUP(tblSalaries[[#This Row],[Currency]],[1]!tblXrate[#Data],2,FALSE)</f>
        <v>137500</v>
      </c>
      <c r="F318" t="s">
        <v>1401</v>
      </c>
      <c r="G318" t="s">
        <v>788</v>
      </c>
      <c r="H318" t="s">
        <v>15</v>
      </c>
      <c r="I318" t="str">
        <f>VLOOKUP(tblSalaries[[#This Row],[Where do you work]],[1]!tblCountries[[Actual]:[Mapping]],2,FALSE)</f>
        <v>USA</v>
      </c>
      <c r="J318" t="s">
        <v>789</v>
      </c>
    </row>
    <row r="319" spans="1:10" x14ac:dyDescent="0.2">
      <c r="A319" t="s">
        <v>1402</v>
      </c>
      <c r="B319" s="59">
        <v>41055.062175925923</v>
      </c>
      <c r="C319">
        <v>4545</v>
      </c>
      <c r="D319" t="s">
        <v>786</v>
      </c>
      <c r="E319">
        <f>tblSalaries[[#This Row],[clean Salary (in local currency)]]*VLOOKUP(tblSalaries[[#This Row],[Currency]],[1]!tblXrate[#Data],2,FALSE)</f>
        <v>4545</v>
      </c>
      <c r="F319" t="s">
        <v>1403</v>
      </c>
      <c r="G319" t="s">
        <v>788</v>
      </c>
      <c r="H319" t="s">
        <v>923</v>
      </c>
      <c r="I319" t="str">
        <f>VLOOKUP(tblSalaries[[#This Row],[Where do you work]],[1]!tblCountries[[Actual]:[Mapping]],2,FALSE)</f>
        <v>Brasil</v>
      </c>
      <c r="J319" t="s">
        <v>794</v>
      </c>
    </row>
    <row r="320" spans="1:10" x14ac:dyDescent="0.2">
      <c r="A320" t="s">
        <v>1404</v>
      </c>
      <c r="B320" s="59">
        <v>41055.0622337963</v>
      </c>
      <c r="C320">
        <v>29000</v>
      </c>
      <c r="D320" t="s">
        <v>861</v>
      </c>
      <c r="E320">
        <f>tblSalaries[[#This Row],[clean Salary (in local currency)]]*VLOOKUP(tblSalaries[[#This Row],[Currency]],[1]!tblXrate[#Data],2,FALSE)</f>
        <v>45709.169889951241</v>
      </c>
      <c r="F320" t="s">
        <v>1405</v>
      </c>
      <c r="G320" t="s">
        <v>788</v>
      </c>
      <c r="H320" t="s">
        <v>863</v>
      </c>
      <c r="I320" t="str">
        <f>VLOOKUP(tblSalaries[[#This Row],[Where do you work]],[1]!tblCountries[[Actual]:[Mapping]],2,FALSE)</f>
        <v>UK</v>
      </c>
      <c r="J320" t="s">
        <v>789</v>
      </c>
    </row>
    <row r="321" spans="1:10" x14ac:dyDescent="0.2">
      <c r="A321" t="s">
        <v>1406</v>
      </c>
      <c r="B321" s="59">
        <v>41055.062638888892</v>
      </c>
      <c r="C321">
        <v>47000</v>
      </c>
      <c r="D321" t="s">
        <v>786</v>
      </c>
      <c r="E321">
        <f>tblSalaries[[#This Row],[clean Salary (in local currency)]]*VLOOKUP(tblSalaries[[#This Row],[Currency]],[1]!tblXrate[#Data],2,FALSE)</f>
        <v>47000</v>
      </c>
      <c r="F321" t="s">
        <v>1407</v>
      </c>
      <c r="G321" t="s">
        <v>820</v>
      </c>
      <c r="H321" t="s">
        <v>15</v>
      </c>
      <c r="I321" t="str">
        <f>VLOOKUP(tblSalaries[[#This Row],[Where do you work]],[1]!tblCountries[[Actual]:[Mapping]],2,FALSE)</f>
        <v>USA</v>
      </c>
      <c r="J321" t="s">
        <v>789</v>
      </c>
    </row>
    <row r="322" spans="1:10" x14ac:dyDescent="0.2">
      <c r="A322" t="s">
        <v>1408</v>
      </c>
      <c r="B322" s="59">
        <v>41055.062951388885</v>
      </c>
      <c r="C322">
        <v>65000</v>
      </c>
      <c r="D322" t="s">
        <v>786</v>
      </c>
      <c r="E322">
        <f>tblSalaries[[#This Row],[clean Salary (in local currency)]]*VLOOKUP(tblSalaries[[#This Row],[Currency]],[1]!tblXrate[#Data],2,FALSE)</f>
        <v>65000</v>
      </c>
      <c r="F322" t="s">
        <v>827</v>
      </c>
      <c r="G322" t="s">
        <v>788</v>
      </c>
      <c r="H322" t="s">
        <v>15</v>
      </c>
      <c r="I322" t="str">
        <f>VLOOKUP(tblSalaries[[#This Row],[Where do you work]],[1]!tblCountries[[Actual]:[Mapping]],2,FALSE)</f>
        <v>USA</v>
      </c>
      <c r="J322" t="s">
        <v>794</v>
      </c>
    </row>
    <row r="323" spans="1:10" x14ac:dyDescent="0.2">
      <c r="A323" t="s">
        <v>1409</v>
      </c>
      <c r="B323" s="59">
        <v>41055.063148148147</v>
      </c>
      <c r="C323">
        <v>456000</v>
      </c>
      <c r="D323" t="s">
        <v>1314</v>
      </c>
      <c r="E323">
        <f>tblSalaries[[#This Row],[clean Salary (in local currency)]]*VLOOKUP(tblSalaries[[#This Row],[Currency]],[1]!tblXrate[#Data],2,FALSE)</f>
        <v>10809.503829551191</v>
      </c>
      <c r="F323" t="s">
        <v>1410</v>
      </c>
      <c r="G323" t="s">
        <v>836</v>
      </c>
      <c r="H323" t="s">
        <v>252</v>
      </c>
      <c r="I323" t="str">
        <f>VLOOKUP(tblSalaries[[#This Row],[Where do you work]],[1]!tblCountries[[Actual]:[Mapping]],2,FALSE)</f>
        <v>Philippines</v>
      </c>
      <c r="J323" t="s">
        <v>789</v>
      </c>
    </row>
    <row r="324" spans="1:10" x14ac:dyDescent="0.2">
      <c r="A324" t="s">
        <v>1411</v>
      </c>
      <c r="B324" s="59">
        <v>41055.06349537037</v>
      </c>
      <c r="C324">
        <v>92000</v>
      </c>
      <c r="D324" t="s">
        <v>786</v>
      </c>
      <c r="E324">
        <f>tblSalaries[[#This Row],[clean Salary (in local currency)]]*VLOOKUP(tblSalaries[[#This Row],[Currency]],[1]!tblXrate[#Data],2,FALSE)</f>
        <v>92000</v>
      </c>
      <c r="F324" t="s">
        <v>1412</v>
      </c>
      <c r="G324" t="s">
        <v>807</v>
      </c>
      <c r="H324" t="s">
        <v>15</v>
      </c>
      <c r="I324" t="str">
        <f>VLOOKUP(tblSalaries[[#This Row],[Where do you work]],[1]!tblCountries[[Actual]:[Mapping]],2,FALSE)</f>
        <v>USA</v>
      </c>
      <c r="J324" t="s">
        <v>789</v>
      </c>
    </row>
    <row r="325" spans="1:10" x14ac:dyDescent="0.2">
      <c r="A325" t="s">
        <v>1413</v>
      </c>
      <c r="B325" s="59">
        <v>41055.063680555555</v>
      </c>
      <c r="C325">
        <v>22000</v>
      </c>
      <c r="D325" t="s">
        <v>786</v>
      </c>
      <c r="E325">
        <f>tblSalaries[[#This Row],[clean Salary (in local currency)]]*VLOOKUP(tblSalaries[[#This Row],[Currency]],[1]!tblXrate[#Data],2,FALSE)</f>
        <v>22000</v>
      </c>
      <c r="F325" t="s">
        <v>1414</v>
      </c>
      <c r="G325" t="s">
        <v>807</v>
      </c>
      <c r="H325" t="s">
        <v>2</v>
      </c>
      <c r="I325" t="str">
        <f>VLOOKUP(tblSalaries[[#This Row],[Where do you work]],[1]!tblCountries[[Actual]:[Mapping]],2,FALSE)</f>
        <v>Mexico</v>
      </c>
      <c r="J325" t="s">
        <v>789</v>
      </c>
    </row>
    <row r="326" spans="1:10" x14ac:dyDescent="0.2">
      <c r="A326" t="s">
        <v>1415</v>
      </c>
      <c r="B326" s="59">
        <v>41055.06386574074</v>
      </c>
      <c r="C326">
        <v>108000</v>
      </c>
      <c r="D326" t="s">
        <v>786</v>
      </c>
      <c r="E326">
        <f>tblSalaries[[#This Row],[clean Salary (in local currency)]]*VLOOKUP(tblSalaries[[#This Row],[Currency]],[1]!tblXrate[#Data],2,FALSE)</f>
        <v>108000</v>
      </c>
      <c r="F326" t="s">
        <v>1416</v>
      </c>
      <c r="G326" t="s">
        <v>807</v>
      </c>
      <c r="H326" t="s">
        <v>15</v>
      </c>
      <c r="I326" t="str">
        <f>VLOOKUP(tblSalaries[[#This Row],[Where do you work]],[1]!tblCountries[[Actual]:[Mapping]],2,FALSE)</f>
        <v>USA</v>
      </c>
      <c r="J326" t="s">
        <v>799</v>
      </c>
    </row>
    <row r="327" spans="1:10" x14ac:dyDescent="0.2">
      <c r="A327" t="s">
        <v>1417</v>
      </c>
      <c r="B327" s="59">
        <v>41055.063981481479</v>
      </c>
      <c r="C327">
        <v>61000</v>
      </c>
      <c r="D327" t="s">
        <v>786</v>
      </c>
      <c r="E327">
        <f>tblSalaries[[#This Row],[clean Salary (in local currency)]]*VLOOKUP(tblSalaries[[#This Row],[Currency]],[1]!tblXrate[#Data],2,FALSE)</f>
        <v>61000</v>
      </c>
      <c r="F327" t="s">
        <v>984</v>
      </c>
      <c r="G327" t="s">
        <v>788</v>
      </c>
      <c r="H327" t="s">
        <v>15</v>
      </c>
      <c r="I327" t="str">
        <f>VLOOKUP(tblSalaries[[#This Row],[Where do you work]],[1]!tblCountries[[Actual]:[Mapping]],2,FALSE)</f>
        <v>USA</v>
      </c>
      <c r="J327" t="s">
        <v>808</v>
      </c>
    </row>
    <row r="328" spans="1:10" x14ac:dyDescent="0.2">
      <c r="A328" t="s">
        <v>1418</v>
      </c>
      <c r="B328" s="59">
        <v>41055.064050925925</v>
      </c>
      <c r="C328">
        <v>65000</v>
      </c>
      <c r="D328" t="s">
        <v>882</v>
      </c>
      <c r="E328">
        <f>tblSalaries[[#This Row],[clean Salary (in local currency)]]*VLOOKUP(tblSalaries[[#This Row],[Currency]],[1]!tblXrate[#Data],2,FALSE)</f>
        <v>63918.498996971248</v>
      </c>
      <c r="F328" t="s">
        <v>1419</v>
      </c>
      <c r="G328" t="s">
        <v>807</v>
      </c>
      <c r="H328" t="s">
        <v>920</v>
      </c>
      <c r="I328" t="str">
        <f>VLOOKUP(tblSalaries[[#This Row],[Where do you work]],[1]!tblCountries[[Actual]:[Mapping]],2,FALSE)</f>
        <v>Canada</v>
      </c>
      <c r="J328" t="s">
        <v>799</v>
      </c>
    </row>
    <row r="329" spans="1:10" x14ac:dyDescent="0.2">
      <c r="A329" t="s">
        <v>1420</v>
      </c>
      <c r="B329" s="59">
        <v>41055.064189814817</v>
      </c>
      <c r="C329">
        <v>50000</v>
      </c>
      <c r="D329" t="s">
        <v>786</v>
      </c>
      <c r="E329">
        <f>tblSalaries[[#This Row],[clean Salary (in local currency)]]*VLOOKUP(tblSalaries[[#This Row],[Currency]],[1]!tblXrate[#Data],2,FALSE)</f>
        <v>50000</v>
      </c>
      <c r="F329" t="s">
        <v>1421</v>
      </c>
      <c r="G329" t="s">
        <v>788</v>
      </c>
      <c r="H329" t="s">
        <v>15</v>
      </c>
      <c r="I329" t="str">
        <f>VLOOKUP(tblSalaries[[#This Row],[Where do you work]],[1]!tblCountries[[Actual]:[Mapping]],2,FALSE)</f>
        <v>USA</v>
      </c>
      <c r="J329" t="s">
        <v>794</v>
      </c>
    </row>
    <row r="330" spans="1:10" x14ac:dyDescent="0.2">
      <c r="A330" t="s">
        <v>1422</v>
      </c>
      <c r="B330" s="59">
        <v>41055.064618055556</v>
      </c>
      <c r="C330">
        <v>150000</v>
      </c>
      <c r="D330" t="s">
        <v>786</v>
      </c>
      <c r="E330">
        <f>tblSalaries[[#This Row],[clean Salary (in local currency)]]*VLOOKUP(tblSalaries[[#This Row],[Currency]],[1]!tblXrate[#Data],2,FALSE)</f>
        <v>150000</v>
      </c>
      <c r="F330" t="s">
        <v>1423</v>
      </c>
      <c r="G330" t="s">
        <v>817</v>
      </c>
      <c r="H330" t="s">
        <v>15</v>
      </c>
      <c r="I330" t="str">
        <f>VLOOKUP(tblSalaries[[#This Row],[Where do you work]],[1]!tblCountries[[Actual]:[Mapping]],2,FALSE)</f>
        <v>USA</v>
      </c>
      <c r="J330" t="s">
        <v>794</v>
      </c>
    </row>
    <row r="331" spans="1:10" x14ac:dyDescent="0.2">
      <c r="A331" t="s">
        <v>1424</v>
      </c>
      <c r="B331" s="59">
        <v>41055.065011574072</v>
      </c>
      <c r="C331">
        <v>400000</v>
      </c>
      <c r="D331" t="s">
        <v>824</v>
      </c>
      <c r="E331">
        <f>tblSalaries[[#This Row],[clean Salary (in local currency)]]*VLOOKUP(tblSalaries[[#This Row],[Currency]],[1]!tblXrate[#Data],2,FALSE)</f>
        <v>7123.1666749770275</v>
      </c>
      <c r="F331" t="s">
        <v>1425</v>
      </c>
      <c r="G331" t="s">
        <v>788</v>
      </c>
      <c r="H331" t="s">
        <v>117</v>
      </c>
      <c r="I331" t="str">
        <f>VLOOKUP(tblSalaries[[#This Row],[Where do you work]],[1]!tblCountries[[Actual]:[Mapping]],2,FALSE)</f>
        <v>India</v>
      </c>
      <c r="J331" t="s">
        <v>789</v>
      </c>
    </row>
    <row r="332" spans="1:10" x14ac:dyDescent="0.2">
      <c r="A332" t="s">
        <v>1426</v>
      </c>
      <c r="B332" s="59">
        <v>41055.065104166664</v>
      </c>
      <c r="C332">
        <v>150000</v>
      </c>
      <c r="D332" t="s">
        <v>786</v>
      </c>
      <c r="E332">
        <f>tblSalaries[[#This Row],[clean Salary (in local currency)]]*VLOOKUP(tblSalaries[[#This Row],[Currency]],[1]!tblXrate[#Data],2,FALSE)</f>
        <v>150000</v>
      </c>
      <c r="F332" t="s">
        <v>1427</v>
      </c>
      <c r="G332" t="s">
        <v>807</v>
      </c>
      <c r="H332" t="s">
        <v>128</v>
      </c>
      <c r="I332" t="str">
        <f>VLOOKUP(tblSalaries[[#This Row],[Where do you work]],[1]!tblCountries[[Actual]:[Mapping]],2,FALSE)</f>
        <v>Israel</v>
      </c>
      <c r="J332" t="s">
        <v>789</v>
      </c>
    </row>
    <row r="333" spans="1:10" x14ac:dyDescent="0.2">
      <c r="A333" t="s">
        <v>1428</v>
      </c>
      <c r="B333" s="59">
        <v>41055.065925925926</v>
      </c>
      <c r="C333">
        <v>45000</v>
      </c>
      <c r="D333" t="s">
        <v>786</v>
      </c>
      <c r="E333">
        <f>tblSalaries[[#This Row],[clean Salary (in local currency)]]*VLOOKUP(tblSalaries[[#This Row],[Currency]],[1]!tblXrate[#Data],2,FALSE)</f>
        <v>45000</v>
      </c>
      <c r="F333" t="s">
        <v>1429</v>
      </c>
      <c r="G333" t="s">
        <v>820</v>
      </c>
      <c r="H333" t="s">
        <v>15</v>
      </c>
      <c r="I333" t="str">
        <f>VLOOKUP(tblSalaries[[#This Row],[Where do you work]],[1]!tblCountries[[Actual]:[Mapping]],2,FALSE)</f>
        <v>USA</v>
      </c>
      <c r="J333" t="s">
        <v>789</v>
      </c>
    </row>
    <row r="334" spans="1:10" x14ac:dyDescent="0.2">
      <c r="A334" t="s">
        <v>1430</v>
      </c>
      <c r="B334" s="59">
        <v>41055.065995370373</v>
      </c>
      <c r="C334">
        <v>135000</v>
      </c>
      <c r="D334" t="s">
        <v>786</v>
      </c>
      <c r="E334">
        <f>tblSalaries[[#This Row],[clean Salary (in local currency)]]*VLOOKUP(tblSalaries[[#This Row],[Currency]],[1]!tblXrate[#Data],2,FALSE)</f>
        <v>135000</v>
      </c>
      <c r="F334" t="s">
        <v>1431</v>
      </c>
      <c r="G334" t="s">
        <v>807</v>
      </c>
      <c r="H334" t="s">
        <v>15</v>
      </c>
      <c r="I334" t="str">
        <f>VLOOKUP(tblSalaries[[#This Row],[Where do you work]],[1]!tblCountries[[Actual]:[Mapping]],2,FALSE)</f>
        <v>USA</v>
      </c>
      <c r="J334" t="s">
        <v>794</v>
      </c>
    </row>
    <row r="335" spans="1:10" x14ac:dyDescent="0.2">
      <c r="A335" t="s">
        <v>1432</v>
      </c>
      <c r="B335" s="59">
        <v>41055.066180555557</v>
      </c>
      <c r="C335">
        <v>360000</v>
      </c>
      <c r="D335" t="s">
        <v>824</v>
      </c>
      <c r="E335">
        <f>tblSalaries[[#This Row],[clean Salary (in local currency)]]*VLOOKUP(tblSalaries[[#This Row],[Currency]],[1]!tblXrate[#Data],2,FALSE)</f>
        <v>6410.8500074793246</v>
      </c>
      <c r="F335" t="s">
        <v>1433</v>
      </c>
      <c r="G335" t="s">
        <v>788</v>
      </c>
      <c r="H335" t="s">
        <v>117</v>
      </c>
      <c r="I335" t="str">
        <f>VLOOKUP(tblSalaries[[#This Row],[Where do you work]],[1]!tblCountries[[Actual]:[Mapping]],2,FALSE)</f>
        <v>India</v>
      </c>
      <c r="J335" t="s">
        <v>799</v>
      </c>
    </row>
    <row r="336" spans="1:10" x14ac:dyDescent="0.2">
      <c r="A336" t="s">
        <v>1434</v>
      </c>
      <c r="B336" s="59">
        <v>41055.066377314812</v>
      </c>
      <c r="C336">
        <v>29000</v>
      </c>
      <c r="D336" t="s">
        <v>786</v>
      </c>
      <c r="E336">
        <f>tblSalaries[[#This Row],[clean Salary (in local currency)]]*VLOOKUP(tblSalaries[[#This Row],[Currency]],[1]!tblXrate[#Data],2,FALSE)</f>
        <v>29000</v>
      </c>
      <c r="F336" t="s">
        <v>1435</v>
      </c>
      <c r="G336" t="s">
        <v>807</v>
      </c>
      <c r="H336" t="s">
        <v>15</v>
      </c>
      <c r="I336" t="str">
        <f>VLOOKUP(tblSalaries[[#This Row],[Where do you work]],[1]!tblCountries[[Actual]:[Mapping]],2,FALSE)</f>
        <v>USA</v>
      </c>
      <c r="J336" t="s">
        <v>789</v>
      </c>
    </row>
    <row r="337" spans="1:10" x14ac:dyDescent="0.2">
      <c r="A337" t="s">
        <v>1436</v>
      </c>
      <c r="B337" s="59">
        <v>41055.067743055559</v>
      </c>
      <c r="C337">
        <v>13000</v>
      </c>
      <c r="D337" t="s">
        <v>786</v>
      </c>
      <c r="E337">
        <f>tblSalaries[[#This Row],[clean Salary (in local currency)]]*VLOOKUP(tblSalaries[[#This Row],[Currency]],[1]!tblXrate[#Data],2,FALSE)</f>
        <v>13000</v>
      </c>
      <c r="F337" t="s">
        <v>1437</v>
      </c>
      <c r="G337" t="s">
        <v>807</v>
      </c>
      <c r="H337" t="s">
        <v>117</v>
      </c>
      <c r="I337" t="str">
        <f>VLOOKUP(tblSalaries[[#This Row],[Where do you work]],[1]!tblCountries[[Actual]:[Mapping]],2,FALSE)</f>
        <v>India</v>
      </c>
      <c r="J337" t="s">
        <v>794</v>
      </c>
    </row>
    <row r="338" spans="1:10" x14ac:dyDescent="0.2">
      <c r="A338" t="s">
        <v>1438</v>
      </c>
      <c r="B338" s="59">
        <v>41055.068124999998</v>
      </c>
      <c r="C338">
        <v>63000</v>
      </c>
      <c r="D338" t="s">
        <v>786</v>
      </c>
      <c r="E338">
        <f>tblSalaries[[#This Row],[clean Salary (in local currency)]]*VLOOKUP(tblSalaries[[#This Row],[Currency]],[1]!tblXrate[#Data],2,FALSE)</f>
        <v>63000</v>
      </c>
      <c r="F338" t="s">
        <v>919</v>
      </c>
      <c r="G338" t="s">
        <v>788</v>
      </c>
      <c r="H338" t="s">
        <v>15</v>
      </c>
      <c r="I338" t="str">
        <f>VLOOKUP(tblSalaries[[#This Row],[Where do you work]],[1]!tblCountries[[Actual]:[Mapping]],2,FALSE)</f>
        <v>USA</v>
      </c>
      <c r="J338" t="s">
        <v>794</v>
      </c>
    </row>
    <row r="339" spans="1:10" x14ac:dyDescent="0.2">
      <c r="A339" t="s">
        <v>1439</v>
      </c>
      <c r="B339" s="59">
        <v>41055.068124999998</v>
      </c>
      <c r="C339">
        <v>95000</v>
      </c>
      <c r="D339" t="s">
        <v>786</v>
      </c>
      <c r="E339">
        <f>tblSalaries[[#This Row],[clean Salary (in local currency)]]*VLOOKUP(tblSalaries[[#This Row],[Currency]],[1]!tblXrate[#Data],2,FALSE)</f>
        <v>95000</v>
      </c>
      <c r="F339" t="s">
        <v>1440</v>
      </c>
      <c r="G339" t="s">
        <v>788</v>
      </c>
      <c r="H339" t="s">
        <v>15</v>
      </c>
      <c r="I339" t="str">
        <f>VLOOKUP(tblSalaries[[#This Row],[Where do you work]],[1]!tblCountries[[Actual]:[Mapping]],2,FALSE)</f>
        <v>USA</v>
      </c>
      <c r="J339" t="s">
        <v>789</v>
      </c>
    </row>
    <row r="340" spans="1:10" x14ac:dyDescent="0.2">
      <c r="A340" t="s">
        <v>1441</v>
      </c>
      <c r="B340" s="59">
        <v>41055.068645833337</v>
      </c>
      <c r="C340">
        <v>100000</v>
      </c>
      <c r="D340" t="s">
        <v>786</v>
      </c>
      <c r="E340">
        <f>tblSalaries[[#This Row],[clean Salary (in local currency)]]*VLOOKUP(tblSalaries[[#This Row],[Currency]],[1]!tblXrate[#Data],2,FALSE)</f>
        <v>100000</v>
      </c>
      <c r="F340" t="s">
        <v>1442</v>
      </c>
      <c r="G340" t="s">
        <v>788</v>
      </c>
      <c r="H340" t="s">
        <v>863</v>
      </c>
      <c r="I340" t="str">
        <f>VLOOKUP(tblSalaries[[#This Row],[Where do you work]],[1]!tblCountries[[Actual]:[Mapping]],2,FALSE)</f>
        <v>UK</v>
      </c>
      <c r="J340" t="s">
        <v>789</v>
      </c>
    </row>
    <row r="341" spans="1:10" x14ac:dyDescent="0.2">
      <c r="A341" t="s">
        <v>1443</v>
      </c>
      <c r="B341" s="59">
        <v>41055.069178240738</v>
      </c>
      <c r="C341">
        <v>3800</v>
      </c>
      <c r="D341" t="s">
        <v>786</v>
      </c>
      <c r="E341">
        <f>tblSalaries[[#This Row],[clean Salary (in local currency)]]*VLOOKUP(tblSalaries[[#This Row],[Currency]],[1]!tblXrate[#Data],2,FALSE)</f>
        <v>3800</v>
      </c>
      <c r="F341" t="s">
        <v>1444</v>
      </c>
      <c r="G341" t="s">
        <v>836</v>
      </c>
      <c r="H341" t="s">
        <v>117</v>
      </c>
      <c r="I341" t="str">
        <f>VLOOKUP(tblSalaries[[#This Row],[Where do you work]],[1]!tblCountries[[Actual]:[Mapping]],2,FALSE)</f>
        <v>India</v>
      </c>
      <c r="J341" t="s">
        <v>789</v>
      </c>
    </row>
    <row r="342" spans="1:10" x14ac:dyDescent="0.2">
      <c r="A342" t="s">
        <v>1445</v>
      </c>
      <c r="B342" s="59">
        <v>41055.069502314815</v>
      </c>
      <c r="C342">
        <v>11400</v>
      </c>
      <c r="D342" t="s">
        <v>786</v>
      </c>
      <c r="E342">
        <f>tblSalaries[[#This Row],[clean Salary (in local currency)]]*VLOOKUP(tblSalaries[[#This Row],[Currency]],[1]!tblXrate[#Data],2,FALSE)</f>
        <v>11400</v>
      </c>
      <c r="F342" t="s">
        <v>1446</v>
      </c>
      <c r="G342" t="s">
        <v>867</v>
      </c>
      <c r="H342" t="s">
        <v>54</v>
      </c>
      <c r="I342" t="str">
        <f>VLOOKUP(tblSalaries[[#This Row],[Where do you work]],[1]!tblCountries[[Actual]:[Mapping]],2,FALSE)</f>
        <v>Brazil</v>
      </c>
      <c r="J342" t="s">
        <v>789</v>
      </c>
    </row>
    <row r="343" spans="1:10" x14ac:dyDescent="0.2">
      <c r="A343" t="s">
        <v>1447</v>
      </c>
      <c r="B343" s="59">
        <v>41055.069652777776</v>
      </c>
      <c r="C343">
        <v>56000</v>
      </c>
      <c r="D343" t="s">
        <v>882</v>
      </c>
      <c r="E343">
        <f>tblSalaries[[#This Row],[clean Salary (in local currency)]]*VLOOKUP(tblSalaries[[#This Row],[Currency]],[1]!tblXrate[#Data],2,FALSE)</f>
        <v>55068.245289698301</v>
      </c>
      <c r="F343" t="s">
        <v>1448</v>
      </c>
      <c r="G343" t="s">
        <v>788</v>
      </c>
      <c r="H343" t="s">
        <v>143</v>
      </c>
      <c r="I343" t="str">
        <f>VLOOKUP(tblSalaries[[#This Row],[Where do you work]],[1]!tblCountries[[Actual]:[Mapping]],2,FALSE)</f>
        <v>Canada</v>
      </c>
      <c r="J343" t="s">
        <v>789</v>
      </c>
    </row>
    <row r="344" spans="1:10" x14ac:dyDescent="0.2">
      <c r="A344" t="s">
        <v>1449</v>
      </c>
      <c r="B344" s="59">
        <v>41055.069768518515</v>
      </c>
      <c r="C344">
        <v>53000</v>
      </c>
      <c r="D344" t="s">
        <v>786</v>
      </c>
      <c r="E344">
        <f>tblSalaries[[#This Row],[clean Salary (in local currency)]]*VLOOKUP(tblSalaries[[#This Row],[Currency]],[1]!tblXrate[#Data],2,FALSE)</f>
        <v>53000</v>
      </c>
      <c r="F344" t="s">
        <v>1450</v>
      </c>
      <c r="G344" t="s">
        <v>807</v>
      </c>
      <c r="H344" t="s">
        <v>15</v>
      </c>
      <c r="I344" t="str">
        <f>VLOOKUP(tblSalaries[[#This Row],[Where do you work]],[1]!tblCountries[[Actual]:[Mapping]],2,FALSE)</f>
        <v>USA</v>
      </c>
      <c r="J344" t="s">
        <v>799</v>
      </c>
    </row>
    <row r="345" spans="1:10" x14ac:dyDescent="0.2">
      <c r="A345" t="s">
        <v>1451</v>
      </c>
      <c r="B345" s="59">
        <v>41055.070034722223</v>
      </c>
      <c r="C345">
        <v>130000</v>
      </c>
      <c r="D345" t="s">
        <v>786</v>
      </c>
      <c r="E345">
        <f>tblSalaries[[#This Row],[clean Salary (in local currency)]]*VLOOKUP(tblSalaries[[#This Row],[Currency]],[1]!tblXrate[#Data],2,FALSE)</f>
        <v>130000</v>
      </c>
      <c r="F345" t="s">
        <v>1452</v>
      </c>
      <c r="G345" t="s">
        <v>802</v>
      </c>
      <c r="H345" t="s">
        <v>15</v>
      </c>
      <c r="I345" t="str">
        <f>VLOOKUP(tblSalaries[[#This Row],[Where do you work]],[1]!tblCountries[[Actual]:[Mapping]],2,FALSE)</f>
        <v>USA</v>
      </c>
      <c r="J345" t="s">
        <v>789</v>
      </c>
    </row>
    <row r="346" spans="1:10" x14ac:dyDescent="0.2">
      <c r="A346" t="s">
        <v>1453</v>
      </c>
      <c r="B346" s="59">
        <v>41055.070509259262</v>
      </c>
      <c r="C346">
        <v>370000</v>
      </c>
      <c r="D346" t="s">
        <v>824</v>
      </c>
      <c r="E346">
        <f>tblSalaries[[#This Row],[clean Salary (in local currency)]]*VLOOKUP(tblSalaries[[#This Row],[Currency]],[1]!tblXrate[#Data],2,FALSE)</f>
        <v>6588.9291743537506</v>
      </c>
      <c r="F346" t="s">
        <v>1454</v>
      </c>
      <c r="G346" t="s">
        <v>788</v>
      </c>
      <c r="H346" t="s">
        <v>117</v>
      </c>
      <c r="I346" t="str">
        <f>VLOOKUP(tblSalaries[[#This Row],[Where do you work]],[1]!tblCountries[[Actual]:[Mapping]],2,FALSE)</f>
        <v>India</v>
      </c>
      <c r="J346" t="s">
        <v>794</v>
      </c>
    </row>
    <row r="347" spans="1:10" x14ac:dyDescent="0.2">
      <c r="A347" t="s">
        <v>1455</v>
      </c>
      <c r="B347" s="59">
        <v>41055.070752314816</v>
      </c>
      <c r="C347">
        <v>160000</v>
      </c>
      <c r="D347" t="s">
        <v>882</v>
      </c>
      <c r="E347">
        <f>tblSalaries[[#This Row],[clean Salary (in local currency)]]*VLOOKUP(tblSalaries[[#This Row],[Currency]],[1]!tblXrate[#Data],2,FALSE)</f>
        <v>157337.8436848523</v>
      </c>
      <c r="F347" t="s">
        <v>867</v>
      </c>
      <c r="G347" t="s">
        <v>867</v>
      </c>
      <c r="H347" t="s">
        <v>143</v>
      </c>
      <c r="I347" t="str">
        <f>VLOOKUP(tblSalaries[[#This Row],[Where do you work]],[1]!tblCountries[[Actual]:[Mapping]],2,FALSE)</f>
        <v>Canada</v>
      </c>
      <c r="J347" t="s">
        <v>799</v>
      </c>
    </row>
    <row r="348" spans="1:10" x14ac:dyDescent="0.2">
      <c r="A348" t="s">
        <v>1456</v>
      </c>
      <c r="B348" s="59">
        <v>41055.070763888885</v>
      </c>
      <c r="C348">
        <v>44200</v>
      </c>
      <c r="D348" t="s">
        <v>786</v>
      </c>
      <c r="E348">
        <f>tblSalaries[[#This Row],[clean Salary (in local currency)]]*VLOOKUP(tblSalaries[[#This Row],[Currency]],[1]!tblXrate[#Data],2,FALSE)</f>
        <v>44200</v>
      </c>
      <c r="F348" t="s">
        <v>1457</v>
      </c>
      <c r="G348" t="s">
        <v>788</v>
      </c>
      <c r="H348" t="s">
        <v>15</v>
      </c>
      <c r="I348" t="str">
        <f>VLOOKUP(tblSalaries[[#This Row],[Where do you work]],[1]!tblCountries[[Actual]:[Mapping]],2,FALSE)</f>
        <v>USA</v>
      </c>
      <c r="J348" t="s">
        <v>794</v>
      </c>
    </row>
    <row r="349" spans="1:10" x14ac:dyDescent="0.2">
      <c r="A349" t="s">
        <v>1458</v>
      </c>
      <c r="B349" s="59">
        <v>41055.070914351854</v>
      </c>
      <c r="C349">
        <v>56000</v>
      </c>
      <c r="D349" t="s">
        <v>786</v>
      </c>
      <c r="E349">
        <f>tblSalaries[[#This Row],[clean Salary (in local currency)]]*VLOOKUP(tblSalaries[[#This Row],[Currency]],[1]!tblXrate[#Data],2,FALSE)</f>
        <v>56000</v>
      </c>
      <c r="F349" t="s">
        <v>1459</v>
      </c>
      <c r="G349" t="s">
        <v>807</v>
      </c>
      <c r="H349" t="s">
        <v>15</v>
      </c>
      <c r="I349" t="str">
        <f>VLOOKUP(tblSalaries[[#This Row],[Where do you work]],[1]!tblCountries[[Actual]:[Mapping]],2,FALSE)</f>
        <v>USA</v>
      </c>
      <c r="J349" t="s">
        <v>799</v>
      </c>
    </row>
    <row r="350" spans="1:10" x14ac:dyDescent="0.2">
      <c r="A350" t="s">
        <v>1460</v>
      </c>
      <c r="B350" s="59">
        <v>41055.071145833332</v>
      </c>
      <c r="C350">
        <v>72500</v>
      </c>
      <c r="D350" t="s">
        <v>786</v>
      </c>
      <c r="E350">
        <f>tblSalaries[[#This Row],[clean Salary (in local currency)]]*VLOOKUP(tblSalaries[[#This Row],[Currency]],[1]!tblXrate[#Data],2,FALSE)</f>
        <v>72500</v>
      </c>
      <c r="F350" t="s">
        <v>1461</v>
      </c>
      <c r="G350" t="s">
        <v>802</v>
      </c>
      <c r="H350" t="s">
        <v>15</v>
      </c>
      <c r="I350" t="str">
        <f>VLOOKUP(tblSalaries[[#This Row],[Where do you work]],[1]!tblCountries[[Actual]:[Mapping]],2,FALSE)</f>
        <v>USA</v>
      </c>
      <c r="J350" t="s">
        <v>799</v>
      </c>
    </row>
    <row r="351" spans="1:10" x14ac:dyDescent="0.2">
      <c r="A351" t="s">
        <v>1462</v>
      </c>
      <c r="B351" s="59">
        <v>41055.071192129632</v>
      </c>
      <c r="C351">
        <v>75000</v>
      </c>
      <c r="D351" t="s">
        <v>882</v>
      </c>
      <c r="E351">
        <f>tblSalaries[[#This Row],[clean Salary (in local currency)]]*VLOOKUP(tblSalaries[[#This Row],[Currency]],[1]!tblXrate[#Data],2,FALSE)</f>
        <v>73752.11422727452</v>
      </c>
      <c r="F351" t="s">
        <v>1463</v>
      </c>
      <c r="G351" t="s">
        <v>788</v>
      </c>
      <c r="H351" t="s">
        <v>1066</v>
      </c>
      <c r="I351" t="str">
        <f>VLOOKUP(tblSalaries[[#This Row],[Where do you work]],[1]!tblCountries[[Actual]:[Mapping]],2,FALSE)</f>
        <v>Canada</v>
      </c>
      <c r="J351" t="s">
        <v>789</v>
      </c>
    </row>
    <row r="352" spans="1:10" x14ac:dyDescent="0.2">
      <c r="A352" t="s">
        <v>1464</v>
      </c>
      <c r="B352" s="59">
        <v>41055.071446759262</v>
      </c>
      <c r="C352">
        <v>170000</v>
      </c>
      <c r="D352" t="s">
        <v>786</v>
      </c>
      <c r="E352">
        <f>tblSalaries[[#This Row],[clean Salary (in local currency)]]*VLOOKUP(tblSalaries[[#This Row],[Currency]],[1]!tblXrate[#Data],2,FALSE)</f>
        <v>170000</v>
      </c>
      <c r="F352" t="s">
        <v>1465</v>
      </c>
      <c r="G352" t="s">
        <v>788</v>
      </c>
      <c r="H352" t="s">
        <v>863</v>
      </c>
      <c r="I352" t="str">
        <f>VLOOKUP(tblSalaries[[#This Row],[Where do you work]],[1]!tblCountries[[Actual]:[Mapping]],2,FALSE)</f>
        <v>UK</v>
      </c>
      <c r="J352" t="s">
        <v>1033</v>
      </c>
    </row>
    <row r="353" spans="1:10" x14ac:dyDescent="0.2">
      <c r="A353" t="s">
        <v>1466</v>
      </c>
      <c r="B353" s="59">
        <v>41055.072083333333</v>
      </c>
      <c r="C353">
        <v>68000</v>
      </c>
      <c r="D353" t="s">
        <v>786</v>
      </c>
      <c r="E353">
        <f>tblSalaries[[#This Row],[clean Salary (in local currency)]]*VLOOKUP(tblSalaries[[#This Row],[Currency]],[1]!tblXrate[#Data],2,FALSE)</f>
        <v>68000</v>
      </c>
      <c r="F353" t="s">
        <v>1059</v>
      </c>
      <c r="G353" t="s">
        <v>807</v>
      </c>
      <c r="H353" t="s">
        <v>15</v>
      </c>
      <c r="I353" t="str">
        <f>VLOOKUP(tblSalaries[[#This Row],[Where do you work]],[1]!tblCountries[[Actual]:[Mapping]],2,FALSE)</f>
        <v>USA</v>
      </c>
      <c r="J353" t="s">
        <v>799</v>
      </c>
    </row>
    <row r="354" spans="1:10" x14ac:dyDescent="0.2">
      <c r="A354" t="s">
        <v>1467</v>
      </c>
      <c r="B354" s="59">
        <v>41055.072905092595</v>
      </c>
      <c r="C354">
        <v>75000</v>
      </c>
      <c r="D354" t="s">
        <v>786</v>
      </c>
      <c r="E354">
        <f>tblSalaries[[#This Row],[clean Salary (in local currency)]]*VLOOKUP(tblSalaries[[#This Row],[Currency]],[1]!tblXrate[#Data],2,FALSE)</f>
        <v>75000</v>
      </c>
      <c r="F354" t="s">
        <v>1197</v>
      </c>
      <c r="G354" t="s">
        <v>788</v>
      </c>
      <c r="H354" t="s">
        <v>15</v>
      </c>
      <c r="I354" t="str">
        <f>VLOOKUP(tblSalaries[[#This Row],[Where do you work]],[1]!tblCountries[[Actual]:[Mapping]],2,FALSE)</f>
        <v>USA</v>
      </c>
      <c r="J354" t="s">
        <v>794</v>
      </c>
    </row>
    <row r="355" spans="1:10" x14ac:dyDescent="0.2">
      <c r="A355" t="s">
        <v>1468</v>
      </c>
      <c r="B355" s="59">
        <v>41055.073495370372</v>
      </c>
      <c r="C355">
        <v>62500</v>
      </c>
      <c r="D355" t="s">
        <v>786</v>
      </c>
      <c r="E355">
        <f>tblSalaries[[#This Row],[clean Salary (in local currency)]]*VLOOKUP(tblSalaries[[#This Row],[Currency]],[1]!tblXrate[#Data],2,FALSE)</f>
        <v>62500</v>
      </c>
      <c r="F355" t="s">
        <v>1469</v>
      </c>
      <c r="G355" t="s">
        <v>813</v>
      </c>
      <c r="H355" t="s">
        <v>15</v>
      </c>
      <c r="I355" t="str">
        <f>VLOOKUP(tblSalaries[[#This Row],[Where do you work]],[1]!tblCountries[[Actual]:[Mapping]],2,FALSE)</f>
        <v>USA</v>
      </c>
      <c r="J355" t="s">
        <v>794</v>
      </c>
    </row>
    <row r="356" spans="1:10" x14ac:dyDescent="0.2">
      <c r="A356" t="s">
        <v>1470</v>
      </c>
      <c r="B356" s="59">
        <v>41055.073587962965</v>
      </c>
      <c r="C356">
        <v>25000</v>
      </c>
      <c r="D356" t="s">
        <v>786</v>
      </c>
      <c r="E356">
        <f>tblSalaries[[#This Row],[clean Salary (in local currency)]]*VLOOKUP(tblSalaries[[#This Row],[Currency]],[1]!tblXrate[#Data],2,FALSE)</f>
        <v>25000</v>
      </c>
      <c r="F356" t="s">
        <v>807</v>
      </c>
      <c r="G356" t="s">
        <v>807</v>
      </c>
      <c r="H356" t="s">
        <v>117</v>
      </c>
      <c r="I356" t="str">
        <f>VLOOKUP(tblSalaries[[#This Row],[Where do you work]],[1]!tblCountries[[Actual]:[Mapping]],2,FALSE)</f>
        <v>India</v>
      </c>
      <c r="J356" t="s">
        <v>789</v>
      </c>
    </row>
    <row r="357" spans="1:10" x14ac:dyDescent="0.2">
      <c r="A357" t="s">
        <v>1471</v>
      </c>
      <c r="B357" s="59">
        <v>41055.073888888888</v>
      </c>
      <c r="C357">
        <v>480000</v>
      </c>
      <c r="D357" t="s">
        <v>1472</v>
      </c>
      <c r="E357">
        <f>tblSalaries[[#This Row],[clean Salary (in local currency)]]*VLOOKUP(tblSalaries[[#This Row],[Currency]],[1]!tblXrate[#Data],2,FALSE)</f>
        <v>68954.520184280962</v>
      </c>
      <c r="F357" t="s">
        <v>1473</v>
      </c>
      <c r="G357" t="s">
        <v>867</v>
      </c>
      <c r="H357" t="s">
        <v>269</v>
      </c>
      <c r="I357" t="str">
        <f>VLOOKUP(tblSalaries[[#This Row],[Where do you work]],[1]!tblCountries[[Actual]:[Mapping]],2,FALSE)</f>
        <v>Sweden</v>
      </c>
      <c r="J357" t="s">
        <v>808</v>
      </c>
    </row>
    <row r="358" spans="1:10" x14ac:dyDescent="0.2">
      <c r="A358" t="s">
        <v>1474</v>
      </c>
      <c r="B358" s="59">
        <v>41055.075914351852</v>
      </c>
      <c r="C358">
        <v>85000</v>
      </c>
      <c r="D358" t="s">
        <v>786</v>
      </c>
      <c r="E358">
        <f>tblSalaries[[#This Row],[clean Salary (in local currency)]]*VLOOKUP(tblSalaries[[#This Row],[Currency]],[1]!tblXrate[#Data],2,FALSE)</f>
        <v>85000</v>
      </c>
      <c r="F358" t="s">
        <v>1197</v>
      </c>
      <c r="G358" t="s">
        <v>788</v>
      </c>
      <c r="H358" t="s">
        <v>15</v>
      </c>
      <c r="I358" t="str">
        <f>VLOOKUP(tblSalaries[[#This Row],[Where do you work]],[1]!tblCountries[[Actual]:[Mapping]],2,FALSE)</f>
        <v>USA</v>
      </c>
      <c r="J358" t="s">
        <v>789</v>
      </c>
    </row>
    <row r="359" spans="1:10" x14ac:dyDescent="0.2">
      <c r="A359" t="s">
        <v>1475</v>
      </c>
      <c r="B359" s="59">
        <v>41055.076331018521</v>
      </c>
      <c r="C359">
        <v>43000</v>
      </c>
      <c r="D359" t="s">
        <v>861</v>
      </c>
      <c r="E359">
        <f>tblSalaries[[#This Row],[clean Salary (in local currency)]]*VLOOKUP(tblSalaries[[#This Row],[Currency]],[1]!tblXrate[#Data],2,FALSE)</f>
        <v>67775.665698893223</v>
      </c>
      <c r="F359" t="s">
        <v>1476</v>
      </c>
      <c r="G359" t="s">
        <v>807</v>
      </c>
      <c r="H359" t="s">
        <v>863</v>
      </c>
      <c r="I359" t="str">
        <f>VLOOKUP(tblSalaries[[#This Row],[Where do you work]],[1]!tblCountries[[Actual]:[Mapping]],2,FALSE)</f>
        <v>UK</v>
      </c>
      <c r="J359" t="s">
        <v>789</v>
      </c>
    </row>
    <row r="360" spans="1:10" x14ac:dyDescent="0.2">
      <c r="A360" t="s">
        <v>1477</v>
      </c>
      <c r="B360" s="59">
        <v>41055.076342592591</v>
      </c>
      <c r="C360">
        <v>89000</v>
      </c>
      <c r="D360" t="s">
        <v>786</v>
      </c>
      <c r="E360">
        <f>tblSalaries[[#This Row],[clean Salary (in local currency)]]*VLOOKUP(tblSalaries[[#This Row],[Currency]],[1]!tblXrate[#Data],2,FALSE)</f>
        <v>89000</v>
      </c>
      <c r="F360" t="s">
        <v>1478</v>
      </c>
      <c r="G360" t="s">
        <v>807</v>
      </c>
      <c r="H360" t="s">
        <v>15</v>
      </c>
      <c r="I360" t="str">
        <f>VLOOKUP(tblSalaries[[#This Row],[Where do you work]],[1]!tblCountries[[Actual]:[Mapping]],2,FALSE)</f>
        <v>USA</v>
      </c>
      <c r="J360" t="s">
        <v>789</v>
      </c>
    </row>
    <row r="361" spans="1:10" x14ac:dyDescent="0.2">
      <c r="A361" t="s">
        <v>1479</v>
      </c>
      <c r="B361" s="59">
        <v>41055.076388888891</v>
      </c>
      <c r="C361">
        <v>35000</v>
      </c>
      <c r="D361" t="s">
        <v>786</v>
      </c>
      <c r="E361">
        <f>tblSalaries[[#This Row],[clean Salary (in local currency)]]*VLOOKUP(tblSalaries[[#This Row],[Currency]],[1]!tblXrate[#Data],2,FALSE)</f>
        <v>35000</v>
      </c>
      <c r="F361" t="s">
        <v>1480</v>
      </c>
      <c r="G361" t="s">
        <v>788</v>
      </c>
      <c r="H361" t="s">
        <v>923</v>
      </c>
      <c r="I361" t="str">
        <f>VLOOKUP(tblSalaries[[#This Row],[Where do you work]],[1]!tblCountries[[Actual]:[Mapping]],2,FALSE)</f>
        <v>Brasil</v>
      </c>
      <c r="J361" t="s">
        <v>794</v>
      </c>
    </row>
    <row r="362" spans="1:10" x14ac:dyDescent="0.2">
      <c r="A362" t="s">
        <v>1481</v>
      </c>
      <c r="B362" s="59">
        <v>41055.07671296296</v>
      </c>
      <c r="C362">
        <v>47500</v>
      </c>
      <c r="D362" t="s">
        <v>786</v>
      </c>
      <c r="E362">
        <f>tblSalaries[[#This Row],[clean Salary (in local currency)]]*VLOOKUP(tblSalaries[[#This Row],[Currency]],[1]!tblXrate[#Data],2,FALSE)</f>
        <v>47500</v>
      </c>
      <c r="F362" t="s">
        <v>1482</v>
      </c>
      <c r="G362" t="s">
        <v>807</v>
      </c>
      <c r="H362" t="s">
        <v>15</v>
      </c>
      <c r="I362" t="str">
        <f>VLOOKUP(tblSalaries[[#This Row],[Where do you work]],[1]!tblCountries[[Actual]:[Mapping]],2,FALSE)</f>
        <v>USA</v>
      </c>
      <c r="J362" t="s">
        <v>794</v>
      </c>
    </row>
    <row r="363" spans="1:10" x14ac:dyDescent="0.2">
      <c r="A363" t="s">
        <v>1483</v>
      </c>
      <c r="B363" s="59">
        <v>41055.076736111114</v>
      </c>
      <c r="C363">
        <v>130000</v>
      </c>
      <c r="D363" t="s">
        <v>786</v>
      </c>
      <c r="E363">
        <f>tblSalaries[[#This Row],[clean Salary (in local currency)]]*VLOOKUP(tblSalaries[[#This Row],[Currency]],[1]!tblXrate[#Data],2,FALSE)</f>
        <v>130000</v>
      </c>
      <c r="F363" t="s">
        <v>1059</v>
      </c>
      <c r="G363" t="s">
        <v>807</v>
      </c>
      <c r="H363" t="s">
        <v>15</v>
      </c>
      <c r="I363" t="str">
        <f>VLOOKUP(tblSalaries[[#This Row],[Where do you work]],[1]!tblCountries[[Actual]:[Mapping]],2,FALSE)</f>
        <v>USA</v>
      </c>
      <c r="J363" t="s">
        <v>799</v>
      </c>
    </row>
    <row r="364" spans="1:10" x14ac:dyDescent="0.2">
      <c r="A364" t="s">
        <v>1484</v>
      </c>
      <c r="B364" s="59">
        <v>41055.077037037037</v>
      </c>
      <c r="C364">
        <v>18000</v>
      </c>
      <c r="D364" t="s">
        <v>786</v>
      </c>
      <c r="E364">
        <f>tblSalaries[[#This Row],[clean Salary (in local currency)]]*VLOOKUP(tblSalaries[[#This Row],[Currency]],[1]!tblXrate[#Data],2,FALSE)</f>
        <v>18000</v>
      </c>
      <c r="F364" t="s">
        <v>1485</v>
      </c>
      <c r="G364" t="s">
        <v>813</v>
      </c>
      <c r="H364" t="s">
        <v>117</v>
      </c>
      <c r="I364" t="str">
        <f>VLOOKUP(tblSalaries[[#This Row],[Where do you work]],[1]!tblCountries[[Actual]:[Mapping]],2,FALSE)</f>
        <v>India</v>
      </c>
      <c r="J364" t="s">
        <v>799</v>
      </c>
    </row>
    <row r="365" spans="1:10" x14ac:dyDescent="0.2">
      <c r="A365" t="s">
        <v>1486</v>
      </c>
      <c r="B365" s="59">
        <v>41055.07707175926</v>
      </c>
      <c r="C365">
        <v>480000</v>
      </c>
      <c r="D365" t="s">
        <v>824</v>
      </c>
      <c r="E365">
        <f>tblSalaries[[#This Row],[clean Salary (in local currency)]]*VLOOKUP(tblSalaries[[#This Row],[Currency]],[1]!tblXrate[#Data],2,FALSE)</f>
        <v>8547.8000099724322</v>
      </c>
      <c r="F365" t="s">
        <v>1487</v>
      </c>
      <c r="G365" t="s">
        <v>807</v>
      </c>
      <c r="H365" t="s">
        <v>117</v>
      </c>
      <c r="I365" t="str">
        <f>VLOOKUP(tblSalaries[[#This Row],[Where do you work]],[1]!tblCountries[[Actual]:[Mapping]],2,FALSE)</f>
        <v>India</v>
      </c>
      <c r="J365" t="s">
        <v>808</v>
      </c>
    </row>
    <row r="366" spans="1:10" x14ac:dyDescent="0.2">
      <c r="A366" t="s">
        <v>1488</v>
      </c>
      <c r="B366" s="59">
        <v>41055.077361111114</v>
      </c>
      <c r="C366">
        <v>41932</v>
      </c>
      <c r="D366" t="s">
        <v>786</v>
      </c>
      <c r="E366">
        <f>tblSalaries[[#This Row],[clean Salary (in local currency)]]*VLOOKUP(tblSalaries[[#This Row],[Currency]],[1]!tblXrate[#Data],2,FALSE)</f>
        <v>41932</v>
      </c>
      <c r="F366" t="s">
        <v>1199</v>
      </c>
      <c r="G366" t="s">
        <v>807</v>
      </c>
      <c r="H366" t="s">
        <v>15</v>
      </c>
      <c r="I366" t="str">
        <f>VLOOKUP(tblSalaries[[#This Row],[Where do you work]],[1]!tblCountries[[Actual]:[Mapping]],2,FALSE)</f>
        <v>USA</v>
      </c>
      <c r="J366" t="s">
        <v>799</v>
      </c>
    </row>
    <row r="367" spans="1:10" x14ac:dyDescent="0.2">
      <c r="A367" t="s">
        <v>1489</v>
      </c>
      <c r="B367" s="59">
        <v>41055.077789351853</v>
      </c>
      <c r="C367">
        <v>220700</v>
      </c>
      <c r="D367" t="s">
        <v>786</v>
      </c>
      <c r="E367">
        <f>tblSalaries[[#This Row],[clean Salary (in local currency)]]*VLOOKUP(tblSalaries[[#This Row],[Currency]],[1]!tblXrate[#Data],2,FALSE)</f>
        <v>220700</v>
      </c>
      <c r="F367" t="s">
        <v>867</v>
      </c>
      <c r="G367" t="s">
        <v>867</v>
      </c>
      <c r="H367" t="s">
        <v>54</v>
      </c>
      <c r="I367" t="str">
        <f>VLOOKUP(tblSalaries[[#This Row],[Where do you work]],[1]!tblCountries[[Actual]:[Mapping]],2,FALSE)</f>
        <v>Brazil</v>
      </c>
      <c r="J367" t="s">
        <v>794</v>
      </c>
    </row>
    <row r="368" spans="1:10" x14ac:dyDescent="0.2">
      <c r="A368" t="s">
        <v>1490</v>
      </c>
      <c r="B368" s="59">
        <v>41055.077824074076</v>
      </c>
      <c r="C368">
        <v>194000</v>
      </c>
      <c r="D368" t="s">
        <v>786</v>
      </c>
      <c r="E368">
        <f>tblSalaries[[#This Row],[clean Salary (in local currency)]]*VLOOKUP(tblSalaries[[#This Row],[Currency]],[1]!tblXrate[#Data],2,FALSE)</f>
        <v>194000</v>
      </c>
      <c r="F368" t="s">
        <v>1491</v>
      </c>
      <c r="G368" t="s">
        <v>813</v>
      </c>
      <c r="H368" t="s">
        <v>15</v>
      </c>
      <c r="I368" t="str">
        <f>VLOOKUP(tblSalaries[[#This Row],[Where do you work]],[1]!tblCountries[[Actual]:[Mapping]],2,FALSE)</f>
        <v>USA</v>
      </c>
      <c r="J368" t="s">
        <v>799</v>
      </c>
    </row>
    <row r="369" spans="1:10" x14ac:dyDescent="0.2">
      <c r="A369" t="s">
        <v>1492</v>
      </c>
      <c r="B369" s="59">
        <v>41055.07949074074</v>
      </c>
      <c r="C369">
        <v>9000000</v>
      </c>
      <c r="D369" t="s">
        <v>824</v>
      </c>
      <c r="E369">
        <f>tblSalaries[[#This Row],[clean Salary (in local currency)]]*VLOOKUP(tblSalaries[[#This Row],[Currency]],[1]!tblXrate[#Data],2,FALSE)</f>
        <v>160271.25018698312</v>
      </c>
      <c r="F369" t="s">
        <v>796</v>
      </c>
      <c r="G369" t="s">
        <v>788</v>
      </c>
      <c r="H369" t="s">
        <v>117</v>
      </c>
      <c r="I369" t="str">
        <f>VLOOKUP(tblSalaries[[#This Row],[Where do you work]],[1]!tblCountries[[Actual]:[Mapping]],2,FALSE)</f>
        <v>India</v>
      </c>
      <c r="J369" t="s">
        <v>789</v>
      </c>
    </row>
    <row r="370" spans="1:10" x14ac:dyDescent="0.2">
      <c r="A370" t="s">
        <v>1493</v>
      </c>
      <c r="B370" s="59">
        <v>41055.079710648148</v>
      </c>
      <c r="C370">
        <v>500000</v>
      </c>
      <c r="D370" t="s">
        <v>824</v>
      </c>
      <c r="E370">
        <f>tblSalaries[[#This Row],[clean Salary (in local currency)]]*VLOOKUP(tblSalaries[[#This Row],[Currency]],[1]!tblXrate[#Data],2,FALSE)</f>
        <v>8903.9583437212841</v>
      </c>
      <c r="F370" t="s">
        <v>1494</v>
      </c>
      <c r="G370" t="s">
        <v>807</v>
      </c>
      <c r="H370" t="s">
        <v>117</v>
      </c>
      <c r="I370" t="str">
        <f>VLOOKUP(tblSalaries[[#This Row],[Where do you work]],[1]!tblCountries[[Actual]:[Mapping]],2,FALSE)</f>
        <v>India</v>
      </c>
      <c r="J370" t="s">
        <v>799</v>
      </c>
    </row>
    <row r="371" spans="1:10" x14ac:dyDescent="0.2">
      <c r="A371" t="s">
        <v>1495</v>
      </c>
      <c r="B371" s="59">
        <v>41055.081516203703</v>
      </c>
      <c r="C371">
        <v>80000</v>
      </c>
      <c r="D371" t="s">
        <v>882</v>
      </c>
      <c r="E371">
        <f>tblSalaries[[#This Row],[clean Salary (in local currency)]]*VLOOKUP(tblSalaries[[#This Row],[Currency]],[1]!tblXrate[#Data],2,FALSE)</f>
        <v>78668.921842426149</v>
      </c>
      <c r="F371" t="s">
        <v>1496</v>
      </c>
      <c r="G371" t="s">
        <v>788</v>
      </c>
      <c r="H371" t="s">
        <v>143</v>
      </c>
      <c r="I371" t="str">
        <f>VLOOKUP(tblSalaries[[#This Row],[Where do you work]],[1]!tblCountries[[Actual]:[Mapping]],2,FALSE)</f>
        <v>Canada</v>
      </c>
      <c r="J371" t="s">
        <v>789</v>
      </c>
    </row>
    <row r="372" spans="1:10" x14ac:dyDescent="0.2">
      <c r="A372" t="s">
        <v>1497</v>
      </c>
      <c r="B372" s="59">
        <v>41055.081712962965</v>
      </c>
      <c r="C372">
        <v>18000</v>
      </c>
      <c r="D372" t="s">
        <v>805</v>
      </c>
      <c r="E372">
        <f>tblSalaries[[#This Row],[clean Salary (in local currency)]]*VLOOKUP(tblSalaries[[#This Row],[Currency]],[1]!tblXrate[#Data],2,FALSE)</f>
        <v>22867.189901848938</v>
      </c>
      <c r="F372" t="s">
        <v>1498</v>
      </c>
      <c r="G372" t="s">
        <v>807</v>
      </c>
      <c r="H372" t="s">
        <v>256</v>
      </c>
      <c r="I372" t="str">
        <f>VLOOKUP(tblSalaries[[#This Row],[Where do you work]],[1]!tblCountries[[Actual]:[Mapping]],2,FALSE)</f>
        <v>Portugal</v>
      </c>
      <c r="J372" t="s">
        <v>799</v>
      </c>
    </row>
    <row r="373" spans="1:10" x14ac:dyDescent="0.2">
      <c r="A373" t="s">
        <v>1499</v>
      </c>
      <c r="B373" s="59">
        <v>41055.08216435185</v>
      </c>
      <c r="C373">
        <v>60000</v>
      </c>
      <c r="D373" t="s">
        <v>861</v>
      </c>
      <c r="E373">
        <f>tblSalaries[[#This Row],[clean Salary (in local currency)]]*VLOOKUP(tblSalaries[[#This Row],[Currency]],[1]!tblXrate[#Data],2,FALSE)</f>
        <v>94570.696324037053</v>
      </c>
      <c r="F373" t="s">
        <v>1500</v>
      </c>
      <c r="G373" t="s">
        <v>813</v>
      </c>
      <c r="H373" t="s">
        <v>863</v>
      </c>
      <c r="I373" t="str">
        <f>VLOOKUP(tblSalaries[[#This Row],[Where do you work]],[1]!tblCountries[[Actual]:[Mapping]],2,FALSE)</f>
        <v>UK</v>
      </c>
      <c r="J373" t="s">
        <v>799</v>
      </c>
    </row>
    <row r="374" spans="1:10" x14ac:dyDescent="0.2">
      <c r="A374" t="s">
        <v>1501</v>
      </c>
      <c r="B374" s="59">
        <v>41055.082430555558</v>
      </c>
      <c r="C374">
        <v>95000</v>
      </c>
      <c r="D374" t="s">
        <v>786</v>
      </c>
      <c r="E374">
        <f>tblSalaries[[#This Row],[clean Salary (in local currency)]]*VLOOKUP(tblSalaries[[#This Row],[Currency]],[1]!tblXrate[#Data],2,FALSE)</f>
        <v>95000</v>
      </c>
      <c r="F374" t="s">
        <v>1440</v>
      </c>
      <c r="G374" t="s">
        <v>788</v>
      </c>
      <c r="H374" t="s">
        <v>15</v>
      </c>
      <c r="I374" t="str">
        <f>VLOOKUP(tblSalaries[[#This Row],[Where do you work]],[1]!tblCountries[[Actual]:[Mapping]],2,FALSE)</f>
        <v>USA</v>
      </c>
      <c r="J374" t="s">
        <v>794</v>
      </c>
    </row>
    <row r="375" spans="1:10" x14ac:dyDescent="0.2">
      <c r="A375" t="s">
        <v>1502</v>
      </c>
      <c r="B375" s="59">
        <v>41055.082881944443</v>
      </c>
      <c r="C375">
        <v>540000</v>
      </c>
      <c r="D375" t="s">
        <v>824</v>
      </c>
      <c r="E375">
        <f>tblSalaries[[#This Row],[clean Salary (in local currency)]]*VLOOKUP(tblSalaries[[#This Row],[Currency]],[1]!tblXrate[#Data],2,FALSE)</f>
        <v>9616.275011218986</v>
      </c>
      <c r="F375" t="s">
        <v>1503</v>
      </c>
      <c r="G375" t="s">
        <v>802</v>
      </c>
      <c r="H375" t="s">
        <v>117</v>
      </c>
      <c r="I375" t="str">
        <f>VLOOKUP(tblSalaries[[#This Row],[Where do you work]],[1]!tblCountries[[Actual]:[Mapping]],2,FALSE)</f>
        <v>India</v>
      </c>
      <c r="J375" t="s">
        <v>789</v>
      </c>
    </row>
    <row r="376" spans="1:10" x14ac:dyDescent="0.2">
      <c r="A376" t="s">
        <v>1504</v>
      </c>
      <c r="B376" s="59">
        <v>41055.083101851851</v>
      </c>
      <c r="C376">
        <v>48000</v>
      </c>
      <c r="D376" t="s">
        <v>786</v>
      </c>
      <c r="E376">
        <f>tblSalaries[[#This Row],[clean Salary (in local currency)]]*VLOOKUP(tblSalaries[[#This Row],[Currency]],[1]!tblXrate[#Data],2,FALSE)</f>
        <v>48000</v>
      </c>
      <c r="F376" t="s">
        <v>1505</v>
      </c>
      <c r="G376" t="s">
        <v>788</v>
      </c>
      <c r="H376" t="s">
        <v>15</v>
      </c>
      <c r="I376" t="str">
        <f>VLOOKUP(tblSalaries[[#This Row],[Where do you work]],[1]!tblCountries[[Actual]:[Mapping]],2,FALSE)</f>
        <v>USA</v>
      </c>
      <c r="J376" t="s">
        <v>808</v>
      </c>
    </row>
    <row r="377" spans="1:10" x14ac:dyDescent="0.2">
      <c r="A377" t="s">
        <v>1506</v>
      </c>
      <c r="B377" s="59">
        <v>41055.08315972222</v>
      </c>
      <c r="C377">
        <v>46000</v>
      </c>
      <c r="D377" t="s">
        <v>786</v>
      </c>
      <c r="E377">
        <f>tblSalaries[[#This Row],[clean Salary (in local currency)]]*VLOOKUP(tblSalaries[[#This Row],[Currency]],[1]!tblXrate[#Data],2,FALSE)</f>
        <v>46000</v>
      </c>
      <c r="F377" t="s">
        <v>1507</v>
      </c>
      <c r="G377" t="s">
        <v>788</v>
      </c>
      <c r="H377" t="s">
        <v>15</v>
      </c>
      <c r="I377" t="str">
        <f>VLOOKUP(tblSalaries[[#This Row],[Where do you work]],[1]!tblCountries[[Actual]:[Mapping]],2,FALSE)</f>
        <v>USA</v>
      </c>
      <c r="J377" t="s">
        <v>789</v>
      </c>
    </row>
    <row r="378" spans="1:10" x14ac:dyDescent="0.2">
      <c r="A378" t="s">
        <v>1508</v>
      </c>
      <c r="B378" s="59">
        <v>41055.083194444444</v>
      </c>
      <c r="C378">
        <v>15000</v>
      </c>
      <c r="D378" t="s">
        <v>786</v>
      </c>
      <c r="E378">
        <f>tblSalaries[[#This Row],[clean Salary (in local currency)]]*VLOOKUP(tblSalaries[[#This Row],[Currency]],[1]!tblXrate[#Data],2,FALSE)</f>
        <v>15000</v>
      </c>
      <c r="F378" t="s">
        <v>1509</v>
      </c>
      <c r="G378" t="s">
        <v>836</v>
      </c>
      <c r="H378" t="s">
        <v>329</v>
      </c>
      <c r="I378" t="str">
        <f>VLOOKUP(tblSalaries[[#This Row],[Where do you work]],[1]!tblCountries[[Actual]:[Mapping]],2,FALSE)</f>
        <v>Ukraine</v>
      </c>
      <c r="J378" t="s">
        <v>799</v>
      </c>
    </row>
    <row r="379" spans="1:10" x14ac:dyDescent="0.2">
      <c r="A379" t="s">
        <v>1510</v>
      </c>
      <c r="B379" s="59">
        <v>41055.083379629628</v>
      </c>
      <c r="C379">
        <v>620000</v>
      </c>
      <c r="D379" t="s">
        <v>824</v>
      </c>
      <c r="E379">
        <f>tblSalaries[[#This Row],[clean Salary (in local currency)]]*VLOOKUP(tblSalaries[[#This Row],[Currency]],[1]!tblXrate[#Data],2,FALSE)</f>
        <v>11040.908346214392</v>
      </c>
      <c r="F379" t="s">
        <v>1511</v>
      </c>
      <c r="G379" t="s">
        <v>807</v>
      </c>
      <c r="H379" t="s">
        <v>117</v>
      </c>
      <c r="I379" t="str">
        <f>VLOOKUP(tblSalaries[[#This Row],[Where do you work]],[1]!tblCountries[[Actual]:[Mapping]],2,FALSE)</f>
        <v>India</v>
      </c>
      <c r="J379" t="s">
        <v>808</v>
      </c>
    </row>
    <row r="380" spans="1:10" x14ac:dyDescent="0.2">
      <c r="A380" t="s">
        <v>1512</v>
      </c>
      <c r="B380" s="59">
        <v>41055.083449074074</v>
      </c>
      <c r="C380">
        <v>28000</v>
      </c>
      <c r="D380" t="s">
        <v>861</v>
      </c>
      <c r="E380">
        <f>tblSalaries[[#This Row],[clean Salary (in local currency)]]*VLOOKUP(tblSalaries[[#This Row],[Currency]],[1]!tblXrate[#Data],2,FALSE)</f>
        <v>44132.991617883956</v>
      </c>
      <c r="F380" t="s">
        <v>1513</v>
      </c>
      <c r="G380" t="s">
        <v>807</v>
      </c>
      <c r="H380" t="s">
        <v>863</v>
      </c>
      <c r="I380" t="str">
        <f>VLOOKUP(tblSalaries[[#This Row],[Where do you work]],[1]!tblCountries[[Actual]:[Mapping]],2,FALSE)</f>
        <v>UK</v>
      </c>
      <c r="J380" t="s">
        <v>799</v>
      </c>
    </row>
    <row r="381" spans="1:10" x14ac:dyDescent="0.2">
      <c r="A381" t="s">
        <v>1514</v>
      </c>
      <c r="B381" s="59">
        <v>41055.083495370367</v>
      </c>
      <c r="C381">
        <v>47000</v>
      </c>
      <c r="D381" t="s">
        <v>786</v>
      </c>
      <c r="E381">
        <f>tblSalaries[[#This Row],[clean Salary (in local currency)]]*VLOOKUP(tblSalaries[[#This Row],[Currency]],[1]!tblXrate[#Data],2,FALSE)</f>
        <v>47000</v>
      </c>
      <c r="F381" t="s">
        <v>1515</v>
      </c>
      <c r="G381" t="s">
        <v>807</v>
      </c>
      <c r="H381" t="s">
        <v>15</v>
      </c>
      <c r="I381" t="str">
        <f>VLOOKUP(tblSalaries[[#This Row],[Where do you work]],[1]!tblCountries[[Actual]:[Mapping]],2,FALSE)</f>
        <v>USA</v>
      </c>
      <c r="J381" t="s">
        <v>799</v>
      </c>
    </row>
    <row r="382" spans="1:10" x14ac:dyDescent="0.2">
      <c r="A382" t="s">
        <v>1516</v>
      </c>
      <c r="B382" s="59">
        <v>41055.083819444444</v>
      </c>
      <c r="C382">
        <v>44000</v>
      </c>
      <c r="D382" t="s">
        <v>786</v>
      </c>
      <c r="E382">
        <f>tblSalaries[[#This Row],[clean Salary (in local currency)]]*VLOOKUP(tblSalaries[[#This Row],[Currency]],[1]!tblXrate[#Data],2,FALSE)</f>
        <v>44000</v>
      </c>
      <c r="F382" t="s">
        <v>1517</v>
      </c>
      <c r="G382" t="s">
        <v>788</v>
      </c>
      <c r="H382" t="s">
        <v>15</v>
      </c>
      <c r="I382" t="str">
        <f>VLOOKUP(tblSalaries[[#This Row],[Where do you work]],[1]!tblCountries[[Actual]:[Mapping]],2,FALSE)</f>
        <v>USA</v>
      </c>
      <c r="J382" t="s">
        <v>799</v>
      </c>
    </row>
    <row r="383" spans="1:10" x14ac:dyDescent="0.2">
      <c r="A383" t="s">
        <v>1518</v>
      </c>
      <c r="B383" s="59">
        <v>41055.083865740744</v>
      </c>
      <c r="C383">
        <v>55000</v>
      </c>
      <c r="D383" t="s">
        <v>786</v>
      </c>
      <c r="E383">
        <f>tblSalaries[[#This Row],[clean Salary (in local currency)]]*VLOOKUP(tblSalaries[[#This Row],[Currency]],[1]!tblXrate[#Data],2,FALSE)</f>
        <v>55000</v>
      </c>
      <c r="F383" t="s">
        <v>817</v>
      </c>
      <c r="G383" t="s">
        <v>817</v>
      </c>
      <c r="H383" t="s">
        <v>15</v>
      </c>
      <c r="I383" t="str">
        <f>VLOOKUP(tblSalaries[[#This Row],[Where do you work]],[1]!tblCountries[[Actual]:[Mapping]],2,FALSE)</f>
        <v>USA</v>
      </c>
      <c r="J383" t="s">
        <v>789</v>
      </c>
    </row>
    <row r="384" spans="1:10" x14ac:dyDescent="0.2">
      <c r="A384" t="s">
        <v>1519</v>
      </c>
      <c r="B384" s="59">
        <v>41055.083958333336</v>
      </c>
      <c r="C384">
        <v>12000</v>
      </c>
      <c r="D384" t="s">
        <v>786</v>
      </c>
      <c r="E384">
        <f>tblSalaries[[#This Row],[clean Salary (in local currency)]]*VLOOKUP(tblSalaries[[#This Row],[Currency]],[1]!tblXrate[#Data],2,FALSE)</f>
        <v>12000</v>
      </c>
      <c r="F384" t="s">
        <v>1520</v>
      </c>
      <c r="G384" t="s">
        <v>836</v>
      </c>
      <c r="H384" t="s">
        <v>294</v>
      </c>
      <c r="I384" t="str">
        <f>VLOOKUP(tblSalaries[[#This Row],[Where do you work]],[1]!tblCountries[[Actual]:[Mapping]],2,FALSE)</f>
        <v>South Africa</v>
      </c>
      <c r="J384" t="s">
        <v>789</v>
      </c>
    </row>
    <row r="385" spans="1:10" x14ac:dyDescent="0.2">
      <c r="A385" t="s">
        <v>1521</v>
      </c>
      <c r="B385" s="59">
        <v>41055.084108796298</v>
      </c>
      <c r="C385">
        <v>50000</v>
      </c>
      <c r="D385" t="s">
        <v>786</v>
      </c>
      <c r="E385">
        <f>tblSalaries[[#This Row],[clean Salary (in local currency)]]*VLOOKUP(tblSalaries[[#This Row],[Currency]],[1]!tblXrate[#Data],2,FALSE)</f>
        <v>50000</v>
      </c>
      <c r="F385" t="s">
        <v>1522</v>
      </c>
      <c r="G385" t="s">
        <v>807</v>
      </c>
      <c r="H385" t="s">
        <v>15</v>
      </c>
      <c r="I385" t="str">
        <f>VLOOKUP(tblSalaries[[#This Row],[Where do you work]],[1]!tblCountries[[Actual]:[Mapping]],2,FALSE)</f>
        <v>USA</v>
      </c>
      <c r="J385" t="s">
        <v>799</v>
      </c>
    </row>
    <row r="386" spans="1:10" x14ac:dyDescent="0.2">
      <c r="A386" t="s">
        <v>1523</v>
      </c>
      <c r="B386" s="59">
        <v>41055.084386574075</v>
      </c>
      <c r="C386">
        <v>750000</v>
      </c>
      <c r="D386" t="s">
        <v>824</v>
      </c>
      <c r="E386">
        <f>tblSalaries[[#This Row],[clean Salary (in local currency)]]*VLOOKUP(tblSalaries[[#This Row],[Currency]],[1]!tblXrate[#Data],2,FALSE)</f>
        <v>13355.937515581925</v>
      </c>
      <c r="F386" t="s">
        <v>1070</v>
      </c>
      <c r="G386" t="s">
        <v>788</v>
      </c>
      <c r="H386" t="s">
        <v>117</v>
      </c>
      <c r="I386" t="str">
        <f>VLOOKUP(tblSalaries[[#This Row],[Where do you work]],[1]!tblCountries[[Actual]:[Mapping]],2,FALSE)</f>
        <v>India</v>
      </c>
      <c r="J386" t="s">
        <v>808</v>
      </c>
    </row>
    <row r="387" spans="1:10" x14ac:dyDescent="0.2">
      <c r="A387" t="s">
        <v>1524</v>
      </c>
      <c r="B387" s="59">
        <v>41055.084745370368</v>
      </c>
      <c r="C387">
        <v>99147</v>
      </c>
      <c r="D387" t="s">
        <v>786</v>
      </c>
      <c r="E387">
        <f>tblSalaries[[#This Row],[clean Salary (in local currency)]]*VLOOKUP(tblSalaries[[#This Row],[Currency]],[1]!tblXrate[#Data],2,FALSE)</f>
        <v>99147</v>
      </c>
      <c r="F387" t="s">
        <v>1525</v>
      </c>
      <c r="G387" t="s">
        <v>820</v>
      </c>
      <c r="H387" t="s">
        <v>744</v>
      </c>
      <c r="I387" t="str">
        <f>VLOOKUP(tblSalaries[[#This Row],[Where do you work]],[1]!tblCountries[[Actual]:[Mapping]],2,FALSE)</f>
        <v>Russia</v>
      </c>
      <c r="J387" t="s">
        <v>789</v>
      </c>
    </row>
    <row r="388" spans="1:10" x14ac:dyDescent="0.2">
      <c r="A388" t="s">
        <v>1526</v>
      </c>
      <c r="B388" s="59">
        <v>41055.085821759261</v>
      </c>
      <c r="C388">
        <v>45880</v>
      </c>
      <c r="D388" t="s">
        <v>786</v>
      </c>
      <c r="E388">
        <f>tblSalaries[[#This Row],[clean Salary (in local currency)]]*VLOOKUP(tblSalaries[[#This Row],[Currency]],[1]!tblXrate[#Data],2,FALSE)</f>
        <v>45880</v>
      </c>
      <c r="F388" t="s">
        <v>1527</v>
      </c>
      <c r="G388" t="s">
        <v>807</v>
      </c>
      <c r="H388" t="s">
        <v>15</v>
      </c>
      <c r="I388" t="str">
        <f>VLOOKUP(tblSalaries[[#This Row],[Where do you work]],[1]!tblCountries[[Actual]:[Mapping]],2,FALSE)</f>
        <v>USA</v>
      </c>
      <c r="J388" t="s">
        <v>794</v>
      </c>
    </row>
    <row r="389" spans="1:10" x14ac:dyDescent="0.2">
      <c r="A389" t="s">
        <v>1528</v>
      </c>
      <c r="B389" s="59">
        <v>41055.0859375</v>
      </c>
      <c r="C389">
        <v>70000</v>
      </c>
      <c r="D389" t="s">
        <v>786</v>
      </c>
      <c r="E389">
        <f>tblSalaries[[#This Row],[clean Salary (in local currency)]]*VLOOKUP(tblSalaries[[#This Row],[Currency]],[1]!tblXrate[#Data],2,FALSE)</f>
        <v>70000</v>
      </c>
      <c r="F389" t="s">
        <v>1529</v>
      </c>
      <c r="G389" t="s">
        <v>807</v>
      </c>
      <c r="H389" t="s">
        <v>15</v>
      </c>
      <c r="I389" t="str">
        <f>VLOOKUP(tblSalaries[[#This Row],[Where do you work]],[1]!tblCountries[[Actual]:[Mapping]],2,FALSE)</f>
        <v>USA</v>
      </c>
      <c r="J389" t="s">
        <v>789</v>
      </c>
    </row>
    <row r="390" spans="1:10" x14ac:dyDescent="0.2">
      <c r="A390" t="s">
        <v>1530</v>
      </c>
      <c r="B390" s="59">
        <v>41055.086122685185</v>
      </c>
      <c r="C390">
        <v>100000</v>
      </c>
      <c r="D390" t="s">
        <v>786</v>
      </c>
      <c r="E390">
        <f>tblSalaries[[#This Row],[clean Salary (in local currency)]]*VLOOKUP(tblSalaries[[#This Row],[Currency]],[1]!tblXrate[#Data],2,FALSE)</f>
        <v>100000</v>
      </c>
      <c r="F390" t="s">
        <v>1531</v>
      </c>
      <c r="G390" t="s">
        <v>788</v>
      </c>
      <c r="H390" t="s">
        <v>15</v>
      </c>
      <c r="I390" t="str">
        <f>VLOOKUP(tblSalaries[[#This Row],[Where do you work]],[1]!tblCountries[[Actual]:[Mapping]],2,FALSE)</f>
        <v>USA</v>
      </c>
      <c r="J390" t="s">
        <v>794</v>
      </c>
    </row>
    <row r="391" spans="1:10" x14ac:dyDescent="0.2">
      <c r="A391" t="s">
        <v>1532</v>
      </c>
      <c r="B391" s="59">
        <v>41055.086168981485</v>
      </c>
      <c r="C391">
        <v>1440000</v>
      </c>
      <c r="D391" t="s">
        <v>1533</v>
      </c>
      <c r="E391">
        <f>tblSalaries[[#This Row],[clean Salary (in local currency)]]*VLOOKUP(tblSalaries[[#This Row],[Currency]],[1]!tblXrate[#Data],2,FALSE)</f>
        <v>17598.017290051986</v>
      </c>
      <c r="F391" t="s">
        <v>1534</v>
      </c>
      <c r="G391" t="s">
        <v>788</v>
      </c>
      <c r="H391" t="s">
        <v>38</v>
      </c>
      <c r="I391" t="str">
        <f>VLOOKUP(tblSalaries[[#This Row],[Where do you work]],[1]!tblCountries[[Actual]:[Mapping]],2,FALSE)</f>
        <v>Bangladesh</v>
      </c>
      <c r="J391" t="s">
        <v>799</v>
      </c>
    </row>
    <row r="392" spans="1:10" x14ac:dyDescent="0.2">
      <c r="A392" t="s">
        <v>1535</v>
      </c>
      <c r="B392" s="59">
        <v>41055.086875000001</v>
      </c>
      <c r="C392">
        <v>85000</v>
      </c>
      <c r="D392" t="s">
        <v>786</v>
      </c>
      <c r="E392">
        <f>tblSalaries[[#This Row],[clean Salary (in local currency)]]*VLOOKUP(tblSalaries[[#This Row],[Currency]],[1]!tblXrate[#Data],2,FALSE)</f>
        <v>85000</v>
      </c>
      <c r="F392" t="s">
        <v>1536</v>
      </c>
      <c r="G392" t="s">
        <v>802</v>
      </c>
      <c r="H392" t="s">
        <v>15</v>
      </c>
      <c r="I392" t="str">
        <f>VLOOKUP(tblSalaries[[#This Row],[Where do you work]],[1]!tblCountries[[Actual]:[Mapping]],2,FALSE)</f>
        <v>USA</v>
      </c>
      <c r="J392" t="s">
        <v>799</v>
      </c>
    </row>
    <row r="393" spans="1:10" x14ac:dyDescent="0.2">
      <c r="A393" t="s">
        <v>1537</v>
      </c>
      <c r="B393" s="59">
        <v>41055.087372685186</v>
      </c>
      <c r="C393">
        <v>47000</v>
      </c>
      <c r="D393" t="s">
        <v>786</v>
      </c>
      <c r="E393">
        <f>tblSalaries[[#This Row],[clean Salary (in local currency)]]*VLOOKUP(tblSalaries[[#This Row],[Currency]],[1]!tblXrate[#Data],2,FALSE)</f>
        <v>47000</v>
      </c>
      <c r="F393" t="s">
        <v>1538</v>
      </c>
      <c r="G393" t="s">
        <v>807</v>
      </c>
      <c r="H393" t="s">
        <v>15</v>
      </c>
      <c r="I393" t="str">
        <f>VLOOKUP(tblSalaries[[#This Row],[Where do you work]],[1]!tblCountries[[Actual]:[Mapping]],2,FALSE)</f>
        <v>USA</v>
      </c>
      <c r="J393" t="s">
        <v>789</v>
      </c>
    </row>
    <row r="394" spans="1:10" x14ac:dyDescent="0.2">
      <c r="A394" t="s">
        <v>1539</v>
      </c>
      <c r="B394" s="59">
        <v>41055.087476851855</v>
      </c>
      <c r="C394">
        <v>40000</v>
      </c>
      <c r="D394" t="s">
        <v>786</v>
      </c>
      <c r="E394">
        <f>tblSalaries[[#This Row],[clean Salary (in local currency)]]*VLOOKUP(tblSalaries[[#This Row],[Currency]],[1]!tblXrate[#Data],2,FALSE)</f>
        <v>40000</v>
      </c>
      <c r="F394" t="s">
        <v>1540</v>
      </c>
      <c r="G394" t="s">
        <v>807</v>
      </c>
      <c r="H394" t="s">
        <v>15</v>
      </c>
      <c r="I394" t="str">
        <f>VLOOKUP(tblSalaries[[#This Row],[Where do you work]],[1]!tblCountries[[Actual]:[Mapping]],2,FALSE)</f>
        <v>USA</v>
      </c>
      <c r="J394" t="s">
        <v>799</v>
      </c>
    </row>
    <row r="395" spans="1:10" x14ac:dyDescent="0.2">
      <c r="A395" t="s">
        <v>1541</v>
      </c>
      <c r="B395" s="59">
        <v>41055.087939814817</v>
      </c>
      <c r="C395">
        <v>30000</v>
      </c>
      <c r="D395" t="s">
        <v>786</v>
      </c>
      <c r="E395">
        <f>tblSalaries[[#This Row],[clean Salary (in local currency)]]*VLOOKUP(tblSalaries[[#This Row],[Currency]],[1]!tblXrate[#Data],2,FALSE)</f>
        <v>30000</v>
      </c>
      <c r="F395" t="s">
        <v>1485</v>
      </c>
      <c r="G395" t="s">
        <v>813</v>
      </c>
      <c r="H395" t="s">
        <v>117</v>
      </c>
      <c r="I395" t="str">
        <f>VLOOKUP(tblSalaries[[#This Row],[Where do you work]],[1]!tblCountries[[Actual]:[Mapping]],2,FALSE)</f>
        <v>India</v>
      </c>
      <c r="J395" t="s">
        <v>799</v>
      </c>
    </row>
    <row r="396" spans="1:10" x14ac:dyDescent="0.2">
      <c r="A396" t="s">
        <v>1542</v>
      </c>
      <c r="B396" s="59">
        <v>41055.088148148148</v>
      </c>
      <c r="C396">
        <v>72000</v>
      </c>
      <c r="D396" t="s">
        <v>882</v>
      </c>
      <c r="E396">
        <f>tblSalaries[[#This Row],[clean Salary (in local currency)]]*VLOOKUP(tblSalaries[[#This Row],[Currency]],[1]!tblXrate[#Data],2,FALSE)</f>
        <v>70802.029658183528</v>
      </c>
      <c r="F396" t="s">
        <v>792</v>
      </c>
      <c r="G396" t="s">
        <v>792</v>
      </c>
      <c r="H396" t="s">
        <v>143</v>
      </c>
      <c r="I396" t="str">
        <f>VLOOKUP(tblSalaries[[#This Row],[Where do you work]],[1]!tblCountries[[Actual]:[Mapping]],2,FALSE)</f>
        <v>Canada</v>
      </c>
      <c r="J396" t="s">
        <v>789</v>
      </c>
    </row>
    <row r="397" spans="1:10" x14ac:dyDescent="0.2">
      <c r="A397" t="s">
        <v>1543</v>
      </c>
      <c r="B397" s="59">
        <v>41055.088518518518</v>
      </c>
      <c r="C397">
        <v>34000</v>
      </c>
      <c r="D397" t="s">
        <v>786</v>
      </c>
      <c r="E397">
        <f>tblSalaries[[#This Row],[clean Salary (in local currency)]]*VLOOKUP(tblSalaries[[#This Row],[Currency]],[1]!tblXrate[#Data],2,FALSE)</f>
        <v>34000</v>
      </c>
      <c r="F397" t="s">
        <v>1544</v>
      </c>
      <c r="G397" t="s">
        <v>788</v>
      </c>
      <c r="H397" t="s">
        <v>15</v>
      </c>
      <c r="I397" t="str">
        <f>VLOOKUP(tblSalaries[[#This Row],[Where do you work]],[1]!tblCountries[[Actual]:[Mapping]],2,FALSE)</f>
        <v>USA</v>
      </c>
      <c r="J397" t="s">
        <v>789</v>
      </c>
    </row>
    <row r="398" spans="1:10" x14ac:dyDescent="0.2">
      <c r="A398" t="s">
        <v>1545</v>
      </c>
      <c r="B398" s="59">
        <v>41055.088761574072</v>
      </c>
      <c r="C398">
        <v>52000</v>
      </c>
      <c r="D398" t="s">
        <v>786</v>
      </c>
      <c r="E398">
        <f>tblSalaries[[#This Row],[clean Salary (in local currency)]]*VLOOKUP(tblSalaries[[#This Row],[Currency]],[1]!tblXrate[#Data],2,FALSE)</f>
        <v>52000</v>
      </c>
      <c r="F398" t="s">
        <v>984</v>
      </c>
      <c r="G398" t="s">
        <v>788</v>
      </c>
      <c r="H398" t="s">
        <v>15</v>
      </c>
      <c r="I398" t="str">
        <f>VLOOKUP(tblSalaries[[#This Row],[Where do you work]],[1]!tblCountries[[Actual]:[Mapping]],2,FALSE)</f>
        <v>USA</v>
      </c>
      <c r="J398" t="s">
        <v>789</v>
      </c>
    </row>
    <row r="399" spans="1:10" x14ac:dyDescent="0.2">
      <c r="A399" t="s">
        <v>1546</v>
      </c>
      <c r="B399" s="59">
        <v>41055.089004629626</v>
      </c>
      <c r="C399">
        <v>300000</v>
      </c>
      <c r="D399" t="s">
        <v>824</v>
      </c>
      <c r="E399">
        <f>tblSalaries[[#This Row],[clean Salary (in local currency)]]*VLOOKUP(tblSalaries[[#This Row],[Currency]],[1]!tblXrate[#Data],2,FALSE)</f>
        <v>5342.3750062327708</v>
      </c>
      <c r="F399" t="s">
        <v>1547</v>
      </c>
      <c r="G399" t="s">
        <v>802</v>
      </c>
      <c r="H399" t="s">
        <v>117</v>
      </c>
      <c r="I399" t="str">
        <f>VLOOKUP(tblSalaries[[#This Row],[Where do you work]],[1]!tblCountries[[Actual]:[Mapping]],2,FALSE)</f>
        <v>India</v>
      </c>
      <c r="J399" t="s">
        <v>808</v>
      </c>
    </row>
    <row r="400" spans="1:10" x14ac:dyDescent="0.2">
      <c r="A400" t="s">
        <v>1548</v>
      </c>
      <c r="B400" s="59">
        <v>41055.090243055558</v>
      </c>
      <c r="C400">
        <v>400000</v>
      </c>
      <c r="D400" t="s">
        <v>824</v>
      </c>
      <c r="E400">
        <f>tblSalaries[[#This Row],[clean Salary (in local currency)]]*VLOOKUP(tblSalaries[[#This Row],[Currency]],[1]!tblXrate[#Data],2,FALSE)</f>
        <v>7123.1666749770275</v>
      </c>
      <c r="F400" t="s">
        <v>788</v>
      </c>
      <c r="G400" t="s">
        <v>788</v>
      </c>
      <c r="H400" t="s">
        <v>117</v>
      </c>
      <c r="I400" t="str">
        <f>VLOOKUP(tblSalaries[[#This Row],[Where do you work]],[1]!tblCountries[[Actual]:[Mapping]],2,FALSE)</f>
        <v>India</v>
      </c>
      <c r="J400" t="s">
        <v>789</v>
      </c>
    </row>
    <row r="401" spans="1:10" x14ac:dyDescent="0.2">
      <c r="A401" t="s">
        <v>1549</v>
      </c>
      <c r="B401" s="59">
        <v>41055.090682870374</v>
      </c>
      <c r="C401">
        <v>63586</v>
      </c>
      <c r="D401" t="s">
        <v>786</v>
      </c>
      <c r="E401">
        <f>tblSalaries[[#This Row],[clean Salary (in local currency)]]*VLOOKUP(tblSalaries[[#This Row],[Currency]],[1]!tblXrate[#Data],2,FALSE)</f>
        <v>63586</v>
      </c>
      <c r="F401" t="s">
        <v>1550</v>
      </c>
      <c r="G401" t="s">
        <v>807</v>
      </c>
      <c r="H401" t="s">
        <v>1551</v>
      </c>
      <c r="I401" t="str">
        <f>VLOOKUP(tblSalaries[[#This Row],[Where do you work]],[1]!tblCountries[[Actual]:[Mapping]],2,FALSE)</f>
        <v>UAE</v>
      </c>
      <c r="J401" t="s">
        <v>799</v>
      </c>
    </row>
    <row r="402" spans="1:10" x14ac:dyDescent="0.2">
      <c r="A402" t="s">
        <v>1552</v>
      </c>
      <c r="B402" s="59">
        <v>41055.091435185182</v>
      </c>
      <c r="C402">
        <v>35000</v>
      </c>
      <c r="D402" t="s">
        <v>861</v>
      </c>
      <c r="E402">
        <f>tblSalaries[[#This Row],[clean Salary (in local currency)]]*VLOOKUP(tblSalaries[[#This Row],[Currency]],[1]!tblXrate[#Data],2,FALSE)</f>
        <v>55166.239522354947</v>
      </c>
      <c r="F402" t="s">
        <v>1553</v>
      </c>
      <c r="G402" t="s">
        <v>817</v>
      </c>
      <c r="H402" t="s">
        <v>863</v>
      </c>
      <c r="I402" t="str">
        <f>VLOOKUP(tblSalaries[[#This Row],[Where do you work]],[1]!tblCountries[[Actual]:[Mapping]],2,FALSE)</f>
        <v>UK</v>
      </c>
      <c r="J402" t="s">
        <v>789</v>
      </c>
    </row>
    <row r="403" spans="1:10" x14ac:dyDescent="0.2">
      <c r="A403" t="s">
        <v>1554</v>
      </c>
      <c r="B403" s="59">
        <v>41055.09233796296</v>
      </c>
      <c r="C403">
        <v>60000</v>
      </c>
      <c r="D403" t="s">
        <v>786</v>
      </c>
      <c r="E403">
        <f>tblSalaries[[#This Row],[clean Salary (in local currency)]]*VLOOKUP(tblSalaries[[#This Row],[Currency]],[1]!tblXrate[#Data],2,FALSE)</f>
        <v>60000</v>
      </c>
      <c r="F403" t="s">
        <v>1555</v>
      </c>
      <c r="G403" t="s">
        <v>788</v>
      </c>
      <c r="H403" t="s">
        <v>15</v>
      </c>
      <c r="I403" t="str">
        <f>VLOOKUP(tblSalaries[[#This Row],[Where do you work]],[1]!tblCountries[[Actual]:[Mapping]],2,FALSE)</f>
        <v>USA</v>
      </c>
      <c r="J403" t="s">
        <v>789</v>
      </c>
    </row>
    <row r="404" spans="1:10" x14ac:dyDescent="0.2">
      <c r="A404" t="s">
        <v>1556</v>
      </c>
      <c r="B404" s="59">
        <v>41055.09302083333</v>
      </c>
      <c r="C404">
        <v>19200</v>
      </c>
      <c r="D404" t="s">
        <v>786</v>
      </c>
      <c r="E404">
        <f>tblSalaries[[#This Row],[clean Salary (in local currency)]]*VLOOKUP(tblSalaries[[#This Row],[Currency]],[1]!tblXrate[#Data],2,FALSE)</f>
        <v>19200</v>
      </c>
      <c r="F404" t="s">
        <v>1557</v>
      </c>
      <c r="G404" t="s">
        <v>807</v>
      </c>
      <c r="H404" t="s">
        <v>751</v>
      </c>
      <c r="I404" t="str">
        <f>VLOOKUP(tblSalaries[[#This Row],[Where do you work]],[1]!tblCountries[[Actual]:[Mapping]],2,FALSE)</f>
        <v>Romania</v>
      </c>
      <c r="J404" t="s">
        <v>794</v>
      </c>
    </row>
    <row r="405" spans="1:10" x14ac:dyDescent="0.2">
      <c r="A405" t="s">
        <v>1558</v>
      </c>
      <c r="B405" s="59">
        <v>41055.093113425923</v>
      </c>
      <c r="C405">
        <v>14000000</v>
      </c>
      <c r="D405" t="s">
        <v>1559</v>
      </c>
      <c r="E405">
        <f>tblSalaries[[#This Row],[clean Salary (in local currency)]]*VLOOKUP(tblSalaries[[#This Row],[Currency]],[1]!tblXrate[#Data],2,FALSE)</f>
        <v>28109.627547434993</v>
      </c>
      <c r="F405" t="s">
        <v>1560</v>
      </c>
      <c r="G405" t="s">
        <v>788</v>
      </c>
      <c r="H405" t="s">
        <v>66</v>
      </c>
      <c r="I405" t="str">
        <f>VLOOKUP(tblSalaries[[#This Row],[Where do you work]],[1]!tblCountries[[Actual]:[Mapping]],2,FALSE)</f>
        <v>Costa Rica</v>
      </c>
      <c r="J405" t="s">
        <v>794</v>
      </c>
    </row>
    <row r="406" spans="1:10" x14ac:dyDescent="0.2">
      <c r="A406" t="s">
        <v>1561</v>
      </c>
      <c r="B406" s="59">
        <v>41055.093391203707</v>
      </c>
      <c r="C406">
        <v>56000</v>
      </c>
      <c r="D406" t="s">
        <v>786</v>
      </c>
      <c r="E406">
        <f>tblSalaries[[#This Row],[clean Salary (in local currency)]]*VLOOKUP(tblSalaries[[#This Row],[Currency]],[1]!tblXrate[#Data],2,FALSE)</f>
        <v>56000</v>
      </c>
      <c r="F406" t="s">
        <v>1562</v>
      </c>
      <c r="G406" t="s">
        <v>788</v>
      </c>
      <c r="H406" t="s">
        <v>15</v>
      </c>
      <c r="I406" t="str">
        <f>VLOOKUP(tblSalaries[[#This Row],[Where do you work]],[1]!tblCountries[[Actual]:[Mapping]],2,FALSE)</f>
        <v>USA</v>
      </c>
      <c r="J406" t="s">
        <v>789</v>
      </c>
    </row>
    <row r="407" spans="1:10" x14ac:dyDescent="0.2">
      <c r="A407" t="s">
        <v>1563</v>
      </c>
      <c r="B407" s="59">
        <v>41055.093611111108</v>
      </c>
      <c r="C407">
        <v>52000</v>
      </c>
      <c r="D407" t="s">
        <v>786</v>
      </c>
      <c r="E407">
        <f>tblSalaries[[#This Row],[clean Salary (in local currency)]]*VLOOKUP(tblSalaries[[#This Row],[Currency]],[1]!tblXrate[#Data],2,FALSE)</f>
        <v>52000</v>
      </c>
      <c r="F407" t="s">
        <v>1564</v>
      </c>
      <c r="G407" t="s">
        <v>817</v>
      </c>
      <c r="H407" t="s">
        <v>15</v>
      </c>
      <c r="I407" t="str">
        <f>VLOOKUP(tblSalaries[[#This Row],[Where do you work]],[1]!tblCountries[[Actual]:[Mapping]],2,FALSE)</f>
        <v>USA</v>
      </c>
      <c r="J407" t="s">
        <v>789</v>
      </c>
    </row>
    <row r="408" spans="1:10" x14ac:dyDescent="0.2">
      <c r="A408" t="s">
        <v>1565</v>
      </c>
      <c r="B408" s="59">
        <v>41055.093969907408</v>
      </c>
      <c r="C408">
        <v>51613</v>
      </c>
      <c r="D408" t="s">
        <v>786</v>
      </c>
      <c r="E408">
        <f>tblSalaries[[#This Row],[clean Salary (in local currency)]]*VLOOKUP(tblSalaries[[#This Row],[Currency]],[1]!tblXrate[#Data],2,FALSE)</f>
        <v>51613</v>
      </c>
      <c r="F408" t="s">
        <v>1566</v>
      </c>
      <c r="G408" t="s">
        <v>788</v>
      </c>
      <c r="H408" t="s">
        <v>15</v>
      </c>
      <c r="I408" t="str">
        <f>VLOOKUP(tblSalaries[[#This Row],[Where do you work]],[1]!tblCountries[[Actual]:[Mapping]],2,FALSE)</f>
        <v>USA</v>
      </c>
      <c r="J408" t="s">
        <v>794</v>
      </c>
    </row>
    <row r="409" spans="1:10" x14ac:dyDescent="0.2">
      <c r="A409" t="s">
        <v>1567</v>
      </c>
      <c r="B409" s="59">
        <v>41055.095150462963</v>
      </c>
      <c r="C409">
        <v>35000</v>
      </c>
      <c r="D409" t="s">
        <v>786</v>
      </c>
      <c r="E409">
        <f>tblSalaries[[#This Row],[clean Salary (in local currency)]]*VLOOKUP(tblSalaries[[#This Row],[Currency]],[1]!tblXrate[#Data],2,FALSE)</f>
        <v>35000</v>
      </c>
      <c r="F409" t="s">
        <v>1568</v>
      </c>
      <c r="G409" t="s">
        <v>788</v>
      </c>
      <c r="H409" t="s">
        <v>744</v>
      </c>
      <c r="I409" t="str">
        <f>VLOOKUP(tblSalaries[[#This Row],[Where do you work]],[1]!tblCountries[[Actual]:[Mapping]],2,FALSE)</f>
        <v>Russia</v>
      </c>
      <c r="J409" t="s">
        <v>789</v>
      </c>
    </row>
    <row r="410" spans="1:10" x14ac:dyDescent="0.2">
      <c r="A410" t="s">
        <v>1569</v>
      </c>
      <c r="B410" s="59">
        <v>41055.095347222225</v>
      </c>
      <c r="C410">
        <v>56000</v>
      </c>
      <c r="D410" t="s">
        <v>786</v>
      </c>
      <c r="E410">
        <f>tblSalaries[[#This Row],[clean Salary (in local currency)]]*VLOOKUP(tblSalaries[[#This Row],[Currency]],[1]!tblXrate[#Data],2,FALSE)</f>
        <v>56000</v>
      </c>
      <c r="F410" t="s">
        <v>1570</v>
      </c>
      <c r="G410" t="s">
        <v>807</v>
      </c>
      <c r="H410" t="s">
        <v>15</v>
      </c>
      <c r="I410" t="str">
        <f>VLOOKUP(tblSalaries[[#This Row],[Where do you work]],[1]!tblCountries[[Actual]:[Mapping]],2,FALSE)</f>
        <v>USA</v>
      </c>
      <c r="J410" t="s">
        <v>794</v>
      </c>
    </row>
    <row r="411" spans="1:10" x14ac:dyDescent="0.2">
      <c r="A411" t="s">
        <v>1571</v>
      </c>
      <c r="B411" s="59">
        <v>41055.095578703702</v>
      </c>
      <c r="C411">
        <v>115000</v>
      </c>
      <c r="D411" t="s">
        <v>786</v>
      </c>
      <c r="E411">
        <f>tblSalaries[[#This Row],[clean Salary (in local currency)]]*VLOOKUP(tblSalaries[[#This Row],[Currency]],[1]!tblXrate[#Data],2,FALSE)</f>
        <v>115000</v>
      </c>
      <c r="F411" t="s">
        <v>867</v>
      </c>
      <c r="G411" t="s">
        <v>867</v>
      </c>
      <c r="H411" t="s">
        <v>15</v>
      </c>
      <c r="I411" t="str">
        <f>VLOOKUP(tblSalaries[[#This Row],[Where do you work]],[1]!tblCountries[[Actual]:[Mapping]],2,FALSE)</f>
        <v>USA</v>
      </c>
      <c r="J411" t="s">
        <v>799</v>
      </c>
    </row>
    <row r="412" spans="1:10" x14ac:dyDescent="0.2">
      <c r="A412" t="s">
        <v>1572</v>
      </c>
      <c r="B412" s="59">
        <v>41055.095868055556</v>
      </c>
      <c r="C412">
        <v>66000</v>
      </c>
      <c r="D412" t="s">
        <v>861</v>
      </c>
      <c r="E412">
        <f>tblSalaries[[#This Row],[clean Salary (in local currency)]]*VLOOKUP(tblSalaries[[#This Row],[Currency]],[1]!tblXrate[#Data],2,FALSE)</f>
        <v>104027.76595644075</v>
      </c>
      <c r="F412" t="s">
        <v>1573</v>
      </c>
      <c r="G412" t="s">
        <v>807</v>
      </c>
      <c r="H412" t="s">
        <v>863</v>
      </c>
      <c r="I412" t="str">
        <f>VLOOKUP(tblSalaries[[#This Row],[Where do you work]],[1]!tblCountries[[Actual]:[Mapping]],2,FALSE)</f>
        <v>UK</v>
      </c>
      <c r="J412" t="s">
        <v>808</v>
      </c>
    </row>
    <row r="413" spans="1:10" x14ac:dyDescent="0.2">
      <c r="A413" t="s">
        <v>1574</v>
      </c>
      <c r="B413" s="59">
        <v>41055.096666666665</v>
      </c>
      <c r="C413">
        <v>200000</v>
      </c>
      <c r="D413" t="s">
        <v>824</v>
      </c>
      <c r="E413">
        <f>tblSalaries[[#This Row],[clean Salary (in local currency)]]*VLOOKUP(tblSalaries[[#This Row],[Currency]],[1]!tblXrate[#Data],2,FALSE)</f>
        <v>3561.5833374885137</v>
      </c>
      <c r="F413" t="s">
        <v>867</v>
      </c>
      <c r="G413" t="s">
        <v>867</v>
      </c>
      <c r="H413" t="s">
        <v>117</v>
      </c>
      <c r="I413" t="str">
        <f>VLOOKUP(tblSalaries[[#This Row],[Where do you work]],[1]!tblCountries[[Actual]:[Mapping]],2,FALSE)</f>
        <v>India</v>
      </c>
      <c r="J413" t="s">
        <v>808</v>
      </c>
    </row>
    <row r="414" spans="1:10" x14ac:dyDescent="0.2">
      <c r="A414" t="s">
        <v>1575</v>
      </c>
      <c r="B414" s="59">
        <v>41055.097083333334</v>
      </c>
      <c r="C414">
        <v>72000</v>
      </c>
      <c r="D414" t="s">
        <v>786</v>
      </c>
      <c r="E414">
        <f>tblSalaries[[#This Row],[clean Salary (in local currency)]]*VLOOKUP(tblSalaries[[#This Row],[Currency]],[1]!tblXrate[#Data],2,FALSE)</f>
        <v>72000</v>
      </c>
      <c r="F414" t="s">
        <v>1576</v>
      </c>
      <c r="G414" t="s">
        <v>813</v>
      </c>
      <c r="H414" t="s">
        <v>15</v>
      </c>
      <c r="I414" t="str">
        <f>VLOOKUP(tblSalaries[[#This Row],[Where do you work]],[1]!tblCountries[[Actual]:[Mapping]],2,FALSE)</f>
        <v>USA</v>
      </c>
      <c r="J414" t="s">
        <v>789</v>
      </c>
    </row>
    <row r="415" spans="1:10" x14ac:dyDescent="0.2">
      <c r="A415" t="s">
        <v>1577</v>
      </c>
      <c r="B415" s="59">
        <v>41055.097129629627</v>
      </c>
      <c r="C415">
        <v>90000</v>
      </c>
      <c r="D415" t="s">
        <v>786</v>
      </c>
      <c r="E415">
        <f>tblSalaries[[#This Row],[clean Salary (in local currency)]]*VLOOKUP(tblSalaries[[#This Row],[Currency]],[1]!tblXrate[#Data],2,FALSE)</f>
        <v>90000</v>
      </c>
      <c r="F415" t="s">
        <v>796</v>
      </c>
      <c r="G415" t="s">
        <v>788</v>
      </c>
      <c r="H415" t="s">
        <v>15</v>
      </c>
      <c r="I415" t="str">
        <f>VLOOKUP(tblSalaries[[#This Row],[Where do you work]],[1]!tblCountries[[Actual]:[Mapping]],2,FALSE)</f>
        <v>USA</v>
      </c>
      <c r="J415" t="s">
        <v>794</v>
      </c>
    </row>
    <row r="416" spans="1:10" x14ac:dyDescent="0.2">
      <c r="A416" t="s">
        <v>1578</v>
      </c>
      <c r="B416" s="59">
        <v>41055.097395833334</v>
      </c>
      <c r="C416">
        <v>8500</v>
      </c>
      <c r="D416" t="s">
        <v>786</v>
      </c>
      <c r="E416">
        <f>tblSalaries[[#This Row],[clean Salary (in local currency)]]*VLOOKUP(tblSalaries[[#This Row],[Currency]],[1]!tblXrate[#Data],2,FALSE)</f>
        <v>8500</v>
      </c>
      <c r="F416" t="s">
        <v>1019</v>
      </c>
      <c r="G416" t="s">
        <v>817</v>
      </c>
      <c r="H416" t="s">
        <v>751</v>
      </c>
      <c r="I416" t="str">
        <f>VLOOKUP(tblSalaries[[#This Row],[Where do you work]],[1]!tblCountries[[Actual]:[Mapping]],2,FALSE)</f>
        <v>Romania</v>
      </c>
      <c r="J416" t="s">
        <v>799</v>
      </c>
    </row>
    <row r="417" spans="1:10" x14ac:dyDescent="0.2">
      <c r="A417" t="s">
        <v>1579</v>
      </c>
      <c r="B417" s="59">
        <v>41055.09747685185</v>
      </c>
      <c r="C417">
        <v>12000</v>
      </c>
      <c r="D417" t="s">
        <v>786</v>
      </c>
      <c r="E417">
        <f>tblSalaries[[#This Row],[clean Salary (in local currency)]]*VLOOKUP(tblSalaries[[#This Row],[Currency]],[1]!tblXrate[#Data],2,FALSE)</f>
        <v>12000</v>
      </c>
      <c r="F417" t="s">
        <v>1580</v>
      </c>
      <c r="G417" t="s">
        <v>788</v>
      </c>
      <c r="H417" t="s">
        <v>1581</v>
      </c>
      <c r="I417" t="str">
        <f>VLOOKUP(tblSalaries[[#This Row],[Where do you work]],[1]!tblCountries[[Actual]:[Mapping]],2,FALSE)</f>
        <v>iran</v>
      </c>
      <c r="J417" t="s">
        <v>799</v>
      </c>
    </row>
    <row r="418" spans="1:10" x14ac:dyDescent="0.2">
      <c r="A418" t="s">
        <v>1582</v>
      </c>
      <c r="B418" s="59">
        <v>41055.098807870374</v>
      </c>
      <c r="C418">
        <v>250000</v>
      </c>
      <c r="D418" t="s">
        <v>786</v>
      </c>
      <c r="E418">
        <f>tblSalaries[[#This Row],[clean Salary (in local currency)]]*VLOOKUP(tblSalaries[[#This Row],[Currency]],[1]!tblXrate[#Data],2,FALSE)</f>
        <v>250000</v>
      </c>
      <c r="F418" t="s">
        <v>878</v>
      </c>
      <c r="G418" t="s">
        <v>867</v>
      </c>
      <c r="H418" t="s">
        <v>15</v>
      </c>
      <c r="I418" t="str">
        <f>VLOOKUP(tblSalaries[[#This Row],[Where do you work]],[1]!tblCountries[[Actual]:[Mapping]],2,FALSE)</f>
        <v>USA</v>
      </c>
      <c r="J418" t="s">
        <v>794</v>
      </c>
    </row>
    <row r="419" spans="1:10" x14ac:dyDescent="0.2">
      <c r="A419" t="s">
        <v>1583</v>
      </c>
      <c r="B419" s="59">
        <v>41055.100277777776</v>
      </c>
      <c r="C419">
        <v>70800</v>
      </c>
      <c r="D419" t="s">
        <v>805</v>
      </c>
      <c r="E419">
        <f>tblSalaries[[#This Row],[clean Salary (in local currency)]]*VLOOKUP(tblSalaries[[#This Row],[Currency]],[1]!tblXrate[#Data],2,FALSE)</f>
        <v>89944.280280605832</v>
      </c>
      <c r="F419" t="s">
        <v>1584</v>
      </c>
      <c r="G419" t="s">
        <v>788</v>
      </c>
      <c r="H419" t="s">
        <v>90</v>
      </c>
      <c r="I419" t="str">
        <f>VLOOKUP(tblSalaries[[#This Row],[Where do you work]],[1]!tblCountries[[Actual]:[Mapping]],2,FALSE)</f>
        <v>Finland</v>
      </c>
      <c r="J419" t="s">
        <v>794</v>
      </c>
    </row>
    <row r="420" spans="1:10" x14ac:dyDescent="0.2">
      <c r="A420" t="s">
        <v>1585</v>
      </c>
      <c r="B420" s="59">
        <v>41055.100810185184</v>
      </c>
      <c r="C420">
        <v>240000</v>
      </c>
      <c r="D420" t="s">
        <v>824</v>
      </c>
      <c r="E420">
        <f>tblSalaries[[#This Row],[clean Salary (in local currency)]]*VLOOKUP(tblSalaries[[#This Row],[Currency]],[1]!tblXrate[#Data],2,FALSE)</f>
        <v>4273.9000049862161</v>
      </c>
      <c r="F420" t="s">
        <v>1586</v>
      </c>
      <c r="G420" t="s">
        <v>807</v>
      </c>
      <c r="H420" t="s">
        <v>117</v>
      </c>
      <c r="I420" t="str">
        <f>VLOOKUP(tblSalaries[[#This Row],[Where do you work]],[1]!tblCountries[[Actual]:[Mapping]],2,FALSE)</f>
        <v>India</v>
      </c>
      <c r="J420" t="s">
        <v>794</v>
      </c>
    </row>
    <row r="421" spans="1:10" x14ac:dyDescent="0.2">
      <c r="A421" t="s">
        <v>1587</v>
      </c>
      <c r="B421" s="59">
        <v>41055.102662037039</v>
      </c>
      <c r="C421">
        <v>30000</v>
      </c>
      <c r="D421" t="s">
        <v>786</v>
      </c>
      <c r="E421">
        <f>tblSalaries[[#This Row],[clean Salary (in local currency)]]*VLOOKUP(tblSalaries[[#This Row],[Currency]],[1]!tblXrate[#Data],2,FALSE)</f>
        <v>30000</v>
      </c>
      <c r="F421" t="s">
        <v>1588</v>
      </c>
      <c r="G421" t="s">
        <v>807</v>
      </c>
      <c r="H421" t="s">
        <v>15</v>
      </c>
      <c r="I421" t="str">
        <f>VLOOKUP(tblSalaries[[#This Row],[Where do you work]],[1]!tblCountries[[Actual]:[Mapping]],2,FALSE)</f>
        <v>USA</v>
      </c>
      <c r="J421" t="s">
        <v>799</v>
      </c>
    </row>
    <row r="422" spans="1:10" x14ac:dyDescent="0.2">
      <c r="A422" t="s">
        <v>1589</v>
      </c>
      <c r="B422" s="59">
        <v>41055.103900462964</v>
      </c>
      <c r="C422">
        <v>30000</v>
      </c>
      <c r="D422" t="s">
        <v>786</v>
      </c>
      <c r="E422">
        <f>tblSalaries[[#This Row],[clean Salary (in local currency)]]*VLOOKUP(tblSalaries[[#This Row],[Currency]],[1]!tblXrate[#Data],2,FALSE)</f>
        <v>30000</v>
      </c>
      <c r="F422" t="s">
        <v>1590</v>
      </c>
      <c r="G422" t="s">
        <v>836</v>
      </c>
      <c r="H422" t="s">
        <v>751</v>
      </c>
      <c r="I422" t="str">
        <f>VLOOKUP(tblSalaries[[#This Row],[Where do you work]],[1]!tblCountries[[Actual]:[Mapping]],2,FALSE)</f>
        <v>Romania</v>
      </c>
      <c r="J422" t="s">
        <v>808</v>
      </c>
    </row>
    <row r="423" spans="1:10" x14ac:dyDescent="0.2">
      <c r="A423" t="s">
        <v>1591</v>
      </c>
      <c r="B423" s="59">
        <v>41055.105138888888</v>
      </c>
      <c r="C423">
        <v>24000</v>
      </c>
      <c r="D423" t="s">
        <v>786</v>
      </c>
      <c r="E423">
        <f>tblSalaries[[#This Row],[clean Salary (in local currency)]]*VLOOKUP(tblSalaries[[#This Row],[Currency]],[1]!tblXrate[#Data],2,FALSE)</f>
        <v>24000</v>
      </c>
      <c r="F423" t="s">
        <v>1592</v>
      </c>
      <c r="G423" t="s">
        <v>802</v>
      </c>
      <c r="H423" t="s">
        <v>15</v>
      </c>
      <c r="I423" t="str">
        <f>VLOOKUP(tblSalaries[[#This Row],[Where do you work]],[1]!tblCountries[[Actual]:[Mapping]],2,FALSE)</f>
        <v>USA</v>
      </c>
      <c r="J423" t="s">
        <v>808</v>
      </c>
    </row>
    <row r="424" spans="1:10" x14ac:dyDescent="0.2">
      <c r="A424" t="s">
        <v>1593</v>
      </c>
      <c r="B424" s="59">
        <v>41055.106249999997</v>
      </c>
      <c r="C424">
        <v>60000</v>
      </c>
      <c r="D424" t="s">
        <v>786</v>
      </c>
      <c r="E424">
        <f>tblSalaries[[#This Row],[clean Salary (in local currency)]]*VLOOKUP(tblSalaries[[#This Row],[Currency]],[1]!tblXrate[#Data],2,FALSE)</f>
        <v>60000</v>
      </c>
      <c r="F424" t="s">
        <v>1594</v>
      </c>
      <c r="G424" t="s">
        <v>807</v>
      </c>
      <c r="H424" t="s">
        <v>15</v>
      </c>
      <c r="I424" t="str">
        <f>VLOOKUP(tblSalaries[[#This Row],[Where do you work]],[1]!tblCountries[[Actual]:[Mapping]],2,FALSE)</f>
        <v>USA</v>
      </c>
      <c r="J424" t="s">
        <v>789</v>
      </c>
    </row>
    <row r="425" spans="1:10" x14ac:dyDescent="0.2">
      <c r="A425" t="s">
        <v>1595</v>
      </c>
      <c r="B425" s="59">
        <v>41055.106319444443</v>
      </c>
      <c r="C425">
        <v>76600</v>
      </c>
      <c r="D425" t="s">
        <v>786</v>
      </c>
      <c r="E425">
        <f>tblSalaries[[#This Row],[clean Salary (in local currency)]]*VLOOKUP(tblSalaries[[#This Row],[Currency]],[1]!tblXrate[#Data],2,FALSE)</f>
        <v>76600</v>
      </c>
      <c r="F425" t="s">
        <v>788</v>
      </c>
      <c r="G425" t="s">
        <v>788</v>
      </c>
      <c r="H425" t="s">
        <v>15</v>
      </c>
      <c r="I425" t="str">
        <f>VLOOKUP(tblSalaries[[#This Row],[Where do you work]],[1]!tblCountries[[Actual]:[Mapping]],2,FALSE)</f>
        <v>USA</v>
      </c>
      <c r="J425" t="s">
        <v>799</v>
      </c>
    </row>
    <row r="426" spans="1:10" x14ac:dyDescent="0.2">
      <c r="A426" t="s">
        <v>1596</v>
      </c>
      <c r="B426" s="59">
        <v>41055.106365740743</v>
      </c>
      <c r="C426">
        <v>65000</v>
      </c>
      <c r="D426" t="s">
        <v>861</v>
      </c>
      <c r="E426">
        <f>tblSalaries[[#This Row],[clean Salary (in local currency)]]*VLOOKUP(tblSalaries[[#This Row],[Currency]],[1]!tblXrate[#Data],2,FALSE)</f>
        <v>102451.58768437347</v>
      </c>
      <c r="F426" t="s">
        <v>1026</v>
      </c>
      <c r="G426" t="s">
        <v>792</v>
      </c>
      <c r="H426" t="s">
        <v>863</v>
      </c>
      <c r="I426" t="str">
        <f>VLOOKUP(tblSalaries[[#This Row],[Where do you work]],[1]!tblCountries[[Actual]:[Mapping]],2,FALSE)</f>
        <v>UK</v>
      </c>
      <c r="J426" t="s">
        <v>799</v>
      </c>
    </row>
    <row r="427" spans="1:10" x14ac:dyDescent="0.2">
      <c r="A427" t="s">
        <v>1597</v>
      </c>
      <c r="B427" s="59">
        <v>41055.106944444444</v>
      </c>
      <c r="C427">
        <v>6629</v>
      </c>
      <c r="D427" t="s">
        <v>786</v>
      </c>
      <c r="E427">
        <f>tblSalaries[[#This Row],[clean Salary (in local currency)]]*VLOOKUP(tblSalaries[[#This Row],[Currency]],[1]!tblXrate[#Data],2,FALSE)</f>
        <v>6629</v>
      </c>
      <c r="F427" t="s">
        <v>802</v>
      </c>
      <c r="G427" t="s">
        <v>802</v>
      </c>
      <c r="H427" t="s">
        <v>76</v>
      </c>
      <c r="I427" t="str">
        <f>VLOOKUP(tblSalaries[[#This Row],[Where do you work]],[1]!tblCountries[[Actual]:[Mapping]],2,FALSE)</f>
        <v>Dominican Republic</v>
      </c>
      <c r="J427" t="s">
        <v>794</v>
      </c>
    </row>
    <row r="428" spans="1:10" x14ac:dyDescent="0.2">
      <c r="A428" t="s">
        <v>1598</v>
      </c>
      <c r="B428" s="59">
        <v>41055.107372685183</v>
      </c>
      <c r="C428">
        <v>90000</v>
      </c>
      <c r="D428" t="s">
        <v>786</v>
      </c>
      <c r="E428">
        <f>tblSalaries[[#This Row],[clean Salary (in local currency)]]*VLOOKUP(tblSalaries[[#This Row],[Currency]],[1]!tblXrate[#Data],2,FALSE)</f>
        <v>90000</v>
      </c>
      <c r="F428" t="s">
        <v>1599</v>
      </c>
      <c r="G428" t="s">
        <v>788</v>
      </c>
      <c r="H428" t="s">
        <v>15</v>
      </c>
      <c r="I428" t="str">
        <f>VLOOKUP(tblSalaries[[#This Row],[Where do you work]],[1]!tblCountries[[Actual]:[Mapping]],2,FALSE)</f>
        <v>USA</v>
      </c>
      <c r="J428" t="s">
        <v>808</v>
      </c>
    </row>
    <row r="429" spans="1:10" x14ac:dyDescent="0.2">
      <c r="A429" t="s">
        <v>1600</v>
      </c>
      <c r="B429" s="59">
        <v>41055.107754629629</v>
      </c>
      <c r="C429">
        <v>8500</v>
      </c>
      <c r="D429" t="s">
        <v>786</v>
      </c>
      <c r="E429">
        <f>tblSalaries[[#This Row],[clean Salary (in local currency)]]*VLOOKUP(tblSalaries[[#This Row],[Currency]],[1]!tblXrate[#Data],2,FALSE)</f>
        <v>8500</v>
      </c>
      <c r="F429" t="s">
        <v>1601</v>
      </c>
      <c r="G429" t="s">
        <v>788</v>
      </c>
      <c r="H429" t="s">
        <v>157</v>
      </c>
      <c r="I429" t="str">
        <f>VLOOKUP(tblSalaries[[#This Row],[Where do you work]],[1]!tblCountries[[Actual]:[Mapping]],2,FALSE)</f>
        <v>Colombia</v>
      </c>
      <c r="J429" t="s">
        <v>808</v>
      </c>
    </row>
    <row r="430" spans="1:10" x14ac:dyDescent="0.2">
      <c r="A430" t="s">
        <v>1602</v>
      </c>
      <c r="B430" s="59">
        <v>41055.107766203706</v>
      </c>
      <c r="C430">
        <v>75000</v>
      </c>
      <c r="D430" t="s">
        <v>786</v>
      </c>
      <c r="E430">
        <f>tblSalaries[[#This Row],[clean Salary (in local currency)]]*VLOOKUP(tblSalaries[[#This Row],[Currency]],[1]!tblXrate[#Data],2,FALSE)</f>
        <v>75000</v>
      </c>
      <c r="F430" t="s">
        <v>1603</v>
      </c>
      <c r="G430" t="s">
        <v>788</v>
      </c>
      <c r="H430" t="s">
        <v>15</v>
      </c>
      <c r="I430" t="str">
        <f>VLOOKUP(tblSalaries[[#This Row],[Where do you work]],[1]!tblCountries[[Actual]:[Mapping]],2,FALSE)</f>
        <v>USA</v>
      </c>
      <c r="J430" t="s">
        <v>789</v>
      </c>
    </row>
    <row r="431" spans="1:10" x14ac:dyDescent="0.2">
      <c r="A431" t="s">
        <v>1604</v>
      </c>
      <c r="B431" s="59">
        <v>41055.109606481485</v>
      </c>
      <c r="C431">
        <v>72000</v>
      </c>
      <c r="D431" t="s">
        <v>786</v>
      </c>
      <c r="E431">
        <f>tblSalaries[[#This Row],[clean Salary (in local currency)]]*VLOOKUP(tblSalaries[[#This Row],[Currency]],[1]!tblXrate[#Data],2,FALSE)</f>
        <v>72000</v>
      </c>
      <c r="F431" t="s">
        <v>1605</v>
      </c>
      <c r="G431" t="s">
        <v>788</v>
      </c>
      <c r="H431" t="s">
        <v>15</v>
      </c>
      <c r="I431" t="str">
        <f>VLOOKUP(tblSalaries[[#This Row],[Where do you work]],[1]!tblCountries[[Actual]:[Mapping]],2,FALSE)</f>
        <v>USA</v>
      </c>
      <c r="J431" t="s">
        <v>799</v>
      </c>
    </row>
    <row r="432" spans="1:10" x14ac:dyDescent="0.2">
      <c r="A432" t="s">
        <v>1606</v>
      </c>
      <c r="B432" s="59">
        <v>41055.110115740739</v>
      </c>
      <c r="C432">
        <v>65000</v>
      </c>
      <c r="D432" t="s">
        <v>786</v>
      </c>
      <c r="E432">
        <f>tblSalaries[[#This Row],[clean Salary (in local currency)]]*VLOOKUP(tblSalaries[[#This Row],[Currency]],[1]!tblXrate[#Data],2,FALSE)</f>
        <v>65000</v>
      </c>
      <c r="F432" t="s">
        <v>1607</v>
      </c>
      <c r="G432" t="s">
        <v>788</v>
      </c>
      <c r="H432" t="s">
        <v>15</v>
      </c>
      <c r="I432" t="str">
        <f>VLOOKUP(tblSalaries[[#This Row],[Where do you work]],[1]!tblCountries[[Actual]:[Mapping]],2,FALSE)</f>
        <v>USA</v>
      </c>
      <c r="J432" t="s">
        <v>789</v>
      </c>
    </row>
    <row r="433" spans="1:10" x14ac:dyDescent="0.2">
      <c r="A433" t="s">
        <v>1608</v>
      </c>
      <c r="B433" s="59">
        <v>41055.111064814817</v>
      </c>
      <c r="C433">
        <v>120000</v>
      </c>
      <c r="D433" t="s">
        <v>786</v>
      </c>
      <c r="E433">
        <f>tblSalaries[[#This Row],[clean Salary (in local currency)]]*VLOOKUP(tblSalaries[[#This Row],[Currency]],[1]!tblXrate[#Data],2,FALSE)</f>
        <v>120000</v>
      </c>
      <c r="F433" t="s">
        <v>963</v>
      </c>
      <c r="G433" t="s">
        <v>813</v>
      </c>
      <c r="H433" t="s">
        <v>15</v>
      </c>
      <c r="I433" t="str">
        <f>VLOOKUP(tblSalaries[[#This Row],[Where do you work]],[1]!tblCountries[[Actual]:[Mapping]],2,FALSE)</f>
        <v>USA</v>
      </c>
      <c r="J433" t="s">
        <v>808</v>
      </c>
    </row>
    <row r="434" spans="1:10" x14ac:dyDescent="0.2">
      <c r="A434" t="s">
        <v>1609</v>
      </c>
      <c r="B434" s="59">
        <v>41055.111562500002</v>
      </c>
      <c r="C434">
        <v>4000000</v>
      </c>
      <c r="D434" t="s">
        <v>824</v>
      </c>
      <c r="E434">
        <f>tblSalaries[[#This Row],[clean Salary (in local currency)]]*VLOOKUP(tblSalaries[[#This Row],[Currency]],[1]!tblXrate[#Data],2,FALSE)</f>
        <v>71231.666749770273</v>
      </c>
      <c r="F434" t="s">
        <v>1610</v>
      </c>
      <c r="G434" t="s">
        <v>817</v>
      </c>
      <c r="H434" t="s">
        <v>117</v>
      </c>
      <c r="I434" t="str">
        <f>VLOOKUP(tblSalaries[[#This Row],[Where do you work]],[1]!tblCountries[[Actual]:[Mapping]],2,FALSE)</f>
        <v>India</v>
      </c>
      <c r="J434" t="s">
        <v>794</v>
      </c>
    </row>
    <row r="435" spans="1:10" x14ac:dyDescent="0.2">
      <c r="A435" t="s">
        <v>1611</v>
      </c>
      <c r="B435" s="59">
        <v>41055.11273148148</v>
      </c>
      <c r="C435">
        <v>300000</v>
      </c>
      <c r="D435" t="s">
        <v>824</v>
      </c>
      <c r="E435">
        <f>tblSalaries[[#This Row],[clean Salary (in local currency)]]*VLOOKUP(tblSalaries[[#This Row],[Currency]],[1]!tblXrate[#Data],2,FALSE)</f>
        <v>5342.3750062327708</v>
      </c>
      <c r="F435" t="s">
        <v>1612</v>
      </c>
      <c r="G435" t="s">
        <v>807</v>
      </c>
      <c r="H435" t="s">
        <v>117</v>
      </c>
      <c r="I435" t="str">
        <f>VLOOKUP(tblSalaries[[#This Row],[Where do you work]],[1]!tblCountries[[Actual]:[Mapping]],2,FALSE)</f>
        <v>India</v>
      </c>
      <c r="J435" t="s">
        <v>789</v>
      </c>
    </row>
    <row r="436" spans="1:10" x14ac:dyDescent="0.2">
      <c r="A436" t="s">
        <v>1613</v>
      </c>
      <c r="B436" s="59">
        <v>41055.113437499997</v>
      </c>
      <c r="C436">
        <v>1100000</v>
      </c>
      <c r="D436" t="s">
        <v>824</v>
      </c>
      <c r="E436">
        <f>tblSalaries[[#This Row],[clean Salary (in local currency)]]*VLOOKUP(tblSalaries[[#This Row],[Currency]],[1]!tblXrate[#Data],2,FALSE)</f>
        <v>19588.708356186824</v>
      </c>
      <c r="F436" t="s">
        <v>1614</v>
      </c>
      <c r="G436" t="s">
        <v>807</v>
      </c>
      <c r="H436" t="s">
        <v>117</v>
      </c>
      <c r="I436" t="str">
        <f>VLOOKUP(tblSalaries[[#This Row],[Where do you work]],[1]!tblCountries[[Actual]:[Mapping]],2,FALSE)</f>
        <v>India</v>
      </c>
      <c r="J436" t="s">
        <v>789</v>
      </c>
    </row>
    <row r="437" spans="1:10" x14ac:dyDescent="0.2">
      <c r="A437" t="s">
        <v>1615</v>
      </c>
      <c r="B437" s="59">
        <v>41055.115486111114</v>
      </c>
      <c r="C437">
        <v>80000</v>
      </c>
      <c r="D437" t="s">
        <v>786</v>
      </c>
      <c r="E437">
        <f>tblSalaries[[#This Row],[clean Salary (in local currency)]]*VLOOKUP(tblSalaries[[#This Row],[Currency]],[1]!tblXrate[#Data],2,FALSE)</f>
        <v>80000</v>
      </c>
      <c r="F437" t="s">
        <v>1616</v>
      </c>
      <c r="G437" t="s">
        <v>788</v>
      </c>
      <c r="H437" t="s">
        <v>15</v>
      </c>
      <c r="I437" t="str">
        <f>VLOOKUP(tblSalaries[[#This Row],[Where do you work]],[1]!tblCountries[[Actual]:[Mapping]],2,FALSE)</f>
        <v>USA</v>
      </c>
      <c r="J437" t="s">
        <v>789</v>
      </c>
    </row>
    <row r="438" spans="1:10" x14ac:dyDescent="0.2">
      <c r="A438" t="s">
        <v>1617</v>
      </c>
      <c r="B438" s="59">
        <v>41055.115925925929</v>
      </c>
      <c r="C438">
        <v>3000000</v>
      </c>
      <c r="D438" t="s">
        <v>824</v>
      </c>
      <c r="E438">
        <f>tblSalaries[[#This Row],[clean Salary (in local currency)]]*VLOOKUP(tblSalaries[[#This Row],[Currency]],[1]!tblXrate[#Data],2,FALSE)</f>
        <v>53423.750062327701</v>
      </c>
      <c r="F438" t="s">
        <v>1618</v>
      </c>
      <c r="G438" t="s">
        <v>807</v>
      </c>
      <c r="H438" t="s">
        <v>117</v>
      </c>
      <c r="I438" t="str">
        <f>VLOOKUP(tblSalaries[[#This Row],[Where do you work]],[1]!tblCountries[[Actual]:[Mapping]],2,FALSE)</f>
        <v>India</v>
      </c>
      <c r="J438" t="s">
        <v>789</v>
      </c>
    </row>
    <row r="439" spans="1:10" x14ac:dyDescent="0.2">
      <c r="A439" t="s">
        <v>1619</v>
      </c>
      <c r="B439" s="59">
        <v>41055.117037037038</v>
      </c>
      <c r="C439">
        <v>110000</v>
      </c>
      <c r="D439" t="s">
        <v>882</v>
      </c>
      <c r="E439">
        <f>tblSalaries[[#This Row],[clean Salary (in local currency)]]*VLOOKUP(tblSalaries[[#This Row],[Currency]],[1]!tblXrate[#Data],2,FALSE)</f>
        <v>108169.76753333595</v>
      </c>
      <c r="F439" t="s">
        <v>1620</v>
      </c>
      <c r="G439" t="s">
        <v>792</v>
      </c>
      <c r="H439" t="s">
        <v>1621</v>
      </c>
      <c r="I439" t="str">
        <f>VLOOKUP(tblSalaries[[#This Row],[Where do you work]],[1]!tblCountries[[Actual]:[Mapping]],2,FALSE)</f>
        <v>Canada</v>
      </c>
      <c r="J439" t="s">
        <v>799</v>
      </c>
    </row>
    <row r="440" spans="1:10" x14ac:dyDescent="0.2">
      <c r="A440" t="s">
        <v>1622</v>
      </c>
      <c r="B440" s="59">
        <v>41055.117638888885</v>
      </c>
      <c r="C440">
        <v>51000</v>
      </c>
      <c r="D440" t="s">
        <v>786</v>
      </c>
      <c r="E440">
        <f>tblSalaries[[#This Row],[clean Salary (in local currency)]]*VLOOKUP(tblSalaries[[#This Row],[Currency]],[1]!tblXrate[#Data],2,FALSE)</f>
        <v>51000</v>
      </c>
      <c r="F440" t="s">
        <v>1623</v>
      </c>
      <c r="G440" t="s">
        <v>807</v>
      </c>
      <c r="H440" t="s">
        <v>15</v>
      </c>
      <c r="I440" t="str">
        <f>VLOOKUP(tblSalaries[[#This Row],[Where do you work]],[1]!tblCountries[[Actual]:[Mapping]],2,FALSE)</f>
        <v>USA</v>
      </c>
      <c r="J440" t="s">
        <v>799</v>
      </c>
    </row>
    <row r="441" spans="1:10" x14ac:dyDescent="0.2">
      <c r="A441" t="s">
        <v>1624</v>
      </c>
      <c r="B441" s="59">
        <v>41055.11824074074</v>
      </c>
      <c r="C441">
        <v>5000</v>
      </c>
      <c r="D441" t="s">
        <v>786</v>
      </c>
      <c r="E441">
        <f>tblSalaries[[#This Row],[clean Salary (in local currency)]]*VLOOKUP(tblSalaries[[#This Row],[Currency]],[1]!tblXrate[#Data],2,FALSE)</f>
        <v>5000</v>
      </c>
      <c r="F441" t="s">
        <v>1625</v>
      </c>
      <c r="G441" t="s">
        <v>836</v>
      </c>
      <c r="H441" t="s">
        <v>117</v>
      </c>
      <c r="I441" t="str">
        <f>VLOOKUP(tblSalaries[[#This Row],[Where do you work]],[1]!tblCountries[[Actual]:[Mapping]],2,FALSE)</f>
        <v>India</v>
      </c>
      <c r="J441" t="s">
        <v>789</v>
      </c>
    </row>
    <row r="442" spans="1:10" x14ac:dyDescent="0.2">
      <c r="A442" t="s">
        <v>1626</v>
      </c>
      <c r="B442" s="59">
        <v>41055.120474537034</v>
      </c>
      <c r="C442">
        <v>74000</v>
      </c>
      <c r="D442" t="s">
        <v>786</v>
      </c>
      <c r="E442">
        <f>tblSalaries[[#This Row],[clean Salary (in local currency)]]*VLOOKUP(tblSalaries[[#This Row],[Currency]],[1]!tblXrate[#Data],2,FALSE)</f>
        <v>74000</v>
      </c>
      <c r="F442" t="s">
        <v>802</v>
      </c>
      <c r="G442" t="s">
        <v>802</v>
      </c>
      <c r="H442" t="s">
        <v>15</v>
      </c>
      <c r="I442" t="str">
        <f>VLOOKUP(tblSalaries[[#This Row],[Where do you work]],[1]!tblCountries[[Actual]:[Mapping]],2,FALSE)</f>
        <v>USA</v>
      </c>
      <c r="J442" t="s">
        <v>789</v>
      </c>
    </row>
    <row r="443" spans="1:10" x14ac:dyDescent="0.2">
      <c r="A443" t="s">
        <v>1627</v>
      </c>
      <c r="B443" s="59">
        <v>41055.120694444442</v>
      </c>
      <c r="C443">
        <v>60000</v>
      </c>
      <c r="D443" t="s">
        <v>861</v>
      </c>
      <c r="E443">
        <f>tblSalaries[[#This Row],[clean Salary (in local currency)]]*VLOOKUP(tblSalaries[[#This Row],[Currency]],[1]!tblXrate[#Data],2,FALSE)</f>
        <v>94570.696324037053</v>
      </c>
      <c r="F443" t="s">
        <v>1278</v>
      </c>
      <c r="G443" t="s">
        <v>867</v>
      </c>
      <c r="H443" t="s">
        <v>863</v>
      </c>
      <c r="I443" t="str">
        <f>VLOOKUP(tblSalaries[[#This Row],[Where do you work]],[1]!tblCountries[[Actual]:[Mapping]],2,FALSE)</f>
        <v>UK</v>
      </c>
      <c r="J443" t="s">
        <v>789</v>
      </c>
    </row>
    <row r="444" spans="1:10" x14ac:dyDescent="0.2">
      <c r="A444" t="s">
        <v>1628</v>
      </c>
      <c r="B444" s="59">
        <v>41055.121840277781</v>
      </c>
      <c r="C444">
        <v>50000</v>
      </c>
      <c r="D444" t="s">
        <v>786</v>
      </c>
      <c r="E444">
        <f>tblSalaries[[#This Row],[clean Salary (in local currency)]]*VLOOKUP(tblSalaries[[#This Row],[Currency]],[1]!tblXrate[#Data],2,FALSE)</f>
        <v>50000</v>
      </c>
      <c r="F444" t="s">
        <v>1629</v>
      </c>
      <c r="G444" t="s">
        <v>788</v>
      </c>
      <c r="H444" t="s">
        <v>15</v>
      </c>
      <c r="I444" t="str">
        <f>VLOOKUP(tblSalaries[[#This Row],[Where do you work]],[1]!tblCountries[[Actual]:[Mapping]],2,FALSE)</f>
        <v>USA</v>
      </c>
      <c r="J444" t="s">
        <v>789</v>
      </c>
    </row>
    <row r="445" spans="1:10" x14ac:dyDescent="0.2">
      <c r="A445" t="s">
        <v>1630</v>
      </c>
      <c r="B445" s="59">
        <v>41055.121863425928</v>
      </c>
      <c r="C445">
        <v>500000</v>
      </c>
      <c r="D445" t="s">
        <v>824</v>
      </c>
      <c r="E445">
        <f>tblSalaries[[#This Row],[clean Salary (in local currency)]]*VLOOKUP(tblSalaries[[#This Row],[Currency]],[1]!tblXrate[#Data],2,FALSE)</f>
        <v>8903.9583437212841</v>
      </c>
      <c r="F445" t="s">
        <v>1070</v>
      </c>
      <c r="G445" t="s">
        <v>788</v>
      </c>
      <c r="H445" t="s">
        <v>117</v>
      </c>
      <c r="I445" t="str">
        <f>VLOOKUP(tblSalaries[[#This Row],[Where do you work]],[1]!tblCountries[[Actual]:[Mapping]],2,FALSE)</f>
        <v>India</v>
      </c>
      <c r="J445" t="s">
        <v>789</v>
      </c>
    </row>
    <row r="446" spans="1:10" x14ac:dyDescent="0.2">
      <c r="A446" t="s">
        <v>1631</v>
      </c>
      <c r="B446" s="59">
        <v>41055.123287037037</v>
      </c>
      <c r="C446">
        <v>78000</v>
      </c>
      <c r="D446" t="s">
        <v>786</v>
      </c>
      <c r="E446">
        <f>tblSalaries[[#This Row],[clean Salary (in local currency)]]*VLOOKUP(tblSalaries[[#This Row],[Currency]],[1]!tblXrate[#Data],2,FALSE)</f>
        <v>78000</v>
      </c>
      <c r="F446" t="s">
        <v>1632</v>
      </c>
      <c r="G446" t="s">
        <v>807</v>
      </c>
      <c r="H446" t="s">
        <v>754</v>
      </c>
      <c r="I446" t="str">
        <f>VLOOKUP(tblSalaries[[#This Row],[Where do you work]],[1]!tblCountries[[Actual]:[Mapping]],2,FALSE)</f>
        <v>Somalia</v>
      </c>
      <c r="J446" t="s">
        <v>789</v>
      </c>
    </row>
    <row r="447" spans="1:10" x14ac:dyDescent="0.2">
      <c r="A447" t="s">
        <v>1633</v>
      </c>
      <c r="B447" s="59">
        <v>41055.123460648145</v>
      </c>
      <c r="C447">
        <v>900000</v>
      </c>
      <c r="D447" t="s">
        <v>824</v>
      </c>
      <c r="E447">
        <f>tblSalaries[[#This Row],[clean Salary (in local currency)]]*VLOOKUP(tblSalaries[[#This Row],[Currency]],[1]!tblXrate[#Data],2,FALSE)</f>
        <v>16027.125018698311</v>
      </c>
      <c r="F447" t="s">
        <v>1634</v>
      </c>
      <c r="G447" t="s">
        <v>807</v>
      </c>
      <c r="H447" t="s">
        <v>117</v>
      </c>
      <c r="I447" t="str">
        <f>VLOOKUP(tblSalaries[[#This Row],[Where do you work]],[1]!tblCountries[[Actual]:[Mapping]],2,FALSE)</f>
        <v>India</v>
      </c>
      <c r="J447" t="s">
        <v>808</v>
      </c>
    </row>
    <row r="448" spans="1:10" x14ac:dyDescent="0.2">
      <c r="A448" t="s">
        <v>1635</v>
      </c>
      <c r="B448" s="59">
        <v>41055.12605324074</v>
      </c>
      <c r="C448">
        <v>7500</v>
      </c>
      <c r="D448" t="s">
        <v>786</v>
      </c>
      <c r="E448">
        <f>tblSalaries[[#This Row],[clean Salary (in local currency)]]*VLOOKUP(tblSalaries[[#This Row],[Currency]],[1]!tblXrate[#Data],2,FALSE)</f>
        <v>7500</v>
      </c>
      <c r="F448" t="s">
        <v>1636</v>
      </c>
      <c r="G448" t="s">
        <v>788</v>
      </c>
      <c r="H448" t="s">
        <v>751</v>
      </c>
      <c r="I448" t="str">
        <f>VLOOKUP(tblSalaries[[#This Row],[Where do you work]],[1]!tblCountries[[Actual]:[Mapping]],2,FALSE)</f>
        <v>Romania</v>
      </c>
      <c r="J448" t="s">
        <v>794</v>
      </c>
    </row>
    <row r="449" spans="1:10" x14ac:dyDescent="0.2">
      <c r="A449" t="s">
        <v>1637</v>
      </c>
      <c r="B449" s="59">
        <v>41055.126180555555</v>
      </c>
      <c r="C449">
        <v>60000</v>
      </c>
      <c r="D449" t="s">
        <v>786</v>
      </c>
      <c r="E449">
        <f>tblSalaries[[#This Row],[clean Salary (in local currency)]]*VLOOKUP(tblSalaries[[#This Row],[Currency]],[1]!tblXrate[#Data],2,FALSE)</f>
        <v>60000</v>
      </c>
      <c r="F449" t="s">
        <v>1638</v>
      </c>
      <c r="G449" t="s">
        <v>788</v>
      </c>
      <c r="H449" t="s">
        <v>15</v>
      </c>
      <c r="I449" t="str">
        <f>VLOOKUP(tblSalaries[[#This Row],[Where do you work]],[1]!tblCountries[[Actual]:[Mapping]],2,FALSE)</f>
        <v>USA</v>
      </c>
      <c r="J449" t="s">
        <v>794</v>
      </c>
    </row>
    <row r="450" spans="1:10" x14ac:dyDescent="0.2">
      <c r="A450" t="s">
        <v>1639</v>
      </c>
      <c r="B450" s="59">
        <v>41055.126875000002</v>
      </c>
      <c r="C450">
        <v>800000</v>
      </c>
      <c r="D450" t="s">
        <v>824</v>
      </c>
      <c r="E450">
        <f>tblSalaries[[#This Row],[clean Salary (in local currency)]]*VLOOKUP(tblSalaries[[#This Row],[Currency]],[1]!tblXrate[#Data],2,FALSE)</f>
        <v>14246.333349954055</v>
      </c>
      <c r="F450" t="s">
        <v>1640</v>
      </c>
      <c r="G450" t="s">
        <v>813</v>
      </c>
      <c r="H450" t="s">
        <v>117</v>
      </c>
      <c r="I450" t="str">
        <f>VLOOKUP(tblSalaries[[#This Row],[Where do you work]],[1]!tblCountries[[Actual]:[Mapping]],2,FALSE)</f>
        <v>India</v>
      </c>
      <c r="J450" t="s">
        <v>794</v>
      </c>
    </row>
    <row r="451" spans="1:10" x14ac:dyDescent="0.2">
      <c r="A451" t="s">
        <v>1641</v>
      </c>
      <c r="B451" s="59">
        <v>41055.127187500002</v>
      </c>
      <c r="C451">
        <v>80000</v>
      </c>
      <c r="D451" t="s">
        <v>786</v>
      </c>
      <c r="E451">
        <f>tblSalaries[[#This Row],[clean Salary (in local currency)]]*VLOOKUP(tblSalaries[[#This Row],[Currency]],[1]!tblXrate[#Data],2,FALSE)</f>
        <v>80000</v>
      </c>
      <c r="F451" t="s">
        <v>1642</v>
      </c>
      <c r="G451" t="s">
        <v>807</v>
      </c>
      <c r="H451" t="s">
        <v>15</v>
      </c>
      <c r="I451" t="str">
        <f>VLOOKUP(tblSalaries[[#This Row],[Where do you work]],[1]!tblCountries[[Actual]:[Mapping]],2,FALSE)</f>
        <v>USA</v>
      </c>
      <c r="J451" t="s">
        <v>808</v>
      </c>
    </row>
    <row r="452" spans="1:10" x14ac:dyDescent="0.2">
      <c r="A452" t="s">
        <v>1643</v>
      </c>
      <c r="B452" s="59">
        <v>41055.127418981479</v>
      </c>
      <c r="C452">
        <v>38000</v>
      </c>
      <c r="D452" t="s">
        <v>861</v>
      </c>
      <c r="E452">
        <f>tblSalaries[[#This Row],[clean Salary (in local currency)]]*VLOOKUP(tblSalaries[[#This Row],[Currency]],[1]!tblXrate[#Data],2,FALSE)</f>
        <v>59894.774338556796</v>
      </c>
      <c r="F452" t="s">
        <v>1644</v>
      </c>
      <c r="G452" t="s">
        <v>817</v>
      </c>
      <c r="H452" t="s">
        <v>863</v>
      </c>
      <c r="I452" t="str">
        <f>VLOOKUP(tblSalaries[[#This Row],[Where do you work]],[1]!tblCountries[[Actual]:[Mapping]],2,FALSE)</f>
        <v>UK</v>
      </c>
      <c r="J452" t="s">
        <v>789</v>
      </c>
    </row>
    <row r="453" spans="1:10" x14ac:dyDescent="0.2">
      <c r="A453" t="s">
        <v>1645</v>
      </c>
      <c r="B453" s="59">
        <v>41055.127847222226</v>
      </c>
      <c r="C453">
        <v>52000</v>
      </c>
      <c r="D453" t="s">
        <v>882</v>
      </c>
      <c r="E453">
        <f>tblSalaries[[#This Row],[clean Salary (in local currency)]]*VLOOKUP(tblSalaries[[#This Row],[Currency]],[1]!tblXrate[#Data],2,FALSE)</f>
        <v>51134.799197576998</v>
      </c>
      <c r="F453" t="s">
        <v>1646</v>
      </c>
      <c r="G453" t="s">
        <v>807</v>
      </c>
      <c r="H453" t="s">
        <v>143</v>
      </c>
      <c r="I453" t="str">
        <f>VLOOKUP(tblSalaries[[#This Row],[Where do you work]],[1]!tblCountries[[Actual]:[Mapping]],2,FALSE)</f>
        <v>Canada</v>
      </c>
      <c r="J453" t="s">
        <v>789</v>
      </c>
    </row>
    <row r="454" spans="1:10" x14ac:dyDescent="0.2">
      <c r="A454" t="s">
        <v>1647</v>
      </c>
      <c r="B454" s="59">
        <v>41055.129351851851</v>
      </c>
      <c r="C454">
        <v>125000</v>
      </c>
      <c r="D454" t="s">
        <v>786</v>
      </c>
      <c r="E454">
        <f>tblSalaries[[#This Row],[clean Salary (in local currency)]]*VLOOKUP(tblSalaries[[#This Row],[Currency]],[1]!tblXrate[#Data],2,FALSE)</f>
        <v>125000</v>
      </c>
      <c r="F454" t="s">
        <v>1648</v>
      </c>
      <c r="G454" t="s">
        <v>807</v>
      </c>
      <c r="H454" t="s">
        <v>15</v>
      </c>
      <c r="I454" t="str">
        <f>VLOOKUP(tblSalaries[[#This Row],[Where do you work]],[1]!tblCountries[[Actual]:[Mapping]],2,FALSE)</f>
        <v>USA</v>
      </c>
      <c r="J454" t="s">
        <v>799</v>
      </c>
    </row>
    <row r="455" spans="1:10" x14ac:dyDescent="0.2">
      <c r="A455" t="s">
        <v>1649</v>
      </c>
      <c r="B455" s="59">
        <v>41055.129594907405</v>
      </c>
      <c r="C455">
        <v>52000</v>
      </c>
      <c r="D455" t="s">
        <v>786</v>
      </c>
      <c r="E455">
        <f>tblSalaries[[#This Row],[clean Salary (in local currency)]]*VLOOKUP(tblSalaries[[#This Row],[Currency]],[1]!tblXrate[#Data],2,FALSE)</f>
        <v>52000</v>
      </c>
      <c r="F455" t="s">
        <v>1650</v>
      </c>
      <c r="G455" t="s">
        <v>788</v>
      </c>
      <c r="H455" t="s">
        <v>15</v>
      </c>
      <c r="I455" t="str">
        <f>VLOOKUP(tblSalaries[[#This Row],[Where do you work]],[1]!tblCountries[[Actual]:[Mapping]],2,FALSE)</f>
        <v>USA</v>
      </c>
      <c r="J455" t="s">
        <v>799</v>
      </c>
    </row>
    <row r="456" spans="1:10" x14ac:dyDescent="0.2">
      <c r="A456" t="s">
        <v>1651</v>
      </c>
      <c r="B456" s="59">
        <v>41055.130393518521</v>
      </c>
      <c r="C456">
        <v>45000</v>
      </c>
      <c r="D456" t="s">
        <v>786</v>
      </c>
      <c r="E456">
        <f>tblSalaries[[#This Row],[clean Salary (in local currency)]]*VLOOKUP(tblSalaries[[#This Row],[Currency]],[1]!tblXrate[#Data],2,FALSE)</f>
        <v>45000</v>
      </c>
      <c r="F456" t="s">
        <v>788</v>
      </c>
      <c r="G456" t="s">
        <v>788</v>
      </c>
      <c r="H456" t="s">
        <v>15</v>
      </c>
      <c r="I456" t="str">
        <f>VLOOKUP(tblSalaries[[#This Row],[Where do you work]],[1]!tblCountries[[Actual]:[Mapping]],2,FALSE)</f>
        <v>USA</v>
      </c>
      <c r="J456" t="s">
        <v>789</v>
      </c>
    </row>
    <row r="457" spans="1:10" x14ac:dyDescent="0.2">
      <c r="A457" t="s">
        <v>1652</v>
      </c>
      <c r="B457" s="59">
        <v>41055.130879629629</v>
      </c>
      <c r="C457">
        <v>25000</v>
      </c>
      <c r="D457" t="s">
        <v>861</v>
      </c>
      <c r="E457">
        <f>tblSalaries[[#This Row],[clean Salary (in local currency)]]*VLOOKUP(tblSalaries[[#This Row],[Currency]],[1]!tblXrate[#Data],2,FALSE)</f>
        <v>39404.456801682099</v>
      </c>
      <c r="F457" t="s">
        <v>788</v>
      </c>
      <c r="G457" t="s">
        <v>788</v>
      </c>
      <c r="H457" t="s">
        <v>863</v>
      </c>
      <c r="I457" t="str">
        <f>VLOOKUP(tblSalaries[[#This Row],[Where do you work]],[1]!tblCountries[[Actual]:[Mapping]],2,FALSE)</f>
        <v>UK</v>
      </c>
      <c r="J457" t="s">
        <v>789</v>
      </c>
    </row>
    <row r="458" spans="1:10" x14ac:dyDescent="0.2">
      <c r="A458" t="s">
        <v>1653</v>
      </c>
      <c r="B458" s="59">
        <v>41055.131747685184</v>
      </c>
      <c r="C458">
        <v>60000</v>
      </c>
      <c r="D458" t="s">
        <v>786</v>
      </c>
      <c r="E458">
        <f>tblSalaries[[#This Row],[clean Salary (in local currency)]]*VLOOKUP(tblSalaries[[#This Row],[Currency]],[1]!tblXrate[#Data],2,FALSE)</f>
        <v>60000</v>
      </c>
      <c r="F458" t="s">
        <v>1654</v>
      </c>
      <c r="G458" t="s">
        <v>807</v>
      </c>
      <c r="H458" t="s">
        <v>15</v>
      </c>
      <c r="I458" t="str">
        <f>VLOOKUP(tblSalaries[[#This Row],[Where do you work]],[1]!tblCountries[[Actual]:[Mapping]],2,FALSE)</f>
        <v>USA</v>
      </c>
      <c r="J458" t="s">
        <v>794</v>
      </c>
    </row>
    <row r="459" spans="1:10" x14ac:dyDescent="0.2">
      <c r="A459" t="s">
        <v>1655</v>
      </c>
      <c r="B459" s="59">
        <v>41055.13181712963</v>
      </c>
      <c r="C459">
        <v>70000</v>
      </c>
      <c r="D459" t="s">
        <v>882</v>
      </c>
      <c r="E459">
        <f>tblSalaries[[#This Row],[clean Salary (in local currency)]]*VLOOKUP(tblSalaries[[#This Row],[Currency]],[1]!tblXrate[#Data],2,FALSE)</f>
        <v>68835.306612122877</v>
      </c>
      <c r="F459" t="s">
        <v>1656</v>
      </c>
      <c r="G459" t="s">
        <v>807</v>
      </c>
      <c r="H459" t="s">
        <v>143</v>
      </c>
      <c r="I459" t="str">
        <f>VLOOKUP(tblSalaries[[#This Row],[Where do you work]],[1]!tblCountries[[Actual]:[Mapping]],2,FALSE)</f>
        <v>Canada</v>
      </c>
      <c r="J459" t="s">
        <v>808</v>
      </c>
    </row>
    <row r="460" spans="1:10" x14ac:dyDescent="0.2">
      <c r="A460" t="s">
        <v>1657</v>
      </c>
      <c r="B460" s="59">
        <v>41055.132881944446</v>
      </c>
      <c r="C460">
        <v>5250</v>
      </c>
      <c r="D460" t="s">
        <v>786</v>
      </c>
      <c r="E460">
        <f>tblSalaries[[#This Row],[clean Salary (in local currency)]]*VLOOKUP(tblSalaries[[#This Row],[Currency]],[1]!tblXrate[#Data],2,FALSE)</f>
        <v>5250</v>
      </c>
      <c r="F460" t="s">
        <v>1658</v>
      </c>
      <c r="G460" t="s">
        <v>820</v>
      </c>
      <c r="H460" t="s">
        <v>1659</v>
      </c>
      <c r="I460" t="str">
        <f>VLOOKUP(tblSalaries[[#This Row],[Where do you work]],[1]!tblCountries[[Actual]:[Mapping]],2,FALSE)</f>
        <v>Republic of Georgia</v>
      </c>
      <c r="J460" t="s">
        <v>789</v>
      </c>
    </row>
    <row r="461" spans="1:10" x14ac:dyDescent="0.2">
      <c r="A461" t="s">
        <v>1660</v>
      </c>
      <c r="B461" s="59">
        <v>41055.133148148147</v>
      </c>
      <c r="C461">
        <v>87000</v>
      </c>
      <c r="D461" t="s">
        <v>882</v>
      </c>
      <c r="E461">
        <f>tblSalaries[[#This Row],[clean Salary (in local currency)]]*VLOOKUP(tblSalaries[[#This Row],[Currency]],[1]!tblXrate[#Data],2,FALSE)</f>
        <v>85552.452503638444</v>
      </c>
      <c r="F461" t="s">
        <v>1661</v>
      </c>
      <c r="G461" t="s">
        <v>807</v>
      </c>
      <c r="H461" t="s">
        <v>143</v>
      </c>
      <c r="I461" t="str">
        <f>VLOOKUP(tblSalaries[[#This Row],[Where do you work]],[1]!tblCountries[[Actual]:[Mapping]],2,FALSE)</f>
        <v>Canada</v>
      </c>
      <c r="J461" t="s">
        <v>789</v>
      </c>
    </row>
    <row r="462" spans="1:10" x14ac:dyDescent="0.2">
      <c r="A462" t="s">
        <v>1662</v>
      </c>
      <c r="B462" s="59">
        <v>41055.13417824074</v>
      </c>
      <c r="C462">
        <v>125000</v>
      </c>
      <c r="D462" t="s">
        <v>824</v>
      </c>
      <c r="E462">
        <f>tblSalaries[[#This Row],[clean Salary (in local currency)]]*VLOOKUP(tblSalaries[[#This Row],[Currency]],[1]!tblXrate[#Data],2,FALSE)</f>
        <v>2225.989585930321</v>
      </c>
      <c r="F462" t="s">
        <v>1663</v>
      </c>
      <c r="G462" t="s">
        <v>788</v>
      </c>
      <c r="H462" t="s">
        <v>117</v>
      </c>
      <c r="I462" t="str">
        <f>VLOOKUP(tblSalaries[[#This Row],[Where do you work]],[1]!tblCountries[[Actual]:[Mapping]],2,FALSE)</f>
        <v>India</v>
      </c>
      <c r="J462" t="s">
        <v>789</v>
      </c>
    </row>
    <row r="463" spans="1:10" x14ac:dyDescent="0.2">
      <c r="A463" t="s">
        <v>1664</v>
      </c>
      <c r="B463" s="59">
        <v>41055.135231481479</v>
      </c>
      <c r="C463">
        <v>150000</v>
      </c>
      <c r="D463" t="s">
        <v>786</v>
      </c>
      <c r="E463">
        <f>tblSalaries[[#This Row],[clean Salary (in local currency)]]*VLOOKUP(tblSalaries[[#This Row],[Currency]],[1]!tblXrate[#Data],2,FALSE)</f>
        <v>150000</v>
      </c>
      <c r="F463" t="s">
        <v>812</v>
      </c>
      <c r="G463" t="s">
        <v>813</v>
      </c>
      <c r="H463" t="s">
        <v>15</v>
      </c>
      <c r="I463" t="str">
        <f>VLOOKUP(tblSalaries[[#This Row],[Where do you work]],[1]!tblCountries[[Actual]:[Mapping]],2,FALSE)</f>
        <v>USA</v>
      </c>
      <c r="J463" t="s">
        <v>799</v>
      </c>
    </row>
    <row r="464" spans="1:10" x14ac:dyDescent="0.2">
      <c r="A464" t="s">
        <v>1665</v>
      </c>
      <c r="B464" s="59">
        <v>41055.135428240741</v>
      </c>
      <c r="C464">
        <v>50000</v>
      </c>
      <c r="D464" t="s">
        <v>786</v>
      </c>
      <c r="E464">
        <f>tblSalaries[[#This Row],[clean Salary (in local currency)]]*VLOOKUP(tblSalaries[[#This Row],[Currency]],[1]!tblXrate[#Data],2,FALSE)</f>
        <v>50000</v>
      </c>
      <c r="F464" t="s">
        <v>1666</v>
      </c>
      <c r="G464" t="s">
        <v>788</v>
      </c>
      <c r="H464" t="s">
        <v>15</v>
      </c>
      <c r="I464" t="str">
        <f>VLOOKUP(tblSalaries[[#This Row],[Where do you work]],[1]!tblCountries[[Actual]:[Mapping]],2,FALSE)</f>
        <v>USA</v>
      </c>
      <c r="J464" t="s">
        <v>789</v>
      </c>
    </row>
    <row r="465" spans="1:10" x14ac:dyDescent="0.2">
      <c r="A465" t="s">
        <v>1667</v>
      </c>
      <c r="B465" s="59">
        <v>41055.135462962964</v>
      </c>
      <c r="C465">
        <v>70000</v>
      </c>
      <c r="D465" t="s">
        <v>786</v>
      </c>
      <c r="E465">
        <f>tblSalaries[[#This Row],[clean Salary (in local currency)]]*VLOOKUP(tblSalaries[[#This Row],[Currency]],[1]!tblXrate[#Data],2,FALSE)</f>
        <v>70000</v>
      </c>
      <c r="F465" t="s">
        <v>788</v>
      </c>
      <c r="G465" t="s">
        <v>788</v>
      </c>
      <c r="H465" t="s">
        <v>15</v>
      </c>
      <c r="I465" t="str">
        <f>VLOOKUP(tblSalaries[[#This Row],[Where do you work]],[1]!tblCountries[[Actual]:[Mapping]],2,FALSE)</f>
        <v>USA</v>
      </c>
      <c r="J465" t="s">
        <v>789</v>
      </c>
    </row>
    <row r="466" spans="1:10" x14ac:dyDescent="0.2">
      <c r="A466" t="s">
        <v>1668</v>
      </c>
      <c r="B466" s="59">
        <v>41055.135763888888</v>
      </c>
      <c r="C466">
        <v>28500</v>
      </c>
      <c r="D466" t="s">
        <v>861</v>
      </c>
      <c r="E466">
        <f>tblSalaries[[#This Row],[clean Salary (in local currency)]]*VLOOKUP(tblSalaries[[#This Row],[Currency]],[1]!tblXrate[#Data],2,FALSE)</f>
        <v>44921.080753917595</v>
      </c>
      <c r="F466" t="s">
        <v>1669</v>
      </c>
      <c r="G466" t="s">
        <v>807</v>
      </c>
      <c r="H466" t="s">
        <v>863</v>
      </c>
      <c r="I466" t="str">
        <f>VLOOKUP(tblSalaries[[#This Row],[Where do you work]],[1]!tblCountries[[Actual]:[Mapping]],2,FALSE)</f>
        <v>UK</v>
      </c>
      <c r="J466" t="s">
        <v>799</v>
      </c>
    </row>
    <row r="467" spans="1:10" x14ac:dyDescent="0.2">
      <c r="A467" t="s">
        <v>1670</v>
      </c>
      <c r="B467" s="59">
        <v>41055.135995370372</v>
      </c>
      <c r="C467">
        <v>20000</v>
      </c>
      <c r="D467" t="s">
        <v>786</v>
      </c>
      <c r="E467">
        <f>tblSalaries[[#This Row],[clean Salary (in local currency)]]*VLOOKUP(tblSalaries[[#This Row],[Currency]],[1]!tblXrate[#Data],2,FALSE)</f>
        <v>20000</v>
      </c>
      <c r="F467" t="s">
        <v>820</v>
      </c>
      <c r="G467" t="s">
        <v>820</v>
      </c>
      <c r="H467" t="s">
        <v>117</v>
      </c>
      <c r="I467" t="str">
        <f>VLOOKUP(tblSalaries[[#This Row],[Where do you work]],[1]!tblCountries[[Actual]:[Mapping]],2,FALSE)</f>
        <v>India</v>
      </c>
      <c r="J467" t="s">
        <v>789</v>
      </c>
    </row>
    <row r="468" spans="1:10" x14ac:dyDescent="0.2">
      <c r="A468" t="s">
        <v>1671</v>
      </c>
      <c r="B468" s="59">
        <v>41055.136782407404</v>
      </c>
      <c r="C468">
        <v>12000</v>
      </c>
      <c r="D468" t="s">
        <v>786</v>
      </c>
      <c r="E468">
        <f>tblSalaries[[#This Row],[clean Salary (in local currency)]]*VLOOKUP(tblSalaries[[#This Row],[Currency]],[1]!tblXrate[#Data],2,FALSE)</f>
        <v>12000</v>
      </c>
      <c r="F468" t="s">
        <v>1672</v>
      </c>
      <c r="G468" t="s">
        <v>788</v>
      </c>
      <c r="H468" t="s">
        <v>86</v>
      </c>
      <c r="I468" t="str">
        <f>VLOOKUP(tblSalaries[[#This Row],[Where do you work]],[1]!tblCountries[[Actual]:[Mapping]],2,FALSE)</f>
        <v>Estonia</v>
      </c>
      <c r="J468" t="s">
        <v>794</v>
      </c>
    </row>
    <row r="469" spans="1:10" x14ac:dyDescent="0.2">
      <c r="A469" t="s">
        <v>1673</v>
      </c>
      <c r="B469" s="59">
        <v>41055.137025462966</v>
      </c>
      <c r="C469">
        <v>1250000</v>
      </c>
      <c r="D469" t="s">
        <v>882</v>
      </c>
      <c r="E469">
        <f>tblSalaries[[#This Row],[clean Salary (in local currency)]]*VLOOKUP(tblSalaries[[#This Row],[Currency]],[1]!tblXrate[#Data],2,FALSE)</f>
        <v>1229201.9037879086</v>
      </c>
      <c r="F469" t="s">
        <v>1674</v>
      </c>
      <c r="G469" t="s">
        <v>817</v>
      </c>
      <c r="H469" t="s">
        <v>143</v>
      </c>
      <c r="I469" t="str">
        <f>VLOOKUP(tblSalaries[[#This Row],[Where do you work]],[1]!tblCountries[[Actual]:[Mapping]],2,FALSE)</f>
        <v>Canada</v>
      </c>
      <c r="J469" t="s">
        <v>789</v>
      </c>
    </row>
    <row r="470" spans="1:10" x14ac:dyDescent="0.2">
      <c r="A470" t="s">
        <v>1675</v>
      </c>
      <c r="B470" s="59">
        <v>41055.138194444444</v>
      </c>
      <c r="C470">
        <v>30000</v>
      </c>
      <c r="D470" t="s">
        <v>786</v>
      </c>
      <c r="E470">
        <f>tblSalaries[[#This Row],[clean Salary (in local currency)]]*VLOOKUP(tblSalaries[[#This Row],[Currency]],[1]!tblXrate[#Data],2,FALSE)</f>
        <v>30000</v>
      </c>
      <c r="F470" t="s">
        <v>1676</v>
      </c>
      <c r="G470" t="s">
        <v>788</v>
      </c>
      <c r="H470" t="s">
        <v>15</v>
      </c>
      <c r="I470" t="str">
        <f>VLOOKUP(tblSalaries[[#This Row],[Where do you work]],[1]!tblCountries[[Actual]:[Mapping]],2,FALSE)</f>
        <v>USA</v>
      </c>
      <c r="J470" t="s">
        <v>1033</v>
      </c>
    </row>
    <row r="471" spans="1:10" x14ac:dyDescent="0.2">
      <c r="A471" t="s">
        <v>1677</v>
      </c>
      <c r="B471" s="59">
        <v>41055.139884259261</v>
      </c>
      <c r="C471">
        <v>24000</v>
      </c>
      <c r="D471" t="s">
        <v>786</v>
      </c>
      <c r="E471">
        <f>tblSalaries[[#This Row],[clean Salary (in local currency)]]*VLOOKUP(tblSalaries[[#This Row],[Currency]],[1]!tblXrate[#Data],2,FALSE)</f>
        <v>24000</v>
      </c>
      <c r="F471" t="s">
        <v>1592</v>
      </c>
      <c r="G471" t="s">
        <v>802</v>
      </c>
      <c r="H471" t="s">
        <v>1678</v>
      </c>
      <c r="I471" t="str">
        <f>VLOOKUP(tblSalaries[[#This Row],[Where do you work]],[1]!tblCountries[[Actual]:[Mapping]],2,FALSE)</f>
        <v>mozambique</v>
      </c>
      <c r="J471" t="s">
        <v>799</v>
      </c>
    </row>
    <row r="472" spans="1:10" x14ac:dyDescent="0.2">
      <c r="A472" t="s">
        <v>1679</v>
      </c>
      <c r="B472" s="59">
        <v>41055.140219907407</v>
      </c>
      <c r="C472">
        <v>92000</v>
      </c>
      <c r="D472" t="s">
        <v>786</v>
      </c>
      <c r="E472">
        <f>tblSalaries[[#This Row],[clean Salary (in local currency)]]*VLOOKUP(tblSalaries[[#This Row],[Currency]],[1]!tblXrate[#Data],2,FALSE)</f>
        <v>92000</v>
      </c>
      <c r="F472" t="s">
        <v>1680</v>
      </c>
      <c r="G472" t="s">
        <v>802</v>
      </c>
      <c r="H472" t="s">
        <v>15</v>
      </c>
      <c r="I472" t="str">
        <f>VLOOKUP(tblSalaries[[#This Row],[Where do you work]],[1]!tblCountries[[Actual]:[Mapping]],2,FALSE)</f>
        <v>USA</v>
      </c>
      <c r="J472" t="s">
        <v>808</v>
      </c>
    </row>
    <row r="473" spans="1:10" x14ac:dyDescent="0.2">
      <c r="A473" t="s">
        <v>1681</v>
      </c>
      <c r="B473" s="59">
        <v>41055.140659722223</v>
      </c>
      <c r="C473">
        <v>52000</v>
      </c>
      <c r="D473" t="s">
        <v>786</v>
      </c>
      <c r="E473">
        <f>tblSalaries[[#This Row],[clean Salary (in local currency)]]*VLOOKUP(tblSalaries[[#This Row],[Currency]],[1]!tblXrate[#Data],2,FALSE)</f>
        <v>52000</v>
      </c>
      <c r="F473" t="s">
        <v>1682</v>
      </c>
      <c r="G473" t="s">
        <v>788</v>
      </c>
      <c r="H473" t="s">
        <v>15</v>
      </c>
      <c r="I473" t="str">
        <f>VLOOKUP(tblSalaries[[#This Row],[Where do you work]],[1]!tblCountries[[Actual]:[Mapping]],2,FALSE)</f>
        <v>USA</v>
      </c>
      <c r="J473" t="s">
        <v>789</v>
      </c>
    </row>
    <row r="474" spans="1:10" x14ac:dyDescent="0.2">
      <c r="A474" t="s">
        <v>1683</v>
      </c>
      <c r="B474" s="59">
        <v>41055.141562500001</v>
      </c>
      <c r="C474">
        <v>169000</v>
      </c>
      <c r="D474" t="s">
        <v>786</v>
      </c>
      <c r="E474">
        <f>tblSalaries[[#This Row],[clean Salary (in local currency)]]*VLOOKUP(tblSalaries[[#This Row],[Currency]],[1]!tblXrate[#Data],2,FALSE)</f>
        <v>169000</v>
      </c>
      <c r="F474" t="s">
        <v>1684</v>
      </c>
      <c r="G474" t="s">
        <v>813</v>
      </c>
      <c r="H474" t="s">
        <v>15</v>
      </c>
      <c r="I474" t="str">
        <f>VLOOKUP(tblSalaries[[#This Row],[Where do you work]],[1]!tblCountries[[Actual]:[Mapping]],2,FALSE)</f>
        <v>USA</v>
      </c>
      <c r="J474" t="s">
        <v>799</v>
      </c>
    </row>
    <row r="475" spans="1:10" x14ac:dyDescent="0.2">
      <c r="A475" t="s">
        <v>1685</v>
      </c>
      <c r="B475" s="59">
        <v>41055.143020833333</v>
      </c>
      <c r="C475">
        <v>110000</v>
      </c>
      <c r="D475" t="s">
        <v>786</v>
      </c>
      <c r="E475">
        <f>tblSalaries[[#This Row],[clean Salary (in local currency)]]*VLOOKUP(tblSalaries[[#This Row],[Currency]],[1]!tblXrate[#Data],2,FALSE)</f>
        <v>110000</v>
      </c>
      <c r="F475" t="s">
        <v>1686</v>
      </c>
      <c r="G475" t="s">
        <v>817</v>
      </c>
      <c r="H475" t="s">
        <v>233</v>
      </c>
      <c r="I475" t="str">
        <f>VLOOKUP(tblSalaries[[#This Row],[Where do you work]],[1]!tblCountries[[Actual]:[Mapping]],2,FALSE)</f>
        <v>Norway</v>
      </c>
      <c r="J475" t="s">
        <v>799</v>
      </c>
    </row>
    <row r="476" spans="1:10" x14ac:dyDescent="0.2">
      <c r="A476" t="s">
        <v>1687</v>
      </c>
      <c r="B476" s="59">
        <v>41055.14439814815</v>
      </c>
      <c r="C476">
        <v>1080000</v>
      </c>
      <c r="D476" t="s">
        <v>1688</v>
      </c>
      <c r="E476">
        <f>tblSalaries[[#This Row],[clean Salary (in local currency)]]*VLOOKUP(tblSalaries[[#This Row],[Currency]],[1]!tblXrate[#Data],2,FALSE)</f>
        <v>131675.52225194403</v>
      </c>
      <c r="F476" t="s">
        <v>1689</v>
      </c>
      <c r="G476" t="s">
        <v>807</v>
      </c>
      <c r="H476" t="s">
        <v>1690</v>
      </c>
      <c r="I476" t="str">
        <f>VLOOKUP(tblSalaries[[#This Row],[Where do you work]],[1]!tblCountries[[Actual]:[Mapping]],2,FALSE)</f>
        <v>South Africa</v>
      </c>
      <c r="J476" t="s">
        <v>799</v>
      </c>
    </row>
    <row r="477" spans="1:10" x14ac:dyDescent="0.2">
      <c r="A477" t="s">
        <v>1691</v>
      </c>
      <c r="B477" s="59">
        <v>41055.146319444444</v>
      </c>
      <c r="C477">
        <v>59000</v>
      </c>
      <c r="D477" t="s">
        <v>861</v>
      </c>
      <c r="E477">
        <f>tblSalaries[[#This Row],[clean Salary (in local currency)]]*VLOOKUP(tblSalaries[[#This Row],[Currency]],[1]!tblXrate[#Data],2,FALSE)</f>
        <v>92994.518051969761</v>
      </c>
      <c r="F477" t="s">
        <v>1692</v>
      </c>
      <c r="G477" t="s">
        <v>867</v>
      </c>
      <c r="H477" t="s">
        <v>863</v>
      </c>
      <c r="I477" t="str">
        <f>VLOOKUP(tblSalaries[[#This Row],[Where do you work]],[1]!tblCountries[[Actual]:[Mapping]],2,FALSE)</f>
        <v>UK</v>
      </c>
      <c r="J477" t="s">
        <v>799</v>
      </c>
    </row>
    <row r="478" spans="1:10" x14ac:dyDescent="0.2">
      <c r="A478" t="s">
        <v>1693</v>
      </c>
      <c r="B478" s="59">
        <v>41055.146921296298</v>
      </c>
      <c r="C478">
        <v>50000</v>
      </c>
      <c r="D478" t="s">
        <v>786</v>
      </c>
      <c r="E478">
        <f>tblSalaries[[#This Row],[clean Salary (in local currency)]]*VLOOKUP(tblSalaries[[#This Row],[Currency]],[1]!tblXrate[#Data],2,FALSE)</f>
        <v>50000</v>
      </c>
      <c r="F478" t="s">
        <v>1694</v>
      </c>
      <c r="G478" t="s">
        <v>788</v>
      </c>
      <c r="H478" t="s">
        <v>15</v>
      </c>
      <c r="I478" t="str">
        <f>VLOOKUP(tblSalaries[[#This Row],[Where do you work]],[1]!tblCountries[[Actual]:[Mapping]],2,FALSE)</f>
        <v>USA</v>
      </c>
      <c r="J478" t="s">
        <v>789</v>
      </c>
    </row>
    <row r="479" spans="1:10" x14ac:dyDescent="0.2">
      <c r="A479" t="s">
        <v>1695</v>
      </c>
      <c r="B479" s="59">
        <v>41055.147372685184</v>
      </c>
      <c r="C479">
        <v>65000</v>
      </c>
      <c r="D479" t="s">
        <v>786</v>
      </c>
      <c r="E479">
        <f>tblSalaries[[#This Row],[clean Salary (in local currency)]]*VLOOKUP(tblSalaries[[#This Row],[Currency]],[1]!tblXrate[#Data],2,FALSE)</f>
        <v>65000</v>
      </c>
      <c r="F479" t="s">
        <v>933</v>
      </c>
      <c r="G479" t="s">
        <v>788</v>
      </c>
      <c r="H479" t="s">
        <v>15</v>
      </c>
      <c r="I479" t="str">
        <f>VLOOKUP(tblSalaries[[#This Row],[Where do you work]],[1]!tblCountries[[Actual]:[Mapping]],2,FALSE)</f>
        <v>USA</v>
      </c>
      <c r="J479" t="s">
        <v>799</v>
      </c>
    </row>
    <row r="480" spans="1:10" x14ac:dyDescent="0.2">
      <c r="A480" t="s">
        <v>1696</v>
      </c>
      <c r="B480" s="59">
        <v>41055.147835648146</v>
      </c>
      <c r="C480">
        <v>46000</v>
      </c>
      <c r="D480" t="s">
        <v>882</v>
      </c>
      <c r="E480">
        <f>tblSalaries[[#This Row],[clean Salary (in local currency)]]*VLOOKUP(tblSalaries[[#This Row],[Currency]],[1]!tblXrate[#Data],2,FALSE)</f>
        <v>45234.630059395036</v>
      </c>
      <c r="F480" t="s">
        <v>1697</v>
      </c>
      <c r="G480" t="s">
        <v>788</v>
      </c>
      <c r="H480" t="s">
        <v>143</v>
      </c>
      <c r="I480" t="str">
        <f>VLOOKUP(tblSalaries[[#This Row],[Where do you work]],[1]!tblCountries[[Actual]:[Mapping]],2,FALSE)</f>
        <v>Canada</v>
      </c>
      <c r="J480" t="s">
        <v>794</v>
      </c>
    </row>
    <row r="481" spans="1:10" x14ac:dyDescent="0.2">
      <c r="A481" t="s">
        <v>1698</v>
      </c>
      <c r="B481" s="59">
        <v>41055.148287037038</v>
      </c>
      <c r="C481">
        <v>55000</v>
      </c>
      <c r="D481" t="s">
        <v>786</v>
      </c>
      <c r="E481">
        <f>tblSalaries[[#This Row],[clean Salary (in local currency)]]*VLOOKUP(tblSalaries[[#This Row],[Currency]],[1]!tblXrate[#Data],2,FALSE)</f>
        <v>55000</v>
      </c>
      <c r="F481" t="s">
        <v>788</v>
      </c>
      <c r="G481" t="s">
        <v>788</v>
      </c>
      <c r="H481" t="s">
        <v>15</v>
      </c>
      <c r="I481" t="str">
        <f>VLOOKUP(tblSalaries[[#This Row],[Where do you work]],[1]!tblCountries[[Actual]:[Mapping]],2,FALSE)</f>
        <v>USA</v>
      </c>
      <c r="J481" t="s">
        <v>799</v>
      </c>
    </row>
    <row r="482" spans="1:10" x14ac:dyDescent="0.2">
      <c r="A482" t="s">
        <v>1699</v>
      </c>
      <c r="B482" s="59">
        <v>41055.148657407408</v>
      </c>
      <c r="C482">
        <v>20000</v>
      </c>
      <c r="D482" t="s">
        <v>786</v>
      </c>
      <c r="E482">
        <f>tblSalaries[[#This Row],[clean Salary (in local currency)]]*VLOOKUP(tblSalaries[[#This Row],[Currency]],[1]!tblXrate[#Data],2,FALSE)</f>
        <v>20000</v>
      </c>
      <c r="F482" t="s">
        <v>867</v>
      </c>
      <c r="G482" t="s">
        <v>867</v>
      </c>
      <c r="H482" t="s">
        <v>117</v>
      </c>
      <c r="I482" t="str">
        <f>VLOOKUP(tblSalaries[[#This Row],[Where do you work]],[1]!tblCountries[[Actual]:[Mapping]],2,FALSE)</f>
        <v>India</v>
      </c>
      <c r="J482" t="s">
        <v>799</v>
      </c>
    </row>
    <row r="483" spans="1:10" x14ac:dyDescent="0.2">
      <c r="A483" t="s">
        <v>1700</v>
      </c>
      <c r="B483" s="59">
        <v>41055.148784722223</v>
      </c>
      <c r="C483">
        <v>6000</v>
      </c>
      <c r="D483" t="s">
        <v>786</v>
      </c>
      <c r="E483">
        <f>tblSalaries[[#This Row],[clean Salary (in local currency)]]*VLOOKUP(tblSalaries[[#This Row],[Currency]],[1]!tblXrate[#Data],2,FALSE)</f>
        <v>6000</v>
      </c>
      <c r="F483" t="s">
        <v>1336</v>
      </c>
      <c r="G483" t="s">
        <v>836</v>
      </c>
      <c r="H483" t="s">
        <v>117</v>
      </c>
      <c r="I483" t="str">
        <f>VLOOKUP(tblSalaries[[#This Row],[Where do you work]],[1]!tblCountries[[Actual]:[Mapping]],2,FALSE)</f>
        <v>India</v>
      </c>
      <c r="J483" t="s">
        <v>794</v>
      </c>
    </row>
    <row r="484" spans="1:10" x14ac:dyDescent="0.2">
      <c r="A484" t="s">
        <v>1701</v>
      </c>
      <c r="B484" s="59">
        <v>41055.151076388887</v>
      </c>
      <c r="C484">
        <v>190000</v>
      </c>
      <c r="D484" t="s">
        <v>861</v>
      </c>
      <c r="E484">
        <f>tblSalaries[[#This Row],[clean Salary (in local currency)]]*VLOOKUP(tblSalaries[[#This Row],[Currency]],[1]!tblXrate[#Data],2,FALSE)</f>
        <v>299473.87169278396</v>
      </c>
      <c r="F484" t="s">
        <v>1702</v>
      </c>
      <c r="G484" t="s">
        <v>813</v>
      </c>
      <c r="H484" t="s">
        <v>863</v>
      </c>
      <c r="I484" t="str">
        <f>VLOOKUP(tblSalaries[[#This Row],[Where do you work]],[1]!tblCountries[[Actual]:[Mapping]],2,FALSE)</f>
        <v>UK</v>
      </c>
      <c r="J484" t="s">
        <v>789</v>
      </c>
    </row>
    <row r="485" spans="1:10" x14ac:dyDescent="0.2">
      <c r="A485" t="s">
        <v>1703</v>
      </c>
      <c r="B485" s="59">
        <v>41055.151226851849</v>
      </c>
      <c r="C485">
        <v>28164</v>
      </c>
      <c r="D485" t="s">
        <v>861</v>
      </c>
      <c r="E485">
        <f>tblSalaries[[#This Row],[clean Salary (in local currency)]]*VLOOKUP(tblSalaries[[#This Row],[Currency]],[1]!tblXrate[#Data],2,FALSE)</f>
        <v>44391.484854502989</v>
      </c>
      <c r="F485" t="s">
        <v>1704</v>
      </c>
      <c r="G485" t="s">
        <v>807</v>
      </c>
      <c r="H485" t="s">
        <v>863</v>
      </c>
      <c r="I485" t="str">
        <f>VLOOKUP(tblSalaries[[#This Row],[Where do you work]],[1]!tblCountries[[Actual]:[Mapping]],2,FALSE)</f>
        <v>UK</v>
      </c>
      <c r="J485" t="s">
        <v>789</v>
      </c>
    </row>
    <row r="486" spans="1:10" x14ac:dyDescent="0.2">
      <c r="A486" t="s">
        <v>1705</v>
      </c>
      <c r="B486" s="59">
        <v>41055.153078703705</v>
      </c>
      <c r="C486">
        <v>40000</v>
      </c>
      <c r="D486" t="s">
        <v>786</v>
      </c>
      <c r="E486">
        <f>tblSalaries[[#This Row],[clean Salary (in local currency)]]*VLOOKUP(tblSalaries[[#This Row],[Currency]],[1]!tblXrate[#Data],2,FALSE)</f>
        <v>40000</v>
      </c>
      <c r="F486" t="s">
        <v>1706</v>
      </c>
      <c r="G486" t="s">
        <v>788</v>
      </c>
      <c r="H486" t="s">
        <v>15</v>
      </c>
      <c r="I486" t="str">
        <f>VLOOKUP(tblSalaries[[#This Row],[Where do you work]],[1]!tblCountries[[Actual]:[Mapping]],2,FALSE)</f>
        <v>USA</v>
      </c>
      <c r="J486" t="s">
        <v>799</v>
      </c>
    </row>
    <row r="487" spans="1:10" x14ac:dyDescent="0.2">
      <c r="A487" t="s">
        <v>1707</v>
      </c>
      <c r="B487" s="59">
        <v>41055.158819444441</v>
      </c>
      <c r="C487">
        <v>108000</v>
      </c>
      <c r="D487" t="s">
        <v>786</v>
      </c>
      <c r="E487">
        <f>tblSalaries[[#This Row],[clean Salary (in local currency)]]*VLOOKUP(tblSalaries[[#This Row],[Currency]],[1]!tblXrate[#Data],2,FALSE)</f>
        <v>108000</v>
      </c>
      <c r="F487" t="s">
        <v>807</v>
      </c>
      <c r="G487" t="s">
        <v>807</v>
      </c>
      <c r="H487" t="s">
        <v>233</v>
      </c>
      <c r="I487" t="str">
        <f>VLOOKUP(tblSalaries[[#This Row],[Where do you work]],[1]!tblCountries[[Actual]:[Mapping]],2,FALSE)</f>
        <v>Norway</v>
      </c>
      <c r="J487" t="s">
        <v>789</v>
      </c>
    </row>
    <row r="488" spans="1:10" x14ac:dyDescent="0.2">
      <c r="A488" t="s">
        <v>1708</v>
      </c>
      <c r="B488" s="59">
        <v>41055.159270833334</v>
      </c>
      <c r="C488">
        <v>200000</v>
      </c>
      <c r="D488" t="s">
        <v>824</v>
      </c>
      <c r="E488">
        <f>tblSalaries[[#This Row],[clean Salary (in local currency)]]*VLOOKUP(tblSalaries[[#This Row],[Currency]],[1]!tblXrate[#Data],2,FALSE)</f>
        <v>3561.5833374885137</v>
      </c>
      <c r="F488" t="s">
        <v>1709</v>
      </c>
      <c r="G488" t="s">
        <v>788</v>
      </c>
      <c r="H488" t="s">
        <v>117</v>
      </c>
      <c r="I488" t="str">
        <f>VLOOKUP(tblSalaries[[#This Row],[Where do you work]],[1]!tblCountries[[Actual]:[Mapping]],2,FALSE)</f>
        <v>India</v>
      </c>
      <c r="J488" t="s">
        <v>799</v>
      </c>
    </row>
    <row r="489" spans="1:10" x14ac:dyDescent="0.2">
      <c r="A489" t="s">
        <v>1710</v>
      </c>
      <c r="B489" s="59">
        <v>41055.160000000003</v>
      </c>
      <c r="C489">
        <v>84000</v>
      </c>
      <c r="D489" t="s">
        <v>786</v>
      </c>
      <c r="E489">
        <f>tblSalaries[[#This Row],[clean Salary (in local currency)]]*VLOOKUP(tblSalaries[[#This Row],[Currency]],[1]!tblXrate[#Data],2,FALSE)</f>
        <v>84000</v>
      </c>
      <c r="F489" t="s">
        <v>914</v>
      </c>
      <c r="G489" t="s">
        <v>788</v>
      </c>
      <c r="H489" t="s">
        <v>15</v>
      </c>
      <c r="I489" t="str">
        <f>VLOOKUP(tblSalaries[[#This Row],[Where do you work]],[1]!tblCountries[[Actual]:[Mapping]],2,FALSE)</f>
        <v>USA</v>
      </c>
      <c r="J489" t="s">
        <v>794</v>
      </c>
    </row>
    <row r="490" spans="1:10" x14ac:dyDescent="0.2">
      <c r="A490" t="s">
        <v>1711</v>
      </c>
      <c r="B490" s="59">
        <v>41055.16138888889</v>
      </c>
      <c r="C490">
        <v>33000</v>
      </c>
      <c r="D490" t="s">
        <v>861</v>
      </c>
      <c r="E490">
        <f>tblSalaries[[#This Row],[clean Salary (in local currency)]]*VLOOKUP(tblSalaries[[#This Row],[Currency]],[1]!tblXrate[#Data],2,FALSE)</f>
        <v>52013.882978220376</v>
      </c>
      <c r="F490" t="s">
        <v>1712</v>
      </c>
      <c r="G490" t="s">
        <v>807</v>
      </c>
      <c r="H490" t="s">
        <v>863</v>
      </c>
      <c r="I490" t="str">
        <f>VLOOKUP(tblSalaries[[#This Row],[Where do you work]],[1]!tblCountries[[Actual]:[Mapping]],2,FALSE)</f>
        <v>UK</v>
      </c>
      <c r="J490" t="s">
        <v>789</v>
      </c>
    </row>
    <row r="491" spans="1:10" x14ac:dyDescent="0.2">
      <c r="A491" t="s">
        <v>1713</v>
      </c>
      <c r="B491" s="59">
        <v>41055.162141203706</v>
      </c>
      <c r="C491">
        <v>720000</v>
      </c>
      <c r="D491" t="s">
        <v>824</v>
      </c>
      <c r="E491">
        <f>tblSalaries[[#This Row],[clean Salary (in local currency)]]*VLOOKUP(tblSalaries[[#This Row],[Currency]],[1]!tblXrate[#Data],2,FALSE)</f>
        <v>12821.700014958649</v>
      </c>
      <c r="F491" t="s">
        <v>1714</v>
      </c>
      <c r="G491" t="s">
        <v>807</v>
      </c>
      <c r="H491" t="s">
        <v>117</v>
      </c>
      <c r="I491" t="str">
        <f>VLOOKUP(tblSalaries[[#This Row],[Where do you work]],[1]!tblCountries[[Actual]:[Mapping]],2,FALSE)</f>
        <v>India</v>
      </c>
      <c r="J491" t="s">
        <v>799</v>
      </c>
    </row>
    <row r="492" spans="1:10" x14ac:dyDescent="0.2">
      <c r="A492" t="s">
        <v>1715</v>
      </c>
      <c r="B492" s="59">
        <v>41055.166909722226</v>
      </c>
      <c r="C492">
        <v>68500</v>
      </c>
      <c r="D492" t="s">
        <v>882</v>
      </c>
      <c r="E492">
        <f>tblSalaries[[#This Row],[clean Salary (in local currency)]]*VLOOKUP(tblSalaries[[#This Row],[Currency]],[1]!tblXrate[#Data],2,FALSE)</f>
        <v>67360.264327577388</v>
      </c>
      <c r="F492" t="s">
        <v>796</v>
      </c>
      <c r="G492" t="s">
        <v>788</v>
      </c>
      <c r="H492" t="s">
        <v>143</v>
      </c>
      <c r="I492" t="str">
        <f>VLOOKUP(tblSalaries[[#This Row],[Where do you work]],[1]!tblCountries[[Actual]:[Mapping]],2,FALSE)</f>
        <v>Canada</v>
      </c>
      <c r="J492" t="s">
        <v>789</v>
      </c>
    </row>
    <row r="493" spans="1:10" x14ac:dyDescent="0.2">
      <c r="A493" t="s">
        <v>1716</v>
      </c>
      <c r="B493" s="59">
        <v>41055.167881944442</v>
      </c>
      <c r="C493">
        <v>23000</v>
      </c>
      <c r="D493" t="s">
        <v>786</v>
      </c>
      <c r="E493">
        <f>tblSalaries[[#This Row],[clean Salary (in local currency)]]*VLOOKUP(tblSalaries[[#This Row],[Currency]],[1]!tblXrate[#Data],2,FALSE)</f>
        <v>23000</v>
      </c>
      <c r="F493" t="s">
        <v>1717</v>
      </c>
      <c r="G493" t="s">
        <v>807</v>
      </c>
      <c r="H493" t="s">
        <v>331</v>
      </c>
      <c r="I493" t="str">
        <f>VLOOKUP(tblSalaries[[#This Row],[Where do you work]],[1]!tblCountries[[Actual]:[Mapping]],2,FALSE)</f>
        <v>Hungary</v>
      </c>
      <c r="J493" t="s">
        <v>789</v>
      </c>
    </row>
    <row r="494" spans="1:10" x14ac:dyDescent="0.2">
      <c r="A494" t="s">
        <v>1718</v>
      </c>
      <c r="B494" s="59">
        <v>41055.168043981481</v>
      </c>
      <c r="C494">
        <v>58000</v>
      </c>
      <c r="D494" t="s">
        <v>861</v>
      </c>
      <c r="E494">
        <f>tblSalaries[[#This Row],[clean Salary (in local currency)]]*VLOOKUP(tblSalaries[[#This Row],[Currency]],[1]!tblXrate[#Data],2,FALSE)</f>
        <v>91418.339779902482</v>
      </c>
      <c r="F494" t="s">
        <v>1719</v>
      </c>
      <c r="G494" t="s">
        <v>807</v>
      </c>
      <c r="H494" t="s">
        <v>863</v>
      </c>
      <c r="I494" t="str">
        <f>VLOOKUP(tblSalaries[[#This Row],[Where do you work]],[1]!tblCountries[[Actual]:[Mapping]],2,FALSE)</f>
        <v>UK</v>
      </c>
      <c r="J494" t="s">
        <v>794</v>
      </c>
    </row>
    <row r="495" spans="1:10" x14ac:dyDescent="0.2">
      <c r="A495" t="s">
        <v>1720</v>
      </c>
      <c r="B495" s="59">
        <v>41055.169131944444</v>
      </c>
      <c r="C495">
        <v>77000</v>
      </c>
      <c r="D495" t="s">
        <v>786</v>
      </c>
      <c r="E495">
        <f>tblSalaries[[#This Row],[clean Salary (in local currency)]]*VLOOKUP(tblSalaries[[#This Row],[Currency]],[1]!tblXrate[#Data],2,FALSE)</f>
        <v>77000</v>
      </c>
      <c r="F495" t="s">
        <v>1440</v>
      </c>
      <c r="G495" t="s">
        <v>788</v>
      </c>
      <c r="H495" t="s">
        <v>15</v>
      </c>
      <c r="I495" t="str">
        <f>VLOOKUP(tblSalaries[[#This Row],[Where do you work]],[1]!tblCountries[[Actual]:[Mapping]],2,FALSE)</f>
        <v>USA</v>
      </c>
      <c r="J495" t="s">
        <v>794</v>
      </c>
    </row>
    <row r="496" spans="1:10" x14ac:dyDescent="0.2">
      <c r="A496" t="s">
        <v>1721</v>
      </c>
      <c r="B496" s="59">
        <v>41055.170231481483</v>
      </c>
      <c r="C496">
        <v>100000</v>
      </c>
      <c r="D496" t="s">
        <v>786</v>
      </c>
      <c r="E496">
        <f>tblSalaries[[#This Row],[clean Salary (in local currency)]]*VLOOKUP(tblSalaries[[#This Row],[Currency]],[1]!tblXrate[#Data],2,FALSE)</f>
        <v>100000</v>
      </c>
      <c r="F496" t="s">
        <v>788</v>
      </c>
      <c r="G496" t="s">
        <v>788</v>
      </c>
      <c r="H496" t="s">
        <v>15</v>
      </c>
      <c r="I496" t="str">
        <f>VLOOKUP(tblSalaries[[#This Row],[Where do you work]],[1]!tblCountries[[Actual]:[Mapping]],2,FALSE)</f>
        <v>USA</v>
      </c>
      <c r="J496" t="s">
        <v>789</v>
      </c>
    </row>
    <row r="497" spans="1:10" x14ac:dyDescent="0.2">
      <c r="A497" t="s">
        <v>1722</v>
      </c>
      <c r="B497" s="59">
        <v>41055.174224537041</v>
      </c>
      <c r="C497">
        <v>55500</v>
      </c>
      <c r="D497" t="s">
        <v>786</v>
      </c>
      <c r="E497">
        <f>tblSalaries[[#This Row],[clean Salary (in local currency)]]*VLOOKUP(tblSalaries[[#This Row],[Currency]],[1]!tblXrate[#Data],2,FALSE)</f>
        <v>55500</v>
      </c>
      <c r="F497" t="s">
        <v>1723</v>
      </c>
      <c r="G497" t="s">
        <v>792</v>
      </c>
      <c r="H497" t="s">
        <v>1022</v>
      </c>
      <c r="I497" t="str">
        <f>VLOOKUP(tblSalaries[[#This Row],[Where do you work]],[1]!tblCountries[[Actual]:[Mapping]],2,FALSE)</f>
        <v>UAE</v>
      </c>
      <c r="J497" t="s">
        <v>789</v>
      </c>
    </row>
    <row r="498" spans="1:10" x14ac:dyDescent="0.2">
      <c r="A498" t="s">
        <v>1724</v>
      </c>
      <c r="B498" s="59">
        <v>41055.175185185188</v>
      </c>
      <c r="C498">
        <v>15000</v>
      </c>
      <c r="D498" t="s">
        <v>805</v>
      </c>
      <c r="E498">
        <f>tblSalaries[[#This Row],[clean Salary (in local currency)]]*VLOOKUP(tblSalaries[[#This Row],[Currency]],[1]!tblXrate[#Data],2,FALSE)</f>
        <v>19055.991584874118</v>
      </c>
      <c r="F498" t="s">
        <v>1725</v>
      </c>
      <c r="G498" t="s">
        <v>788</v>
      </c>
      <c r="H498" t="s">
        <v>290</v>
      </c>
      <c r="I498" t="str">
        <f>VLOOKUP(tblSalaries[[#This Row],[Where do you work]],[1]!tblCountries[[Actual]:[Mapping]],2,FALSE)</f>
        <v>Spain</v>
      </c>
      <c r="J498" t="s">
        <v>794</v>
      </c>
    </row>
    <row r="499" spans="1:10" x14ac:dyDescent="0.2">
      <c r="A499" t="s">
        <v>1726</v>
      </c>
      <c r="B499" s="59">
        <v>41055.176319444443</v>
      </c>
      <c r="C499">
        <v>600000</v>
      </c>
      <c r="D499" t="s">
        <v>824</v>
      </c>
      <c r="E499">
        <f>tblSalaries[[#This Row],[clean Salary (in local currency)]]*VLOOKUP(tblSalaries[[#This Row],[Currency]],[1]!tblXrate[#Data],2,FALSE)</f>
        <v>10684.750012465542</v>
      </c>
      <c r="F499" t="s">
        <v>1727</v>
      </c>
      <c r="G499" t="s">
        <v>807</v>
      </c>
      <c r="H499" t="s">
        <v>117</v>
      </c>
      <c r="I499" t="str">
        <f>VLOOKUP(tblSalaries[[#This Row],[Where do you work]],[1]!tblCountries[[Actual]:[Mapping]],2,FALSE)</f>
        <v>India</v>
      </c>
      <c r="J499" t="s">
        <v>789</v>
      </c>
    </row>
    <row r="500" spans="1:10" x14ac:dyDescent="0.2">
      <c r="A500" t="s">
        <v>1728</v>
      </c>
      <c r="B500" s="59">
        <v>41055.176701388889</v>
      </c>
      <c r="C500">
        <v>8400</v>
      </c>
      <c r="D500" t="s">
        <v>786</v>
      </c>
      <c r="E500">
        <f>tblSalaries[[#This Row],[clean Salary (in local currency)]]*VLOOKUP(tblSalaries[[#This Row],[Currency]],[1]!tblXrate[#Data],2,FALSE)</f>
        <v>8400</v>
      </c>
      <c r="F500" t="s">
        <v>807</v>
      </c>
      <c r="G500" t="s">
        <v>807</v>
      </c>
      <c r="H500" t="s">
        <v>117</v>
      </c>
      <c r="I500" t="str">
        <f>VLOOKUP(tblSalaries[[#This Row],[Where do you work]],[1]!tblCountries[[Actual]:[Mapping]],2,FALSE)</f>
        <v>India</v>
      </c>
      <c r="J500" t="s">
        <v>789</v>
      </c>
    </row>
    <row r="501" spans="1:10" x14ac:dyDescent="0.2">
      <c r="A501" t="s">
        <v>1729</v>
      </c>
      <c r="B501" s="59">
        <v>41055.17796296296</v>
      </c>
      <c r="C501">
        <v>500000</v>
      </c>
      <c r="D501" t="s">
        <v>824</v>
      </c>
      <c r="E501">
        <f>tblSalaries[[#This Row],[clean Salary (in local currency)]]*VLOOKUP(tblSalaries[[#This Row],[Currency]],[1]!tblXrate[#Data],2,FALSE)</f>
        <v>8903.9583437212841</v>
      </c>
      <c r="F501" t="s">
        <v>1730</v>
      </c>
      <c r="G501" t="s">
        <v>807</v>
      </c>
      <c r="H501" t="s">
        <v>117</v>
      </c>
      <c r="I501" t="str">
        <f>VLOOKUP(tblSalaries[[#This Row],[Where do you work]],[1]!tblCountries[[Actual]:[Mapping]],2,FALSE)</f>
        <v>India</v>
      </c>
      <c r="J501" t="s">
        <v>799</v>
      </c>
    </row>
    <row r="502" spans="1:10" x14ac:dyDescent="0.2">
      <c r="A502" t="s">
        <v>1731</v>
      </c>
      <c r="B502" s="59">
        <v>41055.178703703707</v>
      </c>
      <c r="C502">
        <v>12000</v>
      </c>
      <c r="D502" t="s">
        <v>786</v>
      </c>
      <c r="E502">
        <f>tblSalaries[[#This Row],[clean Salary (in local currency)]]*VLOOKUP(tblSalaries[[#This Row],[Currency]],[1]!tblXrate[#Data],2,FALSE)</f>
        <v>12000</v>
      </c>
      <c r="F502" t="s">
        <v>1725</v>
      </c>
      <c r="G502" t="s">
        <v>788</v>
      </c>
      <c r="H502" t="s">
        <v>54</v>
      </c>
      <c r="I502" t="str">
        <f>VLOOKUP(tblSalaries[[#This Row],[Where do you work]],[1]!tblCountries[[Actual]:[Mapping]],2,FALSE)</f>
        <v>Brazil</v>
      </c>
      <c r="J502" t="s">
        <v>794</v>
      </c>
    </row>
    <row r="503" spans="1:10" x14ac:dyDescent="0.2">
      <c r="A503" t="s">
        <v>1732</v>
      </c>
      <c r="B503" s="59">
        <v>41055.179340277777</v>
      </c>
      <c r="C503">
        <v>65000</v>
      </c>
      <c r="D503" t="s">
        <v>786</v>
      </c>
      <c r="E503">
        <f>tblSalaries[[#This Row],[clean Salary (in local currency)]]*VLOOKUP(tblSalaries[[#This Row],[Currency]],[1]!tblXrate[#Data],2,FALSE)</f>
        <v>65000</v>
      </c>
      <c r="F503" t="s">
        <v>1733</v>
      </c>
      <c r="G503" t="s">
        <v>807</v>
      </c>
      <c r="H503" t="s">
        <v>15</v>
      </c>
      <c r="I503" t="str">
        <f>VLOOKUP(tblSalaries[[#This Row],[Where do you work]],[1]!tblCountries[[Actual]:[Mapping]],2,FALSE)</f>
        <v>USA</v>
      </c>
      <c r="J503" t="s">
        <v>794</v>
      </c>
    </row>
    <row r="504" spans="1:10" x14ac:dyDescent="0.2">
      <c r="A504" t="s">
        <v>1734</v>
      </c>
      <c r="B504" s="59">
        <v>41055.179918981485</v>
      </c>
      <c r="C504">
        <v>16400</v>
      </c>
      <c r="D504" t="s">
        <v>861</v>
      </c>
      <c r="E504">
        <f>tblSalaries[[#This Row],[clean Salary (in local currency)]]*VLOOKUP(tblSalaries[[#This Row],[Currency]],[1]!tblXrate[#Data],2,FALSE)</f>
        <v>25849.323661903458</v>
      </c>
      <c r="F504" t="s">
        <v>1735</v>
      </c>
      <c r="G504" t="s">
        <v>788</v>
      </c>
      <c r="H504" t="s">
        <v>863</v>
      </c>
      <c r="I504" t="str">
        <f>VLOOKUP(tblSalaries[[#This Row],[Where do you work]],[1]!tblCountries[[Actual]:[Mapping]],2,FALSE)</f>
        <v>UK</v>
      </c>
      <c r="J504" t="s">
        <v>789</v>
      </c>
    </row>
    <row r="505" spans="1:10" x14ac:dyDescent="0.2">
      <c r="A505" t="s">
        <v>1736</v>
      </c>
      <c r="B505" s="59">
        <v>41055.180752314816</v>
      </c>
      <c r="C505">
        <v>78000</v>
      </c>
      <c r="D505" t="s">
        <v>861</v>
      </c>
      <c r="E505">
        <f>tblSalaries[[#This Row],[clean Salary (in local currency)]]*VLOOKUP(tblSalaries[[#This Row],[Currency]],[1]!tblXrate[#Data],2,FALSE)</f>
        <v>122941.90522124816</v>
      </c>
      <c r="F505" t="s">
        <v>1737</v>
      </c>
      <c r="G505" t="s">
        <v>788</v>
      </c>
      <c r="H505" t="s">
        <v>863</v>
      </c>
      <c r="I505" t="str">
        <f>VLOOKUP(tblSalaries[[#This Row],[Where do you work]],[1]!tblCountries[[Actual]:[Mapping]],2,FALSE)</f>
        <v>UK</v>
      </c>
      <c r="J505" t="s">
        <v>808</v>
      </c>
    </row>
    <row r="506" spans="1:10" x14ac:dyDescent="0.2">
      <c r="A506" t="s">
        <v>1738</v>
      </c>
      <c r="B506" s="59">
        <v>41055.184305555558</v>
      </c>
      <c r="C506">
        <v>76000</v>
      </c>
      <c r="D506" t="s">
        <v>786</v>
      </c>
      <c r="E506">
        <f>tblSalaries[[#This Row],[clean Salary (in local currency)]]*VLOOKUP(tblSalaries[[#This Row],[Currency]],[1]!tblXrate[#Data],2,FALSE)</f>
        <v>76000</v>
      </c>
      <c r="F506" t="s">
        <v>1540</v>
      </c>
      <c r="G506" t="s">
        <v>807</v>
      </c>
      <c r="H506" t="s">
        <v>15</v>
      </c>
      <c r="I506" t="str">
        <f>VLOOKUP(tblSalaries[[#This Row],[Where do you work]],[1]!tblCountries[[Actual]:[Mapping]],2,FALSE)</f>
        <v>USA</v>
      </c>
      <c r="J506" t="s">
        <v>799</v>
      </c>
    </row>
    <row r="507" spans="1:10" x14ac:dyDescent="0.2">
      <c r="A507" t="s">
        <v>1739</v>
      </c>
      <c r="B507" s="59">
        <v>41055.184837962966</v>
      </c>
      <c r="C507">
        <v>150000</v>
      </c>
      <c r="D507" t="s">
        <v>786</v>
      </c>
      <c r="E507">
        <f>tblSalaries[[#This Row],[clean Salary (in local currency)]]*VLOOKUP(tblSalaries[[#This Row],[Currency]],[1]!tblXrate[#Data],2,FALSE)</f>
        <v>150000</v>
      </c>
      <c r="F507" t="s">
        <v>867</v>
      </c>
      <c r="G507" t="s">
        <v>867</v>
      </c>
      <c r="H507" t="s">
        <v>15</v>
      </c>
      <c r="I507" t="str">
        <f>VLOOKUP(tblSalaries[[#This Row],[Where do you work]],[1]!tblCountries[[Actual]:[Mapping]],2,FALSE)</f>
        <v>USA</v>
      </c>
      <c r="J507" t="s">
        <v>794</v>
      </c>
    </row>
    <row r="508" spans="1:10" x14ac:dyDescent="0.2">
      <c r="A508" t="s">
        <v>1740</v>
      </c>
      <c r="B508" s="59">
        <v>41055.185555555552</v>
      </c>
      <c r="C508">
        <v>54000</v>
      </c>
      <c r="D508" t="s">
        <v>786</v>
      </c>
      <c r="E508">
        <f>tblSalaries[[#This Row],[clean Salary (in local currency)]]*VLOOKUP(tblSalaries[[#This Row],[Currency]],[1]!tblXrate[#Data],2,FALSE)</f>
        <v>54000</v>
      </c>
      <c r="F508" t="s">
        <v>1070</v>
      </c>
      <c r="G508" t="s">
        <v>788</v>
      </c>
      <c r="H508" t="s">
        <v>15</v>
      </c>
      <c r="I508" t="str">
        <f>VLOOKUP(tblSalaries[[#This Row],[Where do you work]],[1]!tblCountries[[Actual]:[Mapping]],2,FALSE)</f>
        <v>USA</v>
      </c>
      <c r="J508" t="s">
        <v>789</v>
      </c>
    </row>
    <row r="509" spans="1:10" x14ac:dyDescent="0.2">
      <c r="A509" t="s">
        <v>1741</v>
      </c>
      <c r="B509" s="59">
        <v>41055.189618055556</v>
      </c>
      <c r="C509">
        <v>57000</v>
      </c>
      <c r="D509" t="s">
        <v>786</v>
      </c>
      <c r="E509">
        <f>tblSalaries[[#This Row],[clean Salary (in local currency)]]*VLOOKUP(tblSalaries[[#This Row],[Currency]],[1]!tblXrate[#Data],2,FALSE)</f>
        <v>57000</v>
      </c>
      <c r="F509" t="s">
        <v>1742</v>
      </c>
      <c r="G509" t="s">
        <v>807</v>
      </c>
      <c r="H509" t="s">
        <v>1743</v>
      </c>
      <c r="I509" t="str">
        <f>VLOOKUP(tblSalaries[[#This Row],[Where do you work]],[1]!tblCountries[[Actual]:[Mapping]],2,FALSE)</f>
        <v>Israel</v>
      </c>
      <c r="J509" t="s">
        <v>789</v>
      </c>
    </row>
    <row r="510" spans="1:10" x14ac:dyDescent="0.2">
      <c r="A510" t="s">
        <v>1744</v>
      </c>
      <c r="B510" s="59">
        <v>41055.189895833333</v>
      </c>
      <c r="C510">
        <v>61000</v>
      </c>
      <c r="D510" t="s">
        <v>786</v>
      </c>
      <c r="E510">
        <f>tblSalaries[[#This Row],[clean Salary (in local currency)]]*VLOOKUP(tblSalaries[[#This Row],[Currency]],[1]!tblXrate[#Data],2,FALSE)</f>
        <v>61000</v>
      </c>
      <c r="F510" t="s">
        <v>885</v>
      </c>
      <c r="G510" t="s">
        <v>817</v>
      </c>
      <c r="H510" t="s">
        <v>15</v>
      </c>
      <c r="I510" t="str">
        <f>VLOOKUP(tblSalaries[[#This Row],[Where do you work]],[1]!tblCountries[[Actual]:[Mapping]],2,FALSE)</f>
        <v>USA</v>
      </c>
      <c r="J510" t="s">
        <v>789</v>
      </c>
    </row>
    <row r="511" spans="1:10" x14ac:dyDescent="0.2">
      <c r="A511" t="s">
        <v>1745</v>
      </c>
      <c r="B511" s="59">
        <v>41055.190752314818</v>
      </c>
      <c r="C511">
        <v>70000</v>
      </c>
      <c r="D511" t="s">
        <v>786</v>
      </c>
      <c r="E511">
        <f>tblSalaries[[#This Row],[clean Salary (in local currency)]]*VLOOKUP(tblSalaries[[#This Row],[Currency]],[1]!tblXrate[#Data],2,FALSE)</f>
        <v>70000</v>
      </c>
      <c r="F511" t="s">
        <v>1746</v>
      </c>
      <c r="G511" t="s">
        <v>788</v>
      </c>
      <c r="H511" t="s">
        <v>15</v>
      </c>
      <c r="I511" t="str">
        <f>VLOOKUP(tblSalaries[[#This Row],[Where do you work]],[1]!tblCountries[[Actual]:[Mapping]],2,FALSE)</f>
        <v>USA</v>
      </c>
      <c r="J511" t="s">
        <v>794</v>
      </c>
    </row>
    <row r="512" spans="1:10" x14ac:dyDescent="0.2">
      <c r="A512" t="s">
        <v>1747</v>
      </c>
      <c r="B512" s="59">
        <v>41055.192164351851</v>
      </c>
      <c r="C512">
        <v>15000</v>
      </c>
      <c r="D512" t="s">
        <v>786</v>
      </c>
      <c r="E512">
        <f>tblSalaries[[#This Row],[clean Salary (in local currency)]]*VLOOKUP(tblSalaries[[#This Row],[Currency]],[1]!tblXrate[#Data],2,FALSE)</f>
        <v>15000</v>
      </c>
      <c r="F512" t="s">
        <v>1748</v>
      </c>
      <c r="G512" t="s">
        <v>807</v>
      </c>
      <c r="H512" t="s">
        <v>117</v>
      </c>
      <c r="I512" t="str">
        <f>VLOOKUP(tblSalaries[[#This Row],[Where do you work]],[1]!tblCountries[[Actual]:[Mapping]],2,FALSE)</f>
        <v>India</v>
      </c>
      <c r="J512" t="s">
        <v>789</v>
      </c>
    </row>
    <row r="513" spans="1:10" x14ac:dyDescent="0.2">
      <c r="A513" t="s">
        <v>1749</v>
      </c>
      <c r="B513" s="59">
        <v>41055.193877314814</v>
      </c>
      <c r="C513">
        <v>87550</v>
      </c>
      <c r="D513" t="s">
        <v>882</v>
      </c>
      <c r="E513">
        <f>tblSalaries[[#This Row],[clean Salary (in local currency)]]*VLOOKUP(tblSalaries[[#This Row],[Currency]],[1]!tblXrate[#Data],2,FALSE)</f>
        <v>86093.301341305123</v>
      </c>
      <c r="F513" t="s">
        <v>807</v>
      </c>
      <c r="G513" t="s">
        <v>807</v>
      </c>
      <c r="H513" t="s">
        <v>143</v>
      </c>
      <c r="I513" t="str">
        <f>VLOOKUP(tblSalaries[[#This Row],[Where do you work]],[1]!tblCountries[[Actual]:[Mapping]],2,FALSE)</f>
        <v>Canada</v>
      </c>
      <c r="J513" t="s">
        <v>789</v>
      </c>
    </row>
    <row r="514" spans="1:10" x14ac:dyDescent="0.2">
      <c r="A514" t="s">
        <v>1750</v>
      </c>
      <c r="B514" s="59">
        <v>41055.194861111115</v>
      </c>
      <c r="C514">
        <v>72600</v>
      </c>
      <c r="D514" t="s">
        <v>786</v>
      </c>
      <c r="E514">
        <f>tblSalaries[[#This Row],[clean Salary (in local currency)]]*VLOOKUP(tblSalaries[[#This Row],[Currency]],[1]!tblXrate[#Data],2,FALSE)</f>
        <v>72600</v>
      </c>
      <c r="F514" t="s">
        <v>1751</v>
      </c>
      <c r="G514" t="s">
        <v>807</v>
      </c>
      <c r="H514" t="s">
        <v>15</v>
      </c>
      <c r="I514" t="str">
        <f>VLOOKUP(tblSalaries[[#This Row],[Where do you work]],[1]!tblCountries[[Actual]:[Mapping]],2,FALSE)</f>
        <v>USA</v>
      </c>
      <c r="J514" t="s">
        <v>799</v>
      </c>
    </row>
    <row r="515" spans="1:10" x14ac:dyDescent="0.2">
      <c r="A515" t="s">
        <v>1752</v>
      </c>
      <c r="B515" s="59">
        <v>41055.195370370369</v>
      </c>
      <c r="C515">
        <v>100000</v>
      </c>
      <c r="D515" t="s">
        <v>786</v>
      </c>
      <c r="E515">
        <f>tblSalaries[[#This Row],[clean Salary (in local currency)]]*VLOOKUP(tblSalaries[[#This Row],[Currency]],[1]!tblXrate[#Data],2,FALSE)</f>
        <v>100000</v>
      </c>
      <c r="F515" t="s">
        <v>963</v>
      </c>
      <c r="G515" t="s">
        <v>813</v>
      </c>
      <c r="H515" t="s">
        <v>15</v>
      </c>
      <c r="I515" t="str">
        <f>VLOOKUP(tblSalaries[[#This Row],[Where do you work]],[1]!tblCountries[[Actual]:[Mapping]],2,FALSE)</f>
        <v>USA</v>
      </c>
      <c r="J515" t="s">
        <v>799</v>
      </c>
    </row>
    <row r="516" spans="1:10" x14ac:dyDescent="0.2">
      <c r="A516" t="s">
        <v>1753</v>
      </c>
      <c r="B516" s="59">
        <v>41055.197523148148</v>
      </c>
      <c r="C516">
        <v>104000</v>
      </c>
      <c r="D516" t="s">
        <v>786</v>
      </c>
      <c r="E516">
        <f>tblSalaries[[#This Row],[clean Salary (in local currency)]]*VLOOKUP(tblSalaries[[#This Row],[Currency]],[1]!tblXrate[#Data],2,FALSE)</f>
        <v>104000</v>
      </c>
      <c r="F516" t="s">
        <v>1754</v>
      </c>
      <c r="G516" t="s">
        <v>788</v>
      </c>
      <c r="H516" t="s">
        <v>15</v>
      </c>
      <c r="I516" t="str">
        <f>VLOOKUP(tblSalaries[[#This Row],[Where do you work]],[1]!tblCountries[[Actual]:[Mapping]],2,FALSE)</f>
        <v>USA</v>
      </c>
      <c r="J516" t="s">
        <v>789</v>
      </c>
    </row>
    <row r="517" spans="1:10" x14ac:dyDescent="0.2">
      <c r="A517" t="s">
        <v>1755</v>
      </c>
      <c r="B517" s="59">
        <v>41055.20040509259</v>
      </c>
      <c r="C517">
        <v>600000</v>
      </c>
      <c r="D517" t="s">
        <v>824</v>
      </c>
      <c r="E517">
        <f>tblSalaries[[#This Row],[clean Salary (in local currency)]]*VLOOKUP(tblSalaries[[#This Row],[Currency]],[1]!tblXrate[#Data],2,FALSE)</f>
        <v>10684.750012465542</v>
      </c>
      <c r="F517" t="s">
        <v>1059</v>
      </c>
      <c r="G517" t="s">
        <v>807</v>
      </c>
      <c r="H517" t="s">
        <v>117</v>
      </c>
      <c r="I517" t="str">
        <f>VLOOKUP(tblSalaries[[#This Row],[Where do you work]],[1]!tblCountries[[Actual]:[Mapping]],2,FALSE)</f>
        <v>India</v>
      </c>
      <c r="J517" t="s">
        <v>789</v>
      </c>
    </row>
    <row r="518" spans="1:10" x14ac:dyDescent="0.2">
      <c r="A518" t="s">
        <v>1756</v>
      </c>
      <c r="B518" s="59">
        <v>41055.200624999998</v>
      </c>
      <c r="C518">
        <v>200000</v>
      </c>
      <c r="D518" t="s">
        <v>786</v>
      </c>
      <c r="E518">
        <f>tblSalaries[[#This Row],[clean Salary (in local currency)]]*VLOOKUP(tblSalaries[[#This Row],[Currency]],[1]!tblXrate[#Data],2,FALSE)</f>
        <v>200000</v>
      </c>
      <c r="F518" t="s">
        <v>1757</v>
      </c>
      <c r="G518" t="s">
        <v>813</v>
      </c>
      <c r="H518" t="s">
        <v>15</v>
      </c>
      <c r="I518" t="str">
        <f>VLOOKUP(tblSalaries[[#This Row],[Where do you work]],[1]!tblCountries[[Actual]:[Mapping]],2,FALSE)</f>
        <v>USA</v>
      </c>
      <c r="J518" t="s">
        <v>799</v>
      </c>
    </row>
    <row r="519" spans="1:10" x14ac:dyDescent="0.2">
      <c r="A519" t="s">
        <v>1758</v>
      </c>
      <c r="B519" s="59">
        <v>41055.201631944445</v>
      </c>
      <c r="C519">
        <v>49248</v>
      </c>
      <c r="D519" t="s">
        <v>805</v>
      </c>
      <c r="E519">
        <f>tblSalaries[[#This Row],[clean Salary (in local currency)]]*VLOOKUP(tblSalaries[[#This Row],[Currency]],[1]!tblXrate[#Data],2,FALSE)</f>
        <v>62564.631571458704</v>
      </c>
      <c r="F519" t="s">
        <v>1759</v>
      </c>
      <c r="G519" t="s">
        <v>817</v>
      </c>
      <c r="H519" t="s">
        <v>228</v>
      </c>
      <c r="I519" t="str">
        <f>VLOOKUP(tblSalaries[[#This Row],[Where do you work]],[1]!tblCountries[[Actual]:[Mapping]],2,FALSE)</f>
        <v>Netherlands</v>
      </c>
      <c r="J519" t="s">
        <v>794</v>
      </c>
    </row>
    <row r="520" spans="1:10" x14ac:dyDescent="0.2">
      <c r="A520" t="s">
        <v>1760</v>
      </c>
      <c r="B520" s="59">
        <v>41055.201932870368</v>
      </c>
      <c r="C520">
        <v>36500</v>
      </c>
      <c r="D520" t="s">
        <v>861</v>
      </c>
      <c r="E520">
        <f>tblSalaries[[#This Row],[clean Salary (in local currency)]]*VLOOKUP(tblSalaries[[#This Row],[Currency]],[1]!tblXrate[#Data],2,FALSE)</f>
        <v>57530.506930455871</v>
      </c>
      <c r="F520" t="s">
        <v>1761</v>
      </c>
      <c r="G520" t="s">
        <v>807</v>
      </c>
      <c r="H520" t="s">
        <v>863</v>
      </c>
      <c r="I520" t="str">
        <f>VLOOKUP(tblSalaries[[#This Row],[Where do you work]],[1]!tblCountries[[Actual]:[Mapping]],2,FALSE)</f>
        <v>UK</v>
      </c>
      <c r="J520" t="s">
        <v>799</v>
      </c>
    </row>
    <row r="521" spans="1:10" x14ac:dyDescent="0.2">
      <c r="A521" t="s">
        <v>1762</v>
      </c>
      <c r="B521" s="59">
        <v>41055.20857638889</v>
      </c>
      <c r="C521">
        <v>82300</v>
      </c>
      <c r="D521" t="s">
        <v>786</v>
      </c>
      <c r="E521">
        <f>tblSalaries[[#This Row],[clean Salary (in local currency)]]*VLOOKUP(tblSalaries[[#This Row],[Currency]],[1]!tblXrate[#Data],2,FALSE)</f>
        <v>82300</v>
      </c>
      <c r="F521" t="s">
        <v>1763</v>
      </c>
      <c r="G521" t="s">
        <v>807</v>
      </c>
      <c r="H521" t="s">
        <v>15</v>
      </c>
      <c r="I521" t="str">
        <f>VLOOKUP(tblSalaries[[#This Row],[Where do you work]],[1]!tblCountries[[Actual]:[Mapping]],2,FALSE)</f>
        <v>USA</v>
      </c>
      <c r="J521" t="s">
        <v>799</v>
      </c>
    </row>
    <row r="522" spans="1:10" x14ac:dyDescent="0.2">
      <c r="A522" t="s">
        <v>1764</v>
      </c>
      <c r="B522" s="59">
        <v>41055.211678240739</v>
      </c>
      <c r="C522">
        <v>95000</v>
      </c>
      <c r="D522" t="s">
        <v>786</v>
      </c>
      <c r="E522">
        <f>tblSalaries[[#This Row],[clean Salary (in local currency)]]*VLOOKUP(tblSalaries[[#This Row],[Currency]],[1]!tblXrate[#Data],2,FALSE)</f>
        <v>95000</v>
      </c>
      <c r="F522" t="s">
        <v>1765</v>
      </c>
      <c r="G522" t="s">
        <v>867</v>
      </c>
      <c r="H522" t="s">
        <v>15</v>
      </c>
      <c r="I522" t="str">
        <f>VLOOKUP(tblSalaries[[#This Row],[Where do you work]],[1]!tblCountries[[Actual]:[Mapping]],2,FALSE)</f>
        <v>USA</v>
      </c>
      <c r="J522" t="s">
        <v>789</v>
      </c>
    </row>
    <row r="523" spans="1:10" x14ac:dyDescent="0.2">
      <c r="A523" t="s">
        <v>1766</v>
      </c>
      <c r="B523" s="59">
        <v>41055.213541666664</v>
      </c>
      <c r="C523">
        <v>140000</v>
      </c>
      <c r="D523" t="s">
        <v>861</v>
      </c>
      <c r="E523">
        <f>tblSalaries[[#This Row],[clean Salary (in local currency)]]*VLOOKUP(tblSalaries[[#This Row],[Currency]],[1]!tblXrate[#Data],2,FALSE)</f>
        <v>220664.95808941979</v>
      </c>
      <c r="F523" t="s">
        <v>1767</v>
      </c>
      <c r="G523" t="s">
        <v>820</v>
      </c>
      <c r="H523" t="s">
        <v>863</v>
      </c>
      <c r="I523" t="str">
        <f>VLOOKUP(tblSalaries[[#This Row],[Where do you work]],[1]!tblCountries[[Actual]:[Mapping]],2,FALSE)</f>
        <v>UK</v>
      </c>
      <c r="J523" t="s">
        <v>794</v>
      </c>
    </row>
    <row r="524" spans="1:10" x14ac:dyDescent="0.2">
      <c r="A524" t="s">
        <v>1768</v>
      </c>
      <c r="B524" s="59">
        <v>41055.217395833337</v>
      </c>
      <c r="C524">
        <v>72000</v>
      </c>
      <c r="D524" t="s">
        <v>786</v>
      </c>
      <c r="E524">
        <f>tblSalaries[[#This Row],[clean Salary (in local currency)]]*VLOOKUP(tblSalaries[[#This Row],[Currency]],[1]!tblXrate[#Data],2,FALSE)</f>
        <v>72000</v>
      </c>
      <c r="F524" t="s">
        <v>1769</v>
      </c>
      <c r="G524" t="s">
        <v>788</v>
      </c>
      <c r="H524" t="s">
        <v>744</v>
      </c>
      <c r="I524" t="str">
        <f>VLOOKUP(tblSalaries[[#This Row],[Where do you work]],[1]!tblCountries[[Actual]:[Mapping]],2,FALSE)</f>
        <v>Russia</v>
      </c>
      <c r="J524" t="s">
        <v>799</v>
      </c>
    </row>
    <row r="525" spans="1:10" x14ac:dyDescent="0.2">
      <c r="A525" t="s">
        <v>1770</v>
      </c>
      <c r="B525" s="59">
        <v>41055.219375000001</v>
      </c>
      <c r="C525">
        <v>60000</v>
      </c>
      <c r="D525" t="s">
        <v>877</v>
      </c>
      <c r="E525">
        <f>tblSalaries[[#This Row],[clean Salary (in local currency)]]*VLOOKUP(tblSalaries[[#This Row],[Currency]],[1]!tblXrate[#Data],2,FALSE)</f>
        <v>61194.579384158147</v>
      </c>
      <c r="F525" t="s">
        <v>788</v>
      </c>
      <c r="G525" t="s">
        <v>788</v>
      </c>
      <c r="H525" t="s">
        <v>33</v>
      </c>
      <c r="I525" t="str">
        <f>VLOOKUP(tblSalaries[[#This Row],[Where do you work]],[1]!tblCountries[[Actual]:[Mapping]],2,FALSE)</f>
        <v>Australia</v>
      </c>
      <c r="J525" t="s">
        <v>799</v>
      </c>
    </row>
    <row r="526" spans="1:10" x14ac:dyDescent="0.2">
      <c r="A526" t="s">
        <v>1771</v>
      </c>
      <c r="B526" s="59">
        <v>41055.220972222225</v>
      </c>
      <c r="C526">
        <v>120000</v>
      </c>
      <c r="D526" t="s">
        <v>786</v>
      </c>
      <c r="E526">
        <f>tblSalaries[[#This Row],[clean Salary (in local currency)]]*VLOOKUP(tblSalaries[[#This Row],[Currency]],[1]!tblXrate[#Data],2,FALSE)</f>
        <v>120000</v>
      </c>
      <c r="F526" t="s">
        <v>1772</v>
      </c>
      <c r="G526" t="s">
        <v>807</v>
      </c>
      <c r="H526" t="s">
        <v>1773</v>
      </c>
      <c r="I526" t="str">
        <f>VLOOKUP(tblSalaries[[#This Row],[Where do you work]],[1]!tblCountries[[Actual]:[Mapping]],2,FALSE)</f>
        <v>New Zealand</v>
      </c>
      <c r="J526" t="s">
        <v>799</v>
      </c>
    </row>
    <row r="527" spans="1:10" x14ac:dyDescent="0.2">
      <c r="A527" t="s">
        <v>1774</v>
      </c>
      <c r="B527" s="59">
        <v>41055.221145833333</v>
      </c>
      <c r="C527">
        <v>95000</v>
      </c>
      <c r="D527" t="s">
        <v>786</v>
      </c>
      <c r="E527">
        <f>tblSalaries[[#This Row],[clean Salary (in local currency)]]*VLOOKUP(tblSalaries[[#This Row],[Currency]],[1]!tblXrate[#Data],2,FALSE)</f>
        <v>95000</v>
      </c>
      <c r="F527" t="s">
        <v>1775</v>
      </c>
      <c r="G527" t="s">
        <v>813</v>
      </c>
      <c r="H527" t="s">
        <v>1776</v>
      </c>
      <c r="I527" t="str">
        <f>VLOOKUP(tblSalaries[[#This Row],[Where do you work]],[1]!tblCountries[[Actual]:[Mapping]],2,FALSE)</f>
        <v>Central America</v>
      </c>
      <c r="J527" t="s">
        <v>799</v>
      </c>
    </row>
    <row r="528" spans="1:10" x14ac:dyDescent="0.2">
      <c r="A528" t="s">
        <v>1777</v>
      </c>
      <c r="B528" s="59">
        <v>41055.222719907404</v>
      </c>
      <c r="C528">
        <v>50000</v>
      </c>
      <c r="D528" t="s">
        <v>786</v>
      </c>
      <c r="E528">
        <f>tblSalaries[[#This Row],[clean Salary (in local currency)]]*VLOOKUP(tblSalaries[[#This Row],[Currency]],[1]!tblXrate[#Data],2,FALSE)</f>
        <v>50000</v>
      </c>
      <c r="F528" t="s">
        <v>1778</v>
      </c>
      <c r="G528" t="s">
        <v>788</v>
      </c>
      <c r="H528" t="s">
        <v>15</v>
      </c>
      <c r="I528" t="str">
        <f>VLOOKUP(tblSalaries[[#This Row],[Where do you work]],[1]!tblCountries[[Actual]:[Mapping]],2,FALSE)</f>
        <v>USA</v>
      </c>
      <c r="J528" t="s">
        <v>799</v>
      </c>
    </row>
    <row r="529" spans="1:10" x14ac:dyDescent="0.2">
      <c r="A529" t="s">
        <v>1779</v>
      </c>
      <c r="B529" s="59">
        <v>41055.224537037036</v>
      </c>
      <c r="C529">
        <v>73000</v>
      </c>
      <c r="D529" t="s">
        <v>861</v>
      </c>
      <c r="E529">
        <f>tblSalaries[[#This Row],[clean Salary (in local currency)]]*VLOOKUP(tblSalaries[[#This Row],[Currency]],[1]!tblXrate[#Data],2,FALSE)</f>
        <v>115061.01386091174</v>
      </c>
      <c r="F529" t="s">
        <v>1780</v>
      </c>
      <c r="G529" t="s">
        <v>807</v>
      </c>
      <c r="H529" t="s">
        <v>863</v>
      </c>
      <c r="I529" t="str">
        <f>VLOOKUP(tblSalaries[[#This Row],[Where do you work]],[1]!tblCountries[[Actual]:[Mapping]],2,FALSE)</f>
        <v>UK</v>
      </c>
      <c r="J529" t="s">
        <v>789</v>
      </c>
    </row>
    <row r="530" spans="1:10" x14ac:dyDescent="0.2">
      <c r="A530" t="s">
        <v>1781</v>
      </c>
      <c r="B530" s="59">
        <v>41055.225185185183</v>
      </c>
      <c r="C530">
        <v>50000</v>
      </c>
      <c r="D530" t="s">
        <v>786</v>
      </c>
      <c r="E530">
        <f>tblSalaries[[#This Row],[clean Salary (in local currency)]]*VLOOKUP(tblSalaries[[#This Row],[Currency]],[1]!tblXrate[#Data],2,FALSE)</f>
        <v>50000</v>
      </c>
      <c r="F530" t="s">
        <v>1782</v>
      </c>
      <c r="G530" t="s">
        <v>788</v>
      </c>
      <c r="H530" t="s">
        <v>1783</v>
      </c>
      <c r="I530" t="str">
        <f>VLOOKUP(tblSalaries[[#This Row],[Where do you work]],[1]!tblCountries[[Actual]:[Mapping]],2,FALSE)</f>
        <v>self-employed</v>
      </c>
      <c r="J530" t="s">
        <v>789</v>
      </c>
    </row>
    <row r="531" spans="1:10" x14ac:dyDescent="0.2">
      <c r="A531" t="s">
        <v>1784</v>
      </c>
      <c r="B531" s="59">
        <v>41055.22724537037</v>
      </c>
      <c r="C531">
        <v>46000</v>
      </c>
      <c r="D531" t="s">
        <v>786</v>
      </c>
      <c r="E531">
        <f>tblSalaries[[#This Row],[clean Salary (in local currency)]]*VLOOKUP(tblSalaries[[#This Row],[Currency]],[1]!tblXrate[#Data],2,FALSE)</f>
        <v>46000</v>
      </c>
      <c r="F531" t="s">
        <v>1057</v>
      </c>
      <c r="G531" t="s">
        <v>788</v>
      </c>
      <c r="H531" t="s">
        <v>15</v>
      </c>
      <c r="I531" t="str">
        <f>VLOOKUP(tblSalaries[[#This Row],[Where do you work]],[1]!tblCountries[[Actual]:[Mapping]],2,FALSE)</f>
        <v>USA</v>
      </c>
      <c r="J531" t="s">
        <v>799</v>
      </c>
    </row>
    <row r="532" spans="1:10" x14ac:dyDescent="0.2">
      <c r="A532" t="s">
        <v>1785</v>
      </c>
      <c r="B532" s="59">
        <v>41055.227511574078</v>
      </c>
      <c r="C532">
        <v>600000</v>
      </c>
      <c r="D532" t="s">
        <v>815</v>
      </c>
      <c r="E532">
        <f>tblSalaries[[#This Row],[clean Salary (in local currency)]]*VLOOKUP(tblSalaries[[#This Row],[Currency]],[1]!tblXrate[#Data],2,FALSE)</f>
        <v>6368.453230079479</v>
      </c>
      <c r="F532" t="s">
        <v>1786</v>
      </c>
      <c r="G532" t="s">
        <v>867</v>
      </c>
      <c r="H532" t="s">
        <v>240</v>
      </c>
      <c r="I532" t="str">
        <f>VLOOKUP(tblSalaries[[#This Row],[Where do you work]],[1]!tblCountries[[Actual]:[Mapping]],2,FALSE)</f>
        <v>Pakistan</v>
      </c>
      <c r="J532" t="s">
        <v>789</v>
      </c>
    </row>
    <row r="533" spans="1:10" x14ac:dyDescent="0.2">
      <c r="A533" t="s">
        <v>1787</v>
      </c>
      <c r="B533" s="59">
        <v>41055.228310185186</v>
      </c>
      <c r="C533">
        <v>85000</v>
      </c>
      <c r="D533" t="s">
        <v>877</v>
      </c>
      <c r="E533">
        <f>tblSalaries[[#This Row],[clean Salary (in local currency)]]*VLOOKUP(tblSalaries[[#This Row],[Currency]],[1]!tblXrate[#Data],2,FALSE)</f>
        <v>86692.320794224041</v>
      </c>
      <c r="F533" t="s">
        <v>1788</v>
      </c>
      <c r="G533" t="s">
        <v>788</v>
      </c>
      <c r="H533" t="s">
        <v>33</v>
      </c>
      <c r="I533" t="str">
        <f>VLOOKUP(tblSalaries[[#This Row],[Where do you work]],[1]!tblCountries[[Actual]:[Mapping]],2,FALSE)</f>
        <v>Australia</v>
      </c>
      <c r="J533" t="s">
        <v>789</v>
      </c>
    </row>
    <row r="534" spans="1:10" x14ac:dyDescent="0.2">
      <c r="A534" t="s">
        <v>1789</v>
      </c>
      <c r="B534" s="59">
        <v>41055.229108796295</v>
      </c>
      <c r="C534">
        <v>450000</v>
      </c>
      <c r="D534" t="s">
        <v>824</v>
      </c>
      <c r="E534">
        <f>tblSalaries[[#This Row],[clean Salary (in local currency)]]*VLOOKUP(tblSalaries[[#This Row],[Currency]],[1]!tblXrate[#Data],2,FALSE)</f>
        <v>8013.5625093491553</v>
      </c>
      <c r="F534" t="s">
        <v>1790</v>
      </c>
      <c r="G534" t="s">
        <v>807</v>
      </c>
      <c r="H534" t="s">
        <v>117</v>
      </c>
      <c r="I534" t="str">
        <f>VLOOKUP(tblSalaries[[#This Row],[Where do you work]],[1]!tblCountries[[Actual]:[Mapping]],2,FALSE)</f>
        <v>India</v>
      </c>
      <c r="J534" t="s">
        <v>794</v>
      </c>
    </row>
    <row r="535" spans="1:10" x14ac:dyDescent="0.2">
      <c r="A535" t="s">
        <v>1791</v>
      </c>
      <c r="B535" s="59">
        <v>41055.229143518518</v>
      </c>
      <c r="C535">
        <v>43000</v>
      </c>
      <c r="D535" t="s">
        <v>786</v>
      </c>
      <c r="E535">
        <f>tblSalaries[[#This Row],[clean Salary (in local currency)]]*VLOOKUP(tblSalaries[[#This Row],[Currency]],[1]!tblXrate[#Data],2,FALSE)</f>
        <v>43000</v>
      </c>
      <c r="F535" t="s">
        <v>817</v>
      </c>
      <c r="G535" t="s">
        <v>817</v>
      </c>
      <c r="H535" t="s">
        <v>15</v>
      </c>
      <c r="I535" t="str">
        <f>VLOOKUP(tblSalaries[[#This Row],[Where do you work]],[1]!tblCountries[[Actual]:[Mapping]],2,FALSE)</f>
        <v>USA</v>
      </c>
      <c r="J535" t="s">
        <v>794</v>
      </c>
    </row>
    <row r="536" spans="1:10" x14ac:dyDescent="0.2">
      <c r="A536" t="s">
        <v>1792</v>
      </c>
      <c r="B536" s="59">
        <v>41055.229305555556</v>
      </c>
      <c r="C536">
        <v>18000</v>
      </c>
      <c r="D536" t="s">
        <v>786</v>
      </c>
      <c r="E536">
        <f>tblSalaries[[#This Row],[clean Salary (in local currency)]]*VLOOKUP(tblSalaries[[#This Row],[Currency]],[1]!tblXrate[#Data],2,FALSE)</f>
        <v>18000</v>
      </c>
      <c r="F536" t="s">
        <v>802</v>
      </c>
      <c r="G536" t="s">
        <v>802</v>
      </c>
      <c r="H536" t="s">
        <v>54</v>
      </c>
      <c r="I536" t="str">
        <f>VLOOKUP(tblSalaries[[#This Row],[Where do you work]],[1]!tblCountries[[Actual]:[Mapping]],2,FALSE)</f>
        <v>Brazil</v>
      </c>
      <c r="J536" t="s">
        <v>789</v>
      </c>
    </row>
    <row r="537" spans="1:10" x14ac:dyDescent="0.2">
      <c r="A537" t="s">
        <v>1793</v>
      </c>
      <c r="B537" s="59">
        <v>41055.229930555557</v>
      </c>
      <c r="C537">
        <v>55000</v>
      </c>
      <c r="D537" t="s">
        <v>786</v>
      </c>
      <c r="E537">
        <f>tblSalaries[[#This Row],[clean Salary (in local currency)]]*VLOOKUP(tblSalaries[[#This Row],[Currency]],[1]!tblXrate[#Data],2,FALSE)</f>
        <v>55000</v>
      </c>
      <c r="F537" t="s">
        <v>1383</v>
      </c>
      <c r="G537" t="s">
        <v>788</v>
      </c>
      <c r="H537" t="s">
        <v>15</v>
      </c>
      <c r="I537" t="str">
        <f>VLOOKUP(tblSalaries[[#This Row],[Where do you work]],[1]!tblCountries[[Actual]:[Mapping]],2,FALSE)</f>
        <v>USA</v>
      </c>
      <c r="J537" t="s">
        <v>799</v>
      </c>
    </row>
    <row r="538" spans="1:10" x14ac:dyDescent="0.2">
      <c r="A538" t="s">
        <v>1794</v>
      </c>
      <c r="B538" s="59">
        <v>41055.230150462965</v>
      </c>
      <c r="C538">
        <v>500000</v>
      </c>
      <c r="D538" t="s">
        <v>824</v>
      </c>
      <c r="E538">
        <f>tblSalaries[[#This Row],[clean Salary (in local currency)]]*VLOOKUP(tblSalaries[[#This Row],[Currency]],[1]!tblXrate[#Data],2,FALSE)</f>
        <v>8903.9583437212841</v>
      </c>
      <c r="F538" t="s">
        <v>1795</v>
      </c>
      <c r="G538" t="s">
        <v>788</v>
      </c>
      <c r="H538" t="s">
        <v>117</v>
      </c>
      <c r="I538" t="str">
        <f>VLOOKUP(tblSalaries[[#This Row],[Where do you work]],[1]!tblCountries[[Actual]:[Mapping]],2,FALSE)</f>
        <v>India</v>
      </c>
      <c r="J538" t="s">
        <v>794</v>
      </c>
    </row>
    <row r="539" spans="1:10" x14ac:dyDescent="0.2">
      <c r="A539" t="s">
        <v>1796</v>
      </c>
      <c r="B539" s="59">
        <v>41055.231747685182</v>
      </c>
      <c r="C539">
        <v>45000</v>
      </c>
      <c r="D539" t="s">
        <v>786</v>
      </c>
      <c r="E539">
        <f>tblSalaries[[#This Row],[clean Salary (in local currency)]]*VLOOKUP(tblSalaries[[#This Row],[Currency]],[1]!tblXrate[#Data],2,FALSE)</f>
        <v>45000</v>
      </c>
      <c r="F539" t="s">
        <v>1797</v>
      </c>
      <c r="G539" t="s">
        <v>836</v>
      </c>
      <c r="H539" t="s">
        <v>15</v>
      </c>
      <c r="I539" t="str">
        <f>VLOOKUP(tblSalaries[[#This Row],[Where do you work]],[1]!tblCountries[[Actual]:[Mapping]],2,FALSE)</f>
        <v>USA</v>
      </c>
      <c r="J539" t="s">
        <v>794</v>
      </c>
    </row>
    <row r="540" spans="1:10" x14ac:dyDescent="0.2">
      <c r="A540" t="s">
        <v>1798</v>
      </c>
      <c r="B540" s="59">
        <v>41055.232638888891</v>
      </c>
      <c r="C540">
        <v>50000</v>
      </c>
      <c r="D540" t="s">
        <v>786</v>
      </c>
      <c r="E540">
        <f>tblSalaries[[#This Row],[clean Salary (in local currency)]]*VLOOKUP(tblSalaries[[#This Row],[Currency]],[1]!tblXrate[#Data],2,FALSE)</f>
        <v>50000</v>
      </c>
      <c r="F540" t="s">
        <v>1799</v>
      </c>
      <c r="G540" t="s">
        <v>807</v>
      </c>
      <c r="H540" t="s">
        <v>15</v>
      </c>
      <c r="I540" t="str">
        <f>VLOOKUP(tblSalaries[[#This Row],[Where do you work]],[1]!tblCountries[[Actual]:[Mapping]],2,FALSE)</f>
        <v>USA</v>
      </c>
      <c r="J540" t="s">
        <v>789</v>
      </c>
    </row>
    <row r="541" spans="1:10" x14ac:dyDescent="0.2">
      <c r="A541" t="s">
        <v>1800</v>
      </c>
      <c r="B541" s="59">
        <v>41055.239374999997</v>
      </c>
      <c r="C541">
        <v>80000</v>
      </c>
      <c r="D541" t="s">
        <v>786</v>
      </c>
      <c r="E541">
        <f>tblSalaries[[#This Row],[clean Salary (in local currency)]]*VLOOKUP(tblSalaries[[#This Row],[Currency]],[1]!tblXrate[#Data],2,FALSE)</f>
        <v>80000</v>
      </c>
      <c r="F541" t="s">
        <v>1801</v>
      </c>
      <c r="G541" t="s">
        <v>788</v>
      </c>
      <c r="H541" t="s">
        <v>15</v>
      </c>
      <c r="I541" t="str">
        <f>VLOOKUP(tblSalaries[[#This Row],[Where do you work]],[1]!tblCountries[[Actual]:[Mapping]],2,FALSE)</f>
        <v>USA</v>
      </c>
      <c r="J541" t="s">
        <v>794</v>
      </c>
    </row>
    <row r="542" spans="1:10" x14ac:dyDescent="0.2">
      <c r="A542" t="s">
        <v>1802</v>
      </c>
      <c r="B542" s="59">
        <v>41055.240300925929</v>
      </c>
      <c r="C542">
        <v>67000</v>
      </c>
      <c r="D542" t="s">
        <v>786</v>
      </c>
      <c r="E542">
        <f>tblSalaries[[#This Row],[clean Salary (in local currency)]]*VLOOKUP(tblSalaries[[#This Row],[Currency]],[1]!tblXrate[#Data],2,FALSE)</f>
        <v>67000</v>
      </c>
      <c r="F542" t="s">
        <v>1396</v>
      </c>
      <c r="G542" t="s">
        <v>788</v>
      </c>
      <c r="H542" t="s">
        <v>15</v>
      </c>
      <c r="I542" t="str">
        <f>VLOOKUP(tblSalaries[[#This Row],[Where do you work]],[1]!tblCountries[[Actual]:[Mapping]],2,FALSE)</f>
        <v>USA</v>
      </c>
      <c r="J542" t="s">
        <v>789</v>
      </c>
    </row>
    <row r="543" spans="1:10" x14ac:dyDescent="0.2">
      <c r="A543" t="s">
        <v>1803</v>
      </c>
      <c r="B543" s="59">
        <v>41055.240763888891</v>
      </c>
      <c r="C543">
        <v>111000</v>
      </c>
      <c r="D543" t="s">
        <v>786</v>
      </c>
      <c r="E543">
        <f>tblSalaries[[#This Row],[clean Salary (in local currency)]]*VLOOKUP(tblSalaries[[#This Row],[Currency]],[1]!tblXrate[#Data],2,FALSE)</f>
        <v>111000</v>
      </c>
      <c r="F543" t="s">
        <v>1440</v>
      </c>
      <c r="G543" t="s">
        <v>788</v>
      </c>
      <c r="H543" t="s">
        <v>133</v>
      </c>
      <c r="I543" t="str">
        <f>VLOOKUP(tblSalaries[[#This Row],[Where do you work]],[1]!tblCountries[[Actual]:[Mapping]],2,FALSE)</f>
        <v>Japan</v>
      </c>
      <c r="J543" t="s">
        <v>794</v>
      </c>
    </row>
    <row r="544" spans="1:10" x14ac:dyDescent="0.2">
      <c r="A544" t="s">
        <v>1804</v>
      </c>
      <c r="B544" s="59">
        <v>41055.241782407407</v>
      </c>
      <c r="C544">
        <v>120000</v>
      </c>
      <c r="D544" t="s">
        <v>786</v>
      </c>
      <c r="E544">
        <f>tblSalaries[[#This Row],[clean Salary (in local currency)]]*VLOOKUP(tblSalaries[[#This Row],[Currency]],[1]!tblXrate[#Data],2,FALSE)</f>
        <v>120000</v>
      </c>
      <c r="F544" t="s">
        <v>963</v>
      </c>
      <c r="G544" t="s">
        <v>813</v>
      </c>
      <c r="H544" t="s">
        <v>15</v>
      </c>
      <c r="I544" t="str">
        <f>VLOOKUP(tblSalaries[[#This Row],[Where do you work]],[1]!tblCountries[[Actual]:[Mapping]],2,FALSE)</f>
        <v>USA</v>
      </c>
      <c r="J544" t="s">
        <v>789</v>
      </c>
    </row>
    <row r="545" spans="1:11" x14ac:dyDescent="0.2">
      <c r="A545" t="s">
        <v>1805</v>
      </c>
      <c r="B545" s="59">
        <v>41055.241805555554</v>
      </c>
      <c r="C545">
        <v>20000</v>
      </c>
      <c r="D545" t="s">
        <v>861</v>
      </c>
      <c r="E545">
        <f>tblSalaries[[#This Row],[clean Salary (in local currency)]]*VLOOKUP(tblSalaries[[#This Row],[Currency]],[1]!tblXrate[#Data],2,FALSE)</f>
        <v>31523.565441345683</v>
      </c>
      <c r="F545" t="s">
        <v>1806</v>
      </c>
      <c r="G545" t="s">
        <v>867</v>
      </c>
      <c r="H545" t="s">
        <v>863</v>
      </c>
      <c r="I545" t="str">
        <f>VLOOKUP(tblSalaries[[#This Row],[Where do you work]],[1]!tblCountries[[Actual]:[Mapping]],2,FALSE)</f>
        <v>UK</v>
      </c>
      <c r="J545" t="s">
        <v>789</v>
      </c>
    </row>
    <row r="546" spans="1:11" x14ac:dyDescent="0.2">
      <c r="A546" t="s">
        <v>1807</v>
      </c>
      <c r="B546" s="59">
        <v>41055.243298611109</v>
      </c>
      <c r="C546">
        <v>77000</v>
      </c>
      <c r="D546" t="s">
        <v>877</v>
      </c>
      <c r="E546">
        <f>tblSalaries[[#This Row],[clean Salary (in local currency)]]*VLOOKUP(tblSalaries[[#This Row],[Currency]],[1]!tblXrate[#Data],2,FALSE)</f>
        <v>78533.043543002947</v>
      </c>
      <c r="F546" t="s">
        <v>1808</v>
      </c>
      <c r="G546" t="s">
        <v>788</v>
      </c>
      <c r="H546" t="s">
        <v>33</v>
      </c>
      <c r="I546" t="str">
        <f>VLOOKUP(tblSalaries[[#This Row],[Where do you work]],[1]!tblCountries[[Actual]:[Mapping]],2,FALSE)</f>
        <v>Australia</v>
      </c>
      <c r="J546" t="s">
        <v>799</v>
      </c>
    </row>
    <row r="547" spans="1:11" x14ac:dyDescent="0.2">
      <c r="A547" t="s">
        <v>1809</v>
      </c>
      <c r="B547" s="59">
        <v>41055.243321759262</v>
      </c>
      <c r="C547">
        <v>60000</v>
      </c>
      <c r="D547" t="s">
        <v>786</v>
      </c>
      <c r="E547">
        <f>tblSalaries[[#This Row],[clean Salary (in local currency)]]*VLOOKUP(tblSalaries[[#This Row],[Currency]],[1]!tblXrate[#Data],2,FALSE)</f>
        <v>60000</v>
      </c>
      <c r="F547" t="s">
        <v>1810</v>
      </c>
      <c r="G547" t="s">
        <v>820</v>
      </c>
      <c r="H547" t="s">
        <v>15</v>
      </c>
      <c r="I547" t="str">
        <f>VLOOKUP(tblSalaries[[#This Row],[Where do you work]],[1]!tblCountries[[Actual]:[Mapping]],2,FALSE)</f>
        <v>USA</v>
      </c>
      <c r="J547" t="s">
        <v>808</v>
      </c>
    </row>
    <row r="548" spans="1:11" x14ac:dyDescent="0.2">
      <c r="A548" t="s">
        <v>1811</v>
      </c>
      <c r="B548" s="59">
        <v>41055.243356481478</v>
      </c>
      <c r="C548">
        <v>35000</v>
      </c>
      <c r="D548" t="s">
        <v>786</v>
      </c>
      <c r="E548">
        <f>tblSalaries[[#This Row],[clean Salary (in local currency)]]*VLOOKUP(tblSalaries[[#This Row],[Currency]],[1]!tblXrate[#Data],2,FALSE)</f>
        <v>35000</v>
      </c>
      <c r="F548" t="s">
        <v>788</v>
      </c>
      <c r="G548" t="s">
        <v>788</v>
      </c>
      <c r="H548" t="s">
        <v>15</v>
      </c>
      <c r="I548" t="str">
        <f>VLOOKUP(tblSalaries[[#This Row],[Where do you work]],[1]!tblCountries[[Actual]:[Mapping]],2,FALSE)</f>
        <v>USA</v>
      </c>
      <c r="J548" t="s">
        <v>799</v>
      </c>
    </row>
    <row r="549" spans="1:11" x14ac:dyDescent="0.2">
      <c r="A549" t="s">
        <v>1812</v>
      </c>
      <c r="B549" s="59">
        <v>41055.244988425926</v>
      </c>
      <c r="C549">
        <v>50000</v>
      </c>
      <c r="D549" t="s">
        <v>805</v>
      </c>
      <c r="E549">
        <f>tblSalaries[[#This Row],[clean Salary (in local currency)]]*VLOOKUP(tblSalaries[[#This Row],[Currency]],[1]!tblXrate[#Data],2,FALSE)</f>
        <v>63519.971949580387</v>
      </c>
      <c r="F549" t="s">
        <v>1813</v>
      </c>
      <c r="G549" t="s">
        <v>807</v>
      </c>
      <c r="H549" t="s">
        <v>244</v>
      </c>
      <c r="I549" t="str">
        <f>VLOOKUP(tblSalaries[[#This Row],[Where do you work]],[1]!tblCountries[[Actual]:[Mapping]],2,FALSE)</f>
        <v>Panama</v>
      </c>
      <c r="J549" t="s">
        <v>799</v>
      </c>
    </row>
    <row r="550" spans="1:11" x14ac:dyDescent="0.2">
      <c r="A550" t="s">
        <v>1814</v>
      </c>
      <c r="B550" s="59">
        <v>41055.246782407405</v>
      </c>
      <c r="C550">
        <v>54000</v>
      </c>
      <c r="D550" t="s">
        <v>786</v>
      </c>
      <c r="E550">
        <f>tblSalaries[[#This Row],[clean Salary (in local currency)]]*VLOOKUP(tblSalaries[[#This Row],[Currency]],[1]!tblXrate[#Data],2,FALSE)</f>
        <v>54000</v>
      </c>
      <c r="F550" t="s">
        <v>1815</v>
      </c>
      <c r="G550" t="s">
        <v>820</v>
      </c>
      <c r="H550" t="s">
        <v>15</v>
      </c>
      <c r="I550" t="str">
        <f>VLOOKUP(tblSalaries[[#This Row],[Where do you work]],[1]!tblCountries[[Actual]:[Mapping]],2,FALSE)</f>
        <v>USA</v>
      </c>
      <c r="J550" t="s">
        <v>794</v>
      </c>
      <c r="K550">
        <v>5</v>
      </c>
    </row>
    <row r="551" spans="1:11" x14ac:dyDescent="0.2">
      <c r="A551" t="s">
        <v>1816</v>
      </c>
      <c r="B551" s="59">
        <v>41055.251354166663</v>
      </c>
      <c r="C551">
        <v>15600</v>
      </c>
      <c r="D551" t="s">
        <v>786</v>
      </c>
      <c r="E551">
        <f>tblSalaries[[#This Row],[clean Salary (in local currency)]]*VLOOKUP(tblSalaries[[#This Row],[Currency]],[1]!tblXrate[#Data],2,FALSE)</f>
        <v>15600</v>
      </c>
      <c r="F551" t="s">
        <v>1817</v>
      </c>
      <c r="G551" t="s">
        <v>792</v>
      </c>
      <c r="H551" t="s">
        <v>55</v>
      </c>
      <c r="I551" t="str">
        <f>VLOOKUP(tblSalaries[[#This Row],[Where do you work]],[1]!tblCountries[[Actual]:[Mapping]],2,FALSE)</f>
        <v>Brazil</v>
      </c>
      <c r="J551" t="s">
        <v>789</v>
      </c>
      <c r="K551">
        <v>20</v>
      </c>
    </row>
    <row r="552" spans="1:11" x14ac:dyDescent="0.2">
      <c r="A552" t="s">
        <v>1818</v>
      </c>
      <c r="B552" s="59">
        <v>41055.25582175926</v>
      </c>
      <c r="C552">
        <v>35000</v>
      </c>
      <c r="D552" t="s">
        <v>786</v>
      </c>
      <c r="E552">
        <f>tblSalaries[[#This Row],[clean Salary (in local currency)]]*VLOOKUP(tblSalaries[[#This Row],[Currency]],[1]!tblXrate[#Data],2,FALSE)</f>
        <v>35000</v>
      </c>
      <c r="F552" t="s">
        <v>1819</v>
      </c>
      <c r="G552" t="s">
        <v>788</v>
      </c>
      <c r="H552" t="s">
        <v>15</v>
      </c>
      <c r="I552" t="str">
        <f>VLOOKUP(tblSalaries[[#This Row],[Where do you work]],[1]!tblCountries[[Actual]:[Mapping]],2,FALSE)</f>
        <v>USA</v>
      </c>
      <c r="J552" t="s">
        <v>808</v>
      </c>
      <c r="K552">
        <v>7</v>
      </c>
    </row>
    <row r="553" spans="1:11" x14ac:dyDescent="0.2">
      <c r="A553" t="s">
        <v>1820</v>
      </c>
      <c r="B553" s="59">
        <v>41055.257037037038</v>
      </c>
      <c r="C553">
        <v>188000</v>
      </c>
      <c r="D553" t="s">
        <v>786</v>
      </c>
      <c r="E553">
        <f>tblSalaries[[#This Row],[clean Salary (in local currency)]]*VLOOKUP(tblSalaries[[#This Row],[Currency]],[1]!tblXrate[#Data],2,FALSE)</f>
        <v>188000</v>
      </c>
      <c r="F553" t="s">
        <v>1821</v>
      </c>
      <c r="G553" t="s">
        <v>813</v>
      </c>
      <c r="H553" t="s">
        <v>15</v>
      </c>
      <c r="I553" t="str">
        <f>VLOOKUP(tblSalaries[[#This Row],[Where do you work]],[1]!tblCountries[[Actual]:[Mapping]],2,FALSE)</f>
        <v>USA</v>
      </c>
      <c r="J553" t="s">
        <v>808</v>
      </c>
      <c r="K553">
        <v>20</v>
      </c>
    </row>
    <row r="554" spans="1:11" x14ac:dyDescent="0.2">
      <c r="A554" t="s">
        <v>1822</v>
      </c>
      <c r="B554" s="59">
        <v>41055.259872685187</v>
      </c>
      <c r="C554">
        <v>27500</v>
      </c>
      <c r="D554" t="s">
        <v>786</v>
      </c>
      <c r="E554">
        <f>tblSalaries[[#This Row],[clean Salary (in local currency)]]*VLOOKUP(tblSalaries[[#This Row],[Currency]],[1]!tblXrate[#Data],2,FALSE)</f>
        <v>27500</v>
      </c>
      <c r="F554" t="s">
        <v>1737</v>
      </c>
      <c r="G554" t="s">
        <v>788</v>
      </c>
      <c r="H554" t="s">
        <v>15</v>
      </c>
      <c r="I554" t="str">
        <f>VLOOKUP(tblSalaries[[#This Row],[Where do you work]],[1]!tblCountries[[Actual]:[Mapping]],2,FALSE)</f>
        <v>USA</v>
      </c>
      <c r="J554" t="s">
        <v>794</v>
      </c>
      <c r="K554">
        <v>1</v>
      </c>
    </row>
    <row r="555" spans="1:11" x14ac:dyDescent="0.2">
      <c r="A555" t="s">
        <v>1823</v>
      </c>
      <c r="B555" s="59">
        <v>41055.264328703706</v>
      </c>
      <c r="C555">
        <v>140000</v>
      </c>
      <c r="D555" t="s">
        <v>786</v>
      </c>
      <c r="E555">
        <f>tblSalaries[[#This Row],[clean Salary (in local currency)]]*VLOOKUP(tblSalaries[[#This Row],[Currency]],[1]!tblXrate[#Data],2,FALSE)</f>
        <v>140000</v>
      </c>
      <c r="F555" t="s">
        <v>1366</v>
      </c>
      <c r="G555" t="s">
        <v>792</v>
      </c>
      <c r="H555" t="s">
        <v>15</v>
      </c>
      <c r="I555" t="str">
        <f>VLOOKUP(tblSalaries[[#This Row],[Where do you work]],[1]!tblCountries[[Actual]:[Mapping]],2,FALSE)</f>
        <v>USA</v>
      </c>
      <c r="J555" t="s">
        <v>799</v>
      </c>
      <c r="K555">
        <v>10</v>
      </c>
    </row>
    <row r="556" spans="1:11" x14ac:dyDescent="0.2">
      <c r="A556" t="s">
        <v>1824</v>
      </c>
      <c r="B556" s="59">
        <v>41055.266701388886</v>
      </c>
      <c r="C556">
        <v>55000</v>
      </c>
      <c r="D556" t="s">
        <v>805</v>
      </c>
      <c r="E556">
        <f>tblSalaries[[#This Row],[clean Salary (in local currency)]]*VLOOKUP(tblSalaries[[#This Row],[Currency]],[1]!tblXrate[#Data],2,FALSE)</f>
        <v>69871.969144538423</v>
      </c>
      <c r="F556" t="s">
        <v>1788</v>
      </c>
      <c r="G556" t="s">
        <v>788</v>
      </c>
      <c r="H556" t="s">
        <v>228</v>
      </c>
      <c r="I556" t="str">
        <f>VLOOKUP(tblSalaries[[#This Row],[Where do you work]],[1]!tblCountries[[Actual]:[Mapping]],2,FALSE)</f>
        <v>Netherlands</v>
      </c>
      <c r="J556" t="s">
        <v>794</v>
      </c>
      <c r="K556">
        <v>6</v>
      </c>
    </row>
    <row r="557" spans="1:11" x14ac:dyDescent="0.2">
      <c r="A557" t="s">
        <v>1825</v>
      </c>
      <c r="B557" s="59">
        <v>41055.278460648151</v>
      </c>
      <c r="C557">
        <v>45000</v>
      </c>
      <c r="D557" t="s">
        <v>786</v>
      </c>
      <c r="E557">
        <f>tblSalaries[[#This Row],[clean Salary (in local currency)]]*VLOOKUP(tblSalaries[[#This Row],[Currency]],[1]!tblXrate[#Data],2,FALSE)</f>
        <v>45000</v>
      </c>
      <c r="F557" t="s">
        <v>1826</v>
      </c>
      <c r="G557" t="s">
        <v>788</v>
      </c>
      <c r="H557" t="s">
        <v>15</v>
      </c>
      <c r="I557" t="str">
        <f>VLOOKUP(tblSalaries[[#This Row],[Where do you work]],[1]!tblCountries[[Actual]:[Mapping]],2,FALSE)</f>
        <v>USA</v>
      </c>
      <c r="J557" t="s">
        <v>789</v>
      </c>
      <c r="K557">
        <v>2</v>
      </c>
    </row>
    <row r="558" spans="1:11" x14ac:dyDescent="0.2">
      <c r="A558" t="s">
        <v>1827</v>
      </c>
      <c r="B558" s="59">
        <v>41055.28197916667</v>
      </c>
      <c r="C558">
        <v>95000</v>
      </c>
      <c r="D558" t="s">
        <v>786</v>
      </c>
      <c r="E558">
        <f>tblSalaries[[#This Row],[clean Salary (in local currency)]]*VLOOKUP(tblSalaries[[#This Row],[Currency]],[1]!tblXrate[#Data],2,FALSE)</f>
        <v>95000</v>
      </c>
      <c r="F558" t="s">
        <v>1070</v>
      </c>
      <c r="G558" t="s">
        <v>788</v>
      </c>
      <c r="H558" t="s">
        <v>33</v>
      </c>
      <c r="I558" t="str">
        <f>VLOOKUP(tblSalaries[[#This Row],[Where do you work]],[1]!tblCountries[[Actual]:[Mapping]],2,FALSE)</f>
        <v>Australia</v>
      </c>
      <c r="J558" t="s">
        <v>799</v>
      </c>
      <c r="K558">
        <v>11</v>
      </c>
    </row>
    <row r="559" spans="1:11" x14ac:dyDescent="0.2">
      <c r="A559" t="s">
        <v>1828</v>
      </c>
      <c r="B559" s="59">
        <v>41055.282638888886</v>
      </c>
      <c r="C559">
        <v>155000</v>
      </c>
      <c r="D559" t="s">
        <v>877</v>
      </c>
      <c r="E559">
        <f>tblSalaries[[#This Row],[clean Salary (in local currency)]]*VLOOKUP(tblSalaries[[#This Row],[Currency]],[1]!tblXrate[#Data],2,FALSE)</f>
        <v>158085.99674240855</v>
      </c>
      <c r="F559" t="s">
        <v>1829</v>
      </c>
      <c r="G559" t="s">
        <v>807</v>
      </c>
      <c r="H559" t="s">
        <v>33</v>
      </c>
      <c r="I559" t="str">
        <f>VLOOKUP(tblSalaries[[#This Row],[Where do you work]],[1]!tblCountries[[Actual]:[Mapping]],2,FALSE)</f>
        <v>Australia</v>
      </c>
      <c r="J559" t="s">
        <v>789</v>
      </c>
      <c r="K559">
        <v>20</v>
      </c>
    </row>
    <row r="560" spans="1:11" x14ac:dyDescent="0.2">
      <c r="A560" t="s">
        <v>1830</v>
      </c>
      <c r="B560" s="59">
        <v>41055.283321759256</v>
      </c>
      <c r="C560">
        <v>80000</v>
      </c>
      <c r="D560" t="s">
        <v>1831</v>
      </c>
      <c r="E560">
        <f>tblSalaries[[#This Row],[clean Salary (in local currency)]]*VLOOKUP(tblSalaries[[#This Row],[Currency]],[1]!tblXrate[#Data],2,FALSE)</f>
        <v>63807.047488395103</v>
      </c>
      <c r="F560" t="s">
        <v>1832</v>
      </c>
      <c r="G560" t="s">
        <v>788</v>
      </c>
      <c r="H560" t="s">
        <v>225</v>
      </c>
      <c r="I560" t="str">
        <f>VLOOKUP(tblSalaries[[#This Row],[Where do you work]],[1]!tblCountries[[Actual]:[Mapping]],2,FALSE)</f>
        <v>New Zealand</v>
      </c>
      <c r="J560" t="s">
        <v>789</v>
      </c>
      <c r="K560">
        <v>23</v>
      </c>
    </row>
    <row r="561" spans="1:11" x14ac:dyDescent="0.2">
      <c r="A561" t="s">
        <v>1833</v>
      </c>
      <c r="B561" s="59">
        <v>41055.284988425927</v>
      </c>
      <c r="C561">
        <v>38000</v>
      </c>
      <c r="D561" t="s">
        <v>786</v>
      </c>
      <c r="E561">
        <f>tblSalaries[[#This Row],[clean Salary (in local currency)]]*VLOOKUP(tblSalaries[[#This Row],[Currency]],[1]!tblXrate[#Data],2,FALSE)</f>
        <v>38000</v>
      </c>
      <c r="F561" t="s">
        <v>1834</v>
      </c>
      <c r="G561" t="s">
        <v>788</v>
      </c>
      <c r="H561" t="s">
        <v>15</v>
      </c>
      <c r="I561" t="str">
        <f>VLOOKUP(tblSalaries[[#This Row],[Where do you work]],[1]!tblCountries[[Actual]:[Mapping]],2,FALSE)</f>
        <v>USA</v>
      </c>
      <c r="J561" t="s">
        <v>794</v>
      </c>
      <c r="K561">
        <v>11</v>
      </c>
    </row>
    <row r="562" spans="1:11" x14ac:dyDescent="0.2">
      <c r="A562" t="s">
        <v>1835</v>
      </c>
      <c r="B562" s="59">
        <v>41055.287962962961</v>
      </c>
      <c r="C562">
        <v>90000</v>
      </c>
      <c r="D562" t="s">
        <v>786</v>
      </c>
      <c r="E562">
        <f>tblSalaries[[#This Row],[clean Salary (in local currency)]]*VLOOKUP(tblSalaries[[#This Row],[Currency]],[1]!tblXrate[#Data],2,FALSE)</f>
        <v>90000</v>
      </c>
      <c r="F562" t="s">
        <v>1836</v>
      </c>
      <c r="G562" t="s">
        <v>807</v>
      </c>
      <c r="H562" t="s">
        <v>15</v>
      </c>
      <c r="I562" t="str">
        <f>VLOOKUP(tblSalaries[[#This Row],[Where do you work]],[1]!tblCountries[[Actual]:[Mapping]],2,FALSE)</f>
        <v>USA</v>
      </c>
      <c r="J562" t="s">
        <v>789</v>
      </c>
      <c r="K562">
        <v>6</v>
      </c>
    </row>
    <row r="563" spans="1:11" x14ac:dyDescent="0.2">
      <c r="A563" t="s">
        <v>1837</v>
      </c>
      <c r="B563" s="59">
        <v>41055.289687500001</v>
      </c>
      <c r="C563">
        <v>28800</v>
      </c>
      <c r="D563" t="s">
        <v>861</v>
      </c>
      <c r="E563">
        <f>tblSalaries[[#This Row],[clean Salary (in local currency)]]*VLOOKUP(tblSalaries[[#This Row],[Currency]],[1]!tblXrate[#Data],2,FALSE)</f>
        <v>45393.934235537781</v>
      </c>
      <c r="F563" t="s">
        <v>1780</v>
      </c>
      <c r="G563" t="s">
        <v>807</v>
      </c>
      <c r="H563" t="s">
        <v>863</v>
      </c>
      <c r="I563" t="str">
        <f>VLOOKUP(tblSalaries[[#This Row],[Where do you work]],[1]!tblCountries[[Actual]:[Mapping]],2,FALSE)</f>
        <v>UK</v>
      </c>
      <c r="J563" t="s">
        <v>789</v>
      </c>
      <c r="K563">
        <v>27</v>
      </c>
    </row>
    <row r="564" spans="1:11" x14ac:dyDescent="0.2">
      <c r="A564" t="s">
        <v>1838</v>
      </c>
      <c r="B564" s="59">
        <v>41055.29247685185</v>
      </c>
      <c r="C564">
        <v>21000</v>
      </c>
      <c r="D564" t="s">
        <v>861</v>
      </c>
      <c r="E564">
        <f>tblSalaries[[#This Row],[clean Salary (in local currency)]]*VLOOKUP(tblSalaries[[#This Row],[Currency]],[1]!tblXrate[#Data],2,FALSE)</f>
        <v>33099.743713412965</v>
      </c>
      <c r="F564" t="s">
        <v>919</v>
      </c>
      <c r="G564" t="s">
        <v>788</v>
      </c>
      <c r="H564" t="s">
        <v>863</v>
      </c>
      <c r="I564" t="str">
        <f>VLOOKUP(tblSalaries[[#This Row],[Where do you work]],[1]!tblCountries[[Actual]:[Mapping]],2,FALSE)</f>
        <v>UK</v>
      </c>
      <c r="J564" t="s">
        <v>794</v>
      </c>
      <c r="K564">
        <v>10</v>
      </c>
    </row>
    <row r="565" spans="1:11" x14ac:dyDescent="0.2">
      <c r="A565" t="s">
        <v>1839</v>
      </c>
      <c r="B565" s="59">
        <v>41055.296412037038</v>
      </c>
      <c r="C565">
        <v>4285</v>
      </c>
      <c r="D565" t="s">
        <v>786</v>
      </c>
      <c r="E565">
        <f>tblSalaries[[#This Row],[clean Salary (in local currency)]]*VLOOKUP(tblSalaries[[#This Row],[Currency]],[1]!tblXrate[#Data],2,FALSE)</f>
        <v>4285</v>
      </c>
      <c r="F565" t="s">
        <v>1840</v>
      </c>
      <c r="G565" t="s">
        <v>788</v>
      </c>
      <c r="H565" t="s">
        <v>117</v>
      </c>
      <c r="I565" t="str">
        <f>VLOOKUP(tblSalaries[[#This Row],[Where do you work]],[1]!tblCountries[[Actual]:[Mapping]],2,FALSE)</f>
        <v>India</v>
      </c>
      <c r="J565" t="s">
        <v>794</v>
      </c>
      <c r="K565">
        <v>6</v>
      </c>
    </row>
    <row r="566" spans="1:11" x14ac:dyDescent="0.2">
      <c r="A566" t="s">
        <v>1841</v>
      </c>
      <c r="B566" s="59">
        <v>41055.301412037035</v>
      </c>
      <c r="C566">
        <v>6000</v>
      </c>
      <c r="D566" t="s">
        <v>786</v>
      </c>
      <c r="E566">
        <f>tblSalaries[[#This Row],[clean Salary (in local currency)]]*VLOOKUP(tblSalaries[[#This Row],[Currency]],[1]!tblXrate[#Data],2,FALSE)</f>
        <v>6000</v>
      </c>
      <c r="F566" t="s">
        <v>1842</v>
      </c>
      <c r="G566" t="s">
        <v>807</v>
      </c>
      <c r="H566" t="s">
        <v>111</v>
      </c>
      <c r="I566" t="str">
        <f>VLOOKUP(tblSalaries[[#This Row],[Where do you work]],[1]!tblCountries[[Actual]:[Mapping]],2,FALSE)</f>
        <v>Guyana</v>
      </c>
      <c r="J566" t="s">
        <v>808</v>
      </c>
      <c r="K566">
        <v>20</v>
      </c>
    </row>
    <row r="567" spans="1:11" x14ac:dyDescent="0.2">
      <c r="A567" t="s">
        <v>1843</v>
      </c>
      <c r="B567" s="59">
        <v>41055.30263888889</v>
      </c>
      <c r="C567">
        <v>22000</v>
      </c>
      <c r="D567" t="s">
        <v>877</v>
      </c>
      <c r="E567">
        <f>tblSalaries[[#This Row],[clean Salary (in local currency)]]*VLOOKUP(tblSalaries[[#This Row],[Currency]],[1]!tblXrate[#Data],2,FALSE)</f>
        <v>22438.012440857987</v>
      </c>
      <c r="F567" t="s">
        <v>919</v>
      </c>
      <c r="G567" t="s">
        <v>788</v>
      </c>
      <c r="H567" t="s">
        <v>33</v>
      </c>
      <c r="I567" t="str">
        <f>VLOOKUP(tblSalaries[[#This Row],[Where do you work]],[1]!tblCountries[[Actual]:[Mapping]],2,FALSE)</f>
        <v>Australia</v>
      </c>
      <c r="J567" t="s">
        <v>789</v>
      </c>
      <c r="K567">
        <v>8</v>
      </c>
    </row>
    <row r="568" spans="1:11" x14ac:dyDescent="0.2">
      <c r="A568" t="s">
        <v>1844</v>
      </c>
      <c r="B568" s="59">
        <v>41055.304826388892</v>
      </c>
      <c r="C568">
        <v>90000</v>
      </c>
      <c r="D568" t="s">
        <v>786</v>
      </c>
      <c r="E568">
        <f>tblSalaries[[#This Row],[clean Salary (in local currency)]]*VLOOKUP(tblSalaries[[#This Row],[Currency]],[1]!tblXrate[#Data],2,FALSE)</f>
        <v>90000</v>
      </c>
      <c r="F568" t="s">
        <v>807</v>
      </c>
      <c r="G568" t="s">
        <v>807</v>
      </c>
      <c r="H568" t="s">
        <v>15</v>
      </c>
      <c r="I568" t="str">
        <f>VLOOKUP(tblSalaries[[#This Row],[Where do you work]],[1]!tblCountries[[Actual]:[Mapping]],2,FALSE)</f>
        <v>USA</v>
      </c>
      <c r="J568" t="s">
        <v>799</v>
      </c>
      <c r="K568">
        <v>15</v>
      </c>
    </row>
    <row r="569" spans="1:11" x14ac:dyDescent="0.2">
      <c r="A569" t="s">
        <v>1845</v>
      </c>
      <c r="B569" s="59">
        <v>41055.307766203703</v>
      </c>
      <c r="C569">
        <v>150000</v>
      </c>
      <c r="D569" t="s">
        <v>786</v>
      </c>
      <c r="E569">
        <f>tblSalaries[[#This Row],[clean Salary (in local currency)]]*VLOOKUP(tblSalaries[[#This Row],[Currency]],[1]!tblXrate[#Data],2,FALSE)</f>
        <v>150000</v>
      </c>
      <c r="F569" t="s">
        <v>812</v>
      </c>
      <c r="G569" t="s">
        <v>813</v>
      </c>
      <c r="H569" t="s">
        <v>15</v>
      </c>
      <c r="I569" t="str">
        <f>VLOOKUP(tblSalaries[[#This Row],[Where do you work]],[1]!tblCountries[[Actual]:[Mapping]],2,FALSE)</f>
        <v>USA</v>
      </c>
      <c r="J569" t="s">
        <v>789</v>
      </c>
      <c r="K569">
        <v>22</v>
      </c>
    </row>
    <row r="570" spans="1:11" x14ac:dyDescent="0.2">
      <c r="A570" t="s">
        <v>1846</v>
      </c>
      <c r="B570" s="59">
        <v>41055.314108796294</v>
      </c>
      <c r="C570">
        <v>130000</v>
      </c>
      <c r="D570" t="s">
        <v>877</v>
      </c>
      <c r="E570">
        <f>tblSalaries[[#This Row],[clean Salary (in local currency)]]*VLOOKUP(tblSalaries[[#This Row],[Currency]],[1]!tblXrate[#Data],2,FALSE)</f>
        <v>132588.25533234264</v>
      </c>
      <c r="F570" t="s">
        <v>817</v>
      </c>
      <c r="G570" t="s">
        <v>817</v>
      </c>
      <c r="H570" t="s">
        <v>33</v>
      </c>
      <c r="I570" t="str">
        <f>VLOOKUP(tblSalaries[[#This Row],[Where do you work]],[1]!tblCountries[[Actual]:[Mapping]],2,FALSE)</f>
        <v>Australia</v>
      </c>
      <c r="J570" t="s">
        <v>799</v>
      </c>
      <c r="K570">
        <v>27</v>
      </c>
    </row>
    <row r="571" spans="1:11" x14ac:dyDescent="0.2">
      <c r="A571" t="s">
        <v>1847</v>
      </c>
      <c r="B571" s="59">
        <v>41055.316932870373</v>
      </c>
      <c r="C571">
        <v>45000</v>
      </c>
      <c r="D571" t="s">
        <v>786</v>
      </c>
      <c r="E571">
        <f>tblSalaries[[#This Row],[clean Salary (in local currency)]]*VLOOKUP(tblSalaries[[#This Row],[Currency]],[1]!tblXrate[#Data],2,FALSE)</f>
        <v>45000</v>
      </c>
      <c r="F571" t="s">
        <v>827</v>
      </c>
      <c r="G571" t="s">
        <v>788</v>
      </c>
      <c r="H571" t="s">
        <v>15</v>
      </c>
      <c r="I571" t="str">
        <f>VLOOKUP(tblSalaries[[#This Row],[Where do you work]],[1]!tblCountries[[Actual]:[Mapping]],2,FALSE)</f>
        <v>USA</v>
      </c>
      <c r="J571" t="s">
        <v>789</v>
      </c>
      <c r="K571">
        <v>3</v>
      </c>
    </row>
    <row r="572" spans="1:11" x14ac:dyDescent="0.2">
      <c r="A572" t="s">
        <v>1848</v>
      </c>
      <c r="B572" s="59">
        <v>41055.317974537036</v>
      </c>
      <c r="C572">
        <v>50000</v>
      </c>
      <c r="D572" t="s">
        <v>786</v>
      </c>
      <c r="E572">
        <f>tblSalaries[[#This Row],[clean Salary (in local currency)]]*VLOOKUP(tblSalaries[[#This Row],[Currency]],[1]!tblXrate[#Data],2,FALSE)</f>
        <v>50000</v>
      </c>
      <c r="F572" t="s">
        <v>1815</v>
      </c>
      <c r="G572" t="s">
        <v>820</v>
      </c>
      <c r="H572" t="s">
        <v>15</v>
      </c>
      <c r="I572" t="str">
        <f>VLOOKUP(tblSalaries[[#This Row],[Where do you work]],[1]!tblCountries[[Actual]:[Mapping]],2,FALSE)</f>
        <v>USA</v>
      </c>
      <c r="J572" t="s">
        <v>799</v>
      </c>
      <c r="K572">
        <v>10</v>
      </c>
    </row>
    <row r="573" spans="1:11" x14ac:dyDescent="0.2">
      <c r="A573" t="s">
        <v>1849</v>
      </c>
      <c r="B573" s="59">
        <v>41055.322268518517</v>
      </c>
      <c r="C573">
        <v>300000</v>
      </c>
      <c r="D573" t="s">
        <v>786</v>
      </c>
      <c r="E573">
        <f>tblSalaries[[#This Row],[clean Salary (in local currency)]]*VLOOKUP(tblSalaries[[#This Row],[Currency]],[1]!tblXrate[#Data],2,FALSE)</f>
        <v>300000</v>
      </c>
      <c r="F573" t="s">
        <v>1850</v>
      </c>
      <c r="G573" t="s">
        <v>813</v>
      </c>
      <c r="H573" t="s">
        <v>15</v>
      </c>
      <c r="I573" t="str">
        <f>VLOOKUP(tblSalaries[[#This Row],[Where do you work]],[1]!tblCountries[[Actual]:[Mapping]],2,FALSE)</f>
        <v>USA</v>
      </c>
      <c r="J573" t="s">
        <v>799</v>
      </c>
      <c r="K573">
        <v>30</v>
      </c>
    </row>
    <row r="574" spans="1:11" x14ac:dyDescent="0.2">
      <c r="A574" t="s">
        <v>1851</v>
      </c>
      <c r="B574" s="59">
        <v>41055.325335648151</v>
      </c>
      <c r="C574">
        <v>102000</v>
      </c>
      <c r="D574" t="s">
        <v>877</v>
      </c>
      <c r="E574">
        <f>tblSalaries[[#This Row],[clean Salary (in local currency)]]*VLOOKUP(tblSalaries[[#This Row],[Currency]],[1]!tblXrate[#Data],2,FALSE)</f>
        <v>104030.78495306884</v>
      </c>
      <c r="F574" t="s">
        <v>1852</v>
      </c>
      <c r="G574" t="s">
        <v>807</v>
      </c>
      <c r="H574" t="s">
        <v>33</v>
      </c>
      <c r="I574" t="str">
        <f>VLOOKUP(tblSalaries[[#This Row],[Where do you work]],[1]!tblCountries[[Actual]:[Mapping]],2,FALSE)</f>
        <v>Australia</v>
      </c>
      <c r="J574" t="s">
        <v>808</v>
      </c>
      <c r="K574">
        <v>10</v>
      </c>
    </row>
    <row r="575" spans="1:11" x14ac:dyDescent="0.2">
      <c r="A575" t="s">
        <v>1853</v>
      </c>
      <c r="B575" s="59">
        <v>41055.326967592591</v>
      </c>
      <c r="C575">
        <v>115000</v>
      </c>
      <c r="D575" t="s">
        <v>786</v>
      </c>
      <c r="E575">
        <f>tblSalaries[[#This Row],[clean Salary (in local currency)]]*VLOOKUP(tblSalaries[[#This Row],[Currency]],[1]!tblXrate[#Data],2,FALSE)</f>
        <v>115000</v>
      </c>
      <c r="F575" t="s">
        <v>1854</v>
      </c>
      <c r="G575" t="s">
        <v>807</v>
      </c>
      <c r="H575" t="s">
        <v>15</v>
      </c>
      <c r="I575" t="str">
        <f>VLOOKUP(tblSalaries[[#This Row],[Where do you work]],[1]!tblCountries[[Actual]:[Mapping]],2,FALSE)</f>
        <v>USA</v>
      </c>
      <c r="J575" t="s">
        <v>789</v>
      </c>
      <c r="K575">
        <v>15</v>
      </c>
    </row>
    <row r="576" spans="1:11" x14ac:dyDescent="0.2">
      <c r="A576" t="s">
        <v>1855</v>
      </c>
      <c r="B576" s="59">
        <v>41055.328622685185</v>
      </c>
      <c r="C576">
        <v>70000</v>
      </c>
      <c r="D576" t="s">
        <v>786</v>
      </c>
      <c r="E576">
        <f>tblSalaries[[#This Row],[clean Salary (in local currency)]]*VLOOKUP(tblSalaries[[#This Row],[Currency]],[1]!tblXrate[#Data],2,FALSE)</f>
        <v>70000</v>
      </c>
      <c r="F576" t="s">
        <v>796</v>
      </c>
      <c r="G576" t="s">
        <v>788</v>
      </c>
      <c r="H576" t="s">
        <v>15</v>
      </c>
      <c r="I576" t="str">
        <f>VLOOKUP(tblSalaries[[#This Row],[Where do you work]],[1]!tblCountries[[Actual]:[Mapping]],2,FALSE)</f>
        <v>USA</v>
      </c>
      <c r="J576" t="s">
        <v>789</v>
      </c>
      <c r="K576">
        <v>3</v>
      </c>
    </row>
    <row r="577" spans="1:11" x14ac:dyDescent="0.2">
      <c r="A577" t="s">
        <v>1856</v>
      </c>
      <c r="B577" s="59">
        <v>41055.331296296295</v>
      </c>
      <c r="C577">
        <v>106000</v>
      </c>
      <c r="D577" t="s">
        <v>877</v>
      </c>
      <c r="E577">
        <f>tblSalaries[[#This Row],[clean Salary (in local currency)]]*VLOOKUP(tblSalaries[[#This Row],[Currency]],[1]!tblXrate[#Data],2,FALSE)</f>
        <v>108110.42357867939</v>
      </c>
      <c r="F577" t="s">
        <v>1857</v>
      </c>
      <c r="G577" t="s">
        <v>820</v>
      </c>
      <c r="H577" t="s">
        <v>33</v>
      </c>
      <c r="I577" t="str">
        <f>VLOOKUP(tblSalaries[[#This Row],[Where do you work]],[1]!tblCountries[[Actual]:[Mapping]],2,FALSE)</f>
        <v>Australia</v>
      </c>
      <c r="J577" t="s">
        <v>789</v>
      </c>
      <c r="K577">
        <v>16</v>
      </c>
    </row>
    <row r="578" spans="1:11" x14ac:dyDescent="0.2">
      <c r="A578" t="s">
        <v>1858</v>
      </c>
      <c r="B578" s="59">
        <v>41055.334537037037</v>
      </c>
      <c r="C578">
        <v>75000</v>
      </c>
      <c r="D578" t="s">
        <v>786</v>
      </c>
      <c r="E578">
        <f>tblSalaries[[#This Row],[clean Salary (in local currency)]]*VLOOKUP(tblSalaries[[#This Row],[Currency]],[1]!tblXrate[#Data],2,FALSE)</f>
        <v>75000</v>
      </c>
      <c r="F578" t="s">
        <v>1859</v>
      </c>
      <c r="G578" t="s">
        <v>788</v>
      </c>
      <c r="H578" t="s">
        <v>15</v>
      </c>
      <c r="I578" t="str">
        <f>VLOOKUP(tblSalaries[[#This Row],[Where do you work]],[1]!tblCountries[[Actual]:[Mapping]],2,FALSE)</f>
        <v>USA</v>
      </c>
      <c r="J578" t="s">
        <v>799</v>
      </c>
      <c r="K578">
        <v>25</v>
      </c>
    </row>
    <row r="579" spans="1:11" x14ac:dyDescent="0.2">
      <c r="A579" t="s">
        <v>1860</v>
      </c>
      <c r="B579" s="59">
        <v>41055.337071759262</v>
      </c>
      <c r="C579">
        <v>40414</v>
      </c>
      <c r="D579" t="s">
        <v>786</v>
      </c>
      <c r="E579">
        <f>tblSalaries[[#This Row],[clean Salary (in local currency)]]*VLOOKUP(tblSalaries[[#This Row],[Currency]],[1]!tblXrate[#Data],2,FALSE)</f>
        <v>40414</v>
      </c>
      <c r="F579" t="s">
        <v>1861</v>
      </c>
      <c r="G579" t="s">
        <v>788</v>
      </c>
      <c r="H579" t="s">
        <v>15</v>
      </c>
      <c r="I579" t="str">
        <f>VLOOKUP(tblSalaries[[#This Row],[Where do you work]],[1]!tblCountries[[Actual]:[Mapping]],2,FALSE)</f>
        <v>USA</v>
      </c>
      <c r="J579" t="s">
        <v>789</v>
      </c>
      <c r="K579">
        <v>8</v>
      </c>
    </row>
    <row r="580" spans="1:11" x14ac:dyDescent="0.2">
      <c r="A580" t="s">
        <v>1862</v>
      </c>
      <c r="B580" s="59">
        <v>41055.337256944447</v>
      </c>
      <c r="C580">
        <v>65000</v>
      </c>
      <c r="D580" t="s">
        <v>786</v>
      </c>
      <c r="E580">
        <f>tblSalaries[[#This Row],[clean Salary (in local currency)]]*VLOOKUP(tblSalaries[[#This Row],[Currency]],[1]!tblXrate[#Data],2,FALSE)</f>
        <v>65000</v>
      </c>
      <c r="F580" t="s">
        <v>984</v>
      </c>
      <c r="G580" t="s">
        <v>788</v>
      </c>
      <c r="H580" t="s">
        <v>15</v>
      </c>
      <c r="I580" t="str">
        <f>VLOOKUP(tblSalaries[[#This Row],[Where do you work]],[1]!tblCountries[[Actual]:[Mapping]],2,FALSE)</f>
        <v>USA</v>
      </c>
      <c r="J580" t="s">
        <v>789</v>
      </c>
      <c r="K580">
        <v>3</v>
      </c>
    </row>
    <row r="581" spans="1:11" x14ac:dyDescent="0.2">
      <c r="A581" t="s">
        <v>1863</v>
      </c>
      <c r="B581" s="59">
        <v>41055.339386574073</v>
      </c>
      <c r="C581">
        <v>120000</v>
      </c>
      <c r="D581" t="s">
        <v>786</v>
      </c>
      <c r="E581">
        <f>tblSalaries[[#This Row],[clean Salary (in local currency)]]*VLOOKUP(tblSalaries[[#This Row],[Currency]],[1]!tblXrate[#Data],2,FALSE)</f>
        <v>120000</v>
      </c>
      <c r="F581" t="s">
        <v>1864</v>
      </c>
      <c r="G581" t="s">
        <v>788</v>
      </c>
      <c r="H581" t="s">
        <v>15</v>
      </c>
      <c r="I581" t="str">
        <f>VLOOKUP(tblSalaries[[#This Row],[Where do you work]],[1]!tblCountries[[Actual]:[Mapping]],2,FALSE)</f>
        <v>USA</v>
      </c>
      <c r="J581" t="s">
        <v>794</v>
      </c>
      <c r="K581">
        <v>7</v>
      </c>
    </row>
    <row r="582" spans="1:11" x14ac:dyDescent="0.2">
      <c r="A582" t="s">
        <v>1865</v>
      </c>
      <c r="B582" s="59">
        <v>41055.340775462966</v>
      </c>
      <c r="C582">
        <v>96000</v>
      </c>
      <c r="D582" t="s">
        <v>1866</v>
      </c>
      <c r="E582">
        <f>tblSalaries[[#This Row],[clean Salary (in local currency)]]*VLOOKUP(tblSalaries[[#This Row],[Currency]],[1]!tblXrate[#Data],2,FALSE)</f>
        <v>15092.18020692008</v>
      </c>
      <c r="F582" t="s">
        <v>1867</v>
      </c>
      <c r="G582" t="s">
        <v>817</v>
      </c>
      <c r="H582" t="s">
        <v>1868</v>
      </c>
      <c r="I582" t="str">
        <f>VLOOKUP(tblSalaries[[#This Row],[Where do you work]],[1]!tblCountries[[Actual]:[Mapping]],2,FALSE)</f>
        <v>china</v>
      </c>
      <c r="J582" t="s">
        <v>789</v>
      </c>
      <c r="K582">
        <v>10</v>
      </c>
    </row>
    <row r="583" spans="1:11" x14ac:dyDescent="0.2">
      <c r="A583" t="s">
        <v>1869</v>
      </c>
      <c r="B583" s="59">
        <v>41055.345752314817</v>
      </c>
      <c r="C583">
        <v>36000</v>
      </c>
      <c r="D583" t="s">
        <v>786</v>
      </c>
      <c r="E583">
        <f>tblSalaries[[#This Row],[clean Salary (in local currency)]]*VLOOKUP(tblSalaries[[#This Row],[Currency]],[1]!tblXrate[#Data],2,FALSE)</f>
        <v>36000</v>
      </c>
      <c r="F583" t="s">
        <v>1870</v>
      </c>
      <c r="G583" t="s">
        <v>867</v>
      </c>
      <c r="H583" t="s">
        <v>744</v>
      </c>
      <c r="I583" t="str">
        <f>VLOOKUP(tblSalaries[[#This Row],[Where do you work]],[1]!tblCountries[[Actual]:[Mapping]],2,FALSE)</f>
        <v>Russia</v>
      </c>
      <c r="J583" t="s">
        <v>794</v>
      </c>
      <c r="K583">
        <v>10</v>
      </c>
    </row>
    <row r="584" spans="1:11" x14ac:dyDescent="0.2">
      <c r="A584" t="s">
        <v>1871</v>
      </c>
      <c r="B584" s="59">
        <v>41055.354166666664</v>
      </c>
      <c r="C584">
        <v>50000</v>
      </c>
      <c r="D584" t="s">
        <v>805</v>
      </c>
      <c r="E584">
        <f>tblSalaries[[#This Row],[clean Salary (in local currency)]]*VLOOKUP(tblSalaries[[#This Row],[Currency]],[1]!tblXrate[#Data],2,FALSE)</f>
        <v>63519.971949580387</v>
      </c>
      <c r="F584" t="s">
        <v>788</v>
      </c>
      <c r="G584" t="s">
        <v>788</v>
      </c>
      <c r="H584" t="s">
        <v>72</v>
      </c>
      <c r="I584" t="str">
        <f>VLOOKUP(tblSalaries[[#This Row],[Where do you work]],[1]!tblCountries[[Actual]:[Mapping]],2,FALSE)</f>
        <v>Germany</v>
      </c>
      <c r="J584" t="s">
        <v>799</v>
      </c>
      <c r="K584">
        <v>4</v>
      </c>
    </row>
    <row r="585" spans="1:11" x14ac:dyDescent="0.2">
      <c r="A585" t="s">
        <v>1872</v>
      </c>
      <c r="B585" s="59">
        <v>41055.363275462965</v>
      </c>
      <c r="C585">
        <v>108000</v>
      </c>
      <c r="D585" t="s">
        <v>786</v>
      </c>
      <c r="E585">
        <f>tblSalaries[[#This Row],[clean Salary (in local currency)]]*VLOOKUP(tblSalaries[[#This Row],[Currency]],[1]!tblXrate[#Data],2,FALSE)</f>
        <v>108000</v>
      </c>
      <c r="F585" t="s">
        <v>1873</v>
      </c>
      <c r="G585" t="s">
        <v>867</v>
      </c>
      <c r="H585" t="s">
        <v>15</v>
      </c>
      <c r="I585" t="str">
        <f>VLOOKUP(tblSalaries[[#This Row],[Where do you work]],[1]!tblCountries[[Actual]:[Mapping]],2,FALSE)</f>
        <v>USA</v>
      </c>
      <c r="J585" t="s">
        <v>799</v>
      </c>
      <c r="K585">
        <v>7</v>
      </c>
    </row>
    <row r="586" spans="1:11" x14ac:dyDescent="0.2">
      <c r="A586" t="s">
        <v>1874</v>
      </c>
      <c r="B586" s="59">
        <v>41055.364976851852</v>
      </c>
      <c r="C586">
        <v>75000</v>
      </c>
      <c r="D586" t="s">
        <v>786</v>
      </c>
      <c r="E586">
        <f>tblSalaries[[#This Row],[clean Salary (in local currency)]]*VLOOKUP(tblSalaries[[#This Row],[Currency]],[1]!tblXrate[#Data],2,FALSE)</f>
        <v>75000</v>
      </c>
      <c r="F586" t="s">
        <v>796</v>
      </c>
      <c r="G586" t="s">
        <v>788</v>
      </c>
      <c r="H586" t="s">
        <v>15</v>
      </c>
      <c r="I586" t="str">
        <f>VLOOKUP(tblSalaries[[#This Row],[Where do you work]],[1]!tblCountries[[Actual]:[Mapping]],2,FALSE)</f>
        <v>USA</v>
      </c>
      <c r="J586" t="s">
        <v>789</v>
      </c>
      <c r="K586">
        <v>5</v>
      </c>
    </row>
    <row r="587" spans="1:11" x14ac:dyDescent="0.2">
      <c r="A587" t="s">
        <v>1875</v>
      </c>
      <c r="B587" s="59">
        <v>41055.368796296294</v>
      </c>
      <c r="C587">
        <v>400000</v>
      </c>
      <c r="D587" t="s">
        <v>824</v>
      </c>
      <c r="E587">
        <f>tblSalaries[[#This Row],[clean Salary (in local currency)]]*VLOOKUP(tblSalaries[[#This Row],[Currency]],[1]!tblXrate[#Data],2,FALSE)</f>
        <v>7123.1666749770275</v>
      </c>
      <c r="F587" t="s">
        <v>1876</v>
      </c>
      <c r="G587" t="s">
        <v>807</v>
      </c>
      <c r="H587" t="s">
        <v>117</v>
      </c>
      <c r="I587" t="str">
        <f>VLOOKUP(tblSalaries[[#This Row],[Where do you work]],[1]!tblCountries[[Actual]:[Mapping]],2,FALSE)</f>
        <v>India</v>
      </c>
      <c r="J587" t="s">
        <v>808</v>
      </c>
      <c r="K587">
        <v>3</v>
      </c>
    </row>
    <row r="588" spans="1:11" x14ac:dyDescent="0.2">
      <c r="A588" t="s">
        <v>1877</v>
      </c>
      <c r="B588" s="59">
        <v>41055.369444444441</v>
      </c>
      <c r="C588">
        <v>50000</v>
      </c>
      <c r="D588" t="s">
        <v>786</v>
      </c>
      <c r="E588">
        <f>tblSalaries[[#This Row],[clean Salary (in local currency)]]*VLOOKUP(tblSalaries[[#This Row],[Currency]],[1]!tblXrate[#Data],2,FALSE)</f>
        <v>50000</v>
      </c>
      <c r="F588" t="s">
        <v>1878</v>
      </c>
      <c r="G588" t="s">
        <v>807</v>
      </c>
      <c r="H588" t="s">
        <v>117</v>
      </c>
      <c r="I588" t="str">
        <f>VLOOKUP(tblSalaries[[#This Row],[Where do you work]],[1]!tblCountries[[Actual]:[Mapping]],2,FALSE)</f>
        <v>India</v>
      </c>
      <c r="J588" t="s">
        <v>808</v>
      </c>
      <c r="K588">
        <v>25</v>
      </c>
    </row>
    <row r="589" spans="1:11" x14ac:dyDescent="0.2">
      <c r="A589" t="s">
        <v>1879</v>
      </c>
      <c r="B589" s="59">
        <v>41055.371666666666</v>
      </c>
      <c r="C589">
        <v>45000</v>
      </c>
      <c r="D589" t="s">
        <v>786</v>
      </c>
      <c r="E589">
        <f>tblSalaries[[#This Row],[clean Salary (in local currency)]]*VLOOKUP(tblSalaries[[#This Row],[Currency]],[1]!tblXrate[#Data],2,FALSE)</f>
        <v>45000</v>
      </c>
      <c r="F589" t="s">
        <v>1880</v>
      </c>
      <c r="G589" t="s">
        <v>788</v>
      </c>
      <c r="H589" t="s">
        <v>15</v>
      </c>
      <c r="I589" t="str">
        <f>VLOOKUP(tblSalaries[[#This Row],[Where do you work]],[1]!tblCountries[[Actual]:[Mapping]],2,FALSE)</f>
        <v>USA</v>
      </c>
      <c r="J589" t="s">
        <v>789</v>
      </c>
      <c r="K589">
        <v>15</v>
      </c>
    </row>
    <row r="590" spans="1:11" x14ac:dyDescent="0.2">
      <c r="A590" t="s">
        <v>1881</v>
      </c>
      <c r="B590" s="59">
        <v>41055.371724537035</v>
      </c>
      <c r="C590">
        <v>45000</v>
      </c>
      <c r="D590" t="s">
        <v>786</v>
      </c>
      <c r="E590">
        <f>tblSalaries[[#This Row],[clean Salary (in local currency)]]*VLOOKUP(tblSalaries[[#This Row],[Currency]],[1]!tblXrate[#Data],2,FALSE)</f>
        <v>45000</v>
      </c>
      <c r="F590" t="s">
        <v>1882</v>
      </c>
      <c r="G590" t="s">
        <v>817</v>
      </c>
      <c r="H590" t="s">
        <v>15</v>
      </c>
      <c r="I590" t="str">
        <f>VLOOKUP(tblSalaries[[#This Row],[Where do you work]],[1]!tblCountries[[Actual]:[Mapping]],2,FALSE)</f>
        <v>USA</v>
      </c>
      <c r="J590" t="s">
        <v>789</v>
      </c>
      <c r="K590">
        <v>7</v>
      </c>
    </row>
    <row r="591" spans="1:11" x14ac:dyDescent="0.2">
      <c r="A591" t="s">
        <v>1883</v>
      </c>
      <c r="B591" s="59">
        <v>41055.372372685182</v>
      </c>
      <c r="C591">
        <v>90000</v>
      </c>
      <c r="D591" t="s">
        <v>786</v>
      </c>
      <c r="E591">
        <f>tblSalaries[[#This Row],[clean Salary (in local currency)]]*VLOOKUP(tblSalaries[[#This Row],[Currency]],[1]!tblXrate[#Data],2,FALSE)</f>
        <v>90000</v>
      </c>
      <c r="F591" t="s">
        <v>1884</v>
      </c>
      <c r="G591" t="s">
        <v>807</v>
      </c>
      <c r="H591" t="s">
        <v>15</v>
      </c>
      <c r="I591" t="str">
        <f>VLOOKUP(tblSalaries[[#This Row],[Where do you work]],[1]!tblCountries[[Actual]:[Mapping]],2,FALSE)</f>
        <v>USA</v>
      </c>
      <c r="J591" t="s">
        <v>799</v>
      </c>
      <c r="K591">
        <v>20</v>
      </c>
    </row>
    <row r="592" spans="1:11" x14ac:dyDescent="0.2">
      <c r="A592" t="s">
        <v>1885</v>
      </c>
      <c r="B592" s="59">
        <v>41055.374247685184</v>
      </c>
      <c r="C592">
        <v>240000</v>
      </c>
      <c r="D592" t="s">
        <v>824</v>
      </c>
      <c r="E592">
        <f>tblSalaries[[#This Row],[clean Salary (in local currency)]]*VLOOKUP(tblSalaries[[#This Row],[Currency]],[1]!tblXrate[#Data],2,FALSE)</f>
        <v>4273.9000049862161</v>
      </c>
      <c r="F592" t="s">
        <v>1886</v>
      </c>
      <c r="G592" t="s">
        <v>788</v>
      </c>
      <c r="H592" t="s">
        <v>117</v>
      </c>
      <c r="I592" t="str">
        <f>VLOOKUP(tblSalaries[[#This Row],[Where do you work]],[1]!tblCountries[[Actual]:[Mapping]],2,FALSE)</f>
        <v>India</v>
      </c>
      <c r="J592" t="s">
        <v>799</v>
      </c>
      <c r="K592">
        <v>5</v>
      </c>
    </row>
    <row r="593" spans="1:11" x14ac:dyDescent="0.2">
      <c r="A593" t="s">
        <v>1887</v>
      </c>
      <c r="B593" s="59">
        <v>41055.394814814812</v>
      </c>
      <c r="C593">
        <v>50000</v>
      </c>
      <c r="D593" t="s">
        <v>786</v>
      </c>
      <c r="E593">
        <f>tblSalaries[[#This Row],[clean Salary (in local currency)]]*VLOOKUP(tblSalaries[[#This Row],[Currency]],[1]!tblXrate[#Data],2,FALSE)</f>
        <v>50000</v>
      </c>
      <c r="F593" t="s">
        <v>1888</v>
      </c>
      <c r="G593" t="s">
        <v>807</v>
      </c>
      <c r="H593" t="s">
        <v>117</v>
      </c>
      <c r="I593" t="str">
        <f>VLOOKUP(tblSalaries[[#This Row],[Where do you work]],[1]!tblCountries[[Actual]:[Mapping]],2,FALSE)</f>
        <v>India</v>
      </c>
      <c r="J593" t="s">
        <v>808</v>
      </c>
      <c r="K593">
        <v>10</v>
      </c>
    </row>
    <row r="594" spans="1:11" x14ac:dyDescent="0.2">
      <c r="A594" t="s">
        <v>1889</v>
      </c>
      <c r="B594" s="59">
        <v>41055.39502314815</v>
      </c>
      <c r="C594">
        <v>65000</v>
      </c>
      <c r="D594" t="s">
        <v>786</v>
      </c>
      <c r="E594">
        <f>tblSalaries[[#This Row],[clean Salary (in local currency)]]*VLOOKUP(tblSalaries[[#This Row],[Currency]],[1]!tblXrate[#Data],2,FALSE)</f>
        <v>65000</v>
      </c>
      <c r="F594" t="s">
        <v>1890</v>
      </c>
      <c r="G594" t="s">
        <v>788</v>
      </c>
      <c r="H594" t="s">
        <v>15</v>
      </c>
      <c r="I594" t="str">
        <f>VLOOKUP(tblSalaries[[#This Row],[Where do you work]],[1]!tblCountries[[Actual]:[Mapping]],2,FALSE)</f>
        <v>USA</v>
      </c>
      <c r="J594" t="s">
        <v>799</v>
      </c>
      <c r="K594">
        <v>17</v>
      </c>
    </row>
    <row r="595" spans="1:11" x14ac:dyDescent="0.2">
      <c r="A595" t="s">
        <v>1891</v>
      </c>
      <c r="B595" s="59">
        <v>41055.400324074071</v>
      </c>
      <c r="C595">
        <v>70000</v>
      </c>
      <c r="D595" t="s">
        <v>786</v>
      </c>
      <c r="E595">
        <f>tblSalaries[[#This Row],[clean Salary (in local currency)]]*VLOOKUP(tblSalaries[[#This Row],[Currency]],[1]!tblXrate[#Data],2,FALSE)</f>
        <v>70000</v>
      </c>
      <c r="F595" t="s">
        <v>1892</v>
      </c>
      <c r="G595" t="s">
        <v>788</v>
      </c>
      <c r="H595" t="s">
        <v>15</v>
      </c>
      <c r="I595" t="str">
        <f>VLOOKUP(tblSalaries[[#This Row],[Where do you work]],[1]!tblCountries[[Actual]:[Mapping]],2,FALSE)</f>
        <v>USA</v>
      </c>
      <c r="J595" t="s">
        <v>799</v>
      </c>
      <c r="K595">
        <v>18</v>
      </c>
    </row>
    <row r="596" spans="1:11" x14ac:dyDescent="0.2">
      <c r="A596" t="s">
        <v>1893</v>
      </c>
      <c r="B596" s="59">
        <v>41055.410960648151</v>
      </c>
      <c r="C596">
        <v>160000</v>
      </c>
      <c r="D596" t="s">
        <v>786</v>
      </c>
      <c r="E596">
        <f>tblSalaries[[#This Row],[clean Salary (in local currency)]]*VLOOKUP(tblSalaries[[#This Row],[Currency]],[1]!tblXrate[#Data],2,FALSE)</f>
        <v>160000</v>
      </c>
      <c r="F596" t="s">
        <v>1894</v>
      </c>
      <c r="G596" t="s">
        <v>788</v>
      </c>
      <c r="H596" t="s">
        <v>15</v>
      </c>
      <c r="I596" t="str">
        <f>VLOOKUP(tblSalaries[[#This Row],[Where do you work]],[1]!tblCountries[[Actual]:[Mapping]],2,FALSE)</f>
        <v>USA</v>
      </c>
      <c r="J596" t="s">
        <v>789</v>
      </c>
      <c r="K596">
        <v>5</v>
      </c>
    </row>
    <row r="597" spans="1:11" x14ac:dyDescent="0.2">
      <c r="A597" t="s">
        <v>1895</v>
      </c>
      <c r="B597" s="59">
        <v>41055.411365740743</v>
      </c>
      <c r="C597">
        <v>100000</v>
      </c>
      <c r="D597" t="s">
        <v>877</v>
      </c>
      <c r="E597">
        <f>tblSalaries[[#This Row],[clean Salary (in local currency)]]*VLOOKUP(tblSalaries[[#This Row],[Currency]],[1]!tblXrate[#Data],2,FALSE)</f>
        <v>101990.96564026357</v>
      </c>
      <c r="F597" t="s">
        <v>1896</v>
      </c>
      <c r="G597" t="s">
        <v>807</v>
      </c>
      <c r="H597" t="s">
        <v>33</v>
      </c>
      <c r="I597" t="str">
        <f>VLOOKUP(tblSalaries[[#This Row],[Where do you work]],[1]!tblCountries[[Actual]:[Mapping]],2,FALSE)</f>
        <v>Australia</v>
      </c>
      <c r="J597" t="s">
        <v>799</v>
      </c>
      <c r="K597">
        <v>20</v>
      </c>
    </row>
    <row r="598" spans="1:11" x14ac:dyDescent="0.2">
      <c r="A598" t="s">
        <v>1897</v>
      </c>
      <c r="B598" s="59">
        <v>41055.417685185188</v>
      </c>
      <c r="C598">
        <v>380000</v>
      </c>
      <c r="D598" t="s">
        <v>824</v>
      </c>
      <c r="E598">
        <f>tblSalaries[[#This Row],[clean Salary (in local currency)]]*VLOOKUP(tblSalaries[[#This Row],[Currency]],[1]!tblXrate[#Data],2,FALSE)</f>
        <v>6767.0083412281756</v>
      </c>
      <c r="F598" t="s">
        <v>1898</v>
      </c>
      <c r="G598" t="s">
        <v>807</v>
      </c>
      <c r="H598" t="s">
        <v>117</v>
      </c>
      <c r="I598" t="str">
        <f>VLOOKUP(tblSalaries[[#This Row],[Where do you work]],[1]!tblCountries[[Actual]:[Mapping]],2,FALSE)</f>
        <v>India</v>
      </c>
      <c r="J598" t="s">
        <v>789</v>
      </c>
      <c r="K598">
        <v>10</v>
      </c>
    </row>
    <row r="599" spans="1:11" x14ac:dyDescent="0.2">
      <c r="A599" t="s">
        <v>1899</v>
      </c>
      <c r="B599" s="59">
        <v>41055.430960648147</v>
      </c>
      <c r="C599">
        <v>30000</v>
      </c>
      <c r="D599" t="s">
        <v>786</v>
      </c>
      <c r="E599">
        <f>tblSalaries[[#This Row],[clean Salary (in local currency)]]*VLOOKUP(tblSalaries[[#This Row],[Currency]],[1]!tblXrate[#Data],2,FALSE)</f>
        <v>30000</v>
      </c>
      <c r="F599" t="s">
        <v>1900</v>
      </c>
      <c r="G599" t="s">
        <v>788</v>
      </c>
      <c r="H599" t="s">
        <v>15</v>
      </c>
      <c r="I599" t="str">
        <f>VLOOKUP(tblSalaries[[#This Row],[Where do you work]],[1]!tblCountries[[Actual]:[Mapping]],2,FALSE)</f>
        <v>USA</v>
      </c>
      <c r="J599" t="s">
        <v>799</v>
      </c>
      <c r="K599">
        <v>8</v>
      </c>
    </row>
    <row r="600" spans="1:11" x14ac:dyDescent="0.2">
      <c r="A600" t="s">
        <v>1901</v>
      </c>
      <c r="B600" s="59">
        <v>41055.43246527778</v>
      </c>
      <c r="C600">
        <v>420000</v>
      </c>
      <c r="D600" t="s">
        <v>824</v>
      </c>
      <c r="E600">
        <f>tblSalaries[[#This Row],[clean Salary (in local currency)]]*VLOOKUP(tblSalaries[[#This Row],[Currency]],[1]!tblXrate[#Data],2,FALSE)</f>
        <v>7479.3250087258784</v>
      </c>
      <c r="F600" t="s">
        <v>1902</v>
      </c>
      <c r="G600" t="s">
        <v>788</v>
      </c>
      <c r="H600" t="s">
        <v>117</v>
      </c>
      <c r="I600" t="str">
        <f>VLOOKUP(tblSalaries[[#This Row],[Where do you work]],[1]!tblCountries[[Actual]:[Mapping]],2,FALSE)</f>
        <v>India</v>
      </c>
      <c r="J600" t="s">
        <v>789</v>
      </c>
      <c r="K600">
        <v>3</v>
      </c>
    </row>
    <row r="601" spans="1:11" x14ac:dyDescent="0.2">
      <c r="A601" t="s">
        <v>1903</v>
      </c>
      <c r="B601" s="59">
        <v>41055.438680555555</v>
      </c>
      <c r="C601">
        <v>61000</v>
      </c>
      <c r="D601" t="s">
        <v>786</v>
      </c>
      <c r="E601">
        <f>tblSalaries[[#This Row],[clean Salary (in local currency)]]*VLOOKUP(tblSalaries[[#This Row],[Currency]],[1]!tblXrate[#Data],2,FALSE)</f>
        <v>61000</v>
      </c>
      <c r="F601" t="s">
        <v>1904</v>
      </c>
      <c r="G601" t="s">
        <v>807</v>
      </c>
      <c r="H601" t="s">
        <v>15</v>
      </c>
      <c r="I601" t="str">
        <f>VLOOKUP(tblSalaries[[#This Row],[Where do you work]],[1]!tblCountries[[Actual]:[Mapping]],2,FALSE)</f>
        <v>USA</v>
      </c>
      <c r="J601" t="s">
        <v>789</v>
      </c>
      <c r="K601">
        <v>5</v>
      </c>
    </row>
    <row r="602" spans="1:11" x14ac:dyDescent="0.2">
      <c r="A602" t="s">
        <v>1905</v>
      </c>
      <c r="B602" s="59">
        <v>41055.438969907409</v>
      </c>
      <c r="C602">
        <v>13800</v>
      </c>
      <c r="D602" t="s">
        <v>786</v>
      </c>
      <c r="E602">
        <f>tblSalaries[[#This Row],[clean Salary (in local currency)]]*VLOOKUP(tblSalaries[[#This Row],[Currency]],[1]!tblXrate[#Data],2,FALSE)</f>
        <v>13800</v>
      </c>
      <c r="F602" t="s">
        <v>1906</v>
      </c>
      <c r="G602" t="s">
        <v>792</v>
      </c>
      <c r="H602" t="s">
        <v>292</v>
      </c>
      <c r="I602" t="str">
        <f>VLOOKUP(tblSalaries[[#This Row],[Where do you work]],[1]!tblCountries[[Actual]:[Mapping]],2,FALSE)</f>
        <v>Sri Lanka</v>
      </c>
      <c r="J602" t="s">
        <v>789</v>
      </c>
      <c r="K602">
        <v>20</v>
      </c>
    </row>
    <row r="603" spans="1:11" x14ac:dyDescent="0.2">
      <c r="A603" t="s">
        <v>1907</v>
      </c>
      <c r="B603" s="59">
        <v>41055.4452662037</v>
      </c>
      <c r="C603">
        <v>850000</v>
      </c>
      <c r="D603" t="s">
        <v>824</v>
      </c>
      <c r="E603">
        <f>tblSalaries[[#This Row],[clean Salary (in local currency)]]*VLOOKUP(tblSalaries[[#This Row],[Currency]],[1]!tblXrate[#Data],2,FALSE)</f>
        <v>15136.729184326183</v>
      </c>
      <c r="F603" t="s">
        <v>919</v>
      </c>
      <c r="G603" t="s">
        <v>788</v>
      </c>
      <c r="H603" t="s">
        <v>117</v>
      </c>
      <c r="I603" t="str">
        <f>VLOOKUP(tblSalaries[[#This Row],[Where do you work]],[1]!tblCountries[[Actual]:[Mapping]],2,FALSE)</f>
        <v>India</v>
      </c>
      <c r="J603" t="s">
        <v>789</v>
      </c>
      <c r="K603">
        <v>6</v>
      </c>
    </row>
    <row r="604" spans="1:11" x14ac:dyDescent="0.2">
      <c r="A604" t="s">
        <v>1908</v>
      </c>
      <c r="B604" s="59">
        <v>41055.447141203702</v>
      </c>
      <c r="C604">
        <v>1800000</v>
      </c>
      <c r="D604" t="s">
        <v>824</v>
      </c>
      <c r="E604">
        <f>tblSalaries[[#This Row],[clean Salary (in local currency)]]*VLOOKUP(tblSalaries[[#This Row],[Currency]],[1]!tblXrate[#Data],2,FALSE)</f>
        <v>32054.250037396621</v>
      </c>
      <c r="F604" t="s">
        <v>1909</v>
      </c>
      <c r="G604" t="s">
        <v>807</v>
      </c>
      <c r="H604" t="s">
        <v>117</v>
      </c>
      <c r="I604" t="str">
        <f>VLOOKUP(tblSalaries[[#This Row],[Where do you work]],[1]!tblCountries[[Actual]:[Mapping]],2,FALSE)</f>
        <v>India</v>
      </c>
      <c r="J604" t="s">
        <v>799</v>
      </c>
      <c r="K604">
        <v>10</v>
      </c>
    </row>
    <row r="605" spans="1:11" x14ac:dyDescent="0.2">
      <c r="A605" t="s">
        <v>1910</v>
      </c>
      <c r="B605" s="59">
        <v>41055.452141203707</v>
      </c>
      <c r="C605">
        <v>80000</v>
      </c>
      <c r="D605" t="s">
        <v>786</v>
      </c>
      <c r="E605">
        <f>tblSalaries[[#This Row],[clean Salary (in local currency)]]*VLOOKUP(tblSalaries[[#This Row],[Currency]],[1]!tblXrate[#Data],2,FALSE)</f>
        <v>80000</v>
      </c>
      <c r="F605" t="s">
        <v>1911</v>
      </c>
      <c r="G605" t="s">
        <v>792</v>
      </c>
      <c r="H605" t="s">
        <v>15</v>
      </c>
      <c r="I605" t="str">
        <f>VLOOKUP(tblSalaries[[#This Row],[Where do you work]],[1]!tblCountries[[Actual]:[Mapping]],2,FALSE)</f>
        <v>USA</v>
      </c>
      <c r="J605" t="s">
        <v>789</v>
      </c>
      <c r="K605">
        <v>15</v>
      </c>
    </row>
    <row r="606" spans="1:11" x14ac:dyDescent="0.2">
      <c r="A606" t="s">
        <v>1912</v>
      </c>
      <c r="B606" s="59">
        <v>41055.454421296294</v>
      </c>
      <c r="C606">
        <v>21000</v>
      </c>
      <c r="D606" t="s">
        <v>786</v>
      </c>
      <c r="E606">
        <f>tblSalaries[[#This Row],[clean Salary (in local currency)]]*VLOOKUP(tblSalaries[[#This Row],[Currency]],[1]!tblXrate[#Data],2,FALSE)</f>
        <v>21000</v>
      </c>
      <c r="F606" t="s">
        <v>807</v>
      </c>
      <c r="G606" t="s">
        <v>807</v>
      </c>
      <c r="H606" t="s">
        <v>117</v>
      </c>
      <c r="I606" t="str">
        <f>VLOOKUP(tblSalaries[[#This Row],[Where do you work]],[1]!tblCountries[[Actual]:[Mapping]],2,FALSE)</f>
        <v>India</v>
      </c>
      <c r="J606" t="s">
        <v>794</v>
      </c>
      <c r="K606">
        <v>23</v>
      </c>
    </row>
    <row r="607" spans="1:11" x14ac:dyDescent="0.2">
      <c r="A607" t="s">
        <v>1913</v>
      </c>
      <c r="B607" s="59">
        <v>41055.457754629628</v>
      </c>
      <c r="C607">
        <v>250000</v>
      </c>
      <c r="D607" t="s">
        <v>882</v>
      </c>
      <c r="E607">
        <f>tblSalaries[[#This Row],[clean Salary (in local currency)]]*VLOOKUP(tblSalaries[[#This Row],[Currency]],[1]!tblXrate[#Data],2,FALSE)</f>
        <v>245840.3807575817</v>
      </c>
      <c r="F607" t="s">
        <v>1070</v>
      </c>
      <c r="G607" t="s">
        <v>788</v>
      </c>
      <c r="H607" t="s">
        <v>143</v>
      </c>
      <c r="I607" t="str">
        <f>VLOOKUP(tblSalaries[[#This Row],[Where do you work]],[1]!tblCountries[[Actual]:[Mapping]],2,FALSE)</f>
        <v>Canada</v>
      </c>
      <c r="J607" t="s">
        <v>789</v>
      </c>
      <c r="K607">
        <v>32</v>
      </c>
    </row>
    <row r="608" spans="1:11" x14ac:dyDescent="0.2">
      <c r="A608" t="s">
        <v>1914</v>
      </c>
      <c r="B608" s="59">
        <v>41055.458090277774</v>
      </c>
      <c r="C608">
        <v>160000</v>
      </c>
      <c r="D608" t="s">
        <v>824</v>
      </c>
      <c r="E608">
        <f>tblSalaries[[#This Row],[clean Salary (in local currency)]]*VLOOKUP(tblSalaries[[#This Row],[Currency]],[1]!tblXrate[#Data],2,FALSE)</f>
        <v>2849.2666699908109</v>
      </c>
      <c r="F608" t="s">
        <v>1915</v>
      </c>
      <c r="G608" t="s">
        <v>836</v>
      </c>
      <c r="H608" t="s">
        <v>117</v>
      </c>
      <c r="I608" t="str">
        <f>VLOOKUP(tblSalaries[[#This Row],[Where do you work]],[1]!tblCountries[[Actual]:[Mapping]],2,FALSE)</f>
        <v>India</v>
      </c>
      <c r="J608" t="s">
        <v>794</v>
      </c>
      <c r="K608">
        <v>3</v>
      </c>
    </row>
    <row r="609" spans="1:11" x14ac:dyDescent="0.2">
      <c r="A609" t="s">
        <v>1916</v>
      </c>
      <c r="B609" s="59">
        <v>41055.459675925929</v>
      </c>
      <c r="C609">
        <v>8400</v>
      </c>
      <c r="D609" t="s">
        <v>786</v>
      </c>
      <c r="E609">
        <f>tblSalaries[[#This Row],[clean Salary (in local currency)]]*VLOOKUP(tblSalaries[[#This Row],[Currency]],[1]!tblXrate[#Data],2,FALSE)</f>
        <v>8400</v>
      </c>
      <c r="F609" t="s">
        <v>1917</v>
      </c>
      <c r="G609" t="s">
        <v>807</v>
      </c>
      <c r="H609" t="s">
        <v>117</v>
      </c>
      <c r="I609" t="str">
        <f>VLOOKUP(tblSalaries[[#This Row],[Where do you work]],[1]!tblCountries[[Actual]:[Mapping]],2,FALSE)</f>
        <v>India</v>
      </c>
      <c r="J609" t="s">
        <v>794</v>
      </c>
      <c r="K609">
        <v>26</v>
      </c>
    </row>
    <row r="610" spans="1:11" x14ac:dyDescent="0.2">
      <c r="A610" t="s">
        <v>1918</v>
      </c>
      <c r="B610" s="59">
        <v>41055.460439814815</v>
      </c>
      <c r="C610">
        <v>85000</v>
      </c>
      <c r="D610" t="s">
        <v>877</v>
      </c>
      <c r="E610">
        <f>tblSalaries[[#This Row],[clean Salary (in local currency)]]*VLOOKUP(tblSalaries[[#This Row],[Currency]],[1]!tblXrate[#Data],2,FALSE)</f>
        <v>86692.320794224041</v>
      </c>
      <c r="F610" t="s">
        <v>1786</v>
      </c>
      <c r="G610" t="s">
        <v>867</v>
      </c>
      <c r="H610" t="s">
        <v>33</v>
      </c>
      <c r="I610" t="str">
        <f>VLOOKUP(tblSalaries[[#This Row],[Where do you work]],[1]!tblCountries[[Actual]:[Mapping]],2,FALSE)</f>
        <v>Australia</v>
      </c>
      <c r="J610" t="s">
        <v>808</v>
      </c>
      <c r="K610">
        <v>20</v>
      </c>
    </row>
    <row r="611" spans="1:11" x14ac:dyDescent="0.2">
      <c r="A611" t="s">
        <v>1919</v>
      </c>
      <c r="B611" s="59">
        <v>41055.460486111115</v>
      </c>
      <c r="C611">
        <v>50000</v>
      </c>
      <c r="D611" t="s">
        <v>786</v>
      </c>
      <c r="E611">
        <f>tblSalaries[[#This Row],[clean Salary (in local currency)]]*VLOOKUP(tblSalaries[[#This Row],[Currency]],[1]!tblXrate[#Data],2,FALSE)</f>
        <v>50000</v>
      </c>
      <c r="F611" t="s">
        <v>1920</v>
      </c>
      <c r="G611" t="s">
        <v>807</v>
      </c>
      <c r="H611" t="s">
        <v>15</v>
      </c>
      <c r="I611" t="str">
        <f>VLOOKUP(tblSalaries[[#This Row],[Where do you work]],[1]!tblCountries[[Actual]:[Mapping]],2,FALSE)</f>
        <v>USA</v>
      </c>
      <c r="J611" t="s">
        <v>789</v>
      </c>
      <c r="K611">
        <v>20</v>
      </c>
    </row>
    <row r="612" spans="1:11" x14ac:dyDescent="0.2">
      <c r="A612" t="s">
        <v>1921</v>
      </c>
      <c r="B612" s="59">
        <v>41055.460972222223</v>
      </c>
      <c r="C612">
        <v>4000</v>
      </c>
      <c r="D612" t="s">
        <v>786</v>
      </c>
      <c r="E612">
        <f>tblSalaries[[#This Row],[clean Salary (in local currency)]]*VLOOKUP(tblSalaries[[#This Row],[Currency]],[1]!tblXrate[#Data],2,FALSE)</f>
        <v>4000</v>
      </c>
      <c r="F612" t="s">
        <v>1915</v>
      </c>
      <c r="G612" t="s">
        <v>836</v>
      </c>
      <c r="H612" t="s">
        <v>117</v>
      </c>
      <c r="I612" t="str">
        <f>VLOOKUP(tblSalaries[[#This Row],[Where do you work]],[1]!tblCountries[[Actual]:[Mapping]],2,FALSE)</f>
        <v>India</v>
      </c>
      <c r="J612" t="s">
        <v>794</v>
      </c>
      <c r="K612">
        <v>6</v>
      </c>
    </row>
    <row r="613" spans="1:11" x14ac:dyDescent="0.2">
      <c r="A613" t="s">
        <v>1922</v>
      </c>
      <c r="B613" s="59">
        <v>41055.462326388886</v>
      </c>
      <c r="C613">
        <v>100000</v>
      </c>
      <c r="D613" t="s">
        <v>877</v>
      </c>
      <c r="E613">
        <f>tblSalaries[[#This Row],[clean Salary (in local currency)]]*VLOOKUP(tblSalaries[[#This Row],[Currency]],[1]!tblXrate[#Data],2,FALSE)</f>
        <v>101990.96564026357</v>
      </c>
      <c r="F613" t="s">
        <v>1070</v>
      </c>
      <c r="G613" t="s">
        <v>788</v>
      </c>
      <c r="H613" t="s">
        <v>33</v>
      </c>
      <c r="I613" t="str">
        <f>VLOOKUP(tblSalaries[[#This Row],[Where do you work]],[1]!tblCountries[[Actual]:[Mapping]],2,FALSE)</f>
        <v>Australia</v>
      </c>
      <c r="J613" t="s">
        <v>794</v>
      </c>
      <c r="K613">
        <v>1</v>
      </c>
    </row>
    <row r="614" spans="1:11" x14ac:dyDescent="0.2">
      <c r="A614" t="s">
        <v>1923</v>
      </c>
      <c r="B614" s="59">
        <v>41055.462476851855</v>
      </c>
      <c r="C614">
        <v>95000</v>
      </c>
      <c r="D614" t="s">
        <v>786</v>
      </c>
      <c r="E614">
        <f>tblSalaries[[#This Row],[clean Salary (in local currency)]]*VLOOKUP(tblSalaries[[#This Row],[Currency]],[1]!tblXrate[#Data],2,FALSE)</f>
        <v>95000</v>
      </c>
      <c r="F614" t="s">
        <v>1656</v>
      </c>
      <c r="G614" t="s">
        <v>807</v>
      </c>
      <c r="H614" t="s">
        <v>15</v>
      </c>
      <c r="I614" t="str">
        <f>VLOOKUP(tblSalaries[[#This Row],[Where do you work]],[1]!tblCountries[[Actual]:[Mapping]],2,FALSE)</f>
        <v>USA</v>
      </c>
      <c r="J614" t="s">
        <v>808</v>
      </c>
      <c r="K614">
        <v>10</v>
      </c>
    </row>
    <row r="615" spans="1:11" x14ac:dyDescent="0.2">
      <c r="A615" t="s">
        <v>1924</v>
      </c>
      <c r="B615" s="59">
        <v>41055.463206018518</v>
      </c>
      <c r="C615">
        <v>10000</v>
      </c>
      <c r="D615" t="s">
        <v>786</v>
      </c>
      <c r="E615">
        <f>tblSalaries[[#This Row],[clean Salary (in local currency)]]*VLOOKUP(tblSalaries[[#This Row],[Currency]],[1]!tblXrate[#Data],2,FALSE)</f>
        <v>10000</v>
      </c>
      <c r="F615" t="s">
        <v>1925</v>
      </c>
      <c r="G615" t="s">
        <v>807</v>
      </c>
      <c r="H615" t="s">
        <v>119</v>
      </c>
      <c r="I615" t="str">
        <f>VLOOKUP(tblSalaries[[#This Row],[Where do you work]],[1]!tblCountries[[Actual]:[Mapping]],2,FALSE)</f>
        <v>Indonesia</v>
      </c>
      <c r="J615" t="s">
        <v>799</v>
      </c>
      <c r="K615">
        <v>5</v>
      </c>
    </row>
    <row r="616" spans="1:11" x14ac:dyDescent="0.2">
      <c r="A616" t="s">
        <v>1926</v>
      </c>
      <c r="B616" s="59">
        <v>41055.464895833335</v>
      </c>
      <c r="C616">
        <v>4200</v>
      </c>
      <c r="D616" t="s">
        <v>786</v>
      </c>
      <c r="E616">
        <f>tblSalaries[[#This Row],[clean Salary (in local currency)]]*VLOOKUP(tblSalaries[[#This Row],[Currency]],[1]!tblXrate[#Data],2,FALSE)</f>
        <v>4200</v>
      </c>
      <c r="F616" t="s">
        <v>1915</v>
      </c>
      <c r="G616" t="s">
        <v>836</v>
      </c>
      <c r="H616" t="s">
        <v>117</v>
      </c>
      <c r="I616" t="str">
        <f>VLOOKUP(tblSalaries[[#This Row],[Where do you work]],[1]!tblCountries[[Actual]:[Mapping]],2,FALSE)</f>
        <v>India</v>
      </c>
      <c r="J616" t="s">
        <v>794</v>
      </c>
      <c r="K616">
        <v>4</v>
      </c>
    </row>
    <row r="617" spans="1:11" x14ac:dyDescent="0.2">
      <c r="A617" t="s">
        <v>1927</v>
      </c>
      <c r="B617" s="59">
        <v>41055.465543981481</v>
      </c>
      <c r="C617">
        <v>720000</v>
      </c>
      <c r="D617" t="s">
        <v>824</v>
      </c>
      <c r="E617">
        <f>tblSalaries[[#This Row],[clean Salary (in local currency)]]*VLOOKUP(tblSalaries[[#This Row],[Currency]],[1]!tblXrate[#Data],2,FALSE)</f>
        <v>12821.700014958649</v>
      </c>
      <c r="F617" t="s">
        <v>1928</v>
      </c>
      <c r="G617" t="s">
        <v>807</v>
      </c>
      <c r="H617" t="s">
        <v>117</v>
      </c>
      <c r="I617" t="str">
        <f>VLOOKUP(tblSalaries[[#This Row],[Where do you work]],[1]!tblCountries[[Actual]:[Mapping]],2,FALSE)</f>
        <v>India</v>
      </c>
      <c r="J617" t="s">
        <v>789</v>
      </c>
      <c r="K617">
        <v>12</v>
      </c>
    </row>
    <row r="618" spans="1:11" x14ac:dyDescent="0.2">
      <c r="A618" t="s">
        <v>1929</v>
      </c>
      <c r="B618" s="59">
        <v>41055.47078703704</v>
      </c>
      <c r="C618">
        <v>39000</v>
      </c>
      <c r="D618" t="s">
        <v>786</v>
      </c>
      <c r="E618">
        <f>tblSalaries[[#This Row],[clean Salary (in local currency)]]*VLOOKUP(tblSalaries[[#This Row],[Currency]],[1]!tblXrate[#Data],2,FALSE)</f>
        <v>39000</v>
      </c>
      <c r="F618" t="s">
        <v>1930</v>
      </c>
      <c r="G618" t="s">
        <v>788</v>
      </c>
      <c r="H618" t="s">
        <v>15</v>
      </c>
      <c r="I618" t="str">
        <f>VLOOKUP(tblSalaries[[#This Row],[Where do you work]],[1]!tblCountries[[Actual]:[Mapping]],2,FALSE)</f>
        <v>USA</v>
      </c>
      <c r="J618" t="s">
        <v>794</v>
      </c>
      <c r="K618">
        <v>3</v>
      </c>
    </row>
    <row r="619" spans="1:11" x14ac:dyDescent="0.2">
      <c r="A619" t="s">
        <v>1931</v>
      </c>
      <c r="B619" s="59">
        <v>41055.476921296293</v>
      </c>
      <c r="C619">
        <v>60000</v>
      </c>
      <c r="D619" t="s">
        <v>786</v>
      </c>
      <c r="E619">
        <f>tblSalaries[[#This Row],[clean Salary (in local currency)]]*VLOOKUP(tblSalaries[[#This Row],[Currency]],[1]!tblXrate[#Data],2,FALSE)</f>
        <v>60000</v>
      </c>
      <c r="F619" t="s">
        <v>827</v>
      </c>
      <c r="G619" t="s">
        <v>788</v>
      </c>
      <c r="H619" t="s">
        <v>15</v>
      </c>
      <c r="I619" t="str">
        <f>VLOOKUP(tblSalaries[[#This Row],[Where do you work]],[1]!tblCountries[[Actual]:[Mapping]],2,FALSE)</f>
        <v>USA</v>
      </c>
      <c r="J619" t="s">
        <v>789</v>
      </c>
      <c r="K619">
        <v>12</v>
      </c>
    </row>
    <row r="620" spans="1:11" x14ac:dyDescent="0.2">
      <c r="A620" t="s">
        <v>1932</v>
      </c>
      <c r="B620" s="59">
        <v>41055.479618055557</v>
      </c>
      <c r="C620">
        <v>170000</v>
      </c>
      <c r="D620" t="s">
        <v>877</v>
      </c>
      <c r="E620">
        <f>tblSalaries[[#This Row],[clean Salary (in local currency)]]*VLOOKUP(tblSalaries[[#This Row],[Currency]],[1]!tblXrate[#Data],2,FALSE)</f>
        <v>173384.64158844808</v>
      </c>
      <c r="F620" t="s">
        <v>1933</v>
      </c>
      <c r="G620" t="s">
        <v>788</v>
      </c>
      <c r="H620" t="s">
        <v>33</v>
      </c>
      <c r="I620" t="str">
        <f>VLOOKUP(tblSalaries[[#This Row],[Where do you work]],[1]!tblCountries[[Actual]:[Mapping]],2,FALSE)</f>
        <v>Australia</v>
      </c>
      <c r="J620" t="s">
        <v>794</v>
      </c>
      <c r="K620">
        <v>10</v>
      </c>
    </row>
    <row r="621" spans="1:11" x14ac:dyDescent="0.2">
      <c r="A621" t="s">
        <v>1934</v>
      </c>
      <c r="B621" s="59">
        <v>41055.479953703703</v>
      </c>
      <c r="C621">
        <v>125000</v>
      </c>
      <c r="D621" t="s">
        <v>786</v>
      </c>
      <c r="E621">
        <f>tblSalaries[[#This Row],[clean Salary (in local currency)]]*VLOOKUP(tblSalaries[[#This Row],[Currency]],[1]!tblXrate[#Data],2,FALSE)</f>
        <v>125000</v>
      </c>
      <c r="F621" t="s">
        <v>788</v>
      </c>
      <c r="G621" t="s">
        <v>788</v>
      </c>
      <c r="H621" t="s">
        <v>15</v>
      </c>
      <c r="I621" t="str">
        <f>VLOOKUP(tblSalaries[[#This Row],[Where do you work]],[1]!tblCountries[[Actual]:[Mapping]],2,FALSE)</f>
        <v>USA</v>
      </c>
      <c r="J621" t="s">
        <v>799</v>
      </c>
      <c r="K621">
        <v>20</v>
      </c>
    </row>
    <row r="622" spans="1:11" x14ac:dyDescent="0.2">
      <c r="A622" t="s">
        <v>1935</v>
      </c>
      <c r="B622" s="59">
        <v>41055.480462962965</v>
      </c>
      <c r="C622">
        <v>78000</v>
      </c>
      <c r="D622" t="s">
        <v>877</v>
      </c>
      <c r="E622">
        <f>tblSalaries[[#This Row],[clean Salary (in local currency)]]*VLOOKUP(tblSalaries[[#This Row],[Currency]],[1]!tblXrate[#Data],2,FALSE)</f>
        <v>79552.953199405587</v>
      </c>
      <c r="F622" t="s">
        <v>1936</v>
      </c>
      <c r="G622" t="s">
        <v>817</v>
      </c>
      <c r="H622" t="s">
        <v>33</v>
      </c>
      <c r="I622" t="str">
        <f>VLOOKUP(tblSalaries[[#This Row],[Where do you work]],[1]!tblCountries[[Actual]:[Mapping]],2,FALSE)</f>
        <v>Australia</v>
      </c>
      <c r="J622" t="s">
        <v>794</v>
      </c>
      <c r="K622">
        <v>4</v>
      </c>
    </row>
    <row r="623" spans="1:11" x14ac:dyDescent="0.2">
      <c r="A623" t="s">
        <v>1937</v>
      </c>
      <c r="B623" s="59">
        <v>41055.48337962963</v>
      </c>
      <c r="C623">
        <v>200000</v>
      </c>
      <c r="D623" t="s">
        <v>824</v>
      </c>
      <c r="E623">
        <f>tblSalaries[[#This Row],[clean Salary (in local currency)]]*VLOOKUP(tblSalaries[[#This Row],[Currency]],[1]!tblXrate[#Data],2,FALSE)</f>
        <v>3561.5833374885137</v>
      </c>
      <c r="F623" t="s">
        <v>1938</v>
      </c>
      <c r="G623" t="s">
        <v>817</v>
      </c>
      <c r="H623" t="s">
        <v>117</v>
      </c>
      <c r="I623" t="str">
        <f>VLOOKUP(tblSalaries[[#This Row],[Where do you work]],[1]!tblCountries[[Actual]:[Mapping]],2,FALSE)</f>
        <v>India</v>
      </c>
      <c r="J623" t="s">
        <v>789</v>
      </c>
      <c r="K623">
        <v>3</v>
      </c>
    </row>
    <row r="624" spans="1:11" x14ac:dyDescent="0.2">
      <c r="A624" t="s">
        <v>1939</v>
      </c>
      <c r="B624" s="59">
        <v>41055.4843287037</v>
      </c>
      <c r="C624">
        <v>80000</v>
      </c>
      <c r="D624" t="s">
        <v>786</v>
      </c>
      <c r="E624">
        <f>tblSalaries[[#This Row],[clean Salary (in local currency)]]*VLOOKUP(tblSalaries[[#This Row],[Currency]],[1]!tblXrate[#Data],2,FALSE)</f>
        <v>80000</v>
      </c>
      <c r="F624" t="s">
        <v>1940</v>
      </c>
      <c r="G624" t="s">
        <v>807</v>
      </c>
      <c r="H624" t="s">
        <v>15</v>
      </c>
      <c r="I624" t="str">
        <f>VLOOKUP(tblSalaries[[#This Row],[Where do you work]],[1]!tblCountries[[Actual]:[Mapping]],2,FALSE)</f>
        <v>USA</v>
      </c>
      <c r="J624" t="s">
        <v>789</v>
      </c>
      <c r="K624">
        <v>8</v>
      </c>
    </row>
    <row r="625" spans="1:11" x14ac:dyDescent="0.2">
      <c r="A625" t="s">
        <v>1941</v>
      </c>
      <c r="B625" s="59">
        <v>41055.4846412037</v>
      </c>
      <c r="C625">
        <v>600000</v>
      </c>
      <c r="D625" t="s">
        <v>824</v>
      </c>
      <c r="E625">
        <f>tblSalaries[[#This Row],[clean Salary (in local currency)]]*VLOOKUP(tblSalaries[[#This Row],[Currency]],[1]!tblXrate[#Data],2,FALSE)</f>
        <v>10684.750012465542</v>
      </c>
      <c r="F625" t="s">
        <v>796</v>
      </c>
      <c r="G625" t="s">
        <v>788</v>
      </c>
      <c r="H625" t="s">
        <v>117</v>
      </c>
      <c r="I625" t="str">
        <f>VLOOKUP(tblSalaries[[#This Row],[Where do you work]],[1]!tblCountries[[Actual]:[Mapping]],2,FALSE)</f>
        <v>India</v>
      </c>
      <c r="J625" t="s">
        <v>799</v>
      </c>
      <c r="K625">
        <v>3</v>
      </c>
    </row>
    <row r="626" spans="1:11" x14ac:dyDescent="0.2">
      <c r="A626" t="s">
        <v>1942</v>
      </c>
      <c r="B626" s="59">
        <v>41055.485972222225</v>
      </c>
      <c r="C626">
        <v>300000</v>
      </c>
      <c r="D626" t="s">
        <v>824</v>
      </c>
      <c r="E626">
        <f>tblSalaries[[#This Row],[clean Salary (in local currency)]]*VLOOKUP(tblSalaries[[#This Row],[Currency]],[1]!tblXrate[#Data],2,FALSE)</f>
        <v>5342.3750062327708</v>
      </c>
      <c r="F626" t="s">
        <v>1943</v>
      </c>
      <c r="G626" t="s">
        <v>802</v>
      </c>
      <c r="H626" t="s">
        <v>117</v>
      </c>
      <c r="I626" t="str">
        <f>VLOOKUP(tblSalaries[[#This Row],[Where do you work]],[1]!tblCountries[[Actual]:[Mapping]],2,FALSE)</f>
        <v>India</v>
      </c>
      <c r="J626" t="s">
        <v>794</v>
      </c>
      <c r="K626">
        <v>2</v>
      </c>
    </row>
    <row r="627" spans="1:11" x14ac:dyDescent="0.2">
      <c r="A627" t="s">
        <v>1944</v>
      </c>
      <c r="B627" s="59">
        <v>41055.486504629633</v>
      </c>
      <c r="C627">
        <v>4000000</v>
      </c>
      <c r="D627" t="s">
        <v>824</v>
      </c>
      <c r="E627">
        <f>tblSalaries[[#This Row],[clean Salary (in local currency)]]*VLOOKUP(tblSalaries[[#This Row],[Currency]],[1]!tblXrate[#Data],2,FALSE)</f>
        <v>71231.666749770273</v>
      </c>
      <c r="F627" t="s">
        <v>1945</v>
      </c>
      <c r="G627" t="s">
        <v>807</v>
      </c>
      <c r="H627" t="s">
        <v>117</v>
      </c>
      <c r="I627" t="str">
        <f>VLOOKUP(tblSalaries[[#This Row],[Where do you work]],[1]!tblCountries[[Actual]:[Mapping]],2,FALSE)</f>
        <v>India</v>
      </c>
      <c r="J627" t="s">
        <v>789</v>
      </c>
      <c r="K627">
        <v>1.5</v>
      </c>
    </row>
    <row r="628" spans="1:11" x14ac:dyDescent="0.2">
      <c r="A628" t="s">
        <v>1946</v>
      </c>
      <c r="B628" s="59">
        <v>41055.490011574075</v>
      </c>
      <c r="C628">
        <v>4500000</v>
      </c>
      <c r="D628" t="s">
        <v>824</v>
      </c>
      <c r="E628">
        <f>tblSalaries[[#This Row],[clean Salary (in local currency)]]*VLOOKUP(tblSalaries[[#This Row],[Currency]],[1]!tblXrate[#Data],2,FALSE)</f>
        <v>80135.625093491559</v>
      </c>
      <c r="F628" t="s">
        <v>1947</v>
      </c>
      <c r="G628" t="s">
        <v>813</v>
      </c>
      <c r="H628" t="s">
        <v>117</v>
      </c>
      <c r="I628" t="str">
        <f>VLOOKUP(tblSalaries[[#This Row],[Where do you work]],[1]!tblCountries[[Actual]:[Mapping]],2,FALSE)</f>
        <v>India</v>
      </c>
      <c r="J628" t="s">
        <v>808</v>
      </c>
      <c r="K628">
        <v>6</v>
      </c>
    </row>
    <row r="629" spans="1:11" x14ac:dyDescent="0.2">
      <c r="A629" t="s">
        <v>1948</v>
      </c>
      <c r="B629" s="59">
        <v>41055.49050925926</v>
      </c>
      <c r="C629">
        <v>55000</v>
      </c>
      <c r="D629" t="s">
        <v>882</v>
      </c>
      <c r="E629">
        <f>tblSalaries[[#This Row],[clean Salary (in local currency)]]*VLOOKUP(tblSalaries[[#This Row],[Currency]],[1]!tblXrate[#Data],2,FALSE)</f>
        <v>54084.883766667976</v>
      </c>
      <c r="F629" t="s">
        <v>1920</v>
      </c>
      <c r="G629" t="s">
        <v>807</v>
      </c>
      <c r="H629" t="s">
        <v>143</v>
      </c>
      <c r="I629" t="str">
        <f>VLOOKUP(tblSalaries[[#This Row],[Where do you work]],[1]!tblCountries[[Actual]:[Mapping]],2,FALSE)</f>
        <v>Canada</v>
      </c>
      <c r="J629" t="s">
        <v>789</v>
      </c>
      <c r="K629">
        <v>5</v>
      </c>
    </row>
    <row r="630" spans="1:11" x14ac:dyDescent="0.2">
      <c r="A630" t="s">
        <v>1949</v>
      </c>
      <c r="B630" s="59">
        <v>41055.491180555553</v>
      </c>
      <c r="C630">
        <v>53000</v>
      </c>
      <c r="D630" t="s">
        <v>786</v>
      </c>
      <c r="E630">
        <f>tblSalaries[[#This Row],[clean Salary (in local currency)]]*VLOOKUP(tblSalaries[[#This Row],[Currency]],[1]!tblXrate[#Data],2,FALSE)</f>
        <v>53000</v>
      </c>
      <c r="F630" t="s">
        <v>796</v>
      </c>
      <c r="G630" t="s">
        <v>788</v>
      </c>
      <c r="H630" t="s">
        <v>15</v>
      </c>
      <c r="I630" t="str">
        <f>VLOOKUP(tblSalaries[[#This Row],[Where do you work]],[1]!tblCountries[[Actual]:[Mapping]],2,FALSE)</f>
        <v>USA</v>
      </c>
      <c r="J630" t="s">
        <v>789</v>
      </c>
      <c r="K630">
        <v>30</v>
      </c>
    </row>
    <row r="631" spans="1:11" x14ac:dyDescent="0.2">
      <c r="A631" t="s">
        <v>1950</v>
      </c>
      <c r="B631" s="59">
        <v>41055.491412037038</v>
      </c>
      <c r="C631">
        <v>300000</v>
      </c>
      <c r="D631" t="s">
        <v>824</v>
      </c>
      <c r="E631">
        <f>tblSalaries[[#This Row],[clean Salary (in local currency)]]*VLOOKUP(tblSalaries[[#This Row],[Currency]],[1]!tblXrate[#Data],2,FALSE)</f>
        <v>5342.3750062327708</v>
      </c>
      <c r="F631" t="s">
        <v>1336</v>
      </c>
      <c r="G631" t="s">
        <v>836</v>
      </c>
      <c r="H631" t="s">
        <v>117</v>
      </c>
      <c r="I631" t="str">
        <f>VLOOKUP(tblSalaries[[#This Row],[Where do you work]],[1]!tblCountries[[Actual]:[Mapping]],2,FALSE)</f>
        <v>India</v>
      </c>
      <c r="J631" t="s">
        <v>789</v>
      </c>
      <c r="K631">
        <v>1</v>
      </c>
    </row>
    <row r="632" spans="1:11" x14ac:dyDescent="0.2">
      <c r="A632" t="s">
        <v>1951</v>
      </c>
      <c r="B632" s="59">
        <v>41055.493090277778</v>
      </c>
      <c r="C632">
        <v>400000</v>
      </c>
      <c r="D632" t="s">
        <v>824</v>
      </c>
      <c r="E632">
        <f>tblSalaries[[#This Row],[clean Salary (in local currency)]]*VLOOKUP(tblSalaries[[#This Row],[Currency]],[1]!tblXrate[#Data],2,FALSE)</f>
        <v>7123.1666749770275</v>
      </c>
      <c r="F632" t="s">
        <v>1952</v>
      </c>
      <c r="G632" t="s">
        <v>807</v>
      </c>
      <c r="H632" t="s">
        <v>117</v>
      </c>
      <c r="I632" t="str">
        <f>VLOOKUP(tblSalaries[[#This Row],[Where do you work]],[1]!tblCountries[[Actual]:[Mapping]],2,FALSE)</f>
        <v>India</v>
      </c>
      <c r="J632" t="s">
        <v>808</v>
      </c>
      <c r="K632">
        <v>5</v>
      </c>
    </row>
    <row r="633" spans="1:11" x14ac:dyDescent="0.2">
      <c r="A633" t="s">
        <v>1953</v>
      </c>
      <c r="B633" s="59">
        <v>41055.493449074071</v>
      </c>
      <c r="C633">
        <v>600000</v>
      </c>
      <c r="D633" t="s">
        <v>824</v>
      </c>
      <c r="E633">
        <f>tblSalaries[[#This Row],[clean Salary (in local currency)]]*VLOOKUP(tblSalaries[[#This Row],[Currency]],[1]!tblXrate[#Data],2,FALSE)</f>
        <v>10684.750012465542</v>
      </c>
      <c r="F633" t="s">
        <v>1954</v>
      </c>
      <c r="G633" t="s">
        <v>807</v>
      </c>
      <c r="H633" t="s">
        <v>117</v>
      </c>
      <c r="I633" t="str">
        <f>VLOOKUP(tblSalaries[[#This Row],[Where do you work]],[1]!tblCountries[[Actual]:[Mapping]],2,FALSE)</f>
        <v>India</v>
      </c>
      <c r="J633" t="s">
        <v>789</v>
      </c>
      <c r="K633">
        <v>11</v>
      </c>
    </row>
    <row r="634" spans="1:11" x14ac:dyDescent="0.2">
      <c r="A634" t="s">
        <v>1955</v>
      </c>
      <c r="B634" s="59">
        <v>41055.496724537035</v>
      </c>
      <c r="C634">
        <v>4000</v>
      </c>
      <c r="D634" t="s">
        <v>786</v>
      </c>
      <c r="E634">
        <f>tblSalaries[[#This Row],[clean Salary (in local currency)]]*VLOOKUP(tblSalaries[[#This Row],[Currency]],[1]!tblXrate[#Data],2,FALSE)</f>
        <v>4000</v>
      </c>
      <c r="F634" t="s">
        <v>1915</v>
      </c>
      <c r="G634" t="s">
        <v>836</v>
      </c>
      <c r="H634" t="s">
        <v>117</v>
      </c>
      <c r="I634" t="str">
        <f>VLOOKUP(tblSalaries[[#This Row],[Where do you work]],[1]!tblCountries[[Actual]:[Mapping]],2,FALSE)</f>
        <v>India</v>
      </c>
      <c r="J634" t="s">
        <v>794</v>
      </c>
      <c r="K634">
        <v>4</v>
      </c>
    </row>
    <row r="635" spans="1:11" x14ac:dyDescent="0.2">
      <c r="A635" t="s">
        <v>1956</v>
      </c>
      <c r="B635" s="59">
        <v>41055.498877314814</v>
      </c>
      <c r="C635">
        <v>8000</v>
      </c>
      <c r="D635" t="s">
        <v>786</v>
      </c>
      <c r="E635">
        <f>tblSalaries[[#This Row],[clean Salary (in local currency)]]*VLOOKUP(tblSalaries[[#This Row],[Currency]],[1]!tblXrate[#Data],2,FALSE)</f>
        <v>8000</v>
      </c>
      <c r="F635" t="s">
        <v>1957</v>
      </c>
      <c r="G635" t="s">
        <v>807</v>
      </c>
      <c r="H635" t="s">
        <v>1958</v>
      </c>
      <c r="I635" t="str">
        <f>VLOOKUP(tblSalaries[[#This Row],[Where do you work]],[1]!tblCountries[[Actual]:[Mapping]],2,FALSE)</f>
        <v>Thailand</v>
      </c>
      <c r="J635" t="s">
        <v>794</v>
      </c>
      <c r="K635">
        <v>1</v>
      </c>
    </row>
    <row r="636" spans="1:11" x14ac:dyDescent="0.2">
      <c r="A636" t="s">
        <v>1959</v>
      </c>
      <c r="B636" s="59">
        <v>41055.503877314812</v>
      </c>
      <c r="C636">
        <v>150000</v>
      </c>
      <c r="D636" t="s">
        <v>824</v>
      </c>
      <c r="E636">
        <f>tblSalaries[[#This Row],[clean Salary (in local currency)]]*VLOOKUP(tblSalaries[[#This Row],[Currency]],[1]!tblXrate[#Data],2,FALSE)</f>
        <v>2671.1875031163854</v>
      </c>
      <c r="F636" t="s">
        <v>1960</v>
      </c>
      <c r="G636" t="s">
        <v>807</v>
      </c>
      <c r="H636" t="s">
        <v>117</v>
      </c>
      <c r="I636" t="str">
        <f>VLOOKUP(tblSalaries[[#This Row],[Where do you work]],[1]!tblCountries[[Actual]:[Mapping]],2,FALSE)</f>
        <v>India</v>
      </c>
      <c r="J636" t="s">
        <v>799</v>
      </c>
      <c r="K636">
        <v>5</v>
      </c>
    </row>
    <row r="637" spans="1:11" x14ac:dyDescent="0.2">
      <c r="A637" t="s">
        <v>1961</v>
      </c>
      <c r="B637" s="59">
        <v>41055.50980324074</v>
      </c>
      <c r="C637">
        <v>800000</v>
      </c>
      <c r="D637" t="s">
        <v>824</v>
      </c>
      <c r="E637">
        <f>tblSalaries[[#This Row],[clean Salary (in local currency)]]*VLOOKUP(tblSalaries[[#This Row],[Currency]],[1]!tblXrate[#Data],2,FALSE)</f>
        <v>14246.333349954055</v>
      </c>
      <c r="F637" t="s">
        <v>802</v>
      </c>
      <c r="G637" t="s">
        <v>802</v>
      </c>
      <c r="H637" t="s">
        <v>117</v>
      </c>
      <c r="I637" t="str">
        <f>VLOOKUP(tblSalaries[[#This Row],[Where do you work]],[1]!tblCountries[[Actual]:[Mapping]],2,FALSE)</f>
        <v>India</v>
      </c>
      <c r="J637" t="s">
        <v>799</v>
      </c>
      <c r="K637">
        <v>3</v>
      </c>
    </row>
    <row r="638" spans="1:11" x14ac:dyDescent="0.2">
      <c r="A638" t="s">
        <v>1962</v>
      </c>
      <c r="B638" s="59">
        <v>41055.511817129627</v>
      </c>
      <c r="C638">
        <v>480000</v>
      </c>
      <c r="D638" t="s">
        <v>824</v>
      </c>
      <c r="E638">
        <f>tblSalaries[[#This Row],[clean Salary (in local currency)]]*VLOOKUP(tblSalaries[[#This Row],[Currency]],[1]!tblXrate[#Data],2,FALSE)</f>
        <v>8547.8000099724322</v>
      </c>
      <c r="F638" t="s">
        <v>1963</v>
      </c>
      <c r="G638" t="s">
        <v>836</v>
      </c>
      <c r="H638" t="s">
        <v>117</v>
      </c>
      <c r="I638" t="str">
        <f>VLOOKUP(tblSalaries[[#This Row],[Where do you work]],[1]!tblCountries[[Actual]:[Mapping]],2,FALSE)</f>
        <v>India</v>
      </c>
      <c r="J638" t="s">
        <v>808</v>
      </c>
      <c r="K638">
        <v>3</v>
      </c>
    </row>
    <row r="639" spans="1:11" x14ac:dyDescent="0.2">
      <c r="A639" t="s">
        <v>1964</v>
      </c>
      <c r="B639" s="59">
        <v>41055.513738425929</v>
      </c>
      <c r="C639">
        <v>432000</v>
      </c>
      <c r="D639" t="s">
        <v>824</v>
      </c>
      <c r="E639">
        <f>tblSalaries[[#This Row],[clean Salary (in local currency)]]*VLOOKUP(tblSalaries[[#This Row],[Currency]],[1]!tblXrate[#Data],2,FALSE)</f>
        <v>7693.0200089751897</v>
      </c>
      <c r="F639" t="s">
        <v>1965</v>
      </c>
      <c r="G639" t="s">
        <v>807</v>
      </c>
      <c r="H639" t="s">
        <v>117</v>
      </c>
      <c r="I639" t="str">
        <f>VLOOKUP(tblSalaries[[#This Row],[Where do you work]],[1]!tblCountries[[Actual]:[Mapping]],2,FALSE)</f>
        <v>India</v>
      </c>
      <c r="J639" t="s">
        <v>799</v>
      </c>
      <c r="K639">
        <v>5</v>
      </c>
    </row>
    <row r="640" spans="1:11" x14ac:dyDescent="0.2">
      <c r="A640" t="s">
        <v>1966</v>
      </c>
      <c r="B640" s="59">
        <v>41055.513807870368</v>
      </c>
      <c r="C640">
        <v>4000</v>
      </c>
      <c r="D640" t="s">
        <v>786</v>
      </c>
      <c r="E640">
        <f>tblSalaries[[#This Row],[clean Salary (in local currency)]]*VLOOKUP(tblSalaries[[#This Row],[Currency]],[1]!tblXrate[#Data],2,FALSE)</f>
        <v>4000</v>
      </c>
      <c r="F640" t="s">
        <v>1967</v>
      </c>
      <c r="G640" t="s">
        <v>807</v>
      </c>
      <c r="H640" t="s">
        <v>117</v>
      </c>
      <c r="I640" t="str">
        <f>VLOOKUP(tblSalaries[[#This Row],[Where do you work]],[1]!tblCountries[[Actual]:[Mapping]],2,FALSE)</f>
        <v>India</v>
      </c>
      <c r="J640" t="s">
        <v>794</v>
      </c>
      <c r="K640">
        <v>8</v>
      </c>
    </row>
    <row r="641" spans="1:11" x14ac:dyDescent="0.2">
      <c r="A641" t="s">
        <v>1968</v>
      </c>
      <c r="B641" s="59">
        <v>41055.513969907406</v>
      </c>
      <c r="C641">
        <v>5400</v>
      </c>
      <c r="D641" t="s">
        <v>786</v>
      </c>
      <c r="E641">
        <f>tblSalaries[[#This Row],[clean Salary (in local currency)]]*VLOOKUP(tblSalaries[[#This Row],[Currency]],[1]!tblXrate[#Data],2,FALSE)</f>
        <v>5400</v>
      </c>
      <c r="F641" t="s">
        <v>1772</v>
      </c>
      <c r="G641" t="s">
        <v>807</v>
      </c>
      <c r="H641" t="s">
        <v>117</v>
      </c>
      <c r="I641" t="str">
        <f>VLOOKUP(tblSalaries[[#This Row],[Where do you work]],[1]!tblCountries[[Actual]:[Mapping]],2,FALSE)</f>
        <v>India</v>
      </c>
      <c r="J641" t="s">
        <v>794</v>
      </c>
      <c r="K641">
        <v>3</v>
      </c>
    </row>
    <row r="642" spans="1:11" x14ac:dyDescent="0.2">
      <c r="A642" t="s">
        <v>1969</v>
      </c>
      <c r="B642" s="59">
        <v>41055.516134259262</v>
      </c>
      <c r="C642">
        <v>10500000</v>
      </c>
      <c r="D642" t="s">
        <v>824</v>
      </c>
      <c r="E642">
        <f>tblSalaries[[#This Row],[clean Salary (in local currency)]]*VLOOKUP(tblSalaries[[#This Row],[Currency]],[1]!tblXrate[#Data],2,FALSE)</f>
        <v>186983.12521814698</v>
      </c>
      <c r="F642" t="s">
        <v>1970</v>
      </c>
      <c r="G642" t="s">
        <v>807</v>
      </c>
      <c r="H642" t="s">
        <v>117</v>
      </c>
      <c r="I642" t="str">
        <f>VLOOKUP(tblSalaries[[#This Row],[Where do you work]],[1]!tblCountries[[Actual]:[Mapping]],2,FALSE)</f>
        <v>India</v>
      </c>
      <c r="J642" t="s">
        <v>799</v>
      </c>
      <c r="K642">
        <v>10</v>
      </c>
    </row>
    <row r="643" spans="1:11" x14ac:dyDescent="0.2">
      <c r="A643" t="s">
        <v>1971</v>
      </c>
      <c r="B643" s="59">
        <v>41055.517465277779</v>
      </c>
      <c r="C643">
        <v>21500</v>
      </c>
      <c r="D643" t="s">
        <v>786</v>
      </c>
      <c r="E643">
        <f>tblSalaries[[#This Row],[clean Salary (in local currency)]]*VLOOKUP(tblSalaries[[#This Row],[Currency]],[1]!tblXrate[#Data],2,FALSE)</f>
        <v>21500</v>
      </c>
      <c r="F643" t="s">
        <v>1972</v>
      </c>
      <c r="G643" t="s">
        <v>788</v>
      </c>
      <c r="H643" t="s">
        <v>117</v>
      </c>
      <c r="I643" t="str">
        <f>VLOOKUP(tblSalaries[[#This Row],[Where do you work]],[1]!tblCountries[[Actual]:[Mapping]],2,FALSE)</f>
        <v>India</v>
      </c>
      <c r="J643" t="s">
        <v>789</v>
      </c>
      <c r="K643">
        <v>9</v>
      </c>
    </row>
    <row r="644" spans="1:11" x14ac:dyDescent="0.2">
      <c r="A644" t="s">
        <v>1973</v>
      </c>
      <c r="B644" s="59">
        <v>41055.518437500003</v>
      </c>
      <c r="C644">
        <v>15000</v>
      </c>
      <c r="D644" t="s">
        <v>786</v>
      </c>
      <c r="E644">
        <f>tblSalaries[[#This Row],[clean Salary (in local currency)]]*VLOOKUP(tblSalaries[[#This Row],[Currency]],[1]!tblXrate[#Data],2,FALSE)</f>
        <v>15000</v>
      </c>
      <c r="F644" t="s">
        <v>1915</v>
      </c>
      <c r="G644" t="s">
        <v>836</v>
      </c>
      <c r="H644" t="s">
        <v>117</v>
      </c>
      <c r="I644" t="str">
        <f>VLOOKUP(tblSalaries[[#This Row],[Where do you work]],[1]!tblCountries[[Actual]:[Mapping]],2,FALSE)</f>
        <v>India</v>
      </c>
      <c r="J644" t="s">
        <v>794</v>
      </c>
      <c r="K644">
        <v>2</v>
      </c>
    </row>
    <row r="645" spans="1:11" x14ac:dyDescent="0.2">
      <c r="A645" t="s">
        <v>1974</v>
      </c>
      <c r="B645" s="59">
        <v>41055.51898148148</v>
      </c>
      <c r="C645">
        <v>200000</v>
      </c>
      <c r="D645" t="s">
        <v>815</v>
      </c>
      <c r="E645">
        <f>tblSalaries[[#This Row],[clean Salary (in local currency)]]*VLOOKUP(tblSalaries[[#This Row],[Currency]],[1]!tblXrate[#Data],2,FALSE)</f>
        <v>2122.8177433598262</v>
      </c>
      <c r="F645" t="s">
        <v>1975</v>
      </c>
      <c r="G645" t="s">
        <v>817</v>
      </c>
      <c r="H645" t="s">
        <v>240</v>
      </c>
      <c r="I645" t="str">
        <f>VLOOKUP(tblSalaries[[#This Row],[Where do you work]],[1]!tblCountries[[Actual]:[Mapping]],2,FALSE)</f>
        <v>Pakistan</v>
      </c>
      <c r="J645" t="s">
        <v>799</v>
      </c>
      <c r="K645">
        <v>2</v>
      </c>
    </row>
    <row r="646" spans="1:11" x14ac:dyDescent="0.2">
      <c r="A646" t="s">
        <v>1976</v>
      </c>
      <c r="B646" s="59">
        <v>41055.519502314812</v>
      </c>
      <c r="C646">
        <v>950000</v>
      </c>
      <c r="D646" t="s">
        <v>824</v>
      </c>
      <c r="E646">
        <f>tblSalaries[[#This Row],[clean Salary (in local currency)]]*VLOOKUP(tblSalaries[[#This Row],[Currency]],[1]!tblXrate[#Data],2,FALSE)</f>
        <v>16917.52085307044</v>
      </c>
      <c r="F646" t="s">
        <v>1977</v>
      </c>
      <c r="G646" t="s">
        <v>807</v>
      </c>
      <c r="H646" t="s">
        <v>117</v>
      </c>
      <c r="I646" t="str">
        <f>VLOOKUP(tblSalaries[[#This Row],[Where do you work]],[1]!tblCountries[[Actual]:[Mapping]],2,FALSE)</f>
        <v>India</v>
      </c>
      <c r="J646" t="s">
        <v>789</v>
      </c>
      <c r="K646">
        <v>3</v>
      </c>
    </row>
    <row r="647" spans="1:11" x14ac:dyDescent="0.2">
      <c r="A647" t="s">
        <v>1978</v>
      </c>
      <c r="B647" s="59">
        <v>41055.519571759258</v>
      </c>
      <c r="C647">
        <v>165000</v>
      </c>
      <c r="D647" t="s">
        <v>824</v>
      </c>
      <c r="E647">
        <f>tblSalaries[[#This Row],[clean Salary (in local currency)]]*VLOOKUP(tblSalaries[[#This Row],[Currency]],[1]!tblXrate[#Data],2,FALSE)</f>
        <v>2938.3062534280239</v>
      </c>
      <c r="F647" t="s">
        <v>1979</v>
      </c>
      <c r="G647" t="s">
        <v>807</v>
      </c>
      <c r="H647" t="s">
        <v>117</v>
      </c>
      <c r="I647" t="str">
        <f>VLOOKUP(tblSalaries[[#This Row],[Where do you work]],[1]!tblCountries[[Actual]:[Mapping]],2,FALSE)</f>
        <v>India</v>
      </c>
      <c r="J647" t="s">
        <v>794</v>
      </c>
      <c r="K647">
        <v>11</v>
      </c>
    </row>
    <row r="648" spans="1:11" x14ac:dyDescent="0.2">
      <c r="A648" t="s">
        <v>1980</v>
      </c>
      <c r="B648" s="59">
        <v>41055.521087962959</v>
      </c>
      <c r="C648">
        <v>16800</v>
      </c>
      <c r="D648" t="s">
        <v>786</v>
      </c>
      <c r="E648">
        <f>tblSalaries[[#This Row],[clean Salary (in local currency)]]*VLOOKUP(tblSalaries[[#This Row],[Currency]],[1]!tblXrate[#Data],2,FALSE)</f>
        <v>16800</v>
      </c>
      <c r="F648" t="s">
        <v>1840</v>
      </c>
      <c r="G648" t="s">
        <v>788</v>
      </c>
      <c r="H648" t="s">
        <v>240</v>
      </c>
      <c r="I648" t="str">
        <f>VLOOKUP(tblSalaries[[#This Row],[Where do you work]],[1]!tblCountries[[Actual]:[Mapping]],2,FALSE)</f>
        <v>Pakistan</v>
      </c>
      <c r="J648" t="s">
        <v>789</v>
      </c>
      <c r="K648">
        <v>12</v>
      </c>
    </row>
    <row r="649" spans="1:11" x14ac:dyDescent="0.2">
      <c r="A649" t="s">
        <v>1981</v>
      </c>
      <c r="B649" s="59">
        <v>41055.521863425929</v>
      </c>
      <c r="C649">
        <v>37000</v>
      </c>
      <c r="D649" t="s">
        <v>786</v>
      </c>
      <c r="E649">
        <f>tblSalaries[[#This Row],[clean Salary (in local currency)]]*VLOOKUP(tblSalaries[[#This Row],[Currency]],[1]!tblXrate[#Data],2,FALSE)</f>
        <v>37000</v>
      </c>
      <c r="F649" t="s">
        <v>1982</v>
      </c>
      <c r="G649" t="s">
        <v>802</v>
      </c>
      <c r="H649" t="s">
        <v>117</v>
      </c>
      <c r="I649" t="str">
        <f>VLOOKUP(tblSalaries[[#This Row],[Where do you work]],[1]!tblCountries[[Actual]:[Mapping]],2,FALSE)</f>
        <v>India</v>
      </c>
      <c r="J649" t="s">
        <v>789</v>
      </c>
      <c r="K649">
        <v>10</v>
      </c>
    </row>
    <row r="650" spans="1:11" x14ac:dyDescent="0.2">
      <c r="A650" t="s">
        <v>1983</v>
      </c>
      <c r="B650" s="59">
        <v>41055.523472222223</v>
      </c>
      <c r="C650">
        <v>300000</v>
      </c>
      <c r="D650" t="s">
        <v>824</v>
      </c>
      <c r="E650">
        <f>tblSalaries[[#This Row],[clean Salary (in local currency)]]*VLOOKUP(tblSalaries[[#This Row],[Currency]],[1]!tblXrate[#Data],2,FALSE)</f>
        <v>5342.3750062327708</v>
      </c>
      <c r="F650" t="s">
        <v>1984</v>
      </c>
      <c r="G650" t="s">
        <v>788</v>
      </c>
      <c r="H650" t="s">
        <v>117</v>
      </c>
      <c r="I650" t="str">
        <f>VLOOKUP(tblSalaries[[#This Row],[Where do you work]],[1]!tblCountries[[Actual]:[Mapping]],2,FALSE)</f>
        <v>India</v>
      </c>
      <c r="J650" t="s">
        <v>789</v>
      </c>
      <c r="K650">
        <v>4.5</v>
      </c>
    </row>
    <row r="651" spans="1:11" x14ac:dyDescent="0.2">
      <c r="A651" t="s">
        <v>1985</v>
      </c>
      <c r="B651" s="59">
        <v>41055.524791666663</v>
      </c>
      <c r="C651">
        <v>200000</v>
      </c>
      <c r="D651" t="s">
        <v>824</v>
      </c>
      <c r="E651">
        <f>tblSalaries[[#This Row],[clean Salary (in local currency)]]*VLOOKUP(tblSalaries[[#This Row],[Currency]],[1]!tblXrate[#Data],2,FALSE)</f>
        <v>3561.5833374885137</v>
      </c>
      <c r="F651" t="s">
        <v>1986</v>
      </c>
      <c r="G651" t="s">
        <v>836</v>
      </c>
      <c r="H651" t="s">
        <v>117</v>
      </c>
      <c r="I651" t="str">
        <f>VLOOKUP(tblSalaries[[#This Row],[Where do you work]],[1]!tblCountries[[Actual]:[Mapping]],2,FALSE)</f>
        <v>India</v>
      </c>
      <c r="J651" t="s">
        <v>794</v>
      </c>
      <c r="K651">
        <v>3</v>
      </c>
    </row>
    <row r="652" spans="1:11" x14ac:dyDescent="0.2">
      <c r="A652" t="s">
        <v>1987</v>
      </c>
      <c r="B652" s="59">
        <v>41055.525613425925</v>
      </c>
      <c r="C652">
        <v>480000</v>
      </c>
      <c r="D652" t="s">
        <v>824</v>
      </c>
      <c r="E652">
        <f>tblSalaries[[#This Row],[clean Salary (in local currency)]]*VLOOKUP(tblSalaries[[#This Row],[Currency]],[1]!tblXrate[#Data],2,FALSE)</f>
        <v>8547.8000099724322</v>
      </c>
      <c r="F652" t="s">
        <v>1988</v>
      </c>
      <c r="G652" t="s">
        <v>807</v>
      </c>
      <c r="H652" t="s">
        <v>117</v>
      </c>
      <c r="I652" t="str">
        <f>VLOOKUP(tblSalaries[[#This Row],[Where do you work]],[1]!tblCountries[[Actual]:[Mapping]],2,FALSE)</f>
        <v>India</v>
      </c>
      <c r="J652" t="s">
        <v>799</v>
      </c>
      <c r="K652">
        <v>8</v>
      </c>
    </row>
    <row r="653" spans="1:11" x14ac:dyDescent="0.2">
      <c r="A653" t="s">
        <v>1989</v>
      </c>
      <c r="B653" s="59">
        <v>41055.53224537037</v>
      </c>
      <c r="C653">
        <v>5800</v>
      </c>
      <c r="D653" t="s">
        <v>786</v>
      </c>
      <c r="E653">
        <f>tblSalaries[[#This Row],[clean Salary (in local currency)]]*VLOOKUP(tblSalaries[[#This Row],[Currency]],[1]!tblXrate[#Data],2,FALSE)</f>
        <v>5800</v>
      </c>
      <c r="F653" t="s">
        <v>1990</v>
      </c>
      <c r="G653" t="s">
        <v>807</v>
      </c>
      <c r="H653" t="s">
        <v>117</v>
      </c>
      <c r="I653" t="str">
        <f>VLOOKUP(tblSalaries[[#This Row],[Where do you work]],[1]!tblCountries[[Actual]:[Mapping]],2,FALSE)</f>
        <v>India</v>
      </c>
      <c r="J653" t="s">
        <v>794</v>
      </c>
      <c r="K653">
        <v>8</v>
      </c>
    </row>
    <row r="654" spans="1:11" x14ac:dyDescent="0.2">
      <c r="A654" t="s">
        <v>1991</v>
      </c>
      <c r="B654" s="59">
        <v>41055.533553240741</v>
      </c>
      <c r="C654">
        <v>230000</v>
      </c>
      <c r="D654" t="s">
        <v>824</v>
      </c>
      <c r="E654">
        <f>tblSalaries[[#This Row],[clean Salary (in local currency)]]*VLOOKUP(tblSalaries[[#This Row],[Currency]],[1]!tblXrate[#Data],2,FALSE)</f>
        <v>4095.8208381117906</v>
      </c>
      <c r="F654" t="s">
        <v>1915</v>
      </c>
      <c r="G654" t="s">
        <v>836</v>
      </c>
      <c r="H654" t="s">
        <v>117</v>
      </c>
      <c r="I654" t="str">
        <f>VLOOKUP(tblSalaries[[#This Row],[Where do you work]],[1]!tblCountries[[Actual]:[Mapping]],2,FALSE)</f>
        <v>India</v>
      </c>
      <c r="J654" t="s">
        <v>794</v>
      </c>
      <c r="K654">
        <v>3</v>
      </c>
    </row>
    <row r="655" spans="1:11" x14ac:dyDescent="0.2">
      <c r="A655" t="s">
        <v>1992</v>
      </c>
      <c r="B655" s="59">
        <v>41055.534814814811</v>
      </c>
      <c r="C655">
        <v>276000</v>
      </c>
      <c r="D655" t="s">
        <v>824</v>
      </c>
      <c r="E655">
        <f>tblSalaries[[#This Row],[clean Salary (in local currency)]]*VLOOKUP(tblSalaries[[#This Row],[Currency]],[1]!tblXrate[#Data],2,FALSE)</f>
        <v>4914.9850057341491</v>
      </c>
      <c r="F655" t="s">
        <v>1993</v>
      </c>
      <c r="G655" t="s">
        <v>807</v>
      </c>
      <c r="H655" t="s">
        <v>240</v>
      </c>
      <c r="I655" t="str">
        <f>VLOOKUP(tblSalaries[[#This Row],[Where do you work]],[1]!tblCountries[[Actual]:[Mapping]],2,FALSE)</f>
        <v>Pakistan</v>
      </c>
      <c r="J655" t="s">
        <v>808</v>
      </c>
      <c r="K655">
        <v>3</v>
      </c>
    </row>
    <row r="656" spans="1:11" x14ac:dyDescent="0.2">
      <c r="A656" t="s">
        <v>1994</v>
      </c>
      <c r="B656" s="59">
        <v>41055.536539351851</v>
      </c>
      <c r="C656">
        <v>24000</v>
      </c>
      <c r="D656" t="s">
        <v>786</v>
      </c>
      <c r="E656">
        <f>tblSalaries[[#This Row],[clean Salary (in local currency)]]*VLOOKUP(tblSalaries[[#This Row],[Currency]],[1]!tblXrate[#Data],2,FALSE)</f>
        <v>24000</v>
      </c>
      <c r="F656" t="s">
        <v>1995</v>
      </c>
      <c r="G656" t="s">
        <v>807</v>
      </c>
      <c r="H656" t="s">
        <v>1996</v>
      </c>
      <c r="I656" t="str">
        <f>VLOOKUP(tblSalaries[[#This Row],[Where do you work]],[1]!tblCountries[[Actual]:[Mapping]],2,FALSE)</f>
        <v>Saudi Arabia</v>
      </c>
      <c r="J656" t="s">
        <v>789</v>
      </c>
      <c r="K656">
        <v>12</v>
      </c>
    </row>
    <row r="657" spans="1:11" x14ac:dyDescent="0.2">
      <c r="A657" t="s">
        <v>1997</v>
      </c>
      <c r="B657" s="59">
        <v>41055.537303240744</v>
      </c>
      <c r="C657">
        <v>24000</v>
      </c>
      <c r="D657" t="s">
        <v>786</v>
      </c>
      <c r="E657">
        <f>tblSalaries[[#This Row],[clean Salary (in local currency)]]*VLOOKUP(tblSalaries[[#This Row],[Currency]],[1]!tblXrate[#Data],2,FALSE)</f>
        <v>24000</v>
      </c>
      <c r="F657" t="s">
        <v>817</v>
      </c>
      <c r="G657" t="s">
        <v>817</v>
      </c>
      <c r="H657" t="s">
        <v>1022</v>
      </c>
      <c r="I657" t="str">
        <f>VLOOKUP(tblSalaries[[#This Row],[Where do you work]],[1]!tblCountries[[Actual]:[Mapping]],2,FALSE)</f>
        <v>UAE</v>
      </c>
      <c r="J657" t="s">
        <v>799</v>
      </c>
      <c r="K657">
        <v>15</v>
      </c>
    </row>
    <row r="658" spans="1:11" x14ac:dyDescent="0.2">
      <c r="A658" t="s">
        <v>1998</v>
      </c>
      <c r="B658" s="59">
        <v>41055.537673611114</v>
      </c>
      <c r="C658">
        <v>8738</v>
      </c>
      <c r="D658" t="s">
        <v>786</v>
      </c>
      <c r="E658">
        <f>tblSalaries[[#This Row],[clean Salary (in local currency)]]*VLOOKUP(tblSalaries[[#This Row],[Currency]],[1]!tblXrate[#Data],2,FALSE)</f>
        <v>8738</v>
      </c>
      <c r="F658" t="s">
        <v>1999</v>
      </c>
      <c r="G658" t="s">
        <v>807</v>
      </c>
      <c r="H658" t="s">
        <v>117</v>
      </c>
      <c r="I658" t="str">
        <f>VLOOKUP(tblSalaries[[#This Row],[Where do you work]],[1]!tblCountries[[Actual]:[Mapping]],2,FALSE)</f>
        <v>India</v>
      </c>
      <c r="J658" t="s">
        <v>794</v>
      </c>
      <c r="K658">
        <v>7.3</v>
      </c>
    </row>
    <row r="659" spans="1:11" x14ac:dyDescent="0.2">
      <c r="A659" t="s">
        <v>2000</v>
      </c>
      <c r="B659" s="59">
        <v>41055.537916666668</v>
      </c>
      <c r="C659">
        <v>15000</v>
      </c>
      <c r="D659" t="s">
        <v>786</v>
      </c>
      <c r="E659">
        <f>tblSalaries[[#This Row],[clean Salary (in local currency)]]*VLOOKUP(tblSalaries[[#This Row],[Currency]],[1]!tblXrate[#Data],2,FALSE)</f>
        <v>15000</v>
      </c>
      <c r="F659" t="s">
        <v>2001</v>
      </c>
      <c r="G659" t="s">
        <v>788</v>
      </c>
      <c r="H659" t="s">
        <v>119</v>
      </c>
      <c r="I659" t="str">
        <f>VLOOKUP(tblSalaries[[#This Row],[Where do you work]],[1]!tblCountries[[Actual]:[Mapping]],2,FALSE)</f>
        <v>Indonesia</v>
      </c>
      <c r="J659" t="s">
        <v>789</v>
      </c>
      <c r="K659">
        <v>1</v>
      </c>
    </row>
    <row r="660" spans="1:11" x14ac:dyDescent="0.2">
      <c r="A660" t="s">
        <v>2002</v>
      </c>
      <c r="B660" s="59">
        <v>41055.538298611114</v>
      </c>
      <c r="C660">
        <v>56400</v>
      </c>
      <c r="D660" t="s">
        <v>786</v>
      </c>
      <c r="E660">
        <f>tblSalaries[[#This Row],[clean Salary (in local currency)]]*VLOOKUP(tblSalaries[[#This Row],[Currency]],[1]!tblXrate[#Data],2,FALSE)</f>
        <v>56400</v>
      </c>
      <c r="F660" t="s">
        <v>1780</v>
      </c>
      <c r="G660" t="s">
        <v>807</v>
      </c>
      <c r="H660" t="s">
        <v>1022</v>
      </c>
      <c r="I660" t="str">
        <f>VLOOKUP(tblSalaries[[#This Row],[Where do you work]],[1]!tblCountries[[Actual]:[Mapping]],2,FALSE)</f>
        <v>UAE</v>
      </c>
      <c r="J660" t="s">
        <v>799</v>
      </c>
      <c r="K660">
        <v>6</v>
      </c>
    </row>
    <row r="661" spans="1:11" x14ac:dyDescent="0.2">
      <c r="A661" t="s">
        <v>2003</v>
      </c>
      <c r="B661" s="59">
        <v>41055.541122685187</v>
      </c>
      <c r="C661">
        <v>10200</v>
      </c>
      <c r="D661" t="s">
        <v>786</v>
      </c>
      <c r="E661">
        <f>tblSalaries[[#This Row],[clean Salary (in local currency)]]*VLOOKUP(tblSalaries[[#This Row],[Currency]],[1]!tblXrate[#Data],2,FALSE)</f>
        <v>10200</v>
      </c>
      <c r="F661" t="s">
        <v>827</v>
      </c>
      <c r="G661" t="s">
        <v>788</v>
      </c>
      <c r="H661" t="s">
        <v>117</v>
      </c>
      <c r="I661" t="str">
        <f>VLOOKUP(tblSalaries[[#This Row],[Where do you work]],[1]!tblCountries[[Actual]:[Mapping]],2,FALSE)</f>
        <v>India</v>
      </c>
      <c r="J661" t="s">
        <v>789</v>
      </c>
      <c r="K661">
        <v>4.5</v>
      </c>
    </row>
    <row r="662" spans="1:11" x14ac:dyDescent="0.2">
      <c r="A662" t="s">
        <v>2004</v>
      </c>
      <c r="B662" s="59">
        <v>41055.541446759256</v>
      </c>
      <c r="C662">
        <v>325000</v>
      </c>
      <c r="D662" t="s">
        <v>824</v>
      </c>
      <c r="E662">
        <f>tblSalaries[[#This Row],[clean Salary (in local currency)]]*VLOOKUP(tblSalaries[[#This Row],[Currency]],[1]!tblXrate[#Data],2,FALSE)</f>
        <v>5787.5729234188348</v>
      </c>
      <c r="F662" t="s">
        <v>1915</v>
      </c>
      <c r="G662" t="s">
        <v>836</v>
      </c>
      <c r="H662" t="s">
        <v>117</v>
      </c>
      <c r="I662" t="str">
        <f>VLOOKUP(tblSalaries[[#This Row],[Where do you work]],[1]!tblCountries[[Actual]:[Mapping]],2,FALSE)</f>
        <v>India</v>
      </c>
      <c r="J662" t="s">
        <v>794</v>
      </c>
      <c r="K662">
        <v>4.5</v>
      </c>
    </row>
    <row r="663" spans="1:11" x14ac:dyDescent="0.2">
      <c r="A663" t="s">
        <v>2005</v>
      </c>
      <c r="B663" s="59">
        <v>41055.542870370373</v>
      </c>
      <c r="C663">
        <v>105000</v>
      </c>
      <c r="D663" t="s">
        <v>786</v>
      </c>
      <c r="E663">
        <f>tblSalaries[[#This Row],[clean Salary (in local currency)]]*VLOOKUP(tblSalaries[[#This Row],[Currency]],[1]!tblXrate[#Data],2,FALSE)</f>
        <v>105000</v>
      </c>
      <c r="F663" t="s">
        <v>866</v>
      </c>
      <c r="G663" t="s">
        <v>867</v>
      </c>
      <c r="H663" t="s">
        <v>15</v>
      </c>
      <c r="I663" t="str">
        <f>VLOOKUP(tblSalaries[[#This Row],[Where do you work]],[1]!tblCountries[[Actual]:[Mapping]],2,FALSE)</f>
        <v>USA</v>
      </c>
      <c r="J663" t="s">
        <v>799</v>
      </c>
      <c r="K663">
        <v>15</v>
      </c>
    </row>
    <row r="664" spans="1:11" x14ac:dyDescent="0.2">
      <c r="A664" t="s">
        <v>2006</v>
      </c>
      <c r="B664" s="59">
        <v>41055.542974537035</v>
      </c>
      <c r="C664">
        <v>250000</v>
      </c>
      <c r="D664" t="s">
        <v>824</v>
      </c>
      <c r="E664">
        <f>tblSalaries[[#This Row],[clean Salary (in local currency)]]*VLOOKUP(tblSalaries[[#This Row],[Currency]],[1]!tblXrate[#Data],2,FALSE)</f>
        <v>4451.9791718606421</v>
      </c>
      <c r="F664" t="s">
        <v>2007</v>
      </c>
      <c r="G664" t="s">
        <v>807</v>
      </c>
      <c r="H664" t="s">
        <v>117</v>
      </c>
      <c r="I664" t="str">
        <f>VLOOKUP(tblSalaries[[#This Row],[Where do you work]],[1]!tblCountries[[Actual]:[Mapping]],2,FALSE)</f>
        <v>India</v>
      </c>
      <c r="J664" t="s">
        <v>799</v>
      </c>
      <c r="K664">
        <v>5</v>
      </c>
    </row>
    <row r="665" spans="1:11" x14ac:dyDescent="0.2">
      <c r="A665" t="s">
        <v>2008</v>
      </c>
      <c r="B665" s="59">
        <v>41055.543634259258</v>
      </c>
      <c r="C665">
        <v>470000</v>
      </c>
      <c r="D665" t="s">
        <v>824</v>
      </c>
      <c r="E665">
        <f>tblSalaries[[#This Row],[clean Salary (in local currency)]]*VLOOKUP(tblSalaries[[#This Row],[Currency]],[1]!tblXrate[#Data],2,FALSE)</f>
        <v>8369.7208430980063</v>
      </c>
      <c r="F665" t="s">
        <v>867</v>
      </c>
      <c r="G665" t="s">
        <v>867</v>
      </c>
      <c r="H665" t="s">
        <v>117</v>
      </c>
      <c r="I665" t="str">
        <f>VLOOKUP(tblSalaries[[#This Row],[Where do you work]],[1]!tblCountries[[Actual]:[Mapping]],2,FALSE)</f>
        <v>India</v>
      </c>
      <c r="J665" t="s">
        <v>794</v>
      </c>
      <c r="K665">
        <v>4</v>
      </c>
    </row>
    <row r="666" spans="1:11" x14ac:dyDescent="0.2">
      <c r="A666" t="s">
        <v>2009</v>
      </c>
      <c r="B666" s="59">
        <v>41055.544120370374</v>
      </c>
      <c r="C666">
        <v>720000</v>
      </c>
      <c r="D666" t="s">
        <v>1314</v>
      </c>
      <c r="E666">
        <f>tblSalaries[[#This Row],[clean Salary (in local currency)]]*VLOOKUP(tblSalaries[[#This Row],[Currency]],[1]!tblXrate[#Data],2,FALSE)</f>
        <v>17067.637625607145</v>
      </c>
      <c r="F666" t="s">
        <v>1487</v>
      </c>
      <c r="G666" t="s">
        <v>807</v>
      </c>
      <c r="H666" t="s">
        <v>252</v>
      </c>
      <c r="I666" t="str">
        <f>VLOOKUP(tblSalaries[[#This Row],[Where do you work]],[1]!tblCountries[[Actual]:[Mapping]],2,FALSE)</f>
        <v>Philippines</v>
      </c>
      <c r="J666" t="s">
        <v>789</v>
      </c>
      <c r="K666">
        <v>9</v>
      </c>
    </row>
    <row r="667" spans="1:11" x14ac:dyDescent="0.2">
      <c r="A667" t="s">
        <v>2010</v>
      </c>
      <c r="B667" s="59">
        <v>41055.544421296298</v>
      </c>
      <c r="C667">
        <v>100000</v>
      </c>
      <c r="D667" t="s">
        <v>877</v>
      </c>
      <c r="E667">
        <f>tblSalaries[[#This Row],[clean Salary (in local currency)]]*VLOOKUP(tblSalaries[[#This Row],[Currency]],[1]!tblXrate[#Data],2,FALSE)</f>
        <v>101990.96564026357</v>
      </c>
      <c r="F667" t="s">
        <v>2011</v>
      </c>
      <c r="G667" t="s">
        <v>807</v>
      </c>
      <c r="H667" t="s">
        <v>33</v>
      </c>
      <c r="I667" t="str">
        <f>VLOOKUP(tblSalaries[[#This Row],[Where do you work]],[1]!tblCountries[[Actual]:[Mapping]],2,FALSE)</f>
        <v>Australia</v>
      </c>
      <c r="J667" t="s">
        <v>808</v>
      </c>
      <c r="K667">
        <v>20</v>
      </c>
    </row>
    <row r="668" spans="1:11" x14ac:dyDescent="0.2">
      <c r="A668" t="s">
        <v>2012</v>
      </c>
      <c r="B668" s="59">
        <v>41055.545173611114</v>
      </c>
      <c r="C668">
        <v>220000</v>
      </c>
      <c r="D668" t="s">
        <v>824</v>
      </c>
      <c r="E668">
        <f>tblSalaries[[#This Row],[clean Salary (in local currency)]]*VLOOKUP(tblSalaries[[#This Row],[Currency]],[1]!tblXrate[#Data],2,FALSE)</f>
        <v>3917.7416712373652</v>
      </c>
      <c r="F668" t="s">
        <v>2013</v>
      </c>
      <c r="G668" t="s">
        <v>788</v>
      </c>
      <c r="H668" t="s">
        <v>117</v>
      </c>
      <c r="I668" t="str">
        <f>VLOOKUP(tblSalaries[[#This Row],[Where do you work]],[1]!tblCountries[[Actual]:[Mapping]],2,FALSE)</f>
        <v>India</v>
      </c>
      <c r="J668" t="s">
        <v>799</v>
      </c>
      <c r="K668">
        <v>3</v>
      </c>
    </row>
    <row r="669" spans="1:11" x14ac:dyDescent="0.2">
      <c r="A669" t="s">
        <v>2014</v>
      </c>
      <c r="B669" s="59">
        <v>41055.547673611109</v>
      </c>
      <c r="C669">
        <v>52000</v>
      </c>
      <c r="D669" t="s">
        <v>786</v>
      </c>
      <c r="E669">
        <f>tblSalaries[[#This Row],[clean Salary (in local currency)]]*VLOOKUP(tblSalaries[[#This Row],[Currency]],[1]!tblXrate[#Data],2,FALSE)</f>
        <v>52000</v>
      </c>
      <c r="F669" t="s">
        <v>2015</v>
      </c>
      <c r="G669" t="s">
        <v>820</v>
      </c>
      <c r="H669" t="s">
        <v>15</v>
      </c>
      <c r="I669" t="str">
        <f>VLOOKUP(tblSalaries[[#This Row],[Where do you work]],[1]!tblCountries[[Actual]:[Mapping]],2,FALSE)</f>
        <v>USA</v>
      </c>
      <c r="J669" t="s">
        <v>789</v>
      </c>
      <c r="K669">
        <v>18</v>
      </c>
    </row>
    <row r="670" spans="1:11" x14ac:dyDescent="0.2">
      <c r="A670" t="s">
        <v>2016</v>
      </c>
      <c r="B670" s="59">
        <v>41055.549317129633</v>
      </c>
      <c r="C670">
        <v>260000</v>
      </c>
      <c r="D670" t="s">
        <v>824</v>
      </c>
      <c r="E670">
        <f>tblSalaries[[#This Row],[clean Salary (in local currency)]]*VLOOKUP(tblSalaries[[#This Row],[Currency]],[1]!tblXrate[#Data],2,FALSE)</f>
        <v>4630.058338735068</v>
      </c>
      <c r="F670" t="s">
        <v>788</v>
      </c>
      <c r="G670" t="s">
        <v>788</v>
      </c>
      <c r="H670" t="s">
        <v>117</v>
      </c>
      <c r="I670" t="str">
        <f>VLOOKUP(tblSalaries[[#This Row],[Where do you work]],[1]!tblCountries[[Actual]:[Mapping]],2,FALSE)</f>
        <v>India</v>
      </c>
      <c r="J670" t="s">
        <v>789</v>
      </c>
      <c r="K670">
        <v>2</v>
      </c>
    </row>
    <row r="671" spans="1:11" x14ac:dyDescent="0.2">
      <c r="A671" t="s">
        <v>2017</v>
      </c>
      <c r="B671" s="59">
        <v>41055.550555555557</v>
      </c>
      <c r="C671">
        <v>120000</v>
      </c>
      <c r="D671" t="s">
        <v>824</v>
      </c>
      <c r="E671">
        <f>tblSalaries[[#This Row],[clean Salary (in local currency)]]*VLOOKUP(tblSalaries[[#This Row],[Currency]],[1]!tblXrate[#Data],2,FALSE)</f>
        <v>2136.9500024931081</v>
      </c>
      <c r="F671" t="s">
        <v>984</v>
      </c>
      <c r="G671" t="s">
        <v>788</v>
      </c>
      <c r="H671" t="s">
        <v>117</v>
      </c>
      <c r="I671" t="str">
        <f>VLOOKUP(tblSalaries[[#This Row],[Where do you work]],[1]!tblCountries[[Actual]:[Mapping]],2,FALSE)</f>
        <v>India</v>
      </c>
      <c r="J671" t="s">
        <v>799</v>
      </c>
      <c r="K671">
        <v>3</v>
      </c>
    </row>
    <row r="672" spans="1:11" x14ac:dyDescent="0.2">
      <c r="A672" t="s">
        <v>2018</v>
      </c>
      <c r="B672" s="59">
        <v>41055.553020833337</v>
      </c>
      <c r="C672">
        <v>13000</v>
      </c>
      <c r="D672" t="s">
        <v>786</v>
      </c>
      <c r="E672">
        <f>tblSalaries[[#This Row],[clean Salary (in local currency)]]*VLOOKUP(tblSalaries[[#This Row],[Currency]],[1]!tblXrate[#Data],2,FALSE)</f>
        <v>13000</v>
      </c>
      <c r="F672" t="s">
        <v>788</v>
      </c>
      <c r="G672" t="s">
        <v>788</v>
      </c>
      <c r="H672" t="s">
        <v>117</v>
      </c>
      <c r="I672" t="str">
        <f>VLOOKUP(tblSalaries[[#This Row],[Where do you work]],[1]!tblCountries[[Actual]:[Mapping]],2,FALSE)</f>
        <v>India</v>
      </c>
      <c r="J672" t="s">
        <v>808</v>
      </c>
      <c r="K672">
        <v>4</v>
      </c>
    </row>
    <row r="673" spans="1:11" x14ac:dyDescent="0.2">
      <c r="A673" t="s">
        <v>2019</v>
      </c>
      <c r="B673" s="59">
        <v>41055.553888888891</v>
      </c>
      <c r="C673">
        <v>144000</v>
      </c>
      <c r="D673" t="s">
        <v>824</v>
      </c>
      <c r="E673">
        <f>tblSalaries[[#This Row],[clean Salary (in local currency)]]*VLOOKUP(tblSalaries[[#This Row],[Currency]],[1]!tblXrate[#Data],2,FALSE)</f>
        <v>2564.3400029917298</v>
      </c>
      <c r="F673" t="s">
        <v>2020</v>
      </c>
      <c r="G673" t="s">
        <v>807</v>
      </c>
      <c r="H673" t="s">
        <v>117</v>
      </c>
      <c r="I673" t="str">
        <f>VLOOKUP(tblSalaries[[#This Row],[Where do you work]],[1]!tblCountries[[Actual]:[Mapping]],2,FALSE)</f>
        <v>India</v>
      </c>
      <c r="J673" t="s">
        <v>799</v>
      </c>
      <c r="K673">
        <v>7</v>
      </c>
    </row>
    <row r="674" spans="1:11" x14ac:dyDescent="0.2">
      <c r="A674" t="s">
        <v>2021</v>
      </c>
      <c r="B674" s="59">
        <v>41055.554201388892</v>
      </c>
      <c r="C674">
        <v>1150000</v>
      </c>
      <c r="D674" t="s">
        <v>824</v>
      </c>
      <c r="E674">
        <f>tblSalaries[[#This Row],[clean Salary (in local currency)]]*VLOOKUP(tblSalaries[[#This Row],[Currency]],[1]!tblXrate[#Data],2,FALSE)</f>
        <v>20479.104190558952</v>
      </c>
      <c r="F674" t="s">
        <v>2022</v>
      </c>
      <c r="G674" t="s">
        <v>807</v>
      </c>
      <c r="H674" t="s">
        <v>117</v>
      </c>
      <c r="I674" t="str">
        <f>VLOOKUP(tblSalaries[[#This Row],[Where do you work]],[1]!tblCountries[[Actual]:[Mapping]],2,FALSE)</f>
        <v>India</v>
      </c>
      <c r="J674" t="s">
        <v>799</v>
      </c>
      <c r="K674">
        <v>7</v>
      </c>
    </row>
    <row r="675" spans="1:11" x14ac:dyDescent="0.2">
      <c r="A675" t="s">
        <v>2023</v>
      </c>
      <c r="B675" s="59">
        <v>41055.554537037038</v>
      </c>
      <c r="C675">
        <v>33500</v>
      </c>
      <c r="D675" t="s">
        <v>786</v>
      </c>
      <c r="E675">
        <f>tblSalaries[[#This Row],[clean Salary (in local currency)]]*VLOOKUP(tblSalaries[[#This Row],[Currency]],[1]!tblXrate[#Data],2,FALSE)</f>
        <v>33500</v>
      </c>
      <c r="F675" t="s">
        <v>2024</v>
      </c>
      <c r="G675" t="s">
        <v>817</v>
      </c>
      <c r="H675" t="s">
        <v>1334</v>
      </c>
      <c r="I675" t="str">
        <f>VLOOKUP(tblSalaries[[#This Row],[Where do you work]],[1]!tblCountries[[Actual]:[Mapping]],2,FALSE)</f>
        <v>Dubai</v>
      </c>
      <c r="J675" t="s">
        <v>808</v>
      </c>
      <c r="K675">
        <v>10</v>
      </c>
    </row>
    <row r="676" spans="1:11" x14ac:dyDescent="0.2">
      <c r="A676" t="s">
        <v>2025</v>
      </c>
      <c r="B676" s="59">
        <v>41055.555347222224</v>
      </c>
      <c r="C676">
        <v>50000</v>
      </c>
      <c r="D676" t="s">
        <v>786</v>
      </c>
      <c r="E676">
        <f>tblSalaries[[#This Row],[clean Salary (in local currency)]]*VLOOKUP(tblSalaries[[#This Row],[Currency]],[1]!tblXrate[#Data],2,FALSE)</f>
        <v>50000</v>
      </c>
      <c r="F676" t="s">
        <v>2026</v>
      </c>
      <c r="G676" t="s">
        <v>807</v>
      </c>
      <c r="H676" t="s">
        <v>117</v>
      </c>
      <c r="I676" t="str">
        <f>VLOOKUP(tblSalaries[[#This Row],[Where do you work]],[1]!tblCountries[[Actual]:[Mapping]],2,FALSE)</f>
        <v>India</v>
      </c>
      <c r="J676" t="s">
        <v>799</v>
      </c>
      <c r="K676">
        <v>20</v>
      </c>
    </row>
    <row r="677" spans="1:11" x14ac:dyDescent="0.2">
      <c r="A677" t="s">
        <v>2027</v>
      </c>
      <c r="B677" s="59">
        <v>41055.557442129626</v>
      </c>
      <c r="C677">
        <v>300000</v>
      </c>
      <c r="D677" t="s">
        <v>824</v>
      </c>
      <c r="E677">
        <f>tblSalaries[[#This Row],[clean Salary (in local currency)]]*VLOOKUP(tblSalaries[[#This Row],[Currency]],[1]!tblXrate[#Data],2,FALSE)</f>
        <v>5342.3750062327708</v>
      </c>
      <c r="F677" t="s">
        <v>2028</v>
      </c>
      <c r="G677" t="s">
        <v>807</v>
      </c>
      <c r="H677" t="s">
        <v>117</v>
      </c>
      <c r="I677" t="str">
        <f>VLOOKUP(tblSalaries[[#This Row],[Where do you work]],[1]!tblCountries[[Actual]:[Mapping]],2,FALSE)</f>
        <v>India</v>
      </c>
      <c r="J677" t="s">
        <v>799</v>
      </c>
      <c r="K677">
        <v>3</v>
      </c>
    </row>
    <row r="678" spans="1:11" x14ac:dyDescent="0.2">
      <c r="A678" t="s">
        <v>2029</v>
      </c>
      <c r="B678" s="59">
        <v>41055.558391203704</v>
      </c>
      <c r="C678">
        <v>648000</v>
      </c>
      <c r="D678" t="s">
        <v>824</v>
      </c>
      <c r="E678">
        <f>tblSalaries[[#This Row],[clean Salary (in local currency)]]*VLOOKUP(tblSalaries[[#This Row],[Currency]],[1]!tblXrate[#Data],2,FALSE)</f>
        <v>11539.530013462785</v>
      </c>
      <c r="F678" t="s">
        <v>2030</v>
      </c>
      <c r="G678" t="s">
        <v>788</v>
      </c>
      <c r="H678" t="s">
        <v>117</v>
      </c>
      <c r="I678" t="str">
        <f>VLOOKUP(tblSalaries[[#This Row],[Where do you work]],[1]!tblCountries[[Actual]:[Mapping]],2,FALSE)</f>
        <v>India</v>
      </c>
      <c r="J678" t="s">
        <v>794</v>
      </c>
      <c r="K678">
        <v>2</v>
      </c>
    </row>
    <row r="679" spans="1:11" x14ac:dyDescent="0.2">
      <c r="A679" t="s">
        <v>2031</v>
      </c>
      <c r="B679" s="59">
        <v>41055.558495370373</v>
      </c>
      <c r="C679">
        <v>7000</v>
      </c>
      <c r="D679" t="s">
        <v>786</v>
      </c>
      <c r="E679">
        <f>tblSalaries[[#This Row],[clean Salary (in local currency)]]*VLOOKUP(tblSalaries[[#This Row],[Currency]],[1]!tblXrate[#Data],2,FALSE)</f>
        <v>7000</v>
      </c>
      <c r="F679" t="s">
        <v>2032</v>
      </c>
      <c r="G679" t="s">
        <v>807</v>
      </c>
      <c r="H679" t="s">
        <v>117</v>
      </c>
      <c r="I679" t="str">
        <f>VLOOKUP(tblSalaries[[#This Row],[Where do you work]],[1]!tblCountries[[Actual]:[Mapping]],2,FALSE)</f>
        <v>India</v>
      </c>
      <c r="J679" t="s">
        <v>789</v>
      </c>
      <c r="K679">
        <v>23</v>
      </c>
    </row>
    <row r="680" spans="1:11" x14ac:dyDescent="0.2">
      <c r="A680" t="s">
        <v>2033</v>
      </c>
      <c r="B680" s="59">
        <v>41055.558749999997</v>
      </c>
      <c r="C680">
        <v>380000</v>
      </c>
      <c r="D680" t="s">
        <v>824</v>
      </c>
      <c r="E680">
        <f>tblSalaries[[#This Row],[clean Salary (in local currency)]]*VLOOKUP(tblSalaries[[#This Row],[Currency]],[1]!tblXrate[#Data],2,FALSE)</f>
        <v>6767.0083412281756</v>
      </c>
      <c r="F680" t="s">
        <v>2034</v>
      </c>
      <c r="G680" t="s">
        <v>836</v>
      </c>
      <c r="H680" t="s">
        <v>117</v>
      </c>
      <c r="I680" t="str">
        <f>VLOOKUP(tblSalaries[[#This Row],[Where do you work]],[1]!tblCountries[[Actual]:[Mapping]],2,FALSE)</f>
        <v>India</v>
      </c>
      <c r="J680" t="s">
        <v>799</v>
      </c>
      <c r="K680">
        <v>6</v>
      </c>
    </row>
    <row r="681" spans="1:11" x14ac:dyDescent="0.2">
      <c r="A681" t="s">
        <v>2035</v>
      </c>
      <c r="B681" s="59">
        <v>41055.561944444446</v>
      </c>
      <c r="C681">
        <v>3000</v>
      </c>
      <c r="D681" t="s">
        <v>786</v>
      </c>
      <c r="E681">
        <f>tblSalaries[[#This Row],[clean Salary (in local currency)]]*VLOOKUP(tblSalaries[[#This Row],[Currency]],[1]!tblXrate[#Data],2,FALSE)</f>
        <v>3000</v>
      </c>
      <c r="F681" t="s">
        <v>2036</v>
      </c>
      <c r="G681" t="s">
        <v>867</v>
      </c>
      <c r="H681" t="s">
        <v>139</v>
      </c>
      <c r="I681" t="str">
        <f>VLOOKUP(tblSalaries[[#This Row],[Where do you work]],[1]!tblCountries[[Actual]:[Mapping]],2,FALSE)</f>
        <v>Cambodia</v>
      </c>
      <c r="J681" t="s">
        <v>799</v>
      </c>
      <c r="K681">
        <v>2</v>
      </c>
    </row>
    <row r="682" spans="1:11" x14ac:dyDescent="0.2">
      <c r="A682" t="s">
        <v>2037</v>
      </c>
      <c r="B682" s="59">
        <v>41055.562210648146</v>
      </c>
      <c r="C682">
        <v>250000</v>
      </c>
      <c r="D682" t="s">
        <v>824</v>
      </c>
      <c r="E682">
        <f>tblSalaries[[#This Row],[clean Salary (in local currency)]]*VLOOKUP(tblSalaries[[#This Row],[Currency]],[1]!tblXrate[#Data],2,FALSE)</f>
        <v>4451.9791718606421</v>
      </c>
      <c r="F682" t="s">
        <v>2038</v>
      </c>
      <c r="G682" t="s">
        <v>836</v>
      </c>
      <c r="H682" t="s">
        <v>117</v>
      </c>
      <c r="I682" t="str">
        <f>VLOOKUP(tblSalaries[[#This Row],[Where do you work]],[1]!tblCountries[[Actual]:[Mapping]],2,FALSE)</f>
        <v>India</v>
      </c>
      <c r="J682" t="s">
        <v>794</v>
      </c>
      <c r="K682">
        <v>4</v>
      </c>
    </row>
    <row r="683" spans="1:11" x14ac:dyDescent="0.2">
      <c r="A683" t="s">
        <v>2039</v>
      </c>
      <c r="B683" s="59">
        <v>41055.563425925924</v>
      </c>
      <c r="C683">
        <v>150000</v>
      </c>
      <c r="D683" t="s">
        <v>824</v>
      </c>
      <c r="E683">
        <f>tblSalaries[[#This Row],[clean Salary (in local currency)]]*VLOOKUP(tblSalaries[[#This Row],[Currency]],[1]!tblXrate[#Data],2,FALSE)</f>
        <v>2671.1875031163854</v>
      </c>
      <c r="F683" t="s">
        <v>2040</v>
      </c>
      <c r="G683" t="s">
        <v>813</v>
      </c>
      <c r="H683" t="s">
        <v>117</v>
      </c>
      <c r="I683" t="str">
        <f>VLOOKUP(tblSalaries[[#This Row],[Where do you work]],[1]!tblCountries[[Actual]:[Mapping]],2,FALSE)</f>
        <v>India</v>
      </c>
      <c r="J683" t="s">
        <v>789</v>
      </c>
      <c r="K683">
        <v>4.5</v>
      </c>
    </row>
    <row r="684" spans="1:11" x14ac:dyDescent="0.2">
      <c r="A684" t="s">
        <v>2041</v>
      </c>
      <c r="B684" s="59">
        <v>41055.567939814813</v>
      </c>
      <c r="C684">
        <v>278400</v>
      </c>
      <c r="D684" t="s">
        <v>824</v>
      </c>
      <c r="E684">
        <f>tblSalaries[[#This Row],[clean Salary (in local currency)]]*VLOOKUP(tblSalaries[[#This Row],[Currency]],[1]!tblXrate[#Data],2,FALSE)</f>
        <v>4957.7240057840108</v>
      </c>
      <c r="F684" t="s">
        <v>2042</v>
      </c>
      <c r="G684" t="s">
        <v>807</v>
      </c>
      <c r="H684" t="s">
        <v>117</v>
      </c>
      <c r="I684" t="str">
        <f>VLOOKUP(tblSalaries[[#This Row],[Where do you work]],[1]!tblCountries[[Actual]:[Mapping]],2,FALSE)</f>
        <v>India</v>
      </c>
      <c r="J684" t="s">
        <v>789</v>
      </c>
      <c r="K684">
        <v>5</v>
      </c>
    </row>
    <row r="685" spans="1:11" x14ac:dyDescent="0.2">
      <c r="A685" t="s">
        <v>2043</v>
      </c>
      <c r="B685" s="59">
        <v>41055.571076388886</v>
      </c>
      <c r="C685">
        <v>180000</v>
      </c>
      <c r="D685" t="s">
        <v>824</v>
      </c>
      <c r="E685">
        <f>tblSalaries[[#This Row],[clean Salary (in local currency)]]*VLOOKUP(tblSalaries[[#This Row],[Currency]],[1]!tblXrate[#Data],2,FALSE)</f>
        <v>3205.4250037396623</v>
      </c>
      <c r="F685" t="s">
        <v>2044</v>
      </c>
      <c r="G685" t="s">
        <v>817</v>
      </c>
      <c r="H685" t="s">
        <v>117</v>
      </c>
      <c r="I685" t="str">
        <f>VLOOKUP(tblSalaries[[#This Row],[Where do you work]],[1]!tblCountries[[Actual]:[Mapping]],2,FALSE)</f>
        <v>India</v>
      </c>
      <c r="J685" t="s">
        <v>799</v>
      </c>
      <c r="K685">
        <v>14</v>
      </c>
    </row>
    <row r="686" spans="1:11" x14ac:dyDescent="0.2">
      <c r="A686" t="s">
        <v>2045</v>
      </c>
      <c r="B686" s="59">
        <v>41055.571504629632</v>
      </c>
      <c r="C686">
        <v>800000</v>
      </c>
      <c r="D686" t="s">
        <v>824</v>
      </c>
      <c r="E686">
        <f>tblSalaries[[#This Row],[clean Salary (in local currency)]]*VLOOKUP(tblSalaries[[#This Row],[Currency]],[1]!tblXrate[#Data],2,FALSE)</f>
        <v>14246.333349954055</v>
      </c>
      <c r="F686" t="s">
        <v>807</v>
      </c>
      <c r="G686" t="s">
        <v>807</v>
      </c>
      <c r="H686" t="s">
        <v>117</v>
      </c>
      <c r="I686" t="str">
        <f>VLOOKUP(tblSalaries[[#This Row],[Where do you work]],[1]!tblCountries[[Actual]:[Mapping]],2,FALSE)</f>
        <v>India</v>
      </c>
      <c r="J686" t="s">
        <v>789</v>
      </c>
      <c r="K686">
        <v>7</v>
      </c>
    </row>
    <row r="687" spans="1:11" x14ac:dyDescent="0.2">
      <c r="A687" t="s">
        <v>2046</v>
      </c>
      <c r="B687" s="59">
        <v>41055.572835648149</v>
      </c>
      <c r="C687">
        <v>300000</v>
      </c>
      <c r="D687" t="s">
        <v>824</v>
      </c>
      <c r="E687">
        <f>tblSalaries[[#This Row],[clean Salary (in local currency)]]*VLOOKUP(tblSalaries[[#This Row],[Currency]],[1]!tblXrate[#Data],2,FALSE)</f>
        <v>5342.3750062327708</v>
      </c>
      <c r="F687" t="s">
        <v>788</v>
      </c>
      <c r="G687" t="s">
        <v>788</v>
      </c>
      <c r="H687" t="s">
        <v>117</v>
      </c>
      <c r="I687" t="str">
        <f>VLOOKUP(tblSalaries[[#This Row],[Where do you work]],[1]!tblCountries[[Actual]:[Mapping]],2,FALSE)</f>
        <v>India</v>
      </c>
      <c r="J687" t="s">
        <v>794</v>
      </c>
      <c r="K687">
        <v>7</v>
      </c>
    </row>
    <row r="688" spans="1:11" x14ac:dyDescent="0.2">
      <c r="A688" t="s">
        <v>2047</v>
      </c>
      <c r="B688" s="59">
        <v>41055.574212962965</v>
      </c>
      <c r="C688">
        <v>370000</v>
      </c>
      <c r="D688" t="s">
        <v>824</v>
      </c>
      <c r="E688">
        <f>tblSalaries[[#This Row],[clean Salary (in local currency)]]*VLOOKUP(tblSalaries[[#This Row],[Currency]],[1]!tblXrate[#Data],2,FALSE)</f>
        <v>6588.9291743537506</v>
      </c>
      <c r="F688" t="s">
        <v>1381</v>
      </c>
      <c r="G688" t="s">
        <v>788</v>
      </c>
      <c r="H688" t="s">
        <v>117</v>
      </c>
      <c r="I688" t="str">
        <f>VLOOKUP(tblSalaries[[#This Row],[Where do you work]],[1]!tblCountries[[Actual]:[Mapping]],2,FALSE)</f>
        <v>India</v>
      </c>
      <c r="J688" t="s">
        <v>794</v>
      </c>
      <c r="K688">
        <v>2</v>
      </c>
    </row>
    <row r="689" spans="1:11" x14ac:dyDescent="0.2">
      <c r="A689" t="s">
        <v>2048</v>
      </c>
      <c r="B689" s="59">
        <v>41055.574374999997</v>
      </c>
      <c r="C689">
        <v>370000</v>
      </c>
      <c r="D689" t="s">
        <v>824</v>
      </c>
      <c r="E689">
        <f>tblSalaries[[#This Row],[clean Salary (in local currency)]]*VLOOKUP(tblSalaries[[#This Row],[Currency]],[1]!tblXrate[#Data],2,FALSE)</f>
        <v>6588.9291743537506</v>
      </c>
      <c r="F689" t="s">
        <v>1381</v>
      </c>
      <c r="G689" t="s">
        <v>788</v>
      </c>
      <c r="H689" t="s">
        <v>117</v>
      </c>
      <c r="I689" t="str">
        <f>VLOOKUP(tblSalaries[[#This Row],[Where do you work]],[1]!tblCountries[[Actual]:[Mapping]],2,FALSE)</f>
        <v>India</v>
      </c>
      <c r="J689" t="s">
        <v>794</v>
      </c>
      <c r="K689">
        <v>2</v>
      </c>
    </row>
    <row r="690" spans="1:11" x14ac:dyDescent="0.2">
      <c r="A690" t="s">
        <v>2049</v>
      </c>
      <c r="B690" s="59">
        <v>41055.576319444444</v>
      </c>
      <c r="C690">
        <v>35000</v>
      </c>
      <c r="D690" t="s">
        <v>786</v>
      </c>
      <c r="E690">
        <f>tblSalaries[[#This Row],[clean Salary (in local currency)]]*VLOOKUP(tblSalaries[[#This Row],[Currency]],[1]!tblXrate[#Data],2,FALSE)</f>
        <v>35000</v>
      </c>
      <c r="F690" t="s">
        <v>1815</v>
      </c>
      <c r="G690" t="s">
        <v>820</v>
      </c>
      <c r="H690" t="s">
        <v>15</v>
      </c>
      <c r="I690" t="str">
        <f>VLOOKUP(tblSalaries[[#This Row],[Where do you work]],[1]!tblCountries[[Actual]:[Mapping]],2,FALSE)</f>
        <v>USA</v>
      </c>
      <c r="J690" t="s">
        <v>789</v>
      </c>
      <c r="K690">
        <v>10</v>
      </c>
    </row>
    <row r="691" spans="1:11" x14ac:dyDescent="0.2">
      <c r="A691" t="s">
        <v>2050</v>
      </c>
      <c r="B691" s="59">
        <v>41055.581377314818</v>
      </c>
      <c r="C691">
        <v>720000</v>
      </c>
      <c r="D691" t="s">
        <v>824</v>
      </c>
      <c r="E691">
        <f>tblSalaries[[#This Row],[clean Salary (in local currency)]]*VLOOKUP(tblSalaries[[#This Row],[Currency]],[1]!tblXrate[#Data],2,FALSE)</f>
        <v>12821.700014958649</v>
      </c>
      <c r="F691" t="s">
        <v>2051</v>
      </c>
      <c r="G691" t="s">
        <v>817</v>
      </c>
      <c r="H691" t="s">
        <v>117</v>
      </c>
      <c r="I691" t="str">
        <f>VLOOKUP(tblSalaries[[#This Row],[Where do you work]],[1]!tblCountries[[Actual]:[Mapping]],2,FALSE)</f>
        <v>India</v>
      </c>
      <c r="J691" t="s">
        <v>789</v>
      </c>
      <c r="K691">
        <v>4</v>
      </c>
    </row>
    <row r="692" spans="1:11" x14ac:dyDescent="0.2">
      <c r="A692" t="s">
        <v>2052</v>
      </c>
      <c r="B692" s="59">
        <v>41055.584027777775</v>
      </c>
      <c r="C692">
        <v>600000</v>
      </c>
      <c r="D692" t="s">
        <v>824</v>
      </c>
      <c r="E692">
        <f>tblSalaries[[#This Row],[clean Salary (in local currency)]]*VLOOKUP(tblSalaries[[#This Row],[Currency]],[1]!tblXrate[#Data],2,FALSE)</f>
        <v>10684.750012465542</v>
      </c>
      <c r="F692" t="s">
        <v>2053</v>
      </c>
      <c r="G692" t="s">
        <v>807</v>
      </c>
      <c r="H692" t="s">
        <v>117</v>
      </c>
      <c r="I692" t="str">
        <f>VLOOKUP(tblSalaries[[#This Row],[Where do you work]],[1]!tblCountries[[Actual]:[Mapping]],2,FALSE)</f>
        <v>India</v>
      </c>
      <c r="J692" t="s">
        <v>808</v>
      </c>
      <c r="K692">
        <v>2</v>
      </c>
    </row>
    <row r="693" spans="1:11" x14ac:dyDescent="0.2">
      <c r="A693" t="s">
        <v>2054</v>
      </c>
      <c r="B693" s="59">
        <v>41055.584131944444</v>
      </c>
      <c r="C693">
        <v>10000</v>
      </c>
      <c r="D693" t="s">
        <v>786</v>
      </c>
      <c r="E693">
        <f>tblSalaries[[#This Row],[clean Salary (in local currency)]]*VLOOKUP(tblSalaries[[#This Row],[Currency]],[1]!tblXrate[#Data],2,FALSE)</f>
        <v>10000</v>
      </c>
      <c r="F693" t="s">
        <v>1960</v>
      </c>
      <c r="G693" t="s">
        <v>807</v>
      </c>
      <c r="H693" t="s">
        <v>117</v>
      </c>
      <c r="I693" t="str">
        <f>VLOOKUP(tblSalaries[[#This Row],[Where do you work]],[1]!tblCountries[[Actual]:[Mapping]],2,FALSE)</f>
        <v>India</v>
      </c>
      <c r="J693" t="s">
        <v>789</v>
      </c>
      <c r="K693">
        <v>2</v>
      </c>
    </row>
    <row r="694" spans="1:11" x14ac:dyDescent="0.2">
      <c r="A694" t="s">
        <v>2055</v>
      </c>
      <c r="B694" s="59">
        <v>41055.586516203701</v>
      </c>
      <c r="C694">
        <v>120000</v>
      </c>
      <c r="D694" t="s">
        <v>824</v>
      </c>
      <c r="E694">
        <f>tblSalaries[[#This Row],[clean Salary (in local currency)]]*VLOOKUP(tblSalaries[[#This Row],[Currency]],[1]!tblXrate[#Data],2,FALSE)</f>
        <v>2136.9500024931081</v>
      </c>
      <c r="F694" t="s">
        <v>2056</v>
      </c>
      <c r="G694" t="s">
        <v>788</v>
      </c>
      <c r="H694" t="s">
        <v>117</v>
      </c>
      <c r="I694" t="str">
        <f>VLOOKUP(tblSalaries[[#This Row],[Where do you work]],[1]!tblCountries[[Actual]:[Mapping]],2,FALSE)</f>
        <v>India</v>
      </c>
      <c r="J694" t="s">
        <v>808</v>
      </c>
      <c r="K694">
        <v>0</v>
      </c>
    </row>
    <row r="695" spans="1:11" x14ac:dyDescent="0.2">
      <c r="A695" t="s">
        <v>2057</v>
      </c>
      <c r="B695" s="59">
        <v>41055.590868055559</v>
      </c>
      <c r="C695">
        <v>480000</v>
      </c>
      <c r="D695" t="s">
        <v>824</v>
      </c>
      <c r="E695">
        <f>tblSalaries[[#This Row],[clean Salary (in local currency)]]*VLOOKUP(tblSalaries[[#This Row],[Currency]],[1]!tblXrate[#Data],2,FALSE)</f>
        <v>8547.8000099724322</v>
      </c>
      <c r="F695" t="s">
        <v>1070</v>
      </c>
      <c r="G695" t="s">
        <v>788</v>
      </c>
      <c r="H695" t="s">
        <v>117</v>
      </c>
      <c r="I695" t="str">
        <f>VLOOKUP(tblSalaries[[#This Row],[Where do you work]],[1]!tblCountries[[Actual]:[Mapping]],2,FALSE)</f>
        <v>India</v>
      </c>
      <c r="J695" t="s">
        <v>789</v>
      </c>
      <c r="K695">
        <v>4</v>
      </c>
    </row>
    <row r="696" spans="1:11" x14ac:dyDescent="0.2">
      <c r="A696" t="s">
        <v>2058</v>
      </c>
      <c r="B696" s="59">
        <v>41055.591574074075</v>
      </c>
      <c r="C696">
        <v>450000</v>
      </c>
      <c r="D696" t="s">
        <v>824</v>
      </c>
      <c r="E696">
        <f>tblSalaries[[#This Row],[clean Salary (in local currency)]]*VLOOKUP(tblSalaries[[#This Row],[Currency]],[1]!tblXrate[#Data],2,FALSE)</f>
        <v>8013.5625093491553</v>
      </c>
      <c r="F696" t="s">
        <v>984</v>
      </c>
      <c r="G696" t="s">
        <v>788</v>
      </c>
      <c r="H696" t="s">
        <v>117</v>
      </c>
      <c r="I696" t="str">
        <f>VLOOKUP(tblSalaries[[#This Row],[Where do you work]],[1]!tblCountries[[Actual]:[Mapping]],2,FALSE)</f>
        <v>India</v>
      </c>
      <c r="J696" t="s">
        <v>794</v>
      </c>
      <c r="K696">
        <v>8</v>
      </c>
    </row>
    <row r="697" spans="1:11" x14ac:dyDescent="0.2">
      <c r="A697" t="s">
        <v>2059</v>
      </c>
      <c r="B697" s="59">
        <v>41055.593460648146</v>
      </c>
      <c r="C697">
        <v>400000</v>
      </c>
      <c r="D697" t="s">
        <v>824</v>
      </c>
      <c r="E697">
        <f>tblSalaries[[#This Row],[clean Salary (in local currency)]]*VLOOKUP(tblSalaries[[#This Row],[Currency]],[1]!tblXrate[#Data],2,FALSE)</f>
        <v>7123.1666749770275</v>
      </c>
      <c r="F697" t="s">
        <v>867</v>
      </c>
      <c r="G697" t="s">
        <v>867</v>
      </c>
      <c r="H697" t="s">
        <v>117</v>
      </c>
      <c r="I697" t="str">
        <f>VLOOKUP(tblSalaries[[#This Row],[Where do you work]],[1]!tblCountries[[Actual]:[Mapping]],2,FALSE)</f>
        <v>India</v>
      </c>
      <c r="J697" t="s">
        <v>789</v>
      </c>
      <c r="K697">
        <v>0</v>
      </c>
    </row>
    <row r="698" spans="1:11" x14ac:dyDescent="0.2">
      <c r="A698" t="s">
        <v>2060</v>
      </c>
      <c r="B698" s="59">
        <v>41055.594606481478</v>
      </c>
      <c r="C698">
        <v>2300000</v>
      </c>
      <c r="D698" t="s">
        <v>824</v>
      </c>
      <c r="E698">
        <f>tblSalaries[[#This Row],[clean Salary (in local currency)]]*VLOOKUP(tblSalaries[[#This Row],[Currency]],[1]!tblXrate[#Data],2,FALSE)</f>
        <v>40958.208381117904</v>
      </c>
      <c r="F698" t="s">
        <v>1158</v>
      </c>
      <c r="G698" t="s">
        <v>788</v>
      </c>
      <c r="H698" t="s">
        <v>117</v>
      </c>
      <c r="I698" t="str">
        <f>VLOOKUP(tblSalaries[[#This Row],[Where do you work]],[1]!tblCountries[[Actual]:[Mapping]],2,FALSE)</f>
        <v>India</v>
      </c>
      <c r="J698" t="s">
        <v>794</v>
      </c>
      <c r="K698">
        <v>5</v>
      </c>
    </row>
    <row r="699" spans="1:11" x14ac:dyDescent="0.2">
      <c r="A699" t="s">
        <v>2061</v>
      </c>
      <c r="B699" s="59">
        <v>41055.595960648148</v>
      </c>
      <c r="C699">
        <v>636000</v>
      </c>
      <c r="D699" t="s">
        <v>824</v>
      </c>
      <c r="E699">
        <f>tblSalaries[[#This Row],[clean Salary (in local currency)]]*VLOOKUP(tblSalaries[[#This Row],[Currency]],[1]!tblXrate[#Data],2,FALSE)</f>
        <v>11325.835013213473</v>
      </c>
      <c r="F699" t="s">
        <v>2062</v>
      </c>
      <c r="G699" t="s">
        <v>807</v>
      </c>
      <c r="H699" t="s">
        <v>117</v>
      </c>
      <c r="I699" t="str">
        <f>VLOOKUP(tblSalaries[[#This Row],[Where do you work]],[1]!tblCountries[[Actual]:[Mapping]],2,FALSE)</f>
        <v>India</v>
      </c>
      <c r="J699" t="s">
        <v>789</v>
      </c>
      <c r="K699">
        <v>2</v>
      </c>
    </row>
    <row r="700" spans="1:11" x14ac:dyDescent="0.2">
      <c r="A700" t="s">
        <v>2063</v>
      </c>
      <c r="B700" s="59">
        <v>41055.597488425927</v>
      </c>
      <c r="C700">
        <v>15000</v>
      </c>
      <c r="D700" t="s">
        <v>786</v>
      </c>
      <c r="E700">
        <f>tblSalaries[[#This Row],[clean Salary (in local currency)]]*VLOOKUP(tblSalaries[[#This Row],[Currency]],[1]!tblXrate[#Data],2,FALSE)</f>
        <v>15000</v>
      </c>
      <c r="F700" t="s">
        <v>2064</v>
      </c>
      <c r="G700" t="s">
        <v>817</v>
      </c>
      <c r="H700" t="s">
        <v>182</v>
      </c>
      <c r="I700" t="str">
        <f>VLOOKUP(tblSalaries[[#This Row],[Where do you work]],[1]!tblCountries[[Actual]:[Mapping]],2,FALSE)</f>
        <v>Lithuania</v>
      </c>
      <c r="J700" t="s">
        <v>789</v>
      </c>
      <c r="K700">
        <v>2</v>
      </c>
    </row>
    <row r="701" spans="1:11" x14ac:dyDescent="0.2">
      <c r="A701" t="s">
        <v>2065</v>
      </c>
      <c r="B701" s="59">
        <v>41055.598668981482</v>
      </c>
      <c r="C701">
        <v>12000</v>
      </c>
      <c r="D701" t="s">
        <v>786</v>
      </c>
      <c r="E701">
        <f>tblSalaries[[#This Row],[clean Salary (in local currency)]]*VLOOKUP(tblSalaries[[#This Row],[Currency]],[1]!tblXrate[#Data],2,FALSE)</f>
        <v>12000</v>
      </c>
      <c r="F701" t="s">
        <v>2066</v>
      </c>
      <c r="G701" t="s">
        <v>788</v>
      </c>
      <c r="H701" t="s">
        <v>2067</v>
      </c>
      <c r="I701" t="str">
        <f>VLOOKUP(tblSalaries[[#This Row],[Where do you work]],[1]!tblCountries[[Actual]:[Mapping]],2,FALSE)</f>
        <v>UAE</v>
      </c>
      <c r="J701" t="s">
        <v>789</v>
      </c>
      <c r="K701">
        <v>12</v>
      </c>
    </row>
    <row r="702" spans="1:11" x14ac:dyDescent="0.2">
      <c r="A702" t="s">
        <v>2068</v>
      </c>
      <c r="B702" s="59">
        <v>41055.599861111114</v>
      </c>
      <c r="C702">
        <v>500000</v>
      </c>
      <c r="D702" t="s">
        <v>824</v>
      </c>
      <c r="E702">
        <f>tblSalaries[[#This Row],[clean Salary (in local currency)]]*VLOOKUP(tblSalaries[[#This Row],[Currency]],[1]!tblXrate[#Data],2,FALSE)</f>
        <v>8903.9583437212841</v>
      </c>
      <c r="F702" t="s">
        <v>2069</v>
      </c>
      <c r="G702" t="s">
        <v>836</v>
      </c>
      <c r="H702" t="s">
        <v>117</v>
      </c>
      <c r="I702" t="str">
        <f>VLOOKUP(tblSalaries[[#This Row],[Where do you work]],[1]!tblCountries[[Actual]:[Mapping]],2,FALSE)</f>
        <v>India</v>
      </c>
      <c r="J702" t="s">
        <v>799</v>
      </c>
      <c r="K702">
        <v>1</v>
      </c>
    </row>
    <row r="703" spans="1:11" x14ac:dyDescent="0.2">
      <c r="A703" t="s">
        <v>2070</v>
      </c>
      <c r="B703" s="59">
        <v>41055.606377314813</v>
      </c>
      <c r="C703">
        <v>500000</v>
      </c>
      <c r="D703" t="s">
        <v>824</v>
      </c>
      <c r="E703">
        <f>tblSalaries[[#This Row],[clean Salary (in local currency)]]*VLOOKUP(tblSalaries[[#This Row],[Currency]],[1]!tblXrate[#Data],2,FALSE)</f>
        <v>8903.9583437212841</v>
      </c>
      <c r="F703" t="s">
        <v>802</v>
      </c>
      <c r="G703" t="s">
        <v>802</v>
      </c>
      <c r="H703" t="s">
        <v>117</v>
      </c>
      <c r="I703" t="str">
        <f>VLOOKUP(tblSalaries[[#This Row],[Where do you work]],[1]!tblCountries[[Actual]:[Mapping]],2,FALSE)</f>
        <v>India</v>
      </c>
      <c r="J703" t="s">
        <v>794</v>
      </c>
      <c r="K703">
        <v>2</v>
      </c>
    </row>
    <row r="704" spans="1:11" x14ac:dyDescent="0.2">
      <c r="A704" t="s">
        <v>2071</v>
      </c>
      <c r="B704" s="59">
        <v>41055.608194444445</v>
      </c>
      <c r="C704">
        <v>720000</v>
      </c>
      <c r="D704" t="s">
        <v>824</v>
      </c>
      <c r="E704">
        <f>tblSalaries[[#This Row],[clean Salary (in local currency)]]*VLOOKUP(tblSalaries[[#This Row],[Currency]],[1]!tblXrate[#Data],2,FALSE)</f>
        <v>12821.700014958649</v>
      </c>
      <c r="F704" t="s">
        <v>2072</v>
      </c>
      <c r="G704" t="s">
        <v>807</v>
      </c>
      <c r="H704" t="s">
        <v>117</v>
      </c>
      <c r="I704" t="str">
        <f>VLOOKUP(tblSalaries[[#This Row],[Where do you work]],[1]!tblCountries[[Actual]:[Mapping]],2,FALSE)</f>
        <v>India</v>
      </c>
      <c r="J704" t="s">
        <v>794</v>
      </c>
      <c r="K704">
        <v>10</v>
      </c>
    </row>
    <row r="705" spans="1:11" x14ac:dyDescent="0.2">
      <c r="A705" t="s">
        <v>2073</v>
      </c>
      <c r="B705" s="59">
        <v>41055.611805555556</v>
      </c>
      <c r="C705">
        <v>180000</v>
      </c>
      <c r="D705" t="s">
        <v>824</v>
      </c>
      <c r="E705">
        <f>tblSalaries[[#This Row],[clean Salary (in local currency)]]*VLOOKUP(tblSalaries[[#This Row],[Currency]],[1]!tblXrate[#Data],2,FALSE)</f>
        <v>3205.4250037396623</v>
      </c>
      <c r="F705" t="s">
        <v>2074</v>
      </c>
      <c r="G705" t="s">
        <v>807</v>
      </c>
      <c r="H705" t="s">
        <v>117</v>
      </c>
      <c r="I705" t="str">
        <f>VLOOKUP(tblSalaries[[#This Row],[Where do you work]],[1]!tblCountries[[Actual]:[Mapping]],2,FALSE)</f>
        <v>India</v>
      </c>
      <c r="J705" t="s">
        <v>794</v>
      </c>
      <c r="K705">
        <v>7</v>
      </c>
    </row>
    <row r="706" spans="1:11" x14ac:dyDescent="0.2">
      <c r="A706" t="s">
        <v>2075</v>
      </c>
      <c r="B706" s="59">
        <v>41055.615914351853</v>
      </c>
      <c r="C706">
        <v>375000</v>
      </c>
      <c r="D706" t="s">
        <v>824</v>
      </c>
      <c r="E706">
        <f>tblSalaries[[#This Row],[clean Salary (in local currency)]]*VLOOKUP(tblSalaries[[#This Row],[Currency]],[1]!tblXrate[#Data],2,FALSE)</f>
        <v>6677.9687577909626</v>
      </c>
      <c r="F706" t="s">
        <v>890</v>
      </c>
      <c r="G706" t="s">
        <v>807</v>
      </c>
      <c r="H706" t="s">
        <v>117</v>
      </c>
      <c r="I706" t="str">
        <f>VLOOKUP(tblSalaries[[#This Row],[Where do you work]],[1]!tblCountries[[Actual]:[Mapping]],2,FALSE)</f>
        <v>India</v>
      </c>
      <c r="J706" t="s">
        <v>799</v>
      </c>
      <c r="K706">
        <v>6</v>
      </c>
    </row>
    <row r="707" spans="1:11" x14ac:dyDescent="0.2">
      <c r="A707" t="s">
        <v>2076</v>
      </c>
      <c r="B707" s="59">
        <v>41055.618773148148</v>
      </c>
      <c r="C707">
        <v>85000</v>
      </c>
      <c r="D707" t="s">
        <v>1831</v>
      </c>
      <c r="E707">
        <f>tblSalaries[[#This Row],[clean Salary (in local currency)]]*VLOOKUP(tblSalaries[[#This Row],[Currency]],[1]!tblXrate[#Data],2,FALSE)</f>
        <v>67794.987956419791</v>
      </c>
      <c r="F707" t="s">
        <v>2077</v>
      </c>
      <c r="G707" t="s">
        <v>807</v>
      </c>
      <c r="H707" t="s">
        <v>225</v>
      </c>
      <c r="I707" t="str">
        <f>VLOOKUP(tblSalaries[[#This Row],[Where do you work]],[1]!tblCountries[[Actual]:[Mapping]],2,FALSE)</f>
        <v>New Zealand</v>
      </c>
      <c r="J707" t="s">
        <v>789</v>
      </c>
      <c r="K707">
        <v>15</v>
      </c>
    </row>
    <row r="708" spans="1:11" x14ac:dyDescent="0.2">
      <c r="A708" t="s">
        <v>2078</v>
      </c>
      <c r="B708" s="59">
        <v>41055.623368055552</v>
      </c>
      <c r="C708">
        <v>31250</v>
      </c>
      <c r="D708" t="s">
        <v>786</v>
      </c>
      <c r="E708">
        <f>tblSalaries[[#This Row],[clean Salary (in local currency)]]*VLOOKUP(tblSalaries[[#This Row],[Currency]],[1]!tblXrate[#Data],2,FALSE)</f>
        <v>31250</v>
      </c>
      <c r="F708" t="s">
        <v>2079</v>
      </c>
      <c r="G708" t="s">
        <v>807</v>
      </c>
      <c r="H708" t="s">
        <v>117</v>
      </c>
      <c r="I708" t="str">
        <f>VLOOKUP(tblSalaries[[#This Row],[Where do you work]],[1]!tblCountries[[Actual]:[Mapping]],2,FALSE)</f>
        <v>India</v>
      </c>
      <c r="J708" t="s">
        <v>799</v>
      </c>
      <c r="K708">
        <v>6</v>
      </c>
    </row>
    <row r="709" spans="1:11" x14ac:dyDescent="0.2">
      <c r="A709" t="s">
        <v>2080</v>
      </c>
      <c r="B709" s="59">
        <v>41055.623437499999</v>
      </c>
      <c r="C709">
        <v>204000</v>
      </c>
      <c r="D709" t="s">
        <v>815</v>
      </c>
      <c r="E709">
        <f>tblSalaries[[#This Row],[clean Salary (in local currency)]]*VLOOKUP(tblSalaries[[#This Row],[Currency]],[1]!tblXrate[#Data],2,FALSE)</f>
        <v>2165.2740982270229</v>
      </c>
      <c r="F709" t="s">
        <v>2081</v>
      </c>
      <c r="G709" t="s">
        <v>807</v>
      </c>
      <c r="H709" t="s">
        <v>240</v>
      </c>
      <c r="I709" t="str">
        <f>VLOOKUP(tblSalaries[[#This Row],[Where do you work]],[1]!tblCountries[[Actual]:[Mapping]],2,FALSE)</f>
        <v>Pakistan</v>
      </c>
      <c r="J709" t="s">
        <v>794</v>
      </c>
      <c r="K709">
        <v>2</v>
      </c>
    </row>
    <row r="710" spans="1:11" x14ac:dyDescent="0.2">
      <c r="A710" t="s">
        <v>2082</v>
      </c>
      <c r="B710" s="59">
        <v>41055.623888888891</v>
      </c>
      <c r="C710">
        <v>400000</v>
      </c>
      <c r="D710" t="s">
        <v>824</v>
      </c>
      <c r="E710">
        <f>tblSalaries[[#This Row],[clean Salary (in local currency)]]*VLOOKUP(tblSalaries[[#This Row],[Currency]],[1]!tblXrate[#Data],2,FALSE)</f>
        <v>7123.1666749770275</v>
      </c>
      <c r="F710" t="s">
        <v>2083</v>
      </c>
      <c r="G710" t="s">
        <v>836</v>
      </c>
      <c r="H710" t="s">
        <v>117</v>
      </c>
      <c r="I710" t="str">
        <f>VLOOKUP(tblSalaries[[#This Row],[Where do you work]],[1]!tblCountries[[Actual]:[Mapping]],2,FALSE)</f>
        <v>India</v>
      </c>
      <c r="J710" t="s">
        <v>794</v>
      </c>
      <c r="K710">
        <v>4</v>
      </c>
    </row>
    <row r="711" spans="1:11" x14ac:dyDescent="0.2">
      <c r="A711" t="s">
        <v>2084</v>
      </c>
      <c r="B711" s="59">
        <v>41055.625694444447</v>
      </c>
      <c r="C711">
        <v>130000</v>
      </c>
      <c r="D711" t="s">
        <v>786</v>
      </c>
      <c r="E711">
        <f>tblSalaries[[#This Row],[clean Salary (in local currency)]]*VLOOKUP(tblSalaries[[#This Row],[Currency]],[1]!tblXrate[#Data],2,FALSE)</f>
        <v>130000</v>
      </c>
      <c r="F711" t="s">
        <v>2085</v>
      </c>
      <c r="G711" t="s">
        <v>807</v>
      </c>
      <c r="H711" t="s">
        <v>33</v>
      </c>
      <c r="I711" t="str">
        <f>VLOOKUP(tblSalaries[[#This Row],[Where do you work]],[1]!tblCountries[[Actual]:[Mapping]],2,FALSE)</f>
        <v>Australia</v>
      </c>
      <c r="J711" t="s">
        <v>789</v>
      </c>
      <c r="K711">
        <v>3</v>
      </c>
    </row>
    <row r="712" spans="1:11" x14ac:dyDescent="0.2">
      <c r="A712" t="s">
        <v>2086</v>
      </c>
      <c r="B712" s="59">
        <v>41055.626168981478</v>
      </c>
      <c r="C712">
        <v>250000</v>
      </c>
      <c r="D712" t="s">
        <v>824</v>
      </c>
      <c r="E712">
        <f>tblSalaries[[#This Row],[clean Salary (in local currency)]]*VLOOKUP(tblSalaries[[#This Row],[Currency]],[1]!tblXrate[#Data],2,FALSE)</f>
        <v>4451.9791718606421</v>
      </c>
      <c r="F712" t="s">
        <v>2042</v>
      </c>
      <c r="G712" t="s">
        <v>807</v>
      </c>
      <c r="H712" t="s">
        <v>117</v>
      </c>
      <c r="I712" t="str">
        <f>VLOOKUP(tblSalaries[[#This Row],[Where do you work]],[1]!tblCountries[[Actual]:[Mapping]],2,FALSE)</f>
        <v>India</v>
      </c>
      <c r="J712" t="s">
        <v>789</v>
      </c>
      <c r="K712">
        <v>6</v>
      </c>
    </row>
    <row r="713" spans="1:11" x14ac:dyDescent="0.2">
      <c r="A713" t="s">
        <v>2087</v>
      </c>
      <c r="B713" s="59">
        <v>41055.626782407409</v>
      </c>
      <c r="C713">
        <v>9600</v>
      </c>
      <c r="D713" t="s">
        <v>786</v>
      </c>
      <c r="E713">
        <f>tblSalaries[[#This Row],[clean Salary (in local currency)]]*VLOOKUP(tblSalaries[[#This Row],[Currency]],[1]!tblXrate[#Data],2,FALSE)</f>
        <v>9600</v>
      </c>
      <c r="F713" t="s">
        <v>974</v>
      </c>
      <c r="G713" t="s">
        <v>788</v>
      </c>
      <c r="H713" t="s">
        <v>294</v>
      </c>
      <c r="I713" t="str">
        <f>VLOOKUP(tblSalaries[[#This Row],[Where do you work]],[1]!tblCountries[[Actual]:[Mapping]],2,FALSE)</f>
        <v>South Africa</v>
      </c>
      <c r="J713" t="s">
        <v>789</v>
      </c>
      <c r="K713">
        <v>2</v>
      </c>
    </row>
    <row r="714" spans="1:11" x14ac:dyDescent="0.2">
      <c r="A714" t="s">
        <v>2088</v>
      </c>
      <c r="B714" s="59">
        <v>41055.628159722219</v>
      </c>
      <c r="C714">
        <v>390000</v>
      </c>
      <c r="D714" t="s">
        <v>824</v>
      </c>
      <c r="E714">
        <f>tblSalaries[[#This Row],[clean Salary (in local currency)]]*VLOOKUP(tblSalaries[[#This Row],[Currency]],[1]!tblXrate[#Data],2,FALSE)</f>
        <v>6945.0875081026015</v>
      </c>
      <c r="F714" t="s">
        <v>1070</v>
      </c>
      <c r="G714" t="s">
        <v>788</v>
      </c>
      <c r="H714" t="s">
        <v>117</v>
      </c>
      <c r="I714" t="str">
        <f>VLOOKUP(tblSalaries[[#This Row],[Where do you work]],[1]!tblCountries[[Actual]:[Mapping]],2,FALSE)</f>
        <v>India</v>
      </c>
      <c r="J714" t="s">
        <v>789</v>
      </c>
      <c r="K714">
        <v>1</v>
      </c>
    </row>
    <row r="715" spans="1:11" x14ac:dyDescent="0.2">
      <c r="A715" t="s">
        <v>2089</v>
      </c>
      <c r="B715" s="59">
        <v>41055.628958333335</v>
      </c>
      <c r="C715">
        <v>600000</v>
      </c>
      <c r="D715" t="s">
        <v>824</v>
      </c>
      <c r="E715">
        <f>tblSalaries[[#This Row],[clean Salary (in local currency)]]*VLOOKUP(tblSalaries[[#This Row],[Currency]],[1]!tblXrate[#Data],2,FALSE)</f>
        <v>10684.750012465542</v>
      </c>
      <c r="F715" t="s">
        <v>2090</v>
      </c>
      <c r="G715" t="s">
        <v>817</v>
      </c>
      <c r="H715" t="s">
        <v>117</v>
      </c>
      <c r="I715" t="str">
        <f>VLOOKUP(tblSalaries[[#This Row],[Where do you work]],[1]!tblCountries[[Actual]:[Mapping]],2,FALSE)</f>
        <v>India</v>
      </c>
      <c r="J715" t="s">
        <v>794</v>
      </c>
      <c r="K715">
        <v>7</v>
      </c>
    </row>
    <row r="716" spans="1:11" x14ac:dyDescent="0.2">
      <c r="A716" t="s">
        <v>2091</v>
      </c>
      <c r="B716" s="59">
        <v>41055.629166666666</v>
      </c>
      <c r="C716">
        <v>480000</v>
      </c>
      <c r="D716" t="s">
        <v>824</v>
      </c>
      <c r="E716">
        <f>tblSalaries[[#This Row],[clean Salary (in local currency)]]*VLOOKUP(tblSalaries[[#This Row],[Currency]],[1]!tblXrate[#Data],2,FALSE)</f>
        <v>8547.8000099724322</v>
      </c>
      <c r="F716" t="s">
        <v>2092</v>
      </c>
      <c r="G716" t="s">
        <v>788</v>
      </c>
      <c r="H716" t="s">
        <v>117</v>
      </c>
      <c r="I716" t="str">
        <f>VLOOKUP(tblSalaries[[#This Row],[Where do you work]],[1]!tblCountries[[Actual]:[Mapping]],2,FALSE)</f>
        <v>India</v>
      </c>
      <c r="J716" t="s">
        <v>799</v>
      </c>
      <c r="K716">
        <v>3.5</v>
      </c>
    </row>
    <row r="717" spans="1:11" x14ac:dyDescent="0.2">
      <c r="A717" t="s">
        <v>2093</v>
      </c>
      <c r="B717" s="59">
        <v>41055.630312499998</v>
      </c>
      <c r="C717">
        <v>35000</v>
      </c>
      <c r="D717" t="s">
        <v>786</v>
      </c>
      <c r="E717">
        <f>tblSalaries[[#This Row],[clean Salary (in local currency)]]*VLOOKUP(tblSalaries[[#This Row],[Currency]],[1]!tblXrate[#Data],2,FALSE)</f>
        <v>35000</v>
      </c>
      <c r="F717" t="s">
        <v>1737</v>
      </c>
      <c r="G717" t="s">
        <v>788</v>
      </c>
      <c r="H717" t="s">
        <v>117</v>
      </c>
      <c r="I717" t="str">
        <f>VLOOKUP(tblSalaries[[#This Row],[Where do you work]],[1]!tblCountries[[Actual]:[Mapping]],2,FALSE)</f>
        <v>India</v>
      </c>
      <c r="J717" t="s">
        <v>789</v>
      </c>
      <c r="K717">
        <v>10</v>
      </c>
    </row>
    <row r="718" spans="1:11" x14ac:dyDescent="0.2">
      <c r="A718" t="s">
        <v>2094</v>
      </c>
      <c r="B718" s="59">
        <v>41055.631562499999</v>
      </c>
      <c r="C718">
        <v>1000000</v>
      </c>
      <c r="D718" t="s">
        <v>824</v>
      </c>
      <c r="E718">
        <f>tblSalaries[[#This Row],[clean Salary (in local currency)]]*VLOOKUP(tblSalaries[[#This Row],[Currency]],[1]!tblXrate[#Data],2,FALSE)</f>
        <v>17807.916687442568</v>
      </c>
      <c r="F718" t="s">
        <v>2095</v>
      </c>
      <c r="G718" t="s">
        <v>788</v>
      </c>
      <c r="H718" t="s">
        <v>117</v>
      </c>
      <c r="I718" t="str">
        <f>VLOOKUP(tblSalaries[[#This Row],[Where do you work]],[1]!tblCountries[[Actual]:[Mapping]],2,FALSE)</f>
        <v>India</v>
      </c>
      <c r="J718" t="s">
        <v>799</v>
      </c>
      <c r="K718">
        <v>12</v>
      </c>
    </row>
    <row r="719" spans="1:11" x14ac:dyDescent="0.2">
      <c r="A719" t="s">
        <v>2096</v>
      </c>
      <c r="B719" s="59">
        <v>41055.640057870369</v>
      </c>
      <c r="C719">
        <v>180000</v>
      </c>
      <c r="D719" t="s">
        <v>824</v>
      </c>
      <c r="E719">
        <f>tblSalaries[[#This Row],[clean Salary (in local currency)]]*VLOOKUP(tblSalaries[[#This Row],[Currency]],[1]!tblXrate[#Data],2,FALSE)</f>
        <v>3205.4250037396623</v>
      </c>
      <c r="F719" t="s">
        <v>817</v>
      </c>
      <c r="G719" t="s">
        <v>817</v>
      </c>
      <c r="H719" t="s">
        <v>117</v>
      </c>
      <c r="I719" t="str">
        <f>VLOOKUP(tblSalaries[[#This Row],[Where do you work]],[1]!tblCountries[[Actual]:[Mapping]],2,FALSE)</f>
        <v>India</v>
      </c>
      <c r="J719" t="s">
        <v>794</v>
      </c>
      <c r="K719">
        <v>4</v>
      </c>
    </row>
    <row r="720" spans="1:11" x14ac:dyDescent="0.2">
      <c r="A720" t="s">
        <v>2097</v>
      </c>
      <c r="B720" s="59">
        <v>41055.64203703704</v>
      </c>
      <c r="C720">
        <v>60000</v>
      </c>
      <c r="D720" t="s">
        <v>786</v>
      </c>
      <c r="E720">
        <f>tblSalaries[[#This Row],[clean Salary (in local currency)]]*VLOOKUP(tblSalaries[[#This Row],[Currency]],[1]!tblXrate[#Data],2,FALSE)</f>
        <v>60000</v>
      </c>
      <c r="F720" t="s">
        <v>807</v>
      </c>
      <c r="G720" t="s">
        <v>807</v>
      </c>
      <c r="H720" t="s">
        <v>744</v>
      </c>
      <c r="I720" t="str">
        <f>VLOOKUP(tblSalaries[[#This Row],[Where do you work]],[1]!tblCountries[[Actual]:[Mapping]],2,FALSE)</f>
        <v>Russia</v>
      </c>
      <c r="J720" t="s">
        <v>789</v>
      </c>
      <c r="K720">
        <v>10</v>
      </c>
    </row>
    <row r="721" spans="1:11" x14ac:dyDescent="0.2">
      <c r="A721" t="s">
        <v>2098</v>
      </c>
      <c r="B721" s="59">
        <v>41055.644305555557</v>
      </c>
      <c r="C721">
        <v>800000</v>
      </c>
      <c r="D721" t="s">
        <v>824</v>
      </c>
      <c r="E721">
        <f>tblSalaries[[#This Row],[clean Salary (in local currency)]]*VLOOKUP(tblSalaries[[#This Row],[Currency]],[1]!tblXrate[#Data],2,FALSE)</f>
        <v>14246.333349954055</v>
      </c>
      <c r="F721" t="s">
        <v>807</v>
      </c>
      <c r="G721" t="s">
        <v>807</v>
      </c>
      <c r="H721" t="s">
        <v>117</v>
      </c>
      <c r="I721" t="str">
        <f>VLOOKUP(tblSalaries[[#This Row],[Where do you work]],[1]!tblCountries[[Actual]:[Mapping]],2,FALSE)</f>
        <v>India</v>
      </c>
      <c r="J721" t="s">
        <v>799</v>
      </c>
      <c r="K721">
        <v>13</v>
      </c>
    </row>
    <row r="722" spans="1:11" x14ac:dyDescent="0.2">
      <c r="A722" t="s">
        <v>2099</v>
      </c>
      <c r="B722" s="59">
        <v>41055.646099537036</v>
      </c>
      <c r="C722">
        <v>600000</v>
      </c>
      <c r="D722" t="s">
        <v>824</v>
      </c>
      <c r="E722">
        <f>tblSalaries[[#This Row],[clean Salary (in local currency)]]*VLOOKUP(tblSalaries[[#This Row],[Currency]],[1]!tblXrate[#Data],2,FALSE)</f>
        <v>10684.750012465542</v>
      </c>
      <c r="F722" t="s">
        <v>2100</v>
      </c>
      <c r="G722" t="s">
        <v>807</v>
      </c>
      <c r="H722" t="s">
        <v>117</v>
      </c>
      <c r="I722" t="str">
        <f>VLOOKUP(tblSalaries[[#This Row],[Where do you work]],[1]!tblCountries[[Actual]:[Mapping]],2,FALSE)</f>
        <v>India</v>
      </c>
      <c r="J722" t="s">
        <v>799</v>
      </c>
      <c r="K722">
        <v>8</v>
      </c>
    </row>
    <row r="723" spans="1:11" x14ac:dyDescent="0.2">
      <c r="A723" t="s">
        <v>2101</v>
      </c>
      <c r="B723" s="59">
        <v>41055.64980324074</v>
      </c>
      <c r="C723">
        <v>40000</v>
      </c>
      <c r="D723" t="s">
        <v>786</v>
      </c>
      <c r="E723">
        <f>tblSalaries[[#This Row],[clean Salary (in local currency)]]*VLOOKUP(tblSalaries[[#This Row],[Currency]],[1]!tblXrate[#Data],2,FALSE)</f>
        <v>40000</v>
      </c>
      <c r="F723" t="s">
        <v>2102</v>
      </c>
      <c r="G723" t="s">
        <v>807</v>
      </c>
      <c r="H723" t="s">
        <v>117</v>
      </c>
      <c r="I723" t="str">
        <f>VLOOKUP(tblSalaries[[#This Row],[Where do you work]],[1]!tblCountries[[Actual]:[Mapping]],2,FALSE)</f>
        <v>India</v>
      </c>
      <c r="J723" t="s">
        <v>794</v>
      </c>
      <c r="K723">
        <v>15</v>
      </c>
    </row>
    <row r="724" spans="1:11" x14ac:dyDescent="0.2">
      <c r="A724" t="s">
        <v>2103</v>
      </c>
      <c r="B724" s="59">
        <v>41055.655925925923</v>
      </c>
      <c r="C724">
        <v>5022</v>
      </c>
      <c r="D724" t="s">
        <v>786</v>
      </c>
      <c r="E724">
        <f>tblSalaries[[#This Row],[clean Salary (in local currency)]]*VLOOKUP(tblSalaries[[#This Row],[Currency]],[1]!tblXrate[#Data],2,FALSE)</f>
        <v>5022</v>
      </c>
      <c r="F724" t="s">
        <v>2104</v>
      </c>
      <c r="G724" t="s">
        <v>788</v>
      </c>
      <c r="H724" t="s">
        <v>240</v>
      </c>
      <c r="I724" t="str">
        <f>VLOOKUP(tblSalaries[[#This Row],[Where do you work]],[1]!tblCountries[[Actual]:[Mapping]],2,FALSE)</f>
        <v>Pakistan</v>
      </c>
      <c r="J724" t="s">
        <v>789</v>
      </c>
      <c r="K724">
        <v>15</v>
      </c>
    </row>
    <row r="725" spans="1:11" x14ac:dyDescent="0.2">
      <c r="A725" t="s">
        <v>2105</v>
      </c>
      <c r="B725" s="59">
        <v>41055.660543981481</v>
      </c>
      <c r="C725">
        <v>410000</v>
      </c>
      <c r="D725" t="s">
        <v>824</v>
      </c>
      <c r="E725">
        <f>tblSalaries[[#This Row],[clean Salary (in local currency)]]*VLOOKUP(tblSalaries[[#This Row],[Currency]],[1]!tblXrate[#Data],2,FALSE)</f>
        <v>7301.2458418514525</v>
      </c>
      <c r="F725" t="s">
        <v>787</v>
      </c>
      <c r="G725" t="s">
        <v>788</v>
      </c>
      <c r="H725" t="s">
        <v>117</v>
      </c>
      <c r="I725" t="str">
        <f>VLOOKUP(tblSalaries[[#This Row],[Where do you work]],[1]!tblCountries[[Actual]:[Mapping]],2,FALSE)</f>
        <v>India</v>
      </c>
      <c r="J725" t="s">
        <v>794</v>
      </c>
      <c r="K725">
        <v>5</v>
      </c>
    </row>
    <row r="726" spans="1:11" x14ac:dyDescent="0.2">
      <c r="A726" t="s">
        <v>2106</v>
      </c>
      <c r="B726" s="59">
        <v>41055.661921296298</v>
      </c>
      <c r="C726">
        <v>120000</v>
      </c>
      <c r="D726" t="s">
        <v>2107</v>
      </c>
      <c r="E726">
        <f>tblSalaries[[#This Row],[clean Salary (in local currency)]]*VLOOKUP(tblSalaries[[#This Row],[Currency]],[1]!tblXrate[#Data],2,FALSE)</f>
        <v>19831.432821021317</v>
      </c>
      <c r="F726" t="s">
        <v>2108</v>
      </c>
      <c r="G726" t="s">
        <v>788</v>
      </c>
      <c r="H726" t="s">
        <v>9</v>
      </c>
      <c r="I726" t="str">
        <f>VLOOKUP(tblSalaries[[#This Row],[Where do you work]],[1]!tblCountries[[Actual]:[Mapping]],2,FALSE)</f>
        <v>Egypt</v>
      </c>
      <c r="J726" t="s">
        <v>794</v>
      </c>
      <c r="K726">
        <v>5</v>
      </c>
    </row>
    <row r="727" spans="1:11" x14ac:dyDescent="0.2">
      <c r="A727" t="s">
        <v>2109</v>
      </c>
      <c r="B727" s="59">
        <v>41055.662499999999</v>
      </c>
      <c r="C727">
        <v>600000</v>
      </c>
      <c r="D727" t="s">
        <v>824</v>
      </c>
      <c r="E727">
        <f>tblSalaries[[#This Row],[clean Salary (in local currency)]]*VLOOKUP(tblSalaries[[#This Row],[Currency]],[1]!tblXrate[#Data],2,FALSE)</f>
        <v>10684.750012465542</v>
      </c>
      <c r="F727" t="s">
        <v>1780</v>
      </c>
      <c r="G727" t="s">
        <v>807</v>
      </c>
      <c r="H727" t="s">
        <v>117</v>
      </c>
      <c r="I727" t="str">
        <f>VLOOKUP(tblSalaries[[#This Row],[Where do you work]],[1]!tblCountries[[Actual]:[Mapping]],2,FALSE)</f>
        <v>India</v>
      </c>
      <c r="J727" t="s">
        <v>789</v>
      </c>
      <c r="K727">
        <v>5</v>
      </c>
    </row>
    <row r="728" spans="1:11" x14ac:dyDescent="0.2">
      <c r="A728" t="s">
        <v>2110</v>
      </c>
      <c r="B728" s="59">
        <v>41055.664548611108</v>
      </c>
      <c r="C728">
        <v>4800</v>
      </c>
      <c r="D728" t="s">
        <v>786</v>
      </c>
      <c r="E728">
        <f>tblSalaries[[#This Row],[clean Salary (in local currency)]]*VLOOKUP(tblSalaries[[#This Row],[Currency]],[1]!tblXrate[#Data],2,FALSE)</f>
        <v>4800</v>
      </c>
      <c r="F728" t="s">
        <v>2111</v>
      </c>
      <c r="G728" t="s">
        <v>788</v>
      </c>
      <c r="H728" t="s">
        <v>48</v>
      </c>
      <c r="I728" t="str">
        <f>VLOOKUP(tblSalaries[[#This Row],[Where do you work]],[1]!tblCountries[[Actual]:[Mapping]],2,FALSE)</f>
        <v>Bhutan</v>
      </c>
      <c r="J728" t="s">
        <v>789</v>
      </c>
      <c r="K728">
        <v>2</v>
      </c>
    </row>
    <row r="729" spans="1:11" x14ac:dyDescent="0.2">
      <c r="A729" t="s">
        <v>2112</v>
      </c>
      <c r="B729" s="59">
        <v>41055.666481481479</v>
      </c>
      <c r="C729">
        <v>66000</v>
      </c>
      <c r="D729" t="s">
        <v>805</v>
      </c>
      <c r="E729">
        <f>tblSalaries[[#This Row],[clean Salary (in local currency)]]*VLOOKUP(tblSalaries[[#This Row],[Currency]],[1]!tblXrate[#Data],2,FALSE)</f>
        <v>83846.362973446114</v>
      </c>
      <c r="F729" t="s">
        <v>2113</v>
      </c>
      <c r="G729" t="s">
        <v>788</v>
      </c>
      <c r="H729" t="s">
        <v>1367</v>
      </c>
      <c r="I729" t="str">
        <f>VLOOKUP(tblSalaries[[#This Row],[Where do you work]],[1]!tblCountries[[Actual]:[Mapping]],2,FALSE)</f>
        <v>Germany</v>
      </c>
      <c r="J729" t="s">
        <v>789</v>
      </c>
      <c r="K729">
        <v>7</v>
      </c>
    </row>
    <row r="730" spans="1:11" x14ac:dyDescent="0.2">
      <c r="A730" t="s">
        <v>2114</v>
      </c>
      <c r="B730" s="59">
        <v>41055.667986111112</v>
      </c>
      <c r="C730">
        <v>15000</v>
      </c>
      <c r="D730" t="s">
        <v>786</v>
      </c>
      <c r="E730">
        <f>tblSalaries[[#This Row],[clean Salary (in local currency)]]*VLOOKUP(tblSalaries[[#This Row],[Currency]],[1]!tblXrate[#Data],2,FALSE)</f>
        <v>15000</v>
      </c>
      <c r="F730" t="s">
        <v>2115</v>
      </c>
      <c r="G730" t="s">
        <v>792</v>
      </c>
      <c r="H730" t="s">
        <v>117</v>
      </c>
      <c r="I730" t="str">
        <f>VLOOKUP(tblSalaries[[#This Row],[Where do you work]],[1]!tblCountries[[Actual]:[Mapping]],2,FALSE)</f>
        <v>India</v>
      </c>
      <c r="J730" t="s">
        <v>799</v>
      </c>
      <c r="K730">
        <v>2</v>
      </c>
    </row>
    <row r="731" spans="1:11" x14ac:dyDescent="0.2">
      <c r="A731" t="s">
        <v>2116</v>
      </c>
      <c r="B731" s="59">
        <v>41055.670162037037</v>
      </c>
      <c r="C731">
        <v>10000</v>
      </c>
      <c r="D731" t="s">
        <v>786</v>
      </c>
      <c r="E731">
        <f>tblSalaries[[#This Row],[clean Salary (in local currency)]]*VLOOKUP(tblSalaries[[#This Row],[Currency]],[1]!tblXrate[#Data],2,FALSE)</f>
        <v>10000</v>
      </c>
      <c r="F731" t="s">
        <v>2117</v>
      </c>
      <c r="G731" t="s">
        <v>788</v>
      </c>
      <c r="H731" t="s">
        <v>117</v>
      </c>
      <c r="I731" t="str">
        <f>VLOOKUP(tblSalaries[[#This Row],[Where do you work]],[1]!tblCountries[[Actual]:[Mapping]],2,FALSE)</f>
        <v>India</v>
      </c>
      <c r="J731" t="s">
        <v>789</v>
      </c>
      <c r="K731">
        <v>12</v>
      </c>
    </row>
    <row r="732" spans="1:11" x14ac:dyDescent="0.2">
      <c r="A732" t="s">
        <v>2118</v>
      </c>
      <c r="B732" s="59">
        <v>41055.673703703702</v>
      </c>
      <c r="C732">
        <v>74000</v>
      </c>
      <c r="D732" t="s">
        <v>861</v>
      </c>
      <c r="E732">
        <f>tblSalaries[[#This Row],[clean Salary (in local currency)]]*VLOOKUP(tblSalaries[[#This Row],[Currency]],[1]!tblXrate[#Data],2,FALSE)</f>
        <v>116637.19213297902</v>
      </c>
      <c r="F732" t="s">
        <v>2119</v>
      </c>
      <c r="G732" t="s">
        <v>807</v>
      </c>
      <c r="H732" t="s">
        <v>863</v>
      </c>
      <c r="I732" t="str">
        <f>VLOOKUP(tblSalaries[[#This Row],[Where do you work]],[1]!tblCountries[[Actual]:[Mapping]],2,FALSE)</f>
        <v>UK</v>
      </c>
      <c r="J732" t="s">
        <v>789</v>
      </c>
      <c r="K732">
        <v>5</v>
      </c>
    </row>
    <row r="733" spans="1:11" x14ac:dyDescent="0.2">
      <c r="A733" t="s">
        <v>2120</v>
      </c>
      <c r="B733" s="59">
        <v>41055.675104166665</v>
      </c>
      <c r="C733">
        <v>21798</v>
      </c>
      <c r="D733" t="s">
        <v>861</v>
      </c>
      <c r="E733">
        <f>tblSalaries[[#This Row],[clean Salary (in local currency)]]*VLOOKUP(tblSalaries[[#This Row],[Currency]],[1]!tblXrate[#Data],2,FALSE)</f>
        <v>34357.533974522659</v>
      </c>
      <c r="F733" t="s">
        <v>984</v>
      </c>
      <c r="G733" t="s">
        <v>788</v>
      </c>
      <c r="H733" t="s">
        <v>863</v>
      </c>
      <c r="I733" t="str">
        <f>VLOOKUP(tblSalaries[[#This Row],[Where do you work]],[1]!tblCountries[[Actual]:[Mapping]],2,FALSE)</f>
        <v>UK</v>
      </c>
      <c r="J733" t="s">
        <v>794</v>
      </c>
      <c r="K733">
        <v>1.5</v>
      </c>
    </row>
    <row r="734" spans="1:11" x14ac:dyDescent="0.2">
      <c r="A734" t="s">
        <v>2121</v>
      </c>
      <c r="B734" s="59">
        <v>41055.678229166668</v>
      </c>
      <c r="C734">
        <v>65000</v>
      </c>
      <c r="D734" t="s">
        <v>861</v>
      </c>
      <c r="E734">
        <f>tblSalaries[[#This Row],[clean Salary (in local currency)]]*VLOOKUP(tblSalaries[[#This Row],[Currency]],[1]!tblXrate[#Data],2,FALSE)</f>
        <v>102451.58768437347</v>
      </c>
      <c r="F734" t="s">
        <v>2122</v>
      </c>
      <c r="G734" t="s">
        <v>807</v>
      </c>
      <c r="H734" t="s">
        <v>863</v>
      </c>
      <c r="I734" t="str">
        <f>VLOOKUP(tblSalaries[[#This Row],[Where do you work]],[1]!tblCountries[[Actual]:[Mapping]],2,FALSE)</f>
        <v>UK</v>
      </c>
      <c r="J734" t="s">
        <v>789</v>
      </c>
      <c r="K734">
        <v>15</v>
      </c>
    </row>
    <row r="735" spans="1:11" x14ac:dyDescent="0.2">
      <c r="A735" t="s">
        <v>2123</v>
      </c>
      <c r="B735" s="59">
        <v>41055.682986111111</v>
      </c>
      <c r="C735">
        <v>16000</v>
      </c>
      <c r="D735" t="s">
        <v>786</v>
      </c>
      <c r="E735">
        <f>tblSalaries[[#This Row],[clean Salary (in local currency)]]*VLOOKUP(tblSalaries[[#This Row],[Currency]],[1]!tblXrate[#Data],2,FALSE)</f>
        <v>16000</v>
      </c>
      <c r="F735" t="s">
        <v>802</v>
      </c>
      <c r="G735" t="s">
        <v>802</v>
      </c>
      <c r="H735" t="s">
        <v>117</v>
      </c>
      <c r="I735" t="str">
        <f>VLOOKUP(tblSalaries[[#This Row],[Where do you work]],[1]!tblCountries[[Actual]:[Mapping]],2,FALSE)</f>
        <v>India</v>
      </c>
      <c r="J735" t="s">
        <v>799</v>
      </c>
      <c r="K735">
        <v>5</v>
      </c>
    </row>
    <row r="736" spans="1:11" x14ac:dyDescent="0.2">
      <c r="A736" t="s">
        <v>2124</v>
      </c>
      <c r="B736" s="59">
        <v>41055.684641203705</v>
      </c>
      <c r="C736">
        <v>6000</v>
      </c>
      <c r="D736" t="s">
        <v>786</v>
      </c>
      <c r="E736">
        <f>tblSalaries[[#This Row],[clean Salary (in local currency)]]*VLOOKUP(tblSalaries[[#This Row],[Currency]],[1]!tblXrate[#Data],2,FALSE)</f>
        <v>6000</v>
      </c>
      <c r="F736" t="s">
        <v>2125</v>
      </c>
      <c r="G736" t="s">
        <v>807</v>
      </c>
      <c r="H736" t="s">
        <v>117</v>
      </c>
      <c r="I736" t="str">
        <f>VLOOKUP(tblSalaries[[#This Row],[Where do you work]],[1]!tblCountries[[Actual]:[Mapping]],2,FALSE)</f>
        <v>India</v>
      </c>
      <c r="J736" t="s">
        <v>799</v>
      </c>
      <c r="K736">
        <v>6</v>
      </c>
    </row>
    <row r="737" spans="1:11" x14ac:dyDescent="0.2">
      <c r="A737" t="s">
        <v>2126</v>
      </c>
      <c r="B737" s="59">
        <v>41055.685127314813</v>
      </c>
      <c r="C737">
        <v>360000</v>
      </c>
      <c r="D737" t="s">
        <v>824</v>
      </c>
      <c r="E737">
        <f>tblSalaries[[#This Row],[clean Salary (in local currency)]]*VLOOKUP(tblSalaries[[#This Row],[Currency]],[1]!tblXrate[#Data],2,FALSE)</f>
        <v>6410.8500074793246</v>
      </c>
      <c r="F737" t="s">
        <v>2127</v>
      </c>
      <c r="G737" t="s">
        <v>807</v>
      </c>
      <c r="H737" t="s">
        <v>117</v>
      </c>
      <c r="I737" t="str">
        <f>VLOOKUP(tblSalaries[[#This Row],[Where do you work]],[1]!tblCountries[[Actual]:[Mapping]],2,FALSE)</f>
        <v>India</v>
      </c>
      <c r="J737" t="s">
        <v>794</v>
      </c>
      <c r="K737">
        <v>6</v>
      </c>
    </row>
    <row r="738" spans="1:11" x14ac:dyDescent="0.2">
      <c r="A738" t="s">
        <v>2128</v>
      </c>
      <c r="B738" s="59">
        <v>41055.687222222223</v>
      </c>
      <c r="C738">
        <v>36000</v>
      </c>
      <c r="D738" t="s">
        <v>786</v>
      </c>
      <c r="E738">
        <f>tblSalaries[[#This Row],[clean Salary (in local currency)]]*VLOOKUP(tblSalaries[[#This Row],[Currency]],[1]!tblXrate[#Data],2,FALSE)</f>
        <v>36000</v>
      </c>
      <c r="F738" t="s">
        <v>1536</v>
      </c>
      <c r="G738" t="s">
        <v>802</v>
      </c>
      <c r="H738" t="s">
        <v>2067</v>
      </c>
      <c r="I738" t="str">
        <f>VLOOKUP(tblSalaries[[#This Row],[Where do you work]],[1]!tblCountries[[Actual]:[Mapping]],2,FALSE)</f>
        <v>UAE</v>
      </c>
      <c r="J738" t="s">
        <v>808</v>
      </c>
      <c r="K738">
        <v>7</v>
      </c>
    </row>
    <row r="739" spans="1:11" x14ac:dyDescent="0.2">
      <c r="A739" t="s">
        <v>2129</v>
      </c>
      <c r="B739" s="59">
        <v>41055.690254629626</v>
      </c>
      <c r="C739">
        <v>20000</v>
      </c>
      <c r="D739" t="s">
        <v>786</v>
      </c>
      <c r="E739">
        <f>tblSalaries[[#This Row],[clean Salary (in local currency)]]*VLOOKUP(tblSalaries[[#This Row],[Currency]],[1]!tblXrate[#Data],2,FALSE)</f>
        <v>20000</v>
      </c>
      <c r="F739" t="s">
        <v>1592</v>
      </c>
      <c r="G739" t="s">
        <v>802</v>
      </c>
      <c r="H739" t="s">
        <v>117</v>
      </c>
      <c r="I739" t="str">
        <f>VLOOKUP(tblSalaries[[#This Row],[Where do you work]],[1]!tblCountries[[Actual]:[Mapping]],2,FALSE)</f>
        <v>India</v>
      </c>
      <c r="J739" t="s">
        <v>808</v>
      </c>
      <c r="K739">
        <v>7</v>
      </c>
    </row>
    <row r="740" spans="1:11" x14ac:dyDescent="0.2">
      <c r="A740" t="s">
        <v>2130</v>
      </c>
      <c r="B740" s="59">
        <v>41055.690486111111</v>
      </c>
      <c r="C740">
        <v>240000</v>
      </c>
      <c r="D740" t="s">
        <v>824</v>
      </c>
      <c r="E740">
        <f>tblSalaries[[#This Row],[clean Salary (in local currency)]]*VLOOKUP(tblSalaries[[#This Row],[Currency]],[1]!tblXrate[#Data],2,FALSE)</f>
        <v>4273.9000049862161</v>
      </c>
      <c r="F740" t="s">
        <v>2131</v>
      </c>
      <c r="G740" t="s">
        <v>817</v>
      </c>
      <c r="H740" t="s">
        <v>117</v>
      </c>
      <c r="I740" t="str">
        <f>VLOOKUP(tblSalaries[[#This Row],[Where do you work]],[1]!tblCountries[[Actual]:[Mapping]],2,FALSE)</f>
        <v>India</v>
      </c>
      <c r="J740" t="s">
        <v>789</v>
      </c>
      <c r="K740">
        <v>8</v>
      </c>
    </row>
    <row r="741" spans="1:11" x14ac:dyDescent="0.2">
      <c r="A741" t="s">
        <v>2132</v>
      </c>
      <c r="B741" s="59">
        <v>41055.690937500003</v>
      </c>
      <c r="C741">
        <v>24000</v>
      </c>
      <c r="D741" t="s">
        <v>861</v>
      </c>
      <c r="E741">
        <f>tblSalaries[[#This Row],[clean Salary (in local currency)]]*VLOOKUP(tblSalaries[[#This Row],[Currency]],[1]!tblXrate[#Data],2,FALSE)</f>
        <v>37828.278529614821</v>
      </c>
      <c r="F741" t="s">
        <v>2133</v>
      </c>
      <c r="G741" t="s">
        <v>820</v>
      </c>
      <c r="H741" t="s">
        <v>863</v>
      </c>
      <c r="I741" t="str">
        <f>VLOOKUP(tblSalaries[[#This Row],[Where do you work]],[1]!tblCountries[[Actual]:[Mapping]],2,FALSE)</f>
        <v>UK</v>
      </c>
      <c r="J741" t="s">
        <v>794</v>
      </c>
      <c r="K741">
        <v>8</v>
      </c>
    </row>
    <row r="742" spans="1:11" x14ac:dyDescent="0.2">
      <c r="A742" t="s">
        <v>2134</v>
      </c>
      <c r="B742" s="59">
        <v>41055.701481481483</v>
      </c>
      <c r="C742">
        <v>11000</v>
      </c>
      <c r="D742" t="s">
        <v>786</v>
      </c>
      <c r="E742">
        <f>tblSalaries[[#This Row],[clean Salary (in local currency)]]*VLOOKUP(tblSalaries[[#This Row],[Currency]],[1]!tblXrate[#Data],2,FALSE)</f>
        <v>11000</v>
      </c>
      <c r="F742" t="s">
        <v>2135</v>
      </c>
      <c r="G742" t="s">
        <v>807</v>
      </c>
      <c r="H742" t="s">
        <v>292</v>
      </c>
      <c r="I742" t="str">
        <f>VLOOKUP(tblSalaries[[#This Row],[Where do you work]],[1]!tblCountries[[Actual]:[Mapping]],2,FALSE)</f>
        <v>Sri Lanka</v>
      </c>
      <c r="J742" t="s">
        <v>794</v>
      </c>
      <c r="K742">
        <v>4.5</v>
      </c>
    </row>
    <row r="743" spans="1:11" x14ac:dyDescent="0.2">
      <c r="A743" t="s">
        <v>2136</v>
      </c>
      <c r="B743" s="59">
        <v>41055.701921296299</v>
      </c>
      <c r="C743">
        <v>8000</v>
      </c>
      <c r="D743" t="s">
        <v>786</v>
      </c>
      <c r="E743">
        <f>tblSalaries[[#This Row],[clean Salary (in local currency)]]*VLOOKUP(tblSalaries[[#This Row],[Currency]],[1]!tblXrate[#Data],2,FALSE)</f>
        <v>8000</v>
      </c>
      <c r="F743" t="s">
        <v>1070</v>
      </c>
      <c r="G743" t="s">
        <v>788</v>
      </c>
      <c r="H743" t="s">
        <v>117</v>
      </c>
      <c r="I743" t="str">
        <f>VLOOKUP(tblSalaries[[#This Row],[Where do you work]],[1]!tblCountries[[Actual]:[Mapping]],2,FALSE)</f>
        <v>India</v>
      </c>
      <c r="J743" t="s">
        <v>799</v>
      </c>
      <c r="K743">
        <v>6</v>
      </c>
    </row>
    <row r="744" spans="1:11" x14ac:dyDescent="0.2">
      <c r="A744" t="s">
        <v>2137</v>
      </c>
      <c r="B744" s="59">
        <v>41055.71025462963</v>
      </c>
      <c r="C744">
        <v>225000</v>
      </c>
      <c r="D744" t="s">
        <v>824</v>
      </c>
      <c r="E744">
        <f>tblSalaries[[#This Row],[clean Salary (in local currency)]]*VLOOKUP(tblSalaries[[#This Row],[Currency]],[1]!tblXrate[#Data],2,FALSE)</f>
        <v>4006.7812546745777</v>
      </c>
      <c r="F744" t="s">
        <v>1915</v>
      </c>
      <c r="G744" t="s">
        <v>836</v>
      </c>
      <c r="H744" t="s">
        <v>117</v>
      </c>
      <c r="I744" t="str">
        <f>VLOOKUP(tblSalaries[[#This Row],[Where do you work]],[1]!tblCountries[[Actual]:[Mapping]],2,FALSE)</f>
        <v>India</v>
      </c>
      <c r="J744" t="s">
        <v>794</v>
      </c>
      <c r="K744">
        <v>5.5</v>
      </c>
    </row>
    <row r="745" spans="1:11" x14ac:dyDescent="0.2">
      <c r="A745" t="s">
        <v>2138</v>
      </c>
      <c r="B745" s="59">
        <v>41055.710439814815</v>
      </c>
      <c r="C745">
        <v>1488000</v>
      </c>
      <c r="D745" t="s">
        <v>2139</v>
      </c>
      <c r="E745">
        <f>tblSalaries[[#This Row],[clean Salary (in local currency)]]*VLOOKUP(tblSalaries[[#This Row],[Currency]],[1]!tblXrate[#Data],2,FALSE)</f>
        <v>9171.0323574730355</v>
      </c>
      <c r="F745" t="s">
        <v>2140</v>
      </c>
      <c r="G745" t="s">
        <v>807</v>
      </c>
      <c r="H745" t="s">
        <v>231</v>
      </c>
      <c r="I745" t="str">
        <f>VLOOKUP(tblSalaries[[#This Row],[Where do you work]],[1]!tblCountries[[Actual]:[Mapping]],2,FALSE)</f>
        <v>Nigeria</v>
      </c>
      <c r="J745" t="s">
        <v>799</v>
      </c>
      <c r="K745">
        <v>5</v>
      </c>
    </row>
    <row r="746" spans="1:11" x14ac:dyDescent="0.2">
      <c r="A746" t="s">
        <v>2141</v>
      </c>
      <c r="B746" s="59">
        <v>41055.710717592592</v>
      </c>
      <c r="C746">
        <v>240000</v>
      </c>
      <c r="D746" t="s">
        <v>824</v>
      </c>
      <c r="E746">
        <f>tblSalaries[[#This Row],[clean Salary (in local currency)]]*VLOOKUP(tblSalaries[[#This Row],[Currency]],[1]!tblXrate[#Data],2,FALSE)</f>
        <v>4273.9000049862161</v>
      </c>
      <c r="F746" t="s">
        <v>2142</v>
      </c>
      <c r="G746" t="s">
        <v>788</v>
      </c>
      <c r="H746" t="s">
        <v>117</v>
      </c>
      <c r="I746" t="str">
        <f>VLOOKUP(tblSalaries[[#This Row],[Where do you work]],[1]!tblCountries[[Actual]:[Mapping]],2,FALSE)</f>
        <v>India</v>
      </c>
      <c r="J746" t="s">
        <v>799</v>
      </c>
      <c r="K746">
        <v>20</v>
      </c>
    </row>
    <row r="747" spans="1:11" x14ac:dyDescent="0.2">
      <c r="A747" t="s">
        <v>2143</v>
      </c>
      <c r="B747" s="59">
        <v>41055.711377314816</v>
      </c>
      <c r="C747">
        <v>700000</v>
      </c>
      <c r="D747" t="s">
        <v>824</v>
      </c>
      <c r="E747">
        <f>tblSalaries[[#This Row],[clean Salary (in local currency)]]*VLOOKUP(tblSalaries[[#This Row],[Currency]],[1]!tblXrate[#Data],2,FALSE)</f>
        <v>12465.541681209797</v>
      </c>
      <c r="F747" t="s">
        <v>2144</v>
      </c>
      <c r="G747" t="s">
        <v>788</v>
      </c>
      <c r="H747" t="s">
        <v>117</v>
      </c>
      <c r="I747" t="str">
        <f>VLOOKUP(tblSalaries[[#This Row],[Where do you work]],[1]!tblCountries[[Actual]:[Mapping]],2,FALSE)</f>
        <v>India</v>
      </c>
      <c r="J747" t="s">
        <v>794</v>
      </c>
      <c r="K747">
        <v>5</v>
      </c>
    </row>
    <row r="748" spans="1:11" x14ac:dyDescent="0.2">
      <c r="A748" t="s">
        <v>2145</v>
      </c>
      <c r="B748" s="59">
        <v>41055.713055555556</v>
      </c>
      <c r="C748">
        <v>24000</v>
      </c>
      <c r="D748" t="s">
        <v>786</v>
      </c>
      <c r="E748">
        <f>tblSalaries[[#This Row],[clean Salary (in local currency)]]*VLOOKUP(tblSalaries[[#This Row],[Currency]],[1]!tblXrate[#Data],2,FALSE)</f>
        <v>24000</v>
      </c>
      <c r="F748" t="s">
        <v>2146</v>
      </c>
      <c r="G748" t="s">
        <v>788</v>
      </c>
      <c r="H748" t="s">
        <v>117</v>
      </c>
      <c r="I748" t="str">
        <f>VLOOKUP(tblSalaries[[#This Row],[Where do you work]],[1]!tblCountries[[Actual]:[Mapping]],2,FALSE)</f>
        <v>India</v>
      </c>
      <c r="J748" t="s">
        <v>799</v>
      </c>
      <c r="K748">
        <v>1</v>
      </c>
    </row>
    <row r="749" spans="1:11" x14ac:dyDescent="0.2">
      <c r="A749" t="s">
        <v>2147</v>
      </c>
      <c r="B749" s="59">
        <v>41055.713541666664</v>
      </c>
      <c r="C749">
        <v>20000</v>
      </c>
      <c r="D749" t="s">
        <v>786</v>
      </c>
      <c r="E749">
        <f>tblSalaries[[#This Row],[clean Salary (in local currency)]]*VLOOKUP(tblSalaries[[#This Row],[Currency]],[1]!tblXrate[#Data],2,FALSE)</f>
        <v>20000</v>
      </c>
      <c r="F749" t="s">
        <v>2148</v>
      </c>
      <c r="G749" t="s">
        <v>867</v>
      </c>
      <c r="H749" t="s">
        <v>70</v>
      </c>
      <c r="I749" t="str">
        <f>VLOOKUP(tblSalaries[[#This Row],[Where do you work]],[1]!tblCountries[[Actual]:[Mapping]],2,FALSE)</f>
        <v>Denmark</v>
      </c>
      <c r="J749" t="s">
        <v>799</v>
      </c>
      <c r="K749">
        <v>15</v>
      </c>
    </row>
    <row r="750" spans="1:11" x14ac:dyDescent="0.2">
      <c r="A750" t="s">
        <v>2149</v>
      </c>
      <c r="B750" s="59">
        <v>41055.713993055557</v>
      </c>
      <c r="C750">
        <v>62000</v>
      </c>
      <c r="D750" t="s">
        <v>786</v>
      </c>
      <c r="E750">
        <f>tblSalaries[[#This Row],[clean Salary (in local currency)]]*VLOOKUP(tblSalaries[[#This Row],[Currency]],[1]!tblXrate[#Data],2,FALSE)</f>
        <v>62000</v>
      </c>
      <c r="F750" t="s">
        <v>2150</v>
      </c>
      <c r="G750" t="s">
        <v>788</v>
      </c>
      <c r="H750" t="s">
        <v>15</v>
      </c>
      <c r="I750" t="str">
        <f>VLOOKUP(tblSalaries[[#This Row],[Where do you work]],[1]!tblCountries[[Actual]:[Mapping]],2,FALSE)</f>
        <v>USA</v>
      </c>
      <c r="J750" t="s">
        <v>799</v>
      </c>
      <c r="K750">
        <v>20</v>
      </c>
    </row>
    <row r="751" spans="1:11" x14ac:dyDescent="0.2">
      <c r="A751" t="s">
        <v>2151</v>
      </c>
      <c r="B751" s="59">
        <v>41055.714861111112</v>
      </c>
      <c r="C751">
        <v>14960</v>
      </c>
      <c r="D751" t="s">
        <v>786</v>
      </c>
      <c r="E751">
        <f>tblSalaries[[#This Row],[clean Salary (in local currency)]]*VLOOKUP(tblSalaries[[#This Row],[Currency]],[1]!tblXrate[#Data],2,FALSE)</f>
        <v>14960</v>
      </c>
      <c r="F751" t="s">
        <v>2152</v>
      </c>
      <c r="G751" t="s">
        <v>792</v>
      </c>
      <c r="H751" t="s">
        <v>749</v>
      </c>
      <c r="I751" t="str">
        <f>VLOOKUP(tblSalaries[[#This Row],[Where do you work]],[1]!tblCountries[[Actual]:[Mapping]],2,FALSE)</f>
        <v>Saudi Arabia</v>
      </c>
      <c r="J751" t="s">
        <v>794</v>
      </c>
      <c r="K751">
        <v>2</v>
      </c>
    </row>
    <row r="752" spans="1:11" x14ac:dyDescent="0.2">
      <c r="A752" t="s">
        <v>2153</v>
      </c>
      <c r="B752" s="59">
        <v>41055.715509259258</v>
      </c>
      <c r="C752">
        <v>120000</v>
      </c>
      <c r="D752" t="s">
        <v>824</v>
      </c>
      <c r="E752">
        <f>tblSalaries[[#This Row],[clean Salary (in local currency)]]*VLOOKUP(tblSalaries[[#This Row],[Currency]],[1]!tblXrate[#Data],2,FALSE)</f>
        <v>2136.9500024931081</v>
      </c>
      <c r="F752" t="s">
        <v>2154</v>
      </c>
      <c r="G752" t="s">
        <v>817</v>
      </c>
      <c r="H752" t="s">
        <v>117</v>
      </c>
      <c r="I752" t="str">
        <f>VLOOKUP(tblSalaries[[#This Row],[Where do you work]],[1]!tblCountries[[Actual]:[Mapping]],2,FALSE)</f>
        <v>India</v>
      </c>
      <c r="J752" t="s">
        <v>799</v>
      </c>
      <c r="K752">
        <v>2</v>
      </c>
    </row>
    <row r="753" spans="1:11" x14ac:dyDescent="0.2">
      <c r="A753" t="s">
        <v>2155</v>
      </c>
      <c r="B753" s="59">
        <v>41055.725474537037</v>
      </c>
      <c r="C753">
        <v>30232</v>
      </c>
      <c r="D753" t="s">
        <v>786</v>
      </c>
      <c r="E753">
        <f>tblSalaries[[#This Row],[clean Salary (in local currency)]]*VLOOKUP(tblSalaries[[#This Row],[Currency]],[1]!tblXrate[#Data],2,FALSE)</f>
        <v>30232</v>
      </c>
      <c r="F753" t="s">
        <v>2156</v>
      </c>
      <c r="G753" t="s">
        <v>817</v>
      </c>
      <c r="H753" t="s">
        <v>2157</v>
      </c>
      <c r="I753" t="str">
        <f>VLOOKUP(tblSalaries[[#This Row],[Where do you work]],[1]!tblCountries[[Actual]:[Mapping]],2,FALSE)</f>
        <v>USA</v>
      </c>
      <c r="J753" t="s">
        <v>799</v>
      </c>
      <c r="K753">
        <v>5</v>
      </c>
    </row>
    <row r="754" spans="1:11" x14ac:dyDescent="0.2">
      <c r="A754" t="s">
        <v>2158</v>
      </c>
      <c r="B754" s="59">
        <v>41055.725474537037</v>
      </c>
      <c r="C754">
        <v>41000</v>
      </c>
      <c r="D754" t="s">
        <v>786</v>
      </c>
      <c r="E754">
        <f>tblSalaries[[#This Row],[clean Salary (in local currency)]]*VLOOKUP(tblSalaries[[#This Row],[Currency]],[1]!tblXrate[#Data],2,FALSE)</f>
        <v>41000</v>
      </c>
      <c r="F754" t="s">
        <v>1070</v>
      </c>
      <c r="G754" t="s">
        <v>788</v>
      </c>
      <c r="H754" t="s">
        <v>15</v>
      </c>
      <c r="I754" t="str">
        <f>VLOOKUP(tblSalaries[[#This Row],[Where do you work]],[1]!tblCountries[[Actual]:[Mapping]],2,FALSE)</f>
        <v>USA</v>
      </c>
      <c r="J754" t="s">
        <v>794</v>
      </c>
      <c r="K754">
        <v>4</v>
      </c>
    </row>
    <row r="755" spans="1:11" x14ac:dyDescent="0.2">
      <c r="A755" t="s">
        <v>2159</v>
      </c>
      <c r="B755" s="59">
        <v>41055.730509259258</v>
      </c>
      <c r="C755">
        <v>95000</v>
      </c>
      <c r="D755" t="s">
        <v>877</v>
      </c>
      <c r="E755">
        <f>tblSalaries[[#This Row],[clean Salary (in local currency)]]*VLOOKUP(tblSalaries[[#This Row],[Currency]],[1]!tblXrate[#Data],2,FALSE)</f>
        <v>96891.417358250401</v>
      </c>
      <c r="F755" t="s">
        <v>2160</v>
      </c>
      <c r="G755" t="s">
        <v>788</v>
      </c>
      <c r="H755" t="s">
        <v>33</v>
      </c>
      <c r="I755" t="str">
        <f>VLOOKUP(tblSalaries[[#This Row],[Where do you work]],[1]!tblCountries[[Actual]:[Mapping]],2,FALSE)</f>
        <v>Australia</v>
      </c>
      <c r="J755" t="s">
        <v>799</v>
      </c>
      <c r="K755">
        <v>11</v>
      </c>
    </row>
    <row r="756" spans="1:11" x14ac:dyDescent="0.2">
      <c r="A756" t="s">
        <v>2161</v>
      </c>
      <c r="B756" s="59">
        <v>41055.739282407405</v>
      </c>
      <c r="C756">
        <v>1200000</v>
      </c>
      <c r="D756" t="s">
        <v>824</v>
      </c>
      <c r="E756">
        <f>tblSalaries[[#This Row],[clean Salary (in local currency)]]*VLOOKUP(tblSalaries[[#This Row],[Currency]],[1]!tblXrate[#Data],2,FALSE)</f>
        <v>21369.500024931083</v>
      </c>
      <c r="F756" t="s">
        <v>2162</v>
      </c>
      <c r="G756" t="s">
        <v>807</v>
      </c>
      <c r="H756" t="s">
        <v>117</v>
      </c>
      <c r="I756" t="str">
        <f>VLOOKUP(tblSalaries[[#This Row],[Where do you work]],[1]!tblCountries[[Actual]:[Mapping]],2,FALSE)</f>
        <v>India</v>
      </c>
      <c r="J756" t="s">
        <v>794</v>
      </c>
      <c r="K756">
        <v>14</v>
      </c>
    </row>
    <row r="757" spans="1:11" x14ac:dyDescent="0.2">
      <c r="A757" t="s">
        <v>2163</v>
      </c>
      <c r="B757" s="59">
        <v>41055.740972222222</v>
      </c>
      <c r="C757">
        <v>205000</v>
      </c>
      <c r="D757" t="s">
        <v>824</v>
      </c>
      <c r="E757">
        <f>tblSalaries[[#This Row],[clean Salary (in local currency)]]*VLOOKUP(tblSalaries[[#This Row],[Currency]],[1]!tblXrate[#Data],2,FALSE)</f>
        <v>3650.6229209257262</v>
      </c>
      <c r="F757" t="s">
        <v>2164</v>
      </c>
      <c r="G757" t="s">
        <v>817</v>
      </c>
      <c r="H757" t="s">
        <v>117</v>
      </c>
      <c r="I757" t="str">
        <f>VLOOKUP(tblSalaries[[#This Row],[Where do you work]],[1]!tblCountries[[Actual]:[Mapping]],2,FALSE)</f>
        <v>India</v>
      </c>
      <c r="J757" t="s">
        <v>794</v>
      </c>
      <c r="K757">
        <v>10</v>
      </c>
    </row>
    <row r="758" spans="1:11" x14ac:dyDescent="0.2">
      <c r="A758" t="s">
        <v>2165</v>
      </c>
      <c r="B758" s="59">
        <v>41055.741087962961</v>
      </c>
      <c r="C758">
        <v>19068</v>
      </c>
      <c r="D758" t="s">
        <v>786</v>
      </c>
      <c r="E758">
        <f>tblSalaries[[#This Row],[clean Salary (in local currency)]]*VLOOKUP(tblSalaries[[#This Row],[Currency]],[1]!tblXrate[#Data],2,FALSE)</f>
        <v>19068</v>
      </c>
      <c r="F758" t="s">
        <v>2166</v>
      </c>
      <c r="G758" t="s">
        <v>817</v>
      </c>
      <c r="H758" t="s">
        <v>252</v>
      </c>
      <c r="I758" t="str">
        <f>VLOOKUP(tblSalaries[[#This Row],[Where do you work]],[1]!tblCountries[[Actual]:[Mapping]],2,FALSE)</f>
        <v>Philippines</v>
      </c>
      <c r="J758" t="s">
        <v>794</v>
      </c>
      <c r="K758">
        <v>20</v>
      </c>
    </row>
    <row r="759" spans="1:11" x14ac:dyDescent="0.2">
      <c r="A759" t="s">
        <v>2167</v>
      </c>
      <c r="B759" s="59">
        <v>41055.74255787037</v>
      </c>
      <c r="C759">
        <v>300000</v>
      </c>
      <c r="D759" t="s">
        <v>824</v>
      </c>
      <c r="E759">
        <f>tblSalaries[[#This Row],[clean Salary (in local currency)]]*VLOOKUP(tblSalaries[[#This Row],[Currency]],[1]!tblXrate[#Data],2,FALSE)</f>
        <v>5342.3750062327708</v>
      </c>
      <c r="F759" t="s">
        <v>2168</v>
      </c>
      <c r="G759" t="s">
        <v>792</v>
      </c>
      <c r="H759" t="s">
        <v>117</v>
      </c>
      <c r="I759" t="str">
        <f>VLOOKUP(tblSalaries[[#This Row],[Where do you work]],[1]!tblCountries[[Actual]:[Mapping]],2,FALSE)</f>
        <v>India</v>
      </c>
      <c r="J759" t="s">
        <v>794</v>
      </c>
      <c r="K759">
        <v>4</v>
      </c>
    </row>
    <row r="760" spans="1:11" x14ac:dyDescent="0.2">
      <c r="A760" t="s">
        <v>2169</v>
      </c>
      <c r="B760" s="59">
        <v>41055.744062500002</v>
      </c>
      <c r="C760">
        <v>48000</v>
      </c>
      <c r="D760" t="s">
        <v>786</v>
      </c>
      <c r="E760">
        <f>tblSalaries[[#This Row],[clean Salary (in local currency)]]*VLOOKUP(tblSalaries[[#This Row],[Currency]],[1]!tblXrate[#Data],2,FALSE)</f>
        <v>48000</v>
      </c>
      <c r="F760" t="s">
        <v>867</v>
      </c>
      <c r="G760" t="s">
        <v>867</v>
      </c>
      <c r="H760" t="s">
        <v>283</v>
      </c>
      <c r="I760" t="str">
        <f>VLOOKUP(tblSalaries[[#This Row],[Where do you work]],[1]!tblCountries[[Actual]:[Mapping]],2,FALSE)</f>
        <v>Singapore</v>
      </c>
      <c r="J760" t="s">
        <v>794</v>
      </c>
      <c r="K760">
        <v>3</v>
      </c>
    </row>
    <row r="761" spans="1:11" x14ac:dyDescent="0.2">
      <c r="A761" t="s">
        <v>2170</v>
      </c>
      <c r="B761" s="59">
        <v>41055.763761574075</v>
      </c>
      <c r="C761">
        <v>220000</v>
      </c>
      <c r="D761" t="s">
        <v>824</v>
      </c>
      <c r="E761">
        <f>tblSalaries[[#This Row],[clean Salary (in local currency)]]*VLOOKUP(tblSalaries[[#This Row],[Currency]],[1]!tblXrate[#Data],2,FALSE)</f>
        <v>3917.7416712373652</v>
      </c>
      <c r="F761" t="s">
        <v>2171</v>
      </c>
      <c r="G761" t="s">
        <v>802</v>
      </c>
      <c r="H761" t="s">
        <v>117</v>
      </c>
      <c r="I761" t="str">
        <f>VLOOKUP(tblSalaries[[#This Row],[Where do you work]],[1]!tblCountries[[Actual]:[Mapping]],2,FALSE)</f>
        <v>India</v>
      </c>
      <c r="J761" t="s">
        <v>789</v>
      </c>
      <c r="K761">
        <v>2</v>
      </c>
    </row>
    <row r="762" spans="1:11" x14ac:dyDescent="0.2">
      <c r="A762" t="s">
        <v>2172</v>
      </c>
      <c r="B762" s="59">
        <v>41055.770208333335</v>
      </c>
      <c r="C762">
        <v>13500</v>
      </c>
      <c r="D762" t="s">
        <v>786</v>
      </c>
      <c r="E762">
        <f>tblSalaries[[#This Row],[clean Salary (in local currency)]]*VLOOKUP(tblSalaries[[#This Row],[Currency]],[1]!tblXrate[#Data],2,FALSE)</f>
        <v>13500</v>
      </c>
      <c r="F762" t="s">
        <v>1336</v>
      </c>
      <c r="G762" t="s">
        <v>836</v>
      </c>
      <c r="H762" t="s">
        <v>117</v>
      </c>
      <c r="I762" t="str">
        <f>VLOOKUP(tblSalaries[[#This Row],[Where do you work]],[1]!tblCountries[[Actual]:[Mapping]],2,FALSE)</f>
        <v>India</v>
      </c>
      <c r="J762" t="s">
        <v>794</v>
      </c>
      <c r="K762">
        <v>2.5</v>
      </c>
    </row>
    <row r="763" spans="1:11" x14ac:dyDescent="0.2">
      <c r="A763" t="s">
        <v>2173</v>
      </c>
      <c r="B763" s="59">
        <v>41055.774537037039</v>
      </c>
      <c r="C763">
        <v>45000</v>
      </c>
      <c r="D763" t="s">
        <v>786</v>
      </c>
      <c r="E763">
        <f>tblSalaries[[#This Row],[clean Salary (in local currency)]]*VLOOKUP(tblSalaries[[#This Row],[Currency]],[1]!tblXrate[#Data],2,FALSE)</f>
        <v>45000</v>
      </c>
      <c r="F763" t="s">
        <v>838</v>
      </c>
      <c r="G763" t="s">
        <v>807</v>
      </c>
      <c r="H763" t="s">
        <v>117</v>
      </c>
      <c r="I763" t="str">
        <f>VLOOKUP(tblSalaries[[#This Row],[Where do you work]],[1]!tblCountries[[Actual]:[Mapping]],2,FALSE)</f>
        <v>India</v>
      </c>
      <c r="J763" t="s">
        <v>808</v>
      </c>
      <c r="K763">
        <v>15</v>
      </c>
    </row>
    <row r="764" spans="1:11" x14ac:dyDescent="0.2">
      <c r="A764" t="s">
        <v>2174</v>
      </c>
      <c r="B764" s="59">
        <v>41055.776863425926</v>
      </c>
      <c r="C764">
        <v>55000</v>
      </c>
      <c r="D764" t="s">
        <v>805</v>
      </c>
      <c r="E764">
        <f>tblSalaries[[#This Row],[clean Salary (in local currency)]]*VLOOKUP(tblSalaries[[#This Row],[Currency]],[1]!tblXrate[#Data],2,FALSE)</f>
        <v>69871.969144538423</v>
      </c>
      <c r="F764" t="s">
        <v>812</v>
      </c>
      <c r="G764" t="s">
        <v>813</v>
      </c>
      <c r="H764" t="s">
        <v>2175</v>
      </c>
      <c r="I764" t="str">
        <f>VLOOKUP(tblSalaries[[#This Row],[Where do you work]],[1]!tblCountries[[Actual]:[Mapping]],2,FALSE)</f>
        <v>italy</v>
      </c>
      <c r="J764" t="s">
        <v>799</v>
      </c>
      <c r="K764">
        <v>18</v>
      </c>
    </row>
    <row r="765" spans="1:11" x14ac:dyDescent="0.2">
      <c r="A765" t="s">
        <v>2176</v>
      </c>
      <c r="B765" s="59">
        <v>41055.778831018521</v>
      </c>
      <c r="C765">
        <v>480000</v>
      </c>
      <c r="D765" t="s">
        <v>824</v>
      </c>
      <c r="E765">
        <f>tblSalaries[[#This Row],[clean Salary (in local currency)]]*VLOOKUP(tblSalaries[[#This Row],[Currency]],[1]!tblXrate[#Data],2,FALSE)</f>
        <v>8547.8000099724322</v>
      </c>
      <c r="F765" t="s">
        <v>2177</v>
      </c>
      <c r="G765" t="s">
        <v>807</v>
      </c>
      <c r="H765" t="s">
        <v>117</v>
      </c>
      <c r="I765" t="str">
        <f>VLOOKUP(tblSalaries[[#This Row],[Where do you work]],[1]!tblCountries[[Actual]:[Mapping]],2,FALSE)</f>
        <v>India</v>
      </c>
      <c r="J765" t="s">
        <v>789</v>
      </c>
      <c r="K765">
        <v>11</v>
      </c>
    </row>
    <row r="766" spans="1:11" x14ac:dyDescent="0.2">
      <c r="A766" t="s">
        <v>2178</v>
      </c>
      <c r="B766" s="59">
        <v>41055.780555555553</v>
      </c>
      <c r="C766">
        <v>33600</v>
      </c>
      <c r="D766" t="s">
        <v>1333</v>
      </c>
      <c r="E766">
        <f>tblSalaries[[#This Row],[clean Salary (in local currency)]]*VLOOKUP(tblSalaries[[#This Row],[Currency]],[1]!tblXrate[#Data],2,FALSE)</f>
        <v>9146.5655463031271</v>
      </c>
      <c r="F766" t="s">
        <v>817</v>
      </c>
      <c r="G766" t="s">
        <v>817</v>
      </c>
      <c r="H766" t="s">
        <v>1334</v>
      </c>
      <c r="I766" t="str">
        <f>VLOOKUP(tblSalaries[[#This Row],[Where do you work]],[1]!tblCountries[[Actual]:[Mapping]],2,FALSE)</f>
        <v>Dubai</v>
      </c>
      <c r="J766" t="s">
        <v>808</v>
      </c>
      <c r="K766">
        <v>7</v>
      </c>
    </row>
    <row r="767" spans="1:11" x14ac:dyDescent="0.2">
      <c r="A767" t="s">
        <v>2179</v>
      </c>
      <c r="B767" s="59">
        <v>41055.789490740739</v>
      </c>
      <c r="C767">
        <v>570000</v>
      </c>
      <c r="D767" t="s">
        <v>824</v>
      </c>
      <c r="E767">
        <f>tblSalaries[[#This Row],[clean Salary (in local currency)]]*VLOOKUP(tblSalaries[[#This Row],[Currency]],[1]!tblXrate[#Data],2,FALSE)</f>
        <v>10150.512511842264</v>
      </c>
      <c r="F767" t="s">
        <v>788</v>
      </c>
      <c r="G767" t="s">
        <v>788</v>
      </c>
      <c r="H767" t="s">
        <v>117</v>
      </c>
      <c r="I767" t="str">
        <f>VLOOKUP(tblSalaries[[#This Row],[Where do you work]],[1]!tblCountries[[Actual]:[Mapping]],2,FALSE)</f>
        <v>India</v>
      </c>
      <c r="J767" t="s">
        <v>794</v>
      </c>
      <c r="K767">
        <v>2.4</v>
      </c>
    </row>
    <row r="768" spans="1:11" x14ac:dyDescent="0.2">
      <c r="A768" t="s">
        <v>2180</v>
      </c>
      <c r="B768" s="59">
        <v>41055.797164351854</v>
      </c>
      <c r="C768">
        <v>636000</v>
      </c>
      <c r="D768" t="s">
        <v>824</v>
      </c>
      <c r="E768">
        <f>tblSalaries[[#This Row],[clean Salary (in local currency)]]*VLOOKUP(tblSalaries[[#This Row],[Currency]],[1]!tblXrate[#Data],2,FALSE)</f>
        <v>11325.835013213473</v>
      </c>
      <c r="F768" t="s">
        <v>1656</v>
      </c>
      <c r="G768" t="s">
        <v>807</v>
      </c>
      <c r="H768" t="s">
        <v>117</v>
      </c>
      <c r="I768" t="str">
        <f>VLOOKUP(tblSalaries[[#This Row],[Where do you work]],[1]!tblCountries[[Actual]:[Mapping]],2,FALSE)</f>
        <v>India</v>
      </c>
      <c r="J768" t="s">
        <v>789</v>
      </c>
      <c r="K768">
        <v>7</v>
      </c>
    </row>
    <row r="769" spans="1:11" x14ac:dyDescent="0.2">
      <c r="A769" t="s">
        <v>2181</v>
      </c>
      <c r="B769" s="59">
        <v>41055.801145833335</v>
      </c>
      <c r="C769">
        <v>180000</v>
      </c>
      <c r="D769" t="s">
        <v>815</v>
      </c>
      <c r="E769">
        <f>tblSalaries[[#This Row],[clean Salary (in local currency)]]*VLOOKUP(tblSalaries[[#This Row],[Currency]],[1]!tblXrate[#Data],2,FALSE)</f>
        <v>1910.5359690238436</v>
      </c>
      <c r="F769" t="s">
        <v>2182</v>
      </c>
      <c r="G769" t="s">
        <v>836</v>
      </c>
      <c r="H769" t="s">
        <v>240</v>
      </c>
      <c r="I769" t="str">
        <f>VLOOKUP(tblSalaries[[#This Row],[Where do you work]],[1]!tblCountries[[Actual]:[Mapping]],2,FALSE)</f>
        <v>Pakistan</v>
      </c>
      <c r="J769" t="s">
        <v>794</v>
      </c>
      <c r="K769">
        <v>7</v>
      </c>
    </row>
    <row r="770" spans="1:11" x14ac:dyDescent="0.2">
      <c r="A770" t="s">
        <v>2183</v>
      </c>
      <c r="B770" s="59">
        <v>41055.807557870372</v>
      </c>
      <c r="C770">
        <v>36000</v>
      </c>
      <c r="D770" t="s">
        <v>786</v>
      </c>
      <c r="E770">
        <f>tblSalaries[[#This Row],[clean Salary (in local currency)]]*VLOOKUP(tblSalaries[[#This Row],[Currency]],[1]!tblXrate[#Data],2,FALSE)</f>
        <v>36000</v>
      </c>
      <c r="F770" t="s">
        <v>2184</v>
      </c>
      <c r="G770" t="s">
        <v>807</v>
      </c>
      <c r="H770" t="s">
        <v>33</v>
      </c>
      <c r="I770" t="str">
        <f>VLOOKUP(tblSalaries[[#This Row],[Where do you work]],[1]!tblCountries[[Actual]:[Mapping]],2,FALSE)</f>
        <v>Australia</v>
      </c>
      <c r="J770" t="s">
        <v>799</v>
      </c>
      <c r="K770">
        <v>12</v>
      </c>
    </row>
    <row r="771" spans="1:11" x14ac:dyDescent="0.2">
      <c r="A771" t="s">
        <v>2185</v>
      </c>
      <c r="B771" s="59">
        <v>41055.812071759261</v>
      </c>
      <c r="C771">
        <v>2250000</v>
      </c>
      <c r="D771" t="s">
        <v>824</v>
      </c>
      <c r="E771">
        <f>tblSalaries[[#This Row],[clean Salary (in local currency)]]*VLOOKUP(tblSalaries[[#This Row],[Currency]],[1]!tblXrate[#Data],2,FALSE)</f>
        <v>40067.812546745779</v>
      </c>
      <c r="F771" t="s">
        <v>2186</v>
      </c>
      <c r="G771" t="s">
        <v>817</v>
      </c>
      <c r="H771" t="s">
        <v>117</v>
      </c>
      <c r="I771" t="str">
        <f>VLOOKUP(tblSalaries[[#This Row],[Where do you work]],[1]!tblCountries[[Actual]:[Mapping]],2,FALSE)</f>
        <v>India</v>
      </c>
      <c r="J771" t="s">
        <v>808</v>
      </c>
      <c r="K771">
        <v>5</v>
      </c>
    </row>
    <row r="772" spans="1:11" x14ac:dyDescent="0.2">
      <c r="A772" t="s">
        <v>2187</v>
      </c>
      <c r="B772" s="59">
        <v>41055.812199074076</v>
      </c>
      <c r="C772">
        <v>16000</v>
      </c>
      <c r="D772" t="s">
        <v>786</v>
      </c>
      <c r="E772">
        <f>tblSalaries[[#This Row],[clean Salary (in local currency)]]*VLOOKUP(tblSalaries[[#This Row],[Currency]],[1]!tblXrate[#Data],2,FALSE)</f>
        <v>16000</v>
      </c>
      <c r="F772" t="s">
        <v>2188</v>
      </c>
      <c r="G772" t="s">
        <v>836</v>
      </c>
      <c r="H772" t="s">
        <v>117</v>
      </c>
      <c r="I772" t="str">
        <f>VLOOKUP(tblSalaries[[#This Row],[Where do you work]],[1]!tblCountries[[Actual]:[Mapping]],2,FALSE)</f>
        <v>India</v>
      </c>
      <c r="J772" t="s">
        <v>794</v>
      </c>
      <c r="K772">
        <v>1</v>
      </c>
    </row>
    <row r="773" spans="1:11" x14ac:dyDescent="0.2">
      <c r="A773" t="s">
        <v>2189</v>
      </c>
      <c r="B773" s="59">
        <v>41055.815416666665</v>
      </c>
      <c r="C773">
        <v>240000</v>
      </c>
      <c r="D773" t="s">
        <v>824</v>
      </c>
      <c r="E773">
        <f>tblSalaries[[#This Row],[clean Salary (in local currency)]]*VLOOKUP(tblSalaries[[#This Row],[Currency]],[1]!tblXrate[#Data],2,FALSE)</f>
        <v>4273.9000049862161</v>
      </c>
      <c r="F773" t="s">
        <v>788</v>
      </c>
      <c r="G773" t="s">
        <v>788</v>
      </c>
      <c r="H773" t="s">
        <v>117</v>
      </c>
      <c r="I773" t="str">
        <f>VLOOKUP(tblSalaries[[#This Row],[Where do you work]],[1]!tblCountries[[Actual]:[Mapping]],2,FALSE)</f>
        <v>India</v>
      </c>
      <c r="J773" t="s">
        <v>794</v>
      </c>
      <c r="K773">
        <v>4</v>
      </c>
    </row>
    <row r="774" spans="1:11" x14ac:dyDescent="0.2">
      <c r="A774" t="s">
        <v>2190</v>
      </c>
      <c r="B774" s="59">
        <v>41055.821944444448</v>
      </c>
      <c r="C774">
        <v>400000</v>
      </c>
      <c r="D774" t="s">
        <v>824</v>
      </c>
      <c r="E774">
        <f>tblSalaries[[#This Row],[clean Salary (in local currency)]]*VLOOKUP(tblSalaries[[#This Row],[Currency]],[1]!tblXrate[#Data],2,FALSE)</f>
        <v>7123.1666749770275</v>
      </c>
      <c r="F774" t="s">
        <v>1748</v>
      </c>
      <c r="G774" t="s">
        <v>807</v>
      </c>
      <c r="H774" t="s">
        <v>117</v>
      </c>
      <c r="I774" t="str">
        <f>VLOOKUP(tblSalaries[[#This Row],[Where do you work]],[1]!tblCountries[[Actual]:[Mapping]],2,FALSE)</f>
        <v>India</v>
      </c>
      <c r="J774" t="s">
        <v>789</v>
      </c>
      <c r="K774">
        <v>7</v>
      </c>
    </row>
    <row r="775" spans="1:11" x14ac:dyDescent="0.2">
      <c r="A775" t="s">
        <v>2191</v>
      </c>
      <c r="B775" s="59">
        <v>41055.839131944442</v>
      </c>
      <c r="C775">
        <v>10000</v>
      </c>
      <c r="D775" t="s">
        <v>786</v>
      </c>
      <c r="E775">
        <f>tblSalaries[[#This Row],[clean Salary (in local currency)]]*VLOOKUP(tblSalaries[[#This Row],[Currency]],[1]!tblXrate[#Data],2,FALSE)</f>
        <v>10000</v>
      </c>
      <c r="F775" t="s">
        <v>2192</v>
      </c>
      <c r="G775" t="s">
        <v>807</v>
      </c>
      <c r="H775" t="s">
        <v>117</v>
      </c>
      <c r="I775" t="str">
        <f>VLOOKUP(tblSalaries[[#This Row],[Where do you work]],[1]!tblCountries[[Actual]:[Mapping]],2,FALSE)</f>
        <v>India</v>
      </c>
      <c r="J775" t="s">
        <v>808</v>
      </c>
      <c r="K775">
        <v>12</v>
      </c>
    </row>
    <row r="776" spans="1:11" x14ac:dyDescent="0.2">
      <c r="A776" t="s">
        <v>2193</v>
      </c>
      <c r="B776" s="59">
        <v>41055.844768518517</v>
      </c>
      <c r="C776">
        <v>66000</v>
      </c>
      <c r="D776" t="s">
        <v>882</v>
      </c>
      <c r="E776">
        <f>tblSalaries[[#This Row],[clean Salary (in local currency)]]*VLOOKUP(tblSalaries[[#This Row],[Currency]],[1]!tblXrate[#Data],2,FALSE)</f>
        <v>64901.860520001574</v>
      </c>
      <c r="F776" t="s">
        <v>2194</v>
      </c>
      <c r="G776" t="s">
        <v>788</v>
      </c>
      <c r="H776" t="s">
        <v>143</v>
      </c>
      <c r="I776" t="str">
        <f>VLOOKUP(tblSalaries[[#This Row],[Where do you work]],[1]!tblCountries[[Actual]:[Mapping]],2,FALSE)</f>
        <v>Canada</v>
      </c>
      <c r="J776" t="s">
        <v>799</v>
      </c>
      <c r="K776">
        <v>20</v>
      </c>
    </row>
    <row r="777" spans="1:11" x14ac:dyDescent="0.2">
      <c r="A777" t="s">
        <v>2195</v>
      </c>
      <c r="B777" s="59">
        <v>41055.846944444442</v>
      </c>
      <c r="C777">
        <v>65000</v>
      </c>
      <c r="D777" t="s">
        <v>786</v>
      </c>
      <c r="E777">
        <f>tblSalaries[[#This Row],[clean Salary (in local currency)]]*VLOOKUP(tblSalaries[[#This Row],[Currency]],[1]!tblXrate[#Data],2,FALSE)</f>
        <v>65000</v>
      </c>
      <c r="F777" t="s">
        <v>2196</v>
      </c>
      <c r="G777" t="s">
        <v>788</v>
      </c>
      <c r="H777" t="s">
        <v>15</v>
      </c>
      <c r="I777" t="str">
        <f>VLOOKUP(tblSalaries[[#This Row],[Where do you work]],[1]!tblCountries[[Actual]:[Mapping]],2,FALSE)</f>
        <v>USA</v>
      </c>
      <c r="J777" t="s">
        <v>799</v>
      </c>
      <c r="K777">
        <v>10</v>
      </c>
    </row>
    <row r="778" spans="1:11" x14ac:dyDescent="0.2">
      <c r="A778" t="s">
        <v>2197</v>
      </c>
      <c r="B778" s="59">
        <v>41055.847615740742</v>
      </c>
      <c r="C778">
        <v>450000</v>
      </c>
      <c r="D778" t="s">
        <v>824</v>
      </c>
      <c r="E778">
        <f>tblSalaries[[#This Row],[clean Salary (in local currency)]]*VLOOKUP(tblSalaries[[#This Row],[Currency]],[1]!tblXrate[#Data],2,FALSE)</f>
        <v>8013.5625093491553</v>
      </c>
      <c r="F778" t="s">
        <v>2198</v>
      </c>
      <c r="G778" t="s">
        <v>807</v>
      </c>
      <c r="H778" t="s">
        <v>117</v>
      </c>
      <c r="I778" t="str">
        <f>VLOOKUP(tblSalaries[[#This Row],[Where do you work]],[1]!tblCountries[[Actual]:[Mapping]],2,FALSE)</f>
        <v>India</v>
      </c>
      <c r="J778" t="s">
        <v>794</v>
      </c>
      <c r="K778">
        <v>1.5</v>
      </c>
    </row>
    <row r="779" spans="1:11" x14ac:dyDescent="0.2">
      <c r="A779" t="s">
        <v>2199</v>
      </c>
      <c r="B779" s="59">
        <v>41055.852303240739</v>
      </c>
      <c r="C779">
        <v>100000</v>
      </c>
      <c r="D779" t="s">
        <v>882</v>
      </c>
      <c r="E779">
        <f>tblSalaries[[#This Row],[clean Salary (in local currency)]]*VLOOKUP(tblSalaries[[#This Row],[Currency]],[1]!tblXrate[#Data],2,FALSE)</f>
        <v>98336.152303032693</v>
      </c>
      <c r="F779" t="s">
        <v>2200</v>
      </c>
      <c r="G779" t="s">
        <v>813</v>
      </c>
      <c r="H779" t="s">
        <v>143</v>
      </c>
      <c r="I779" t="str">
        <f>VLOOKUP(tblSalaries[[#This Row],[Where do you work]],[1]!tblCountries[[Actual]:[Mapping]],2,FALSE)</f>
        <v>Canada</v>
      </c>
      <c r="J779" t="s">
        <v>789</v>
      </c>
      <c r="K779">
        <v>5</v>
      </c>
    </row>
    <row r="780" spans="1:11" x14ac:dyDescent="0.2">
      <c r="A780" t="s">
        <v>2201</v>
      </c>
      <c r="B780" s="59">
        <v>41055.855208333334</v>
      </c>
      <c r="C780">
        <v>150000</v>
      </c>
      <c r="D780" t="s">
        <v>824</v>
      </c>
      <c r="E780">
        <f>tblSalaries[[#This Row],[clean Salary (in local currency)]]*VLOOKUP(tblSalaries[[#This Row],[Currency]],[1]!tblXrate[#Data],2,FALSE)</f>
        <v>2671.1875031163854</v>
      </c>
      <c r="F780" t="s">
        <v>2202</v>
      </c>
      <c r="G780" t="s">
        <v>788</v>
      </c>
      <c r="H780" t="s">
        <v>117</v>
      </c>
      <c r="I780" t="str">
        <f>VLOOKUP(tblSalaries[[#This Row],[Where do you work]],[1]!tblCountries[[Actual]:[Mapping]],2,FALSE)</f>
        <v>India</v>
      </c>
      <c r="J780" t="s">
        <v>789</v>
      </c>
      <c r="K780">
        <v>2</v>
      </c>
    </row>
    <row r="781" spans="1:11" x14ac:dyDescent="0.2">
      <c r="A781" t="s">
        <v>2203</v>
      </c>
      <c r="B781" s="59">
        <v>41055.868136574078</v>
      </c>
      <c r="C781">
        <v>96000</v>
      </c>
      <c r="D781" t="s">
        <v>786</v>
      </c>
      <c r="E781">
        <f>tblSalaries[[#This Row],[clean Salary (in local currency)]]*VLOOKUP(tblSalaries[[#This Row],[Currency]],[1]!tblXrate[#Data],2,FALSE)</f>
        <v>96000</v>
      </c>
      <c r="F781" t="s">
        <v>1915</v>
      </c>
      <c r="G781" t="s">
        <v>836</v>
      </c>
      <c r="H781" t="s">
        <v>117</v>
      </c>
      <c r="I781" t="str">
        <f>VLOOKUP(tblSalaries[[#This Row],[Where do you work]],[1]!tblCountries[[Actual]:[Mapping]],2,FALSE)</f>
        <v>India</v>
      </c>
      <c r="J781" t="s">
        <v>794</v>
      </c>
      <c r="K781">
        <v>8</v>
      </c>
    </row>
    <row r="782" spans="1:11" x14ac:dyDescent="0.2">
      <c r="A782" t="s">
        <v>2204</v>
      </c>
      <c r="B782" s="59">
        <v>41055.873067129629</v>
      </c>
      <c r="C782">
        <v>1152000</v>
      </c>
      <c r="D782" t="s">
        <v>824</v>
      </c>
      <c r="E782">
        <f>tblSalaries[[#This Row],[clean Salary (in local currency)]]*VLOOKUP(tblSalaries[[#This Row],[Currency]],[1]!tblXrate[#Data],2,FALSE)</f>
        <v>20514.720023933838</v>
      </c>
      <c r="F782" t="s">
        <v>2205</v>
      </c>
      <c r="G782" t="s">
        <v>817</v>
      </c>
      <c r="H782" t="s">
        <v>117</v>
      </c>
      <c r="I782" t="str">
        <f>VLOOKUP(tblSalaries[[#This Row],[Where do you work]],[1]!tblCountries[[Actual]:[Mapping]],2,FALSE)</f>
        <v>India</v>
      </c>
      <c r="J782" t="s">
        <v>789</v>
      </c>
      <c r="K782">
        <v>6</v>
      </c>
    </row>
    <row r="783" spans="1:11" x14ac:dyDescent="0.2">
      <c r="A783" t="s">
        <v>2206</v>
      </c>
      <c r="B783" s="59">
        <v>41055.873113425929</v>
      </c>
      <c r="C783">
        <v>15000</v>
      </c>
      <c r="D783" t="s">
        <v>805</v>
      </c>
      <c r="E783">
        <f>tblSalaries[[#This Row],[clean Salary (in local currency)]]*VLOOKUP(tblSalaries[[#This Row],[Currency]],[1]!tblXrate[#Data],2,FALSE)</f>
        <v>19055.991584874118</v>
      </c>
      <c r="F783" t="s">
        <v>2207</v>
      </c>
      <c r="G783" t="s">
        <v>788</v>
      </c>
      <c r="H783" t="s">
        <v>290</v>
      </c>
      <c r="I783" t="str">
        <f>VLOOKUP(tblSalaries[[#This Row],[Where do you work]],[1]!tblCountries[[Actual]:[Mapping]],2,FALSE)</f>
        <v>Spain</v>
      </c>
      <c r="J783" t="s">
        <v>799</v>
      </c>
      <c r="K783">
        <v>10</v>
      </c>
    </row>
    <row r="784" spans="1:11" x14ac:dyDescent="0.2">
      <c r="A784" t="s">
        <v>2208</v>
      </c>
      <c r="B784" s="59">
        <v>41055.875462962962</v>
      </c>
      <c r="C784">
        <v>65000</v>
      </c>
      <c r="D784" t="s">
        <v>877</v>
      </c>
      <c r="E784">
        <f>tblSalaries[[#This Row],[clean Salary (in local currency)]]*VLOOKUP(tblSalaries[[#This Row],[Currency]],[1]!tblXrate[#Data],2,FALSE)</f>
        <v>66294.12766617132</v>
      </c>
      <c r="F784" t="s">
        <v>2209</v>
      </c>
      <c r="G784" t="s">
        <v>788</v>
      </c>
      <c r="H784" t="s">
        <v>33</v>
      </c>
      <c r="I784" t="str">
        <f>VLOOKUP(tblSalaries[[#This Row],[Where do you work]],[1]!tblCountries[[Actual]:[Mapping]],2,FALSE)</f>
        <v>Australia</v>
      </c>
      <c r="J784" t="s">
        <v>794</v>
      </c>
      <c r="K784">
        <v>10</v>
      </c>
    </row>
    <row r="785" spans="1:11" x14ac:dyDescent="0.2">
      <c r="A785" t="s">
        <v>2210</v>
      </c>
      <c r="B785" s="59">
        <v>41055.878877314812</v>
      </c>
      <c r="C785">
        <v>377000</v>
      </c>
      <c r="D785" t="s">
        <v>824</v>
      </c>
      <c r="E785">
        <f>tblSalaries[[#This Row],[clean Salary (in local currency)]]*VLOOKUP(tblSalaries[[#This Row],[Currency]],[1]!tblXrate[#Data],2,FALSE)</f>
        <v>6713.584591165848</v>
      </c>
      <c r="F785" t="s">
        <v>2211</v>
      </c>
      <c r="G785" t="s">
        <v>788</v>
      </c>
      <c r="H785" t="s">
        <v>117</v>
      </c>
      <c r="I785" t="str">
        <f>VLOOKUP(tblSalaries[[#This Row],[Where do you work]],[1]!tblCountries[[Actual]:[Mapping]],2,FALSE)</f>
        <v>India</v>
      </c>
      <c r="J785" t="s">
        <v>808</v>
      </c>
      <c r="K785">
        <v>7</v>
      </c>
    </row>
    <row r="786" spans="1:11" x14ac:dyDescent="0.2">
      <c r="A786" t="s">
        <v>2212</v>
      </c>
      <c r="B786" s="59">
        <v>41055.880023148151</v>
      </c>
      <c r="C786">
        <v>29000</v>
      </c>
      <c r="D786" t="s">
        <v>861</v>
      </c>
      <c r="E786">
        <f>tblSalaries[[#This Row],[clean Salary (in local currency)]]*VLOOKUP(tblSalaries[[#This Row],[Currency]],[1]!tblXrate[#Data],2,FALSE)</f>
        <v>45709.169889951241</v>
      </c>
      <c r="F786" t="s">
        <v>2213</v>
      </c>
      <c r="G786" t="s">
        <v>836</v>
      </c>
      <c r="H786" t="s">
        <v>863</v>
      </c>
      <c r="I786" t="str">
        <f>VLOOKUP(tblSalaries[[#This Row],[Where do you work]],[1]!tblCountries[[Actual]:[Mapping]],2,FALSE)</f>
        <v>UK</v>
      </c>
      <c r="J786" t="s">
        <v>799</v>
      </c>
      <c r="K786">
        <v>15</v>
      </c>
    </row>
    <row r="787" spans="1:11" x14ac:dyDescent="0.2">
      <c r="A787" t="s">
        <v>2214</v>
      </c>
      <c r="B787" s="59">
        <v>41055.882175925923</v>
      </c>
      <c r="C787">
        <v>48500</v>
      </c>
      <c r="D787" t="s">
        <v>786</v>
      </c>
      <c r="E787">
        <f>tblSalaries[[#This Row],[clean Salary (in local currency)]]*VLOOKUP(tblSalaries[[#This Row],[Currency]],[1]!tblXrate[#Data],2,FALSE)</f>
        <v>48500</v>
      </c>
      <c r="F787" t="s">
        <v>2215</v>
      </c>
      <c r="G787" t="s">
        <v>807</v>
      </c>
      <c r="H787" t="s">
        <v>15</v>
      </c>
      <c r="I787" t="str">
        <f>VLOOKUP(tblSalaries[[#This Row],[Where do you work]],[1]!tblCountries[[Actual]:[Mapping]],2,FALSE)</f>
        <v>USA</v>
      </c>
      <c r="J787" t="s">
        <v>799</v>
      </c>
      <c r="K787">
        <v>10</v>
      </c>
    </row>
    <row r="788" spans="1:11" x14ac:dyDescent="0.2">
      <c r="A788" t="s">
        <v>2216</v>
      </c>
      <c r="B788" s="59">
        <v>41055.884050925924</v>
      </c>
      <c r="C788">
        <v>600000</v>
      </c>
      <c r="D788" t="s">
        <v>824</v>
      </c>
      <c r="E788">
        <f>tblSalaries[[#This Row],[clean Salary (in local currency)]]*VLOOKUP(tblSalaries[[#This Row],[Currency]],[1]!tblXrate[#Data],2,FALSE)</f>
        <v>10684.750012465542</v>
      </c>
      <c r="F788" t="s">
        <v>787</v>
      </c>
      <c r="G788" t="s">
        <v>788</v>
      </c>
      <c r="H788" t="s">
        <v>117</v>
      </c>
      <c r="I788" t="str">
        <f>VLOOKUP(tblSalaries[[#This Row],[Where do you work]],[1]!tblCountries[[Actual]:[Mapping]],2,FALSE)</f>
        <v>India</v>
      </c>
      <c r="J788" t="s">
        <v>794</v>
      </c>
      <c r="K788">
        <v>4</v>
      </c>
    </row>
    <row r="789" spans="1:11" x14ac:dyDescent="0.2">
      <c r="A789" t="s">
        <v>2217</v>
      </c>
      <c r="B789" s="59">
        <v>41055.884618055556</v>
      </c>
      <c r="C789">
        <v>33900</v>
      </c>
      <c r="D789" t="s">
        <v>786</v>
      </c>
      <c r="E789">
        <f>tblSalaries[[#This Row],[clean Salary (in local currency)]]*VLOOKUP(tblSalaries[[#This Row],[Currency]],[1]!tblXrate[#Data],2,FALSE)</f>
        <v>33900</v>
      </c>
      <c r="F789" t="s">
        <v>1170</v>
      </c>
      <c r="G789" t="s">
        <v>788</v>
      </c>
      <c r="H789" t="s">
        <v>15</v>
      </c>
      <c r="I789" t="str">
        <f>VLOOKUP(tblSalaries[[#This Row],[Where do you work]],[1]!tblCountries[[Actual]:[Mapping]],2,FALSE)</f>
        <v>USA</v>
      </c>
      <c r="J789" t="s">
        <v>799</v>
      </c>
      <c r="K789">
        <v>10</v>
      </c>
    </row>
    <row r="790" spans="1:11" x14ac:dyDescent="0.2">
      <c r="A790" t="s">
        <v>2218</v>
      </c>
      <c r="B790" s="59">
        <v>41055.892118055555</v>
      </c>
      <c r="C790">
        <v>900000</v>
      </c>
      <c r="D790" t="s">
        <v>1688</v>
      </c>
      <c r="E790">
        <f>tblSalaries[[#This Row],[clean Salary (in local currency)]]*VLOOKUP(tblSalaries[[#This Row],[Currency]],[1]!tblXrate[#Data],2,FALSE)</f>
        <v>109729.60187662003</v>
      </c>
      <c r="F790" t="s">
        <v>1070</v>
      </c>
      <c r="G790" t="s">
        <v>788</v>
      </c>
      <c r="H790" t="s">
        <v>294</v>
      </c>
      <c r="I790" t="str">
        <f>VLOOKUP(tblSalaries[[#This Row],[Where do you work]],[1]!tblCountries[[Actual]:[Mapping]],2,FALSE)</f>
        <v>South Africa</v>
      </c>
      <c r="J790" t="s">
        <v>794</v>
      </c>
      <c r="K790">
        <v>40</v>
      </c>
    </row>
    <row r="791" spans="1:11" x14ac:dyDescent="0.2">
      <c r="A791" t="s">
        <v>2219</v>
      </c>
      <c r="B791" s="59">
        <v>41055.893761574072</v>
      </c>
      <c r="C791">
        <v>850000</v>
      </c>
      <c r="D791" t="s">
        <v>824</v>
      </c>
      <c r="E791">
        <f>tblSalaries[[#This Row],[clean Salary (in local currency)]]*VLOOKUP(tblSalaries[[#This Row],[Currency]],[1]!tblXrate[#Data],2,FALSE)</f>
        <v>15136.729184326183</v>
      </c>
      <c r="F791" t="s">
        <v>2220</v>
      </c>
      <c r="G791" t="s">
        <v>788</v>
      </c>
      <c r="H791" t="s">
        <v>117</v>
      </c>
      <c r="I791" t="str">
        <f>VLOOKUP(tblSalaries[[#This Row],[Where do you work]],[1]!tblCountries[[Actual]:[Mapping]],2,FALSE)</f>
        <v>India</v>
      </c>
      <c r="J791" t="s">
        <v>789</v>
      </c>
      <c r="K791">
        <v>2</v>
      </c>
    </row>
    <row r="792" spans="1:11" x14ac:dyDescent="0.2">
      <c r="A792" t="s">
        <v>2221</v>
      </c>
      <c r="B792" s="59">
        <v>41055.893946759257</v>
      </c>
      <c r="C792">
        <v>85000</v>
      </c>
      <c r="D792" t="s">
        <v>786</v>
      </c>
      <c r="E792">
        <f>tblSalaries[[#This Row],[clean Salary (in local currency)]]*VLOOKUP(tblSalaries[[#This Row],[Currency]],[1]!tblXrate[#Data],2,FALSE)</f>
        <v>85000</v>
      </c>
      <c r="F792" t="s">
        <v>2222</v>
      </c>
      <c r="G792" t="s">
        <v>813</v>
      </c>
      <c r="H792" t="s">
        <v>15</v>
      </c>
      <c r="I792" t="str">
        <f>VLOOKUP(tblSalaries[[#This Row],[Where do you work]],[1]!tblCountries[[Actual]:[Mapping]],2,FALSE)</f>
        <v>USA</v>
      </c>
      <c r="J792" t="s">
        <v>789</v>
      </c>
      <c r="K792">
        <v>15</v>
      </c>
    </row>
    <row r="793" spans="1:11" x14ac:dyDescent="0.2">
      <c r="A793" t="s">
        <v>2223</v>
      </c>
      <c r="B793" s="59">
        <v>41055.903344907405</v>
      </c>
      <c r="C793">
        <v>450000</v>
      </c>
      <c r="D793" t="s">
        <v>824</v>
      </c>
      <c r="E793">
        <f>tblSalaries[[#This Row],[clean Salary (in local currency)]]*VLOOKUP(tblSalaries[[#This Row],[Currency]],[1]!tblXrate[#Data],2,FALSE)</f>
        <v>8013.5625093491553</v>
      </c>
      <c r="F793" t="s">
        <v>2224</v>
      </c>
      <c r="G793" t="s">
        <v>807</v>
      </c>
      <c r="H793" t="s">
        <v>117</v>
      </c>
      <c r="I793" t="str">
        <f>VLOOKUP(tblSalaries[[#This Row],[Where do you work]],[1]!tblCountries[[Actual]:[Mapping]],2,FALSE)</f>
        <v>India</v>
      </c>
      <c r="J793" t="s">
        <v>789</v>
      </c>
      <c r="K793">
        <v>6</v>
      </c>
    </row>
    <row r="794" spans="1:11" x14ac:dyDescent="0.2">
      <c r="A794" t="s">
        <v>2225</v>
      </c>
      <c r="B794" s="59">
        <v>41055.905486111114</v>
      </c>
      <c r="C794">
        <v>48000</v>
      </c>
      <c r="D794" t="s">
        <v>786</v>
      </c>
      <c r="E794">
        <f>tblSalaries[[#This Row],[clean Salary (in local currency)]]*VLOOKUP(tblSalaries[[#This Row],[Currency]],[1]!tblXrate[#Data],2,FALSE)</f>
        <v>48000</v>
      </c>
      <c r="F794" t="s">
        <v>2226</v>
      </c>
      <c r="G794" t="s">
        <v>807</v>
      </c>
      <c r="H794" t="s">
        <v>15</v>
      </c>
      <c r="I794" t="str">
        <f>VLOOKUP(tblSalaries[[#This Row],[Where do you work]],[1]!tblCountries[[Actual]:[Mapping]],2,FALSE)</f>
        <v>USA</v>
      </c>
      <c r="J794" t="s">
        <v>799</v>
      </c>
      <c r="K794">
        <v>16</v>
      </c>
    </row>
    <row r="795" spans="1:11" x14ac:dyDescent="0.2">
      <c r="A795" t="s">
        <v>2227</v>
      </c>
      <c r="B795" s="59">
        <v>41055.914305555554</v>
      </c>
      <c r="C795">
        <v>170000</v>
      </c>
      <c r="D795" t="s">
        <v>824</v>
      </c>
      <c r="E795">
        <f>tblSalaries[[#This Row],[clean Salary (in local currency)]]*VLOOKUP(tblSalaries[[#This Row],[Currency]],[1]!tblXrate[#Data],2,FALSE)</f>
        <v>3027.3458368652364</v>
      </c>
      <c r="F795" t="s">
        <v>2228</v>
      </c>
      <c r="G795" t="s">
        <v>836</v>
      </c>
      <c r="H795" t="s">
        <v>117</v>
      </c>
      <c r="I795" t="str">
        <f>VLOOKUP(tblSalaries[[#This Row],[Where do you work]],[1]!tblCountries[[Actual]:[Mapping]],2,FALSE)</f>
        <v>India</v>
      </c>
      <c r="J795" t="s">
        <v>789</v>
      </c>
      <c r="K795">
        <v>2</v>
      </c>
    </row>
    <row r="796" spans="1:11" x14ac:dyDescent="0.2">
      <c r="A796" t="s">
        <v>2229</v>
      </c>
      <c r="B796" s="59">
        <v>41055.914456018516</v>
      </c>
      <c r="C796">
        <v>13100</v>
      </c>
      <c r="D796" t="s">
        <v>786</v>
      </c>
      <c r="E796">
        <f>tblSalaries[[#This Row],[clean Salary (in local currency)]]*VLOOKUP(tblSalaries[[#This Row],[Currency]],[1]!tblXrate[#Data],2,FALSE)</f>
        <v>13100</v>
      </c>
      <c r="F796" t="s">
        <v>2230</v>
      </c>
      <c r="G796" t="s">
        <v>817</v>
      </c>
      <c r="H796" t="s">
        <v>117</v>
      </c>
      <c r="I796" t="str">
        <f>VLOOKUP(tblSalaries[[#This Row],[Where do you work]],[1]!tblCountries[[Actual]:[Mapping]],2,FALSE)</f>
        <v>India</v>
      </c>
      <c r="J796" t="s">
        <v>799</v>
      </c>
      <c r="K796">
        <v>5</v>
      </c>
    </row>
    <row r="797" spans="1:11" x14ac:dyDescent="0.2">
      <c r="A797" t="s">
        <v>2231</v>
      </c>
      <c r="B797" s="59">
        <v>41055.918668981481</v>
      </c>
      <c r="C797">
        <v>60000</v>
      </c>
      <c r="D797" t="s">
        <v>786</v>
      </c>
      <c r="E797">
        <f>tblSalaries[[#This Row],[clean Salary (in local currency)]]*VLOOKUP(tblSalaries[[#This Row],[Currency]],[1]!tblXrate[#Data],2,FALSE)</f>
        <v>60000</v>
      </c>
      <c r="F797" t="s">
        <v>2062</v>
      </c>
      <c r="G797" t="s">
        <v>807</v>
      </c>
      <c r="H797" t="s">
        <v>1022</v>
      </c>
      <c r="I797" t="str">
        <f>VLOOKUP(tblSalaries[[#This Row],[Where do you work]],[1]!tblCountries[[Actual]:[Mapping]],2,FALSE)</f>
        <v>UAE</v>
      </c>
      <c r="J797" t="s">
        <v>799</v>
      </c>
      <c r="K797">
        <v>15</v>
      </c>
    </row>
    <row r="798" spans="1:11" x14ac:dyDescent="0.2">
      <c r="A798" t="s">
        <v>2232</v>
      </c>
      <c r="B798" s="59">
        <v>41055.921979166669</v>
      </c>
      <c r="C798">
        <v>24000</v>
      </c>
      <c r="D798" t="s">
        <v>786</v>
      </c>
      <c r="E798">
        <f>tblSalaries[[#This Row],[clean Salary (in local currency)]]*VLOOKUP(tblSalaries[[#This Row],[Currency]],[1]!tblXrate[#Data],2,FALSE)</f>
        <v>24000</v>
      </c>
      <c r="F798" t="s">
        <v>2233</v>
      </c>
      <c r="G798" t="s">
        <v>807</v>
      </c>
      <c r="H798" t="s">
        <v>165</v>
      </c>
      <c r="I798" t="str">
        <f>VLOOKUP(tblSalaries[[#This Row],[Where do you work]],[1]!tblCountries[[Actual]:[Mapping]],2,FALSE)</f>
        <v>Croatia</v>
      </c>
      <c r="J798" t="s">
        <v>799</v>
      </c>
      <c r="K798">
        <v>5</v>
      </c>
    </row>
    <row r="799" spans="1:11" x14ac:dyDescent="0.2">
      <c r="A799" t="s">
        <v>2234</v>
      </c>
      <c r="B799" s="59">
        <v>41055.92287037037</v>
      </c>
      <c r="C799">
        <v>240000</v>
      </c>
      <c r="D799" t="s">
        <v>824</v>
      </c>
      <c r="E799">
        <f>tblSalaries[[#This Row],[clean Salary (in local currency)]]*VLOOKUP(tblSalaries[[#This Row],[Currency]],[1]!tblXrate[#Data],2,FALSE)</f>
        <v>4273.9000049862161</v>
      </c>
      <c r="F799" t="s">
        <v>1970</v>
      </c>
      <c r="G799" t="s">
        <v>807</v>
      </c>
      <c r="H799" t="s">
        <v>117</v>
      </c>
      <c r="I799" t="str">
        <f>VLOOKUP(tblSalaries[[#This Row],[Where do you work]],[1]!tblCountries[[Actual]:[Mapping]],2,FALSE)</f>
        <v>India</v>
      </c>
      <c r="J799" t="s">
        <v>799</v>
      </c>
      <c r="K799">
        <v>3</v>
      </c>
    </row>
    <row r="800" spans="1:11" x14ac:dyDescent="0.2">
      <c r="A800" t="s">
        <v>2235</v>
      </c>
      <c r="B800" s="59">
        <v>41055.927893518521</v>
      </c>
      <c r="C800">
        <v>650000</v>
      </c>
      <c r="D800" t="s">
        <v>824</v>
      </c>
      <c r="E800">
        <f>tblSalaries[[#This Row],[clean Salary (in local currency)]]*VLOOKUP(tblSalaries[[#This Row],[Currency]],[1]!tblXrate[#Data],2,FALSE)</f>
        <v>11575.14584683767</v>
      </c>
      <c r="F800" t="s">
        <v>2236</v>
      </c>
      <c r="G800" t="s">
        <v>807</v>
      </c>
      <c r="H800" t="s">
        <v>117</v>
      </c>
      <c r="I800" t="str">
        <f>VLOOKUP(tblSalaries[[#This Row],[Where do you work]],[1]!tblCountries[[Actual]:[Mapping]],2,FALSE)</f>
        <v>India</v>
      </c>
      <c r="J800" t="s">
        <v>799</v>
      </c>
      <c r="K800">
        <v>5</v>
      </c>
    </row>
    <row r="801" spans="1:11" x14ac:dyDescent="0.2">
      <c r="A801" t="s">
        <v>2237</v>
      </c>
      <c r="B801" s="59">
        <v>41055.932615740741</v>
      </c>
      <c r="C801">
        <v>95000</v>
      </c>
      <c r="D801" t="s">
        <v>786</v>
      </c>
      <c r="E801">
        <f>tblSalaries[[#This Row],[clean Salary (in local currency)]]*VLOOKUP(tblSalaries[[#This Row],[Currency]],[1]!tblXrate[#Data],2,FALSE)</f>
        <v>95000</v>
      </c>
      <c r="F801" t="s">
        <v>1070</v>
      </c>
      <c r="G801" t="s">
        <v>788</v>
      </c>
      <c r="H801" t="s">
        <v>15</v>
      </c>
      <c r="I801" t="str">
        <f>VLOOKUP(tblSalaries[[#This Row],[Where do you work]],[1]!tblCountries[[Actual]:[Mapping]],2,FALSE)</f>
        <v>USA</v>
      </c>
      <c r="J801" t="s">
        <v>799</v>
      </c>
      <c r="K801">
        <v>13</v>
      </c>
    </row>
    <row r="802" spans="1:11" x14ac:dyDescent="0.2">
      <c r="A802" t="s">
        <v>2238</v>
      </c>
      <c r="B802" s="59">
        <v>41055.933078703703</v>
      </c>
      <c r="C802">
        <v>516000</v>
      </c>
      <c r="D802" t="s">
        <v>824</v>
      </c>
      <c r="E802">
        <f>tblSalaries[[#This Row],[clean Salary (in local currency)]]*VLOOKUP(tblSalaries[[#This Row],[Currency]],[1]!tblXrate[#Data],2,FALSE)</f>
        <v>9188.8850107203652</v>
      </c>
      <c r="F802" t="s">
        <v>2239</v>
      </c>
      <c r="G802" t="s">
        <v>807</v>
      </c>
      <c r="H802" t="s">
        <v>117</v>
      </c>
      <c r="I802" t="str">
        <f>VLOOKUP(tblSalaries[[#This Row],[Where do you work]],[1]!tblCountries[[Actual]:[Mapping]],2,FALSE)</f>
        <v>India</v>
      </c>
      <c r="J802" t="s">
        <v>789</v>
      </c>
      <c r="K802">
        <v>0</v>
      </c>
    </row>
    <row r="803" spans="1:11" x14ac:dyDescent="0.2">
      <c r="A803" t="s">
        <v>2240</v>
      </c>
      <c r="B803" s="59">
        <v>41055.936990740738</v>
      </c>
      <c r="C803">
        <v>504000</v>
      </c>
      <c r="D803" t="s">
        <v>824</v>
      </c>
      <c r="E803">
        <f>tblSalaries[[#This Row],[clean Salary (in local currency)]]*VLOOKUP(tblSalaries[[#This Row],[Currency]],[1]!tblXrate[#Data],2,FALSE)</f>
        <v>8975.1900104710548</v>
      </c>
      <c r="F803" t="s">
        <v>2241</v>
      </c>
      <c r="G803" t="s">
        <v>807</v>
      </c>
      <c r="H803" t="s">
        <v>117</v>
      </c>
      <c r="I803" t="str">
        <f>VLOOKUP(tblSalaries[[#This Row],[Where do you work]],[1]!tblCountries[[Actual]:[Mapping]],2,FALSE)</f>
        <v>India</v>
      </c>
      <c r="J803" t="s">
        <v>794</v>
      </c>
      <c r="K803">
        <v>3</v>
      </c>
    </row>
    <row r="804" spans="1:11" x14ac:dyDescent="0.2">
      <c r="A804" t="s">
        <v>2242</v>
      </c>
      <c r="B804" s="59">
        <v>41055.937048611115</v>
      </c>
      <c r="C804">
        <v>144000</v>
      </c>
      <c r="D804" t="s">
        <v>824</v>
      </c>
      <c r="E804">
        <f>tblSalaries[[#This Row],[clean Salary (in local currency)]]*VLOOKUP(tblSalaries[[#This Row],[Currency]],[1]!tblXrate[#Data],2,FALSE)</f>
        <v>2564.3400029917298</v>
      </c>
      <c r="F804" t="s">
        <v>2243</v>
      </c>
      <c r="G804" t="s">
        <v>788</v>
      </c>
      <c r="H804" t="s">
        <v>117</v>
      </c>
      <c r="I804" t="str">
        <f>VLOOKUP(tblSalaries[[#This Row],[Where do you work]],[1]!tblCountries[[Actual]:[Mapping]],2,FALSE)</f>
        <v>India</v>
      </c>
      <c r="J804" t="s">
        <v>794</v>
      </c>
      <c r="K804">
        <v>1</v>
      </c>
    </row>
    <row r="805" spans="1:11" x14ac:dyDescent="0.2">
      <c r="A805" t="s">
        <v>2244</v>
      </c>
      <c r="B805" s="59">
        <v>41055.946655092594</v>
      </c>
      <c r="C805">
        <v>55000</v>
      </c>
      <c r="D805" t="s">
        <v>861</v>
      </c>
      <c r="E805">
        <f>tblSalaries[[#This Row],[clean Salary (in local currency)]]*VLOOKUP(tblSalaries[[#This Row],[Currency]],[1]!tblXrate[#Data],2,FALSE)</f>
        <v>86689.804963700633</v>
      </c>
      <c r="F805" t="s">
        <v>2245</v>
      </c>
      <c r="G805" t="s">
        <v>792</v>
      </c>
      <c r="H805" t="s">
        <v>863</v>
      </c>
      <c r="I805" t="str">
        <f>VLOOKUP(tblSalaries[[#This Row],[Where do you work]],[1]!tblCountries[[Actual]:[Mapping]],2,FALSE)</f>
        <v>UK</v>
      </c>
      <c r="J805" t="s">
        <v>789</v>
      </c>
      <c r="K805">
        <v>12</v>
      </c>
    </row>
    <row r="806" spans="1:11" x14ac:dyDescent="0.2">
      <c r="A806" t="s">
        <v>2246</v>
      </c>
      <c r="B806" s="59">
        <v>41055.946666666663</v>
      </c>
      <c r="C806">
        <v>15500</v>
      </c>
      <c r="D806" t="s">
        <v>786</v>
      </c>
      <c r="E806">
        <f>tblSalaries[[#This Row],[clean Salary (in local currency)]]*VLOOKUP(tblSalaries[[#This Row],[Currency]],[1]!tblXrate[#Data],2,FALSE)</f>
        <v>15500</v>
      </c>
      <c r="F806" t="s">
        <v>802</v>
      </c>
      <c r="G806" t="s">
        <v>802</v>
      </c>
      <c r="H806" t="s">
        <v>117</v>
      </c>
      <c r="I806" t="str">
        <f>VLOOKUP(tblSalaries[[#This Row],[Where do you work]],[1]!tblCountries[[Actual]:[Mapping]],2,FALSE)</f>
        <v>India</v>
      </c>
      <c r="J806" t="s">
        <v>808</v>
      </c>
      <c r="K806">
        <v>3</v>
      </c>
    </row>
    <row r="807" spans="1:11" x14ac:dyDescent="0.2">
      <c r="A807" t="s">
        <v>2247</v>
      </c>
      <c r="B807" s="59">
        <v>41055.948078703703</v>
      </c>
      <c r="C807">
        <v>300000</v>
      </c>
      <c r="D807" t="s">
        <v>2248</v>
      </c>
      <c r="E807">
        <f>tblSalaries[[#This Row],[clean Salary (in local currency)]]*VLOOKUP(tblSalaries[[#This Row],[Currency]],[1]!tblXrate[#Data],2,FALSE)</f>
        <v>148284.35006969364</v>
      </c>
      <c r="F807" t="s">
        <v>2249</v>
      </c>
      <c r="G807" t="s">
        <v>788</v>
      </c>
      <c r="H807" t="s">
        <v>54</v>
      </c>
      <c r="I807" t="str">
        <f>VLOOKUP(tblSalaries[[#This Row],[Where do you work]],[1]!tblCountries[[Actual]:[Mapping]],2,FALSE)</f>
        <v>Brazil</v>
      </c>
      <c r="J807" t="s">
        <v>794</v>
      </c>
      <c r="K807">
        <v>3</v>
      </c>
    </row>
    <row r="808" spans="1:11" x14ac:dyDescent="0.2">
      <c r="A808" t="s">
        <v>2250</v>
      </c>
      <c r="B808" s="59">
        <v>41055.950127314813</v>
      </c>
      <c r="C808">
        <v>600000</v>
      </c>
      <c r="D808" t="s">
        <v>824</v>
      </c>
      <c r="E808">
        <f>tblSalaries[[#This Row],[clean Salary (in local currency)]]*VLOOKUP(tblSalaries[[#This Row],[Currency]],[1]!tblXrate[#Data],2,FALSE)</f>
        <v>10684.750012465542</v>
      </c>
      <c r="F808" t="s">
        <v>2117</v>
      </c>
      <c r="G808" t="s">
        <v>788</v>
      </c>
      <c r="H808" t="s">
        <v>117</v>
      </c>
      <c r="I808" t="str">
        <f>VLOOKUP(tblSalaries[[#This Row],[Where do you work]],[1]!tblCountries[[Actual]:[Mapping]],2,FALSE)</f>
        <v>India</v>
      </c>
      <c r="J808" t="s">
        <v>794</v>
      </c>
      <c r="K808">
        <v>5</v>
      </c>
    </row>
    <row r="809" spans="1:11" x14ac:dyDescent="0.2">
      <c r="A809" t="s">
        <v>2251</v>
      </c>
      <c r="B809" s="59">
        <v>41055.95108796296</v>
      </c>
      <c r="C809">
        <v>75000</v>
      </c>
      <c r="D809" t="s">
        <v>786</v>
      </c>
      <c r="E809">
        <f>tblSalaries[[#This Row],[clean Salary (in local currency)]]*VLOOKUP(tblSalaries[[#This Row],[Currency]],[1]!tblXrate[#Data],2,FALSE)</f>
        <v>75000</v>
      </c>
      <c r="F809" t="s">
        <v>2252</v>
      </c>
      <c r="G809" t="s">
        <v>788</v>
      </c>
      <c r="H809" t="s">
        <v>15</v>
      </c>
      <c r="I809" t="str">
        <f>VLOOKUP(tblSalaries[[#This Row],[Where do you work]],[1]!tblCountries[[Actual]:[Mapping]],2,FALSE)</f>
        <v>USA</v>
      </c>
      <c r="J809" t="s">
        <v>799</v>
      </c>
      <c r="K809">
        <v>27</v>
      </c>
    </row>
    <row r="810" spans="1:11" x14ac:dyDescent="0.2">
      <c r="A810" t="s">
        <v>2253</v>
      </c>
      <c r="B810" s="59">
        <v>41055.953877314816</v>
      </c>
      <c r="C810">
        <v>12000</v>
      </c>
      <c r="D810" t="s">
        <v>786</v>
      </c>
      <c r="E810">
        <f>tblSalaries[[#This Row],[clean Salary (in local currency)]]*VLOOKUP(tblSalaries[[#This Row],[Currency]],[1]!tblXrate[#Data],2,FALSE)</f>
        <v>12000</v>
      </c>
      <c r="F810" t="s">
        <v>2254</v>
      </c>
      <c r="G810" t="s">
        <v>807</v>
      </c>
      <c r="H810" t="s">
        <v>329</v>
      </c>
      <c r="I810" t="str">
        <f>VLOOKUP(tblSalaries[[#This Row],[Where do you work]],[1]!tblCountries[[Actual]:[Mapping]],2,FALSE)</f>
        <v>Ukraine</v>
      </c>
      <c r="J810" t="s">
        <v>789</v>
      </c>
      <c r="K810">
        <v>5</v>
      </c>
    </row>
    <row r="811" spans="1:11" x14ac:dyDescent="0.2">
      <c r="A811" t="s">
        <v>2255</v>
      </c>
      <c r="B811" s="59">
        <v>41055.959722222222</v>
      </c>
      <c r="C811">
        <v>1700000</v>
      </c>
      <c r="D811" t="s">
        <v>824</v>
      </c>
      <c r="E811">
        <f>tblSalaries[[#This Row],[clean Salary (in local currency)]]*VLOOKUP(tblSalaries[[#This Row],[Currency]],[1]!tblXrate[#Data],2,FALSE)</f>
        <v>30273.458368652366</v>
      </c>
      <c r="F811" t="s">
        <v>2256</v>
      </c>
      <c r="G811" t="s">
        <v>807</v>
      </c>
      <c r="H811" t="s">
        <v>117</v>
      </c>
      <c r="I811" t="str">
        <f>VLOOKUP(tblSalaries[[#This Row],[Where do you work]],[1]!tblCountries[[Actual]:[Mapping]],2,FALSE)</f>
        <v>India</v>
      </c>
      <c r="J811" t="s">
        <v>794</v>
      </c>
      <c r="K811">
        <v>1.1000000000000001</v>
      </c>
    </row>
    <row r="812" spans="1:11" x14ac:dyDescent="0.2">
      <c r="A812" t="s">
        <v>2257</v>
      </c>
      <c r="B812" s="59">
        <v>41055.960659722223</v>
      </c>
      <c r="C812">
        <v>30000</v>
      </c>
      <c r="D812" t="s">
        <v>786</v>
      </c>
      <c r="E812">
        <f>tblSalaries[[#This Row],[clean Salary (in local currency)]]*VLOOKUP(tblSalaries[[#This Row],[Currency]],[1]!tblXrate[#Data],2,FALSE)</f>
        <v>30000</v>
      </c>
      <c r="F812" t="s">
        <v>2258</v>
      </c>
      <c r="G812" t="s">
        <v>792</v>
      </c>
      <c r="H812" t="s">
        <v>2259</v>
      </c>
      <c r="I812" t="str">
        <f>VLOOKUP(tblSalaries[[#This Row],[Where do you work]],[1]!tblCountries[[Actual]:[Mapping]],2,FALSE)</f>
        <v>Indonesia</v>
      </c>
      <c r="J812" t="s">
        <v>789</v>
      </c>
      <c r="K812">
        <v>7</v>
      </c>
    </row>
    <row r="813" spans="1:11" x14ac:dyDescent="0.2">
      <c r="A813" t="s">
        <v>2260</v>
      </c>
      <c r="B813" s="59">
        <v>41055.961099537039</v>
      </c>
      <c r="C813">
        <v>360000</v>
      </c>
      <c r="D813" t="s">
        <v>824</v>
      </c>
      <c r="E813">
        <f>tblSalaries[[#This Row],[clean Salary (in local currency)]]*VLOOKUP(tblSalaries[[#This Row],[Currency]],[1]!tblXrate[#Data],2,FALSE)</f>
        <v>6410.8500074793246</v>
      </c>
      <c r="F813" t="s">
        <v>2261</v>
      </c>
      <c r="G813" t="s">
        <v>788</v>
      </c>
      <c r="H813" t="s">
        <v>117</v>
      </c>
      <c r="I813" t="str">
        <f>VLOOKUP(tblSalaries[[#This Row],[Where do you work]],[1]!tblCountries[[Actual]:[Mapping]],2,FALSE)</f>
        <v>India</v>
      </c>
      <c r="J813" t="s">
        <v>794</v>
      </c>
      <c r="K813">
        <v>4</v>
      </c>
    </row>
    <row r="814" spans="1:11" x14ac:dyDescent="0.2">
      <c r="A814" t="s">
        <v>2262</v>
      </c>
      <c r="B814" s="59">
        <v>41055.961134259262</v>
      </c>
      <c r="C814">
        <v>100000</v>
      </c>
      <c r="D814" t="s">
        <v>786</v>
      </c>
      <c r="E814">
        <f>tblSalaries[[#This Row],[clean Salary (in local currency)]]*VLOOKUP(tblSalaries[[#This Row],[Currency]],[1]!tblXrate[#Data],2,FALSE)</f>
        <v>100000</v>
      </c>
      <c r="F814" t="s">
        <v>1491</v>
      </c>
      <c r="G814" t="s">
        <v>813</v>
      </c>
      <c r="H814" t="s">
        <v>15</v>
      </c>
      <c r="I814" t="str">
        <f>VLOOKUP(tblSalaries[[#This Row],[Where do you work]],[1]!tblCountries[[Actual]:[Mapping]],2,FALSE)</f>
        <v>USA</v>
      </c>
      <c r="J814" t="s">
        <v>789</v>
      </c>
      <c r="K814">
        <v>10</v>
      </c>
    </row>
    <row r="815" spans="1:11" x14ac:dyDescent="0.2">
      <c r="A815" t="s">
        <v>2263</v>
      </c>
      <c r="B815" s="59">
        <v>41055.961724537039</v>
      </c>
      <c r="C815">
        <v>42000</v>
      </c>
      <c r="D815" t="s">
        <v>805</v>
      </c>
      <c r="E815">
        <f>tblSalaries[[#This Row],[clean Salary (in local currency)]]*VLOOKUP(tblSalaries[[#This Row],[Currency]],[1]!tblXrate[#Data],2,FALSE)</f>
        <v>53356.776437647524</v>
      </c>
      <c r="F815" t="s">
        <v>829</v>
      </c>
      <c r="G815" t="s">
        <v>802</v>
      </c>
      <c r="H815" t="s">
        <v>897</v>
      </c>
      <c r="I815" t="str">
        <f>VLOOKUP(tblSalaries[[#This Row],[Where do you work]],[1]!tblCountries[[Actual]:[Mapping]],2,FALSE)</f>
        <v>Netherlands</v>
      </c>
      <c r="J815" t="s">
        <v>789</v>
      </c>
      <c r="K815">
        <v>2</v>
      </c>
    </row>
    <row r="816" spans="1:11" x14ac:dyDescent="0.2">
      <c r="A816" t="s">
        <v>2264</v>
      </c>
      <c r="B816" s="59">
        <v>41055.96197916667</v>
      </c>
      <c r="C816">
        <v>40000</v>
      </c>
      <c r="D816" t="s">
        <v>786</v>
      </c>
      <c r="E816">
        <f>tblSalaries[[#This Row],[clean Salary (in local currency)]]*VLOOKUP(tblSalaries[[#This Row],[Currency]],[1]!tblXrate[#Data],2,FALSE)</f>
        <v>40000</v>
      </c>
      <c r="F816" t="s">
        <v>2265</v>
      </c>
      <c r="G816" t="s">
        <v>807</v>
      </c>
      <c r="H816" t="s">
        <v>15</v>
      </c>
      <c r="I816" t="str">
        <f>VLOOKUP(tblSalaries[[#This Row],[Where do you work]],[1]!tblCountries[[Actual]:[Mapping]],2,FALSE)</f>
        <v>USA</v>
      </c>
      <c r="J816" t="s">
        <v>799</v>
      </c>
      <c r="K816">
        <v>20</v>
      </c>
    </row>
    <row r="817" spans="1:11" x14ac:dyDescent="0.2">
      <c r="A817" t="s">
        <v>2266</v>
      </c>
      <c r="B817" s="59">
        <v>41055.968726851854</v>
      </c>
      <c r="C817">
        <v>550000</v>
      </c>
      <c r="D817" t="s">
        <v>824</v>
      </c>
      <c r="E817">
        <f>tblSalaries[[#This Row],[clean Salary (in local currency)]]*VLOOKUP(tblSalaries[[#This Row],[Currency]],[1]!tblXrate[#Data],2,FALSE)</f>
        <v>9794.354178093412</v>
      </c>
      <c r="F817" t="s">
        <v>1616</v>
      </c>
      <c r="G817" t="s">
        <v>788</v>
      </c>
      <c r="H817" t="s">
        <v>117</v>
      </c>
      <c r="I817" t="str">
        <f>VLOOKUP(tblSalaries[[#This Row],[Where do you work]],[1]!tblCountries[[Actual]:[Mapping]],2,FALSE)</f>
        <v>India</v>
      </c>
      <c r="J817" t="s">
        <v>789</v>
      </c>
      <c r="K817">
        <v>1</v>
      </c>
    </row>
    <row r="818" spans="1:11" x14ac:dyDescent="0.2">
      <c r="A818" t="s">
        <v>2267</v>
      </c>
      <c r="B818" s="59">
        <v>41055.968958333331</v>
      </c>
      <c r="C818">
        <v>65000</v>
      </c>
      <c r="D818" t="s">
        <v>2268</v>
      </c>
      <c r="E818">
        <f>tblSalaries[[#This Row],[clean Salary (in local currency)]]*VLOOKUP(tblSalaries[[#This Row],[Currency]],[1]!tblXrate[#Data],2,FALSE)</f>
        <v>18499.860539512854</v>
      </c>
      <c r="F818" t="s">
        <v>2269</v>
      </c>
      <c r="G818" t="s">
        <v>820</v>
      </c>
      <c r="H818" t="s">
        <v>751</v>
      </c>
      <c r="I818" t="str">
        <f>VLOOKUP(tblSalaries[[#This Row],[Where do you work]],[1]!tblCountries[[Actual]:[Mapping]],2,FALSE)</f>
        <v>Romania</v>
      </c>
      <c r="J818" t="s">
        <v>789</v>
      </c>
      <c r="K818">
        <v>6</v>
      </c>
    </row>
    <row r="819" spans="1:11" x14ac:dyDescent="0.2">
      <c r="A819" t="s">
        <v>2270</v>
      </c>
      <c r="B819" s="59">
        <v>41055.970243055555</v>
      </c>
      <c r="C819">
        <v>15600</v>
      </c>
      <c r="D819" t="s">
        <v>805</v>
      </c>
      <c r="E819">
        <f>tblSalaries[[#This Row],[clean Salary (in local currency)]]*VLOOKUP(tblSalaries[[#This Row],[Currency]],[1]!tblXrate[#Data],2,FALSE)</f>
        <v>19818.231248269083</v>
      </c>
      <c r="F819" t="s">
        <v>2271</v>
      </c>
      <c r="G819" t="s">
        <v>792</v>
      </c>
      <c r="H819" t="s">
        <v>256</v>
      </c>
      <c r="I819" t="str">
        <f>VLOOKUP(tblSalaries[[#This Row],[Where do you work]],[1]!tblCountries[[Actual]:[Mapping]],2,FALSE)</f>
        <v>Portugal</v>
      </c>
      <c r="J819" t="s">
        <v>789</v>
      </c>
      <c r="K819">
        <v>5</v>
      </c>
    </row>
    <row r="820" spans="1:11" x14ac:dyDescent="0.2">
      <c r="A820" t="s">
        <v>2272</v>
      </c>
      <c r="B820" s="59">
        <v>41055.973576388889</v>
      </c>
      <c r="C820">
        <v>600000</v>
      </c>
      <c r="D820" t="s">
        <v>824</v>
      </c>
      <c r="E820">
        <f>tblSalaries[[#This Row],[clean Salary (in local currency)]]*VLOOKUP(tblSalaries[[#This Row],[Currency]],[1]!tblXrate[#Data],2,FALSE)</f>
        <v>10684.750012465542</v>
      </c>
      <c r="F820" t="s">
        <v>2273</v>
      </c>
      <c r="G820" t="s">
        <v>807</v>
      </c>
      <c r="H820" t="s">
        <v>117</v>
      </c>
      <c r="I820" t="str">
        <f>VLOOKUP(tblSalaries[[#This Row],[Where do you work]],[1]!tblCountries[[Actual]:[Mapping]],2,FALSE)</f>
        <v>India</v>
      </c>
      <c r="J820" t="s">
        <v>794</v>
      </c>
      <c r="K820">
        <v>20</v>
      </c>
    </row>
    <row r="821" spans="1:11" x14ac:dyDescent="0.2">
      <c r="A821" t="s">
        <v>2274</v>
      </c>
      <c r="B821" s="59">
        <v>41055.983495370368</v>
      </c>
      <c r="C821">
        <v>600000</v>
      </c>
      <c r="D821" t="s">
        <v>824</v>
      </c>
      <c r="E821">
        <f>tblSalaries[[#This Row],[clean Salary (in local currency)]]*VLOOKUP(tblSalaries[[#This Row],[Currency]],[1]!tblXrate[#Data],2,FALSE)</f>
        <v>10684.750012465542</v>
      </c>
      <c r="F821" t="s">
        <v>1059</v>
      </c>
      <c r="G821" t="s">
        <v>807</v>
      </c>
      <c r="H821" t="s">
        <v>117</v>
      </c>
      <c r="I821" t="str">
        <f>VLOOKUP(tblSalaries[[#This Row],[Where do you work]],[1]!tblCountries[[Actual]:[Mapping]],2,FALSE)</f>
        <v>India</v>
      </c>
      <c r="J821" t="s">
        <v>799</v>
      </c>
      <c r="K821">
        <v>18</v>
      </c>
    </row>
    <row r="822" spans="1:11" x14ac:dyDescent="0.2">
      <c r="A822" t="s">
        <v>2275</v>
      </c>
      <c r="B822" s="59">
        <v>41055.985000000001</v>
      </c>
      <c r="C822">
        <v>1000000</v>
      </c>
      <c r="D822" t="s">
        <v>824</v>
      </c>
      <c r="E822">
        <f>tblSalaries[[#This Row],[clean Salary (in local currency)]]*VLOOKUP(tblSalaries[[#This Row],[Currency]],[1]!tblXrate[#Data],2,FALSE)</f>
        <v>17807.916687442568</v>
      </c>
      <c r="F822" t="s">
        <v>2276</v>
      </c>
      <c r="G822" t="s">
        <v>788</v>
      </c>
      <c r="H822" t="s">
        <v>117</v>
      </c>
      <c r="I822" t="str">
        <f>VLOOKUP(tblSalaries[[#This Row],[Where do you work]],[1]!tblCountries[[Actual]:[Mapping]],2,FALSE)</f>
        <v>India</v>
      </c>
      <c r="J822" t="s">
        <v>789</v>
      </c>
      <c r="K822">
        <v>10</v>
      </c>
    </row>
    <row r="823" spans="1:11" x14ac:dyDescent="0.2">
      <c r="A823" t="s">
        <v>2277</v>
      </c>
      <c r="B823" s="59">
        <v>41055.991365740738</v>
      </c>
      <c r="C823">
        <v>13000</v>
      </c>
      <c r="D823" t="s">
        <v>786</v>
      </c>
      <c r="E823">
        <f>tblSalaries[[#This Row],[clean Salary (in local currency)]]*VLOOKUP(tblSalaries[[#This Row],[Currency]],[1]!tblXrate[#Data],2,FALSE)</f>
        <v>13000</v>
      </c>
      <c r="F823" t="s">
        <v>1070</v>
      </c>
      <c r="G823" t="s">
        <v>788</v>
      </c>
      <c r="H823" t="s">
        <v>117</v>
      </c>
      <c r="I823" t="str">
        <f>VLOOKUP(tblSalaries[[#This Row],[Where do you work]],[1]!tblCountries[[Actual]:[Mapping]],2,FALSE)</f>
        <v>India</v>
      </c>
      <c r="J823" t="s">
        <v>794</v>
      </c>
      <c r="K823">
        <v>6</v>
      </c>
    </row>
    <row r="824" spans="1:11" x14ac:dyDescent="0.2">
      <c r="A824" t="s">
        <v>2278</v>
      </c>
      <c r="B824" s="59">
        <v>41055.999224537038</v>
      </c>
      <c r="C824">
        <v>900000</v>
      </c>
      <c r="D824" t="s">
        <v>824</v>
      </c>
      <c r="E824">
        <f>tblSalaries[[#This Row],[clean Salary (in local currency)]]*VLOOKUP(tblSalaries[[#This Row],[Currency]],[1]!tblXrate[#Data],2,FALSE)</f>
        <v>16027.125018698311</v>
      </c>
      <c r="F824" t="s">
        <v>2236</v>
      </c>
      <c r="G824" t="s">
        <v>807</v>
      </c>
      <c r="H824" t="s">
        <v>117</v>
      </c>
      <c r="I824" t="str">
        <f>VLOOKUP(tblSalaries[[#This Row],[Where do you work]],[1]!tblCountries[[Actual]:[Mapping]],2,FALSE)</f>
        <v>India</v>
      </c>
      <c r="J824" t="s">
        <v>808</v>
      </c>
      <c r="K824">
        <v>9</v>
      </c>
    </row>
    <row r="825" spans="1:11" x14ac:dyDescent="0.2">
      <c r="A825" t="s">
        <v>2279</v>
      </c>
      <c r="B825" s="59">
        <v>41056.001909722225</v>
      </c>
      <c r="C825">
        <v>85000</v>
      </c>
      <c r="D825" t="s">
        <v>786</v>
      </c>
      <c r="E825">
        <f>tblSalaries[[#This Row],[clean Salary (in local currency)]]*VLOOKUP(tblSalaries[[#This Row],[Currency]],[1]!tblXrate[#Data],2,FALSE)</f>
        <v>85000</v>
      </c>
      <c r="F825" t="s">
        <v>2280</v>
      </c>
      <c r="G825" t="s">
        <v>817</v>
      </c>
      <c r="H825" t="s">
        <v>15</v>
      </c>
      <c r="I825" t="str">
        <f>VLOOKUP(tblSalaries[[#This Row],[Where do you work]],[1]!tblCountries[[Actual]:[Mapping]],2,FALSE)</f>
        <v>USA</v>
      </c>
      <c r="J825" t="s">
        <v>794</v>
      </c>
      <c r="K825">
        <v>1</v>
      </c>
    </row>
    <row r="826" spans="1:11" x14ac:dyDescent="0.2">
      <c r="A826" t="s">
        <v>2281</v>
      </c>
      <c r="B826" s="59">
        <v>41056.005462962959</v>
      </c>
      <c r="C826">
        <v>6000</v>
      </c>
      <c r="D826" t="s">
        <v>786</v>
      </c>
      <c r="E826">
        <f>tblSalaries[[#This Row],[clean Salary (in local currency)]]*VLOOKUP(tblSalaries[[#This Row],[Currency]],[1]!tblXrate[#Data],2,FALSE)</f>
        <v>6000</v>
      </c>
      <c r="F826" t="s">
        <v>2282</v>
      </c>
      <c r="G826" t="s">
        <v>788</v>
      </c>
      <c r="H826" t="s">
        <v>2283</v>
      </c>
      <c r="I826" t="str">
        <f>VLOOKUP(tblSalaries[[#This Row],[Where do you work]],[1]!tblCountries[[Actual]:[Mapping]],2,FALSE)</f>
        <v>Colombia</v>
      </c>
      <c r="J826" t="s">
        <v>808</v>
      </c>
      <c r="K826">
        <v>10</v>
      </c>
    </row>
    <row r="827" spans="1:11" x14ac:dyDescent="0.2">
      <c r="A827" t="s">
        <v>2284</v>
      </c>
      <c r="B827" s="59">
        <v>41056.008946759262</v>
      </c>
      <c r="C827">
        <v>30000</v>
      </c>
      <c r="D827" t="s">
        <v>786</v>
      </c>
      <c r="E827">
        <f>tblSalaries[[#This Row],[clean Salary (in local currency)]]*VLOOKUP(tblSalaries[[#This Row],[Currency]],[1]!tblXrate[#Data],2,FALSE)</f>
        <v>30000</v>
      </c>
      <c r="F827" t="s">
        <v>1915</v>
      </c>
      <c r="G827" t="s">
        <v>836</v>
      </c>
      <c r="H827" t="s">
        <v>117</v>
      </c>
      <c r="I827" t="str">
        <f>VLOOKUP(tblSalaries[[#This Row],[Where do you work]],[1]!tblCountries[[Actual]:[Mapping]],2,FALSE)</f>
        <v>India</v>
      </c>
      <c r="J827" t="s">
        <v>789</v>
      </c>
      <c r="K827">
        <v>2</v>
      </c>
    </row>
    <row r="828" spans="1:11" x14ac:dyDescent="0.2">
      <c r="A828" t="s">
        <v>2285</v>
      </c>
      <c r="B828" s="59">
        <v>41056.013240740744</v>
      </c>
      <c r="C828">
        <v>100000</v>
      </c>
      <c r="D828" t="s">
        <v>861</v>
      </c>
      <c r="E828">
        <f>tblSalaries[[#This Row],[clean Salary (in local currency)]]*VLOOKUP(tblSalaries[[#This Row],[Currency]],[1]!tblXrate[#Data],2,FALSE)</f>
        <v>157617.8272067284</v>
      </c>
      <c r="F828" t="s">
        <v>1026</v>
      </c>
      <c r="G828" t="s">
        <v>792</v>
      </c>
      <c r="H828" t="s">
        <v>863</v>
      </c>
      <c r="I828" t="str">
        <f>VLOOKUP(tblSalaries[[#This Row],[Where do you work]],[1]!tblCountries[[Actual]:[Mapping]],2,FALSE)</f>
        <v>UK</v>
      </c>
      <c r="J828" t="s">
        <v>799</v>
      </c>
      <c r="K828">
        <v>20</v>
      </c>
    </row>
    <row r="829" spans="1:11" x14ac:dyDescent="0.2">
      <c r="A829" t="s">
        <v>2286</v>
      </c>
      <c r="B829" s="59">
        <v>41056.022986111115</v>
      </c>
      <c r="C829">
        <v>1200000</v>
      </c>
      <c r="D829" t="s">
        <v>824</v>
      </c>
      <c r="E829">
        <f>tblSalaries[[#This Row],[clean Salary (in local currency)]]*VLOOKUP(tblSalaries[[#This Row],[Currency]],[1]!tblXrate[#Data],2,FALSE)</f>
        <v>21369.500024931083</v>
      </c>
      <c r="F829" t="s">
        <v>1065</v>
      </c>
      <c r="G829" t="s">
        <v>807</v>
      </c>
      <c r="H829" t="s">
        <v>117</v>
      </c>
      <c r="I829" t="str">
        <f>VLOOKUP(tblSalaries[[#This Row],[Where do you work]],[1]!tblCountries[[Actual]:[Mapping]],2,FALSE)</f>
        <v>India</v>
      </c>
      <c r="J829" t="s">
        <v>808</v>
      </c>
      <c r="K829">
        <v>18</v>
      </c>
    </row>
    <row r="830" spans="1:11" x14ac:dyDescent="0.2">
      <c r="A830" t="s">
        <v>2287</v>
      </c>
      <c r="B830" s="59">
        <v>41056.037037037036</v>
      </c>
      <c r="C830">
        <v>200000</v>
      </c>
      <c r="D830" t="s">
        <v>824</v>
      </c>
      <c r="E830">
        <f>tblSalaries[[#This Row],[clean Salary (in local currency)]]*VLOOKUP(tblSalaries[[#This Row],[Currency]],[1]!tblXrate[#Data],2,FALSE)</f>
        <v>3561.5833374885137</v>
      </c>
      <c r="F830" t="s">
        <v>2288</v>
      </c>
      <c r="G830" t="s">
        <v>836</v>
      </c>
      <c r="H830" t="s">
        <v>117</v>
      </c>
      <c r="I830" t="str">
        <f>VLOOKUP(tblSalaries[[#This Row],[Where do you work]],[1]!tblCountries[[Actual]:[Mapping]],2,FALSE)</f>
        <v>India</v>
      </c>
      <c r="J830" t="s">
        <v>789</v>
      </c>
      <c r="K830">
        <v>1</v>
      </c>
    </row>
    <row r="831" spans="1:11" x14ac:dyDescent="0.2">
      <c r="A831" t="s">
        <v>2289</v>
      </c>
      <c r="B831" s="59">
        <v>41056.044976851852</v>
      </c>
      <c r="C831">
        <v>5000</v>
      </c>
      <c r="D831" t="s">
        <v>786</v>
      </c>
      <c r="E831">
        <f>tblSalaries[[#This Row],[clean Salary (in local currency)]]*VLOOKUP(tblSalaries[[#This Row],[Currency]],[1]!tblXrate[#Data],2,FALSE)</f>
        <v>5000</v>
      </c>
      <c r="F831" t="s">
        <v>2290</v>
      </c>
      <c r="G831" t="s">
        <v>807</v>
      </c>
      <c r="H831" t="s">
        <v>117</v>
      </c>
      <c r="I831" t="str">
        <f>VLOOKUP(tblSalaries[[#This Row],[Where do you work]],[1]!tblCountries[[Actual]:[Mapping]],2,FALSE)</f>
        <v>India</v>
      </c>
      <c r="J831" t="s">
        <v>789</v>
      </c>
      <c r="K831">
        <v>1</v>
      </c>
    </row>
    <row r="832" spans="1:11" x14ac:dyDescent="0.2">
      <c r="A832" t="s">
        <v>2291</v>
      </c>
      <c r="B832" s="59">
        <v>41056.057013888887</v>
      </c>
      <c r="C832">
        <v>200000</v>
      </c>
      <c r="D832" t="s">
        <v>824</v>
      </c>
      <c r="E832">
        <f>tblSalaries[[#This Row],[clean Salary (in local currency)]]*VLOOKUP(tblSalaries[[#This Row],[Currency]],[1]!tblXrate[#Data],2,FALSE)</f>
        <v>3561.5833374885137</v>
      </c>
      <c r="F832" t="s">
        <v>919</v>
      </c>
      <c r="G832" t="s">
        <v>788</v>
      </c>
      <c r="H832" t="s">
        <v>117</v>
      </c>
      <c r="I832" t="str">
        <f>VLOOKUP(tblSalaries[[#This Row],[Where do you work]],[1]!tblCountries[[Actual]:[Mapping]],2,FALSE)</f>
        <v>India</v>
      </c>
      <c r="J832" t="s">
        <v>789</v>
      </c>
      <c r="K832">
        <v>2</v>
      </c>
    </row>
    <row r="833" spans="1:11" x14ac:dyDescent="0.2">
      <c r="A833" t="s">
        <v>2292</v>
      </c>
      <c r="B833" s="59">
        <v>41056.063136574077</v>
      </c>
      <c r="C833">
        <v>30000</v>
      </c>
      <c r="D833" t="s">
        <v>805</v>
      </c>
      <c r="E833">
        <f>tblSalaries[[#This Row],[clean Salary (in local currency)]]*VLOOKUP(tblSalaries[[#This Row],[Currency]],[1]!tblXrate[#Data],2,FALSE)</f>
        <v>38111.983169748237</v>
      </c>
      <c r="F833" t="s">
        <v>2293</v>
      </c>
      <c r="G833" t="s">
        <v>817</v>
      </c>
      <c r="H833" t="s">
        <v>2294</v>
      </c>
      <c r="I833" t="str">
        <f>VLOOKUP(tblSalaries[[#This Row],[Where do you work]],[1]!tblCountries[[Actual]:[Mapping]],2,FALSE)</f>
        <v>Portugal</v>
      </c>
      <c r="J833" t="s">
        <v>794</v>
      </c>
      <c r="K833">
        <v>8</v>
      </c>
    </row>
    <row r="834" spans="1:11" x14ac:dyDescent="0.2">
      <c r="A834" t="s">
        <v>2295</v>
      </c>
      <c r="B834" s="59">
        <v>41056.0702662037</v>
      </c>
      <c r="C834">
        <v>1000000</v>
      </c>
      <c r="D834" t="s">
        <v>824</v>
      </c>
      <c r="E834">
        <f>tblSalaries[[#This Row],[clean Salary (in local currency)]]*VLOOKUP(tblSalaries[[#This Row],[Currency]],[1]!tblXrate[#Data],2,FALSE)</f>
        <v>17807.916687442568</v>
      </c>
      <c r="F834" t="s">
        <v>1369</v>
      </c>
      <c r="G834" t="s">
        <v>788</v>
      </c>
      <c r="H834" t="s">
        <v>117</v>
      </c>
      <c r="I834" t="str">
        <f>VLOOKUP(tblSalaries[[#This Row],[Where do you work]],[1]!tblCountries[[Actual]:[Mapping]],2,FALSE)</f>
        <v>India</v>
      </c>
      <c r="J834" t="s">
        <v>789</v>
      </c>
      <c r="K834">
        <v>6.5</v>
      </c>
    </row>
    <row r="835" spans="1:11" x14ac:dyDescent="0.2">
      <c r="A835" t="s">
        <v>2296</v>
      </c>
      <c r="B835" s="59">
        <v>41056.073611111111</v>
      </c>
      <c r="C835">
        <v>650000</v>
      </c>
      <c r="D835" t="s">
        <v>824</v>
      </c>
      <c r="E835">
        <f>tblSalaries[[#This Row],[clean Salary (in local currency)]]*VLOOKUP(tblSalaries[[#This Row],[Currency]],[1]!tblXrate[#Data],2,FALSE)</f>
        <v>11575.14584683767</v>
      </c>
      <c r="F835" t="s">
        <v>2297</v>
      </c>
      <c r="G835" t="s">
        <v>788</v>
      </c>
      <c r="H835" t="s">
        <v>117</v>
      </c>
      <c r="I835" t="str">
        <f>VLOOKUP(tblSalaries[[#This Row],[Where do you work]],[1]!tblCountries[[Actual]:[Mapping]],2,FALSE)</f>
        <v>India</v>
      </c>
      <c r="J835" t="s">
        <v>794</v>
      </c>
      <c r="K835">
        <v>3.5</v>
      </c>
    </row>
    <row r="836" spans="1:11" x14ac:dyDescent="0.2">
      <c r="A836" t="s">
        <v>2298</v>
      </c>
      <c r="B836" s="59">
        <v>41056.106504629628</v>
      </c>
      <c r="C836">
        <v>100000</v>
      </c>
      <c r="D836" t="s">
        <v>882</v>
      </c>
      <c r="E836">
        <f>tblSalaries[[#This Row],[clean Salary (in local currency)]]*VLOOKUP(tblSalaries[[#This Row],[Currency]],[1]!tblXrate[#Data],2,FALSE)</f>
        <v>98336.152303032693</v>
      </c>
      <c r="F836" t="s">
        <v>2299</v>
      </c>
      <c r="G836" t="s">
        <v>807</v>
      </c>
      <c r="H836" t="s">
        <v>143</v>
      </c>
      <c r="I836" t="str">
        <f>VLOOKUP(tblSalaries[[#This Row],[Where do you work]],[1]!tblCountries[[Actual]:[Mapping]],2,FALSE)</f>
        <v>Canada</v>
      </c>
      <c r="J836" t="s">
        <v>799</v>
      </c>
      <c r="K836">
        <v>10</v>
      </c>
    </row>
    <row r="837" spans="1:11" x14ac:dyDescent="0.2">
      <c r="A837" t="s">
        <v>2300</v>
      </c>
      <c r="B837" s="59">
        <v>41056.129189814812</v>
      </c>
      <c r="C837">
        <v>92500</v>
      </c>
      <c r="D837" t="s">
        <v>786</v>
      </c>
      <c r="E837">
        <f>tblSalaries[[#This Row],[clean Salary (in local currency)]]*VLOOKUP(tblSalaries[[#This Row],[Currency]],[1]!tblXrate[#Data],2,FALSE)</f>
        <v>92500</v>
      </c>
      <c r="F837" t="s">
        <v>2301</v>
      </c>
      <c r="G837" t="s">
        <v>788</v>
      </c>
      <c r="H837" t="s">
        <v>15</v>
      </c>
      <c r="I837" t="str">
        <f>VLOOKUP(tblSalaries[[#This Row],[Where do you work]],[1]!tblCountries[[Actual]:[Mapping]],2,FALSE)</f>
        <v>USA</v>
      </c>
      <c r="J837" t="s">
        <v>799</v>
      </c>
      <c r="K837">
        <v>15</v>
      </c>
    </row>
    <row r="838" spans="1:11" x14ac:dyDescent="0.2">
      <c r="A838" t="s">
        <v>2302</v>
      </c>
      <c r="B838" s="59">
        <v>41056.13616898148</v>
      </c>
      <c r="C838">
        <v>550000</v>
      </c>
      <c r="D838" t="s">
        <v>824</v>
      </c>
      <c r="E838">
        <f>tblSalaries[[#This Row],[clean Salary (in local currency)]]*VLOOKUP(tblSalaries[[#This Row],[Currency]],[1]!tblXrate[#Data],2,FALSE)</f>
        <v>9794.354178093412</v>
      </c>
      <c r="F838" t="s">
        <v>788</v>
      </c>
      <c r="G838" t="s">
        <v>788</v>
      </c>
      <c r="H838" t="s">
        <v>117</v>
      </c>
      <c r="I838" t="str">
        <f>VLOOKUP(tblSalaries[[#This Row],[Where do you work]],[1]!tblCountries[[Actual]:[Mapping]],2,FALSE)</f>
        <v>India</v>
      </c>
      <c r="J838" t="s">
        <v>789</v>
      </c>
      <c r="K838">
        <v>1</v>
      </c>
    </row>
    <row r="839" spans="1:11" x14ac:dyDescent="0.2">
      <c r="A839" t="s">
        <v>2303</v>
      </c>
      <c r="B839" s="59">
        <v>41056.13853009259</v>
      </c>
      <c r="C839">
        <v>32000</v>
      </c>
      <c r="D839" t="s">
        <v>786</v>
      </c>
      <c r="E839">
        <f>tblSalaries[[#This Row],[clean Salary (in local currency)]]*VLOOKUP(tblSalaries[[#This Row],[Currency]],[1]!tblXrate[#Data],2,FALSE)</f>
        <v>32000</v>
      </c>
      <c r="F839" t="s">
        <v>2304</v>
      </c>
      <c r="G839" t="s">
        <v>807</v>
      </c>
      <c r="H839" t="s">
        <v>15</v>
      </c>
      <c r="I839" t="str">
        <f>VLOOKUP(tblSalaries[[#This Row],[Where do you work]],[1]!tblCountries[[Actual]:[Mapping]],2,FALSE)</f>
        <v>USA</v>
      </c>
      <c r="J839" t="s">
        <v>789</v>
      </c>
      <c r="K839">
        <v>1</v>
      </c>
    </row>
    <row r="840" spans="1:11" x14ac:dyDescent="0.2">
      <c r="A840" t="s">
        <v>2305</v>
      </c>
      <c r="B840" s="59">
        <v>41056.142418981479</v>
      </c>
      <c r="C840">
        <v>55000</v>
      </c>
      <c r="D840" t="s">
        <v>786</v>
      </c>
      <c r="E840">
        <f>tblSalaries[[#This Row],[clean Salary (in local currency)]]*VLOOKUP(tblSalaries[[#This Row],[Currency]],[1]!tblXrate[#Data],2,FALSE)</f>
        <v>55000</v>
      </c>
      <c r="F840" t="s">
        <v>788</v>
      </c>
      <c r="G840" t="s">
        <v>788</v>
      </c>
      <c r="H840" t="s">
        <v>15</v>
      </c>
      <c r="I840" t="str">
        <f>VLOOKUP(tblSalaries[[#This Row],[Where do you work]],[1]!tblCountries[[Actual]:[Mapping]],2,FALSE)</f>
        <v>USA</v>
      </c>
      <c r="J840" t="s">
        <v>789</v>
      </c>
      <c r="K840">
        <v>10</v>
      </c>
    </row>
    <row r="841" spans="1:11" x14ac:dyDescent="0.2">
      <c r="A841" t="s">
        <v>2306</v>
      </c>
      <c r="B841" s="59">
        <v>41056.142974537041</v>
      </c>
      <c r="C841">
        <v>40000</v>
      </c>
      <c r="D841" t="s">
        <v>786</v>
      </c>
      <c r="E841">
        <f>tblSalaries[[#This Row],[clean Salary (in local currency)]]*VLOOKUP(tblSalaries[[#This Row],[Currency]],[1]!tblXrate[#Data],2,FALSE)</f>
        <v>40000</v>
      </c>
      <c r="F841" t="s">
        <v>2307</v>
      </c>
      <c r="G841" t="s">
        <v>788</v>
      </c>
      <c r="H841" t="s">
        <v>15</v>
      </c>
      <c r="I841" t="str">
        <f>VLOOKUP(tblSalaries[[#This Row],[Where do you work]],[1]!tblCountries[[Actual]:[Mapping]],2,FALSE)</f>
        <v>USA</v>
      </c>
      <c r="J841" t="s">
        <v>794</v>
      </c>
      <c r="K841">
        <v>4</v>
      </c>
    </row>
    <row r="842" spans="1:11" x14ac:dyDescent="0.2">
      <c r="A842" t="s">
        <v>2308</v>
      </c>
      <c r="B842" s="59">
        <v>41056.151064814818</v>
      </c>
      <c r="C842">
        <v>3000</v>
      </c>
      <c r="D842" t="s">
        <v>786</v>
      </c>
      <c r="E842">
        <f>tblSalaries[[#This Row],[clean Salary (in local currency)]]*VLOOKUP(tblSalaries[[#This Row],[Currency]],[1]!tblXrate[#Data],2,FALSE)</f>
        <v>3000</v>
      </c>
      <c r="F842" t="s">
        <v>952</v>
      </c>
      <c r="G842" t="s">
        <v>788</v>
      </c>
      <c r="H842" t="s">
        <v>240</v>
      </c>
      <c r="I842" t="str">
        <f>VLOOKUP(tblSalaries[[#This Row],[Where do you work]],[1]!tblCountries[[Actual]:[Mapping]],2,FALSE)</f>
        <v>Pakistan</v>
      </c>
      <c r="J842" t="s">
        <v>799</v>
      </c>
      <c r="K842">
        <v>2</v>
      </c>
    </row>
    <row r="843" spans="1:11" x14ac:dyDescent="0.2">
      <c r="A843" t="s">
        <v>2309</v>
      </c>
      <c r="B843" s="59">
        <v>41056.15111111111</v>
      </c>
      <c r="C843">
        <v>43600</v>
      </c>
      <c r="D843" t="s">
        <v>786</v>
      </c>
      <c r="E843">
        <f>tblSalaries[[#This Row],[clean Salary (in local currency)]]*VLOOKUP(tblSalaries[[#This Row],[Currency]],[1]!tblXrate[#Data],2,FALSE)</f>
        <v>43600</v>
      </c>
      <c r="F843" t="s">
        <v>984</v>
      </c>
      <c r="G843" t="s">
        <v>788</v>
      </c>
      <c r="H843" t="s">
        <v>15</v>
      </c>
      <c r="I843" t="str">
        <f>VLOOKUP(tblSalaries[[#This Row],[Where do you work]],[1]!tblCountries[[Actual]:[Mapping]],2,FALSE)</f>
        <v>USA</v>
      </c>
      <c r="J843" t="s">
        <v>789</v>
      </c>
      <c r="K843">
        <v>5</v>
      </c>
    </row>
    <row r="844" spans="1:11" x14ac:dyDescent="0.2">
      <c r="A844" t="s">
        <v>2310</v>
      </c>
      <c r="B844" s="59">
        <v>41056.166828703703</v>
      </c>
      <c r="C844">
        <v>540000</v>
      </c>
      <c r="D844" t="s">
        <v>824</v>
      </c>
      <c r="E844">
        <f>tblSalaries[[#This Row],[clean Salary (in local currency)]]*VLOOKUP(tblSalaries[[#This Row],[Currency]],[1]!tblXrate[#Data],2,FALSE)</f>
        <v>9616.275011218986</v>
      </c>
      <c r="F844" t="s">
        <v>1148</v>
      </c>
      <c r="G844" t="s">
        <v>788</v>
      </c>
      <c r="H844" t="s">
        <v>117</v>
      </c>
      <c r="I844" t="str">
        <f>VLOOKUP(tblSalaries[[#This Row],[Where do you work]],[1]!tblCountries[[Actual]:[Mapping]],2,FALSE)</f>
        <v>India</v>
      </c>
      <c r="J844" t="s">
        <v>794</v>
      </c>
      <c r="K844">
        <v>8</v>
      </c>
    </row>
    <row r="845" spans="1:11" x14ac:dyDescent="0.2">
      <c r="A845" t="s">
        <v>2311</v>
      </c>
      <c r="B845" s="59">
        <v>41056.17046296296</v>
      </c>
      <c r="C845">
        <v>35000</v>
      </c>
      <c r="D845" t="s">
        <v>786</v>
      </c>
      <c r="E845">
        <f>tblSalaries[[#This Row],[clean Salary (in local currency)]]*VLOOKUP(tblSalaries[[#This Row],[Currency]],[1]!tblXrate[#Data],2,FALSE)</f>
        <v>35000</v>
      </c>
      <c r="F845" t="s">
        <v>1896</v>
      </c>
      <c r="G845" t="s">
        <v>807</v>
      </c>
      <c r="H845" t="s">
        <v>333</v>
      </c>
      <c r="I845" t="str">
        <f>VLOOKUP(tblSalaries[[#This Row],[Where do you work]],[1]!tblCountries[[Actual]:[Mapping]],2,FALSE)</f>
        <v>Uruguay</v>
      </c>
      <c r="J845" t="s">
        <v>794</v>
      </c>
      <c r="K845">
        <v>10</v>
      </c>
    </row>
    <row r="846" spans="1:11" x14ac:dyDescent="0.2">
      <c r="A846" t="s">
        <v>2312</v>
      </c>
      <c r="B846" s="59">
        <v>41056.1716087963</v>
      </c>
      <c r="C846">
        <v>12000</v>
      </c>
      <c r="D846" t="s">
        <v>786</v>
      </c>
      <c r="E846">
        <f>tblSalaries[[#This Row],[clean Salary (in local currency)]]*VLOOKUP(tblSalaries[[#This Row],[Currency]],[1]!tblXrate[#Data],2,FALSE)</f>
        <v>12000</v>
      </c>
      <c r="F846" t="s">
        <v>2313</v>
      </c>
      <c r="G846" t="s">
        <v>867</v>
      </c>
      <c r="H846" t="s">
        <v>290</v>
      </c>
      <c r="I846" t="str">
        <f>VLOOKUP(tblSalaries[[#This Row],[Where do you work]],[1]!tblCountries[[Actual]:[Mapping]],2,FALSE)</f>
        <v>Spain</v>
      </c>
      <c r="J846" t="s">
        <v>799</v>
      </c>
      <c r="K846">
        <v>15</v>
      </c>
    </row>
    <row r="847" spans="1:11" x14ac:dyDescent="0.2">
      <c r="A847" t="s">
        <v>2314</v>
      </c>
      <c r="B847" s="59">
        <v>41056.175046296295</v>
      </c>
      <c r="C847">
        <v>5000</v>
      </c>
      <c r="D847" t="s">
        <v>786</v>
      </c>
      <c r="E847">
        <f>tblSalaries[[#This Row],[clean Salary (in local currency)]]*VLOOKUP(tblSalaries[[#This Row],[Currency]],[1]!tblXrate[#Data],2,FALSE)</f>
        <v>5000</v>
      </c>
      <c r="F847" t="s">
        <v>2315</v>
      </c>
      <c r="G847" t="s">
        <v>867</v>
      </c>
      <c r="H847" t="s">
        <v>2316</v>
      </c>
      <c r="I847" t="str">
        <f>VLOOKUP(tblSalaries[[#This Row],[Where do you work]],[1]!tblCountries[[Actual]:[Mapping]],2,FALSE)</f>
        <v>Aruba</v>
      </c>
      <c r="J847" t="s">
        <v>808</v>
      </c>
      <c r="K847">
        <v>13</v>
      </c>
    </row>
    <row r="848" spans="1:11" x14ac:dyDescent="0.2">
      <c r="A848" t="s">
        <v>2317</v>
      </c>
      <c r="B848" s="59">
        <v>41056.188287037039</v>
      </c>
      <c r="C848">
        <v>134000</v>
      </c>
      <c r="D848" t="s">
        <v>1688</v>
      </c>
      <c r="E848">
        <f>tblSalaries[[#This Row],[clean Salary (in local currency)]]*VLOOKUP(tblSalaries[[#This Row],[Currency]],[1]!tblXrate[#Data],2,FALSE)</f>
        <v>16337.518501630093</v>
      </c>
      <c r="F848" t="s">
        <v>984</v>
      </c>
      <c r="G848" t="s">
        <v>788</v>
      </c>
      <c r="H848" t="s">
        <v>294</v>
      </c>
      <c r="I848" t="str">
        <f>VLOOKUP(tblSalaries[[#This Row],[Where do you work]],[1]!tblCountries[[Actual]:[Mapping]],2,FALSE)</f>
        <v>South Africa</v>
      </c>
      <c r="J848" t="s">
        <v>789</v>
      </c>
      <c r="K848">
        <v>2</v>
      </c>
    </row>
    <row r="849" spans="1:11" x14ac:dyDescent="0.2">
      <c r="A849" t="s">
        <v>2318</v>
      </c>
      <c r="B849" s="59">
        <v>41056.194826388892</v>
      </c>
      <c r="C849">
        <v>65000</v>
      </c>
      <c r="D849" t="s">
        <v>786</v>
      </c>
      <c r="E849">
        <f>tblSalaries[[#This Row],[clean Salary (in local currency)]]*VLOOKUP(tblSalaries[[#This Row],[Currency]],[1]!tblXrate[#Data],2,FALSE)</f>
        <v>65000</v>
      </c>
      <c r="F849" t="s">
        <v>2319</v>
      </c>
      <c r="G849" t="s">
        <v>788</v>
      </c>
      <c r="H849" t="s">
        <v>15</v>
      </c>
      <c r="I849" t="str">
        <f>VLOOKUP(tblSalaries[[#This Row],[Where do you work]],[1]!tblCountries[[Actual]:[Mapping]],2,FALSE)</f>
        <v>USA</v>
      </c>
      <c r="J849" t="s">
        <v>808</v>
      </c>
      <c r="K849">
        <v>8</v>
      </c>
    </row>
    <row r="850" spans="1:11" x14ac:dyDescent="0.2">
      <c r="A850" t="s">
        <v>2320</v>
      </c>
      <c r="B850" s="59">
        <v>41056.262280092589</v>
      </c>
      <c r="C850">
        <v>40000</v>
      </c>
      <c r="D850" t="s">
        <v>786</v>
      </c>
      <c r="E850">
        <f>tblSalaries[[#This Row],[clean Salary (in local currency)]]*VLOOKUP(tblSalaries[[#This Row],[Currency]],[1]!tblXrate[#Data],2,FALSE)</f>
        <v>40000</v>
      </c>
      <c r="F850" t="s">
        <v>2321</v>
      </c>
      <c r="G850" t="s">
        <v>788</v>
      </c>
      <c r="H850" t="s">
        <v>15</v>
      </c>
      <c r="I850" t="str">
        <f>VLOOKUP(tblSalaries[[#This Row],[Where do you work]],[1]!tblCountries[[Actual]:[Mapping]],2,FALSE)</f>
        <v>USA</v>
      </c>
      <c r="J850" t="s">
        <v>794</v>
      </c>
      <c r="K850">
        <v>2</v>
      </c>
    </row>
    <row r="851" spans="1:11" x14ac:dyDescent="0.2">
      <c r="A851" t="s">
        <v>2322</v>
      </c>
      <c r="B851" s="59">
        <v>41056.27584490741</v>
      </c>
      <c r="C851">
        <v>98000</v>
      </c>
      <c r="D851" t="s">
        <v>786</v>
      </c>
      <c r="E851">
        <f>tblSalaries[[#This Row],[clean Salary (in local currency)]]*VLOOKUP(tblSalaries[[#This Row],[Currency]],[1]!tblXrate[#Data],2,FALSE)</f>
        <v>98000</v>
      </c>
      <c r="F851" t="s">
        <v>2323</v>
      </c>
      <c r="G851" t="s">
        <v>807</v>
      </c>
      <c r="H851" t="s">
        <v>2324</v>
      </c>
      <c r="I851" t="str">
        <f>VLOOKUP(tblSalaries[[#This Row],[Where do you work]],[1]!tblCountries[[Actual]:[Mapping]],2,FALSE)</f>
        <v>Indonesia</v>
      </c>
      <c r="J851" t="s">
        <v>799</v>
      </c>
      <c r="K851">
        <v>14</v>
      </c>
    </row>
    <row r="852" spans="1:11" x14ac:dyDescent="0.2">
      <c r="A852" t="s">
        <v>2325</v>
      </c>
      <c r="B852" s="59">
        <v>41056.275868055556</v>
      </c>
      <c r="C852">
        <v>50000</v>
      </c>
      <c r="D852" t="s">
        <v>786</v>
      </c>
      <c r="E852">
        <f>tblSalaries[[#This Row],[clean Salary (in local currency)]]*VLOOKUP(tblSalaries[[#This Row],[Currency]],[1]!tblXrate[#Data],2,FALSE)</f>
        <v>50000</v>
      </c>
      <c r="F852" t="s">
        <v>2326</v>
      </c>
      <c r="G852" t="s">
        <v>813</v>
      </c>
      <c r="H852" t="s">
        <v>15</v>
      </c>
      <c r="I852" t="str">
        <f>VLOOKUP(tblSalaries[[#This Row],[Where do you work]],[1]!tblCountries[[Actual]:[Mapping]],2,FALSE)</f>
        <v>USA</v>
      </c>
      <c r="J852" t="s">
        <v>794</v>
      </c>
      <c r="K852">
        <v>15</v>
      </c>
    </row>
    <row r="853" spans="1:11" x14ac:dyDescent="0.2">
      <c r="A853" t="s">
        <v>2327</v>
      </c>
      <c r="B853" s="59">
        <v>41056.305023148147</v>
      </c>
      <c r="C853">
        <v>135000</v>
      </c>
      <c r="D853" t="s">
        <v>786</v>
      </c>
      <c r="E853">
        <f>tblSalaries[[#This Row],[clean Salary (in local currency)]]*VLOOKUP(tblSalaries[[#This Row],[Currency]],[1]!tblXrate[#Data],2,FALSE)</f>
        <v>135000</v>
      </c>
      <c r="F853" t="s">
        <v>2328</v>
      </c>
      <c r="G853" t="s">
        <v>813</v>
      </c>
      <c r="H853" t="s">
        <v>15</v>
      </c>
      <c r="I853" t="str">
        <f>VLOOKUP(tblSalaries[[#This Row],[Where do you work]],[1]!tblCountries[[Actual]:[Mapping]],2,FALSE)</f>
        <v>USA</v>
      </c>
      <c r="J853" t="s">
        <v>789</v>
      </c>
      <c r="K853">
        <v>25</v>
      </c>
    </row>
    <row r="854" spans="1:11" x14ac:dyDescent="0.2">
      <c r="A854" t="s">
        <v>2329</v>
      </c>
      <c r="B854" s="59">
        <v>41056.33865740741</v>
      </c>
      <c r="C854">
        <v>125000</v>
      </c>
      <c r="D854" t="s">
        <v>786</v>
      </c>
      <c r="E854">
        <f>tblSalaries[[#This Row],[clean Salary (in local currency)]]*VLOOKUP(tblSalaries[[#This Row],[Currency]],[1]!tblXrate[#Data],2,FALSE)</f>
        <v>125000</v>
      </c>
      <c r="F854" t="s">
        <v>2330</v>
      </c>
      <c r="G854" t="s">
        <v>807</v>
      </c>
      <c r="H854" t="s">
        <v>233</v>
      </c>
      <c r="I854" t="str">
        <f>VLOOKUP(tblSalaries[[#This Row],[Where do you work]],[1]!tblCountries[[Actual]:[Mapping]],2,FALSE)</f>
        <v>Norway</v>
      </c>
      <c r="J854" t="s">
        <v>789</v>
      </c>
      <c r="K854">
        <v>6</v>
      </c>
    </row>
    <row r="855" spans="1:11" x14ac:dyDescent="0.2">
      <c r="A855" t="s">
        <v>2331</v>
      </c>
      <c r="B855" s="59">
        <v>41056.371157407404</v>
      </c>
      <c r="C855">
        <v>4500</v>
      </c>
      <c r="D855" t="s">
        <v>786</v>
      </c>
      <c r="E855">
        <f>tblSalaries[[#This Row],[clean Salary (in local currency)]]*VLOOKUP(tblSalaries[[#This Row],[Currency]],[1]!tblXrate[#Data],2,FALSE)</f>
        <v>4500</v>
      </c>
      <c r="F855" t="s">
        <v>2332</v>
      </c>
      <c r="G855" t="s">
        <v>788</v>
      </c>
      <c r="H855" t="s">
        <v>2324</v>
      </c>
      <c r="I855" t="str">
        <f>VLOOKUP(tblSalaries[[#This Row],[Where do you work]],[1]!tblCountries[[Actual]:[Mapping]],2,FALSE)</f>
        <v>Indonesia</v>
      </c>
      <c r="J855" t="s">
        <v>799</v>
      </c>
      <c r="K855">
        <v>4</v>
      </c>
    </row>
    <row r="856" spans="1:11" x14ac:dyDescent="0.2">
      <c r="A856" t="s">
        <v>2333</v>
      </c>
      <c r="B856" s="59">
        <v>41056.371944444443</v>
      </c>
      <c r="C856">
        <v>115000</v>
      </c>
      <c r="D856" t="s">
        <v>786</v>
      </c>
      <c r="E856">
        <f>tblSalaries[[#This Row],[clean Salary (in local currency)]]*VLOOKUP(tblSalaries[[#This Row],[Currency]],[1]!tblXrate[#Data],2,FALSE)</f>
        <v>115000</v>
      </c>
      <c r="F856" t="s">
        <v>2334</v>
      </c>
      <c r="G856" t="s">
        <v>788</v>
      </c>
      <c r="H856" t="s">
        <v>15</v>
      </c>
      <c r="I856" t="str">
        <f>VLOOKUP(tblSalaries[[#This Row],[Where do you work]],[1]!tblCountries[[Actual]:[Mapping]],2,FALSE)</f>
        <v>USA</v>
      </c>
      <c r="J856" t="s">
        <v>789</v>
      </c>
      <c r="K856">
        <v>10</v>
      </c>
    </row>
    <row r="857" spans="1:11" x14ac:dyDescent="0.2">
      <c r="A857" t="s">
        <v>2335</v>
      </c>
      <c r="B857" s="59">
        <v>41056.387349537035</v>
      </c>
      <c r="C857">
        <v>70000</v>
      </c>
      <c r="D857" t="s">
        <v>786</v>
      </c>
      <c r="E857">
        <f>tblSalaries[[#This Row],[clean Salary (in local currency)]]*VLOOKUP(tblSalaries[[#This Row],[Currency]],[1]!tblXrate[#Data],2,FALSE)</f>
        <v>70000</v>
      </c>
      <c r="F857" t="s">
        <v>796</v>
      </c>
      <c r="G857" t="s">
        <v>788</v>
      </c>
      <c r="H857" t="s">
        <v>15</v>
      </c>
      <c r="I857" t="str">
        <f>VLOOKUP(tblSalaries[[#This Row],[Where do you work]],[1]!tblCountries[[Actual]:[Mapping]],2,FALSE)</f>
        <v>USA</v>
      </c>
      <c r="J857" t="s">
        <v>794</v>
      </c>
      <c r="K857">
        <v>15</v>
      </c>
    </row>
    <row r="858" spans="1:11" x14ac:dyDescent="0.2">
      <c r="A858" t="s">
        <v>2336</v>
      </c>
      <c r="B858" s="59">
        <v>41056.409375000003</v>
      </c>
      <c r="C858">
        <v>60000</v>
      </c>
      <c r="D858" t="s">
        <v>786</v>
      </c>
      <c r="E858">
        <f>tblSalaries[[#This Row],[clean Salary (in local currency)]]*VLOOKUP(tblSalaries[[#This Row],[Currency]],[1]!tblXrate[#Data],2,FALSE)</f>
        <v>60000</v>
      </c>
      <c r="F858" t="s">
        <v>2337</v>
      </c>
      <c r="G858" t="s">
        <v>788</v>
      </c>
      <c r="H858" t="s">
        <v>15</v>
      </c>
      <c r="I858" t="str">
        <f>VLOOKUP(tblSalaries[[#This Row],[Where do you work]],[1]!tblCountries[[Actual]:[Mapping]],2,FALSE)</f>
        <v>USA</v>
      </c>
      <c r="J858" t="s">
        <v>799</v>
      </c>
      <c r="K858">
        <v>8</v>
      </c>
    </row>
    <row r="859" spans="1:11" x14ac:dyDescent="0.2">
      <c r="A859" t="s">
        <v>2338</v>
      </c>
      <c r="B859" s="59">
        <v>41056.426006944443</v>
      </c>
      <c r="C859">
        <v>87456</v>
      </c>
      <c r="D859" t="s">
        <v>786</v>
      </c>
      <c r="E859">
        <f>tblSalaries[[#This Row],[clean Salary (in local currency)]]*VLOOKUP(tblSalaries[[#This Row],[Currency]],[1]!tblXrate[#Data],2,FALSE)</f>
        <v>87456</v>
      </c>
      <c r="F859" t="s">
        <v>2339</v>
      </c>
      <c r="G859" t="s">
        <v>807</v>
      </c>
      <c r="H859" t="s">
        <v>15</v>
      </c>
      <c r="I859" t="str">
        <f>VLOOKUP(tblSalaries[[#This Row],[Where do you work]],[1]!tblCountries[[Actual]:[Mapping]],2,FALSE)</f>
        <v>USA</v>
      </c>
      <c r="J859" t="s">
        <v>799</v>
      </c>
      <c r="K859">
        <v>12</v>
      </c>
    </row>
    <row r="860" spans="1:11" x14ac:dyDescent="0.2">
      <c r="A860" t="s">
        <v>2340</v>
      </c>
      <c r="B860" s="59">
        <v>41056.480752314812</v>
      </c>
      <c r="C860">
        <v>26400</v>
      </c>
      <c r="D860" t="s">
        <v>786</v>
      </c>
      <c r="E860">
        <f>tblSalaries[[#This Row],[clean Salary (in local currency)]]*VLOOKUP(tblSalaries[[#This Row],[Currency]],[1]!tblXrate[#Data],2,FALSE)</f>
        <v>26400</v>
      </c>
      <c r="F860" t="s">
        <v>2341</v>
      </c>
      <c r="G860" t="s">
        <v>788</v>
      </c>
      <c r="H860" t="s">
        <v>1022</v>
      </c>
      <c r="I860" t="str">
        <f>VLOOKUP(tblSalaries[[#This Row],[Where do you work]],[1]!tblCountries[[Actual]:[Mapping]],2,FALSE)</f>
        <v>UAE</v>
      </c>
      <c r="J860" t="s">
        <v>794</v>
      </c>
      <c r="K860">
        <v>6</v>
      </c>
    </row>
    <row r="861" spans="1:11" x14ac:dyDescent="0.2">
      <c r="A861" t="s">
        <v>2342</v>
      </c>
      <c r="B861" s="59">
        <v>41056.49324074074</v>
      </c>
      <c r="C861">
        <v>12000</v>
      </c>
      <c r="D861" t="s">
        <v>786</v>
      </c>
      <c r="E861">
        <f>tblSalaries[[#This Row],[clean Salary (in local currency)]]*VLOOKUP(tblSalaries[[#This Row],[Currency]],[1]!tblXrate[#Data],2,FALSE)</f>
        <v>12000</v>
      </c>
      <c r="F861" t="s">
        <v>2343</v>
      </c>
      <c r="G861" t="s">
        <v>807</v>
      </c>
      <c r="H861" t="s">
        <v>1022</v>
      </c>
      <c r="I861" t="str">
        <f>VLOOKUP(tblSalaries[[#This Row],[Where do you work]],[1]!tblCountries[[Actual]:[Mapping]],2,FALSE)</f>
        <v>UAE</v>
      </c>
      <c r="J861" t="s">
        <v>794</v>
      </c>
      <c r="K861">
        <v>18</v>
      </c>
    </row>
    <row r="862" spans="1:11" x14ac:dyDescent="0.2">
      <c r="A862" t="s">
        <v>2344</v>
      </c>
      <c r="B862" s="59">
        <v>41056.50267361111</v>
      </c>
      <c r="C862">
        <v>144000</v>
      </c>
      <c r="D862" t="s">
        <v>824</v>
      </c>
      <c r="E862">
        <f>tblSalaries[[#This Row],[clean Salary (in local currency)]]*VLOOKUP(tblSalaries[[#This Row],[Currency]],[1]!tblXrate[#Data],2,FALSE)</f>
        <v>2564.3400029917298</v>
      </c>
      <c r="F862" t="s">
        <v>2345</v>
      </c>
      <c r="G862" t="s">
        <v>788</v>
      </c>
      <c r="H862" t="s">
        <v>117</v>
      </c>
      <c r="I862" t="str">
        <f>VLOOKUP(tblSalaries[[#This Row],[Where do you work]],[1]!tblCountries[[Actual]:[Mapping]],2,FALSE)</f>
        <v>India</v>
      </c>
      <c r="J862" t="s">
        <v>789</v>
      </c>
      <c r="K862">
        <v>1</v>
      </c>
    </row>
    <row r="863" spans="1:11" x14ac:dyDescent="0.2">
      <c r="A863" t="s">
        <v>2346</v>
      </c>
      <c r="B863" s="59">
        <v>41056.522743055553</v>
      </c>
      <c r="C863">
        <v>62000</v>
      </c>
      <c r="D863" t="s">
        <v>786</v>
      </c>
      <c r="E863">
        <f>tblSalaries[[#This Row],[clean Salary (in local currency)]]*VLOOKUP(tblSalaries[[#This Row],[Currency]],[1]!tblXrate[#Data],2,FALSE)</f>
        <v>62000</v>
      </c>
      <c r="F863" t="s">
        <v>2347</v>
      </c>
      <c r="G863" t="s">
        <v>807</v>
      </c>
      <c r="H863" t="s">
        <v>149</v>
      </c>
      <c r="I863" t="str">
        <f>VLOOKUP(tblSalaries[[#This Row],[Where do you work]],[1]!tblCountries[[Actual]:[Mapping]],2,FALSE)</f>
        <v>Qatar</v>
      </c>
      <c r="J863" t="s">
        <v>794</v>
      </c>
      <c r="K863">
        <v>11</v>
      </c>
    </row>
    <row r="864" spans="1:11" x14ac:dyDescent="0.2">
      <c r="A864" t="s">
        <v>2348</v>
      </c>
      <c r="B864" s="59">
        <v>41056.52447916667</v>
      </c>
      <c r="C864">
        <v>300000</v>
      </c>
      <c r="D864" t="s">
        <v>824</v>
      </c>
      <c r="E864">
        <f>tblSalaries[[#This Row],[clean Salary (in local currency)]]*VLOOKUP(tblSalaries[[#This Row],[Currency]],[1]!tblXrate[#Data],2,FALSE)</f>
        <v>5342.3750062327708</v>
      </c>
      <c r="F864" t="s">
        <v>2349</v>
      </c>
      <c r="G864" t="s">
        <v>788</v>
      </c>
      <c r="H864" t="s">
        <v>117</v>
      </c>
      <c r="I864" t="str">
        <f>VLOOKUP(tblSalaries[[#This Row],[Where do you work]],[1]!tblCountries[[Actual]:[Mapping]],2,FALSE)</f>
        <v>India</v>
      </c>
      <c r="J864" t="s">
        <v>808</v>
      </c>
      <c r="K864">
        <v>10</v>
      </c>
    </row>
    <row r="865" spans="1:11" x14ac:dyDescent="0.2">
      <c r="A865" t="s">
        <v>2350</v>
      </c>
      <c r="B865" s="59">
        <v>41056.525717592594</v>
      </c>
      <c r="C865">
        <v>40000</v>
      </c>
      <c r="D865" t="s">
        <v>805</v>
      </c>
      <c r="E865">
        <f>tblSalaries[[#This Row],[clean Salary (in local currency)]]*VLOOKUP(tblSalaries[[#This Row],[Currency]],[1]!tblXrate[#Data],2,FALSE)</f>
        <v>50815.977559664309</v>
      </c>
      <c r="F865" t="s">
        <v>2351</v>
      </c>
      <c r="G865" t="s">
        <v>788</v>
      </c>
      <c r="H865" t="s">
        <v>228</v>
      </c>
      <c r="I865" t="str">
        <f>VLOOKUP(tblSalaries[[#This Row],[Where do you work]],[1]!tblCountries[[Actual]:[Mapping]],2,FALSE)</f>
        <v>Netherlands</v>
      </c>
      <c r="J865" t="s">
        <v>789</v>
      </c>
      <c r="K865">
        <v>4</v>
      </c>
    </row>
    <row r="866" spans="1:11" x14ac:dyDescent="0.2">
      <c r="A866" t="s">
        <v>2352</v>
      </c>
      <c r="B866" s="59">
        <v>41056.528807870367</v>
      </c>
      <c r="C866">
        <v>25560</v>
      </c>
      <c r="D866" t="s">
        <v>786</v>
      </c>
      <c r="E866">
        <f>tblSalaries[[#This Row],[clean Salary (in local currency)]]*VLOOKUP(tblSalaries[[#This Row],[Currency]],[1]!tblXrate[#Data],2,FALSE)</f>
        <v>25560</v>
      </c>
      <c r="F866" t="s">
        <v>2353</v>
      </c>
      <c r="G866" t="s">
        <v>807</v>
      </c>
      <c r="H866" t="s">
        <v>2354</v>
      </c>
      <c r="I866" t="str">
        <f>VLOOKUP(tblSalaries[[#This Row],[Where do you work]],[1]!tblCountries[[Actual]:[Mapping]],2,FALSE)</f>
        <v>Saudi Arabia</v>
      </c>
      <c r="J866" t="s">
        <v>789</v>
      </c>
      <c r="K866">
        <v>3</v>
      </c>
    </row>
    <row r="867" spans="1:11" x14ac:dyDescent="0.2">
      <c r="A867" t="s">
        <v>2355</v>
      </c>
      <c r="B867" s="59">
        <v>41056.540173611109</v>
      </c>
      <c r="C867">
        <v>720000</v>
      </c>
      <c r="D867" t="s">
        <v>824</v>
      </c>
      <c r="E867">
        <f>tblSalaries[[#This Row],[clean Salary (in local currency)]]*VLOOKUP(tblSalaries[[#This Row],[Currency]],[1]!tblXrate[#Data],2,FALSE)</f>
        <v>12821.700014958649</v>
      </c>
      <c r="F867" t="s">
        <v>2356</v>
      </c>
      <c r="G867" t="s">
        <v>817</v>
      </c>
      <c r="H867" t="s">
        <v>117</v>
      </c>
      <c r="I867" t="str">
        <f>VLOOKUP(tblSalaries[[#This Row],[Where do you work]],[1]!tblCountries[[Actual]:[Mapping]],2,FALSE)</f>
        <v>India</v>
      </c>
      <c r="J867" t="s">
        <v>789</v>
      </c>
      <c r="K867">
        <v>3</v>
      </c>
    </row>
    <row r="868" spans="1:11" x14ac:dyDescent="0.2">
      <c r="A868" t="s">
        <v>2357</v>
      </c>
      <c r="B868" s="59">
        <v>41056.546412037038</v>
      </c>
      <c r="C868">
        <v>600000</v>
      </c>
      <c r="D868" t="s">
        <v>824</v>
      </c>
      <c r="E868">
        <f>tblSalaries[[#This Row],[clean Salary (in local currency)]]*VLOOKUP(tblSalaries[[#This Row],[Currency]],[1]!tblXrate[#Data],2,FALSE)</f>
        <v>10684.750012465542</v>
      </c>
      <c r="F868" t="s">
        <v>2358</v>
      </c>
      <c r="G868" t="s">
        <v>807</v>
      </c>
      <c r="H868" t="s">
        <v>117</v>
      </c>
      <c r="I868" t="str">
        <f>VLOOKUP(tblSalaries[[#This Row],[Where do you work]],[1]!tblCountries[[Actual]:[Mapping]],2,FALSE)</f>
        <v>India</v>
      </c>
      <c r="J868" t="s">
        <v>794</v>
      </c>
      <c r="K868">
        <v>5</v>
      </c>
    </row>
    <row r="869" spans="1:11" x14ac:dyDescent="0.2">
      <c r="A869" t="s">
        <v>2359</v>
      </c>
      <c r="B869" s="59">
        <v>41056.560636574075</v>
      </c>
      <c r="C869">
        <v>420000</v>
      </c>
      <c r="D869" t="s">
        <v>815</v>
      </c>
      <c r="E869">
        <f>tblSalaries[[#This Row],[clean Salary (in local currency)]]*VLOOKUP(tblSalaries[[#This Row],[Currency]],[1]!tblXrate[#Data],2,FALSE)</f>
        <v>4457.9172610556352</v>
      </c>
      <c r="F869" t="s">
        <v>2360</v>
      </c>
      <c r="G869" t="s">
        <v>807</v>
      </c>
      <c r="H869" t="s">
        <v>240</v>
      </c>
      <c r="I869" t="str">
        <f>VLOOKUP(tblSalaries[[#This Row],[Where do you work]],[1]!tblCountries[[Actual]:[Mapping]],2,FALSE)</f>
        <v>Pakistan</v>
      </c>
      <c r="J869" t="s">
        <v>794</v>
      </c>
      <c r="K869">
        <v>4</v>
      </c>
    </row>
    <row r="870" spans="1:11" x14ac:dyDescent="0.2">
      <c r="A870" t="s">
        <v>2361</v>
      </c>
      <c r="B870" s="59">
        <v>41056.562407407408</v>
      </c>
      <c r="C870">
        <v>125000</v>
      </c>
      <c r="D870" t="s">
        <v>786</v>
      </c>
      <c r="E870">
        <f>tblSalaries[[#This Row],[clean Salary (in local currency)]]*VLOOKUP(tblSalaries[[#This Row],[Currency]],[1]!tblXrate[#Data],2,FALSE)</f>
        <v>125000</v>
      </c>
      <c r="F870" t="s">
        <v>2362</v>
      </c>
      <c r="G870" t="s">
        <v>813</v>
      </c>
      <c r="H870" t="s">
        <v>294</v>
      </c>
      <c r="I870" t="str">
        <f>VLOOKUP(tblSalaries[[#This Row],[Where do you work]],[1]!tblCountries[[Actual]:[Mapping]],2,FALSE)</f>
        <v>South Africa</v>
      </c>
      <c r="J870" t="s">
        <v>789</v>
      </c>
      <c r="K870">
        <v>20</v>
      </c>
    </row>
    <row r="871" spans="1:11" x14ac:dyDescent="0.2">
      <c r="A871" t="s">
        <v>2363</v>
      </c>
      <c r="B871" s="59">
        <v>41056.565416666665</v>
      </c>
      <c r="C871">
        <v>43000</v>
      </c>
      <c r="D871" t="s">
        <v>786</v>
      </c>
      <c r="E871">
        <f>tblSalaries[[#This Row],[clean Salary (in local currency)]]*VLOOKUP(tblSalaries[[#This Row],[Currency]],[1]!tblXrate[#Data],2,FALSE)</f>
        <v>43000</v>
      </c>
      <c r="F871" t="s">
        <v>796</v>
      </c>
      <c r="G871" t="s">
        <v>788</v>
      </c>
      <c r="H871" t="s">
        <v>15</v>
      </c>
      <c r="I871" t="str">
        <f>VLOOKUP(tblSalaries[[#This Row],[Where do you work]],[1]!tblCountries[[Actual]:[Mapping]],2,FALSE)</f>
        <v>USA</v>
      </c>
      <c r="J871" t="s">
        <v>789</v>
      </c>
      <c r="K871">
        <v>1</v>
      </c>
    </row>
    <row r="872" spans="1:11" x14ac:dyDescent="0.2">
      <c r="A872" t="s">
        <v>2364</v>
      </c>
      <c r="B872" s="59">
        <v>41056.570185185185</v>
      </c>
      <c r="C872">
        <v>400000</v>
      </c>
      <c r="D872" t="s">
        <v>824</v>
      </c>
      <c r="E872">
        <f>tblSalaries[[#This Row],[clean Salary (in local currency)]]*VLOOKUP(tblSalaries[[#This Row],[Currency]],[1]!tblXrate[#Data],2,FALSE)</f>
        <v>7123.1666749770275</v>
      </c>
      <c r="F872" t="s">
        <v>1592</v>
      </c>
      <c r="G872" t="s">
        <v>802</v>
      </c>
      <c r="H872" t="s">
        <v>117</v>
      </c>
      <c r="I872" t="str">
        <f>VLOOKUP(tblSalaries[[#This Row],[Where do you work]],[1]!tblCountries[[Actual]:[Mapping]],2,FALSE)</f>
        <v>India</v>
      </c>
      <c r="J872" t="s">
        <v>799</v>
      </c>
      <c r="K872">
        <v>6</v>
      </c>
    </row>
    <row r="873" spans="1:11" x14ac:dyDescent="0.2">
      <c r="A873" t="s">
        <v>2365</v>
      </c>
      <c r="B873" s="59">
        <v>41056.570196759261</v>
      </c>
      <c r="C873">
        <v>10000</v>
      </c>
      <c r="D873" t="s">
        <v>786</v>
      </c>
      <c r="E873">
        <f>tblSalaries[[#This Row],[clean Salary (in local currency)]]*VLOOKUP(tblSalaries[[#This Row],[Currency]],[1]!tblXrate[#Data],2,FALSE)</f>
        <v>10000</v>
      </c>
      <c r="F873" t="s">
        <v>2366</v>
      </c>
      <c r="G873" t="s">
        <v>817</v>
      </c>
      <c r="H873" t="s">
        <v>2367</v>
      </c>
      <c r="I873" t="str">
        <f>VLOOKUP(tblSalaries[[#This Row],[Where do you work]],[1]!tblCountries[[Actual]:[Mapping]],2,FALSE)</f>
        <v>Viet Nam</v>
      </c>
      <c r="J873" t="s">
        <v>789</v>
      </c>
      <c r="K873">
        <v>4</v>
      </c>
    </row>
    <row r="874" spans="1:11" x14ac:dyDescent="0.2">
      <c r="A874" t="s">
        <v>2368</v>
      </c>
      <c r="B874" s="59">
        <v>41056.571006944447</v>
      </c>
      <c r="C874">
        <v>500000</v>
      </c>
      <c r="D874" t="s">
        <v>824</v>
      </c>
      <c r="E874">
        <f>tblSalaries[[#This Row],[clean Salary (in local currency)]]*VLOOKUP(tblSalaries[[#This Row],[Currency]],[1]!tblXrate[#Data],2,FALSE)</f>
        <v>8903.9583437212841</v>
      </c>
      <c r="F874" t="s">
        <v>2369</v>
      </c>
      <c r="G874" t="s">
        <v>807</v>
      </c>
      <c r="H874" t="s">
        <v>117</v>
      </c>
      <c r="I874" t="str">
        <f>VLOOKUP(tblSalaries[[#This Row],[Where do you work]],[1]!tblCountries[[Actual]:[Mapping]],2,FALSE)</f>
        <v>India</v>
      </c>
      <c r="J874" t="s">
        <v>808</v>
      </c>
      <c r="K874">
        <v>5</v>
      </c>
    </row>
    <row r="875" spans="1:11" x14ac:dyDescent="0.2">
      <c r="A875" t="s">
        <v>2370</v>
      </c>
      <c r="B875" s="59">
        <v>41056.573460648149</v>
      </c>
      <c r="C875">
        <v>36500</v>
      </c>
      <c r="D875" t="s">
        <v>786</v>
      </c>
      <c r="E875">
        <f>tblSalaries[[#This Row],[clean Salary (in local currency)]]*VLOOKUP(tblSalaries[[#This Row],[Currency]],[1]!tblXrate[#Data],2,FALSE)</f>
        <v>36500</v>
      </c>
      <c r="F875" t="s">
        <v>817</v>
      </c>
      <c r="G875" t="s">
        <v>817</v>
      </c>
      <c r="H875" t="s">
        <v>749</v>
      </c>
      <c r="I875" t="str">
        <f>VLOOKUP(tblSalaries[[#This Row],[Where do you work]],[1]!tblCountries[[Actual]:[Mapping]],2,FALSE)</f>
        <v>Saudi Arabia</v>
      </c>
      <c r="J875" t="s">
        <v>789</v>
      </c>
      <c r="K875">
        <v>15</v>
      </c>
    </row>
    <row r="876" spans="1:11" x14ac:dyDescent="0.2">
      <c r="A876" t="s">
        <v>2371</v>
      </c>
      <c r="B876" s="59">
        <v>41056.5783912037</v>
      </c>
      <c r="C876">
        <v>100000</v>
      </c>
      <c r="D876" t="s">
        <v>786</v>
      </c>
      <c r="E876">
        <f>tblSalaries[[#This Row],[clean Salary (in local currency)]]*VLOOKUP(tblSalaries[[#This Row],[Currency]],[1]!tblXrate[#Data],2,FALSE)</f>
        <v>100000</v>
      </c>
      <c r="F876" t="s">
        <v>963</v>
      </c>
      <c r="G876" t="s">
        <v>813</v>
      </c>
      <c r="H876" t="s">
        <v>2372</v>
      </c>
      <c r="I876" t="str">
        <f>VLOOKUP(tblSalaries[[#This Row],[Where do you work]],[1]!tblCountries[[Actual]:[Mapping]],2,FALSE)</f>
        <v>Mexico</v>
      </c>
      <c r="J876" t="s">
        <v>794</v>
      </c>
      <c r="K876">
        <v>10</v>
      </c>
    </row>
    <row r="877" spans="1:11" x14ac:dyDescent="0.2">
      <c r="A877" t="s">
        <v>2373</v>
      </c>
      <c r="B877" s="59">
        <v>41056.586469907408</v>
      </c>
      <c r="C877">
        <v>400000</v>
      </c>
      <c r="D877" t="s">
        <v>824</v>
      </c>
      <c r="E877">
        <f>tblSalaries[[#This Row],[clean Salary (in local currency)]]*VLOOKUP(tblSalaries[[#This Row],[Currency]],[1]!tblXrate[#Data],2,FALSE)</f>
        <v>7123.1666749770275</v>
      </c>
      <c r="F877" t="s">
        <v>2374</v>
      </c>
      <c r="G877" t="s">
        <v>817</v>
      </c>
      <c r="H877" t="s">
        <v>117</v>
      </c>
      <c r="I877" t="str">
        <f>VLOOKUP(tblSalaries[[#This Row],[Where do you work]],[1]!tblCountries[[Actual]:[Mapping]],2,FALSE)</f>
        <v>India</v>
      </c>
      <c r="J877" t="s">
        <v>799</v>
      </c>
      <c r="K877">
        <v>8</v>
      </c>
    </row>
    <row r="878" spans="1:11" x14ac:dyDescent="0.2">
      <c r="A878" t="s">
        <v>2375</v>
      </c>
      <c r="B878" s="59">
        <v>41056.598738425928</v>
      </c>
      <c r="C878">
        <v>2300000</v>
      </c>
      <c r="D878" t="s">
        <v>824</v>
      </c>
      <c r="E878">
        <f>tblSalaries[[#This Row],[clean Salary (in local currency)]]*VLOOKUP(tblSalaries[[#This Row],[Currency]],[1]!tblXrate[#Data],2,FALSE)</f>
        <v>40958.208381117904</v>
      </c>
      <c r="F878" t="s">
        <v>2376</v>
      </c>
      <c r="G878" t="s">
        <v>807</v>
      </c>
      <c r="H878" t="s">
        <v>117</v>
      </c>
      <c r="I878" t="str">
        <f>VLOOKUP(tblSalaries[[#This Row],[Where do you work]],[1]!tblCountries[[Actual]:[Mapping]],2,FALSE)</f>
        <v>India</v>
      </c>
      <c r="J878" t="s">
        <v>799</v>
      </c>
      <c r="K878">
        <v>8</v>
      </c>
    </row>
    <row r="879" spans="1:11" x14ac:dyDescent="0.2">
      <c r="A879" t="s">
        <v>2377</v>
      </c>
      <c r="B879" s="59">
        <v>41056.602465277778</v>
      </c>
      <c r="C879">
        <v>1200000</v>
      </c>
      <c r="D879" t="s">
        <v>824</v>
      </c>
      <c r="E879">
        <f>tblSalaries[[#This Row],[clean Salary (in local currency)]]*VLOOKUP(tblSalaries[[#This Row],[Currency]],[1]!tblXrate[#Data],2,FALSE)</f>
        <v>21369.500024931083</v>
      </c>
      <c r="F879" t="s">
        <v>2378</v>
      </c>
      <c r="G879" t="s">
        <v>813</v>
      </c>
      <c r="H879" t="s">
        <v>117</v>
      </c>
      <c r="I879" t="str">
        <f>VLOOKUP(tblSalaries[[#This Row],[Where do you work]],[1]!tblCountries[[Actual]:[Mapping]],2,FALSE)</f>
        <v>India</v>
      </c>
      <c r="J879" t="s">
        <v>789</v>
      </c>
      <c r="K879">
        <v>17</v>
      </c>
    </row>
    <row r="880" spans="1:11" x14ac:dyDescent="0.2">
      <c r="A880" t="s">
        <v>2379</v>
      </c>
      <c r="B880" s="59">
        <v>41056.616215277776</v>
      </c>
      <c r="C880">
        <v>120000</v>
      </c>
      <c r="D880" t="s">
        <v>824</v>
      </c>
      <c r="E880">
        <f>tblSalaries[[#This Row],[clean Salary (in local currency)]]*VLOOKUP(tblSalaries[[#This Row],[Currency]],[1]!tblXrate[#Data],2,FALSE)</f>
        <v>2136.9500024931081</v>
      </c>
      <c r="F880" t="s">
        <v>2380</v>
      </c>
      <c r="G880" t="s">
        <v>807</v>
      </c>
      <c r="H880" t="s">
        <v>117</v>
      </c>
      <c r="I880" t="str">
        <f>VLOOKUP(tblSalaries[[#This Row],[Where do you work]],[1]!tblCountries[[Actual]:[Mapping]],2,FALSE)</f>
        <v>India</v>
      </c>
      <c r="J880" t="s">
        <v>789</v>
      </c>
      <c r="K880">
        <v>5</v>
      </c>
    </row>
    <row r="881" spans="1:11" x14ac:dyDescent="0.2">
      <c r="A881" t="s">
        <v>2381</v>
      </c>
      <c r="B881" s="59">
        <v>41056.6175</v>
      </c>
      <c r="C881">
        <v>500000</v>
      </c>
      <c r="D881" t="s">
        <v>824</v>
      </c>
      <c r="E881">
        <f>tblSalaries[[#This Row],[clean Salary (in local currency)]]*VLOOKUP(tblSalaries[[#This Row],[Currency]],[1]!tblXrate[#Data],2,FALSE)</f>
        <v>8903.9583437212841</v>
      </c>
      <c r="F881" t="s">
        <v>1943</v>
      </c>
      <c r="G881" t="s">
        <v>802</v>
      </c>
      <c r="H881" t="s">
        <v>117</v>
      </c>
      <c r="I881" t="str">
        <f>VLOOKUP(tblSalaries[[#This Row],[Where do you work]],[1]!tblCountries[[Actual]:[Mapping]],2,FALSE)</f>
        <v>India</v>
      </c>
      <c r="J881" t="s">
        <v>799</v>
      </c>
      <c r="K881">
        <v>3</v>
      </c>
    </row>
    <row r="882" spans="1:11" x14ac:dyDescent="0.2">
      <c r="A882" t="s">
        <v>2382</v>
      </c>
      <c r="B882" s="59">
        <v>41056.618703703702</v>
      </c>
      <c r="C882">
        <v>1000000</v>
      </c>
      <c r="D882" t="s">
        <v>824</v>
      </c>
      <c r="E882">
        <f>tblSalaries[[#This Row],[clean Salary (in local currency)]]*VLOOKUP(tblSalaries[[#This Row],[Currency]],[1]!tblXrate[#Data],2,FALSE)</f>
        <v>17807.916687442568</v>
      </c>
      <c r="F882" t="s">
        <v>2383</v>
      </c>
      <c r="G882" t="s">
        <v>807</v>
      </c>
      <c r="H882" t="s">
        <v>117</v>
      </c>
      <c r="I882" t="str">
        <f>VLOOKUP(tblSalaries[[#This Row],[Where do you work]],[1]!tblCountries[[Actual]:[Mapping]],2,FALSE)</f>
        <v>India</v>
      </c>
      <c r="J882" t="s">
        <v>789</v>
      </c>
      <c r="K882">
        <v>5</v>
      </c>
    </row>
    <row r="883" spans="1:11" x14ac:dyDescent="0.2">
      <c r="A883" t="s">
        <v>2384</v>
      </c>
      <c r="B883" s="59">
        <v>41056.621874999997</v>
      </c>
      <c r="C883">
        <v>850000</v>
      </c>
      <c r="D883" t="s">
        <v>824</v>
      </c>
      <c r="E883">
        <f>tblSalaries[[#This Row],[clean Salary (in local currency)]]*VLOOKUP(tblSalaries[[#This Row],[Currency]],[1]!tblXrate[#Data],2,FALSE)</f>
        <v>15136.729184326183</v>
      </c>
      <c r="F883" t="s">
        <v>2360</v>
      </c>
      <c r="G883" t="s">
        <v>807</v>
      </c>
      <c r="H883" t="s">
        <v>117</v>
      </c>
      <c r="I883" t="str">
        <f>VLOOKUP(tblSalaries[[#This Row],[Where do you work]],[1]!tblCountries[[Actual]:[Mapping]],2,FALSE)</f>
        <v>India</v>
      </c>
      <c r="J883" t="s">
        <v>799</v>
      </c>
      <c r="K883">
        <v>3</v>
      </c>
    </row>
    <row r="884" spans="1:11" x14ac:dyDescent="0.2">
      <c r="A884" t="s">
        <v>2385</v>
      </c>
      <c r="B884" s="59">
        <v>41056.625717592593</v>
      </c>
      <c r="C884">
        <v>168000</v>
      </c>
      <c r="D884" t="s">
        <v>1314</v>
      </c>
      <c r="E884">
        <f>tblSalaries[[#This Row],[clean Salary (in local currency)]]*VLOOKUP(tblSalaries[[#This Row],[Currency]],[1]!tblXrate[#Data],2,FALSE)</f>
        <v>3982.448779308334</v>
      </c>
      <c r="F884" t="s">
        <v>2386</v>
      </c>
      <c r="G884" t="s">
        <v>788</v>
      </c>
      <c r="H884" t="s">
        <v>252</v>
      </c>
      <c r="I884" t="str">
        <f>VLOOKUP(tblSalaries[[#This Row],[Where do you work]],[1]!tblCountries[[Actual]:[Mapping]],2,FALSE)</f>
        <v>Philippines</v>
      </c>
      <c r="J884" t="s">
        <v>789</v>
      </c>
      <c r="K884">
        <v>10</v>
      </c>
    </row>
    <row r="885" spans="1:11" x14ac:dyDescent="0.2">
      <c r="A885" t="s">
        <v>2387</v>
      </c>
      <c r="B885" s="59">
        <v>41056.642824074072</v>
      </c>
      <c r="C885">
        <v>15600</v>
      </c>
      <c r="D885" t="s">
        <v>786</v>
      </c>
      <c r="E885">
        <f>tblSalaries[[#This Row],[clean Salary (in local currency)]]*VLOOKUP(tblSalaries[[#This Row],[Currency]],[1]!tblXrate[#Data],2,FALSE)</f>
        <v>15600</v>
      </c>
      <c r="F885" t="s">
        <v>2388</v>
      </c>
      <c r="G885" t="s">
        <v>792</v>
      </c>
      <c r="H885" t="s">
        <v>2389</v>
      </c>
      <c r="I885" t="str">
        <f>VLOOKUP(tblSalaries[[#This Row],[Where do you work]],[1]!tblCountries[[Actual]:[Mapping]],2,FALSE)</f>
        <v xml:space="preserve">Kuwait </v>
      </c>
      <c r="J885" t="s">
        <v>789</v>
      </c>
      <c r="K885">
        <v>13</v>
      </c>
    </row>
    <row r="886" spans="1:11" x14ac:dyDescent="0.2">
      <c r="A886" t="s">
        <v>2390</v>
      </c>
      <c r="B886" s="59">
        <v>41056.643449074072</v>
      </c>
      <c r="C886">
        <v>180000</v>
      </c>
      <c r="D886" t="s">
        <v>824</v>
      </c>
      <c r="E886">
        <f>tblSalaries[[#This Row],[clean Salary (in local currency)]]*VLOOKUP(tblSalaries[[#This Row],[Currency]],[1]!tblXrate[#Data],2,FALSE)</f>
        <v>3205.4250037396623</v>
      </c>
      <c r="F886" t="s">
        <v>1960</v>
      </c>
      <c r="G886" t="s">
        <v>788</v>
      </c>
      <c r="H886" t="s">
        <v>117</v>
      </c>
      <c r="I886" t="str">
        <f>VLOOKUP(tblSalaries[[#This Row],[Where do you work]],[1]!tblCountries[[Actual]:[Mapping]],2,FALSE)</f>
        <v>India</v>
      </c>
      <c r="J886" t="s">
        <v>799</v>
      </c>
      <c r="K886">
        <v>3.5</v>
      </c>
    </row>
    <row r="887" spans="1:11" x14ac:dyDescent="0.2">
      <c r="A887" t="s">
        <v>2391</v>
      </c>
      <c r="B887" s="59">
        <v>41056.647337962961</v>
      </c>
      <c r="C887">
        <v>10000</v>
      </c>
      <c r="D887" t="s">
        <v>786</v>
      </c>
      <c r="E887">
        <f>tblSalaries[[#This Row],[clean Salary (in local currency)]]*VLOOKUP(tblSalaries[[#This Row],[Currency]],[1]!tblXrate[#Data],2,FALSE)</f>
        <v>10000</v>
      </c>
      <c r="F887" t="s">
        <v>1594</v>
      </c>
      <c r="G887" t="s">
        <v>807</v>
      </c>
      <c r="H887" t="s">
        <v>117</v>
      </c>
      <c r="I887" t="str">
        <f>VLOOKUP(tblSalaries[[#This Row],[Where do you work]],[1]!tblCountries[[Actual]:[Mapping]],2,FALSE)</f>
        <v>India</v>
      </c>
      <c r="J887" t="s">
        <v>789</v>
      </c>
      <c r="K887">
        <v>6</v>
      </c>
    </row>
    <row r="888" spans="1:11" x14ac:dyDescent="0.2">
      <c r="A888" t="s">
        <v>2392</v>
      </c>
      <c r="B888" s="59">
        <v>41056.655636574076</v>
      </c>
      <c r="C888">
        <v>75010</v>
      </c>
      <c r="D888" t="s">
        <v>786</v>
      </c>
      <c r="E888">
        <f>tblSalaries[[#This Row],[clean Salary (in local currency)]]*VLOOKUP(tblSalaries[[#This Row],[Currency]],[1]!tblXrate[#Data],2,FALSE)</f>
        <v>75010</v>
      </c>
      <c r="F888" t="s">
        <v>1496</v>
      </c>
      <c r="G888" t="s">
        <v>788</v>
      </c>
      <c r="H888" t="s">
        <v>15</v>
      </c>
      <c r="I888" t="str">
        <f>VLOOKUP(tblSalaries[[#This Row],[Where do you work]],[1]!tblCountries[[Actual]:[Mapping]],2,FALSE)</f>
        <v>USA</v>
      </c>
      <c r="J888" t="s">
        <v>799</v>
      </c>
      <c r="K888">
        <v>6</v>
      </c>
    </row>
    <row r="889" spans="1:11" x14ac:dyDescent="0.2">
      <c r="A889" t="s">
        <v>2393</v>
      </c>
      <c r="B889" s="59">
        <v>41056.656157407408</v>
      </c>
      <c r="C889">
        <v>600000</v>
      </c>
      <c r="D889" t="s">
        <v>824</v>
      </c>
      <c r="E889">
        <f>tblSalaries[[#This Row],[clean Salary (in local currency)]]*VLOOKUP(tblSalaries[[#This Row],[Currency]],[1]!tblXrate[#Data],2,FALSE)</f>
        <v>10684.750012465542</v>
      </c>
      <c r="F889" t="s">
        <v>807</v>
      </c>
      <c r="G889" t="s">
        <v>807</v>
      </c>
      <c r="H889" t="s">
        <v>117</v>
      </c>
      <c r="I889" t="str">
        <f>VLOOKUP(tblSalaries[[#This Row],[Where do you work]],[1]!tblCountries[[Actual]:[Mapping]],2,FALSE)</f>
        <v>India</v>
      </c>
      <c r="J889" t="s">
        <v>794</v>
      </c>
      <c r="K889">
        <v>9</v>
      </c>
    </row>
    <row r="890" spans="1:11" x14ac:dyDescent="0.2">
      <c r="A890" t="s">
        <v>2394</v>
      </c>
      <c r="B890" s="59">
        <v>41056.658368055556</v>
      </c>
      <c r="C890">
        <v>16350</v>
      </c>
      <c r="D890" t="s">
        <v>786</v>
      </c>
      <c r="E890">
        <f>tblSalaries[[#This Row],[clean Salary (in local currency)]]*VLOOKUP(tblSalaries[[#This Row],[Currency]],[1]!tblXrate[#Data],2,FALSE)</f>
        <v>16350</v>
      </c>
      <c r="F890" t="s">
        <v>2108</v>
      </c>
      <c r="G890" t="s">
        <v>807</v>
      </c>
      <c r="H890" t="s">
        <v>117</v>
      </c>
      <c r="I890" t="str">
        <f>VLOOKUP(tblSalaries[[#This Row],[Where do you work]],[1]!tblCountries[[Actual]:[Mapping]],2,FALSE)</f>
        <v>India</v>
      </c>
      <c r="J890" t="s">
        <v>789</v>
      </c>
      <c r="K890">
        <v>5</v>
      </c>
    </row>
    <row r="891" spans="1:11" x14ac:dyDescent="0.2">
      <c r="A891" t="s">
        <v>2395</v>
      </c>
      <c r="B891" s="59">
        <v>41056.673657407409</v>
      </c>
      <c r="C891">
        <v>80000</v>
      </c>
      <c r="D891" t="s">
        <v>861</v>
      </c>
      <c r="E891">
        <f>tblSalaries[[#This Row],[clean Salary (in local currency)]]*VLOOKUP(tblSalaries[[#This Row],[Currency]],[1]!tblXrate[#Data],2,FALSE)</f>
        <v>126094.26176538273</v>
      </c>
      <c r="F891" t="s">
        <v>2396</v>
      </c>
      <c r="G891" t="s">
        <v>817</v>
      </c>
      <c r="H891" t="s">
        <v>863</v>
      </c>
      <c r="I891" t="str">
        <f>VLOOKUP(tblSalaries[[#This Row],[Where do you work]],[1]!tblCountries[[Actual]:[Mapping]],2,FALSE)</f>
        <v>UK</v>
      </c>
      <c r="J891" t="s">
        <v>789</v>
      </c>
      <c r="K891">
        <v>10</v>
      </c>
    </row>
    <row r="892" spans="1:11" x14ac:dyDescent="0.2">
      <c r="A892" t="s">
        <v>2397</v>
      </c>
      <c r="B892" s="59">
        <v>41056.67392361111</v>
      </c>
      <c r="C892">
        <v>60000</v>
      </c>
      <c r="D892" t="s">
        <v>786</v>
      </c>
      <c r="E892">
        <f>tblSalaries[[#This Row],[clean Salary (in local currency)]]*VLOOKUP(tblSalaries[[#This Row],[Currency]],[1]!tblXrate[#Data],2,FALSE)</f>
        <v>60000</v>
      </c>
      <c r="F892" t="s">
        <v>2398</v>
      </c>
      <c r="G892" t="s">
        <v>817</v>
      </c>
      <c r="H892" t="s">
        <v>283</v>
      </c>
      <c r="I892" t="str">
        <f>VLOOKUP(tblSalaries[[#This Row],[Where do you work]],[1]!tblCountries[[Actual]:[Mapping]],2,FALSE)</f>
        <v>Singapore</v>
      </c>
      <c r="J892" t="s">
        <v>794</v>
      </c>
      <c r="K892">
        <v>10</v>
      </c>
    </row>
    <row r="893" spans="1:11" x14ac:dyDescent="0.2">
      <c r="A893" t="s">
        <v>2399</v>
      </c>
      <c r="B893" s="59">
        <v>41056.683912037035</v>
      </c>
      <c r="C893">
        <v>1300000</v>
      </c>
      <c r="D893" t="s">
        <v>824</v>
      </c>
      <c r="E893">
        <f>tblSalaries[[#This Row],[clean Salary (in local currency)]]*VLOOKUP(tblSalaries[[#This Row],[Currency]],[1]!tblXrate[#Data],2,FALSE)</f>
        <v>23150.291693675339</v>
      </c>
      <c r="F893" t="s">
        <v>2400</v>
      </c>
      <c r="G893" t="s">
        <v>807</v>
      </c>
      <c r="H893" t="s">
        <v>117</v>
      </c>
      <c r="I893" t="str">
        <f>VLOOKUP(tblSalaries[[#This Row],[Where do you work]],[1]!tblCountries[[Actual]:[Mapping]],2,FALSE)</f>
        <v>India</v>
      </c>
      <c r="J893" t="s">
        <v>808</v>
      </c>
      <c r="K893">
        <v>3</v>
      </c>
    </row>
    <row r="894" spans="1:11" x14ac:dyDescent="0.2">
      <c r="A894" t="s">
        <v>2401</v>
      </c>
      <c r="B894" s="59">
        <v>41056.688125000001</v>
      </c>
      <c r="C894">
        <v>775000</v>
      </c>
      <c r="D894" t="s">
        <v>824</v>
      </c>
      <c r="E894">
        <f>tblSalaries[[#This Row],[clean Salary (in local currency)]]*VLOOKUP(tblSalaries[[#This Row],[Currency]],[1]!tblXrate[#Data],2,FALSE)</f>
        <v>13801.135432767991</v>
      </c>
      <c r="F894" t="s">
        <v>788</v>
      </c>
      <c r="G894" t="s">
        <v>788</v>
      </c>
      <c r="H894" t="s">
        <v>117</v>
      </c>
      <c r="I894" t="str">
        <f>VLOOKUP(tblSalaries[[#This Row],[Where do you work]],[1]!tblCountries[[Actual]:[Mapping]],2,FALSE)</f>
        <v>India</v>
      </c>
      <c r="J894" t="s">
        <v>789</v>
      </c>
      <c r="K894">
        <v>2</v>
      </c>
    </row>
    <row r="895" spans="1:11" x14ac:dyDescent="0.2">
      <c r="A895" t="s">
        <v>2402</v>
      </c>
      <c r="B895" s="59">
        <v>41056.701967592591</v>
      </c>
      <c r="C895">
        <v>1050000</v>
      </c>
      <c r="D895" t="s">
        <v>824</v>
      </c>
      <c r="E895">
        <f>tblSalaries[[#This Row],[clean Salary (in local currency)]]*VLOOKUP(tblSalaries[[#This Row],[Currency]],[1]!tblXrate[#Data],2,FALSE)</f>
        <v>18698.312521814696</v>
      </c>
      <c r="F895" t="s">
        <v>2403</v>
      </c>
      <c r="G895" t="s">
        <v>807</v>
      </c>
      <c r="H895" t="s">
        <v>117</v>
      </c>
      <c r="I895" t="str">
        <f>VLOOKUP(tblSalaries[[#This Row],[Where do you work]],[1]!tblCountries[[Actual]:[Mapping]],2,FALSE)</f>
        <v>India</v>
      </c>
      <c r="J895" t="s">
        <v>794</v>
      </c>
      <c r="K895">
        <v>5</v>
      </c>
    </row>
    <row r="896" spans="1:11" x14ac:dyDescent="0.2">
      <c r="A896" t="s">
        <v>2404</v>
      </c>
      <c r="B896" s="59">
        <v>41056.715694444443</v>
      </c>
      <c r="C896">
        <v>36000</v>
      </c>
      <c r="D896" t="s">
        <v>786</v>
      </c>
      <c r="E896">
        <f>tblSalaries[[#This Row],[clean Salary (in local currency)]]*VLOOKUP(tblSalaries[[#This Row],[Currency]],[1]!tblXrate[#Data],2,FALSE)</f>
        <v>36000</v>
      </c>
      <c r="F896" t="s">
        <v>2405</v>
      </c>
      <c r="G896" t="s">
        <v>792</v>
      </c>
      <c r="H896" t="s">
        <v>317</v>
      </c>
      <c r="I896" t="str">
        <f>VLOOKUP(tblSalaries[[#This Row],[Where do you work]],[1]!tblCountries[[Actual]:[Mapping]],2,FALSE)</f>
        <v>Czech Republic</v>
      </c>
      <c r="J896" t="s">
        <v>799</v>
      </c>
      <c r="K896">
        <v>9</v>
      </c>
    </row>
    <row r="897" spans="1:11" x14ac:dyDescent="0.2">
      <c r="A897" t="s">
        <v>2406</v>
      </c>
      <c r="B897" s="59">
        <v>41056.720081018517</v>
      </c>
      <c r="C897">
        <v>486000</v>
      </c>
      <c r="D897" t="s">
        <v>824</v>
      </c>
      <c r="E897">
        <f>tblSalaries[[#This Row],[clean Salary (in local currency)]]*VLOOKUP(tblSalaries[[#This Row],[Currency]],[1]!tblXrate[#Data],2,FALSE)</f>
        <v>8654.6475100970874</v>
      </c>
      <c r="F897" t="s">
        <v>2407</v>
      </c>
      <c r="G897" t="s">
        <v>807</v>
      </c>
      <c r="H897" t="s">
        <v>117</v>
      </c>
      <c r="I897" t="str">
        <f>VLOOKUP(tblSalaries[[#This Row],[Where do you work]],[1]!tblCountries[[Actual]:[Mapping]],2,FALSE)</f>
        <v>India</v>
      </c>
      <c r="J897" t="s">
        <v>794</v>
      </c>
      <c r="K897">
        <v>6</v>
      </c>
    </row>
    <row r="898" spans="1:11" x14ac:dyDescent="0.2">
      <c r="A898" t="s">
        <v>2408</v>
      </c>
      <c r="B898" s="59">
        <v>41056.720416666663</v>
      </c>
      <c r="C898">
        <v>65000</v>
      </c>
      <c r="D898" t="s">
        <v>861</v>
      </c>
      <c r="E898">
        <f>tblSalaries[[#This Row],[clean Salary (in local currency)]]*VLOOKUP(tblSalaries[[#This Row],[Currency]],[1]!tblXrate[#Data],2,FALSE)</f>
        <v>102451.58768437347</v>
      </c>
      <c r="F898" t="s">
        <v>807</v>
      </c>
      <c r="G898" t="s">
        <v>807</v>
      </c>
      <c r="H898" t="s">
        <v>863</v>
      </c>
      <c r="I898" t="str">
        <f>VLOOKUP(tblSalaries[[#This Row],[Where do you work]],[1]!tblCountries[[Actual]:[Mapping]],2,FALSE)</f>
        <v>UK</v>
      </c>
      <c r="J898" t="s">
        <v>808</v>
      </c>
      <c r="K898">
        <v>15</v>
      </c>
    </row>
    <row r="899" spans="1:11" x14ac:dyDescent="0.2">
      <c r="A899" t="s">
        <v>2409</v>
      </c>
      <c r="B899" s="59">
        <v>41056.725104166668</v>
      </c>
      <c r="C899">
        <v>36400</v>
      </c>
      <c r="D899" t="s">
        <v>786</v>
      </c>
      <c r="E899">
        <f>tblSalaries[[#This Row],[clean Salary (in local currency)]]*VLOOKUP(tblSalaries[[#This Row],[Currency]],[1]!tblXrate[#Data],2,FALSE)</f>
        <v>36400</v>
      </c>
      <c r="F899" t="s">
        <v>788</v>
      </c>
      <c r="G899" t="s">
        <v>788</v>
      </c>
      <c r="H899" t="s">
        <v>281</v>
      </c>
      <c r="I899" t="str">
        <f>VLOOKUP(tblSalaries[[#This Row],[Where do you work]],[1]!tblCountries[[Actual]:[Mapping]],2,FALSE)</f>
        <v>Zimbabwe</v>
      </c>
      <c r="J899" t="s">
        <v>789</v>
      </c>
      <c r="K899">
        <v>20</v>
      </c>
    </row>
    <row r="900" spans="1:11" x14ac:dyDescent="0.2">
      <c r="A900" t="s">
        <v>2410</v>
      </c>
      <c r="B900" s="59">
        <v>41056.763553240744</v>
      </c>
      <c r="C900">
        <v>64210</v>
      </c>
      <c r="D900" t="s">
        <v>861</v>
      </c>
      <c r="E900">
        <f>tblSalaries[[#This Row],[clean Salary (in local currency)]]*VLOOKUP(tblSalaries[[#This Row],[Currency]],[1]!tblXrate[#Data],2,FALSE)</f>
        <v>101206.40684944032</v>
      </c>
      <c r="F900" t="s">
        <v>2411</v>
      </c>
      <c r="G900" t="s">
        <v>867</v>
      </c>
      <c r="H900" t="s">
        <v>863</v>
      </c>
      <c r="I900" t="str">
        <f>VLOOKUP(tblSalaries[[#This Row],[Where do you work]],[1]!tblCountries[[Actual]:[Mapping]],2,FALSE)</f>
        <v>UK</v>
      </c>
      <c r="J900" t="s">
        <v>789</v>
      </c>
      <c r="K900">
        <v>16</v>
      </c>
    </row>
    <row r="901" spans="1:11" x14ac:dyDescent="0.2">
      <c r="A901" t="s">
        <v>2412</v>
      </c>
      <c r="B901" s="59">
        <v>41056.773506944446</v>
      </c>
      <c r="C901">
        <v>300000</v>
      </c>
      <c r="D901" t="s">
        <v>824</v>
      </c>
      <c r="E901">
        <f>tblSalaries[[#This Row],[clean Salary (in local currency)]]*VLOOKUP(tblSalaries[[#This Row],[Currency]],[1]!tblXrate[#Data],2,FALSE)</f>
        <v>5342.3750062327708</v>
      </c>
      <c r="F901" t="s">
        <v>2413</v>
      </c>
      <c r="G901" t="s">
        <v>788</v>
      </c>
      <c r="H901" t="s">
        <v>117</v>
      </c>
      <c r="I901" t="str">
        <f>VLOOKUP(tblSalaries[[#This Row],[Where do you work]],[1]!tblCountries[[Actual]:[Mapping]],2,FALSE)</f>
        <v>India</v>
      </c>
      <c r="J901" t="s">
        <v>789</v>
      </c>
      <c r="K901">
        <v>0.5</v>
      </c>
    </row>
    <row r="902" spans="1:11" x14ac:dyDescent="0.2">
      <c r="A902" t="s">
        <v>2414</v>
      </c>
      <c r="B902" s="59">
        <v>41056.819050925929</v>
      </c>
      <c r="C902">
        <v>104000</v>
      </c>
      <c r="D902" t="s">
        <v>1333</v>
      </c>
      <c r="E902">
        <f>tblSalaries[[#This Row],[clean Salary (in local currency)]]*VLOOKUP(tblSalaries[[#This Row],[Currency]],[1]!tblXrate[#Data],2,FALSE)</f>
        <v>28310.79811950968</v>
      </c>
      <c r="F902" t="s">
        <v>796</v>
      </c>
      <c r="G902" t="s">
        <v>788</v>
      </c>
      <c r="H902" t="s">
        <v>1022</v>
      </c>
      <c r="I902" t="str">
        <f>VLOOKUP(tblSalaries[[#This Row],[Where do you work]],[1]!tblCountries[[Actual]:[Mapping]],2,FALSE)</f>
        <v>UAE</v>
      </c>
      <c r="J902" t="s">
        <v>789</v>
      </c>
      <c r="K902">
        <v>11</v>
      </c>
    </row>
    <row r="903" spans="1:11" x14ac:dyDescent="0.2">
      <c r="A903" t="s">
        <v>2415</v>
      </c>
      <c r="B903" s="59">
        <v>41056.820775462962</v>
      </c>
      <c r="C903">
        <v>20500</v>
      </c>
      <c r="D903" t="s">
        <v>805</v>
      </c>
      <c r="E903">
        <f>tblSalaries[[#This Row],[clean Salary (in local currency)]]*VLOOKUP(tblSalaries[[#This Row],[Currency]],[1]!tblXrate[#Data],2,FALSE)</f>
        <v>26043.18849932796</v>
      </c>
      <c r="F903" t="s">
        <v>2416</v>
      </c>
      <c r="G903" t="s">
        <v>807</v>
      </c>
      <c r="H903" t="s">
        <v>254</v>
      </c>
      <c r="I903" t="str">
        <f>VLOOKUP(tblSalaries[[#This Row],[Where do you work]],[1]!tblCountries[[Actual]:[Mapping]],2,FALSE)</f>
        <v>Poland</v>
      </c>
      <c r="J903" t="s">
        <v>789</v>
      </c>
      <c r="K903">
        <v>8</v>
      </c>
    </row>
    <row r="904" spans="1:11" x14ac:dyDescent="0.2">
      <c r="A904" t="s">
        <v>2417</v>
      </c>
      <c r="B904" s="59">
        <v>41056.846412037034</v>
      </c>
      <c r="C904">
        <v>95000</v>
      </c>
      <c r="D904" t="s">
        <v>877</v>
      </c>
      <c r="E904">
        <f>tblSalaries[[#This Row],[clean Salary (in local currency)]]*VLOOKUP(tblSalaries[[#This Row],[Currency]],[1]!tblXrate[#Data],2,FALSE)</f>
        <v>96891.417358250401</v>
      </c>
      <c r="F904" t="s">
        <v>2418</v>
      </c>
      <c r="G904" t="s">
        <v>788</v>
      </c>
      <c r="H904" t="s">
        <v>33</v>
      </c>
      <c r="I904" t="str">
        <f>VLOOKUP(tblSalaries[[#This Row],[Where do you work]],[1]!tblCountries[[Actual]:[Mapping]],2,FALSE)</f>
        <v>Australia</v>
      </c>
      <c r="J904" t="s">
        <v>808</v>
      </c>
      <c r="K904">
        <v>7</v>
      </c>
    </row>
    <row r="905" spans="1:11" x14ac:dyDescent="0.2">
      <c r="A905" t="s">
        <v>2419</v>
      </c>
      <c r="B905" s="59">
        <v>41056.863344907404</v>
      </c>
      <c r="C905">
        <v>144000</v>
      </c>
      <c r="D905" t="s">
        <v>824</v>
      </c>
      <c r="E905">
        <f>tblSalaries[[#This Row],[clean Salary (in local currency)]]*VLOOKUP(tblSalaries[[#This Row],[Currency]],[1]!tblXrate[#Data],2,FALSE)</f>
        <v>2564.3400029917298</v>
      </c>
      <c r="F905" t="s">
        <v>2420</v>
      </c>
      <c r="G905" t="s">
        <v>792</v>
      </c>
      <c r="H905" t="s">
        <v>117</v>
      </c>
      <c r="I905" t="str">
        <f>VLOOKUP(tblSalaries[[#This Row],[Where do you work]],[1]!tblCountries[[Actual]:[Mapping]],2,FALSE)</f>
        <v>India</v>
      </c>
      <c r="J905" t="s">
        <v>789</v>
      </c>
      <c r="K905">
        <v>4</v>
      </c>
    </row>
    <row r="906" spans="1:11" x14ac:dyDescent="0.2">
      <c r="A906" t="s">
        <v>2421</v>
      </c>
      <c r="B906" s="59">
        <v>41056.869386574072</v>
      </c>
      <c r="C906">
        <v>180000</v>
      </c>
      <c r="D906" t="s">
        <v>824</v>
      </c>
      <c r="E906">
        <f>tblSalaries[[#This Row],[clean Salary (in local currency)]]*VLOOKUP(tblSalaries[[#This Row],[Currency]],[1]!tblXrate[#Data],2,FALSE)</f>
        <v>3205.4250037396623</v>
      </c>
      <c r="F906" t="s">
        <v>2422</v>
      </c>
      <c r="G906" t="s">
        <v>836</v>
      </c>
      <c r="H906" t="s">
        <v>117</v>
      </c>
      <c r="I906" t="str">
        <f>VLOOKUP(tblSalaries[[#This Row],[Where do you work]],[1]!tblCountries[[Actual]:[Mapping]],2,FALSE)</f>
        <v>India</v>
      </c>
      <c r="J906" t="s">
        <v>794</v>
      </c>
      <c r="K906">
        <v>8</v>
      </c>
    </row>
    <row r="907" spans="1:11" x14ac:dyDescent="0.2">
      <c r="A907" t="s">
        <v>2423</v>
      </c>
      <c r="B907" s="59">
        <v>41056.877858796295</v>
      </c>
      <c r="C907">
        <v>600000</v>
      </c>
      <c r="D907" t="s">
        <v>824</v>
      </c>
      <c r="E907">
        <f>tblSalaries[[#This Row],[clean Salary (in local currency)]]*VLOOKUP(tblSalaries[[#This Row],[Currency]],[1]!tblXrate[#Data],2,FALSE)</f>
        <v>10684.750012465542</v>
      </c>
      <c r="F907" t="s">
        <v>919</v>
      </c>
      <c r="G907" t="s">
        <v>788</v>
      </c>
      <c r="H907" t="s">
        <v>117</v>
      </c>
      <c r="I907" t="str">
        <f>VLOOKUP(tblSalaries[[#This Row],[Where do you work]],[1]!tblCountries[[Actual]:[Mapping]],2,FALSE)</f>
        <v>India</v>
      </c>
      <c r="J907" t="s">
        <v>794</v>
      </c>
      <c r="K907">
        <v>8</v>
      </c>
    </row>
    <row r="908" spans="1:11" x14ac:dyDescent="0.2">
      <c r="A908" t="s">
        <v>2424</v>
      </c>
      <c r="B908" s="59">
        <v>41056.890057870369</v>
      </c>
      <c r="C908">
        <v>150000</v>
      </c>
      <c r="D908" t="s">
        <v>786</v>
      </c>
      <c r="E908">
        <f>tblSalaries[[#This Row],[clean Salary (in local currency)]]*VLOOKUP(tblSalaries[[#This Row],[Currency]],[1]!tblXrate[#Data],2,FALSE)</f>
        <v>150000</v>
      </c>
      <c r="F908" t="s">
        <v>792</v>
      </c>
      <c r="G908" t="s">
        <v>792</v>
      </c>
      <c r="H908" t="s">
        <v>15</v>
      </c>
      <c r="I908" t="str">
        <f>VLOOKUP(tblSalaries[[#This Row],[Where do you work]],[1]!tblCountries[[Actual]:[Mapping]],2,FALSE)</f>
        <v>USA</v>
      </c>
      <c r="J908" t="s">
        <v>789</v>
      </c>
      <c r="K908">
        <v>25</v>
      </c>
    </row>
    <row r="909" spans="1:11" x14ac:dyDescent="0.2">
      <c r="A909" t="s">
        <v>2425</v>
      </c>
      <c r="B909" s="59">
        <v>41056.892152777778</v>
      </c>
      <c r="C909">
        <v>700000</v>
      </c>
      <c r="D909" t="s">
        <v>824</v>
      </c>
      <c r="E909">
        <f>tblSalaries[[#This Row],[clean Salary (in local currency)]]*VLOOKUP(tblSalaries[[#This Row],[Currency]],[1]!tblXrate[#Data],2,FALSE)</f>
        <v>12465.541681209797</v>
      </c>
      <c r="F909" t="s">
        <v>2426</v>
      </c>
      <c r="G909" t="s">
        <v>807</v>
      </c>
      <c r="H909" t="s">
        <v>117</v>
      </c>
      <c r="I909" t="str">
        <f>VLOOKUP(tblSalaries[[#This Row],[Where do you work]],[1]!tblCountries[[Actual]:[Mapping]],2,FALSE)</f>
        <v>India</v>
      </c>
      <c r="J909" t="s">
        <v>789</v>
      </c>
      <c r="K909">
        <v>3</v>
      </c>
    </row>
    <row r="910" spans="1:11" x14ac:dyDescent="0.2">
      <c r="A910" t="s">
        <v>2427</v>
      </c>
      <c r="B910" s="59">
        <v>41056.906006944446</v>
      </c>
      <c r="C910">
        <v>15000</v>
      </c>
      <c r="D910" t="s">
        <v>805</v>
      </c>
      <c r="E910">
        <f>tblSalaries[[#This Row],[clean Salary (in local currency)]]*VLOOKUP(tblSalaries[[#This Row],[Currency]],[1]!tblXrate[#Data],2,FALSE)</f>
        <v>19055.991584874118</v>
      </c>
      <c r="F910" t="s">
        <v>2428</v>
      </c>
      <c r="G910" t="s">
        <v>788</v>
      </c>
      <c r="H910" t="s">
        <v>287</v>
      </c>
      <c r="I910" t="str">
        <f>VLOOKUP(tblSalaries[[#This Row],[Where do you work]],[1]!tblCountries[[Actual]:[Mapping]],2,FALSE)</f>
        <v>Slovenia</v>
      </c>
      <c r="J910" t="s">
        <v>789</v>
      </c>
      <c r="K910">
        <v>4</v>
      </c>
    </row>
    <row r="911" spans="1:11" x14ac:dyDescent="0.2">
      <c r="A911" t="s">
        <v>2429</v>
      </c>
      <c r="B911" s="59">
        <v>41056.90966435185</v>
      </c>
      <c r="C911">
        <v>105000</v>
      </c>
      <c r="D911" t="s">
        <v>786</v>
      </c>
      <c r="E911">
        <f>tblSalaries[[#This Row],[clean Salary (in local currency)]]*VLOOKUP(tblSalaries[[#This Row],[Currency]],[1]!tblXrate[#Data],2,FALSE)</f>
        <v>105000</v>
      </c>
      <c r="F911" t="s">
        <v>827</v>
      </c>
      <c r="G911" t="s">
        <v>788</v>
      </c>
      <c r="H911" t="s">
        <v>15</v>
      </c>
      <c r="I911" t="str">
        <f>VLOOKUP(tblSalaries[[#This Row],[Where do you work]],[1]!tblCountries[[Actual]:[Mapping]],2,FALSE)</f>
        <v>USA</v>
      </c>
      <c r="J911" t="s">
        <v>789</v>
      </c>
      <c r="K911">
        <v>20</v>
      </c>
    </row>
    <row r="912" spans="1:11" x14ac:dyDescent="0.2">
      <c r="A912" t="s">
        <v>2430</v>
      </c>
      <c r="B912" s="59">
        <v>41056.920312499999</v>
      </c>
      <c r="C912">
        <v>24000</v>
      </c>
      <c r="D912" t="s">
        <v>786</v>
      </c>
      <c r="E912">
        <f>tblSalaries[[#This Row],[clean Salary (in local currency)]]*VLOOKUP(tblSalaries[[#This Row],[Currency]],[1]!tblXrate[#Data],2,FALSE)</f>
        <v>24000</v>
      </c>
      <c r="F912" t="s">
        <v>827</v>
      </c>
      <c r="G912" t="s">
        <v>788</v>
      </c>
      <c r="H912" t="s">
        <v>117</v>
      </c>
      <c r="I912" t="str">
        <f>VLOOKUP(tblSalaries[[#This Row],[Where do you work]],[1]!tblCountries[[Actual]:[Mapping]],2,FALSE)</f>
        <v>India</v>
      </c>
      <c r="J912" t="s">
        <v>789</v>
      </c>
      <c r="K912">
        <v>3</v>
      </c>
    </row>
    <row r="913" spans="1:11" x14ac:dyDescent="0.2">
      <c r="A913" t="s">
        <v>2431</v>
      </c>
      <c r="B913" s="59">
        <v>41056.931956018518</v>
      </c>
      <c r="C913">
        <v>50000</v>
      </c>
      <c r="D913" t="s">
        <v>861</v>
      </c>
      <c r="E913">
        <f>tblSalaries[[#This Row],[clean Salary (in local currency)]]*VLOOKUP(tblSalaries[[#This Row],[Currency]],[1]!tblXrate[#Data],2,FALSE)</f>
        <v>78808.913603364199</v>
      </c>
      <c r="F913" t="s">
        <v>2432</v>
      </c>
      <c r="G913" t="s">
        <v>788</v>
      </c>
      <c r="H913" t="s">
        <v>863</v>
      </c>
      <c r="I913" t="str">
        <f>VLOOKUP(tblSalaries[[#This Row],[Where do you work]],[1]!tblCountries[[Actual]:[Mapping]],2,FALSE)</f>
        <v>UK</v>
      </c>
      <c r="J913" t="s">
        <v>794</v>
      </c>
      <c r="K913">
        <v>10</v>
      </c>
    </row>
    <row r="914" spans="1:11" x14ac:dyDescent="0.2">
      <c r="A914" t="s">
        <v>2433</v>
      </c>
      <c r="B914" s="59">
        <v>41056.94122685185</v>
      </c>
      <c r="C914">
        <v>42000</v>
      </c>
      <c r="D914" t="s">
        <v>786</v>
      </c>
      <c r="E914">
        <f>tblSalaries[[#This Row],[clean Salary (in local currency)]]*VLOOKUP(tblSalaries[[#This Row],[Currency]],[1]!tblXrate[#Data],2,FALSE)</f>
        <v>42000</v>
      </c>
      <c r="F914" t="s">
        <v>2434</v>
      </c>
      <c r="G914" t="s">
        <v>792</v>
      </c>
      <c r="H914" t="s">
        <v>749</v>
      </c>
      <c r="I914" t="str">
        <f>VLOOKUP(tblSalaries[[#This Row],[Where do you work]],[1]!tblCountries[[Actual]:[Mapping]],2,FALSE)</f>
        <v>Saudi Arabia</v>
      </c>
      <c r="J914" t="s">
        <v>794</v>
      </c>
      <c r="K914">
        <v>15</v>
      </c>
    </row>
    <row r="915" spans="1:11" x14ac:dyDescent="0.2">
      <c r="A915" t="s">
        <v>2435</v>
      </c>
      <c r="B915" s="59">
        <v>41056.944884259261</v>
      </c>
      <c r="C915">
        <v>19200</v>
      </c>
      <c r="D915" t="s">
        <v>2248</v>
      </c>
      <c r="E915">
        <f>tblSalaries[[#This Row],[clean Salary (in local currency)]]*VLOOKUP(tblSalaries[[#This Row],[Currency]],[1]!tblXrate[#Data],2,FALSE)</f>
        <v>9490.1984044603923</v>
      </c>
      <c r="F915" t="s">
        <v>2436</v>
      </c>
      <c r="G915" t="s">
        <v>788</v>
      </c>
      <c r="H915" t="s">
        <v>54</v>
      </c>
      <c r="I915" t="str">
        <f>VLOOKUP(tblSalaries[[#This Row],[Where do you work]],[1]!tblCountries[[Actual]:[Mapping]],2,FALSE)</f>
        <v>Brazil</v>
      </c>
      <c r="J915" t="s">
        <v>794</v>
      </c>
      <c r="K915">
        <v>8</v>
      </c>
    </row>
    <row r="916" spans="1:11" x14ac:dyDescent="0.2">
      <c r="A916" t="s">
        <v>2437</v>
      </c>
      <c r="B916" s="59">
        <v>41056.957395833335</v>
      </c>
      <c r="C916">
        <v>60000</v>
      </c>
      <c r="D916" t="s">
        <v>786</v>
      </c>
      <c r="E916">
        <f>tblSalaries[[#This Row],[clean Salary (in local currency)]]*VLOOKUP(tblSalaries[[#This Row],[Currency]],[1]!tblXrate[#Data],2,FALSE)</f>
        <v>60000</v>
      </c>
      <c r="F916" t="s">
        <v>867</v>
      </c>
      <c r="G916" t="s">
        <v>867</v>
      </c>
      <c r="H916" t="s">
        <v>283</v>
      </c>
      <c r="I916" t="str">
        <f>VLOOKUP(tblSalaries[[#This Row],[Where do you work]],[1]!tblCountries[[Actual]:[Mapping]],2,FALSE)</f>
        <v>Singapore</v>
      </c>
      <c r="J916" t="s">
        <v>789</v>
      </c>
      <c r="K916">
        <v>5</v>
      </c>
    </row>
    <row r="917" spans="1:11" x14ac:dyDescent="0.2">
      <c r="A917" t="s">
        <v>2438</v>
      </c>
      <c r="B917" s="59">
        <v>41056.960659722223</v>
      </c>
      <c r="C917">
        <v>1000000</v>
      </c>
      <c r="D917" t="s">
        <v>824</v>
      </c>
      <c r="E917">
        <f>tblSalaries[[#This Row],[clean Salary (in local currency)]]*VLOOKUP(tblSalaries[[#This Row],[Currency]],[1]!tblXrate[#Data],2,FALSE)</f>
        <v>17807.916687442568</v>
      </c>
      <c r="F917" t="s">
        <v>2439</v>
      </c>
      <c r="G917" t="s">
        <v>807</v>
      </c>
      <c r="H917" t="s">
        <v>117</v>
      </c>
      <c r="I917" t="str">
        <f>VLOOKUP(tblSalaries[[#This Row],[Where do you work]],[1]!tblCountries[[Actual]:[Mapping]],2,FALSE)</f>
        <v>India</v>
      </c>
      <c r="J917" t="s">
        <v>794</v>
      </c>
      <c r="K917">
        <v>8</v>
      </c>
    </row>
    <row r="918" spans="1:11" x14ac:dyDescent="0.2">
      <c r="A918" t="s">
        <v>2440</v>
      </c>
      <c r="B918" s="59">
        <v>41056.965289351851</v>
      </c>
      <c r="C918">
        <v>700000</v>
      </c>
      <c r="D918" t="s">
        <v>824</v>
      </c>
      <c r="E918">
        <f>tblSalaries[[#This Row],[clean Salary (in local currency)]]*VLOOKUP(tblSalaries[[#This Row],[Currency]],[1]!tblXrate[#Data],2,FALSE)</f>
        <v>12465.541681209797</v>
      </c>
      <c r="F918" t="s">
        <v>1070</v>
      </c>
      <c r="G918" t="s">
        <v>788</v>
      </c>
      <c r="H918" t="s">
        <v>117</v>
      </c>
      <c r="I918" t="str">
        <f>VLOOKUP(tblSalaries[[#This Row],[Where do you work]],[1]!tblCountries[[Actual]:[Mapping]],2,FALSE)</f>
        <v>India</v>
      </c>
      <c r="J918" t="s">
        <v>794</v>
      </c>
      <c r="K918">
        <v>1</v>
      </c>
    </row>
    <row r="919" spans="1:11" x14ac:dyDescent="0.2">
      <c r="A919" t="s">
        <v>2441</v>
      </c>
      <c r="B919" s="59">
        <v>41056.980902777781</v>
      </c>
      <c r="C919">
        <v>20571</v>
      </c>
      <c r="D919" t="s">
        <v>786</v>
      </c>
      <c r="E919">
        <f>tblSalaries[[#This Row],[clean Salary (in local currency)]]*VLOOKUP(tblSalaries[[#This Row],[Currency]],[1]!tblXrate[#Data],2,FALSE)</f>
        <v>20571</v>
      </c>
      <c r="F919" t="s">
        <v>812</v>
      </c>
      <c r="G919" t="s">
        <v>813</v>
      </c>
      <c r="H919" t="s">
        <v>11</v>
      </c>
      <c r="I919" t="str">
        <f>VLOOKUP(tblSalaries[[#This Row],[Where do you work]],[1]!tblCountries[[Actual]:[Mapping]],2,FALSE)</f>
        <v>Albania</v>
      </c>
      <c r="J919" t="s">
        <v>789</v>
      </c>
      <c r="K919">
        <v>8</v>
      </c>
    </row>
    <row r="920" spans="1:11" x14ac:dyDescent="0.2">
      <c r="A920" t="s">
        <v>2442</v>
      </c>
      <c r="B920" s="59">
        <v>41056.988437499997</v>
      </c>
      <c r="C920">
        <v>3480</v>
      </c>
      <c r="D920" t="s">
        <v>786</v>
      </c>
      <c r="E920">
        <f>tblSalaries[[#This Row],[clean Salary (in local currency)]]*VLOOKUP(tblSalaries[[#This Row],[Currency]],[1]!tblXrate[#Data],2,FALSE)</f>
        <v>3480</v>
      </c>
      <c r="F920" t="s">
        <v>2443</v>
      </c>
      <c r="G920" t="s">
        <v>807</v>
      </c>
      <c r="H920" t="s">
        <v>240</v>
      </c>
      <c r="I920" t="str">
        <f>VLOOKUP(tblSalaries[[#This Row],[Where do you work]],[1]!tblCountries[[Actual]:[Mapping]],2,FALSE)</f>
        <v>Pakistan</v>
      </c>
      <c r="J920" t="s">
        <v>794</v>
      </c>
      <c r="K920">
        <v>6</v>
      </c>
    </row>
    <row r="921" spans="1:11" x14ac:dyDescent="0.2">
      <c r="A921" t="s">
        <v>2444</v>
      </c>
      <c r="B921" s="59">
        <v>41056.990312499998</v>
      </c>
      <c r="C921">
        <v>18060</v>
      </c>
      <c r="D921" t="s">
        <v>786</v>
      </c>
      <c r="E921">
        <f>tblSalaries[[#This Row],[clean Salary (in local currency)]]*VLOOKUP(tblSalaries[[#This Row],[Currency]],[1]!tblXrate[#Data],2,FALSE)</f>
        <v>18060</v>
      </c>
      <c r="F921" t="s">
        <v>2445</v>
      </c>
      <c r="G921" t="s">
        <v>836</v>
      </c>
      <c r="H921" t="s">
        <v>252</v>
      </c>
      <c r="I921" t="str">
        <f>VLOOKUP(tblSalaries[[#This Row],[Where do you work]],[1]!tblCountries[[Actual]:[Mapping]],2,FALSE)</f>
        <v>Philippines</v>
      </c>
      <c r="J921" t="s">
        <v>789</v>
      </c>
      <c r="K921">
        <v>12</v>
      </c>
    </row>
    <row r="922" spans="1:11" x14ac:dyDescent="0.2">
      <c r="A922" t="s">
        <v>2446</v>
      </c>
      <c r="B922" s="59">
        <v>41056.991261574076</v>
      </c>
      <c r="C922">
        <v>30000</v>
      </c>
      <c r="D922" t="s">
        <v>786</v>
      </c>
      <c r="E922">
        <f>tblSalaries[[#This Row],[clean Salary (in local currency)]]*VLOOKUP(tblSalaries[[#This Row],[Currency]],[1]!tblXrate[#Data],2,FALSE)</f>
        <v>30000</v>
      </c>
      <c r="F922" t="s">
        <v>2447</v>
      </c>
      <c r="G922" t="s">
        <v>817</v>
      </c>
      <c r="H922" t="s">
        <v>123</v>
      </c>
      <c r="I922" t="str">
        <f>VLOOKUP(tblSalaries[[#This Row],[Where do you work]],[1]!tblCountries[[Actual]:[Mapping]],2,FALSE)</f>
        <v>iran</v>
      </c>
      <c r="J922" t="s">
        <v>799</v>
      </c>
      <c r="K922">
        <v>30</v>
      </c>
    </row>
    <row r="923" spans="1:11" x14ac:dyDescent="0.2">
      <c r="A923" t="s">
        <v>2448</v>
      </c>
      <c r="B923" s="59">
        <v>41056.995000000003</v>
      </c>
      <c r="C923">
        <v>24000</v>
      </c>
      <c r="D923" t="s">
        <v>786</v>
      </c>
      <c r="E923">
        <f>tblSalaries[[#This Row],[clean Salary (in local currency)]]*VLOOKUP(tblSalaries[[#This Row],[Currency]],[1]!tblXrate[#Data],2,FALSE)</f>
        <v>24000</v>
      </c>
      <c r="F923" t="s">
        <v>2449</v>
      </c>
      <c r="G923" t="s">
        <v>807</v>
      </c>
      <c r="H923" t="s">
        <v>117</v>
      </c>
      <c r="I923" t="str">
        <f>VLOOKUP(tblSalaries[[#This Row],[Where do you work]],[1]!tblCountries[[Actual]:[Mapping]],2,FALSE)</f>
        <v>India</v>
      </c>
      <c r="J923" t="s">
        <v>789</v>
      </c>
      <c r="K923">
        <v>10</v>
      </c>
    </row>
    <row r="924" spans="1:11" x14ac:dyDescent="0.2">
      <c r="A924" t="s">
        <v>2450</v>
      </c>
      <c r="B924" s="59">
        <v>41057.00744212963</v>
      </c>
      <c r="C924">
        <v>63200</v>
      </c>
      <c r="D924" t="s">
        <v>805</v>
      </c>
      <c r="E924">
        <f>tblSalaries[[#This Row],[clean Salary (in local currency)]]*VLOOKUP(tblSalaries[[#This Row],[Currency]],[1]!tblXrate[#Data],2,FALSE)</f>
        <v>80289.244544269619</v>
      </c>
      <c r="F924" t="s">
        <v>867</v>
      </c>
      <c r="G924" t="s">
        <v>867</v>
      </c>
      <c r="H924" t="s">
        <v>92</v>
      </c>
      <c r="I924" t="str">
        <f>VLOOKUP(tblSalaries[[#This Row],[Where do you work]],[1]!tblCountries[[Actual]:[Mapping]],2,FALSE)</f>
        <v>France</v>
      </c>
      <c r="J924" t="s">
        <v>789</v>
      </c>
      <c r="K924">
        <v>3</v>
      </c>
    </row>
    <row r="925" spans="1:11" x14ac:dyDescent="0.2">
      <c r="A925" t="s">
        <v>2451</v>
      </c>
      <c r="B925" s="59">
        <v>41057.012106481481</v>
      </c>
      <c r="C925">
        <v>70000</v>
      </c>
      <c r="D925" t="s">
        <v>786</v>
      </c>
      <c r="E925">
        <f>tblSalaries[[#This Row],[clean Salary (in local currency)]]*VLOOKUP(tblSalaries[[#This Row],[Currency]],[1]!tblXrate[#Data],2,FALSE)</f>
        <v>70000</v>
      </c>
      <c r="F925" t="s">
        <v>2452</v>
      </c>
      <c r="G925" t="s">
        <v>807</v>
      </c>
      <c r="H925" t="s">
        <v>15</v>
      </c>
      <c r="I925" t="str">
        <f>VLOOKUP(tblSalaries[[#This Row],[Where do you work]],[1]!tblCountries[[Actual]:[Mapping]],2,FALSE)</f>
        <v>USA</v>
      </c>
      <c r="J925" t="s">
        <v>789</v>
      </c>
      <c r="K925">
        <v>4</v>
      </c>
    </row>
    <row r="926" spans="1:11" x14ac:dyDescent="0.2">
      <c r="A926" t="s">
        <v>2453</v>
      </c>
      <c r="B926" s="59">
        <v>41057.020092592589</v>
      </c>
      <c r="C926">
        <v>480000</v>
      </c>
      <c r="D926" t="s">
        <v>824</v>
      </c>
      <c r="E926">
        <f>tblSalaries[[#This Row],[clean Salary (in local currency)]]*VLOOKUP(tblSalaries[[#This Row],[Currency]],[1]!tblXrate[#Data],2,FALSE)</f>
        <v>8547.8000099724322</v>
      </c>
      <c r="F926" t="s">
        <v>807</v>
      </c>
      <c r="G926" t="s">
        <v>807</v>
      </c>
      <c r="H926" t="s">
        <v>117</v>
      </c>
      <c r="I926" t="str">
        <f>VLOOKUP(tblSalaries[[#This Row],[Where do you work]],[1]!tblCountries[[Actual]:[Mapping]],2,FALSE)</f>
        <v>India</v>
      </c>
      <c r="J926" t="s">
        <v>799</v>
      </c>
      <c r="K926">
        <v>2</v>
      </c>
    </row>
    <row r="927" spans="1:11" x14ac:dyDescent="0.2">
      <c r="A927" t="s">
        <v>2454</v>
      </c>
      <c r="B927" s="59">
        <v>41057.025231481479</v>
      </c>
      <c r="C927">
        <v>600000</v>
      </c>
      <c r="D927" t="s">
        <v>824</v>
      </c>
      <c r="E927">
        <f>tblSalaries[[#This Row],[clean Salary (in local currency)]]*VLOOKUP(tblSalaries[[#This Row],[Currency]],[1]!tblXrate[#Data],2,FALSE)</f>
        <v>10684.750012465542</v>
      </c>
      <c r="F927" t="s">
        <v>2455</v>
      </c>
      <c r="G927" t="s">
        <v>788</v>
      </c>
      <c r="H927" t="s">
        <v>117</v>
      </c>
      <c r="I927" t="str">
        <f>VLOOKUP(tblSalaries[[#This Row],[Where do you work]],[1]!tblCountries[[Actual]:[Mapping]],2,FALSE)</f>
        <v>India</v>
      </c>
      <c r="J927" t="s">
        <v>789</v>
      </c>
      <c r="K927">
        <v>11</v>
      </c>
    </row>
    <row r="928" spans="1:11" x14ac:dyDescent="0.2">
      <c r="A928" t="s">
        <v>2456</v>
      </c>
      <c r="B928" s="59">
        <v>41057.030324074076</v>
      </c>
      <c r="C928">
        <v>600000</v>
      </c>
      <c r="D928" t="s">
        <v>824</v>
      </c>
      <c r="E928">
        <f>tblSalaries[[#This Row],[clean Salary (in local currency)]]*VLOOKUP(tblSalaries[[#This Row],[Currency]],[1]!tblXrate[#Data],2,FALSE)</f>
        <v>10684.750012465542</v>
      </c>
      <c r="F928" t="s">
        <v>1960</v>
      </c>
      <c r="G928" t="s">
        <v>788</v>
      </c>
      <c r="H928" t="s">
        <v>117</v>
      </c>
      <c r="I928" t="str">
        <f>VLOOKUP(tblSalaries[[#This Row],[Where do you work]],[1]!tblCountries[[Actual]:[Mapping]],2,FALSE)</f>
        <v>India</v>
      </c>
      <c r="J928" t="s">
        <v>799</v>
      </c>
      <c r="K928">
        <v>4</v>
      </c>
    </row>
    <row r="929" spans="1:11" x14ac:dyDescent="0.2">
      <c r="A929" t="s">
        <v>2457</v>
      </c>
      <c r="B929" s="59">
        <v>41057.033599537041</v>
      </c>
      <c r="C929">
        <v>20000</v>
      </c>
      <c r="D929" t="s">
        <v>786</v>
      </c>
      <c r="E929">
        <f>tblSalaries[[#This Row],[clean Salary (in local currency)]]*VLOOKUP(tblSalaries[[#This Row],[Currency]],[1]!tblXrate[#Data],2,FALSE)</f>
        <v>20000</v>
      </c>
      <c r="F929" t="s">
        <v>2396</v>
      </c>
      <c r="G929" t="s">
        <v>817</v>
      </c>
      <c r="H929" t="s">
        <v>265</v>
      </c>
      <c r="I929" t="str">
        <f>VLOOKUP(tblSalaries[[#This Row],[Where do you work]],[1]!tblCountries[[Actual]:[Mapping]],2,FALSE)</f>
        <v>Zambia</v>
      </c>
      <c r="J929" t="s">
        <v>794</v>
      </c>
      <c r="K929">
        <v>2</v>
      </c>
    </row>
    <row r="930" spans="1:11" x14ac:dyDescent="0.2">
      <c r="A930" t="s">
        <v>2458</v>
      </c>
      <c r="B930" s="59">
        <v>41057.053668981483</v>
      </c>
      <c r="C930">
        <v>42000</v>
      </c>
      <c r="D930" t="s">
        <v>805</v>
      </c>
      <c r="E930">
        <f>tblSalaries[[#This Row],[clean Salary (in local currency)]]*VLOOKUP(tblSalaries[[#This Row],[Currency]],[1]!tblXrate[#Data],2,FALSE)</f>
        <v>53356.776437647524</v>
      </c>
      <c r="F930" t="s">
        <v>867</v>
      </c>
      <c r="G930" t="s">
        <v>867</v>
      </c>
      <c r="H930" t="s">
        <v>72</v>
      </c>
      <c r="I930" t="str">
        <f>VLOOKUP(tblSalaries[[#This Row],[Where do you work]],[1]!tblCountries[[Actual]:[Mapping]],2,FALSE)</f>
        <v>Germany</v>
      </c>
      <c r="J930" t="s">
        <v>799</v>
      </c>
      <c r="K930">
        <v>3</v>
      </c>
    </row>
    <row r="931" spans="1:11" x14ac:dyDescent="0.2">
      <c r="A931" t="s">
        <v>2459</v>
      </c>
      <c r="B931" s="59">
        <v>41057.062025462961</v>
      </c>
      <c r="C931">
        <v>36000</v>
      </c>
      <c r="D931" t="s">
        <v>786</v>
      </c>
      <c r="E931">
        <f>tblSalaries[[#This Row],[clean Salary (in local currency)]]*VLOOKUP(tblSalaries[[#This Row],[Currency]],[1]!tblXrate[#Data],2,FALSE)</f>
        <v>36000</v>
      </c>
      <c r="F931" t="s">
        <v>817</v>
      </c>
      <c r="G931" t="s">
        <v>817</v>
      </c>
      <c r="H931" t="s">
        <v>341</v>
      </c>
      <c r="I931" t="str">
        <f>VLOOKUP(tblSalaries[[#This Row],[Where do you work]],[1]!tblCountries[[Actual]:[Mapping]],2,FALSE)</f>
        <v>UAE</v>
      </c>
      <c r="J931" t="s">
        <v>789</v>
      </c>
      <c r="K931">
        <v>4.5</v>
      </c>
    </row>
    <row r="932" spans="1:11" x14ac:dyDescent="0.2">
      <c r="A932" t="s">
        <v>2460</v>
      </c>
      <c r="B932" s="59">
        <v>41057.062835648147</v>
      </c>
      <c r="C932">
        <v>57000</v>
      </c>
      <c r="D932" t="s">
        <v>786</v>
      </c>
      <c r="E932">
        <f>tblSalaries[[#This Row],[clean Salary (in local currency)]]*VLOOKUP(tblSalaries[[#This Row],[Currency]],[1]!tblXrate[#Data],2,FALSE)</f>
        <v>57000</v>
      </c>
      <c r="F932" t="s">
        <v>2461</v>
      </c>
      <c r="G932" t="s">
        <v>802</v>
      </c>
      <c r="H932" t="s">
        <v>15</v>
      </c>
      <c r="I932" t="str">
        <f>VLOOKUP(tblSalaries[[#This Row],[Where do you work]],[1]!tblCountries[[Actual]:[Mapping]],2,FALSE)</f>
        <v>USA</v>
      </c>
      <c r="J932" t="s">
        <v>799</v>
      </c>
      <c r="K932">
        <v>4</v>
      </c>
    </row>
    <row r="933" spans="1:11" x14ac:dyDescent="0.2">
      <c r="A933" t="s">
        <v>2462</v>
      </c>
      <c r="B933" s="59">
        <v>41057.074641203704</v>
      </c>
      <c r="C933">
        <v>135000</v>
      </c>
      <c r="D933" t="s">
        <v>786</v>
      </c>
      <c r="E933">
        <f>tblSalaries[[#This Row],[clean Salary (in local currency)]]*VLOOKUP(tblSalaries[[#This Row],[Currency]],[1]!tblXrate[#Data],2,FALSE)</f>
        <v>135000</v>
      </c>
      <c r="F933" t="s">
        <v>2463</v>
      </c>
      <c r="G933" t="s">
        <v>807</v>
      </c>
      <c r="H933" t="s">
        <v>15</v>
      </c>
      <c r="I933" t="str">
        <f>VLOOKUP(tblSalaries[[#This Row],[Where do you work]],[1]!tblCountries[[Actual]:[Mapping]],2,FALSE)</f>
        <v>USA</v>
      </c>
      <c r="J933" t="s">
        <v>794</v>
      </c>
      <c r="K933">
        <v>15</v>
      </c>
    </row>
    <row r="934" spans="1:11" x14ac:dyDescent="0.2">
      <c r="A934" t="s">
        <v>2464</v>
      </c>
      <c r="B934" s="59">
        <v>41057.100844907407</v>
      </c>
      <c r="C934">
        <v>75000</v>
      </c>
      <c r="D934" t="s">
        <v>805</v>
      </c>
      <c r="E934">
        <f>tblSalaries[[#This Row],[clean Salary (in local currency)]]*VLOOKUP(tblSalaries[[#This Row],[Currency]],[1]!tblXrate[#Data],2,FALSE)</f>
        <v>95279.957924370581</v>
      </c>
      <c r="F934" t="s">
        <v>2465</v>
      </c>
      <c r="G934" t="s">
        <v>788</v>
      </c>
      <c r="H934" t="s">
        <v>228</v>
      </c>
      <c r="I934" t="str">
        <f>VLOOKUP(tblSalaries[[#This Row],[Where do you work]],[1]!tblCountries[[Actual]:[Mapping]],2,FALSE)</f>
        <v>Netherlands</v>
      </c>
      <c r="J934" t="s">
        <v>789</v>
      </c>
      <c r="K934">
        <v>4</v>
      </c>
    </row>
    <row r="935" spans="1:11" x14ac:dyDescent="0.2">
      <c r="A935" t="s">
        <v>2466</v>
      </c>
      <c r="B935" s="59">
        <v>41057.148773148147</v>
      </c>
      <c r="C935">
        <v>45000</v>
      </c>
      <c r="D935" t="s">
        <v>805</v>
      </c>
      <c r="E935">
        <f>tblSalaries[[#This Row],[clean Salary (in local currency)]]*VLOOKUP(tblSalaries[[#This Row],[Currency]],[1]!tblXrate[#Data],2,FALSE)</f>
        <v>57167.974754622352</v>
      </c>
      <c r="F935" t="s">
        <v>2467</v>
      </c>
      <c r="G935" t="s">
        <v>788</v>
      </c>
      <c r="H935" t="s">
        <v>2468</v>
      </c>
      <c r="I935" t="str">
        <f>VLOOKUP(tblSalaries[[#This Row],[Where do you work]],[1]!tblCountries[[Actual]:[Mapping]],2,FALSE)</f>
        <v>Netherlands</v>
      </c>
      <c r="J935" t="s">
        <v>799</v>
      </c>
      <c r="K935">
        <v>10</v>
      </c>
    </row>
    <row r="936" spans="1:11" x14ac:dyDescent="0.2">
      <c r="A936" t="s">
        <v>2469</v>
      </c>
      <c r="B936" s="59">
        <v>41057.155555555553</v>
      </c>
      <c r="C936">
        <v>2000000</v>
      </c>
      <c r="D936" t="s">
        <v>2139</v>
      </c>
      <c r="E936">
        <f>tblSalaries[[#This Row],[clean Salary (in local currency)]]*VLOOKUP(tblSalaries[[#This Row],[Currency]],[1]!tblXrate[#Data],2,FALSE)</f>
        <v>12326.656394453004</v>
      </c>
      <c r="F936" t="s">
        <v>2470</v>
      </c>
      <c r="G936" t="s">
        <v>807</v>
      </c>
      <c r="H936" t="s">
        <v>231</v>
      </c>
      <c r="I936" t="str">
        <f>VLOOKUP(tblSalaries[[#This Row],[Where do you work]],[1]!tblCountries[[Actual]:[Mapping]],2,FALSE)</f>
        <v>Nigeria</v>
      </c>
      <c r="J936" t="s">
        <v>789</v>
      </c>
      <c r="K936">
        <v>5</v>
      </c>
    </row>
    <row r="937" spans="1:11" x14ac:dyDescent="0.2">
      <c r="A937" t="s">
        <v>2471</v>
      </c>
      <c r="B937" s="59">
        <v>41057.170300925929</v>
      </c>
      <c r="C937">
        <v>8000</v>
      </c>
      <c r="D937" t="s">
        <v>786</v>
      </c>
      <c r="E937">
        <f>tblSalaries[[#This Row],[clean Salary (in local currency)]]*VLOOKUP(tblSalaries[[#This Row],[Currency]],[1]!tblXrate[#Data],2,FALSE)</f>
        <v>8000</v>
      </c>
      <c r="F937" t="s">
        <v>1008</v>
      </c>
      <c r="G937" t="s">
        <v>788</v>
      </c>
      <c r="H937" t="s">
        <v>117</v>
      </c>
      <c r="I937" t="str">
        <f>VLOOKUP(tblSalaries[[#This Row],[Where do you work]],[1]!tblCountries[[Actual]:[Mapping]],2,FALSE)</f>
        <v>India</v>
      </c>
      <c r="J937" t="s">
        <v>808</v>
      </c>
      <c r="K937">
        <v>5</v>
      </c>
    </row>
    <row r="938" spans="1:11" x14ac:dyDescent="0.2">
      <c r="A938" t="s">
        <v>2472</v>
      </c>
      <c r="B938" s="59">
        <v>41057.194918981484</v>
      </c>
      <c r="C938">
        <v>48000</v>
      </c>
      <c r="D938" t="s">
        <v>786</v>
      </c>
      <c r="E938">
        <f>tblSalaries[[#This Row],[clean Salary (in local currency)]]*VLOOKUP(tblSalaries[[#This Row],[Currency]],[1]!tblXrate[#Data],2,FALSE)</f>
        <v>48000</v>
      </c>
      <c r="F938" t="s">
        <v>2473</v>
      </c>
      <c r="G938" t="s">
        <v>807</v>
      </c>
      <c r="H938" t="s">
        <v>92</v>
      </c>
      <c r="I938" t="str">
        <f>VLOOKUP(tblSalaries[[#This Row],[Where do you work]],[1]!tblCountries[[Actual]:[Mapping]],2,FALSE)</f>
        <v>France</v>
      </c>
      <c r="J938" t="s">
        <v>789</v>
      </c>
      <c r="K938">
        <v>5</v>
      </c>
    </row>
    <row r="939" spans="1:11" x14ac:dyDescent="0.2">
      <c r="A939" t="s">
        <v>2474</v>
      </c>
      <c r="B939" s="59">
        <v>41057.213703703703</v>
      </c>
      <c r="C939">
        <v>40000</v>
      </c>
      <c r="D939" t="s">
        <v>786</v>
      </c>
      <c r="E939">
        <f>tblSalaries[[#This Row],[clean Salary (in local currency)]]*VLOOKUP(tblSalaries[[#This Row],[Currency]],[1]!tblXrate[#Data],2,FALSE)</f>
        <v>40000</v>
      </c>
      <c r="F939" t="s">
        <v>1158</v>
      </c>
      <c r="G939" t="s">
        <v>788</v>
      </c>
      <c r="H939" t="s">
        <v>2475</v>
      </c>
      <c r="I939" t="str">
        <f>VLOOKUP(tblSalaries[[#This Row],[Where do you work]],[1]!tblCountries[[Actual]:[Mapping]],2,FALSE)</f>
        <v>New Zealand</v>
      </c>
      <c r="J939" t="s">
        <v>789</v>
      </c>
      <c r="K939">
        <v>5</v>
      </c>
    </row>
    <row r="940" spans="1:11" x14ac:dyDescent="0.2">
      <c r="A940" t="s">
        <v>2476</v>
      </c>
      <c r="B940" s="59">
        <v>41057.214722222219</v>
      </c>
      <c r="C940">
        <v>75000</v>
      </c>
      <c r="D940" t="s">
        <v>1831</v>
      </c>
      <c r="E940">
        <f>tblSalaries[[#This Row],[clean Salary (in local currency)]]*VLOOKUP(tblSalaries[[#This Row],[Currency]],[1]!tblXrate[#Data],2,FALSE)</f>
        <v>59819.107020370408</v>
      </c>
      <c r="F940" t="s">
        <v>1390</v>
      </c>
      <c r="G940" t="s">
        <v>788</v>
      </c>
      <c r="H940" t="s">
        <v>2477</v>
      </c>
      <c r="I940" t="str">
        <f>VLOOKUP(tblSalaries[[#This Row],[Where do you work]],[1]!tblCountries[[Actual]:[Mapping]],2,FALSE)</f>
        <v>New Zealand</v>
      </c>
      <c r="J940" t="s">
        <v>789</v>
      </c>
      <c r="K940">
        <v>10</v>
      </c>
    </row>
    <row r="941" spans="1:11" x14ac:dyDescent="0.2">
      <c r="A941" t="s">
        <v>2478</v>
      </c>
      <c r="B941" s="59">
        <v>41057.217106481483</v>
      </c>
      <c r="C941">
        <v>150000</v>
      </c>
      <c r="D941" t="s">
        <v>786</v>
      </c>
      <c r="E941">
        <f>tblSalaries[[#This Row],[clean Salary (in local currency)]]*VLOOKUP(tblSalaries[[#This Row],[Currency]],[1]!tblXrate[#Data],2,FALSE)</f>
        <v>150000</v>
      </c>
      <c r="F941" t="s">
        <v>2479</v>
      </c>
      <c r="G941" t="s">
        <v>788</v>
      </c>
      <c r="H941" t="s">
        <v>271</v>
      </c>
      <c r="I941" t="str">
        <f>VLOOKUP(tblSalaries[[#This Row],[Where do you work]],[1]!tblCountries[[Actual]:[Mapping]],2,FALSE)</f>
        <v>Switzerland</v>
      </c>
      <c r="J941" t="s">
        <v>808</v>
      </c>
      <c r="K941">
        <v>20</v>
      </c>
    </row>
    <row r="942" spans="1:11" x14ac:dyDescent="0.2">
      <c r="A942" t="s">
        <v>2480</v>
      </c>
      <c r="B942" s="59">
        <v>41057.222696759258</v>
      </c>
      <c r="C942">
        <v>80000</v>
      </c>
      <c r="D942" t="s">
        <v>877</v>
      </c>
      <c r="E942">
        <f>tblSalaries[[#This Row],[clean Salary (in local currency)]]*VLOOKUP(tblSalaries[[#This Row],[Currency]],[1]!tblXrate[#Data],2,FALSE)</f>
        <v>81592.772512210868</v>
      </c>
      <c r="F942" t="s">
        <v>2481</v>
      </c>
      <c r="G942" t="s">
        <v>807</v>
      </c>
      <c r="H942" t="s">
        <v>33</v>
      </c>
      <c r="I942" t="str">
        <f>VLOOKUP(tblSalaries[[#This Row],[Where do you work]],[1]!tblCountries[[Actual]:[Mapping]],2,FALSE)</f>
        <v>Australia</v>
      </c>
      <c r="J942" t="s">
        <v>789</v>
      </c>
      <c r="K942">
        <v>25</v>
      </c>
    </row>
    <row r="943" spans="1:11" x14ac:dyDescent="0.2">
      <c r="A943" t="s">
        <v>2482</v>
      </c>
      <c r="B943" s="59">
        <v>41057.242314814815</v>
      </c>
      <c r="C943">
        <v>95000</v>
      </c>
      <c r="D943" t="s">
        <v>877</v>
      </c>
      <c r="E943">
        <f>tblSalaries[[#This Row],[clean Salary (in local currency)]]*VLOOKUP(tblSalaries[[#This Row],[Currency]],[1]!tblXrate[#Data],2,FALSE)</f>
        <v>96891.417358250401</v>
      </c>
      <c r="F943" t="s">
        <v>996</v>
      </c>
      <c r="G943" t="s">
        <v>788</v>
      </c>
      <c r="H943" t="s">
        <v>33</v>
      </c>
      <c r="I943" t="str">
        <f>VLOOKUP(tblSalaries[[#This Row],[Where do you work]],[1]!tblCountries[[Actual]:[Mapping]],2,FALSE)</f>
        <v>Australia</v>
      </c>
      <c r="J943" t="s">
        <v>799</v>
      </c>
      <c r="K943">
        <v>20</v>
      </c>
    </row>
    <row r="944" spans="1:11" x14ac:dyDescent="0.2">
      <c r="A944" t="s">
        <v>2483</v>
      </c>
      <c r="B944" s="59">
        <v>41057.24386574074</v>
      </c>
      <c r="C944">
        <v>90000</v>
      </c>
      <c r="D944" t="s">
        <v>877</v>
      </c>
      <c r="E944">
        <f>tblSalaries[[#This Row],[clean Salary (in local currency)]]*VLOOKUP(tblSalaries[[#This Row],[Currency]],[1]!tblXrate[#Data],2,FALSE)</f>
        <v>91791.869076237213</v>
      </c>
      <c r="F944" t="s">
        <v>2220</v>
      </c>
      <c r="G944" t="s">
        <v>788</v>
      </c>
      <c r="H944" t="s">
        <v>33</v>
      </c>
      <c r="I944" t="str">
        <f>VLOOKUP(tblSalaries[[#This Row],[Where do you work]],[1]!tblCountries[[Actual]:[Mapping]],2,FALSE)</f>
        <v>Australia</v>
      </c>
      <c r="J944" t="s">
        <v>789</v>
      </c>
      <c r="K944">
        <v>13</v>
      </c>
    </row>
    <row r="945" spans="1:11" x14ac:dyDescent="0.2">
      <c r="A945" t="s">
        <v>2484</v>
      </c>
      <c r="B945" s="59">
        <v>41057.243981481479</v>
      </c>
      <c r="C945">
        <v>15000</v>
      </c>
      <c r="D945" t="s">
        <v>786</v>
      </c>
      <c r="E945">
        <f>tblSalaries[[#This Row],[clean Salary (in local currency)]]*VLOOKUP(tblSalaries[[#This Row],[Currency]],[1]!tblXrate[#Data],2,FALSE)</f>
        <v>15000</v>
      </c>
      <c r="F945" t="s">
        <v>2485</v>
      </c>
      <c r="G945" t="s">
        <v>788</v>
      </c>
      <c r="H945" t="s">
        <v>117</v>
      </c>
      <c r="I945" t="str">
        <f>VLOOKUP(tblSalaries[[#This Row],[Where do you work]],[1]!tblCountries[[Actual]:[Mapping]],2,FALSE)</f>
        <v>India</v>
      </c>
      <c r="J945" t="s">
        <v>799</v>
      </c>
      <c r="K945">
        <v>2</v>
      </c>
    </row>
    <row r="946" spans="1:11" x14ac:dyDescent="0.2">
      <c r="A946" t="s">
        <v>2486</v>
      </c>
      <c r="B946" s="59">
        <v>41057.267777777779</v>
      </c>
      <c r="C946">
        <v>65000</v>
      </c>
      <c r="D946" t="s">
        <v>877</v>
      </c>
      <c r="E946">
        <f>tblSalaries[[#This Row],[clean Salary (in local currency)]]*VLOOKUP(tblSalaries[[#This Row],[Currency]],[1]!tblXrate[#Data],2,FALSE)</f>
        <v>66294.12766617132</v>
      </c>
      <c r="F946" t="s">
        <v>2487</v>
      </c>
      <c r="G946" t="s">
        <v>807</v>
      </c>
      <c r="H946" t="s">
        <v>33</v>
      </c>
      <c r="I946" t="str">
        <f>VLOOKUP(tblSalaries[[#This Row],[Where do you work]],[1]!tblCountries[[Actual]:[Mapping]],2,FALSE)</f>
        <v>Australia</v>
      </c>
      <c r="J946" t="s">
        <v>799</v>
      </c>
      <c r="K946">
        <v>5</v>
      </c>
    </row>
    <row r="947" spans="1:11" x14ac:dyDescent="0.2">
      <c r="A947" t="s">
        <v>2488</v>
      </c>
      <c r="B947" s="59">
        <v>41057.274884259263</v>
      </c>
      <c r="C947">
        <v>100000</v>
      </c>
      <c r="D947" t="s">
        <v>877</v>
      </c>
      <c r="E947">
        <f>tblSalaries[[#This Row],[clean Salary (in local currency)]]*VLOOKUP(tblSalaries[[#This Row],[Currency]],[1]!tblXrate[#Data],2,FALSE)</f>
        <v>101990.96564026357</v>
      </c>
      <c r="F947" t="s">
        <v>866</v>
      </c>
      <c r="G947" t="s">
        <v>867</v>
      </c>
      <c r="H947" t="s">
        <v>33</v>
      </c>
      <c r="I947" t="str">
        <f>VLOOKUP(tblSalaries[[#This Row],[Where do you work]],[1]!tblCountries[[Actual]:[Mapping]],2,FALSE)</f>
        <v>Australia</v>
      </c>
      <c r="J947" t="s">
        <v>794</v>
      </c>
      <c r="K947">
        <v>6</v>
      </c>
    </row>
    <row r="948" spans="1:11" x14ac:dyDescent="0.2">
      <c r="A948" t="s">
        <v>2489</v>
      </c>
      <c r="B948" s="59">
        <v>41057.286041666666</v>
      </c>
      <c r="C948">
        <v>60000</v>
      </c>
      <c r="D948" t="s">
        <v>786</v>
      </c>
      <c r="E948">
        <f>tblSalaries[[#This Row],[clean Salary (in local currency)]]*VLOOKUP(tblSalaries[[#This Row],[Currency]],[1]!tblXrate[#Data],2,FALSE)</f>
        <v>60000</v>
      </c>
      <c r="F948" t="s">
        <v>2490</v>
      </c>
      <c r="G948" t="s">
        <v>807</v>
      </c>
      <c r="H948" t="s">
        <v>15</v>
      </c>
      <c r="I948" t="str">
        <f>VLOOKUP(tblSalaries[[#This Row],[Where do you work]],[1]!tblCountries[[Actual]:[Mapping]],2,FALSE)</f>
        <v>USA</v>
      </c>
      <c r="J948" t="s">
        <v>799</v>
      </c>
      <c r="K948">
        <v>3</v>
      </c>
    </row>
    <row r="949" spans="1:11" x14ac:dyDescent="0.2">
      <c r="A949" t="s">
        <v>2491</v>
      </c>
      <c r="B949" s="59">
        <v>41057.286168981482</v>
      </c>
      <c r="C949">
        <v>43000</v>
      </c>
      <c r="D949" t="s">
        <v>877</v>
      </c>
      <c r="E949">
        <f>tblSalaries[[#This Row],[clean Salary (in local currency)]]*VLOOKUP(tblSalaries[[#This Row],[Currency]],[1]!tblXrate[#Data],2,FALSE)</f>
        <v>43856.11522531334</v>
      </c>
      <c r="F949" t="s">
        <v>2492</v>
      </c>
      <c r="G949" t="s">
        <v>807</v>
      </c>
      <c r="H949" t="s">
        <v>33</v>
      </c>
      <c r="I949" t="str">
        <f>VLOOKUP(tblSalaries[[#This Row],[Where do you work]],[1]!tblCountries[[Actual]:[Mapping]],2,FALSE)</f>
        <v>Australia</v>
      </c>
      <c r="J949" t="s">
        <v>794</v>
      </c>
      <c r="K949">
        <v>1</v>
      </c>
    </row>
    <row r="950" spans="1:11" x14ac:dyDescent="0.2">
      <c r="A950" t="s">
        <v>2493</v>
      </c>
      <c r="B950" s="59">
        <v>41057.286168981482</v>
      </c>
      <c r="C950">
        <v>45616</v>
      </c>
      <c r="D950" t="s">
        <v>786</v>
      </c>
      <c r="E950">
        <f>tblSalaries[[#This Row],[clean Salary (in local currency)]]*VLOOKUP(tblSalaries[[#This Row],[Currency]],[1]!tblXrate[#Data],2,FALSE)</f>
        <v>45616</v>
      </c>
      <c r="F950" t="s">
        <v>2494</v>
      </c>
      <c r="G950" t="s">
        <v>788</v>
      </c>
      <c r="H950" t="s">
        <v>33</v>
      </c>
      <c r="I950" t="str">
        <f>VLOOKUP(tblSalaries[[#This Row],[Where do you work]],[1]!tblCountries[[Actual]:[Mapping]],2,FALSE)</f>
        <v>Australia</v>
      </c>
      <c r="J950" t="s">
        <v>789</v>
      </c>
      <c r="K950">
        <v>1.5</v>
      </c>
    </row>
    <row r="951" spans="1:11" x14ac:dyDescent="0.2">
      <c r="A951" t="s">
        <v>2495</v>
      </c>
      <c r="B951" s="59">
        <v>41057.291956018518</v>
      </c>
      <c r="C951">
        <v>95000</v>
      </c>
      <c r="D951" t="s">
        <v>1831</v>
      </c>
      <c r="E951">
        <f>tblSalaries[[#This Row],[clean Salary (in local currency)]]*VLOOKUP(tblSalaries[[#This Row],[Currency]],[1]!tblXrate[#Data],2,FALSE)</f>
        <v>75770.868892469181</v>
      </c>
      <c r="F951" t="s">
        <v>2051</v>
      </c>
      <c r="G951" t="s">
        <v>817</v>
      </c>
      <c r="H951" t="s">
        <v>225</v>
      </c>
      <c r="I951" t="str">
        <f>VLOOKUP(tblSalaries[[#This Row],[Where do you work]],[1]!tblCountries[[Actual]:[Mapping]],2,FALSE)</f>
        <v>New Zealand</v>
      </c>
      <c r="J951" t="s">
        <v>789</v>
      </c>
      <c r="K951">
        <v>20</v>
      </c>
    </row>
    <row r="952" spans="1:11" x14ac:dyDescent="0.2">
      <c r="A952" t="s">
        <v>2496</v>
      </c>
      <c r="B952" s="59">
        <v>41057.306388888886</v>
      </c>
      <c r="C952">
        <v>56600</v>
      </c>
      <c r="D952" t="s">
        <v>877</v>
      </c>
      <c r="E952">
        <f>tblSalaries[[#This Row],[clean Salary (in local currency)]]*VLOOKUP(tblSalaries[[#This Row],[Currency]],[1]!tblXrate[#Data],2,FALSE)</f>
        <v>57726.886552389187</v>
      </c>
      <c r="F952" t="s">
        <v>2497</v>
      </c>
      <c r="G952" t="s">
        <v>807</v>
      </c>
      <c r="H952" t="s">
        <v>33</v>
      </c>
      <c r="I952" t="str">
        <f>VLOOKUP(tblSalaries[[#This Row],[Where do you work]],[1]!tblCountries[[Actual]:[Mapping]],2,FALSE)</f>
        <v>Australia</v>
      </c>
      <c r="J952" t="s">
        <v>799</v>
      </c>
      <c r="K952">
        <v>2</v>
      </c>
    </row>
    <row r="953" spans="1:11" x14ac:dyDescent="0.2">
      <c r="A953" t="s">
        <v>2498</v>
      </c>
      <c r="B953" s="59">
        <v>41057.307719907411</v>
      </c>
      <c r="C953">
        <v>20000</v>
      </c>
      <c r="D953" t="s">
        <v>786</v>
      </c>
      <c r="E953">
        <f>tblSalaries[[#This Row],[clean Salary (in local currency)]]*VLOOKUP(tblSalaries[[#This Row],[Currency]],[1]!tblXrate[#Data],2,FALSE)</f>
        <v>20000</v>
      </c>
      <c r="F953" t="s">
        <v>1081</v>
      </c>
      <c r="G953" t="s">
        <v>788</v>
      </c>
      <c r="H953" t="s">
        <v>33</v>
      </c>
      <c r="I953" t="str">
        <f>VLOOKUP(tblSalaries[[#This Row],[Where do you work]],[1]!tblCountries[[Actual]:[Mapping]],2,FALSE)</f>
        <v>Australia</v>
      </c>
      <c r="J953" t="s">
        <v>799</v>
      </c>
      <c r="K953">
        <v>2</v>
      </c>
    </row>
    <row r="954" spans="1:11" x14ac:dyDescent="0.2">
      <c r="A954" t="s">
        <v>2499</v>
      </c>
      <c r="B954" s="59">
        <v>41057.311192129629</v>
      </c>
      <c r="C954">
        <v>200000</v>
      </c>
      <c r="D954" t="s">
        <v>877</v>
      </c>
      <c r="E954">
        <f>tblSalaries[[#This Row],[clean Salary (in local currency)]]*VLOOKUP(tblSalaries[[#This Row],[Currency]],[1]!tblXrate[#Data],2,FALSE)</f>
        <v>203981.93128052715</v>
      </c>
      <c r="F954" t="s">
        <v>2119</v>
      </c>
      <c r="G954" t="s">
        <v>807</v>
      </c>
      <c r="H954" t="s">
        <v>33</v>
      </c>
      <c r="I954" t="str">
        <f>VLOOKUP(tblSalaries[[#This Row],[Where do you work]],[1]!tblCountries[[Actual]:[Mapping]],2,FALSE)</f>
        <v>Australia</v>
      </c>
      <c r="J954" t="s">
        <v>789</v>
      </c>
      <c r="K954">
        <v>15</v>
      </c>
    </row>
    <row r="955" spans="1:11" x14ac:dyDescent="0.2">
      <c r="A955" t="s">
        <v>2500</v>
      </c>
      <c r="B955" s="59">
        <v>41057.31150462963</v>
      </c>
      <c r="C955">
        <v>50000</v>
      </c>
      <c r="D955" t="s">
        <v>877</v>
      </c>
      <c r="E955">
        <f>tblSalaries[[#This Row],[clean Salary (in local currency)]]*VLOOKUP(tblSalaries[[#This Row],[Currency]],[1]!tblXrate[#Data],2,FALSE)</f>
        <v>50995.482820131787</v>
      </c>
      <c r="F955" t="s">
        <v>1884</v>
      </c>
      <c r="G955" t="s">
        <v>792</v>
      </c>
      <c r="H955" t="s">
        <v>33</v>
      </c>
      <c r="I955" t="str">
        <f>VLOOKUP(tblSalaries[[#This Row],[Where do you work]],[1]!tblCountries[[Actual]:[Mapping]],2,FALSE)</f>
        <v>Australia</v>
      </c>
      <c r="J955" t="s">
        <v>808</v>
      </c>
      <c r="K955">
        <v>5</v>
      </c>
    </row>
    <row r="956" spans="1:11" x14ac:dyDescent="0.2">
      <c r="A956" t="s">
        <v>2501</v>
      </c>
      <c r="B956" s="59">
        <v>41057.312303240738</v>
      </c>
      <c r="C956">
        <v>125000</v>
      </c>
      <c r="D956" t="s">
        <v>877</v>
      </c>
      <c r="E956">
        <f>tblSalaries[[#This Row],[clean Salary (in local currency)]]*VLOOKUP(tblSalaries[[#This Row],[Currency]],[1]!tblXrate[#Data],2,FALSE)</f>
        <v>127488.70705032947</v>
      </c>
      <c r="F956" t="s">
        <v>2502</v>
      </c>
      <c r="G956" t="s">
        <v>813</v>
      </c>
      <c r="H956" t="s">
        <v>33</v>
      </c>
      <c r="I956" t="str">
        <f>VLOOKUP(tblSalaries[[#This Row],[Where do you work]],[1]!tblCountries[[Actual]:[Mapping]],2,FALSE)</f>
        <v>Australia</v>
      </c>
      <c r="J956" t="s">
        <v>789</v>
      </c>
      <c r="K956">
        <v>15</v>
      </c>
    </row>
    <row r="957" spans="1:11" x14ac:dyDescent="0.2">
      <c r="A957" t="s">
        <v>2503</v>
      </c>
      <c r="B957" s="59">
        <v>41057.314918981479</v>
      </c>
      <c r="C957">
        <v>65000</v>
      </c>
      <c r="D957" t="s">
        <v>877</v>
      </c>
      <c r="E957">
        <f>tblSalaries[[#This Row],[clean Salary (in local currency)]]*VLOOKUP(tblSalaries[[#This Row],[Currency]],[1]!tblXrate[#Data],2,FALSE)</f>
        <v>66294.12766617132</v>
      </c>
      <c r="F957" t="s">
        <v>984</v>
      </c>
      <c r="G957" t="s">
        <v>788</v>
      </c>
      <c r="H957" t="s">
        <v>33</v>
      </c>
      <c r="I957" t="str">
        <f>VLOOKUP(tblSalaries[[#This Row],[Where do you work]],[1]!tblCountries[[Actual]:[Mapping]],2,FALSE)</f>
        <v>Australia</v>
      </c>
      <c r="J957" t="s">
        <v>789</v>
      </c>
      <c r="K957">
        <v>4</v>
      </c>
    </row>
    <row r="958" spans="1:11" x14ac:dyDescent="0.2">
      <c r="A958" t="s">
        <v>2504</v>
      </c>
      <c r="B958" s="59">
        <v>41057.319004629629</v>
      </c>
      <c r="C958">
        <v>62000</v>
      </c>
      <c r="D958" t="s">
        <v>877</v>
      </c>
      <c r="E958">
        <f>tblSalaries[[#This Row],[clean Salary (in local currency)]]*VLOOKUP(tblSalaries[[#This Row],[Currency]],[1]!tblXrate[#Data],2,FALSE)</f>
        <v>63234.398696963413</v>
      </c>
      <c r="F958" t="s">
        <v>1070</v>
      </c>
      <c r="G958" t="s">
        <v>788</v>
      </c>
      <c r="H958" t="s">
        <v>33</v>
      </c>
      <c r="I958" t="str">
        <f>VLOOKUP(tblSalaries[[#This Row],[Where do you work]],[1]!tblCountries[[Actual]:[Mapping]],2,FALSE)</f>
        <v>Australia</v>
      </c>
      <c r="J958" t="s">
        <v>789</v>
      </c>
      <c r="K958">
        <v>3</v>
      </c>
    </row>
    <row r="959" spans="1:11" x14ac:dyDescent="0.2">
      <c r="A959" t="s">
        <v>2505</v>
      </c>
      <c r="B959" s="59">
        <v>41057.323935185188</v>
      </c>
      <c r="C959">
        <v>260000</v>
      </c>
      <c r="D959" t="s">
        <v>786</v>
      </c>
      <c r="E959">
        <f>tblSalaries[[#This Row],[clean Salary (in local currency)]]*VLOOKUP(tblSalaries[[#This Row],[Currency]],[1]!tblXrate[#Data],2,FALSE)</f>
        <v>260000</v>
      </c>
      <c r="F959" t="s">
        <v>812</v>
      </c>
      <c r="G959" t="s">
        <v>813</v>
      </c>
      <c r="H959" t="s">
        <v>15</v>
      </c>
      <c r="I959" t="str">
        <f>VLOOKUP(tblSalaries[[#This Row],[Where do you work]],[1]!tblCountries[[Actual]:[Mapping]],2,FALSE)</f>
        <v>USA</v>
      </c>
      <c r="J959" t="s">
        <v>799</v>
      </c>
      <c r="K959">
        <v>10</v>
      </c>
    </row>
    <row r="960" spans="1:11" x14ac:dyDescent="0.2">
      <c r="A960" t="s">
        <v>2506</v>
      </c>
      <c r="B960" s="59">
        <v>41057.33320601852</v>
      </c>
      <c r="C960">
        <v>110000</v>
      </c>
      <c r="D960" t="s">
        <v>877</v>
      </c>
      <c r="E960">
        <f>tblSalaries[[#This Row],[clean Salary (in local currency)]]*VLOOKUP(tblSalaries[[#This Row],[Currency]],[1]!tblXrate[#Data],2,FALSE)</f>
        <v>112190.06220428993</v>
      </c>
      <c r="F960" t="s">
        <v>2507</v>
      </c>
      <c r="G960" t="s">
        <v>807</v>
      </c>
      <c r="H960" t="s">
        <v>33</v>
      </c>
      <c r="I960" t="str">
        <f>VLOOKUP(tblSalaries[[#This Row],[Where do you work]],[1]!tblCountries[[Actual]:[Mapping]],2,FALSE)</f>
        <v>Australia</v>
      </c>
      <c r="J960" t="s">
        <v>799</v>
      </c>
      <c r="K960">
        <v>8</v>
      </c>
    </row>
    <row r="961" spans="1:11" x14ac:dyDescent="0.2">
      <c r="A961" t="s">
        <v>2508</v>
      </c>
      <c r="B961" s="59">
        <v>41057.335532407407</v>
      </c>
      <c r="C961">
        <v>70000</v>
      </c>
      <c r="D961" t="s">
        <v>877</v>
      </c>
      <c r="E961">
        <f>tblSalaries[[#This Row],[clean Salary (in local currency)]]*VLOOKUP(tblSalaries[[#This Row],[Currency]],[1]!tblXrate[#Data],2,FALSE)</f>
        <v>71393.675948184507</v>
      </c>
      <c r="F961" t="s">
        <v>833</v>
      </c>
      <c r="G961" t="s">
        <v>807</v>
      </c>
      <c r="H961" t="s">
        <v>33</v>
      </c>
      <c r="I961" t="str">
        <f>VLOOKUP(tblSalaries[[#This Row],[Where do you work]],[1]!tblCountries[[Actual]:[Mapping]],2,FALSE)</f>
        <v>Australia</v>
      </c>
      <c r="J961" t="s">
        <v>789</v>
      </c>
      <c r="K961">
        <v>7</v>
      </c>
    </row>
    <row r="962" spans="1:11" x14ac:dyDescent="0.2">
      <c r="A962" t="s">
        <v>2509</v>
      </c>
      <c r="B962" s="59">
        <v>41057.349120370367</v>
      </c>
      <c r="C962">
        <v>85000</v>
      </c>
      <c r="D962" t="s">
        <v>786</v>
      </c>
      <c r="E962">
        <f>tblSalaries[[#This Row],[clean Salary (in local currency)]]*VLOOKUP(tblSalaries[[#This Row],[Currency]],[1]!tblXrate[#Data],2,FALSE)</f>
        <v>85000</v>
      </c>
      <c r="F962" t="s">
        <v>2510</v>
      </c>
      <c r="G962" t="s">
        <v>836</v>
      </c>
      <c r="H962" t="s">
        <v>33</v>
      </c>
      <c r="I962" t="str">
        <f>VLOOKUP(tblSalaries[[#This Row],[Where do you work]],[1]!tblCountries[[Actual]:[Mapping]],2,FALSE)</f>
        <v>Australia</v>
      </c>
      <c r="J962" t="s">
        <v>789</v>
      </c>
      <c r="K962">
        <v>8</v>
      </c>
    </row>
    <row r="963" spans="1:11" x14ac:dyDescent="0.2">
      <c r="A963" t="s">
        <v>2511</v>
      </c>
      <c r="B963" s="59">
        <v>41057.351886574077</v>
      </c>
      <c r="C963">
        <v>94000</v>
      </c>
      <c r="D963" t="s">
        <v>877</v>
      </c>
      <c r="E963">
        <f>tblSalaries[[#This Row],[clean Salary (in local currency)]]*VLOOKUP(tblSalaries[[#This Row],[Currency]],[1]!tblXrate[#Data],2,FALSE)</f>
        <v>95871.50770184776</v>
      </c>
      <c r="F963" t="s">
        <v>1070</v>
      </c>
      <c r="G963" t="s">
        <v>788</v>
      </c>
      <c r="H963" t="s">
        <v>33</v>
      </c>
      <c r="I963" t="str">
        <f>VLOOKUP(tblSalaries[[#This Row],[Where do you work]],[1]!tblCountries[[Actual]:[Mapping]],2,FALSE)</f>
        <v>Australia</v>
      </c>
      <c r="J963" t="s">
        <v>799</v>
      </c>
      <c r="K963">
        <v>2.5</v>
      </c>
    </row>
    <row r="964" spans="1:11" x14ac:dyDescent="0.2">
      <c r="A964" t="s">
        <v>2512</v>
      </c>
      <c r="B964" s="59">
        <v>41057.35800925926</v>
      </c>
      <c r="C964">
        <v>107000</v>
      </c>
      <c r="D964" t="s">
        <v>877</v>
      </c>
      <c r="E964">
        <f>tblSalaries[[#This Row],[clean Salary (in local currency)]]*VLOOKUP(tblSalaries[[#This Row],[Currency]],[1]!tblXrate[#Data],2,FALSE)</f>
        <v>109130.33323508203</v>
      </c>
      <c r="F964" t="s">
        <v>1995</v>
      </c>
      <c r="G964" t="s">
        <v>807</v>
      </c>
      <c r="H964" t="s">
        <v>33</v>
      </c>
      <c r="I964" t="str">
        <f>VLOOKUP(tblSalaries[[#This Row],[Where do you work]],[1]!tblCountries[[Actual]:[Mapping]],2,FALSE)</f>
        <v>Australia</v>
      </c>
      <c r="J964" t="s">
        <v>789</v>
      </c>
      <c r="K964">
        <v>35</v>
      </c>
    </row>
    <row r="965" spans="1:11" x14ac:dyDescent="0.2">
      <c r="A965" t="s">
        <v>2513</v>
      </c>
      <c r="B965" s="59">
        <v>41057.361030092594</v>
      </c>
      <c r="C965">
        <v>36000</v>
      </c>
      <c r="D965" t="s">
        <v>786</v>
      </c>
      <c r="E965">
        <f>tblSalaries[[#This Row],[clean Salary (in local currency)]]*VLOOKUP(tblSalaries[[#This Row],[Currency]],[1]!tblXrate[#Data],2,FALSE)</f>
        <v>36000</v>
      </c>
      <c r="F965" t="s">
        <v>1011</v>
      </c>
      <c r="G965" t="s">
        <v>807</v>
      </c>
      <c r="H965" t="s">
        <v>2514</v>
      </c>
      <c r="I965" t="str">
        <f>VLOOKUP(tblSalaries[[#This Row],[Where do you work]],[1]!tblCountries[[Actual]:[Mapping]],2,FALSE)</f>
        <v>malaysia</v>
      </c>
      <c r="J965" t="s">
        <v>808</v>
      </c>
      <c r="K965">
        <v>3</v>
      </c>
    </row>
    <row r="966" spans="1:11" x14ac:dyDescent="0.2">
      <c r="A966" t="s">
        <v>2515</v>
      </c>
      <c r="B966" s="59">
        <v>41057.361956018518</v>
      </c>
      <c r="C966">
        <v>120000</v>
      </c>
      <c r="D966" t="s">
        <v>877</v>
      </c>
      <c r="E966">
        <f>tblSalaries[[#This Row],[clean Salary (in local currency)]]*VLOOKUP(tblSalaries[[#This Row],[Currency]],[1]!tblXrate[#Data],2,FALSE)</f>
        <v>122389.15876831629</v>
      </c>
      <c r="F966" t="s">
        <v>1158</v>
      </c>
      <c r="G966" t="s">
        <v>788</v>
      </c>
      <c r="H966" t="s">
        <v>33</v>
      </c>
      <c r="I966" t="str">
        <f>VLOOKUP(tblSalaries[[#This Row],[Where do you work]],[1]!tblCountries[[Actual]:[Mapping]],2,FALSE)</f>
        <v>Australia</v>
      </c>
      <c r="J966" t="s">
        <v>789</v>
      </c>
      <c r="K966">
        <v>2</v>
      </c>
    </row>
    <row r="967" spans="1:11" x14ac:dyDescent="0.2">
      <c r="A967" t="s">
        <v>2516</v>
      </c>
      <c r="B967" s="59">
        <v>41057.366423611114</v>
      </c>
      <c r="C967">
        <v>52000</v>
      </c>
      <c r="D967" t="s">
        <v>877</v>
      </c>
      <c r="E967">
        <f>tblSalaries[[#This Row],[clean Salary (in local currency)]]*VLOOKUP(tblSalaries[[#This Row],[Currency]],[1]!tblXrate[#Data],2,FALSE)</f>
        <v>53035.30213293706</v>
      </c>
      <c r="F967" t="s">
        <v>2517</v>
      </c>
      <c r="G967" t="s">
        <v>788</v>
      </c>
      <c r="H967" t="s">
        <v>33</v>
      </c>
      <c r="I967" t="str">
        <f>VLOOKUP(tblSalaries[[#This Row],[Where do you work]],[1]!tblCountries[[Actual]:[Mapping]],2,FALSE)</f>
        <v>Australia</v>
      </c>
      <c r="J967" t="s">
        <v>789</v>
      </c>
      <c r="K967">
        <v>4</v>
      </c>
    </row>
    <row r="968" spans="1:11" x14ac:dyDescent="0.2">
      <c r="A968" t="s">
        <v>2518</v>
      </c>
      <c r="B968" s="59">
        <v>41057.367314814815</v>
      </c>
      <c r="C968">
        <v>125000</v>
      </c>
      <c r="D968" t="s">
        <v>786</v>
      </c>
      <c r="E968">
        <f>tblSalaries[[#This Row],[clean Salary (in local currency)]]*VLOOKUP(tblSalaries[[#This Row],[Currency]],[1]!tblXrate[#Data],2,FALSE)</f>
        <v>125000</v>
      </c>
      <c r="F968" t="s">
        <v>2519</v>
      </c>
      <c r="G968" t="s">
        <v>813</v>
      </c>
      <c r="H968" t="s">
        <v>15</v>
      </c>
      <c r="I968" t="str">
        <f>VLOOKUP(tblSalaries[[#This Row],[Where do you work]],[1]!tblCountries[[Actual]:[Mapping]],2,FALSE)</f>
        <v>USA</v>
      </c>
      <c r="J968" t="s">
        <v>789</v>
      </c>
      <c r="K968">
        <v>10</v>
      </c>
    </row>
    <row r="969" spans="1:11" x14ac:dyDescent="0.2">
      <c r="A969" t="s">
        <v>2520</v>
      </c>
      <c r="B969" s="59">
        <v>41057.37773148148</v>
      </c>
      <c r="C969">
        <v>19000</v>
      </c>
      <c r="D969" t="s">
        <v>786</v>
      </c>
      <c r="E969">
        <f>tblSalaries[[#This Row],[clean Salary (in local currency)]]*VLOOKUP(tblSalaries[[#This Row],[Currency]],[1]!tblXrate[#Data],2,FALSE)</f>
        <v>19000</v>
      </c>
      <c r="F969" t="s">
        <v>2521</v>
      </c>
      <c r="G969" t="s">
        <v>788</v>
      </c>
      <c r="H969" t="s">
        <v>742</v>
      </c>
      <c r="I969" t="str">
        <f>VLOOKUP(tblSalaries[[#This Row],[Where do you work]],[1]!tblCountries[[Actual]:[Mapping]],2,FALSE)</f>
        <v>china</v>
      </c>
      <c r="J969" t="s">
        <v>789</v>
      </c>
      <c r="K969">
        <v>6</v>
      </c>
    </row>
    <row r="970" spans="1:11" x14ac:dyDescent="0.2">
      <c r="A970" t="s">
        <v>2522</v>
      </c>
      <c r="B970" s="59">
        <v>41057.383645833332</v>
      </c>
      <c r="C970">
        <v>92000</v>
      </c>
      <c r="D970" t="s">
        <v>877</v>
      </c>
      <c r="E970">
        <f>tblSalaries[[#This Row],[clean Salary (in local currency)]]*VLOOKUP(tblSalaries[[#This Row],[Currency]],[1]!tblXrate[#Data],2,FALSE)</f>
        <v>93831.688389042494</v>
      </c>
      <c r="F970" t="s">
        <v>2521</v>
      </c>
      <c r="G970" t="s">
        <v>788</v>
      </c>
      <c r="H970" t="s">
        <v>33</v>
      </c>
      <c r="I970" t="str">
        <f>VLOOKUP(tblSalaries[[#This Row],[Where do you work]],[1]!tblCountries[[Actual]:[Mapping]],2,FALSE)</f>
        <v>Australia</v>
      </c>
      <c r="J970" t="s">
        <v>794</v>
      </c>
      <c r="K970">
        <v>6</v>
      </c>
    </row>
    <row r="971" spans="1:11" x14ac:dyDescent="0.2">
      <c r="A971" t="s">
        <v>2523</v>
      </c>
      <c r="B971" s="59">
        <v>41057.390231481484</v>
      </c>
      <c r="C971">
        <v>100000</v>
      </c>
      <c r="D971" t="s">
        <v>877</v>
      </c>
      <c r="E971">
        <f>tblSalaries[[#This Row],[clean Salary (in local currency)]]*VLOOKUP(tblSalaries[[#This Row],[Currency]],[1]!tblXrate[#Data],2,FALSE)</f>
        <v>101990.96564026357</v>
      </c>
      <c r="F971" t="s">
        <v>2117</v>
      </c>
      <c r="G971" t="s">
        <v>788</v>
      </c>
      <c r="H971" t="s">
        <v>33</v>
      </c>
      <c r="I971" t="str">
        <f>VLOOKUP(tblSalaries[[#This Row],[Where do you work]],[1]!tblCountries[[Actual]:[Mapping]],2,FALSE)</f>
        <v>Australia</v>
      </c>
      <c r="J971" t="s">
        <v>789</v>
      </c>
      <c r="K971">
        <v>20</v>
      </c>
    </row>
    <row r="972" spans="1:11" x14ac:dyDescent="0.2">
      <c r="A972" t="s">
        <v>2524</v>
      </c>
      <c r="B972" s="59">
        <v>41057.393171296295</v>
      </c>
      <c r="C972">
        <v>120000</v>
      </c>
      <c r="D972" t="s">
        <v>877</v>
      </c>
      <c r="E972">
        <f>tblSalaries[[#This Row],[clean Salary (in local currency)]]*VLOOKUP(tblSalaries[[#This Row],[Currency]],[1]!tblXrate[#Data],2,FALSE)</f>
        <v>122389.15876831629</v>
      </c>
      <c r="F972" t="s">
        <v>2525</v>
      </c>
      <c r="G972" t="s">
        <v>788</v>
      </c>
      <c r="H972" t="s">
        <v>33</v>
      </c>
      <c r="I972" t="str">
        <f>VLOOKUP(tblSalaries[[#This Row],[Where do you work]],[1]!tblCountries[[Actual]:[Mapping]],2,FALSE)</f>
        <v>Australia</v>
      </c>
      <c r="J972" t="s">
        <v>789</v>
      </c>
      <c r="K972">
        <v>5</v>
      </c>
    </row>
    <row r="973" spans="1:11" x14ac:dyDescent="0.2">
      <c r="A973" t="s">
        <v>2526</v>
      </c>
      <c r="B973" s="59">
        <v>41057.401724537034</v>
      </c>
      <c r="C973">
        <v>35000</v>
      </c>
      <c r="D973" t="s">
        <v>882</v>
      </c>
      <c r="E973">
        <f>tblSalaries[[#This Row],[clean Salary (in local currency)]]*VLOOKUP(tblSalaries[[#This Row],[Currency]],[1]!tblXrate[#Data],2,FALSE)</f>
        <v>34417.653306061438</v>
      </c>
      <c r="F973" t="s">
        <v>2117</v>
      </c>
      <c r="G973" t="s">
        <v>788</v>
      </c>
      <c r="H973" t="s">
        <v>143</v>
      </c>
      <c r="I973" t="str">
        <f>VLOOKUP(tblSalaries[[#This Row],[Where do you work]],[1]!tblCountries[[Actual]:[Mapping]],2,FALSE)</f>
        <v>Canada</v>
      </c>
      <c r="J973" t="s">
        <v>794</v>
      </c>
      <c r="K973">
        <v>4</v>
      </c>
    </row>
    <row r="974" spans="1:11" x14ac:dyDescent="0.2">
      <c r="A974" t="s">
        <v>2527</v>
      </c>
      <c r="B974" s="59">
        <v>41057.40289351852</v>
      </c>
      <c r="C974">
        <v>12000</v>
      </c>
      <c r="D974" t="s">
        <v>786</v>
      </c>
      <c r="E974">
        <f>tblSalaries[[#This Row],[clean Salary (in local currency)]]*VLOOKUP(tblSalaries[[#This Row],[Currency]],[1]!tblXrate[#Data],2,FALSE)</f>
        <v>12000</v>
      </c>
      <c r="F974" t="s">
        <v>807</v>
      </c>
      <c r="G974" t="s">
        <v>807</v>
      </c>
      <c r="H974" t="s">
        <v>2528</v>
      </c>
      <c r="I974" t="str">
        <f>VLOOKUP(tblSalaries[[#This Row],[Where do you work]],[1]!tblCountries[[Actual]:[Mapping]],2,FALSE)</f>
        <v>Asia</v>
      </c>
      <c r="J974" t="s">
        <v>794</v>
      </c>
      <c r="K974">
        <v>3</v>
      </c>
    </row>
    <row r="975" spans="1:11" x14ac:dyDescent="0.2">
      <c r="A975" t="s">
        <v>2529</v>
      </c>
      <c r="B975" s="59">
        <v>41057.40351851852</v>
      </c>
      <c r="C975">
        <v>204000</v>
      </c>
      <c r="D975" t="s">
        <v>824</v>
      </c>
      <c r="E975">
        <f>tblSalaries[[#This Row],[clean Salary (in local currency)]]*VLOOKUP(tblSalaries[[#This Row],[Currency]],[1]!tblXrate[#Data],2,FALSE)</f>
        <v>3632.815004238284</v>
      </c>
      <c r="F975" t="s">
        <v>2530</v>
      </c>
      <c r="G975" t="s">
        <v>807</v>
      </c>
      <c r="H975" t="s">
        <v>117</v>
      </c>
      <c r="I975" t="str">
        <f>VLOOKUP(tblSalaries[[#This Row],[Where do you work]],[1]!tblCountries[[Actual]:[Mapping]],2,FALSE)</f>
        <v>India</v>
      </c>
      <c r="J975" t="s">
        <v>789</v>
      </c>
      <c r="K975">
        <v>0</v>
      </c>
    </row>
    <row r="976" spans="1:11" x14ac:dyDescent="0.2">
      <c r="A976" t="s">
        <v>2531</v>
      </c>
      <c r="B976" s="59">
        <v>41057.405243055553</v>
      </c>
      <c r="C976">
        <v>1200000</v>
      </c>
      <c r="D976" t="s">
        <v>824</v>
      </c>
      <c r="E976">
        <f>tblSalaries[[#This Row],[clean Salary (in local currency)]]*VLOOKUP(tblSalaries[[#This Row],[Currency]],[1]!tblXrate[#Data],2,FALSE)</f>
        <v>21369.500024931083</v>
      </c>
      <c r="F976" t="s">
        <v>866</v>
      </c>
      <c r="G976" t="s">
        <v>867</v>
      </c>
      <c r="H976" t="s">
        <v>117</v>
      </c>
      <c r="I976" t="str">
        <f>VLOOKUP(tblSalaries[[#This Row],[Where do you work]],[1]!tblCountries[[Actual]:[Mapping]],2,FALSE)</f>
        <v>India</v>
      </c>
      <c r="J976" t="s">
        <v>794</v>
      </c>
      <c r="K976">
        <v>6</v>
      </c>
    </row>
    <row r="977" spans="1:11" x14ac:dyDescent="0.2">
      <c r="A977" t="s">
        <v>2532</v>
      </c>
      <c r="B977" s="59">
        <v>41057.410694444443</v>
      </c>
      <c r="C977">
        <v>500000</v>
      </c>
      <c r="D977" t="s">
        <v>824</v>
      </c>
      <c r="E977">
        <f>tblSalaries[[#This Row],[clean Salary (in local currency)]]*VLOOKUP(tblSalaries[[#This Row],[Currency]],[1]!tblXrate[#Data],2,FALSE)</f>
        <v>8903.9583437212841</v>
      </c>
      <c r="F977" t="s">
        <v>1070</v>
      </c>
      <c r="G977" t="s">
        <v>788</v>
      </c>
      <c r="H977" t="s">
        <v>117</v>
      </c>
      <c r="I977" t="str">
        <f>VLOOKUP(tblSalaries[[#This Row],[Where do you work]],[1]!tblCountries[[Actual]:[Mapping]],2,FALSE)</f>
        <v>India</v>
      </c>
      <c r="J977" t="s">
        <v>789</v>
      </c>
      <c r="K977">
        <v>7</v>
      </c>
    </row>
    <row r="978" spans="1:11" x14ac:dyDescent="0.2">
      <c r="A978" t="s">
        <v>2533</v>
      </c>
      <c r="B978" s="59">
        <v>41057.427395833336</v>
      </c>
      <c r="C978">
        <v>48000</v>
      </c>
      <c r="D978" t="s">
        <v>2534</v>
      </c>
      <c r="E978">
        <f>tblSalaries[[#This Row],[clean Salary (in local currency)]]*VLOOKUP(tblSalaries[[#This Row],[Currency]],[1]!tblXrate[#Data],2,FALSE)</f>
        <v>15206.427249917633</v>
      </c>
      <c r="F978" t="s">
        <v>2535</v>
      </c>
      <c r="G978" t="s">
        <v>807</v>
      </c>
      <c r="H978" t="s">
        <v>190</v>
      </c>
      <c r="I978" t="str">
        <f>VLOOKUP(tblSalaries[[#This Row],[Where do you work]],[1]!tblCountries[[Actual]:[Mapping]],2,FALSE)</f>
        <v>malaysia</v>
      </c>
      <c r="J978" t="s">
        <v>789</v>
      </c>
      <c r="K978">
        <v>2</v>
      </c>
    </row>
    <row r="979" spans="1:11" x14ac:dyDescent="0.2">
      <c r="A979" t="s">
        <v>2536</v>
      </c>
      <c r="B979" s="59">
        <v>41057.431921296295</v>
      </c>
      <c r="C979">
        <v>180000</v>
      </c>
      <c r="D979" t="s">
        <v>1831</v>
      </c>
      <c r="E979">
        <f>tblSalaries[[#This Row],[clean Salary (in local currency)]]*VLOOKUP(tblSalaries[[#This Row],[Currency]],[1]!tblXrate[#Data],2,FALSE)</f>
        <v>143565.85684888897</v>
      </c>
      <c r="F979" t="s">
        <v>1476</v>
      </c>
      <c r="G979" t="s">
        <v>807</v>
      </c>
      <c r="H979" t="s">
        <v>225</v>
      </c>
      <c r="I979" t="str">
        <f>VLOOKUP(tblSalaries[[#This Row],[Where do you work]],[1]!tblCountries[[Actual]:[Mapping]],2,FALSE)</f>
        <v>New Zealand</v>
      </c>
      <c r="J979" t="s">
        <v>789</v>
      </c>
      <c r="K979">
        <v>25</v>
      </c>
    </row>
    <row r="980" spans="1:11" x14ac:dyDescent="0.2">
      <c r="A980" t="s">
        <v>2537</v>
      </c>
      <c r="B980" s="59">
        <v>41057.434618055559</v>
      </c>
      <c r="C980">
        <v>545000</v>
      </c>
      <c r="D980" t="s">
        <v>824</v>
      </c>
      <c r="E980">
        <f>tblSalaries[[#This Row],[clean Salary (in local currency)]]*VLOOKUP(tblSalaries[[#This Row],[Currency]],[1]!tblXrate[#Data],2,FALSE)</f>
        <v>9705.3145946561999</v>
      </c>
      <c r="F980" t="s">
        <v>2360</v>
      </c>
      <c r="G980" t="s">
        <v>807</v>
      </c>
      <c r="H980" t="s">
        <v>117</v>
      </c>
      <c r="I980" t="str">
        <f>VLOOKUP(tblSalaries[[#This Row],[Where do you work]],[1]!tblCountries[[Actual]:[Mapping]],2,FALSE)</f>
        <v>India</v>
      </c>
      <c r="J980" t="s">
        <v>799</v>
      </c>
      <c r="K980">
        <v>6</v>
      </c>
    </row>
    <row r="981" spans="1:11" x14ac:dyDescent="0.2">
      <c r="A981" t="s">
        <v>2538</v>
      </c>
      <c r="B981" s="59">
        <v>41057.435937499999</v>
      </c>
      <c r="C981">
        <v>1000000</v>
      </c>
      <c r="D981" t="s">
        <v>824</v>
      </c>
      <c r="E981">
        <f>tblSalaries[[#This Row],[clean Salary (in local currency)]]*VLOOKUP(tblSalaries[[#This Row],[Currency]],[1]!tblXrate[#Data],2,FALSE)</f>
        <v>17807.916687442568</v>
      </c>
      <c r="F981" t="s">
        <v>2539</v>
      </c>
      <c r="G981" t="s">
        <v>807</v>
      </c>
      <c r="H981" t="s">
        <v>117</v>
      </c>
      <c r="I981" t="str">
        <f>VLOOKUP(tblSalaries[[#This Row],[Where do you work]],[1]!tblCountries[[Actual]:[Mapping]],2,FALSE)</f>
        <v>India</v>
      </c>
      <c r="J981" t="s">
        <v>794</v>
      </c>
      <c r="K981">
        <v>8</v>
      </c>
    </row>
    <row r="982" spans="1:11" x14ac:dyDescent="0.2">
      <c r="A982" t="s">
        <v>2540</v>
      </c>
      <c r="B982" s="59">
        <v>41057.435972222222</v>
      </c>
      <c r="C982">
        <v>180000</v>
      </c>
      <c r="D982" t="s">
        <v>824</v>
      </c>
      <c r="E982">
        <f>tblSalaries[[#This Row],[clean Salary (in local currency)]]*VLOOKUP(tblSalaries[[#This Row],[Currency]],[1]!tblXrate[#Data],2,FALSE)</f>
        <v>3205.4250037396623</v>
      </c>
      <c r="F982" t="s">
        <v>2541</v>
      </c>
      <c r="G982" t="s">
        <v>788</v>
      </c>
      <c r="H982" t="s">
        <v>2542</v>
      </c>
      <c r="I982" t="str">
        <f>VLOOKUP(tblSalaries[[#This Row],[Where do you work]],[1]!tblCountries[[Actual]:[Mapping]],2,FALSE)</f>
        <v>India</v>
      </c>
      <c r="J982" t="s">
        <v>789</v>
      </c>
      <c r="K982">
        <v>10</v>
      </c>
    </row>
    <row r="983" spans="1:11" x14ac:dyDescent="0.2">
      <c r="A983" t="s">
        <v>2543</v>
      </c>
      <c r="B983" s="59">
        <v>41057.437280092592</v>
      </c>
      <c r="C983">
        <v>45000</v>
      </c>
      <c r="D983" t="s">
        <v>786</v>
      </c>
      <c r="E983">
        <f>tblSalaries[[#This Row],[clean Salary (in local currency)]]*VLOOKUP(tblSalaries[[#This Row],[Currency]],[1]!tblXrate[#Data],2,FALSE)</f>
        <v>45000</v>
      </c>
      <c r="F983" t="s">
        <v>2544</v>
      </c>
      <c r="G983" t="s">
        <v>817</v>
      </c>
      <c r="H983" t="s">
        <v>15</v>
      </c>
      <c r="I983" t="str">
        <f>VLOOKUP(tblSalaries[[#This Row],[Where do you work]],[1]!tblCountries[[Actual]:[Mapping]],2,FALSE)</f>
        <v>USA</v>
      </c>
      <c r="J983" t="s">
        <v>794</v>
      </c>
      <c r="K983">
        <v>3</v>
      </c>
    </row>
    <row r="984" spans="1:11" x14ac:dyDescent="0.2">
      <c r="A984" t="s">
        <v>2545</v>
      </c>
      <c r="B984" s="59">
        <v>41057.443668981483</v>
      </c>
      <c r="C984">
        <v>700000</v>
      </c>
      <c r="D984" t="s">
        <v>824</v>
      </c>
      <c r="E984">
        <f>tblSalaries[[#This Row],[clean Salary (in local currency)]]*VLOOKUP(tblSalaries[[#This Row],[Currency]],[1]!tblXrate[#Data],2,FALSE)</f>
        <v>12465.541681209797</v>
      </c>
      <c r="F984" t="s">
        <v>2546</v>
      </c>
      <c r="G984" t="s">
        <v>807</v>
      </c>
      <c r="H984" t="s">
        <v>117</v>
      </c>
      <c r="I984" t="str">
        <f>VLOOKUP(tblSalaries[[#This Row],[Where do you work]],[1]!tblCountries[[Actual]:[Mapping]],2,FALSE)</f>
        <v>India</v>
      </c>
      <c r="J984" t="s">
        <v>799</v>
      </c>
      <c r="K984">
        <v>7</v>
      </c>
    </row>
    <row r="985" spans="1:11" x14ac:dyDescent="0.2">
      <c r="A985" t="s">
        <v>2547</v>
      </c>
      <c r="B985" s="59">
        <v>41057.4455787037</v>
      </c>
      <c r="C985">
        <v>94000</v>
      </c>
      <c r="D985" t="s">
        <v>877</v>
      </c>
      <c r="E985">
        <f>tblSalaries[[#This Row],[clean Salary (in local currency)]]*VLOOKUP(tblSalaries[[#This Row],[Currency]],[1]!tblXrate[#Data],2,FALSE)</f>
        <v>95871.50770184776</v>
      </c>
      <c r="F985" t="s">
        <v>2548</v>
      </c>
      <c r="G985" t="s">
        <v>788</v>
      </c>
      <c r="H985" t="s">
        <v>33</v>
      </c>
      <c r="I985" t="str">
        <f>VLOOKUP(tblSalaries[[#This Row],[Where do you work]],[1]!tblCountries[[Actual]:[Mapping]],2,FALSE)</f>
        <v>Australia</v>
      </c>
      <c r="J985" t="s">
        <v>799</v>
      </c>
      <c r="K985">
        <v>14</v>
      </c>
    </row>
    <row r="986" spans="1:11" x14ac:dyDescent="0.2">
      <c r="A986" t="s">
        <v>2549</v>
      </c>
      <c r="B986" s="59">
        <v>41057.445925925924</v>
      </c>
      <c r="C986">
        <v>170000</v>
      </c>
      <c r="D986" t="s">
        <v>877</v>
      </c>
      <c r="E986">
        <f>tblSalaries[[#This Row],[clean Salary (in local currency)]]*VLOOKUP(tblSalaries[[#This Row],[Currency]],[1]!tblXrate[#Data],2,FALSE)</f>
        <v>173384.64158844808</v>
      </c>
      <c r="F986" t="s">
        <v>2550</v>
      </c>
      <c r="G986" t="s">
        <v>867</v>
      </c>
      <c r="H986" t="s">
        <v>33</v>
      </c>
      <c r="I986" t="str">
        <f>VLOOKUP(tblSalaries[[#This Row],[Where do you work]],[1]!tblCountries[[Actual]:[Mapping]],2,FALSE)</f>
        <v>Australia</v>
      </c>
      <c r="J986" t="s">
        <v>799</v>
      </c>
      <c r="K986">
        <v>8</v>
      </c>
    </row>
    <row r="987" spans="1:11" x14ac:dyDescent="0.2">
      <c r="A987" t="s">
        <v>2551</v>
      </c>
      <c r="B987" s="59">
        <v>41057.466585648152</v>
      </c>
      <c r="C987">
        <v>650000</v>
      </c>
      <c r="D987" t="s">
        <v>824</v>
      </c>
      <c r="E987">
        <f>tblSalaries[[#This Row],[clean Salary (in local currency)]]*VLOOKUP(tblSalaries[[#This Row],[Currency]],[1]!tblXrate[#Data],2,FALSE)</f>
        <v>11575.14584683767</v>
      </c>
      <c r="F987" t="s">
        <v>2552</v>
      </c>
      <c r="G987" t="s">
        <v>807</v>
      </c>
      <c r="H987" t="s">
        <v>117</v>
      </c>
      <c r="I987" t="str">
        <f>VLOOKUP(tblSalaries[[#This Row],[Where do you work]],[1]!tblCountries[[Actual]:[Mapping]],2,FALSE)</f>
        <v>India</v>
      </c>
      <c r="J987" t="s">
        <v>799</v>
      </c>
      <c r="K987">
        <v>1</v>
      </c>
    </row>
    <row r="988" spans="1:11" x14ac:dyDescent="0.2">
      <c r="A988" t="s">
        <v>2553</v>
      </c>
      <c r="B988" s="59">
        <v>41057.480092592596</v>
      </c>
      <c r="C988">
        <v>18000</v>
      </c>
      <c r="D988" t="s">
        <v>786</v>
      </c>
      <c r="E988">
        <f>tblSalaries[[#This Row],[clean Salary (in local currency)]]*VLOOKUP(tblSalaries[[#This Row],[Currency]],[1]!tblXrate[#Data],2,FALSE)</f>
        <v>18000</v>
      </c>
      <c r="F988" t="s">
        <v>2554</v>
      </c>
      <c r="G988" t="s">
        <v>820</v>
      </c>
      <c r="H988" t="s">
        <v>117</v>
      </c>
      <c r="I988" t="str">
        <f>VLOOKUP(tblSalaries[[#This Row],[Where do you work]],[1]!tblCountries[[Actual]:[Mapping]],2,FALSE)</f>
        <v>India</v>
      </c>
      <c r="J988" t="s">
        <v>794</v>
      </c>
      <c r="K988">
        <v>8</v>
      </c>
    </row>
    <row r="989" spans="1:11" x14ac:dyDescent="0.2">
      <c r="A989" t="s">
        <v>2555</v>
      </c>
      <c r="B989" s="59">
        <v>41057.481307870374</v>
      </c>
      <c r="C989">
        <v>70000</v>
      </c>
      <c r="D989" t="s">
        <v>877</v>
      </c>
      <c r="E989">
        <f>tblSalaries[[#This Row],[clean Salary (in local currency)]]*VLOOKUP(tblSalaries[[#This Row],[Currency]],[1]!tblXrate[#Data],2,FALSE)</f>
        <v>71393.675948184507</v>
      </c>
      <c r="F989" t="s">
        <v>963</v>
      </c>
      <c r="G989" t="s">
        <v>813</v>
      </c>
      <c r="H989" t="s">
        <v>33</v>
      </c>
      <c r="I989" t="str">
        <f>VLOOKUP(tblSalaries[[#This Row],[Where do you work]],[1]!tblCountries[[Actual]:[Mapping]],2,FALSE)</f>
        <v>Australia</v>
      </c>
      <c r="J989" t="s">
        <v>794</v>
      </c>
      <c r="K989">
        <v>2</v>
      </c>
    </row>
    <row r="990" spans="1:11" x14ac:dyDescent="0.2">
      <c r="A990" t="s">
        <v>2556</v>
      </c>
      <c r="B990" s="59">
        <v>41057.48133101852</v>
      </c>
      <c r="C990">
        <v>350000</v>
      </c>
      <c r="D990" t="s">
        <v>824</v>
      </c>
      <c r="E990">
        <f>tblSalaries[[#This Row],[clean Salary (in local currency)]]*VLOOKUP(tblSalaries[[#This Row],[Currency]],[1]!tblXrate[#Data],2,FALSE)</f>
        <v>6232.7708406048987</v>
      </c>
      <c r="F990" t="s">
        <v>984</v>
      </c>
      <c r="G990" t="s">
        <v>788</v>
      </c>
      <c r="H990" t="s">
        <v>117</v>
      </c>
      <c r="I990" t="str">
        <f>VLOOKUP(tblSalaries[[#This Row],[Where do you work]],[1]!tblCountries[[Actual]:[Mapping]],2,FALSE)</f>
        <v>India</v>
      </c>
      <c r="J990" t="s">
        <v>789</v>
      </c>
      <c r="K990">
        <v>2.5</v>
      </c>
    </row>
    <row r="991" spans="1:11" x14ac:dyDescent="0.2">
      <c r="A991" t="s">
        <v>2557</v>
      </c>
      <c r="B991" s="59">
        <v>41057.484224537038</v>
      </c>
      <c r="C991">
        <v>240000</v>
      </c>
      <c r="D991" t="s">
        <v>2558</v>
      </c>
      <c r="E991">
        <f>tblSalaries[[#This Row],[clean Salary (in local currency)]]*VLOOKUP(tblSalaries[[#This Row],[Currency]],[1]!tblXrate[#Data],2,FALSE)</f>
        <v>1805.7739622442759</v>
      </c>
      <c r="F991" t="s">
        <v>2239</v>
      </c>
      <c r="G991" t="s">
        <v>807</v>
      </c>
      <c r="H991" t="s">
        <v>292</v>
      </c>
      <c r="I991" t="str">
        <f>VLOOKUP(tblSalaries[[#This Row],[Where do you work]],[1]!tblCountries[[Actual]:[Mapping]],2,FALSE)</f>
        <v>Sri Lanka</v>
      </c>
      <c r="J991" t="s">
        <v>789</v>
      </c>
      <c r="K991">
        <v>3</v>
      </c>
    </row>
    <row r="992" spans="1:11" x14ac:dyDescent="0.2">
      <c r="A992" t="s">
        <v>2559</v>
      </c>
      <c r="B992" s="59">
        <v>41057.48542824074</v>
      </c>
      <c r="C992">
        <v>640000</v>
      </c>
      <c r="D992" t="s">
        <v>824</v>
      </c>
      <c r="E992">
        <f>tblSalaries[[#This Row],[clean Salary (in local currency)]]*VLOOKUP(tblSalaries[[#This Row],[Currency]],[1]!tblXrate[#Data],2,FALSE)</f>
        <v>11397.066679963244</v>
      </c>
      <c r="F992" t="s">
        <v>2560</v>
      </c>
      <c r="G992" t="s">
        <v>788</v>
      </c>
      <c r="H992" t="s">
        <v>117</v>
      </c>
      <c r="I992" t="str">
        <f>VLOOKUP(tblSalaries[[#This Row],[Where do you work]],[1]!tblCountries[[Actual]:[Mapping]],2,FALSE)</f>
        <v>India</v>
      </c>
      <c r="J992" t="s">
        <v>794</v>
      </c>
      <c r="K992">
        <v>6</v>
      </c>
    </row>
    <row r="993" spans="1:11" x14ac:dyDescent="0.2">
      <c r="A993" t="s">
        <v>2561</v>
      </c>
      <c r="B993" s="59">
        <v>41057.486932870372</v>
      </c>
      <c r="C993">
        <v>15000</v>
      </c>
      <c r="D993" t="s">
        <v>786</v>
      </c>
      <c r="E993">
        <f>tblSalaries[[#This Row],[clean Salary (in local currency)]]*VLOOKUP(tblSalaries[[#This Row],[Currency]],[1]!tblXrate[#Data],2,FALSE)</f>
        <v>15000</v>
      </c>
      <c r="F993" t="s">
        <v>2562</v>
      </c>
      <c r="G993" t="s">
        <v>807</v>
      </c>
      <c r="H993" t="s">
        <v>117</v>
      </c>
      <c r="I993" t="str">
        <f>VLOOKUP(tblSalaries[[#This Row],[Where do you work]],[1]!tblCountries[[Actual]:[Mapping]],2,FALSE)</f>
        <v>India</v>
      </c>
      <c r="J993" t="s">
        <v>789</v>
      </c>
      <c r="K993">
        <v>4</v>
      </c>
    </row>
    <row r="994" spans="1:11" x14ac:dyDescent="0.2">
      <c r="A994" t="s">
        <v>2563</v>
      </c>
      <c r="B994" s="59">
        <v>41057.499062499999</v>
      </c>
      <c r="C994">
        <v>308500</v>
      </c>
      <c r="D994" t="s">
        <v>1688</v>
      </c>
      <c r="E994">
        <f>tblSalaries[[#This Row],[clean Salary (in local currency)]]*VLOOKUP(tblSalaries[[#This Row],[Currency]],[1]!tblXrate[#Data],2,FALSE)</f>
        <v>37612.869087708088</v>
      </c>
      <c r="F994" t="s">
        <v>2564</v>
      </c>
      <c r="G994" t="s">
        <v>807</v>
      </c>
      <c r="H994" t="s">
        <v>294</v>
      </c>
      <c r="I994" t="str">
        <f>VLOOKUP(tblSalaries[[#This Row],[Where do you work]],[1]!tblCountries[[Actual]:[Mapping]],2,FALSE)</f>
        <v>South Africa</v>
      </c>
      <c r="J994" t="s">
        <v>794</v>
      </c>
      <c r="K994">
        <v>3</v>
      </c>
    </row>
    <row r="995" spans="1:11" x14ac:dyDescent="0.2">
      <c r="A995" t="s">
        <v>2565</v>
      </c>
      <c r="B995" s="59">
        <v>41057.500162037039</v>
      </c>
      <c r="C995">
        <v>365000</v>
      </c>
      <c r="D995" t="s">
        <v>824</v>
      </c>
      <c r="E995">
        <f>tblSalaries[[#This Row],[clean Salary (in local currency)]]*VLOOKUP(tblSalaries[[#This Row],[Currency]],[1]!tblXrate[#Data],2,FALSE)</f>
        <v>6499.8895909165376</v>
      </c>
      <c r="F995" t="s">
        <v>2566</v>
      </c>
      <c r="G995" t="s">
        <v>788</v>
      </c>
      <c r="H995" t="s">
        <v>117</v>
      </c>
      <c r="I995" t="str">
        <f>VLOOKUP(tblSalaries[[#This Row],[Where do you work]],[1]!tblCountries[[Actual]:[Mapping]],2,FALSE)</f>
        <v>India</v>
      </c>
      <c r="J995" t="s">
        <v>789</v>
      </c>
      <c r="K995">
        <v>3</v>
      </c>
    </row>
    <row r="996" spans="1:11" x14ac:dyDescent="0.2">
      <c r="A996" t="s">
        <v>2567</v>
      </c>
      <c r="B996" s="59">
        <v>41057.506678240738</v>
      </c>
      <c r="C996">
        <v>20000</v>
      </c>
      <c r="D996" t="s">
        <v>786</v>
      </c>
      <c r="E996">
        <f>tblSalaries[[#This Row],[clean Salary (in local currency)]]*VLOOKUP(tblSalaries[[#This Row],[Currency]],[1]!tblXrate[#Data],2,FALSE)</f>
        <v>20000</v>
      </c>
      <c r="F996" t="s">
        <v>2568</v>
      </c>
      <c r="G996" t="s">
        <v>836</v>
      </c>
      <c r="H996" t="s">
        <v>248</v>
      </c>
      <c r="I996" t="str">
        <f>VLOOKUP(tblSalaries[[#This Row],[Where do you work]],[1]!tblCountries[[Actual]:[Mapping]],2,FALSE)</f>
        <v>Paraguay</v>
      </c>
      <c r="J996" t="s">
        <v>794</v>
      </c>
      <c r="K996">
        <v>6</v>
      </c>
    </row>
    <row r="997" spans="1:11" x14ac:dyDescent="0.2">
      <c r="A997" t="s">
        <v>2569</v>
      </c>
      <c r="B997" s="59">
        <v>41057.507048611114</v>
      </c>
      <c r="C997">
        <v>7265</v>
      </c>
      <c r="D997" t="s">
        <v>786</v>
      </c>
      <c r="E997">
        <f>tblSalaries[[#This Row],[clean Salary (in local currency)]]*VLOOKUP(tblSalaries[[#This Row],[Currency]],[1]!tblXrate[#Data],2,FALSE)</f>
        <v>7265</v>
      </c>
      <c r="F997" t="s">
        <v>2570</v>
      </c>
      <c r="G997" t="s">
        <v>802</v>
      </c>
      <c r="H997" t="s">
        <v>117</v>
      </c>
      <c r="I997" t="str">
        <f>VLOOKUP(tblSalaries[[#This Row],[Where do you work]],[1]!tblCountries[[Actual]:[Mapping]],2,FALSE)</f>
        <v>India</v>
      </c>
      <c r="J997" t="s">
        <v>789</v>
      </c>
      <c r="K997">
        <v>6</v>
      </c>
    </row>
    <row r="998" spans="1:11" x14ac:dyDescent="0.2">
      <c r="A998" t="s">
        <v>2571</v>
      </c>
      <c r="B998" s="59">
        <v>41057.511030092595</v>
      </c>
      <c r="C998">
        <v>92000</v>
      </c>
      <c r="D998" t="s">
        <v>2572</v>
      </c>
      <c r="E998">
        <f>tblSalaries[[#This Row],[clean Salary (in local currency)]]*VLOOKUP(tblSalaries[[#This Row],[Currency]],[1]!tblXrate[#Data],2,FALSE)</f>
        <v>72571.80269935554</v>
      </c>
      <c r="F998" t="s">
        <v>1780</v>
      </c>
      <c r="G998" t="s">
        <v>807</v>
      </c>
      <c r="H998" t="s">
        <v>283</v>
      </c>
      <c r="I998" t="str">
        <f>VLOOKUP(tblSalaries[[#This Row],[Where do you work]],[1]!tblCountries[[Actual]:[Mapping]],2,FALSE)</f>
        <v>Singapore</v>
      </c>
      <c r="J998" t="s">
        <v>794</v>
      </c>
      <c r="K998">
        <v>15</v>
      </c>
    </row>
    <row r="999" spans="1:11" x14ac:dyDescent="0.2">
      <c r="A999" t="s">
        <v>2573</v>
      </c>
      <c r="B999" s="59">
        <v>41057.514444444445</v>
      </c>
      <c r="C999">
        <v>450000</v>
      </c>
      <c r="D999" t="s">
        <v>824</v>
      </c>
      <c r="E999">
        <f>tblSalaries[[#This Row],[clean Salary (in local currency)]]*VLOOKUP(tblSalaries[[#This Row],[Currency]],[1]!tblXrate[#Data],2,FALSE)</f>
        <v>8013.5625093491553</v>
      </c>
      <c r="F999" t="s">
        <v>2042</v>
      </c>
      <c r="G999" t="s">
        <v>807</v>
      </c>
      <c r="H999" t="s">
        <v>117</v>
      </c>
      <c r="I999" t="str">
        <f>VLOOKUP(tblSalaries[[#This Row],[Where do you work]],[1]!tblCountries[[Actual]:[Mapping]],2,FALSE)</f>
        <v>India</v>
      </c>
      <c r="J999" t="s">
        <v>794</v>
      </c>
      <c r="K999">
        <v>15</v>
      </c>
    </row>
    <row r="1000" spans="1:11" x14ac:dyDescent="0.2">
      <c r="A1000" t="s">
        <v>2574</v>
      </c>
      <c r="B1000" s="59">
        <v>41057.518067129633</v>
      </c>
      <c r="C1000">
        <v>570000</v>
      </c>
      <c r="D1000" t="s">
        <v>824</v>
      </c>
      <c r="E1000">
        <f>tblSalaries[[#This Row],[clean Salary (in local currency)]]*VLOOKUP(tblSalaries[[#This Row],[Currency]],[1]!tblXrate[#Data],2,FALSE)</f>
        <v>10150.512511842264</v>
      </c>
      <c r="F1000" t="s">
        <v>2575</v>
      </c>
      <c r="G1000" t="s">
        <v>788</v>
      </c>
      <c r="H1000" t="s">
        <v>117</v>
      </c>
      <c r="I1000" t="str">
        <f>VLOOKUP(tblSalaries[[#This Row],[Where do you work]],[1]!tblCountries[[Actual]:[Mapping]],2,FALSE)</f>
        <v>India</v>
      </c>
      <c r="J1000" t="s">
        <v>789</v>
      </c>
      <c r="K1000">
        <v>5</v>
      </c>
    </row>
    <row r="1001" spans="1:11" x14ac:dyDescent="0.2">
      <c r="A1001" t="s">
        <v>2576</v>
      </c>
      <c r="B1001" s="59">
        <v>41057.518541666665</v>
      </c>
      <c r="C1001">
        <v>65000</v>
      </c>
      <c r="D1001" t="s">
        <v>786</v>
      </c>
      <c r="E1001">
        <f>tblSalaries[[#This Row],[clean Salary (in local currency)]]*VLOOKUP(tblSalaries[[#This Row],[Currency]],[1]!tblXrate[#Data],2,FALSE)</f>
        <v>65000</v>
      </c>
      <c r="F1001" t="s">
        <v>792</v>
      </c>
      <c r="G1001" t="s">
        <v>792</v>
      </c>
      <c r="H1001" t="s">
        <v>15</v>
      </c>
      <c r="I1001" t="str">
        <f>VLOOKUP(tblSalaries[[#This Row],[Where do you work]],[1]!tblCountries[[Actual]:[Mapping]],2,FALSE)</f>
        <v>USA</v>
      </c>
      <c r="J1001" t="s">
        <v>789</v>
      </c>
      <c r="K1001">
        <v>9</v>
      </c>
    </row>
    <row r="1002" spans="1:11" x14ac:dyDescent="0.2">
      <c r="A1002" t="s">
        <v>2577</v>
      </c>
      <c r="B1002" s="59">
        <v>41057.522361111114</v>
      </c>
      <c r="C1002">
        <v>300000</v>
      </c>
      <c r="D1002" t="s">
        <v>815</v>
      </c>
      <c r="E1002">
        <f>tblSalaries[[#This Row],[clean Salary (in local currency)]]*VLOOKUP(tblSalaries[[#This Row],[Currency]],[1]!tblXrate[#Data],2,FALSE)</f>
        <v>3184.2266150397395</v>
      </c>
      <c r="F1002" t="s">
        <v>2177</v>
      </c>
      <c r="G1002" t="s">
        <v>807</v>
      </c>
      <c r="H1002" t="s">
        <v>240</v>
      </c>
      <c r="I1002" t="str">
        <f>VLOOKUP(tblSalaries[[#This Row],[Where do you work]],[1]!tblCountries[[Actual]:[Mapping]],2,FALSE)</f>
        <v>Pakistan</v>
      </c>
      <c r="J1002" t="s">
        <v>789</v>
      </c>
      <c r="K1002">
        <v>4</v>
      </c>
    </row>
    <row r="1003" spans="1:11" x14ac:dyDescent="0.2">
      <c r="A1003" t="s">
        <v>2578</v>
      </c>
      <c r="B1003" s="59">
        <v>41057.524745370371</v>
      </c>
      <c r="C1003">
        <v>612000</v>
      </c>
      <c r="D1003" t="s">
        <v>824</v>
      </c>
      <c r="E1003">
        <f>tblSalaries[[#This Row],[clean Salary (in local currency)]]*VLOOKUP(tblSalaries[[#This Row],[Currency]],[1]!tblXrate[#Data],2,FALSE)</f>
        <v>10898.445012714852</v>
      </c>
      <c r="F1003" t="s">
        <v>2579</v>
      </c>
      <c r="G1003" t="s">
        <v>807</v>
      </c>
      <c r="H1003" t="s">
        <v>117</v>
      </c>
      <c r="I1003" t="str">
        <f>VLOOKUP(tblSalaries[[#This Row],[Where do you work]],[1]!tblCountries[[Actual]:[Mapping]],2,FALSE)</f>
        <v>India</v>
      </c>
      <c r="J1003" t="s">
        <v>799</v>
      </c>
      <c r="K1003">
        <v>13</v>
      </c>
    </row>
    <row r="1004" spans="1:11" x14ac:dyDescent="0.2">
      <c r="A1004" t="s">
        <v>2580</v>
      </c>
      <c r="B1004" s="59">
        <v>41057.528078703705</v>
      </c>
      <c r="C1004">
        <v>10800</v>
      </c>
      <c r="D1004" t="s">
        <v>786</v>
      </c>
      <c r="E1004">
        <f>tblSalaries[[#This Row],[clean Salary (in local currency)]]*VLOOKUP(tblSalaries[[#This Row],[Currency]],[1]!tblXrate[#Data],2,FALSE)</f>
        <v>10800</v>
      </c>
      <c r="F1004" t="s">
        <v>2581</v>
      </c>
      <c r="G1004" t="s">
        <v>807</v>
      </c>
      <c r="H1004" t="s">
        <v>240</v>
      </c>
      <c r="I1004" t="str">
        <f>VLOOKUP(tblSalaries[[#This Row],[Where do you work]],[1]!tblCountries[[Actual]:[Mapping]],2,FALSE)</f>
        <v>Pakistan</v>
      </c>
      <c r="J1004" t="s">
        <v>794</v>
      </c>
      <c r="K1004">
        <v>5</v>
      </c>
    </row>
    <row r="1005" spans="1:11" x14ac:dyDescent="0.2">
      <c r="A1005" t="s">
        <v>2582</v>
      </c>
      <c r="B1005" s="59">
        <v>41057.532870370371</v>
      </c>
      <c r="C1005">
        <v>120000</v>
      </c>
      <c r="D1005" t="s">
        <v>824</v>
      </c>
      <c r="E1005">
        <f>tblSalaries[[#This Row],[clean Salary (in local currency)]]*VLOOKUP(tblSalaries[[#This Row],[Currency]],[1]!tblXrate[#Data],2,FALSE)</f>
        <v>2136.9500024931081</v>
      </c>
      <c r="F1005" t="s">
        <v>2583</v>
      </c>
      <c r="G1005" t="s">
        <v>788</v>
      </c>
      <c r="H1005" t="s">
        <v>117</v>
      </c>
      <c r="I1005" t="str">
        <f>VLOOKUP(tblSalaries[[#This Row],[Where do you work]],[1]!tblCountries[[Actual]:[Mapping]],2,FALSE)</f>
        <v>India</v>
      </c>
      <c r="J1005" t="s">
        <v>799</v>
      </c>
      <c r="K1005">
        <v>3.5</v>
      </c>
    </row>
    <row r="1006" spans="1:11" x14ac:dyDescent="0.2">
      <c r="A1006" t="s">
        <v>2584</v>
      </c>
      <c r="B1006" s="59">
        <v>41057.536030092589</v>
      </c>
      <c r="C1006">
        <v>45000</v>
      </c>
      <c r="D1006" t="s">
        <v>786</v>
      </c>
      <c r="E1006">
        <f>tblSalaries[[#This Row],[clean Salary (in local currency)]]*VLOOKUP(tblSalaries[[#This Row],[Currency]],[1]!tblXrate[#Data],2,FALSE)</f>
        <v>45000</v>
      </c>
      <c r="F1006" t="s">
        <v>802</v>
      </c>
      <c r="G1006" t="s">
        <v>802</v>
      </c>
      <c r="H1006" t="s">
        <v>2585</v>
      </c>
      <c r="I1006" t="str">
        <f>VLOOKUP(tblSalaries[[#This Row],[Where do you work]],[1]!tblCountries[[Actual]:[Mapping]],2,FALSE)</f>
        <v>Singapore</v>
      </c>
      <c r="J1006" t="s">
        <v>799</v>
      </c>
      <c r="K1006">
        <v>4</v>
      </c>
    </row>
    <row r="1007" spans="1:11" x14ac:dyDescent="0.2">
      <c r="A1007" t="s">
        <v>2586</v>
      </c>
      <c r="B1007" s="59">
        <v>41057.539733796293</v>
      </c>
      <c r="C1007">
        <v>400000</v>
      </c>
      <c r="D1007" t="s">
        <v>824</v>
      </c>
      <c r="E1007">
        <f>tblSalaries[[#This Row],[clean Salary (in local currency)]]*VLOOKUP(tblSalaries[[#This Row],[Currency]],[1]!tblXrate[#Data],2,FALSE)</f>
        <v>7123.1666749770275</v>
      </c>
      <c r="F1007" t="s">
        <v>2224</v>
      </c>
      <c r="G1007" t="s">
        <v>807</v>
      </c>
      <c r="H1007" t="s">
        <v>117</v>
      </c>
      <c r="I1007" t="str">
        <f>VLOOKUP(tblSalaries[[#This Row],[Where do you work]],[1]!tblCountries[[Actual]:[Mapping]],2,FALSE)</f>
        <v>India</v>
      </c>
      <c r="J1007" t="s">
        <v>799</v>
      </c>
      <c r="K1007">
        <v>5</v>
      </c>
    </row>
    <row r="1008" spans="1:11" x14ac:dyDescent="0.2">
      <c r="A1008" t="s">
        <v>2587</v>
      </c>
      <c r="B1008" s="59">
        <v>41057.54078703704</v>
      </c>
      <c r="C1008">
        <v>300000</v>
      </c>
      <c r="D1008" t="s">
        <v>824</v>
      </c>
      <c r="E1008">
        <f>tblSalaries[[#This Row],[clean Salary (in local currency)]]*VLOOKUP(tblSalaries[[#This Row],[Currency]],[1]!tblXrate[#Data],2,FALSE)</f>
        <v>5342.3750062327708</v>
      </c>
      <c r="F1008" t="s">
        <v>2588</v>
      </c>
      <c r="G1008" t="s">
        <v>817</v>
      </c>
      <c r="H1008" t="s">
        <v>117</v>
      </c>
      <c r="I1008" t="str">
        <f>VLOOKUP(tblSalaries[[#This Row],[Where do you work]],[1]!tblCountries[[Actual]:[Mapping]],2,FALSE)</f>
        <v>India</v>
      </c>
      <c r="J1008" t="s">
        <v>799</v>
      </c>
      <c r="K1008">
        <v>5</v>
      </c>
    </row>
    <row r="1009" spans="1:11" x14ac:dyDescent="0.2">
      <c r="A1009" t="s">
        <v>2589</v>
      </c>
      <c r="B1009" s="59">
        <v>41057.541655092595</v>
      </c>
      <c r="C1009">
        <v>18000</v>
      </c>
      <c r="D1009" t="s">
        <v>786</v>
      </c>
      <c r="E1009">
        <f>tblSalaries[[#This Row],[clean Salary (in local currency)]]*VLOOKUP(tblSalaries[[#This Row],[Currency]],[1]!tblXrate[#Data],2,FALSE)</f>
        <v>18000</v>
      </c>
      <c r="F1009" t="s">
        <v>2590</v>
      </c>
      <c r="G1009" t="s">
        <v>807</v>
      </c>
      <c r="H1009" t="s">
        <v>117</v>
      </c>
      <c r="I1009" t="str">
        <f>VLOOKUP(tblSalaries[[#This Row],[Where do you work]],[1]!tblCountries[[Actual]:[Mapping]],2,FALSE)</f>
        <v>India</v>
      </c>
      <c r="J1009" t="s">
        <v>799</v>
      </c>
      <c r="K1009">
        <v>4.5999999999999996</v>
      </c>
    </row>
    <row r="1010" spans="1:11" x14ac:dyDescent="0.2">
      <c r="A1010" t="s">
        <v>2591</v>
      </c>
      <c r="B1010" s="59">
        <v>41057.542847222219</v>
      </c>
      <c r="C1010">
        <v>456000</v>
      </c>
      <c r="D1010" t="s">
        <v>815</v>
      </c>
      <c r="E1010">
        <f>tblSalaries[[#This Row],[clean Salary (in local currency)]]*VLOOKUP(tblSalaries[[#This Row],[Currency]],[1]!tblXrate[#Data],2,FALSE)</f>
        <v>4840.0244548604041</v>
      </c>
      <c r="F1010" t="s">
        <v>2592</v>
      </c>
      <c r="G1010" t="s">
        <v>807</v>
      </c>
      <c r="H1010" t="s">
        <v>240</v>
      </c>
      <c r="I1010" t="str">
        <f>VLOOKUP(tblSalaries[[#This Row],[Where do you work]],[1]!tblCountries[[Actual]:[Mapping]],2,FALSE)</f>
        <v>Pakistan</v>
      </c>
      <c r="J1010" t="s">
        <v>789</v>
      </c>
      <c r="K1010">
        <v>2</v>
      </c>
    </row>
    <row r="1011" spans="1:11" x14ac:dyDescent="0.2">
      <c r="A1011" t="s">
        <v>2593</v>
      </c>
      <c r="B1011" s="59">
        <v>41057.543703703705</v>
      </c>
      <c r="C1011">
        <v>420000</v>
      </c>
      <c r="D1011" t="s">
        <v>824</v>
      </c>
      <c r="E1011">
        <f>tblSalaries[[#This Row],[clean Salary (in local currency)]]*VLOOKUP(tblSalaries[[#This Row],[Currency]],[1]!tblXrate[#Data],2,FALSE)</f>
        <v>7479.3250087258784</v>
      </c>
      <c r="F1011" t="s">
        <v>788</v>
      </c>
      <c r="G1011" t="s">
        <v>788</v>
      </c>
      <c r="H1011" t="s">
        <v>117</v>
      </c>
      <c r="I1011" t="str">
        <f>VLOOKUP(tblSalaries[[#This Row],[Where do you work]],[1]!tblCountries[[Actual]:[Mapping]],2,FALSE)</f>
        <v>India</v>
      </c>
      <c r="J1011" t="s">
        <v>799</v>
      </c>
      <c r="K1011">
        <v>10</v>
      </c>
    </row>
    <row r="1012" spans="1:11" x14ac:dyDescent="0.2">
      <c r="A1012" t="s">
        <v>2594</v>
      </c>
      <c r="B1012" s="59">
        <v>41057.545590277776</v>
      </c>
      <c r="C1012">
        <v>210000</v>
      </c>
      <c r="D1012" t="s">
        <v>824</v>
      </c>
      <c r="E1012">
        <f>tblSalaries[[#This Row],[clean Salary (in local currency)]]*VLOOKUP(tblSalaries[[#This Row],[Currency]],[1]!tblXrate[#Data],2,FALSE)</f>
        <v>3739.6625043629392</v>
      </c>
      <c r="F1012" t="s">
        <v>2038</v>
      </c>
      <c r="G1012" t="s">
        <v>836</v>
      </c>
      <c r="H1012" t="s">
        <v>117</v>
      </c>
      <c r="I1012" t="str">
        <f>VLOOKUP(tblSalaries[[#This Row],[Where do you work]],[1]!tblCountries[[Actual]:[Mapping]],2,FALSE)</f>
        <v>India</v>
      </c>
      <c r="J1012" t="s">
        <v>794</v>
      </c>
      <c r="K1012">
        <v>3.5</v>
      </c>
    </row>
    <row r="1013" spans="1:11" x14ac:dyDescent="0.2">
      <c r="A1013" t="s">
        <v>2595</v>
      </c>
      <c r="B1013" s="59">
        <v>41057.546261574076</v>
      </c>
      <c r="C1013">
        <v>42000</v>
      </c>
      <c r="D1013" t="s">
        <v>786</v>
      </c>
      <c r="E1013">
        <f>tblSalaries[[#This Row],[clean Salary (in local currency)]]*VLOOKUP(tblSalaries[[#This Row],[Currency]],[1]!tblXrate[#Data],2,FALSE)</f>
        <v>42000</v>
      </c>
      <c r="F1013" t="s">
        <v>2596</v>
      </c>
      <c r="G1013" t="s">
        <v>807</v>
      </c>
      <c r="H1013" t="s">
        <v>167</v>
      </c>
      <c r="I1013" t="str">
        <f>VLOOKUP(tblSalaries[[#This Row],[Where do you work]],[1]!tblCountries[[Actual]:[Mapping]],2,FALSE)</f>
        <v>Kuwait</v>
      </c>
      <c r="J1013" t="s">
        <v>794</v>
      </c>
      <c r="K1013">
        <v>5</v>
      </c>
    </row>
    <row r="1014" spans="1:11" x14ac:dyDescent="0.2">
      <c r="A1014" t="s">
        <v>2597</v>
      </c>
      <c r="B1014" s="59">
        <v>41057.548634259256</v>
      </c>
      <c r="C1014">
        <v>28000</v>
      </c>
      <c r="D1014" t="s">
        <v>786</v>
      </c>
      <c r="E1014">
        <f>tblSalaries[[#This Row],[clean Salary (in local currency)]]*VLOOKUP(tblSalaries[[#This Row],[Currency]],[1]!tblXrate[#Data],2,FALSE)</f>
        <v>28000</v>
      </c>
      <c r="F1014" t="s">
        <v>2598</v>
      </c>
      <c r="G1014" t="s">
        <v>836</v>
      </c>
      <c r="H1014" t="s">
        <v>117</v>
      </c>
      <c r="I1014" t="str">
        <f>VLOOKUP(tblSalaries[[#This Row],[Where do you work]],[1]!tblCountries[[Actual]:[Mapping]],2,FALSE)</f>
        <v>India</v>
      </c>
      <c r="J1014" t="s">
        <v>799</v>
      </c>
      <c r="K1014">
        <v>3</v>
      </c>
    </row>
    <row r="1015" spans="1:11" x14ac:dyDescent="0.2">
      <c r="A1015" t="s">
        <v>2599</v>
      </c>
      <c r="B1015" s="59">
        <v>41057.549791666665</v>
      </c>
      <c r="C1015">
        <v>6000</v>
      </c>
      <c r="D1015" t="s">
        <v>786</v>
      </c>
      <c r="E1015">
        <f>tblSalaries[[#This Row],[clean Salary (in local currency)]]*VLOOKUP(tblSalaries[[#This Row],[Currency]],[1]!tblXrate[#Data],2,FALSE)</f>
        <v>6000</v>
      </c>
      <c r="F1015" t="s">
        <v>807</v>
      </c>
      <c r="G1015" t="s">
        <v>807</v>
      </c>
      <c r="H1015" t="s">
        <v>117</v>
      </c>
      <c r="I1015" t="str">
        <f>VLOOKUP(tblSalaries[[#This Row],[Where do you work]],[1]!tblCountries[[Actual]:[Mapping]],2,FALSE)</f>
        <v>India</v>
      </c>
      <c r="J1015" t="s">
        <v>789</v>
      </c>
      <c r="K1015">
        <v>5</v>
      </c>
    </row>
    <row r="1016" spans="1:11" x14ac:dyDescent="0.2">
      <c r="A1016" t="s">
        <v>2600</v>
      </c>
      <c r="B1016" s="59">
        <v>41057.559976851851</v>
      </c>
      <c r="C1016">
        <v>55000</v>
      </c>
      <c r="D1016" t="s">
        <v>1831</v>
      </c>
      <c r="E1016">
        <f>tblSalaries[[#This Row],[clean Salary (in local currency)]]*VLOOKUP(tblSalaries[[#This Row],[Currency]],[1]!tblXrate[#Data],2,FALSE)</f>
        <v>43867.345148271634</v>
      </c>
      <c r="F1016" t="s">
        <v>796</v>
      </c>
      <c r="G1016" t="s">
        <v>788</v>
      </c>
      <c r="H1016" t="s">
        <v>225</v>
      </c>
      <c r="I1016" t="str">
        <f>VLOOKUP(tblSalaries[[#This Row],[Where do you work]],[1]!tblCountries[[Actual]:[Mapping]],2,FALSE)</f>
        <v>New Zealand</v>
      </c>
      <c r="J1016" t="s">
        <v>794</v>
      </c>
      <c r="K1016">
        <v>10</v>
      </c>
    </row>
    <row r="1017" spans="1:11" x14ac:dyDescent="0.2">
      <c r="A1017" t="s">
        <v>2601</v>
      </c>
      <c r="B1017" s="59">
        <v>41057.560949074075</v>
      </c>
      <c r="C1017">
        <v>1000000</v>
      </c>
      <c r="D1017" t="s">
        <v>824</v>
      </c>
      <c r="E1017">
        <f>tblSalaries[[#This Row],[clean Salary (in local currency)]]*VLOOKUP(tblSalaries[[#This Row],[Currency]],[1]!tblXrate[#Data],2,FALSE)</f>
        <v>17807.916687442568</v>
      </c>
      <c r="F1017" t="s">
        <v>2602</v>
      </c>
      <c r="G1017" t="s">
        <v>788</v>
      </c>
      <c r="H1017" t="s">
        <v>117</v>
      </c>
      <c r="I1017" t="str">
        <f>VLOOKUP(tblSalaries[[#This Row],[Where do you work]],[1]!tblCountries[[Actual]:[Mapping]],2,FALSE)</f>
        <v>India</v>
      </c>
      <c r="J1017" t="s">
        <v>808</v>
      </c>
      <c r="K1017">
        <v>25</v>
      </c>
    </row>
    <row r="1018" spans="1:11" x14ac:dyDescent="0.2">
      <c r="A1018" t="s">
        <v>2603</v>
      </c>
      <c r="B1018" s="59">
        <v>41057.567476851851</v>
      </c>
      <c r="C1018">
        <v>600000</v>
      </c>
      <c r="D1018" t="s">
        <v>824</v>
      </c>
      <c r="E1018">
        <f>tblSalaries[[#This Row],[clean Salary (in local currency)]]*VLOOKUP(tblSalaries[[#This Row],[Currency]],[1]!tblXrate[#Data],2,FALSE)</f>
        <v>10684.750012465542</v>
      </c>
      <c r="F1018" t="s">
        <v>1070</v>
      </c>
      <c r="G1018" t="s">
        <v>788</v>
      </c>
      <c r="H1018" t="s">
        <v>117</v>
      </c>
      <c r="I1018" t="str">
        <f>VLOOKUP(tblSalaries[[#This Row],[Where do you work]],[1]!tblCountries[[Actual]:[Mapping]],2,FALSE)</f>
        <v>India</v>
      </c>
      <c r="J1018" t="s">
        <v>794</v>
      </c>
      <c r="K1018">
        <v>12</v>
      </c>
    </row>
    <row r="1019" spans="1:11" x14ac:dyDescent="0.2">
      <c r="A1019" t="s">
        <v>2604</v>
      </c>
      <c r="B1019" s="59">
        <v>41057.570115740738</v>
      </c>
      <c r="C1019">
        <v>60000</v>
      </c>
      <c r="D1019" t="s">
        <v>786</v>
      </c>
      <c r="E1019">
        <f>tblSalaries[[#This Row],[clean Salary (in local currency)]]*VLOOKUP(tblSalaries[[#This Row],[Currency]],[1]!tblXrate[#Data],2,FALSE)</f>
        <v>60000</v>
      </c>
      <c r="F1019" t="s">
        <v>2605</v>
      </c>
      <c r="G1019" t="s">
        <v>867</v>
      </c>
      <c r="H1019" t="s">
        <v>90</v>
      </c>
      <c r="I1019" t="str">
        <f>VLOOKUP(tblSalaries[[#This Row],[Where do you work]],[1]!tblCountries[[Actual]:[Mapping]],2,FALSE)</f>
        <v>Finland</v>
      </c>
      <c r="J1019" t="s">
        <v>794</v>
      </c>
      <c r="K1019">
        <v>5</v>
      </c>
    </row>
    <row r="1020" spans="1:11" x14ac:dyDescent="0.2">
      <c r="A1020" t="s">
        <v>2606</v>
      </c>
      <c r="B1020" s="59">
        <v>41057.570520833331</v>
      </c>
      <c r="C1020">
        <v>476000</v>
      </c>
      <c r="D1020" t="s">
        <v>824</v>
      </c>
      <c r="E1020">
        <f>tblSalaries[[#This Row],[clean Salary (in local currency)]]*VLOOKUP(tblSalaries[[#This Row],[Currency]],[1]!tblXrate[#Data],2,FALSE)</f>
        <v>8476.5683432226633</v>
      </c>
      <c r="F1020" t="s">
        <v>2607</v>
      </c>
      <c r="G1020" t="s">
        <v>836</v>
      </c>
      <c r="H1020" t="s">
        <v>117</v>
      </c>
      <c r="I1020" t="str">
        <f>VLOOKUP(tblSalaries[[#This Row],[Where do you work]],[1]!tblCountries[[Actual]:[Mapping]],2,FALSE)</f>
        <v>India</v>
      </c>
      <c r="J1020" t="s">
        <v>789</v>
      </c>
      <c r="K1020">
        <v>8</v>
      </c>
    </row>
    <row r="1021" spans="1:11" x14ac:dyDescent="0.2">
      <c r="A1021" t="s">
        <v>2608</v>
      </c>
      <c r="B1021" s="59">
        <v>41057.570972222224</v>
      </c>
      <c r="C1021">
        <v>8700</v>
      </c>
      <c r="D1021" t="s">
        <v>786</v>
      </c>
      <c r="E1021">
        <f>tblSalaries[[#This Row],[clean Salary (in local currency)]]*VLOOKUP(tblSalaries[[#This Row],[Currency]],[1]!tblXrate[#Data],2,FALSE)</f>
        <v>8700</v>
      </c>
      <c r="F1021" t="s">
        <v>2609</v>
      </c>
      <c r="G1021" t="s">
        <v>792</v>
      </c>
      <c r="H1021" t="s">
        <v>117</v>
      </c>
      <c r="I1021" t="str">
        <f>VLOOKUP(tblSalaries[[#This Row],[Where do you work]],[1]!tblCountries[[Actual]:[Mapping]],2,FALSE)</f>
        <v>India</v>
      </c>
      <c r="J1021" t="s">
        <v>799</v>
      </c>
      <c r="K1021">
        <v>7</v>
      </c>
    </row>
    <row r="1022" spans="1:11" x14ac:dyDescent="0.2">
      <c r="A1022" t="s">
        <v>2610</v>
      </c>
      <c r="B1022" s="59">
        <v>41057.571238425924</v>
      </c>
      <c r="C1022">
        <v>200000</v>
      </c>
      <c r="D1022" t="s">
        <v>824</v>
      </c>
      <c r="E1022">
        <f>tblSalaries[[#This Row],[clean Salary (in local currency)]]*VLOOKUP(tblSalaries[[#This Row],[Currency]],[1]!tblXrate[#Data],2,FALSE)</f>
        <v>3561.5833374885137</v>
      </c>
      <c r="F1022" t="s">
        <v>2611</v>
      </c>
      <c r="G1022" t="s">
        <v>807</v>
      </c>
      <c r="H1022" t="s">
        <v>117</v>
      </c>
      <c r="I1022" t="str">
        <f>VLOOKUP(tblSalaries[[#This Row],[Where do you work]],[1]!tblCountries[[Actual]:[Mapping]],2,FALSE)</f>
        <v>India</v>
      </c>
      <c r="J1022" t="s">
        <v>794</v>
      </c>
      <c r="K1022">
        <v>8</v>
      </c>
    </row>
    <row r="1023" spans="1:11" x14ac:dyDescent="0.2">
      <c r="A1023" t="s">
        <v>2612</v>
      </c>
      <c r="B1023" s="59">
        <v>41057.571539351855</v>
      </c>
      <c r="C1023">
        <v>180000</v>
      </c>
      <c r="D1023" t="s">
        <v>824</v>
      </c>
      <c r="E1023">
        <f>tblSalaries[[#This Row],[clean Salary (in local currency)]]*VLOOKUP(tblSalaries[[#This Row],[Currency]],[1]!tblXrate[#Data],2,FALSE)</f>
        <v>3205.4250037396623</v>
      </c>
      <c r="F1023" t="s">
        <v>1444</v>
      </c>
      <c r="G1023" t="s">
        <v>836</v>
      </c>
      <c r="H1023" t="s">
        <v>117</v>
      </c>
      <c r="I1023" t="str">
        <f>VLOOKUP(tblSalaries[[#This Row],[Where do you work]],[1]!tblCountries[[Actual]:[Mapping]],2,FALSE)</f>
        <v>India</v>
      </c>
      <c r="J1023" t="s">
        <v>794</v>
      </c>
      <c r="K1023">
        <v>4</v>
      </c>
    </row>
    <row r="1024" spans="1:11" x14ac:dyDescent="0.2">
      <c r="A1024" t="s">
        <v>2613</v>
      </c>
      <c r="B1024" s="59">
        <v>41057.573807870373</v>
      </c>
      <c r="C1024">
        <v>252000</v>
      </c>
      <c r="D1024" t="s">
        <v>824</v>
      </c>
      <c r="E1024">
        <f>tblSalaries[[#This Row],[clean Salary (in local currency)]]*VLOOKUP(tblSalaries[[#This Row],[Currency]],[1]!tblXrate[#Data],2,FALSE)</f>
        <v>4487.5950052355274</v>
      </c>
      <c r="F1024" t="s">
        <v>2614</v>
      </c>
      <c r="G1024" t="s">
        <v>817</v>
      </c>
      <c r="H1024" t="s">
        <v>117</v>
      </c>
      <c r="I1024" t="str">
        <f>VLOOKUP(tblSalaries[[#This Row],[Where do you work]],[1]!tblCountries[[Actual]:[Mapping]],2,FALSE)</f>
        <v>India</v>
      </c>
      <c r="J1024" t="s">
        <v>808</v>
      </c>
      <c r="K1024">
        <v>5</v>
      </c>
    </row>
    <row r="1025" spans="1:11" x14ac:dyDescent="0.2">
      <c r="A1025" t="s">
        <v>2615</v>
      </c>
      <c r="B1025" s="59">
        <v>41057.579826388886</v>
      </c>
      <c r="C1025">
        <v>700000</v>
      </c>
      <c r="D1025" t="s">
        <v>824</v>
      </c>
      <c r="E1025">
        <f>tblSalaries[[#This Row],[clean Salary (in local currency)]]*VLOOKUP(tblSalaries[[#This Row],[Currency]],[1]!tblXrate[#Data],2,FALSE)</f>
        <v>12465.541681209797</v>
      </c>
      <c r="F1025" t="s">
        <v>1568</v>
      </c>
      <c r="G1025" t="s">
        <v>788</v>
      </c>
      <c r="H1025" t="s">
        <v>117</v>
      </c>
      <c r="I1025" t="str">
        <f>VLOOKUP(tblSalaries[[#This Row],[Where do you work]],[1]!tblCountries[[Actual]:[Mapping]],2,FALSE)</f>
        <v>India</v>
      </c>
      <c r="J1025" t="s">
        <v>789</v>
      </c>
      <c r="K1025">
        <v>5</v>
      </c>
    </row>
    <row r="1026" spans="1:11" x14ac:dyDescent="0.2">
      <c r="A1026" t="s">
        <v>2616</v>
      </c>
      <c r="B1026" s="59">
        <v>41057.583981481483</v>
      </c>
      <c r="C1026">
        <v>2400</v>
      </c>
      <c r="D1026" t="s">
        <v>786</v>
      </c>
      <c r="E1026">
        <f>tblSalaries[[#This Row],[clean Salary (in local currency)]]*VLOOKUP(tblSalaries[[#This Row],[Currency]],[1]!tblXrate[#Data],2,FALSE)</f>
        <v>2400</v>
      </c>
      <c r="F1026" t="s">
        <v>1975</v>
      </c>
      <c r="G1026" t="s">
        <v>817</v>
      </c>
      <c r="H1026" t="s">
        <v>240</v>
      </c>
      <c r="I1026" t="str">
        <f>VLOOKUP(tblSalaries[[#This Row],[Where do you work]],[1]!tblCountries[[Actual]:[Mapping]],2,FALSE)</f>
        <v>Pakistan</v>
      </c>
      <c r="J1026" t="s">
        <v>799</v>
      </c>
      <c r="K1026">
        <v>15</v>
      </c>
    </row>
    <row r="1027" spans="1:11" x14ac:dyDescent="0.2">
      <c r="A1027" t="s">
        <v>2617</v>
      </c>
      <c r="B1027" s="59">
        <v>41057.591365740744</v>
      </c>
      <c r="C1027">
        <v>55000</v>
      </c>
      <c r="D1027" t="s">
        <v>786</v>
      </c>
      <c r="E1027">
        <f>tblSalaries[[#This Row],[clean Salary (in local currency)]]*VLOOKUP(tblSalaries[[#This Row],[Currency]],[1]!tblXrate[#Data],2,FALSE)</f>
        <v>55000</v>
      </c>
      <c r="F1027" t="s">
        <v>1509</v>
      </c>
      <c r="G1027" t="s">
        <v>836</v>
      </c>
      <c r="H1027" t="s">
        <v>128</v>
      </c>
      <c r="I1027" t="str">
        <f>VLOOKUP(tblSalaries[[#This Row],[Where do you work]],[1]!tblCountries[[Actual]:[Mapping]],2,FALSE)</f>
        <v>Israel</v>
      </c>
      <c r="J1027" t="s">
        <v>789</v>
      </c>
      <c r="K1027">
        <v>6</v>
      </c>
    </row>
    <row r="1028" spans="1:11" x14ac:dyDescent="0.2">
      <c r="A1028" t="s">
        <v>2618</v>
      </c>
      <c r="B1028" s="59">
        <v>41057.59207175926</v>
      </c>
      <c r="C1028">
        <v>12000</v>
      </c>
      <c r="D1028" t="s">
        <v>786</v>
      </c>
      <c r="E1028">
        <f>tblSalaries[[#This Row],[clean Salary (in local currency)]]*VLOOKUP(tblSalaries[[#This Row],[Currency]],[1]!tblXrate[#Data],2,FALSE)</f>
        <v>12000</v>
      </c>
      <c r="F1028" t="s">
        <v>2619</v>
      </c>
      <c r="G1028" t="s">
        <v>792</v>
      </c>
      <c r="H1028" t="s">
        <v>123</v>
      </c>
      <c r="I1028" t="str">
        <f>VLOOKUP(tblSalaries[[#This Row],[Where do you work]],[1]!tblCountries[[Actual]:[Mapping]],2,FALSE)</f>
        <v>iran</v>
      </c>
      <c r="J1028" t="s">
        <v>789</v>
      </c>
      <c r="K1028">
        <v>3</v>
      </c>
    </row>
    <row r="1029" spans="1:11" x14ac:dyDescent="0.2">
      <c r="A1029" t="s">
        <v>2620</v>
      </c>
      <c r="B1029" s="59">
        <v>41057.592245370368</v>
      </c>
      <c r="C1029">
        <v>43500</v>
      </c>
      <c r="D1029" t="s">
        <v>805</v>
      </c>
      <c r="E1029">
        <f>tblSalaries[[#This Row],[clean Salary (in local currency)]]*VLOOKUP(tblSalaries[[#This Row],[Currency]],[1]!tblXrate[#Data],2,FALSE)</f>
        <v>55262.375596134938</v>
      </c>
      <c r="F1029" t="s">
        <v>2621</v>
      </c>
      <c r="G1029" t="s">
        <v>807</v>
      </c>
      <c r="H1029" t="s">
        <v>2622</v>
      </c>
      <c r="I1029" t="str">
        <f>VLOOKUP(tblSalaries[[#This Row],[Where do you work]],[1]!tblCountries[[Actual]:[Mapping]],2,FALSE)</f>
        <v>Spain</v>
      </c>
      <c r="J1029" t="s">
        <v>799</v>
      </c>
      <c r="K1029">
        <v>10</v>
      </c>
    </row>
    <row r="1030" spans="1:11" x14ac:dyDescent="0.2">
      <c r="A1030" t="s">
        <v>2623</v>
      </c>
      <c r="B1030" s="59">
        <v>41057.592268518521</v>
      </c>
      <c r="C1030">
        <v>1200000</v>
      </c>
      <c r="D1030" t="s">
        <v>824</v>
      </c>
      <c r="E1030">
        <f>tblSalaries[[#This Row],[clean Salary (in local currency)]]*VLOOKUP(tblSalaries[[#This Row],[Currency]],[1]!tblXrate[#Data],2,FALSE)</f>
        <v>21369.500024931083</v>
      </c>
      <c r="F1030" t="s">
        <v>2239</v>
      </c>
      <c r="G1030" t="s">
        <v>807</v>
      </c>
      <c r="H1030" t="s">
        <v>117</v>
      </c>
      <c r="I1030" t="str">
        <f>VLOOKUP(tblSalaries[[#This Row],[Where do you work]],[1]!tblCountries[[Actual]:[Mapping]],2,FALSE)</f>
        <v>India</v>
      </c>
      <c r="J1030" t="s">
        <v>799</v>
      </c>
      <c r="K1030">
        <v>2</v>
      </c>
    </row>
    <row r="1031" spans="1:11" x14ac:dyDescent="0.2">
      <c r="A1031" t="s">
        <v>2624</v>
      </c>
      <c r="B1031" s="59">
        <v>41057.596296296295</v>
      </c>
      <c r="C1031">
        <v>26000</v>
      </c>
      <c r="D1031" t="s">
        <v>861</v>
      </c>
      <c r="E1031">
        <f>tblSalaries[[#This Row],[clean Salary (in local currency)]]*VLOOKUP(tblSalaries[[#This Row],[Currency]],[1]!tblXrate[#Data],2,FALSE)</f>
        <v>40980.635073749385</v>
      </c>
      <c r="F1031" t="s">
        <v>867</v>
      </c>
      <c r="G1031" t="s">
        <v>867</v>
      </c>
      <c r="H1031" t="s">
        <v>863</v>
      </c>
      <c r="I1031" t="str">
        <f>VLOOKUP(tblSalaries[[#This Row],[Where do you work]],[1]!tblCountries[[Actual]:[Mapping]],2,FALSE)</f>
        <v>UK</v>
      </c>
      <c r="J1031" t="s">
        <v>794</v>
      </c>
      <c r="K1031">
        <v>8</v>
      </c>
    </row>
    <row r="1032" spans="1:11" x14ac:dyDescent="0.2">
      <c r="A1032" t="s">
        <v>2625</v>
      </c>
      <c r="B1032" s="59">
        <v>41057.598229166666</v>
      </c>
      <c r="C1032">
        <v>50000</v>
      </c>
      <c r="D1032" t="s">
        <v>877</v>
      </c>
      <c r="E1032">
        <f>tblSalaries[[#This Row],[clean Salary (in local currency)]]*VLOOKUP(tblSalaries[[#This Row],[Currency]],[1]!tblXrate[#Data],2,FALSE)</f>
        <v>50995.482820131787</v>
      </c>
      <c r="F1032" t="s">
        <v>2626</v>
      </c>
      <c r="G1032" t="s">
        <v>788</v>
      </c>
      <c r="H1032" t="s">
        <v>33</v>
      </c>
      <c r="I1032" t="str">
        <f>VLOOKUP(tblSalaries[[#This Row],[Where do you work]],[1]!tblCountries[[Actual]:[Mapping]],2,FALSE)</f>
        <v>Australia</v>
      </c>
      <c r="J1032" t="s">
        <v>789</v>
      </c>
      <c r="K1032">
        <v>4</v>
      </c>
    </row>
    <row r="1033" spans="1:11" x14ac:dyDescent="0.2">
      <c r="A1033" t="s">
        <v>2627</v>
      </c>
      <c r="B1033" s="59">
        <v>41057.598634259259</v>
      </c>
      <c r="C1033">
        <v>16000</v>
      </c>
      <c r="D1033" t="s">
        <v>805</v>
      </c>
      <c r="E1033">
        <f>tblSalaries[[#This Row],[clean Salary (in local currency)]]*VLOOKUP(tblSalaries[[#This Row],[Currency]],[1]!tblXrate[#Data],2,FALSE)</f>
        <v>20326.391023865726</v>
      </c>
      <c r="F1033" t="s">
        <v>2628</v>
      </c>
      <c r="G1033" t="s">
        <v>807</v>
      </c>
      <c r="H1033" t="s">
        <v>103</v>
      </c>
      <c r="I1033" t="str">
        <f>VLOOKUP(tblSalaries[[#This Row],[Where do you work]],[1]!tblCountries[[Actual]:[Mapping]],2,FALSE)</f>
        <v>Greece</v>
      </c>
      <c r="J1033" t="s">
        <v>794</v>
      </c>
      <c r="K1033">
        <v>16</v>
      </c>
    </row>
    <row r="1034" spans="1:11" x14ac:dyDescent="0.2">
      <c r="A1034" t="s">
        <v>2629</v>
      </c>
      <c r="B1034" s="59">
        <v>41057.599965277775</v>
      </c>
      <c r="C1034">
        <v>12000</v>
      </c>
      <c r="D1034" t="s">
        <v>786</v>
      </c>
      <c r="E1034">
        <f>tblSalaries[[#This Row],[clean Salary (in local currency)]]*VLOOKUP(tblSalaries[[#This Row],[Currency]],[1]!tblXrate[#Data],2,FALSE)</f>
        <v>12000</v>
      </c>
      <c r="F1034" t="s">
        <v>878</v>
      </c>
      <c r="G1034" t="s">
        <v>867</v>
      </c>
      <c r="H1034" t="s">
        <v>117</v>
      </c>
      <c r="I1034" t="str">
        <f>VLOOKUP(tblSalaries[[#This Row],[Where do you work]],[1]!tblCountries[[Actual]:[Mapping]],2,FALSE)</f>
        <v>India</v>
      </c>
      <c r="J1034" t="s">
        <v>799</v>
      </c>
      <c r="K1034">
        <v>8</v>
      </c>
    </row>
    <row r="1035" spans="1:11" x14ac:dyDescent="0.2">
      <c r="A1035" t="s">
        <v>2630</v>
      </c>
      <c r="B1035" s="59">
        <v>41057.604224537034</v>
      </c>
      <c r="C1035">
        <v>240000</v>
      </c>
      <c r="D1035" t="s">
        <v>1688</v>
      </c>
      <c r="E1035">
        <f>tblSalaries[[#This Row],[clean Salary (in local currency)]]*VLOOKUP(tblSalaries[[#This Row],[Currency]],[1]!tblXrate[#Data],2,FALSE)</f>
        <v>29261.227167098674</v>
      </c>
      <c r="F1035" t="s">
        <v>2631</v>
      </c>
      <c r="G1035" t="s">
        <v>817</v>
      </c>
      <c r="H1035" t="s">
        <v>294</v>
      </c>
      <c r="I1035" t="str">
        <f>VLOOKUP(tblSalaries[[#This Row],[Where do you work]],[1]!tblCountries[[Actual]:[Mapping]],2,FALSE)</f>
        <v>South Africa</v>
      </c>
      <c r="J1035" t="s">
        <v>799</v>
      </c>
      <c r="K1035">
        <v>20</v>
      </c>
    </row>
    <row r="1036" spans="1:11" x14ac:dyDescent="0.2">
      <c r="A1036" t="s">
        <v>2632</v>
      </c>
      <c r="B1036" s="59">
        <v>41057.605682870373</v>
      </c>
      <c r="C1036">
        <v>120000</v>
      </c>
      <c r="D1036" t="s">
        <v>1688</v>
      </c>
      <c r="E1036">
        <f>tblSalaries[[#This Row],[clean Salary (in local currency)]]*VLOOKUP(tblSalaries[[#This Row],[Currency]],[1]!tblXrate[#Data],2,FALSE)</f>
        <v>14630.613583549337</v>
      </c>
      <c r="F1036" t="s">
        <v>1310</v>
      </c>
      <c r="G1036" t="s">
        <v>813</v>
      </c>
      <c r="H1036" t="s">
        <v>294</v>
      </c>
      <c r="I1036" t="str">
        <f>VLOOKUP(tblSalaries[[#This Row],[Where do you work]],[1]!tblCountries[[Actual]:[Mapping]],2,FALSE)</f>
        <v>South Africa</v>
      </c>
      <c r="J1036" t="s">
        <v>789</v>
      </c>
      <c r="K1036">
        <v>10</v>
      </c>
    </row>
    <row r="1037" spans="1:11" x14ac:dyDescent="0.2">
      <c r="A1037" t="s">
        <v>2633</v>
      </c>
      <c r="B1037" s="59">
        <v>41057.60733796296</v>
      </c>
      <c r="C1037">
        <v>408000</v>
      </c>
      <c r="D1037" t="s">
        <v>824</v>
      </c>
      <c r="E1037">
        <f>tblSalaries[[#This Row],[clean Salary (in local currency)]]*VLOOKUP(tblSalaries[[#This Row],[Currency]],[1]!tblXrate[#Data],2,FALSE)</f>
        <v>7265.630008476568</v>
      </c>
      <c r="F1037" t="s">
        <v>2634</v>
      </c>
      <c r="G1037" t="s">
        <v>817</v>
      </c>
      <c r="H1037" t="s">
        <v>117</v>
      </c>
      <c r="I1037" t="str">
        <f>VLOOKUP(tblSalaries[[#This Row],[Where do you work]],[1]!tblCountries[[Actual]:[Mapping]],2,FALSE)</f>
        <v>India</v>
      </c>
      <c r="J1037" t="s">
        <v>794</v>
      </c>
      <c r="K1037">
        <v>5</v>
      </c>
    </row>
    <row r="1038" spans="1:11" x14ac:dyDescent="0.2">
      <c r="A1038" t="s">
        <v>2635</v>
      </c>
      <c r="B1038" s="59">
        <v>41057.607372685183</v>
      </c>
      <c r="C1038">
        <v>28000</v>
      </c>
      <c r="D1038" t="s">
        <v>861</v>
      </c>
      <c r="E1038">
        <f>tblSalaries[[#This Row],[clean Salary (in local currency)]]*VLOOKUP(tblSalaries[[#This Row],[Currency]],[1]!tblXrate[#Data],2,FALSE)</f>
        <v>44132.991617883956</v>
      </c>
      <c r="F1038" t="s">
        <v>2085</v>
      </c>
      <c r="G1038" t="s">
        <v>788</v>
      </c>
      <c r="H1038" t="s">
        <v>863</v>
      </c>
      <c r="I1038" t="str">
        <f>VLOOKUP(tblSalaries[[#This Row],[Where do you work]],[1]!tblCountries[[Actual]:[Mapping]],2,FALSE)</f>
        <v>UK</v>
      </c>
      <c r="J1038" t="s">
        <v>799</v>
      </c>
      <c r="K1038">
        <v>16</v>
      </c>
    </row>
    <row r="1039" spans="1:11" x14ac:dyDescent="0.2">
      <c r="A1039" t="s">
        <v>2636</v>
      </c>
      <c r="B1039" s="59">
        <v>41057.61173611111</v>
      </c>
      <c r="C1039">
        <v>530000</v>
      </c>
      <c r="D1039" t="s">
        <v>824</v>
      </c>
      <c r="E1039">
        <f>tblSalaries[[#This Row],[clean Salary (in local currency)]]*VLOOKUP(tblSalaries[[#This Row],[Currency]],[1]!tblXrate[#Data],2,FALSE)</f>
        <v>9438.1958443445619</v>
      </c>
      <c r="F1039" t="s">
        <v>2637</v>
      </c>
      <c r="G1039" t="s">
        <v>788</v>
      </c>
      <c r="H1039" t="s">
        <v>117</v>
      </c>
      <c r="I1039" t="str">
        <f>VLOOKUP(tblSalaries[[#This Row],[Where do you work]],[1]!tblCountries[[Actual]:[Mapping]],2,FALSE)</f>
        <v>India</v>
      </c>
      <c r="J1039" t="s">
        <v>799</v>
      </c>
      <c r="K1039">
        <v>7</v>
      </c>
    </row>
    <row r="1040" spans="1:11" x14ac:dyDescent="0.2">
      <c r="A1040" t="s">
        <v>2638</v>
      </c>
      <c r="B1040" s="59">
        <v>41057.613657407404</v>
      </c>
      <c r="C1040">
        <v>18000</v>
      </c>
      <c r="D1040" t="s">
        <v>786</v>
      </c>
      <c r="E1040">
        <f>tblSalaries[[#This Row],[clean Salary (in local currency)]]*VLOOKUP(tblSalaries[[#This Row],[Currency]],[1]!tblXrate[#Data],2,FALSE)</f>
        <v>18000</v>
      </c>
      <c r="F1040" t="s">
        <v>788</v>
      </c>
      <c r="G1040" t="s">
        <v>788</v>
      </c>
      <c r="H1040" t="s">
        <v>254</v>
      </c>
      <c r="I1040" t="str">
        <f>VLOOKUP(tblSalaries[[#This Row],[Where do you work]],[1]!tblCountries[[Actual]:[Mapping]],2,FALSE)</f>
        <v>Poland</v>
      </c>
      <c r="J1040" t="s">
        <v>789</v>
      </c>
      <c r="K1040">
        <v>7</v>
      </c>
    </row>
    <row r="1041" spans="1:11" x14ac:dyDescent="0.2">
      <c r="A1041" t="s">
        <v>2639</v>
      </c>
      <c r="B1041" s="59">
        <v>41057.614189814813</v>
      </c>
      <c r="C1041">
        <v>200000</v>
      </c>
      <c r="D1041" t="s">
        <v>824</v>
      </c>
      <c r="E1041">
        <f>tblSalaries[[#This Row],[clean Salary (in local currency)]]*VLOOKUP(tblSalaries[[#This Row],[Currency]],[1]!tblXrate[#Data],2,FALSE)</f>
        <v>3561.5833374885137</v>
      </c>
      <c r="F1041" t="s">
        <v>2640</v>
      </c>
      <c r="G1041" t="s">
        <v>807</v>
      </c>
      <c r="H1041" t="s">
        <v>117</v>
      </c>
      <c r="I1041" t="str">
        <f>VLOOKUP(tblSalaries[[#This Row],[Where do you work]],[1]!tblCountries[[Actual]:[Mapping]],2,FALSE)</f>
        <v>India</v>
      </c>
      <c r="J1041" t="s">
        <v>799</v>
      </c>
      <c r="K1041">
        <v>5</v>
      </c>
    </row>
    <row r="1042" spans="1:11" x14ac:dyDescent="0.2">
      <c r="A1042" t="s">
        <v>2641</v>
      </c>
      <c r="B1042" s="59">
        <v>41057.614629629628</v>
      </c>
      <c r="C1042">
        <v>200000</v>
      </c>
      <c r="D1042" t="s">
        <v>824</v>
      </c>
      <c r="E1042">
        <f>tblSalaries[[#This Row],[clean Salary (in local currency)]]*VLOOKUP(tblSalaries[[#This Row],[Currency]],[1]!tblXrate[#Data],2,FALSE)</f>
        <v>3561.5833374885137</v>
      </c>
      <c r="F1042" t="s">
        <v>1915</v>
      </c>
      <c r="G1042" t="s">
        <v>836</v>
      </c>
      <c r="H1042" t="s">
        <v>117</v>
      </c>
      <c r="I1042" t="str">
        <f>VLOOKUP(tblSalaries[[#This Row],[Where do you work]],[1]!tblCountries[[Actual]:[Mapping]],2,FALSE)</f>
        <v>India</v>
      </c>
      <c r="J1042" t="s">
        <v>789</v>
      </c>
      <c r="K1042">
        <v>3</v>
      </c>
    </row>
    <row r="1043" spans="1:11" x14ac:dyDescent="0.2">
      <c r="A1043" t="s">
        <v>2642</v>
      </c>
      <c r="B1043" s="59">
        <v>41057.615763888891</v>
      </c>
      <c r="C1043">
        <v>5100</v>
      </c>
      <c r="D1043" t="s">
        <v>786</v>
      </c>
      <c r="E1043">
        <f>tblSalaries[[#This Row],[clean Salary (in local currency)]]*VLOOKUP(tblSalaries[[#This Row],[Currency]],[1]!tblXrate[#Data],2,FALSE)</f>
        <v>5100</v>
      </c>
      <c r="F1043" t="s">
        <v>1915</v>
      </c>
      <c r="G1043" t="s">
        <v>836</v>
      </c>
      <c r="H1043" t="s">
        <v>117</v>
      </c>
      <c r="I1043" t="str">
        <f>VLOOKUP(tblSalaries[[#This Row],[Where do you work]],[1]!tblCountries[[Actual]:[Mapping]],2,FALSE)</f>
        <v>India</v>
      </c>
      <c r="J1043" t="s">
        <v>794</v>
      </c>
      <c r="K1043">
        <v>8</v>
      </c>
    </row>
    <row r="1044" spans="1:11" x14ac:dyDescent="0.2">
      <c r="A1044" t="s">
        <v>2643</v>
      </c>
      <c r="B1044" s="59">
        <v>41057.618090277778</v>
      </c>
      <c r="C1044">
        <v>1200000</v>
      </c>
      <c r="D1044" t="s">
        <v>824</v>
      </c>
      <c r="E1044">
        <f>tblSalaries[[#This Row],[clean Salary (in local currency)]]*VLOOKUP(tblSalaries[[#This Row],[Currency]],[1]!tblXrate[#Data],2,FALSE)</f>
        <v>21369.500024931083</v>
      </c>
      <c r="F1044" t="s">
        <v>1925</v>
      </c>
      <c r="G1044" t="s">
        <v>788</v>
      </c>
      <c r="H1044" t="s">
        <v>117</v>
      </c>
      <c r="I1044" t="str">
        <f>VLOOKUP(tblSalaries[[#This Row],[Where do you work]],[1]!tblCountries[[Actual]:[Mapping]],2,FALSE)</f>
        <v>India</v>
      </c>
      <c r="J1044" t="s">
        <v>789</v>
      </c>
      <c r="K1044">
        <v>7</v>
      </c>
    </row>
    <row r="1045" spans="1:11" x14ac:dyDescent="0.2">
      <c r="A1045" t="s">
        <v>2644</v>
      </c>
      <c r="B1045" s="59">
        <v>41057.61996527778</v>
      </c>
      <c r="C1045">
        <v>300000</v>
      </c>
      <c r="D1045" t="s">
        <v>824</v>
      </c>
      <c r="E1045">
        <f>tblSalaries[[#This Row],[clean Salary (in local currency)]]*VLOOKUP(tblSalaries[[#This Row],[Currency]],[1]!tblXrate[#Data],2,FALSE)</f>
        <v>5342.3750062327708</v>
      </c>
      <c r="F1045" t="s">
        <v>2645</v>
      </c>
      <c r="G1045" t="s">
        <v>867</v>
      </c>
      <c r="H1045" t="s">
        <v>117</v>
      </c>
      <c r="I1045" t="str">
        <f>VLOOKUP(tblSalaries[[#This Row],[Where do you work]],[1]!tblCountries[[Actual]:[Mapping]],2,FALSE)</f>
        <v>India</v>
      </c>
      <c r="J1045" t="s">
        <v>799</v>
      </c>
      <c r="K1045">
        <v>1</v>
      </c>
    </row>
    <row r="1046" spans="1:11" x14ac:dyDescent="0.2">
      <c r="A1046" t="s">
        <v>2646</v>
      </c>
      <c r="B1046" s="59">
        <v>41057.620162037034</v>
      </c>
      <c r="C1046">
        <v>50000</v>
      </c>
      <c r="D1046" t="s">
        <v>786</v>
      </c>
      <c r="E1046">
        <f>tblSalaries[[#This Row],[clean Salary (in local currency)]]*VLOOKUP(tblSalaries[[#This Row],[Currency]],[1]!tblXrate[#Data],2,FALSE)</f>
        <v>50000</v>
      </c>
      <c r="F1046" t="s">
        <v>1702</v>
      </c>
      <c r="G1046" t="s">
        <v>813</v>
      </c>
      <c r="H1046" t="s">
        <v>117</v>
      </c>
      <c r="I1046" t="str">
        <f>VLOOKUP(tblSalaries[[#This Row],[Where do you work]],[1]!tblCountries[[Actual]:[Mapping]],2,FALSE)</f>
        <v>India</v>
      </c>
      <c r="J1046" t="s">
        <v>808</v>
      </c>
      <c r="K1046">
        <v>26</v>
      </c>
    </row>
    <row r="1047" spans="1:11" x14ac:dyDescent="0.2">
      <c r="A1047" t="s">
        <v>2647</v>
      </c>
      <c r="B1047" s="59">
        <v>41057.620648148149</v>
      </c>
      <c r="C1047">
        <v>1600000</v>
      </c>
      <c r="D1047" t="s">
        <v>824</v>
      </c>
      <c r="E1047">
        <f>tblSalaries[[#This Row],[clean Salary (in local currency)]]*VLOOKUP(tblSalaries[[#This Row],[Currency]],[1]!tblXrate[#Data],2,FALSE)</f>
        <v>28492.66669990811</v>
      </c>
      <c r="F1047" t="s">
        <v>2648</v>
      </c>
      <c r="G1047" t="s">
        <v>807</v>
      </c>
      <c r="H1047" t="s">
        <v>117</v>
      </c>
      <c r="I1047" t="str">
        <f>VLOOKUP(tblSalaries[[#This Row],[Where do you work]],[1]!tblCountries[[Actual]:[Mapping]],2,FALSE)</f>
        <v>India</v>
      </c>
      <c r="J1047" t="s">
        <v>794</v>
      </c>
      <c r="K1047">
        <v>9</v>
      </c>
    </row>
    <row r="1048" spans="1:11" x14ac:dyDescent="0.2">
      <c r="A1048" t="s">
        <v>2649</v>
      </c>
      <c r="B1048" s="59">
        <v>41057.622534722221</v>
      </c>
      <c r="C1048">
        <v>15600</v>
      </c>
      <c r="D1048" t="s">
        <v>861</v>
      </c>
      <c r="E1048">
        <f>tblSalaries[[#This Row],[clean Salary (in local currency)]]*VLOOKUP(tblSalaries[[#This Row],[Currency]],[1]!tblXrate[#Data],2,FALSE)</f>
        <v>24588.381044249632</v>
      </c>
      <c r="F1048" t="s">
        <v>2650</v>
      </c>
      <c r="G1048" t="s">
        <v>788</v>
      </c>
      <c r="H1048" t="s">
        <v>863</v>
      </c>
      <c r="I1048" t="str">
        <f>VLOOKUP(tblSalaries[[#This Row],[Where do you work]],[1]!tblCountries[[Actual]:[Mapping]],2,FALSE)</f>
        <v>UK</v>
      </c>
      <c r="J1048" t="s">
        <v>794</v>
      </c>
      <c r="K1048">
        <v>0</v>
      </c>
    </row>
    <row r="1049" spans="1:11" x14ac:dyDescent="0.2">
      <c r="A1049" t="s">
        <v>2651</v>
      </c>
      <c r="B1049" s="59">
        <v>41057.633773148147</v>
      </c>
      <c r="C1049">
        <v>7000</v>
      </c>
      <c r="D1049" t="s">
        <v>786</v>
      </c>
      <c r="E1049">
        <f>tblSalaries[[#This Row],[clean Salary (in local currency)]]*VLOOKUP(tblSalaries[[#This Row],[Currency]],[1]!tblXrate[#Data],2,FALSE)</f>
        <v>7000</v>
      </c>
      <c r="F1049" t="s">
        <v>1915</v>
      </c>
      <c r="G1049" t="s">
        <v>836</v>
      </c>
      <c r="H1049" t="s">
        <v>117</v>
      </c>
      <c r="I1049" t="str">
        <f>VLOOKUP(tblSalaries[[#This Row],[Where do you work]],[1]!tblCountries[[Actual]:[Mapping]],2,FALSE)</f>
        <v>India</v>
      </c>
      <c r="J1049" t="s">
        <v>794</v>
      </c>
      <c r="K1049">
        <v>5</v>
      </c>
    </row>
    <row r="1050" spans="1:11" x14ac:dyDescent="0.2">
      <c r="A1050" t="s">
        <v>2652</v>
      </c>
      <c r="B1050" s="59">
        <v>41057.636342592596</v>
      </c>
      <c r="C1050">
        <v>438000</v>
      </c>
      <c r="D1050" t="s">
        <v>824</v>
      </c>
      <c r="E1050">
        <f>tblSalaries[[#This Row],[clean Salary (in local currency)]]*VLOOKUP(tblSalaries[[#This Row],[Currency]],[1]!tblXrate[#Data],2,FALSE)</f>
        <v>7799.8675090998449</v>
      </c>
      <c r="F1050" t="s">
        <v>2653</v>
      </c>
      <c r="G1050" t="s">
        <v>788</v>
      </c>
      <c r="H1050" t="s">
        <v>117</v>
      </c>
      <c r="I1050" t="str">
        <f>VLOOKUP(tblSalaries[[#This Row],[Where do you work]],[1]!tblCountries[[Actual]:[Mapping]],2,FALSE)</f>
        <v>India</v>
      </c>
      <c r="J1050" t="s">
        <v>808</v>
      </c>
      <c r="K1050">
        <v>10</v>
      </c>
    </row>
    <row r="1051" spans="1:11" x14ac:dyDescent="0.2">
      <c r="A1051" t="s">
        <v>2654</v>
      </c>
      <c r="B1051" s="59">
        <v>41057.640173611115</v>
      </c>
      <c r="C1051">
        <v>50000</v>
      </c>
      <c r="D1051" t="s">
        <v>861</v>
      </c>
      <c r="E1051">
        <f>tblSalaries[[#This Row],[clean Salary (in local currency)]]*VLOOKUP(tblSalaries[[#This Row],[Currency]],[1]!tblXrate[#Data],2,FALSE)</f>
        <v>78808.913603364199</v>
      </c>
      <c r="F1051" t="s">
        <v>2655</v>
      </c>
      <c r="G1051" t="s">
        <v>807</v>
      </c>
      <c r="H1051" t="s">
        <v>863</v>
      </c>
      <c r="I1051" t="str">
        <f>VLOOKUP(tblSalaries[[#This Row],[Where do you work]],[1]!tblCountries[[Actual]:[Mapping]],2,FALSE)</f>
        <v>UK</v>
      </c>
      <c r="J1051" t="s">
        <v>799</v>
      </c>
      <c r="K1051">
        <v>12</v>
      </c>
    </row>
    <row r="1052" spans="1:11" x14ac:dyDescent="0.2">
      <c r="A1052" t="s">
        <v>2656</v>
      </c>
      <c r="B1052" s="59">
        <v>41057.644432870373</v>
      </c>
      <c r="C1052">
        <v>6720</v>
      </c>
      <c r="D1052" t="s">
        <v>786</v>
      </c>
      <c r="E1052">
        <f>tblSalaries[[#This Row],[clean Salary (in local currency)]]*VLOOKUP(tblSalaries[[#This Row],[Currency]],[1]!tblXrate[#Data],2,FALSE)</f>
        <v>6720</v>
      </c>
      <c r="F1052" t="s">
        <v>1915</v>
      </c>
      <c r="G1052" t="s">
        <v>836</v>
      </c>
      <c r="H1052" t="s">
        <v>117</v>
      </c>
      <c r="I1052" t="str">
        <f>VLOOKUP(tblSalaries[[#This Row],[Where do you work]],[1]!tblCountries[[Actual]:[Mapping]],2,FALSE)</f>
        <v>India</v>
      </c>
      <c r="J1052" t="s">
        <v>789</v>
      </c>
      <c r="K1052">
        <v>6</v>
      </c>
    </row>
    <row r="1053" spans="1:11" x14ac:dyDescent="0.2">
      <c r="A1053" t="s">
        <v>2657</v>
      </c>
      <c r="B1053" s="59">
        <v>41057.645416666666</v>
      </c>
      <c r="C1053">
        <v>250000</v>
      </c>
      <c r="D1053" t="s">
        <v>824</v>
      </c>
      <c r="E1053">
        <f>tblSalaries[[#This Row],[clean Salary (in local currency)]]*VLOOKUP(tblSalaries[[#This Row],[Currency]],[1]!tblXrate[#Data],2,FALSE)</f>
        <v>4451.9791718606421</v>
      </c>
      <c r="F1053" t="s">
        <v>2658</v>
      </c>
      <c r="G1053" t="s">
        <v>836</v>
      </c>
      <c r="H1053" t="s">
        <v>117</v>
      </c>
      <c r="I1053" t="str">
        <f>VLOOKUP(tblSalaries[[#This Row],[Where do you work]],[1]!tblCountries[[Actual]:[Mapping]],2,FALSE)</f>
        <v>India</v>
      </c>
      <c r="J1053" t="s">
        <v>794</v>
      </c>
      <c r="K1053">
        <v>3.5</v>
      </c>
    </row>
    <row r="1054" spans="1:11" x14ac:dyDescent="0.2">
      <c r="A1054" t="s">
        <v>2659</v>
      </c>
      <c r="B1054" s="59">
        <v>41057.645752314813</v>
      </c>
      <c r="C1054">
        <v>30000</v>
      </c>
      <c r="D1054" t="s">
        <v>861</v>
      </c>
      <c r="E1054">
        <f>tblSalaries[[#This Row],[clean Salary (in local currency)]]*VLOOKUP(tblSalaries[[#This Row],[Currency]],[1]!tblXrate[#Data],2,FALSE)</f>
        <v>47285.348162018527</v>
      </c>
      <c r="F1054" t="s">
        <v>984</v>
      </c>
      <c r="G1054" t="s">
        <v>788</v>
      </c>
      <c r="H1054" t="s">
        <v>863</v>
      </c>
      <c r="I1054" t="str">
        <f>VLOOKUP(tblSalaries[[#This Row],[Where do you work]],[1]!tblCountries[[Actual]:[Mapping]],2,FALSE)</f>
        <v>UK</v>
      </c>
      <c r="J1054" t="s">
        <v>794</v>
      </c>
      <c r="K1054">
        <v>15</v>
      </c>
    </row>
    <row r="1055" spans="1:11" x14ac:dyDescent="0.2">
      <c r="A1055" t="s">
        <v>2660</v>
      </c>
      <c r="B1055" s="59">
        <v>41057.648182870369</v>
      </c>
      <c r="C1055">
        <v>7200</v>
      </c>
      <c r="D1055" t="s">
        <v>786</v>
      </c>
      <c r="E1055">
        <f>tblSalaries[[#This Row],[clean Salary (in local currency)]]*VLOOKUP(tblSalaries[[#This Row],[Currency]],[1]!tblXrate[#Data],2,FALSE)</f>
        <v>7200</v>
      </c>
      <c r="F1055" t="s">
        <v>2661</v>
      </c>
      <c r="G1055" t="s">
        <v>788</v>
      </c>
      <c r="H1055" t="s">
        <v>117</v>
      </c>
      <c r="I1055" t="str">
        <f>VLOOKUP(tblSalaries[[#This Row],[Where do you work]],[1]!tblCountries[[Actual]:[Mapping]],2,FALSE)</f>
        <v>India</v>
      </c>
      <c r="J1055" t="s">
        <v>794</v>
      </c>
      <c r="K1055">
        <v>10</v>
      </c>
    </row>
    <row r="1056" spans="1:11" x14ac:dyDescent="0.2">
      <c r="A1056" t="s">
        <v>2662</v>
      </c>
      <c r="B1056" s="59">
        <v>41057.648344907408</v>
      </c>
      <c r="C1056">
        <v>2500000</v>
      </c>
      <c r="D1056" t="s">
        <v>824</v>
      </c>
      <c r="E1056">
        <f>tblSalaries[[#This Row],[clean Salary (in local currency)]]*VLOOKUP(tblSalaries[[#This Row],[Currency]],[1]!tblXrate[#Data],2,FALSE)</f>
        <v>44519.791718606422</v>
      </c>
      <c r="F1056" t="s">
        <v>2663</v>
      </c>
      <c r="G1056" t="s">
        <v>813</v>
      </c>
      <c r="H1056" t="s">
        <v>117</v>
      </c>
      <c r="I1056" t="str">
        <f>VLOOKUP(tblSalaries[[#This Row],[Where do you work]],[1]!tblCountries[[Actual]:[Mapping]],2,FALSE)</f>
        <v>India</v>
      </c>
      <c r="J1056" t="s">
        <v>789</v>
      </c>
      <c r="K1056">
        <v>9</v>
      </c>
    </row>
    <row r="1057" spans="1:11" x14ac:dyDescent="0.2">
      <c r="A1057" t="s">
        <v>2664</v>
      </c>
      <c r="B1057" s="59">
        <v>41057.64875</v>
      </c>
      <c r="C1057">
        <v>140000</v>
      </c>
      <c r="D1057" t="s">
        <v>824</v>
      </c>
      <c r="E1057">
        <f>tblSalaries[[#This Row],[clean Salary (in local currency)]]*VLOOKUP(tblSalaries[[#This Row],[Currency]],[1]!tblXrate[#Data],2,FALSE)</f>
        <v>2493.1083362419595</v>
      </c>
      <c r="F1057" t="s">
        <v>817</v>
      </c>
      <c r="G1057" t="s">
        <v>817</v>
      </c>
      <c r="H1057" t="s">
        <v>117</v>
      </c>
      <c r="I1057" t="str">
        <f>VLOOKUP(tblSalaries[[#This Row],[Where do you work]],[1]!tblCountries[[Actual]:[Mapping]],2,FALSE)</f>
        <v>India</v>
      </c>
      <c r="J1057" t="s">
        <v>789</v>
      </c>
      <c r="K1057">
        <v>4</v>
      </c>
    </row>
    <row r="1058" spans="1:11" x14ac:dyDescent="0.2">
      <c r="A1058" t="s">
        <v>2665</v>
      </c>
      <c r="B1058" s="59">
        <v>41057.649675925924</v>
      </c>
      <c r="C1058">
        <v>20000</v>
      </c>
      <c r="D1058" t="s">
        <v>861</v>
      </c>
      <c r="E1058">
        <f>tblSalaries[[#This Row],[clean Salary (in local currency)]]*VLOOKUP(tblSalaries[[#This Row],[Currency]],[1]!tblXrate[#Data],2,FALSE)</f>
        <v>31523.565441345683</v>
      </c>
      <c r="F1058" t="s">
        <v>2666</v>
      </c>
      <c r="G1058" t="s">
        <v>788</v>
      </c>
      <c r="H1058" t="s">
        <v>863</v>
      </c>
      <c r="I1058" t="str">
        <f>VLOOKUP(tblSalaries[[#This Row],[Where do you work]],[1]!tblCountries[[Actual]:[Mapping]],2,FALSE)</f>
        <v>UK</v>
      </c>
      <c r="J1058" t="s">
        <v>789</v>
      </c>
      <c r="K1058">
        <v>1</v>
      </c>
    </row>
    <row r="1059" spans="1:11" x14ac:dyDescent="0.2">
      <c r="A1059" t="s">
        <v>2667</v>
      </c>
      <c r="B1059" s="59">
        <v>41057.650960648149</v>
      </c>
      <c r="C1059">
        <v>1200000</v>
      </c>
      <c r="D1059" t="s">
        <v>824</v>
      </c>
      <c r="E1059">
        <f>tblSalaries[[#This Row],[clean Salary (in local currency)]]*VLOOKUP(tblSalaries[[#This Row],[Currency]],[1]!tblXrate[#Data],2,FALSE)</f>
        <v>21369.500024931083</v>
      </c>
      <c r="F1059" t="s">
        <v>2668</v>
      </c>
      <c r="G1059" t="s">
        <v>792</v>
      </c>
      <c r="H1059" t="s">
        <v>117</v>
      </c>
      <c r="I1059" t="str">
        <f>VLOOKUP(tblSalaries[[#This Row],[Where do you work]],[1]!tblCountries[[Actual]:[Mapping]],2,FALSE)</f>
        <v>India</v>
      </c>
      <c r="J1059" t="s">
        <v>789</v>
      </c>
      <c r="K1059">
        <v>8</v>
      </c>
    </row>
    <row r="1060" spans="1:11" x14ac:dyDescent="0.2">
      <c r="A1060" t="s">
        <v>2669</v>
      </c>
      <c r="B1060" s="59">
        <v>41057.65421296296</v>
      </c>
      <c r="C1060">
        <v>80000</v>
      </c>
      <c r="D1060" t="s">
        <v>861</v>
      </c>
      <c r="E1060">
        <f>tblSalaries[[#This Row],[clean Salary (in local currency)]]*VLOOKUP(tblSalaries[[#This Row],[Currency]],[1]!tblXrate[#Data],2,FALSE)</f>
        <v>126094.26176538273</v>
      </c>
      <c r="F1060" t="s">
        <v>2670</v>
      </c>
      <c r="G1060" t="s">
        <v>867</v>
      </c>
      <c r="H1060" t="s">
        <v>863</v>
      </c>
      <c r="I1060" t="str">
        <f>VLOOKUP(tblSalaries[[#This Row],[Where do you work]],[1]!tblCountries[[Actual]:[Mapping]],2,FALSE)</f>
        <v>UK</v>
      </c>
      <c r="J1060" t="s">
        <v>789</v>
      </c>
      <c r="K1060">
        <v>10</v>
      </c>
    </row>
    <row r="1061" spans="1:11" x14ac:dyDescent="0.2">
      <c r="A1061" t="s">
        <v>2671</v>
      </c>
      <c r="B1061" s="59">
        <v>41057.655694444446</v>
      </c>
      <c r="C1061">
        <v>63000</v>
      </c>
      <c r="D1061" t="s">
        <v>861</v>
      </c>
      <c r="E1061">
        <f>tblSalaries[[#This Row],[clean Salary (in local currency)]]*VLOOKUP(tblSalaries[[#This Row],[Currency]],[1]!tblXrate[#Data],2,FALSE)</f>
        <v>99299.231140238902</v>
      </c>
      <c r="F1061" t="s">
        <v>2672</v>
      </c>
      <c r="G1061" t="s">
        <v>820</v>
      </c>
      <c r="H1061" t="s">
        <v>863</v>
      </c>
      <c r="I1061" t="str">
        <f>VLOOKUP(tblSalaries[[#This Row],[Where do you work]],[1]!tblCountries[[Actual]:[Mapping]],2,FALSE)</f>
        <v>UK</v>
      </c>
      <c r="J1061" t="s">
        <v>799</v>
      </c>
      <c r="K1061">
        <v>1</v>
      </c>
    </row>
    <row r="1062" spans="1:11" x14ac:dyDescent="0.2">
      <c r="A1062" t="s">
        <v>2673</v>
      </c>
      <c r="B1062" s="59">
        <v>41057.658171296294</v>
      </c>
      <c r="C1062">
        <v>55000</v>
      </c>
      <c r="D1062" t="s">
        <v>861</v>
      </c>
      <c r="E1062">
        <f>tblSalaries[[#This Row],[clean Salary (in local currency)]]*VLOOKUP(tblSalaries[[#This Row],[Currency]],[1]!tblXrate[#Data],2,FALSE)</f>
        <v>86689.804963700633</v>
      </c>
      <c r="F1062" t="s">
        <v>1077</v>
      </c>
      <c r="G1062" t="s">
        <v>813</v>
      </c>
      <c r="H1062" t="s">
        <v>863</v>
      </c>
      <c r="I1062" t="str">
        <f>VLOOKUP(tblSalaries[[#This Row],[Where do you work]],[1]!tblCountries[[Actual]:[Mapping]],2,FALSE)</f>
        <v>UK</v>
      </c>
      <c r="J1062" t="s">
        <v>799</v>
      </c>
      <c r="K1062">
        <v>22</v>
      </c>
    </row>
    <row r="1063" spans="1:11" x14ac:dyDescent="0.2">
      <c r="A1063" t="s">
        <v>2674</v>
      </c>
      <c r="B1063" s="59">
        <v>41057.658599537041</v>
      </c>
      <c r="C1063">
        <v>50000</v>
      </c>
      <c r="D1063" t="s">
        <v>786</v>
      </c>
      <c r="E1063">
        <f>tblSalaries[[#This Row],[clean Salary (in local currency)]]*VLOOKUP(tblSalaries[[#This Row],[Currency]],[1]!tblXrate[#Data],2,FALSE)</f>
        <v>50000</v>
      </c>
      <c r="F1063" t="s">
        <v>2675</v>
      </c>
      <c r="G1063" t="s">
        <v>807</v>
      </c>
      <c r="H1063" t="s">
        <v>117</v>
      </c>
      <c r="I1063" t="str">
        <f>VLOOKUP(tblSalaries[[#This Row],[Where do you work]],[1]!tblCountries[[Actual]:[Mapping]],2,FALSE)</f>
        <v>India</v>
      </c>
      <c r="J1063" t="s">
        <v>799</v>
      </c>
      <c r="K1063">
        <v>30</v>
      </c>
    </row>
    <row r="1064" spans="1:11" x14ac:dyDescent="0.2">
      <c r="A1064" t="s">
        <v>2676</v>
      </c>
      <c r="B1064" s="59">
        <v>41057.659282407411</v>
      </c>
      <c r="C1064">
        <v>240000</v>
      </c>
      <c r="D1064" t="s">
        <v>824</v>
      </c>
      <c r="E1064">
        <f>tblSalaries[[#This Row],[clean Salary (in local currency)]]*VLOOKUP(tblSalaries[[#This Row],[Currency]],[1]!tblXrate[#Data],2,FALSE)</f>
        <v>4273.9000049862161</v>
      </c>
      <c r="F1064" t="s">
        <v>1960</v>
      </c>
      <c r="G1064" t="s">
        <v>788</v>
      </c>
      <c r="H1064" t="s">
        <v>117</v>
      </c>
      <c r="I1064" t="str">
        <f>VLOOKUP(tblSalaries[[#This Row],[Where do you work]],[1]!tblCountries[[Actual]:[Mapping]],2,FALSE)</f>
        <v>India</v>
      </c>
      <c r="J1064" t="s">
        <v>799</v>
      </c>
      <c r="K1064">
        <v>3</v>
      </c>
    </row>
    <row r="1065" spans="1:11" x14ac:dyDescent="0.2">
      <c r="A1065" t="s">
        <v>2677</v>
      </c>
      <c r="B1065" s="59">
        <v>41057.65965277778</v>
      </c>
      <c r="C1065">
        <v>250000</v>
      </c>
      <c r="D1065" t="s">
        <v>824</v>
      </c>
      <c r="E1065">
        <f>tblSalaries[[#This Row],[clean Salary (in local currency)]]*VLOOKUP(tblSalaries[[#This Row],[Currency]],[1]!tblXrate[#Data],2,FALSE)</f>
        <v>4451.9791718606421</v>
      </c>
      <c r="F1065" t="s">
        <v>1915</v>
      </c>
      <c r="G1065" t="s">
        <v>836</v>
      </c>
      <c r="H1065" t="s">
        <v>117</v>
      </c>
      <c r="I1065" t="str">
        <f>VLOOKUP(tblSalaries[[#This Row],[Where do you work]],[1]!tblCountries[[Actual]:[Mapping]],2,FALSE)</f>
        <v>India</v>
      </c>
      <c r="J1065" t="s">
        <v>799</v>
      </c>
      <c r="K1065">
        <v>3</v>
      </c>
    </row>
    <row r="1066" spans="1:11" x14ac:dyDescent="0.2">
      <c r="A1066" t="s">
        <v>2678</v>
      </c>
      <c r="B1066" s="59">
        <v>41057.660787037035</v>
      </c>
      <c r="C1066">
        <v>600000</v>
      </c>
      <c r="D1066" t="s">
        <v>824</v>
      </c>
      <c r="E1066">
        <f>tblSalaries[[#This Row],[clean Salary (in local currency)]]*VLOOKUP(tblSalaries[[#This Row],[Currency]],[1]!tblXrate[#Data],2,FALSE)</f>
        <v>10684.750012465542</v>
      </c>
      <c r="F1066" t="s">
        <v>2679</v>
      </c>
      <c r="G1066" t="s">
        <v>788</v>
      </c>
      <c r="H1066" t="s">
        <v>117</v>
      </c>
      <c r="I1066" t="str">
        <f>VLOOKUP(tblSalaries[[#This Row],[Where do you work]],[1]!tblCountries[[Actual]:[Mapping]],2,FALSE)</f>
        <v>India</v>
      </c>
      <c r="J1066" t="s">
        <v>789</v>
      </c>
      <c r="K1066">
        <v>10</v>
      </c>
    </row>
    <row r="1067" spans="1:11" x14ac:dyDescent="0.2">
      <c r="A1067" t="s">
        <v>2680</v>
      </c>
      <c r="B1067" s="59">
        <v>41057.666504629633</v>
      </c>
      <c r="C1067">
        <v>40500</v>
      </c>
      <c r="D1067" t="s">
        <v>861</v>
      </c>
      <c r="E1067">
        <f>tblSalaries[[#This Row],[clean Salary (in local currency)]]*VLOOKUP(tblSalaries[[#This Row],[Currency]],[1]!tblXrate[#Data],2,FALSE)</f>
        <v>63835.220018725006</v>
      </c>
      <c r="F1067" t="s">
        <v>2681</v>
      </c>
      <c r="G1067" t="s">
        <v>807</v>
      </c>
      <c r="H1067" t="s">
        <v>863</v>
      </c>
      <c r="I1067" t="str">
        <f>VLOOKUP(tblSalaries[[#This Row],[Where do you work]],[1]!tblCountries[[Actual]:[Mapping]],2,FALSE)</f>
        <v>UK</v>
      </c>
      <c r="J1067" t="s">
        <v>799</v>
      </c>
      <c r="K1067">
        <v>25</v>
      </c>
    </row>
    <row r="1068" spans="1:11" x14ac:dyDescent="0.2">
      <c r="A1068" t="s">
        <v>2682</v>
      </c>
      <c r="B1068" s="59">
        <v>41057.66741898148</v>
      </c>
      <c r="C1068">
        <v>23000</v>
      </c>
      <c r="D1068" t="s">
        <v>861</v>
      </c>
      <c r="E1068">
        <f>tblSalaries[[#This Row],[clean Salary (in local currency)]]*VLOOKUP(tblSalaries[[#This Row],[Currency]],[1]!tblXrate[#Data],2,FALSE)</f>
        <v>36252.100257547536</v>
      </c>
      <c r="F1068" t="s">
        <v>984</v>
      </c>
      <c r="G1068" t="s">
        <v>788</v>
      </c>
      <c r="H1068" t="s">
        <v>863</v>
      </c>
      <c r="I1068" t="str">
        <f>VLOOKUP(tblSalaries[[#This Row],[Where do you work]],[1]!tblCountries[[Actual]:[Mapping]],2,FALSE)</f>
        <v>UK</v>
      </c>
      <c r="J1068" t="s">
        <v>794</v>
      </c>
      <c r="K1068">
        <v>5</v>
      </c>
    </row>
    <row r="1069" spans="1:11" x14ac:dyDescent="0.2">
      <c r="A1069" t="s">
        <v>2683</v>
      </c>
      <c r="B1069" s="59">
        <v>41057.668958333335</v>
      </c>
      <c r="C1069">
        <v>7960</v>
      </c>
      <c r="D1069" t="s">
        <v>786</v>
      </c>
      <c r="E1069">
        <f>tblSalaries[[#This Row],[clean Salary (in local currency)]]*VLOOKUP(tblSalaries[[#This Row],[Currency]],[1]!tblXrate[#Data],2,FALSE)</f>
        <v>7960</v>
      </c>
      <c r="F1069" t="s">
        <v>2020</v>
      </c>
      <c r="G1069" t="s">
        <v>807</v>
      </c>
      <c r="H1069" t="s">
        <v>117</v>
      </c>
      <c r="I1069" t="str">
        <f>VLOOKUP(tblSalaries[[#This Row],[Where do you work]],[1]!tblCountries[[Actual]:[Mapping]],2,FALSE)</f>
        <v>India</v>
      </c>
      <c r="J1069" t="s">
        <v>789</v>
      </c>
      <c r="K1069">
        <v>7</v>
      </c>
    </row>
    <row r="1070" spans="1:11" x14ac:dyDescent="0.2">
      <c r="A1070" t="s">
        <v>2684</v>
      </c>
      <c r="B1070" s="59">
        <v>41057.669270833336</v>
      </c>
      <c r="C1070">
        <v>500000</v>
      </c>
      <c r="D1070" t="s">
        <v>824</v>
      </c>
      <c r="E1070">
        <f>tblSalaries[[#This Row],[clean Salary (in local currency)]]*VLOOKUP(tblSalaries[[#This Row],[Currency]],[1]!tblXrate[#Data],2,FALSE)</f>
        <v>8903.9583437212841</v>
      </c>
      <c r="F1070" t="s">
        <v>1960</v>
      </c>
      <c r="G1070" t="s">
        <v>788</v>
      </c>
      <c r="H1070" t="s">
        <v>117</v>
      </c>
      <c r="I1070" t="str">
        <f>VLOOKUP(tblSalaries[[#This Row],[Where do you work]],[1]!tblCountries[[Actual]:[Mapping]],2,FALSE)</f>
        <v>India</v>
      </c>
      <c r="J1070" t="s">
        <v>799</v>
      </c>
      <c r="K1070">
        <v>23</v>
      </c>
    </row>
    <row r="1071" spans="1:11" x14ac:dyDescent="0.2">
      <c r="A1071" t="s">
        <v>2685</v>
      </c>
      <c r="B1071" s="59">
        <v>41057.670636574076</v>
      </c>
      <c r="C1071">
        <v>40000</v>
      </c>
      <c r="D1071" t="s">
        <v>805</v>
      </c>
      <c r="E1071">
        <f>tblSalaries[[#This Row],[clean Salary (in local currency)]]*VLOOKUP(tblSalaries[[#This Row],[Currency]],[1]!tblXrate[#Data],2,FALSE)</f>
        <v>50815.977559664309</v>
      </c>
      <c r="F1071" t="s">
        <v>2686</v>
      </c>
      <c r="G1071" t="s">
        <v>788</v>
      </c>
      <c r="H1071" t="s">
        <v>228</v>
      </c>
      <c r="I1071" t="str">
        <f>VLOOKUP(tblSalaries[[#This Row],[Where do you work]],[1]!tblCountries[[Actual]:[Mapping]],2,FALSE)</f>
        <v>Netherlands</v>
      </c>
      <c r="J1071" t="s">
        <v>789</v>
      </c>
      <c r="K1071">
        <v>3</v>
      </c>
    </row>
    <row r="1072" spans="1:11" x14ac:dyDescent="0.2">
      <c r="A1072" t="s">
        <v>2687</v>
      </c>
      <c r="B1072" s="59">
        <v>41057.672118055554</v>
      </c>
      <c r="C1072">
        <v>30000</v>
      </c>
      <c r="D1072" t="s">
        <v>861</v>
      </c>
      <c r="E1072">
        <f>tblSalaries[[#This Row],[clean Salary (in local currency)]]*VLOOKUP(tblSalaries[[#This Row],[Currency]],[1]!tblXrate[#Data],2,FALSE)</f>
        <v>47285.348162018527</v>
      </c>
      <c r="F1072" t="s">
        <v>1390</v>
      </c>
      <c r="G1072" t="s">
        <v>788</v>
      </c>
      <c r="H1072" t="s">
        <v>863</v>
      </c>
      <c r="I1072" t="str">
        <f>VLOOKUP(tblSalaries[[#This Row],[Where do you work]],[1]!tblCountries[[Actual]:[Mapping]],2,FALSE)</f>
        <v>UK</v>
      </c>
      <c r="J1072" t="s">
        <v>789</v>
      </c>
      <c r="K1072">
        <v>4</v>
      </c>
    </row>
    <row r="1073" spans="1:11" x14ac:dyDescent="0.2">
      <c r="A1073" t="s">
        <v>2688</v>
      </c>
      <c r="B1073" s="59">
        <v>41057.672118055554</v>
      </c>
      <c r="C1073">
        <v>48000</v>
      </c>
      <c r="D1073" t="s">
        <v>861</v>
      </c>
      <c r="E1073">
        <f>tblSalaries[[#This Row],[clean Salary (in local currency)]]*VLOOKUP(tblSalaries[[#This Row],[Currency]],[1]!tblXrate[#Data],2,FALSE)</f>
        <v>75656.557059229643</v>
      </c>
      <c r="F1073" t="s">
        <v>2689</v>
      </c>
      <c r="G1073" t="s">
        <v>807</v>
      </c>
      <c r="H1073" t="s">
        <v>863</v>
      </c>
      <c r="I1073" t="str">
        <f>VLOOKUP(tblSalaries[[#This Row],[Where do you work]],[1]!tblCountries[[Actual]:[Mapping]],2,FALSE)</f>
        <v>UK</v>
      </c>
      <c r="J1073" t="s">
        <v>799</v>
      </c>
      <c r="K1073">
        <v>10</v>
      </c>
    </row>
    <row r="1074" spans="1:11" x14ac:dyDescent="0.2">
      <c r="A1074" t="s">
        <v>2690</v>
      </c>
      <c r="B1074" s="59">
        <v>41057.674212962964</v>
      </c>
      <c r="C1074">
        <v>240000</v>
      </c>
      <c r="D1074" t="s">
        <v>824</v>
      </c>
      <c r="E1074">
        <f>tblSalaries[[#This Row],[clean Salary (in local currency)]]*VLOOKUP(tblSalaries[[#This Row],[Currency]],[1]!tblXrate[#Data],2,FALSE)</f>
        <v>4273.9000049862161</v>
      </c>
      <c r="F1074" t="s">
        <v>817</v>
      </c>
      <c r="G1074" t="s">
        <v>817</v>
      </c>
      <c r="H1074" t="s">
        <v>117</v>
      </c>
      <c r="I1074" t="str">
        <f>VLOOKUP(tblSalaries[[#This Row],[Where do you work]],[1]!tblCountries[[Actual]:[Mapping]],2,FALSE)</f>
        <v>India</v>
      </c>
      <c r="J1074" t="s">
        <v>794</v>
      </c>
      <c r="K1074">
        <v>20</v>
      </c>
    </row>
    <row r="1075" spans="1:11" x14ac:dyDescent="0.2">
      <c r="A1075" t="s">
        <v>2691</v>
      </c>
      <c r="B1075" s="59">
        <v>41057.680104166669</v>
      </c>
      <c r="C1075">
        <v>37000</v>
      </c>
      <c r="D1075" t="s">
        <v>805</v>
      </c>
      <c r="E1075">
        <f>tblSalaries[[#This Row],[clean Salary (in local currency)]]*VLOOKUP(tblSalaries[[#This Row],[Currency]],[1]!tblXrate[#Data],2,FALSE)</f>
        <v>47004.779242689488</v>
      </c>
      <c r="F1075" t="s">
        <v>2692</v>
      </c>
      <c r="G1075" t="s">
        <v>788</v>
      </c>
      <c r="H1075" t="s">
        <v>290</v>
      </c>
      <c r="I1075" t="str">
        <f>VLOOKUP(tblSalaries[[#This Row],[Where do you work]],[1]!tblCountries[[Actual]:[Mapping]],2,FALSE)</f>
        <v>Spain</v>
      </c>
      <c r="J1075" t="s">
        <v>789</v>
      </c>
      <c r="K1075">
        <v>11</v>
      </c>
    </row>
    <row r="1076" spans="1:11" x14ac:dyDescent="0.2">
      <c r="A1076" t="s">
        <v>2693</v>
      </c>
      <c r="B1076" s="59">
        <v>41057.680335648147</v>
      </c>
      <c r="C1076">
        <v>30000</v>
      </c>
      <c r="D1076" t="s">
        <v>861</v>
      </c>
      <c r="E1076">
        <f>tblSalaries[[#This Row],[clean Salary (in local currency)]]*VLOOKUP(tblSalaries[[#This Row],[Currency]],[1]!tblXrate[#Data],2,FALSE)</f>
        <v>47285.348162018527</v>
      </c>
      <c r="F1076" t="s">
        <v>2694</v>
      </c>
      <c r="G1076" t="s">
        <v>788</v>
      </c>
      <c r="H1076" t="s">
        <v>863</v>
      </c>
      <c r="I1076" t="str">
        <f>VLOOKUP(tblSalaries[[#This Row],[Where do you work]],[1]!tblCountries[[Actual]:[Mapping]],2,FALSE)</f>
        <v>UK</v>
      </c>
      <c r="J1076" t="s">
        <v>794</v>
      </c>
      <c r="K1076">
        <v>10</v>
      </c>
    </row>
    <row r="1077" spans="1:11" x14ac:dyDescent="0.2">
      <c r="A1077" t="s">
        <v>2695</v>
      </c>
      <c r="B1077" s="59">
        <v>41057.681157407409</v>
      </c>
      <c r="C1077">
        <v>58000</v>
      </c>
      <c r="D1077" t="s">
        <v>861</v>
      </c>
      <c r="E1077">
        <f>tblSalaries[[#This Row],[clean Salary (in local currency)]]*VLOOKUP(tblSalaries[[#This Row],[Currency]],[1]!tblXrate[#Data],2,FALSE)</f>
        <v>91418.339779902482</v>
      </c>
      <c r="F1077" t="s">
        <v>2696</v>
      </c>
      <c r="G1077" t="s">
        <v>788</v>
      </c>
      <c r="H1077" t="s">
        <v>863</v>
      </c>
      <c r="I1077" t="str">
        <f>VLOOKUP(tblSalaries[[#This Row],[Where do you work]],[1]!tblCountries[[Actual]:[Mapping]],2,FALSE)</f>
        <v>UK</v>
      </c>
      <c r="J1077" t="s">
        <v>794</v>
      </c>
      <c r="K1077">
        <v>8</v>
      </c>
    </row>
    <row r="1078" spans="1:11" x14ac:dyDescent="0.2">
      <c r="A1078" t="s">
        <v>2697</v>
      </c>
      <c r="B1078" s="59">
        <v>41057.681562500002</v>
      </c>
      <c r="C1078">
        <v>79000</v>
      </c>
      <c r="D1078" t="s">
        <v>861</v>
      </c>
      <c r="E1078">
        <f>tblSalaries[[#This Row],[clean Salary (in local currency)]]*VLOOKUP(tblSalaries[[#This Row],[Currency]],[1]!tblXrate[#Data],2,FALSE)</f>
        <v>124518.08349331544</v>
      </c>
      <c r="F1078" t="s">
        <v>1032</v>
      </c>
      <c r="G1078" t="s">
        <v>788</v>
      </c>
      <c r="H1078" t="s">
        <v>863</v>
      </c>
      <c r="I1078" t="str">
        <f>VLOOKUP(tblSalaries[[#This Row],[Where do you work]],[1]!tblCountries[[Actual]:[Mapping]],2,FALSE)</f>
        <v>UK</v>
      </c>
      <c r="J1078" t="s">
        <v>799</v>
      </c>
      <c r="K1078">
        <v>14</v>
      </c>
    </row>
    <row r="1079" spans="1:11" x14ac:dyDescent="0.2">
      <c r="A1079" t="s">
        <v>2698</v>
      </c>
      <c r="B1079" s="59">
        <v>41057.684884259259</v>
      </c>
      <c r="C1079">
        <v>43912</v>
      </c>
      <c r="D1079" t="s">
        <v>861</v>
      </c>
      <c r="E1079">
        <f>tblSalaries[[#This Row],[clean Salary (in local currency)]]*VLOOKUP(tblSalaries[[#This Row],[Currency]],[1]!tblXrate[#Data],2,FALSE)</f>
        <v>69213.140283018583</v>
      </c>
      <c r="F1079" t="s">
        <v>1442</v>
      </c>
      <c r="G1079" t="s">
        <v>788</v>
      </c>
      <c r="H1079" t="s">
        <v>863</v>
      </c>
      <c r="I1079" t="str">
        <f>VLOOKUP(tblSalaries[[#This Row],[Where do you work]],[1]!tblCountries[[Actual]:[Mapping]],2,FALSE)</f>
        <v>UK</v>
      </c>
      <c r="J1079" t="s">
        <v>794</v>
      </c>
      <c r="K1079">
        <v>3</v>
      </c>
    </row>
    <row r="1080" spans="1:11" x14ac:dyDescent="0.2">
      <c r="A1080" t="s">
        <v>2699</v>
      </c>
      <c r="B1080" s="59">
        <v>41057.686400462961</v>
      </c>
      <c r="C1080">
        <v>3500</v>
      </c>
      <c r="D1080" t="s">
        <v>786</v>
      </c>
      <c r="E1080">
        <f>tblSalaries[[#This Row],[clean Salary (in local currency)]]*VLOOKUP(tblSalaries[[#This Row],[Currency]],[1]!tblXrate[#Data],2,FALSE)</f>
        <v>3500</v>
      </c>
      <c r="F1080" t="s">
        <v>2700</v>
      </c>
      <c r="G1080" t="s">
        <v>807</v>
      </c>
      <c r="H1080" t="s">
        <v>2701</v>
      </c>
      <c r="I1080" t="str">
        <f>VLOOKUP(tblSalaries[[#This Row],[Where do you work]],[1]!tblCountries[[Actual]:[Mapping]],2,FALSE)</f>
        <v>Pakistan</v>
      </c>
      <c r="J1080" t="s">
        <v>789</v>
      </c>
      <c r="K1080">
        <v>4</v>
      </c>
    </row>
    <row r="1081" spans="1:11" x14ac:dyDescent="0.2">
      <c r="A1081" t="s">
        <v>2702</v>
      </c>
      <c r="B1081" s="59">
        <v>41057.690833333334</v>
      </c>
      <c r="C1081">
        <v>40000</v>
      </c>
      <c r="D1081" t="s">
        <v>861</v>
      </c>
      <c r="E1081">
        <f>tblSalaries[[#This Row],[clean Salary (in local currency)]]*VLOOKUP(tblSalaries[[#This Row],[Currency]],[1]!tblXrate[#Data],2,FALSE)</f>
        <v>63047.130882691366</v>
      </c>
      <c r="F1081" t="s">
        <v>1199</v>
      </c>
      <c r="G1081" t="s">
        <v>807</v>
      </c>
      <c r="H1081" t="s">
        <v>863</v>
      </c>
      <c r="I1081" t="str">
        <f>VLOOKUP(tblSalaries[[#This Row],[Where do you work]],[1]!tblCountries[[Actual]:[Mapping]],2,FALSE)</f>
        <v>UK</v>
      </c>
      <c r="J1081" t="s">
        <v>808</v>
      </c>
      <c r="K1081">
        <v>20</v>
      </c>
    </row>
    <row r="1082" spans="1:11" x14ac:dyDescent="0.2">
      <c r="A1082" t="s">
        <v>2703</v>
      </c>
      <c r="B1082" s="59">
        <v>41057.691192129627</v>
      </c>
      <c r="C1082">
        <v>57000</v>
      </c>
      <c r="D1082" t="s">
        <v>805</v>
      </c>
      <c r="E1082">
        <f>tblSalaries[[#This Row],[clean Salary (in local currency)]]*VLOOKUP(tblSalaries[[#This Row],[Currency]],[1]!tblXrate[#Data],2,FALSE)</f>
        <v>72412.768022521646</v>
      </c>
      <c r="F1082" t="s">
        <v>2704</v>
      </c>
      <c r="G1082" t="s">
        <v>807</v>
      </c>
      <c r="H1082" t="s">
        <v>233</v>
      </c>
      <c r="I1082" t="str">
        <f>VLOOKUP(tblSalaries[[#This Row],[Where do you work]],[1]!tblCountries[[Actual]:[Mapping]],2,FALSE)</f>
        <v>Norway</v>
      </c>
      <c r="J1082" t="s">
        <v>808</v>
      </c>
      <c r="K1082">
        <v>15</v>
      </c>
    </row>
    <row r="1083" spans="1:11" x14ac:dyDescent="0.2">
      <c r="A1083" t="s">
        <v>2705</v>
      </c>
      <c r="B1083" s="59">
        <v>41057.695451388892</v>
      </c>
      <c r="C1083">
        <v>40000</v>
      </c>
      <c r="D1083" t="s">
        <v>805</v>
      </c>
      <c r="E1083">
        <f>tblSalaries[[#This Row],[clean Salary (in local currency)]]*VLOOKUP(tblSalaries[[#This Row],[Currency]],[1]!tblXrate[#Data],2,FALSE)</f>
        <v>50815.977559664309</v>
      </c>
      <c r="F1083" t="s">
        <v>1044</v>
      </c>
      <c r="G1083" t="s">
        <v>817</v>
      </c>
      <c r="H1083" t="s">
        <v>256</v>
      </c>
      <c r="I1083" t="str">
        <f>VLOOKUP(tblSalaries[[#This Row],[Where do you work]],[1]!tblCountries[[Actual]:[Mapping]],2,FALSE)</f>
        <v>Portugal</v>
      </c>
      <c r="J1083" t="s">
        <v>799</v>
      </c>
      <c r="K1083">
        <v>10</v>
      </c>
    </row>
    <row r="1084" spans="1:11" x14ac:dyDescent="0.2">
      <c r="A1084" t="s">
        <v>2706</v>
      </c>
      <c r="B1084" s="59">
        <v>41057.698240740741</v>
      </c>
      <c r="C1084">
        <v>1200000</v>
      </c>
      <c r="D1084" t="s">
        <v>824</v>
      </c>
      <c r="E1084">
        <f>tblSalaries[[#This Row],[clean Salary (in local currency)]]*VLOOKUP(tblSalaries[[#This Row],[Currency]],[1]!tblXrate[#Data],2,FALSE)</f>
        <v>21369.500024931083</v>
      </c>
      <c r="F1084" t="s">
        <v>2707</v>
      </c>
      <c r="G1084" t="s">
        <v>807</v>
      </c>
      <c r="H1084" t="s">
        <v>117</v>
      </c>
      <c r="I1084" t="str">
        <f>VLOOKUP(tblSalaries[[#This Row],[Where do you work]],[1]!tblCountries[[Actual]:[Mapping]],2,FALSE)</f>
        <v>India</v>
      </c>
      <c r="J1084" t="s">
        <v>799</v>
      </c>
      <c r="K1084">
        <v>5</v>
      </c>
    </row>
    <row r="1085" spans="1:11" x14ac:dyDescent="0.2">
      <c r="A1085" t="s">
        <v>2708</v>
      </c>
      <c r="B1085" s="59">
        <v>41057.698287037034</v>
      </c>
      <c r="C1085">
        <v>35000</v>
      </c>
      <c r="D1085" t="s">
        <v>861</v>
      </c>
      <c r="E1085">
        <f>tblSalaries[[#This Row],[clean Salary (in local currency)]]*VLOOKUP(tblSalaries[[#This Row],[Currency]],[1]!tblXrate[#Data],2,FALSE)</f>
        <v>55166.239522354947</v>
      </c>
      <c r="F1085" t="s">
        <v>2709</v>
      </c>
      <c r="G1085" t="s">
        <v>788</v>
      </c>
      <c r="H1085" t="s">
        <v>863</v>
      </c>
      <c r="I1085" t="str">
        <f>VLOOKUP(tblSalaries[[#This Row],[Where do you work]],[1]!tblCountries[[Actual]:[Mapping]],2,FALSE)</f>
        <v>UK</v>
      </c>
      <c r="J1085" t="s">
        <v>799</v>
      </c>
      <c r="K1085">
        <v>6</v>
      </c>
    </row>
    <row r="1086" spans="1:11" x14ac:dyDescent="0.2">
      <c r="A1086" t="s">
        <v>2710</v>
      </c>
      <c r="B1086" s="59">
        <v>41057.703622685185</v>
      </c>
      <c r="C1086">
        <v>180000</v>
      </c>
      <c r="D1086" t="s">
        <v>824</v>
      </c>
      <c r="E1086">
        <f>tblSalaries[[#This Row],[clean Salary (in local currency)]]*VLOOKUP(tblSalaries[[#This Row],[Currency]],[1]!tblXrate[#Data],2,FALSE)</f>
        <v>3205.4250037396623</v>
      </c>
      <c r="F1086" t="s">
        <v>2711</v>
      </c>
      <c r="G1086" t="s">
        <v>788</v>
      </c>
      <c r="H1086" t="s">
        <v>117</v>
      </c>
      <c r="I1086" t="str">
        <f>VLOOKUP(tblSalaries[[#This Row],[Where do you work]],[1]!tblCountries[[Actual]:[Mapping]],2,FALSE)</f>
        <v>India</v>
      </c>
      <c r="J1086" t="s">
        <v>794</v>
      </c>
      <c r="K1086">
        <v>3</v>
      </c>
    </row>
    <row r="1087" spans="1:11" x14ac:dyDescent="0.2">
      <c r="A1087" t="s">
        <v>2712</v>
      </c>
      <c r="B1087" s="59">
        <v>41057.706979166665</v>
      </c>
      <c r="C1087">
        <v>600000</v>
      </c>
      <c r="D1087" t="s">
        <v>824</v>
      </c>
      <c r="E1087">
        <f>tblSalaries[[#This Row],[clean Salary (in local currency)]]*VLOOKUP(tblSalaries[[#This Row],[Currency]],[1]!tblXrate[#Data],2,FALSE)</f>
        <v>10684.750012465542</v>
      </c>
      <c r="F1087" t="s">
        <v>2713</v>
      </c>
      <c r="G1087" t="s">
        <v>817</v>
      </c>
      <c r="H1087" t="s">
        <v>117</v>
      </c>
      <c r="I1087" t="str">
        <f>VLOOKUP(tblSalaries[[#This Row],[Where do you work]],[1]!tblCountries[[Actual]:[Mapping]],2,FALSE)</f>
        <v>India</v>
      </c>
      <c r="J1087" t="s">
        <v>799</v>
      </c>
      <c r="K1087">
        <v>8</v>
      </c>
    </row>
    <row r="1088" spans="1:11" x14ac:dyDescent="0.2">
      <c r="A1088" t="s">
        <v>2714</v>
      </c>
      <c r="B1088" s="59">
        <v>41057.708194444444</v>
      </c>
      <c r="C1088">
        <v>300000</v>
      </c>
      <c r="D1088" t="s">
        <v>824</v>
      </c>
      <c r="E1088">
        <f>tblSalaries[[#This Row],[clean Salary (in local currency)]]*VLOOKUP(tblSalaries[[#This Row],[Currency]],[1]!tblXrate[#Data],2,FALSE)</f>
        <v>5342.3750062327708</v>
      </c>
      <c r="F1088" t="s">
        <v>788</v>
      </c>
      <c r="G1088" t="s">
        <v>788</v>
      </c>
      <c r="H1088" t="s">
        <v>117</v>
      </c>
      <c r="I1088" t="str">
        <f>VLOOKUP(tblSalaries[[#This Row],[Where do you work]],[1]!tblCountries[[Actual]:[Mapping]],2,FALSE)</f>
        <v>India</v>
      </c>
      <c r="J1088" t="s">
        <v>789</v>
      </c>
      <c r="K1088">
        <v>5</v>
      </c>
    </row>
    <row r="1089" spans="1:11" x14ac:dyDescent="0.2">
      <c r="A1089" t="s">
        <v>2715</v>
      </c>
      <c r="B1089" s="59">
        <v>41057.710219907407</v>
      </c>
      <c r="C1089">
        <v>75000</v>
      </c>
      <c r="D1089" t="s">
        <v>861</v>
      </c>
      <c r="E1089">
        <f>tblSalaries[[#This Row],[clean Salary (in local currency)]]*VLOOKUP(tblSalaries[[#This Row],[Currency]],[1]!tblXrate[#Data],2,FALSE)</f>
        <v>118213.37040504631</v>
      </c>
      <c r="F1089" t="s">
        <v>1618</v>
      </c>
      <c r="G1089" t="s">
        <v>807</v>
      </c>
      <c r="H1089" t="s">
        <v>863</v>
      </c>
      <c r="I1089" t="str">
        <f>VLOOKUP(tblSalaries[[#This Row],[Where do you work]],[1]!tblCountries[[Actual]:[Mapping]],2,FALSE)</f>
        <v>UK</v>
      </c>
      <c r="J1089" t="s">
        <v>799</v>
      </c>
      <c r="K1089">
        <v>10</v>
      </c>
    </row>
    <row r="1090" spans="1:11" x14ac:dyDescent="0.2">
      <c r="A1090" t="s">
        <v>2716</v>
      </c>
      <c r="B1090" s="59">
        <v>41057.711157407408</v>
      </c>
      <c r="C1090">
        <v>100000</v>
      </c>
      <c r="D1090" t="s">
        <v>1688</v>
      </c>
      <c r="E1090">
        <f>tblSalaries[[#This Row],[clean Salary (in local currency)]]*VLOOKUP(tblSalaries[[#This Row],[Currency]],[1]!tblXrate[#Data],2,FALSE)</f>
        <v>12192.177986291113</v>
      </c>
      <c r="F1090" t="s">
        <v>2717</v>
      </c>
      <c r="G1090" t="s">
        <v>807</v>
      </c>
      <c r="H1090" t="s">
        <v>294</v>
      </c>
      <c r="I1090" t="str">
        <f>VLOOKUP(tblSalaries[[#This Row],[Where do you work]],[1]!tblCountries[[Actual]:[Mapping]],2,FALSE)</f>
        <v>South Africa</v>
      </c>
      <c r="J1090" t="s">
        <v>794</v>
      </c>
      <c r="K1090">
        <v>15</v>
      </c>
    </row>
    <row r="1091" spans="1:11" x14ac:dyDescent="0.2">
      <c r="A1091" t="s">
        <v>2718</v>
      </c>
      <c r="B1091" s="59">
        <v>41057.711886574078</v>
      </c>
      <c r="C1091">
        <v>45000</v>
      </c>
      <c r="D1091" t="s">
        <v>861</v>
      </c>
      <c r="E1091">
        <f>tblSalaries[[#This Row],[clean Salary (in local currency)]]*VLOOKUP(tblSalaries[[#This Row],[Currency]],[1]!tblXrate[#Data],2,FALSE)</f>
        <v>70928.022243027779</v>
      </c>
      <c r="F1091" t="s">
        <v>2719</v>
      </c>
      <c r="G1091" t="s">
        <v>813</v>
      </c>
      <c r="H1091" t="s">
        <v>863</v>
      </c>
      <c r="I1091" t="str">
        <f>VLOOKUP(tblSalaries[[#This Row],[Where do you work]],[1]!tblCountries[[Actual]:[Mapping]],2,FALSE)</f>
        <v>UK</v>
      </c>
      <c r="J1091" t="s">
        <v>789</v>
      </c>
      <c r="K1091">
        <v>8</v>
      </c>
    </row>
    <row r="1092" spans="1:11" x14ac:dyDescent="0.2">
      <c r="A1092" t="s">
        <v>2720</v>
      </c>
      <c r="B1092" s="59">
        <v>41057.715046296296</v>
      </c>
      <c r="C1092">
        <v>25000</v>
      </c>
      <c r="D1092" t="s">
        <v>861</v>
      </c>
      <c r="E1092">
        <f>tblSalaries[[#This Row],[clean Salary (in local currency)]]*VLOOKUP(tblSalaries[[#This Row],[Currency]],[1]!tblXrate[#Data],2,FALSE)</f>
        <v>39404.456801682099</v>
      </c>
      <c r="F1092" t="s">
        <v>2721</v>
      </c>
      <c r="G1092" t="s">
        <v>788</v>
      </c>
      <c r="H1092" t="s">
        <v>863</v>
      </c>
      <c r="I1092" t="str">
        <f>VLOOKUP(tblSalaries[[#This Row],[Where do you work]],[1]!tblCountries[[Actual]:[Mapping]],2,FALSE)</f>
        <v>UK</v>
      </c>
      <c r="J1092" t="s">
        <v>789</v>
      </c>
      <c r="K1092">
        <v>3</v>
      </c>
    </row>
    <row r="1093" spans="1:11" x14ac:dyDescent="0.2">
      <c r="A1093" t="s">
        <v>2722</v>
      </c>
      <c r="B1093" s="59">
        <v>41057.717210648145</v>
      </c>
      <c r="C1093">
        <v>18987</v>
      </c>
      <c r="D1093" t="s">
        <v>786</v>
      </c>
      <c r="E1093">
        <f>tblSalaries[[#This Row],[clean Salary (in local currency)]]*VLOOKUP(tblSalaries[[#This Row],[Currency]],[1]!tblXrate[#Data],2,FALSE)</f>
        <v>18987</v>
      </c>
      <c r="F1093" t="s">
        <v>1070</v>
      </c>
      <c r="G1093" t="s">
        <v>788</v>
      </c>
      <c r="H1093" t="s">
        <v>231</v>
      </c>
      <c r="I1093" t="str">
        <f>VLOOKUP(tblSalaries[[#This Row],[Where do you work]],[1]!tblCountries[[Actual]:[Mapping]],2,FALSE)</f>
        <v>Nigeria</v>
      </c>
      <c r="J1093" t="s">
        <v>794</v>
      </c>
      <c r="K1093">
        <v>7</v>
      </c>
    </row>
    <row r="1094" spans="1:11" x14ac:dyDescent="0.2">
      <c r="A1094" t="s">
        <v>2723</v>
      </c>
      <c r="B1094" s="59">
        <v>41057.719085648147</v>
      </c>
      <c r="C1094">
        <v>28500</v>
      </c>
      <c r="D1094" t="s">
        <v>861</v>
      </c>
      <c r="E1094">
        <f>tblSalaries[[#This Row],[clean Salary (in local currency)]]*VLOOKUP(tblSalaries[[#This Row],[Currency]],[1]!tblXrate[#Data],2,FALSE)</f>
        <v>44921.080753917595</v>
      </c>
      <c r="F1094" t="s">
        <v>2724</v>
      </c>
      <c r="G1094" t="s">
        <v>807</v>
      </c>
      <c r="H1094" t="s">
        <v>863</v>
      </c>
      <c r="I1094" t="str">
        <f>VLOOKUP(tblSalaries[[#This Row],[Where do you work]],[1]!tblCountries[[Actual]:[Mapping]],2,FALSE)</f>
        <v>UK</v>
      </c>
      <c r="J1094" t="s">
        <v>808</v>
      </c>
      <c r="K1094">
        <v>15</v>
      </c>
    </row>
    <row r="1095" spans="1:11" x14ac:dyDescent="0.2">
      <c r="A1095" t="s">
        <v>2725</v>
      </c>
      <c r="B1095" s="59">
        <v>41057.720590277779</v>
      </c>
      <c r="C1095">
        <v>60000</v>
      </c>
      <c r="D1095" t="s">
        <v>786</v>
      </c>
      <c r="E1095">
        <f>tblSalaries[[#This Row],[clean Salary (in local currency)]]*VLOOKUP(tblSalaries[[#This Row],[Currency]],[1]!tblXrate[#Data],2,FALSE)</f>
        <v>60000</v>
      </c>
      <c r="F1095" t="s">
        <v>1772</v>
      </c>
      <c r="G1095" t="s">
        <v>807</v>
      </c>
      <c r="H1095" t="s">
        <v>117</v>
      </c>
      <c r="I1095" t="str">
        <f>VLOOKUP(tblSalaries[[#This Row],[Where do you work]],[1]!tblCountries[[Actual]:[Mapping]],2,FALSE)</f>
        <v>India</v>
      </c>
      <c r="J1095" t="s">
        <v>794</v>
      </c>
      <c r="K1095">
        <v>14</v>
      </c>
    </row>
    <row r="1096" spans="1:11" x14ac:dyDescent="0.2">
      <c r="A1096" t="s">
        <v>2726</v>
      </c>
      <c r="B1096" s="59">
        <v>41057.721377314818</v>
      </c>
      <c r="C1096">
        <v>45200</v>
      </c>
      <c r="D1096" t="s">
        <v>861</v>
      </c>
      <c r="E1096">
        <f>tblSalaries[[#This Row],[clean Salary (in local currency)]]*VLOOKUP(tblSalaries[[#This Row],[Currency]],[1]!tblXrate[#Data],2,FALSE)</f>
        <v>71243.257897441246</v>
      </c>
      <c r="F1096" t="s">
        <v>2727</v>
      </c>
      <c r="G1096" t="s">
        <v>807</v>
      </c>
      <c r="H1096" t="s">
        <v>863</v>
      </c>
      <c r="I1096" t="str">
        <f>VLOOKUP(tblSalaries[[#This Row],[Where do you work]],[1]!tblCountries[[Actual]:[Mapping]],2,FALSE)</f>
        <v>UK</v>
      </c>
      <c r="J1096" t="s">
        <v>799</v>
      </c>
      <c r="K1096">
        <v>5</v>
      </c>
    </row>
    <row r="1097" spans="1:11" x14ac:dyDescent="0.2">
      <c r="A1097" t="s">
        <v>2728</v>
      </c>
      <c r="B1097" s="59">
        <v>41057.72383101852</v>
      </c>
      <c r="C1097">
        <v>252000</v>
      </c>
      <c r="D1097" t="s">
        <v>824</v>
      </c>
      <c r="E1097">
        <f>tblSalaries[[#This Row],[clean Salary (in local currency)]]*VLOOKUP(tblSalaries[[#This Row],[Currency]],[1]!tblXrate[#Data],2,FALSE)</f>
        <v>4487.5950052355274</v>
      </c>
      <c r="F1097" t="s">
        <v>2729</v>
      </c>
      <c r="G1097" t="s">
        <v>807</v>
      </c>
      <c r="H1097" t="s">
        <v>117</v>
      </c>
      <c r="I1097" t="str">
        <f>VLOOKUP(tblSalaries[[#This Row],[Where do you work]],[1]!tblCountries[[Actual]:[Mapping]],2,FALSE)</f>
        <v>India</v>
      </c>
      <c r="J1097" t="s">
        <v>808</v>
      </c>
      <c r="K1097">
        <v>16</v>
      </c>
    </row>
    <row r="1098" spans="1:11" x14ac:dyDescent="0.2">
      <c r="A1098" t="s">
        <v>2730</v>
      </c>
      <c r="B1098" s="59">
        <v>41057.732129629629</v>
      </c>
      <c r="C1098">
        <v>242304</v>
      </c>
      <c r="D1098" t="s">
        <v>824</v>
      </c>
      <c r="E1098">
        <f>tblSalaries[[#This Row],[clean Salary (in local currency)]]*VLOOKUP(tblSalaries[[#This Row],[Currency]],[1]!tblXrate[#Data],2,FALSE)</f>
        <v>4314.929445034084</v>
      </c>
      <c r="F1098" t="s">
        <v>2230</v>
      </c>
      <c r="G1098" t="s">
        <v>817</v>
      </c>
      <c r="H1098" t="s">
        <v>117</v>
      </c>
      <c r="I1098" t="str">
        <f>VLOOKUP(tblSalaries[[#This Row],[Where do you work]],[1]!tblCountries[[Actual]:[Mapping]],2,FALSE)</f>
        <v>India</v>
      </c>
      <c r="J1098" t="s">
        <v>789</v>
      </c>
      <c r="K1098">
        <v>7</v>
      </c>
    </row>
    <row r="1099" spans="1:11" x14ac:dyDescent="0.2">
      <c r="A1099" t="s">
        <v>2731</v>
      </c>
      <c r="B1099" s="59">
        <v>41057.735254629632</v>
      </c>
      <c r="C1099">
        <v>210000</v>
      </c>
      <c r="D1099" t="s">
        <v>824</v>
      </c>
      <c r="E1099">
        <f>tblSalaries[[#This Row],[clean Salary (in local currency)]]*VLOOKUP(tblSalaries[[#This Row],[Currency]],[1]!tblXrate[#Data],2,FALSE)</f>
        <v>3739.6625043629392</v>
      </c>
      <c r="F1099" t="s">
        <v>2732</v>
      </c>
      <c r="G1099" t="s">
        <v>788</v>
      </c>
      <c r="H1099" t="s">
        <v>117</v>
      </c>
      <c r="I1099" t="str">
        <f>VLOOKUP(tblSalaries[[#This Row],[Where do you work]],[1]!tblCountries[[Actual]:[Mapping]],2,FALSE)</f>
        <v>India</v>
      </c>
      <c r="J1099" t="s">
        <v>794</v>
      </c>
      <c r="K1099">
        <v>1</v>
      </c>
    </row>
    <row r="1100" spans="1:11" x14ac:dyDescent="0.2">
      <c r="A1100" t="s">
        <v>2733</v>
      </c>
      <c r="B1100" s="59">
        <v>41057.737627314818</v>
      </c>
      <c r="C1100">
        <v>60000</v>
      </c>
      <c r="D1100" t="s">
        <v>805</v>
      </c>
      <c r="E1100">
        <f>tblSalaries[[#This Row],[clean Salary (in local currency)]]*VLOOKUP(tblSalaries[[#This Row],[Currency]],[1]!tblXrate[#Data],2,FALSE)</f>
        <v>76223.966339496474</v>
      </c>
      <c r="F1100" t="s">
        <v>2734</v>
      </c>
      <c r="G1100" t="s">
        <v>807</v>
      </c>
      <c r="H1100" t="s">
        <v>90</v>
      </c>
      <c r="I1100" t="str">
        <f>VLOOKUP(tblSalaries[[#This Row],[Where do you work]],[1]!tblCountries[[Actual]:[Mapping]],2,FALSE)</f>
        <v>Finland</v>
      </c>
      <c r="J1100" t="s">
        <v>808</v>
      </c>
      <c r="K1100">
        <v>4</v>
      </c>
    </row>
    <row r="1101" spans="1:11" x14ac:dyDescent="0.2">
      <c r="A1101" t="s">
        <v>2735</v>
      </c>
      <c r="B1101" s="59">
        <v>41057.737754629627</v>
      </c>
      <c r="C1101">
        <v>120000</v>
      </c>
      <c r="D1101" t="s">
        <v>1333</v>
      </c>
      <c r="E1101">
        <f>tblSalaries[[#This Row],[clean Salary (in local currency)]]*VLOOKUP(tblSalaries[[#This Row],[Currency]],[1]!tblXrate[#Data],2,FALSE)</f>
        <v>32666.305522511171</v>
      </c>
      <c r="F1101" t="s">
        <v>1780</v>
      </c>
      <c r="G1101" t="s">
        <v>807</v>
      </c>
      <c r="H1101" t="s">
        <v>1022</v>
      </c>
      <c r="I1101" t="str">
        <f>VLOOKUP(tblSalaries[[#This Row],[Where do you work]],[1]!tblCountries[[Actual]:[Mapping]],2,FALSE)</f>
        <v>UAE</v>
      </c>
      <c r="J1101" t="s">
        <v>799</v>
      </c>
      <c r="K1101">
        <v>12</v>
      </c>
    </row>
    <row r="1102" spans="1:11" x14ac:dyDescent="0.2">
      <c r="A1102" t="s">
        <v>2736</v>
      </c>
      <c r="B1102" s="59">
        <v>41057.73809027778</v>
      </c>
      <c r="C1102">
        <v>19000</v>
      </c>
      <c r="D1102" t="s">
        <v>786</v>
      </c>
      <c r="E1102">
        <f>tblSalaries[[#This Row],[clean Salary (in local currency)]]*VLOOKUP(tblSalaries[[#This Row],[Currency]],[1]!tblXrate[#Data],2,FALSE)</f>
        <v>19000</v>
      </c>
      <c r="F1102" t="s">
        <v>2737</v>
      </c>
      <c r="G1102" t="s">
        <v>836</v>
      </c>
      <c r="H1102" t="s">
        <v>863</v>
      </c>
      <c r="I1102" t="str">
        <f>VLOOKUP(tblSalaries[[#This Row],[Where do you work]],[1]!tblCountries[[Actual]:[Mapping]],2,FALSE)</f>
        <v>UK</v>
      </c>
      <c r="J1102" t="s">
        <v>794</v>
      </c>
      <c r="K1102">
        <v>8</v>
      </c>
    </row>
    <row r="1103" spans="1:11" x14ac:dyDescent="0.2">
      <c r="A1103" t="s">
        <v>2738</v>
      </c>
      <c r="B1103" s="59">
        <v>41057.738159722219</v>
      </c>
      <c r="C1103">
        <v>50000</v>
      </c>
      <c r="D1103" t="s">
        <v>805</v>
      </c>
      <c r="E1103">
        <f>tblSalaries[[#This Row],[clean Salary (in local currency)]]*VLOOKUP(tblSalaries[[#This Row],[Currency]],[1]!tblXrate[#Data],2,FALSE)</f>
        <v>63519.971949580387</v>
      </c>
      <c r="F1103" t="s">
        <v>2739</v>
      </c>
      <c r="G1103" t="s">
        <v>802</v>
      </c>
      <c r="H1103" t="s">
        <v>256</v>
      </c>
      <c r="I1103" t="str">
        <f>VLOOKUP(tblSalaries[[#This Row],[Where do you work]],[1]!tblCountries[[Actual]:[Mapping]],2,FALSE)</f>
        <v>Portugal</v>
      </c>
      <c r="J1103" t="s">
        <v>799</v>
      </c>
      <c r="K1103">
        <v>14</v>
      </c>
    </row>
    <row r="1104" spans="1:11" x14ac:dyDescent="0.2">
      <c r="A1104" t="s">
        <v>2740</v>
      </c>
      <c r="B1104" s="59">
        <v>41057.745636574073</v>
      </c>
      <c r="C1104">
        <v>900000</v>
      </c>
      <c r="D1104" t="s">
        <v>824</v>
      </c>
      <c r="E1104">
        <f>tblSalaries[[#This Row],[clean Salary (in local currency)]]*VLOOKUP(tblSalaries[[#This Row],[Currency]],[1]!tblXrate[#Data],2,FALSE)</f>
        <v>16027.125018698311</v>
      </c>
      <c r="F1104" t="s">
        <v>2741</v>
      </c>
      <c r="G1104" t="s">
        <v>807</v>
      </c>
      <c r="H1104" t="s">
        <v>117</v>
      </c>
      <c r="I1104" t="str">
        <f>VLOOKUP(tblSalaries[[#This Row],[Where do you work]],[1]!tblCountries[[Actual]:[Mapping]],2,FALSE)</f>
        <v>India</v>
      </c>
      <c r="J1104" t="s">
        <v>789</v>
      </c>
      <c r="K1104">
        <v>22</v>
      </c>
    </row>
    <row r="1105" spans="1:11" x14ac:dyDescent="0.2">
      <c r="A1105" t="s">
        <v>2742</v>
      </c>
      <c r="B1105" s="59">
        <v>41057.751898148148</v>
      </c>
      <c r="C1105">
        <v>400000</v>
      </c>
      <c r="D1105" t="s">
        <v>824</v>
      </c>
      <c r="E1105">
        <f>tblSalaries[[#This Row],[clean Salary (in local currency)]]*VLOOKUP(tblSalaries[[#This Row],[Currency]],[1]!tblXrate[#Data],2,FALSE)</f>
        <v>7123.1666749770275</v>
      </c>
      <c r="F1105" t="s">
        <v>2743</v>
      </c>
      <c r="G1105" t="s">
        <v>836</v>
      </c>
      <c r="H1105" t="s">
        <v>117</v>
      </c>
      <c r="I1105" t="str">
        <f>VLOOKUP(tblSalaries[[#This Row],[Where do you work]],[1]!tblCountries[[Actual]:[Mapping]],2,FALSE)</f>
        <v>India</v>
      </c>
      <c r="J1105" t="s">
        <v>789</v>
      </c>
      <c r="K1105">
        <v>9</v>
      </c>
    </row>
    <row r="1106" spans="1:11" x14ac:dyDescent="0.2">
      <c r="A1106" t="s">
        <v>2744</v>
      </c>
      <c r="B1106" s="59">
        <v>41057.753622685188</v>
      </c>
      <c r="C1106">
        <v>150252</v>
      </c>
      <c r="D1106" t="s">
        <v>824</v>
      </c>
      <c r="E1106">
        <f>tblSalaries[[#This Row],[clean Salary (in local currency)]]*VLOOKUP(tblSalaries[[#This Row],[Currency]],[1]!tblXrate[#Data],2,FALSE)</f>
        <v>2675.675098121621</v>
      </c>
      <c r="F1106" t="s">
        <v>2745</v>
      </c>
      <c r="G1106" t="s">
        <v>807</v>
      </c>
      <c r="H1106" t="s">
        <v>117</v>
      </c>
      <c r="I1106" t="str">
        <f>VLOOKUP(tblSalaries[[#This Row],[Where do you work]],[1]!tblCountries[[Actual]:[Mapping]],2,FALSE)</f>
        <v>India</v>
      </c>
      <c r="J1106" t="s">
        <v>799</v>
      </c>
      <c r="K1106">
        <v>5</v>
      </c>
    </row>
    <row r="1107" spans="1:11" x14ac:dyDescent="0.2">
      <c r="A1107" t="s">
        <v>2746</v>
      </c>
      <c r="B1107" s="59">
        <v>41057.753657407404</v>
      </c>
      <c r="C1107">
        <v>15000</v>
      </c>
      <c r="D1107" t="s">
        <v>861</v>
      </c>
      <c r="E1107">
        <f>tblSalaries[[#This Row],[clean Salary (in local currency)]]*VLOOKUP(tblSalaries[[#This Row],[Currency]],[1]!tblXrate[#Data],2,FALSE)</f>
        <v>23642.674081009263</v>
      </c>
      <c r="F1107" t="s">
        <v>2737</v>
      </c>
      <c r="G1107" t="s">
        <v>836</v>
      </c>
      <c r="H1107" t="s">
        <v>863</v>
      </c>
      <c r="I1107" t="str">
        <f>VLOOKUP(tblSalaries[[#This Row],[Where do you work]],[1]!tblCountries[[Actual]:[Mapping]],2,FALSE)</f>
        <v>UK</v>
      </c>
      <c r="J1107" t="s">
        <v>794</v>
      </c>
      <c r="K1107">
        <v>2</v>
      </c>
    </row>
    <row r="1108" spans="1:11" x14ac:dyDescent="0.2">
      <c r="A1108" t="s">
        <v>2747</v>
      </c>
      <c r="B1108" s="59">
        <v>41057.758055555554</v>
      </c>
      <c r="C1108">
        <v>45000</v>
      </c>
      <c r="D1108" t="s">
        <v>805</v>
      </c>
      <c r="E1108">
        <f>tblSalaries[[#This Row],[clean Salary (in local currency)]]*VLOOKUP(tblSalaries[[#This Row],[Currency]],[1]!tblXrate[#Data],2,FALSE)</f>
        <v>57167.974754622352</v>
      </c>
      <c r="F1108" t="s">
        <v>2748</v>
      </c>
      <c r="G1108" t="s">
        <v>807</v>
      </c>
      <c r="H1108" t="s">
        <v>290</v>
      </c>
      <c r="I1108" t="str">
        <f>VLOOKUP(tblSalaries[[#This Row],[Where do you work]],[1]!tblCountries[[Actual]:[Mapping]],2,FALSE)</f>
        <v>Spain</v>
      </c>
      <c r="J1108" t="s">
        <v>789</v>
      </c>
      <c r="K1108">
        <v>14</v>
      </c>
    </row>
    <row r="1109" spans="1:11" x14ac:dyDescent="0.2">
      <c r="A1109" t="s">
        <v>2749</v>
      </c>
      <c r="B1109" s="59">
        <v>41057.771423611113</v>
      </c>
      <c r="C1109">
        <v>2400000</v>
      </c>
      <c r="D1109" t="s">
        <v>824</v>
      </c>
      <c r="E1109">
        <f>tblSalaries[[#This Row],[clean Salary (in local currency)]]*VLOOKUP(tblSalaries[[#This Row],[Currency]],[1]!tblXrate[#Data],2,FALSE)</f>
        <v>42739.000049862167</v>
      </c>
      <c r="F1109" t="s">
        <v>2750</v>
      </c>
      <c r="G1109" t="s">
        <v>807</v>
      </c>
      <c r="H1109" t="s">
        <v>117</v>
      </c>
      <c r="I1109" t="str">
        <f>VLOOKUP(tblSalaries[[#This Row],[Where do you work]],[1]!tblCountries[[Actual]:[Mapping]],2,FALSE)</f>
        <v>India</v>
      </c>
      <c r="J1109" t="s">
        <v>794</v>
      </c>
      <c r="K1109">
        <v>10</v>
      </c>
    </row>
    <row r="1110" spans="1:11" x14ac:dyDescent="0.2">
      <c r="A1110" t="s">
        <v>2751</v>
      </c>
      <c r="B1110" s="59">
        <v>41057.77375</v>
      </c>
      <c r="C1110">
        <v>216000</v>
      </c>
      <c r="D1110" t="s">
        <v>1314</v>
      </c>
      <c r="E1110">
        <f>tblSalaries[[#This Row],[clean Salary (in local currency)]]*VLOOKUP(tblSalaries[[#This Row],[Currency]],[1]!tblXrate[#Data],2,FALSE)</f>
        <v>5120.2912876821438</v>
      </c>
      <c r="F1110" t="s">
        <v>1594</v>
      </c>
      <c r="G1110" t="s">
        <v>807</v>
      </c>
      <c r="H1110" t="s">
        <v>252</v>
      </c>
      <c r="I1110" t="str">
        <f>VLOOKUP(tblSalaries[[#This Row],[Where do you work]],[1]!tblCountries[[Actual]:[Mapping]],2,FALSE)</f>
        <v>Philippines</v>
      </c>
      <c r="J1110" t="s">
        <v>789</v>
      </c>
      <c r="K1110">
        <v>2</v>
      </c>
    </row>
    <row r="1111" spans="1:11" x14ac:dyDescent="0.2">
      <c r="A1111" t="s">
        <v>2752</v>
      </c>
      <c r="B1111" s="59">
        <v>41057.776458333334</v>
      </c>
      <c r="C1111">
        <v>100000</v>
      </c>
      <c r="D1111" t="s">
        <v>805</v>
      </c>
      <c r="E1111">
        <f>tblSalaries[[#This Row],[clean Salary (in local currency)]]*VLOOKUP(tblSalaries[[#This Row],[Currency]],[1]!tblXrate[#Data],2,FALSE)</f>
        <v>127039.94389916077</v>
      </c>
      <c r="F1111" t="s">
        <v>1077</v>
      </c>
      <c r="G1111" t="s">
        <v>813</v>
      </c>
      <c r="H1111" t="s">
        <v>290</v>
      </c>
      <c r="I1111" t="str">
        <f>VLOOKUP(tblSalaries[[#This Row],[Where do you work]],[1]!tblCountries[[Actual]:[Mapping]],2,FALSE)</f>
        <v>Spain</v>
      </c>
      <c r="J1111" t="s">
        <v>808</v>
      </c>
      <c r="K1111">
        <v>20</v>
      </c>
    </row>
    <row r="1112" spans="1:11" x14ac:dyDescent="0.2">
      <c r="A1112" t="s">
        <v>2753</v>
      </c>
      <c r="B1112" s="59">
        <v>41057.777303240742</v>
      </c>
      <c r="C1112">
        <v>90000</v>
      </c>
      <c r="D1112" t="s">
        <v>786</v>
      </c>
      <c r="E1112">
        <f>tblSalaries[[#This Row],[clean Salary (in local currency)]]*VLOOKUP(tblSalaries[[#This Row],[Currency]],[1]!tblXrate[#Data],2,FALSE)</f>
        <v>90000</v>
      </c>
      <c r="F1112" t="s">
        <v>2754</v>
      </c>
      <c r="G1112" t="s">
        <v>807</v>
      </c>
      <c r="H1112" t="s">
        <v>15</v>
      </c>
      <c r="I1112" t="str">
        <f>VLOOKUP(tblSalaries[[#This Row],[Where do you work]],[1]!tblCountries[[Actual]:[Mapping]],2,FALSE)</f>
        <v>USA</v>
      </c>
      <c r="J1112" t="s">
        <v>789</v>
      </c>
      <c r="K1112">
        <v>5</v>
      </c>
    </row>
    <row r="1113" spans="1:11" x14ac:dyDescent="0.2">
      <c r="A1113" t="s">
        <v>2755</v>
      </c>
      <c r="B1113" s="59">
        <v>41057.777870370373</v>
      </c>
      <c r="C1113">
        <v>400000</v>
      </c>
      <c r="D1113" t="s">
        <v>824</v>
      </c>
      <c r="E1113">
        <f>tblSalaries[[#This Row],[clean Salary (in local currency)]]*VLOOKUP(tblSalaries[[#This Row],[Currency]],[1]!tblXrate[#Data],2,FALSE)</f>
        <v>7123.1666749770275</v>
      </c>
      <c r="F1113" t="s">
        <v>2756</v>
      </c>
      <c r="G1113" t="s">
        <v>802</v>
      </c>
      <c r="H1113" t="s">
        <v>117</v>
      </c>
      <c r="I1113" t="str">
        <f>VLOOKUP(tblSalaries[[#This Row],[Where do you work]],[1]!tblCountries[[Actual]:[Mapping]],2,FALSE)</f>
        <v>India</v>
      </c>
      <c r="J1113" t="s">
        <v>808</v>
      </c>
      <c r="K1113">
        <v>2</v>
      </c>
    </row>
    <row r="1114" spans="1:11" x14ac:dyDescent="0.2">
      <c r="A1114" t="s">
        <v>2757</v>
      </c>
      <c r="B1114" s="59">
        <v>41057.78125</v>
      </c>
      <c r="C1114">
        <v>10000</v>
      </c>
      <c r="D1114" t="s">
        <v>786</v>
      </c>
      <c r="E1114">
        <f>tblSalaries[[#This Row],[clean Salary (in local currency)]]*VLOOKUP(tblSalaries[[#This Row],[Currency]],[1]!tblXrate[#Data],2,FALSE)</f>
        <v>10000</v>
      </c>
      <c r="F1114" t="s">
        <v>1788</v>
      </c>
      <c r="G1114" t="s">
        <v>788</v>
      </c>
      <c r="H1114" t="s">
        <v>117</v>
      </c>
      <c r="I1114" t="str">
        <f>VLOOKUP(tblSalaries[[#This Row],[Where do you work]],[1]!tblCountries[[Actual]:[Mapping]],2,FALSE)</f>
        <v>India</v>
      </c>
      <c r="J1114" t="s">
        <v>799</v>
      </c>
      <c r="K1114">
        <v>5</v>
      </c>
    </row>
    <row r="1115" spans="1:11" x14ac:dyDescent="0.2">
      <c r="A1115" t="s">
        <v>2758</v>
      </c>
      <c r="B1115" s="59">
        <v>41057.785127314812</v>
      </c>
      <c r="C1115">
        <v>29000</v>
      </c>
      <c r="D1115" t="s">
        <v>861</v>
      </c>
      <c r="E1115">
        <f>tblSalaries[[#This Row],[clean Salary (in local currency)]]*VLOOKUP(tblSalaries[[#This Row],[Currency]],[1]!tblXrate[#Data],2,FALSE)</f>
        <v>45709.169889951241</v>
      </c>
      <c r="F1115" t="s">
        <v>796</v>
      </c>
      <c r="G1115" t="s">
        <v>788</v>
      </c>
      <c r="H1115" t="s">
        <v>863</v>
      </c>
      <c r="I1115" t="str">
        <f>VLOOKUP(tblSalaries[[#This Row],[Where do you work]],[1]!tblCountries[[Actual]:[Mapping]],2,FALSE)</f>
        <v>UK</v>
      </c>
      <c r="J1115" t="s">
        <v>789</v>
      </c>
      <c r="K1115">
        <v>14</v>
      </c>
    </row>
    <row r="1116" spans="1:11" x14ac:dyDescent="0.2">
      <c r="A1116" t="s">
        <v>2759</v>
      </c>
      <c r="B1116" s="59">
        <v>41057.795393518521</v>
      </c>
      <c r="C1116">
        <v>200000</v>
      </c>
      <c r="D1116" t="s">
        <v>824</v>
      </c>
      <c r="E1116">
        <f>tblSalaries[[#This Row],[clean Salary (in local currency)]]*VLOOKUP(tblSalaries[[#This Row],[Currency]],[1]!tblXrate[#Data],2,FALSE)</f>
        <v>3561.5833374885137</v>
      </c>
      <c r="F1116" t="s">
        <v>2760</v>
      </c>
      <c r="G1116" t="s">
        <v>836</v>
      </c>
      <c r="H1116" t="s">
        <v>117</v>
      </c>
      <c r="I1116" t="str">
        <f>VLOOKUP(tblSalaries[[#This Row],[Where do you work]],[1]!tblCountries[[Actual]:[Mapping]],2,FALSE)</f>
        <v>India</v>
      </c>
      <c r="J1116" t="s">
        <v>794</v>
      </c>
      <c r="K1116">
        <v>5</v>
      </c>
    </row>
    <row r="1117" spans="1:11" x14ac:dyDescent="0.2">
      <c r="A1117" t="s">
        <v>2761</v>
      </c>
      <c r="B1117" s="59">
        <v>41057.798344907409</v>
      </c>
      <c r="C1117">
        <v>30000</v>
      </c>
      <c r="D1117" t="s">
        <v>805</v>
      </c>
      <c r="E1117">
        <f>tblSalaries[[#This Row],[clean Salary (in local currency)]]*VLOOKUP(tblSalaries[[#This Row],[Currency]],[1]!tblXrate[#Data],2,FALSE)</f>
        <v>38111.983169748237</v>
      </c>
      <c r="F1117" t="s">
        <v>2762</v>
      </c>
      <c r="G1117" t="s">
        <v>788</v>
      </c>
      <c r="H1117" t="s">
        <v>42</v>
      </c>
      <c r="I1117" t="str">
        <f>VLOOKUP(tblSalaries[[#This Row],[Where do you work]],[1]!tblCountries[[Actual]:[Mapping]],2,FALSE)</f>
        <v>Belgium</v>
      </c>
      <c r="J1117" t="s">
        <v>808</v>
      </c>
      <c r="K1117">
        <v>15</v>
      </c>
    </row>
    <row r="1118" spans="1:11" x14ac:dyDescent="0.2">
      <c r="A1118" t="s">
        <v>2763</v>
      </c>
      <c r="B1118" s="59">
        <v>41057.805451388886</v>
      </c>
      <c r="C1118">
        <v>60000</v>
      </c>
      <c r="D1118" t="s">
        <v>786</v>
      </c>
      <c r="E1118">
        <f>tblSalaries[[#This Row],[clean Salary (in local currency)]]*VLOOKUP(tblSalaries[[#This Row],[Currency]],[1]!tblXrate[#Data],2,FALSE)</f>
        <v>60000</v>
      </c>
      <c r="F1118" t="s">
        <v>2764</v>
      </c>
      <c r="G1118" t="s">
        <v>788</v>
      </c>
      <c r="H1118" t="s">
        <v>15</v>
      </c>
      <c r="I1118" t="str">
        <f>VLOOKUP(tblSalaries[[#This Row],[Where do you work]],[1]!tblCountries[[Actual]:[Mapping]],2,FALSE)</f>
        <v>USA</v>
      </c>
      <c r="J1118" t="s">
        <v>799</v>
      </c>
      <c r="K1118">
        <v>4</v>
      </c>
    </row>
    <row r="1119" spans="1:11" x14ac:dyDescent="0.2">
      <c r="A1119" t="s">
        <v>2765</v>
      </c>
      <c r="B1119" s="59">
        <v>41057.807974537034</v>
      </c>
      <c r="C1119">
        <v>40000</v>
      </c>
      <c r="D1119" t="s">
        <v>786</v>
      </c>
      <c r="E1119">
        <f>tblSalaries[[#This Row],[clean Salary (in local currency)]]*VLOOKUP(tblSalaries[[#This Row],[Currency]],[1]!tblXrate[#Data],2,FALSE)</f>
        <v>40000</v>
      </c>
      <c r="F1119" t="s">
        <v>802</v>
      </c>
      <c r="G1119" t="s">
        <v>802</v>
      </c>
      <c r="H1119" t="s">
        <v>117</v>
      </c>
      <c r="I1119" t="str">
        <f>VLOOKUP(tblSalaries[[#This Row],[Where do you work]],[1]!tblCountries[[Actual]:[Mapping]],2,FALSE)</f>
        <v>India</v>
      </c>
      <c r="J1119" t="s">
        <v>799</v>
      </c>
      <c r="K1119">
        <v>2</v>
      </c>
    </row>
    <row r="1120" spans="1:11" x14ac:dyDescent="0.2">
      <c r="A1120" t="s">
        <v>2766</v>
      </c>
      <c r="B1120" s="59">
        <v>41057.809074074074</v>
      </c>
      <c r="C1120">
        <v>853000</v>
      </c>
      <c r="D1120" t="s">
        <v>824</v>
      </c>
      <c r="E1120">
        <f>tblSalaries[[#This Row],[clean Salary (in local currency)]]*VLOOKUP(tblSalaries[[#This Row],[Currency]],[1]!tblXrate[#Data],2,FALSE)</f>
        <v>15190.15293438851</v>
      </c>
      <c r="F1120" t="s">
        <v>2767</v>
      </c>
      <c r="G1120" t="s">
        <v>788</v>
      </c>
      <c r="H1120" t="s">
        <v>117</v>
      </c>
      <c r="I1120" t="str">
        <f>VLOOKUP(tblSalaries[[#This Row],[Where do you work]],[1]!tblCountries[[Actual]:[Mapping]],2,FALSE)</f>
        <v>India</v>
      </c>
      <c r="J1120" t="s">
        <v>799</v>
      </c>
      <c r="K1120">
        <v>6</v>
      </c>
    </row>
    <row r="1121" spans="1:11" x14ac:dyDescent="0.2">
      <c r="A1121" t="s">
        <v>2768</v>
      </c>
      <c r="B1121" s="59">
        <v>41057.809432870374</v>
      </c>
      <c r="C1121">
        <v>90000</v>
      </c>
      <c r="D1121" t="s">
        <v>805</v>
      </c>
      <c r="E1121">
        <f>tblSalaries[[#This Row],[clean Salary (in local currency)]]*VLOOKUP(tblSalaries[[#This Row],[Currency]],[1]!tblXrate[#Data],2,FALSE)</f>
        <v>114335.9495092447</v>
      </c>
      <c r="F1121" t="s">
        <v>2769</v>
      </c>
      <c r="G1121" t="s">
        <v>807</v>
      </c>
      <c r="H1121" t="s">
        <v>2770</v>
      </c>
      <c r="I1121" t="str">
        <f>VLOOKUP(tblSalaries[[#This Row],[Where do you work]],[1]!tblCountries[[Actual]:[Mapping]],2,FALSE)</f>
        <v>CEE</v>
      </c>
      <c r="J1121" t="s">
        <v>799</v>
      </c>
      <c r="K1121">
        <v>20</v>
      </c>
    </row>
    <row r="1122" spans="1:11" x14ac:dyDescent="0.2">
      <c r="A1122" t="s">
        <v>2771</v>
      </c>
      <c r="B1122" s="59">
        <v>41057.814062500001</v>
      </c>
      <c r="C1122">
        <v>23000</v>
      </c>
      <c r="D1122" t="s">
        <v>861</v>
      </c>
      <c r="E1122">
        <f>tblSalaries[[#This Row],[clean Salary (in local currency)]]*VLOOKUP(tblSalaries[[#This Row],[Currency]],[1]!tblXrate[#Data],2,FALSE)</f>
        <v>36252.100257547536</v>
      </c>
      <c r="F1122" t="s">
        <v>2772</v>
      </c>
      <c r="G1122" t="s">
        <v>807</v>
      </c>
      <c r="H1122" t="s">
        <v>863</v>
      </c>
      <c r="I1122" t="str">
        <f>VLOOKUP(tblSalaries[[#This Row],[Where do you work]],[1]!tblCountries[[Actual]:[Mapping]],2,FALSE)</f>
        <v>UK</v>
      </c>
      <c r="J1122" t="s">
        <v>789</v>
      </c>
      <c r="K1122">
        <v>10</v>
      </c>
    </row>
    <row r="1123" spans="1:11" x14ac:dyDescent="0.2">
      <c r="A1123" t="s">
        <v>2773</v>
      </c>
      <c r="B1123" s="59">
        <v>41057.828634259262</v>
      </c>
      <c r="C1123">
        <v>30000</v>
      </c>
      <c r="D1123" t="s">
        <v>861</v>
      </c>
      <c r="E1123">
        <f>tblSalaries[[#This Row],[clean Salary (in local currency)]]*VLOOKUP(tblSalaries[[#This Row],[Currency]],[1]!tblXrate[#Data],2,FALSE)</f>
        <v>47285.348162018527</v>
      </c>
      <c r="F1123" t="s">
        <v>2774</v>
      </c>
      <c r="G1123" t="s">
        <v>817</v>
      </c>
      <c r="H1123" t="s">
        <v>863</v>
      </c>
      <c r="I1123" t="str">
        <f>VLOOKUP(tblSalaries[[#This Row],[Where do you work]],[1]!tblCountries[[Actual]:[Mapping]],2,FALSE)</f>
        <v>UK</v>
      </c>
      <c r="J1123" t="s">
        <v>799</v>
      </c>
      <c r="K1123">
        <v>5</v>
      </c>
    </row>
    <row r="1124" spans="1:11" x14ac:dyDescent="0.2">
      <c r="A1124" t="s">
        <v>2775</v>
      </c>
      <c r="B1124" s="59">
        <v>41057.837037037039</v>
      </c>
      <c r="C1124">
        <v>70000</v>
      </c>
      <c r="D1124" t="s">
        <v>805</v>
      </c>
      <c r="E1124">
        <f>tblSalaries[[#This Row],[clean Salary (in local currency)]]*VLOOKUP(tblSalaries[[#This Row],[Currency]],[1]!tblXrate[#Data],2,FALSE)</f>
        <v>88927.960729412545</v>
      </c>
      <c r="F1124" t="s">
        <v>2776</v>
      </c>
      <c r="G1124" t="s">
        <v>867</v>
      </c>
      <c r="H1124" t="s">
        <v>351</v>
      </c>
      <c r="I1124" t="str">
        <f>VLOOKUP(tblSalaries[[#This Row],[Where do you work]],[1]!tblCountries[[Actual]:[Mapping]],2,FALSE)</f>
        <v>Ireland</v>
      </c>
      <c r="J1124" t="s">
        <v>799</v>
      </c>
      <c r="K1124">
        <v>20</v>
      </c>
    </row>
    <row r="1125" spans="1:11" x14ac:dyDescent="0.2">
      <c r="A1125" t="s">
        <v>2777</v>
      </c>
      <c r="B1125" s="59">
        <v>41057.847187500003</v>
      </c>
      <c r="C1125">
        <v>6000</v>
      </c>
      <c r="D1125" t="s">
        <v>786</v>
      </c>
      <c r="E1125">
        <f>tblSalaries[[#This Row],[clean Salary (in local currency)]]*VLOOKUP(tblSalaries[[#This Row],[Currency]],[1]!tblXrate[#Data],2,FALSE)</f>
        <v>6000</v>
      </c>
      <c r="F1125" t="s">
        <v>2778</v>
      </c>
      <c r="G1125" t="s">
        <v>817</v>
      </c>
      <c r="H1125" t="s">
        <v>265</v>
      </c>
      <c r="I1125" t="str">
        <f>VLOOKUP(tblSalaries[[#This Row],[Where do you work]],[1]!tblCountries[[Actual]:[Mapping]],2,FALSE)</f>
        <v>Zambia</v>
      </c>
      <c r="J1125" t="s">
        <v>794</v>
      </c>
      <c r="K1125">
        <v>5</v>
      </c>
    </row>
    <row r="1126" spans="1:11" x14ac:dyDescent="0.2">
      <c r="A1126" t="s">
        <v>2779</v>
      </c>
      <c r="B1126" s="59">
        <v>41057.84784722222</v>
      </c>
      <c r="C1126">
        <v>35000</v>
      </c>
      <c r="D1126" t="s">
        <v>786</v>
      </c>
      <c r="E1126">
        <f>tblSalaries[[#This Row],[clean Salary (in local currency)]]*VLOOKUP(tblSalaries[[#This Row],[Currency]],[1]!tblXrate[#Data],2,FALSE)</f>
        <v>35000</v>
      </c>
      <c r="F1126" t="s">
        <v>2780</v>
      </c>
      <c r="G1126" t="s">
        <v>788</v>
      </c>
      <c r="H1126" t="s">
        <v>15</v>
      </c>
      <c r="I1126" t="str">
        <f>VLOOKUP(tblSalaries[[#This Row],[Where do you work]],[1]!tblCountries[[Actual]:[Mapping]],2,FALSE)</f>
        <v>USA</v>
      </c>
      <c r="J1126" t="s">
        <v>794</v>
      </c>
      <c r="K1126">
        <v>20</v>
      </c>
    </row>
    <row r="1127" spans="1:11" x14ac:dyDescent="0.2">
      <c r="A1127" t="s">
        <v>2781</v>
      </c>
      <c r="B1127" s="59">
        <v>41057.857986111114</v>
      </c>
      <c r="C1127">
        <v>35000</v>
      </c>
      <c r="D1127" t="s">
        <v>861</v>
      </c>
      <c r="E1127">
        <f>tblSalaries[[#This Row],[clean Salary (in local currency)]]*VLOOKUP(tblSalaries[[#This Row],[Currency]],[1]!tblXrate[#Data],2,FALSE)</f>
        <v>55166.239522354947</v>
      </c>
      <c r="F1127" t="s">
        <v>2782</v>
      </c>
      <c r="G1127" t="s">
        <v>788</v>
      </c>
      <c r="H1127" t="s">
        <v>863</v>
      </c>
      <c r="I1127" t="str">
        <f>VLOOKUP(tblSalaries[[#This Row],[Where do you work]],[1]!tblCountries[[Actual]:[Mapping]],2,FALSE)</f>
        <v>UK</v>
      </c>
      <c r="J1127" t="s">
        <v>789</v>
      </c>
      <c r="K1127">
        <v>10</v>
      </c>
    </row>
    <row r="1128" spans="1:11" x14ac:dyDescent="0.2">
      <c r="A1128" t="s">
        <v>2783</v>
      </c>
      <c r="B1128" s="59">
        <v>41057.863553240742</v>
      </c>
      <c r="C1128">
        <v>168000</v>
      </c>
      <c r="D1128" t="s">
        <v>815</v>
      </c>
      <c r="E1128">
        <f>tblSalaries[[#This Row],[clean Salary (in local currency)]]*VLOOKUP(tblSalaries[[#This Row],[Currency]],[1]!tblXrate[#Data],2,FALSE)</f>
        <v>1783.166904422254</v>
      </c>
      <c r="F1128" t="s">
        <v>2784</v>
      </c>
      <c r="G1128" t="s">
        <v>817</v>
      </c>
      <c r="H1128" t="s">
        <v>240</v>
      </c>
      <c r="I1128" t="str">
        <f>VLOOKUP(tblSalaries[[#This Row],[Where do you work]],[1]!tblCountries[[Actual]:[Mapping]],2,FALSE)</f>
        <v>Pakistan</v>
      </c>
      <c r="J1128" t="s">
        <v>789</v>
      </c>
      <c r="K1128">
        <v>10</v>
      </c>
    </row>
    <row r="1129" spans="1:11" x14ac:dyDescent="0.2">
      <c r="A1129" t="s">
        <v>2785</v>
      </c>
      <c r="B1129" s="59">
        <v>41057.864988425928</v>
      </c>
      <c r="C1129">
        <v>13500</v>
      </c>
      <c r="D1129" t="s">
        <v>786</v>
      </c>
      <c r="E1129">
        <f>tblSalaries[[#This Row],[clean Salary (in local currency)]]*VLOOKUP(tblSalaries[[#This Row],[Currency]],[1]!tblXrate[#Data],2,FALSE)</f>
        <v>13500</v>
      </c>
      <c r="F1129" t="s">
        <v>1011</v>
      </c>
      <c r="G1129" t="s">
        <v>807</v>
      </c>
      <c r="H1129" t="s">
        <v>214</v>
      </c>
      <c r="I1129" t="str">
        <f>VLOOKUP(tblSalaries[[#This Row],[Where do you work]],[1]!tblCountries[[Actual]:[Mapping]],2,FALSE)</f>
        <v>Montenegro</v>
      </c>
      <c r="J1129" t="s">
        <v>789</v>
      </c>
      <c r="K1129">
        <v>13</v>
      </c>
    </row>
    <row r="1130" spans="1:11" x14ac:dyDescent="0.2">
      <c r="A1130" t="s">
        <v>2786</v>
      </c>
      <c r="B1130" s="59">
        <v>41057.86917824074</v>
      </c>
      <c r="C1130">
        <v>37500</v>
      </c>
      <c r="D1130" t="s">
        <v>861</v>
      </c>
      <c r="E1130">
        <f>tblSalaries[[#This Row],[clean Salary (in local currency)]]*VLOOKUP(tblSalaries[[#This Row],[Currency]],[1]!tblXrate[#Data],2,FALSE)</f>
        <v>59106.685202523156</v>
      </c>
      <c r="F1130" t="s">
        <v>2787</v>
      </c>
      <c r="G1130" t="s">
        <v>817</v>
      </c>
      <c r="H1130" t="s">
        <v>863</v>
      </c>
      <c r="I1130" t="str">
        <f>VLOOKUP(tblSalaries[[#This Row],[Where do you work]],[1]!tblCountries[[Actual]:[Mapping]],2,FALSE)</f>
        <v>UK</v>
      </c>
      <c r="J1130" t="s">
        <v>799</v>
      </c>
      <c r="K1130">
        <v>5</v>
      </c>
    </row>
    <row r="1131" spans="1:11" x14ac:dyDescent="0.2">
      <c r="A1131" t="s">
        <v>2788</v>
      </c>
      <c r="B1131" s="59">
        <v>41057.871168981481</v>
      </c>
      <c r="C1131">
        <v>708000</v>
      </c>
      <c r="D1131" t="s">
        <v>824</v>
      </c>
      <c r="E1131">
        <f>tblSalaries[[#This Row],[clean Salary (in local currency)]]*VLOOKUP(tblSalaries[[#This Row],[Currency]],[1]!tblXrate[#Data],2,FALSE)</f>
        <v>12608.005014709339</v>
      </c>
      <c r="F1131" t="s">
        <v>2789</v>
      </c>
      <c r="G1131" t="s">
        <v>807</v>
      </c>
      <c r="H1131" t="s">
        <v>117</v>
      </c>
      <c r="I1131" t="str">
        <f>VLOOKUP(tblSalaries[[#This Row],[Where do you work]],[1]!tblCountries[[Actual]:[Mapping]],2,FALSE)</f>
        <v>India</v>
      </c>
      <c r="J1131" t="s">
        <v>789</v>
      </c>
      <c r="K1131">
        <v>5</v>
      </c>
    </row>
    <row r="1132" spans="1:11" x14ac:dyDescent="0.2">
      <c r="A1132" t="s">
        <v>2790</v>
      </c>
      <c r="B1132" s="59">
        <v>41057.885011574072</v>
      </c>
      <c r="C1132">
        <v>366252</v>
      </c>
      <c r="D1132" t="s">
        <v>1688</v>
      </c>
      <c r="E1132">
        <f>tblSalaries[[#This Row],[clean Salary (in local currency)]]*VLOOKUP(tblSalaries[[#This Row],[Currency]],[1]!tblXrate[#Data],2,FALSE)</f>
        <v>44654.095718350931</v>
      </c>
      <c r="F1132" t="s">
        <v>817</v>
      </c>
      <c r="G1132" t="s">
        <v>817</v>
      </c>
      <c r="H1132" t="s">
        <v>294</v>
      </c>
      <c r="I1132" t="str">
        <f>VLOOKUP(tblSalaries[[#This Row],[Where do you work]],[1]!tblCountries[[Actual]:[Mapping]],2,FALSE)</f>
        <v>South Africa</v>
      </c>
      <c r="J1132" t="s">
        <v>794</v>
      </c>
      <c r="K1132">
        <v>15</v>
      </c>
    </row>
    <row r="1133" spans="1:11" x14ac:dyDescent="0.2">
      <c r="A1133" t="s">
        <v>2791</v>
      </c>
      <c r="B1133" s="59">
        <v>41057.88685185185</v>
      </c>
      <c r="C1133">
        <v>69000</v>
      </c>
      <c r="D1133" t="s">
        <v>786</v>
      </c>
      <c r="E1133">
        <f>tblSalaries[[#This Row],[clean Salary (in local currency)]]*VLOOKUP(tblSalaries[[#This Row],[Currency]],[1]!tblXrate[#Data],2,FALSE)</f>
        <v>69000</v>
      </c>
      <c r="F1133" t="s">
        <v>2792</v>
      </c>
      <c r="G1133" t="s">
        <v>788</v>
      </c>
      <c r="H1133" t="s">
        <v>15</v>
      </c>
      <c r="I1133" t="str">
        <f>VLOOKUP(tblSalaries[[#This Row],[Where do you work]],[1]!tblCountries[[Actual]:[Mapping]],2,FALSE)</f>
        <v>USA</v>
      </c>
      <c r="J1133" t="s">
        <v>799</v>
      </c>
      <c r="K1133">
        <v>20</v>
      </c>
    </row>
    <row r="1134" spans="1:11" x14ac:dyDescent="0.2">
      <c r="A1134" t="s">
        <v>2793</v>
      </c>
      <c r="B1134" s="59">
        <v>41057.913483796299</v>
      </c>
      <c r="C1134">
        <v>6000</v>
      </c>
      <c r="D1134" t="s">
        <v>786</v>
      </c>
      <c r="E1134">
        <f>tblSalaries[[#This Row],[clean Salary (in local currency)]]*VLOOKUP(tblSalaries[[#This Row],[Currency]],[1]!tblXrate[#Data],2,FALSE)</f>
        <v>6000</v>
      </c>
      <c r="F1134" t="s">
        <v>2794</v>
      </c>
      <c r="G1134" t="s">
        <v>807</v>
      </c>
      <c r="H1134" t="s">
        <v>117</v>
      </c>
      <c r="I1134" t="str">
        <f>VLOOKUP(tblSalaries[[#This Row],[Where do you work]],[1]!tblCountries[[Actual]:[Mapping]],2,FALSE)</f>
        <v>India</v>
      </c>
      <c r="J1134" t="s">
        <v>789</v>
      </c>
      <c r="K1134">
        <v>6</v>
      </c>
    </row>
    <row r="1135" spans="1:11" x14ac:dyDescent="0.2">
      <c r="A1135" t="s">
        <v>2795</v>
      </c>
      <c r="B1135" s="59">
        <v>41057.922361111108</v>
      </c>
      <c r="C1135">
        <v>500000</v>
      </c>
      <c r="D1135" t="s">
        <v>824</v>
      </c>
      <c r="E1135">
        <f>tblSalaries[[#This Row],[clean Salary (in local currency)]]*VLOOKUP(tblSalaries[[#This Row],[Currency]],[1]!tblXrate[#Data],2,FALSE)</f>
        <v>8903.9583437212841</v>
      </c>
      <c r="F1135" t="s">
        <v>2236</v>
      </c>
      <c r="G1135" t="s">
        <v>807</v>
      </c>
      <c r="H1135" t="s">
        <v>117</v>
      </c>
      <c r="I1135" t="str">
        <f>VLOOKUP(tblSalaries[[#This Row],[Where do you work]],[1]!tblCountries[[Actual]:[Mapping]],2,FALSE)</f>
        <v>India</v>
      </c>
      <c r="J1135" t="s">
        <v>808</v>
      </c>
      <c r="K1135">
        <v>25</v>
      </c>
    </row>
    <row r="1136" spans="1:11" x14ac:dyDescent="0.2">
      <c r="A1136" t="s">
        <v>2796</v>
      </c>
      <c r="B1136" s="59">
        <v>41057.923750000002</v>
      </c>
      <c r="C1136">
        <v>30000</v>
      </c>
      <c r="D1136" t="s">
        <v>786</v>
      </c>
      <c r="E1136">
        <f>tblSalaries[[#This Row],[clean Salary (in local currency)]]*VLOOKUP(tblSalaries[[#This Row],[Currency]],[1]!tblXrate[#Data],2,FALSE)</f>
        <v>30000</v>
      </c>
      <c r="F1136" t="s">
        <v>2797</v>
      </c>
      <c r="G1136" t="s">
        <v>807</v>
      </c>
      <c r="H1136" t="s">
        <v>2798</v>
      </c>
      <c r="I1136" t="str">
        <f>VLOOKUP(tblSalaries[[#This Row],[Where do you work]],[1]!tblCountries[[Actual]:[Mapping]],2,FALSE)</f>
        <v>Mexico</v>
      </c>
      <c r="J1136" t="s">
        <v>794</v>
      </c>
      <c r="K1136">
        <v>17</v>
      </c>
    </row>
    <row r="1137" spans="1:11" x14ac:dyDescent="0.2">
      <c r="A1137" t="s">
        <v>2799</v>
      </c>
      <c r="B1137" s="59">
        <v>41057.92597222222</v>
      </c>
      <c r="C1137">
        <v>8600</v>
      </c>
      <c r="D1137" t="s">
        <v>786</v>
      </c>
      <c r="E1137">
        <f>tblSalaries[[#This Row],[clean Salary (in local currency)]]*VLOOKUP(tblSalaries[[#This Row],[Currency]],[1]!tblXrate[#Data],2,FALSE)</f>
        <v>8600</v>
      </c>
      <c r="F1137" t="s">
        <v>2800</v>
      </c>
      <c r="G1137" t="s">
        <v>788</v>
      </c>
      <c r="H1137" t="s">
        <v>117</v>
      </c>
      <c r="I1137" t="str">
        <f>VLOOKUP(tblSalaries[[#This Row],[Where do you work]],[1]!tblCountries[[Actual]:[Mapping]],2,FALSE)</f>
        <v>India</v>
      </c>
      <c r="J1137" t="s">
        <v>789</v>
      </c>
      <c r="K1137">
        <v>2</v>
      </c>
    </row>
    <row r="1138" spans="1:11" x14ac:dyDescent="0.2">
      <c r="A1138" t="s">
        <v>2801</v>
      </c>
      <c r="B1138" s="59">
        <v>41057.934074074074</v>
      </c>
      <c r="C1138">
        <v>81600</v>
      </c>
      <c r="D1138" t="s">
        <v>786</v>
      </c>
      <c r="E1138">
        <f>tblSalaries[[#This Row],[clean Salary (in local currency)]]*VLOOKUP(tblSalaries[[#This Row],[Currency]],[1]!tblXrate[#Data],2,FALSE)</f>
        <v>81600</v>
      </c>
      <c r="F1138" t="s">
        <v>2802</v>
      </c>
      <c r="G1138" t="s">
        <v>788</v>
      </c>
      <c r="H1138" t="s">
        <v>863</v>
      </c>
      <c r="I1138" t="str">
        <f>VLOOKUP(tblSalaries[[#This Row],[Where do you work]],[1]!tblCountries[[Actual]:[Mapping]],2,FALSE)</f>
        <v>UK</v>
      </c>
      <c r="J1138" t="s">
        <v>789</v>
      </c>
      <c r="K1138">
        <v>4</v>
      </c>
    </row>
    <row r="1139" spans="1:11" x14ac:dyDescent="0.2">
      <c r="A1139" t="s">
        <v>2803</v>
      </c>
      <c r="B1139" s="59">
        <v>41057.939918981479</v>
      </c>
      <c r="C1139">
        <v>600000</v>
      </c>
      <c r="D1139" t="s">
        <v>2804</v>
      </c>
      <c r="E1139">
        <f>tblSalaries[[#This Row],[clean Salary (in local currency)]]*VLOOKUP(tblSalaries[[#This Row],[Currency]],[1]!tblXrate[#Data],2,FALSE)</f>
        <v>15404.364569961488</v>
      </c>
      <c r="F1139" t="s">
        <v>2805</v>
      </c>
      <c r="G1139" t="s">
        <v>788</v>
      </c>
      <c r="H1139" t="s">
        <v>2806</v>
      </c>
      <c r="I1139" t="str">
        <f>VLOOKUP(tblSalaries[[#This Row],[Where do you work]],[1]!tblCountries[[Actual]:[Mapping]],2,FALSE)</f>
        <v>Republica Dominicana</v>
      </c>
      <c r="J1139" t="s">
        <v>794</v>
      </c>
      <c r="K1139">
        <v>3</v>
      </c>
    </row>
    <row r="1140" spans="1:11" x14ac:dyDescent="0.2">
      <c r="A1140" t="s">
        <v>2807</v>
      </c>
      <c r="B1140" s="59">
        <v>41057.941620370373</v>
      </c>
      <c r="C1140">
        <v>65000</v>
      </c>
      <c r="D1140" t="s">
        <v>882</v>
      </c>
      <c r="E1140">
        <f>tblSalaries[[#This Row],[clean Salary (in local currency)]]*VLOOKUP(tblSalaries[[#This Row],[Currency]],[1]!tblXrate[#Data],2,FALSE)</f>
        <v>63918.498996971248</v>
      </c>
      <c r="F1140" t="s">
        <v>2808</v>
      </c>
      <c r="G1140" t="s">
        <v>788</v>
      </c>
      <c r="H1140" t="s">
        <v>143</v>
      </c>
      <c r="I1140" t="str">
        <f>VLOOKUP(tblSalaries[[#This Row],[Where do you work]],[1]!tblCountries[[Actual]:[Mapping]],2,FALSE)</f>
        <v>Canada</v>
      </c>
      <c r="J1140" t="s">
        <v>789</v>
      </c>
      <c r="K1140">
        <v>20</v>
      </c>
    </row>
    <row r="1141" spans="1:11" x14ac:dyDescent="0.2">
      <c r="A1141" t="s">
        <v>2809</v>
      </c>
      <c r="B1141" s="59">
        <v>41057.941921296297</v>
      </c>
      <c r="C1141">
        <v>75000</v>
      </c>
      <c r="D1141" t="s">
        <v>786</v>
      </c>
      <c r="E1141">
        <f>tblSalaries[[#This Row],[clean Salary (in local currency)]]*VLOOKUP(tblSalaries[[#This Row],[Currency]],[1]!tblXrate[#Data],2,FALSE)</f>
        <v>75000</v>
      </c>
      <c r="F1141" t="s">
        <v>792</v>
      </c>
      <c r="G1141" t="s">
        <v>792</v>
      </c>
      <c r="H1141" t="s">
        <v>15</v>
      </c>
      <c r="I1141" t="str">
        <f>VLOOKUP(tblSalaries[[#This Row],[Where do you work]],[1]!tblCountries[[Actual]:[Mapping]],2,FALSE)</f>
        <v>USA</v>
      </c>
      <c r="J1141" t="s">
        <v>799</v>
      </c>
      <c r="K1141">
        <v>20</v>
      </c>
    </row>
    <row r="1142" spans="1:11" x14ac:dyDescent="0.2">
      <c r="A1142" t="s">
        <v>2810</v>
      </c>
      <c r="B1142" s="59">
        <v>41057.942210648151</v>
      </c>
      <c r="C1142">
        <v>59000</v>
      </c>
      <c r="D1142" t="s">
        <v>786</v>
      </c>
      <c r="E1142">
        <f>tblSalaries[[#This Row],[clean Salary (in local currency)]]*VLOOKUP(tblSalaries[[#This Row],[Currency]],[1]!tblXrate[#Data],2,FALSE)</f>
        <v>59000</v>
      </c>
      <c r="F1142" t="s">
        <v>1396</v>
      </c>
      <c r="G1142" t="s">
        <v>788</v>
      </c>
      <c r="H1142" t="s">
        <v>15</v>
      </c>
      <c r="I1142" t="str">
        <f>VLOOKUP(tblSalaries[[#This Row],[Where do you work]],[1]!tblCountries[[Actual]:[Mapping]],2,FALSE)</f>
        <v>USA</v>
      </c>
      <c r="J1142" t="s">
        <v>789</v>
      </c>
      <c r="K1142">
        <v>14</v>
      </c>
    </row>
    <row r="1143" spans="1:11" x14ac:dyDescent="0.2">
      <c r="A1143" t="s">
        <v>2811</v>
      </c>
      <c r="B1143" s="59">
        <v>41057.943483796298</v>
      </c>
      <c r="C1143">
        <v>50000</v>
      </c>
      <c r="D1143" t="s">
        <v>786</v>
      </c>
      <c r="E1143">
        <f>tblSalaries[[#This Row],[clean Salary (in local currency)]]*VLOOKUP(tblSalaries[[#This Row],[Currency]],[1]!tblXrate[#Data],2,FALSE)</f>
        <v>50000</v>
      </c>
      <c r="F1143" t="s">
        <v>1656</v>
      </c>
      <c r="G1143" t="s">
        <v>807</v>
      </c>
      <c r="H1143" t="s">
        <v>143</v>
      </c>
      <c r="I1143" t="str">
        <f>VLOOKUP(tblSalaries[[#This Row],[Where do you work]],[1]!tblCountries[[Actual]:[Mapping]],2,FALSE)</f>
        <v>Canada</v>
      </c>
      <c r="J1143" t="s">
        <v>808</v>
      </c>
      <c r="K1143">
        <v>5</v>
      </c>
    </row>
    <row r="1144" spans="1:11" x14ac:dyDescent="0.2">
      <c r="A1144" t="s">
        <v>2812</v>
      </c>
      <c r="B1144" s="59">
        <v>41057.943854166668</v>
      </c>
      <c r="C1144">
        <v>80000</v>
      </c>
      <c r="D1144" t="s">
        <v>861</v>
      </c>
      <c r="E1144">
        <f>tblSalaries[[#This Row],[clean Salary (in local currency)]]*VLOOKUP(tblSalaries[[#This Row],[Currency]],[1]!tblXrate[#Data],2,FALSE)</f>
        <v>126094.26176538273</v>
      </c>
      <c r="F1144" t="s">
        <v>1026</v>
      </c>
      <c r="G1144" t="s">
        <v>792</v>
      </c>
      <c r="H1144" t="s">
        <v>863</v>
      </c>
      <c r="I1144" t="str">
        <f>VLOOKUP(tblSalaries[[#This Row],[Where do you work]],[1]!tblCountries[[Actual]:[Mapping]],2,FALSE)</f>
        <v>UK</v>
      </c>
      <c r="J1144" t="s">
        <v>789</v>
      </c>
      <c r="K1144">
        <v>15</v>
      </c>
    </row>
    <row r="1145" spans="1:11" x14ac:dyDescent="0.2">
      <c r="A1145" t="s">
        <v>2813</v>
      </c>
      <c r="B1145" s="59">
        <v>41057.945150462961</v>
      </c>
      <c r="C1145">
        <v>54000</v>
      </c>
      <c r="D1145" t="s">
        <v>2248</v>
      </c>
      <c r="E1145">
        <f>tblSalaries[[#This Row],[clean Salary (in local currency)]]*VLOOKUP(tblSalaries[[#This Row],[Currency]],[1]!tblXrate[#Data],2,FALSE)</f>
        <v>26691.183012544854</v>
      </c>
      <c r="F1145" t="s">
        <v>2814</v>
      </c>
      <c r="G1145" t="s">
        <v>807</v>
      </c>
      <c r="H1145" t="s">
        <v>54</v>
      </c>
      <c r="I1145" t="str">
        <f>VLOOKUP(tblSalaries[[#This Row],[Where do you work]],[1]!tblCountries[[Actual]:[Mapping]],2,FALSE)</f>
        <v>Brazil</v>
      </c>
      <c r="J1145" t="s">
        <v>808</v>
      </c>
      <c r="K1145">
        <v>7</v>
      </c>
    </row>
    <row r="1146" spans="1:11" x14ac:dyDescent="0.2">
      <c r="A1146" t="s">
        <v>2815</v>
      </c>
      <c r="B1146" s="59">
        <v>41057.9453125</v>
      </c>
      <c r="C1146">
        <v>500000</v>
      </c>
      <c r="D1146" t="s">
        <v>824</v>
      </c>
      <c r="E1146">
        <f>tblSalaries[[#This Row],[clean Salary (in local currency)]]*VLOOKUP(tblSalaries[[#This Row],[Currency]],[1]!tblXrate[#Data],2,FALSE)</f>
        <v>8903.9583437212841</v>
      </c>
      <c r="F1146" t="s">
        <v>1070</v>
      </c>
      <c r="G1146" t="s">
        <v>788</v>
      </c>
      <c r="H1146" t="s">
        <v>117</v>
      </c>
      <c r="I1146" t="str">
        <f>VLOOKUP(tblSalaries[[#This Row],[Where do you work]],[1]!tblCountries[[Actual]:[Mapping]],2,FALSE)</f>
        <v>India</v>
      </c>
      <c r="J1146" t="s">
        <v>789</v>
      </c>
      <c r="K1146">
        <v>0.8</v>
      </c>
    </row>
    <row r="1147" spans="1:11" x14ac:dyDescent="0.2">
      <c r="A1147" t="s">
        <v>2816</v>
      </c>
      <c r="B1147" s="59">
        <v>41057.945439814815</v>
      </c>
      <c r="C1147">
        <v>8725</v>
      </c>
      <c r="D1147" t="s">
        <v>786</v>
      </c>
      <c r="E1147">
        <f>tblSalaries[[#This Row],[clean Salary (in local currency)]]*VLOOKUP(tblSalaries[[#This Row],[Currency]],[1]!tblXrate[#Data],2,FALSE)</f>
        <v>8725</v>
      </c>
      <c r="F1147" t="s">
        <v>1704</v>
      </c>
      <c r="G1147" t="s">
        <v>807</v>
      </c>
      <c r="H1147" t="s">
        <v>240</v>
      </c>
      <c r="I1147" t="str">
        <f>VLOOKUP(tblSalaries[[#This Row],[Where do you work]],[1]!tblCountries[[Actual]:[Mapping]],2,FALSE)</f>
        <v>Pakistan</v>
      </c>
      <c r="J1147" t="s">
        <v>799</v>
      </c>
      <c r="K1147">
        <v>18</v>
      </c>
    </row>
    <row r="1148" spans="1:11" x14ac:dyDescent="0.2">
      <c r="A1148" t="s">
        <v>2817</v>
      </c>
      <c r="B1148" s="59">
        <v>41057.947777777779</v>
      </c>
      <c r="C1148">
        <v>32000</v>
      </c>
      <c r="D1148" t="s">
        <v>861</v>
      </c>
      <c r="E1148">
        <f>tblSalaries[[#This Row],[clean Salary (in local currency)]]*VLOOKUP(tblSalaries[[#This Row],[Currency]],[1]!tblXrate[#Data],2,FALSE)</f>
        <v>50437.70470615309</v>
      </c>
      <c r="F1148" t="s">
        <v>2818</v>
      </c>
      <c r="G1148" t="s">
        <v>788</v>
      </c>
      <c r="H1148" t="s">
        <v>863</v>
      </c>
      <c r="I1148" t="str">
        <f>VLOOKUP(tblSalaries[[#This Row],[Where do you work]],[1]!tblCountries[[Actual]:[Mapping]],2,FALSE)</f>
        <v>UK</v>
      </c>
      <c r="J1148" t="s">
        <v>789</v>
      </c>
      <c r="K1148">
        <v>4</v>
      </c>
    </row>
    <row r="1149" spans="1:11" x14ac:dyDescent="0.2">
      <c r="A1149" t="s">
        <v>2819</v>
      </c>
      <c r="B1149" s="59">
        <v>41057.948483796295</v>
      </c>
      <c r="C1149">
        <v>43000</v>
      </c>
      <c r="D1149" t="s">
        <v>861</v>
      </c>
      <c r="E1149">
        <f>tblSalaries[[#This Row],[clean Salary (in local currency)]]*VLOOKUP(tblSalaries[[#This Row],[Currency]],[1]!tblXrate[#Data],2,FALSE)</f>
        <v>67775.665698893223</v>
      </c>
      <c r="F1149" t="s">
        <v>2820</v>
      </c>
      <c r="G1149" t="s">
        <v>817</v>
      </c>
      <c r="H1149" t="s">
        <v>863</v>
      </c>
      <c r="I1149" t="str">
        <f>VLOOKUP(tblSalaries[[#This Row],[Where do you work]],[1]!tblCountries[[Actual]:[Mapping]],2,FALSE)</f>
        <v>UK</v>
      </c>
      <c r="J1149" t="s">
        <v>794</v>
      </c>
      <c r="K1149">
        <v>15</v>
      </c>
    </row>
    <row r="1150" spans="1:11" x14ac:dyDescent="0.2">
      <c r="A1150" t="s">
        <v>2821</v>
      </c>
      <c r="B1150" s="59">
        <v>41057.94903935185</v>
      </c>
      <c r="C1150">
        <v>53000</v>
      </c>
      <c r="D1150" t="s">
        <v>882</v>
      </c>
      <c r="E1150">
        <f>tblSalaries[[#This Row],[clean Salary (in local currency)]]*VLOOKUP(tblSalaries[[#This Row],[Currency]],[1]!tblXrate[#Data],2,FALSE)</f>
        <v>52118.160720607324</v>
      </c>
      <c r="F1150" t="s">
        <v>984</v>
      </c>
      <c r="G1150" t="s">
        <v>788</v>
      </c>
      <c r="H1150" t="s">
        <v>143</v>
      </c>
      <c r="I1150" t="str">
        <f>VLOOKUP(tblSalaries[[#This Row],[Where do you work]],[1]!tblCountries[[Actual]:[Mapping]],2,FALSE)</f>
        <v>Canada</v>
      </c>
      <c r="J1150" t="s">
        <v>789</v>
      </c>
      <c r="K1150">
        <v>6</v>
      </c>
    </row>
    <row r="1151" spans="1:11" x14ac:dyDescent="0.2">
      <c r="A1151" t="s">
        <v>2822</v>
      </c>
      <c r="B1151" s="59">
        <v>41057.950370370374</v>
      </c>
      <c r="C1151">
        <v>200000</v>
      </c>
      <c r="D1151" t="s">
        <v>824</v>
      </c>
      <c r="E1151">
        <f>tblSalaries[[#This Row],[clean Salary (in local currency)]]*VLOOKUP(tblSalaries[[#This Row],[Currency]],[1]!tblXrate[#Data],2,FALSE)</f>
        <v>3561.5833374885137</v>
      </c>
      <c r="F1151" t="s">
        <v>1737</v>
      </c>
      <c r="G1151" t="s">
        <v>788</v>
      </c>
      <c r="H1151" t="s">
        <v>117</v>
      </c>
      <c r="I1151" t="str">
        <f>VLOOKUP(tblSalaries[[#This Row],[Where do you work]],[1]!tblCountries[[Actual]:[Mapping]],2,FALSE)</f>
        <v>India</v>
      </c>
      <c r="J1151" t="s">
        <v>808</v>
      </c>
      <c r="K1151">
        <v>6</v>
      </c>
    </row>
    <row r="1152" spans="1:11" x14ac:dyDescent="0.2">
      <c r="A1152" t="s">
        <v>2823</v>
      </c>
      <c r="B1152" s="59">
        <v>41057.950868055559</v>
      </c>
      <c r="C1152">
        <v>450000</v>
      </c>
      <c r="D1152" t="s">
        <v>824</v>
      </c>
      <c r="E1152">
        <f>tblSalaries[[#This Row],[clean Salary (in local currency)]]*VLOOKUP(tblSalaries[[#This Row],[Currency]],[1]!tblXrate[#Data],2,FALSE)</f>
        <v>8013.5625093491553</v>
      </c>
      <c r="F1152" t="s">
        <v>1761</v>
      </c>
      <c r="G1152" t="s">
        <v>807</v>
      </c>
      <c r="H1152" t="s">
        <v>117</v>
      </c>
      <c r="I1152" t="str">
        <f>VLOOKUP(tblSalaries[[#This Row],[Where do you work]],[1]!tblCountries[[Actual]:[Mapping]],2,FALSE)</f>
        <v>India</v>
      </c>
      <c r="J1152" t="s">
        <v>789</v>
      </c>
      <c r="K1152">
        <v>21</v>
      </c>
    </row>
    <row r="1153" spans="1:11" x14ac:dyDescent="0.2">
      <c r="A1153" t="s">
        <v>2824</v>
      </c>
      <c r="B1153" s="59">
        <v>41057.951979166668</v>
      </c>
      <c r="C1153">
        <v>28000</v>
      </c>
      <c r="D1153" t="s">
        <v>786</v>
      </c>
      <c r="E1153">
        <f>tblSalaries[[#This Row],[clean Salary (in local currency)]]*VLOOKUP(tblSalaries[[#This Row],[Currency]],[1]!tblXrate[#Data],2,FALSE)</f>
        <v>28000</v>
      </c>
      <c r="F1153" t="s">
        <v>2825</v>
      </c>
      <c r="G1153" t="s">
        <v>807</v>
      </c>
      <c r="H1153" t="s">
        <v>254</v>
      </c>
      <c r="I1153" t="str">
        <f>VLOOKUP(tblSalaries[[#This Row],[Where do you work]],[1]!tblCountries[[Actual]:[Mapping]],2,FALSE)</f>
        <v>Poland</v>
      </c>
      <c r="J1153" t="s">
        <v>789</v>
      </c>
      <c r="K1153">
        <v>5</v>
      </c>
    </row>
    <row r="1154" spans="1:11" x14ac:dyDescent="0.2">
      <c r="A1154" t="s">
        <v>2826</v>
      </c>
      <c r="B1154" s="59">
        <v>41057.95239583333</v>
      </c>
      <c r="C1154">
        <v>31763</v>
      </c>
      <c r="D1154" t="s">
        <v>861</v>
      </c>
      <c r="E1154">
        <f>tblSalaries[[#This Row],[clean Salary (in local currency)]]*VLOOKUP(tblSalaries[[#This Row],[Currency]],[1]!tblXrate[#Data],2,FALSE)</f>
        <v>50064.150455673145</v>
      </c>
      <c r="F1154" t="s">
        <v>2827</v>
      </c>
      <c r="G1154" t="s">
        <v>788</v>
      </c>
      <c r="H1154" t="s">
        <v>863</v>
      </c>
      <c r="I1154" t="str">
        <f>VLOOKUP(tblSalaries[[#This Row],[Where do you work]],[1]!tblCountries[[Actual]:[Mapping]],2,FALSE)</f>
        <v>UK</v>
      </c>
      <c r="J1154" t="s">
        <v>799</v>
      </c>
      <c r="K1154">
        <v>2</v>
      </c>
    </row>
    <row r="1155" spans="1:11" x14ac:dyDescent="0.2">
      <c r="A1155" t="s">
        <v>2828</v>
      </c>
      <c r="B1155" s="59">
        <v>41057.952997685185</v>
      </c>
      <c r="C1155">
        <v>32000</v>
      </c>
      <c r="D1155" t="s">
        <v>861</v>
      </c>
      <c r="E1155">
        <f>tblSalaries[[#This Row],[clean Salary (in local currency)]]*VLOOKUP(tblSalaries[[#This Row],[Currency]],[1]!tblXrate[#Data],2,FALSE)</f>
        <v>50437.70470615309</v>
      </c>
      <c r="F1155" t="s">
        <v>2829</v>
      </c>
      <c r="G1155" t="s">
        <v>788</v>
      </c>
      <c r="H1155" t="s">
        <v>143</v>
      </c>
      <c r="I1155" t="str">
        <f>VLOOKUP(tblSalaries[[#This Row],[Where do you work]],[1]!tblCountries[[Actual]:[Mapping]],2,FALSE)</f>
        <v>Canada</v>
      </c>
      <c r="J1155" t="s">
        <v>789</v>
      </c>
      <c r="K1155">
        <v>9</v>
      </c>
    </row>
    <row r="1156" spans="1:11" x14ac:dyDescent="0.2">
      <c r="A1156" t="s">
        <v>2830</v>
      </c>
      <c r="B1156" s="59">
        <v>41057.953506944446</v>
      </c>
      <c r="C1156">
        <v>27840</v>
      </c>
      <c r="D1156" t="s">
        <v>786</v>
      </c>
      <c r="E1156">
        <f>tblSalaries[[#This Row],[clean Salary (in local currency)]]*VLOOKUP(tblSalaries[[#This Row],[Currency]],[1]!tblXrate[#Data],2,FALSE)</f>
        <v>27840</v>
      </c>
      <c r="F1156" t="s">
        <v>2831</v>
      </c>
      <c r="G1156" t="s">
        <v>788</v>
      </c>
      <c r="H1156" t="s">
        <v>15</v>
      </c>
      <c r="I1156" t="str">
        <f>VLOOKUP(tblSalaries[[#This Row],[Where do you work]],[1]!tblCountries[[Actual]:[Mapping]],2,FALSE)</f>
        <v>USA</v>
      </c>
      <c r="J1156" t="s">
        <v>799</v>
      </c>
      <c r="K1156">
        <v>1</v>
      </c>
    </row>
    <row r="1157" spans="1:11" x14ac:dyDescent="0.2">
      <c r="A1157" t="s">
        <v>2832</v>
      </c>
      <c r="B1157" s="59">
        <v>41057.954444444447</v>
      </c>
      <c r="C1157">
        <v>350000</v>
      </c>
      <c r="D1157" t="s">
        <v>824</v>
      </c>
      <c r="E1157">
        <f>tblSalaries[[#This Row],[clean Salary (in local currency)]]*VLOOKUP(tblSalaries[[#This Row],[Currency]],[1]!tblXrate[#Data],2,FALSE)</f>
        <v>6232.7708406048987</v>
      </c>
      <c r="F1157" t="s">
        <v>2833</v>
      </c>
      <c r="G1157" t="s">
        <v>817</v>
      </c>
      <c r="H1157" t="s">
        <v>117</v>
      </c>
      <c r="I1157" t="str">
        <f>VLOOKUP(tblSalaries[[#This Row],[Where do you work]],[1]!tblCountries[[Actual]:[Mapping]],2,FALSE)</f>
        <v>India</v>
      </c>
      <c r="J1157" t="s">
        <v>799</v>
      </c>
      <c r="K1157">
        <v>1.5</v>
      </c>
    </row>
    <row r="1158" spans="1:11" x14ac:dyDescent="0.2">
      <c r="A1158" t="s">
        <v>2834</v>
      </c>
      <c r="B1158" s="59">
        <v>41057.955324074072</v>
      </c>
      <c r="C1158">
        <v>50000</v>
      </c>
      <c r="D1158" t="s">
        <v>786</v>
      </c>
      <c r="E1158">
        <f>tblSalaries[[#This Row],[clean Salary (in local currency)]]*VLOOKUP(tblSalaries[[#This Row],[Currency]],[1]!tblXrate[#Data],2,FALSE)</f>
        <v>50000</v>
      </c>
      <c r="F1158" t="s">
        <v>802</v>
      </c>
      <c r="G1158" t="s">
        <v>802</v>
      </c>
      <c r="H1158" t="s">
        <v>283</v>
      </c>
      <c r="I1158" t="str">
        <f>VLOOKUP(tblSalaries[[#This Row],[Where do you work]],[1]!tblCountries[[Actual]:[Mapping]],2,FALSE)</f>
        <v>Singapore</v>
      </c>
      <c r="J1158" t="s">
        <v>799</v>
      </c>
      <c r="K1158">
        <v>25</v>
      </c>
    </row>
    <row r="1159" spans="1:11" x14ac:dyDescent="0.2">
      <c r="A1159" t="s">
        <v>2835</v>
      </c>
      <c r="B1159" s="59">
        <v>41057.957233796296</v>
      </c>
      <c r="C1159">
        <v>48000</v>
      </c>
      <c r="D1159" t="s">
        <v>786</v>
      </c>
      <c r="E1159">
        <f>tblSalaries[[#This Row],[clean Salary (in local currency)]]*VLOOKUP(tblSalaries[[#This Row],[Currency]],[1]!tblXrate[#Data],2,FALSE)</f>
        <v>48000</v>
      </c>
      <c r="F1159" t="s">
        <v>2836</v>
      </c>
      <c r="G1159" t="s">
        <v>792</v>
      </c>
      <c r="H1159" t="s">
        <v>149</v>
      </c>
      <c r="I1159" t="str">
        <f>VLOOKUP(tblSalaries[[#This Row],[Where do you work]],[1]!tblCountries[[Actual]:[Mapping]],2,FALSE)</f>
        <v>Qatar</v>
      </c>
      <c r="J1159" t="s">
        <v>799</v>
      </c>
      <c r="K1159">
        <v>10</v>
      </c>
    </row>
    <row r="1160" spans="1:11" x14ac:dyDescent="0.2">
      <c r="A1160" t="s">
        <v>2837</v>
      </c>
      <c r="B1160" s="59">
        <v>41057.957824074074</v>
      </c>
      <c r="C1160">
        <v>24000</v>
      </c>
      <c r="D1160" t="s">
        <v>786</v>
      </c>
      <c r="E1160">
        <f>tblSalaries[[#This Row],[clean Salary (in local currency)]]*VLOOKUP(tblSalaries[[#This Row],[Currency]],[1]!tblXrate[#Data],2,FALSE)</f>
        <v>24000</v>
      </c>
      <c r="F1160" t="s">
        <v>2838</v>
      </c>
      <c r="G1160" t="s">
        <v>807</v>
      </c>
      <c r="H1160" t="s">
        <v>24</v>
      </c>
      <c r="I1160" t="str">
        <f>VLOOKUP(tblSalaries[[#This Row],[Where do you work]],[1]!tblCountries[[Actual]:[Mapping]],2,FALSE)</f>
        <v>Argentina</v>
      </c>
      <c r="J1160" t="s">
        <v>789</v>
      </c>
      <c r="K1160">
        <v>21</v>
      </c>
    </row>
    <row r="1161" spans="1:11" x14ac:dyDescent="0.2">
      <c r="A1161" t="s">
        <v>2839</v>
      </c>
      <c r="B1161" s="59">
        <v>41057.959814814814</v>
      </c>
      <c r="C1161">
        <v>75000</v>
      </c>
      <c r="D1161" t="s">
        <v>786</v>
      </c>
      <c r="E1161">
        <f>tblSalaries[[#This Row],[clean Salary (in local currency)]]*VLOOKUP(tblSalaries[[#This Row],[Currency]],[1]!tblXrate[#Data],2,FALSE)</f>
        <v>75000</v>
      </c>
      <c r="F1161" t="s">
        <v>796</v>
      </c>
      <c r="G1161" t="s">
        <v>788</v>
      </c>
      <c r="H1161" t="s">
        <v>15</v>
      </c>
      <c r="I1161" t="str">
        <f>VLOOKUP(tblSalaries[[#This Row],[Where do you work]],[1]!tblCountries[[Actual]:[Mapping]],2,FALSE)</f>
        <v>USA</v>
      </c>
      <c r="J1161" t="s">
        <v>789</v>
      </c>
      <c r="K1161">
        <v>12</v>
      </c>
    </row>
    <row r="1162" spans="1:11" x14ac:dyDescent="0.2">
      <c r="A1162" t="s">
        <v>2840</v>
      </c>
      <c r="B1162" s="59">
        <v>41057.961840277778</v>
      </c>
      <c r="C1162">
        <v>216000</v>
      </c>
      <c r="D1162" t="s">
        <v>1333</v>
      </c>
      <c r="E1162">
        <f>tblSalaries[[#This Row],[clean Salary (in local currency)]]*VLOOKUP(tblSalaries[[#This Row],[Currency]],[1]!tblXrate[#Data],2,FALSE)</f>
        <v>58799.349940520107</v>
      </c>
      <c r="F1162" t="s">
        <v>1507</v>
      </c>
      <c r="G1162" t="s">
        <v>788</v>
      </c>
      <c r="H1162" t="s">
        <v>1334</v>
      </c>
      <c r="I1162" t="str">
        <f>VLOOKUP(tblSalaries[[#This Row],[Where do you work]],[1]!tblCountries[[Actual]:[Mapping]],2,FALSE)</f>
        <v>Dubai</v>
      </c>
      <c r="J1162" t="s">
        <v>789</v>
      </c>
      <c r="K1162">
        <v>2</v>
      </c>
    </row>
    <row r="1163" spans="1:11" x14ac:dyDescent="0.2">
      <c r="A1163" t="s">
        <v>2841</v>
      </c>
      <c r="B1163" s="59">
        <v>41057.962754629632</v>
      </c>
      <c r="C1163">
        <v>2000000</v>
      </c>
      <c r="D1163" t="s">
        <v>815</v>
      </c>
      <c r="E1163">
        <f>tblSalaries[[#This Row],[clean Salary (in local currency)]]*VLOOKUP(tblSalaries[[#This Row],[Currency]],[1]!tblXrate[#Data],2,FALSE)</f>
        <v>21228.177433598263</v>
      </c>
      <c r="F1163" t="s">
        <v>2842</v>
      </c>
      <c r="G1163" t="s">
        <v>867</v>
      </c>
      <c r="H1163" t="s">
        <v>240</v>
      </c>
      <c r="I1163" t="str">
        <f>VLOOKUP(tblSalaries[[#This Row],[Where do you work]],[1]!tblCountries[[Actual]:[Mapping]],2,FALSE)</f>
        <v>Pakistan</v>
      </c>
      <c r="J1163" t="s">
        <v>794</v>
      </c>
      <c r="K1163">
        <v>8</v>
      </c>
    </row>
    <row r="1164" spans="1:11" x14ac:dyDescent="0.2">
      <c r="A1164" t="s">
        <v>2843</v>
      </c>
      <c r="B1164" s="59">
        <v>41057.967638888891</v>
      </c>
      <c r="C1164">
        <v>60000</v>
      </c>
      <c r="D1164" t="s">
        <v>786</v>
      </c>
      <c r="E1164">
        <f>tblSalaries[[#This Row],[clean Salary (in local currency)]]*VLOOKUP(tblSalaries[[#This Row],[Currency]],[1]!tblXrate[#Data],2,FALSE)</f>
        <v>60000</v>
      </c>
      <c r="F1164" t="s">
        <v>2844</v>
      </c>
      <c r="G1164" t="s">
        <v>807</v>
      </c>
      <c r="H1164" t="s">
        <v>15</v>
      </c>
      <c r="I1164" t="str">
        <f>VLOOKUP(tblSalaries[[#This Row],[Where do you work]],[1]!tblCountries[[Actual]:[Mapping]],2,FALSE)</f>
        <v>USA</v>
      </c>
      <c r="J1164" t="s">
        <v>799</v>
      </c>
      <c r="K1164">
        <v>10</v>
      </c>
    </row>
    <row r="1165" spans="1:11" x14ac:dyDescent="0.2">
      <c r="A1165" t="s">
        <v>2845</v>
      </c>
      <c r="B1165" s="59">
        <v>41057.967719907407</v>
      </c>
      <c r="C1165">
        <v>60000</v>
      </c>
      <c r="D1165" t="s">
        <v>2846</v>
      </c>
      <c r="E1165">
        <f>tblSalaries[[#This Row],[clean Salary (in local currency)]]*VLOOKUP(tblSalaries[[#This Row],[Currency]],[1]!tblXrate[#Data],2,FALSE)</f>
        <v>18018.883790212141</v>
      </c>
      <c r="F1165" t="s">
        <v>919</v>
      </c>
      <c r="G1165" t="s">
        <v>788</v>
      </c>
      <c r="H1165" t="s">
        <v>254</v>
      </c>
      <c r="I1165" t="str">
        <f>VLOOKUP(tblSalaries[[#This Row],[Where do you work]],[1]!tblCountries[[Actual]:[Mapping]],2,FALSE)</f>
        <v>Poland</v>
      </c>
      <c r="J1165" t="s">
        <v>794</v>
      </c>
      <c r="K1165">
        <v>10</v>
      </c>
    </row>
    <row r="1166" spans="1:11" x14ac:dyDescent="0.2">
      <c r="A1166" t="s">
        <v>2847</v>
      </c>
      <c r="B1166" s="59">
        <v>41057.970277777778</v>
      </c>
      <c r="C1166">
        <v>7200</v>
      </c>
      <c r="D1166" t="s">
        <v>786</v>
      </c>
      <c r="E1166">
        <f>tblSalaries[[#This Row],[clean Salary (in local currency)]]*VLOOKUP(tblSalaries[[#This Row],[Currency]],[1]!tblXrate[#Data],2,FALSE)</f>
        <v>7200</v>
      </c>
      <c r="F1166" t="s">
        <v>2848</v>
      </c>
      <c r="G1166" t="s">
        <v>836</v>
      </c>
      <c r="H1166" t="s">
        <v>117</v>
      </c>
      <c r="I1166" t="str">
        <f>VLOOKUP(tblSalaries[[#This Row],[Where do you work]],[1]!tblCountries[[Actual]:[Mapping]],2,FALSE)</f>
        <v>India</v>
      </c>
      <c r="J1166" t="s">
        <v>789</v>
      </c>
      <c r="K1166">
        <v>7</v>
      </c>
    </row>
    <row r="1167" spans="1:11" x14ac:dyDescent="0.2">
      <c r="A1167" t="s">
        <v>2849</v>
      </c>
      <c r="B1167" s="59">
        <v>41057.970497685186</v>
      </c>
      <c r="C1167">
        <v>56000</v>
      </c>
      <c r="D1167" t="s">
        <v>786</v>
      </c>
      <c r="E1167">
        <f>tblSalaries[[#This Row],[clean Salary (in local currency)]]*VLOOKUP(tblSalaries[[#This Row],[Currency]],[1]!tblXrate[#Data],2,FALSE)</f>
        <v>56000</v>
      </c>
      <c r="F1167" t="s">
        <v>788</v>
      </c>
      <c r="G1167" t="s">
        <v>788</v>
      </c>
      <c r="H1167" t="s">
        <v>15</v>
      </c>
      <c r="I1167" t="str">
        <f>VLOOKUP(tblSalaries[[#This Row],[Where do you work]],[1]!tblCountries[[Actual]:[Mapping]],2,FALSE)</f>
        <v>USA</v>
      </c>
      <c r="J1167" t="s">
        <v>808</v>
      </c>
      <c r="K1167">
        <v>2</v>
      </c>
    </row>
    <row r="1168" spans="1:11" x14ac:dyDescent="0.2">
      <c r="A1168" t="s">
        <v>2850</v>
      </c>
      <c r="B1168" s="59">
        <v>41057.971944444442</v>
      </c>
      <c r="C1168">
        <v>540000</v>
      </c>
      <c r="D1168" t="s">
        <v>824</v>
      </c>
      <c r="E1168">
        <f>tblSalaries[[#This Row],[clean Salary (in local currency)]]*VLOOKUP(tblSalaries[[#This Row],[Currency]],[1]!tblXrate[#Data],2,FALSE)</f>
        <v>9616.275011218986</v>
      </c>
      <c r="F1168" t="s">
        <v>2851</v>
      </c>
      <c r="G1168" t="s">
        <v>788</v>
      </c>
      <c r="H1168" t="s">
        <v>117</v>
      </c>
      <c r="I1168" t="str">
        <f>VLOOKUP(tblSalaries[[#This Row],[Where do you work]],[1]!tblCountries[[Actual]:[Mapping]],2,FALSE)</f>
        <v>India</v>
      </c>
      <c r="J1168" t="s">
        <v>789</v>
      </c>
      <c r="K1168">
        <v>7.9</v>
      </c>
    </row>
    <row r="1169" spans="1:11" x14ac:dyDescent="0.2">
      <c r="A1169" t="s">
        <v>2852</v>
      </c>
      <c r="B1169" s="59">
        <v>41057.972939814812</v>
      </c>
      <c r="C1169">
        <v>4300000</v>
      </c>
      <c r="D1169" t="s">
        <v>2853</v>
      </c>
      <c r="E1169">
        <f>tblSalaries[[#This Row],[clean Salary (in local currency)]]*VLOOKUP(tblSalaries[[#This Row],[Currency]],[1]!tblXrate[#Data],2,FALSE)</f>
        <v>51497.005988023957</v>
      </c>
      <c r="F1169" t="s">
        <v>1780</v>
      </c>
      <c r="G1169" t="s">
        <v>807</v>
      </c>
      <c r="H1169" t="s">
        <v>151</v>
      </c>
      <c r="I1169" t="str">
        <f>VLOOKUP(tblSalaries[[#This Row],[Where do you work]],[1]!tblCountries[[Actual]:[Mapping]],2,FALSE)</f>
        <v>Kenya</v>
      </c>
      <c r="J1169" t="s">
        <v>789</v>
      </c>
      <c r="K1169">
        <v>9</v>
      </c>
    </row>
    <row r="1170" spans="1:11" x14ac:dyDescent="0.2">
      <c r="A1170" t="s">
        <v>2854</v>
      </c>
      <c r="B1170" s="59">
        <v>41057.976064814815</v>
      </c>
      <c r="C1170">
        <v>82000</v>
      </c>
      <c r="D1170" t="s">
        <v>805</v>
      </c>
      <c r="E1170">
        <f>tblSalaries[[#This Row],[clean Salary (in local currency)]]*VLOOKUP(tblSalaries[[#This Row],[Currency]],[1]!tblXrate[#Data],2,FALSE)</f>
        <v>104172.75399731184</v>
      </c>
      <c r="F1170" t="s">
        <v>2855</v>
      </c>
      <c r="G1170" t="s">
        <v>807</v>
      </c>
      <c r="H1170" t="s">
        <v>228</v>
      </c>
      <c r="I1170" t="str">
        <f>VLOOKUP(tblSalaries[[#This Row],[Where do you work]],[1]!tblCountries[[Actual]:[Mapping]],2,FALSE)</f>
        <v>Netherlands</v>
      </c>
      <c r="J1170" t="s">
        <v>794</v>
      </c>
      <c r="K1170">
        <v>25</v>
      </c>
    </row>
    <row r="1171" spans="1:11" x14ac:dyDescent="0.2">
      <c r="A1171" t="s">
        <v>2856</v>
      </c>
      <c r="B1171" s="59">
        <v>41057.981932870367</v>
      </c>
      <c r="C1171">
        <v>88000</v>
      </c>
      <c r="D1171" t="s">
        <v>786</v>
      </c>
      <c r="E1171">
        <f>tblSalaries[[#This Row],[clean Salary (in local currency)]]*VLOOKUP(tblSalaries[[#This Row],[Currency]],[1]!tblXrate[#Data],2,FALSE)</f>
        <v>88000</v>
      </c>
      <c r="F1171" t="s">
        <v>2857</v>
      </c>
      <c r="G1171" t="s">
        <v>807</v>
      </c>
      <c r="H1171" t="s">
        <v>15</v>
      </c>
      <c r="I1171" t="str">
        <f>VLOOKUP(tblSalaries[[#This Row],[Where do you work]],[1]!tblCountries[[Actual]:[Mapping]],2,FALSE)</f>
        <v>USA</v>
      </c>
      <c r="J1171" t="s">
        <v>789</v>
      </c>
      <c r="K1171">
        <v>2</v>
      </c>
    </row>
    <row r="1172" spans="1:11" x14ac:dyDescent="0.2">
      <c r="A1172" t="s">
        <v>2858</v>
      </c>
      <c r="B1172" s="59">
        <v>41057.985324074078</v>
      </c>
      <c r="C1172">
        <v>80000</v>
      </c>
      <c r="D1172" t="s">
        <v>786</v>
      </c>
      <c r="E1172">
        <f>tblSalaries[[#This Row],[clean Salary (in local currency)]]*VLOOKUP(tblSalaries[[#This Row],[Currency]],[1]!tblXrate[#Data],2,FALSE)</f>
        <v>80000</v>
      </c>
      <c r="F1172" t="s">
        <v>2859</v>
      </c>
      <c r="G1172" t="s">
        <v>788</v>
      </c>
      <c r="H1172" t="s">
        <v>15</v>
      </c>
      <c r="I1172" t="str">
        <f>VLOOKUP(tblSalaries[[#This Row],[Where do you work]],[1]!tblCountries[[Actual]:[Mapping]],2,FALSE)</f>
        <v>USA</v>
      </c>
      <c r="J1172" t="s">
        <v>789</v>
      </c>
      <c r="K1172">
        <v>6</v>
      </c>
    </row>
    <row r="1173" spans="1:11" x14ac:dyDescent="0.2">
      <c r="A1173" t="s">
        <v>2860</v>
      </c>
      <c r="B1173" s="59">
        <v>41057.991087962961</v>
      </c>
      <c r="C1173">
        <v>19000</v>
      </c>
      <c r="D1173" t="s">
        <v>786</v>
      </c>
      <c r="E1173">
        <f>tblSalaries[[#This Row],[clean Salary (in local currency)]]*VLOOKUP(tblSalaries[[#This Row],[Currency]],[1]!tblXrate[#Data],2,FALSE)</f>
        <v>19000</v>
      </c>
      <c r="F1173" t="s">
        <v>817</v>
      </c>
      <c r="G1173" t="s">
        <v>817</v>
      </c>
      <c r="H1173" t="s">
        <v>863</v>
      </c>
      <c r="I1173" t="str">
        <f>VLOOKUP(tblSalaries[[#This Row],[Where do you work]],[1]!tblCountries[[Actual]:[Mapping]],2,FALSE)</f>
        <v>UK</v>
      </c>
      <c r="J1173" t="s">
        <v>789</v>
      </c>
      <c r="K1173">
        <v>20</v>
      </c>
    </row>
    <row r="1174" spans="1:11" x14ac:dyDescent="0.2">
      <c r="A1174" t="s">
        <v>2861</v>
      </c>
      <c r="B1174" s="59">
        <v>41057.99417824074</v>
      </c>
      <c r="C1174">
        <v>15000</v>
      </c>
      <c r="D1174" t="s">
        <v>805</v>
      </c>
      <c r="E1174">
        <f>tblSalaries[[#This Row],[clean Salary (in local currency)]]*VLOOKUP(tblSalaries[[#This Row],[Currency]],[1]!tblXrate[#Data],2,FALSE)</f>
        <v>19055.991584874118</v>
      </c>
      <c r="F1174" t="s">
        <v>2862</v>
      </c>
      <c r="G1174" t="s">
        <v>867</v>
      </c>
      <c r="H1174" t="s">
        <v>130</v>
      </c>
      <c r="I1174" t="str">
        <f>VLOOKUP(tblSalaries[[#This Row],[Where do you work]],[1]!tblCountries[[Actual]:[Mapping]],2,FALSE)</f>
        <v>italy</v>
      </c>
      <c r="J1174" t="s">
        <v>789</v>
      </c>
      <c r="K1174">
        <v>3</v>
      </c>
    </row>
    <row r="1175" spans="1:11" x14ac:dyDescent="0.2">
      <c r="A1175" t="s">
        <v>2863</v>
      </c>
      <c r="B1175" s="59">
        <v>41057.994930555556</v>
      </c>
      <c r="C1175">
        <v>480000</v>
      </c>
      <c r="D1175" t="s">
        <v>824</v>
      </c>
      <c r="E1175">
        <f>tblSalaries[[#This Row],[clean Salary (in local currency)]]*VLOOKUP(tblSalaries[[#This Row],[Currency]],[1]!tblXrate[#Data],2,FALSE)</f>
        <v>8547.8000099724322</v>
      </c>
      <c r="F1175" t="s">
        <v>2864</v>
      </c>
      <c r="G1175" t="s">
        <v>867</v>
      </c>
      <c r="H1175" t="s">
        <v>117</v>
      </c>
      <c r="I1175" t="str">
        <f>VLOOKUP(tblSalaries[[#This Row],[Where do you work]],[1]!tblCountries[[Actual]:[Mapping]],2,FALSE)</f>
        <v>India</v>
      </c>
      <c r="J1175" t="s">
        <v>794</v>
      </c>
      <c r="K1175">
        <v>15</v>
      </c>
    </row>
    <row r="1176" spans="1:11" x14ac:dyDescent="0.2">
      <c r="A1176" t="s">
        <v>2865</v>
      </c>
      <c r="B1176" s="59">
        <v>41057.995162037034</v>
      </c>
      <c r="C1176">
        <v>1100000</v>
      </c>
      <c r="D1176" t="s">
        <v>824</v>
      </c>
      <c r="E1176">
        <f>tblSalaries[[#This Row],[clean Salary (in local currency)]]*VLOOKUP(tblSalaries[[#This Row],[Currency]],[1]!tblXrate[#Data],2,FALSE)</f>
        <v>19588.708356186824</v>
      </c>
      <c r="F1176" t="s">
        <v>2866</v>
      </c>
      <c r="G1176" t="s">
        <v>867</v>
      </c>
      <c r="H1176" t="s">
        <v>117</v>
      </c>
      <c r="I1176" t="str">
        <f>VLOOKUP(tblSalaries[[#This Row],[Where do you work]],[1]!tblCountries[[Actual]:[Mapping]],2,FALSE)</f>
        <v>India</v>
      </c>
      <c r="J1176" t="s">
        <v>794</v>
      </c>
      <c r="K1176">
        <v>13</v>
      </c>
    </row>
    <row r="1177" spans="1:11" x14ac:dyDescent="0.2">
      <c r="A1177" t="s">
        <v>2867</v>
      </c>
      <c r="B1177" s="59">
        <v>41058.000243055554</v>
      </c>
      <c r="C1177">
        <v>61000</v>
      </c>
      <c r="D1177" t="s">
        <v>786</v>
      </c>
      <c r="E1177">
        <f>tblSalaries[[#This Row],[clean Salary (in local currency)]]*VLOOKUP(tblSalaries[[#This Row],[Currency]],[1]!tblXrate[#Data],2,FALSE)</f>
        <v>61000</v>
      </c>
      <c r="F1177" t="s">
        <v>796</v>
      </c>
      <c r="G1177" t="s">
        <v>788</v>
      </c>
      <c r="H1177" t="s">
        <v>15</v>
      </c>
      <c r="I1177" t="str">
        <f>VLOOKUP(tblSalaries[[#This Row],[Where do you work]],[1]!tblCountries[[Actual]:[Mapping]],2,FALSE)</f>
        <v>USA</v>
      </c>
      <c r="J1177" t="s">
        <v>789</v>
      </c>
      <c r="K1177">
        <v>1.5</v>
      </c>
    </row>
    <row r="1178" spans="1:11" x14ac:dyDescent="0.2">
      <c r="A1178" t="s">
        <v>2868</v>
      </c>
      <c r="B1178" s="59">
        <v>41058.002581018518</v>
      </c>
      <c r="C1178">
        <v>34000</v>
      </c>
      <c r="D1178" t="s">
        <v>861</v>
      </c>
      <c r="E1178">
        <f>tblSalaries[[#This Row],[clean Salary (in local currency)]]*VLOOKUP(tblSalaries[[#This Row],[Currency]],[1]!tblXrate[#Data],2,FALSE)</f>
        <v>53590.061250287661</v>
      </c>
      <c r="F1178" t="s">
        <v>2869</v>
      </c>
      <c r="G1178" t="s">
        <v>817</v>
      </c>
      <c r="H1178" t="s">
        <v>863</v>
      </c>
      <c r="I1178" t="str">
        <f>VLOOKUP(tblSalaries[[#This Row],[Where do you work]],[1]!tblCountries[[Actual]:[Mapping]],2,FALSE)</f>
        <v>UK</v>
      </c>
      <c r="J1178" t="s">
        <v>794</v>
      </c>
      <c r="K1178">
        <v>10</v>
      </c>
    </row>
    <row r="1179" spans="1:11" x14ac:dyDescent="0.2">
      <c r="A1179" t="s">
        <v>2870</v>
      </c>
      <c r="B1179" s="59">
        <v>41058.002638888887</v>
      </c>
      <c r="C1179">
        <v>34000</v>
      </c>
      <c r="D1179" t="s">
        <v>861</v>
      </c>
      <c r="E1179">
        <f>tblSalaries[[#This Row],[clean Salary (in local currency)]]*VLOOKUP(tblSalaries[[#This Row],[Currency]],[1]!tblXrate[#Data],2,FALSE)</f>
        <v>53590.061250287661</v>
      </c>
      <c r="F1179" t="s">
        <v>2869</v>
      </c>
      <c r="G1179" t="s">
        <v>817</v>
      </c>
      <c r="H1179" t="s">
        <v>863</v>
      </c>
      <c r="I1179" t="str">
        <f>VLOOKUP(tblSalaries[[#This Row],[Where do you work]],[1]!tblCountries[[Actual]:[Mapping]],2,FALSE)</f>
        <v>UK</v>
      </c>
      <c r="J1179" t="s">
        <v>794</v>
      </c>
      <c r="K1179">
        <v>10</v>
      </c>
    </row>
    <row r="1180" spans="1:11" x14ac:dyDescent="0.2">
      <c r="A1180" t="s">
        <v>2871</v>
      </c>
      <c r="B1180" s="59">
        <v>41058.004861111112</v>
      </c>
      <c r="C1180">
        <v>250000</v>
      </c>
      <c r="D1180" t="s">
        <v>824</v>
      </c>
      <c r="E1180">
        <f>tblSalaries[[#This Row],[clean Salary (in local currency)]]*VLOOKUP(tblSalaries[[#This Row],[Currency]],[1]!tblXrate[#Data],2,FALSE)</f>
        <v>4451.9791718606421</v>
      </c>
      <c r="F1180" t="s">
        <v>2872</v>
      </c>
      <c r="G1180" t="s">
        <v>807</v>
      </c>
      <c r="H1180" t="s">
        <v>117</v>
      </c>
      <c r="I1180" t="str">
        <f>VLOOKUP(tblSalaries[[#This Row],[Where do you work]],[1]!tblCountries[[Actual]:[Mapping]],2,FALSE)</f>
        <v>India</v>
      </c>
      <c r="J1180" t="s">
        <v>789</v>
      </c>
      <c r="K1180">
        <v>1</v>
      </c>
    </row>
    <row r="1181" spans="1:11" x14ac:dyDescent="0.2">
      <c r="A1181" t="s">
        <v>2873</v>
      </c>
      <c r="B1181" s="59">
        <v>41058.005277777775</v>
      </c>
      <c r="C1181">
        <v>20000</v>
      </c>
      <c r="D1181" t="s">
        <v>805</v>
      </c>
      <c r="E1181">
        <f>tblSalaries[[#This Row],[clean Salary (in local currency)]]*VLOOKUP(tblSalaries[[#This Row],[Currency]],[1]!tblXrate[#Data],2,FALSE)</f>
        <v>25407.988779832154</v>
      </c>
      <c r="F1181" t="s">
        <v>2874</v>
      </c>
      <c r="G1181" t="s">
        <v>807</v>
      </c>
      <c r="H1181" t="s">
        <v>2875</v>
      </c>
      <c r="I1181" t="str">
        <f>VLOOKUP(tblSalaries[[#This Row],[Where do you work]],[1]!tblCountries[[Actual]:[Mapping]],2,FALSE)</f>
        <v>Greece</v>
      </c>
      <c r="J1181" t="s">
        <v>808</v>
      </c>
      <c r="K1181">
        <v>12</v>
      </c>
    </row>
    <row r="1182" spans="1:11" x14ac:dyDescent="0.2">
      <c r="A1182" t="s">
        <v>2876</v>
      </c>
      <c r="B1182" s="59">
        <v>41058.008599537039</v>
      </c>
      <c r="C1182">
        <v>23000</v>
      </c>
      <c r="D1182" t="s">
        <v>786</v>
      </c>
      <c r="E1182">
        <f>tblSalaries[[#This Row],[clean Salary (in local currency)]]*VLOOKUP(tblSalaries[[#This Row],[Currency]],[1]!tblXrate[#Data],2,FALSE)</f>
        <v>23000</v>
      </c>
      <c r="F1182" t="s">
        <v>2877</v>
      </c>
      <c r="G1182" t="s">
        <v>817</v>
      </c>
      <c r="H1182" t="s">
        <v>749</v>
      </c>
      <c r="I1182" t="str">
        <f>VLOOKUP(tblSalaries[[#This Row],[Where do you work]],[1]!tblCountries[[Actual]:[Mapping]],2,FALSE)</f>
        <v>Saudi Arabia</v>
      </c>
      <c r="J1182" t="s">
        <v>794</v>
      </c>
      <c r="K1182">
        <v>14</v>
      </c>
    </row>
    <row r="1183" spans="1:11" x14ac:dyDescent="0.2">
      <c r="A1183" t="s">
        <v>2878</v>
      </c>
      <c r="B1183" s="59">
        <v>41058.011747685188</v>
      </c>
      <c r="C1183">
        <v>900000</v>
      </c>
      <c r="D1183" t="s">
        <v>824</v>
      </c>
      <c r="E1183">
        <f>tblSalaries[[#This Row],[clean Salary (in local currency)]]*VLOOKUP(tblSalaries[[#This Row],[Currency]],[1]!tblXrate[#Data],2,FALSE)</f>
        <v>16027.125018698311</v>
      </c>
      <c r="F1183" t="s">
        <v>2879</v>
      </c>
      <c r="G1183" t="s">
        <v>807</v>
      </c>
      <c r="H1183" t="s">
        <v>117</v>
      </c>
      <c r="I1183" t="str">
        <f>VLOOKUP(tblSalaries[[#This Row],[Where do you work]],[1]!tblCountries[[Actual]:[Mapping]],2,FALSE)</f>
        <v>India</v>
      </c>
      <c r="J1183" t="s">
        <v>808</v>
      </c>
      <c r="K1183">
        <v>13</v>
      </c>
    </row>
    <row r="1184" spans="1:11" x14ac:dyDescent="0.2">
      <c r="A1184" t="s">
        <v>2880</v>
      </c>
      <c r="B1184" s="59">
        <v>41058.017812500002</v>
      </c>
      <c r="C1184">
        <v>60000</v>
      </c>
      <c r="D1184" t="s">
        <v>786</v>
      </c>
      <c r="E1184">
        <f>tblSalaries[[#This Row],[clean Salary (in local currency)]]*VLOOKUP(tblSalaries[[#This Row],[Currency]],[1]!tblXrate[#Data],2,FALSE)</f>
        <v>60000</v>
      </c>
      <c r="F1184" t="s">
        <v>2881</v>
      </c>
      <c r="G1184" t="s">
        <v>802</v>
      </c>
      <c r="H1184" t="s">
        <v>15</v>
      </c>
      <c r="I1184" t="str">
        <f>VLOOKUP(tblSalaries[[#This Row],[Where do you work]],[1]!tblCountries[[Actual]:[Mapping]],2,FALSE)</f>
        <v>USA</v>
      </c>
      <c r="J1184" t="s">
        <v>808</v>
      </c>
      <c r="K1184">
        <v>6</v>
      </c>
    </row>
    <row r="1185" spans="1:11" x14ac:dyDescent="0.2">
      <c r="A1185" t="s">
        <v>2882</v>
      </c>
      <c r="B1185" s="59">
        <v>41058.017893518518</v>
      </c>
      <c r="C1185">
        <v>4800</v>
      </c>
      <c r="D1185" t="s">
        <v>786</v>
      </c>
      <c r="E1185">
        <f>tblSalaries[[#This Row],[clean Salary (in local currency)]]*VLOOKUP(tblSalaries[[#This Row],[Currency]],[1]!tblXrate[#Data],2,FALSE)</f>
        <v>4800</v>
      </c>
      <c r="F1185" t="s">
        <v>796</v>
      </c>
      <c r="G1185" t="s">
        <v>788</v>
      </c>
      <c r="H1185" t="s">
        <v>117</v>
      </c>
      <c r="I1185" t="str">
        <f>VLOOKUP(tblSalaries[[#This Row],[Where do you work]],[1]!tblCountries[[Actual]:[Mapping]],2,FALSE)</f>
        <v>India</v>
      </c>
      <c r="J1185" t="s">
        <v>789</v>
      </c>
      <c r="K1185">
        <v>5</v>
      </c>
    </row>
    <row r="1186" spans="1:11" x14ac:dyDescent="0.2">
      <c r="A1186" t="s">
        <v>2883</v>
      </c>
      <c r="B1186" s="59">
        <v>41058.01829861111</v>
      </c>
      <c r="C1186">
        <v>625000</v>
      </c>
      <c r="D1186" t="s">
        <v>2884</v>
      </c>
      <c r="E1186">
        <f>tblSalaries[[#This Row],[clean Salary (in local currency)]]*VLOOKUP(tblSalaries[[#This Row],[Currency]],[1]!tblXrate[#Data],2,FALSE)</f>
        <v>106815.148267971</v>
      </c>
      <c r="F1186" t="s">
        <v>2885</v>
      </c>
      <c r="G1186" t="s">
        <v>807</v>
      </c>
      <c r="H1186" t="s">
        <v>70</v>
      </c>
      <c r="I1186" t="str">
        <f>VLOOKUP(tblSalaries[[#This Row],[Where do you work]],[1]!tblCountries[[Actual]:[Mapping]],2,FALSE)</f>
        <v>Denmark</v>
      </c>
      <c r="J1186" t="s">
        <v>789</v>
      </c>
      <c r="K1186">
        <v>25</v>
      </c>
    </row>
    <row r="1187" spans="1:11" x14ac:dyDescent="0.2">
      <c r="A1187" t="s">
        <v>2886</v>
      </c>
      <c r="B1187" s="59">
        <v>41058.019884259258</v>
      </c>
      <c r="C1187">
        <v>500000</v>
      </c>
      <c r="D1187" t="s">
        <v>824</v>
      </c>
      <c r="E1187">
        <f>tblSalaries[[#This Row],[clean Salary (in local currency)]]*VLOOKUP(tblSalaries[[#This Row],[Currency]],[1]!tblXrate[#Data],2,FALSE)</f>
        <v>8903.9583437212841</v>
      </c>
      <c r="F1187" t="s">
        <v>867</v>
      </c>
      <c r="G1187" t="s">
        <v>867</v>
      </c>
      <c r="H1187" t="s">
        <v>117</v>
      </c>
      <c r="I1187" t="str">
        <f>VLOOKUP(tblSalaries[[#This Row],[Where do you work]],[1]!tblCountries[[Actual]:[Mapping]],2,FALSE)</f>
        <v>India</v>
      </c>
      <c r="J1187" t="s">
        <v>799</v>
      </c>
      <c r="K1187">
        <v>3</v>
      </c>
    </row>
    <row r="1188" spans="1:11" x14ac:dyDescent="0.2">
      <c r="A1188" t="s">
        <v>2887</v>
      </c>
      <c r="B1188" s="59">
        <v>41058.020509259259</v>
      </c>
      <c r="C1188">
        <v>60000</v>
      </c>
      <c r="D1188" t="s">
        <v>786</v>
      </c>
      <c r="E1188">
        <f>tblSalaries[[#This Row],[clean Salary (in local currency)]]*VLOOKUP(tblSalaries[[#This Row],[Currency]],[1]!tblXrate[#Data],2,FALSE)</f>
        <v>60000</v>
      </c>
      <c r="F1188" t="s">
        <v>2888</v>
      </c>
      <c r="G1188" t="s">
        <v>807</v>
      </c>
      <c r="H1188" t="s">
        <v>15</v>
      </c>
      <c r="I1188" t="str">
        <f>VLOOKUP(tblSalaries[[#This Row],[Where do you work]],[1]!tblCountries[[Actual]:[Mapping]],2,FALSE)</f>
        <v>USA</v>
      </c>
      <c r="J1188" t="s">
        <v>789</v>
      </c>
      <c r="K1188">
        <v>12</v>
      </c>
    </row>
    <row r="1189" spans="1:11" x14ac:dyDescent="0.2">
      <c r="A1189" t="s">
        <v>2889</v>
      </c>
      <c r="B1189" s="59">
        <v>41058.021319444444</v>
      </c>
      <c r="C1189">
        <v>2600000</v>
      </c>
      <c r="D1189" t="s">
        <v>824</v>
      </c>
      <c r="E1189">
        <f>tblSalaries[[#This Row],[clean Salary (in local currency)]]*VLOOKUP(tblSalaries[[#This Row],[Currency]],[1]!tblXrate[#Data],2,FALSE)</f>
        <v>46300.583387350678</v>
      </c>
      <c r="F1189" t="s">
        <v>2890</v>
      </c>
      <c r="G1189" t="s">
        <v>807</v>
      </c>
      <c r="H1189" t="s">
        <v>117</v>
      </c>
      <c r="I1189" t="str">
        <f>VLOOKUP(tblSalaries[[#This Row],[Where do you work]],[1]!tblCountries[[Actual]:[Mapping]],2,FALSE)</f>
        <v>India</v>
      </c>
      <c r="J1189" t="s">
        <v>789</v>
      </c>
      <c r="K1189">
        <v>4</v>
      </c>
    </row>
    <row r="1190" spans="1:11" x14ac:dyDescent="0.2">
      <c r="A1190" t="s">
        <v>2891</v>
      </c>
      <c r="B1190" s="59">
        <v>41058.022627314815</v>
      </c>
      <c r="C1190">
        <v>750000</v>
      </c>
      <c r="D1190" t="s">
        <v>824</v>
      </c>
      <c r="E1190">
        <f>tblSalaries[[#This Row],[clean Salary (in local currency)]]*VLOOKUP(tblSalaries[[#This Row],[Currency]],[1]!tblXrate[#Data],2,FALSE)</f>
        <v>13355.937515581925</v>
      </c>
      <c r="F1190" t="s">
        <v>2360</v>
      </c>
      <c r="G1190" t="s">
        <v>807</v>
      </c>
      <c r="H1190" t="s">
        <v>117</v>
      </c>
      <c r="I1190" t="str">
        <f>VLOOKUP(tblSalaries[[#This Row],[Where do you work]],[1]!tblCountries[[Actual]:[Mapping]],2,FALSE)</f>
        <v>India</v>
      </c>
      <c r="J1190" t="s">
        <v>799</v>
      </c>
      <c r="K1190">
        <v>3</v>
      </c>
    </row>
    <row r="1191" spans="1:11" x14ac:dyDescent="0.2">
      <c r="A1191" t="s">
        <v>2892</v>
      </c>
      <c r="B1191" s="59">
        <v>41058.025243055556</v>
      </c>
      <c r="C1191">
        <v>74000</v>
      </c>
      <c r="D1191" t="s">
        <v>786</v>
      </c>
      <c r="E1191">
        <f>tblSalaries[[#This Row],[clean Salary (in local currency)]]*VLOOKUP(tblSalaries[[#This Row],[Currency]],[1]!tblXrate[#Data],2,FALSE)</f>
        <v>74000</v>
      </c>
      <c r="F1191" t="s">
        <v>2893</v>
      </c>
      <c r="G1191" t="s">
        <v>820</v>
      </c>
      <c r="H1191" t="s">
        <v>15</v>
      </c>
      <c r="I1191" t="str">
        <f>VLOOKUP(tblSalaries[[#This Row],[Where do you work]],[1]!tblCountries[[Actual]:[Mapping]],2,FALSE)</f>
        <v>USA</v>
      </c>
      <c r="J1191" t="s">
        <v>789</v>
      </c>
      <c r="K1191">
        <v>10</v>
      </c>
    </row>
    <row r="1192" spans="1:11" x14ac:dyDescent="0.2">
      <c r="A1192" t="s">
        <v>2894</v>
      </c>
      <c r="B1192" s="59">
        <v>41058.032835648148</v>
      </c>
      <c r="C1192">
        <v>95856</v>
      </c>
      <c r="D1192" t="s">
        <v>786</v>
      </c>
      <c r="E1192">
        <f>tblSalaries[[#This Row],[clean Salary (in local currency)]]*VLOOKUP(tblSalaries[[#This Row],[Currency]],[1]!tblXrate[#Data],2,FALSE)</f>
        <v>95856</v>
      </c>
      <c r="F1192" t="s">
        <v>788</v>
      </c>
      <c r="G1192" t="s">
        <v>788</v>
      </c>
      <c r="H1192" t="s">
        <v>15</v>
      </c>
      <c r="I1192" t="str">
        <f>VLOOKUP(tblSalaries[[#This Row],[Where do you work]],[1]!tblCountries[[Actual]:[Mapping]],2,FALSE)</f>
        <v>USA</v>
      </c>
      <c r="J1192" t="s">
        <v>799</v>
      </c>
      <c r="K1192">
        <v>13</v>
      </c>
    </row>
    <row r="1193" spans="1:11" x14ac:dyDescent="0.2">
      <c r="A1193" t="s">
        <v>2895</v>
      </c>
      <c r="B1193" s="59">
        <v>41058.043969907405</v>
      </c>
      <c r="C1193">
        <v>40000</v>
      </c>
      <c r="D1193" t="s">
        <v>786</v>
      </c>
      <c r="E1193">
        <f>tblSalaries[[#This Row],[clean Salary (in local currency)]]*VLOOKUP(tblSalaries[[#This Row],[Currency]],[1]!tblXrate[#Data],2,FALSE)</f>
        <v>40000</v>
      </c>
      <c r="F1193" t="s">
        <v>2896</v>
      </c>
      <c r="G1193" t="s">
        <v>817</v>
      </c>
      <c r="H1193" t="s">
        <v>15</v>
      </c>
      <c r="I1193" t="str">
        <f>VLOOKUP(tblSalaries[[#This Row],[Where do you work]],[1]!tblCountries[[Actual]:[Mapping]],2,FALSE)</f>
        <v>USA</v>
      </c>
      <c r="J1193" t="s">
        <v>799</v>
      </c>
      <c r="K1193">
        <v>15</v>
      </c>
    </row>
    <row r="1194" spans="1:11" x14ac:dyDescent="0.2">
      <c r="A1194" t="s">
        <v>2897</v>
      </c>
      <c r="B1194" s="59">
        <v>41058.046342592592</v>
      </c>
      <c r="C1194">
        <v>4400</v>
      </c>
      <c r="D1194" t="s">
        <v>786</v>
      </c>
      <c r="E1194">
        <f>tblSalaries[[#This Row],[clean Salary (in local currency)]]*VLOOKUP(tblSalaries[[#This Row],[Currency]],[1]!tblXrate[#Data],2,FALSE)</f>
        <v>4400</v>
      </c>
      <c r="F1194" t="s">
        <v>2898</v>
      </c>
      <c r="G1194" t="s">
        <v>807</v>
      </c>
      <c r="H1194" t="s">
        <v>2899</v>
      </c>
      <c r="I1194" t="str">
        <f>VLOOKUP(tblSalaries[[#This Row],[Where do you work]],[1]!tblCountries[[Actual]:[Mapping]],2,FALSE)</f>
        <v>Latin America</v>
      </c>
      <c r="J1194" t="s">
        <v>799</v>
      </c>
      <c r="K1194">
        <v>5</v>
      </c>
    </row>
    <row r="1195" spans="1:11" x14ac:dyDescent="0.2">
      <c r="A1195" t="s">
        <v>2900</v>
      </c>
      <c r="B1195" s="59">
        <v>41058.050324074073</v>
      </c>
      <c r="C1195">
        <v>90000</v>
      </c>
      <c r="D1195" t="s">
        <v>786</v>
      </c>
      <c r="E1195">
        <f>tblSalaries[[#This Row],[clean Salary (in local currency)]]*VLOOKUP(tblSalaries[[#This Row],[Currency]],[1]!tblXrate[#Data],2,FALSE)</f>
        <v>90000</v>
      </c>
      <c r="F1195" t="s">
        <v>914</v>
      </c>
      <c r="G1195" t="s">
        <v>788</v>
      </c>
      <c r="H1195" t="s">
        <v>15</v>
      </c>
      <c r="I1195" t="str">
        <f>VLOOKUP(tblSalaries[[#This Row],[Where do you work]],[1]!tblCountries[[Actual]:[Mapping]],2,FALSE)</f>
        <v>USA</v>
      </c>
      <c r="J1195" t="s">
        <v>789</v>
      </c>
      <c r="K1195">
        <v>30</v>
      </c>
    </row>
    <row r="1196" spans="1:11" x14ac:dyDescent="0.2">
      <c r="A1196" t="s">
        <v>2901</v>
      </c>
      <c r="B1196" s="59">
        <v>41058.055162037039</v>
      </c>
      <c r="C1196">
        <v>450000</v>
      </c>
      <c r="D1196" t="s">
        <v>824</v>
      </c>
      <c r="E1196">
        <f>tblSalaries[[#This Row],[clean Salary (in local currency)]]*VLOOKUP(tblSalaries[[#This Row],[Currency]],[1]!tblXrate[#Data],2,FALSE)</f>
        <v>8013.5625093491553</v>
      </c>
      <c r="F1196" t="s">
        <v>2902</v>
      </c>
      <c r="G1196" t="s">
        <v>807</v>
      </c>
      <c r="H1196" t="s">
        <v>117</v>
      </c>
      <c r="I1196" t="str">
        <f>VLOOKUP(tblSalaries[[#This Row],[Where do you work]],[1]!tblCountries[[Actual]:[Mapping]],2,FALSE)</f>
        <v>India</v>
      </c>
      <c r="J1196" t="s">
        <v>794</v>
      </c>
      <c r="K1196">
        <v>2</v>
      </c>
    </row>
    <row r="1197" spans="1:11" x14ac:dyDescent="0.2">
      <c r="A1197" t="s">
        <v>2903</v>
      </c>
      <c r="B1197" s="59">
        <v>41058.057627314818</v>
      </c>
      <c r="C1197">
        <v>1000000</v>
      </c>
      <c r="D1197" t="s">
        <v>824</v>
      </c>
      <c r="E1197">
        <f>tblSalaries[[#This Row],[clean Salary (in local currency)]]*VLOOKUP(tblSalaries[[#This Row],[Currency]],[1]!tblXrate[#Data],2,FALSE)</f>
        <v>17807.916687442568</v>
      </c>
      <c r="F1197" t="s">
        <v>2358</v>
      </c>
      <c r="G1197" t="s">
        <v>807</v>
      </c>
      <c r="H1197" t="s">
        <v>117</v>
      </c>
      <c r="I1197" t="str">
        <f>VLOOKUP(tblSalaries[[#This Row],[Where do you work]],[1]!tblCountries[[Actual]:[Mapping]],2,FALSE)</f>
        <v>India</v>
      </c>
      <c r="J1197" t="s">
        <v>789</v>
      </c>
      <c r="K1197">
        <v>8.5</v>
      </c>
    </row>
    <row r="1198" spans="1:11" x14ac:dyDescent="0.2">
      <c r="A1198" t="s">
        <v>2904</v>
      </c>
      <c r="B1198" s="59">
        <v>41058.063645833332</v>
      </c>
      <c r="C1198">
        <v>700000</v>
      </c>
      <c r="D1198" t="s">
        <v>824</v>
      </c>
      <c r="E1198">
        <f>tblSalaries[[#This Row],[clean Salary (in local currency)]]*VLOOKUP(tblSalaries[[#This Row],[Currency]],[1]!tblXrate[#Data],2,FALSE)</f>
        <v>12465.541681209797</v>
      </c>
      <c r="F1198" t="s">
        <v>2905</v>
      </c>
      <c r="G1198" t="s">
        <v>836</v>
      </c>
      <c r="H1198" t="s">
        <v>117</v>
      </c>
      <c r="I1198" t="str">
        <f>VLOOKUP(tblSalaries[[#This Row],[Where do you work]],[1]!tblCountries[[Actual]:[Mapping]],2,FALSE)</f>
        <v>India</v>
      </c>
      <c r="J1198" t="s">
        <v>789</v>
      </c>
      <c r="K1198">
        <v>6</v>
      </c>
    </row>
    <row r="1199" spans="1:11" x14ac:dyDescent="0.2">
      <c r="A1199" t="s">
        <v>2906</v>
      </c>
      <c r="B1199" s="59">
        <v>41058.070138888892</v>
      </c>
      <c r="C1199">
        <v>80000</v>
      </c>
      <c r="D1199" t="s">
        <v>786</v>
      </c>
      <c r="E1199">
        <f>tblSalaries[[#This Row],[clean Salary (in local currency)]]*VLOOKUP(tblSalaries[[#This Row],[Currency]],[1]!tblXrate[#Data],2,FALSE)</f>
        <v>80000</v>
      </c>
      <c r="F1199" t="s">
        <v>2907</v>
      </c>
      <c r="G1199" t="s">
        <v>788</v>
      </c>
      <c r="H1199" t="s">
        <v>283</v>
      </c>
      <c r="I1199" t="str">
        <f>VLOOKUP(tblSalaries[[#This Row],[Where do you work]],[1]!tblCountries[[Actual]:[Mapping]],2,FALSE)</f>
        <v>Singapore</v>
      </c>
      <c r="J1199" t="s">
        <v>808</v>
      </c>
      <c r="K1199">
        <v>6</v>
      </c>
    </row>
    <row r="1200" spans="1:11" x14ac:dyDescent="0.2">
      <c r="A1200" t="s">
        <v>2908</v>
      </c>
      <c r="B1200" s="59">
        <v>41058.072256944448</v>
      </c>
      <c r="C1200">
        <v>100000</v>
      </c>
      <c r="D1200" t="s">
        <v>786</v>
      </c>
      <c r="E1200">
        <f>tblSalaries[[#This Row],[clean Salary (in local currency)]]*VLOOKUP(tblSalaries[[#This Row],[Currency]],[1]!tblXrate[#Data],2,FALSE)</f>
        <v>100000</v>
      </c>
      <c r="F1200" t="s">
        <v>1780</v>
      </c>
      <c r="G1200" t="s">
        <v>807</v>
      </c>
      <c r="H1200" t="s">
        <v>15</v>
      </c>
      <c r="I1200" t="str">
        <f>VLOOKUP(tblSalaries[[#This Row],[Where do you work]],[1]!tblCountries[[Actual]:[Mapping]],2,FALSE)</f>
        <v>USA</v>
      </c>
      <c r="J1200" t="s">
        <v>789</v>
      </c>
      <c r="K1200">
        <v>11</v>
      </c>
    </row>
    <row r="1201" spans="1:11" x14ac:dyDescent="0.2">
      <c r="A1201" t="s">
        <v>2909</v>
      </c>
      <c r="B1201" s="59">
        <v>41058.073067129626</v>
      </c>
      <c r="C1201">
        <v>49200</v>
      </c>
      <c r="D1201" t="s">
        <v>786</v>
      </c>
      <c r="E1201">
        <f>tblSalaries[[#This Row],[clean Salary (in local currency)]]*VLOOKUP(tblSalaries[[#This Row],[Currency]],[1]!tblXrate[#Data],2,FALSE)</f>
        <v>49200</v>
      </c>
      <c r="F1201" t="s">
        <v>2877</v>
      </c>
      <c r="G1201" t="s">
        <v>817</v>
      </c>
      <c r="H1201" t="s">
        <v>2910</v>
      </c>
      <c r="I1201" t="str">
        <f>VLOOKUP(tblSalaries[[#This Row],[Where do you work]],[1]!tblCountries[[Actual]:[Mapping]],2,FALSE)</f>
        <v>Qatar</v>
      </c>
      <c r="J1201" t="s">
        <v>799</v>
      </c>
      <c r="K1201">
        <v>25</v>
      </c>
    </row>
    <row r="1202" spans="1:11" x14ac:dyDescent="0.2">
      <c r="A1202" t="s">
        <v>2911</v>
      </c>
      <c r="B1202" s="59">
        <v>41058.074756944443</v>
      </c>
      <c r="C1202">
        <v>9000</v>
      </c>
      <c r="D1202" t="s">
        <v>786</v>
      </c>
      <c r="E1202">
        <f>tblSalaries[[#This Row],[clean Salary (in local currency)]]*VLOOKUP(tblSalaries[[#This Row],[Currency]],[1]!tblXrate[#Data],2,FALSE)</f>
        <v>9000</v>
      </c>
      <c r="F1202" t="s">
        <v>2912</v>
      </c>
      <c r="G1202" t="s">
        <v>807</v>
      </c>
      <c r="H1202" t="s">
        <v>117</v>
      </c>
      <c r="I1202" t="str">
        <f>VLOOKUP(tblSalaries[[#This Row],[Where do you work]],[1]!tblCountries[[Actual]:[Mapping]],2,FALSE)</f>
        <v>India</v>
      </c>
      <c r="J1202" t="s">
        <v>789</v>
      </c>
      <c r="K1202">
        <v>1</v>
      </c>
    </row>
    <row r="1203" spans="1:11" x14ac:dyDescent="0.2">
      <c r="A1203" t="s">
        <v>2913</v>
      </c>
      <c r="B1203" s="59">
        <v>41058.07640046296</v>
      </c>
      <c r="C1203">
        <v>300000</v>
      </c>
      <c r="D1203" t="s">
        <v>824</v>
      </c>
      <c r="E1203">
        <f>tblSalaries[[#This Row],[clean Salary (in local currency)]]*VLOOKUP(tblSalaries[[#This Row],[Currency]],[1]!tblXrate[#Data],2,FALSE)</f>
        <v>5342.3750062327708</v>
      </c>
      <c r="F1203" t="s">
        <v>2432</v>
      </c>
      <c r="G1203" t="s">
        <v>788</v>
      </c>
      <c r="H1203" t="s">
        <v>117</v>
      </c>
      <c r="I1203" t="str">
        <f>VLOOKUP(tblSalaries[[#This Row],[Where do you work]],[1]!tblCountries[[Actual]:[Mapping]],2,FALSE)</f>
        <v>India</v>
      </c>
      <c r="J1203" t="s">
        <v>789</v>
      </c>
      <c r="K1203">
        <v>6</v>
      </c>
    </row>
    <row r="1204" spans="1:11" x14ac:dyDescent="0.2">
      <c r="A1204" t="s">
        <v>2914</v>
      </c>
      <c r="B1204" s="59">
        <v>41058.085173611114</v>
      </c>
      <c r="C1204">
        <v>40000</v>
      </c>
      <c r="D1204" t="s">
        <v>786</v>
      </c>
      <c r="E1204">
        <f>tblSalaries[[#This Row],[clean Salary (in local currency)]]*VLOOKUP(tblSalaries[[#This Row],[Currency]],[1]!tblXrate[#Data],2,FALSE)</f>
        <v>40000</v>
      </c>
      <c r="F1204" t="s">
        <v>2915</v>
      </c>
      <c r="G1204" t="s">
        <v>807</v>
      </c>
      <c r="H1204" t="s">
        <v>2916</v>
      </c>
      <c r="I1204" t="str">
        <f>VLOOKUP(tblSalaries[[#This Row],[Where do you work]],[1]!tblCountries[[Actual]:[Mapping]],2,FALSE)</f>
        <v>Pakistan</v>
      </c>
      <c r="J1204" t="s">
        <v>789</v>
      </c>
      <c r="K1204">
        <v>15</v>
      </c>
    </row>
    <row r="1205" spans="1:11" x14ac:dyDescent="0.2">
      <c r="A1205" t="s">
        <v>2917</v>
      </c>
      <c r="B1205" s="59">
        <v>41058.092037037037</v>
      </c>
      <c r="C1205">
        <v>26000</v>
      </c>
      <c r="D1205" t="s">
        <v>861</v>
      </c>
      <c r="E1205">
        <f>tblSalaries[[#This Row],[clean Salary (in local currency)]]*VLOOKUP(tblSalaries[[#This Row],[Currency]],[1]!tblXrate[#Data],2,FALSE)</f>
        <v>40980.635073749385</v>
      </c>
      <c r="F1205" t="s">
        <v>1070</v>
      </c>
      <c r="G1205" t="s">
        <v>788</v>
      </c>
      <c r="H1205" t="s">
        <v>863</v>
      </c>
      <c r="I1205" t="str">
        <f>VLOOKUP(tblSalaries[[#This Row],[Where do you work]],[1]!tblCountries[[Actual]:[Mapping]],2,FALSE)</f>
        <v>UK</v>
      </c>
      <c r="J1205" t="s">
        <v>789</v>
      </c>
      <c r="K1205">
        <v>2</v>
      </c>
    </row>
    <row r="1206" spans="1:11" x14ac:dyDescent="0.2">
      <c r="A1206" t="s">
        <v>2918</v>
      </c>
      <c r="B1206" s="59">
        <v>41058.09684027778</v>
      </c>
      <c r="C1206">
        <v>29000</v>
      </c>
      <c r="D1206" t="s">
        <v>861</v>
      </c>
      <c r="E1206">
        <f>tblSalaries[[#This Row],[clean Salary (in local currency)]]*VLOOKUP(tblSalaries[[#This Row],[Currency]],[1]!tblXrate[#Data],2,FALSE)</f>
        <v>45709.169889951241</v>
      </c>
      <c r="F1206" t="s">
        <v>2919</v>
      </c>
      <c r="G1206" t="s">
        <v>817</v>
      </c>
      <c r="H1206" t="s">
        <v>863</v>
      </c>
      <c r="I1206" t="str">
        <f>VLOOKUP(tblSalaries[[#This Row],[Where do you work]],[1]!tblCountries[[Actual]:[Mapping]],2,FALSE)</f>
        <v>UK</v>
      </c>
      <c r="J1206" t="s">
        <v>799</v>
      </c>
      <c r="K1206">
        <v>8</v>
      </c>
    </row>
    <row r="1207" spans="1:11" x14ac:dyDescent="0.2">
      <c r="A1207" t="s">
        <v>2920</v>
      </c>
      <c r="B1207" s="59">
        <v>41058.098761574074</v>
      </c>
      <c r="C1207">
        <v>400000</v>
      </c>
      <c r="D1207" t="s">
        <v>824</v>
      </c>
      <c r="E1207">
        <f>tblSalaries[[#This Row],[clean Salary (in local currency)]]*VLOOKUP(tblSalaries[[#This Row],[Currency]],[1]!tblXrate[#Data],2,FALSE)</f>
        <v>7123.1666749770275</v>
      </c>
      <c r="F1207" t="s">
        <v>2921</v>
      </c>
      <c r="G1207" t="s">
        <v>807</v>
      </c>
      <c r="H1207" t="s">
        <v>117</v>
      </c>
      <c r="I1207" t="str">
        <f>VLOOKUP(tblSalaries[[#This Row],[Where do you work]],[1]!tblCountries[[Actual]:[Mapping]],2,FALSE)</f>
        <v>India</v>
      </c>
      <c r="J1207" t="s">
        <v>789</v>
      </c>
      <c r="K1207">
        <v>1</v>
      </c>
    </row>
    <row r="1208" spans="1:11" x14ac:dyDescent="0.2">
      <c r="A1208" t="s">
        <v>2922</v>
      </c>
      <c r="B1208" s="59">
        <v>41058.101712962962</v>
      </c>
      <c r="C1208">
        <v>100000</v>
      </c>
      <c r="D1208" t="s">
        <v>786</v>
      </c>
      <c r="E1208">
        <f>tblSalaries[[#This Row],[clean Salary (in local currency)]]*VLOOKUP(tblSalaries[[#This Row],[Currency]],[1]!tblXrate[#Data],2,FALSE)</f>
        <v>100000</v>
      </c>
      <c r="F1208" t="s">
        <v>792</v>
      </c>
      <c r="G1208" t="s">
        <v>792</v>
      </c>
      <c r="H1208" t="s">
        <v>233</v>
      </c>
      <c r="I1208" t="str">
        <f>VLOOKUP(tblSalaries[[#This Row],[Where do you work]],[1]!tblCountries[[Actual]:[Mapping]],2,FALSE)</f>
        <v>Norway</v>
      </c>
      <c r="J1208" t="s">
        <v>789</v>
      </c>
      <c r="K1208">
        <v>12</v>
      </c>
    </row>
    <row r="1209" spans="1:11" x14ac:dyDescent="0.2">
      <c r="A1209" t="s">
        <v>2923</v>
      </c>
      <c r="B1209" s="59">
        <v>41058.113703703704</v>
      </c>
      <c r="C1209">
        <v>62000</v>
      </c>
      <c r="D1209" t="s">
        <v>805</v>
      </c>
      <c r="E1209">
        <f>tblSalaries[[#This Row],[clean Salary (in local currency)]]*VLOOKUP(tblSalaries[[#This Row],[Currency]],[1]!tblXrate[#Data],2,FALSE)</f>
        <v>78764.765217479682</v>
      </c>
      <c r="F1209" t="s">
        <v>2924</v>
      </c>
      <c r="G1209" t="s">
        <v>788</v>
      </c>
      <c r="H1209" t="s">
        <v>228</v>
      </c>
      <c r="I1209" t="str">
        <f>VLOOKUP(tblSalaries[[#This Row],[Where do you work]],[1]!tblCountries[[Actual]:[Mapping]],2,FALSE)</f>
        <v>Netherlands</v>
      </c>
      <c r="J1209" t="s">
        <v>789</v>
      </c>
      <c r="K1209">
        <v>15</v>
      </c>
    </row>
    <row r="1210" spans="1:11" x14ac:dyDescent="0.2">
      <c r="A1210" t="s">
        <v>2925</v>
      </c>
      <c r="B1210" s="59">
        <v>41058.136134259257</v>
      </c>
      <c r="C1210">
        <v>150000</v>
      </c>
      <c r="D1210" t="s">
        <v>877</v>
      </c>
      <c r="E1210">
        <f>tblSalaries[[#This Row],[clean Salary (in local currency)]]*VLOOKUP(tblSalaries[[#This Row],[Currency]],[1]!tblXrate[#Data],2,FALSE)</f>
        <v>152986.44846039536</v>
      </c>
      <c r="F1210" t="s">
        <v>788</v>
      </c>
      <c r="G1210" t="s">
        <v>788</v>
      </c>
      <c r="H1210" t="s">
        <v>33</v>
      </c>
      <c r="I1210" t="str">
        <f>VLOOKUP(tblSalaries[[#This Row],[Where do you work]],[1]!tblCountries[[Actual]:[Mapping]],2,FALSE)</f>
        <v>Australia</v>
      </c>
      <c r="J1210" t="s">
        <v>799</v>
      </c>
      <c r="K1210">
        <v>10</v>
      </c>
    </row>
    <row r="1211" spans="1:11" x14ac:dyDescent="0.2">
      <c r="A1211" t="s">
        <v>2926</v>
      </c>
      <c r="B1211" s="59">
        <v>41058.144872685189</v>
      </c>
      <c r="C1211">
        <v>35000</v>
      </c>
      <c r="D1211" t="s">
        <v>805</v>
      </c>
      <c r="E1211">
        <f>tblSalaries[[#This Row],[clean Salary (in local currency)]]*VLOOKUP(tblSalaries[[#This Row],[Currency]],[1]!tblXrate[#Data],2,FALSE)</f>
        <v>44463.980364706273</v>
      </c>
      <c r="F1211" t="s">
        <v>1070</v>
      </c>
      <c r="G1211" t="s">
        <v>788</v>
      </c>
      <c r="H1211" t="s">
        <v>351</v>
      </c>
      <c r="I1211" t="str">
        <f>VLOOKUP(tblSalaries[[#This Row],[Where do you work]],[1]!tblCountries[[Actual]:[Mapping]],2,FALSE)</f>
        <v>Ireland</v>
      </c>
      <c r="J1211" t="s">
        <v>794</v>
      </c>
      <c r="K1211">
        <v>12</v>
      </c>
    </row>
    <row r="1212" spans="1:11" x14ac:dyDescent="0.2">
      <c r="A1212" t="s">
        <v>2927</v>
      </c>
      <c r="B1212" s="59">
        <v>41058.160520833335</v>
      </c>
      <c r="C1212">
        <v>30000</v>
      </c>
      <c r="D1212" t="s">
        <v>805</v>
      </c>
      <c r="E1212">
        <f>tblSalaries[[#This Row],[clean Salary (in local currency)]]*VLOOKUP(tblSalaries[[#This Row],[Currency]],[1]!tblXrate[#Data],2,FALSE)</f>
        <v>38111.983169748237</v>
      </c>
      <c r="F1212" t="s">
        <v>2928</v>
      </c>
      <c r="G1212" t="s">
        <v>867</v>
      </c>
      <c r="H1212" t="s">
        <v>2929</v>
      </c>
      <c r="I1212" t="str">
        <f>VLOOKUP(tblSalaries[[#This Row],[Where do you work]],[1]!tblCountries[[Actual]:[Mapping]],2,FALSE)</f>
        <v>Netherlands</v>
      </c>
      <c r="J1212" t="s">
        <v>808</v>
      </c>
      <c r="K1212">
        <v>8</v>
      </c>
    </row>
    <row r="1213" spans="1:11" x14ac:dyDescent="0.2">
      <c r="A1213" t="s">
        <v>2930</v>
      </c>
      <c r="B1213" s="59">
        <v>41058.160740740743</v>
      </c>
      <c r="C1213">
        <v>75000</v>
      </c>
      <c r="D1213" t="s">
        <v>861</v>
      </c>
      <c r="E1213">
        <f>tblSalaries[[#This Row],[clean Salary (in local currency)]]*VLOOKUP(tblSalaries[[#This Row],[Currency]],[1]!tblXrate[#Data],2,FALSE)</f>
        <v>118213.37040504631</v>
      </c>
      <c r="F1213" t="s">
        <v>1780</v>
      </c>
      <c r="G1213" t="s">
        <v>807</v>
      </c>
      <c r="H1213" t="s">
        <v>863</v>
      </c>
      <c r="I1213" t="str">
        <f>VLOOKUP(tblSalaries[[#This Row],[Where do you work]],[1]!tblCountries[[Actual]:[Mapping]],2,FALSE)</f>
        <v>UK</v>
      </c>
      <c r="J1213" t="s">
        <v>789</v>
      </c>
      <c r="K1213">
        <v>20</v>
      </c>
    </row>
    <row r="1214" spans="1:11" x14ac:dyDescent="0.2">
      <c r="A1214" t="s">
        <v>2931</v>
      </c>
      <c r="B1214" s="59">
        <v>41058.16883101852</v>
      </c>
      <c r="C1214">
        <v>25000</v>
      </c>
      <c r="D1214" t="s">
        <v>861</v>
      </c>
      <c r="E1214">
        <f>tblSalaries[[#This Row],[clean Salary (in local currency)]]*VLOOKUP(tblSalaries[[#This Row],[Currency]],[1]!tblXrate[#Data],2,FALSE)</f>
        <v>39404.456801682099</v>
      </c>
      <c r="F1214" t="s">
        <v>2932</v>
      </c>
      <c r="G1214" t="s">
        <v>817</v>
      </c>
      <c r="H1214" t="s">
        <v>863</v>
      </c>
      <c r="I1214" t="str">
        <f>VLOOKUP(tblSalaries[[#This Row],[Where do you work]],[1]!tblCountries[[Actual]:[Mapping]],2,FALSE)</f>
        <v>UK</v>
      </c>
      <c r="J1214" t="s">
        <v>799</v>
      </c>
      <c r="K1214">
        <v>10</v>
      </c>
    </row>
    <row r="1215" spans="1:11" x14ac:dyDescent="0.2">
      <c r="A1215" t="s">
        <v>2933</v>
      </c>
      <c r="B1215" s="59">
        <v>41058.172743055555</v>
      </c>
      <c r="C1215">
        <v>71000</v>
      </c>
      <c r="D1215" t="s">
        <v>805</v>
      </c>
      <c r="E1215">
        <f>tblSalaries[[#This Row],[clean Salary (in local currency)]]*VLOOKUP(tblSalaries[[#This Row],[Currency]],[1]!tblXrate[#Data],2,FALSE)</f>
        <v>90198.36016840415</v>
      </c>
      <c r="F1215" t="s">
        <v>867</v>
      </c>
      <c r="G1215" t="s">
        <v>867</v>
      </c>
      <c r="H1215" t="s">
        <v>72</v>
      </c>
      <c r="I1215" t="str">
        <f>VLOOKUP(tblSalaries[[#This Row],[Where do you work]],[1]!tblCountries[[Actual]:[Mapping]],2,FALSE)</f>
        <v>Germany</v>
      </c>
      <c r="J1215" t="s">
        <v>808</v>
      </c>
      <c r="K1215">
        <v>3</v>
      </c>
    </row>
    <row r="1216" spans="1:11" x14ac:dyDescent="0.2">
      <c r="A1216" t="s">
        <v>2934</v>
      </c>
      <c r="B1216" s="59">
        <v>41058.174976851849</v>
      </c>
      <c r="C1216">
        <v>30000</v>
      </c>
      <c r="D1216" t="s">
        <v>861</v>
      </c>
      <c r="E1216">
        <f>tblSalaries[[#This Row],[clean Salary (in local currency)]]*VLOOKUP(tblSalaries[[#This Row],[Currency]],[1]!tblXrate[#Data],2,FALSE)</f>
        <v>47285.348162018527</v>
      </c>
      <c r="F1216" t="s">
        <v>2935</v>
      </c>
      <c r="G1216" t="s">
        <v>820</v>
      </c>
      <c r="H1216" t="s">
        <v>863</v>
      </c>
      <c r="I1216" t="str">
        <f>VLOOKUP(tblSalaries[[#This Row],[Where do you work]],[1]!tblCountries[[Actual]:[Mapping]],2,FALSE)</f>
        <v>UK</v>
      </c>
      <c r="J1216" t="s">
        <v>789</v>
      </c>
      <c r="K1216">
        <v>14</v>
      </c>
    </row>
    <row r="1217" spans="1:11" x14ac:dyDescent="0.2">
      <c r="A1217" t="s">
        <v>2936</v>
      </c>
      <c r="B1217" s="59">
        <v>41058.184050925927</v>
      </c>
      <c r="C1217">
        <v>56000</v>
      </c>
      <c r="D1217" t="s">
        <v>786</v>
      </c>
      <c r="E1217">
        <f>tblSalaries[[#This Row],[clean Salary (in local currency)]]*VLOOKUP(tblSalaries[[#This Row],[Currency]],[1]!tblXrate[#Data],2,FALSE)</f>
        <v>56000</v>
      </c>
      <c r="F1217" t="s">
        <v>817</v>
      </c>
      <c r="G1217" t="s">
        <v>817</v>
      </c>
      <c r="H1217" t="s">
        <v>15</v>
      </c>
      <c r="I1217" t="str">
        <f>VLOOKUP(tblSalaries[[#This Row],[Where do you work]],[1]!tblCountries[[Actual]:[Mapping]],2,FALSE)</f>
        <v>USA</v>
      </c>
      <c r="J1217" t="s">
        <v>789</v>
      </c>
      <c r="K1217">
        <v>1</v>
      </c>
    </row>
    <row r="1218" spans="1:11" x14ac:dyDescent="0.2">
      <c r="A1218" t="s">
        <v>2937</v>
      </c>
      <c r="B1218" s="59">
        <v>41058.187615740739</v>
      </c>
      <c r="C1218">
        <v>48000000</v>
      </c>
      <c r="D1218" t="s">
        <v>2938</v>
      </c>
      <c r="E1218">
        <f>tblSalaries[[#This Row],[clean Salary (in local currency)]]*VLOOKUP(tblSalaries[[#This Row],[Currency]],[1]!tblXrate[#Data],2,FALSE)</f>
        <v>5082.6943786459069</v>
      </c>
      <c r="F1218" t="s">
        <v>2939</v>
      </c>
      <c r="G1218" t="s">
        <v>788</v>
      </c>
      <c r="H1218" t="s">
        <v>119</v>
      </c>
      <c r="I1218" t="str">
        <f>VLOOKUP(tblSalaries[[#This Row],[Where do you work]],[1]!tblCountries[[Actual]:[Mapping]],2,FALSE)</f>
        <v>Indonesia</v>
      </c>
      <c r="J1218" t="s">
        <v>808</v>
      </c>
      <c r="K1218">
        <v>2</v>
      </c>
    </row>
    <row r="1219" spans="1:11" x14ac:dyDescent="0.2">
      <c r="A1219" t="s">
        <v>2940</v>
      </c>
      <c r="B1219" s="59">
        <v>41058.190011574072</v>
      </c>
      <c r="C1219">
        <v>34000</v>
      </c>
      <c r="D1219" t="s">
        <v>861</v>
      </c>
      <c r="E1219">
        <f>tblSalaries[[#This Row],[clean Salary (in local currency)]]*VLOOKUP(tblSalaries[[#This Row],[Currency]],[1]!tblXrate[#Data],2,FALSE)</f>
        <v>53590.061250287661</v>
      </c>
      <c r="F1219" t="s">
        <v>2941</v>
      </c>
      <c r="G1219" t="s">
        <v>817</v>
      </c>
      <c r="H1219" t="s">
        <v>863</v>
      </c>
      <c r="I1219" t="str">
        <f>VLOOKUP(tblSalaries[[#This Row],[Where do you work]],[1]!tblCountries[[Actual]:[Mapping]],2,FALSE)</f>
        <v>UK</v>
      </c>
      <c r="J1219" t="s">
        <v>794</v>
      </c>
      <c r="K1219">
        <v>10</v>
      </c>
    </row>
    <row r="1220" spans="1:11" x14ac:dyDescent="0.2">
      <c r="A1220" t="s">
        <v>2942</v>
      </c>
      <c r="B1220" s="59">
        <v>41058.210717592592</v>
      </c>
      <c r="C1220">
        <v>450000</v>
      </c>
      <c r="D1220" t="s">
        <v>2884</v>
      </c>
      <c r="E1220">
        <f>tblSalaries[[#This Row],[clean Salary (in local currency)]]*VLOOKUP(tblSalaries[[#This Row],[Currency]],[1]!tblXrate[#Data],2,FALSE)</f>
        <v>76906.906752939132</v>
      </c>
      <c r="F1220" t="s">
        <v>2943</v>
      </c>
      <c r="G1220" t="s">
        <v>813</v>
      </c>
      <c r="H1220" t="s">
        <v>70</v>
      </c>
      <c r="I1220" t="str">
        <f>VLOOKUP(tblSalaries[[#This Row],[Where do you work]],[1]!tblCountries[[Actual]:[Mapping]],2,FALSE)</f>
        <v>Denmark</v>
      </c>
      <c r="J1220" t="s">
        <v>794</v>
      </c>
      <c r="K1220">
        <v>17</v>
      </c>
    </row>
    <row r="1221" spans="1:11" x14ac:dyDescent="0.2">
      <c r="A1221" t="s">
        <v>2944</v>
      </c>
      <c r="B1221" s="59">
        <v>41058.214548611111</v>
      </c>
      <c r="C1221">
        <v>85000</v>
      </c>
      <c r="D1221" t="s">
        <v>786</v>
      </c>
      <c r="E1221">
        <f>tblSalaries[[#This Row],[clean Salary (in local currency)]]*VLOOKUP(tblSalaries[[#This Row],[Currency]],[1]!tblXrate[#Data],2,FALSE)</f>
        <v>85000</v>
      </c>
      <c r="F1221" t="s">
        <v>2945</v>
      </c>
      <c r="G1221" t="s">
        <v>788</v>
      </c>
      <c r="H1221" t="s">
        <v>15</v>
      </c>
      <c r="I1221" t="str">
        <f>VLOOKUP(tblSalaries[[#This Row],[Where do you work]],[1]!tblCountries[[Actual]:[Mapping]],2,FALSE)</f>
        <v>USA</v>
      </c>
      <c r="J1221" t="s">
        <v>789</v>
      </c>
      <c r="K1221">
        <v>5</v>
      </c>
    </row>
    <row r="1222" spans="1:11" x14ac:dyDescent="0.2">
      <c r="A1222" t="s">
        <v>2946</v>
      </c>
      <c r="B1222" s="59">
        <v>41058.216006944444</v>
      </c>
      <c r="C1222">
        <v>72000</v>
      </c>
      <c r="D1222" t="s">
        <v>786</v>
      </c>
      <c r="E1222">
        <f>tblSalaries[[#This Row],[clean Salary (in local currency)]]*VLOOKUP(tblSalaries[[#This Row],[Currency]],[1]!tblXrate[#Data],2,FALSE)</f>
        <v>72000</v>
      </c>
      <c r="F1222" t="s">
        <v>2947</v>
      </c>
      <c r="G1222" t="s">
        <v>867</v>
      </c>
      <c r="H1222" t="s">
        <v>225</v>
      </c>
      <c r="I1222" t="str">
        <f>VLOOKUP(tblSalaries[[#This Row],[Where do you work]],[1]!tblCountries[[Actual]:[Mapping]],2,FALSE)</f>
        <v>New Zealand</v>
      </c>
      <c r="J1222" t="s">
        <v>799</v>
      </c>
      <c r="K1222">
        <v>10</v>
      </c>
    </row>
    <row r="1223" spans="1:11" x14ac:dyDescent="0.2">
      <c r="A1223" t="s">
        <v>2948</v>
      </c>
      <c r="B1223" s="59">
        <v>41058.223368055558</v>
      </c>
      <c r="C1223">
        <v>55000</v>
      </c>
      <c r="D1223" t="s">
        <v>786</v>
      </c>
      <c r="E1223">
        <f>tblSalaries[[#This Row],[clean Salary (in local currency)]]*VLOOKUP(tblSalaries[[#This Row],[Currency]],[1]!tblXrate[#Data],2,FALSE)</f>
        <v>55000</v>
      </c>
      <c r="F1223" t="s">
        <v>2709</v>
      </c>
      <c r="G1223" t="s">
        <v>788</v>
      </c>
      <c r="H1223" t="s">
        <v>15</v>
      </c>
      <c r="I1223" t="str">
        <f>VLOOKUP(tblSalaries[[#This Row],[Where do you work]],[1]!tblCountries[[Actual]:[Mapping]],2,FALSE)</f>
        <v>USA</v>
      </c>
      <c r="J1223" t="s">
        <v>808</v>
      </c>
      <c r="K1223">
        <v>7</v>
      </c>
    </row>
    <row r="1224" spans="1:11" x14ac:dyDescent="0.2">
      <c r="A1224" t="s">
        <v>2949</v>
      </c>
      <c r="B1224" s="59">
        <v>41058.241365740738</v>
      </c>
      <c r="C1224">
        <v>43000</v>
      </c>
      <c r="D1224" t="s">
        <v>861</v>
      </c>
      <c r="E1224">
        <f>tblSalaries[[#This Row],[clean Salary (in local currency)]]*VLOOKUP(tblSalaries[[#This Row],[Currency]],[1]!tblXrate[#Data],2,FALSE)</f>
        <v>67775.665698893223</v>
      </c>
      <c r="F1224" t="s">
        <v>1026</v>
      </c>
      <c r="G1224" t="s">
        <v>792</v>
      </c>
      <c r="H1224" t="s">
        <v>863</v>
      </c>
      <c r="I1224" t="str">
        <f>VLOOKUP(tblSalaries[[#This Row],[Where do you work]],[1]!tblCountries[[Actual]:[Mapping]],2,FALSE)</f>
        <v>UK</v>
      </c>
      <c r="J1224" t="s">
        <v>789</v>
      </c>
      <c r="K1224">
        <v>25</v>
      </c>
    </row>
    <row r="1225" spans="1:11" x14ac:dyDescent="0.2">
      <c r="A1225" t="s">
        <v>2950</v>
      </c>
      <c r="B1225" s="59">
        <v>41058.245625000003</v>
      </c>
      <c r="C1225">
        <v>25750</v>
      </c>
      <c r="D1225" t="s">
        <v>861</v>
      </c>
      <c r="E1225">
        <f>tblSalaries[[#This Row],[clean Salary (in local currency)]]*VLOOKUP(tblSalaries[[#This Row],[Currency]],[1]!tblXrate[#Data],2,FALSE)</f>
        <v>40586.590505732565</v>
      </c>
      <c r="F1225" t="s">
        <v>1246</v>
      </c>
      <c r="G1225" t="s">
        <v>788</v>
      </c>
      <c r="H1225" t="s">
        <v>863</v>
      </c>
      <c r="I1225" t="str">
        <f>VLOOKUP(tblSalaries[[#This Row],[Where do you work]],[1]!tblCountries[[Actual]:[Mapping]],2,FALSE)</f>
        <v>UK</v>
      </c>
      <c r="J1225" t="s">
        <v>789</v>
      </c>
      <c r="K1225">
        <v>1</v>
      </c>
    </row>
    <row r="1226" spans="1:11" x14ac:dyDescent="0.2">
      <c r="A1226" t="s">
        <v>2951</v>
      </c>
      <c r="B1226" s="59">
        <v>41058.255694444444</v>
      </c>
      <c r="C1226">
        <v>50846</v>
      </c>
      <c r="D1226" t="s">
        <v>786</v>
      </c>
      <c r="E1226">
        <f>tblSalaries[[#This Row],[clean Salary (in local currency)]]*VLOOKUP(tblSalaries[[#This Row],[Currency]],[1]!tblXrate[#Data],2,FALSE)</f>
        <v>50846</v>
      </c>
      <c r="F1226" t="s">
        <v>2952</v>
      </c>
      <c r="G1226" t="s">
        <v>788</v>
      </c>
      <c r="H1226" t="s">
        <v>15</v>
      </c>
      <c r="I1226" t="str">
        <f>VLOOKUP(tblSalaries[[#This Row],[Where do you work]],[1]!tblCountries[[Actual]:[Mapping]],2,FALSE)</f>
        <v>USA</v>
      </c>
      <c r="J1226" t="s">
        <v>789</v>
      </c>
      <c r="K1226">
        <v>25</v>
      </c>
    </row>
    <row r="1227" spans="1:11" x14ac:dyDescent="0.2">
      <c r="A1227" t="s">
        <v>2953</v>
      </c>
      <c r="B1227" s="59">
        <v>41058.267083333332</v>
      </c>
      <c r="C1227">
        <v>63000</v>
      </c>
      <c r="D1227" t="s">
        <v>786</v>
      </c>
      <c r="E1227">
        <f>tblSalaries[[#This Row],[clean Salary (in local currency)]]*VLOOKUP(tblSalaries[[#This Row],[Currency]],[1]!tblXrate[#Data],2,FALSE)</f>
        <v>63000</v>
      </c>
      <c r="F1227" t="s">
        <v>1160</v>
      </c>
      <c r="G1227" t="s">
        <v>817</v>
      </c>
      <c r="H1227" t="s">
        <v>15</v>
      </c>
      <c r="I1227" t="str">
        <f>VLOOKUP(tblSalaries[[#This Row],[Where do you work]],[1]!tblCountries[[Actual]:[Mapping]],2,FALSE)</f>
        <v>USA</v>
      </c>
      <c r="J1227" t="s">
        <v>794</v>
      </c>
      <c r="K1227">
        <v>16</v>
      </c>
    </row>
    <row r="1228" spans="1:11" x14ac:dyDescent="0.2">
      <c r="A1228" t="s">
        <v>2954</v>
      </c>
      <c r="B1228" s="59">
        <v>41058.268113425926</v>
      </c>
      <c r="C1228">
        <v>80000</v>
      </c>
      <c r="D1228" t="s">
        <v>877</v>
      </c>
      <c r="E1228">
        <f>tblSalaries[[#This Row],[clean Salary (in local currency)]]*VLOOKUP(tblSalaries[[#This Row],[Currency]],[1]!tblXrate[#Data],2,FALSE)</f>
        <v>81592.772512210868</v>
      </c>
      <c r="F1228" t="s">
        <v>2955</v>
      </c>
      <c r="G1228" t="s">
        <v>817</v>
      </c>
      <c r="H1228" t="s">
        <v>33</v>
      </c>
      <c r="I1228" t="str">
        <f>VLOOKUP(tblSalaries[[#This Row],[Where do you work]],[1]!tblCountries[[Actual]:[Mapping]],2,FALSE)</f>
        <v>Australia</v>
      </c>
      <c r="J1228" t="s">
        <v>789</v>
      </c>
      <c r="K1228">
        <v>5</v>
      </c>
    </row>
    <row r="1229" spans="1:11" x14ac:dyDescent="0.2">
      <c r="A1229" t="s">
        <v>2956</v>
      </c>
      <c r="B1229" s="59">
        <v>41058.30672453704</v>
      </c>
      <c r="C1229">
        <v>50700</v>
      </c>
      <c r="D1229" t="s">
        <v>786</v>
      </c>
      <c r="E1229">
        <f>tblSalaries[[#This Row],[clean Salary (in local currency)]]*VLOOKUP(tblSalaries[[#This Row],[Currency]],[1]!tblXrate[#Data],2,FALSE)</f>
        <v>50700</v>
      </c>
      <c r="F1229" t="s">
        <v>2957</v>
      </c>
      <c r="G1229" t="s">
        <v>788</v>
      </c>
      <c r="H1229" t="s">
        <v>54</v>
      </c>
      <c r="I1229" t="str">
        <f>VLOOKUP(tblSalaries[[#This Row],[Where do you work]],[1]!tblCountries[[Actual]:[Mapping]],2,FALSE)</f>
        <v>Brazil</v>
      </c>
      <c r="J1229" t="s">
        <v>808</v>
      </c>
      <c r="K1229">
        <v>15</v>
      </c>
    </row>
    <row r="1230" spans="1:11" x14ac:dyDescent="0.2">
      <c r="A1230" t="s">
        <v>2958</v>
      </c>
      <c r="B1230" s="59">
        <v>41058.311585648145</v>
      </c>
      <c r="C1230">
        <v>20000</v>
      </c>
      <c r="D1230" t="s">
        <v>861</v>
      </c>
      <c r="E1230">
        <f>tblSalaries[[#This Row],[clean Salary (in local currency)]]*VLOOKUP(tblSalaries[[#This Row],[Currency]],[1]!tblXrate[#Data],2,FALSE)</f>
        <v>31523.565441345683</v>
      </c>
      <c r="F1230" t="s">
        <v>2959</v>
      </c>
      <c r="G1230" t="s">
        <v>788</v>
      </c>
      <c r="H1230" t="s">
        <v>863</v>
      </c>
      <c r="I1230" t="str">
        <f>VLOOKUP(tblSalaries[[#This Row],[Where do you work]],[1]!tblCountries[[Actual]:[Mapping]],2,FALSE)</f>
        <v>UK</v>
      </c>
      <c r="J1230" t="s">
        <v>789</v>
      </c>
      <c r="K1230">
        <v>1</v>
      </c>
    </row>
    <row r="1231" spans="1:11" x14ac:dyDescent="0.2">
      <c r="A1231" t="s">
        <v>2960</v>
      </c>
      <c r="B1231" s="59">
        <v>41058.324259259258</v>
      </c>
      <c r="C1231">
        <v>70000</v>
      </c>
      <c r="D1231" t="s">
        <v>786</v>
      </c>
      <c r="E1231">
        <f>tblSalaries[[#This Row],[clean Salary (in local currency)]]*VLOOKUP(tblSalaries[[#This Row],[Currency]],[1]!tblXrate[#Data],2,FALSE)</f>
        <v>70000</v>
      </c>
      <c r="F1231" t="s">
        <v>2961</v>
      </c>
      <c r="G1231" t="s">
        <v>788</v>
      </c>
      <c r="H1231" t="s">
        <v>15</v>
      </c>
      <c r="I1231" t="str">
        <f>VLOOKUP(tblSalaries[[#This Row],[Where do you work]],[1]!tblCountries[[Actual]:[Mapping]],2,FALSE)</f>
        <v>USA</v>
      </c>
      <c r="J1231" t="s">
        <v>808</v>
      </c>
      <c r="K1231">
        <v>6</v>
      </c>
    </row>
    <row r="1232" spans="1:11" x14ac:dyDescent="0.2">
      <c r="A1232" t="s">
        <v>2962</v>
      </c>
      <c r="B1232" s="59">
        <v>41058.328425925924</v>
      </c>
      <c r="C1232">
        <v>65000</v>
      </c>
      <c r="D1232" t="s">
        <v>882</v>
      </c>
      <c r="E1232">
        <f>tblSalaries[[#This Row],[clean Salary (in local currency)]]*VLOOKUP(tblSalaries[[#This Row],[Currency]],[1]!tblXrate[#Data],2,FALSE)</f>
        <v>63918.498996971248</v>
      </c>
      <c r="F1232" t="s">
        <v>2963</v>
      </c>
      <c r="G1232" t="s">
        <v>807</v>
      </c>
      <c r="H1232" t="s">
        <v>143</v>
      </c>
      <c r="I1232" t="str">
        <f>VLOOKUP(tblSalaries[[#This Row],[Where do you work]],[1]!tblCountries[[Actual]:[Mapping]],2,FALSE)</f>
        <v>Canada</v>
      </c>
      <c r="J1232" t="s">
        <v>799</v>
      </c>
      <c r="K1232">
        <v>15</v>
      </c>
    </row>
    <row r="1233" spans="1:11" x14ac:dyDescent="0.2">
      <c r="A1233" t="s">
        <v>2964</v>
      </c>
      <c r="B1233" s="59">
        <v>41058.331296296295</v>
      </c>
      <c r="C1233">
        <v>9600000</v>
      </c>
      <c r="D1233" t="s">
        <v>2965</v>
      </c>
      <c r="E1233">
        <f>tblSalaries[[#This Row],[clean Salary (in local currency)]]*VLOOKUP(tblSalaries[[#This Row],[Currency]],[1]!tblXrate[#Data],2,FALSE)</f>
        <v>7261.724659606657</v>
      </c>
      <c r="F1233" t="s">
        <v>788</v>
      </c>
      <c r="G1233" t="s">
        <v>788</v>
      </c>
      <c r="H1233" t="s">
        <v>212</v>
      </c>
      <c r="I1233" t="str">
        <f>VLOOKUP(tblSalaries[[#This Row],[Where do you work]],[1]!tblCountries[[Actual]:[Mapping]],2,FALSE)</f>
        <v>Mongolia</v>
      </c>
      <c r="J1233" t="s">
        <v>794</v>
      </c>
      <c r="K1233">
        <v>2</v>
      </c>
    </row>
    <row r="1234" spans="1:11" x14ac:dyDescent="0.2">
      <c r="A1234" t="s">
        <v>2966</v>
      </c>
      <c r="B1234" s="59">
        <v>41058.342430555553</v>
      </c>
      <c r="C1234">
        <v>36000</v>
      </c>
      <c r="D1234" t="s">
        <v>2534</v>
      </c>
      <c r="E1234">
        <f>tblSalaries[[#This Row],[clean Salary (in local currency)]]*VLOOKUP(tblSalaries[[#This Row],[Currency]],[1]!tblXrate[#Data],2,FALSE)</f>
        <v>11404.820437438224</v>
      </c>
      <c r="F1234" t="s">
        <v>2967</v>
      </c>
      <c r="G1234" t="s">
        <v>802</v>
      </c>
      <c r="H1234" t="s">
        <v>190</v>
      </c>
      <c r="I1234" t="str">
        <f>VLOOKUP(tblSalaries[[#This Row],[Where do you work]],[1]!tblCountries[[Actual]:[Mapping]],2,FALSE)</f>
        <v>malaysia</v>
      </c>
      <c r="J1234" t="s">
        <v>789</v>
      </c>
      <c r="K1234">
        <v>2</v>
      </c>
    </row>
    <row r="1235" spans="1:11" x14ac:dyDescent="0.2">
      <c r="A1235" t="s">
        <v>2968</v>
      </c>
      <c r="B1235" s="59">
        <v>41058.351284722223</v>
      </c>
      <c r="C1235">
        <v>120000</v>
      </c>
      <c r="D1235" t="s">
        <v>786</v>
      </c>
      <c r="E1235">
        <f>tblSalaries[[#This Row],[clean Salary (in local currency)]]*VLOOKUP(tblSalaries[[#This Row],[Currency]],[1]!tblXrate[#Data],2,FALSE)</f>
        <v>120000</v>
      </c>
      <c r="F1235" t="s">
        <v>2969</v>
      </c>
      <c r="G1235" t="s">
        <v>867</v>
      </c>
      <c r="H1235" t="s">
        <v>283</v>
      </c>
      <c r="I1235" t="str">
        <f>VLOOKUP(tblSalaries[[#This Row],[Where do you work]],[1]!tblCountries[[Actual]:[Mapping]],2,FALSE)</f>
        <v>Singapore</v>
      </c>
      <c r="J1235" t="s">
        <v>808</v>
      </c>
      <c r="K1235">
        <v>5</v>
      </c>
    </row>
    <row r="1236" spans="1:11" x14ac:dyDescent="0.2">
      <c r="A1236" t="s">
        <v>2970</v>
      </c>
      <c r="B1236" s="59">
        <v>41058.361828703702</v>
      </c>
      <c r="C1236">
        <v>90000</v>
      </c>
      <c r="D1236" t="s">
        <v>877</v>
      </c>
      <c r="E1236">
        <f>tblSalaries[[#This Row],[clean Salary (in local currency)]]*VLOOKUP(tblSalaries[[#This Row],[Currency]],[1]!tblXrate[#Data],2,FALSE)</f>
        <v>91791.869076237213</v>
      </c>
      <c r="F1236" t="s">
        <v>1070</v>
      </c>
      <c r="G1236" t="s">
        <v>788</v>
      </c>
      <c r="H1236" t="s">
        <v>33</v>
      </c>
      <c r="I1236" t="str">
        <f>VLOOKUP(tblSalaries[[#This Row],[Where do you work]],[1]!tblCountries[[Actual]:[Mapping]],2,FALSE)</f>
        <v>Australia</v>
      </c>
      <c r="J1236" t="s">
        <v>789</v>
      </c>
      <c r="K1236">
        <v>5</v>
      </c>
    </row>
    <row r="1237" spans="1:11" x14ac:dyDescent="0.2">
      <c r="A1237" t="s">
        <v>2971</v>
      </c>
      <c r="B1237" s="59">
        <v>41058.361967592595</v>
      </c>
      <c r="C1237">
        <v>110000</v>
      </c>
      <c r="D1237" t="s">
        <v>877</v>
      </c>
      <c r="E1237">
        <f>tblSalaries[[#This Row],[clean Salary (in local currency)]]*VLOOKUP(tblSalaries[[#This Row],[Currency]],[1]!tblXrate[#Data],2,FALSE)</f>
        <v>112190.06220428993</v>
      </c>
      <c r="F1237" t="s">
        <v>788</v>
      </c>
      <c r="G1237" t="s">
        <v>788</v>
      </c>
      <c r="H1237" t="s">
        <v>33</v>
      </c>
      <c r="I1237" t="str">
        <f>VLOOKUP(tblSalaries[[#This Row],[Where do you work]],[1]!tblCountries[[Actual]:[Mapping]],2,FALSE)</f>
        <v>Australia</v>
      </c>
      <c r="J1237" t="s">
        <v>799</v>
      </c>
      <c r="K1237">
        <v>7</v>
      </c>
    </row>
    <row r="1238" spans="1:11" x14ac:dyDescent="0.2">
      <c r="A1238" t="s">
        <v>2972</v>
      </c>
      <c r="B1238" s="59">
        <v>41058.366527777776</v>
      </c>
      <c r="C1238">
        <v>40000</v>
      </c>
      <c r="D1238" t="s">
        <v>786</v>
      </c>
      <c r="E1238">
        <f>tblSalaries[[#This Row],[clean Salary (in local currency)]]*VLOOKUP(tblSalaries[[#This Row],[Currency]],[1]!tblXrate[#Data],2,FALSE)</f>
        <v>40000</v>
      </c>
      <c r="F1238" t="s">
        <v>2973</v>
      </c>
      <c r="G1238" t="s">
        <v>807</v>
      </c>
      <c r="H1238" t="s">
        <v>15</v>
      </c>
      <c r="I1238" t="str">
        <f>VLOOKUP(tblSalaries[[#This Row],[Where do you work]],[1]!tblCountries[[Actual]:[Mapping]],2,FALSE)</f>
        <v>USA</v>
      </c>
      <c r="J1238" t="s">
        <v>799</v>
      </c>
      <c r="K1238">
        <v>18</v>
      </c>
    </row>
    <row r="1239" spans="1:11" x14ac:dyDescent="0.2">
      <c r="A1239" t="s">
        <v>2974</v>
      </c>
      <c r="B1239" s="59">
        <v>41058.374780092592</v>
      </c>
      <c r="C1239">
        <v>107000</v>
      </c>
      <c r="D1239" t="s">
        <v>786</v>
      </c>
      <c r="E1239">
        <f>tblSalaries[[#This Row],[clean Salary (in local currency)]]*VLOOKUP(tblSalaries[[#This Row],[Currency]],[1]!tblXrate[#Data],2,FALSE)</f>
        <v>107000</v>
      </c>
      <c r="F1239" t="s">
        <v>2975</v>
      </c>
      <c r="G1239" t="s">
        <v>817</v>
      </c>
      <c r="H1239" t="s">
        <v>15</v>
      </c>
      <c r="I1239" t="str">
        <f>VLOOKUP(tblSalaries[[#This Row],[Where do you work]],[1]!tblCountries[[Actual]:[Mapping]],2,FALSE)</f>
        <v>USA</v>
      </c>
      <c r="J1239" t="s">
        <v>789</v>
      </c>
      <c r="K1239">
        <v>12</v>
      </c>
    </row>
    <row r="1240" spans="1:11" x14ac:dyDescent="0.2">
      <c r="A1240" t="s">
        <v>2976</v>
      </c>
      <c r="B1240" s="59">
        <v>41058.385520833333</v>
      </c>
      <c r="C1240">
        <v>82000</v>
      </c>
      <c r="D1240" t="s">
        <v>786</v>
      </c>
      <c r="E1240">
        <f>tblSalaries[[#This Row],[clean Salary (in local currency)]]*VLOOKUP(tblSalaries[[#This Row],[Currency]],[1]!tblXrate[#Data],2,FALSE)</f>
        <v>82000</v>
      </c>
      <c r="F1240" t="s">
        <v>2977</v>
      </c>
      <c r="G1240" t="s">
        <v>807</v>
      </c>
      <c r="H1240" t="s">
        <v>15</v>
      </c>
      <c r="I1240" t="str">
        <f>VLOOKUP(tblSalaries[[#This Row],[Where do you work]],[1]!tblCountries[[Actual]:[Mapping]],2,FALSE)</f>
        <v>USA</v>
      </c>
      <c r="J1240" t="s">
        <v>789</v>
      </c>
      <c r="K1240">
        <v>10</v>
      </c>
    </row>
    <row r="1241" spans="1:11" x14ac:dyDescent="0.2">
      <c r="A1241" t="s">
        <v>2978</v>
      </c>
      <c r="B1241" s="59">
        <v>41058.39271990741</v>
      </c>
      <c r="C1241">
        <v>100000</v>
      </c>
      <c r="D1241" t="s">
        <v>877</v>
      </c>
      <c r="E1241">
        <f>tblSalaries[[#This Row],[clean Salary (in local currency)]]*VLOOKUP(tblSalaries[[#This Row],[Currency]],[1]!tblXrate[#Data],2,FALSE)</f>
        <v>101990.96564026357</v>
      </c>
      <c r="F1241" t="s">
        <v>2979</v>
      </c>
      <c r="G1241" t="s">
        <v>867</v>
      </c>
      <c r="H1241" t="s">
        <v>33</v>
      </c>
      <c r="I1241" t="str">
        <f>VLOOKUP(tblSalaries[[#This Row],[Where do you work]],[1]!tblCountries[[Actual]:[Mapping]],2,FALSE)</f>
        <v>Australia</v>
      </c>
      <c r="J1241" t="s">
        <v>789</v>
      </c>
      <c r="K1241">
        <v>15</v>
      </c>
    </row>
    <row r="1242" spans="1:11" x14ac:dyDescent="0.2">
      <c r="A1242" t="s">
        <v>2980</v>
      </c>
      <c r="B1242" s="59">
        <v>41058.40115740741</v>
      </c>
      <c r="C1242">
        <v>43000</v>
      </c>
      <c r="D1242" t="s">
        <v>786</v>
      </c>
      <c r="E1242">
        <f>tblSalaries[[#This Row],[clean Salary (in local currency)]]*VLOOKUP(tblSalaries[[#This Row],[Currency]],[1]!tblXrate[#Data],2,FALSE)</f>
        <v>43000</v>
      </c>
      <c r="F1242" t="s">
        <v>2981</v>
      </c>
      <c r="G1242" t="s">
        <v>807</v>
      </c>
      <c r="H1242" t="s">
        <v>33</v>
      </c>
      <c r="I1242" t="str">
        <f>VLOOKUP(tblSalaries[[#This Row],[Where do you work]],[1]!tblCountries[[Actual]:[Mapping]],2,FALSE)</f>
        <v>Australia</v>
      </c>
      <c r="J1242" t="s">
        <v>799</v>
      </c>
      <c r="K1242">
        <v>4</v>
      </c>
    </row>
    <row r="1243" spans="1:11" x14ac:dyDescent="0.2">
      <c r="A1243" t="s">
        <v>2982</v>
      </c>
      <c r="B1243" s="59">
        <v>41058.401550925926</v>
      </c>
      <c r="C1243">
        <v>69000</v>
      </c>
      <c r="D1243" t="s">
        <v>786</v>
      </c>
      <c r="E1243">
        <f>tblSalaries[[#This Row],[clean Salary (in local currency)]]*VLOOKUP(tblSalaries[[#This Row],[Currency]],[1]!tblXrate[#Data],2,FALSE)</f>
        <v>69000</v>
      </c>
      <c r="F1243" t="s">
        <v>2983</v>
      </c>
      <c r="G1243" t="s">
        <v>792</v>
      </c>
      <c r="H1243" t="s">
        <v>15</v>
      </c>
      <c r="I1243" t="str">
        <f>VLOOKUP(tblSalaries[[#This Row],[Where do you work]],[1]!tblCountries[[Actual]:[Mapping]],2,FALSE)</f>
        <v>USA</v>
      </c>
      <c r="J1243" t="s">
        <v>789</v>
      </c>
      <c r="K1243">
        <v>20</v>
      </c>
    </row>
    <row r="1244" spans="1:11" x14ac:dyDescent="0.2">
      <c r="A1244" t="s">
        <v>2984</v>
      </c>
      <c r="B1244" s="59">
        <v>41058.408182870371</v>
      </c>
      <c r="C1244">
        <v>30000</v>
      </c>
      <c r="D1244" t="s">
        <v>786</v>
      </c>
      <c r="E1244">
        <f>tblSalaries[[#This Row],[clean Salary (in local currency)]]*VLOOKUP(tblSalaries[[#This Row],[Currency]],[1]!tblXrate[#Data],2,FALSE)</f>
        <v>30000</v>
      </c>
      <c r="F1244" t="s">
        <v>2985</v>
      </c>
      <c r="G1244" t="s">
        <v>807</v>
      </c>
      <c r="H1244" t="s">
        <v>117</v>
      </c>
      <c r="I1244" t="str">
        <f>VLOOKUP(tblSalaries[[#This Row],[Where do you work]],[1]!tblCountries[[Actual]:[Mapping]],2,FALSE)</f>
        <v>India</v>
      </c>
      <c r="J1244" t="s">
        <v>799</v>
      </c>
      <c r="K1244">
        <v>3</v>
      </c>
    </row>
    <row r="1245" spans="1:11" x14ac:dyDescent="0.2">
      <c r="A1245" t="s">
        <v>2986</v>
      </c>
      <c r="B1245" s="59">
        <v>41058.411134259259</v>
      </c>
      <c r="C1245">
        <v>48000</v>
      </c>
      <c r="D1245" t="s">
        <v>877</v>
      </c>
      <c r="E1245">
        <f>tblSalaries[[#This Row],[clean Salary (in local currency)]]*VLOOKUP(tblSalaries[[#This Row],[Currency]],[1]!tblXrate[#Data],2,FALSE)</f>
        <v>48955.663507326513</v>
      </c>
      <c r="F1245" t="s">
        <v>1778</v>
      </c>
      <c r="G1245" t="s">
        <v>788</v>
      </c>
      <c r="H1245" t="s">
        <v>33</v>
      </c>
      <c r="I1245" t="str">
        <f>VLOOKUP(tblSalaries[[#This Row],[Where do you work]],[1]!tblCountries[[Actual]:[Mapping]],2,FALSE)</f>
        <v>Australia</v>
      </c>
      <c r="J1245" t="s">
        <v>808</v>
      </c>
      <c r="K1245">
        <v>2</v>
      </c>
    </row>
    <row r="1246" spans="1:11" x14ac:dyDescent="0.2">
      <c r="A1246" t="s">
        <v>2987</v>
      </c>
      <c r="B1246" s="59">
        <v>41058.422465277778</v>
      </c>
      <c r="C1246">
        <v>70000</v>
      </c>
      <c r="D1246" t="s">
        <v>786</v>
      </c>
      <c r="E1246">
        <f>tblSalaries[[#This Row],[clean Salary (in local currency)]]*VLOOKUP(tblSalaries[[#This Row],[Currency]],[1]!tblXrate[#Data],2,FALSE)</f>
        <v>70000</v>
      </c>
      <c r="F1246" t="s">
        <v>1059</v>
      </c>
      <c r="G1246" t="s">
        <v>807</v>
      </c>
      <c r="H1246" t="s">
        <v>15</v>
      </c>
      <c r="I1246" t="str">
        <f>VLOOKUP(tblSalaries[[#This Row],[Where do you work]],[1]!tblCountries[[Actual]:[Mapping]],2,FALSE)</f>
        <v>USA</v>
      </c>
      <c r="J1246" t="s">
        <v>789</v>
      </c>
      <c r="K1246">
        <v>8</v>
      </c>
    </row>
    <row r="1247" spans="1:11" x14ac:dyDescent="0.2">
      <c r="A1247" t="s">
        <v>2988</v>
      </c>
      <c r="B1247" s="59">
        <v>41058.423344907409</v>
      </c>
      <c r="C1247">
        <v>45000</v>
      </c>
      <c r="D1247" t="s">
        <v>786</v>
      </c>
      <c r="E1247">
        <f>tblSalaries[[#This Row],[clean Salary (in local currency)]]*VLOOKUP(tblSalaries[[#This Row],[Currency]],[1]!tblXrate[#Data],2,FALSE)</f>
        <v>45000</v>
      </c>
      <c r="F1247" t="s">
        <v>2989</v>
      </c>
      <c r="G1247" t="s">
        <v>788</v>
      </c>
      <c r="H1247" t="s">
        <v>15</v>
      </c>
      <c r="I1247" t="str">
        <f>VLOOKUP(tblSalaries[[#This Row],[Where do you work]],[1]!tblCountries[[Actual]:[Mapping]],2,FALSE)</f>
        <v>USA</v>
      </c>
      <c r="J1247" t="s">
        <v>789</v>
      </c>
      <c r="K1247">
        <v>7</v>
      </c>
    </row>
    <row r="1248" spans="1:11" x14ac:dyDescent="0.2">
      <c r="A1248" t="s">
        <v>2990</v>
      </c>
      <c r="B1248" s="59">
        <v>41058.424629629626</v>
      </c>
      <c r="C1248">
        <v>35000</v>
      </c>
      <c r="D1248" t="s">
        <v>786</v>
      </c>
      <c r="E1248">
        <f>tblSalaries[[#This Row],[clean Salary (in local currency)]]*VLOOKUP(tblSalaries[[#This Row],[Currency]],[1]!tblXrate[#Data],2,FALSE)</f>
        <v>35000</v>
      </c>
      <c r="F1248" t="s">
        <v>2991</v>
      </c>
      <c r="G1248" t="s">
        <v>813</v>
      </c>
      <c r="H1248" t="s">
        <v>190</v>
      </c>
      <c r="I1248" t="str">
        <f>VLOOKUP(tblSalaries[[#This Row],[Where do you work]],[1]!tblCountries[[Actual]:[Mapping]],2,FALSE)</f>
        <v>malaysia</v>
      </c>
      <c r="J1248" t="s">
        <v>794</v>
      </c>
      <c r="K1248">
        <v>12</v>
      </c>
    </row>
    <row r="1249" spans="1:11" x14ac:dyDescent="0.2">
      <c r="A1249" t="s">
        <v>2992</v>
      </c>
      <c r="B1249" s="59">
        <v>41058.447094907409</v>
      </c>
      <c r="C1249">
        <v>500000</v>
      </c>
      <c r="D1249" t="s">
        <v>824</v>
      </c>
      <c r="E1249">
        <f>tblSalaries[[#This Row],[clean Salary (in local currency)]]*VLOOKUP(tblSalaries[[#This Row],[Currency]],[1]!tblXrate[#Data],2,FALSE)</f>
        <v>8903.9583437212841</v>
      </c>
      <c r="F1249" t="s">
        <v>2993</v>
      </c>
      <c r="G1249" t="s">
        <v>807</v>
      </c>
      <c r="H1249" t="s">
        <v>117</v>
      </c>
      <c r="I1249" t="str">
        <f>VLOOKUP(tblSalaries[[#This Row],[Where do you work]],[1]!tblCountries[[Actual]:[Mapping]],2,FALSE)</f>
        <v>India</v>
      </c>
      <c r="J1249" t="s">
        <v>799</v>
      </c>
      <c r="K1249">
        <v>29</v>
      </c>
    </row>
    <row r="1250" spans="1:11" x14ac:dyDescent="0.2">
      <c r="A1250" t="s">
        <v>2994</v>
      </c>
      <c r="B1250" s="59">
        <v>41058.448449074072</v>
      </c>
      <c r="C1250">
        <v>89500</v>
      </c>
      <c r="D1250" t="s">
        <v>2534</v>
      </c>
      <c r="E1250">
        <f>tblSalaries[[#This Row],[clean Salary (in local currency)]]*VLOOKUP(tblSalaries[[#This Row],[Currency]],[1]!tblXrate[#Data],2,FALSE)</f>
        <v>28353.650809742252</v>
      </c>
      <c r="F1250" t="s">
        <v>807</v>
      </c>
      <c r="G1250" t="s">
        <v>807</v>
      </c>
      <c r="H1250" t="s">
        <v>190</v>
      </c>
      <c r="I1250" t="str">
        <f>VLOOKUP(tblSalaries[[#This Row],[Where do you work]],[1]!tblCountries[[Actual]:[Mapping]],2,FALSE)</f>
        <v>malaysia</v>
      </c>
      <c r="J1250" t="s">
        <v>799</v>
      </c>
      <c r="K1250">
        <v>20</v>
      </c>
    </row>
    <row r="1251" spans="1:11" x14ac:dyDescent="0.2">
      <c r="A1251" t="s">
        <v>2995</v>
      </c>
      <c r="B1251" s="59">
        <v>41058.450381944444</v>
      </c>
      <c r="C1251">
        <v>11800</v>
      </c>
      <c r="D1251" t="s">
        <v>786</v>
      </c>
      <c r="E1251">
        <f>tblSalaries[[#This Row],[clean Salary (in local currency)]]*VLOOKUP(tblSalaries[[#This Row],[Currency]],[1]!tblXrate[#Data],2,FALSE)</f>
        <v>11800</v>
      </c>
      <c r="F1251" t="s">
        <v>2996</v>
      </c>
      <c r="G1251" t="s">
        <v>788</v>
      </c>
      <c r="H1251" t="s">
        <v>117</v>
      </c>
      <c r="I1251" t="str">
        <f>VLOOKUP(tblSalaries[[#This Row],[Where do you work]],[1]!tblCountries[[Actual]:[Mapping]],2,FALSE)</f>
        <v>India</v>
      </c>
      <c r="J1251" t="s">
        <v>789</v>
      </c>
      <c r="K1251">
        <v>10</v>
      </c>
    </row>
    <row r="1252" spans="1:11" x14ac:dyDescent="0.2">
      <c r="A1252" t="s">
        <v>2997</v>
      </c>
      <c r="B1252" s="59">
        <v>41058.452106481483</v>
      </c>
      <c r="C1252">
        <v>360000</v>
      </c>
      <c r="D1252" t="s">
        <v>824</v>
      </c>
      <c r="E1252">
        <f>tblSalaries[[#This Row],[clean Salary (in local currency)]]*VLOOKUP(tblSalaries[[#This Row],[Currency]],[1]!tblXrate[#Data],2,FALSE)</f>
        <v>6410.8500074793246</v>
      </c>
      <c r="F1252" t="s">
        <v>2998</v>
      </c>
      <c r="G1252" t="s">
        <v>807</v>
      </c>
      <c r="H1252" t="s">
        <v>117</v>
      </c>
      <c r="I1252" t="str">
        <f>VLOOKUP(tblSalaries[[#This Row],[Where do you work]],[1]!tblCountries[[Actual]:[Mapping]],2,FALSE)</f>
        <v>India</v>
      </c>
      <c r="J1252" t="s">
        <v>794</v>
      </c>
      <c r="K1252">
        <v>6</v>
      </c>
    </row>
    <row r="1253" spans="1:11" x14ac:dyDescent="0.2">
      <c r="A1253" t="s">
        <v>2999</v>
      </c>
      <c r="B1253" s="59">
        <v>41058.45244212963</v>
      </c>
      <c r="C1253">
        <v>50000</v>
      </c>
      <c r="D1253" t="s">
        <v>786</v>
      </c>
      <c r="E1253">
        <f>tblSalaries[[#This Row],[clean Salary (in local currency)]]*VLOOKUP(tblSalaries[[#This Row],[Currency]],[1]!tblXrate[#Data],2,FALSE)</f>
        <v>50000</v>
      </c>
      <c r="F1253" t="s">
        <v>984</v>
      </c>
      <c r="G1253" t="s">
        <v>788</v>
      </c>
      <c r="H1253" t="s">
        <v>15</v>
      </c>
      <c r="I1253" t="str">
        <f>VLOOKUP(tblSalaries[[#This Row],[Where do you work]],[1]!tblCountries[[Actual]:[Mapping]],2,FALSE)</f>
        <v>USA</v>
      </c>
      <c r="J1253" t="s">
        <v>789</v>
      </c>
      <c r="K1253">
        <v>3</v>
      </c>
    </row>
    <row r="1254" spans="1:11" x14ac:dyDescent="0.2">
      <c r="A1254" t="s">
        <v>3000</v>
      </c>
      <c r="B1254" s="59">
        <v>41058.458703703705</v>
      </c>
      <c r="C1254">
        <v>85000</v>
      </c>
      <c r="D1254" t="s">
        <v>786</v>
      </c>
      <c r="E1254">
        <f>tblSalaries[[#This Row],[clean Salary (in local currency)]]*VLOOKUP(tblSalaries[[#This Row],[Currency]],[1]!tblXrate[#Data],2,FALSE)</f>
        <v>85000</v>
      </c>
      <c r="F1254" t="s">
        <v>3001</v>
      </c>
      <c r="G1254" t="s">
        <v>807</v>
      </c>
      <c r="H1254" t="s">
        <v>3002</v>
      </c>
      <c r="I1254" t="str">
        <f>VLOOKUP(tblSalaries[[#This Row],[Where do you work]],[1]!tblCountries[[Actual]:[Mapping]],2,FALSE)</f>
        <v>Sri Lanka</v>
      </c>
      <c r="J1254" t="s">
        <v>794</v>
      </c>
      <c r="K1254">
        <v>10</v>
      </c>
    </row>
    <row r="1255" spans="1:11" x14ac:dyDescent="0.2">
      <c r="A1255" t="s">
        <v>3003</v>
      </c>
      <c r="B1255" s="59">
        <v>41058.483252314814</v>
      </c>
      <c r="C1255">
        <v>1000000</v>
      </c>
      <c r="D1255" t="s">
        <v>824</v>
      </c>
      <c r="E1255">
        <f>tblSalaries[[#This Row],[clean Salary (in local currency)]]*VLOOKUP(tblSalaries[[#This Row],[Currency]],[1]!tblXrate[#Data],2,FALSE)</f>
        <v>17807.916687442568</v>
      </c>
      <c r="F1255" t="s">
        <v>807</v>
      </c>
      <c r="G1255" t="s">
        <v>807</v>
      </c>
      <c r="H1255" t="s">
        <v>117</v>
      </c>
      <c r="I1255" t="str">
        <f>VLOOKUP(tblSalaries[[#This Row],[Where do you work]],[1]!tblCountries[[Actual]:[Mapping]],2,FALSE)</f>
        <v>India</v>
      </c>
      <c r="J1255" t="s">
        <v>799</v>
      </c>
      <c r="K1255">
        <v>10</v>
      </c>
    </row>
    <row r="1256" spans="1:11" x14ac:dyDescent="0.2">
      <c r="A1256" t="s">
        <v>3004</v>
      </c>
      <c r="B1256" s="59">
        <v>41058.49082175926</v>
      </c>
      <c r="C1256">
        <v>900000</v>
      </c>
      <c r="D1256" t="s">
        <v>824</v>
      </c>
      <c r="E1256">
        <f>tblSalaries[[#This Row],[clean Salary (in local currency)]]*VLOOKUP(tblSalaries[[#This Row],[Currency]],[1]!tblXrate[#Data],2,FALSE)</f>
        <v>16027.125018698311</v>
      </c>
      <c r="F1256" t="s">
        <v>3005</v>
      </c>
      <c r="G1256" t="s">
        <v>792</v>
      </c>
      <c r="H1256" t="s">
        <v>117</v>
      </c>
      <c r="I1256" t="str">
        <f>VLOOKUP(tblSalaries[[#This Row],[Where do you work]],[1]!tblCountries[[Actual]:[Mapping]],2,FALSE)</f>
        <v>India</v>
      </c>
      <c r="J1256" t="s">
        <v>794</v>
      </c>
      <c r="K1256">
        <v>8</v>
      </c>
    </row>
    <row r="1257" spans="1:11" x14ac:dyDescent="0.2">
      <c r="A1257" t="s">
        <v>3006</v>
      </c>
      <c r="B1257" s="59">
        <v>41058.494155092594</v>
      </c>
      <c r="C1257">
        <v>192000</v>
      </c>
      <c r="D1257" t="s">
        <v>786</v>
      </c>
      <c r="E1257">
        <f>tblSalaries[[#This Row],[clean Salary (in local currency)]]*VLOOKUP(tblSalaries[[#This Row],[Currency]],[1]!tblXrate[#Data],2,FALSE)</f>
        <v>192000</v>
      </c>
      <c r="F1257" t="s">
        <v>3007</v>
      </c>
      <c r="G1257" t="s">
        <v>813</v>
      </c>
      <c r="H1257" t="s">
        <v>15</v>
      </c>
      <c r="I1257" t="str">
        <f>VLOOKUP(tblSalaries[[#This Row],[Where do you work]],[1]!tblCountries[[Actual]:[Mapping]],2,FALSE)</f>
        <v>USA</v>
      </c>
      <c r="J1257" t="s">
        <v>794</v>
      </c>
      <c r="K1257">
        <v>27</v>
      </c>
    </row>
    <row r="1258" spans="1:11" x14ac:dyDescent="0.2">
      <c r="A1258" t="s">
        <v>3008</v>
      </c>
      <c r="B1258" s="59">
        <v>41058.509745370371</v>
      </c>
      <c r="C1258">
        <v>54000</v>
      </c>
      <c r="D1258" t="s">
        <v>786</v>
      </c>
      <c r="E1258">
        <f>tblSalaries[[#This Row],[clean Salary (in local currency)]]*VLOOKUP(tblSalaries[[#This Row],[Currency]],[1]!tblXrate[#Data],2,FALSE)</f>
        <v>54000</v>
      </c>
      <c r="F1258" t="s">
        <v>3009</v>
      </c>
      <c r="G1258" t="s">
        <v>788</v>
      </c>
      <c r="H1258" t="s">
        <v>15</v>
      </c>
      <c r="I1258" t="str">
        <f>VLOOKUP(tblSalaries[[#This Row],[Where do you work]],[1]!tblCountries[[Actual]:[Mapping]],2,FALSE)</f>
        <v>USA</v>
      </c>
      <c r="J1258" t="s">
        <v>794</v>
      </c>
      <c r="K1258">
        <v>6</v>
      </c>
    </row>
    <row r="1259" spans="1:11" x14ac:dyDescent="0.2">
      <c r="A1259" t="s">
        <v>3010</v>
      </c>
      <c r="B1259" s="59">
        <v>41058.511886574073</v>
      </c>
      <c r="C1259">
        <v>18000</v>
      </c>
      <c r="D1259" t="s">
        <v>786</v>
      </c>
      <c r="E1259">
        <f>tblSalaries[[#This Row],[clean Salary (in local currency)]]*VLOOKUP(tblSalaries[[#This Row],[Currency]],[1]!tblXrate[#Data],2,FALSE)</f>
        <v>18000</v>
      </c>
      <c r="F1259" t="s">
        <v>807</v>
      </c>
      <c r="G1259" t="s">
        <v>807</v>
      </c>
      <c r="H1259" t="s">
        <v>117</v>
      </c>
      <c r="I1259" t="str">
        <f>VLOOKUP(tblSalaries[[#This Row],[Where do you work]],[1]!tblCountries[[Actual]:[Mapping]],2,FALSE)</f>
        <v>India</v>
      </c>
      <c r="J1259" t="s">
        <v>789</v>
      </c>
      <c r="K1259">
        <v>12</v>
      </c>
    </row>
    <row r="1260" spans="1:11" x14ac:dyDescent="0.2">
      <c r="A1260" t="s">
        <v>3011</v>
      </c>
      <c r="B1260" s="59">
        <v>41058.513645833336</v>
      </c>
      <c r="C1260">
        <v>300000</v>
      </c>
      <c r="D1260" t="s">
        <v>824</v>
      </c>
      <c r="E1260">
        <f>tblSalaries[[#This Row],[clean Salary (in local currency)]]*VLOOKUP(tblSalaries[[#This Row],[Currency]],[1]!tblXrate[#Data],2,FALSE)</f>
        <v>5342.3750062327708</v>
      </c>
      <c r="F1260" t="s">
        <v>3012</v>
      </c>
      <c r="G1260" t="s">
        <v>836</v>
      </c>
      <c r="H1260" t="s">
        <v>117</v>
      </c>
      <c r="I1260" t="str">
        <f>VLOOKUP(tblSalaries[[#This Row],[Where do you work]],[1]!tblCountries[[Actual]:[Mapping]],2,FALSE)</f>
        <v>India</v>
      </c>
      <c r="J1260" t="s">
        <v>799</v>
      </c>
      <c r="K1260">
        <v>5</v>
      </c>
    </row>
    <row r="1261" spans="1:11" x14ac:dyDescent="0.2">
      <c r="A1261" t="s">
        <v>3013</v>
      </c>
      <c r="B1261" s="59">
        <v>41058.51425925926</v>
      </c>
      <c r="C1261">
        <v>400000</v>
      </c>
      <c r="D1261" t="s">
        <v>824</v>
      </c>
      <c r="E1261">
        <f>tblSalaries[[#This Row],[clean Salary (in local currency)]]*VLOOKUP(tblSalaries[[#This Row],[Currency]],[1]!tblXrate[#Data],2,FALSE)</f>
        <v>7123.1666749770275</v>
      </c>
      <c r="F1261" t="s">
        <v>1988</v>
      </c>
      <c r="G1261" t="s">
        <v>807</v>
      </c>
      <c r="H1261" t="s">
        <v>117</v>
      </c>
      <c r="I1261" t="str">
        <f>VLOOKUP(tblSalaries[[#This Row],[Where do you work]],[1]!tblCountries[[Actual]:[Mapping]],2,FALSE)</f>
        <v>India</v>
      </c>
      <c r="J1261" t="s">
        <v>794</v>
      </c>
      <c r="K1261">
        <v>3</v>
      </c>
    </row>
    <row r="1262" spans="1:11" x14ac:dyDescent="0.2">
      <c r="A1262" t="s">
        <v>3014</v>
      </c>
      <c r="B1262" s="59">
        <v>41058.519918981481</v>
      </c>
      <c r="C1262">
        <v>15000</v>
      </c>
      <c r="D1262" t="s">
        <v>786</v>
      </c>
      <c r="E1262">
        <f>tblSalaries[[#This Row],[clean Salary (in local currency)]]*VLOOKUP(tblSalaries[[#This Row],[Currency]],[1]!tblXrate[#Data],2,FALSE)</f>
        <v>15000</v>
      </c>
      <c r="F1262" t="s">
        <v>3015</v>
      </c>
      <c r="G1262" t="s">
        <v>807</v>
      </c>
      <c r="H1262" t="s">
        <v>3016</v>
      </c>
      <c r="I1262" t="str">
        <f>VLOOKUP(tblSalaries[[#This Row],[Where do you work]],[1]!tblCountries[[Actual]:[Mapping]],2,FALSE)</f>
        <v>Myanmar</v>
      </c>
      <c r="J1262" t="s">
        <v>789</v>
      </c>
      <c r="K1262">
        <v>10</v>
      </c>
    </row>
    <row r="1263" spans="1:11" x14ac:dyDescent="0.2">
      <c r="A1263" t="s">
        <v>3017</v>
      </c>
      <c r="B1263" s="59">
        <v>41058.520277777781</v>
      </c>
      <c r="C1263">
        <v>14000</v>
      </c>
      <c r="D1263" t="s">
        <v>786</v>
      </c>
      <c r="E1263">
        <f>tblSalaries[[#This Row],[clean Salary (in local currency)]]*VLOOKUP(tblSalaries[[#This Row],[Currency]],[1]!tblXrate[#Data],2,FALSE)</f>
        <v>14000</v>
      </c>
      <c r="F1263" t="s">
        <v>3018</v>
      </c>
      <c r="G1263" t="s">
        <v>788</v>
      </c>
      <c r="H1263" t="s">
        <v>117</v>
      </c>
      <c r="I1263" t="str">
        <f>VLOOKUP(tblSalaries[[#This Row],[Where do you work]],[1]!tblCountries[[Actual]:[Mapping]],2,FALSE)</f>
        <v>India</v>
      </c>
      <c r="J1263" t="s">
        <v>789</v>
      </c>
      <c r="K1263">
        <v>12</v>
      </c>
    </row>
    <row r="1264" spans="1:11" x14ac:dyDescent="0.2">
      <c r="A1264" t="s">
        <v>3019</v>
      </c>
      <c r="B1264" s="59">
        <v>41058.546180555553</v>
      </c>
      <c r="C1264">
        <v>8000</v>
      </c>
      <c r="D1264" t="s">
        <v>786</v>
      </c>
      <c r="E1264">
        <f>tblSalaries[[#This Row],[clean Salary (in local currency)]]*VLOOKUP(tblSalaries[[#This Row],[Currency]],[1]!tblXrate[#Data],2,FALSE)</f>
        <v>8000</v>
      </c>
      <c r="F1264" t="s">
        <v>984</v>
      </c>
      <c r="G1264" t="s">
        <v>788</v>
      </c>
      <c r="H1264" t="s">
        <v>117</v>
      </c>
      <c r="I1264" t="str">
        <f>VLOOKUP(tblSalaries[[#This Row],[Where do you work]],[1]!tblCountries[[Actual]:[Mapping]],2,FALSE)</f>
        <v>India</v>
      </c>
      <c r="J1264" t="s">
        <v>794</v>
      </c>
      <c r="K1264">
        <v>4</v>
      </c>
    </row>
    <row r="1265" spans="1:11" x14ac:dyDescent="0.2">
      <c r="A1265" t="s">
        <v>3020</v>
      </c>
      <c r="B1265" s="59">
        <v>41058.551342592589</v>
      </c>
      <c r="C1265">
        <v>12500</v>
      </c>
      <c r="D1265" t="s">
        <v>786</v>
      </c>
      <c r="E1265">
        <f>tblSalaries[[#This Row],[clean Salary (in local currency)]]*VLOOKUP(tblSalaries[[#This Row],[Currency]],[1]!tblXrate[#Data],2,FALSE)</f>
        <v>12500</v>
      </c>
      <c r="F1265" t="s">
        <v>820</v>
      </c>
      <c r="G1265" t="s">
        <v>820</v>
      </c>
      <c r="H1265" t="s">
        <v>252</v>
      </c>
      <c r="I1265" t="str">
        <f>VLOOKUP(tblSalaries[[#This Row],[Where do you work]],[1]!tblCountries[[Actual]:[Mapping]],2,FALSE)</f>
        <v>Philippines</v>
      </c>
      <c r="J1265" t="s">
        <v>799</v>
      </c>
      <c r="K1265">
        <v>7</v>
      </c>
    </row>
    <row r="1266" spans="1:11" x14ac:dyDescent="0.2">
      <c r="A1266" t="s">
        <v>3021</v>
      </c>
      <c r="B1266" s="59">
        <v>41058.55228009259</v>
      </c>
      <c r="C1266">
        <v>140000</v>
      </c>
      <c r="D1266" t="s">
        <v>786</v>
      </c>
      <c r="E1266">
        <f>tblSalaries[[#This Row],[clean Salary (in local currency)]]*VLOOKUP(tblSalaries[[#This Row],[Currency]],[1]!tblXrate[#Data],2,FALSE)</f>
        <v>140000</v>
      </c>
      <c r="F1266" t="s">
        <v>885</v>
      </c>
      <c r="G1266" t="s">
        <v>817</v>
      </c>
      <c r="H1266" t="s">
        <v>15</v>
      </c>
      <c r="I1266" t="str">
        <f>VLOOKUP(tblSalaries[[#This Row],[Where do you work]],[1]!tblCountries[[Actual]:[Mapping]],2,FALSE)</f>
        <v>USA</v>
      </c>
      <c r="J1266" t="s">
        <v>789</v>
      </c>
      <c r="K1266">
        <v>12</v>
      </c>
    </row>
    <row r="1267" spans="1:11" x14ac:dyDescent="0.2">
      <c r="A1267" t="s">
        <v>3022</v>
      </c>
      <c r="B1267" s="59">
        <v>41058.553298611114</v>
      </c>
      <c r="C1267">
        <v>12000</v>
      </c>
      <c r="D1267" t="s">
        <v>786</v>
      </c>
      <c r="E1267">
        <f>tblSalaries[[#This Row],[clean Salary (in local currency)]]*VLOOKUP(tblSalaries[[#This Row],[Currency]],[1]!tblXrate[#Data],2,FALSE)</f>
        <v>12000</v>
      </c>
      <c r="F1267" t="s">
        <v>3023</v>
      </c>
      <c r="G1267" t="s">
        <v>867</v>
      </c>
      <c r="H1267" t="s">
        <v>3024</v>
      </c>
      <c r="I1267" t="str">
        <f>VLOOKUP(tblSalaries[[#This Row],[Where do you work]],[1]!tblCountries[[Actual]:[Mapping]],2,FALSE)</f>
        <v>Pakistan</v>
      </c>
      <c r="J1267" t="s">
        <v>789</v>
      </c>
      <c r="K1267">
        <v>1</v>
      </c>
    </row>
    <row r="1268" spans="1:11" x14ac:dyDescent="0.2">
      <c r="A1268" t="s">
        <v>3025</v>
      </c>
      <c r="B1268" s="59">
        <v>41058.553460648145</v>
      </c>
      <c r="C1268">
        <v>30000</v>
      </c>
      <c r="D1268" t="s">
        <v>805</v>
      </c>
      <c r="E1268">
        <f>tblSalaries[[#This Row],[clean Salary (in local currency)]]*VLOOKUP(tblSalaries[[#This Row],[Currency]],[1]!tblXrate[#Data],2,FALSE)</f>
        <v>38111.983169748237</v>
      </c>
      <c r="F1268" t="s">
        <v>3026</v>
      </c>
      <c r="G1268" t="s">
        <v>788</v>
      </c>
      <c r="H1268" t="s">
        <v>42</v>
      </c>
      <c r="I1268" t="str">
        <f>VLOOKUP(tblSalaries[[#This Row],[Where do you work]],[1]!tblCountries[[Actual]:[Mapping]],2,FALSE)</f>
        <v>Belgium</v>
      </c>
      <c r="J1268" t="s">
        <v>799</v>
      </c>
      <c r="K1268">
        <v>15</v>
      </c>
    </row>
    <row r="1269" spans="1:11" x14ac:dyDescent="0.2">
      <c r="A1269" t="s">
        <v>3027</v>
      </c>
      <c r="B1269" s="59">
        <v>41058.558159722219</v>
      </c>
      <c r="C1269">
        <v>600000</v>
      </c>
      <c r="D1269" t="s">
        <v>824</v>
      </c>
      <c r="E1269">
        <f>tblSalaries[[#This Row],[clean Salary (in local currency)]]*VLOOKUP(tblSalaries[[#This Row],[Currency]],[1]!tblXrate[#Data],2,FALSE)</f>
        <v>10684.750012465542</v>
      </c>
      <c r="F1269" t="s">
        <v>3028</v>
      </c>
      <c r="G1269" t="s">
        <v>807</v>
      </c>
      <c r="H1269" t="s">
        <v>117</v>
      </c>
      <c r="I1269" t="str">
        <f>VLOOKUP(tblSalaries[[#This Row],[Where do you work]],[1]!tblCountries[[Actual]:[Mapping]],2,FALSE)</f>
        <v>India</v>
      </c>
      <c r="J1269" t="s">
        <v>799</v>
      </c>
      <c r="K1269">
        <v>2</v>
      </c>
    </row>
    <row r="1270" spans="1:11" x14ac:dyDescent="0.2">
      <c r="A1270" t="s">
        <v>3029</v>
      </c>
      <c r="B1270" s="59">
        <v>41058.569548611114</v>
      </c>
      <c r="C1270">
        <v>350000</v>
      </c>
      <c r="D1270" t="s">
        <v>824</v>
      </c>
      <c r="E1270">
        <f>tblSalaries[[#This Row],[clean Salary (in local currency)]]*VLOOKUP(tblSalaries[[#This Row],[Currency]],[1]!tblXrate[#Data],2,FALSE)</f>
        <v>6232.7708406048987</v>
      </c>
      <c r="F1270" t="s">
        <v>3030</v>
      </c>
      <c r="G1270" t="s">
        <v>788</v>
      </c>
      <c r="H1270" t="s">
        <v>117</v>
      </c>
      <c r="I1270" t="str">
        <f>VLOOKUP(tblSalaries[[#This Row],[Where do you work]],[1]!tblCountries[[Actual]:[Mapping]],2,FALSE)</f>
        <v>India</v>
      </c>
      <c r="J1270" t="s">
        <v>789</v>
      </c>
      <c r="K1270">
        <v>1.5</v>
      </c>
    </row>
    <row r="1271" spans="1:11" x14ac:dyDescent="0.2">
      <c r="A1271" t="s">
        <v>3031</v>
      </c>
      <c r="B1271" s="59">
        <v>41058.577928240738</v>
      </c>
      <c r="C1271">
        <v>45000</v>
      </c>
      <c r="D1271" t="s">
        <v>786</v>
      </c>
      <c r="E1271">
        <f>tblSalaries[[#This Row],[clean Salary (in local currency)]]*VLOOKUP(tblSalaries[[#This Row],[Currency]],[1]!tblXrate[#Data],2,FALSE)</f>
        <v>45000</v>
      </c>
      <c r="F1271" t="s">
        <v>3032</v>
      </c>
      <c r="G1271" t="s">
        <v>788</v>
      </c>
      <c r="H1271" t="s">
        <v>240</v>
      </c>
      <c r="I1271" t="str">
        <f>VLOOKUP(tblSalaries[[#This Row],[Where do you work]],[1]!tblCountries[[Actual]:[Mapping]],2,FALSE)</f>
        <v>Pakistan</v>
      </c>
      <c r="J1271" t="s">
        <v>794</v>
      </c>
      <c r="K1271">
        <v>8</v>
      </c>
    </row>
    <row r="1272" spans="1:11" x14ac:dyDescent="0.2">
      <c r="A1272" t="s">
        <v>3033</v>
      </c>
      <c r="B1272" s="59">
        <v>41058.579155092593</v>
      </c>
      <c r="C1272">
        <v>80000</v>
      </c>
      <c r="D1272" t="s">
        <v>786</v>
      </c>
      <c r="E1272">
        <f>tblSalaries[[#This Row],[clean Salary (in local currency)]]*VLOOKUP(tblSalaries[[#This Row],[Currency]],[1]!tblXrate[#Data],2,FALSE)</f>
        <v>80000</v>
      </c>
      <c r="F1272" t="s">
        <v>807</v>
      </c>
      <c r="G1272" t="s">
        <v>807</v>
      </c>
      <c r="H1272" t="s">
        <v>15</v>
      </c>
      <c r="I1272" t="str">
        <f>VLOOKUP(tblSalaries[[#This Row],[Where do you work]],[1]!tblCountries[[Actual]:[Mapping]],2,FALSE)</f>
        <v>USA</v>
      </c>
      <c r="J1272" t="s">
        <v>808</v>
      </c>
      <c r="K1272">
        <v>6</v>
      </c>
    </row>
    <row r="1273" spans="1:11" x14ac:dyDescent="0.2">
      <c r="A1273" t="s">
        <v>3034</v>
      </c>
      <c r="B1273" s="59">
        <v>41058.579606481479</v>
      </c>
      <c r="C1273">
        <v>1500000</v>
      </c>
      <c r="D1273" t="s">
        <v>824</v>
      </c>
      <c r="E1273">
        <f>tblSalaries[[#This Row],[clean Salary (in local currency)]]*VLOOKUP(tblSalaries[[#This Row],[Currency]],[1]!tblXrate[#Data],2,FALSE)</f>
        <v>26711.875031163851</v>
      </c>
      <c r="F1273" t="s">
        <v>788</v>
      </c>
      <c r="G1273" t="s">
        <v>788</v>
      </c>
      <c r="H1273" t="s">
        <v>117</v>
      </c>
      <c r="I1273" t="str">
        <f>VLOOKUP(tblSalaries[[#This Row],[Where do you work]],[1]!tblCountries[[Actual]:[Mapping]],2,FALSE)</f>
        <v>India</v>
      </c>
      <c r="J1273" t="s">
        <v>789</v>
      </c>
      <c r="K1273">
        <v>7</v>
      </c>
    </row>
    <row r="1274" spans="1:11" x14ac:dyDescent="0.2">
      <c r="A1274" t="s">
        <v>3035</v>
      </c>
      <c r="B1274" s="59">
        <v>41058.582291666666</v>
      </c>
      <c r="C1274">
        <v>100000</v>
      </c>
      <c r="D1274" t="s">
        <v>786</v>
      </c>
      <c r="E1274">
        <f>tblSalaries[[#This Row],[clean Salary (in local currency)]]*VLOOKUP(tblSalaries[[#This Row],[Currency]],[1]!tblXrate[#Data],2,FALSE)</f>
        <v>100000</v>
      </c>
      <c r="F1274" t="s">
        <v>1070</v>
      </c>
      <c r="G1274" t="s">
        <v>788</v>
      </c>
      <c r="H1274" t="s">
        <v>327</v>
      </c>
      <c r="I1274" t="str">
        <f>VLOOKUP(tblSalaries[[#This Row],[Where do you work]],[1]!tblCountries[[Actual]:[Mapping]],2,FALSE)</f>
        <v>Uganda</v>
      </c>
      <c r="J1274" t="s">
        <v>789</v>
      </c>
      <c r="K1274">
        <v>17</v>
      </c>
    </row>
    <row r="1275" spans="1:11" x14ac:dyDescent="0.2">
      <c r="A1275" t="s">
        <v>3036</v>
      </c>
      <c r="B1275" s="59">
        <v>41058.582800925928</v>
      </c>
      <c r="C1275">
        <v>68000</v>
      </c>
      <c r="D1275" t="s">
        <v>877</v>
      </c>
      <c r="E1275">
        <f>tblSalaries[[#This Row],[clean Salary (in local currency)]]*VLOOKUP(tblSalaries[[#This Row],[Currency]],[1]!tblXrate[#Data],2,FALSE)</f>
        <v>69353.856635379227</v>
      </c>
      <c r="F1275" t="s">
        <v>3037</v>
      </c>
      <c r="G1275" t="s">
        <v>807</v>
      </c>
      <c r="H1275" t="s">
        <v>33</v>
      </c>
      <c r="I1275" t="str">
        <f>VLOOKUP(tblSalaries[[#This Row],[Where do you work]],[1]!tblCountries[[Actual]:[Mapping]],2,FALSE)</f>
        <v>Australia</v>
      </c>
      <c r="J1275" t="s">
        <v>789</v>
      </c>
      <c r="K1275">
        <v>10</v>
      </c>
    </row>
    <row r="1276" spans="1:11" x14ac:dyDescent="0.2">
      <c r="A1276" t="s">
        <v>3038</v>
      </c>
      <c r="B1276" s="59">
        <v>41058.590601851851</v>
      </c>
      <c r="C1276">
        <v>49000</v>
      </c>
      <c r="D1276" t="s">
        <v>877</v>
      </c>
      <c r="E1276">
        <f>tblSalaries[[#This Row],[clean Salary (in local currency)]]*VLOOKUP(tblSalaries[[#This Row],[Currency]],[1]!tblXrate[#Data],2,FALSE)</f>
        <v>49975.573163729154</v>
      </c>
      <c r="F1276" t="s">
        <v>3039</v>
      </c>
      <c r="G1276" t="s">
        <v>792</v>
      </c>
      <c r="H1276" t="s">
        <v>33</v>
      </c>
      <c r="I1276" t="str">
        <f>VLOOKUP(tblSalaries[[#This Row],[Where do you work]],[1]!tblCountries[[Actual]:[Mapping]],2,FALSE)</f>
        <v>Australia</v>
      </c>
      <c r="J1276" t="s">
        <v>789</v>
      </c>
      <c r="K1276">
        <v>30</v>
      </c>
    </row>
    <row r="1277" spans="1:11" x14ac:dyDescent="0.2">
      <c r="A1277" t="s">
        <v>3040</v>
      </c>
      <c r="B1277" s="59">
        <v>41058.594513888886</v>
      </c>
      <c r="C1277">
        <v>575000</v>
      </c>
      <c r="D1277" t="s">
        <v>824</v>
      </c>
      <c r="E1277">
        <f>tblSalaries[[#This Row],[clean Salary (in local currency)]]*VLOOKUP(tblSalaries[[#This Row],[Currency]],[1]!tblXrate[#Data],2,FALSE)</f>
        <v>10239.552095279476</v>
      </c>
      <c r="F1277" t="s">
        <v>3041</v>
      </c>
      <c r="G1277" t="s">
        <v>807</v>
      </c>
      <c r="H1277" t="s">
        <v>117</v>
      </c>
      <c r="I1277" t="str">
        <f>VLOOKUP(tblSalaries[[#This Row],[Where do you work]],[1]!tblCountries[[Actual]:[Mapping]],2,FALSE)</f>
        <v>India</v>
      </c>
      <c r="J1277" t="s">
        <v>799</v>
      </c>
      <c r="K1277">
        <v>5</v>
      </c>
    </row>
    <row r="1278" spans="1:11" x14ac:dyDescent="0.2">
      <c r="A1278" t="s">
        <v>3042</v>
      </c>
      <c r="B1278" s="59">
        <v>41058.607430555552</v>
      </c>
      <c r="C1278">
        <v>500000</v>
      </c>
      <c r="D1278" t="s">
        <v>824</v>
      </c>
      <c r="E1278">
        <f>tblSalaries[[#This Row],[clean Salary (in local currency)]]*VLOOKUP(tblSalaries[[#This Row],[Currency]],[1]!tblXrate[#Data],2,FALSE)</f>
        <v>8903.9583437212841</v>
      </c>
      <c r="F1278" t="s">
        <v>3043</v>
      </c>
      <c r="G1278" t="s">
        <v>802</v>
      </c>
      <c r="H1278" t="s">
        <v>117</v>
      </c>
      <c r="I1278" t="str">
        <f>VLOOKUP(tblSalaries[[#This Row],[Where do you work]],[1]!tblCountries[[Actual]:[Mapping]],2,FALSE)</f>
        <v>India</v>
      </c>
      <c r="J1278" t="s">
        <v>789</v>
      </c>
      <c r="K1278">
        <v>2</v>
      </c>
    </row>
    <row r="1279" spans="1:11" x14ac:dyDescent="0.2">
      <c r="A1279" t="s">
        <v>3044</v>
      </c>
      <c r="B1279" s="59">
        <v>41058.621770833335</v>
      </c>
      <c r="C1279">
        <v>36000</v>
      </c>
      <c r="D1279" t="s">
        <v>786</v>
      </c>
      <c r="E1279">
        <f>tblSalaries[[#This Row],[clean Salary (in local currency)]]*VLOOKUP(tblSalaries[[#This Row],[Currency]],[1]!tblXrate[#Data],2,FALSE)</f>
        <v>36000</v>
      </c>
      <c r="F1279" t="s">
        <v>1170</v>
      </c>
      <c r="G1279" t="s">
        <v>788</v>
      </c>
      <c r="H1279" t="s">
        <v>167</v>
      </c>
      <c r="I1279" t="str">
        <f>VLOOKUP(tblSalaries[[#This Row],[Where do you work]],[1]!tblCountries[[Actual]:[Mapping]],2,FALSE)</f>
        <v>Kuwait</v>
      </c>
      <c r="J1279" t="s">
        <v>799</v>
      </c>
      <c r="K1279">
        <v>10</v>
      </c>
    </row>
    <row r="1280" spans="1:11" x14ac:dyDescent="0.2">
      <c r="A1280" t="s">
        <v>3045</v>
      </c>
      <c r="B1280" s="59">
        <v>41058.621863425928</v>
      </c>
      <c r="C1280">
        <v>210000</v>
      </c>
      <c r="D1280" t="s">
        <v>824</v>
      </c>
      <c r="E1280">
        <f>tblSalaries[[#This Row],[clean Salary (in local currency)]]*VLOOKUP(tblSalaries[[#This Row],[Currency]],[1]!tblXrate[#Data],2,FALSE)</f>
        <v>3739.6625043629392</v>
      </c>
      <c r="F1280" t="s">
        <v>3046</v>
      </c>
      <c r="G1280" t="s">
        <v>836</v>
      </c>
      <c r="H1280" t="s">
        <v>117</v>
      </c>
      <c r="I1280" t="str">
        <f>VLOOKUP(tblSalaries[[#This Row],[Where do you work]],[1]!tblCountries[[Actual]:[Mapping]],2,FALSE)</f>
        <v>India</v>
      </c>
      <c r="J1280" t="s">
        <v>808</v>
      </c>
      <c r="K1280">
        <v>4.5</v>
      </c>
    </row>
    <row r="1281" spans="1:11" x14ac:dyDescent="0.2">
      <c r="A1281" t="s">
        <v>3047</v>
      </c>
      <c r="B1281" s="59">
        <v>41058.624432870369</v>
      </c>
      <c r="C1281">
        <v>48500</v>
      </c>
      <c r="D1281" t="s">
        <v>805</v>
      </c>
      <c r="E1281">
        <f>tblSalaries[[#This Row],[clean Salary (in local currency)]]*VLOOKUP(tblSalaries[[#This Row],[Currency]],[1]!tblXrate[#Data],2,FALSE)</f>
        <v>61614.372791092981</v>
      </c>
      <c r="F1281" t="s">
        <v>3048</v>
      </c>
      <c r="G1281" t="s">
        <v>788</v>
      </c>
      <c r="H1281" t="s">
        <v>228</v>
      </c>
      <c r="I1281" t="str">
        <f>VLOOKUP(tblSalaries[[#This Row],[Where do you work]],[1]!tblCountries[[Actual]:[Mapping]],2,FALSE)</f>
        <v>Netherlands</v>
      </c>
      <c r="J1281" t="s">
        <v>789</v>
      </c>
      <c r="K1281">
        <v>8</v>
      </c>
    </row>
    <row r="1282" spans="1:11" x14ac:dyDescent="0.2">
      <c r="A1282" t="s">
        <v>3049</v>
      </c>
      <c r="B1282" s="59">
        <v>41058.62703703704</v>
      </c>
      <c r="C1282">
        <v>200000</v>
      </c>
      <c r="D1282" t="s">
        <v>824</v>
      </c>
      <c r="E1282">
        <f>tblSalaries[[#This Row],[clean Salary (in local currency)]]*VLOOKUP(tblSalaries[[#This Row],[Currency]],[1]!tblXrate[#Data],2,FALSE)</f>
        <v>3561.5833374885137</v>
      </c>
      <c r="F1282" t="s">
        <v>1336</v>
      </c>
      <c r="G1282" t="s">
        <v>836</v>
      </c>
      <c r="H1282" t="s">
        <v>117</v>
      </c>
      <c r="I1282" t="str">
        <f>VLOOKUP(tblSalaries[[#This Row],[Where do you work]],[1]!tblCountries[[Actual]:[Mapping]],2,FALSE)</f>
        <v>India</v>
      </c>
      <c r="J1282" t="s">
        <v>799</v>
      </c>
      <c r="K1282">
        <v>3</v>
      </c>
    </row>
    <row r="1283" spans="1:11" x14ac:dyDescent="0.2">
      <c r="A1283" t="s">
        <v>3050</v>
      </c>
      <c r="B1283" s="59">
        <v>41058.627905092595</v>
      </c>
      <c r="C1283">
        <v>360000</v>
      </c>
      <c r="D1283" t="s">
        <v>824</v>
      </c>
      <c r="E1283">
        <f>tblSalaries[[#This Row],[clean Salary (in local currency)]]*VLOOKUP(tblSalaries[[#This Row],[Currency]],[1]!tblXrate[#Data],2,FALSE)</f>
        <v>6410.8500074793246</v>
      </c>
      <c r="F1283" t="s">
        <v>3051</v>
      </c>
      <c r="G1283" t="s">
        <v>788</v>
      </c>
      <c r="H1283" t="s">
        <v>117</v>
      </c>
      <c r="I1283" t="str">
        <f>VLOOKUP(tblSalaries[[#This Row],[Where do you work]],[1]!tblCountries[[Actual]:[Mapping]],2,FALSE)</f>
        <v>India</v>
      </c>
      <c r="J1283" t="s">
        <v>794</v>
      </c>
      <c r="K1283">
        <v>6</v>
      </c>
    </row>
    <row r="1284" spans="1:11" x14ac:dyDescent="0.2">
      <c r="A1284" t="s">
        <v>3052</v>
      </c>
      <c r="B1284" s="59">
        <v>41058.630694444444</v>
      </c>
      <c r="C1284">
        <v>28500</v>
      </c>
      <c r="D1284" t="s">
        <v>805</v>
      </c>
      <c r="E1284">
        <f>tblSalaries[[#This Row],[clean Salary (in local currency)]]*VLOOKUP(tblSalaries[[#This Row],[Currency]],[1]!tblXrate[#Data],2,FALSE)</f>
        <v>36206.384011260823</v>
      </c>
      <c r="F1284" t="s">
        <v>3053</v>
      </c>
      <c r="G1284" t="s">
        <v>788</v>
      </c>
      <c r="H1284" t="s">
        <v>228</v>
      </c>
      <c r="I1284" t="str">
        <f>VLOOKUP(tblSalaries[[#This Row],[Where do you work]],[1]!tblCountries[[Actual]:[Mapping]],2,FALSE)</f>
        <v>Netherlands</v>
      </c>
      <c r="J1284" t="s">
        <v>808</v>
      </c>
      <c r="K1284">
        <v>5</v>
      </c>
    </row>
    <row r="1285" spans="1:11" x14ac:dyDescent="0.2">
      <c r="A1285" t="s">
        <v>3054</v>
      </c>
      <c r="B1285" s="59">
        <v>41058.632222222222</v>
      </c>
      <c r="C1285">
        <v>13500</v>
      </c>
      <c r="D1285" t="s">
        <v>786</v>
      </c>
      <c r="E1285">
        <f>tblSalaries[[#This Row],[clean Salary (in local currency)]]*VLOOKUP(tblSalaries[[#This Row],[Currency]],[1]!tblXrate[#Data],2,FALSE)</f>
        <v>13500</v>
      </c>
      <c r="F1285" t="s">
        <v>2042</v>
      </c>
      <c r="G1285" t="s">
        <v>807</v>
      </c>
      <c r="H1285" t="s">
        <v>117</v>
      </c>
      <c r="I1285" t="str">
        <f>VLOOKUP(tblSalaries[[#This Row],[Where do you work]],[1]!tblCountries[[Actual]:[Mapping]],2,FALSE)</f>
        <v>India</v>
      </c>
      <c r="J1285" t="s">
        <v>799</v>
      </c>
      <c r="K1285">
        <v>20</v>
      </c>
    </row>
    <row r="1286" spans="1:11" x14ac:dyDescent="0.2">
      <c r="A1286" t="s">
        <v>3055</v>
      </c>
      <c r="B1286" s="59">
        <v>41058.638020833336</v>
      </c>
      <c r="C1286">
        <v>3000</v>
      </c>
      <c r="D1286" t="s">
        <v>786</v>
      </c>
      <c r="E1286">
        <f>tblSalaries[[#This Row],[clean Salary (in local currency)]]*VLOOKUP(tblSalaries[[#This Row],[Currency]],[1]!tblXrate[#Data],2,FALSE)</f>
        <v>3000</v>
      </c>
      <c r="F1286" t="s">
        <v>3056</v>
      </c>
      <c r="G1286" t="s">
        <v>817</v>
      </c>
      <c r="H1286" t="s">
        <v>3057</v>
      </c>
      <c r="I1286" t="str">
        <f>VLOOKUP(tblSalaries[[#This Row],[Where do you work]],[1]!tblCountries[[Actual]:[Mapping]],2,FALSE)</f>
        <v>Sri Lanka</v>
      </c>
      <c r="J1286" t="s">
        <v>789</v>
      </c>
      <c r="K1286">
        <v>2</v>
      </c>
    </row>
    <row r="1287" spans="1:11" x14ac:dyDescent="0.2">
      <c r="A1287" t="s">
        <v>3058</v>
      </c>
      <c r="B1287" s="59">
        <v>41058.642187500001</v>
      </c>
      <c r="C1287">
        <v>1200000</v>
      </c>
      <c r="D1287" t="s">
        <v>824</v>
      </c>
      <c r="E1287">
        <f>tblSalaries[[#This Row],[clean Salary (in local currency)]]*VLOOKUP(tblSalaries[[#This Row],[Currency]],[1]!tblXrate[#Data],2,FALSE)</f>
        <v>21369.500024931083</v>
      </c>
      <c r="F1287" t="s">
        <v>3059</v>
      </c>
      <c r="G1287" t="s">
        <v>807</v>
      </c>
      <c r="H1287" t="s">
        <v>117</v>
      </c>
      <c r="I1287" t="str">
        <f>VLOOKUP(tblSalaries[[#This Row],[Where do you work]],[1]!tblCountries[[Actual]:[Mapping]],2,FALSE)</f>
        <v>India</v>
      </c>
      <c r="J1287" t="s">
        <v>789</v>
      </c>
      <c r="K1287">
        <v>9</v>
      </c>
    </row>
    <row r="1288" spans="1:11" x14ac:dyDescent="0.2">
      <c r="A1288" t="s">
        <v>3060</v>
      </c>
      <c r="B1288" s="59">
        <v>41058.650289351855</v>
      </c>
      <c r="C1288">
        <v>600000</v>
      </c>
      <c r="D1288" t="s">
        <v>824</v>
      </c>
      <c r="E1288">
        <f>tblSalaries[[#This Row],[clean Salary (in local currency)]]*VLOOKUP(tblSalaries[[#This Row],[Currency]],[1]!tblXrate[#Data],2,FALSE)</f>
        <v>10684.750012465542</v>
      </c>
      <c r="F1288" t="s">
        <v>1450</v>
      </c>
      <c r="G1288" t="s">
        <v>807</v>
      </c>
      <c r="H1288" t="s">
        <v>117</v>
      </c>
      <c r="I1288" t="str">
        <f>VLOOKUP(tblSalaries[[#This Row],[Where do you work]],[1]!tblCountries[[Actual]:[Mapping]],2,FALSE)</f>
        <v>India</v>
      </c>
      <c r="J1288" t="s">
        <v>799</v>
      </c>
      <c r="K1288">
        <v>28</v>
      </c>
    </row>
    <row r="1289" spans="1:11" x14ac:dyDescent="0.2">
      <c r="A1289" t="s">
        <v>3061</v>
      </c>
      <c r="B1289" s="59">
        <v>41058.65048611111</v>
      </c>
      <c r="C1289">
        <v>139000</v>
      </c>
      <c r="D1289" t="s">
        <v>805</v>
      </c>
      <c r="E1289">
        <f>tblSalaries[[#This Row],[clean Salary (in local currency)]]*VLOOKUP(tblSalaries[[#This Row],[Currency]],[1]!tblXrate[#Data],2,FALSE)</f>
        <v>176585.52201983347</v>
      </c>
      <c r="F1289" t="s">
        <v>3062</v>
      </c>
      <c r="G1289" t="s">
        <v>807</v>
      </c>
      <c r="H1289" t="s">
        <v>72</v>
      </c>
      <c r="I1289" t="str">
        <f>VLOOKUP(tblSalaries[[#This Row],[Where do you work]],[1]!tblCountries[[Actual]:[Mapping]],2,FALSE)</f>
        <v>Germany</v>
      </c>
      <c r="J1289" t="s">
        <v>808</v>
      </c>
      <c r="K1289">
        <v>25</v>
      </c>
    </row>
    <row r="1290" spans="1:11" x14ac:dyDescent="0.2">
      <c r="A1290" t="s">
        <v>3063</v>
      </c>
      <c r="B1290" s="59">
        <v>41058.65185185185</v>
      </c>
      <c r="C1290">
        <v>43000</v>
      </c>
      <c r="D1290" t="s">
        <v>805</v>
      </c>
      <c r="E1290">
        <f>tblSalaries[[#This Row],[clean Salary (in local currency)]]*VLOOKUP(tblSalaries[[#This Row],[Currency]],[1]!tblXrate[#Data],2,FALSE)</f>
        <v>54627.175876639136</v>
      </c>
      <c r="F1290" t="s">
        <v>3064</v>
      </c>
      <c r="G1290" t="s">
        <v>807</v>
      </c>
      <c r="H1290" t="s">
        <v>92</v>
      </c>
      <c r="I1290" t="str">
        <f>VLOOKUP(tblSalaries[[#This Row],[Where do you work]],[1]!tblCountries[[Actual]:[Mapping]],2,FALSE)</f>
        <v>France</v>
      </c>
      <c r="J1290" t="s">
        <v>794</v>
      </c>
      <c r="K1290">
        <v>7</v>
      </c>
    </row>
    <row r="1291" spans="1:11" x14ac:dyDescent="0.2">
      <c r="A1291" t="s">
        <v>3065</v>
      </c>
      <c r="B1291" s="59">
        <v>41058.657141203701</v>
      </c>
      <c r="C1291">
        <v>24000</v>
      </c>
      <c r="D1291" t="s">
        <v>805</v>
      </c>
      <c r="E1291">
        <f>tblSalaries[[#This Row],[clean Salary (in local currency)]]*VLOOKUP(tblSalaries[[#This Row],[Currency]],[1]!tblXrate[#Data],2,FALSE)</f>
        <v>30489.586535798586</v>
      </c>
      <c r="F1291" t="s">
        <v>792</v>
      </c>
      <c r="G1291" t="s">
        <v>792</v>
      </c>
      <c r="H1291" t="s">
        <v>130</v>
      </c>
      <c r="I1291" t="str">
        <f>VLOOKUP(tblSalaries[[#This Row],[Where do you work]],[1]!tblCountries[[Actual]:[Mapping]],2,FALSE)</f>
        <v>italy</v>
      </c>
      <c r="J1291" t="s">
        <v>789</v>
      </c>
      <c r="K1291">
        <v>10</v>
      </c>
    </row>
    <row r="1292" spans="1:11" x14ac:dyDescent="0.2">
      <c r="A1292" t="s">
        <v>3066</v>
      </c>
      <c r="B1292" s="59">
        <v>41058.659502314818</v>
      </c>
      <c r="C1292">
        <v>314000</v>
      </c>
      <c r="D1292" t="s">
        <v>824</v>
      </c>
      <c r="E1292">
        <f>tblSalaries[[#This Row],[clean Salary (in local currency)]]*VLOOKUP(tblSalaries[[#This Row],[Currency]],[1]!tblXrate[#Data],2,FALSE)</f>
        <v>5591.6858398569666</v>
      </c>
      <c r="F1292" t="s">
        <v>3067</v>
      </c>
      <c r="G1292" t="s">
        <v>807</v>
      </c>
      <c r="H1292" t="s">
        <v>117</v>
      </c>
      <c r="I1292" t="str">
        <f>VLOOKUP(tblSalaries[[#This Row],[Where do you work]],[1]!tblCountries[[Actual]:[Mapping]],2,FALSE)</f>
        <v>India</v>
      </c>
      <c r="J1292" t="s">
        <v>808</v>
      </c>
      <c r="K1292">
        <v>0.1</v>
      </c>
    </row>
    <row r="1293" spans="1:11" x14ac:dyDescent="0.2">
      <c r="A1293" t="s">
        <v>3068</v>
      </c>
      <c r="B1293" s="59">
        <v>41058.66065972222</v>
      </c>
      <c r="C1293">
        <v>82000</v>
      </c>
      <c r="D1293" t="s">
        <v>786</v>
      </c>
      <c r="E1293">
        <f>tblSalaries[[#This Row],[clean Salary (in local currency)]]*VLOOKUP(tblSalaries[[#This Row],[Currency]],[1]!tblXrate[#Data],2,FALSE)</f>
        <v>82000</v>
      </c>
      <c r="F1293" t="s">
        <v>867</v>
      </c>
      <c r="G1293" t="s">
        <v>867</v>
      </c>
      <c r="H1293" t="s">
        <v>294</v>
      </c>
      <c r="I1293" t="str">
        <f>VLOOKUP(tblSalaries[[#This Row],[Where do you work]],[1]!tblCountries[[Actual]:[Mapping]],2,FALSE)</f>
        <v>South Africa</v>
      </c>
      <c r="J1293" t="s">
        <v>789</v>
      </c>
      <c r="K1293">
        <v>10</v>
      </c>
    </row>
    <row r="1294" spans="1:11" x14ac:dyDescent="0.2">
      <c r="A1294" t="s">
        <v>3069</v>
      </c>
      <c r="B1294" s="59">
        <v>41058.66196759259</v>
      </c>
      <c r="C1294">
        <v>10000</v>
      </c>
      <c r="D1294" t="s">
        <v>786</v>
      </c>
      <c r="E1294">
        <f>tblSalaries[[#This Row],[clean Salary (in local currency)]]*VLOOKUP(tblSalaries[[#This Row],[Currency]],[1]!tblXrate[#Data],2,FALSE)</f>
        <v>10000</v>
      </c>
      <c r="F1294" t="s">
        <v>1336</v>
      </c>
      <c r="G1294" t="s">
        <v>836</v>
      </c>
      <c r="H1294" t="s">
        <v>117</v>
      </c>
      <c r="I1294" t="str">
        <f>VLOOKUP(tblSalaries[[#This Row],[Where do you work]],[1]!tblCountries[[Actual]:[Mapping]],2,FALSE)</f>
        <v>India</v>
      </c>
      <c r="J1294" t="s">
        <v>808</v>
      </c>
      <c r="K1294">
        <v>0.5</v>
      </c>
    </row>
    <row r="1295" spans="1:11" x14ac:dyDescent="0.2">
      <c r="A1295" t="s">
        <v>3070</v>
      </c>
      <c r="B1295" s="59">
        <v>41058.672210648147</v>
      </c>
      <c r="C1295">
        <v>9000</v>
      </c>
      <c r="D1295" t="s">
        <v>786</v>
      </c>
      <c r="E1295">
        <f>tblSalaries[[#This Row],[clean Salary (in local currency)]]*VLOOKUP(tblSalaries[[#This Row],[Currency]],[1]!tblXrate[#Data],2,FALSE)</f>
        <v>9000</v>
      </c>
      <c r="F1295" t="s">
        <v>984</v>
      </c>
      <c r="G1295" t="s">
        <v>788</v>
      </c>
      <c r="H1295" t="s">
        <v>117</v>
      </c>
      <c r="I1295" t="str">
        <f>VLOOKUP(tblSalaries[[#This Row],[Where do you work]],[1]!tblCountries[[Actual]:[Mapping]],2,FALSE)</f>
        <v>India</v>
      </c>
      <c r="J1295" t="s">
        <v>794</v>
      </c>
      <c r="K1295">
        <v>0.6</v>
      </c>
    </row>
    <row r="1296" spans="1:11" x14ac:dyDescent="0.2">
      <c r="A1296" t="s">
        <v>3071</v>
      </c>
      <c r="B1296" s="59">
        <v>41058.672685185185</v>
      </c>
      <c r="C1296">
        <v>9000</v>
      </c>
      <c r="D1296" t="s">
        <v>786</v>
      </c>
      <c r="E1296">
        <f>tblSalaries[[#This Row],[clean Salary (in local currency)]]*VLOOKUP(tblSalaries[[#This Row],[Currency]],[1]!tblXrate[#Data],2,FALSE)</f>
        <v>9000</v>
      </c>
      <c r="F1296" t="s">
        <v>984</v>
      </c>
      <c r="G1296" t="s">
        <v>788</v>
      </c>
      <c r="H1296" t="s">
        <v>117</v>
      </c>
      <c r="I1296" t="str">
        <f>VLOOKUP(tblSalaries[[#This Row],[Where do you work]],[1]!tblCountries[[Actual]:[Mapping]],2,FALSE)</f>
        <v>India</v>
      </c>
      <c r="J1296" t="s">
        <v>789</v>
      </c>
      <c r="K1296">
        <v>1</v>
      </c>
    </row>
    <row r="1297" spans="1:11" x14ac:dyDescent="0.2">
      <c r="A1297" t="s">
        <v>3072</v>
      </c>
      <c r="B1297" s="59">
        <v>41058.679849537039</v>
      </c>
      <c r="C1297">
        <v>660000</v>
      </c>
      <c r="D1297" t="s">
        <v>824</v>
      </c>
      <c r="E1297">
        <f>tblSalaries[[#This Row],[clean Salary (in local currency)]]*VLOOKUP(tblSalaries[[#This Row],[Currency]],[1]!tblXrate[#Data],2,FALSE)</f>
        <v>11753.225013712095</v>
      </c>
      <c r="F1297" t="s">
        <v>3073</v>
      </c>
      <c r="G1297" t="s">
        <v>807</v>
      </c>
      <c r="H1297" t="s">
        <v>117</v>
      </c>
      <c r="I1297" t="str">
        <f>VLOOKUP(tblSalaries[[#This Row],[Where do you work]],[1]!tblCountries[[Actual]:[Mapping]],2,FALSE)</f>
        <v>India</v>
      </c>
      <c r="J1297" t="s">
        <v>794</v>
      </c>
      <c r="K1297">
        <v>7</v>
      </c>
    </row>
    <row r="1298" spans="1:11" x14ac:dyDescent="0.2">
      <c r="A1298" t="s">
        <v>3074</v>
      </c>
      <c r="B1298" s="59">
        <v>41058.684895833336</v>
      </c>
      <c r="C1298">
        <v>204000</v>
      </c>
      <c r="D1298" t="s">
        <v>824</v>
      </c>
      <c r="E1298">
        <f>tblSalaries[[#This Row],[clean Salary (in local currency)]]*VLOOKUP(tblSalaries[[#This Row],[Currency]],[1]!tblXrate[#Data],2,FALSE)</f>
        <v>3632.815004238284</v>
      </c>
      <c r="F1298" t="s">
        <v>3075</v>
      </c>
      <c r="G1298" t="s">
        <v>836</v>
      </c>
      <c r="H1298" t="s">
        <v>117</v>
      </c>
      <c r="I1298" t="str">
        <f>VLOOKUP(tblSalaries[[#This Row],[Where do you work]],[1]!tblCountries[[Actual]:[Mapping]],2,FALSE)</f>
        <v>India</v>
      </c>
      <c r="J1298" t="s">
        <v>794</v>
      </c>
      <c r="K1298">
        <v>2</v>
      </c>
    </row>
    <row r="1299" spans="1:11" x14ac:dyDescent="0.2">
      <c r="A1299" t="s">
        <v>3076</v>
      </c>
      <c r="B1299" s="59">
        <v>41058.688263888886</v>
      </c>
      <c r="C1299">
        <v>75000</v>
      </c>
      <c r="D1299" t="s">
        <v>805</v>
      </c>
      <c r="E1299">
        <f>tblSalaries[[#This Row],[clean Salary (in local currency)]]*VLOOKUP(tblSalaries[[#This Row],[Currency]],[1]!tblXrate[#Data],2,FALSE)</f>
        <v>95279.957924370581</v>
      </c>
      <c r="F1299" t="s">
        <v>796</v>
      </c>
      <c r="G1299" t="s">
        <v>788</v>
      </c>
      <c r="H1299" t="s">
        <v>228</v>
      </c>
      <c r="I1299" t="str">
        <f>VLOOKUP(tblSalaries[[#This Row],[Where do you work]],[1]!tblCountries[[Actual]:[Mapping]],2,FALSE)</f>
        <v>Netherlands</v>
      </c>
      <c r="J1299" t="s">
        <v>794</v>
      </c>
      <c r="K1299">
        <v>16</v>
      </c>
    </row>
    <row r="1300" spans="1:11" x14ac:dyDescent="0.2">
      <c r="A1300" t="s">
        <v>3077</v>
      </c>
      <c r="B1300" s="59">
        <v>41058.693877314814</v>
      </c>
      <c r="C1300">
        <v>45000</v>
      </c>
      <c r="D1300" t="s">
        <v>861</v>
      </c>
      <c r="E1300">
        <f>tblSalaries[[#This Row],[clean Salary (in local currency)]]*VLOOKUP(tblSalaries[[#This Row],[Currency]],[1]!tblXrate[#Data],2,FALSE)</f>
        <v>70928.022243027779</v>
      </c>
      <c r="F1300" t="s">
        <v>866</v>
      </c>
      <c r="G1300" t="s">
        <v>867</v>
      </c>
      <c r="H1300" t="s">
        <v>863</v>
      </c>
      <c r="I1300" t="str">
        <f>VLOOKUP(tblSalaries[[#This Row],[Where do you work]],[1]!tblCountries[[Actual]:[Mapping]],2,FALSE)</f>
        <v>UK</v>
      </c>
      <c r="J1300" t="s">
        <v>799</v>
      </c>
      <c r="K1300">
        <v>4</v>
      </c>
    </row>
    <row r="1301" spans="1:11" x14ac:dyDescent="0.2">
      <c r="A1301" t="s">
        <v>3078</v>
      </c>
      <c r="B1301" s="59">
        <v>41058.6953587963</v>
      </c>
      <c r="C1301">
        <v>41000</v>
      </c>
      <c r="D1301" t="s">
        <v>805</v>
      </c>
      <c r="E1301">
        <f>tblSalaries[[#This Row],[clean Salary (in local currency)]]*VLOOKUP(tblSalaries[[#This Row],[Currency]],[1]!tblXrate[#Data],2,FALSE)</f>
        <v>52086.37699865592</v>
      </c>
      <c r="F1301" t="s">
        <v>1592</v>
      </c>
      <c r="G1301" t="s">
        <v>802</v>
      </c>
      <c r="H1301" t="s">
        <v>290</v>
      </c>
      <c r="I1301" t="str">
        <f>VLOOKUP(tblSalaries[[#This Row],[Where do you work]],[1]!tblCountries[[Actual]:[Mapping]],2,FALSE)</f>
        <v>Spain</v>
      </c>
      <c r="J1301" t="s">
        <v>789</v>
      </c>
      <c r="K1301">
        <v>12</v>
      </c>
    </row>
    <row r="1302" spans="1:11" x14ac:dyDescent="0.2">
      <c r="A1302" t="s">
        <v>3079</v>
      </c>
      <c r="B1302" s="59">
        <v>41058.701203703706</v>
      </c>
      <c r="C1302">
        <v>275000</v>
      </c>
      <c r="D1302" t="s">
        <v>824</v>
      </c>
      <c r="E1302">
        <f>tblSalaries[[#This Row],[clean Salary (in local currency)]]*VLOOKUP(tblSalaries[[#This Row],[Currency]],[1]!tblXrate[#Data],2,FALSE)</f>
        <v>4897.177089046706</v>
      </c>
      <c r="F1302" t="s">
        <v>3080</v>
      </c>
      <c r="G1302" t="s">
        <v>807</v>
      </c>
      <c r="H1302" t="s">
        <v>117</v>
      </c>
      <c r="I1302" t="str">
        <f>VLOOKUP(tblSalaries[[#This Row],[Where do you work]],[1]!tblCountries[[Actual]:[Mapping]],2,FALSE)</f>
        <v>India</v>
      </c>
      <c r="J1302" t="s">
        <v>794</v>
      </c>
      <c r="K1302">
        <v>4</v>
      </c>
    </row>
    <row r="1303" spans="1:11" x14ac:dyDescent="0.2">
      <c r="A1303" t="s">
        <v>3081</v>
      </c>
      <c r="B1303" s="59">
        <v>41058.705358796295</v>
      </c>
      <c r="C1303">
        <v>80000</v>
      </c>
      <c r="D1303" t="s">
        <v>1831</v>
      </c>
      <c r="E1303">
        <f>tblSalaries[[#This Row],[clean Salary (in local currency)]]*VLOOKUP(tblSalaries[[#This Row],[Currency]],[1]!tblXrate[#Data],2,FALSE)</f>
        <v>63807.047488395103</v>
      </c>
      <c r="F1303" t="s">
        <v>2230</v>
      </c>
      <c r="G1303" t="s">
        <v>817</v>
      </c>
      <c r="H1303" t="s">
        <v>3082</v>
      </c>
      <c r="I1303" t="str">
        <f>VLOOKUP(tblSalaries[[#This Row],[Where do you work]],[1]!tblCountries[[Actual]:[Mapping]],2,FALSE)</f>
        <v>New Zealand</v>
      </c>
      <c r="J1303" t="s">
        <v>794</v>
      </c>
      <c r="K1303">
        <v>15</v>
      </c>
    </row>
    <row r="1304" spans="1:11" x14ac:dyDescent="0.2">
      <c r="A1304" t="s">
        <v>3083</v>
      </c>
      <c r="B1304" s="59">
        <v>41058.712164351855</v>
      </c>
      <c r="C1304">
        <v>24000</v>
      </c>
      <c r="D1304" t="s">
        <v>786</v>
      </c>
      <c r="E1304">
        <f>tblSalaries[[#This Row],[clean Salary (in local currency)]]*VLOOKUP(tblSalaries[[#This Row],[Currency]],[1]!tblXrate[#Data],2,FALSE)</f>
        <v>24000</v>
      </c>
      <c r="F1304" t="s">
        <v>3084</v>
      </c>
      <c r="G1304" t="s">
        <v>807</v>
      </c>
      <c r="H1304" t="s">
        <v>3085</v>
      </c>
      <c r="I1304" t="str">
        <f>VLOOKUP(tblSalaries[[#This Row],[Where do you work]],[1]!tblCountries[[Actual]:[Mapping]],2,FALSE)</f>
        <v>Saudi Arabia</v>
      </c>
      <c r="J1304" t="s">
        <v>789</v>
      </c>
      <c r="K1304">
        <v>5</v>
      </c>
    </row>
    <row r="1305" spans="1:11" x14ac:dyDescent="0.2">
      <c r="A1305" t="s">
        <v>3086</v>
      </c>
      <c r="B1305" s="59">
        <v>41058.714606481481</v>
      </c>
      <c r="C1305">
        <v>60000</v>
      </c>
      <c r="D1305" t="s">
        <v>786</v>
      </c>
      <c r="E1305">
        <f>tblSalaries[[#This Row],[clean Salary (in local currency)]]*VLOOKUP(tblSalaries[[#This Row],[Currency]],[1]!tblXrate[#Data],2,FALSE)</f>
        <v>60000</v>
      </c>
      <c r="F1305" t="s">
        <v>3087</v>
      </c>
      <c r="G1305" t="s">
        <v>807</v>
      </c>
      <c r="H1305" t="s">
        <v>3088</v>
      </c>
      <c r="I1305" t="str">
        <f>VLOOKUP(tblSalaries[[#This Row],[Where do you work]],[1]!tblCountries[[Actual]:[Mapping]],2,FALSE)</f>
        <v>CEE</v>
      </c>
      <c r="J1305" t="s">
        <v>794</v>
      </c>
      <c r="K1305">
        <v>20</v>
      </c>
    </row>
    <row r="1306" spans="1:11" x14ac:dyDescent="0.2">
      <c r="A1306" t="s">
        <v>3089</v>
      </c>
      <c r="B1306" s="59">
        <v>41058.715185185189</v>
      </c>
      <c r="C1306">
        <v>300000</v>
      </c>
      <c r="D1306" t="s">
        <v>824</v>
      </c>
      <c r="E1306">
        <f>tblSalaries[[#This Row],[clean Salary (in local currency)]]*VLOOKUP(tblSalaries[[#This Row],[Currency]],[1]!tblXrate[#Data],2,FALSE)</f>
        <v>5342.3750062327708</v>
      </c>
      <c r="F1306" t="s">
        <v>3090</v>
      </c>
      <c r="G1306" t="s">
        <v>788</v>
      </c>
      <c r="H1306" t="s">
        <v>117</v>
      </c>
      <c r="I1306" t="str">
        <f>VLOOKUP(tblSalaries[[#This Row],[Where do you work]],[1]!tblCountries[[Actual]:[Mapping]],2,FALSE)</f>
        <v>India</v>
      </c>
      <c r="J1306" t="s">
        <v>794</v>
      </c>
      <c r="K1306">
        <v>3</v>
      </c>
    </row>
    <row r="1307" spans="1:11" x14ac:dyDescent="0.2">
      <c r="A1307" t="s">
        <v>3091</v>
      </c>
      <c r="B1307" s="59">
        <v>41058.719675925924</v>
      </c>
      <c r="C1307">
        <v>500000</v>
      </c>
      <c r="D1307" t="s">
        <v>824</v>
      </c>
      <c r="E1307">
        <f>tblSalaries[[#This Row],[clean Salary (in local currency)]]*VLOOKUP(tblSalaries[[#This Row],[Currency]],[1]!tblXrate[#Data],2,FALSE)</f>
        <v>8903.9583437212841</v>
      </c>
      <c r="F1307" t="s">
        <v>3092</v>
      </c>
      <c r="G1307" t="s">
        <v>807</v>
      </c>
      <c r="H1307" t="s">
        <v>117</v>
      </c>
      <c r="I1307" t="str">
        <f>VLOOKUP(tblSalaries[[#This Row],[Where do you work]],[1]!tblCountries[[Actual]:[Mapping]],2,FALSE)</f>
        <v>India</v>
      </c>
      <c r="J1307" t="s">
        <v>799</v>
      </c>
      <c r="K1307">
        <v>5</v>
      </c>
    </row>
    <row r="1308" spans="1:11" x14ac:dyDescent="0.2">
      <c r="A1308" t="s">
        <v>3093</v>
      </c>
      <c r="B1308" s="59">
        <v>41058.720289351855</v>
      </c>
      <c r="C1308">
        <v>26000</v>
      </c>
      <c r="D1308" t="s">
        <v>861</v>
      </c>
      <c r="E1308">
        <f>tblSalaries[[#This Row],[clean Salary (in local currency)]]*VLOOKUP(tblSalaries[[#This Row],[Currency]],[1]!tblXrate[#Data],2,FALSE)</f>
        <v>40980.635073749385</v>
      </c>
      <c r="F1308" t="s">
        <v>3094</v>
      </c>
      <c r="G1308" t="s">
        <v>788</v>
      </c>
      <c r="H1308" t="s">
        <v>863</v>
      </c>
      <c r="I1308" t="str">
        <f>VLOOKUP(tblSalaries[[#This Row],[Where do you work]],[1]!tblCountries[[Actual]:[Mapping]],2,FALSE)</f>
        <v>UK</v>
      </c>
      <c r="J1308" t="s">
        <v>789</v>
      </c>
      <c r="K1308">
        <v>2</v>
      </c>
    </row>
    <row r="1309" spans="1:11" x14ac:dyDescent="0.2">
      <c r="A1309" t="s">
        <v>3095</v>
      </c>
      <c r="B1309" s="59">
        <v>41058.720671296294</v>
      </c>
      <c r="C1309">
        <v>600000</v>
      </c>
      <c r="D1309" t="s">
        <v>824</v>
      </c>
      <c r="E1309">
        <f>tblSalaries[[#This Row],[clean Salary (in local currency)]]*VLOOKUP(tblSalaries[[#This Row],[Currency]],[1]!tblXrate[#Data],2,FALSE)</f>
        <v>10684.750012465542</v>
      </c>
      <c r="F1309" t="s">
        <v>2360</v>
      </c>
      <c r="G1309" t="s">
        <v>807</v>
      </c>
      <c r="H1309" t="s">
        <v>117</v>
      </c>
      <c r="I1309" t="str">
        <f>VLOOKUP(tblSalaries[[#This Row],[Where do you work]],[1]!tblCountries[[Actual]:[Mapping]],2,FALSE)</f>
        <v>India</v>
      </c>
      <c r="J1309" t="s">
        <v>808</v>
      </c>
      <c r="K1309">
        <v>7</v>
      </c>
    </row>
    <row r="1310" spans="1:11" x14ac:dyDescent="0.2">
      <c r="A1310" t="s">
        <v>3096</v>
      </c>
      <c r="B1310" s="59">
        <v>41058.729664351849</v>
      </c>
      <c r="C1310">
        <v>1200000</v>
      </c>
      <c r="D1310" t="s">
        <v>824</v>
      </c>
      <c r="E1310">
        <f>tblSalaries[[#This Row],[clean Salary (in local currency)]]*VLOOKUP(tblSalaries[[#This Row],[Currency]],[1]!tblXrate[#Data],2,FALSE)</f>
        <v>21369.500024931083</v>
      </c>
      <c r="F1310" t="s">
        <v>867</v>
      </c>
      <c r="G1310" t="s">
        <v>867</v>
      </c>
      <c r="H1310" t="s">
        <v>117</v>
      </c>
      <c r="I1310" t="str">
        <f>VLOOKUP(tblSalaries[[#This Row],[Where do you work]],[1]!tblCountries[[Actual]:[Mapping]],2,FALSE)</f>
        <v>India</v>
      </c>
      <c r="J1310" t="s">
        <v>799</v>
      </c>
      <c r="K1310">
        <v>21</v>
      </c>
    </row>
    <row r="1311" spans="1:11" x14ac:dyDescent="0.2">
      <c r="A1311" t="s">
        <v>3097</v>
      </c>
      <c r="B1311" s="59">
        <v>41058.733483796299</v>
      </c>
      <c r="C1311">
        <v>18000</v>
      </c>
      <c r="D1311" t="s">
        <v>786</v>
      </c>
      <c r="E1311">
        <f>tblSalaries[[#This Row],[clean Salary (in local currency)]]*VLOOKUP(tblSalaries[[#This Row],[Currency]],[1]!tblXrate[#Data],2,FALSE)</f>
        <v>18000</v>
      </c>
      <c r="F1311" t="s">
        <v>3098</v>
      </c>
      <c r="G1311" t="s">
        <v>807</v>
      </c>
      <c r="H1311" t="s">
        <v>99</v>
      </c>
      <c r="I1311" t="str">
        <f>VLOOKUP(tblSalaries[[#This Row],[Where do you work]],[1]!tblCountries[[Actual]:[Mapping]],2,FALSE)</f>
        <v>Ghana</v>
      </c>
      <c r="J1311" t="s">
        <v>789</v>
      </c>
      <c r="K1311">
        <v>12</v>
      </c>
    </row>
    <row r="1312" spans="1:11" x14ac:dyDescent="0.2">
      <c r="A1312" t="s">
        <v>3099</v>
      </c>
      <c r="B1312" s="59">
        <v>41058.73605324074</v>
      </c>
      <c r="C1312">
        <v>41000</v>
      </c>
      <c r="D1312" t="s">
        <v>786</v>
      </c>
      <c r="E1312">
        <f>tblSalaries[[#This Row],[clean Salary (in local currency)]]*VLOOKUP(tblSalaries[[#This Row],[Currency]],[1]!tblXrate[#Data],2,FALSE)</f>
        <v>41000</v>
      </c>
      <c r="F1312" t="s">
        <v>3100</v>
      </c>
      <c r="G1312" t="s">
        <v>807</v>
      </c>
      <c r="H1312" t="s">
        <v>128</v>
      </c>
      <c r="I1312" t="str">
        <f>VLOOKUP(tblSalaries[[#This Row],[Where do you work]],[1]!tblCountries[[Actual]:[Mapping]],2,FALSE)</f>
        <v>Israel</v>
      </c>
      <c r="J1312" t="s">
        <v>799</v>
      </c>
      <c r="K1312">
        <v>4</v>
      </c>
    </row>
    <row r="1313" spans="1:11" x14ac:dyDescent="0.2">
      <c r="A1313" t="s">
        <v>3101</v>
      </c>
      <c r="B1313" s="59">
        <v>41058.740266203706</v>
      </c>
      <c r="C1313">
        <v>1600000</v>
      </c>
      <c r="D1313" t="s">
        <v>824</v>
      </c>
      <c r="E1313">
        <f>tblSalaries[[#This Row],[clean Salary (in local currency)]]*VLOOKUP(tblSalaries[[#This Row],[Currency]],[1]!tblXrate[#Data],2,FALSE)</f>
        <v>28492.66669990811</v>
      </c>
      <c r="F1313" t="s">
        <v>3102</v>
      </c>
      <c r="G1313" t="s">
        <v>788</v>
      </c>
      <c r="H1313" t="s">
        <v>117</v>
      </c>
      <c r="I1313" t="str">
        <f>VLOOKUP(tblSalaries[[#This Row],[Where do you work]],[1]!tblCountries[[Actual]:[Mapping]],2,FALSE)</f>
        <v>India</v>
      </c>
      <c r="J1313" t="s">
        <v>799</v>
      </c>
      <c r="K1313">
        <v>4</v>
      </c>
    </row>
    <row r="1314" spans="1:11" x14ac:dyDescent="0.2">
      <c r="A1314" t="s">
        <v>3103</v>
      </c>
      <c r="B1314" s="59">
        <v>41058.741712962961</v>
      </c>
      <c r="C1314">
        <v>49500</v>
      </c>
      <c r="D1314" t="s">
        <v>786</v>
      </c>
      <c r="E1314">
        <f>tblSalaries[[#This Row],[clean Salary (in local currency)]]*VLOOKUP(tblSalaries[[#This Row],[Currency]],[1]!tblXrate[#Data],2,FALSE)</f>
        <v>49500</v>
      </c>
      <c r="F1314" t="s">
        <v>935</v>
      </c>
      <c r="G1314" t="s">
        <v>788</v>
      </c>
      <c r="H1314" t="s">
        <v>15</v>
      </c>
      <c r="I1314" t="str">
        <f>VLOOKUP(tblSalaries[[#This Row],[Where do you work]],[1]!tblCountries[[Actual]:[Mapping]],2,FALSE)</f>
        <v>USA</v>
      </c>
      <c r="J1314" t="s">
        <v>789</v>
      </c>
      <c r="K1314">
        <v>4.5</v>
      </c>
    </row>
    <row r="1315" spans="1:11" x14ac:dyDescent="0.2">
      <c r="A1315" t="s">
        <v>3104</v>
      </c>
      <c r="B1315" s="59">
        <v>41058.750219907408</v>
      </c>
      <c r="C1315">
        <v>6600</v>
      </c>
      <c r="D1315" t="s">
        <v>786</v>
      </c>
      <c r="E1315">
        <f>tblSalaries[[#This Row],[clean Salary (in local currency)]]*VLOOKUP(tblSalaries[[#This Row],[Currency]],[1]!tblXrate[#Data],2,FALSE)</f>
        <v>6600</v>
      </c>
      <c r="F1315" t="s">
        <v>3105</v>
      </c>
      <c r="G1315" t="s">
        <v>836</v>
      </c>
      <c r="H1315" t="s">
        <v>117</v>
      </c>
      <c r="I1315" t="str">
        <f>VLOOKUP(tblSalaries[[#This Row],[Where do you work]],[1]!tblCountries[[Actual]:[Mapping]],2,FALSE)</f>
        <v>India</v>
      </c>
      <c r="J1315" t="s">
        <v>799</v>
      </c>
      <c r="K1315">
        <v>6.4</v>
      </c>
    </row>
    <row r="1316" spans="1:11" x14ac:dyDescent="0.2">
      <c r="A1316" t="s">
        <v>3106</v>
      </c>
      <c r="B1316" s="59">
        <v>41058.754050925927</v>
      </c>
      <c r="C1316">
        <v>70000</v>
      </c>
      <c r="D1316" t="s">
        <v>861</v>
      </c>
      <c r="E1316">
        <f>tblSalaries[[#This Row],[clean Salary (in local currency)]]*VLOOKUP(tblSalaries[[#This Row],[Currency]],[1]!tblXrate[#Data],2,FALSE)</f>
        <v>110332.47904470989</v>
      </c>
      <c r="F1316" t="s">
        <v>867</v>
      </c>
      <c r="G1316" t="s">
        <v>867</v>
      </c>
      <c r="H1316" t="s">
        <v>863</v>
      </c>
      <c r="I1316" t="str">
        <f>VLOOKUP(tblSalaries[[#This Row],[Where do you work]],[1]!tblCountries[[Actual]:[Mapping]],2,FALSE)</f>
        <v>UK</v>
      </c>
      <c r="J1316" t="s">
        <v>789</v>
      </c>
      <c r="K1316">
        <v>15</v>
      </c>
    </row>
    <row r="1317" spans="1:11" x14ac:dyDescent="0.2">
      <c r="A1317" t="s">
        <v>3107</v>
      </c>
      <c r="B1317" s="59">
        <v>41058.760277777779</v>
      </c>
      <c r="C1317">
        <v>30000</v>
      </c>
      <c r="D1317" t="s">
        <v>861</v>
      </c>
      <c r="E1317">
        <f>tblSalaries[[#This Row],[clean Salary (in local currency)]]*VLOOKUP(tblSalaries[[#This Row],[Currency]],[1]!tblXrate[#Data],2,FALSE)</f>
        <v>47285.348162018527</v>
      </c>
      <c r="F1317" t="s">
        <v>1032</v>
      </c>
      <c r="G1317" t="s">
        <v>788</v>
      </c>
      <c r="H1317" t="s">
        <v>863</v>
      </c>
      <c r="I1317" t="str">
        <f>VLOOKUP(tblSalaries[[#This Row],[Where do you work]],[1]!tblCountries[[Actual]:[Mapping]],2,FALSE)</f>
        <v>UK</v>
      </c>
      <c r="J1317" t="s">
        <v>794</v>
      </c>
      <c r="K1317">
        <v>6</v>
      </c>
    </row>
    <row r="1318" spans="1:11" x14ac:dyDescent="0.2">
      <c r="A1318" t="s">
        <v>3108</v>
      </c>
      <c r="B1318" s="59">
        <v>41058.760335648149</v>
      </c>
      <c r="C1318">
        <v>5300</v>
      </c>
      <c r="D1318" t="s">
        <v>786</v>
      </c>
      <c r="E1318">
        <f>tblSalaries[[#This Row],[clean Salary (in local currency)]]*VLOOKUP(tblSalaries[[#This Row],[Currency]],[1]!tblXrate[#Data],2,FALSE)</f>
        <v>5300</v>
      </c>
      <c r="F1318" t="s">
        <v>3109</v>
      </c>
      <c r="G1318" t="s">
        <v>807</v>
      </c>
      <c r="H1318" t="s">
        <v>240</v>
      </c>
      <c r="I1318" t="str">
        <f>VLOOKUP(tblSalaries[[#This Row],[Where do you work]],[1]!tblCountries[[Actual]:[Mapping]],2,FALSE)</f>
        <v>Pakistan</v>
      </c>
      <c r="J1318" t="s">
        <v>789</v>
      </c>
      <c r="K1318">
        <v>5</v>
      </c>
    </row>
    <row r="1319" spans="1:11" x14ac:dyDescent="0.2">
      <c r="A1319" t="s">
        <v>3110</v>
      </c>
      <c r="B1319" s="59">
        <v>41058.764733796299</v>
      </c>
      <c r="C1319">
        <v>34500</v>
      </c>
      <c r="D1319" t="s">
        <v>805</v>
      </c>
      <c r="E1319">
        <f>tblSalaries[[#This Row],[clean Salary (in local currency)]]*VLOOKUP(tblSalaries[[#This Row],[Currency]],[1]!tblXrate[#Data],2,FALSE)</f>
        <v>43828.780645210471</v>
      </c>
      <c r="F1319" t="s">
        <v>788</v>
      </c>
      <c r="G1319" t="s">
        <v>788</v>
      </c>
      <c r="H1319" t="s">
        <v>228</v>
      </c>
      <c r="I1319" t="str">
        <f>VLOOKUP(tblSalaries[[#This Row],[Where do you work]],[1]!tblCountries[[Actual]:[Mapping]],2,FALSE)</f>
        <v>Netherlands</v>
      </c>
      <c r="J1319" t="s">
        <v>789</v>
      </c>
      <c r="K1319">
        <v>15</v>
      </c>
    </row>
    <row r="1320" spans="1:11" x14ac:dyDescent="0.2">
      <c r="A1320" t="s">
        <v>3111</v>
      </c>
      <c r="B1320" s="59">
        <v>41058.773009259261</v>
      </c>
      <c r="C1320">
        <v>80000</v>
      </c>
      <c r="D1320" t="s">
        <v>786</v>
      </c>
      <c r="E1320">
        <f>tblSalaries[[#This Row],[clean Salary (in local currency)]]*VLOOKUP(tblSalaries[[#This Row],[Currency]],[1]!tblXrate[#Data],2,FALSE)</f>
        <v>80000</v>
      </c>
      <c r="F1320" t="s">
        <v>2721</v>
      </c>
      <c r="G1320" t="s">
        <v>788</v>
      </c>
      <c r="H1320" t="s">
        <v>15</v>
      </c>
      <c r="I1320" t="str">
        <f>VLOOKUP(tblSalaries[[#This Row],[Where do you work]],[1]!tblCountries[[Actual]:[Mapping]],2,FALSE)</f>
        <v>USA</v>
      </c>
      <c r="J1320" t="s">
        <v>808</v>
      </c>
      <c r="K1320">
        <v>14</v>
      </c>
    </row>
    <row r="1321" spans="1:11" x14ac:dyDescent="0.2">
      <c r="A1321" t="s">
        <v>3112</v>
      </c>
      <c r="B1321" s="59">
        <v>41058.774421296293</v>
      </c>
      <c r="C1321">
        <v>9067</v>
      </c>
      <c r="D1321" t="s">
        <v>805</v>
      </c>
      <c r="E1321">
        <f>tblSalaries[[#This Row],[clean Salary (in local currency)]]*VLOOKUP(tblSalaries[[#This Row],[Currency]],[1]!tblXrate[#Data],2,FALSE)</f>
        <v>11518.711713336908</v>
      </c>
      <c r="F1321" t="s">
        <v>3113</v>
      </c>
      <c r="G1321" t="s">
        <v>788</v>
      </c>
      <c r="H1321" t="s">
        <v>331</v>
      </c>
      <c r="I1321" t="str">
        <f>VLOOKUP(tblSalaries[[#This Row],[Where do you work]],[1]!tblCountries[[Actual]:[Mapping]],2,FALSE)</f>
        <v>Hungary</v>
      </c>
      <c r="J1321" t="s">
        <v>799</v>
      </c>
      <c r="K1321">
        <v>3</v>
      </c>
    </row>
    <row r="1322" spans="1:11" x14ac:dyDescent="0.2">
      <c r="A1322" t="s">
        <v>3114</v>
      </c>
      <c r="B1322" s="59">
        <v>41058.774664351855</v>
      </c>
      <c r="C1322">
        <v>150000</v>
      </c>
      <c r="D1322" t="s">
        <v>877</v>
      </c>
      <c r="E1322">
        <f>tblSalaries[[#This Row],[clean Salary (in local currency)]]*VLOOKUP(tblSalaries[[#This Row],[Currency]],[1]!tblXrate[#Data],2,FALSE)</f>
        <v>152986.44846039536</v>
      </c>
      <c r="F1322" t="s">
        <v>3115</v>
      </c>
      <c r="G1322" t="s">
        <v>788</v>
      </c>
      <c r="H1322" t="s">
        <v>33</v>
      </c>
      <c r="I1322" t="str">
        <f>VLOOKUP(tblSalaries[[#This Row],[Where do you work]],[1]!tblCountries[[Actual]:[Mapping]],2,FALSE)</f>
        <v>Australia</v>
      </c>
      <c r="J1322" t="s">
        <v>808</v>
      </c>
      <c r="K1322">
        <v>5.5</v>
      </c>
    </row>
    <row r="1323" spans="1:11" x14ac:dyDescent="0.2">
      <c r="A1323" t="s">
        <v>3116</v>
      </c>
      <c r="B1323" s="59">
        <v>41058.776979166665</v>
      </c>
      <c r="C1323">
        <v>125000</v>
      </c>
      <c r="D1323" t="s">
        <v>786</v>
      </c>
      <c r="E1323">
        <f>tblSalaries[[#This Row],[clean Salary (in local currency)]]*VLOOKUP(tblSalaries[[#This Row],[Currency]],[1]!tblXrate[#Data],2,FALSE)</f>
        <v>125000</v>
      </c>
      <c r="F1323" t="s">
        <v>3117</v>
      </c>
      <c r="G1323" t="s">
        <v>807</v>
      </c>
      <c r="H1323" t="s">
        <v>15</v>
      </c>
      <c r="I1323" t="str">
        <f>VLOOKUP(tblSalaries[[#This Row],[Where do you work]],[1]!tblCountries[[Actual]:[Mapping]],2,FALSE)</f>
        <v>USA</v>
      </c>
      <c r="J1323" t="s">
        <v>789</v>
      </c>
      <c r="K1323">
        <v>2</v>
      </c>
    </row>
    <row r="1324" spans="1:11" x14ac:dyDescent="0.2">
      <c r="A1324" t="s">
        <v>3118</v>
      </c>
      <c r="B1324" s="59">
        <v>41058.788402777776</v>
      </c>
      <c r="C1324">
        <v>100000</v>
      </c>
      <c r="D1324" t="s">
        <v>877</v>
      </c>
      <c r="E1324">
        <f>tblSalaries[[#This Row],[clean Salary (in local currency)]]*VLOOKUP(tblSalaries[[#This Row],[Currency]],[1]!tblXrate[#Data],2,FALSE)</f>
        <v>101990.96564026357</v>
      </c>
      <c r="F1324" t="s">
        <v>3119</v>
      </c>
      <c r="G1324" t="s">
        <v>867</v>
      </c>
      <c r="H1324" t="s">
        <v>33</v>
      </c>
      <c r="I1324" t="str">
        <f>VLOOKUP(tblSalaries[[#This Row],[Where do you work]],[1]!tblCountries[[Actual]:[Mapping]],2,FALSE)</f>
        <v>Australia</v>
      </c>
      <c r="J1324" t="s">
        <v>808</v>
      </c>
      <c r="K1324">
        <v>30</v>
      </c>
    </row>
    <row r="1325" spans="1:11" x14ac:dyDescent="0.2">
      <c r="A1325" t="s">
        <v>3120</v>
      </c>
      <c r="B1325" s="59">
        <v>41058.788425925923</v>
      </c>
      <c r="C1325">
        <v>105000</v>
      </c>
      <c r="D1325" t="s">
        <v>786</v>
      </c>
      <c r="E1325">
        <f>tblSalaries[[#This Row],[clean Salary (in local currency)]]*VLOOKUP(tblSalaries[[#This Row],[Currency]],[1]!tblXrate[#Data],2,FALSE)</f>
        <v>105000</v>
      </c>
      <c r="F1325" t="s">
        <v>3121</v>
      </c>
      <c r="G1325" t="s">
        <v>813</v>
      </c>
      <c r="H1325" t="s">
        <v>15</v>
      </c>
      <c r="I1325" t="str">
        <f>VLOOKUP(tblSalaries[[#This Row],[Where do you work]],[1]!tblCountries[[Actual]:[Mapping]],2,FALSE)</f>
        <v>USA</v>
      </c>
      <c r="J1325" t="s">
        <v>808</v>
      </c>
      <c r="K1325">
        <v>15</v>
      </c>
    </row>
    <row r="1326" spans="1:11" x14ac:dyDescent="0.2">
      <c r="A1326" t="s">
        <v>3122</v>
      </c>
      <c r="B1326" s="59">
        <v>41058.79241898148</v>
      </c>
      <c r="C1326">
        <v>40000</v>
      </c>
      <c r="D1326" t="s">
        <v>805</v>
      </c>
      <c r="E1326">
        <f>tblSalaries[[#This Row],[clean Salary (in local currency)]]*VLOOKUP(tblSalaries[[#This Row],[Currency]],[1]!tblXrate[#Data],2,FALSE)</f>
        <v>50815.977559664309</v>
      </c>
      <c r="F1326" t="s">
        <v>2741</v>
      </c>
      <c r="G1326" t="s">
        <v>807</v>
      </c>
      <c r="H1326" t="s">
        <v>237</v>
      </c>
      <c r="I1326" t="str">
        <f>VLOOKUP(tblSalaries[[#This Row],[Where do you work]],[1]!tblCountries[[Actual]:[Mapping]],2,FALSE)</f>
        <v>Austria</v>
      </c>
      <c r="J1326" t="s">
        <v>789</v>
      </c>
      <c r="K1326">
        <v>20</v>
      </c>
    </row>
    <row r="1327" spans="1:11" x14ac:dyDescent="0.2">
      <c r="A1327" t="s">
        <v>3123</v>
      </c>
      <c r="B1327" s="59">
        <v>41058.792916666665</v>
      </c>
      <c r="C1327">
        <v>75000</v>
      </c>
      <c r="D1327" t="s">
        <v>786</v>
      </c>
      <c r="E1327">
        <f>tblSalaries[[#This Row],[clean Salary (in local currency)]]*VLOOKUP(tblSalaries[[#This Row],[Currency]],[1]!tblXrate[#Data],2,FALSE)</f>
        <v>75000</v>
      </c>
      <c r="F1327" t="s">
        <v>796</v>
      </c>
      <c r="G1327" t="s">
        <v>788</v>
      </c>
      <c r="H1327" t="s">
        <v>15</v>
      </c>
      <c r="I1327" t="str">
        <f>VLOOKUP(tblSalaries[[#This Row],[Where do you work]],[1]!tblCountries[[Actual]:[Mapping]],2,FALSE)</f>
        <v>USA</v>
      </c>
      <c r="J1327" t="s">
        <v>789</v>
      </c>
      <c r="K1327">
        <v>7</v>
      </c>
    </row>
    <row r="1328" spans="1:11" x14ac:dyDescent="0.2">
      <c r="A1328" t="s">
        <v>3124</v>
      </c>
      <c r="B1328" s="59">
        <v>41058.795995370368</v>
      </c>
      <c r="C1328">
        <v>250000</v>
      </c>
      <c r="D1328" t="s">
        <v>824</v>
      </c>
      <c r="E1328">
        <f>tblSalaries[[#This Row],[clean Salary (in local currency)]]*VLOOKUP(tblSalaries[[#This Row],[Currency]],[1]!tblXrate[#Data],2,FALSE)</f>
        <v>4451.9791718606421</v>
      </c>
      <c r="F1328" t="s">
        <v>3125</v>
      </c>
      <c r="G1328" t="s">
        <v>788</v>
      </c>
      <c r="H1328" t="s">
        <v>117</v>
      </c>
      <c r="I1328" t="str">
        <f>VLOOKUP(tblSalaries[[#This Row],[Where do you work]],[1]!tblCountries[[Actual]:[Mapping]],2,FALSE)</f>
        <v>India</v>
      </c>
      <c r="J1328" t="s">
        <v>794</v>
      </c>
      <c r="K1328">
        <v>8</v>
      </c>
    </row>
    <row r="1329" spans="1:11" x14ac:dyDescent="0.2">
      <c r="A1329" t="s">
        <v>3126</v>
      </c>
      <c r="B1329" s="59">
        <v>41058.797650462962</v>
      </c>
      <c r="C1329">
        <v>110000</v>
      </c>
      <c r="D1329" t="s">
        <v>786</v>
      </c>
      <c r="E1329">
        <f>tblSalaries[[#This Row],[clean Salary (in local currency)]]*VLOOKUP(tblSalaries[[#This Row],[Currency]],[1]!tblXrate[#Data],2,FALSE)</f>
        <v>110000</v>
      </c>
      <c r="F1329" t="s">
        <v>3127</v>
      </c>
      <c r="G1329" t="s">
        <v>788</v>
      </c>
      <c r="H1329" t="s">
        <v>15</v>
      </c>
      <c r="I1329" t="str">
        <f>VLOOKUP(tblSalaries[[#This Row],[Where do you work]],[1]!tblCountries[[Actual]:[Mapping]],2,FALSE)</f>
        <v>USA</v>
      </c>
      <c r="J1329" t="s">
        <v>808</v>
      </c>
      <c r="K1329">
        <v>10</v>
      </c>
    </row>
    <row r="1330" spans="1:11" x14ac:dyDescent="0.2">
      <c r="A1330" t="s">
        <v>3128</v>
      </c>
      <c r="B1330" s="59">
        <v>41058.798668981479</v>
      </c>
      <c r="C1330">
        <v>27000</v>
      </c>
      <c r="D1330" t="s">
        <v>861</v>
      </c>
      <c r="E1330">
        <f>tblSalaries[[#This Row],[clean Salary (in local currency)]]*VLOOKUP(tblSalaries[[#This Row],[Currency]],[1]!tblXrate[#Data],2,FALSE)</f>
        <v>42556.81334581667</v>
      </c>
      <c r="F1330" t="s">
        <v>3129</v>
      </c>
      <c r="G1330" t="s">
        <v>802</v>
      </c>
      <c r="H1330" t="s">
        <v>863</v>
      </c>
      <c r="I1330" t="str">
        <f>VLOOKUP(tblSalaries[[#This Row],[Where do you work]],[1]!tblCountries[[Actual]:[Mapping]],2,FALSE)</f>
        <v>UK</v>
      </c>
      <c r="J1330" t="s">
        <v>789</v>
      </c>
      <c r="K1330">
        <v>1</v>
      </c>
    </row>
    <row r="1331" spans="1:11" x14ac:dyDescent="0.2">
      <c r="A1331" t="s">
        <v>3130</v>
      </c>
      <c r="B1331" s="59">
        <v>41058.799664351849</v>
      </c>
      <c r="C1331">
        <v>450000</v>
      </c>
      <c r="D1331" t="s">
        <v>824</v>
      </c>
      <c r="E1331">
        <f>tblSalaries[[#This Row],[clean Salary (in local currency)]]*VLOOKUP(tblSalaries[[#This Row],[Currency]],[1]!tblXrate[#Data],2,FALSE)</f>
        <v>8013.5625093491553</v>
      </c>
      <c r="F1331" t="s">
        <v>3131</v>
      </c>
      <c r="G1331" t="s">
        <v>802</v>
      </c>
      <c r="H1331" t="s">
        <v>117</v>
      </c>
      <c r="I1331" t="str">
        <f>VLOOKUP(tblSalaries[[#This Row],[Where do you work]],[1]!tblCountries[[Actual]:[Mapping]],2,FALSE)</f>
        <v>India</v>
      </c>
      <c r="J1331" t="s">
        <v>808</v>
      </c>
      <c r="K1331">
        <v>7</v>
      </c>
    </row>
    <row r="1332" spans="1:11" x14ac:dyDescent="0.2">
      <c r="A1332" t="s">
        <v>3132</v>
      </c>
      <c r="B1332" s="59">
        <v>41058.800219907411</v>
      </c>
      <c r="C1332">
        <v>125000</v>
      </c>
      <c r="D1332" t="s">
        <v>786</v>
      </c>
      <c r="E1332">
        <f>tblSalaries[[#This Row],[clean Salary (in local currency)]]*VLOOKUP(tblSalaries[[#This Row],[Currency]],[1]!tblXrate[#Data],2,FALSE)</f>
        <v>125000</v>
      </c>
      <c r="F1332" t="s">
        <v>1780</v>
      </c>
      <c r="G1332" t="s">
        <v>807</v>
      </c>
      <c r="H1332" t="s">
        <v>15</v>
      </c>
      <c r="I1332" t="str">
        <f>VLOOKUP(tblSalaries[[#This Row],[Where do you work]],[1]!tblCountries[[Actual]:[Mapping]],2,FALSE)</f>
        <v>USA</v>
      </c>
      <c r="J1332" t="s">
        <v>789</v>
      </c>
      <c r="K1332">
        <v>25</v>
      </c>
    </row>
    <row r="1333" spans="1:11" x14ac:dyDescent="0.2">
      <c r="A1333" t="s">
        <v>3133</v>
      </c>
      <c r="B1333" s="59">
        <v>41058.808009259257</v>
      </c>
      <c r="C1333">
        <v>60000</v>
      </c>
      <c r="D1333" t="s">
        <v>786</v>
      </c>
      <c r="E1333">
        <f>tblSalaries[[#This Row],[clean Salary (in local currency)]]*VLOOKUP(tblSalaries[[#This Row],[Currency]],[1]!tblXrate[#Data],2,FALSE)</f>
        <v>60000</v>
      </c>
      <c r="F1333" t="s">
        <v>3134</v>
      </c>
      <c r="G1333" t="s">
        <v>788</v>
      </c>
      <c r="H1333" t="s">
        <v>15</v>
      </c>
      <c r="I1333" t="str">
        <f>VLOOKUP(tblSalaries[[#This Row],[Where do you work]],[1]!tblCountries[[Actual]:[Mapping]],2,FALSE)</f>
        <v>USA</v>
      </c>
      <c r="J1333" t="s">
        <v>794</v>
      </c>
      <c r="K1333">
        <v>12</v>
      </c>
    </row>
    <row r="1334" spans="1:11" x14ac:dyDescent="0.2">
      <c r="A1334" t="s">
        <v>3135</v>
      </c>
      <c r="B1334" s="59">
        <v>41058.813564814816</v>
      </c>
      <c r="C1334">
        <v>2210000</v>
      </c>
      <c r="D1334" t="s">
        <v>824</v>
      </c>
      <c r="E1334">
        <f>tblSalaries[[#This Row],[clean Salary (in local currency)]]*VLOOKUP(tblSalaries[[#This Row],[Currency]],[1]!tblXrate[#Data],2,FALSE)</f>
        <v>39355.495879248076</v>
      </c>
      <c r="F1334" t="s">
        <v>1383</v>
      </c>
      <c r="G1334" t="s">
        <v>788</v>
      </c>
      <c r="H1334" t="s">
        <v>117</v>
      </c>
      <c r="I1334" t="str">
        <f>VLOOKUP(tblSalaries[[#This Row],[Where do you work]],[1]!tblCountries[[Actual]:[Mapping]],2,FALSE)</f>
        <v>India</v>
      </c>
      <c r="J1334" t="s">
        <v>808</v>
      </c>
      <c r="K1334">
        <v>5.6</v>
      </c>
    </row>
    <row r="1335" spans="1:11" x14ac:dyDescent="0.2">
      <c r="A1335" t="s">
        <v>3136</v>
      </c>
      <c r="B1335" s="59">
        <v>41058.814664351848</v>
      </c>
      <c r="C1335">
        <v>45000</v>
      </c>
      <c r="D1335" t="s">
        <v>805</v>
      </c>
      <c r="E1335">
        <f>tblSalaries[[#This Row],[clean Salary (in local currency)]]*VLOOKUP(tblSalaries[[#This Row],[Currency]],[1]!tblXrate[#Data],2,FALSE)</f>
        <v>57167.974754622352</v>
      </c>
      <c r="F1335" t="s">
        <v>3137</v>
      </c>
      <c r="G1335" t="s">
        <v>792</v>
      </c>
      <c r="H1335" t="s">
        <v>72</v>
      </c>
      <c r="I1335" t="str">
        <f>VLOOKUP(tblSalaries[[#This Row],[Where do you work]],[1]!tblCountries[[Actual]:[Mapping]],2,FALSE)</f>
        <v>Germany</v>
      </c>
      <c r="J1335" t="s">
        <v>789</v>
      </c>
      <c r="K1335">
        <v>12</v>
      </c>
    </row>
    <row r="1336" spans="1:11" x14ac:dyDescent="0.2">
      <c r="A1336" t="s">
        <v>3138</v>
      </c>
      <c r="B1336" s="59">
        <v>41058.819155092591</v>
      </c>
      <c r="C1336">
        <v>4000000</v>
      </c>
      <c r="D1336" t="s">
        <v>3139</v>
      </c>
      <c r="E1336">
        <f>tblSalaries[[#This Row],[clean Salary (in local currency)]]*VLOOKUP(tblSalaries[[#This Row],[Currency]],[1]!tblXrate[#Data],2,FALSE)</f>
        <v>50694.322109187968</v>
      </c>
      <c r="F1336" t="s">
        <v>3140</v>
      </c>
      <c r="G1336" t="s">
        <v>788</v>
      </c>
      <c r="H1336" t="s">
        <v>133</v>
      </c>
      <c r="I1336" t="str">
        <f>VLOOKUP(tblSalaries[[#This Row],[Where do you work]],[1]!tblCountries[[Actual]:[Mapping]],2,FALSE)</f>
        <v>Japan</v>
      </c>
      <c r="J1336" t="s">
        <v>789</v>
      </c>
      <c r="K1336">
        <v>8</v>
      </c>
    </row>
    <row r="1337" spans="1:11" x14ac:dyDescent="0.2">
      <c r="A1337" t="s">
        <v>3141</v>
      </c>
      <c r="B1337" s="59">
        <v>41058.824513888889</v>
      </c>
      <c r="C1337">
        <v>57500</v>
      </c>
      <c r="D1337" t="s">
        <v>786</v>
      </c>
      <c r="E1337">
        <f>tblSalaries[[#This Row],[clean Salary (in local currency)]]*VLOOKUP(tblSalaries[[#This Row],[Currency]],[1]!tblXrate[#Data],2,FALSE)</f>
        <v>57500</v>
      </c>
      <c r="F1337" t="s">
        <v>3142</v>
      </c>
      <c r="G1337" t="s">
        <v>807</v>
      </c>
      <c r="H1337" t="s">
        <v>15</v>
      </c>
      <c r="I1337" t="str">
        <f>VLOOKUP(tblSalaries[[#This Row],[Where do you work]],[1]!tblCountries[[Actual]:[Mapping]],2,FALSE)</f>
        <v>USA</v>
      </c>
      <c r="J1337" t="s">
        <v>789</v>
      </c>
      <c r="K1337">
        <v>30</v>
      </c>
    </row>
    <row r="1338" spans="1:11" x14ac:dyDescent="0.2">
      <c r="A1338" t="s">
        <v>3143</v>
      </c>
      <c r="B1338" s="59">
        <v>41058.826678240737</v>
      </c>
      <c r="C1338">
        <v>62000</v>
      </c>
      <c r="D1338" t="s">
        <v>805</v>
      </c>
      <c r="E1338">
        <f>tblSalaries[[#This Row],[clean Salary (in local currency)]]*VLOOKUP(tblSalaries[[#This Row],[Currency]],[1]!tblXrate[#Data],2,FALSE)</f>
        <v>78764.765217479682</v>
      </c>
      <c r="F1338" t="s">
        <v>792</v>
      </c>
      <c r="G1338" t="s">
        <v>792</v>
      </c>
      <c r="H1338" t="s">
        <v>228</v>
      </c>
      <c r="I1338" t="str">
        <f>VLOOKUP(tblSalaries[[#This Row],[Where do you work]],[1]!tblCountries[[Actual]:[Mapping]],2,FALSE)</f>
        <v>Netherlands</v>
      </c>
      <c r="J1338" t="s">
        <v>789</v>
      </c>
      <c r="K1338">
        <v>15</v>
      </c>
    </row>
    <row r="1339" spans="1:11" x14ac:dyDescent="0.2">
      <c r="A1339" t="s">
        <v>3144</v>
      </c>
      <c r="B1339" s="59">
        <v>41058.828182870369</v>
      </c>
      <c r="C1339">
        <v>80000</v>
      </c>
      <c r="D1339" t="s">
        <v>786</v>
      </c>
      <c r="E1339">
        <f>tblSalaries[[#This Row],[clean Salary (in local currency)]]*VLOOKUP(tblSalaries[[#This Row],[Currency]],[1]!tblXrate[#Data],2,FALSE)</f>
        <v>80000</v>
      </c>
      <c r="F1339" t="s">
        <v>3145</v>
      </c>
      <c r="G1339" t="s">
        <v>807</v>
      </c>
      <c r="H1339" t="s">
        <v>15</v>
      </c>
      <c r="I1339" t="str">
        <f>VLOOKUP(tblSalaries[[#This Row],[Where do you work]],[1]!tblCountries[[Actual]:[Mapping]],2,FALSE)</f>
        <v>USA</v>
      </c>
      <c r="J1339" t="s">
        <v>789</v>
      </c>
      <c r="K1339">
        <v>10</v>
      </c>
    </row>
    <row r="1340" spans="1:11" x14ac:dyDescent="0.2">
      <c r="A1340" t="s">
        <v>3146</v>
      </c>
      <c r="B1340" s="59">
        <v>41058.829606481479</v>
      </c>
      <c r="C1340">
        <v>45000</v>
      </c>
      <c r="D1340" t="s">
        <v>861</v>
      </c>
      <c r="E1340">
        <f>tblSalaries[[#This Row],[clean Salary (in local currency)]]*VLOOKUP(tblSalaries[[#This Row],[Currency]],[1]!tblXrate[#Data],2,FALSE)</f>
        <v>70928.022243027779</v>
      </c>
      <c r="F1340" t="s">
        <v>1995</v>
      </c>
      <c r="G1340" t="s">
        <v>807</v>
      </c>
      <c r="H1340" t="s">
        <v>863</v>
      </c>
      <c r="I1340" t="str">
        <f>VLOOKUP(tblSalaries[[#This Row],[Where do you work]],[1]!tblCountries[[Actual]:[Mapping]],2,FALSE)</f>
        <v>UK</v>
      </c>
      <c r="J1340" t="s">
        <v>799</v>
      </c>
      <c r="K1340">
        <v>15</v>
      </c>
    </row>
    <row r="1341" spans="1:11" x14ac:dyDescent="0.2">
      <c r="A1341" t="s">
        <v>3147</v>
      </c>
      <c r="B1341" s="59">
        <v>41058.835497685184</v>
      </c>
      <c r="C1341">
        <v>33000</v>
      </c>
      <c r="D1341" t="s">
        <v>786</v>
      </c>
      <c r="E1341">
        <f>tblSalaries[[#This Row],[clean Salary (in local currency)]]*VLOOKUP(tblSalaries[[#This Row],[Currency]],[1]!tblXrate[#Data],2,FALSE)</f>
        <v>33000</v>
      </c>
      <c r="F1341" t="s">
        <v>3148</v>
      </c>
      <c r="G1341" t="s">
        <v>792</v>
      </c>
      <c r="H1341" t="s">
        <v>15</v>
      </c>
      <c r="I1341" t="str">
        <f>VLOOKUP(tblSalaries[[#This Row],[Where do you work]],[1]!tblCountries[[Actual]:[Mapping]],2,FALSE)</f>
        <v>USA</v>
      </c>
      <c r="J1341" t="s">
        <v>789</v>
      </c>
      <c r="K1341">
        <v>3</v>
      </c>
    </row>
    <row r="1342" spans="1:11" x14ac:dyDescent="0.2">
      <c r="A1342" t="s">
        <v>3149</v>
      </c>
      <c r="B1342" s="59">
        <v>41058.84746527778</v>
      </c>
      <c r="C1342">
        <v>100000</v>
      </c>
      <c r="D1342" t="s">
        <v>786</v>
      </c>
      <c r="E1342">
        <f>tblSalaries[[#This Row],[clean Salary (in local currency)]]*VLOOKUP(tblSalaries[[#This Row],[Currency]],[1]!tblXrate[#Data],2,FALSE)</f>
        <v>100000</v>
      </c>
      <c r="F1342" t="s">
        <v>1440</v>
      </c>
      <c r="G1342" t="s">
        <v>788</v>
      </c>
      <c r="H1342" t="s">
        <v>15</v>
      </c>
      <c r="I1342" t="str">
        <f>VLOOKUP(tblSalaries[[#This Row],[Where do you work]],[1]!tblCountries[[Actual]:[Mapping]],2,FALSE)</f>
        <v>USA</v>
      </c>
      <c r="J1342" t="s">
        <v>789</v>
      </c>
      <c r="K1342">
        <v>1</v>
      </c>
    </row>
    <row r="1343" spans="1:11" x14ac:dyDescent="0.2">
      <c r="A1343" t="s">
        <v>3150</v>
      </c>
      <c r="B1343" s="59">
        <v>41058.861250000002</v>
      </c>
      <c r="C1343">
        <v>60000</v>
      </c>
      <c r="D1343" t="s">
        <v>786</v>
      </c>
      <c r="E1343">
        <f>tblSalaries[[#This Row],[clean Salary (in local currency)]]*VLOOKUP(tblSalaries[[#This Row],[Currency]],[1]!tblXrate[#Data],2,FALSE)</f>
        <v>60000</v>
      </c>
      <c r="F1343" t="s">
        <v>1065</v>
      </c>
      <c r="G1343" t="s">
        <v>807</v>
      </c>
      <c r="H1343" t="s">
        <v>15</v>
      </c>
      <c r="I1343" t="str">
        <f>VLOOKUP(tblSalaries[[#This Row],[Where do you work]],[1]!tblCountries[[Actual]:[Mapping]],2,FALSE)</f>
        <v>USA</v>
      </c>
      <c r="J1343" t="s">
        <v>799</v>
      </c>
      <c r="K1343">
        <v>20</v>
      </c>
    </row>
    <row r="1344" spans="1:11" x14ac:dyDescent="0.2">
      <c r="A1344" t="s">
        <v>3151</v>
      </c>
      <c r="B1344" s="59">
        <v>41058.870636574073</v>
      </c>
      <c r="C1344">
        <v>95000</v>
      </c>
      <c r="D1344" t="s">
        <v>786</v>
      </c>
      <c r="E1344">
        <f>tblSalaries[[#This Row],[clean Salary (in local currency)]]*VLOOKUP(tblSalaries[[#This Row],[Currency]],[1]!tblXrate[#Data],2,FALSE)</f>
        <v>95000</v>
      </c>
      <c r="F1344" t="s">
        <v>1801</v>
      </c>
      <c r="G1344" t="s">
        <v>788</v>
      </c>
      <c r="H1344" t="s">
        <v>15</v>
      </c>
      <c r="I1344" t="str">
        <f>VLOOKUP(tblSalaries[[#This Row],[Where do you work]],[1]!tblCountries[[Actual]:[Mapping]],2,FALSE)</f>
        <v>USA</v>
      </c>
      <c r="J1344" t="s">
        <v>799</v>
      </c>
      <c r="K1344">
        <v>7</v>
      </c>
    </row>
    <row r="1345" spans="1:11" x14ac:dyDescent="0.2">
      <c r="A1345" t="s">
        <v>3152</v>
      </c>
      <c r="B1345" s="59">
        <v>41058.880173611113</v>
      </c>
      <c r="C1345">
        <v>24000</v>
      </c>
      <c r="D1345" t="s">
        <v>786</v>
      </c>
      <c r="E1345">
        <f>tblSalaries[[#This Row],[clean Salary (in local currency)]]*VLOOKUP(tblSalaries[[#This Row],[Currency]],[1]!tblXrate[#Data],2,FALSE)</f>
        <v>24000</v>
      </c>
      <c r="F1345" t="s">
        <v>3153</v>
      </c>
      <c r="G1345" t="s">
        <v>788</v>
      </c>
      <c r="H1345" t="s">
        <v>15</v>
      </c>
      <c r="I1345" t="str">
        <f>VLOOKUP(tblSalaries[[#This Row],[Where do you work]],[1]!tblCountries[[Actual]:[Mapping]],2,FALSE)</f>
        <v>USA</v>
      </c>
      <c r="J1345" t="s">
        <v>808</v>
      </c>
      <c r="K1345">
        <v>33</v>
      </c>
    </row>
    <row r="1346" spans="1:11" x14ac:dyDescent="0.2">
      <c r="A1346" t="s">
        <v>3154</v>
      </c>
      <c r="B1346" s="59">
        <v>41058.887106481481</v>
      </c>
      <c r="C1346">
        <v>50000</v>
      </c>
      <c r="D1346" t="s">
        <v>786</v>
      </c>
      <c r="E1346">
        <f>tblSalaries[[#This Row],[clean Salary (in local currency)]]*VLOOKUP(tblSalaries[[#This Row],[Currency]],[1]!tblXrate[#Data],2,FALSE)</f>
        <v>50000</v>
      </c>
      <c r="F1346" t="s">
        <v>3155</v>
      </c>
      <c r="G1346" t="s">
        <v>802</v>
      </c>
      <c r="H1346" t="s">
        <v>15</v>
      </c>
      <c r="I1346" t="str">
        <f>VLOOKUP(tblSalaries[[#This Row],[Where do you work]],[1]!tblCountries[[Actual]:[Mapping]],2,FALSE)</f>
        <v>USA</v>
      </c>
      <c r="J1346" t="s">
        <v>789</v>
      </c>
      <c r="K1346">
        <v>0.5</v>
      </c>
    </row>
    <row r="1347" spans="1:11" x14ac:dyDescent="0.2">
      <c r="A1347" t="s">
        <v>3156</v>
      </c>
      <c r="B1347" s="59">
        <v>41058.892395833333</v>
      </c>
      <c r="C1347">
        <v>103000</v>
      </c>
      <c r="D1347" t="s">
        <v>786</v>
      </c>
      <c r="E1347">
        <f>tblSalaries[[#This Row],[clean Salary (in local currency)]]*VLOOKUP(tblSalaries[[#This Row],[Currency]],[1]!tblXrate[#Data],2,FALSE)</f>
        <v>103000</v>
      </c>
      <c r="F1347" t="s">
        <v>792</v>
      </c>
      <c r="G1347" t="s">
        <v>792</v>
      </c>
      <c r="H1347" t="s">
        <v>15</v>
      </c>
      <c r="I1347" t="str">
        <f>VLOOKUP(tblSalaries[[#This Row],[Where do you work]],[1]!tblCountries[[Actual]:[Mapping]],2,FALSE)</f>
        <v>USA</v>
      </c>
      <c r="J1347" t="s">
        <v>789</v>
      </c>
      <c r="K1347">
        <v>22</v>
      </c>
    </row>
    <row r="1348" spans="1:11" x14ac:dyDescent="0.2">
      <c r="A1348" t="s">
        <v>3157</v>
      </c>
      <c r="B1348" s="59">
        <v>41058.894016203703</v>
      </c>
      <c r="C1348">
        <v>36000</v>
      </c>
      <c r="D1348" t="s">
        <v>786</v>
      </c>
      <c r="E1348">
        <f>tblSalaries[[#This Row],[clean Salary (in local currency)]]*VLOOKUP(tblSalaries[[#This Row],[Currency]],[1]!tblXrate[#Data],2,FALSE)</f>
        <v>36000</v>
      </c>
      <c r="F1348" t="s">
        <v>2554</v>
      </c>
      <c r="G1348" t="s">
        <v>820</v>
      </c>
      <c r="H1348" t="s">
        <v>15</v>
      </c>
      <c r="I1348" t="str">
        <f>VLOOKUP(tblSalaries[[#This Row],[Where do you work]],[1]!tblCountries[[Actual]:[Mapping]],2,FALSE)</f>
        <v>USA</v>
      </c>
      <c r="J1348" t="s">
        <v>794</v>
      </c>
      <c r="K1348">
        <v>8</v>
      </c>
    </row>
    <row r="1349" spans="1:11" x14ac:dyDescent="0.2">
      <c r="A1349" t="s">
        <v>3158</v>
      </c>
      <c r="B1349" s="59">
        <v>41058.894525462965</v>
      </c>
      <c r="C1349">
        <v>85000</v>
      </c>
      <c r="D1349" t="s">
        <v>786</v>
      </c>
      <c r="E1349">
        <f>tblSalaries[[#This Row],[clean Salary (in local currency)]]*VLOOKUP(tblSalaries[[#This Row],[Currency]],[1]!tblXrate[#Data],2,FALSE)</f>
        <v>85000</v>
      </c>
      <c r="F1349" t="s">
        <v>914</v>
      </c>
      <c r="G1349" t="s">
        <v>788</v>
      </c>
      <c r="H1349" t="s">
        <v>15</v>
      </c>
      <c r="I1349" t="str">
        <f>VLOOKUP(tblSalaries[[#This Row],[Where do you work]],[1]!tblCountries[[Actual]:[Mapping]],2,FALSE)</f>
        <v>USA</v>
      </c>
      <c r="J1349" t="s">
        <v>789</v>
      </c>
      <c r="K1349">
        <v>17</v>
      </c>
    </row>
    <row r="1350" spans="1:11" x14ac:dyDescent="0.2">
      <c r="A1350" t="s">
        <v>3159</v>
      </c>
      <c r="B1350" s="59">
        <v>41058.895555555559</v>
      </c>
      <c r="C1350">
        <v>100000</v>
      </c>
      <c r="D1350" t="s">
        <v>786</v>
      </c>
      <c r="E1350">
        <f>tblSalaries[[#This Row],[clean Salary (in local currency)]]*VLOOKUP(tblSalaries[[#This Row],[Currency]],[1]!tblXrate[#Data],2,FALSE)</f>
        <v>100000</v>
      </c>
      <c r="F1350" t="s">
        <v>3160</v>
      </c>
      <c r="G1350" t="s">
        <v>813</v>
      </c>
      <c r="H1350" t="s">
        <v>269</v>
      </c>
      <c r="I1350" t="str">
        <f>VLOOKUP(tblSalaries[[#This Row],[Where do you work]],[1]!tblCountries[[Actual]:[Mapping]],2,FALSE)</f>
        <v>Sweden</v>
      </c>
      <c r="J1350" t="s">
        <v>799</v>
      </c>
      <c r="K1350">
        <v>20</v>
      </c>
    </row>
    <row r="1351" spans="1:11" x14ac:dyDescent="0.2">
      <c r="A1351" t="s">
        <v>3161</v>
      </c>
      <c r="B1351" s="59">
        <v>41058.898402777777</v>
      </c>
      <c r="C1351">
        <v>83000</v>
      </c>
      <c r="D1351" t="s">
        <v>786</v>
      </c>
      <c r="E1351">
        <f>tblSalaries[[#This Row],[clean Salary (in local currency)]]*VLOOKUP(tblSalaries[[#This Row],[Currency]],[1]!tblXrate[#Data],2,FALSE)</f>
        <v>83000</v>
      </c>
      <c r="F1351" t="s">
        <v>3162</v>
      </c>
      <c r="G1351" t="s">
        <v>788</v>
      </c>
      <c r="H1351" t="s">
        <v>143</v>
      </c>
      <c r="I1351" t="str">
        <f>VLOOKUP(tblSalaries[[#This Row],[Where do you work]],[1]!tblCountries[[Actual]:[Mapping]],2,FALSE)</f>
        <v>Canada</v>
      </c>
      <c r="J1351" t="s">
        <v>789</v>
      </c>
      <c r="K1351">
        <v>12</v>
      </c>
    </row>
    <row r="1352" spans="1:11" x14ac:dyDescent="0.2">
      <c r="A1352" t="s">
        <v>3163</v>
      </c>
      <c r="B1352" s="59">
        <v>41058.901504629626</v>
      </c>
      <c r="C1352">
        <v>85000</v>
      </c>
      <c r="D1352" t="s">
        <v>786</v>
      </c>
      <c r="E1352">
        <f>tblSalaries[[#This Row],[clean Salary (in local currency)]]*VLOOKUP(tblSalaries[[#This Row],[Currency]],[1]!tblXrate[#Data],2,FALSE)</f>
        <v>85000</v>
      </c>
      <c r="F1352" t="s">
        <v>3164</v>
      </c>
      <c r="G1352" t="s">
        <v>802</v>
      </c>
      <c r="H1352" t="s">
        <v>15</v>
      </c>
      <c r="I1352" t="str">
        <f>VLOOKUP(tblSalaries[[#This Row],[Where do you work]],[1]!tblCountries[[Actual]:[Mapping]],2,FALSE)</f>
        <v>USA</v>
      </c>
      <c r="J1352" t="s">
        <v>799</v>
      </c>
      <c r="K1352">
        <v>25</v>
      </c>
    </row>
    <row r="1353" spans="1:11" x14ac:dyDescent="0.2">
      <c r="A1353" t="s">
        <v>3165</v>
      </c>
      <c r="B1353" s="59">
        <v>41058.904675925929</v>
      </c>
      <c r="C1353">
        <v>120000</v>
      </c>
      <c r="D1353" t="s">
        <v>786</v>
      </c>
      <c r="E1353">
        <f>tblSalaries[[#This Row],[clean Salary (in local currency)]]*VLOOKUP(tblSalaries[[#This Row],[Currency]],[1]!tblXrate[#Data],2,FALSE)</f>
        <v>120000</v>
      </c>
      <c r="F1353" t="s">
        <v>1780</v>
      </c>
      <c r="G1353" t="s">
        <v>807</v>
      </c>
      <c r="H1353" t="s">
        <v>15</v>
      </c>
      <c r="I1353" t="str">
        <f>VLOOKUP(tblSalaries[[#This Row],[Where do you work]],[1]!tblCountries[[Actual]:[Mapping]],2,FALSE)</f>
        <v>USA</v>
      </c>
      <c r="J1353" t="s">
        <v>799</v>
      </c>
      <c r="K1353">
        <v>5</v>
      </c>
    </row>
    <row r="1354" spans="1:11" x14ac:dyDescent="0.2">
      <c r="A1354" t="s">
        <v>3166</v>
      </c>
      <c r="B1354" s="59">
        <v>41058.905555555553</v>
      </c>
      <c r="C1354">
        <v>69960</v>
      </c>
      <c r="D1354" t="s">
        <v>786</v>
      </c>
      <c r="E1354">
        <f>tblSalaries[[#This Row],[clean Salary (in local currency)]]*VLOOKUP(tblSalaries[[#This Row],[Currency]],[1]!tblXrate[#Data],2,FALSE)</f>
        <v>69960</v>
      </c>
      <c r="F1354" t="s">
        <v>3167</v>
      </c>
      <c r="G1354" t="s">
        <v>802</v>
      </c>
      <c r="H1354" t="s">
        <v>15</v>
      </c>
      <c r="I1354" t="str">
        <f>VLOOKUP(tblSalaries[[#This Row],[Where do you work]],[1]!tblCountries[[Actual]:[Mapping]],2,FALSE)</f>
        <v>USA</v>
      </c>
      <c r="J1354" t="s">
        <v>799</v>
      </c>
      <c r="K1354">
        <v>22</v>
      </c>
    </row>
    <row r="1355" spans="1:11" x14ac:dyDescent="0.2">
      <c r="A1355" t="s">
        <v>3168</v>
      </c>
      <c r="B1355" s="59">
        <v>41058.907268518517</v>
      </c>
      <c r="C1355">
        <v>97000</v>
      </c>
      <c r="D1355" t="s">
        <v>786</v>
      </c>
      <c r="E1355">
        <f>tblSalaries[[#This Row],[clean Salary (in local currency)]]*VLOOKUP(tblSalaries[[#This Row],[Currency]],[1]!tblXrate[#Data],2,FALSE)</f>
        <v>97000</v>
      </c>
      <c r="F1355" t="s">
        <v>3169</v>
      </c>
      <c r="G1355" t="s">
        <v>807</v>
      </c>
      <c r="H1355" t="s">
        <v>15</v>
      </c>
      <c r="I1355" t="str">
        <f>VLOOKUP(tblSalaries[[#This Row],[Where do you work]],[1]!tblCountries[[Actual]:[Mapping]],2,FALSE)</f>
        <v>USA</v>
      </c>
      <c r="J1355" t="s">
        <v>789</v>
      </c>
      <c r="K1355">
        <v>14</v>
      </c>
    </row>
    <row r="1356" spans="1:11" x14ac:dyDescent="0.2">
      <c r="A1356" t="s">
        <v>3170</v>
      </c>
      <c r="B1356" s="59">
        <v>41058.908483796295</v>
      </c>
      <c r="C1356">
        <v>60000</v>
      </c>
      <c r="D1356" t="s">
        <v>861</v>
      </c>
      <c r="E1356">
        <f>tblSalaries[[#This Row],[clean Salary (in local currency)]]*VLOOKUP(tblSalaries[[#This Row],[Currency]],[1]!tblXrate[#Data],2,FALSE)</f>
        <v>94570.696324037053</v>
      </c>
      <c r="F1356" t="s">
        <v>788</v>
      </c>
      <c r="G1356" t="s">
        <v>788</v>
      </c>
      <c r="H1356" t="s">
        <v>863</v>
      </c>
      <c r="I1356" t="str">
        <f>VLOOKUP(tblSalaries[[#This Row],[Where do you work]],[1]!tblCountries[[Actual]:[Mapping]],2,FALSE)</f>
        <v>UK</v>
      </c>
      <c r="J1356" t="s">
        <v>789</v>
      </c>
      <c r="K1356">
        <v>7</v>
      </c>
    </row>
    <row r="1357" spans="1:11" x14ac:dyDescent="0.2">
      <c r="A1357" t="s">
        <v>3171</v>
      </c>
      <c r="B1357" s="59">
        <v>41058.910069444442</v>
      </c>
      <c r="C1357">
        <v>39000</v>
      </c>
      <c r="D1357" t="s">
        <v>786</v>
      </c>
      <c r="E1357">
        <f>tblSalaries[[#This Row],[clean Salary (in local currency)]]*VLOOKUP(tblSalaries[[#This Row],[Currency]],[1]!tblXrate[#Data],2,FALSE)</f>
        <v>39000</v>
      </c>
      <c r="F1357" t="s">
        <v>3172</v>
      </c>
      <c r="G1357" t="s">
        <v>807</v>
      </c>
      <c r="H1357" t="s">
        <v>294</v>
      </c>
      <c r="I1357" t="str">
        <f>VLOOKUP(tblSalaries[[#This Row],[Where do you work]],[1]!tblCountries[[Actual]:[Mapping]],2,FALSE)</f>
        <v>South Africa</v>
      </c>
      <c r="J1357" t="s">
        <v>794</v>
      </c>
      <c r="K1357">
        <v>6</v>
      </c>
    </row>
    <row r="1358" spans="1:11" x14ac:dyDescent="0.2">
      <c r="A1358" t="s">
        <v>3173</v>
      </c>
      <c r="B1358" s="59">
        <v>41058.910243055558</v>
      </c>
      <c r="C1358">
        <v>250000</v>
      </c>
      <c r="D1358" t="s">
        <v>824</v>
      </c>
      <c r="E1358">
        <f>tblSalaries[[#This Row],[clean Salary (in local currency)]]*VLOOKUP(tblSalaries[[#This Row],[Currency]],[1]!tblXrate[#Data],2,FALSE)</f>
        <v>4451.9791718606421</v>
      </c>
      <c r="F1358" t="s">
        <v>807</v>
      </c>
      <c r="G1358" t="s">
        <v>807</v>
      </c>
      <c r="H1358" t="s">
        <v>117</v>
      </c>
      <c r="I1358" t="str">
        <f>VLOOKUP(tblSalaries[[#This Row],[Where do you work]],[1]!tblCountries[[Actual]:[Mapping]],2,FALSE)</f>
        <v>India</v>
      </c>
      <c r="J1358" t="s">
        <v>808</v>
      </c>
      <c r="K1358">
        <v>15</v>
      </c>
    </row>
    <row r="1359" spans="1:11" x14ac:dyDescent="0.2">
      <c r="A1359" t="s">
        <v>3174</v>
      </c>
      <c r="B1359" s="59">
        <v>41058.912881944445</v>
      </c>
      <c r="C1359">
        <v>62000</v>
      </c>
      <c r="D1359" t="s">
        <v>786</v>
      </c>
      <c r="E1359">
        <f>tblSalaries[[#This Row],[clean Salary (in local currency)]]*VLOOKUP(tblSalaries[[#This Row],[Currency]],[1]!tblXrate[#Data],2,FALSE)</f>
        <v>62000</v>
      </c>
      <c r="F1359" t="s">
        <v>3175</v>
      </c>
      <c r="G1359" t="s">
        <v>820</v>
      </c>
      <c r="H1359" t="s">
        <v>15</v>
      </c>
      <c r="I1359" t="str">
        <f>VLOOKUP(tblSalaries[[#This Row],[Where do you work]],[1]!tblCountries[[Actual]:[Mapping]],2,FALSE)</f>
        <v>USA</v>
      </c>
      <c r="J1359" t="s">
        <v>794</v>
      </c>
      <c r="K1359">
        <v>25</v>
      </c>
    </row>
    <row r="1360" spans="1:11" x14ac:dyDescent="0.2">
      <c r="A1360" t="s">
        <v>3176</v>
      </c>
      <c r="B1360" s="59">
        <v>41058.916377314818</v>
      </c>
      <c r="C1360">
        <v>44000</v>
      </c>
      <c r="D1360" t="s">
        <v>786</v>
      </c>
      <c r="E1360">
        <f>tblSalaries[[#This Row],[clean Salary (in local currency)]]*VLOOKUP(tblSalaries[[#This Row],[Currency]],[1]!tblXrate[#Data],2,FALSE)</f>
        <v>44000</v>
      </c>
      <c r="F1360" t="s">
        <v>3177</v>
      </c>
      <c r="G1360" t="s">
        <v>802</v>
      </c>
      <c r="H1360" t="s">
        <v>15</v>
      </c>
      <c r="I1360" t="str">
        <f>VLOOKUP(tblSalaries[[#This Row],[Where do you work]],[1]!tblCountries[[Actual]:[Mapping]],2,FALSE)</f>
        <v>USA</v>
      </c>
      <c r="J1360" t="s">
        <v>789</v>
      </c>
      <c r="K1360">
        <v>15</v>
      </c>
    </row>
    <row r="1361" spans="1:11" x14ac:dyDescent="0.2">
      <c r="A1361" t="s">
        <v>3178</v>
      </c>
      <c r="B1361" s="59">
        <v>41058.918414351851</v>
      </c>
      <c r="C1361">
        <v>150000</v>
      </c>
      <c r="D1361" t="s">
        <v>786</v>
      </c>
      <c r="E1361">
        <f>tblSalaries[[#This Row],[clean Salary (in local currency)]]*VLOOKUP(tblSalaries[[#This Row],[Currency]],[1]!tblXrate[#Data],2,FALSE)</f>
        <v>150000</v>
      </c>
      <c r="F1361" t="s">
        <v>3179</v>
      </c>
      <c r="G1361" t="s">
        <v>807</v>
      </c>
      <c r="H1361" t="s">
        <v>15</v>
      </c>
      <c r="I1361" t="str">
        <f>VLOOKUP(tblSalaries[[#This Row],[Where do you work]],[1]!tblCountries[[Actual]:[Mapping]],2,FALSE)</f>
        <v>USA</v>
      </c>
      <c r="J1361" t="s">
        <v>799</v>
      </c>
      <c r="K1361">
        <v>30</v>
      </c>
    </row>
    <row r="1362" spans="1:11" x14ac:dyDescent="0.2">
      <c r="A1362" t="s">
        <v>3180</v>
      </c>
      <c r="B1362" s="59">
        <v>41058.919548611113</v>
      </c>
      <c r="C1362">
        <v>180000</v>
      </c>
      <c r="D1362" t="s">
        <v>805</v>
      </c>
      <c r="E1362">
        <f>tblSalaries[[#This Row],[clean Salary (in local currency)]]*VLOOKUP(tblSalaries[[#This Row],[Currency]],[1]!tblXrate[#Data],2,FALSE)</f>
        <v>228671.89901848941</v>
      </c>
      <c r="F1362" t="s">
        <v>3181</v>
      </c>
      <c r="G1362" t="s">
        <v>792</v>
      </c>
      <c r="H1362" t="s">
        <v>3182</v>
      </c>
      <c r="I1362" t="str">
        <f>VLOOKUP(tblSalaries[[#This Row],[Where do you work]],[1]!tblCountries[[Actual]:[Mapping]],2,FALSE)</f>
        <v>Europe</v>
      </c>
      <c r="J1362" t="s">
        <v>789</v>
      </c>
      <c r="K1362">
        <v>15</v>
      </c>
    </row>
    <row r="1363" spans="1:11" x14ac:dyDescent="0.2">
      <c r="A1363" t="s">
        <v>3183</v>
      </c>
      <c r="B1363" s="59">
        <v>41058.925787037035</v>
      </c>
      <c r="C1363">
        <v>73500</v>
      </c>
      <c r="D1363" t="s">
        <v>786</v>
      </c>
      <c r="E1363">
        <f>tblSalaries[[#This Row],[clean Salary (in local currency)]]*VLOOKUP(tblSalaries[[#This Row],[Currency]],[1]!tblXrate[#Data],2,FALSE)</f>
        <v>73500</v>
      </c>
      <c r="F1363" t="s">
        <v>3184</v>
      </c>
      <c r="G1363" t="s">
        <v>788</v>
      </c>
      <c r="H1363" t="s">
        <v>15</v>
      </c>
      <c r="I1363" t="str">
        <f>VLOOKUP(tblSalaries[[#This Row],[Where do you work]],[1]!tblCountries[[Actual]:[Mapping]],2,FALSE)</f>
        <v>USA</v>
      </c>
      <c r="J1363" t="s">
        <v>794</v>
      </c>
      <c r="K1363">
        <v>6</v>
      </c>
    </row>
    <row r="1364" spans="1:11" x14ac:dyDescent="0.2">
      <c r="A1364" t="s">
        <v>3185</v>
      </c>
      <c r="B1364" s="59">
        <v>41058.926608796297</v>
      </c>
      <c r="C1364">
        <v>77500</v>
      </c>
      <c r="D1364" t="s">
        <v>786</v>
      </c>
      <c r="E1364">
        <f>tblSalaries[[#This Row],[clean Salary (in local currency)]]*VLOOKUP(tblSalaries[[#This Row],[Currency]],[1]!tblXrate[#Data],2,FALSE)</f>
        <v>77500</v>
      </c>
      <c r="F1364" t="s">
        <v>1177</v>
      </c>
      <c r="G1364" t="s">
        <v>788</v>
      </c>
      <c r="H1364" t="s">
        <v>15</v>
      </c>
      <c r="I1364" t="str">
        <f>VLOOKUP(tblSalaries[[#This Row],[Where do you work]],[1]!tblCountries[[Actual]:[Mapping]],2,FALSE)</f>
        <v>USA</v>
      </c>
      <c r="J1364" t="s">
        <v>789</v>
      </c>
      <c r="K1364">
        <v>7</v>
      </c>
    </row>
    <row r="1365" spans="1:11" x14ac:dyDescent="0.2">
      <c r="A1365" t="s">
        <v>3186</v>
      </c>
      <c r="B1365" s="59">
        <v>41058.929722222223</v>
      </c>
      <c r="C1365">
        <v>60800</v>
      </c>
      <c r="D1365" t="s">
        <v>786</v>
      </c>
      <c r="E1365">
        <f>tblSalaries[[#This Row],[clean Salary (in local currency)]]*VLOOKUP(tblSalaries[[#This Row],[Currency]],[1]!tblXrate[#Data],2,FALSE)</f>
        <v>60800</v>
      </c>
      <c r="F1365" t="s">
        <v>3187</v>
      </c>
      <c r="G1365" t="s">
        <v>788</v>
      </c>
      <c r="H1365" t="s">
        <v>15</v>
      </c>
      <c r="I1365" t="str">
        <f>VLOOKUP(tblSalaries[[#This Row],[Where do you work]],[1]!tblCountries[[Actual]:[Mapping]],2,FALSE)</f>
        <v>USA</v>
      </c>
      <c r="J1365" t="s">
        <v>794</v>
      </c>
      <c r="K1365">
        <v>10</v>
      </c>
    </row>
    <row r="1366" spans="1:11" x14ac:dyDescent="0.2">
      <c r="A1366" t="s">
        <v>3188</v>
      </c>
      <c r="B1366" s="59">
        <v>41058.933657407404</v>
      </c>
      <c r="C1366">
        <v>136000</v>
      </c>
      <c r="D1366" t="s">
        <v>786</v>
      </c>
      <c r="E1366">
        <f>tblSalaries[[#This Row],[clean Salary (in local currency)]]*VLOOKUP(tblSalaries[[#This Row],[Currency]],[1]!tblXrate[#Data],2,FALSE)</f>
        <v>136000</v>
      </c>
      <c r="F1366" t="s">
        <v>3189</v>
      </c>
      <c r="G1366" t="s">
        <v>807</v>
      </c>
      <c r="H1366" t="s">
        <v>15</v>
      </c>
      <c r="I1366" t="str">
        <f>VLOOKUP(tblSalaries[[#This Row],[Where do you work]],[1]!tblCountries[[Actual]:[Mapping]],2,FALSE)</f>
        <v>USA</v>
      </c>
      <c r="J1366" t="s">
        <v>789</v>
      </c>
      <c r="K1366">
        <v>10</v>
      </c>
    </row>
    <row r="1367" spans="1:11" x14ac:dyDescent="0.2">
      <c r="A1367" t="s">
        <v>3190</v>
      </c>
      <c r="B1367" s="59">
        <v>41058.939074074071</v>
      </c>
      <c r="C1367">
        <v>20000</v>
      </c>
      <c r="D1367" t="s">
        <v>786</v>
      </c>
      <c r="E1367">
        <f>tblSalaries[[#This Row],[clean Salary (in local currency)]]*VLOOKUP(tblSalaries[[#This Row],[Currency]],[1]!tblXrate[#Data],2,FALSE)</f>
        <v>20000</v>
      </c>
      <c r="F1367" t="s">
        <v>3191</v>
      </c>
      <c r="G1367" t="s">
        <v>820</v>
      </c>
      <c r="H1367" t="s">
        <v>117</v>
      </c>
      <c r="I1367" t="str">
        <f>VLOOKUP(tblSalaries[[#This Row],[Where do you work]],[1]!tblCountries[[Actual]:[Mapping]],2,FALSE)</f>
        <v>India</v>
      </c>
      <c r="J1367" t="s">
        <v>789</v>
      </c>
      <c r="K1367">
        <v>6</v>
      </c>
    </row>
    <row r="1368" spans="1:11" x14ac:dyDescent="0.2">
      <c r="A1368" t="s">
        <v>3192</v>
      </c>
      <c r="B1368" s="59">
        <v>41058.941168981481</v>
      </c>
      <c r="C1368">
        <v>95000</v>
      </c>
      <c r="D1368" t="s">
        <v>786</v>
      </c>
      <c r="E1368">
        <f>tblSalaries[[#This Row],[clean Salary (in local currency)]]*VLOOKUP(tblSalaries[[#This Row],[Currency]],[1]!tblXrate[#Data],2,FALSE)</f>
        <v>95000</v>
      </c>
      <c r="F1368" t="s">
        <v>3193</v>
      </c>
      <c r="G1368" t="s">
        <v>802</v>
      </c>
      <c r="H1368" t="s">
        <v>15</v>
      </c>
      <c r="I1368" t="str">
        <f>VLOOKUP(tblSalaries[[#This Row],[Where do you work]],[1]!tblCountries[[Actual]:[Mapping]],2,FALSE)</f>
        <v>USA</v>
      </c>
      <c r="J1368" t="s">
        <v>789</v>
      </c>
      <c r="K1368">
        <v>14</v>
      </c>
    </row>
    <row r="1369" spans="1:11" x14ac:dyDescent="0.2">
      <c r="A1369" t="s">
        <v>3194</v>
      </c>
      <c r="B1369" s="59">
        <v>41058.949421296296</v>
      </c>
      <c r="C1369">
        <v>130000</v>
      </c>
      <c r="D1369" t="s">
        <v>786</v>
      </c>
      <c r="E1369">
        <f>tblSalaries[[#This Row],[clean Salary (in local currency)]]*VLOOKUP(tblSalaries[[#This Row],[Currency]],[1]!tblXrate[#Data],2,FALSE)</f>
        <v>130000</v>
      </c>
      <c r="F1369" t="s">
        <v>807</v>
      </c>
      <c r="G1369" t="s">
        <v>807</v>
      </c>
      <c r="H1369" t="s">
        <v>15</v>
      </c>
      <c r="I1369" t="str">
        <f>VLOOKUP(tblSalaries[[#This Row],[Where do you work]],[1]!tblCountries[[Actual]:[Mapping]],2,FALSE)</f>
        <v>USA</v>
      </c>
      <c r="J1369" t="s">
        <v>808</v>
      </c>
      <c r="K1369">
        <v>25</v>
      </c>
    </row>
    <row r="1370" spans="1:11" x14ac:dyDescent="0.2">
      <c r="A1370" t="s">
        <v>3195</v>
      </c>
      <c r="B1370" s="59">
        <v>41058.951574074075</v>
      </c>
      <c r="C1370">
        <v>65000</v>
      </c>
      <c r="D1370" t="s">
        <v>786</v>
      </c>
      <c r="E1370">
        <f>tblSalaries[[#This Row],[clean Salary (in local currency)]]*VLOOKUP(tblSalaries[[#This Row],[Currency]],[1]!tblXrate[#Data],2,FALSE)</f>
        <v>65000</v>
      </c>
      <c r="F1370" t="s">
        <v>3196</v>
      </c>
      <c r="G1370" t="s">
        <v>788</v>
      </c>
      <c r="H1370" t="s">
        <v>15</v>
      </c>
      <c r="I1370" t="str">
        <f>VLOOKUP(tblSalaries[[#This Row],[Where do you work]],[1]!tblCountries[[Actual]:[Mapping]],2,FALSE)</f>
        <v>USA</v>
      </c>
      <c r="J1370" t="s">
        <v>799</v>
      </c>
      <c r="K1370">
        <v>10</v>
      </c>
    </row>
    <row r="1371" spans="1:11" x14ac:dyDescent="0.2">
      <c r="A1371" t="s">
        <v>3197</v>
      </c>
      <c r="B1371" s="59">
        <v>41058.951620370368</v>
      </c>
      <c r="C1371">
        <v>80000</v>
      </c>
      <c r="D1371" t="s">
        <v>786</v>
      </c>
      <c r="E1371">
        <f>tblSalaries[[#This Row],[clean Salary (in local currency)]]*VLOOKUP(tblSalaries[[#This Row],[Currency]],[1]!tblXrate[#Data],2,FALSE)</f>
        <v>80000</v>
      </c>
      <c r="F1371" t="s">
        <v>3198</v>
      </c>
      <c r="G1371" t="s">
        <v>867</v>
      </c>
      <c r="H1371" t="s">
        <v>15</v>
      </c>
      <c r="I1371" t="str">
        <f>VLOOKUP(tblSalaries[[#This Row],[Where do you work]],[1]!tblCountries[[Actual]:[Mapping]],2,FALSE)</f>
        <v>USA</v>
      </c>
      <c r="J1371" t="s">
        <v>799</v>
      </c>
      <c r="K1371">
        <v>8</v>
      </c>
    </row>
    <row r="1372" spans="1:11" x14ac:dyDescent="0.2">
      <c r="A1372" t="s">
        <v>3199</v>
      </c>
      <c r="B1372" s="59">
        <v>41058.955833333333</v>
      </c>
      <c r="C1372">
        <v>37000</v>
      </c>
      <c r="D1372" t="s">
        <v>786</v>
      </c>
      <c r="E1372">
        <f>tblSalaries[[#This Row],[clean Salary (in local currency)]]*VLOOKUP(tblSalaries[[#This Row],[Currency]],[1]!tblXrate[#Data],2,FALSE)</f>
        <v>37000</v>
      </c>
      <c r="F1372" t="s">
        <v>3200</v>
      </c>
      <c r="G1372" t="s">
        <v>836</v>
      </c>
      <c r="H1372" t="s">
        <v>15</v>
      </c>
      <c r="I1372" t="str">
        <f>VLOOKUP(tblSalaries[[#This Row],[Where do you work]],[1]!tblCountries[[Actual]:[Mapping]],2,FALSE)</f>
        <v>USA</v>
      </c>
      <c r="J1372" t="s">
        <v>799</v>
      </c>
      <c r="K1372">
        <v>30</v>
      </c>
    </row>
    <row r="1373" spans="1:11" x14ac:dyDescent="0.2">
      <c r="A1373" t="s">
        <v>3201</v>
      </c>
      <c r="B1373" s="59">
        <v>41058.962500000001</v>
      </c>
      <c r="C1373">
        <v>40000</v>
      </c>
      <c r="D1373" t="s">
        <v>786</v>
      </c>
      <c r="E1373">
        <f>tblSalaries[[#This Row],[clean Salary (in local currency)]]*VLOOKUP(tblSalaries[[#This Row],[Currency]],[1]!tblXrate[#Data],2,FALSE)</f>
        <v>40000</v>
      </c>
      <c r="F1373" t="s">
        <v>3202</v>
      </c>
      <c r="G1373" t="s">
        <v>807</v>
      </c>
      <c r="H1373" t="s">
        <v>15</v>
      </c>
      <c r="I1373" t="str">
        <f>VLOOKUP(tblSalaries[[#This Row],[Where do you work]],[1]!tblCountries[[Actual]:[Mapping]],2,FALSE)</f>
        <v>USA</v>
      </c>
      <c r="J1373" t="s">
        <v>808</v>
      </c>
      <c r="K1373">
        <v>8</v>
      </c>
    </row>
    <row r="1374" spans="1:11" x14ac:dyDescent="0.2">
      <c r="A1374" t="s">
        <v>3203</v>
      </c>
      <c r="B1374" s="59">
        <v>41058.964409722219</v>
      </c>
      <c r="C1374">
        <v>49000</v>
      </c>
      <c r="D1374" t="s">
        <v>786</v>
      </c>
      <c r="E1374">
        <f>tblSalaries[[#This Row],[clean Salary (in local currency)]]*VLOOKUP(tblSalaries[[#This Row],[Currency]],[1]!tblXrate[#Data],2,FALSE)</f>
        <v>49000</v>
      </c>
      <c r="F1374" t="s">
        <v>1057</v>
      </c>
      <c r="G1374" t="s">
        <v>788</v>
      </c>
      <c r="H1374" t="s">
        <v>15</v>
      </c>
      <c r="I1374" t="str">
        <f>VLOOKUP(tblSalaries[[#This Row],[Where do you work]],[1]!tblCountries[[Actual]:[Mapping]],2,FALSE)</f>
        <v>USA</v>
      </c>
      <c r="J1374" t="s">
        <v>789</v>
      </c>
      <c r="K1374">
        <v>10</v>
      </c>
    </row>
    <row r="1375" spans="1:11" x14ac:dyDescent="0.2">
      <c r="A1375" t="s">
        <v>3204</v>
      </c>
      <c r="B1375" s="59">
        <v>41058.964918981481</v>
      </c>
      <c r="C1375">
        <v>65000</v>
      </c>
      <c r="D1375" t="s">
        <v>786</v>
      </c>
      <c r="E1375">
        <f>tblSalaries[[#This Row],[clean Salary (in local currency)]]*VLOOKUP(tblSalaries[[#This Row],[Currency]],[1]!tblXrate[#Data],2,FALSE)</f>
        <v>65000</v>
      </c>
      <c r="F1375" t="s">
        <v>984</v>
      </c>
      <c r="G1375" t="s">
        <v>788</v>
      </c>
      <c r="H1375" t="s">
        <v>15</v>
      </c>
      <c r="I1375" t="str">
        <f>VLOOKUP(tblSalaries[[#This Row],[Where do you work]],[1]!tblCountries[[Actual]:[Mapping]],2,FALSE)</f>
        <v>USA</v>
      </c>
      <c r="J1375" t="s">
        <v>794</v>
      </c>
      <c r="K1375">
        <v>14</v>
      </c>
    </row>
    <row r="1376" spans="1:11" x14ac:dyDescent="0.2">
      <c r="A1376" t="s">
        <v>3205</v>
      </c>
      <c r="B1376" s="59">
        <v>41058.967731481483</v>
      </c>
      <c r="C1376">
        <v>55000</v>
      </c>
      <c r="D1376" t="s">
        <v>786</v>
      </c>
      <c r="E1376">
        <f>tblSalaries[[#This Row],[clean Salary (in local currency)]]*VLOOKUP(tblSalaries[[#This Row],[Currency]],[1]!tblXrate[#Data],2,FALSE)</f>
        <v>55000</v>
      </c>
      <c r="F1376" t="s">
        <v>3206</v>
      </c>
      <c r="G1376" t="s">
        <v>788</v>
      </c>
      <c r="H1376" t="s">
        <v>15</v>
      </c>
      <c r="I1376" t="str">
        <f>VLOOKUP(tblSalaries[[#This Row],[Where do you work]],[1]!tblCountries[[Actual]:[Mapping]],2,FALSE)</f>
        <v>USA</v>
      </c>
      <c r="J1376" t="s">
        <v>794</v>
      </c>
      <c r="K1376">
        <v>1</v>
      </c>
    </row>
    <row r="1377" spans="1:11" x14ac:dyDescent="0.2">
      <c r="A1377" t="s">
        <v>3207</v>
      </c>
      <c r="B1377" s="59">
        <v>41058.972696759258</v>
      </c>
      <c r="C1377">
        <v>40000</v>
      </c>
      <c r="D1377" t="s">
        <v>786</v>
      </c>
      <c r="E1377">
        <f>tblSalaries[[#This Row],[clean Salary (in local currency)]]*VLOOKUP(tblSalaries[[#This Row],[Currency]],[1]!tblXrate[#Data],2,FALSE)</f>
        <v>40000</v>
      </c>
      <c r="F1377" t="s">
        <v>3208</v>
      </c>
      <c r="G1377" t="s">
        <v>807</v>
      </c>
      <c r="H1377" t="s">
        <v>15</v>
      </c>
      <c r="I1377" t="str">
        <f>VLOOKUP(tblSalaries[[#This Row],[Where do you work]],[1]!tblCountries[[Actual]:[Mapping]],2,FALSE)</f>
        <v>USA</v>
      </c>
      <c r="J1377" t="s">
        <v>789</v>
      </c>
      <c r="K1377">
        <v>1</v>
      </c>
    </row>
    <row r="1378" spans="1:11" x14ac:dyDescent="0.2">
      <c r="A1378" t="s">
        <v>3209</v>
      </c>
      <c r="B1378" s="59">
        <v>41058.97320601852</v>
      </c>
      <c r="C1378">
        <v>60000</v>
      </c>
      <c r="D1378" t="s">
        <v>786</v>
      </c>
      <c r="E1378">
        <f>tblSalaries[[#This Row],[clean Salary (in local currency)]]*VLOOKUP(tblSalaries[[#This Row],[Currency]],[1]!tblXrate[#Data],2,FALSE)</f>
        <v>60000</v>
      </c>
      <c r="F1378" t="s">
        <v>827</v>
      </c>
      <c r="G1378" t="s">
        <v>788</v>
      </c>
      <c r="H1378" t="s">
        <v>15</v>
      </c>
      <c r="I1378" t="str">
        <f>VLOOKUP(tblSalaries[[#This Row],[Where do you work]],[1]!tblCountries[[Actual]:[Mapping]],2,FALSE)</f>
        <v>USA</v>
      </c>
      <c r="J1378" t="s">
        <v>789</v>
      </c>
      <c r="K1378">
        <v>15</v>
      </c>
    </row>
    <row r="1379" spans="1:11" x14ac:dyDescent="0.2">
      <c r="A1379" t="s">
        <v>3210</v>
      </c>
      <c r="B1379" s="59">
        <v>41058.979895833334</v>
      </c>
      <c r="C1379">
        <v>36000</v>
      </c>
      <c r="D1379" t="s">
        <v>805</v>
      </c>
      <c r="E1379">
        <f>tblSalaries[[#This Row],[clean Salary (in local currency)]]*VLOOKUP(tblSalaries[[#This Row],[Currency]],[1]!tblXrate[#Data],2,FALSE)</f>
        <v>45734.379803697877</v>
      </c>
      <c r="F1379" t="s">
        <v>3211</v>
      </c>
      <c r="G1379" t="s">
        <v>788</v>
      </c>
      <c r="H1379" t="s">
        <v>351</v>
      </c>
      <c r="I1379" t="str">
        <f>VLOOKUP(tblSalaries[[#This Row],[Where do you work]],[1]!tblCountries[[Actual]:[Mapping]],2,FALSE)</f>
        <v>Ireland</v>
      </c>
      <c r="J1379" t="s">
        <v>799</v>
      </c>
      <c r="K1379">
        <v>4</v>
      </c>
    </row>
    <row r="1380" spans="1:11" x14ac:dyDescent="0.2">
      <c r="A1380" t="s">
        <v>3212</v>
      </c>
      <c r="B1380" s="59">
        <v>41058.985567129632</v>
      </c>
      <c r="C1380">
        <v>150000</v>
      </c>
      <c r="D1380" t="s">
        <v>786</v>
      </c>
      <c r="E1380">
        <f>tblSalaries[[#This Row],[clean Salary (in local currency)]]*VLOOKUP(tblSalaries[[#This Row],[Currency]],[1]!tblXrate[#Data],2,FALSE)</f>
        <v>150000</v>
      </c>
      <c r="F1380" t="s">
        <v>914</v>
      </c>
      <c r="G1380" t="s">
        <v>788</v>
      </c>
      <c r="H1380" t="s">
        <v>15</v>
      </c>
      <c r="I1380" t="str">
        <f>VLOOKUP(tblSalaries[[#This Row],[Where do you work]],[1]!tblCountries[[Actual]:[Mapping]],2,FALSE)</f>
        <v>USA</v>
      </c>
      <c r="J1380" t="s">
        <v>799</v>
      </c>
      <c r="K1380">
        <v>30</v>
      </c>
    </row>
    <row r="1381" spans="1:11" x14ac:dyDescent="0.2">
      <c r="A1381" t="s">
        <v>3213</v>
      </c>
      <c r="B1381" s="59">
        <v>41058.989189814813</v>
      </c>
      <c r="C1381">
        <v>88000</v>
      </c>
      <c r="D1381" t="s">
        <v>786</v>
      </c>
      <c r="E1381">
        <f>tblSalaries[[#This Row],[clean Salary (in local currency)]]*VLOOKUP(tblSalaries[[#This Row],[Currency]],[1]!tblXrate[#Data],2,FALSE)</f>
        <v>88000</v>
      </c>
      <c r="F1381" t="s">
        <v>3214</v>
      </c>
      <c r="G1381" t="s">
        <v>807</v>
      </c>
      <c r="H1381" t="s">
        <v>15</v>
      </c>
      <c r="I1381" t="str">
        <f>VLOOKUP(tblSalaries[[#This Row],[Where do you work]],[1]!tblCountries[[Actual]:[Mapping]],2,FALSE)</f>
        <v>USA</v>
      </c>
      <c r="J1381" t="s">
        <v>789</v>
      </c>
      <c r="K1381">
        <v>21</v>
      </c>
    </row>
    <row r="1382" spans="1:11" x14ac:dyDescent="0.2">
      <c r="A1382" t="s">
        <v>3215</v>
      </c>
      <c r="B1382" s="59">
        <v>41059.001481481479</v>
      </c>
      <c r="C1382">
        <v>64500</v>
      </c>
      <c r="D1382" t="s">
        <v>786</v>
      </c>
      <c r="E1382">
        <f>tblSalaries[[#This Row],[clean Salary (in local currency)]]*VLOOKUP(tblSalaries[[#This Row],[Currency]],[1]!tblXrate[#Data],2,FALSE)</f>
        <v>64500</v>
      </c>
      <c r="F1382" t="s">
        <v>3216</v>
      </c>
      <c r="G1382" t="s">
        <v>788</v>
      </c>
      <c r="H1382" t="s">
        <v>15</v>
      </c>
      <c r="I1382" t="str">
        <f>VLOOKUP(tblSalaries[[#This Row],[Where do you work]],[1]!tblCountries[[Actual]:[Mapping]],2,FALSE)</f>
        <v>USA</v>
      </c>
      <c r="J1382" t="s">
        <v>789</v>
      </c>
      <c r="K1382">
        <v>13</v>
      </c>
    </row>
    <row r="1383" spans="1:11" x14ac:dyDescent="0.2">
      <c r="A1383" t="s">
        <v>3217</v>
      </c>
      <c r="B1383" s="59">
        <v>41059.009108796294</v>
      </c>
      <c r="C1383">
        <v>216000</v>
      </c>
      <c r="D1383" t="s">
        <v>3218</v>
      </c>
      <c r="E1383">
        <f>tblSalaries[[#This Row],[clean Salary (in local currency)]]*VLOOKUP(tblSalaries[[#This Row],[Currency]],[1]!tblXrate[#Data],2,FALSE)</f>
        <v>57600</v>
      </c>
      <c r="F1383" t="s">
        <v>3219</v>
      </c>
      <c r="G1383" t="s">
        <v>802</v>
      </c>
      <c r="H1383" t="s">
        <v>749</v>
      </c>
      <c r="I1383" t="str">
        <f>VLOOKUP(tblSalaries[[#This Row],[Where do you work]],[1]!tblCountries[[Actual]:[Mapping]],2,FALSE)</f>
        <v>Saudi Arabia</v>
      </c>
      <c r="J1383" t="s">
        <v>789</v>
      </c>
      <c r="K1383">
        <v>20</v>
      </c>
    </row>
    <row r="1384" spans="1:11" x14ac:dyDescent="0.2">
      <c r="A1384" t="s">
        <v>3220</v>
      </c>
      <c r="B1384" s="59">
        <v>41059.015601851854</v>
      </c>
      <c r="C1384">
        <v>50000</v>
      </c>
      <c r="D1384" t="s">
        <v>786</v>
      </c>
      <c r="E1384">
        <f>tblSalaries[[#This Row],[clean Salary (in local currency)]]*VLOOKUP(tblSalaries[[#This Row],[Currency]],[1]!tblXrate[#Data],2,FALSE)</f>
        <v>50000</v>
      </c>
      <c r="F1384" t="s">
        <v>3221</v>
      </c>
      <c r="G1384" t="s">
        <v>817</v>
      </c>
      <c r="H1384" t="s">
        <v>15</v>
      </c>
      <c r="I1384" t="str">
        <f>VLOOKUP(tblSalaries[[#This Row],[Where do you work]],[1]!tblCountries[[Actual]:[Mapping]],2,FALSE)</f>
        <v>USA</v>
      </c>
      <c r="J1384" t="s">
        <v>789</v>
      </c>
      <c r="K1384">
        <v>15</v>
      </c>
    </row>
    <row r="1385" spans="1:11" x14ac:dyDescent="0.2">
      <c r="A1385" t="s">
        <v>3222</v>
      </c>
      <c r="B1385" s="59">
        <v>41059.017858796295</v>
      </c>
      <c r="C1385">
        <v>120000</v>
      </c>
      <c r="D1385" t="s">
        <v>786</v>
      </c>
      <c r="E1385">
        <f>tblSalaries[[#This Row],[clean Salary (in local currency)]]*VLOOKUP(tblSalaries[[#This Row],[Currency]],[1]!tblXrate[#Data],2,FALSE)</f>
        <v>120000</v>
      </c>
      <c r="F1385" t="s">
        <v>1780</v>
      </c>
      <c r="G1385" t="s">
        <v>807</v>
      </c>
      <c r="H1385" t="s">
        <v>15</v>
      </c>
      <c r="I1385" t="str">
        <f>VLOOKUP(tblSalaries[[#This Row],[Where do you work]],[1]!tblCountries[[Actual]:[Mapping]],2,FALSE)</f>
        <v>USA</v>
      </c>
      <c r="J1385" t="s">
        <v>799</v>
      </c>
      <c r="K1385">
        <v>10</v>
      </c>
    </row>
    <row r="1386" spans="1:11" x14ac:dyDescent="0.2">
      <c r="A1386" t="s">
        <v>3223</v>
      </c>
      <c r="B1386" s="59">
        <v>41059.024224537039</v>
      </c>
      <c r="C1386">
        <v>107000</v>
      </c>
      <c r="D1386" t="s">
        <v>786</v>
      </c>
      <c r="E1386">
        <f>tblSalaries[[#This Row],[clean Salary (in local currency)]]*VLOOKUP(tblSalaries[[#This Row],[Currency]],[1]!tblXrate[#Data],2,FALSE)</f>
        <v>107000</v>
      </c>
      <c r="F1386" t="s">
        <v>3224</v>
      </c>
      <c r="G1386" t="s">
        <v>807</v>
      </c>
      <c r="H1386" t="s">
        <v>15</v>
      </c>
      <c r="I1386" t="str">
        <f>VLOOKUP(tblSalaries[[#This Row],[Where do you work]],[1]!tblCountries[[Actual]:[Mapping]],2,FALSE)</f>
        <v>USA</v>
      </c>
      <c r="J1386" t="s">
        <v>794</v>
      </c>
      <c r="K1386">
        <v>29</v>
      </c>
    </row>
    <row r="1387" spans="1:11" x14ac:dyDescent="0.2">
      <c r="A1387" t="s">
        <v>3225</v>
      </c>
      <c r="B1387" s="59">
        <v>41059.029745370368</v>
      </c>
      <c r="C1387">
        <v>40000</v>
      </c>
      <c r="D1387" t="s">
        <v>786</v>
      </c>
      <c r="E1387">
        <f>tblSalaries[[#This Row],[clean Salary (in local currency)]]*VLOOKUP(tblSalaries[[#This Row],[Currency]],[1]!tblXrate[#Data],2,FALSE)</f>
        <v>40000</v>
      </c>
      <c r="F1387" t="s">
        <v>1746</v>
      </c>
      <c r="G1387" t="s">
        <v>788</v>
      </c>
      <c r="H1387" t="s">
        <v>15</v>
      </c>
      <c r="I1387" t="str">
        <f>VLOOKUP(tblSalaries[[#This Row],[Where do you work]],[1]!tblCountries[[Actual]:[Mapping]],2,FALSE)</f>
        <v>USA</v>
      </c>
      <c r="J1387" t="s">
        <v>799</v>
      </c>
      <c r="K1387">
        <v>6</v>
      </c>
    </row>
    <row r="1388" spans="1:11" x14ac:dyDescent="0.2">
      <c r="A1388" t="s">
        <v>3226</v>
      </c>
      <c r="B1388" s="59">
        <v>41059.034756944442</v>
      </c>
      <c r="C1388">
        <v>81000</v>
      </c>
      <c r="D1388" t="s">
        <v>786</v>
      </c>
      <c r="E1388">
        <f>tblSalaries[[#This Row],[clean Salary (in local currency)]]*VLOOKUP(tblSalaries[[#This Row],[Currency]],[1]!tblXrate[#Data],2,FALSE)</f>
        <v>81000</v>
      </c>
      <c r="F1388" t="s">
        <v>3227</v>
      </c>
      <c r="G1388" t="s">
        <v>807</v>
      </c>
      <c r="H1388" t="s">
        <v>15</v>
      </c>
      <c r="I1388" t="str">
        <f>VLOOKUP(tblSalaries[[#This Row],[Where do you work]],[1]!tblCountries[[Actual]:[Mapping]],2,FALSE)</f>
        <v>USA</v>
      </c>
      <c r="J1388" t="s">
        <v>808</v>
      </c>
      <c r="K1388">
        <v>12</v>
      </c>
    </row>
    <row r="1389" spans="1:11" x14ac:dyDescent="0.2">
      <c r="A1389" t="s">
        <v>3228</v>
      </c>
      <c r="B1389" s="59">
        <v>41059.045439814814</v>
      </c>
      <c r="C1389">
        <v>45000</v>
      </c>
      <c r="D1389" t="s">
        <v>786</v>
      </c>
      <c r="E1389">
        <f>tblSalaries[[#This Row],[clean Salary (in local currency)]]*VLOOKUP(tblSalaries[[#This Row],[Currency]],[1]!tblXrate[#Data],2,FALSE)</f>
        <v>45000</v>
      </c>
      <c r="F1389" t="s">
        <v>3229</v>
      </c>
      <c r="G1389" t="s">
        <v>820</v>
      </c>
      <c r="H1389" t="s">
        <v>15</v>
      </c>
      <c r="I1389" t="str">
        <f>VLOOKUP(tblSalaries[[#This Row],[Where do you work]],[1]!tblCountries[[Actual]:[Mapping]],2,FALSE)</f>
        <v>USA</v>
      </c>
      <c r="J1389" t="s">
        <v>789</v>
      </c>
      <c r="K1389">
        <v>20</v>
      </c>
    </row>
    <row r="1390" spans="1:11" x14ac:dyDescent="0.2">
      <c r="A1390" t="s">
        <v>3230</v>
      </c>
      <c r="B1390" s="59">
        <v>41059.050046296295</v>
      </c>
      <c r="C1390">
        <v>49000</v>
      </c>
      <c r="D1390" t="s">
        <v>786</v>
      </c>
      <c r="E1390">
        <f>tblSalaries[[#This Row],[clean Salary (in local currency)]]*VLOOKUP(tblSalaries[[#This Row],[Currency]],[1]!tblXrate[#Data],2,FALSE)</f>
        <v>49000</v>
      </c>
      <c r="F1390" t="s">
        <v>3231</v>
      </c>
      <c r="G1390" t="s">
        <v>820</v>
      </c>
      <c r="H1390" t="s">
        <v>15</v>
      </c>
      <c r="I1390" t="str">
        <f>VLOOKUP(tblSalaries[[#This Row],[Where do you work]],[1]!tblCountries[[Actual]:[Mapping]],2,FALSE)</f>
        <v>USA</v>
      </c>
      <c r="J1390" t="s">
        <v>789</v>
      </c>
      <c r="K1390">
        <v>5</v>
      </c>
    </row>
    <row r="1391" spans="1:11" x14ac:dyDescent="0.2">
      <c r="A1391" t="s">
        <v>3232</v>
      </c>
      <c r="B1391" s="59">
        <v>41059.050405092596</v>
      </c>
      <c r="C1391">
        <v>750000</v>
      </c>
      <c r="D1391" t="s">
        <v>824</v>
      </c>
      <c r="E1391">
        <f>tblSalaries[[#This Row],[clean Salary (in local currency)]]*VLOOKUP(tblSalaries[[#This Row],[Currency]],[1]!tblXrate[#Data],2,FALSE)</f>
        <v>13355.937515581925</v>
      </c>
      <c r="F1391" t="s">
        <v>3233</v>
      </c>
      <c r="G1391" t="s">
        <v>813</v>
      </c>
      <c r="H1391" t="s">
        <v>117</v>
      </c>
      <c r="I1391" t="str">
        <f>VLOOKUP(tblSalaries[[#This Row],[Where do you work]],[1]!tblCountries[[Actual]:[Mapping]],2,FALSE)</f>
        <v>India</v>
      </c>
      <c r="J1391" t="s">
        <v>808</v>
      </c>
      <c r="K1391">
        <v>1</v>
      </c>
    </row>
    <row r="1392" spans="1:11" x14ac:dyDescent="0.2">
      <c r="A1392" t="s">
        <v>3234</v>
      </c>
      <c r="B1392" s="59">
        <v>41059.052453703705</v>
      </c>
      <c r="C1392">
        <v>72000</v>
      </c>
      <c r="D1392" t="s">
        <v>786</v>
      </c>
      <c r="E1392">
        <f>tblSalaries[[#This Row],[clean Salary (in local currency)]]*VLOOKUP(tblSalaries[[#This Row],[Currency]],[1]!tblXrate[#Data],2,FALSE)</f>
        <v>72000</v>
      </c>
      <c r="F1392" t="s">
        <v>807</v>
      </c>
      <c r="G1392" t="s">
        <v>807</v>
      </c>
      <c r="H1392" t="s">
        <v>15</v>
      </c>
      <c r="I1392" t="str">
        <f>VLOOKUP(tblSalaries[[#This Row],[Where do you work]],[1]!tblCountries[[Actual]:[Mapping]],2,FALSE)</f>
        <v>USA</v>
      </c>
      <c r="J1392" t="s">
        <v>808</v>
      </c>
      <c r="K1392">
        <v>20</v>
      </c>
    </row>
    <row r="1393" spans="1:11" x14ac:dyDescent="0.2">
      <c r="A1393" t="s">
        <v>3235</v>
      </c>
      <c r="B1393" s="59">
        <v>41059.059224537035</v>
      </c>
      <c r="C1393">
        <v>50000</v>
      </c>
      <c r="D1393" t="s">
        <v>786</v>
      </c>
      <c r="E1393">
        <f>tblSalaries[[#This Row],[clean Salary (in local currency)]]*VLOOKUP(tblSalaries[[#This Row],[Currency]],[1]!tblXrate[#Data],2,FALSE)</f>
        <v>50000</v>
      </c>
      <c r="F1393" t="s">
        <v>3236</v>
      </c>
      <c r="G1393" t="s">
        <v>788</v>
      </c>
      <c r="H1393" t="s">
        <v>15</v>
      </c>
      <c r="I1393" t="str">
        <f>VLOOKUP(tblSalaries[[#This Row],[Where do you work]],[1]!tblCountries[[Actual]:[Mapping]],2,FALSE)</f>
        <v>USA</v>
      </c>
      <c r="J1393" t="s">
        <v>789</v>
      </c>
      <c r="K1393">
        <v>7</v>
      </c>
    </row>
    <row r="1394" spans="1:11" x14ac:dyDescent="0.2">
      <c r="A1394" t="s">
        <v>3237</v>
      </c>
      <c r="B1394" s="59">
        <v>41059.059328703705</v>
      </c>
      <c r="C1394">
        <v>57678</v>
      </c>
      <c r="D1394" t="s">
        <v>786</v>
      </c>
      <c r="E1394">
        <f>tblSalaries[[#This Row],[clean Salary (in local currency)]]*VLOOKUP(tblSalaries[[#This Row],[Currency]],[1]!tblXrate[#Data],2,FALSE)</f>
        <v>57678</v>
      </c>
      <c r="F1394" t="s">
        <v>796</v>
      </c>
      <c r="G1394" t="s">
        <v>788</v>
      </c>
      <c r="H1394" t="s">
        <v>15</v>
      </c>
      <c r="I1394" t="str">
        <f>VLOOKUP(tblSalaries[[#This Row],[Where do you work]],[1]!tblCountries[[Actual]:[Mapping]],2,FALSE)</f>
        <v>USA</v>
      </c>
      <c r="J1394" t="s">
        <v>789</v>
      </c>
      <c r="K1394">
        <v>2</v>
      </c>
    </row>
    <row r="1395" spans="1:11" x14ac:dyDescent="0.2">
      <c r="A1395" t="s">
        <v>3238</v>
      </c>
      <c r="B1395" s="59">
        <v>41059.062395833331</v>
      </c>
      <c r="C1395">
        <v>80442</v>
      </c>
      <c r="D1395" t="s">
        <v>786</v>
      </c>
      <c r="E1395">
        <f>tblSalaries[[#This Row],[clean Salary (in local currency)]]*VLOOKUP(tblSalaries[[#This Row],[Currency]],[1]!tblXrate[#Data],2,FALSE)</f>
        <v>80442</v>
      </c>
      <c r="F1395" t="s">
        <v>3239</v>
      </c>
      <c r="G1395" t="s">
        <v>788</v>
      </c>
      <c r="H1395" t="s">
        <v>15</v>
      </c>
      <c r="I1395" t="str">
        <f>VLOOKUP(tblSalaries[[#This Row],[Where do you work]],[1]!tblCountries[[Actual]:[Mapping]],2,FALSE)</f>
        <v>USA</v>
      </c>
      <c r="J1395" t="s">
        <v>789</v>
      </c>
      <c r="K1395">
        <v>16</v>
      </c>
    </row>
    <row r="1396" spans="1:11" x14ac:dyDescent="0.2">
      <c r="A1396" t="s">
        <v>3240</v>
      </c>
      <c r="B1396" s="59">
        <v>41059.075208333335</v>
      </c>
      <c r="C1396">
        <v>75000</v>
      </c>
      <c r="D1396" t="s">
        <v>786</v>
      </c>
      <c r="E1396">
        <f>tblSalaries[[#This Row],[clean Salary (in local currency)]]*VLOOKUP(tblSalaries[[#This Row],[Currency]],[1]!tblXrate[#Data],2,FALSE)</f>
        <v>75000</v>
      </c>
      <c r="F1396" t="s">
        <v>3241</v>
      </c>
      <c r="G1396" t="s">
        <v>807</v>
      </c>
      <c r="H1396" t="s">
        <v>15</v>
      </c>
      <c r="I1396" t="str">
        <f>VLOOKUP(tblSalaries[[#This Row],[Where do you work]],[1]!tblCountries[[Actual]:[Mapping]],2,FALSE)</f>
        <v>USA</v>
      </c>
      <c r="J1396" t="s">
        <v>808</v>
      </c>
      <c r="K1396">
        <v>9</v>
      </c>
    </row>
    <row r="1397" spans="1:11" x14ac:dyDescent="0.2">
      <c r="A1397" t="s">
        <v>3242</v>
      </c>
      <c r="B1397" s="59">
        <v>41059.078159722223</v>
      </c>
      <c r="C1397">
        <v>61000</v>
      </c>
      <c r="D1397" t="s">
        <v>786</v>
      </c>
      <c r="E1397">
        <f>tblSalaries[[#This Row],[clean Salary (in local currency)]]*VLOOKUP(tblSalaries[[#This Row],[Currency]],[1]!tblXrate[#Data],2,FALSE)</f>
        <v>61000</v>
      </c>
      <c r="F1397" t="s">
        <v>3243</v>
      </c>
      <c r="G1397" t="s">
        <v>788</v>
      </c>
      <c r="H1397" t="s">
        <v>15</v>
      </c>
      <c r="I1397" t="str">
        <f>VLOOKUP(tblSalaries[[#This Row],[Where do you work]],[1]!tblCountries[[Actual]:[Mapping]],2,FALSE)</f>
        <v>USA</v>
      </c>
      <c r="J1397" t="s">
        <v>789</v>
      </c>
      <c r="K1397">
        <v>12</v>
      </c>
    </row>
    <row r="1398" spans="1:11" x14ac:dyDescent="0.2">
      <c r="A1398" t="s">
        <v>3244</v>
      </c>
      <c r="B1398" s="59">
        <v>41059.081921296296</v>
      </c>
      <c r="C1398">
        <v>77000</v>
      </c>
      <c r="D1398" t="s">
        <v>786</v>
      </c>
      <c r="E1398">
        <f>tblSalaries[[#This Row],[clean Salary (in local currency)]]*VLOOKUP(tblSalaries[[#This Row],[Currency]],[1]!tblXrate[#Data],2,FALSE)</f>
        <v>77000</v>
      </c>
      <c r="F1398" t="s">
        <v>3245</v>
      </c>
      <c r="G1398" t="s">
        <v>802</v>
      </c>
      <c r="H1398" t="s">
        <v>15</v>
      </c>
      <c r="I1398" t="str">
        <f>VLOOKUP(tblSalaries[[#This Row],[Where do you work]],[1]!tblCountries[[Actual]:[Mapping]],2,FALSE)</f>
        <v>USA</v>
      </c>
      <c r="J1398" t="s">
        <v>789</v>
      </c>
      <c r="K1398">
        <v>10</v>
      </c>
    </row>
    <row r="1399" spans="1:11" x14ac:dyDescent="0.2">
      <c r="A1399" t="s">
        <v>3246</v>
      </c>
      <c r="B1399" s="59">
        <v>41059.095856481479</v>
      </c>
      <c r="C1399">
        <v>92000</v>
      </c>
      <c r="D1399" t="s">
        <v>786</v>
      </c>
      <c r="E1399">
        <f>tblSalaries[[#This Row],[clean Salary (in local currency)]]*VLOOKUP(tblSalaries[[#This Row],[Currency]],[1]!tblXrate[#Data],2,FALSE)</f>
        <v>92000</v>
      </c>
      <c r="F1399" t="s">
        <v>792</v>
      </c>
      <c r="G1399" t="s">
        <v>792</v>
      </c>
      <c r="H1399" t="s">
        <v>15</v>
      </c>
      <c r="I1399" t="str">
        <f>VLOOKUP(tblSalaries[[#This Row],[Where do you work]],[1]!tblCountries[[Actual]:[Mapping]],2,FALSE)</f>
        <v>USA</v>
      </c>
      <c r="J1399" t="s">
        <v>799</v>
      </c>
      <c r="K1399">
        <v>9</v>
      </c>
    </row>
    <row r="1400" spans="1:11" x14ac:dyDescent="0.2">
      <c r="A1400" t="s">
        <v>3247</v>
      </c>
      <c r="B1400" s="59">
        <v>41059.096180555556</v>
      </c>
      <c r="C1400">
        <v>72000</v>
      </c>
      <c r="D1400" t="s">
        <v>786</v>
      </c>
      <c r="E1400">
        <f>tblSalaries[[#This Row],[clean Salary (in local currency)]]*VLOOKUP(tblSalaries[[#This Row],[Currency]],[1]!tblXrate[#Data],2,FALSE)</f>
        <v>72000</v>
      </c>
      <c r="F1400" t="s">
        <v>3248</v>
      </c>
      <c r="G1400" t="s">
        <v>788</v>
      </c>
      <c r="H1400" t="s">
        <v>15</v>
      </c>
      <c r="I1400" t="str">
        <f>VLOOKUP(tblSalaries[[#This Row],[Where do you work]],[1]!tblCountries[[Actual]:[Mapping]],2,FALSE)</f>
        <v>USA</v>
      </c>
      <c r="J1400" t="s">
        <v>794</v>
      </c>
      <c r="K1400">
        <v>10</v>
      </c>
    </row>
    <row r="1401" spans="1:11" x14ac:dyDescent="0.2">
      <c r="A1401" t="s">
        <v>3249</v>
      </c>
      <c r="B1401" s="59">
        <v>41059.099062499998</v>
      </c>
      <c r="C1401">
        <v>14000</v>
      </c>
      <c r="D1401" t="s">
        <v>786</v>
      </c>
      <c r="E1401">
        <f>tblSalaries[[#This Row],[clean Salary (in local currency)]]*VLOOKUP(tblSalaries[[#This Row],[Currency]],[1]!tblXrate[#Data],2,FALSE)</f>
        <v>14000</v>
      </c>
      <c r="F1401" t="s">
        <v>867</v>
      </c>
      <c r="G1401" t="s">
        <v>867</v>
      </c>
      <c r="H1401" t="s">
        <v>117</v>
      </c>
      <c r="I1401" t="str">
        <f>VLOOKUP(tblSalaries[[#This Row],[Where do you work]],[1]!tblCountries[[Actual]:[Mapping]],2,FALSE)</f>
        <v>India</v>
      </c>
      <c r="J1401" t="s">
        <v>789</v>
      </c>
      <c r="K1401">
        <v>3</v>
      </c>
    </row>
    <row r="1402" spans="1:11" x14ac:dyDescent="0.2">
      <c r="A1402" t="s">
        <v>3250</v>
      </c>
      <c r="B1402" s="59">
        <v>41059.099293981482</v>
      </c>
      <c r="C1402">
        <v>111000</v>
      </c>
      <c r="D1402" t="s">
        <v>786</v>
      </c>
      <c r="E1402">
        <f>tblSalaries[[#This Row],[clean Salary (in local currency)]]*VLOOKUP(tblSalaries[[#This Row],[Currency]],[1]!tblXrate[#Data],2,FALSE)</f>
        <v>111000</v>
      </c>
      <c r="F1402" t="s">
        <v>3251</v>
      </c>
      <c r="G1402" t="s">
        <v>807</v>
      </c>
      <c r="H1402" t="s">
        <v>15</v>
      </c>
      <c r="I1402" t="str">
        <f>VLOOKUP(tblSalaries[[#This Row],[Where do you work]],[1]!tblCountries[[Actual]:[Mapping]],2,FALSE)</f>
        <v>USA</v>
      </c>
      <c r="J1402" t="s">
        <v>799</v>
      </c>
      <c r="K1402">
        <v>10</v>
      </c>
    </row>
    <row r="1403" spans="1:11" x14ac:dyDescent="0.2">
      <c r="A1403" t="s">
        <v>3252</v>
      </c>
      <c r="B1403" s="59">
        <v>41059.105752314812</v>
      </c>
      <c r="C1403">
        <v>80000</v>
      </c>
      <c r="D1403" t="s">
        <v>786</v>
      </c>
      <c r="E1403">
        <f>tblSalaries[[#This Row],[clean Salary (in local currency)]]*VLOOKUP(tblSalaries[[#This Row],[Currency]],[1]!tblXrate[#Data],2,FALSE)</f>
        <v>80000</v>
      </c>
      <c r="F1403" t="s">
        <v>3253</v>
      </c>
      <c r="G1403" t="s">
        <v>788</v>
      </c>
      <c r="H1403" t="s">
        <v>15</v>
      </c>
      <c r="I1403" t="str">
        <f>VLOOKUP(tblSalaries[[#This Row],[Where do you work]],[1]!tblCountries[[Actual]:[Mapping]],2,FALSE)</f>
        <v>USA</v>
      </c>
      <c r="J1403" t="s">
        <v>789</v>
      </c>
      <c r="K1403">
        <v>20</v>
      </c>
    </row>
    <row r="1404" spans="1:11" x14ac:dyDescent="0.2">
      <c r="A1404" t="s">
        <v>3254</v>
      </c>
      <c r="B1404" s="59">
        <v>41059.108101851853</v>
      </c>
      <c r="C1404">
        <v>3250000</v>
      </c>
      <c r="D1404" t="s">
        <v>824</v>
      </c>
      <c r="E1404">
        <f>tblSalaries[[#This Row],[clean Salary (in local currency)]]*VLOOKUP(tblSalaries[[#This Row],[Currency]],[1]!tblXrate[#Data],2,FALSE)</f>
        <v>57875.729234188344</v>
      </c>
      <c r="F1404" t="s">
        <v>3255</v>
      </c>
      <c r="G1404" t="s">
        <v>788</v>
      </c>
      <c r="H1404" t="s">
        <v>117</v>
      </c>
      <c r="I1404" t="str">
        <f>VLOOKUP(tblSalaries[[#This Row],[Where do you work]],[1]!tblCountries[[Actual]:[Mapping]],2,FALSE)</f>
        <v>India</v>
      </c>
      <c r="J1404" t="s">
        <v>789</v>
      </c>
      <c r="K1404">
        <v>5.5</v>
      </c>
    </row>
    <row r="1405" spans="1:11" x14ac:dyDescent="0.2">
      <c r="A1405" t="s">
        <v>3256</v>
      </c>
      <c r="B1405" s="59">
        <v>41059.110995370371</v>
      </c>
      <c r="C1405">
        <v>25000</v>
      </c>
      <c r="D1405" t="s">
        <v>786</v>
      </c>
      <c r="E1405">
        <f>tblSalaries[[#This Row],[clean Salary (in local currency)]]*VLOOKUP(tblSalaries[[#This Row],[Currency]],[1]!tblXrate[#Data],2,FALSE)</f>
        <v>25000</v>
      </c>
      <c r="F1405" t="s">
        <v>817</v>
      </c>
      <c r="G1405" t="s">
        <v>817</v>
      </c>
      <c r="H1405" t="s">
        <v>117</v>
      </c>
      <c r="I1405" t="str">
        <f>VLOOKUP(tblSalaries[[#This Row],[Where do you work]],[1]!tblCountries[[Actual]:[Mapping]],2,FALSE)</f>
        <v>India</v>
      </c>
      <c r="J1405" t="s">
        <v>799</v>
      </c>
      <c r="K1405">
        <v>8</v>
      </c>
    </row>
    <row r="1406" spans="1:11" x14ac:dyDescent="0.2">
      <c r="A1406" t="s">
        <v>3257</v>
      </c>
      <c r="B1406" s="59">
        <v>41059.139085648145</v>
      </c>
      <c r="C1406">
        <v>24000</v>
      </c>
      <c r="D1406" t="s">
        <v>786</v>
      </c>
      <c r="E1406">
        <f>tblSalaries[[#This Row],[clean Salary (in local currency)]]*VLOOKUP(tblSalaries[[#This Row],[Currency]],[1]!tblXrate[#Data],2,FALSE)</f>
        <v>24000</v>
      </c>
      <c r="F1406" t="s">
        <v>3258</v>
      </c>
      <c r="G1406" t="s">
        <v>792</v>
      </c>
      <c r="H1406" t="s">
        <v>15</v>
      </c>
      <c r="I1406" t="str">
        <f>VLOOKUP(tblSalaries[[#This Row],[Where do you work]],[1]!tblCountries[[Actual]:[Mapping]],2,FALSE)</f>
        <v>USA</v>
      </c>
      <c r="J1406" t="s">
        <v>808</v>
      </c>
      <c r="K1406">
        <v>2</v>
      </c>
    </row>
    <row r="1407" spans="1:11" x14ac:dyDescent="0.2">
      <c r="A1407" t="s">
        <v>3259</v>
      </c>
      <c r="B1407" s="59">
        <v>41059.17627314815</v>
      </c>
      <c r="C1407">
        <v>61000</v>
      </c>
      <c r="D1407" t="s">
        <v>786</v>
      </c>
      <c r="E1407">
        <f>tblSalaries[[#This Row],[clean Salary (in local currency)]]*VLOOKUP(tblSalaries[[#This Row],[Currency]],[1]!tblXrate[#Data],2,FALSE)</f>
        <v>61000</v>
      </c>
      <c r="F1407" t="s">
        <v>3260</v>
      </c>
      <c r="G1407" t="s">
        <v>807</v>
      </c>
      <c r="H1407" t="s">
        <v>15</v>
      </c>
      <c r="I1407" t="str">
        <f>VLOOKUP(tblSalaries[[#This Row],[Where do you work]],[1]!tblCountries[[Actual]:[Mapping]],2,FALSE)</f>
        <v>USA</v>
      </c>
      <c r="J1407" t="s">
        <v>799</v>
      </c>
      <c r="K1407">
        <v>25</v>
      </c>
    </row>
    <row r="1408" spans="1:11" x14ac:dyDescent="0.2">
      <c r="A1408" t="s">
        <v>3261</v>
      </c>
      <c r="B1408" s="59">
        <v>41059.33699074074</v>
      </c>
      <c r="C1408">
        <v>55000</v>
      </c>
      <c r="D1408" t="s">
        <v>877</v>
      </c>
      <c r="E1408">
        <f>tblSalaries[[#This Row],[clean Salary (in local currency)]]*VLOOKUP(tblSalaries[[#This Row],[Currency]],[1]!tblXrate[#Data],2,FALSE)</f>
        <v>56095.031102144967</v>
      </c>
      <c r="F1408" t="s">
        <v>3262</v>
      </c>
      <c r="G1408" t="s">
        <v>788</v>
      </c>
      <c r="H1408" t="s">
        <v>33</v>
      </c>
      <c r="I1408" t="str">
        <f>VLOOKUP(tblSalaries[[#This Row],[Where do you work]],[1]!tblCountries[[Actual]:[Mapping]],2,FALSE)</f>
        <v>Australia</v>
      </c>
      <c r="J1408" t="s">
        <v>799</v>
      </c>
      <c r="K1408">
        <v>11</v>
      </c>
    </row>
    <row r="1409" spans="1:11" x14ac:dyDescent="0.2">
      <c r="A1409" t="s">
        <v>3263</v>
      </c>
      <c r="B1409" s="59">
        <v>41059.404178240744</v>
      </c>
      <c r="C1409">
        <v>70000</v>
      </c>
      <c r="D1409" t="s">
        <v>877</v>
      </c>
      <c r="E1409">
        <f>tblSalaries[[#This Row],[clean Salary (in local currency)]]*VLOOKUP(tblSalaries[[#This Row],[Currency]],[1]!tblXrate[#Data],2,FALSE)</f>
        <v>71393.675948184507</v>
      </c>
      <c r="F1409" t="s">
        <v>2778</v>
      </c>
      <c r="G1409" t="s">
        <v>817</v>
      </c>
      <c r="H1409" t="s">
        <v>33</v>
      </c>
      <c r="I1409" t="str">
        <f>VLOOKUP(tblSalaries[[#This Row],[Where do you work]],[1]!tblCountries[[Actual]:[Mapping]],2,FALSE)</f>
        <v>Australia</v>
      </c>
      <c r="J1409" t="s">
        <v>799</v>
      </c>
      <c r="K1409">
        <v>5</v>
      </c>
    </row>
    <row r="1410" spans="1:11" x14ac:dyDescent="0.2">
      <c r="A1410" t="s">
        <v>3264</v>
      </c>
      <c r="B1410" s="59">
        <v>41059.424525462964</v>
      </c>
      <c r="C1410">
        <v>96230</v>
      </c>
      <c r="D1410" t="s">
        <v>786</v>
      </c>
      <c r="E1410">
        <f>tblSalaries[[#This Row],[clean Salary (in local currency)]]*VLOOKUP(tblSalaries[[#This Row],[Currency]],[1]!tblXrate[#Data],2,FALSE)</f>
        <v>96230</v>
      </c>
      <c r="F1410" t="s">
        <v>3265</v>
      </c>
      <c r="G1410" t="s">
        <v>807</v>
      </c>
      <c r="H1410" t="s">
        <v>15</v>
      </c>
      <c r="I1410" t="str">
        <f>VLOOKUP(tblSalaries[[#This Row],[Where do you work]],[1]!tblCountries[[Actual]:[Mapping]],2,FALSE)</f>
        <v>USA</v>
      </c>
      <c r="J1410" t="s">
        <v>789</v>
      </c>
      <c r="K1410">
        <v>18</v>
      </c>
    </row>
    <row r="1411" spans="1:11" x14ac:dyDescent="0.2">
      <c r="A1411" t="s">
        <v>3266</v>
      </c>
      <c r="B1411" s="59">
        <v>41059.444722222222</v>
      </c>
      <c r="C1411">
        <v>75000</v>
      </c>
      <c r="D1411" t="s">
        <v>786</v>
      </c>
      <c r="E1411">
        <f>tblSalaries[[#This Row],[clean Salary (in local currency)]]*VLOOKUP(tblSalaries[[#This Row],[Currency]],[1]!tblXrate[#Data],2,FALSE)</f>
        <v>75000</v>
      </c>
      <c r="F1411" t="s">
        <v>1070</v>
      </c>
      <c r="G1411" t="s">
        <v>788</v>
      </c>
      <c r="H1411" t="s">
        <v>15</v>
      </c>
      <c r="I1411" t="str">
        <f>VLOOKUP(tblSalaries[[#This Row],[Where do you work]],[1]!tblCountries[[Actual]:[Mapping]],2,FALSE)</f>
        <v>USA</v>
      </c>
      <c r="J1411" t="s">
        <v>799</v>
      </c>
      <c r="K1411">
        <v>1.5</v>
      </c>
    </row>
    <row r="1412" spans="1:11" x14ac:dyDescent="0.2">
      <c r="A1412" t="s">
        <v>3267</v>
      </c>
      <c r="B1412" s="59">
        <v>41059.456689814811</v>
      </c>
      <c r="C1412">
        <v>102000</v>
      </c>
      <c r="D1412" t="s">
        <v>786</v>
      </c>
      <c r="E1412">
        <f>tblSalaries[[#This Row],[clean Salary (in local currency)]]*VLOOKUP(tblSalaries[[#This Row],[Currency]],[1]!tblXrate[#Data],2,FALSE)</f>
        <v>102000</v>
      </c>
      <c r="F1412" t="s">
        <v>919</v>
      </c>
      <c r="G1412" t="s">
        <v>788</v>
      </c>
      <c r="H1412" t="s">
        <v>15</v>
      </c>
      <c r="I1412" t="str">
        <f>VLOOKUP(tblSalaries[[#This Row],[Where do you work]],[1]!tblCountries[[Actual]:[Mapping]],2,FALSE)</f>
        <v>USA</v>
      </c>
      <c r="J1412" t="s">
        <v>789</v>
      </c>
      <c r="K1412">
        <v>5</v>
      </c>
    </row>
    <row r="1413" spans="1:11" x14ac:dyDescent="0.2">
      <c r="A1413" t="s">
        <v>3268</v>
      </c>
      <c r="B1413" s="59">
        <v>41059.472604166665</v>
      </c>
      <c r="C1413">
        <v>60000</v>
      </c>
      <c r="D1413" t="s">
        <v>2534</v>
      </c>
      <c r="E1413">
        <f>tblSalaries[[#This Row],[clean Salary (in local currency)]]*VLOOKUP(tblSalaries[[#This Row],[Currency]],[1]!tblXrate[#Data],2,FALSE)</f>
        <v>19008.034062397041</v>
      </c>
      <c r="F1413" t="s">
        <v>3269</v>
      </c>
      <c r="G1413" t="s">
        <v>807</v>
      </c>
      <c r="H1413" t="s">
        <v>190</v>
      </c>
      <c r="I1413" t="str">
        <f>VLOOKUP(tblSalaries[[#This Row],[Where do you work]],[1]!tblCountries[[Actual]:[Mapping]],2,FALSE)</f>
        <v>malaysia</v>
      </c>
      <c r="J1413" t="s">
        <v>789</v>
      </c>
      <c r="K1413">
        <v>3</v>
      </c>
    </row>
    <row r="1414" spans="1:11" x14ac:dyDescent="0.2">
      <c r="A1414" t="s">
        <v>3270</v>
      </c>
      <c r="B1414" s="59">
        <v>41059.485335648147</v>
      </c>
      <c r="C1414">
        <v>4356</v>
      </c>
      <c r="D1414" t="s">
        <v>786</v>
      </c>
      <c r="E1414">
        <f>tblSalaries[[#This Row],[clean Salary (in local currency)]]*VLOOKUP(tblSalaries[[#This Row],[Currency]],[1]!tblXrate[#Data],2,FALSE)</f>
        <v>4356</v>
      </c>
      <c r="F1414" t="s">
        <v>1070</v>
      </c>
      <c r="G1414" t="s">
        <v>788</v>
      </c>
      <c r="H1414" t="s">
        <v>117</v>
      </c>
      <c r="I1414" t="str">
        <f>VLOOKUP(tblSalaries[[#This Row],[Where do you work]],[1]!tblCountries[[Actual]:[Mapping]],2,FALSE)</f>
        <v>India</v>
      </c>
      <c r="J1414" t="s">
        <v>789</v>
      </c>
      <c r="K1414">
        <v>5</v>
      </c>
    </row>
    <row r="1415" spans="1:11" x14ac:dyDescent="0.2">
      <c r="A1415" t="s">
        <v>3271</v>
      </c>
      <c r="B1415" s="59">
        <v>41059.48877314815</v>
      </c>
      <c r="C1415">
        <v>300000</v>
      </c>
      <c r="D1415" t="s">
        <v>824</v>
      </c>
      <c r="E1415">
        <f>tblSalaries[[#This Row],[clean Salary (in local currency)]]*VLOOKUP(tblSalaries[[#This Row],[Currency]],[1]!tblXrate[#Data],2,FALSE)</f>
        <v>5342.3750062327708</v>
      </c>
      <c r="F1415" t="s">
        <v>2230</v>
      </c>
      <c r="G1415" t="s">
        <v>817</v>
      </c>
      <c r="H1415" t="s">
        <v>117</v>
      </c>
      <c r="I1415" t="str">
        <f>VLOOKUP(tblSalaries[[#This Row],[Where do you work]],[1]!tblCountries[[Actual]:[Mapping]],2,FALSE)</f>
        <v>India</v>
      </c>
      <c r="J1415" t="s">
        <v>789</v>
      </c>
      <c r="K1415">
        <v>4</v>
      </c>
    </row>
    <row r="1416" spans="1:11" x14ac:dyDescent="0.2">
      <c r="A1416" t="s">
        <v>3272</v>
      </c>
      <c r="B1416" s="59">
        <v>41059.508773148147</v>
      </c>
      <c r="C1416">
        <v>67000</v>
      </c>
      <c r="D1416" t="s">
        <v>786</v>
      </c>
      <c r="E1416">
        <f>tblSalaries[[#This Row],[clean Salary (in local currency)]]*VLOOKUP(tblSalaries[[#This Row],[Currency]],[1]!tblXrate[#Data],2,FALSE)</f>
        <v>67000</v>
      </c>
      <c r="F1416" t="s">
        <v>3273</v>
      </c>
      <c r="G1416" t="s">
        <v>807</v>
      </c>
      <c r="H1416" t="s">
        <v>15</v>
      </c>
      <c r="I1416" t="str">
        <f>VLOOKUP(tblSalaries[[#This Row],[Where do you work]],[1]!tblCountries[[Actual]:[Mapping]],2,FALSE)</f>
        <v>USA</v>
      </c>
      <c r="J1416" t="s">
        <v>799</v>
      </c>
      <c r="K1416">
        <v>20</v>
      </c>
    </row>
    <row r="1417" spans="1:11" x14ac:dyDescent="0.2">
      <c r="A1417" t="s">
        <v>3274</v>
      </c>
      <c r="B1417" s="59">
        <v>41059.517627314817</v>
      </c>
      <c r="C1417">
        <v>480000</v>
      </c>
      <c r="D1417" t="s">
        <v>824</v>
      </c>
      <c r="E1417">
        <f>tblSalaries[[#This Row],[clean Salary (in local currency)]]*VLOOKUP(tblSalaries[[#This Row],[Currency]],[1]!tblXrate[#Data],2,FALSE)</f>
        <v>8547.8000099724322</v>
      </c>
      <c r="F1417" t="s">
        <v>2829</v>
      </c>
      <c r="G1417" t="s">
        <v>788</v>
      </c>
      <c r="H1417" t="s">
        <v>117</v>
      </c>
      <c r="I1417" t="str">
        <f>VLOOKUP(tblSalaries[[#This Row],[Where do you work]],[1]!tblCountries[[Actual]:[Mapping]],2,FALSE)</f>
        <v>India</v>
      </c>
      <c r="J1417" t="s">
        <v>789</v>
      </c>
      <c r="K1417">
        <v>7</v>
      </c>
    </row>
    <row r="1418" spans="1:11" x14ac:dyDescent="0.2">
      <c r="A1418" t="s">
        <v>3275</v>
      </c>
      <c r="B1418" s="59">
        <v>41059.524398148147</v>
      </c>
      <c r="C1418">
        <v>900000</v>
      </c>
      <c r="D1418" t="s">
        <v>824</v>
      </c>
      <c r="E1418">
        <f>tblSalaries[[#This Row],[clean Salary (in local currency)]]*VLOOKUP(tblSalaries[[#This Row],[Currency]],[1]!tblXrate[#Data],2,FALSE)</f>
        <v>16027.125018698311</v>
      </c>
      <c r="F1418" t="s">
        <v>984</v>
      </c>
      <c r="G1418" t="s">
        <v>788</v>
      </c>
      <c r="H1418" t="s">
        <v>117</v>
      </c>
      <c r="I1418" t="str">
        <f>VLOOKUP(tblSalaries[[#This Row],[Where do you work]],[1]!tblCountries[[Actual]:[Mapping]],2,FALSE)</f>
        <v>India</v>
      </c>
      <c r="J1418" t="s">
        <v>789</v>
      </c>
      <c r="K1418">
        <v>4</v>
      </c>
    </row>
    <row r="1419" spans="1:11" x14ac:dyDescent="0.2">
      <c r="A1419" t="s">
        <v>3276</v>
      </c>
      <c r="B1419" s="59">
        <v>41059.5393287037</v>
      </c>
      <c r="C1419">
        <v>600000</v>
      </c>
      <c r="D1419" t="s">
        <v>824</v>
      </c>
      <c r="E1419">
        <f>tblSalaries[[#This Row],[clean Salary (in local currency)]]*VLOOKUP(tblSalaries[[#This Row],[Currency]],[1]!tblXrate[#Data],2,FALSE)</f>
        <v>10684.750012465542</v>
      </c>
      <c r="F1419" t="s">
        <v>878</v>
      </c>
      <c r="G1419" t="s">
        <v>867</v>
      </c>
      <c r="H1419" t="s">
        <v>117</v>
      </c>
      <c r="I1419" t="str">
        <f>VLOOKUP(tblSalaries[[#This Row],[Where do you work]],[1]!tblCountries[[Actual]:[Mapping]],2,FALSE)</f>
        <v>India</v>
      </c>
      <c r="J1419" t="s">
        <v>799</v>
      </c>
      <c r="K1419">
        <v>36</v>
      </c>
    </row>
    <row r="1420" spans="1:11" x14ac:dyDescent="0.2">
      <c r="A1420" t="s">
        <v>3277</v>
      </c>
      <c r="B1420" s="59">
        <v>41059.545972222222</v>
      </c>
      <c r="C1420">
        <v>30000</v>
      </c>
      <c r="D1420" t="s">
        <v>786</v>
      </c>
      <c r="E1420">
        <f>tblSalaries[[#This Row],[clean Salary (in local currency)]]*VLOOKUP(tblSalaries[[#This Row],[Currency]],[1]!tblXrate[#Data],2,FALSE)</f>
        <v>30000</v>
      </c>
      <c r="F1420" t="s">
        <v>3278</v>
      </c>
      <c r="G1420" t="s">
        <v>817</v>
      </c>
      <c r="H1420" t="s">
        <v>1022</v>
      </c>
      <c r="I1420" t="str">
        <f>VLOOKUP(tblSalaries[[#This Row],[Where do you work]],[1]!tblCountries[[Actual]:[Mapping]],2,FALSE)</f>
        <v>UAE</v>
      </c>
      <c r="J1420" t="s">
        <v>789</v>
      </c>
      <c r="K1420">
        <v>8</v>
      </c>
    </row>
    <row r="1421" spans="1:11" x14ac:dyDescent="0.2">
      <c r="A1421" t="s">
        <v>3279</v>
      </c>
      <c r="B1421" s="59">
        <v>41059.556319444448</v>
      </c>
      <c r="C1421">
        <v>500000</v>
      </c>
      <c r="D1421" t="s">
        <v>824</v>
      </c>
      <c r="E1421">
        <f>tblSalaries[[#This Row],[clean Salary (in local currency)]]*VLOOKUP(tblSalaries[[#This Row],[Currency]],[1]!tblXrate[#Data],2,FALSE)</f>
        <v>8903.9583437212841</v>
      </c>
      <c r="F1421" t="s">
        <v>3280</v>
      </c>
      <c r="G1421" t="s">
        <v>807</v>
      </c>
      <c r="H1421" t="s">
        <v>117</v>
      </c>
      <c r="I1421" t="str">
        <f>VLOOKUP(tblSalaries[[#This Row],[Where do you work]],[1]!tblCountries[[Actual]:[Mapping]],2,FALSE)</f>
        <v>India</v>
      </c>
      <c r="J1421" t="s">
        <v>799</v>
      </c>
      <c r="K1421">
        <v>0</v>
      </c>
    </row>
    <row r="1422" spans="1:11" x14ac:dyDescent="0.2">
      <c r="A1422" t="s">
        <v>3281</v>
      </c>
      <c r="B1422" s="59">
        <v>41059.559166666666</v>
      </c>
      <c r="C1422">
        <v>20000</v>
      </c>
      <c r="D1422" t="s">
        <v>786</v>
      </c>
      <c r="E1422">
        <f>tblSalaries[[#This Row],[clean Salary (in local currency)]]*VLOOKUP(tblSalaries[[#This Row],[Currency]],[1]!tblXrate[#Data],2,FALSE)</f>
        <v>20000</v>
      </c>
      <c r="F1422" t="s">
        <v>1772</v>
      </c>
      <c r="G1422" t="s">
        <v>807</v>
      </c>
      <c r="H1422" t="s">
        <v>117</v>
      </c>
      <c r="I1422" t="str">
        <f>VLOOKUP(tblSalaries[[#This Row],[Where do you work]],[1]!tblCountries[[Actual]:[Mapping]],2,FALSE)</f>
        <v>India</v>
      </c>
      <c r="J1422" t="s">
        <v>1033</v>
      </c>
      <c r="K1422">
        <v>10</v>
      </c>
    </row>
    <row r="1423" spans="1:11" x14ac:dyDescent="0.2">
      <c r="A1423" t="s">
        <v>3282</v>
      </c>
      <c r="B1423" s="59">
        <v>41059.563599537039</v>
      </c>
      <c r="C1423">
        <v>86000</v>
      </c>
      <c r="D1423" t="s">
        <v>877</v>
      </c>
      <c r="E1423">
        <f>tblSalaries[[#This Row],[clean Salary (in local currency)]]*VLOOKUP(tblSalaries[[#This Row],[Currency]],[1]!tblXrate[#Data],2,FALSE)</f>
        <v>87712.230450626681</v>
      </c>
      <c r="F1423" t="s">
        <v>1081</v>
      </c>
      <c r="G1423" t="s">
        <v>788</v>
      </c>
      <c r="H1423" t="s">
        <v>33</v>
      </c>
      <c r="I1423" t="str">
        <f>VLOOKUP(tblSalaries[[#This Row],[Where do you work]],[1]!tblCountries[[Actual]:[Mapping]],2,FALSE)</f>
        <v>Australia</v>
      </c>
      <c r="J1423" t="s">
        <v>789</v>
      </c>
      <c r="K1423">
        <v>10</v>
      </c>
    </row>
    <row r="1424" spans="1:11" x14ac:dyDescent="0.2">
      <c r="A1424" t="s">
        <v>3283</v>
      </c>
      <c r="B1424" s="59">
        <v>41059.567152777781</v>
      </c>
      <c r="C1424">
        <v>1000000</v>
      </c>
      <c r="D1424" t="s">
        <v>824</v>
      </c>
      <c r="E1424">
        <f>tblSalaries[[#This Row],[clean Salary (in local currency)]]*VLOOKUP(tblSalaries[[#This Row],[Currency]],[1]!tblXrate[#Data],2,FALSE)</f>
        <v>17807.916687442568</v>
      </c>
      <c r="F1424" t="s">
        <v>3284</v>
      </c>
      <c r="G1424" t="s">
        <v>807</v>
      </c>
      <c r="H1424" t="s">
        <v>117</v>
      </c>
      <c r="I1424" t="str">
        <f>VLOOKUP(tblSalaries[[#This Row],[Where do you work]],[1]!tblCountries[[Actual]:[Mapping]],2,FALSE)</f>
        <v>India</v>
      </c>
      <c r="J1424" t="s">
        <v>794</v>
      </c>
      <c r="K1424">
        <v>6</v>
      </c>
    </row>
    <row r="1425" spans="1:11" x14ac:dyDescent="0.2">
      <c r="A1425" t="s">
        <v>3285</v>
      </c>
      <c r="B1425" s="59">
        <v>41059.56722222222</v>
      </c>
      <c r="C1425">
        <v>41000</v>
      </c>
      <c r="D1425" t="s">
        <v>786</v>
      </c>
      <c r="E1425">
        <f>tblSalaries[[#This Row],[clean Salary (in local currency)]]*VLOOKUP(tblSalaries[[#This Row],[Currency]],[1]!tblXrate[#Data],2,FALSE)</f>
        <v>41000</v>
      </c>
      <c r="F1425" t="s">
        <v>959</v>
      </c>
      <c r="G1425" t="s">
        <v>788</v>
      </c>
      <c r="H1425" t="s">
        <v>133</v>
      </c>
      <c r="I1425" t="str">
        <f>VLOOKUP(tblSalaries[[#This Row],[Where do you work]],[1]!tblCountries[[Actual]:[Mapping]],2,FALSE)</f>
        <v>Japan</v>
      </c>
      <c r="J1425" t="s">
        <v>799</v>
      </c>
      <c r="K1425">
        <v>2</v>
      </c>
    </row>
    <row r="1426" spans="1:11" x14ac:dyDescent="0.2">
      <c r="A1426" t="s">
        <v>3286</v>
      </c>
      <c r="B1426" s="59">
        <v>41059.570613425924</v>
      </c>
      <c r="C1426">
        <v>60000</v>
      </c>
      <c r="D1426" t="s">
        <v>786</v>
      </c>
      <c r="E1426">
        <f>tblSalaries[[#This Row],[clean Salary (in local currency)]]*VLOOKUP(tblSalaries[[#This Row],[Currency]],[1]!tblXrate[#Data],2,FALSE)</f>
        <v>60000</v>
      </c>
      <c r="F1426" t="s">
        <v>3287</v>
      </c>
      <c r="G1426" t="s">
        <v>807</v>
      </c>
      <c r="H1426" t="s">
        <v>15</v>
      </c>
      <c r="I1426" t="str">
        <f>VLOOKUP(tblSalaries[[#This Row],[Where do you work]],[1]!tblCountries[[Actual]:[Mapping]],2,FALSE)</f>
        <v>USA</v>
      </c>
      <c r="J1426" t="s">
        <v>799</v>
      </c>
      <c r="K1426">
        <v>4</v>
      </c>
    </row>
    <row r="1427" spans="1:11" x14ac:dyDescent="0.2">
      <c r="A1427" t="s">
        <v>3288</v>
      </c>
      <c r="B1427" s="59">
        <v>41059.574895833335</v>
      </c>
      <c r="C1427">
        <v>264000</v>
      </c>
      <c r="D1427" t="s">
        <v>1688</v>
      </c>
      <c r="E1427">
        <f>tblSalaries[[#This Row],[clean Salary (in local currency)]]*VLOOKUP(tblSalaries[[#This Row],[Currency]],[1]!tblXrate[#Data],2,FALSE)</f>
        <v>32187.34988380854</v>
      </c>
      <c r="F1427" t="s">
        <v>788</v>
      </c>
      <c r="G1427" t="s">
        <v>788</v>
      </c>
      <c r="H1427" t="s">
        <v>3289</v>
      </c>
      <c r="I1427" t="str">
        <f>VLOOKUP(tblSalaries[[#This Row],[Where do you work]],[1]!tblCountries[[Actual]:[Mapping]],2,FALSE)</f>
        <v>South Africa</v>
      </c>
      <c r="J1427" t="s">
        <v>794</v>
      </c>
      <c r="K1427">
        <v>2</v>
      </c>
    </row>
    <row r="1428" spans="1:11" x14ac:dyDescent="0.2">
      <c r="A1428" t="s">
        <v>3290</v>
      </c>
      <c r="B1428" s="59">
        <v>41059.580868055556</v>
      </c>
      <c r="C1428">
        <v>50000</v>
      </c>
      <c r="D1428" t="s">
        <v>1831</v>
      </c>
      <c r="E1428">
        <f>tblSalaries[[#This Row],[clean Salary (in local currency)]]*VLOOKUP(tblSalaries[[#This Row],[Currency]],[1]!tblXrate[#Data],2,FALSE)</f>
        <v>39879.404680246938</v>
      </c>
      <c r="F1428" t="s">
        <v>3291</v>
      </c>
      <c r="G1428" t="s">
        <v>802</v>
      </c>
      <c r="H1428" t="s">
        <v>3292</v>
      </c>
      <c r="I1428" t="str">
        <f>VLOOKUP(tblSalaries[[#This Row],[Where do you work]],[1]!tblCountries[[Actual]:[Mapping]],2,FALSE)</f>
        <v>New Zealand</v>
      </c>
      <c r="J1428" t="s">
        <v>789</v>
      </c>
      <c r="K1428">
        <v>5</v>
      </c>
    </row>
    <row r="1429" spans="1:11" x14ac:dyDescent="0.2">
      <c r="A1429" t="s">
        <v>3293</v>
      </c>
      <c r="B1429" s="59">
        <v>41059.581111111111</v>
      </c>
      <c r="C1429">
        <v>320000</v>
      </c>
      <c r="D1429" t="s">
        <v>824</v>
      </c>
      <c r="E1429">
        <f>tblSalaries[[#This Row],[clean Salary (in local currency)]]*VLOOKUP(tblSalaries[[#This Row],[Currency]],[1]!tblXrate[#Data],2,FALSE)</f>
        <v>5698.5333399816218</v>
      </c>
      <c r="F1429" t="s">
        <v>788</v>
      </c>
      <c r="G1429" t="s">
        <v>788</v>
      </c>
      <c r="H1429" t="s">
        <v>117</v>
      </c>
      <c r="I1429" t="str">
        <f>VLOOKUP(tblSalaries[[#This Row],[Where do you work]],[1]!tblCountries[[Actual]:[Mapping]],2,FALSE)</f>
        <v>India</v>
      </c>
      <c r="J1429" t="s">
        <v>799</v>
      </c>
      <c r="K1429">
        <v>2</v>
      </c>
    </row>
    <row r="1430" spans="1:11" x14ac:dyDescent="0.2">
      <c r="A1430" t="s">
        <v>3294</v>
      </c>
      <c r="B1430" s="59">
        <v>41059.589699074073</v>
      </c>
      <c r="C1430">
        <v>400000</v>
      </c>
      <c r="D1430" t="s">
        <v>824</v>
      </c>
      <c r="E1430">
        <f>tblSalaries[[#This Row],[clean Salary (in local currency)]]*VLOOKUP(tblSalaries[[#This Row],[Currency]],[1]!tblXrate[#Data],2,FALSE)</f>
        <v>7123.1666749770275</v>
      </c>
      <c r="F1430" t="s">
        <v>2304</v>
      </c>
      <c r="G1430" t="s">
        <v>807</v>
      </c>
      <c r="H1430" t="s">
        <v>117</v>
      </c>
      <c r="I1430" t="str">
        <f>VLOOKUP(tblSalaries[[#This Row],[Where do you work]],[1]!tblCountries[[Actual]:[Mapping]],2,FALSE)</f>
        <v>India</v>
      </c>
      <c r="J1430" t="s">
        <v>789</v>
      </c>
      <c r="K1430">
        <v>6</v>
      </c>
    </row>
    <row r="1431" spans="1:11" x14ac:dyDescent="0.2">
      <c r="A1431" t="s">
        <v>3295</v>
      </c>
      <c r="B1431" s="59">
        <v>41059.596608796295</v>
      </c>
      <c r="C1431">
        <v>250000</v>
      </c>
      <c r="D1431" t="s">
        <v>824</v>
      </c>
      <c r="E1431">
        <f>tblSalaries[[#This Row],[clean Salary (in local currency)]]*VLOOKUP(tblSalaries[[#This Row],[Currency]],[1]!tblXrate[#Data],2,FALSE)</f>
        <v>4451.9791718606421</v>
      </c>
      <c r="F1431" t="s">
        <v>3296</v>
      </c>
      <c r="G1431" t="s">
        <v>807</v>
      </c>
      <c r="H1431" t="s">
        <v>117</v>
      </c>
      <c r="I1431" t="str">
        <f>VLOOKUP(tblSalaries[[#This Row],[Where do you work]],[1]!tblCountries[[Actual]:[Mapping]],2,FALSE)</f>
        <v>India</v>
      </c>
      <c r="J1431" t="s">
        <v>799</v>
      </c>
      <c r="K1431">
        <v>15</v>
      </c>
    </row>
    <row r="1432" spans="1:11" x14ac:dyDescent="0.2">
      <c r="A1432" t="s">
        <v>3297</v>
      </c>
      <c r="B1432" s="59">
        <v>41059.598576388889</v>
      </c>
      <c r="C1432">
        <v>360000</v>
      </c>
      <c r="D1432" t="s">
        <v>824</v>
      </c>
      <c r="E1432">
        <f>tblSalaries[[#This Row],[clean Salary (in local currency)]]*VLOOKUP(tblSalaries[[#This Row],[Currency]],[1]!tblXrate[#Data],2,FALSE)</f>
        <v>6410.8500074793246</v>
      </c>
      <c r="F1432" t="s">
        <v>1158</v>
      </c>
      <c r="G1432" t="s">
        <v>788</v>
      </c>
      <c r="H1432" t="s">
        <v>117</v>
      </c>
      <c r="I1432" t="str">
        <f>VLOOKUP(tblSalaries[[#This Row],[Where do you work]],[1]!tblCountries[[Actual]:[Mapping]],2,FALSE)</f>
        <v>India</v>
      </c>
      <c r="J1432" t="s">
        <v>799</v>
      </c>
      <c r="K1432">
        <v>6</v>
      </c>
    </row>
    <row r="1433" spans="1:11" x14ac:dyDescent="0.2">
      <c r="A1433" t="s">
        <v>3298</v>
      </c>
      <c r="B1433" s="59">
        <v>41059.603437500002</v>
      </c>
      <c r="C1433">
        <v>1150000</v>
      </c>
      <c r="D1433" t="s">
        <v>824</v>
      </c>
      <c r="E1433">
        <f>tblSalaries[[#This Row],[clean Salary (in local currency)]]*VLOOKUP(tblSalaries[[#This Row],[Currency]],[1]!tblXrate[#Data],2,FALSE)</f>
        <v>20479.104190558952</v>
      </c>
      <c r="F1433" t="s">
        <v>1059</v>
      </c>
      <c r="G1433" t="s">
        <v>807</v>
      </c>
      <c r="H1433" t="s">
        <v>117</v>
      </c>
      <c r="I1433" t="str">
        <f>VLOOKUP(tblSalaries[[#This Row],[Where do you work]],[1]!tblCountries[[Actual]:[Mapping]],2,FALSE)</f>
        <v>India</v>
      </c>
      <c r="J1433" t="s">
        <v>794</v>
      </c>
      <c r="K1433">
        <v>12</v>
      </c>
    </row>
    <row r="1434" spans="1:11" x14ac:dyDescent="0.2">
      <c r="A1434" t="s">
        <v>3299</v>
      </c>
      <c r="B1434" s="59">
        <v>41059.605243055557</v>
      </c>
      <c r="C1434">
        <v>620000</v>
      </c>
      <c r="D1434" t="s">
        <v>824</v>
      </c>
      <c r="E1434">
        <f>tblSalaries[[#This Row],[clean Salary (in local currency)]]*VLOOKUP(tblSalaries[[#This Row],[Currency]],[1]!tblXrate[#Data],2,FALSE)</f>
        <v>11040.908346214392</v>
      </c>
      <c r="F1434" t="s">
        <v>3300</v>
      </c>
      <c r="G1434" t="s">
        <v>788</v>
      </c>
      <c r="H1434" t="s">
        <v>117</v>
      </c>
      <c r="I1434" t="str">
        <f>VLOOKUP(tblSalaries[[#This Row],[Where do you work]],[1]!tblCountries[[Actual]:[Mapping]],2,FALSE)</f>
        <v>India</v>
      </c>
      <c r="J1434" t="s">
        <v>808</v>
      </c>
      <c r="K1434">
        <v>5</v>
      </c>
    </row>
    <row r="1435" spans="1:11" x14ac:dyDescent="0.2">
      <c r="A1435" t="s">
        <v>3301</v>
      </c>
      <c r="B1435" s="59">
        <v>41059.665983796294</v>
      </c>
      <c r="C1435">
        <v>1000000</v>
      </c>
      <c r="D1435" t="s">
        <v>824</v>
      </c>
      <c r="E1435">
        <f>tblSalaries[[#This Row],[clean Salary (in local currency)]]*VLOOKUP(tblSalaries[[#This Row],[Currency]],[1]!tblXrate[#Data],2,FALSE)</f>
        <v>17807.916687442568</v>
      </c>
      <c r="F1435" t="s">
        <v>1810</v>
      </c>
      <c r="G1435" t="s">
        <v>820</v>
      </c>
      <c r="H1435" t="s">
        <v>117</v>
      </c>
      <c r="I1435" t="str">
        <f>VLOOKUP(tblSalaries[[#This Row],[Where do you work]],[1]!tblCountries[[Actual]:[Mapping]],2,FALSE)</f>
        <v>India</v>
      </c>
      <c r="J1435" t="s">
        <v>799</v>
      </c>
      <c r="K1435">
        <v>7</v>
      </c>
    </row>
    <row r="1436" spans="1:11" x14ac:dyDescent="0.2">
      <c r="A1436" t="s">
        <v>3302</v>
      </c>
      <c r="B1436" s="59">
        <v>41059.675393518519</v>
      </c>
      <c r="C1436">
        <v>200000</v>
      </c>
      <c r="D1436" t="s">
        <v>824</v>
      </c>
      <c r="E1436">
        <f>tblSalaries[[#This Row],[clean Salary (in local currency)]]*VLOOKUP(tblSalaries[[#This Row],[Currency]],[1]!tblXrate[#Data],2,FALSE)</f>
        <v>3561.5833374885137</v>
      </c>
      <c r="F1436" t="s">
        <v>1960</v>
      </c>
      <c r="G1436" t="s">
        <v>788</v>
      </c>
      <c r="H1436" t="s">
        <v>117</v>
      </c>
      <c r="I1436" t="str">
        <f>VLOOKUP(tblSalaries[[#This Row],[Where do you work]],[1]!tblCountries[[Actual]:[Mapping]],2,FALSE)</f>
        <v>India</v>
      </c>
      <c r="J1436" t="s">
        <v>789</v>
      </c>
      <c r="K1436">
        <v>11</v>
      </c>
    </row>
    <row r="1437" spans="1:11" x14ac:dyDescent="0.2">
      <c r="A1437" t="s">
        <v>3303</v>
      </c>
      <c r="B1437" s="59">
        <v>41059.682164351849</v>
      </c>
      <c r="C1437">
        <v>17000</v>
      </c>
      <c r="D1437" t="s">
        <v>861</v>
      </c>
      <c r="E1437">
        <f>tblSalaries[[#This Row],[clean Salary (in local currency)]]*VLOOKUP(tblSalaries[[#This Row],[Currency]],[1]!tblXrate[#Data],2,FALSE)</f>
        <v>26795.030625143831</v>
      </c>
      <c r="F1437" t="s">
        <v>3304</v>
      </c>
      <c r="G1437" t="s">
        <v>788</v>
      </c>
      <c r="H1437" t="s">
        <v>863</v>
      </c>
      <c r="I1437" t="str">
        <f>VLOOKUP(tblSalaries[[#This Row],[Where do you work]],[1]!tblCountries[[Actual]:[Mapping]],2,FALSE)</f>
        <v>UK</v>
      </c>
      <c r="J1437" t="s">
        <v>799</v>
      </c>
      <c r="K1437">
        <v>5</v>
      </c>
    </row>
    <row r="1438" spans="1:11" x14ac:dyDescent="0.2">
      <c r="A1438" t="s">
        <v>3305</v>
      </c>
      <c r="B1438" s="59">
        <v>41059.700370370374</v>
      </c>
      <c r="C1438">
        <v>20400</v>
      </c>
      <c r="D1438" t="s">
        <v>786</v>
      </c>
      <c r="E1438">
        <f>tblSalaries[[#This Row],[clean Salary (in local currency)]]*VLOOKUP(tblSalaries[[#This Row],[Currency]],[1]!tblXrate[#Data],2,FALSE)</f>
        <v>20400</v>
      </c>
      <c r="F1438" t="s">
        <v>3306</v>
      </c>
      <c r="G1438" t="s">
        <v>807</v>
      </c>
      <c r="H1438" t="s">
        <v>3307</v>
      </c>
      <c r="I1438" t="str">
        <f>VLOOKUP(tblSalaries[[#This Row],[Where do you work]],[1]!tblCountries[[Actual]:[Mapping]],2,FALSE)</f>
        <v>Myanmar</v>
      </c>
      <c r="J1438" t="s">
        <v>808</v>
      </c>
      <c r="K1438">
        <v>10</v>
      </c>
    </row>
    <row r="1439" spans="1:11" x14ac:dyDescent="0.2">
      <c r="A1439" t="s">
        <v>3308</v>
      </c>
      <c r="B1439" s="59">
        <v>41059.700868055559</v>
      </c>
      <c r="C1439">
        <v>25000</v>
      </c>
      <c r="D1439" t="s">
        <v>861</v>
      </c>
      <c r="E1439">
        <f>tblSalaries[[#This Row],[clean Salary (in local currency)]]*VLOOKUP(tblSalaries[[#This Row],[Currency]],[1]!tblXrate[#Data],2,FALSE)</f>
        <v>39404.456801682099</v>
      </c>
      <c r="F1439" t="s">
        <v>3309</v>
      </c>
      <c r="G1439" t="s">
        <v>817</v>
      </c>
      <c r="H1439" t="s">
        <v>863</v>
      </c>
      <c r="I1439" t="str">
        <f>VLOOKUP(tblSalaries[[#This Row],[Where do you work]],[1]!tblCountries[[Actual]:[Mapping]],2,FALSE)</f>
        <v>UK</v>
      </c>
      <c r="J1439" t="s">
        <v>789</v>
      </c>
      <c r="K1439">
        <v>35</v>
      </c>
    </row>
    <row r="1440" spans="1:11" x14ac:dyDescent="0.2">
      <c r="A1440" t="s">
        <v>3310</v>
      </c>
      <c r="B1440" s="59">
        <v>41059.705451388887</v>
      </c>
      <c r="C1440">
        <v>118000</v>
      </c>
      <c r="D1440" t="s">
        <v>805</v>
      </c>
      <c r="E1440">
        <f>tblSalaries[[#This Row],[clean Salary (in local currency)]]*VLOOKUP(tblSalaries[[#This Row],[Currency]],[1]!tblXrate[#Data],2,FALSE)</f>
        <v>149907.13380100971</v>
      </c>
      <c r="F1440" t="s">
        <v>3311</v>
      </c>
      <c r="G1440" t="s">
        <v>788</v>
      </c>
      <c r="H1440" t="s">
        <v>3312</v>
      </c>
      <c r="I1440" t="str">
        <f>VLOOKUP(tblSalaries[[#This Row],[Where do you work]],[1]!tblCountries[[Actual]:[Mapping]],2,FALSE)</f>
        <v>Europe</v>
      </c>
      <c r="J1440" t="s">
        <v>789</v>
      </c>
      <c r="K1440">
        <v>7</v>
      </c>
    </row>
    <row r="1441" spans="1:11" x14ac:dyDescent="0.2">
      <c r="A1441" t="s">
        <v>3313</v>
      </c>
      <c r="B1441" s="59">
        <v>41059.709143518521</v>
      </c>
      <c r="C1441">
        <v>230000</v>
      </c>
      <c r="D1441" t="s">
        <v>824</v>
      </c>
      <c r="E1441">
        <f>tblSalaries[[#This Row],[clean Salary (in local currency)]]*VLOOKUP(tblSalaries[[#This Row],[Currency]],[1]!tblXrate[#Data],2,FALSE)</f>
        <v>4095.8208381117906</v>
      </c>
      <c r="F1441" t="s">
        <v>3314</v>
      </c>
      <c r="G1441" t="s">
        <v>788</v>
      </c>
      <c r="H1441" t="s">
        <v>117</v>
      </c>
      <c r="I1441" t="str">
        <f>VLOOKUP(tblSalaries[[#This Row],[Where do you work]],[1]!tblCountries[[Actual]:[Mapping]],2,FALSE)</f>
        <v>India</v>
      </c>
      <c r="J1441" t="s">
        <v>789</v>
      </c>
      <c r="K1441">
        <v>1.6</v>
      </c>
    </row>
    <row r="1442" spans="1:11" x14ac:dyDescent="0.2">
      <c r="A1442" t="s">
        <v>3315</v>
      </c>
      <c r="B1442" s="59">
        <v>41059.711724537039</v>
      </c>
      <c r="C1442">
        <v>125000</v>
      </c>
      <c r="D1442" t="s">
        <v>877</v>
      </c>
      <c r="E1442">
        <f>tblSalaries[[#This Row],[clean Salary (in local currency)]]*VLOOKUP(tblSalaries[[#This Row],[Currency]],[1]!tblXrate[#Data],2,FALSE)</f>
        <v>127488.70705032947</v>
      </c>
      <c r="F1442" t="s">
        <v>3316</v>
      </c>
      <c r="G1442" t="s">
        <v>817</v>
      </c>
      <c r="H1442" t="s">
        <v>33</v>
      </c>
      <c r="I1442" t="str">
        <f>VLOOKUP(tblSalaries[[#This Row],[Where do you work]],[1]!tblCountries[[Actual]:[Mapping]],2,FALSE)</f>
        <v>Australia</v>
      </c>
      <c r="J1442" t="s">
        <v>789</v>
      </c>
      <c r="K1442">
        <v>7</v>
      </c>
    </row>
    <row r="1443" spans="1:11" x14ac:dyDescent="0.2">
      <c r="A1443" t="s">
        <v>3317</v>
      </c>
      <c r="B1443" s="59">
        <v>41059.713738425926</v>
      </c>
      <c r="C1443">
        <v>37000</v>
      </c>
      <c r="D1443" t="s">
        <v>861</v>
      </c>
      <c r="E1443">
        <f>tblSalaries[[#This Row],[clean Salary (in local currency)]]*VLOOKUP(tblSalaries[[#This Row],[Currency]],[1]!tblXrate[#Data],2,FALSE)</f>
        <v>58318.59606648951</v>
      </c>
      <c r="F1443" t="s">
        <v>3318</v>
      </c>
      <c r="G1443" t="s">
        <v>807</v>
      </c>
      <c r="H1443" t="s">
        <v>863</v>
      </c>
      <c r="I1443" t="str">
        <f>VLOOKUP(tblSalaries[[#This Row],[Where do you work]],[1]!tblCountries[[Actual]:[Mapping]],2,FALSE)</f>
        <v>UK</v>
      </c>
      <c r="J1443" t="s">
        <v>794</v>
      </c>
      <c r="K1443">
        <v>20</v>
      </c>
    </row>
    <row r="1444" spans="1:11" x14ac:dyDescent="0.2">
      <c r="A1444" t="s">
        <v>3319</v>
      </c>
      <c r="B1444" s="59">
        <v>41059.718368055554</v>
      </c>
      <c r="C1444">
        <v>78000</v>
      </c>
      <c r="D1444" t="s">
        <v>1688</v>
      </c>
      <c r="E1444">
        <f>tblSalaries[[#This Row],[clean Salary (in local currency)]]*VLOOKUP(tblSalaries[[#This Row],[Currency]],[1]!tblXrate[#Data],2,FALSE)</f>
        <v>9509.8988293070688</v>
      </c>
      <c r="F1444" t="s">
        <v>3320</v>
      </c>
      <c r="G1444" t="s">
        <v>792</v>
      </c>
      <c r="H1444" t="s">
        <v>294</v>
      </c>
      <c r="I1444" t="str">
        <f>VLOOKUP(tblSalaries[[#This Row],[Where do you work]],[1]!tblCountries[[Actual]:[Mapping]],2,FALSE)</f>
        <v>South Africa</v>
      </c>
      <c r="J1444" t="s">
        <v>789</v>
      </c>
      <c r="K1444">
        <v>2</v>
      </c>
    </row>
    <row r="1445" spans="1:11" x14ac:dyDescent="0.2">
      <c r="A1445" t="s">
        <v>3321</v>
      </c>
      <c r="B1445" s="59">
        <v>41059.721273148149</v>
      </c>
      <c r="C1445">
        <v>720000</v>
      </c>
      <c r="D1445" t="s">
        <v>824</v>
      </c>
      <c r="E1445">
        <f>tblSalaries[[#This Row],[clean Salary (in local currency)]]*VLOOKUP(tblSalaries[[#This Row],[Currency]],[1]!tblXrate[#Data],2,FALSE)</f>
        <v>12821.700014958649</v>
      </c>
      <c r="F1445" t="s">
        <v>3322</v>
      </c>
      <c r="G1445" t="s">
        <v>788</v>
      </c>
      <c r="H1445" t="s">
        <v>117</v>
      </c>
      <c r="I1445" t="str">
        <f>VLOOKUP(tblSalaries[[#This Row],[Where do you work]],[1]!tblCountries[[Actual]:[Mapping]],2,FALSE)</f>
        <v>India</v>
      </c>
      <c r="J1445" t="s">
        <v>789</v>
      </c>
      <c r="K1445">
        <v>3</v>
      </c>
    </row>
    <row r="1446" spans="1:11" x14ac:dyDescent="0.2">
      <c r="A1446" t="s">
        <v>3323</v>
      </c>
      <c r="B1446" s="59">
        <v>41059.760740740741</v>
      </c>
      <c r="C1446">
        <v>4000</v>
      </c>
      <c r="D1446" t="s">
        <v>786</v>
      </c>
      <c r="E1446">
        <f>tblSalaries[[#This Row],[clean Salary (in local currency)]]*VLOOKUP(tblSalaries[[#This Row],[Currency]],[1]!tblXrate[#Data],2,FALSE)</f>
        <v>4000</v>
      </c>
      <c r="F1446" t="s">
        <v>3324</v>
      </c>
      <c r="G1446" t="s">
        <v>788</v>
      </c>
      <c r="H1446" t="s">
        <v>117</v>
      </c>
      <c r="I1446" t="str">
        <f>VLOOKUP(tblSalaries[[#This Row],[Where do you work]],[1]!tblCountries[[Actual]:[Mapping]],2,FALSE)</f>
        <v>India</v>
      </c>
      <c r="J1446" t="s">
        <v>794</v>
      </c>
      <c r="K1446">
        <v>6</v>
      </c>
    </row>
    <row r="1447" spans="1:11" x14ac:dyDescent="0.2">
      <c r="A1447" t="s">
        <v>3325</v>
      </c>
      <c r="B1447" s="59">
        <v>41059.76116898148</v>
      </c>
      <c r="C1447">
        <v>42000</v>
      </c>
      <c r="D1447" t="s">
        <v>786</v>
      </c>
      <c r="E1447">
        <f>tblSalaries[[#This Row],[clean Salary (in local currency)]]*VLOOKUP(tblSalaries[[#This Row],[Currency]],[1]!tblXrate[#Data],2,FALSE)</f>
        <v>42000</v>
      </c>
      <c r="F1447" t="s">
        <v>3326</v>
      </c>
      <c r="G1447" t="s">
        <v>788</v>
      </c>
      <c r="H1447" t="s">
        <v>15</v>
      </c>
      <c r="I1447" t="str">
        <f>VLOOKUP(tblSalaries[[#This Row],[Where do you work]],[1]!tblCountries[[Actual]:[Mapping]],2,FALSE)</f>
        <v>USA</v>
      </c>
      <c r="J1447" t="s">
        <v>794</v>
      </c>
      <c r="K1447">
        <v>2</v>
      </c>
    </row>
    <row r="1448" spans="1:11" x14ac:dyDescent="0.2">
      <c r="A1448" t="s">
        <v>3327</v>
      </c>
      <c r="B1448" s="59">
        <v>41059.782835648148</v>
      </c>
      <c r="C1448">
        <v>3200</v>
      </c>
      <c r="D1448" t="s">
        <v>786</v>
      </c>
      <c r="E1448">
        <f>tblSalaries[[#This Row],[clean Salary (in local currency)]]*VLOOKUP(tblSalaries[[#This Row],[Currency]],[1]!tblXrate[#Data],2,FALSE)</f>
        <v>3200</v>
      </c>
      <c r="F1448" t="s">
        <v>3328</v>
      </c>
      <c r="G1448" t="s">
        <v>807</v>
      </c>
      <c r="H1448" t="s">
        <v>117</v>
      </c>
      <c r="I1448" t="str">
        <f>VLOOKUP(tblSalaries[[#This Row],[Where do you work]],[1]!tblCountries[[Actual]:[Mapping]],2,FALSE)</f>
        <v>India</v>
      </c>
      <c r="J1448" t="s">
        <v>794</v>
      </c>
      <c r="K1448">
        <v>19</v>
      </c>
    </row>
    <row r="1449" spans="1:11" x14ac:dyDescent="0.2">
      <c r="A1449" t="s">
        <v>3329</v>
      </c>
      <c r="B1449" s="59">
        <v>41059.786076388889</v>
      </c>
      <c r="C1449">
        <v>60000</v>
      </c>
      <c r="D1449" t="s">
        <v>786</v>
      </c>
      <c r="E1449">
        <f>tblSalaries[[#This Row],[clean Salary (in local currency)]]*VLOOKUP(tblSalaries[[#This Row],[Currency]],[1]!tblXrate[#Data],2,FALSE)</f>
        <v>60000</v>
      </c>
      <c r="F1449" t="s">
        <v>3330</v>
      </c>
      <c r="G1449" t="s">
        <v>788</v>
      </c>
      <c r="H1449" t="s">
        <v>3331</v>
      </c>
      <c r="I1449" t="str">
        <f>VLOOKUP(tblSalaries[[#This Row],[Where do you work]],[1]!tblCountries[[Actual]:[Mapping]],2,FALSE)</f>
        <v>Turkey</v>
      </c>
      <c r="J1449" t="s">
        <v>799</v>
      </c>
      <c r="K1449">
        <v>10</v>
      </c>
    </row>
    <row r="1450" spans="1:11" x14ac:dyDescent="0.2">
      <c r="A1450" t="s">
        <v>3332</v>
      </c>
      <c r="B1450" s="59">
        <v>41059.792592592596</v>
      </c>
      <c r="C1450">
        <v>85000</v>
      </c>
      <c r="D1450" t="s">
        <v>786</v>
      </c>
      <c r="E1450">
        <f>tblSalaries[[#This Row],[clean Salary (in local currency)]]*VLOOKUP(tblSalaries[[#This Row],[Currency]],[1]!tblXrate[#Data],2,FALSE)</f>
        <v>85000</v>
      </c>
      <c r="F1450" t="s">
        <v>3333</v>
      </c>
      <c r="G1450" t="s">
        <v>788</v>
      </c>
      <c r="H1450" t="s">
        <v>15</v>
      </c>
      <c r="I1450" t="str">
        <f>VLOOKUP(tblSalaries[[#This Row],[Where do you work]],[1]!tblCountries[[Actual]:[Mapping]],2,FALSE)</f>
        <v>USA</v>
      </c>
      <c r="J1450" t="s">
        <v>789</v>
      </c>
      <c r="K1450">
        <v>9</v>
      </c>
    </row>
    <row r="1451" spans="1:11" x14ac:dyDescent="0.2">
      <c r="A1451" t="s">
        <v>3334</v>
      </c>
      <c r="B1451" s="59">
        <v>41059.794953703706</v>
      </c>
      <c r="C1451">
        <v>109000</v>
      </c>
      <c r="D1451" t="s">
        <v>786</v>
      </c>
      <c r="E1451">
        <f>tblSalaries[[#This Row],[clean Salary (in local currency)]]*VLOOKUP(tblSalaries[[#This Row],[Currency]],[1]!tblXrate[#Data],2,FALSE)</f>
        <v>109000</v>
      </c>
      <c r="F1451" t="s">
        <v>3335</v>
      </c>
      <c r="G1451" t="s">
        <v>807</v>
      </c>
      <c r="H1451" t="s">
        <v>15</v>
      </c>
      <c r="I1451" t="str">
        <f>VLOOKUP(tblSalaries[[#This Row],[Where do you work]],[1]!tblCountries[[Actual]:[Mapping]],2,FALSE)</f>
        <v>USA</v>
      </c>
      <c r="J1451" t="s">
        <v>789</v>
      </c>
      <c r="K1451">
        <v>15</v>
      </c>
    </row>
    <row r="1452" spans="1:11" x14ac:dyDescent="0.2">
      <c r="A1452" t="s">
        <v>3336</v>
      </c>
      <c r="B1452" s="59">
        <v>41059.81082175926</v>
      </c>
      <c r="C1452">
        <v>60000</v>
      </c>
      <c r="D1452" t="s">
        <v>805</v>
      </c>
      <c r="E1452">
        <f>tblSalaries[[#This Row],[clean Salary (in local currency)]]*VLOOKUP(tblSalaries[[#This Row],[Currency]],[1]!tblXrate[#Data],2,FALSE)</f>
        <v>76223.966339496474</v>
      </c>
      <c r="F1452" t="s">
        <v>919</v>
      </c>
      <c r="G1452" t="s">
        <v>788</v>
      </c>
      <c r="H1452" t="s">
        <v>130</v>
      </c>
      <c r="I1452" t="str">
        <f>VLOOKUP(tblSalaries[[#This Row],[Where do you work]],[1]!tblCountries[[Actual]:[Mapping]],2,FALSE)</f>
        <v>italy</v>
      </c>
      <c r="J1452" t="s">
        <v>794</v>
      </c>
      <c r="K1452">
        <v>14</v>
      </c>
    </row>
    <row r="1453" spans="1:11" x14ac:dyDescent="0.2">
      <c r="A1453" t="s">
        <v>3337</v>
      </c>
      <c r="B1453" s="59">
        <v>41059.821412037039</v>
      </c>
      <c r="C1453">
        <v>77000</v>
      </c>
      <c r="D1453" t="s">
        <v>786</v>
      </c>
      <c r="E1453">
        <f>tblSalaries[[#This Row],[clean Salary (in local currency)]]*VLOOKUP(tblSalaries[[#This Row],[Currency]],[1]!tblXrate[#Data],2,FALSE)</f>
        <v>77000</v>
      </c>
      <c r="F1453" t="s">
        <v>3338</v>
      </c>
      <c r="G1453" t="s">
        <v>802</v>
      </c>
      <c r="H1453" t="s">
        <v>15</v>
      </c>
      <c r="I1453" t="str">
        <f>VLOOKUP(tblSalaries[[#This Row],[Where do you work]],[1]!tblCountries[[Actual]:[Mapping]],2,FALSE)</f>
        <v>USA</v>
      </c>
      <c r="J1453" t="s">
        <v>799</v>
      </c>
      <c r="K1453">
        <v>13</v>
      </c>
    </row>
    <row r="1454" spans="1:11" x14ac:dyDescent="0.2">
      <c r="A1454" t="s">
        <v>3339</v>
      </c>
      <c r="B1454" s="59">
        <v>41059.822025462963</v>
      </c>
      <c r="C1454">
        <v>25000</v>
      </c>
      <c r="D1454" t="s">
        <v>786</v>
      </c>
      <c r="E1454">
        <f>tblSalaries[[#This Row],[clean Salary (in local currency)]]*VLOOKUP(tblSalaries[[#This Row],[Currency]],[1]!tblXrate[#Data],2,FALSE)</f>
        <v>25000</v>
      </c>
      <c r="F1454" t="s">
        <v>1081</v>
      </c>
      <c r="G1454" t="s">
        <v>788</v>
      </c>
      <c r="H1454" t="s">
        <v>117</v>
      </c>
      <c r="I1454" t="str">
        <f>VLOOKUP(tblSalaries[[#This Row],[Where do you work]],[1]!tblCountries[[Actual]:[Mapping]],2,FALSE)</f>
        <v>India</v>
      </c>
      <c r="J1454" t="s">
        <v>794</v>
      </c>
      <c r="K1454">
        <v>4</v>
      </c>
    </row>
    <row r="1455" spans="1:11" x14ac:dyDescent="0.2">
      <c r="A1455" t="s">
        <v>3340</v>
      </c>
      <c r="B1455" s="59">
        <v>41059.847118055557</v>
      </c>
      <c r="C1455">
        <v>64000</v>
      </c>
      <c r="D1455" t="s">
        <v>786</v>
      </c>
      <c r="E1455">
        <f>tblSalaries[[#This Row],[clean Salary (in local currency)]]*VLOOKUP(tblSalaries[[#This Row],[Currency]],[1]!tblXrate[#Data],2,FALSE)</f>
        <v>64000</v>
      </c>
      <c r="F1455" t="s">
        <v>1656</v>
      </c>
      <c r="G1455" t="s">
        <v>807</v>
      </c>
      <c r="H1455" t="s">
        <v>15</v>
      </c>
      <c r="I1455" t="str">
        <f>VLOOKUP(tblSalaries[[#This Row],[Where do you work]],[1]!tblCountries[[Actual]:[Mapping]],2,FALSE)</f>
        <v>USA</v>
      </c>
      <c r="J1455" t="s">
        <v>799</v>
      </c>
      <c r="K1455">
        <v>12</v>
      </c>
    </row>
    <row r="1456" spans="1:11" x14ac:dyDescent="0.2">
      <c r="A1456" t="s">
        <v>3341</v>
      </c>
      <c r="B1456" s="59">
        <v>41059.851504629631</v>
      </c>
      <c r="C1456">
        <v>146633</v>
      </c>
      <c r="D1456" t="s">
        <v>861</v>
      </c>
      <c r="E1456">
        <f>tblSalaries[[#This Row],[clean Salary (in local currency)]]*VLOOKUP(tblSalaries[[#This Row],[Currency]],[1]!tblXrate[#Data],2,FALSE)</f>
        <v>231119.74856804207</v>
      </c>
      <c r="F1456" t="s">
        <v>3342</v>
      </c>
      <c r="G1456" t="s">
        <v>802</v>
      </c>
      <c r="H1456" t="s">
        <v>863</v>
      </c>
      <c r="I1456" t="str">
        <f>VLOOKUP(tblSalaries[[#This Row],[Where do you work]],[1]!tblCountries[[Actual]:[Mapping]],2,FALSE)</f>
        <v>UK</v>
      </c>
      <c r="J1456" t="s">
        <v>799</v>
      </c>
      <c r="K1456">
        <v>10</v>
      </c>
    </row>
    <row r="1457" spans="1:11" x14ac:dyDescent="0.2">
      <c r="A1457" t="s">
        <v>3343</v>
      </c>
      <c r="B1457" s="59">
        <v>41059.861631944441</v>
      </c>
      <c r="C1457">
        <v>76000</v>
      </c>
      <c r="D1457" t="s">
        <v>786</v>
      </c>
      <c r="E1457">
        <f>tblSalaries[[#This Row],[clean Salary (in local currency)]]*VLOOKUP(tblSalaries[[#This Row],[Currency]],[1]!tblXrate[#Data],2,FALSE)</f>
        <v>76000</v>
      </c>
      <c r="F1457" t="s">
        <v>1864</v>
      </c>
      <c r="G1457" t="s">
        <v>788</v>
      </c>
      <c r="H1457" t="s">
        <v>15</v>
      </c>
      <c r="I1457" t="str">
        <f>VLOOKUP(tblSalaries[[#This Row],[Where do you work]],[1]!tblCountries[[Actual]:[Mapping]],2,FALSE)</f>
        <v>USA</v>
      </c>
      <c r="J1457" t="s">
        <v>794</v>
      </c>
      <c r="K1457">
        <v>10</v>
      </c>
    </row>
    <row r="1458" spans="1:11" x14ac:dyDescent="0.2">
      <c r="A1458" t="s">
        <v>3344</v>
      </c>
      <c r="B1458" s="59">
        <v>41059.862812500003</v>
      </c>
      <c r="C1458">
        <v>10000</v>
      </c>
      <c r="D1458" t="s">
        <v>861</v>
      </c>
      <c r="E1458">
        <f>tblSalaries[[#This Row],[clean Salary (in local currency)]]*VLOOKUP(tblSalaries[[#This Row],[Currency]],[1]!tblXrate[#Data],2,FALSE)</f>
        <v>15761.782720672842</v>
      </c>
      <c r="F1458" t="s">
        <v>788</v>
      </c>
      <c r="G1458" t="s">
        <v>788</v>
      </c>
      <c r="H1458" t="s">
        <v>863</v>
      </c>
      <c r="I1458" t="str">
        <f>VLOOKUP(tblSalaries[[#This Row],[Where do you work]],[1]!tblCountries[[Actual]:[Mapping]],2,FALSE)</f>
        <v>UK</v>
      </c>
      <c r="J1458" t="s">
        <v>799</v>
      </c>
      <c r="K1458">
        <v>8</v>
      </c>
    </row>
    <row r="1459" spans="1:11" x14ac:dyDescent="0.2">
      <c r="A1459" t="s">
        <v>3345</v>
      </c>
      <c r="B1459" s="59">
        <v>41059.863043981481</v>
      </c>
      <c r="C1459">
        <v>165000</v>
      </c>
      <c r="D1459" t="s">
        <v>877</v>
      </c>
      <c r="E1459">
        <f>tblSalaries[[#This Row],[clean Salary (in local currency)]]*VLOOKUP(tblSalaries[[#This Row],[Currency]],[1]!tblXrate[#Data],2,FALSE)</f>
        <v>168285.09330643489</v>
      </c>
      <c r="F1459" t="s">
        <v>802</v>
      </c>
      <c r="G1459" t="s">
        <v>802</v>
      </c>
      <c r="H1459" t="s">
        <v>33</v>
      </c>
      <c r="I1459" t="str">
        <f>VLOOKUP(tblSalaries[[#This Row],[Where do you work]],[1]!tblCountries[[Actual]:[Mapping]],2,FALSE)</f>
        <v>Australia</v>
      </c>
      <c r="J1459" t="s">
        <v>799</v>
      </c>
      <c r="K1459">
        <v>17</v>
      </c>
    </row>
    <row r="1460" spans="1:11" x14ac:dyDescent="0.2">
      <c r="A1460" t="s">
        <v>3346</v>
      </c>
      <c r="B1460" s="59">
        <v>41059.866608796299</v>
      </c>
      <c r="C1460">
        <v>50000</v>
      </c>
      <c r="D1460" t="s">
        <v>786</v>
      </c>
      <c r="E1460">
        <f>tblSalaries[[#This Row],[clean Salary (in local currency)]]*VLOOKUP(tblSalaries[[#This Row],[Currency]],[1]!tblXrate[#Data],2,FALSE)</f>
        <v>50000</v>
      </c>
      <c r="F1460" t="s">
        <v>1197</v>
      </c>
      <c r="G1460" t="s">
        <v>788</v>
      </c>
      <c r="H1460" t="s">
        <v>167</v>
      </c>
      <c r="I1460" t="str">
        <f>VLOOKUP(tblSalaries[[#This Row],[Where do you work]],[1]!tblCountries[[Actual]:[Mapping]],2,FALSE)</f>
        <v>Kuwait</v>
      </c>
      <c r="J1460" t="s">
        <v>789</v>
      </c>
      <c r="K1460">
        <v>13</v>
      </c>
    </row>
    <row r="1461" spans="1:11" x14ac:dyDescent="0.2">
      <c r="A1461" t="s">
        <v>3347</v>
      </c>
      <c r="B1461" s="59">
        <v>41059.87027777778</v>
      </c>
      <c r="C1461">
        <v>7200</v>
      </c>
      <c r="D1461" t="s">
        <v>786</v>
      </c>
      <c r="E1461">
        <f>tblSalaries[[#This Row],[clean Salary (in local currency)]]*VLOOKUP(tblSalaries[[#This Row],[Currency]],[1]!tblXrate[#Data],2,FALSE)</f>
        <v>7200</v>
      </c>
      <c r="F1461" t="s">
        <v>3348</v>
      </c>
      <c r="G1461" t="s">
        <v>792</v>
      </c>
      <c r="H1461" t="s">
        <v>157</v>
      </c>
      <c r="I1461" t="str">
        <f>VLOOKUP(tblSalaries[[#This Row],[Where do you work]],[1]!tblCountries[[Actual]:[Mapping]],2,FALSE)</f>
        <v>Colombia</v>
      </c>
      <c r="J1461" t="s">
        <v>789</v>
      </c>
      <c r="K1461">
        <v>8</v>
      </c>
    </row>
    <row r="1462" spans="1:11" x14ac:dyDescent="0.2">
      <c r="A1462" t="s">
        <v>3349</v>
      </c>
      <c r="B1462" s="59">
        <v>41059.880486111113</v>
      </c>
      <c r="C1462">
        <v>42000</v>
      </c>
      <c r="D1462" t="s">
        <v>805</v>
      </c>
      <c r="E1462">
        <f>tblSalaries[[#This Row],[clean Salary (in local currency)]]*VLOOKUP(tblSalaries[[#This Row],[Currency]],[1]!tblXrate[#Data],2,FALSE)</f>
        <v>53356.776437647524</v>
      </c>
      <c r="F1462" t="s">
        <v>3350</v>
      </c>
      <c r="G1462" t="s">
        <v>867</v>
      </c>
      <c r="H1462" t="s">
        <v>72</v>
      </c>
      <c r="I1462" t="str">
        <f>VLOOKUP(tblSalaries[[#This Row],[Where do you work]],[1]!tblCountries[[Actual]:[Mapping]],2,FALSE)</f>
        <v>Germany</v>
      </c>
      <c r="J1462" t="s">
        <v>794</v>
      </c>
      <c r="K1462">
        <v>7</v>
      </c>
    </row>
    <row r="1463" spans="1:11" x14ac:dyDescent="0.2">
      <c r="A1463" t="s">
        <v>3351</v>
      </c>
      <c r="B1463" s="59">
        <v>41059.888553240744</v>
      </c>
      <c r="C1463">
        <v>45000</v>
      </c>
      <c r="D1463" t="s">
        <v>786</v>
      </c>
      <c r="E1463">
        <f>tblSalaries[[#This Row],[clean Salary (in local currency)]]*VLOOKUP(tblSalaries[[#This Row],[Currency]],[1]!tblXrate[#Data],2,FALSE)</f>
        <v>45000</v>
      </c>
      <c r="F1463" t="s">
        <v>2554</v>
      </c>
      <c r="G1463" t="s">
        <v>820</v>
      </c>
      <c r="H1463" t="s">
        <v>15</v>
      </c>
      <c r="I1463" t="str">
        <f>VLOOKUP(tblSalaries[[#This Row],[Where do you work]],[1]!tblCountries[[Actual]:[Mapping]],2,FALSE)</f>
        <v>USA</v>
      </c>
      <c r="J1463" t="s">
        <v>799</v>
      </c>
      <c r="K1463">
        <v>10</v>
      </c>
    </row>
    <row r="1464" spans="1:11" x14ac:dyDescent="0.2">
      <c r="A1464" t="s">
        <v>3352</v>
      </c>
      <c r="B1464" s="59">
        <v>41059.893101851849</v>
      </c>
      <c r="C1464">
        <v>5000</v>
      </c>
      <c r="D1464" t="s">
        <v>786</v>
      </c>
      <c r="E1464">
        <f>tblSalaries[[#This Row],[clean Salary (in local currency)]]*VLOOKUP(tblSalaries[[#This Row],[Currency]],[1]!tblXrate[#Data],2,FALSE)</f>
        <v>5000</v>
      </c>
      <c r="F1464" t="s">
        <v>3353</v>
      </c>
      <c r="G1464" t="s">
        <v>807</v>
      </c>
      <c r="H1464" t="s">
        <v>117</v>
      </c>
      <c r="I1464" t="str">
        <f>VLOOKUP(tblSalaries[[#This Row],[Where do you work]],[1]!tblCountries[[Actual]:[Mapping]],2,FALSE)</f>
        <v>India</v>
      </c>
      <c r="J1464" t="s">
        <v>794</v>
      </c>
      <c r="K1464">
        <v>4</v>
      </c>
    </row>
    <row r="1465" spans="1:11" x14ac:dyDescent="0.2">
      <c r="A1465" t="s">
        <v>3354</v>
      </c>
      <c r="B1465" s="59">
        <v>41059.906319444446</v>
      </c>
      <c r="C1465">
        <v>74000</v>
      </c>
      <c r="D1465" t="s">
        <v>877</v>
      </c>
      <c r="E1465">
        <f>tblSalaries[[#This Row],[clean Salary (in local currency)]]*VLOOKUP(tblSalaries[[#This Row],[Currency]],[1]!tblXrate[#Data],2,FALSE)</f>
        <v>75473.31457379504</v>
      </c>
      <c r="F1465" t="s">
        <v>3355</v>
      </c>
      <c r="G1465" t="s">
        <v>788</v>
      </c>
      <c r="H1465" t="s">
        <v>33</v>
      </c>
      <c r="I1465" t="str">
        <f>VLOOKUP(tblSalaries[[#This Row],[Where do you work]],[1]!tblCountries[[Actual]:[Mapping]],2,FALSE)</f>
        <v>Australia</v>
      </c>
      <c r="J1465" t="s">
        <v>794</v>
      </c>
      <c r="K1465">
        <v>20</v>
      </c>
    </row>
    <row r="1466" spans="1:11" x14ac:dyDescent="0.2">
      <c r="A1466" t="s">
        <v>3356</v>
      </c>
      <c r="B1466" s="59">
        <v>41059.92454861111</v>
      </c>
      <c r="C1466">
        <v>15000</v>
      </c>
      <c r="D1466" t="s">
        <v>786</v>
      </c>
      <c r="E1466">
        <f>tblSalaries[[#This Row],[clean Salary (in local currency)]]*VLOOKUP(tblSalaries[[#This Row],[Currency]],[1]!tblXrate[#Data],2,FALSE)</f>
        <v>15000</v>
      </c>
      <c r="F1466" t="s">
        <v>807</v>
      </c>
      <c r="G1466" t="s">
        <v>807</v>
      </c>
      <c r="H1466" t="s">
        <v>751</v>
      </c>
      <c r="I1466" t="str">
        <f>VLOOKUP(tblSalaries[[#This Row],[Where do you work]],[1]!tblCountries[[Actual]:[Mapping]],2,FALSE)</f>
        <v>Romania</v>
      </c>
      <c r="J1466" t="s">
        <v>799</v>
      </c>
      <c r="K1466">
        <v>5</v>
      </c>
    </row>
    <row r="1467" spans="1:11" x14ac:dyDescent="0.2">
      <c r="A1467" t="s">
        <v>3357</v>
      </c>
      <c r="B1467" s="59">
        <v>41059.938576388886</v>
      </c>
      <c r="C1467">
        <v>33500</v>
      </c>
      <c r="D1467" t="s">
        <v>805</v>
      </c>
      <c r="E1467">
        <f>tblSalaries[[#This Row],[clean Salary (in local currency)]]*VLOOKUP(tblSalaries[[#This Row],[Currency]],[1]!tblXrate[#Data],2,FALSE)</f>
        <v>42558.381206218859</v>
      </c>
      <c r="F1467" t="s">
        <v>3358</v>
      </c>
      <c r="G1467" t="s">
        <v>792</v>
      </c>
      <c r="H1467" t="s">
        <v>72</v>
      </c>
      <c r="I1467" t="str">
        <f>VLOOKUP(tblSalaries[[#This Row],[Where do you work]],[1]!tblCountries[[Actual]:[Mapping]],2,FALSE)</f>
        <v>Germany</v>
      </c>
      <c r="J1467" t="s">
        <v>794</v>
      </c>
      <c r="K1467">
        <v>8</v>
      </c>
    </row>
    <row r="1468" spans="1:11" x14ac:dyDescent="0.2">
      <c r="A1468" t="s">
        <v>3359</v>
      </c>
      <c r="B1468" s="59">
        <v>41059.938599537039</v>
      </c>
      <c r="C1468">
        <v>61000</v>
      </c>
      <c r="D1468" t="s">
        <v>786</v>
      </c>
      <c r="E1468">
        <f>tblSalaries[[#This Row],[clean Salary (in local currency)]]*VLOOKUP(tblSalaries[[#This Row],[Currency]],[1]!tblXrate[#Data],2,FALSE)</f>
        <v>61000</v>
      </c>
      <c r="F1468" t="s">
        <v>796</v>
      </c>
      <c r="G1468" t="s">
        <v>788</v>
      </c>
      <c r="H1468" t="s">
        <v>15</v>
      </c>
      <c r="I1468" t="str">
        <f>VLOOKUP(tblSalaries[[#This Row],[Where do you work]],[1]!tblCountries[[Actual]:[Mapping]],2,FALSE)</f>
        <v>USA</v>
      </c>
      <c r="J1468" t="s">
        <v>789</v>
      </c>
      <c r="K1468">
        <v>5</v>
      </c>
    </row>
    <row r="1469" spans="1:11" x14ac:dyDescent="0.2">
      <c r="A1469" t="s">
        <v>3360</v>
      </c>
      <c r="B1469" s="59">
        <v>41059.939131944448</v>
      </c>
      <c r="C1469">
        <v>66000</v>
      </c>
      <c r="D1469" t="s">
        <v>786</v>
      </c>
      <c r="E1469">
        <f>tblSalaries[[#This Row],[clean Salary (in local currency)]]*VLOOKUP(tblSalaries[[#This Row],[Currency]],[1]!tblXrate[#Data],2,FALSE)</f>
        <v>66000</v>
      </c>
      <c r="F1469" t="s">
        <v>3361</v>
      </c>
      <c r="G1469" t="s">
        <v>788</v>
      </c>
      <c r="H1469" t="s">
        <v>15</v>
      </c>
      <c r="I1469" t="str">
        <f>VLOOKUP(tblSalaries[[#This Row],[Where do you work]],[1]!tblCountries[[Actual]:[Mapping]],2,FALSE)</f>
        <v>USA</v>
      </c>
      <c r="J1469" t="s">
        <v>789</v>
      </c>
      <c r="K1469">
        <v>2</v>
      </c>
    </row>
    <row r="1470" spans="1:11" x14ac:dyDescent="0.2">
      <c r="A1470" t="s">
        <v>3362</v>
      </c>
      <c r="B1470" s="59">
        <v>41059.958148148151</v>
      </c>
      <c r="C1470">
        <v>278000</v>
      </c>
      <c r="D1470" t="s">
        <v>824</v>
      </c>
      <c r="E1470">
        <f>tblSalaries[[#This Row],[clean Salary (in local currency)]]*VLOOKUP(tblSalaries[[#This Row],[Currency]],[1]!tblXrate[#Data],2,FALSE)</f>
        <v>4950.6008391090336</v>
      </c>
      <c r="F1470" t="s">
        <v>1915</v>
      </c>
      <c r="G1470" t="s">
        <v>836</v>
      </c>
      <c r="H1470" t="s">
        <v>117</v>
      </c>
      <c r="I1470" t="str">
        <f>VLOOKUP(tblSalaries[[#This Row],[Where do you work]],[1]!tblCountries[[Actual]:[Mapping]],2,FALSE)</f>
        <v>India</v>
      </c>
      <c r="J1470" t="s">
        <v>794</v>
      </c>
      <c r="K1470">
        <v>8</v>
      </c>
    </row>
    <row r="1471" spans="1:11" x14ac:dyDescent="0.2">
      <c r="A1471" t="s">
        <v>3363</v>
      </c>
      <c r="B1471" s="59">
        <v>41059.959583333337</v>
      </c>
      <c r="C1471">
        <v>55000</v>
      </c>
      <c r="D1471" t="s">
        <v>786</v>
      </c>
      <c r="E1471">
        <f>tblSalaries[[#This Row],[clean Salary (in local currency)]]*VLOOKUP(tblSalaries[[#This Row],[Currency]],[1]!tblXrate[#Data],2,FALSE)</f>
        <v>55000</v>
      </c>
      <c r="F1471" t="s">
        <v>3364</v>
      </c>
      <c r="G1471" t="s">
        <v>807</v>
      </c>
      <c r="H1471" t="s">
        <v>15</v>
      </c>
      <c r="I1471" t="str">
        <f>VLOOKUP(tblSalaries[[#This Row],[Where do you work]],[1]!tblCountries[[Actual]:[Mapping]],2,FALSE)</f>
        <v>USA</v>
      </c>
      <c r="J1471" t="s">
        <v>799</v>
      </c>
      <c r="K1471">
        <v>14</v>
      </c>
    </row>
    <row r="1472" spans="1:11" x14ac:dyDescent="0.2">
      <c r="A1472" t="s">
        <v>3365</v>
      </c>
      <c r="B1472" s="59">
        <v>41059.976388888892</v>
      </c>
      <c r="C1472">
        <v>32000</v>
      </c>
      <c r="D1472" t="s">
        <v>786</v>
      </c>
      <c r="E1472">
        <f>tblSalaries[[#This Row],[clean Salary (in local currency)]]*VLOOKUP(tblSalaries[[#This Row],[Currency]],[1]!tblXrate[#Data],2,FALSE)</f>
        <v>32000</v>
      </c>
      <c r="F1472" t="s">
        <v>3366</v>
      </c>
      <c r="G1472" t="s">
        <v>836</v>
      </c>
      <c r="H1472" t="s">
        <v>15</v>
      </c>
      <c r="I1472" t="str">
        <f>VLOOKUP(tblSalaries[[#This Row],[Where do you work]],[1]!tblCountries[[Actual]:[Mapping]],2,FALSE)</f>
        <v>USA</v>
      </c>
      <c r="J1472" t="s">
        <v>789</v>
      </c>
      <c r="K1472">
        <v>10</v>
      </c>
    </row>
    <row r="1473" spans="1:11" x14ac:dyDescent="0.2">
      <c r="A1473" t="s">
        <v>3367</v>
      </c>
      <c r="B1473" s="59">
        <v>41059.979143518518</v>
      </c>
      <c r="C1473">
        <v>18000</v>
      </c>
      <c r="D1473" t="s">
        <v>786</v>
      </c>
      <c r="E1473">
        <f>tblSalaries[[#This Row],[clean Salary (in local currency)]]*VLOOKUP(tblSalaries[[#This Row],[Currency]],[1]!tblXrate[#Data],2,FALSE)</f>
        <v>18000</v>
      </c>
      <c r="F1473" t="s">
        <v>3368</v>
      </c>
      <c r="G1473" t="s">
        <v>788</v>
      </c>
      <c r="H1473" t="s">
        <v>117</v>
      </c>
      <c r="I1473" t="str">
        <f>VLOOKUP(tblSalaries[[#This Row],[Where do you work]],[1]!tblCountries[[Actual]:[Mapping]],2,FALSE)</f>
        <v>India</v>
      </c>
      <c r="J1473" t="s">
        <v>794</v>
      </c>
      <c r="K1473">
        <v>6</v>
      </c>
    </row>
    <row r="1474" spans="1:11" x14ac:dyDescent="0.2">
      <c r="A1474" t="s">
        <v>3369</v>
      </c>
      <c r="B1474" s="59">
        <v>41059.999560185184</v>
      </c>
      <c r="C1474">
        <v>650000</v>
      </c>
      <c r="D1474" t="s">
        <v>824</v>
      </c>
      <c r="E1474">
        <f>tblSalaries[[#This Row],[clean Salary (in local currency)]]*VLOOKUP(tblSalaries[[#This Row],[Currency]],[1]!tblXrate[#Data],2,FALSE)</f>
        <v>11575.14584683767</v>
      </c>
      <c r="F1474" t="s">
        <v>3370</v>
      </c>
      <c r="G1474" t="s">
        <v>788</v>
      </c>
      <c r="H1474" t="s">
        <v>117</v>
      </c>
      <c r="I1474" t="str">
        <f>VLOOKUP(tblSalaries[[#This Row],[Where do you work]],[1]!tblCountries[[Actual]:[Mapping]],2,FALSE)</f>
        <v>India</v>
      </c>
      <c r="J1474" t="s">
        <v>789</v>
      </c>
      <c r="K1474">
        <v>21</v>
      </c>
    </row>
    <row r="1475" spans="1:11" x14ac:dyDescent="0.2">
      <c r="A1475" t="s">
        <v>3371</v>
      </c>
      <c r="B1475" s="59">
        <v>41060.025347222225</v>
      </c>
      <c r="C1475">
        <v>50000</v>
      </c>
      <c r="D1475" t="s">
        <v>805</v>
      </c>
      <c r="E1475">
        <f>tblSalaries[[#This Row],[clean Salary (in local currency)]]*VLOOKUP(tblSalaries[[#This Row],[Currency]],[1]!tblXrate[#Data],2,FALSE)</f>
        <v>63519.971949580387</v>
      </c>
      <c r="F1475" t="s">
        <v>2230</v>
      </c>
      <c r="G1475" t="s">
        <v>817</v>
      </c>
      <c r="H1475" t="s">
        <v>2175</v>
      </c>
      <c r="I1475" t="str">
        <f>VLOOKUP(tblSalaries[[#This Row],[Where do you work]],[1]!tblCountries[[Actual]:[Mapping]],2,FALSE)</f>
        <v>italy</v>
      </c>
      <c r="J1475" t="s">
        <v>794</v>
      </c>
      <c r="K1475">
        <v>15</v>
      </c>
    </row>
    <row r="1476" spans="1:11" x14ac:dyDescent="0.2">
      <c r="A1476" t="s">
        <v>3372</v>
      </c>
      <c r="B1476" s="59">
        <v>41060.032581018517</v>
      </c>
      <c r="C1476">
        <v>4000000</v>
      </c>
      <c r="D1476" t="s">
        <v>824</v>
      </c>
      <c r="E1476">
        <f>tblSalaries[[#This Row],[clean Salary (in local currency)]]*VLOOKUP(tblSalaries[[#This Row],[Currency]],[1]!tblXrate[#Data],2,FALSE)</f>
        <v>71231.666749770273</v>
      </c>
      <c r="F1476" t="s">
        <v>3373</v>
      </c>
      <c r="G1476" t="s">
        <v>820</v>
      </c>
      <c r="H1476" t="s">
        <v>117</v>
      </c>
      <c r="I1476" t="str">
        <f>VLOOKUP(tblSalaries[[#This Row],[Where do you work]],[1]!tblCountries[[Actual]:[Mapping]],2,FALSE)</f>
        <v>India</v>
      </c>
      <c r="J1476" t="s">
        <v>794</v>
      </c>
      <c r="K1476">
        <v>5</v>
      </c>
    </row>
    <row r="1477" spans="1:11" x14ac:dyDescent="0.2">
      <c r="A1477" t="s">
        <v>3374</v>
      </c>
      <c r="B1477" s="59">
        <v>41060.047986111109</v>
      </c>
      <c r="C1477">
        <v>10000</v>
      </c>
      <c r="D1477" t="s">
        <v>786</v>
      </c>
      <c r="E1477">
        <f>tblSalaries[[#This Row],[clean Salary (in local currency)]]*VLOOKUP(tblSalaries[[#This Row],[Currency]],[1]!tblXrate[#Data],2,FALSE)</f>
        <v>10000</v>
      </c>
      <c r="F1477" t="s">
        <v>3375</v>
      </c>
      <c r="G1477" t="s">
        <v>788</v>
      </c>
      <c r="H1477" t="s">
        <v>54</v>
      </c>
      <c r="I1477" t="str">
        <f>VLOOKUP(tblSalaries[[#This Row],[Where do you work]],[1]!tblCountries[[Actual]:[Mapping]],2,FALSE)</f>
        <v>Brazil</v>
      </c>
      <c r="J1477" t="s">
        <v>789</v>
      </c>
      <c r="K1477">
        <v>1</v>
      </c>
    </row>
    <row r="1478" spans="1:11" x14ac:dyDescent="0.2">
      <c r="A1478" t="s">
        <v>3376</v>
      </c>
      <c r="B1478" s="59">
        <v>41060.053657407407</v>
      </c>
      <c r="C1478">
        <v>74300</v>
      </c>
      <c r="D1478" t="s">
        <v>786</v>
      </c>
      <c r="E1478">
        <f>tblSalaries[[#This Row],[clean Salary (in local currency)]]*VLOOKUP(tblSalaries[[#This Row],[Currency]],[1]!tblXrate[#Data],2,FALSE)</f>
        <v>74300</v>
      </c>
      <c r="F1478" t="s">
        <v>3377</v>
      </c>
      <c r="G1478" t="s">
        <v>788</v>
      </c>
      <c r="H1478" t="s">
        <v>15</v>
      </c>
      <c r="I1478" t="str">
        <f>VLOOKUP(tblSalaries[[#This Row],[Where do you work]],[1]!tblCountries[[Actual]:[Mapping]],2,FALSE)</f>
        <v>USA</v>
      </c>
      <c r="J1478" t="s">
        <v>789</v>
      </c>
      <c r="K1478">
        <v>3</v>
      </c>
    </row>
    <row r="1479" spans="1:11" x14ac:dyDescent="0.2">
      <c r="A1479" t="s">
        <v>3378</v>
      </c>
      <c r="B1479" s="59">
        <v>41060.054027777776</v>
      </c>
      <c r="C1479">
        <v>1500000</v>
      </c>
      <c r="D1479" t="s">
        <v>824</v>
      </c>
      <c r="E1479">
        <f>tblSalaries[[#This Row],[clean Salary (in local currency)]]*VLOOKUP(tblSalaries[[#This Row],[Currency]],[1]!tblXrate[#Data],2,FALSE)</f>
        <v>26711.875031163851</v>
      </c>
      <c r="F1479" t="s">
        <v>3379</v>
      </c>
      <c r="G1479" t="s">
        <v>867</v>
      </c>
      <c r="H1479" t="s">
        <v>117</v>
      </c>
      <c r="I1479" t="str">
        <f>VLOOKUP(tblSalaries[[#This Row],[Where do you work]],[1]!tblCountries[[Actual]:[Mapping]],2,FALSE)</f>
        <v>India</v>
      </c>
      <c r="J1479" t="s">
        <v>789</v>
      </c>
      <c r="K1479">
        <v>10</v>
      </c>
    </row>
    <row r="1480" spans="1:11" x14ac:dyDescent="0.2">
      <c r="A1480" t="s">
        <v>3380</v>
      </c>
      <c r="B1480" s="59">
        <v>41060.073472222219</v>
      </c>
      <c r="C1480">
        <v>536000</v>
      </c>
      <c r="D1480" t="s">
        <v>824</v>
      </c>
      <c r="E1480">
        <f>tblSalaries[[#This Row],[clean Salary (in local currency)]]*VLOOKUP(tblSalaries[[#This Row],[Currency]],[1]!tblXrate[#Data],2,FALSE)</f>
        <v>9545.0433444692171</v>
      </c>
      <c r="F1480" t="s">
        <v>890</v>
      </c>
      <c r="G1480" t="s">
        <v>807</v>
      </c>
      <c r="H1480" t="s">
        <v>117</v>
      </c>
      <c r="I1480" t="str">
        <f>VLOOKUP(tblSalaries[[#This Row],[Where do you work]],[1]!tblCountries[[Actual]:[Mapping]],2,FALSE)</f>
        <v>India</v>
      </c>
      <c r="J1480" t="s">
        <v>789</v>
      </c>
      <c r="K1480">
        <v>4</v>
      </c>
    </row>
    <row r="1481" spans="1:11" x14ac:dyDescent="0.2">
      <c r="A1481" t="s">
        <v>3381</v>
      </c>
      <c r="B1481" s="59">
        <v>41060.076689814814</v>
      </c>
      <c r="C1481">
        <v>95000</v>
      </c>
      <c r="D1481" t="s">
        <v>786</v>
      </c>
      <c r="E1481">
        <f>tblSalaries[[#This Row],[clean Salary (in local currency)]]*VLOOKUP(tblSalaries[[#This Row],[Currency]],[1]!tblXrate[#Data],2,FALSE)</f>
        <v>95000</v>
      </c>
      <c r="F1481" t="s">
        <v>1177</v>
      </c>
      <c r="G1481" t="s">
        <v>788</v>
      </c>
      <c r="H1481" t="s">
        <v>15</v>
      </c>
      <c r="I1481" t="str">
        <f>VLOOKUP(tblSalaries[[#This Row],[Where do you work]],[1]!tblCountries[[Actual]:[Mapping]],2,FALSE)</f>
        <v>USA</v>
      </c>
      <c r="J1481" t="s">
        <v>789</v>
      </c>
      <c r="K1481">
        <v>15</v>
      </c>
    </row>
    <row r="1482" spans="1:11" x14ac:dyDescent="0.2">
      <c r="A1482" t="s">
        <v>3382</v>
      </c>
      <c r="B1482" s="59">
        <v>41060.100428240738</v>
      </c>
      <c r="C1482">
        <v>64300</v>
      </c>
      <c r="D1482" t="s">
        <v>786</v>
      </c>
      <c r="E1482">
        <f>tblSalaries[[#This Row],[clean Salary (in local currency)]]*VLOOKUP(tblSalaries[[#This Row],[Currency]],[1]!tblXrate[#Data],2,FALSE)</f>
        <v>64300</v>
      </c>
      <c r="F1482" t="s">
        <v>3383</v>
      </c>
      <c r="G1482" t="s">
        <v>817</v>
      </c>
      <c r="H1482" t="s">
        <v>15</v>
      </c>
      <c r="I1482" t="str">
        <f>VLOOKUP(tblSalaries[[#This Row],[Where do you work]],[1]!tblCountries[[Actual]:[Mapping]],2,FALSE)</f>
        <v>USA</v>
      </c>
      <c r="J1482" t="s">
        <v>789</v>
      </c>
      <c r="K1482">
        <v>15</v>
      </c>
    </row>
    <row r="1483" spans="1:11" x14ac:dyDescent="0.2">
      <c r="A1483" t="s">
        <v>3384</v>
      </c>
      <c r="B1483" s="59">
        <v>41060.109131944446</v>
      </c>
      <c r="C1483">
        <v>250000</v>
      </c>
      <c r="D1483" t="s">
        <v>786</v>
      </c>
      <c r="E1483">
        <f>tblSalaries[[#This Row],[clean Salary (in local currency)]]*VLOOKUP(tblSalaries[[#This Row],[Currency]],[1]!tblXrate[#Data],2,FALSE)</f>
        <v>250000</v>
      </c>
      <c r="F1483" t="s">
        <v>878</v>
      </c>
      <c r="G1483" t="s">
        <v>867</v>
      </c>
      <c r="H1483" t="s">
        <v>15</v>
      </c>
      <c r="I1483" t="str">
        <f>VLOOKUP(tblSalaries[[#This Row],[Where do you work]],[1]!tblCountries[[Actual]:[Mapping]],2,FALSE)</f>
        <v>USA</v>
      </c>
      <c r="J1483" t="s">
        <v>794</v>
      </c>
      <c r="K1483">
        <v>20</v>
      </c>
    </row>
    <row r="1484" spans="1:11" x14ac:dyDescent="0.2">
      <c r="A1484" t="s">
        <v>3385</v>
      </c>
      <c r="B1484" s="59">
        <v>41060.129965277774</v>
      </c>
      <c r="C1484">
        <v>89000</v>
      </c>
      <c r="D1484" t="s">
        <v>786</v>
      </c>
      <c r="E1484">
        <f>tblSalaries[[#This Row],[clean Salary (in local currency)]]*VLOOKUP(tblSalaries[[#This Row],[Currency]],[1]!tblXrate[#Data],2,FALSE)</f>
        <v>89000</v>
      </c>
      <c r="F1484" t="s">
        <v>1780</v>
      </c>
      <c r="G1484" t="s">
        <v>807</v>
      </c>
      <c r="H1484" t="s">
        <v>15</v>
      </c>
      <c r="I1484" t="str">
        <f>VLOOKUP(tblSalaries[[#This Row],[Where do you work]],[1]!tblCountries[[Actual]:[Mapping]],2,FALSE)</f>
        <v>USA</v>
      </c>
      <c r="J1484" t="s">
        <v>799</v>
      </c>
      <c r="K1484">
        <v>10</v>
      </c>
    </row>
    <row r="1485" spans="1:11" x14ac:dyDescent="0.2">
      <c r="A1485" t="s">
        <v>3386</v>
      </c>
      <c r="B1485" s="59">
        <v>41060.175219907411</v>
      </c>
      <c r="C1485">
        <v>75000</v>
      </c>
      <c r="D1485" t="s">
        <v>786</v>
      </c>
      <c r="E1485">
        <f>tblSalaries[[#This Row],[clean Salary (in local currency)]]*VLOOKUP(tblSalaries[[#This Row],[Currency]],[1]!tblXrate[#Data],2,FALSE)</f>
        <v>75000</v>
      </c>
      <c r="F1485" t="s">
        <v>796</v>
      </c>
      <c r="G1485" t="s">
        <v>788</v>
      </c>
      <c r="H1485" t="s">
        <v>15</v>
      </c>
      <c r="I1485" t="str">
        <f>VLOOKUP(tblSalaries[[#This Row],[Where do you work]],[1]!tblCountries[[Actual]:[Mapping]],2,FALSE)</f>
        <v>USA</v>
      </c>
      <c r="J1485" t="s">
        <v>794</v>
      </c>
      <c r="K1485">
        <v>1.5</v>
      </c>
    </row>
    <row r="1486" spans="1:11" x14ac:dyDescent="0.2">
      <c r="A1486" t="s">
        <v>3387</v>
      </c>
      <c r="B1486" s="59">
        <v>41060.210405092592</v>
      </c>
      <c r="C1486">
        <v>45000</v>
      </c>
      <c r="D1486" t="s">
        <v>786</v>
      </c>
      <c r="E1486">
        <f>tblSalaries[[#This Row],[clean Salary (in local currency)]]*VLOOKUP(tblSalaries[[#This Row],[Currency]],[1]!tblXrate[#Data],2,FALSE)</f>
        <v>45000</v>
      </c>
      <c r="F1486" t="s">
        <v>3388</v>
      </c>
      <c r="G1486" t="s">
        <v>788</v>
      </c>
      <c r="H1486" t="s">
        <v>15</v>
      </c>
      <c r="I1486" t="str">
        <f>VLOOKUP(tblSalaries[[#This Row],[Where do you work]],[1]!tblCountries[[Actual]:[Mapping]],2,FALSE)</f>
        <v>USA</v>
      </c>
      <c r="J1486" t="s">
        <v>794</v>
      </c>
      <c r="K1486">
        <v>5</v>
      </c>
    </row>
    <row r="1487" spans="1:11" x14ac:dyDescent="0.2">
      <c r="A1487" t="s">
        <v>3389</v>
      </c>
      <c r="B1487" s="59">
        <v>41060.224976851852</v>
      </c>
      <c r="C1487">
        <v>127500</v>
      </c>
      <c r="D1487" t="s">
        <v>786</v>
      </c>
      <c r="E1487">
        <f>tblSalaries[[#This Row],[clean Salary (in local currency)]]*VLOOKUP(tblSalaries[[#This Row],[Currency]],[1]!tblXrate[#Data],2,FALSE)</f>
        <v>127500</v>
      </c>
      <c r="F1487" t="s">
        <v>3390</v>
      </c>
      <c r="G1487" t="s">
        <v>813</v>
      </c>
      <c r="H1487" t="s">
        <v>15</v>
      </c>
      <c r="I1487" t="str">
        <f>VLOOKUP(tblSalaries[[#This Row],[Where do you work]],[1]!tblCountries[[Actual]:[Mapping]],2,FALSE)</f>
        <v>USA</v>
      </c>
      <c r="J1487" t="s">
        <v>794</v>
      </c>
      <c r="K1487">
        <v>22</v>
      </c>
    </row>
    <row r="1488" spans="1:11" x14ac:dyDescent="0.2">
      <c r="A1488" t="s">
        <v>3391</v>
      </c>
      <c r="B1488" s="59">
        <v>41060.230486111112</v>
      </c>
      <c r="C1488">
        <v>170000</v>
      </c>
      <c r="D1488" t="s">
        <v>786</v>
      </c>
      <c r="E1488">
        <f>tblSalaries[[#This Row],[clean Salary (in local currency)]]*VLOOKUP(tblSalaries[[#This Row],[Currency]],[1]!tblXrate[#Data],2,FALSE)</f>
        <v>170000</v>
      </c>
      <c r="F1488" t="s">
        <v>812</v>
      </c>
      <c r="G1488" t="s">
        <v>813</v>
      </c>
      <c r="H1488" t="s">
        <v>15</v>
      </c>
      <c r="I1488" t="str">
        <f>VLOOKUP(tblSalaries[[#This Row],[Where do you work]],[1]!tblCountries[[Actual]:[Mapping]],2,FALSE)</f>
        <v>USA</v>
      </c>
      <c r="J1488" t="s">
        <v>799</v>
      </c>
      <c r="K1488">
        <v>18</v>
      </c>
    </row>
    <row r="1489" spans="1:11" x14ac:dyDescent="0.2">
      <c r="A1489" t="s">
        <v>3392</v>
      </c>
      <c r="B1489" s="59">
        <v>41060.234363425923</v>
      </c>
      <c r="C1489">
        <v>9600</v>
      </c>
      <c r="D1489" t="s">
        <v>786</v>
      </c>
      <c r="E1489">
        <f>tblSalaries[[#This Row],[clean Salary (in local currency)]]*VLOOKUP(tblSalaries[[#This Row],[Currency]],[1]!tblXrate[#Data],2,FALSE)</f>
        <v>9600</v>
      </c>
      <c r="F1489" t="s">
        <v>2117</v>
      </c>
      <c r="G1489" t="s">
        <v>788</v>
      </c>
      <c r="H1489" t="s">
        <v>50</v>
      </c>
      <c r="I1489" t="str">
        <f>VLOOKUP(tblSalaries[[#This Row],[Where do you work]],[1]!tblCountries[[Actual]:[Mapping]],2,FALSE)</f>
        <v>Bolivia</v>
      </c>
      <c r="J1489" t="s">
        <v>794</v>
      </c>
      <c r="K1489">
        <v>2</v>
      </c>
    </row>
    <row r="1490" spans="1:11" x14ac:dyDescent="0.2">
      <c r="A1490" t="s">
        <v>3393</v>
      </c>
      <c r="B1490" s="59">
        <v>41060.259513888886</v>
      </c>
      <c r="C1490">
        <v>62000</v>
      </c>
      <c r="D1490" t="s">
        <v>786</v>
      </c>
      <c r="E1490">
        <f>tblSalaries[[#This Row],[clean Salary (in local currency)]]*VLOOKUP(tblSalaries[[#This Row],[Currency]],[1]!tblXrate[#Data],2,FALSE)</f>
        <v>62000</v>
      </c>
      <c r="F1490" t="s">
        <v>3394</v>
      </c>
      <c r="G1490" t="s">
        <v>788</v>
      </c>
      <c r="H1490" t="s">
        <v>15</v>
      </c>
      <c r="I1490" t="str">
        <f>VLOOKUP(tblSalaries[[#This Row],[Where do you work]],[1]!tblCountries[[Actual]:[Mapping]],2,FALSE)</f>
        <v>USA</v>
      </c>
      <c r="J1490" t="s">
        <v>794</v>
      </c>
      <c r="K1490">
        <v>27</v>
      </c>
    </row>
    <row r="1491" spans="1:11" x14ac:dyDescent="0.2">
      <c r="A1491" t="s">
        <v>3395</v>
      </c>
      <c r="B1491" s="59">
        <v>41060.266076388885</v>
      </c>
      <c r="C1491">
        <v>22000</v>
      </c>
      <c r="D1491" t="s">
        <v>786</v>
      </c>
      <c r="E1491">
        <f>tblSalaries[[#This Row],[clean Salary (in local currency)]]*VLOOKUP(tblSalaries[[#This Row],[Currency]],[1]!tblXrate[#Data],2,FALSE)</f>
        <v>22000</v>
      </c>
      <c r="F1491" t="s">
        <v>3396</v>
      </c>
      <c r="G1491" t="s">
        <v>807</v>
      </c>
      <c r="H1491" t="s">
        <v>15</v>
      </c>
      <c r="I1491" t="str">
        <f>VLOOKUP(tblSalaries[[#This Row],[Where do you work]],[1]!tblCountries[[Actual]:[Mapping]],2,FALSE)</f>
        <v>USA</v>
      </c>
      <c r="J1491" t="s">
        <v>789</v>
      </c>
      <c r="K1491">
        <v>3</v>
      </c>
    </row>
    <row r="1492" spans="1:11" x14ac:dyDescent="0.2">
      <c r="A1492" t="s">
        <v>3397</v>
      </c>
      <c r="B1492" s="59">
        <v>41060.266608796293</v>
      </c>
      <c r="C1492">
        <v>45000</v>
      </c>
      <c r="D1492" t="s">
        <v>786</v>
      </c>
      <c r="E1492">
        <f>tblSalaries[[#This Row],[clean Salary (in local currency)]]*VLOOKUP(tblSalaries[[#This Row],[Currency]],[1]!tblXrate[#Data],2,FALSE)</f>
        <v>45000</v>
      </c>
      <c r="F1492" t="s">
        <v>1070</v>
      </c>
      <c r="G1492" t="s">
        <v>788</v>
      </c>
      <c r="H1492" t="s">
        <v>15</v>
      </c>
      <c r="I1492" t="str">
        <f>VLOOKUP(tblSalaries[[#This Row],[Where do you work]],[1]!tblCountries[[Actual]:[Mapping]],2,FALSE)</f>
        <v>USA</v>
      </c>
      <c r="J1492" t="s">
        <v>789</v>
      </c>
      <c r="K1492">
        <v>8</v>
      </c>
    </row>
    <row r="1493" spans="1:11" x14ac:dyDescent="0.2">
      <c r="A1493" t="s">
        <v>3398</v>
      </c>
      <c r="B1493" s="59">
        <v>41060.303888888891</v>
      </c>
      <c r="C1493">
        <v>145000</v>
      </c>
      <c r="D1493" t="s">
        <v>786</v>
      </c>
      <c r="E1493">
        <f>tblSalaries[[#This Row],[clean Salary (in local currency)]]*VLOOKUP(tblSalaries[[#This Row],[Currency]],[1]!tblXrate[#Data],2,FALSE)</f>
        <v>145000</v>
      </c>
      <c r="F1493" t="s">
        <v>1737</v>
      </c>
      <c r="G1493" t="s">
        <v>788</v>
      </c>
      <c r="H1493" t="s">
        <v>15</v>
      </c>
      <c r="I1493" t="str">
        <f>VLOOKUP(tblSalaries[[#This Row],[Where do you work]],[1]!tblCountries[[Actual]:[Mapping]],2,FALSE)</f>
        <v>USA</v>
      </c>
      <c r="J1493" t="s">
        <v>789</v>
      </c>
      <c r="K1493">
        <v>6</v>
      </c>
    </row>
    <row r="1494" spans="1:11" x14ac:dyDescent="0.2">
      <c r="A1494" t="s">
        <v>3399</v>
      </c>
      <c r="B1494" s="59">
        <v>41060.347256944442</v>
      </c>
      <c r="C1494">
        <v>89000</v>
      </c>
      <c r="D1494" t="s">
        <v>786</v>
      </c>
      <c r="E1494">
        <f>tblSalaries[[#This Row],[clean Salary (in local currency)]]*VLOOKUP(tblSalaries[[#This Row],[Currency]],[1]!tblXrate[#Data],2,FALSE)</f>
        <v>89000</v>
      </c>
      <c r="F1494" t="s">
        <v>2780</v>
      </c>
      <c r="G1494" t="s">
        <v>788</v>
      </c>
      <c r="H1494" t="s">
        <v>15</v>
      </c>
      <c r="I1494" t="str">
        <f>VLOOKUP(tblSalaries[[#This Row],[Where do you work]],[1]!tblCountries[[Actual]:[Mapping]],2,FALSE)</f>
        <v>USA</v>
      </c>
      <c r="J1494" t="s">
        <v>794</v>
      </c>
      <c r="K1494">
        <v>14</v>
      </c>
    </row>
    <row r="1495" spans="1:11" x14ac:dyDescent="0.2">
      <c r="A1495" t="s">
        <v>3400</v>
      </c>
      <c r="B1495" s="59">
        <v>41060.394502314812</v>
      </c>
      <c r="C1495">
        <v>38000</v>
      </c>
      <c r="D1495" t="s">
        <v>786</v>
      </c>
      <c r="E1495">
        <f>tblSalaries[[#This Row],[clean Salary (in local currency)]]*VLOOKUP(tblSalaries[[#This Row],[Currency]],[1]!tblXrate[#Data],2,FALSE)</f>
        <v>38000</v>
      </c>
      <c r="F1495" t="s">
        <v>817</v>
      </c>
      <c r="G1495" t="s">
        <v>817</v>
      </c>
      <c r="H1495" t="s">
        <v>15</v>
      </c>
      <c r="I1495" t="str">
        <f>VLOOKUP(tblSalaries[[#This Row],[Where do you work]],[1]!tblCountries[[Actual]:[Mapping]],2,FALSE)</f>
        <v>USA</v>
      </c>
      <c r="J1495" t="s">
        <v>789</v>
      </c>
      <c r="K1495">
        <v>11</v>
      </c>
    </row>
    <row r="1496" spans="1:11" x14ac:dyDescent="0.2">
      <c r="A1496" t="s">
        <v>3401</v>
      </c>
      <c r="B1496" s="59">
        <v>41060.406354166669</v>
      </c>
      <c r="C1496">
        <v>50000</v>
      </c>
      <c r="D1496" t="s">
        <v>882</v>
      </c>
      <c r="E1496">
        <f>tblSalaries[[#This Row],[clean Salary (in local currency)]]*VLOOKUP(tblSalaries[[#This Row],[Currency]],[1]!tblXrate[#Data],2,FALSE)</f>
        <v>49168.076151516347</v>
      </c>
      <c r="F1496" t="s">
        <v>1070</v>
      </c>
      <c r="G1496" t="s">
        <v>788</v>
      </c>
      <c r="H1496" t="s">
        <v>143</v>
      </c>
      <c r="I1496" t="str">
        <f>VLOOKUP(tblSalaries[[#This Row],[Where do you work]],[1]!tblCountries[[Actual]:[Mapping]],2,FALSE)</f>
        <v>Canada</v>
      </c>
      <c r="J1496" t="s">
        <v>789</v>
      </c>
      <c r="K1496">
        <v>3</v>
      </c>
    </row>
    <row r="1497" spans="1:11" x14ac:dyDescent="0.2">
      <c r="A1497" t="s">
        <v>3402</v>
      </c>
      <c r="B1497" s="59">
        <v>41060.437291666669</v>
      </c>
      <c r="C1497">
        <v>500000</v>
      </c>
      <c r="D1497" t="s">
        <v>824</v>
      </c>
      <c r="E1497">
        <f>tblSalaries[[#This Row],[clean Salary (in local currency)]]*VLOOKUP(tblSalaries[[#This Row],[Currency]],[1]!tblXrate[#Data],2,FALSE)</f>
        <v>8903.9583437212841</v>
      </c>
      <c r="F1497" t="s">
        <v>2721</v>
      </c>
      <c r="G1497" t="s">
        <v>788</v>
      </c>
      <c r="H1497" t="s">
        <v>117</v>
      </c>
      <c r="I1497" t="str">
        <f>VLOOKUP(tblSalaries[[#This Row],[Where do you work]],[1]!tblCountries[[Actual]:[Mapping]],2,FALSE)</f>
        <v>India</v>
      </c>
      <c r="J1497" t="s">
        <v>789</v>
      </c>
      <c r="K1497">
        <v>8</v>
      </c>
    </row>
    <row r="1498" spans="1:11" x14ac:dyDescent="0.2">
      <c r="A1498" t="s">
        <v>3403</v>
      </c>
      <c r="B1498" s="59">
        <v>41060.439664351848</v>
      </c>
      <c r="C1498">
        <v>10000</v>
      </c>
      <c r="D1498" t="s">
        <v>786</v>
      </c>
      <c r="E1498">
        <f>tblSalaries[[#This Row],[clean Salary (in local currency)]]*VLOOKUP(tblSalaries[[#This Row],[Currency]],[1]!tblXrate[#Data],2,FALSE)</f>
        <v>10000</v>
      </c>
      <c r="F1498" t="s">
        <v>3404</v>
      </c>
      <c r="G1498" t="s">
        <v>807</v>
      </c>
      <c r="H1498" t="s">
        <v>343</v>
      </c>
      <c r="I1498" t="str">
        <f>VLOOKUP(tblSalaries[[#This Row],[Where do you work]],[1]!tblCountries[[Actual]:[Mapping]],2,FALSE)</f>
        <v>Vietnam</v>
      </c>
      <c r="J1498" t="s">
        <v>799</v>
      </c>
      <c r="K1498">
        <v>8</v>
      </c>
    </row>
    <row r="1499" spans="1:11" x14ac:dyDescent="0.2">
      <c r="A1499" t="s">
        <v>3405</v>
      </c>
      <c r="B1499" s="59">
        <v>41060.442800925928</v>
      </c>
      <c r="C1499">
        <v>105000</v>
      </c>
      <c r="D1499" t="s">
        <v>786</v>
      </c>
      <c r="E1499">
        <f>tblSalaries[[#This Row],[clean Salary (in local currency)]]*VLOOKUP(tblSalaries[[#This Row],[Currency]],[1]!tblXrate[#Data],2,FALSE)</f>
        <v>105000</v>
      </c>
      <c r="F1499" t="s">
        <v>3406</v>
      </c>
      <c r="G1499" t="s">
        <v>807</v>
      </c>
      <c r="H1499" t="s">
        <v>15</v>
      </c>
      <c r="I1499" t="str">
        <f>VLOOKUP(tblSalaries[[#This Row],[Where do you work]],[1]!tblCountries[[Actual]:[Mapping]],2,FALSE)</f>
        <v>USA</v>
      </c>
      <c r="J1499" t="s">
        <v>808</v>
      </c>
      <c r="K1499">
        <v>30</v>
      </c>
    </row>
    <row r="1500" spans="1:11" x14ac:dyDescent="0.2">
      <c r="A1500" t="s">
        <v>3407</v>
      </c>
      <c r="B1500" s="59">
        <v>41060.454722222225</v>
      </c>
      <c r="C1500">
        <v>12000</v>
      </c>
      <c r="D1500" t="s">
        <v>786</v>
      </c>
      <c r="E1500">
        <f>tblSalaries[[#This Row],[clean Salary (in local currency)]]*VLOOKUP(tblSalaries[[#This Row],[Currency]],[1]!tblXrate[#Data],2,FALSE)</f>
        <v>12000</v>
      </c>
      <c r="F1500" t="s">
        <v>3408</v>
      </c>
      <c r="G1500" t="s">
        <v>788</v>
      </c>
      <c r="H1500" t="s">
        <v>191</v>
      </c>
      <c r="I1500" t="str">
        <f>VLOOKUP(tblSalaries[[#This Row],[Where do you work]],[1]!tblCountries[[Actual]:[Mapping]],2,FALSE)</f>
        <v>MYS</v>
      </c>
      <c r="J1500" t="s">
        <v>799</v>
      </c>
      <c r="K1500">
        <v>0</v>
      </c>
    </row>
    <row r="1501" spans="1:11" x14ac:dyDescent="0.2">
      <c r="A1501" t="s">
        <v>3409</v>
      </c>
      <c r="B1501" s="59">
        <v>41060.464328703703</v>
      </c>
      <c r="C1501">
        <v>200000</v>
      </c>
      <c r="D1501" t="s">
        <v>824</v>
      </c>
      <c r="E1501">
        <f>tblSalaries[[#This Row],[clean Salary (in local currency)]]*VLOOKUP(tblSalaries[[#This Row],[Currency]],[1]!tblXrate[#Data],2,FALSE)</f>
        <v>3561.5833374885137</v>
      </c>
      <c r="F1501" t="s">
        <v>3410</v>
      </c>
      <c r="G1501" t="s">
        <v>817</v>
      </c>
      <c r="H1501" t="s">
        <v>117</v>
      </c>
      <c r="I1501" t="str">
        <f>VLOOKUP(tblSalaries[[#This Row],[Where do you work]],[1]!tblCountries[[Actual]:[Mapping]],2,FALSE)</f>
        <v>India</v>
      </c>
      <c r="J1501" t="s">
        <v>794</v>
      </c>
      <c r="K1501">
        <v>3</v>
      </c>
    </row>
    <row r="1502" spans="1:11" x14ac:dyDescent="0.2">
      <c r="A1502" t="s">
        <v>3411</v>
      </c>
      <c r="B1502" s="59">
        <v>41060.559594907405</v>
      </c>
      <c r="C1502">
        <v>85000</v>
      </c>
      <c r="D1502" t="s">
        <v>877</v>
      </c>
      <c r="E1502">
        <f>tblSalaries[[#This Row],[clean Salary (in local currency)]]*VLOOKUP(tblSalaries[[#This Row],[Currency]],[1]!tblXrate[#Data],2,FALSE)</f>
        <v>86692.320794224041</v>
      </c>
      <c r="F1502" t="s">
        <v>3412</v>
      </c>
      <c r="G1502" t="s">
        <v>788</v>
      </c>
      <c r="H1502" t="s">
        <v>33</v>
      </c>
      <c r="I1502" t="str">
        <f>VLOOKUP(tblSalaries[[#This Row],[Where do you work]],[1]!tblCountries[[Actual]:[Mapping]],2,FALSE)</f>
        <v>Australia</v>
      </c>
      <c r="J1502" t="s">
        <v>808</v>
      </c>
      <c r="K1502">
        <v>5</v>
      </c>
    </row>
    <row r="1503" spans="1:11" x14ac:dyDescent="0.2">
      <c r="A1503" t="s">
        <v>3413</v>
      </c>
      <c r="B1503" s="59">
        <v>41060.666851851849</v>
      </c>
      <c r="C1503">
        <v>8000</v>
      </c>
      <c r="D1503" t="s">
        <v>786</v>
      </c>
      <c r="E1503">
        <f>tblSalaries[[#This Row],[clean Salary (in local currency)]]*VLOOKUP(tblSalaries[[#This Row],[Currency]],[1]!tblXrate[#Data],2,FALSE)</f>
        <v>8000</v>
      </c>
      <c r="F1503" t="s">
        <v>1494</v>
      </c>
      <c r="G1503" t="s">
        <v>813</v>
      </c>
      <c r="H1503" t="s">
        <v>117</v>
      </c>
      <c r="I1503" t="str">
        <f>VLOOKUP(tblSalaries[[#This Row],[Where do you work]],[1]!tblCountries[[Actual]:[Mapping]],2,FALSE)</f>
        <v>India</v>
      </c>
      <c r="J1503" t="s">
        <v>789</v>
      </c>
      <c r="K1503">
        <v>18</v>
      </c>
    </row>
    <row r="1504" spans="1:11" x14ac:dyDescent="0.2">
      <c r="A1504" t="s">
        <v>3414</v>
      </c>
      <c r="B1504" s="59">
        <v>41060.673935185187</v>
      </c>
      <c r="C1504">
        <v>380000</v>
      </c>
      <c r="D1504" t="s">
        <v>824</v>
      </c>
      <c r="E1504">
        <f>tblSalaries[[#This Row],[clean Salary (in local currency)]]*VLOOKUP(tblSalaries[[#This Row],[Currency]],[1]!tblXrate[#Data],2,FALSE)</f>
        <v>6767.0083412281756</v>
      </c>
      <c r="F1504" t="s">
        <v>3415</v>
      </c>
      <c r="G1504" t="s">
        <v>788</v>
      </c>
      <c r="H1504" t="s">
        <v>117</v>
      </c>
      <c r="I1504" t="str">
        <f>VLOOKUP(tblSalaries[[#This Row],[Where do you work]],[1]!tblCountries[[Actual]:[Mapping]],2,FALSE)</f>
        <v>India</v>
      </c>
      <c r="J1504" t="s">
        <v>799</v>
      </c>
      <c r="K1504">
        <v>6</v>
      </c>
    </row>
    <row r="1505" spans="1:11" x14ac:dyDescent="0.2">
      <c r="A1505" t="s">
        <v>3416</v>
      </c>
      <c r="B1505" s="59">
        <v>41060.677905092591</v>
      </c>
      <c r="C1505">
        <v>30500</v>
      </c>
      <c r="D1505" t="s">
        <v>861</v>
      </c>
      <c r="E1505">
        <f>tblSalaries[[#This Row],[clean Salary (in local currency)]]*VLOOKUP(tblSalaries[[#This Row],[Currency]],[1]!tblXrate[#Data],2,FALSE)</f>
        <v>48073.437298052166</v>
      </c>
      <c r="F1505" t="s">
        <v>3417</v>
      </c>
      <c r="G1505" t="s">
        <v>867</v>
      </c>
      <c r="H1505" t="s">
        <v>863</v>
      </c>
      <c r="I1505" t="str">
        <f>VLOOKUP(tblSalaries[[#This Row],[Where do you work]],[1]!tblCountries[[Actual]:[Mapping]],2,FALSE)</f>
        <v>UK</v>
      </c>
      <c r="J1505" t="s">
        <v>789</v>
      </c>
      <c r="K1505">
        <v>14</v>
      </c>
    </row>
    <row r="1506" spans="1:11" x14ac:dyDescent="0.2">
      <c r="A1506" t="s">
        <v>3418</v>
      </c>
      <c r="B1506" s="59">
        <v>41060.684293981481</v>
      </c>
      <c r="C1506">
        <v>60000</v>
      </c>
      <c r="D1506" t="s">
        <v>805</v>
      </c>
      <c r="E1506">
        <f>tblSalaries[[#This Row],[clean Salary (in local currency)]]*VLOOKUP(tblSalaries[[#This Row],[Currency]],[1]!tblXrate[#Data],2,FALSE)</f>
        <v>76223.966339496474</v>
      </c>
      <c r="F1506" t="s">
        <v>3419</v>
      </c>
      <c r="G1506" t="s">
        <v>807</v>
      </c>
      <c r="H1506" t="s">
        <v>3420</v>
      </c>
      <c r="I1506" t="str">
        <f>VLOOKUP(tblSalaries[[#This Row],[Where do you work]],[1]!tblCountries[[Actual]:[Mapping]],2,FALSE)</f>
        <v>Netherlands</v>
      </c>
      <c r="J1506" t="s">
        <v>799</v>
      </c>
      <c r="K1506">
        <v>15</v>
      </c>
    </row>
    <row r="1507" spans="1:11" x14ac:dyDescent="0.2">
      <c r="A1507" t="s">
        <v>3421</v>
      </c>
      <c r="B1507" s="59">
        <v>41060.684305555558</v>
      </c>
      <c r="C1507">
        <v>320000</v>
      </c>
      <c r="D1507" t="s">
        <v>3218</v>
      </c>
      <c r="E1507">
        <f>tblSalaries[[#This Row],[clean Salary (in local currency)]]*VLOOKUP(tblSalaries[[#This Row],[Currency]],[1]!tblXrate[#Data],2,FALSE)</f>
        <v>85333.333333333328</v>
      </c>
      <c r="F1507" t="s">
        <v>3422</v>
      </c>
      <c r="G1507" t="s">
        <v>807</v>
      </c>
      <c r="H1507" t="s">
        <v>749</v>
      </c>
      <c r="I1507" t="str">
        <f>VLOOKUP(tblSalaries[[#This Row],[Where do you work]],[1]!tblCountries[[Actual]:[Mapping]],2,FALSE)</f>
        <v>Saudi Arabia</v>
      </c>
      <c r="J1507" t="s">
        <v>799</v>
      </c>
      <c r="K1507">
        <v>15</v>
      </c>
    </row>
    <row r="1508" spans="1:11" x14ac:dyDescent="0.2">
      <c r="A1508" t="s">
        <v>3423</v>
      </c>
      <c r="B1508" s="59">
        <v>41060.687604166669</v>
      </c>
      <c r="C1508">
        <v>48360</v>
      </c>
      <c r="D1508" t="s">
        <v>861</v>
      </c>
      <c r="E1508">
        <f>tblSalaries[[#This Row],[clean Salary (in local currency)]]*VLOOKUP(tblSalaries[[#This Row],[Currency]],[1]!tblXrate[#Data],2,FALSE)</f>
        <v>76223.981237173866</v>
      </c>
      <c r="F1508" t="s">
        <v>3424</v>
      </c>
      <c r="G1508" t="s">
        <v>807</v>
      </c>
      <c r="H1508" t="s">
        <v>863</v>
      </c>
      <c r="I1508" t="str">
        <f>VLOOKUP(tblSalaries[[#This Row],[Where do you work]],[1]!tblCountries[[Actual]:[Mapping]],2,FALSE)</f>
        <v>UK</v>
      </c>
      <c r="J1508" t="s">
        <v>794</v>
      </c>
      <c r="K1508">
        <v>8</v>
      </c>
    </row>
    <row r="1509" spans="1:11" x14ac:dyDescent="0.2">
      <c r="A1509" t="s">
        <v>3425</v>
      </c>
      <c r="B1509" s="59">
        <v>41060.714571759258</v>
      </c>
      <c r="C1509">
        <v>30000</v>
      </c>
      <c r="D1509" t="s">
        <v>786</v>
      </c>
      <c r="E1509">
        <f>tblSalaries[[#This Row],[clean Salary (in local currency)]]*VLOOKUP(tblSalaries[[#This Row],[Currency]],[1]!tblXrate[#Data],2,FALSE)</f>
        <v>30000</v>
      </c>
      <c r="F1509" t="s">
        <v>3426</v>
      </c>
      <c r="G1509" t="s">
        <v>807</v>
      </c>
      <c r="H1509" t="s">
        <v>240</v>
      </c>
      <c r="I1509" t="str">
        <f>VLOOKUP(tblSalaries[[#This Row],[Where do you work]],[1]!tblCountries[[Actual]:[Mapping]],2,FALSE)</f>
        <v>Pakistan</v>
      </c>
      <c r="J1509" t="s">
        <v>789</v>
      </c>
      <c r="K1509">
        <v>5</v>
      </c>
    </row>
    <row r="1510" spans="1:11" x14ac:dyDescent="0.2">
      <c r="A1510" t="s">
        <v>3427</v>
      </c>
      <c r="B1510" s="59">
        <v>41060.723437499997</v>
      </c>
      <c r="C1510">
        <v>34000</v>
      </c>
      <c r="D1510" t="s">
        <v>786</v>
      </c>
      <c r="E1510">
        <f>tblSalaries[[#This Row],[clean Salary (in local currency)]]*VLOOKUP(tblSalaries[[#This Row],[Currency]],[1]!tblXrate[#Data],2,FALSE)</f>
        <v>34000</v>
      </c>
      <c r="F1510" t="s">
        <v>3428</v>
      </c>
      <c r="G1510" t="s">
        <v>788</v>
      </c>
      <c r="H1510" t="s">
        <v>117</v>
      </c>
      <c r="I1510" t="str">
        <f>VLOOKUP(tblSalaries[[#This Row],[Where do you work]],[1]!tblCountries[[Actual]:[Mapping]],2,FALSE)</f>
        <v>India</v>
      </c>
      <c r="J1510" t="s">
        <v>794</v>
      </c>
      <c r="K1510">
        <v>4</v>
      </c>
    </row>
    <row r="1511" spans="1:11" x14ac:dyDescent="0.2">
      <c r="A1511" t="s">
        <v>3429</v>
      </c>
      <c r="B1511" s="59">
        <v>41060.73233796296</v>
      </c>
      <c r="C1511">
        <v>180000</v>
      </c>
      <c r="D1511" t="s">
        <v>824</v>
      </c>
      <c r="E1511">
        <f>tblSalaries[[#This Row],[clean Salary (in local currency)]]*VLOOKUP(tblSalaries[[#This Row],[Currency]],[1]!tblXrate[#Data],2,FALSE)</f>
        <v>3205.4250037396623</v>
      </c>
      <c r="F1511" t="s">
        <v>3430</v>
      </c>
      <c r="G1511" t="s">
        <v>807</v>
      </c>
      <c r="H1511" t="s">
        <v>117</v>
      </c>
      <c r="I1511" t="str">
        <f>VLOOKUP(tblSalaries[[#This Row],[Where do you work]],[1]!tblCountries[[Actual]:[Mapping]],2,FALSE)</f>
        <v>India</v>
      </c>
      <c r="J1511" t="s">
        <v>789</v>
      </c>
      <c r="K1511">
        <v>5</v>
      </c>
    </row>
    <row r="1512" spans="1:11" x14ac:dyDescent="0.2">
      <c r="A1512" t="s">
        <v>3431</v>
      </c>
      <c r="B1512" s="59">
        <v>41060.733020833337</v>
      </c>
      <c r="C1512">
        <v>45000</v>
      </c>
      <c r="D1512" t="s">
        <v>786</v>
      </c>
      <c r="E1512">
        <f>tblSalaries[[#This Row],[clean Salary (in local currency)]]*VLOOKUP(tblSalaries[[#This Row],[Currency]],[1]!tblXrate[#Data],2,FALSE)</f>
        <v>45000</v>
      </c>
      <c r="F1512" t="s">
        <v>3432</v>
      </c>
      <c r="G1512" t="s">
        <v>807</v>
      </c>
      <c r="H1512" t="s">
        <v>72</v>
      </c>
      <c r="I1512" t="str">
        <f>VLOOKUP(tblSalaries[[#This Row],[Where do you work]],[1]!tblCountries[[Actual]:[Mapping]],2,FALSE)</f>
        <v>Germany</v>
      </c>
      <c r="J1512" t="s">
        <v>799</v>
      </c>
      <c r="K1512">
        <v>5</v>
      </c>
    </row>
    <row r="1513" spans="1:11" x14ac:dyDescent="0.2">
      <c r="A1513" t="s">
        <v>3433</v>
      </c>
      <c r="B1513" s="59">
        <v>41060.774652777778</v>
      </c>
      <c r="C1513">
        <v>24864</v>
      </c>
      <c r="D1513" t="s">
        <v>786</v>
      </c>
      <c r="E1513">
        <f>tblSalaries[[#This Row],[clean Salary (in local currency)]]*VLOOKUP(tblSalaries[[#This Row],[Currency]],[1]!tblXrate[#Data],2,FALSE)</f>
        <v>24864</v>
      </c>
      <c r="F1513" t="s">
        <v>3434</v>
      </c>
      <c r="G1513" t="s">
        <v>807</v>
      </c>
      <c r="H1513" t="s">
        <v>178</v>
      </c>
      <c r="I1513" t="str">
        <f>VLOOKUP(tblSalaries[[#This Row],[Where do you work]],[1]!tblCountries[[Actual]:[Mapping]],2,FALSE)</f>
        <v>Libya</v>
      </c>
      <c r="J1513" t="s">
        <v>794</v>
      </c>
      <c r="K1513">
        <v>8</v>
      </c>
    </row>
    <row r="1514" spans="1:11" x14ac:dyDescent="0.2">
      <c r="A1514" t="s">
        <v>3435</v>
      </c>
      <c r="B1514" s="59">
        <v>41060.827418981484</v>
      </c>
      <c r="C1514">
        <v>30000</v>
      </c>
      <c r="D1514" t="s">
        <v>861</v>
      </c>
      <c r="E1514">
        <f>tblSalaries[[#This Row],[clean Salary (in local currency)]]*VLOOKUP(tblSalaries[[#This Row],[Currency]],[1]!tblXrate[#Data],2,FALSE)</f>
        <v>47285.348162018527</v>
      </c>
      <c r="F1514" t="s">
        <v>1801</v>
      </c>
      <c r="G1514" t="s">
        <v>788</v>
      </c>
      <c r="H1514" t="s">
        <v>863</v>
      </c>
      <c r="I1514" t="str">
        <f>VLOOKUP(tblSalaries[[#This Row],[Where do you work]],[1]!tblCountries[[Actual]:[Mapping]],2,FALSE)</f>
        <v>UK</v>
      </c>
      <c r="J1514" t="s">
        <v>789</v>
      </c>
      <c r="K1514">
        <v>7</v>
      </c>
    </row>
    <row r="1515" spans="1:11" x14ac:dyDescent="0.2">
      <c r="A1515" t="s">
        <v>3436</v>
      </c>
      <c r="B1515" s="59">
        <v>41060.842673611114</v>
      </c>
      <c r="C1515">
        <v>1000000</v>
      </c>
      <c r="D1515" t="s">
        <v>824</v>
      </c>
      <c r="E1515">
        <f>tblSalaries[[#This Row],[clean Salary (in local currency)]]*VLOOKUP(tblSalaries[[#This Row],[Currency]],[1]!tblXrate[#Data],2,FALSE)</f>
        <v>17807.916687442568</v>
      </c>
      <c r="F1515" t="s">
        <v>1507</v>
      </c>
      <c r="G1515" t="s">
        <v>788</v>
      </c>
      <c r="H1515" t="s">
        <v>117</v>
      </c>
      <c r="I1515" t="str">
        <f>VLOOKUP(tblSalaries[[#This Row],[Where do you work]],[1]!tblCountries[[Actual]:[Mapping]],2,FALSE)</f>
        <v>India</v>
      </c>
      <c r="J1515" t="s">
        <v>794</v>
      </c>
      <c r="K1515">
        <v>10</v>
      </c>
    </row>
    <row r="1516" spans="1:11" x14ac:dyDescent="0.2">
      <c r="A1516" t="s">
        <v>3437</v>
      </c>
      <c r="B1516" s="59">
        <v>41060.843287037038</v>
      </c>
      <c r="C1516">
        <v>35000</v>
      </c>
      <c r="D1516" t="s">
        <v>861</v>
      </c>
      <c r="E1516">
        <f>tblSalaries[[#This Row],[clean Salary (in local currency)]]*VLOOKUP(tblSalaries[[#This Row],[Currency]],[1]!tblXrate[#Data],2,FALSE)</f>
        <v>55166.239522354947</v>
      </c>
      <c r="F1516" t="s">
        <v>1057</v>
      </c>
      <c r="G1516" t="s">
        <v>788</v>
      </c>
      <c r="H1516" t="s">
        <v>863</v>
      </c>
      <c r="I1516" t="str">
        <f>VLOOKUP(tblSalaries[[#This Row],[Where do you work]],[1]!tblCountries[[Actual]:[Mapping]],2,FALSE)</f>
        <v>UK</v>
      </c>
      <c r="J1516" t="s">
        <v>789</v>
      </c>
      <c r="K1516">
        <v>3</v>
      </c>
    </row>
    <row r="1517" spans="1:11" x14ac:dyDescent="0.2">
      <c r="A1517" t="s">
        <v>3438</v>
      </c>
      <c r="B1517" s="59">
        <v>41060.878495370373</v>
      </c>
      <c r="C1517">
        <v>55000</v>
      </c>
      <c r="D1517" t="s">
        <v>805</v>
      </c>
      <c r="E1517">
        <f>tblSalaries[[#This Row],[clean Salary (in local currency)]]*VLOOKUP(tblSalaries[[#This Row],[Currency]],[1]!tblXrate[#Data],2,FALSE)</f>
        <v>69871.969144538423</v>
      </c>
      <c r="F1517" t="s">
        <v>3439</v>
      </c>
      <c r="G1517" t="s">
        <v>807</v>
      </c>
      <c r="H1517" t="s">
        <v>897</v>
      </c>
      <c r="I1517" t="str">
        <f>VLOOKUP(tblSalaries[[#This Row],[Where do you work]],[1]!tblCountries[[Actual]:[Mapping]],2,FALSE)</f>
        <v>Netherlands</v>
      </c>
      <c r="J1517" t="s">
        <v>808</v>
      </c>
      <c r="K1517">
        <v>5</v>
      </c>
    </row>
    <row r="1518" spans="1:11" x14ac:dyDescent="0.2">
      <c r="A1518" t="s">
        <v>3440</v>
      </c>
      <c r="B1518" s="59">
        <v>41060.879687499997</v>
      </c>
      <c r="C1518">
        <v>70970</v>
      </c>
      <c r="D1518" t="s">
        <v>786</v>
      </c>
      <c r="E1518">
        <f>tblSalaries[[#This Row],[clean Salary (in local currency)]]*VLOOKUP(tblSalaries[[#This Row],[Currency]],[1]!tblXrate[#Data],2,FALSE)</f>
        <v>70970</v>
      </c>
      <c r="F1518" t="s">
        <v>3441</v>
      </c>
      <c r="G1518" t="s">
        <v>788</v>
      </c>
      <c r="H1518" t="s">
        <v>15</v>
      </c>
      <c r="I1518" t="str">
        <f>VLOOKUP(tblSalaries[[#This Row],[Where do you work]],[1]!tblCountries[[Actual]:[Mapping]],2,FALSE)</f>
        <v>USA</v>
      </c>
      <c r="J1518" t="s">
        <v>789</v>
      </c>
      <c r="K1518">
        <v>17</v>
      </c>
    </row>
    <row r="1519" spans="1:11" x14ac:dyDescent="0.2">
      <c r="A1519" t="s">
        <v>3442</v>
      </c>
      <c r="B1519" s="59">
        <v>41060.906284722223</v>
      </c>
      <c r="C1519">
        <v>60000</v>
      </c>
      <c r="D1519" t="s">
        <v>805</v>
      </c>
      <c r="E1519">
        <f>tblSalaries[[#This Row],[clean Salary (in local currency)]]*VLOOKUP(tblSalaries[[#This Row],[Currency]],[1]!tblXrate[#Data],2,FALSE)</f>
        <v>76223.966339496474</v>
      </c>
      <c r="F1519" t="s">
        <v>3443</v>
      </c>
      <c r="G1519" t="s">
        <v>802</v>
      </c>
      <c r="H1519" t="s">
        <v>228</v>
      </c>
      <c r="I1519" t="str">
        <f>VLOOKUP(tblSalaries[[#This Row],[Where do you work]],[1]!tblCountries[[Actual]:[Mapping]],2,FALSE)</f>
        <v>Netherlands</v>
      </c>
      <c r="J1519" t="s">
        <v>789</v>
      </c>
      <c r="K1519">
        <v>7</v>
      </c>
    </row>
    <row r="1520" spans="1:11" x14ac:dyDescent="0.2">
      <c r="A1520" t="s">
        <v>3444</v>
      </c>
      <c r="B1520" s="59">
        <v>41060.908067129632</v>
      </c>
      <c r="C1520">
        <v>110000</v>
      </c>
      <c r="D1520" t="s">
        <v>786</v>
      </c>
      <c r="E1520">
        <f>tblSalaries[[#This Row],[clean Salary (in local currency)]]*VLOOKUP(tblSalaries[[#This Row],[Currency]],[1]!tblXrate[#Data],2,FALSE)</f>
        <v>110000</v>
      </c>
      <c r="F1520" t="s">
        <v>1181</v>
      </c>
      <c r="G1520" t="s">
        <v>792</v>
      </c>
      <c r="H1520" t="s">
        <v>233</v>
      </c>
      <c r="I1520" t="str">
        <f>VLOOKUP(tblSalaries[[#This Row],[Where do you work]],[1]!tblCountries[[Actual]:[Mapping]],2,FALSE)</f>
        <v>Norway</v>
      </c>
      <c r="J1520" t="s">
        <v>794</v>
      </c>
      <c r="K1520">
        <v>5</v>
      </c>
    </row>
    <row r="1521" spans="1:11" x14ac:dyDescent="0.2">
      <c r="A1521" t="s">
        <v>3445</v>
      </c>
      <c r="B1521" s="59">
        <v>41060.908738425926</v>
      </c>
      <c r="C1521">
        <v>14400</v>
      </c>
      <c r="D1521" t="s">
        <v>786</v>
      </c>
      <c r="E1521">
        <f>tblSalaries[[#This Row],[clean Salary (in local currency)]]*VLOOKUP(tblSalaries[[#This Row],[Currency]],[1]!tblXrate[#Data],2,FALSE)</f>
        <v>14400</v>
      </c>
      <c r="F1521" t="s">
        <v>3446</v>
      </c>
      <c r="G1521" t="s">
        <v>788</v>
      </c>
      <c r="H1521" t="s">
        <v>56</v>
      </c>
      <c r="I1521" t="str">
        <f>VLOOKUP(tblSalaries[[#This Row],[Where do you work]],[1]!tblCountries[[Actual]:[Mapping]],2,FALSE)</f>
        <v>Bulgaria</v>
      </c>
      <c r="J1521" t="s">
        <v>794</v>
      </c>
      <c r="K1521">
        <v>15</v>
      </c>
    </row>
    <row r="1522" spans="1:11" x14ac:dyDescent="0.2">
      <c r="A1522" t="s">
        <v>3447</v>
      </c>
      <c r="B1522" s="59">
        <v>41060.920173611114</v>
      </c>
      <c r="C1522">
        <v>125000</v>
      </c>
      <c r="D1522" t="s">
        <v>786</v>
      </c>
      <c r="E1522">
        <f>tblSalaries[[#This Row],[clean Salary (in local currency)]]*VLOOKUP(tblSalaries[[#This Row],[Currency]],[1]!tblXrate[#Data],2,FALSE)</f>
        <v>125000</v>
      </c>
      <c r="F1522" t="s">
        <v>867</v>
      </c>
      <c r="G1522" t="s">
        <v>867</v>
      </c>
      <c r="H1522" t="s">
        <v>15</v>
      </c>
      <c r="I1522" t="str">
        <f>VLOOKUP(tblSalaries[[#This Row],[Where do you work]],[1]!tblCountries[[Actual]:[Mapping]],2,FALSE)</f>
        <v>USA</v>
      </c>
      <c r="J1522" t="s">
        <v>794</v>
      </c>
      <c r="K1522">
        <v>8</v>
      </c>
    </row>
    <row r="1523" spans="1:11" x14ac:dyDescent="0.2">
      <c r="A1523" t="s">
        <v>3448</v>
      </c>
      <c r="B1523" s="59">
        <v>41060.921516203707</v>
      </c>
      <c r="C1523">
        <v>74000</v>
      </c>
      <c r="D1523" t="s">
        <v>882</v>
      </c>
      <c r="E1523">
        <f>tblSalaries[[#This Row],[clean Salary (in local currency)]]*VLOOKUP(tblSalaries[[#This Row],[Currency]],[1]!tblXrate[#Data],2,FALSE)</f>
        <v>72768.752704244194</v>
      </c>
      <c r="F1523" t="s">
        <v>1381</v>
      </c>
      <c r="G1523" t="s">
        <v>788</v>
      </c>
      <c r="H1523" t="s">
        <v>143</v>
      </c>
      <c r="I1523" t="str">
        <f>VLOOKUP(tblSalaries[[#This Row],[Where do you work]],[1]!tblCountries[[Actual]:[Mapping]],2,FALSE)</f>
        <v>Canada</v>
      </c>
      <c r="J1523" t="s">
        <v>789</v>
      </c>
      <c r="K1523">
        <v>10</v>
      </c>
    </row>
    <row r="1524" spans="1:11" x14ac:dyDescent="0.2">
      <c r="A1524" t="s">
        <v>3449</v>
      </c>
      <c r="B1524" s="59">
        <v>41060.95579861111</v>
      </c>
      <c r="C1524">
        <v>59000</v>
      </c>
      <c r="D1524" t="s">
        <v>786</v>
      </c>
      <c r="E1524">
        <f>tblSalaries[[#This Row],[clean Salary (in local currency)]]*VLOOKUP(tblSalaries[[#This Row],[Currency]],[1]!tblXrate[#Data],2,FALSE)</f>
        <v>59000</v>
      </c>
      <c r="F1524" t="s">
        <v>3450</v>
      </c>
      <c r="G1524" t="s">
        <v>807</v>
      </c>
      <c r="H1524" t="s">
        <v>15</v>
      </c>
      <c r="I1524" t="str">
        <f>VLOOKUP(tblSalaries[[#This Row],[Where do you work]],[1]!tblCountries[[Actual]:[Mapping]],2,FALSE)</f>
        <v>USA</v>
      </c>
      <c r="J1524" t="s">
        <v>789</v>
      </c>
      <c r="K1524">
        <v>15</v>
      </c>
    </row>
    <row r="1525" spans="1:11" x14ac:dyDescent="0.2">
      <c r="A1525" t="s">
        <v>3451</v>
      </c>
      <c r="B1525" s="59">
        <v>41060.96402777778</v>
      </c>
      <c r="C1525">
        <v>71500</v>
      </c>
      <c r="D1525" t="s">
        <v>786</v>
      </c>
      <c r="E1525">
        <f>tblSalaries[[#This Row],[clean Salary (in local currency)]]*VLOOKUP(tblSalaries[[#This Row],[Currency]],[1]!tblXrate[#Data],2,FALSE)</f>
        <v>71500</v>
      </c>
      <c r="F1525" t="s">
        <v>3452</v>
      </c>
      <c r="G1525" t="s">
        <v>788</v>
      </c>
      <c r="H1525" t="s">
        <v>15</v>
      </c>
      <c r="I1525" t="str">
        <f>VLOOKUP(tblSalaries[[#This Row],[Where do you work]],[1]!tblCountries[[Actual]:[Mapping]],2,FALSE)</f>
        <v>USA</v>
      </c>
      <c r="J1525" t="s">
        <v>789</v>
      </c>
      <c r="K1525">
        <v>5</v>
      </c>
    </row>
    <row r="1526" spans="1:11" x14ac:dyDescent="0.2">
      <c r="A1526" t="s">
        <v>3453</v>
      </c>
      <c r="B1526" s="59">
        <v>41060.964675925927</v>
      </c>
      <c r="C1526">
        <v>25000</v>
      </c>
      <c r="D1526" t="s">
        <v>861</v>
      </c>
      <c r="E1526">
        <f>tblSalaries[[#This Row],[clean Salary (in local currency)]]*VLOOKUP(tblSalaries[[#This Row],[Currency]],[1]!tblXrate[#Data],2,FALSE)</f>
        <v>39404.456801682099</v>
      </c>
      <c r="F1526" t="s">
        <v>3454</v>
      </c>
      <c r="G1526" t="s">
        <v>836</v>
      </c>
      <c r="H1526" t="s">
        <v>863</v>
      </c>
      <c r="I1526" t="str">
        <f>VLOOKUP(tblSalaries[[#This Row],[Where do you work]],[1]!tblCountries[[Actual]:[Mapping]],2,FALSE)</f>
        <v>UK</v>
      </c>
      <c r="J1526" t="s">
        <v>789</v>
      </c>
      <c r="K1526">
        <v>2</v>
      </c>
    </row>
    <row r="1527" spans="1:11" x14ac:dyDescent="0.2">
      <c r="A1527" t="s">
        <v>3455</v>
      </c>
      <c r="B1527" s="59">
        <v>41060.965787037036</v>
      </c>
      <c r="C1527">
        <v>70000</v>
      </c>
      <c r="D1527" t="s">
        <v>805</v>
      </c>
      <c r="E1527">
        <f>tblSalaries[[#This Row],[clean Salary (in local currency)]]*VLOOKUP(tblSalaries[[#This Row],[Currency]],[1]!tblXrate[#Data],2,FALSE)</f>
        <v>88927.960729412545</v>
      </c>
      <c r="F1527" t="s">
        <v>3456</v>
      </c>
      <c r="G1527" t="s">
        <v>820</v>
      </c>
      <c r="H1527" t="s">
        <v>72</v>
      </c>
      <c r="I1527" t="str">
        <f>VLOOKUP(tblSalaries[[#This Row],[Where do you work]],[1]!tblCountries[[Actual]:[Mapping]],2,FALSE)</f>
        <v>Germany</v>
      </c>
      <c r="J1527" t="s">
        <v>808</v>
      </c>
      <c r="K1527">
        <v>5</v>
      </c>
    </row>
    <row r="1528" spans="1:11" x14ac:dyDescent="0.2">
      <c r="A1528" t="s">
        <v>3457</v>
      </c>
      <c r="B1528" s="59">
        <v>41060.992083333331</v>
      </c>
      <c r="C1528">
        <v>90000</v>
      </c>
      <c r="D1528" t="s">
        <v>786</v>
      </c>
      <c r="E1528">
        <f>tblSalaries[[#This Row],[clean Salary (in local currency)]]*VLOOKUP(tblSalaries[[#This Row],[Currency]],[1]!tblXrate[#Data],2,FALSE)</f>
        <v>90000</v>
      </c>
      <c r="F1528" t="s">
        <v>3458</v>
      </c>
      <c r="G1528" t="s">
        <v>807</v>
      </c>
      <c r="H1528" t="s">
        <v>15</v>
      </c>
      <c r="I1528" t="str">
        <f>VLOOKUP(tblSalaries[[#This Row],[Where do you work]],[1]!tblCountries[[Actual]:[Mapping]],2,FALSE)</f>
        <v>USA</v>
      </c>
      <c r="J1528" t="s">
        <v>789</v>
      </c>
      <c r="K1528">
        <v>25</v>
      </c>
    </row>
    <row r="1529" spans="1:11" x14ac:dyDescent="0.2">
      <c r="A1529" t="s">
        <v>3459</v>
      </c>
      <c r="B1529" s="59">
        <v>41061.001782407409</v>
      </c>
      <c r="C1529">
        <v>700000</v>
      </c>
      <c r="D1529" t="s">
        <v>824</v>
      </c>
      <c r="E1529">
        <f>tblSalaries[[#This Row],[clean Salary (in local currency)]]*VLOOKUP(tblSalaries[[#This Row],[Currency]],[1]!tblXrate[#Data],2,FALSE)</f>
        <v>12465.541681209797</v>
      </c>
      <c r="F1529" t="s">
        <v>3460</v>
      </c>
      <c r="G1529" t="s">
        <v>807</v>
      </c>
      <c r="H1529" t="s">
        <v>117</v>
      </c>
      <c r="I1529" t="str">
        <f>VLOOKUP(tblSalaries[[#This Row],[Where do you work]],[1]!tblCountries[[Actual]:[Mapping]],2,FALSE)</f>
        <v>India</v>
      </c>
      <c r="J1529" t="s">
        <v>794</v>
      </c>
      <c r="K1529">
        <v>30</v>
      </c>
    </row>
    <row r="1530" spans="1:11" x14ac:dyDescent="0.2">
      <c r="A1530" t="s">
        <v>3461</v>
      </c>
      <c r="B1530" s="59">
        <v>41061.01290509259</v>
      </c>
      <c r="C1530">
        <v>40000</v>
      </c>
      <c r="D1530" t="s">
        <v>786</v>
      </c>
      <c r="E1530">
        <f>tblSalaries[[#This Row],[clean Salary (in local currency)]]*VLOOKUP(tblSalaries[[#This Row],[Currency]],[1]!tblXrate[#Data],2,FALSE)</f>
        <v>40000</v>
      </c>
      <c r="F1530" t="s">
        <v>3462</v>
      </c>
      <c r="G1530" t="s">
        <v>788</v>
      </c>
      <c r="H1530" t="s">
        <v>15</v>
      </c>
      <c r="I1530" t="str">
        <f>VLOOKUP(tblSalaries[[#This Row],[Where do you work]],[1]!tblCountries[[Actual]:[Mapping]],2,FALSE)</f>
        <v>USA</v>
      </c>
      <c r="J1530" t="s">
        <v>789</v>
      </c>
      <c r="K1530">
        <v>8</v>
      </c>
    </row>
    <row r="1531" spans="1:11" x14ac:dyDescent="0.2">
      <c r="A1531" t="s">
        <v>3463</v>
      </c>
      <c r="B1531" s="59">
        <v>41061.016597222224</v>
      </c>
      <c r="C1531">
        <v>30000</v>
      </c>
      <c r="D1531" t="s">
        <v>786</v>
      </c>
      <c r="E1531">
        <f>tblSalaries[[#This Row],[clean Salary (in local currency)]]*VLOOKUP(tblSalaries[[#This Row],[Currency]],[1]!tblXrate[#Data],2,FALSE)</f>
        <v>30000</v>
      </c>
      <c r="F1531" t="s">
        <v>3464</v>
      </c>
      <c r="G1531" t="s">
        <v>788</v>
      </c>
      <c r="H1531" t="s">
        <v>117</v>
      </c>
      <c r="I1531" t="str">
        <f>VLOOKUP(tblSalaries[[#This Row],[Where do you work]],[1]!tblCountries[[Actual]:[Mapping]],2,FALSE)</f>
        <v>India</v>
      </c>
      <c r="J1531" t="s">
        <v>794</v>
      </c>
      <c r="K1531">
        <v>4</v>
      </c>
    </row>
    <row r="1532" spans="1:11" x14ac:dyDescent="0.2">
      <c r="A1532" t="s">
        <v>3465</v>
      </c>
      <c r="B1532" s="59">
        <v>41061.061828703707</v>
      </c>
      <c r="C1532">
        <v>46325</v>
      </c>
      <c r="D1532" t="s">
        <v>786</v>
      </c>
      <c r="E1532">
        <f>tblSalaries[[#This Row],[clean Salary (in local currency)]]*VLOOKUP(tblSalaries[[#This Row],[Currency]],[1]!tblXrate[#Data],2,FALSE)</f>
        <v>46325</v>
      </c>
      <c r="F1532" t="s">
        <v>3466</v>
      </c>
      <c r="G1532" t="s">
        <v>792</v>
      </c>
      <c r="H1532" t="s">
        <v>15</v>
      </c>
      <c r="I1532" t="str">
        <f>VLOOKUP(tblSalaries[[#This Row],[Where do you work]],[1]!tblCountries[[Actual]:[Mapping]],2,FALSE)</f>
        <v>USA</v>
      </c>
      <c r="J1532" t="s">
        <v>789</v>
      </c>
      <c r="K1532">
        <v>1</v>
      </c>
    </row>
    <row r="1533" spans="1:11" x14ac:dyDescent="0.2">
      <c r="A1533" t="s">
        <v>3467</v>
      </c>
      <c r="B1533" s="59">
        <v>41061.074803240743</v>
      </c>
      <c r="C1533">
        <v>15000</v>
      </c>
      <c r="D1533" t="s">
        <v>786</v>
      </c>
      <c r="E1533">
        <f>tblSalaries[[#This Row],[clean Salary (in local currency)]]*VLOOKUP(tblSalaries[[#This Row],[Currency]],[1]!tblXrate[#Data],2,FALSE)</f>
        <v>15000</v>
      </c>
      <c r="F1533" t="s">
        <v>2261</v>
      </c>
      <c r="G1533" t="s">
        <v>788</v>
      </c>
      <c r="H1533" t="s">
        <v>15</v>
      </c>
      <c r="I1533" t="str">
        <f>VLOOKUP(tblSalaries[[#This Row],[Where do you work]],[1]!tblCountries[[Actual]:[Mapping]],2,FALSE)</f>
        <v>USA</v>
      </c>
      <c r="J1533" t="s">
        <v>794</v>
      </c>
      <c r="K1533">
        <v>8</v>
      </c>
    </row>
    <row r="1534" spans="1:11" x14ac:dyDescent="0.2">
      <c r="A1534" t="s">
        <v>3468</v>
      </c>
      <c r="B1534" s="59">
        <v>41061.106273148151</v>
      </c>
      <c r="C1534">
        <v>31200</v>
      </c>
      <c r="D1534" t="s">
        <v>786</v>
      </c>
      <c r="E1534">
        <f>tblSalaries[[#This Row],[clean Salary (in local currency)]]*VLOOKUP(tblSalaries[[#This Row],[Currency]],[1]!tblXrate[#Data],2,FALSE)</f>
        <v>31200</v>
      </c>
      <c r="F1534" t="s">
        <v>984</v>
      </c>
      <c r="G1534" t="s">
        <v>788</v>
      </c>
      <c r="H1534" t="s">
        <v>15</v>
      </c>
      <c r="I1534" t="str">
        <f>VLOOKUP(tblSalaries[[#This Row],[Where do you work]],[1]!tblCountries[[Actual]:[Mapping]],2,FALSE)</f>
        <v>USA</v>
      </c>
      <c r="J1534" t="s">
        <v>789</v>
      </c>
      <c r="K1534">
        <v>15</v>
      </c>
    </row>
    <row r="1535" spans="1:11" x14ac:dyDescent="0.2">
      <c r="A1535" t="s">
        <v>3469</v>
      </c>
      <c r="B1535" s="59">
        <v>41061.115520833337</v>
      </c>
      <c r="C1535">
        <v>500000</v>
      </c>
      <c r="D1535" t="s">
        <v>824</v>
      </c>
      <c r="E1535">
        <f>tblSalaries[[#This Row],[clean Salary (in local currency)]]*VLOOKUP(tblSalaries[[#This Row],[Currency]],[1]!tblXrate[#Data],2,FALSE)</f>
        <v>8903.9583437212841</v>
      </c>
      <c r="F1535" t="s">
        <v>1133</v>
      </c>
      <c r="G1535" t="s">
        <v>788</v>
      </c>
      <c r="H1535" t="s">
        <v>117</v>
      </c>
      <c r="I1535" t="str">
        <f>VLOOKUP(tblSalaries[[#This Row],[Where do you work]],[1]!tblCountries[[Actual]:[Mapping]],2,FALSE)</f>
        <v>India</v>
      </c>
      <c r="J1535" t="s">
        <v>789</v>
      </c>
      <c r="K1535">
        <v>9</v>
      </c>
    </row>
    <row r="1536" spans="1:11" x14ac:dyDescent="0.2">
      <c r="A1536" t="s">
        <v>3470</v>
      </c>
      <c r="B1536" s="59">
        <v>41061.125740740739</v>
      </c>
      <c r="C1536">
        <v>15840</v>
      </c>
      <c r="D1536" t="s">
        <v>786</v>
      </c>
      <c r="E1536">
        <f>tblSalaries[[#This Row],[clean Salary (in local currency)]]*VLOOKUP(tblSalaries[[#This Row],[Currency]],[1]!tblXrate[#Data],2,FALSE)</f>
        <v>15840</v>
      </c>
      <c r="F1536" t="s">
        <v>3471</v>
      </c>
      <c r="G1536" t="s">
        <v>788</v>
      </c>
      <c r="H1536" t="s">
        <v>250</v>
      </c>
      <c r="I1536" t="str">
        <f>VLOOKUP(tblSalaries[[#This Row],[Where do you work]],[1]!tblCountries[[Actual]:[Mapping]],2,FALSE)</f>
        <v>Peru</v>
      </c>
      <c r="J1536" t="s">
        <v>794</v>
      </c>
      <c r="K1536">
        <v>8</v>
      </c>
    </row>
    <row r="1537" spans="1:11" x14ac:dyDescent="0.2">
      <c r="A1537" t="s">
        <v>3472</v>
      </c>
      <c r="B1537" s="59">
        <v>41061.130219907405</v>
      </c>
      <c r="C1537">
        <v>850000</v>
      </c>
      <c r="D1537" t="s">
        <v>824</v>
      </c>
      <c r="E1537">
        <f>tblSalaries[[#This Row],[clean Salary (in local currency)]]*VLOOKUP(tblSalaries[[#This Row],[Currency]],[1]!tblXrate[#Data],2,FALSE)</f>
        <v>15136.729184326183</v>
      </c>
      <c r="F1537" t="s">
        <v>3473</v>
      </c>
      <c r="G1537" t="s">
        <v>788</v>
      </c>
      <c r="H1537" t="s">
        <v>117</v>
      </c>
      <c r="I1537" t="str">
        <f>VLOOKUP(tblSalaries[[#This Row],[Where do you work]],[1]!tblCountries[[Actual]:[Mapping]],2,FALSE)</f>
        <v>India</v>
      </c>
      <c r="J1537" t="s">
        <v>789</v>
      </c>
      <c r="K1537">
        <v>5</v>
      </c>
    </row>
    <row r="1538" spans="1:11" x14ac:dyDescent="0.2">
      <c r="A1538" t="s">
        <v>3474</v>
      </c>
      <c r="B1538" s="59">
        <v>41061.174212962964</v>
      </c>
      <c r="C1538">
        <v>41000</v>
      </c>
      <c r="D1538" t="s">
        <v>786</v>
      </c>
      <c r="E1538">
        <f>tblSalaries[[#This Row],[clean Salary (in local currency)]]*VLOOKUP(tblSalaries[[#This Row],[Currency]],[1]!tblXrate[#Data],2,FALSE)</f>
        <v>41000</v>
      </c>
      <c r="F1538" t="s">
        <v>2605</v>
      </c>
      <c r="G1538" t="s">
        <v>867</v>
      </c>
      <c r="H1538" t="s">
        <v>15</v>
      </c>
      <c r="I1538" t="str">
        <f>VLOOKUP(tblSalaries[[#This Row],[Where do you work]],[1]!tblCountries[[Actual]:[Mapping]],2,FALSE)</f>
        <v>USA</v>
      </c>
      <c r="J1538" t="s">
        <v>789</v>
      </c>
      <c r="K1538">
        <v>10</v>
      </c>
    </row>
    <row r="1539" spans="1:11" x14ac:dyDescent="0.2">
      <c r="A1539" t="s">
        <v>3475</v>
      </c>
      <c r="B1539" s="59">
        <v>41061.197557870371</v>
      </c>
      <c r="C1539">
        <v>11000</v>
      </c>
      <c r="D1539" t="s">
        <v>786</v>
      </c>
      <c r="E1539">
        <f>tblSalaries[[#This Row],[clean Salary (in local currency)]]*VLOOKUP(tblSalaries[[#This Row],[Currency]],[1]!tblXrate[#Data],2,FALSE)</f>
        <v>11000</v>
      </c>
      <c r="F1539" t="s">
        <v>1967</v>
      </c>
      <c r="G1539" t="s">
        <v>807</v>
      </c>
      <c r="H1539" t="s">
        <v>2372</v>
      </c>
      <c r="I1539" t="str">
        <f>VLOOKUP(tblSalaries[[#This Row],[Where do you work]],[1]!tblCountries[[Actual]:[Mapping]],2,FALSE)</f>
        <v>Mexico</v>
      </c>
      <c r="J1539" t="s">
        <v>789</v>
      </c>
      <c r="K1539">
        <v>2</v>
      </c>
    </row>
    <row r="1540" spans="1:11" x14ac:dyDescent="0.2">
      <c r="A1540" t="s">
        <v>3476</v>
      </c>
      <c r="B1540" s="59">
        <v>41061.230914351851</v>
      </c>
      <c r="C1540">
        <v>35000</v>
      </c>
      <c r="D1540" t="s">
        <v>861</v>
      </c>
      <c r="E1540">
        <f>tblSalaries[[#This Row],[clean Salary (in local currency)]]*VLOOKUP(tblSalaries[[#This Row],[Currency]],[1]!tblXrate[#Data],2,FALSE)</f>
        <v>55166.239522354947</v>
      </c>
      <c r="F1540" t="s">
        <v>3477</v>
      </c>
      <c r="G1540" t="s">
        <v>813</v>
      </c>
      <c r="H1540" t="s">
        <v>863</v>
      </c>
      <c r="I1540" t="str">
        <f>VLOOKUP(tblSalaries[[#This Row],[Where do you work]],[1]!tblCountries[[Actual]:[Mapping]],2,FALSE)</f>
        <v>UK</v>
      </c>
      <c r="J1540" t="s">
        <v>799</v>
      </c>
      <c r="K1540">
        <v>30</v>
      </c>
    </row>
    <row r="1541" spans="1:11" x14ac:dyDescent="0.2">
      <c r="A1541" t="s">
        <v>3478</v>
      </c>
      <c r="B1541" s="59">
        <v>41061.234398148146</v>
      </c>
      <c r="C1541">
        <v>240000</v>
      </c>
      <c r="D1541" t="s">
        <v>1314</v>
      </c>
      <c r="E1541">
        <f>tblSalaries[[#This Row],[clean Salary (in local currency)]]*VLOOKUP(tblSalaries[[#This Row],[Currency]],[1]!tblXrate[#Data],2,FALSE)</f>
        <v>5689.2125418690484</v>
      </c>
      <c r="F1541" t="s">
        <v>3479</v>
      </c>
      <c r="G1541" t="s">
        <v>807</v>
      </c>
      <c r="H1541" t="s">
        <v>252</v>
      </c>
      <c r="I1541" t="str">
        <f>VLOOKUP(tblSalaries[[#This Row],[Where do you work]],[1]!tblCountries[[Actual]:[Mapping]],2,FALSE)</f>
        <v>Philippines</v>
      </c>
      <c r="J1541" t="s">
        <v>789</v>
      </c>
      <c r="K1541">
        <v>15</v>
      </c>
    </row>
    <row r="1542" spans="1:11" x14ac:dyDescent="0.2">
      <c r="A1542" t="s">
        <v>3480</v>
      </c>
      <c r="B1542" s="59">
        <v>41061.244571759256</v>
      </c>
      <c r="C1542">
        <v>17728</v>
      </c>
      <c r="D1542" t="s">
        <v>786</v>
      </c>
      <c r="E1542">
        <f>tblSalaries[[#This Row],[clean Salary (in local currency)]]*VLOOKUP(tblSalaries[[#This Row],[Currency]],[1]!tblXrate[#Data],2,FALSE)</f>
        <v>17728</v>
      </c>
      <c r="F1542" t="s">
        <v>1507</v>
      </c>
      <c r="G1542" t="s">
        <v>788</v>
      </c>
      <c r="H1542" t="s">
        <v>2</v>
      </c>
      <c r="I1542" t="str">
        <f>VLOOKUP(tblSalaries[[#This Row],[Where do you work]],[1]!tblCountries[[Actual]:[Mapping]],2,FALSE)</f>
        <v>Mexico</v>
      </c>
      <c r="J1542" t="s">
        <v>789</v>
      </c>
      <c r="K1542">
        <v>3</v>
      </c>
    </row>
    <row r="1543" spans="1:11" x14ac:dyDescent="0.2">
      <c r="A1543" t="s">
        <v>3481</v>
      </c>
      <c r="B1543" s="59">
        <v>41061.247453703705</v>
      </c>
      <c r="C1543">
        <v>120000</v>
      </c>
      <c r="D1543" t="s">
        <v>3482</v>
      </c>
      <c r="E1543">
        <f>tblSalaries[[#This Row],[clean Salary (in local currency)]]*VLOOKUP(tblSalaries[[#This Row],[Currency]],[1]!tblXrate[#Data],2,FALSE)</f>
        <v>13745.704467353951</v>
      </c>
      <c r="F1543" t="s">
        <v>3483</v>
      </c>
      <c r="G1543" t="s">
        <v>792</v>
      </c>
      <c r="H1543" t="s">
        <v>198</v>
      </c>
      <c r="I1543" t="str">
        <f>VLOOKUP(tblSalaries[[#This Row],[Where do you work]],[1]!tblCountries[[Actual]:[Mapping]],2,FALSE)</f>
        <v>Morocco</v>
      </c>
      <c r="J1543" t="s">
        <v>794</v>
      </c>
      <c r="K1543">
        <v>8</v>
      </c>
    </row>
    <row r="1544" spans="1:11" x14ac:dyDescent="0.2">
      <c r="A1544" t="s">
        <v>3484</v>
      </c>
      <c r="B1544" s="59">
        <v>41061.262025462966</v>
      </c>
      <c r="C1544">
        <v>50000</v>
      </c>
      <c r="D1544" t="s">
        <v>786</v>
      </c>
      <c r="E1544">
        <f>tblSalaries[[#This Row],[clean Salary (in local currency)]]*VLOOKUP(tblSalaries[[#This Row],[Currency]],[1]!tblXrate[#Data],2,FALSE)</f>
        <v>50000</v>
      </c>
      <c r="F1544" t="s">
        <v>2896</v>
      </c>
      <c r="G1544" t="s">
        <v>817</v>
      </c>
      <c r="H1544" t="s">
        <v>15</v>
      </c>
      <c r="I1544" t="str">
        <f>VLOOKUP(tblSalaries[[#This Row],[Where do you work]],[1]!tblCountries[[Actual]:[Mapping]],2,FALSE)</f>
        <v>USA</v>
      </c>
      <c r="J1544" t="s">
        <v>789</v>
      </c>
      <c r="K1544">
        <v>15</v>
      </c>
    </row>
    <row r="1545" spans="1:11" x14ac:dyDescent="0.2">
      <c r="A1545" t="s">
        <v>3485</v>
      </c>
      <c r="B1545" s="59">
        <v>41061.272094907406</v>
      </c>
      <c r="C1545">
        <v>80000</v>
      </c>
      <c r="D1545" t="s">
        <v>882</v>
      </c>
      <c r="E1545">
        <f>tblSalaries[[#This Row],[clean Salary (in local currency)]]*VLOOKUP(tblSalaries[[#This Row],[Currency]],[1]!tblXrate[#Data],2,FALSE)</f>
        <v>78668.921842426149</v>
      </c>
      <c r="F1545" t="s">
        <v>3486</v>
      </c>
      <c r="G1545" t="s">
        <v>788</v>
      </c>
      <c r="H1545" t="s">
        <v>143</v>
      </c>
      <c r="I1545" t="str">
        <f>VLOOKUP(tblSalaries[[#This Row],[Where do you work]],[1]!tblCountries[[Actual]:[Mapping]],2,FALSE)</f>
        <v>Canada</v>
      </c>
      <c r="J1545" t="s">
        <v>789</v>
      </c>
      <c r="K1545">
        <v>7</v>
      </c>
    </row>
    <row r="1546" spans="1:11" x14ac:dyDescent="0.2">
      <c r="A1546" t="s">
        <v>3487</v>
      </c>
      <c r="B1546" s="59">
        <v>41061.287407407406</v>
      </c>
      <c r="C1546">
        <v>85000</v>
      </c>
      <c r="D1546" t="s">
        <v>786</v>
      </c>
      <c r="E1546">
        <f>tblSalaries[[#This Row],[clean Salary (in local currency)]]*VLOOKUP(tblSalaries[[#This Row],[Currency]],[1]!tblXrate[#Data],2,FALSE)</f>
        <v>85000</v>
      </c>
      <c r="F1546" t="s">
        <v>3488</v>
      </c>
      <c r="G1546" t="s">
        <v>836</v>
      </c>
      <c r="H1546" t="s">
        <v>15</v>
      </c>
      <c r="I1546" t="str">
        <f>VLOOKUP(tblSalaries[[#This Row],[Where do you work]],[1]!tblCountries[[Actual]:[Mapping]],2,FALSE)</f>
        <v>USA</v>
      </c>
      <c r="J1546" t="s">
        <v>789</v>
      </c>
      <c r="K1546">
        <v>10</v>
      </c>
    </row>
    <row r="1547" spans="1:11" x14ac:dyDescent="0.2">
      <c r="A1547" t="s">
        <v>3489</v>
      </c>
      <c r="B1547" s="59">
        <v>41061.30736111111</v>
      </c>
      <c r="C1547">
        <v>100000</v>
      </c>
      <c r="D1547" t="s">
        <v>877</v>
      </c>
      <c r="E1547">
        <f>tblSalaries[[#This Row],[clean Salary (in local currency)]]*VLOOKUP(tblSalaries[[#This Row],[Currency]],[1]!tblXrate[#Data],2,FALSE)</f>
        <v>101990.96564026357</v>
      </c>
      <c r="F1547" t="s">
        <v>1995</v>
      </c>
      <c r="G1547" t="s">
        <v>807</v>
      </c>
      <c r="H1547" t="s">
        <v>33</v>
      </c>
      <c r="I1547" t="str">
        <f>VLOOKUP(tblSalaries[[#This Row],[Where do you work]],[1]!tblCountries[[Actual]:[Mapping]],2,FALSE)</f>
        <v>Australia</v>
      </c>
      <c r="J1547" t="s">
        <v>789</v>
      </c>
      <c r="K1547">
        <v>20</v>
      </c>
    </row>
    <row r="1548" spans="1:11" x14ac:dyDescent="0.2">
      <c r="A1548" t="s">
        <v>3490</v>
      </c>
      <c r="B1548" s="59">
        <v>41061.337893518517</v>
      </c>
      <c r="C1548">
        <v>5650000</v>
      </c>
      <c r="D1548" t="s">
        <v>824</v>
      </c>
      <c r="E1548">
        <f>tblSalaries[[#This Row],[clean Salary (in local currency)]]*VLOOKUP(tblSalaries[[#This Row],[Currency]],[1]!tblXrate[#Data],2,FALSE)</f>
        <v>100614.72928405051</v>
      </c>
      <c r="F1548" t="s">
        <v>1336</v>
      </c>
      <c r="G1548" t="s">
        <v>836</v>
      </c>
      <c r="H1548" t="s">
        <v>117</v>
      </c>
      <c r="I1548" t="str">
        <f>VLOOKUP(tblSalaries[[#This Row],[Where do you work]],[1]!tblCountries[[Actual]:[Mapping]],2,FALSE)</f>
        <v>India</v>
      </c>
      <c r="J1548" t="s">
        <v>799</v>
      </c>
      <c r="K1548">
        <v>6</v>
      </c>
    </row>
    <row r="1549" spans="1:11" x14ac:dyDescent="0.2">
      <c r="A1549" t="s">
        <v>3491</v>
      </c>
      <c r="B1549" s="59">
        <v>41061.369803240741</v>
      </c>
      <c r="C1549">
        <v>85000</v>
      </c>
      <c r="D1549" t="s">
        <v>877</v>
      </c>
      <c r="E1549">
        <f>tblSalaries[[#This Row],[clean Salary (in local currency)]]*VLOOKUP(tblSalaries[[#This Row],[Currency]],[1]!tblXrate[#Data],2,FALSE)</f>
        <v>86692.320794224041</v>
      </c>
      <c r="F1549" t="s">
        <v>3492</v>
      </c>
      <c r="G1549" t="s">
        <v>788</v>
      </c>
      <c r="H1549" t="s">
        <v>33</v>
      </c>
      <c r="I1549" t="str">
        <f>VLOOKUP(tblSalaries[[#This Row],[Where do you work]],[1]!tblCountries[[Actual]:[Mapping]],2,FALSE)</f>
        <v>Australia</v>
      </c>
      <c r="J1549" t="s">
        <v>789</v>
      </c>
      <c r="K1549">
        <v>30</v>
      </c>
    </row>
    <row r="1550" spans="1:11" x14ac:dyDescent="0.2">
      <c r="A1550" t="s">
        <v>3493</v>
      </c>
      <c r="B1550" s="59">
        <v>41061.45517361111</v>
      </c>
      <c r="C1550">
        <v>120000</v>
      </c>
      <c r="D1550" t="s">
        <v>877</v>
      </c>
      <c r="E1550">
        <f>tblSalaries[[#This Row],[clean Salary (in local currency)]]*VLOOKUP(tblSalaries[[#This Row],[Currency]],[1]!tblXrate[#Data],2,FALSE)</f>
        <v>122389.15876831629</v>
      </c>
      <c r="F1550" t="s">
        <v>2117</v>
      </c>
      <c r="G1550" t="s">
        <v>788</v>
      </c>
      <c r="H1550" t="s">
        <v>33</v>
      </c>
      <c r="I1550" t="str">
        <f>VLOOKUP(tblSalaries[[#This Row],[Where do you work]],[1]!tblCountries[[Actual]:[Mapping]],2,FALSE)</f>
        <v>Australia</v>
      </c>
      <c r="J1550" t="s">
        <v>799</v>
      </c>
      <c r="K1550">
        <v>5</v>
      </c>
    </row>
    <row r="1551" spans="1:11" x14ac:dyDescent="0.2">
      <c r="A1551" t="s">
        <v>3494</v>
      </c>
      <c r="B1551" s="59">
        <v>41061.456932870373</v>
      </c>
      <c r="C1551">
        <v>360000</v>
      </c>
      <c r="D1551" t="s">
        <v>824</v>
      </c>
      <c r="E1551">
        <f>tblSalaries[[#This Row],[clean Salary (in local currency)]]*VLOOKUP(tblSalaries[[#This Row],[Currency]],[1]!tblXrate[#Data],2,FALSE)</f>
        <v>6410.8500074793246</v>
      </c>
      <c r="F1551" t="s">
        <v>3495</v>
      </c>
      <c r="G1551" t="s">
        <v>807</v>
      </c>
      <c r="H1551" t="s">
        <v>117</v>
      </c>
      <c r="I1551" t="str">
        <f>VLOOKUP(tblSalaries[[#This Row],[Where do you work]],[1]!tblCountries[[Actual]:[Mapping]],2,FALSE)</f>
        <v>India</v>
      </c>
      <c r="J1551" t="s">
        <v>799</v>
      </c>
      <c r="K1551">
        <v>8</v>
      </c>
    </row>
    <row r="1552" spans="1:11" x14ac:dyDescent="0.2">
      <c r="A1552" t="s">
        <v>3496</v>
      </c>
      <c r="B1552" s="59">
        <v>41061.543958333335</v>
      </c>
      <c r="C1552">
        <v>44000</v>
      </c>
      <c r="D1552" t="s">
        <v>786</v>
      </c>
      <c r="E1552">
        <f>tblSalaries[[#This Row],[clean Salary (in local currency)]]*VLOOKUP(tblSalaries[[#This Row],[Currency]],[1]!tblXrate[#Data],2,FALSE)</f>
        <v>44000</v>
      </c>
      <c r="F1552" t="s">
        <v>3497</v>
      </c>
      <c r="G1552" t="s">
        <v>788</v>
      </c>
      <c r="H1552" t="s">
        <v>15</v>
      </c>
      <c r="I1552" t="str">
        <f>VLOOKUP(tblSalaries[[#This Row],[Where do you work]],[1]!tblCountries[[Actual]:[Mapping]],2,FALSE)</f>
        <v>USA</v>
      </c>
      <c r="J1552" t="s">
        <v>789</v>
      </c>
      <c r="K1552">
        <v>3.5</v>
      </c>
    </row>
    <row r="1553" spans="1:11" x14ac:dyDescent="0.2">
      <c r="A1553" t="s">
        <v>3498</v>
      </c>
      <c r="B1553" s="59">
        <v>41061.606030092589</v>
      </c>
      <c r="C1553">
        <v>250000</v>
      </c>
      <c r="D1553" t="s">
        <v>824</v>
      </c>
      <c r="E1553">
        <f>tblSalaries[[#This Row],[clean Salary (in local currency)]]*VLOOKUP(tblSalaries[[#This Row],[Currency]],[1]!tblXrate[#Data],2,FALSE)</f>
        <v>4451.9791718606421</v>
      </c>
      <c r="F1553" t="s">
        <v>3499</v>
      </c>
      <c r="G1553" t="s">
        <v>802</v>
      </c>
      <c r="H1553" t="s">
        <v>117</v>
      </c>
      <c r="I1553" t="str">
        <f>VLOOKUP(tblSalaries[[#This Row],[Where do you work]],[1]!tblCountries[[Actual]:[Mapping]],2,FALSE)</f>
        <v>India</v>
      </c>
      <c r="J1553" t="s">
        <v>789</v>
      </c>
      <c r="K1553">
        <v>2.5</v>
      </c>
    </row>
    <row r="1554" spans="1:11" x14ac:dyDescent="0.2">
      <c r="A1554" t="s">
        <v>3500</v>
      </c>
      <c r="B1554" s="59">
        <v>41061.618530092594</v>
      </c>
      <c r="C1554">
        <v>4500</v>
      </c>
      <c r="D1554" t="s">
        <v>786</v>
      </c>
      <c r="E1554">
        <f>tblSalaries[[#This Row],[clean Salary (in local currency)]]*VLOOKUP(tblSalaries[[#This Row],[Currency]],[1]!tblXrate[#Data],2,FALSE)</f>
        <v>4500</v>
      </c>
      <c r="F1554" t="s">
        <v>3501</v>
      </c>
      <c r="G1554" t="s">
        <v>788</v>
      </c>
      <c r="H1554" t="s">
        <v>240</v>
      </c>
      <c r="I1554" t="str">
        <f>VLOOKUP(tblSalaries[[#This Row],[Where do you work]],[1]!tblCountries[[Actual]:[Mapping]],2,FALSE)</f>
        <v>Pakistan</v>
      </c>
      <c r="J1554" t="s">
        <v>789</v>
      </c>
      <c r="K1554">
        <v>6</v>
      </c>
    </row>
    <row r="1555" spans="1:11" x14ac:dyDescent="0.2">
      <c r="A1555" t="s">
        <v>3502</v>
      </c>
      <c r="B1555" s="59">
        <v>41061.631562499999</v>
      </c>
      <c r="C1555">
        <v>1700000</v>
      </c>
      <c r="D1555" t="s">
        <v>824</v>
      </c>
      <c r="E1555">
        <f>tblSalaries[[#This Row],[clean Salary (in local currency)]]*VLOOKUP(tblSalaries[[#This Row],[Currency]],[1]!tblXrate[#Data],2,FALSE)</f>
        <v>30273.458368652366</v>
      </c>
      <c r="F1555" t="s">
        <v>3503</v>
      </c>
      <c r="G1555" t="s">
        <v>813</v>
      </c>
      <c r="H1555" t="s">
        <v>117</v>
      </c>
      <c r="I1555" t="str">
        <f>VLOOKUP(tblSalaries[[#This Row],[Where do you work]],[1]!tblCountries[[Actual]:[Mapping]],2,FALSE)</f>
        <v>India</v>
      </c>
      <c r="J1555" t="s">
        <v>789</v>
      </c>
      <c r="K1555">
        <v>6</v>
      </c>
    </row>
    <row r="1556" spans="1:11" x14ac:dyDescent="0.2">
      <c r="A1556" t="s">
        <v>3504</v>
      </c>
      <c r="B1556" s="59">
        <v>41061.652314814812</v>
      </c>
      <c r="C1556">
        <v>52000</v>
      </c>
      <c r="D1556" t="s">
        <v>786</v>
      </c>
      <c r="E1556">
        <f>tblSalaries[[#This Row],[clean Salary (in local currency)]]*VLOOKUP(tblSalaries[[#This Row],[Currency]],[1]!tblXrate[#Data],2,FALSE)</f>
        <v>52000</v>
      </c>
      <c r="F1556" t="s">
        <v>1594</v>
      </c>
      <c r="G1556" t="s">
        <v>788</v>
      </c>
      <c r="H1556" t="s">
        <v>15</v>
      </c>
      <c r="I1556" t="str">
        <f>VLOOKUP(tblSalaries[[#This Row],[Where do you work]],[1]!tblCountries[[Actual]:[Mapping]],2,FALSE)</f>
        <v>USA</v>
      </c>
      <c r="J1556" t="s">
        <v>794</v>
      </c>
      <c r="K1556">
        <v>5</v>
      </c>
    </row>
    <row r="1557" spans="1:11" x14ac:dyDescent="0.2">
      <c r="A1557" t="s">
        <v>3505</v>
      </c>
      <c r="B1557" s="59">
        <v>41061.755636574075</v>
      </c>
      <c r="C1557">
        <v>75000</v>
      </c>
      <c r="D1557" t="s">
        <v>786</v>
      </c>
      <c r="E1557">
        <f>tblSalaries[[#This Row],[clean Salary (in local currency)]]*VLOOKUP(tblSalaries[[#This Row],[Currency]],[1]!tblXrate[#Data],2,FALSE)</f>
        <v>75000</v>
      </c>
      <c r="F1557" t="s">
        <v>867</v>
      </c>
      <c r="G1557" t="s">
        <v>867</v>
      </c>
      <c r="H1557" t="s">
        <v>72</v>
      </c>
      <c r="I1557" t="str">
        <f>VLOOKUP(tblSalaries[[#This Row],[Where do you work]],[1]!tblCountries[[Actual]:[Mapping]],2,FALSE)</f>
        <v>Germany</v>
      </c>
      <c r="J1557" t="s">
        <v>799</v>
      </c>
      <c r="K1557">
        <v>9</v>
      </c>
    </row>
    <row r="1558" spans="1:11" x14ac:dyDescent="0.2">
      <c r="A1558" t="s">
        <v>3506</v>
      </c>
      <c r="B1558" s="59">
        <v>41061.762858796297</v>
      </c>
      <c r="C1558">
        <v>1000000</v>
      </c>
      <c r="D1558" t="s">
        <v>824</v>
      </c>
      <c r="E1558">
        <f>tblSalaries[[#This Row],[clean Salary (in local currency)]]*VLOOKUP(tblSalaries[[#This Row],[Currency]],[1]!tblXrate[#Data],2,FALSE)</f>
        <v>17807.916687442568</v>
      </c>
      <c r="F1558" t="s">
        <v>914</v>
      </c>
      <c r="G1558" t="s">
        <v>788</v>
      </c>
      <c r="H1558" t="s">
        <v>117</v>
      </c>
      <c r="I1558" t="str">
        <f>VLOOKUP(tblSalaries[[#This Row],[Where do you work]],[1]!tblCountries[[Actual]:[Mapping]],2,FALSE)</f>
        <v>India</v>
      </c>
      <c r="J1558" t="s">
        <v>794</v>
      </c>
      <c r="K1558">
        <v>4</v>
      </c>
    </row>
    <row r="1559" spans="1:11" x14ac:dyDescent="0.2">
      <c r="A1559" t="s">
        <v>3507</v>
      </c>
      <c r="B1559" s="59">
        <v>41061.790763888886</v>
      </c>
      <c r="C1559">
        <v>177600</v>
      </c>
      <c r="D1559" t="s">
        <v>786</v>
      </c>
      <c r="E1559">
        <f>tblSalaries[[#This Row],[clean Salary (in local currency)]]*VLOOKUP(tblSalaries[[#This Row],[Currency]],[1]!tblXrate[#Data],2,FALSE)</f>
        <v>177600</v>
      </c>
      <c r="F1559" t="s">
        <v>817</v>
      </c>
      <c r="G1559" t="s">
        <v>817</v>
      </c>
      <c r="H1559" t="s">
        <v>171</v>
      </c>
      <c r="I1559" t="str">
        <f>VLOOKUP(tblSalaries[[#This Row],[Where do you work]],[1]!tblCountries[[Actual]:[Mapping]],2,FALSE)</f>
        <v>Lesotho</v>
      </c>
      <c r="J1559" t="s">
        <v>789</v>
      </c>
      <c r="K1559">
        <v>6</v>
      </c>
    </row>
    <row r="1560" spans="1:11" x14ac:dyDescent="0.2">
      <c r="A1560" t="s">
        <v>3508</v>
      </c>
      <c r="B1560" s="59">
        <v>41061.82136574074</v>
      </c>
      <c r="C1560">
        <v>650000</v>
      </c>
      <c r="D1560" t="s">
        <v>824</v>
      </c>
      <c r="E1560">
        <f>tblSalaries[[#This Row],[clean Salary (in local currency)]]*VLOOKUP(tblSalaries[[#This Row],[Currency]],[1]!tblXrate[#Data],2,FALSE)</f>
        <v>11575.14584683767</v>
      </c>
      <c r="F1560" t="s">
        <v>1737</v>
      </c>
      <c r="G1560" t="s">
        <v>788</v>
      </c>
      <c r="H1560" t="s">
        <v>117</v>
      </c>
      <c r="I1560" t="str">
        <f>VLOOKUP(tblSalaries[[#This Row],[Where do you work]],[1]!tblCountries[[Actual]:[Mapping]],2,FALSE)</f>
        <v>India</v>
      </c>
      <c r="J1560" t="s">
        <v>789</v>
      </c>
      <c r="K1560">
        <v>5</v>
      </c>
    </row>
    <row r="1561" spans="1:11" x14ac:dyDescent="0.2">
      <c r="A1561" t="s">
        <v>3509</v>
      </c>
      <c r="B1561" s="59">
        <v>41061.823993055557</v>
      </c>
      <c r="C1561">
        <v>21000</v>
      </c>
      <c r="D1561" t="s">
        <v>805</v>
      </c>
      <c r="E1561">
        <f>tblSalaries[[#This Row],[clean Salary (in local currency)]]*VLOOKUP(tblSalaries[[#This Row],[Currency]],[1]!tblXrate[#Data],2,FALSE)</f>
        <v>26678.388218823762</v>
      </c>
      <c r="F1561" t="s">
        <v>3510</v>
      </c>
      <c r="G1561" t="s">
        <v>807</v>
      </c>
      <c r="H1561" t="s">
        <v>256</v>
      </c>
      <c r="I1561" t="str">
        <f>VLOOKUP(tblSalaries[[#This Row],[Where do you work]],[1]!tblCountries[[Actual]:[Mapping]],2,FALSE)</f>
        <v>Portugal</v>
      </c>
      <c r="J1561" t="s">
        <v>789</v>
      </c>
      <c r="K1561">
        <v>10</v>
      </c>
    </row>
    <row r="1562" spans="1:11" x14ac:dyDescent="0.2">
      <c r="A1562" t="s">
        <v>3511</v>
      </c>
      <c r="B1562" s="59">
        <v>41061.831770833334</v>
      </c>
      <c r="C1562">
        <v>80000</v>
      </c>
      <c r="D1562" t="s">
        <v>861</v>
      </c>
      <c r="E1562">
        <f>tblSalaries[[#This Row],[clean Salary (in local currency)]]*VLOOKUP(tblSalaries[[#This Row],[Currency]],[1]!tblXrate[#Data],2,FALSE)</f>
        <v>126094.26176538273</v>
      </c>
      <c r="F1562" t="s">
        <v>3512</v>
      </c>
      <c r="G1562" t="s">
        <v>867</v>
      </c>
      <c r="H1562" t="s">
        <v>863</v>
      </c>
      <c r="I1562" t="str">
        <f>VLOOKUP(tblSalaries[[#This Row],[Where do you work]],[1]!tblCountries[[Actual]:[Mapping]],2,FALSE)</f>
        <v>UK</v>
      </c>
      <c r="J1562" t="s">
        <v>789</v>
      </c>
      <c r="K1562">
        <v>12</v>
      </c>
    </row>
    <row r="1563" spans="1:11" x14ac:dyDescent="0.2">
      <c r="A1563" t="s">
        <v>3513</v>
      </c>
      <c r="B1563" s="59">
        <v>41061.841921296298</v>
      </c>
      <c r="C1563">
        <v>6000</v>
      </c>
      <c r="D1563" t="s">
        <v>786</v>
      </c>
      <c r="E1563">
        <f>tblSalaries[[#This Row],[clean Salary (in local currency)]]*VLOOKUP(tblSalaries[[#This Row],[Currency]],[1]!tblXrate[#Data],2,FALSE)</f>
        <v>6000</v>
      </c>
      <c r="F1563" t="s">
        <v>1070</v>
      </c>
      <c r="G1563" t="s">
        <v>788</v>
      </c>
      <c r="H1563" t="s">
        <v>117</v>
      </c>
      <c r="I1563" t="str">
        <f>VLOOKUP(tblSalaries[[#This Row],[Where do you work]],[1]!tblCountries[[Actual]:[Mapping]],2,FALSE)</f>
        <v>India</v>
      </c>
      <c r="J1563" t="s">
        <v>789</v>
      </c>
      <c r="K1563">
        <v>2</v>
      </c>
    </row>
    <row r="1564" spans="1:11" x14ac:dyDescent="0.2">
      <c r="A1564" t="s">
        <v>3514</v>
      </c>
      <c r="B1564" s="59">
        <v>41061.852349537039</v>
      </c>
      <c r="C1564">
        <v>10000</v>
      </c>
      <c r="D1564" t="s">
        <v>786</v>
      </c>
      <c r="E1564">
        <f>tblSalaries[[#This Row],[clean Salary (in local currency)]]*VLOOKUP(tblSalaries[[#This Row],[Currency]],[1]!tblXrate[#Data],2,FALSE)</f>
        <v>10000</v>
      </c>
      <c r="F1564" t="s">
        <v>1336</v>
      </c>
      <c r="G1564" t="s">
        <v>836</v>
      </c>
      <c r="H1564" t="s">
        <v>117</v>
      </c>
      <c r="I1564" t="str">
        <f>VLOOKUP(tblSalaries[[#This Row],[Where do you work]],[1]!tblCountries[[Actual]:[Mapping]],2,FALSE)</f>
        <v>India</v>
      </c>
      <c r="J1564" t="s">
        <v>794</v>
      </c>
      <c r="K1564">
        <v>6</v>
      </c>
    </row>
    <row r="1565" spans="1:11" x14ac:dyDescent="0.2">
      <c r="A1565" t="s">
        <v>3515</v>
      </c>
      <c r="B1565" s="59">
        <v>41061.8596412037</v>
      </c>
      <c r="C1565">
        <v>50000</v>
      </c>
      <c r="D1565" t="s">
        <v>786</v>
      </c>
      <c r="E1565">
        <f>tblSalaries[[#This Row],[clean Salary (in local currency)]]*VLOOKUP(tblSalaries[[#This Row],[Currency]],[1]!tblXrate[#Data],2,FALSE)</f>
        <v>50000</v>
      </c>
      <c r="F1565" t="s">
        <v>1531</v>
      </c>
      <c r="G1565" t="s">
        <v>788</v>
      </c>
      <c r="H1565" t="s">
        <v>15</v>
      </c>
      <c r="I1565" t="str">
        <f>VLOOKUP(tblSalaries[[#This Row],[Where do you work]],[1]!tblCountries[[Actual]:[Mapping]],2,FALSE)</f>
        <v>USA</v>
      </c>
      <c r="J1565" t="s">
        <v>794</v>
      </c>
      <c r="K1565">
        <v>2</v>
      </c>
    </row>
    <row r="1566" spans="1:11" x14ac:dyDescent="0.2">
      <c r="A1566" t="s">
        <v>3516</v>
      </c>
      <c r="B1566" s="59">
        <v>41061.860381944447</v>
      </c>
      <c r="C1566">
        <v>10000</v>
      </c>
      <c r="D1566" t="s">
        <v>786</v>
      </c>
      <c r="E1566">
        <f>tblSalaries[[#This Row],[clean Salary (in local currency)]]*VLOOKUP(tblSalaries[[#This Row],[Currency]],[1]!tblXrate[#Data],2,FALSE)</f>
        <v>10000</v>
      </c>
      <c r="F1566" t="s">
        <v>3517</v>
      </c>
      <c r="G1566" t="s">
        <v>807</v>
      </c>
      <c r="H1566" t="s">
        <v>117</v>
      </c>
      <c r="I1566" t="str">
        <f>VLOOKUP(tblSalaries[[#This Row],[Where do you work]],[1]!tblCountries[[Actual]:[Mapping]],2,FALSE)</f>
        <v>India</v>
      </c>
      <c r="J1566" t="s">
        <v>794</v>
      </c>
      <c r="K1566">
        <v>12</v>
      </c>
    </row>
    <row r="1567" spans="1:11" x14ac:dyDescent="0.2">
      <c r="A1567" t="s">
        <v>3518</v>
      </c>
      <c r="B1567" s="59">
        <v>41061.87023148148</v>
      </c>
      <c r="C1567">
        <v>50000</v>
      </c>
      <c r="D1567" t="s">
        <v>786</v>
      </c>
      <c r="E1567">
        <f>tblSalaries[[#This Row],[clean Salary (in local currency)]]*VLOOKUP(tblSalaries[[#This Row],[Currency]],[1]!tblXrate[#Data],2,FALSE)</f>
        <v>50000</v>
      </c>
      <c r="F1567" t="s">
        <v>3519</v>
      </c>
      <c r="G1567" t="s">
        <v>788</v>
      </c>
      <c r="H1567" t="s">
        <v>15</v>
      </c>
      <c r="I1567" t="str">
        <f>VLOOKUP(tblSalaries[[#This Row],[Where do you work]],[1]!tblCountries[[Actual]:[Mapping]],2,FALSE)</f>
        <v>USA</v>
      </c>
      <c r="J1567" t="s">
        <v>794</v>
      </c>
      <c r="K1567">
        <v>12</v>
      </c>
    </row>
    <row r="1568" spans="1:11" x14ac:dyDescent="0.2">
      <c r="A1568" t="s">
        <v>3520</v>
      </c>
      <c r="B1568" s="59">
        <v>41061.930856481478</v>
      </c>
      <c r="C1568">
        <v>20000</v>
      </c>
      <c r="D1568" t="s">
        <v>786</v>
      </c>
      <c r="E1568">
        <f>tblSalaries[[#This Row],[clean Salary (in local currency)]]*VLOOKUP(tblSalaries[[#This Row],[Currency]],[1]!tblXrate[#Data],2,FALSE)</f>
        <v>20000</v>
      </c>
      <c r="F1568" t="s">
        <v>807</v>
      </c>
      <c r="G1568" t="s">
        <v>807</v>
      </c>
      <c r="H1568" t="s">
        <v>117</v>
      </c>
      <c r="I1568" t="str">
        <f>VLOOKUP(tblSalaries[[#This Row],[Where do you work]],[1]!tblCountries[[Actual]:[Mapping]],2,FALSE)</f>
        <v>India</v>
      </c>
      <c r="J1568" t="s">
        <v>789</v>
      </c>
      <c r="K1568">
        <v>1</v>
      </c>
    </row>
    <row r="1569" spans="1:11" x14ac:dyDescent="0.2">
      <c r="A1569" t="s">
        <v>3521</v>
      </c>
      <c r="B1569" s="59">
        <v>41061.97896990741</v>
      </c>
      <c r="C1569">
        <v>20000</v>
      </c>
      <c r="D1569" t="s">
        <v>861</v>
      </c>
      <c r="E1569">
        <f>tblSalaries[[#This Row],[clean Salary (in local currency)]]*VLOOKUP(tblSalaries[[#This Row],[Currency]],[1]!tblXrate[#Data],2,FALSE)</f>
        <v>31523.565441345683</v>
      </c>
      <c r="F1569" t="s">
        <v>1381</v>
      </c>
      <c r="G1569" t="s">
        <v>788</v>
      </c>
      <c r="H1569" t="s">
        <v>863</v>
      </c>
      <c r="I1569" t="str">
        <f>VLOOKUP(tblSalaries[[#This Row],[Where do you work]],[1]!tblCountries[[Actual]:[Mapping]],2,FALSE)</f>
        <v>UK</v>
      </c>
      <c r="J1569" t="s">
        <v>794</v>
      </c>
      <c r="K1569">
        <v>3</v>
      </c>
    </row>
    <row r="1570" spans="1:11" x14ac:dyDescent="0.2">
      <c r="A1570" t="s">
        <v>3522</v>
      </c>
      <c r="B1570" s="59">
        <v>41062.061851851853</v>
      </c>
      <c r="C1570">
        <v>50000</v>
      </c>
      <c r="D1570" t="s">
        <v>805</v>
      </c>
      <c r="E1570">
        <f>tblSalaries[[#This Row],[clean Salary (in local currency)]]*VLOOKUP(tblSalaries[[#This Row],[Currency]],[1]!tblXrate[#Data],2,FALSE)</f>
        <v>63519.971949580387</v>
      </c>
      <c r="F1570" t="s">
        <v>792</v>
      </c>
      <c r="G1570" t="s">
        <v>792</v>
      </c>
      <c r="H1570" t="s">
        <v>228</v>
      </c>
      <c r="I1570" t="str">
        <f>VLOOKUP(tblSalaries[[#This Row],[Where do you work]],[1]!tblCountries[[Actual]:[Mapping]],2,FALSE)</f>
        <v>Netherlands</v>
      </c>
      <c r="J1570" t="s">
        <v>789</v>
      </c>
      <c r="K1570">
        <v>10</v>
      </c>
    </row>
    <row r="1571" spans="1:11" x14ac:dyDescent="0.2">
      <c r="A1571" t="s">
        <v>3523</v>
      </c>
      <c r="B1571" s="59">
        <v>41062.071805555555</v>
      </c>
      <c r="C1571">
        <v>27600</v>
      </c>
      <c r="D1571" t="s">
        <v>805</v>
      </c>
      <c r="E1571">
        <f>tblSalaries[[#This Row],[clean Salary (in local currency)]]*VLOOKUP(tblSalaries[[#This Row],[Currency]],[1]!tblXrate[#Data],2,FALSE)</f>
        <v>35063.024516168378</v>
      </c>
      <c r="F1571" t="s">
        <v>1366</v>
      </c>
      <c r="G1571" t="s">
        <v>792</v>
      </c>
      <c r="H1571" t="s">
        <v>331</v>
      </c>
      <c r="I1571" t="str">
        <f>VLOOKUP(tblSalaries[[#This Row],[Where do you work]],[1]!tblCountries[[Actual]:[Mapping]],2,FALSE)</f>
        <v>Hungary</v>
      </c>
      <c r="J1571" t="s">
        <v>794</v>
      </c>
      <c r="K1571">
        <v>15</v>
      </c>
    </row>
    <row r="1572" spans="1:11" x14ac:dyDescent="0.2">
      <c r="A1572" t="s">
        <v>3524</v>
      </c>
      <c r="B1572" s="59">
        <v>41062.100451388891</v>
      </c>
      <c r="C1572">
        <v>55000</v>
      </c>
      <c r="D1572" t="s">
        <v>786</v>
      </c>
      <c r="E1572">
        <f>tblSalaries[[#This Row],[clean Salary (in local currency)]]*VLOOKUP(tblSalaries[[#This Row],[Currency]],[1]!tblXrate[#Data],2,FALSE)</f>
        <v>55000</v>
      </c>
      <c r="F1572" t="s">
        <v>1070</v>
      </c>
      <c r="G1572" t="s">
        <v>788</v>
      </c>
      <c r="H1572" t="s">
        <v>15</v>
      </c>
      <c r="I1572" t="str">
        <f>VLOOKUP(tblSalaries[[#This Row],[Where do you work]],[1]!tblCountries[[Actual]:[Mapping]],2,FALSE)</f>
        <v>USA</v>
      </c>
      <c r="J1572" t="s">
        <v>789</v>
      </c>
      <c r="K1572">
        <v>2</v>
      </c>
    </row>
    <row r="1573" spans="1:11" x14ac:dyDescent="0.2">
      <c r="A1573" t="s">
        <v>3525</v>
      </c>
      <c r="B1573" s="59">
        <v>41062.103125000001</v>
      </c>
      <c r="C1573">
        <v>38000</v>
      </c>
      <c r="D1573" t="s">
        <v>786</v>
      </c>
      <c r="E1573">
        <f>tblSalaries[[#This Row],[clean Salary (in local currency)]]*VLOOKUP(tblSalaries[[#This Row],[Currency]],[1]!tblXrate[#Data],2,FALSE)</f>
        <v>38000</v>
      </c>
      <c r="F1573" t="s">
        <v>1070</v>
      </c>
      <c r="G1573" t="s">
        <v>788</v>
      </c>
      <c r="H1573" t="s">
        <v>15</v>
      </c>
      <c r="I1573" t="str">
        <f>VLOOKUP(tblSalaries[[#This Row],[Where do you work]],[1]!tblCountries[[Actual]:[Mapping]],2,FALSE)</f>
        <v>USA</v>
      </c>
      <c r="J1573" t="s">
        <v>794</v>
      </c>
      <c r="K1573">
        <v>1</v>
      </c>
    </row>
    <row r="1574" spans="1:11" x14ac:dyDescent="0.2">
      <c r="A1574" t="s">
        <v>3526</v>
      </c>
      <c r="B1574" s="59">
        <v>41062.13113425926</v>
      </c>
      <c r="C1574">
        <v>1800000</v>
      </c>
      <c r="D1574" t="s">
        <v>824</v>
      </c>
      <c r="E1574">
        <f>tblSalaries[[#This Row],[clean Salary (in local currency)]]*VLOOKUP(tblSalaries[[#This Row],[Currency]],[1]!tblXrate[#Data],2,FALSE)</f>
        <v>32054.250037396621</v>
      </c>
      <c r="F1574" t="s">
        <v>1158</v>
      </c>
      <c r="G1574" t="s">
        <v>788</v>
      </c>
      <c r="H1574" t="s">
        <v>117</v>
      </c>
      <c r="I1574" t="str">
        <f>VLOOKUP(tblSalaries[[#This Row],[Where do you work]],[1]!tblCountries[[Actual]:[Mapping]],2,FALSE)</f>
        <v>India</v>
      </c>
      <c r="J1574" t="s">
        <v>794</v>
      </c>
      <c r="K1574">
        <v>1</v>
      </c>
    </row>
    <row r="1575" spans="1:11" x14ac:dyDescent="0.2">
      <c r="A1575" t="s">
        <v>3527</v>
      </c>
      <c r="B1575" s="59">
        <v>41062.134687500002</v>
      </c>
      <c r="C1575">
        <v>35500</v>
      </c>
      <c r="D1575" t="s">
        <v>786</v>
      </c>
      <c r="E1575">
        <f>tblSalaries[[#This Row],[clean Salary (in local currency)]]*VLOOKUP(tblSalaries[[#This Row],[Currency]],[1]!tblXrate[#Data],2,FALSE)</f>
        <v>35500</v>
      </c>
      <c r="F1575" t="s">
        <v>3528</v>
      </c>
      <c r="G1575" t="s">
        <v>788</v>
      </c>
      <c r="H1575" t="s">
        <v>15</v>
      </c>
      <c r="I1575" t="str">
        <f>VLOOKUP(tblSalaries[[#This Row],[Where do you work]],[1]!tblCountries[[Actual]:[Mapping]],2,FALSE)</f>
        <v>USA</v>
      </c>
      <c r="J1575" t="s">
        <v>789</v>
      </c>
      <c r="K1575">
        <v>20</v>
      </c>
    </row>
    <row r="1576" spans="1:11" x14ac:dyDescent="0.2">
      <c r="A1576" t="s">
        <v>3529</v>
      </c>
      <c r="B1576" s="59">
        <v>41062.141076388885</v>
      </c>
      <c r="C1576">
        <v>62000</v>
      </c>
      <c r="D1576" t="s">
        <v>786</v>
      </c>
      <c r="E1576">
        <f>tblSalaries[[#This Row],[clean Salary (in local currency)]]*VLOOKUP(tblSalaries[[#This Row],[Currency]],[1]!tblXrate[#Data],2,FALSE)</f>
        <v>62000</v>
      </c>
      <c r="F1576" t="s">
        <v>796</v>
      </c>
      <c r="G1576" t="s">
        <v>788</v>
      </c>
      <c r="H1576" t="s">
        <v>15</v>
      </c>
      <c r="I1576" t="str">
        <f>VLOOKUP(tblSalaries[[#This Row],[Where do you work]],[1]!tblCountries[[Actual]:[Mapping]],2,FALSE)</f>
        <v>USA</v>
      </c>
      <c r="J1576" t="s">
        <v>799</v>
      </c>
      <c r="K1576">
        <v>5</v>
      </c>
    </row>
    <row r="1577" spans="1:11" x14ac:dyDescent="0.2">
      <c r="A1577" t="s">
        <v>3530</v>
      </c>
      <c r="B1577" s="59">
        <v>41062.145358796297</v>
      </c>
      <c r="C1577">
        <v>21500</v>
      </c>
      <c r="D1577" t="s">
        <v>861</v>
      </c>
      <c r="E1577">
        <f>tblSalaries[[#This Row],[clean Salary (in local currency)]]*VLOOKUP(tblSalaries[[#This Row],[Currency]],[1]!tblXrate[#Data],2,FALSE)</f>
        <v>33887.832849446611</v>
      </c>
      <c r="F1577" t="s">
        <v>984</v>
      </c>
      <c r="G1577" t="s">
        <v>788</v>
      </c>
      <c r="H1577" t="s">
        <v>863</v>
      </c>
      <c r="I1577" t="str">
        <f>VLOOKUP(tblSalaries[[#This Row],[Where do you work]],[1]!tblCountries[[Actual]:[Mapping]],2,FALSE)</f>
        <v>UK</v>
      </c>
      <c r="J1577" t="s">
        <v>794</v>
      </c>
      <c r="K1577">
        <v>1</v>
      </c>
    </row>
    <row r="1578" spans="1:11" x14ac:dyDescent="0.2">
      <c r="A1578" t="s">
        <v>3531</v>
      </c>
      <c r="B1578" s="59">
        <v>41062.201180555552</v>
      </c>
      <c r="C1578">
        <v>60000</v>
      </c>
      <c r="D1578" t="s">
        <v>786</v>
      </c>
      <c r="E1578">
        <f>tblSalaries[[#This Row],[clean Salary (in local currency)]]*VLOOKUP(tblSalaries[[#This Row],[Currency]],[1]!tblXrate[#Data],2,FALSE)</f>
        <v>60000</v>
      </c>
      <c r="F1578" t="s">
        <v>984</v>
      </c>
      <c r="G1578" t="s">
        <v>788</v>
      </c>
      <c r="H1578" t="s">
        <v>15</v>
      </c>
      <c r="I1578" t="str">
        <f>VLOOKUP(tblSalaries[[#This Row],[Where do you work]],[1]!tblCountries[[Actual]:[Mapping]],2,FALSE)</f>
        <v>USA</v>
      </c>
      <c r="J1578" t="s">
        <v>799</v>
      </c>
      <c r="K1578">
        <v>1</v>
      </c>
    </row>
    <row r="1579" spans="1:11" x14ac:dyDescent="0.2">
      <c r="A1579" t="s">
        <v>3532</v>
      </c>
      <c r="B1579" s="59">
        <v>41062.265104166669</v>
      </c>
      <c r="C1579">
        <v>32884</v>
      </c>
      <c r="D1579" t="s">
        <v>786</v>
      </c>
      <c r="E1579">
        <f>tblSalaries[[#This Row],[clean Salary (in local currency)]]*VLOOKUP(tblSalaries[[#This Row],[Currency]],[1]!tblXrate[#Data],2,FALSE)</f>
        <v>32884</v>
      </c>
      <c r="F1579" t="s">
        <v>1170</v>
      </c>
      <c r="G1579" t="s">
        <v>788</v>
      </c>
      <c r="H1579" t="s">
        <v>15</v>
      </c>
      <c r="I1579" t="str">
        <f>VLOOKUP(tblSalaries[[#This Row],[Where do you work]],[1]!tblCountries[[Actual]:[Mapping]],2,FALSE)</f>
        <v>USA</v>
      </c>
      <c r="J1579" t="s">
        <v>794</v>
      </c>
      <c r="K1579">
        <v>10</v>
      </c>
    </row>
    <row r="1580" spans="1:11" x14ac:dyDescent="0.2">
      <c r="A1580" t="s">
        <v>3533</v>
      </c>
      <c r="B1580" s="59">
        <v>41062.271770833337</v>
      </c>
      <c r="C1580">
        <v>42000</v>
      </c>
      <c r="D1580" t="s">
        <v>786</v>
      </c>
      <c r="E1580">
        <f>tblSalaries[[#This Row],[clean Salary (in local currency)]]*VLOOKUP(tblSalaries[[#This Row],[Currency]],[1]!tblXrate[#Data],2,FALSE)</f>
        <v>42000</v>
      </c>
      <c r="F1580" t="s">
        <v>3534</v>
      </c>
      <c r="G1580" t="s">
        <v>788</v>
      </c>
      <c r="H1580" t="s">
        <v>15</v>
      </c>
      <c r="I1580" t="str">
        <f>VLOOKUP(tblSalaries[[#This Row],[Where do you work]],[1]!tblCountries[[Actual]:[Mapping]],2,FALSE)</f>
        <v>USA</v>
      </c>
      <c r="J1580" t="s">
        <v>789</v>
      </c>
      <c r="K1580">
        <v>2</v>
      </c>
    </row>
    <row r="1581" spans="1:11" x14ac:dyDescent="0.2">
      <c r="A1581" t="s">
        <v>3535</v>
      </c>
      <c r="B1581" s="59">
        <v>41062.280150462961</v>
      </c>
      <c r="C1581">
        <v>68000</v>
      </c>
      <c r="D1581" t="s">
        <v>786</v>
      </c>
      <c r="E1581">
        <f>tblSalaries[[#This Row],[clean Salary (in local currency)]]*VLOOKUP(tblSalaries[[#This Row],[Currency]],[1]!tblXrate[#Data],2,FALSE)</f>
        <v>68000</v>
      </c>
      <c r="F1581" t="s">
        <v>1421</v>
      </c>
      <c r="G1581" t="s">
        <v>788</v>
      </c>
      <c r="H1581" t="s">
        <v>15</v>
      </c>
      <c r="I1581" t="str">
        <f>VLOOKUP(tblSalaries[[#This Row],[Where do you work]],[1]!tblCountries[[Actual]:[Mapping]],2,FALSE)</f>
        <v>USA</v>
      </c>
      <c r="J1581" t="s">
        <v>789</v>
      </c>
      <c r="K1581">
        <v>12</v>
      </c>
    </row>
    <row r="1582" spans="1:11" x14ac:dyDescent="0.2">
      <c r="A1582" t="s">
        <v>3536</v>
      </c>
      <c r="B1582" s="59">
        <v>41062.320856481485</v>
      </c>
      <c r="C1582">
        <v>85000</v>
      </c>
      <c r="D1582" t="s">
        <v>786</v>
      </c>
      <c r="E1582">
        <f>tblSalaries[[#This Row],[clean Salary (in local currency)]]*VLOOKUP(tblSalaries[[#This Row],[Currency]],[1]!tblXrate[#Data],2,FALSE)</f>
        <v>85000</v>
      </c>
      <c r="F1582" t="s">
        <v>885</v>
      </c>
      <c r="G1582" t="s">
        <v>817</v>
      </c>
      <c r="H1582" t="s">
        <v>15</v>
      </c>
      <c r="I1582" t="str">
        <f>VLOOKUP(tblSalaries[[#This Row],[Where do you work]],[1]!tblCountries[[Actual]:[Mapping]],2,FALSE)</f>
        <v>USA</v>
      </c>
      <c r="J1582" t="s">
        <v>799</v>
      </c>
      <c r="K1582">
        <v>8</v>
      </c>
    </row>
    <row r="1583" spans="1:11" x14ac:dyDescent="0.2">
      <c r="A1583" t="s">
        <v>3537</v>
      </c>
      <c r="B1583" s="59">
        <v>41062.466180555559</v>
      </c>
      <c r="C1583">
        <v>13000</v>
      </c>
      <c r="D1583" t="s">
        <v>786</v>
      </c>
      <c r="E1583">
        <f>tblSalaries[[#This Row],[clean Salary (in local currency)]]*VLOOKUP(tblSalaries[[#This Row],[Currency]],[1]!tblXrate[#Data],2,FALSE)</f>
        <v>13000</v>
      </c>
      <c r="F1583" t="s">
        <v>3538</v>
      </c>
      <c r="G1583" t="s">
        <v>788</v>
      </c>
      <c r="H1583" t="s">
        <v>54</v>
      </c>
      <c r="I1583" t="str">
        <f>VLOOKUP(tblSalaries[[#This Row],[Where do you work]],[1]!tblCountries[[Actual]:[Mapping]],2,FALSE)</f>
        <v>Brazil</v>
      </c>
      <c r="J1583" t="s">
        <v>794</v>
      </c>
      <c r="K1583">
        <v>4</v>
      </c>
    </row>
    <row r="1584" spans="1:11" x14ac:dyDescent="0.2">
      <c r="A1584" t="s">
        <v>3539</v>
      </c>
      <c r="B1584" s="59">
        <v>41062.582476851851</v>
      </c>
      <c r="C1584">
        <v>15000</v>
      </c>
      <c r="D1584" t="s">
        <v>786</v>
      </c>
      <c r="E1584">
        <f>tblSalaries[[#This Row],[clean Salary (in local currency)]]*VLOOKUP(tblSalaries[[#This Row],[Currency]],[1]!tblXrate[#Data],2,FALSE)</f>
        <v>15000</v>
      </c>
      <c r="F1584" t="s">
        <v>3540</v>
      </c>
      <c r="G1584" t="s">
        <v>788</v>
      </c>
      <c r="H1584" t="s">
        <v>117</v>
      </c>
      <c r="I1584" t="str">
        <f>VLOOKUP(tblSalaries[[#This Row],[Where do you work]],[1]!tblCountries[[Actual]:[Mapping]],2,FALSE)</f>
        <v>India</v>
      </c>
      <c r="J1584" t="s">
        <v>789</v>
      </c>
      <c r="K1584">
        <v>5</v>
      </c>
    </row>
    <row r="1585" spans="1:11" x14ac:dyDescent="0.2">
      <c r="A1585" t="s">
        <v>3541</v>
      </c>
      <c r="B1585" s="59">
        <v>41062.732175925928</v>
      </c>
      <c r="C1585">
        <v>50000</v>
      </c>
      <c r="D1585" t="s">
        <v>786</v>
      </c>
      <c r="E1585">
        <f>tblSalaries[[#This Row],[clean Salary (in local currency)]]*VLOOKUP(tblSalaries[[#This Row],[Currency]],[1]!tblXrate[#Data],2,FALSE)</f>
        <v>50000</v>
      </c>
      <c r="F1585" t="s">
        <v>3542</v>
      </c>
      <c r="G1585" t="s">
        <v>813</v>
      </c>
      <c r="H1585" t="s">
        <v>117</v>
      </c>
      <c r="I1585" t="str">
        <f>VLOOKUP(tblSalaries[[#This Row],[Where do you work]],[1]!tblCountries[[Actual]:[Mapping]],2,FALSE)</f>
        <v>India</v>
      </c>
      <c r="J1585" t="s">
        <v>808</v>
      </c>
      <c r="K1585">
        <v>8</v>
      </c>
    </row>
    <row r="1586" spans="1:11" x14ac:dyDescent="0.2">
      <c r="A1586" t="s">
        <v>3543</v>
      </c>
      <c r="B1586" s="59">
        <v>41062.783009259256</v>
      </c>
      <c r="C1586">
        <v>7000</v>
      </c>
      <c r="D1586" t="s">
        <v>786</v>
      </c>
      <c r="E1586">
        <f>tblSalaries[[#This Row],[clean Salary (in local currency)]]*VLOOKUP(tblSalaries[[#This Row],[Currency]],[1]!tblXrate[#Data],2,FALSE)</f>
        <v>7000</v>
      </c>
      <c r="F1586" t="s">
        <v>3544</v>
      </c>
      <c r="G1586" t="s">
        <v>836</v>
      </c>
      <c r="H1586" t="s">
        <v>117</v>
      </c>
      <c r="I1586" t="str">
        <f>VLOOKUP(tblSalaries[[#This Row],[Where do you work]],[1]!tblCountries[[Actual]:[Mapping]],2,FALSE)</f>
        <v>India</v>
      </c>
      <c r="J1586" t="s">
        <v>789</v>
      </c>
      <c r="K1586">
        <v>1</v>
      </c>
    </row>
    <row r="1587" spans="1:11" x14ac:dyDescent="0.2">
      <c r="A1587" t="s">
        <v>3545</v>
      </c>
      <c r="B1587" s="59">
        <v>41062.801793981482</v>
      </c>
      <c r="C1587">
        <v>140000</v>
      </c>
      <c r="D1587" t="s">
        <v>786</v>
      </c>
      <c r="E1587">
        <f>tblSalaries[[#This Row],[clean Salary (in local currency)]]*VLOOKUP(tblSalaries[[#This Row],[Currency]],[1]!tblXrate[#Data],2,FALSE)</f>
        <v>140000</v>
      </c>
      <c r="F1587" t="s">
        <v>2449</v>
      </c>
      <c r="G1587" t="s">
        <v>807</v>
      </c>
      <c r="H1587" t="s">
        <v>15</v>
      </c>
      <c r="I1587" t="str">
        <f>VLOOKUP(tblSalaries[[#This Row],[Where do you work]],[1]!tblCountries[[Actual]:[Mapping]],2,FALSE)</f>
        <v>USA</v>
      </c>
      <c r="J1587" t="s">
        <v>789</v>
      </c>
      <c r="K1587">
        <v>12</v>
      </c>
    </row>
    <row r="1588" spans="1:11" x14ac:dyDescent="0.2">
      <c r="A1588" t="s">
        <v>3546</v>
      </c>
      <c r="B1588" s="59">
        <v>41062.868518518517</v>
      </c>
      <c r="C1588">
        <v>400000</v>
      </c>
      <c r="D1588" t="s">
        <v>824</v>
      </c>
      <c r="E1588">
        <f>tblSalaries[[#This Row],[clean Salary (in local currency)]]*VLOOKUP(tblSalaries[[#This Row],[Currency]],[1]!tblXrate[#Data],2,FALSE)</f>
        <v>7123.1666749770275</v>
      </c>
      <c r="F1588" t="s">
        <v>3547</v>
      </c>
      <c r="G1588" t="s">
        <v>788</v>
      </c>
      <c r="H1588" t="s">
        <v>117</v>
      </c>
      <c r="I1588" t="str">
        <f>VLOOKUP(tblSalaries[[#This Row],[Where do you work]],[1]!tblCountries[[Actual]:[Mapping]],2,FALSE)</f>
        <v>India</v>
      </c>
      <c r="J1588" t="s">
        <v>808</v>
      </c>
      <c r="K1588">
        <v>2.5</v>
      </c>
    </row>
    <row r="1589" spans="1:11" x14ac:dyDescent="0.2">
      <c r="A1589" t="s">
        <v>3548</v>
      </c>
      <c r="B1589" s="59">
        <v>41062.870127314818</v>
      </c>
      <c r="C1589">
        <v>37000</v>
      </c>
      <c r="D1589" t="s">
        <v>861</v>
      </c>
      <c r="E1589">
        <f>tblSalaries[[#This Row],[clean Salary (in local currency)]]*VLOOKUP(tblSalaries[[#This Row],[Currency]],[1]!tblXrate[#Data],2,FALSE)</f>
        <v>58318.59606648951</v>
      </c>
      <c r="F1589" t="s">
        <v>3549</v>
      </c>
      <c r="G1589" t="s">
        <v>788</v>
      </c>
      <c r="H1589" t="s">
        <v>863</v>
      </c>
      <c r="I1589" t="str">
        <f>VLOOKUP(tblSalaries[[#This Row],[Where do you work]],[1]!tblCountries[[Actual]:[Mapping]],2,FALSE)</f>
        <v>UK</v>
      </c>
      <c r="J1589" t="s">
        <v>789</v>
      </c>
      <c r="K1589">
        <v>9</v>
      </c>
    </row>
    <row r="1590" spans="1:11" x14ac:dyDescent="0.2">
      <c r="A1590" t="s">
        <v>3550</v>
      </c>
      <c r="B1590" s="59">
        <v>41062.904652777775</v>
      </c>
      <c r="C1590">
        <v>680000</v>
      </c>
      <c r="D1590" t="s">
        <v>824</v>
      </c>
      <c r="E1590">
        <f>tblSalaries[[#This Row],[clean Salary (in local currency)]]*VLOOKUP(tblSalaries[[#This Row],[Currency]],[1]!tblXrate[#Data],2,FALSE)</f>
        <v>12109.383347460946</v>
      </c>
      <c r="F1590" t="s">
        <v>2236</v>
      </c>
      <c r="G1590" t="s">
        <v>807</v>
      </c>
      <c r="H1590" t="s">
        <v>117</v>
      </c>
      <c r="I1590" t="str">
        <f>VLOOKUP(tblSalaries[[#This Row],[Where do you work]],[1]!tblCountries[[Actual]:[Mapping]],2,FALSE)</f>
        <v>India</v>
      </c>
      <c r="J1590" t="s">
        <v>808</v>
      </c>
      <c r="K1590">
        <v>2</v>
      </c>
    </row>
    <row r="1591" spans="1:11" x14ac:dyDescent="0.2">
      <c r="A1591" t="s">
        <v>3551</v>
      </c>
      <c r="B1591" s="59">
        <v>41062.939953703702</v>
      </c>
      <c r="C1591">
        <v>55000</v>
      </c>
      <c r="D1591" t="s">
        <v>786</v>
      </c>
      <c r="E1591">
        <f>tblSalaries[[#This Row],[clean Salary (in local currency)]]*VLOOKUP(tblSalaries[[#This Row],[Currency]],[1]!tblXrate[#Data],2,FALSE)</f>
        <v>55000</v>
      </c>
      <c r="F1591" t="s">
        <v>1421</v>
      </c>
      <c r="G1591" t="s">
        <v>788</v>
      </c>
      <c r="H1591" t="s">
        <v>15</v>
      </c>
      <c r="I1591" t="str">
        <f>VLOOKUP(tblSalaries[[#This Row],[Where do you work]],[1]!tblCountries[[Actual]:[Mapping]],2,FALSE)</f>
        <v>USA</v>
      </c>
      <c r="J1591" t="s">
        <v>789</v>
      </c>
      <c r="K1591">
        <v>1</v>
      </c>
    </row>
    <row r="1592" spans="1:11" x14ac:dyDescent="0.2">
      <c r="A1592" t="s">
        <v>3552</v>
      </c>
      <c r="B1592" s="59">
        <v>41062.943703703706</v>
      </c>
      <c r="C1592">
        <v>60000</v>
      </c>
      <c r="D1592" t="s">
        <v>786</v>
      </c>
      <c r="E1592">
        <f>tblSalaries[[#This Row],[clean Salary (in local currency)]]*VLOOKUP(tblSalaries[[#This Row],[Currency]],[1]!tblXrate[#Data],2,FALSE)</f>
        <v>60000</v>
      </c>
      <c r="F1592" t="s">
        <v>3553</v>
      </c>
      <c r="G1592" t="s">
        <v>807</v>
      </c>
      <c r="H1592" t="s">
        <v>119</v>
      </c>
      <c r="I1592" t="str">
        <f>VLOOKUP(tblSalaries[[#This Row],[Where do you work]],[1]!tblCountries[[Actual]:[Mapping]],2,FALSE)</f>
        <v>Indonesia</v>
      </c>
      <c r="J1592" t="s">
        <v>799</v>
      </c>
      <c r="K1592">
        <v>16</v>
      </c>
    </row>
    <row r="1593" spans="1:11" x14ac:dyDescent="0.2">
      <c r="A1593" t="s">
        <v>3554</v>
      </c>
      <c r="B1593" s="59">
        <v>41063.065243055556</v>
      </c>
      <c r="C1593">
        <v>320000</v>
      </c>
      <c r="D1593" t="s">
        <v>824</v>
      </c>
      <c r="E1593">
        <f>tblSalaries[[#This Row],[clean Salary (in local currency)]]*VLOOKUP(tblSalaries[[#This Row],[Currency]],[1]!tblXrate[#Data],2,FALSE)</f>
        <v>5698.5333399816218</v>
      </c>
      <c r="F1593" t="s">
        <v>2053</v>
      </c>
      <c r="G1593" t="s">
        <v>807</v>
      </c>
      <c r="H1593" t="s">
        <v>117</v>
      </c>
      <c r="I1593" t="str">
        <f>VLOOKUP(tblSalaries[[#This Row],[Where do you work]],[1]!tblCountries[[Actual]:[Mapping]],2,FALSE)</f>
        <v>India</v>
      </c>
      <c r="J1593" t="s">
        <v>789</v>
      </c>
      <c r="K1593">
        <v>5</v>
      </c>
    </row>
    <row r="1594" spans="1:11" x14ac:dyDescent="0.2">
      <c r="A1594" t="s">
        <v>3555</v>
      </c>
      <c r="B1594" s="59">
        <v>41063.067164351851</v>
      </c>
      <c r="C1594">
        <v>288000</v>
      </c>
      <c r="D1594" t="s">
        <v>3556</v>
      </c>
      <c r="E1594">
        <f>tblSalaries[[#This Row],[clean Salary (in local currency)]]*VLOOKUP(tblSalaries[[#This Row],[Currency]],[1]!tblXrate[#Data],2,FALSE)</f>
        <v>9376.2513877177607</v>
      </c>
      <c r="F1594" t="s">
        <v>3557</v>
      </c>
      <c r="G1594" t="s">
        <v>802</v>
      </c>
      <c r="H1594" t="s">
        <v>204</v>
      </c>
      <c r="I1594" t="str">
        <f>VLOOKUP(tblSalaries[[#This Row],[Where do you work]],[1]!tblCountries[[Actual]:[Mapping]],2,FALSE)</f>
        <v>Mauritius</v>
      </c>
      <c r="J1594" t="s">
        <v>789</v>
      </c>
      <c r="K1594">
        <v>7</v>
      </c>
    </row>
    <row r="1595" spans="1:11" x14ac:dyDescent="0.2">
      <c r="A1595" t="s">
        <v>3558</v>
      </c>
      <c r="B1595" s="59">
        <v>41063.088009259256</v>
      </c>
      <c r="C1595">
        <v>60000</v>
      </c>
      <c r="D1595" t="s">
        <v>861</v>
      </c>
      <c r="E1595">
        <f>tblSalaries[[#This Row],[clean Salary (in local currency)]]*VLOOKUP(tblSalaries[[#This Row],[Currency]],[1]!tblXrate[#Data],2,FALSE)</f>
        <v>94570.696324037053</v>
      </c>
      <c r="F1595" t="s">
        <v>984</v>
      </c>
      <c r="G1595" t="s">
        <v>788</v>
      </c>
      <c r="H1595" t="s">
        <v>863</v>
      </c>
      <c r="I1595" t="str">
        <f>VLOOKUP(tblSalaries[[#This Row],[Where do you work]],[1]!tblCountries[[Actual]:[Mapping]],2,FALSE)</f>
        <v>UK</v>
      </c>
      <c r="J1595" t="s">
        <v>789</v>
      </c>
      <c r="K1595">
        <v>5</v>
      </c>
    </row>
    <row r="1596" spans="1:11" x14ac:dyDescent="0.2">
      <c r="A1596" t="s">
        <v>3559</v>
      </c>
      <c r="B1596" s="59">
        <v>41063.121203703704</v>
      </c>
      <c r="C1596">
        <v>36000</v>
      </c>
      <c r="D1596" t="s">
        <v>786</v>
      </c>
      <c r="E1596">
        <f>tblSalaries[[#This Row],[clean Salary (in local currency)]]*VLOOKUP(tblSalaries[[#This Row],[Currency]],[1]!tblXrate[#Data],2,FALSE)</f>
        <v>36000</v>
      </c>
      <c r="F1596" t="s">
        <v>3560</v>
      </c>
      <c r="G1596" t="s">
        <v>867</v>
      </c>
      <c r="H1596" t="s">
        <v>29</v>
      </c>
      <c r="I1596" t="str">
        <f>VLOOKUP(tblSalaries[[#This Row],[Where do you work]],[1]!tblCountries[[Actual]:[Mapping]],2,FALSE)</f>
        <v>Azerbaijan</v>
      </c>
      <c r="J1596" t="s">
        <v>789</v>
      </c>
      <c r="K1596">
        <v>5</v>
      </c>
    </row>
    <row r="1597" spans="1:11" x14ac:dyDescent="0.2">
      <c r="A1597" t="s">
        <v>3561</v>
      </c>
      <c r="B1597" s="59">
        <v>41063.17690972222</v>
      </c>
      <c r="C1597">
        <v>3700000</v>
      </c>
      <c r="D1597" t="s">
        <v>824</v>
      </c>
      <c r="E1597">
        <f>tblSalaries[[#This Row],[clean Salary (in local currency)]]*VLOOKUP(tblSalaries[[#This Row],[Currency]],[1]!tblXrate[#Data],2,FALSE)</f>
        <v>65889.291743537498</v>
      </c>
      <c r="F1597" t="s">
        <v>3562</v>
      </c>
      <c r="G1597" t="s">
        <v>807</v>
      </c>
      <c r="H1597" t="s">
        <v>117</v>
      </c>
      <c r="I1597" t="str">
        <f>VLOOKUP(tblSalaries[[#This Row],[Where do you work]],[1]!tblCountries[[Actual]:[Mapping]],2,FALSE)</f>
        <v>India</v>
      </c>
      <c r="J1597" t="s">
        <v>794</v>
      </c>
      <c r="K1597">
        <v>4</v>
      </c>
    </row>
    <row r="1598" spans="1:11" x14ac:dyDescent="0.2">
      <c r="A1598" t="s">
        <v>3563</v>
      </c>
      <c r="B1598" s="59">
        <v>41063.196458333332</v>
      </c>
      <c r="C1598">
        <v>106000</v>
      </c>
      <c r="D1598" t="s">
        <v>786</v>
      </c>
      <c r="E1598">
        <f>tblSalaries[[#This Row],[clean Salary (in local currency)]]*VLOOKUP(tblSalaries[[#This Row],[Currency]],[1]!tblXrate[#Data],2,FALSE)</f>
        <v>106000</v>
      </c>
      <c r="F1598" t="s">
        <v>3564</v>
      </c>
      <c r="G1598" t="s">
        <v>788</v>
      </c>
      <c r="H1598" t="s">
        <v>70</v>
      </c>
      <c r="I1598" t="str">
        <f>VLOOKUP(tblSalaries[[#This Row],[Where do you work]],[1]!tblCountries[[Actual]:[Mapping]],2,FALSE)</f>
        <v>Denmark</v>
      </c>
      <c r="J1598" t="s">
        <v>808</v>
      </c>
      <c r="K1598">
        <v>7</v>
      </c>
    </row>
    <row r="1599" spans="1:11" x14ac:dyDescent="0.2">
      <c r="A1599" t="s">
        <v>3565</v>
      </c>
      <c r="B1599" s="59">
        <v>41063.30332175926</v>
      </c>
      <c r="C1599">
        <v>485000</v>
      </c>
      <c r="D1599" t="s">
        <v>2884</v>
      </c>
      <c r="E1599">
        <f>tblSalaries[[#This Row],[clean Salary (in local currency)]]*VLOOKUP(tblSalaries[[#This Row],[Currency]],[1]!tblXrate[#Data],2,FALSE)</f>
        <v>82888.5550559455</v>
      </c>
      <c r="F1599" t="s">
        <v>792</v>
      </c>
      <c r="G1599" t="s">
        <v>792</v>
      </c>
      <c r="H1599" t="s">
        <v>70</v>
      </c>
      <c r="I1599" t="str">
        <f>VLOOKUP(tblSalaries[[#This Row],[Where do you work]],[1]!tblCountries[[Actual]:[Mapping]],2,FALSE)</f>
        <v>Denmark</v>
      </c>
      <c r="J1599" t="s">
        <v>789</v>
      </c>
      <c r="K1599">
        <v>18</v>
      </c>
    </row>
    <row r="1600" spans="1:11" x14ac:dyDescent="0.2">
      <c r="A1600" t="s">
        <v>3566</v>
      </c>
      <c r="B1600" s="59">
        <v>41063.404629629629</v>
      </c>
      <c r="C1600">
        <v>75000</v>
      </c>
      <c r="D1600" t="s">
        <v>1831</v>
      </c>
      <c r="E1600">
        <f>tblSalaries[[#This Row],[clean Salary (in local currency)]]*VLOOKUP(tblSalaries[[#This Row],[Currency]],[1]!tblXrate[#Data],2,FALSE)</f>
        <v>59819.107020370408</v>
      </c>
      <c r="F1600" t="s">
        <v>3567</v>
      </c>
      <c r="G1600" t="s">
        <v>788</v>
      </c>
      <c r="H1600" t="s">
        <v>3568</v>
      </c>
      <c r="I1600" t="str">
        <f>VLOOKUP(tblSalaries[[#This Row],[Where do you work]],[1]!tblCountries[[Actual]:[Mapping]],2,FALSE)</f>
        <v>New Zealand</v>
      </c>
      <c r="J1600" t="s">
        <v>799</v>
      </c>
      <c r="K1600">
        <v>10</v>
      </c>
    </row>
    <row r="1601" spans="1:11" x14ac:dyDescent="0.2">
      <c r="A1601" t="s">
        <v>3569</v>
      </c>
      <c r="B1601" s="59">
        <v>41063.424108796295</v>
      </c>
      <c r="C1601">
        <v>6545</v>
      </c>
      <c r="D1601" t="s">
        <v>786</v>
      </c>
      <c r="E1601">
        <f>tblSalaries[[#This Row],[clean Salary (in local currency)]]*VLOOKUP(tblSalaries[[#This Row],[Currency]],[1]!tblXrate[#Data],2,FALSE)</f>
        <v>6545</v>
      </c>
      <c r="F1601" t="s">
        <v>1884</v>
      </c>
      <c r="G1601" t="s">
        <v>807</v>
      </c>
      <c r="H1601" t="s">
        <v>117</v>
      </c>
      <c r="I1601" t="str">
        <f>VLOOKUP(tblSalaries[[#This Row],[Where do you work]],[1]!tblCountries[[Actual]:[Mapping]],2,FALSE)</f>
        <v>India</v>
      </c>
      <c r="J1601" t="s">
        <v>794</v>
      </c>
      <c r="K1601">
        <v>9</v>
      </c>
    </row>
    <row r="1602" spans="1:11" x14ac:dyDescent="0.2">
      <c r="A1602" t="s">
        <v>3570</v>
      </c>
      <c r="B1602" s="59">
        <v>41063.506562499999</v>
      </c>
      <c r="C1602">
        <v>1000000</v>
      </c>
      <c r="D1602" t="s">
        <v>824</v>
      </c>
      <c r="E1602">
        <f>tblSalaries[[#This Row],[clean Salary (in local currency)]]*VLOOKUP(tblSalaries[[#This Row],[Currency]],[1]!tblXrate[#Data],2,FALSE)</f>
        <v>17807.916687442568</v>
      </c>
      <c r="F1602" t="s">
        <v>3571</v>
      </c>
      <c r="G1602" t="s">
        <v>807</v>
      </c>
      <c r="H1602" t="s">
        <v>117</v>
      </c>
      <c r="I1602" t="str">
        <f>VLOOKUP(tblSalaries[[#This Row],[Where do you work]],[1]!tblCountries[[Actual]:[Mapping]],2,FALSE)</f>
        <v>India</v>
      </c>
      <c r="J1602" t="s">
        <v>799</v>
      </c>
      <c r="K1602">
        <v>13</v>
      </c>
    </row>
    <row r="1603" spans="1:11" x14ac:dyDescent="0.2">
      <c r="A1603" t="s">
        <v>3572</v>
      </c>
      <c r="B1603" s="59">
        <v>41063.511284722219</v>
      </c>
      <c r="C1603">
        <v>54000</v>
      </c>
      <c r="D1603" t="s">
        <v>786</v>
      </c>
      <c r="E1603">
        <f>tblSalaries[[#This Row],[clean Salary (in local currency)]]*VLOOKUP(tblSalaries[[#This Row],[Currency]],[1]!tblXrate[#Data],2,FALSE)</f>
        <v>54000</v>
      </c>
      <c r="F1603" t="s">
        <v>3573</v>
      </c>
      <c r="G1603" t="s">
        <v>813</v>
      </c>
      <c r="H1603" t="s">
        <v>15</v>
      </c>
      <c r="I1603" t="str">
        <f>VLOOKUP(tblSalaries[[#This Row],[Where do you work]],[1]!tblCountries[[Actual]:[Mapping]],2,FALSE)</f>
        <v>USA</v>
      </c>
      <c r="J1603" t="s">
        <v>789</v>
      </c>
      <c r="K1603">
        <v>10</v>
      </c>
    </row>
    <row r="1604" spans="1:11" x14ac:dyDescent="0.2">
      <c r="A1604" t="s">
        <v>3574</v>
      </c>
      <c r="B1604" s="59">
        <v>41063.518831018519</v>
      </c>
      <c r="C1604">
        <v>100000</v>
      </c>
      <c r="D1604" t="s">
        <v>786</v>
      </c>
      <c r="E1604">
        <f>tblSalaries[[#This Row],[clean Salary (in local currency)]]*VLOOKUP(tblSalaries[[#This Row],[Currency]],[1]!tblXrate[#Data],2,FALSE)</f>
        <v>100000</v>
      </c>
      <c r="F1604" t="s">
        <v>867</v>
      </c>
      <c r="G1604" t="s">
        <v>867</v>
      </c>
      <c r="H1604" t="s">
        <v>15</v>
      </c>
      <c r="I1604" t="str">
        <f>VLOOKUP(tblSalaries[[#This Row],[Where do you work]],[1]!tblCountries[[Actual]:[Mapping]],2,FALSE)</f>
        <v>USA</v>
      </c>
      <c r="J1604" t="s">
        <v>799</v>
      </c>
      <c r="K1604">
        <v>4</v>
      </c>
    </row>
    <row r="1605" spans="1:11" x14ac:dyDescent="0.2">
      <c r="A1605" t="s">
        <v>3575</v>
      </c>
      <c r="B1605" s="59">
        <v>41063.563043981485</v>
      </c>
      <c r="C1605">
        <v>50000</v>
      </c>
      <c r="D1605" t="s">
        <v>882</v>
      </c>
      <c r="E1605">
        <f>tblSalaries[[#This Row],[clean Salary (in local currency)]]*VLOOKUP(tblSalaries[[#This Row],[Currency]],[1]!tblXrate[#Data],2,FALSE)</f>
        <v>49168.076151516347</v>
      </c>
      <c r="F1605" t="s">
        <v>2261</v>
      </c>
      <c r="G1605" t="s">
        <v>788</v>
      </c>
      <c r="H1605" t="s">
        <v>143</v>
      </c>
      <c r="I1605" t="str">
        <f>VLOOKUP(tblSalaries[[#This Row],[Where do you work]],[1]!tblCountries[[Actual]:[Mapping]],2,FALSE)</f>
        <v>Canada</v>
      </c>
      <c r="J1605" t="s">
        <v>789</v>
      </c>
      <c r="K1605">
        <v>5</v>
      </c>
    </row>
    <row r="1606" spans="1:11" x14ac:dyDescent="0.2">
      <c r="A1606" t="s">
        <v>3576</v>
      </c>
      <c r="B1606" s="59">
        <v>41063.602418981478</v>
      </c>
      <c r="C1606">
        <v>4019</v>
      </c>
      <c r="D1606" t="s">
        <v>786</v>
      </c>
      <c r="E1606">
        <f>tblSalaries[[#This Row],[clean Salary (in local currency)]]*VLOOKUP(tblSalaries[[#This Row],[Currency]],[1]!tblXrate[#Data],2,FALSE)</f>
        <v>4019</v>
      </c>
      <c r="F1606" t="s">
        <v>3577</v>
      </c>
      <c r="G1606" t="s">
        <v>820</v>
      </c>
      <c r="H1606" t="s">
        <v>252</v>
      </c>
      <c r="I1606" t="str">
        <f>VLOOKUP(tblSalaries[[#This Row],[Where do you work]],[1]!tblCountries[[Actual]:[Mapping]],2,FALSE)</f>
        <v>Philippines</v>
      </c>
      <c r="J1606" t="s">
        <v>799</v>
      </c>
      <c r="K1606">
        <v>3</v>
      </c>
    </row>
    <row r="1607" spans="1:11" x14ac:dyDescent="0.2">
      <c r="A1607" t="s">
        <v>3578</v>
      </c>
      <c r="B1607" s="59">
        <v>41063.607592592591</v>
      </c>
      <c r="C1607">
        <v>15000</v>
      </c>
      <c r="D1607" t="s">
        <v>786</v>
      </c>
      <c r="E1607">
        <f>tblSalaries[[#This Row],[clean Salary (in local currency)]]*VLOOKUP(tblSalaries[[#This Row],[Currency]],[1]!tblXrate[#Data],2,FALSE)</f>
        <v>15000</v>
      </c>
      <c r="F1607" t="s">
        <v>3579</v>
      </c>
      <c r="G1607" t="s">
        <v>788</v>
      </c>
      <c r="H1607" t="s">
        <v>240</v>
      </c>
      <c r="I1607" t="str">
        <f>VLOOKUP(tblSalaries[[#This Row],[Where do you work]],[1]!tblCountries[[Actual]:[Mapping]],2,FALSE)</f>
        <v>Pakistan</v>
      </c>
      <c r="J1607" t="s">
        <v>789</v>
      </c>
      <c r="K1607">
        <v>5</v>
      </c>
    </row>
    <row r="1608" spans="1:11" x14ac:dyDescent="0.2">
      <c r="A1608" t="s">
        <v>3580</v>
      </c>
      <c r="B1608" s="59">
        <v>41063.619687500002</v>
      </c>
      <c r="C1608">
        <v>1000000</v>
      </c>
      <c r="D1608" t="s">
        <v>824</v>
      </c>
      <c r="E1608">
        <f>tblSalaries[[#This Row],[clean Salary (in local currency)]]*VLOOKUP(tblSalaries[[#This Row],[Currency]],[1]!tblXrate[#Data],2,FALSE)</f>
        <v>17807.916687442568</v>
      </c>
      <c r="F1608" t="s">
        <v>3581</v>
      </c>
      <c r="G1608" t="s">
        <v>788</v>
      </c>
      <c r="H1608" t="s">
        <v>117</v>
      </c>
      <c r="I1608" t="str">
        <f>VLOOKUP(tblSalaries[[#This Row],[Where do you work]],[1]!tblCountries[[Actual]:[Mapping]],2,FALSE)</f>
        <v>India</v>
      </c>
      <c r="J1608" t="s">
        <v>794</v>
      </c>
      <c r="K1608">
        <v>4</v>
      </c>
    </row>
    <row r="1609" spans="1:11" x14ac:dyDescent="0.2">
      <c r="A1609" t="s">
        <v>3582</v>
      </c>
      <c r="B1609" s="59">
        <v>41063.700624999998</v>
      </c>
      <c r="C1609">
        <v>12000</v>
      </c>
      <c r="D1609" t="s">
        <v>786</v>
      </c>
      <c r="E1609">
        <f>tblSalaries[[#This Row],[clean Salary (in local currency)]]*VLOOKUP(tblSalaries[[#This Row],[Currency]],[1]!tblXrate[#Data],2,FALSE)</f>
        <v>12000</v>
      </c>
      <c r="F1609" t="s">
        <v>3583</v>
      </c>
      <c r="G1609" t="s">
        <v>836</v>
      </c>
      <c r="H1609" t="s">
        <v>117</v>
      </c>
      <c r="I1609" t="str">
        <f>VLOOKUP(tblSalaries[[#This Row],[Where do you work]],[1]!tblCountries[[Actual]:[Mapping]],2,FALSE)</f>
        <v>India</v>
      </c>
      <c r="J1609" t="s">
        <v>794</v>
      </c>
      <c r="K1609">
        <v>3</v>
      </c>
    </row>
    <row r="1610" spans="1:11" x14ac:dyDescent="0.2">
      <c r="A1610" t="s">
        <v>3584</v>
      </c>
      <c r="B1610" s="59">
        <v>41063.735578703701</v>
      </c>
      <c r="C1610">
        <v>125000</v>
      </c>
      <c r="D1610" t="s">
        <v>824</v>
      </c>
      <c r="E1610">
        <f>tblSalaries[[#This Row],[clean Salary (in local currency)]]*VLOOKUP(tblSalaries[[#This Row],[Currency]],[1]!tblXrate[#Data],2,FALSE)</f>
        <v>2225.989585930321</v>
      </c>
      <c r="F1610" t="s">
        <v>3585</v>
      </c>
      <c r="G1610" t="s">
        <v>788</v>
      </c>
      <c r="H1610" t="s">
        <v>117</v>
      </c>
      <c r="I1610" t="str">
        <f>VLOOKUP(tblSalaries[[#This Row],[Where do you work]],[1]!tblCountries[[Actual]:[Mapping]],2,FALSE)</f>
        <v>India</v>
      </c>
      <c r="J1610" t="s">
        <v>799</v>
      </c>
      <c r="K1610">
        <v>4</v>
      </c>
    </row>
    <row r="1611" spans="1:11" x14ac:dyDescent="0.2">
      <c r="A1611" t="s">
        <v>3586</v>
      </c>
      <c r="B1611" s="59">
        <v>41063.819652777776</v>
      </c>
      <c r="C1611">
        <v>86000</v>
      </c>
      <c r="D1611" t="s">
        <v>786</v>
      </c>
      <c r="E1611">
        <f>tblSalaries[[#This Row],[clean Salary (in local currency)]]*VLOOKUP(tblSalaries[[#This Row],[Currency]],[1]!tblXrate[#Data],2,FALSE)</f>
        <v>86000</v>
      </c>
      <c r="F1611" t="s">
        <v>788</v>
      </c>
      <c r="G1611" t="s">
        <v>788</v>
      </c>
      <c r="H1611" t="s">
        <v>252</v>
      </c>
      <c r="I1611" t="str">
        <f>VLOOKUP(tblSalaries[[#This Row],[Where do you work]],[1]!tblCountries[[Actual]:[Mapping]],2,FALSE)</f>
        <v>Philippines</v>
      </c>
      <c r="J1611" t="s">
        <v>794</v>
      </c>
      <c r="K1611">
        <v>3</v>
      </c>
    </row>
    <row r="1612" spans="1:11" x14ac:dyDescent="0.2">
      <c r="A1612" t="s">
        <v>3587</v>
      </c>
      <c r="B1612" s="59">
        <v>41064.072951388887</v>
      </c>
      <c r="C1612">
        <v>340000</v>
      </c>
      <c r="D1612" t="s">
        <v>824</v>
      </c>
      <c r="E1612">
        <f>tblSalaries[[#This Row],[clean Salary (in local currency)]]*VLOOKUP(tblSalaries[[#This Row],[Currency]],[1]!tblXrate[#Data],2,FALSE)</f>
        <v>6054.6916737304728</v>
      </c>
      <c r="F1612" t="s">
        <v>2360</v>
      </c>
      <c r="G1612" t="s">
        <v>807</v>
      </c>
      <c r="H1612" t="s">
        <v>117</v>
      </c>
      <c r="I1612" t="str">
        <f>VLOOKUP(tblSalaries[[#This Row],[Where do you work]],[1]!tblCountries[[Actual]:[Mapping]],2,FALSE)</f>
        <v>India</v>
      </c>
      <c r="J1612" t="s">
        <v>789</v>
      </c>
      <c r="K1612">
        <v>5</v>
      </c>
    </row>
    <row r="1613" spans="1:11" x14ac:dyDescent="0.2">
      <c r="A1613" t="s">
        <v>3588</v>
      </c>
      <c r="B1613" s="59">
        <v>41064.086030092592</v>
      </c>
      <c r="C1613">
        <v>3360</v>
      </c>
      <c r="D1613" t="s">
        <v>786</v>
      </c>
      <c r="E1613">
        <f>tblSalaries[[#This Row],[clean Salary (in local currency)]]*VLOOKUP(tblSalaries[[#This Row],[Currency]],[1]!tblXrate[#Data],2,FALSE)</f>
        <v>3360</v>
      </c>
      <c r="F1613" t="s">
        <v>3589</v>
      </c>
      <c r="G1613" t="s">
        <v>788</v>
      </c>
      <c r="H1613" t="s">
        <v>117</v>
      </c>
      <c r="I1613" t="str">
        <f>VLOOKUP(tblSalaries[[#This Row],[Where do you work]],[1]!tblCountries[[Actual]:[Mapping]],2,FALSE)</f>
        <v>India</v>
      </c>
      <c r="J1613" t="s">
        <v>808</v>
      </c>
      <c r="K1613">
        <v>3</v>
      </c>
    </row>
    <row r="1614" spans="1:11" x14ac:dyDescent="0.2">
      <c r="A1614" t="s">
        <v>3590</v>
      </c>
      <c r="B1614" s="59">
        <v>41064.10429398148</v>
      </c>
      <c r="C1614">
        <v>10000</v>
      </c>
      <c r="D1614" t="s">
        <v>786</v>
      </c>
      <c r="E1614">
        <f>tblSalaries[[#This Row],[clean Salary (in local currency)]]*VLOOKUP(tblSalaries[[#This Row],[Currency]],[1]!tblXrate[#Data],2,FALSE)</f>
        <v>10000</v>
      </c>
      <c r="F1614" t="s">
        <v>1485</v>
      </c>
      <c r="G1614" t="s">
        <v>813</v>
      </c>
      <c r="H1614" t="s">
        <v>117</v>
      </c>
      <c r="I1614" t="str">
        <f>VLOOKUP(tblSalaries[[#This Row],[Where do you work]],[1]!tblCountries[[Actual]:[Mapping]],2,FALSE)</f>
        <v>India</v>
      </c>
      <c r="J1614" t="s">
        <v>794</v>
      </c>
      <c r="K1614">
        <v>1</v>
      </c>
    </row>
    <row r="1615" spans="1:11" x14ac:dyDescent="0.2">
      <c r="A1615" t="s">
        <v>3591</v>
      </c>
      <c r="B1615" s="59">
        <v>41064.188807870371</v>
      </c>
      <c r="C1615">
        <v>70000</v>
      </c>
      <c r="D1615" t="s">
        <v>786</v>
      </c>
      <c r="E1615">
        <f>tblSalaries[[#This Row],[clean Salary (in local currency)]]*VLOOKUP(tblSalaries[[#This Row],[Currency]],[1]!tblXrate[#Data],2,FALSE)</f>
        <v>70000</v>
      </c>
      <c r="F1615" t="s">
        <v>3592</v>
      </c>
      <c r="G1615" t="s">
        <v>788</v>
      </c>
      <c r="H1615" t="s">
        <v>15</v>
      </c>
      <c r="I1615" t="str">
        <f>VLOOKUP(tblSalaries[[#This Row],[Where do you work]],[1]!tblCountries[[Actual]:[Mapping]],2,FALSE)</f>
        <v>USA</v>
      </c>
      <c r="J1615" t="s">
        <v>789</v>
      </c>
      <c r="K1615">
        <v>9</v>
      </c>
    </row>
    <row r="1616" spans="1:11" x14ac:dyDescent="0.2">
      <c r="A1616" t="s">
        <v>3593</v>
      </c>
      <c r="B1616" s="59">
        <v>41064.409537037034</v>
      </c>
      <c r="C1616">
        <v>155000</v>
      </c>
      <c r="D1616" t="s">
        <v>786</v>
      </c>
      <c r="E1616">
        <f>tblSalaries[[#This Row],[clean Salary (in local currency)]]*VLOOKUP(tblSalaries[[#This Row],[Currency]],[1]!tblXrate[#Data],2,FALSE)</f>
        <v>155000</v>
      </c>
      <c r="F1616" t="s">
        <v>3594</v>
      </c>
      <c r="G1616" t="s">
        <v>807</v>
      </c>
      <c r="H1616" t="s">
        <v>15</v>
      </c>
      <c r="I1616" t="str">
        <f>VLOOKUP(tblSalaries[[#This Row],[Where do you work]],[1]!tblCountries[[Actual]:[Mapping]],2,FALSE)</f>
        <v>USA</v>
      </c>
      <c r="J1616" t="s">
        <v>808</v>
      </c>
      <c r="K1616">
        <v>14</v>
      </c>
    </row>
    <row r="1617" spans="1:11" x14ac:dyDescent="0.2">
      <c r="A1617" t="s">
        <v>3595</v>
      </c>
      <c r="B1617" s="59">
        <v>41064.432951388888</v>
      </c>
      <c r="C1617">
        <v>225000</v>
      </c>
      <c r="D1617" t="s">
        <v>786</v>
      </c>
      <c r="E1617">
        <f>tblSalaries[[#This Row],[clean Salary (in local currency)]]*VLOOKUP(tblSalaries[[#This Row],[Currency]],[1]!tblXrate[#Data],2,FALSE)</f>
        <v>225000</v>
      </c>
      <c r="F1617" t="s">
        <v>3596</v>
      </c>
      <c r="G1617" t="s">
        <v>813</v>
      </c>
      <c r="H1617" t="s">
        <v>15</v>
      </c>
      <c r="I1617" t="str">
        <f>VLOOKUP(tblSalaries[[#This Row],[Where do you work]],[1]!tblCountries[[Actual]:[Mapping]],2,FALSE)</f>
        <v>USA</v>
      </c>
      <c r="J1617" t="s">
        <v>789</v>
      </c>
      <c r="K1617">
        <v>15</v>
      </c>
    </row>
    <row r="1618" spans="1:11" x14ac:dyDescent="0.2">
      <c r="A1618" t="s">
        <v>3597</v>
      </c>
      <c r="B1618" s="59">
        <v>41064.515335648146</v>
      </c>
      <c r="C1618">
        <v>10000</v>
      </c>
      <c r="D1618" t="s">
        <v>786</v>
      </c>
      <c r="E1618">
        <f>tblSalaries[[#This Row],[clean Salary (in local currency)]]*VLOOKUP(tblSalaries[[#This Row],[Currency]],[1]!tblXrate[#Data],2,FALSE)</f>
        <v>10000</v>
      </c>
      <c r="F1618" t="s">
        <v>1915</v>
      </c>
      <c r="G1618" t="s">
        <v>836</v>
      </c>
      <c r="H1618" t="s">
        <v>117</v>
      </c>
      <c r="I1618" t="str">
        <f>VLOOKUP(tblSalaries[[#This Row],[Where do you work]],[1]!tblCountries[[Actual]:[Mapping]],2,FALSE)</f>
        <v>India</v>
      </c>
      <c r="J1618" t="s">
        <v>794</v>
      </c>
      <c r="K1618">
        <v>2</v>
      </c>
    </row>
    <row r="1619" spans="1:11" x14ac:dyDescent="0.2">
      <c r="A1619" t="s">
        <v>3598</v>
      </c>
      <c r="B1619" s="59">
        <v>41064.540347222224</v>
      </c>
      <c r="C1619">
        <v>300000</v>
      </c>
      <c r="D1619" t="s">
        <v>824</v>
      </c>
      <c r="E1619">
        <f>tblSalaries[[#This Row],[clean Salary (in local currency)]]*VLOOKUP(tblSalaries[[#This Row],[Currency]],[1]!tblXrate[#Data],2,FALSE)</f>
        <v>5342.3750062327708</v>
      </c>
      <c r="F1619" t="s">
        <v>3599</v>
      </c>
      <c r="G1619" t="s">
        <v>788</v>
      </c>
      <c r="H1619" t="s">
        <v>117</v>
      </c>
      <c r="I1619" t="str">
        <f>VLOOKUP(tblSalaries[[#This Row],[Where do you work]],[1]!tblCountries[[Actual]:[Mapping]],2,FALSE)</f>
        <v>India</v>
      </c>
      <c r="J1619" t="s">
        <v>789</v>
      </c>
      <c r="K1619">
        <v>8</v>
      </c>
    </row>
    <row r="1620" spans="1:11" x14ac:dyDescent="0.2">
      <c r="A1620" t="s">
        <v>3600</v>
      </c>
      <c r="B1620" s="59">
        <v>41064.563090277778</v>
      </c>
      <c r="C1620">
        <v>84000</v>
      </c>
      <c r="D1620" t="s">
        <v>877</v>
      </c>
      <c r="E1620">
        <f>tblSalaries[[#This Row],[clean Salary (in local currency)]]*VLOOKUP(tblSalaries[[#This Row],[Currency]],[1]!tblXrate[#Data],2,FALSE)</f>
        <v>85672.4111378214</v>
      </c>
      <c r="F1620" t="s">
        <v>878</v>
      </c>
      <c r="G1620" t="s">
        <v>867</v>
      </c>
      <c r="H1620" t="s">
        <v>33</v>
      </c>
      <c r="I1620" t="str">
        <f>VLOOKUP(tblSalaries[[#This Row],[Where do you work]],[1]!tblCountries[[Actual]:[Mapping]],2,FALSE)</f>
        <v>Australia</v>
      </c>
      <c r="J1620" t="s">
        <v>789</v>
      </c>
      <c r="K1620">
        <v>6</v>
      </c>
    </row>
    <row r="1621" spans="1:11" x14ac:dyDescent="0.2">
      <c r="A1621" t="s">
        <v>3601</v>
      </c>
      <c r="B1621" s="59">
        <v>41064.601215277777</v>
      </c>
      <c r="C1621">
        <v>240000</v>
      </c>
      <c r="D1621" t="s">
        <v>824</v>
      </c>
      <c r="E1621">
        <f>tblSalaries[[#This Row],[clean Salary (in local currency)]]*VLOOKUP(tblSalaries[[#This Row],[Currency]],[1]!tblXrate[#Data],2,FALSE)</f>
        <v>4273.9000049862161</v>
      </c>
      <c r="F1621" t="s">
        <v>3602</v>
      </c>
      <c r="G1621" t="s">
        <v>792</v>
      </c>
      <c r="H1621" t="s">
        <v>117</v>
      </c>
      <c r="I1621" t="str">
        <f>VLOOKUP(tblSalaries[[#This Row],[Where do you work]],[1]!tblCountries[[Actual]:[Mapping]],2,FALSE)</f>
        <v>India</v>
      </c>
      <c r="J1621" t="s">
        <v>799</v>
      </c>
      <c r="K1621">
        <v>15</v>
      </c>
    </row>
    <row r="1622" spans="1:11" x14ac:dyDescent="0.2">
      <c r="A1622" t="s">
        <v>3603</v>
      </c>
      <c r="B1622" s="59">
        <v>41064.688298611109</v>
      </c>
      <c r="C1622">
        <v>500000</v>
      </c>
      <c r="D1622" t="s">
        <v>824</v>
      </c>
      <c r="E1622">
        <f>tblSalaries[[#This Row],[clean Salary (in local currency)]]*VLOOKUP(tblSalaries[[#This Row],[Currency]],[1]!tblXrate[#Data],2,FALSE)</f>
        <v>8903.9583437212841</v>
      </c>
      <c r="F1622" t="s">
        <v>2020</v>
      </c>
      <c r="G1622" t="s">
        <v>807</v>
      </c>
      <c r="H1622" t="s">
        <v>117</v>
      </c>
      <c r="I1622" t="str">
        <f>VLOOKUP(tblSalaries[[#This Row],[Where do you work]],[1]!tblCountries[[Actual]:[Mapping]],2,FALSE)</f>
        <v>India</v>
      </c>
      <c r="J1622" t="s">
        <v>794</v>
      </c>
      <c r="K1622">
        <v>20</v>
      </c>
    </row>
    <row r="1623" spans="1:11" x14ac:dyDescent="0.2">
      <c r="A1623" t="s">
        <v>3604</v>
      </c>
      <c r="B1623" s="59">
        <v>41064.752326388887</v>
      </c>
      <c r="C1623">
        <v>42000</v>
      </c>
      <c r="D1623" t="s">
        <v>861</v>
      </c>
      <c r="E1623">
        <f>tblSalaries[[#This Row],[clean Salary (in local currency)]]*VLOOKUP(tblSalaries[[#This Row],[Currency]],[1]!tblXrate[#Data],2,FALSE)</f>
        <v>66199.48742682593</v>
      </c>
      <c r="F1623" t="s">
        <v>1995</v>
      </c>
      <c r="G1623" t="s">
        <v>807</v>
      </c>
      <c r="H1623" t="s">
        <v>863</v>
      </c>
      <c r="I1623" t="str">
        <f>VLOOKUP(tblSalaries[[#This Row],[Where do you work]],[1]!tblCountries[[Actual]:[Mapping]],2,FALSE)</f>
        <v>UK</v>
      </c>
      <c r="J1623" t="s">
        <v>789</v>
      </c>
      <c r="K1623">
        <v>23</v>
      </c>
    </row>
    <row r="1624" spans="1:11" x14ac:dyDescent="0.2">
      <c r="A1624" t="s">
        <v>3605</v>
      </c>
      <c r="B1624" s="59">
        <v>41064.788819444446</v>
      </c>
      <c r="C1624">
        <v>320000</v>
      </c>
      <c r="D1624" t="s">
        <v>824</v>
      </c>
      <c r="E1624">
        <f>tblSalaries[[#This Row],[clean Salary (in local currency)]]*VLOOKUP(tblSalaries[[#This Row],[Currency]],[1]!tblXrate[#Data],2,FALSE)</f>
        <v>5698.5333399816218</v>
      </c>
      <c r="F1624" t="s">
        <v>1795</v>
      </c>
      <c r="G1624" t="s">
        <v>788</v>
      </c>
      <c r="H1624" t="s">
        <v>117</v>
      </c>
      <c r="I1624" t="str">
        <f>VLOOKUP(tblSalaries[[#This Row],[Where do you work]],[1]!tblCountries[[Actual]:[Mapping]],2,FALSE)</f>
        <v>India</v>
      </c>
      <c r="J1624" t="s">
        <v>789</v>
      </c>
      <c r="K1624">
        <v>2.5</v>
      </c>
    </row>
    <row r="1625" spans="1:11" x14ac:dyDescent="0.2">
      <c r="A1625" t="s">
        <v>3606</v>
      </c>
      <c r="B1625" s="59">
        <v>41064.799513888887</v>
      </c>
      <c r="C1625">
        <v>22000</v>
      </c>
      <c r="D1625" t="s">
        <v>861</v>
      </c>
      <c r="E1625">
        <f>tblSalaries[[#This Row],[clean Salary (in local currency)]]*VLOOKUP(tblSalaries[[#This Row],[Currency]],[1]!tblXrate[#Data],2,FALSE)</f>
        <v>34675.92198548025</v>
      </c>
      <c r="F1625" t="s">
        <v>3607</v>
      </c>
      <c r="G1625" t="s">
        <v>807</v>
      </c>
      <c r="H1625" t="s">
        <v>863</v>
      </c>
      <c r="I1625" t="str">
        <f>VLOOKUP(tblSalaries[[#This Row],[Where do you work]],[1]!tblCountries[[Actual]:[Mapping]],2,FALSE)</f>
        <v>UK</v>
      </c>
      <c r="J1625" t="s">
        <v>789</v>
      </c>
      <c r="K1625">
        <v>17</v>
      </c>
    </row>
    <row r="1626" spans="1:11" x14ac:dyDescent="0.2">
      <c r="A1626" t="s">
        <v>3608</v>
      </c>
      <c r="B1626" s="59">
        <v>41064.82371527778</v>
      </c>
      <c r="C1626">
        <v>31200</v>
      </c>
      <c r="D1626" t="s">
        <v>786</v>
      </c>
      <c r="E1626">
        <f>tblSalaries[[#This Row],[clean Salary (in local currency)]]*VLOOKUP(tblSalaries[[#This Row],[Currency]],[1]!tblXrate[#Data],2,FALSE)</f>
        <v>31200</v>
      </c>
      <c r="F1626" t="s">
        <v>1509</v>
      </c>
      <c r="G1626" t="s">
        <v>836</v>
      </c>
      <c r="H1626" t="s">
        <v>3609</v>
      </c>
      <c r="I1626" t="str">
        <f>VLOOKUP(tblSalaries[[#This Row],[Where do you work]],[1]!tblCountries[[Actual]:[Mapping]],2,FALSE)</f>
        <v>Israel</v>
      </c>
      <c r="J1626" t="s">
        <v>794</v>
      </c>
      <c r="K1626">
        <v>11</v>
      </c>
    </row>
    <row r="1627" spans="1:11" x14ac:dyDescent="0.2">
      <c r="A1627" t="s">
        <v>3610</v>
      </c>
      <c r="B1627" s="59">
        <v>41064.905034722222</v>
      </c>
      <c r="C1627">
        <v>56000</v>
      </c>
      <c r="D1627" t="s">
        <v>882</v>
      </c>
      <c r="E1627">
        <f>tblSalaries[[#This Row],[clean Salary (in local currency)]]*VLOOKUP(tblSalaries[[#This Row],[Currency]],[1]!tblXrate[#Data],2,FALSE)</f>
        <v>55068.245289698301</v>
      </c>
      <c r="F1627" t="s">
        <v>878</v>
      </c>
      <c r="G1627" t="s">
        <v>867</v>
      </c>
      <c r="H1627" t="s">
        <v>143</v>
      </c>
      <c r="I1627" t="str">
        <f>VLOOKUP(tblSalaries[[#This Row],[Where do you work]],[1]!tblCountries[[Actual]:[Mapping]],2,FALSE)</f>
        <v>Canada</v>
      </c>
      <c r="J1627" t="s">
        <v>794</v>
      </c>
      <c r="K1627">
        <v>1</v>
      </c>
    </row>
    <row r="1628" spans="1:11" x14ac:dyDescent="0.2">
      <c r="A1628" t="s">
        <v>3611</v>
      </c>
      <c r="B1628" s="59">
        <v>41064.927777777775</v>
      </c>
      <c r="C1628">
        <v>13000</v>
      </c>
      <c r="D1628" t="s">
        <v>786</v>
      </c>
      <c r="E1628">
        <f>tblSalaries[[#This Row],[clean Salary (in local currency)]]*VLOOKUP(tblSalaries[[#This Row],[Currency]],[1]!tblXrate[#Data],2,FALSE)</f>
        <v>13000</v>
      </c>
      <c r="F1628" t="s">
        <v>3612</v>
      </c>
      <c r="G1628" t="s">
        <v>788</v>
      </c>
      <c r="H1628" t="s">
        <v>285</v>
      </c>
      <c r="I1628" t="str">
        <f>VLOOKUP(tblSalaries[[#This Row],[Where do you work]],[1]!tblCountries[[Actual]:[Mapping]],2,FALSE)</f>
        <v>Slovakia</v>
      </c>
      <c r="J1628" t="s">
        <v>794</v>
      </c>
      <c r="K1628">
        <v>6</v>
      </c>
    </row>
    <row r="1629" spans="1:11" x14ac:dyDescent="0.2">
      <c r="A1629" t="s">
        <v>3613</v>
      </c>
      <c r="B1629" s="59">
        <v>41064.958449074074</v>
      </c>
      <c r="C1629">
        <v>92000</v>
      </c>
      <c r="D1629" t="s">
        <v>786</v>
      </c>
      <c r="E1629">
        <f>tblSalaries[[#This Row],[clean Salary (in local currency)]]*VLOOKUP(tblSalaries[[#This Row],[Currency]],[1]!tblXrate[#Data],2,FALSE)</f>
        <v>92000</v>
      </c>
      <c r="F1629" t="s">
        <v>3614</v>
      </c>
      <c r="G1629" t="s">
        <v>836</v>
      </c>
      <c r="H1629" t="s">
        <v>15</v>
      </c>
      <c r="I1629" t="str">
        <f>VLOOKUP(tblSalaries[[#This Row],[Where do you work]],[1]!tblCountries[[Actual]:[Mapping]],2,FALSE)</f>
        <v>USA</v>
      </c>
      <c r="J1629" t="s">
        <v>799</v>
      </c>
      <c r="K1629">
        <v>12</v>
      </c>
    </row>
    <row r="1630" spans="1:11" x14ac:dyDescent="0.2">
      <c r="A1630" t="s">
        <v>3615</v>
      </c>
      <c r="B1630" s="59">
        <v>41064.971307870372</v>
      </c>
      <c r="C1630">
        <v>85000</v>
      </c>
      <c r="D1630" t="s">
        <v>786</v>
      </c>
      <c r="E1630">
        <f>tblSalaries[[#This Row],[clean Salary (in local currency)]]*VLOOKUP(tblSalaries[[#This Row],[Currency]],[1]!tblXrate[#Data],2,FALSE)</f>
        <v>85000</v>
      </c>
      <c r="F1630" t="s">
        <v>3616</v>
      </c>
      <c r="G1630" t="s">
        <v>807</v>
      </c>
      <c r="H1630" t="s">
        <v>15</v>
      </c>
      <c r="I1630" t="str">
        <f>VLOOKUP(tblSalaries[[#This Row],[Where do you work]],[1]!tblCountries[[Actual]:[Mapping]],2,FALSE)</f>
        <v>USA</v>
      </c>
      <c r="J1630" t="s">
        <v>794</v>
      </c>
      <c r="K1630">
        <v>10</v>
      </c>
    </row>
    <row r="1631" spans="1:11" x14ac:dyDescent="0.2">
      <c r="A1631" t="s">
        <v>3617</v>
      </c>
      <c r="B1631" s="59">
        <v>41064.985208333332</v>
      </c>
      <c r="C1631">
        <v>11000</v>
      </c>
      <c r="D1631" t="s">
        <v>786</v>
      </c>
      <c r="E1631">
        <f>tblSalaries[[#This Row],[clean Salary (in local currency)]]*VLOOKUP(tblSalaries[[#This Row],[Currency]],[1]!tblXrate[#Data],2,FALSE)</f>
        <v>11000</v>
      </c>
      <c r="F1631" t="s">
        <v>3618</v>
      </c>
      <c r="G1631" t="s">
        <v>788</v>
      </c>
      <c r="H1631" t="s">
        <v>319</v>
      </c>
      <c r="I1631" t="str">
        <f>VLOOKUP(tblSalaries[[#This Row],[Where do you work]],[1]!tblCountries[[Actual]:[Mapping]],2,FALSE)</f>
        <v>Tunisia</v>
      </c>
      <c r="J1631" t="s">
        <v>789</v>
      </c>
      <c r="K1631">
        <v>8</v>
      </c>
    </row>
    <row r="1632" spans="1:11" x14ac:dyDescent="0.2">
      <c r="A1632" t="s">
        <v>3619</v>
      </c>
      <c r="B1632" s="59">
        <v>41064.985266203701</v>
      </c>
      <c r="C1632">
        <v>30000</v>
      </c>
      <c r="D1632" t="s">
        <v>805</v>
      </c>
      <c r="E1632">
        <f>tblSalaries[[#This Row],[clean Salary (in local currency)]]*VLOOKUP(tblSalaries[[#This Row],[Currency]],[1]!tblXrate[#Data],2,FALSE)</f>
        <v>38111.983169748237</v>
      </c>
      <c r="F1632" t="s">
        <v>3620</v>
      </c>
      <c r="G1632" t="s">
        <v>788</v>
      </c>
      <c r="H1632" t="s">
        <v>290</v>
      </c>
      <c r="I1632" t="str">
        <f>VLOOKUP(tblSalaries[[#This Row],[Where do you work]],[1]!tblCountries[[Actual]:[Mapping]],2,FALSE)</f>
        <v>Spain</v>
      </c>
      <c r="J1632" t="s">
        <v>808</v>
      </c>
      <c r="K1632">
        <v>12</v>
      </c>
    </row>
    <row r="1633" spans="1:11" x14ac:dyDescent="0.2">
      <c r="A1633" t="s">
        <v>3621</v>
      </c>
      <c r="B1633" s="59">
        <v>41064.987349537034</v>
      </c>
      <c r="C1633">
        <v>49000</v>
      </c>
      <c r="D1633" t="s">
        <v>786</v>
      </c>
      <c r="E1633">
        <f>tblSalaries[[#This Row],[clean Salary (in local currency)]]*VLOOKUP(tblSalaries[[#This Row],[Currency]],[1]!tblXrate[#Data],2,FALSE)</f>
        <v>49000</v>
      </c>
      <c r="F1633" t="s">
        <v>3622</v>
      </c>
      <c r="G1633" t="s">
        <v>788</v>
      </c>
      <c r="H1633" t="s">
        <v>15</v>
      </c>
      <c r="I1633" t="str">
        <f>VLOOKUP(tblSalaries[[#This Row],[Where do you work]],[1]!tblCountries[[Actual]:[Mapping]],2,FALSE)</f>
        <v>USA</v>
      </c>
      <c r="J1633" t="s">
        <v>799</v>
      </c>
      <c r="K1633">
        <v>3</v>
      </c>
    </row>
    <row r="1634" spans="1:11" x14ac:dyDescent="0.2">
      <c r="A1634" t="s">
        <v>3623</v>
      </c>
      <c r="B1634" s="59">
        <v>41065.015439814815</v>
      </c>
      <c r="C1634">
        <v>59000</v>
      </c>
      <c r="D1634" t="s">
        <v>786</v>
      </c>
      <c r="E1634">
        <f>tblSalaries[[#This Row],[clean Salary (in local currency)]]*VLOOKUP(tblSalaries[[#This Row],[Currency]],[1]!tblXrate[#Data],2,FALSE)</f>
        <v>59000</v>
      </c>
      <c r="F1634" t="s">
        <v>3624</v>
      </c>
      <c r="G1634" t="s">
        <v>807</v>
      </c>
      <c r="H1634" t="s">
        <v>15</v>
      </c>
      <c r="I1634" t="str">
        <f>VLOOKUP(tblSalaries[[#This Row],[Where do you work]],[1]!tblCountries[[Actual]:[Mapping]],2,FALSE)</f>
        <v>USA</v>
      </c>
      <c r="J1634" t="s">
        <v>808</v>
      </c>
      <c r="K1634">
        <v>3</v>
      </c>
    </row>
    <row r="1635" spans="1:11" x14ac:dyDescent="0.2">
      <c r="A1635" t="s">
        <v>3625</v>
      </c>
      <c r="B1635" s="59">
        <v>41065.085972222223</v>
      </c>
      <c r="C1635">
        <v>55000</v>
      </c>
      <c r="D1635" t="s">
        <v>786</v>
      </c>
      <c r="E1635">
        <f>tblSalaries[[#This Row],[clean Salary (in local currency)]]*VLOOKUP(tblSalaries[[#This Row],[Currency]],[1]!tblXrate[#Data],2,FALSE)</f>
        <v>55000</v>
      </c>
      <c r="F1635" t="s">
        <v>3626</v>
      </c>
      <c r="G1635" t="s">
        <v>788</v>
      </c>
      <c r="H1635" t="s">
        <v>15</v>
      </c>
      <c r="I1635" t="str">
        <f>VLOOKUP(tblSalaries[[#This Row],[Where do you work]],[1]!tblCountries[[Actual]:[Mapping]],2,FALSE)</f>
        <v>USA</v>
      </c>
      <c r="J1635" t="s">
        <v>789</v>
      </c>
      <c r="K1635">
        <v>15</v>
      </c>
    </row>
    <row r="1636" spans="1:11" x14ac:dyDescent="0.2">
      <c r="A1636" t="s">
        <v>3627</v>
      </c>
      <c r="B1636" s="59">
        <v>41065.097928240742</v>
      </c>
      <c r="C1636">
        <v>75000</v>
      </c>
      <c r="D1636" t="s">
        <v>786</v>
      </c>
      <c r="E1636">
        <f>tblSalaries[[#This Row],[clean Salary (in local currency)]]*VLOOKUP(tblSalaries[[#This Row],[Currency]],[1]!tblXrate[#Data],2,FALSE)</f>
        <v>75000</v>
      </c>
      <c r="F1636" t="s">
        <v>817</v>
      </c>
      <c r="G1636" t="s">
        <v>817</v>
      </c>
      <c r="H1636" t="s">
        <v>15</v>
      </c>
      <c r="I1636" t="str">
        <f>VLOOKUP(tblSalaries[[#This Row],[Where do you work]],[1]!tblCountries[[Actual]:[Mapping]],2,FALSE)</f>
        <v>USA</v>
      </c>
      <c r="J1636" t="s">
        <v>789</v>
      </c>
      <c r="K1636">
        <v>10</v>
      </c>
    </row>
    <row r="1637" spans="1:11" x14ac:dyDescent="0.2">
      <c r="A1637" t="s">
        <v>3628</v>
      </c>
      <c r="B1637" s="59">
        <v>41065.159745370373</v>
      </c>
      <c r="C1637">
        <v>39600</v>
      </c>
      <c r="D1637" t="s">
        <v>805</v>
      </c>
      <c r="E1637">
        <f>tblSalaries[[#This Row],[clean Salary (in local currency)]]*VLOOKUP(tblSalaries[[#This Row],[Currency]],[1]!tblXrate[#Data],2,FALSE)</f>
        <v>50307.817784067665</v>
      </c>
      <c r="F1637" t="s">
        <v>3629</v>
      </c>
      <c r="G1637" t="s">
        <v>807</v>
      </c>
      <c r="H1637" t="s">
        <v>3182</v>
      </c>
      <c r="I1637" t="str">
        <f>VLOOKUP(tblSalaries[[#This Row],[Where do you work]],[1]!tblCountries[[Actual]:[Mapping]],2,FALSE)</f>
        <v>Europe</v>
      </c>
      <c r="J1637" t="s">
        <v>808</v>
      </c>
      <c r="K1637">
        <v>5</v>
      </c>
    </row>
    <row r="1638" spans="1:11" x14ac:dyDescent="0.2">
      <c r="A1638" t="s">
        <v>3630</v>
      </c>
      <c r="B1638" s="59">
        <v>41065.163611111115</v>
      </c>
      <c r="C1638">
        <v>30500</v>
      </c>
      <c r="D1638" t="s">
        <v>786</v>
      </c>
      <c r="E1638">
        <f>tblSalaries[[#This Row],[clean Salary (in local currency)]]*VLOOKUP(tblSalaries[[#This Row],[Currency]],[1]!tblXrate[#Data],2,FALSE)</f>
        <v>30500</v>
      </c>
      <c r="F1638" t="s">
        <v>796</v>
      </c>
      <c r="G1638" t="s">
        <v>788</v>
      </c>
      <c r="H1638" t="s">
        <v>54</v>
      </c>
      <c r="I1638" t="str">
        <f>VLOOKUP(tblSalaries[[#This Row],[Where do you work]],[1]!tblCountries[[Actual]:[Mapping]],2,FALSE)</f>
        <v>Brazil</v>
      </c>
      <c r="J1638" t="s">
        <v>794</v>
      </c>
      <c r="K1638">
        <v>8</v>
      </c>
    </row>
    <row r="1639" spans="1:11" x14ac:dyDescent="0.2">
      <c r="A1639" t="s">
        <v>3631</v>
      </c>
      <c r="B1639" s="59">
        <v>41065.170937499999</v>
      </c>
      <c r="C1639">
        <v>80000</v>
      </c>
      <c r="D1639" t="s">
        <v>786</v>
      </c>
      <c r="E1639">
        <f>tblSalaries[[#This Row],[clean Salary (in local currency)]]*VLOOKUP(tblSalaries[[#This Row],[Currency]],[1]!tblXrate[#Data],2,FALSE)</f>
        <v>80000</v>
      </c>
      <c r="F1639" t="s">
        <v>3632</v>
      </c>
      <c r="G1639" t="s">
        <v>820</v>
      </c>
      <c r="H1639" t="s">
        <v>15</v>
      </c>
      <c r="I1639" t="str">
        <f>VLOOKUP(tblSalaries[[#This Row],[Where do you work]],[1]!tblCountries[[Actual]:[Mapping]],2,FALSE)</f>
        <v>USA</v>
      </c>
      <c r="J1639" t="s">
        <v>799</v>
      </c>
      <c r="K1639">
        <v>2</v>
      </c>
    </row>
    <row r="1640" spans="1:11" x14ac:dyDescent="0.2">
      <c r="A1640" t="s">
        <v>3633</v>
      </c>
      <c r="B1640" s="59">
        <v>41065.210462962961</v>
      </c>
      <c r="C1640">
        <v>12000</v>
      </c>
      <c r="D1640" t="s">
        <v>786</v>
      </c>
      <c r="E1640">
        <f>tblSalaries[[#This Row],[clean Salary (in local currency)]]*VLOOKUP(tblSalaries[[#This Row],[Currency]],[1]!tblXrate[#Data],2,FALSE)</f>
        <v>12000</v>
      </c>
      <c r="F1640" t="s">
        <v>3634</v>
      </c>
      <c r="G1640" t="s">
        <v>788</v>
      </c>
      <c r="H1640" t="s">
        <v>15</v>
      </c>
      <c r="I1640" t="str">
        <f>VLOOKUP(tblSalaries[[#This Row],[Where do you work]],[1]!tblCountries[[Actual]:[Mapping]],2,FALSE)</f>
        <v>USA</v>
      </c>
      <c r="J1640" t="s">
        <v>799</v>
      </c>
      <c r="K1640">
        <v>1</v>
      </c>
    </row>
    <row r="1641" spans="1:11" x14ac:dyDescent="0.2">
      <c r="A1641" t="s">
        <v>3635</v>
      </c>
      <c r="B1641" s="59">
        <v>41065.210648148146</v>
      </c>
      <c r="C1641">
        <v>48500</v>
      </c>
      <c r="D1641" t="s">
        <v>786</v>
      </c>
      <c r="E1641">
        <f>tblSalaries[[#This Row],[clean Salary (in local currency)]]*VLOOKUP(tblSalaries[[#This Row],[Currency]],[1]!tblXrate[#Data],2,FALSE)</f>
        <v>48500</v>
      </c>
      <c r="F1641" t="s">
        <v>3636</v>
      </c>
      <c r="G1641" t="s">
        <v>788</v>
      </c>
      <c r="H1641" t="s">
        <v>15</v>
      </c>
      <c r="I1641" t="str">
        <f>VLOOKUP(tblSalaries[[#This Row],[Where do you work]],[1]!tblCountries[[Actual]:[Mapping]],2,FALSE)</f>
        <v>USA</v>
      </c>
      <c r="J1641" t="s">
        <v>789</v>
      </c>
      <c r="K1641">
        <v>6</v>
      </c>
    </row>
    <row r="1642" spans="1:11" x14ac:dyDescent="0.2">
      <c r="A1642" t="s">
        <v>3637</v>
      </c>
      <c r="B1642" s="59">
        <v>41065.285833333335</v>
      </c>
      <c r="C1642">
        <v>40000</v>
      </c>
      <c r="D1642" t="s">
        <v>861</v>
      </c>
      <c r="E1642">
        <f>tblSalaries[[#This Row],[clean Salary (in local currency)]]*VLOOKUP(tblSalaries[[#This Row],[Currency]],[1]!tblXrate[#Data],2,FALSE)</f>
        <v>63047.130882691366</v>
      </c>
      <c r="F1642" t="s">
        <v>3638</v>
      </c>
      <c r="G1642" t="s">
        <v>820</v>
      </c>
      <c r="H1642" t="s">
        <v>863</v>
      </c>
      <c r="I1642" t="str">
        <f>VLOOKUP(tblSalaries[[#This Row],[Where do you work]],[1]!tblCountries[[Actual]:[Mapping]],2,FALSE)</f>
        <v>UK</v>
      </c>
      <c r="J1642" t="s">
        <v>799</v>
      </c>
      <c r="K1642">
        <v>25</v>
      </c>
    </row>
    <row r="1643" spans="1:11" x14ac:dyDescent="0.2">
      <c r="A1643" t="s">
        <v>3639</v>
      </c>
      <c r="B1643" s="59">
        <v>41065.295277777775</v>
      </c>
      <c r="C1643">
        <v>192000</v>
      </c>
      <c r="D1643" t="s">
        <v>824</v>
      </c>
      <c r="E1643">
        <f>tblSalaries[[#This Row],[clean Salary (in local currency)]]*VLOOKUP(tblSalaries[[#This Row],[Currency]],[1]!tblXrate[#Data],2,FALSE)</f>
        <v>3419.1200039889732</v>
      </c>
      <c r="F1643" t="s">
        <v>2095</v>
      </c>
      <c r="G1643" t="s">
        <v>788</v>
      </c>
      <c r="H1643" t="s">
        <v>117</v>
      </c>
      <c r="I1643" t="str">
        <f>VLOOKUP(tblSalaries[[#This Row],[Where do you work]],[1]!tblCountries[[Actual]:[Mapping]],2,FALSE)</f>
        <v>India</v>
      </c>
      <c r="J1643" t="s">
        <v>789</v>
      </c>
      <c r="K1643">
        <v>5</v>
      </c>
    </row>
    <row r="1644" spans="1:11" x14ac:dyDescent="0.2">
      <c r="A1644" t="s">
        <v>3640</v>
      </c>
      <c r="B1644" s="59">
        <v>41065.446921296294</v>
      </c>
      <c r="C1644">
        <v>110000</v>
      </c>
      <c r="D1644" t="s">
        <v>1831</v>
      </c>
      <c r="E1644">
        <f>tblSalaries[[#This Row],[clean Salary (in local currency)]]*VLOOKUP(tblSalaries[[#This Row],[Currency]],[1]!tblXrate[#Data],2,FALSE)</f>
        <v>87734.690296543267</v>
      </c>
      <c r="F1644" t="s">
        <v>3641</v>
      </c>
      <c r="G1644" t="s">
        <v>807</v>
      </c>
      <c r="H1644" t="s">
        <v>225</v>
      </c>
      <c r="I1644" t="str">
        <f>VLOOKUP(tblSalaries[[#This Row],[Where do you work]],[1]!tblCountries[[Actual]:[Mapping]],2,FALSE)</f>
        <v>New Zealand</v>
      </c>
      <c r="J1644" t="s">
        <v>789</v>
      </c>
      <c r="K1644">
        <v>6</v>
      </c>
    </row>
    <row r="1645" spans="1:11" x14ac:dyDescent="0.2">
      <c r="A1645" t="s">
        <v>3642</v>
      </c>
      <c r="B1645" s="59">
        <v>41065.529606481483</v>
      </c>
      <c r="C1645">
        <v>71000</v>
      </c>
      <c r="D1645" t="s">
        <v>1831</v>
      </c>
      <c r="E1645">
        <f>tblSalaries[[#This Row],[clean Salary (in local currency)]]*VLOOKUP(tblSalaries[[#This Row],[Currency]],[1]!tblXrate[#Data],2,FALSE)</f>
        <v>56628.754645950656</v>
      </c>
      <c r="F1645" t="s">
        <v>1070</v>
      </c>
      <c r="G1645" t="s">
        <v>788</v>
      </c>
      <c r="H1645" t="s">
        <v>2475</v>
      </c>
      <c r="I1645" t="str">
        <f>VLOOKUP(tblSalaries[[#This Row],[Where do you work]],[1]!tblCountries[[Actual]:[Mapping]],2,FALSE)</f>
        <v>New Zealand</v>
      </c>
      <c r="J1645" t="s">
        <v>794</v>
      </c>
      <c r="K1645">
        <v>6</v>
      </c>
    </row>
    <row r="1646" spans="1:11" x14ac:dyDescent="0.2">
      <c r="A1646" t="s">
        <v>3643</v>
      </c>
      <c r="B1646" s="59">
        <v>41065.749756944446</v>
      </c>
      <c r="C1646">
        <v>450000</v>
      </c>
      <c r="D1646" t="s">
        <v>824</v>
      </c>
      <c r="E1646">
        <f>tblSalaries[[#This Row],[clean Salary (in local currency)]]*VLOOKUP(tblSalaries[[#This Row],[Currency]],[1]!tblXrate[#Data],2,FALSE)</f>
        <v>8013.5625093491553</v>
      </c>
      <c r="F1646" t="s">
        <v>3644</v>
      </c>
      <c r="G1646" t="s">
        <v>836</v>
      </c>
      <c r="H1646" t="s">
        <v>117</v>
      </c>
      <c r="I1646" t="str">
        <f>VLOOKUP(tblSalaries[[#This Row],[Where do you work]],[1]!tblCountries[[Actual]:[Mapping]],2,FALSE)</f>
        <v>India</v>
      </c>
      <c r="J1646" t="s">
        <v>794</v>
      </c>
      <c r="K1646">
        <v>4</v>
      </c>
    </row>
    <row r="1647" spans="1:11" x14ac:dyDescent="0.2">
      <c r="A1647" t="s">
        <v>3645</v>
      </c>
      <c r="B1647" s="59">
        <v>41065.772210648145</v>
      </c>
      <c r="C1647">
        <v>200000</v>
      </c>
      <c r="D1647" t="s">
        <v>824</v>
      </c>
      <c r="E1647">
        <f>tblSalaries[[#This Row],[clean Salary (in local currency)]]*VLOOKUP(tblSalaries[[#This Row],[Currency]],[1]!tblXrate[#Data],2,FALSE)</f>
        <v>3561.5833374885137</v>
      </c>
      <c r="F1647" t="s">
        <v>1960</v>
      </c>
      <c r="G1647" t="s">
        <v>788</v>
      </c>
      <c r="H1647" t="s">
        <v>117</v>
      </c>
      <c r="I1647" t="str">
        <f>VLOOKUP(tblSalaries[[#This Row],[Where do you work]],[1]!tblCountries[[Actual]:[Mapping]],2,FALSE)</f>
        <v>India</v>
      </c>
      <c r="J1647" t="s">
        <v>808</v>
      </c>
      <c r="K1647">
        <v>16</v>
      </c>
    </row>
    <row r="1648" spans="1:11" x14ac:dyDescent="0.2">
      <c r="A1648" t="s">
        <v>3646</v>
      </c>
      <c r="B1648" s="59">
        <v>41065.801435185182</v>
      </c>
      <c r="C1648">
        <v>62000</v>
      </c>
      <c r="D1648" t="s">
        <v>786</v>
      </c>
      <c r="E1648">
        <f>tblSalaries[[#This Row],[clean Salary (in local currency)]]*VLOOKUP(tblSalaries[[#This Row],[Currency]],[1]!tblXrate[#Data],2,FALSE)</f>
        <v>62000</v>
      </c>
      <c r="F1648" t="s">
        <v>801</v>
      </c>
      <c r="G1648" t="s">
        <v>802</v>
      </c>
      <c r="H1648" t="s">
        <v>15</v>
      </c>
      <c r="I1648" t="str">
        <f>VLOOKUP(tblSalaries[[#This Row],[Where do you work]],[1]!tblCountries[[Actual]:[Mapping]],2,FALSE)</f>
        <v>USA</v>
      </c>
      <c r="J1648" t="s">
        <v>799</v>
      </c>
      <c r="K1648">
        <v>12</v>
      </c>
    </row>
    <row r="1649" spans="1:11" x14ac:dyDescent="0.2">
      <c r="A1649" t="s">
        <v>3647</v>
      </c>
      <c r="B1649" s="59">
        <v>41065.802812499998</v>
      </c>
      <c r="C1649">
        <v>21000</v>
      </c>
      <c r="D1649" t="s">
        <v>805</v>
      </c>
      <c r="E1649">
        <f>tblSalaries[[#This Row],[clean Salary (in local currency)]]*VLOOKUP(tblSalaries[[#This Row],[Currency]],[1]!tblXrate[#Data],2,FALSE)</f>
        <v>26678.388218823762</v>
      </c>
      <c r="F1649" t="s">
        <v>2748</v>
      </c>
      <c r="G1649" t="s">
        <v>788</v>
      </c>
      <c r="H1649" t="s">
        <v>256</v>
      </c>
      <c r="I1649" t="str">
        <f>VLOOKUP(tblSalaries[[#This Row],[Where do you work]],[1]!tblCountries[[Actual]:[Mapping]],2,FALSE)</f>
        <v>Portugal</v>
      </c>
      <c r="J1649" t="s">
        <v>789</v>
      </c>
      <c r="K1649">
        <v>5</v>
      </c>
    </row>
    <row r="1650" spans="1:11" x14ac:dyDescent="0.2">
      <c r="A1650" t="s">
        <v>3648</v>
      </c>
      <c r="B1650" s="59">
        <v>41065.817511574074</v>
      </c>
      <c r="C1650">
        <v>45000</v>
      </c>
      <c r="D1650" t="s">
        <v>861</v>
      </c>
      <c r="E1650">
        <f>tblSalaries[[#This Row],[clean Salary (in local currency)]]*VLOOKUP(tblSalaries[[#This Row],[Currency]],[1]!tblXrate[#Data],2,FALSE)</f>
        <v>70928.022243027779</v>
      </c>
      <c r="F1650" t="s">
        <v>984</v>
      </c>
      <c r="G1650" t="s">
        <v>788</v>
      </c>
      <c r="H1650" t="s">
        <v>863</v>
      </c>
      <c r="I1650" t="str">
        <f>VLOOKUP(tblSalaries[[#This Row],[Where do you work]],[1]!tblCountries[[Actual]:[Mapping]],2,FALSE)</f>
        <v>UK</v>
      </c>
      <c r="J1650" t="s">
        <v>794</v>
      </c>
      <c r="K1650">
        <v>5</v>
      </c>
    </row>
    <row r="1651" spans="1:11" x14ac:dyDescent="0.2">
      <c r="A1651" t="s">
        <v>3649</v>
      </c>
      <c r="B1651" s="59">
        <v>41065.833043981482</v>
      </c>
      <c r="C1651">
        <v>33000</v>
      </c>
      <c r="D1651" t="s">
        <v>805</v>
      </c>
      <c r="E1651">
        <f>tblSalaries[[#This Row],[clean Salary (in local currency)]]*VLOOKUP(tblSalaries[[#This Row],[Currency]],[1]!tblXrate[#Data],2,FALSE)</f>
        <v>41923.181486723057</v>
      </c>
      <c r="F1651" t="s">
        <v>3113</v>
      </c>
      <c r="G1651" t="s">
        <v>788</v>
      </c>
      <c r="H1651" t="s">
        <v>3650</v>
      </c>
      <c r="I1651" t="str">
        <f>VLOOKUP(tblSalaries[[#This Row],[Where do you work]],[1]!tblCountries[[Actual]:[Mapping]],2,FALSE)</f>
        <v>France</v>
      </c>
      <c r="J1651" t="s">
        <v>789</v>
      </c>
      <c r="K1651">
        <v>6</v>
      </c>
    </row>
    <row r="1652" spans="1:11" x14ac:dyDescent="0.2">
      <c r="A1652" t="s">
        <v>3651</v>
      </c>
      <c r="B1652" s="59">
        <v>41065.863437499997</v>
      </c>
      <c r="C1652">
        <v>90000</v>
      </c>
      <c r="D1652" t="s">
        <v>786</v>
      </c>
      <c r="E1652">
        <f>tblSalaries[[#This Row],[clean Salary (in local currency)]]*VLOOKUP(tblSalaries[[#This Row],[Currency]],[1]!tblXrate[#Data],2,FALSE)</f>
        <v>90000</v>
      </c>
      <c r="F1652" t="s">
        <v>3652</v>
      </c>
      <c r="G1652" t="s">
        <v>788</v>
      </c>
      <c r="H1652" t="s">
        <v>15</v>
      </c>
      <c r="I1652" t="str">
        <f>VLOOKUP(tblSalaries[[#This Row],[Where do you work]],[1]!tblCountries[[Actual]:[Mapping]],2,FALSE)</f>
        <v>USA</v>
      </c>
      <c r="J1652" t="s">
        <v>799</v>
      </c>
      <c r="K1652">
        <v>8</v>
      </c>
    </row>
    <row r="1653" spans="1:11" x14ac:dyDescent="0.2">
      <c r="A1653" t="s">
        <v>3653</v>
      </c>
      <c r="B1653" s="59">
        <v>41065.880046296297</v>
      </c>
      <c r="C1653">
        <v>400000</v>
      </c>
      <c r="D1653" t="s">
        <v>3654</v>
      </c>
      <c r="E1653">
        <f>tblSalaries[[#This Row],[clean Salary (in local currency)]]*VLOOKUP(tblSalaries[[#This Row],[Currency]],[1]!tblXrate[#Data],2,FALSE)</f>
        <v>67700.452577525488</v>
      </c>
      <c r="F1653" t="s">
        <v>3655</v>
      </c>
      <c r="G1653" t="s">
        <v>788</v>
      </c>
      <c r="H1653" t="s">
        <v>233</v>
      </c>
      <c r="I1653" t="str">
        <f>VLOOKUP(tblSalaries[[#This Row],[Where do you work]],[1]!tblCountries[[Actual]:[Mapping]],2,FALSE)</f>
        <v>Norway</v>
      </c>
      <c r="J1653" t="s">
        <v>794</v>
      </c>
      <c r="K1653">
        <v>5</v>
      </c>
    </row>
    <row r="1654" spans="1:11" x14ac:dyDescent="0.2">
      <c r="A1654" t="s">
        <v>3656</v>
      </c>
      <c r="B1654" s="59">
        <v>41065.898460648146</v>
      </c>
      <c r="C1654">
        <v>85000</v>
      </c>
      <c r="D1654" t="s">
        <v>786</v>
      </c>
      <c r="E1654">
        <f>tblSalaries[[#This Row],[clean Salary (in local currency)]]*VLOOKUP(tblSalaries[[#This Row],[Currency]],[1]!tblXrate[#Data],2,FALSE)</f>
        <v>85000</v>
      </c>
      <c r="F1654" t="s">
        <v>796</v>
      </c>
      <c r="G1654" t="s">
        <v>788</v>
      </c>
      <c r="H1654" t="s">
        <v>15</v>
      </c>
      <c r="I1654" t="str">
        <f>VLOOKUP(tblSalaries[[#This Row],[Where do you work]],[1]!tblCountries[[Actual]:[Mapping]],2,FALSE)</f>
        <v>USA</v>
      </c>
      <c r="J1654" t="s">
        <v>789</v>
      </c>
      <c r="K1654">
        <v>12</v>
      </c>
    </row>
    <row r="1655" spans="1:11" x14ac:dyDescent="0.2">
      <c r="A1655" t="s">
        <v>3657</v>
      </c>
      <c r="B1655" s="59">
        <v>41065.909143518518</v>
      </c>
      <c r="C1655">
        <v>50000</v>
      </c>
      <c r="D1655" t="s">
        <v>861</v>
      </c>
      <c r="E1655">
        <f>tblSalaries[[#This Row],[clean Salary (in local currency)]]*VLOOKUP(tblSalaries[[#This Row],[Currency]],[1]!tblXrate[#Data],2,FALSE)</f>
        <v>78808.913603364199</v>
      </c>
      <c r="F1655" t="s">
        <v>2362</v>
      </c>
      <c r="G1655" t="s">
        <v>813</v>
      </c>
      <c r="H1655" t="s">
        <v>863</v>
      </c>
      <c r="I1655" t="str">
        <f>VLOOKUP(tblSalaries[[#This Row],[Where do you work]],[1]!tblCountries[[Actual]:[Mapping]],2,FALSE)</f>
        <v>UK</v>
      </c>
      <c r="J1655" t="s">
        <v>789</v>
      </c>
      <c r="K1655">
        <v>10</v>
      </c>
    </row>
    <row r="1656" spans="1:11" x14ac:dyDescent="0.2">
      <c r="A1656" t="s">
        <v>3658</v>
      </c>
      <c r="B1656" s="59">
        <v>41065.916435185187</v>
      </c>
      <c r="C1656">
        <v>65000</v>
      </c>
      <c r="D1656" t="s">
        <v>786</v>
      </c>
      <c r="E1656">
        <f>tblSalaries[[#This Row],[clean Salary (in local currency)]]*VLOOKUP(tblSalaries[[#This Row],[Currency]],[1]!tblXrate[#Data],2,FALSE)</f>
        <v>65000</v>
      </c>
      <c r="F1656" t="s">
        <v>1070</v>
      </c>
      <c r="G1656" t="s">
        <v>788</v>
      </c>
      <c r="H1656" t="s">
        <v>15</v>
      </c>
      <c r="I1656" t="str">
        <f>VLOOKUP(tblSalaries[[#This Row],[Where do you work]],[1]!tblCountries[[Actual]:[Mapping]],2,FALSE)</f>
        <v>USA</v>
      </c>
      <c r="J1656" t="s">
        <v>789</v>
      </c>
      <c r="K1656">
        <v>8</v>
      </c>
    </row>
    <row r="1657" spans="1:11" x14ac:dyDescent="0.2">
      <c r="A1657" t="s">
        <v>3659</v>
      </c>
      <c r="B1657" s="59">
        <v>41065.920254629629</v>
      </c>
      <c r="C1657">
        <v>75000</v>
      </c>
      <c r="D1657" t="s">
        <v>786</v>
      </c>
      <c r="E1657">
        <f>tblSalaries[[#This Row],[clean Salary (in local currency)]]*VLOOKUP(tblSalaries[[#This Row],[Currency]],[1]!tblXrate[#Data],2,FALSE)</f>
        <v>75000</v>
      </c>
      <c r="F1657" t="s">
        <v>3660</v>
      </c>
      <c r="G1657" t="s">
        <v>813</v>
      </c>
      <c r="H1657" t="s">
        <v>15</v>
      </c>
      <c r="I1657" t="str">
        <f>VLOOKUP(tblSalaries[[#This Row],[Where do you work]],[1]!tblCountries[[Actual]:[Mapping]],2,FALSE)</f>
        <v>USA</v>
      </c>
      <c r="J1657" t="s">
        <v>799</v>
      </c>
      <c r="K1657">
        <v>3</v>
      </c>
    </row>
    <row r="1658" spans="1:11" x14ac:dyDescent="0.2">
      <c r="A1658" t="s">
        <v>3661</v>
      </c>
      <c r="B1658" s="59">
        <v>41065.947534722225</v>
      </c>
      <c r="C1658">
        <v>92000</v>
      </c>
      <c r="D1658" t="s">
        <v>786</v>
      </c>
      <c r="E1658">
        <f>tblSalaries[[#This Row],[clean Salary (in local currency)]]*VLOOKUP(tblSalaries[[#This Row],[Currency]],[1]!tblXrate[#Data],2,FALSE)</f>
        <v>92000</v>
      </c>
      <c r="F1658" t="s">
        <v>3662</v>
      </c>
      <c r="G1658" t="s">
        <v>788</v>
      </c>
      <c r="H1658" t="s">
        <v>15</v>
      </c>
      <c r="I1658" t="str">
        <f>VLOOKUP(tblSalaries[[#This Row],[Where do you work]],[1]!tblCountries[[Actual]:[Mapping]],2,FALSE)</f>
        <v>USA</v>
      </c>
      <c r="J1658" t="s">
        <v>789</v>
      </c>
      <c r="K1658">
        <v>9</v>
      </c>
    </row>
    <row r="1659" spans="1:11" x14ac:dyDescent="0.2">
      <c r="A1659" t="s">
        <v>3663</v>
      </c>
      <c r="B1659" s="59">
        <v>41065.951620370368</v>
      </c>
      <c r="C1659">
        <v>40000</v>
      </c>
      <c r="D1659" t="s">
        <v>805</v>
      </c>
      <c r="E1659">
        <f>tblSalaries[[#This Row],[clean Salary (in local currency)]]*VLOOKUP(tblSalaries[[#This Row],[Currency]],[1]!tblXrate[#Data],2,FALSE)</f>
        <v>50815.977559664309</v>
      </c>
      <c r="F1659" t="s">
        <v>796</v>
      </c>
      <c r="G1659" t="s">
        <v>788</v>
      </c>
      <c r="H1659" t="s">
        <v>72</v>
      </c>
      <c r="I1659" t="str">
        <f>VLOOKUP(tblSalaries[[#This Row],[Where do you work]],[1]!tblCountries[[Actual]:[Mapping]],2,FALSE)</f>
        <v>Germany</v>
      </c>
      <c r="J1659" t="s">
        <v>799</v>
      </c>
      <c r="K1659">
        <v>3</v>
      </c>
    </row>
    <row r="1660" spans="1:11" x14ac:dyDescent="0.2">
      <c r="A1660" t="s">
        <v>3664</v>
      </c>
      <c r="B1660" s="59">
        <v>41065.965092592596</v>
      </c>
      <c r="C1660">
        <v>35500</v>
      </c>
      <c r="D1660" t="s">
        <v>861</v>
      </c>
      <c r="E1660">
        <f>tblSalaries[[#This Row],[clean Salary (in local currency)]]*VLOOKUP(tblSalaries[[#This Row],[Currency]],[1]!tblXrate[#Data],2,FALSE)</f>
        <v>55954.328658388586</v>
      </c>
      <c r="F1660" t="s">
        <v>2778</v>
      </c>
      <c r="G1660" t="s">
        <v>817</v>
      </c>
      <c r="H1660" t="s">
        <v>863</v>
      </c>
      <c r="I1660" t="str">
        <f>VLOOKUP(tblSalaries[[#This Row],[Where do you work]],[1]!tblCountries[[Actual]:[Mapping]],2,FALSE)</f>
        <v>UK</v>
      </c>
      <c r="J1660" t="s">
        <v>789</v>
      </c>
      <c r="K1660">
        <v>8</v>
      </c>
    </row>
    <row r="1661" spans="1:11" x14ac:dyDescent="0.2">
      <c r="A1661" t="s">
        <v>3665</v>
      </c>
      <c r="B1661" s="59">
        <v>41066.034201388888</v>
      </c>
      <c r="C1661">
        <v>45000</v>
      </c>
      <c r="D1661" t="s">
        <v>786</v>
      </c>
      <c r="E1661">
        <f>tblSalaries[[#This Row],[clean Salary (in local currency)]]*VLOOKUP(tblSalaries[[#This Row],[Currency]],[1]!tblXrate[#Data],2,FALSE)</f>
        <v>45000</v>
      </c>
      <c r="F1661" t="s">
        <v>3666</v>
      </c>
      <c r="G1661" t="s">
        <v>788</v>
      </c>
      <c r="H1661" t="s">
        <v>15</v>
      </c>
      <c r="I1661" t="str">
        <f>VLOOKUP(tblSalaries[[#This Row],[Where do you work]],[1]!tblCountries[[Actual]:[Mapping]],2,FALSE)</f>
        <v>USA</v>
      </c>
      <c r="J1661" t="s">
        <v>799</v>
      </c>
      <c r="K1661">
        <v>4</v>
      </c>
    </row>
    <row r="1662" spans="1:11" x14ac:dyDescent="0.2">
      <c r="A1662" t="s">
        <v>3667</v>
      </c>
      <c r="B1662" s="59">
        <v>41066.044849537036</v>
      </c>
      <c r="C1662">
        <v>400000</v>
      </c>
      <c r="D1662" t="s">
        <v>824</v>
      </c>
      <c r="E1662">
        <f>tblSalaries[[#This Row],[clean Salary (in local currency)]]*VLOOKUP(tblSalaries[[#This Row],[Currency]],[1]!tblXrate[#Data],2,FALSE)</f>
        <v>7123.1666749770275</v>
      </c>
      <c r="F1662" t="s">
        <v>788</v>
      </c>
      <c r="G1662" t="s">
        <v>788</v>
      </c>
      <c r="H1662" t="s">
        <v>117</v>
      </c>
      <c r="I1662" t="str">
        <f>VLOOKUP(tblSalaries[[#This Row],[Where do you work]],[1]!tblCountries[[Actual]:[Mapping]],2,FALSE)</f>
        <v>India</v>
      </c>
      <c r="J1662" t="s">
        <v>789</v>
      </c>
      <c r="K1662">
        <v>4</v>
      </c>
    </row>
    <row r="1663" spans="1:11" x14ac:dyDescent="0.2">
      <c r="A1663" t="s">
        <v>3668</v>
      </c>
      <c r="B1663" s="59">
        <v>41066.060370370367</v>
      </c>
      <c r="C1663">
        <v>38920</v>
      </c>
      <c r="D1663" t="s">
        <v>805</v>
      </c>
      <c r="E1663">
        <f>tblSalaries[[#This Row],[clean Salary (in local currency)]]*VLOOKUP(tblSalaries[[#This Row],[Currency]],[1]!tblXrate[#Data],2,FALSE)</f>
        <v>49443.946165553374</v>
      </c>
      <c r="F1663" t="s">
        <v>3669</v>
      </c>
      <c r="G1663" t="s">
        <v>788</v>
      </c>
      <c r="H1663" t="s">
        <v>42</v>
      </c>
      <c r="I1663" t="str">
        <f>VLOOKUP(tblSalaries[[#This Row],[Where do you work]],[1]!tblCountries[[Actual]:[Mapping]],2,FALSE)</f>
        <v>Belgium</v>
      </c>
      <c r="J1663" t="s">
        <v>789</v>
      </c>
      <c r="K1663">
        <v>1.5</v>
      </c>
    </row>
    <row r="1664" spans="1:11" x14ac:dyDescent="0.2">
      <c r="A1664" t="s">
        <v>3670</v>
      </c>
      <c r="B1664" s="59">
        <v>41066.070601851854</v>
      </c>
      <c r="C1664">
        <v>45000</v>
      </c>
      <c r="D1664" t="s">
        <v>786</v>
      </c>
      <c r="E1664">
        <f>tblSalaries[[#This Row],[clean Salary (in local currency)]]*VLOOKUP(tblSalaries[[#This Row],[Currency]],[1]!tblXrate[#Data],2,FALSE)</f>
        <v>45000</v>
      </c>
      <c r="F1664" t="s">
        <v>812</v>
      </c>
      <c r="G1664" t="s">
        <v>813</v>
      </c>
      <c r="H1664" t="s">
        <v>2</v>
      </c>
      <c r="I1664" t="str">
        <f>VLOOKUP(tblSalaries[[#This Row],[Where do you work]],[1]!tblCountries[[Actual]:[Mapping]],2,FALSE)</f>
        <v>Mexico</v>
      </c>
      <c r="J1664" t="s">
        <v>789</v>
      </c>
      <c r="K1664">
        <v>5</v>
      </c>
    </row>
    <row r="1665" spans="1:11" x14ac:dyDescent="0.2">
      <c r="A1665" t="s">
        <v>3671</v>
      </c>
      <c r="B1665" s="59">
        <v>41066.091643518521</v>
      </c>
      <c r="C1665">
        <v>60000</v>
      </c>
      <c r="D1665" t="s">
        <v>786</v>
      </c>
      <c r="E1665">
        <f>tblSalaries[[#This Row],[clean Salary (in local currency)]]*VLOOKUP(tblSalaries[[#This Row],[Currency]],[1]!tblXrate[#Data],2,FALSE)</f>
        <v>60000</v>
      </c>
      <c r="F1665" t="s">
        <v>788</v>
      </c>
      <c r="G1665" t="s">
        <v>788</v>
      </c>
      <c r="H1665" t="s">
        <v>15</v>
      </c>
      <c r="I1665" t="str">
        <f>VLOOKUP(tblSalaries[[#This Row],[Where do you work]],[1]!tblCountries[[Actual]:[Mapping]],2,FALSE)</f>
        <v>USA</v>
      </c>
      <c r="J1665" t="s">
        <v>794</v>
      </c>
      <c r="K1665">
        <v>1</v>
      </c>
    </row>
    <row r="1666" spans="1:11" x14ac:dyDescent="0.2">
      <c r="A1666" t="s">
        <v>3672</v>
      </c>
      <c r="B1666" s="59">
        <v>41066.095300925925</v>
      </c>
      <c r="C1666">
        <v>65000</v>
      </c>
      <c r="D1666" t="s">
        <v>786</v>
      </c>
      <c r="E1666">
        <f>tblSalaries[[#This Row],[clean Salary (in local currency)]]*VLOOKUP(tblSalaries[[#This Row],[Currency]],[1]!tblXrate[#Data],2,FALSE)</f>
        <v>65000</v>
      </c>
      <c r="F1666" t="s">
        <v>3673</v>
      </c>
      <c r="G1666" t="s">
        <v>788</v>
      </c>
      <c r="H1666" t="s">
        <v>15</v>
      </c>
      <c r="I1666" t="str">
        <f>VLOOKUP(tblSalaries[[#This Row],[Where do you work]],[1]!tblCountries[[Actual]:[Mapping]],2,FALSE)</f>
        <v>USA</v>
      </c>
      <c r="J1666" t="s">
        <v>794</v>
      </c>
      <c r="K1666">
        <v>4</v>
      </c>
    </row>
    <row r="1667" spans="1:11" x14ac:dyDescent="0.2">
      <c r="A1667" t="s">
        <v>3674</v>
      </c>
      <c r="B1667" s="59">
        <v>41066.135370370372</v>
      </c>
      <c r="C1667">
        <v>73000</v>
      </c>
      <c r="D1667" t="s">
        <v>786</v>
      </c>
      <c r="E1667">
        <f>tblSalaries[[#This Row],[clean Salary (in local currency)]]*VLOOKUP(tblSalaries[[#This Row],[Currency]],[1]!tblXrate[#Data],2,FALSE)</f>
        <v>73000</v>
      </c>
      <c r="F1667" t="s">
        <v>3675</v>
      </c>
      <c r="G1667" t="s">
        <v>807</v>
      </c>
      <c r="H1667" t="s">
        <v>15</v>
      </c>
      <c r="I1667" t="str">
        <f>VLOOKUP(tblSalaries[[#This Row],[Where do you work]],[1]!tblCountries[[Actual]:[Mapping]],2,FALSE)</f>
        <v>USA</v>
      </c>
      <c r="J1667" t="s">
        <v>799</v>
      </c>
      <c r="K1667">
        <v>6</v>
      </c>
    </row>
    <row r="1668" spans="1:11" x14ac:dyDescent="0.2">
      <c r="A1668" t="s">
        <v>3676</v>
      </c>
      <c r="B1668" s="59">
        <v>41066.167268518519</v>
      </c>
      <c r="C1668">
        <v>54000</v>
      </c>
      <c r="D1668" t="s">
        <v>786</v>
      </c>
      <c r="E1668">
        <f>tblSalaries[[#This Row],[clean Salary (in local currency)]]*VLOOKUP(tblSalaries[[#This Row],[Currency]],[1]!tblXrate[#Data],2,FALSE)</f>
        <v>54000</v>
      </c>
      <c r="F1668" t="s">
        <v>1246</v>
      </c>
      <c r="G1668" t="s">
        <v>788</v>
      </c>
      <c r="H1668" t="s">
        <v>15</v>
      </c>
      <c r="I1668" t="str">
        <f>VLOOKUP(tblSalaries[[#This Row],[Where do you work]],[1]!tblCountries[[Actual]:[Mapping]],2,FALSE)</f>
        <v>USA</v>
      </c>
      <c r="J1668" t="s">
        <v>794</v>
      </c>
      <c r="K1668">
        <v>6</v>
      </c>
    </row>
    <row r="1669" spans="1:11" x14ac:dyDescent="0.2">
      <c r="A1669" t="s">
        <v>3677</v>
      </c>
      <c r="B1669" s="59">
        <v>41066.245127314818</v>
      </c>
      <c r="C1669">
        <v>81000</v>
      </c>
      <c r="D1669" t="s">
        <v>786</v>
      </c>
      <c r="E1669">
        <f>tblSalaries[[#This Row],[clean Salary (in local currency)]]*VLOOKUP(tblSalaries[[#This Row],[Currency]],[1]!tblXrate[#Data],2,FALSE)</f>
        <v>81000</v>
      </c>
      <c r="F1669" t="s">
        <v>3678</v>
      </c>
      <c r="G1669" t="s">
        <v>788</v>
      </c>
      <c r="H1669" t="s">
        <v>15</v>
      </c>
      <c r="I1669" t="str">
        <f>VLOOKUP(tblSalaries[[#This Row],[Where do you work]],[1]!tblCountries[[Actual]:[Mapping]],2,FALSE)</f>
        <v>USA</v>
      </c>
      <c r="J1669" t="s">
        <v>789</v>
      </c>
      <c r="K1669">
        <v>6</v>
      </c>
    </row>
    <row r="1670" spans="1:11" x14ac:dyDescent="0.2">
      <c r="A1670" t="s">
        <v>3679</v>
      </c>
      <c r="B1670" s="59">
        <v>41066.311666666668</v>
      </c>
      <c r="C1670">
        <v>10000</v>
      </c>
      <c r="D1670" t="s">
        <v>786</v>
      </c>
      <c r="E1670">
        <f>tblSalaries[[#This Row],[clean Salary (in local currency)]]*VLOOKUP(tblSalaries[[#This Row],[Currency]],[1]!tblXrate[#Data],2,FALSE)</f>
        <v>10000</v>
      </c>
      <c r="F1670" t="s">
        <v>3680</v>
      </c>
      <c r="G1670" t="s">
        <v>788</v>
      </c>
      <c r="H1670" t="s">
        <v>15</v>
      </c>
      <c r="I1670" t="str">
        <f>VLOOKUP(tblSalaries[[#This Row],[Where do you work]],[1]!tblCountries[[Actual]:[Mapping]],2,FALSE)</f>
        <v>USA</v>
      </c>
      <c r="J1670" t="s">
        <v>789</v>
      </c>
      <c r="K1670">
        <v>2</v>
      </c>
    </row>
    <row r="1671" spans="1:11" x14ac:dyDescent="0.2">
      <c r="A1671" t="s">
        <v>3681</v>
      </c>
      <c r="B1671" s="59">
        <v>41066.351342592592</v>
      </c>
      <c r="C1671">
        <v>42000</v>
      </c>
      <c r="D1671" t="s">
        <v>786</v>
      </c>
      <c r="E1671">
        <f>tblSalaries[[#This Row],[clean Salary (in local currency)]]*VLOOKUP(tblSalaries[[#This Row],[Currency]],[1]!tblXrate[#Data],2,FALSE)</f>
        <v>42000</v>
      </c>
      <c r="F1671" t="s">
        <v>2896</v>
      </c>
      <c r="G1671" t="s">
        <v>817</v>
      </c>
      <c r="H1671" t="s">
        <v>15</v>
      </c>
      <c r="I1671" t="str">
        <f>VLOOKUP(tblSalaries[[#This Row],[Where do you work]],[1]!tblCountries[[Actual]:[Mapping]],2,FALSE)</f>
        <v>USA</v>
      </c>
      <c r="J1671" t="s">
        <v>789</v>
      </c>
      <c r="K1671">
        <v>1</v>
      </c>
    </row>
    <row r="1672" spans="1:11" x14ac:dyDescent="0.2">
      <c r="A1672" t="s">
        <v>3682</v>
      </c>
      <c r="B1672" s="59">
        <v>41066.39707175926</v>
      </c>
      <c r="C1672">
        <v>80000</v>
      </c>
      <c r="D1672" t="s">
        <v>877</v>
      </c>
      <c r="E1672">
        <f>tblSalaries[[#This Row],[clean Salary (in local currency)]]*VLOOKUP(tblSalaries[[#This Row],[Currency]],[1]!tblXrate[#Data],2,FALSE)</f>
        <v>81592.772512210868</v>
      </c>
      <c r="F1672" t="s">
        <v>3683</v>
      </c>
      <c r="G1672" t="s">
        <v>820</v>
      </c>
      <c r="H1672" t="s">
        <v>33</v>
      </c>
      <c r="I1672" t="str">
        <f>VLOOKUP(tblSalaries[[#This Row],[Where do you work]],[1]!tblCountries[[Actual]:[Mapping]],2,FALSE)</f>
        <v>Australia</v>
      </c>
      <c r="J1672" t="s">
        <v>789</v>
      </c>
      <c r="K1672">
        <v>5</v>
      </c>
    </row>
    <row r="1673" spans="1:11" x14ac:dyDescent="0.2">
      <c r="A1673" t="s">
        <v>3684</v>
      </c>
      <c r="B1673" s="59">
        <v>41066.473009259258</v>
      </c>
      <c r="C1673">
        <v>36000</v>
      </c>
      <c r="D1673" t="s">
        <v>882</v>
      </c>
      <c r="E1673">
        <f>tblSalaries[[#This Row],[clean Salary (in local currency)]]*VLOOKUP(tblSalaries[[#This Row],[Currency]],[1]!tblXrate[#Data],2,FALSE)</f>
        <v>35401.014829091764</v>
      </c>
      <c r="F1673" t="s">
        <v>3685</v>
      </c>
      <c r="G1673" t="s">
        <v>788</v>
      </c>
      <c r="H1673" t="s">
        <v>143</v>
      </c>
      <c r="I1673" t="str">
        <f>VLOOKUP(tblSalaries[[#This Row],[Where do you work]],[1]!tblCountries[[Actual]:[Mapping]],2,FALSE)</f>
        <v>Canada</v>
      </c>
      <c r="J1673" t="s">
        <v>794</v>
      </c>
      <c r="K1673">
        <v>2</v>
      </c>
    </row>
    <row r="1674" spans="1:11" x14ac:dyDescent="0.2">
      <c r="A1674" t="s">
        <v>3686</v>
      </c>
      <c r="B1674" s="59">
        <v>41066.66920138889</v>
      </c>
      <c r="C1674">
        <v>500000</v>
      </c>
      <c r="D1674" t="s">
        <v>824</v>
      </c>
      <c r="E1674">
        <f>tblSalaries[[#This Row],[clean Salary (in local currency)]]*VLOOKUP(tblSalaries[[#This Row],[Currency]],[1]!tblXrate[#Data],2,FALSE)</f>
        <v>8903.9583437212841</v>
      </c>
      <c r="F1674" t="s">
        <v>1133</v>
      </c>
      <c r="G1674" t="s">
        <v>788</v>
      </c>
      <c r="H1674" t="s">
        <v>117</v>
      </c>
      <c r="I1674" t="str">
        <f>VLOOKUP(tblSalaries[[#This Row],[Where do you work]],[1]!tblCountries[[Actual]:[Mapping]],2,FALSE)</f>
        <v>India</v>
      </c>
      <c r="J1674" t="s">
        <v>789</v>
      </c>
      <c r="K1674">
        <v>4</v>
      </c>
    </row>
    <row r="1675" spans="1:11" x14ac:dyDescent="0.2">
      <c r="A1675" t="s">
        <v>3687</v>
      </c>
      <c r="B1675" s="59">
        <v>41066.737280092595</v>
      </c>
      <c r="C1675">
        <v>600000</v>
      </c>
      <c r="D1675" t="s">
        <v>824</v>
      </c>
      <c r="E1675">
        <f>tblSalaries[[#This Row],[clean Salary (in local currency)]]*VLOOKUP(tblSalaries[[#This Row],[Currency]],[1]!tblXrate[#Data],2,FALSE)</f>
        <v>10684.750012465542</v>
      </c>
      <c r="F1675" t="s">
        <v>3688</v>
      </c>
      <c r="G1675" t="s">
        <v>788</v>
      </c>
      <c r="H1675" t="s">
        <v>117</v>
      </c>
      <c r="I1675" t="str">
        <f>VLOOKUP(tblSalaries[[#This Row],[Where do you work]],[1]!tblCountries[[Actual]:[Mapping]],2,FALSE)</f>
        <v>India</v>
      </c>
      <c r="J1675" t="s">
        <v>794</v>
      </c>
      <c r="K1675">
        <v>5</v>
      </c>
    </row>
    <row r="1676" spans="1:11" x14ac:dyDescent="0.2">
      <c r="A1676" t="s">
        <v>3689</v>
      </c>
      <c r="B1676" s="59">
        <v>41066.786145833335</v>
      </c>
      <c r="C1676">
        <v>8400</v>
      </c>
      <c r="D1676" t="s">
        <v>786</v>
      </c>
      <c r="E1676">
        <f>tblSalaries[[#This Row],[clean Salary (in local currency)]]*VLOOKUP(tblSalaries[[#This Row],[Currency]],[1]!tblXrate[#Data],2,FALSE)</f>
        <v>8400</v>
      </c>
      <c r="F1676" t="s">
        <v>3690</v>
      </c>
      <c r="G1676" t="s">
        <v>788</v>
      </c>
      <c r="H1676" t="s">
        <v>2324</v>
      </c>
      <c r="I1676" t="str">
        <f>VLOOKUP(tblSalaries[[#This Row],[Where do you work]],[1]!tblCountries[[Actual]:[Mapping]],2,FALSE)</f>
        <v>Indonesia</v>
      </c>
      <c r="J1676" t="s">
        <v>789</v>
      </c>
      <c r="K1676">
        <v>14</v>
      </c>
    </row>
    <row r="1677" spans="1:11" x14ac:dyDescent="0.2">
      <c r="A1677" t="s">
        <v>3691</v>
      </c>
      <c r="B1677" s="59">
        <v>41066.818819444445</v>
      </c>
      <c r="C1677">
        <v>550000</v>
      </c>
      <c r="D1677" t="s">
        <v>824</v>
      </c>
      <c r="E1677">
        <f>tblSalaries[[#This Row],[clean Salary (in local currency)]]*VLOOKUP(tblSalaries[[#This Row],[Currency]],[1]!tblXrate[#Data],2,FALSE)</f>
        <v>9794.354178093412</v>
      </c>
      <c r="F1677" t="s">
        <v>3692</v>
      </c>
      <c r="G1677" t="s">
        <v>807</v>
      </c>
      <c r="H1677" t="s">
        <v>117</v>
      </c>
      <c r="I1677" t="str">
        <f>VLOOKUP(tblSalaries[[#This Row],[Where do you work]],[1]!tblCountries[[Actual]:[Mapping]],2,FALSE)</f>
        <v>India</v>
      </c>
      <c r="J1677" t="s">
        <v>789</v>
      </c>
      <c r="K1677">
        <v>13</v>
      </c>
    </row>
    <row r="1678" spans="1:11" x14ac:dyDescent="0.2">
      <c r="A1678" t="s">
        <v>3693</v>
      </c>
      <c r="B1678" s="59">
        <v>41066.829733796294</v>
      </c>
      <c r="C1678">
        <v>14400</v>
      </c>
      <c r="D1678" t="s">
        <v>786</v>
      </c>
      <c r="E1678">
        <f>tblSalaries[[#This Row],[clean Salary (in local currency)]]*VLOOKUP(tblSalaries[[#This Row],[Currency]],[1]!tblXrate[#Data],2,FALSE)</f>
        <v>14400</v>
      </c>
      <c r="F1678" t="s">
        <v>802</v>
      </c>
      <c r="G1678" t="s">
        <v>802</v>
      </c>
      <c r="H1678" t="s">
        <v>117</v>
      </c>
      <c r="I1678" t="str">
        <f>VLOOKUP(tblSalaries[[#This Row],[Where do you work]],[1]!tblCountries[[Actual]:[Mapping]],2,FALSE)</f>
        <v>India</v>
      </c>
      <c r="J1678" t="s">
        <v>808</v>
      </c>
      <c r="K1678">
        <v>8</v>
      </c>
    </row>
    <row r="1679" spans="1:11" x14ac:dyDescent="0.2">
      <c r="A1679" t="s">
        <v>3694</v>
      </c>
      <c r="B1679" s="59">
        <v>41066.838692129626</v>
      </c>
      <c r="C1679">
        <v>150000</v>
      </c>
      <c r="D1679" t="s">
        <v>824</v>
      </c>
      <c r="E1679">
        <f>tblSalaries[[#This Row],[clean Salary (in local currency)]]*VLOOKUP(tblSalaries[[#This Row],[Currency]],[1]!tblXrate[#Data],2,FALSE)</f>
        <v>2671.1875031163854</v>
      </c>
      <c r="F1679" t="s">
        <v>1915</v>
      </c>
      <c r="G1679" t="s">
        <v>836</v>
      </c>
      <c r="H1679" t="s">
        <v>117</v>
      </c>
      <c r="I1679" t="str">
        <f>VLOOKUP(tblSalaries[[#This Row],[Where do you work]],[1]!tblCountries[[Actual]:[Mapping]],2,FALSE)</f>
        <v>India</v>
      </c>
      <c r="J1679" t="s">
        <v>794</v>
      </c>
      <c r="K1679">
        <v>3</v>
      </c>
    </row>
    <row r="1680" spans="1:11" x14ac:dyDescent="0.2">
      <c r="A1680" t="s">
        <v>3695</v>
      </c>
      <c r="B1680" s="59">
        <v>41066.862210648149</v>
      </c>
      <c r="C1680">
        <v>22000</v>
      </c>
      <c r="D1680" t="s">
        <v>786</v>
      </c>
      <c r="E1680">
        <f>tblSalaries[[#This Row],[clean Salary (in local currency)]]*VLOOKUP(tblSalaries[[#This Row],[Currency]],[1]!tblXrate[#Data],2,FALSE)</f>
        <v>22000</v>
      </c>
      <c r="F1680" t="s">
        <v>3696</v>
      </c>
      <c r="G1680" t="s">
        <v>807</v>
      </c>
      <c r="H1680" t="s">
        <v>117</v>
      </c>
      <c r="I1680" t="str">
        <f>VLOOKUP(tblSalaries[[#This Row],[Where do you work]],[1]!tblCountries[[Actual]:[Mapping]],2,FALSE)</f>
        <v>India</v>
      </c>
      <c r="J1680" t="s">
        <v>794</v>
      </c>
      <c r="K1680">
        <v>6</v>
      </c>
    </row>
    <row r="1681" spans="1:11" x14ac:dyDescent="0.2">
      <c r="A1681" t="s">
        <v>3697</v>
      </c>
      <c r="B1681" s="59">
        <v>41066.888090277775</v>
      </c>
      <c r="C1681">
        <v>100000</v>
      </c>
      <c r="D1681" t="s">
        <v>786</v>
      </c>
      <c r="E1681">
        <f>tblSalaries[[#This Row],[clean Salary (in local currency)]]*VLOOKUP(tblSalaries[[#This Row],[Currency]],[1]!tblXrate[#Data],2,FALSE)</f>
        <v>100000</v>
      </c>
      <c r="F1681" t="s">
        <v>3698</v>
      </c>
      <c r="G1681" t="s">
        <v>788</v>
      </c>
      <c r="H1681" t="s">
        <v>744</v>
      </c>
      <c r="I1681" t="str">
        <f>VLOOKUP(tblSalaries[[#This Row],[Where do you work]],[1]!tblCountries[[Actual]:[Mapping]],2,FALSE)</f>
        <v>Russia</v>
      </c>
      <c r="J1681" t="s">
        <v>794</v>
      </c>
      <c r="K1681">
        <v>6</v>
      </c>
    </row>
    <row r="1682" spans="1:11" x14ac:dyDescent="0.2">
      <c r="A1682" t="s">
        <v>3699</v>
      </c>
      <c r="B1682" s="59">
        <v>41066.889328703706</v>
      </c>
      <c r="C1682">
        <v>40000</v>
      </c>
      <c r="D1682" t="s">
        <v>861</v>
      </c>
      <c r="E1682">
        <f>tblSalaries[[#This Row],[clean Salary (in local currency)]]*VLOOKUP(tblSalaries[[#This Row],[Currency]],[1]!tblXrate[#Data],2,FALSE)</f>
        <v>63047.130882691366</v>
      </c>
      <c r="F1682" t="s">
        <v>1065</v>
      </c>
      <c r="G1682" t="s">
        <v>807</v>
      </c>
      <c r="H1682" t="s">
        <v>863</v>
      </c>
      <c r="I1682" t="str">
        <f>VLOOKUP(tblSalaries[[#This Row],[Where do you work]],[1]!tblCountries[[Actual]:[Mapping]],2,FALSE)</f>
        <v>UK</v>
      </c>
      <c r="J1682" t="s">
        <v>789</v>
      </c>
      <c r="K1682">
        <v>15</v>
      </c>
    </row>
    <row r="1683" spans="1:11" x14ac:dyDescent="0.2">
      <c r="A1683" t="s">
        <v>3700</v>
      </c>
      <c r="B1683" s="59">
        <v>41066.926701388889</v>
      </c>
      <c r="C1683">
        <v>36000</v>
      </c>
      <c r="D1683" t="s">
        <v>861</v>
      </c>
      <c r="E1683">
        <f>tblSalaries[[#This Row],[clean Salary (in local currency)]]*VLOOKUP(tblSalaries[[#This Row],[Currency]],[1]!tblXrate[#Data],2,FALSE)</f>
        <v>56742.417794422225</v>
      </c>
      <c r="F1683" t="s">
        <v>3701</v>
      </c>
      <c r="G1683" t="s">
        <v>807</v>
      </c>
      <c r="H1683" t="s">
        <v>863</v>
      </c>
      <c r="I1683" t="str">
        <f>VLOOKUP(tblSalaries[[#This Row],[Where do you work]],[1]!tblCountries[[Actual]:[Mapping]],2,FALSE)</f>
        <v>UK</v>
      </c>
      <c r="J1683" t="s">
        <v>808</v>
      </c>
      <c r="K1683">
        <v>25</v>
      </c>
    </row>
    <row r="1684" spans="1:11" x14ac:dyDescent="0.2">
      <c r="A1684" t="s">
        <v>3702</v>
      </c>
      <c r="B1684" s="59">
        <v>41066.946018518516</v>
      </c>
      <c r="C1684">
        <v>25000</v>
      </c>
      <c r="D1684" t="s">
        <v>786</v>
      </c>
      <c r="E1684">
        <f>tblSalaries[[#This Row],[clean Salary (in local currency)]]*VLOOKUP(tblSalaries[[#This Row],[Currency]],[1]!tblXrate[#Data],2,FALSE)</f>
        <v>25000</v>
      </c>
      <c r="F1684" t="s">
        <v>3703</v>
      </c>
      <c r="G1684" t="s">
        <v>788</v>
      </c>
      <c r="H1684" t="s">
        <v>117</v>
      </c>
      <c r="I1684" t="str">
        <f>VLOOKUP(tblSalaries[[#This Row],[Where do you work]],[1]!tblCountries[[Actual]:[Mapping]],2,FALSE)</f>
        <v>India</v>
      </c>
      <c r="J1684" t="s">
        <v>794</v>
      </c>
      <c r="K1684">
        <v>8</v>
      </c>
    </row>
    <row r="1685" spans="1:11" x14ac:dyDescent="0.2">
      <c r="A1685" t="s">
        <v>3704</v>
      </c>
      <c r="B1685" s="59">
        <v>41067.022499999999</v>
      </c>
      <c r="C1685">
        <v>500000</v>
      </c>
      <c r="D1685" t="s">
        <v>824</v>
      </c>
      <c r="E1685">
        <f>tblSalaries[[#This Row],[clean Salary (in local currency)]]*VLOOKUP(tblSalaries[[#This Row],[Currency]],[1]!tblXrate[#Data],2,FALSE)</f>
        <v>8903.9583437212841</v>
      </c>
      <c r="F1685" t="s">
        <v>1070</v>
      </c>
      <c r="G1685" t="s">
        <v>788</v>
      </c>
      <c r="H1685" t="s">
        <v>117</v>
      </c>
      <c r="I1685" t="str">
        <f>VLOOKUP(tblSalaries[[#This Row],[Where do you work]],[1]!tblCountries[[Actual]:[Mapping]],2,FALSE)</f>
        <v>India</v>
      </c>
      <c r="J1685" t="s">
        <v>789</v>
      </c>
      <c r="K1685">
        <v>2</v>
      </c>
    </row>
    <row r="1686" spans="1:11" x14ac:dyDescent="0.2">
      <c r="A1686" t="s">
        <v>3705</v>
      </c>
      <c r="B1686" s="59">
        <v>41067.265474537038</v>
      </c>
      <c r="C1686">
        <v>27000</v>
      </c>
      <c r="D1686" t="s">
        <v>861</v>
      </c>
      <c r="E1686">
        <f>tblSalaries[[#This Row],[clean Salary (in local currency)]]*VLOOKUP(tblSalaries[[#This Row],[Currency]],[1]!tblXrate[#Data],2,FALSE)</f>
        <v>42556.81334581667</v>
      </c>
      <c r="F1686" t="s">
        <v>3706</v>
      </c>
      <c r="G1686" t="s">
        <v>788</v>
      </c>
      <c r="H1686" t="s">
        <v>863</v>
      </c>
      <c r="I1686" t="str">
        <f>VLOOKUP(tblSalaries[[#This Row],[Where do you work]],[1]!tblCountries[[Actual]:[Mapping]],2,FALSE)</f>
        <v>UK</v>
      </c>
      <c r="J1686" t="s">
        <v>789</v>
      </c>
      <c r="K1686">
        <v>2</v>
      </c>
    </row>
    <row r="1687" spans="1:11" x14ac:dyDescent="0.2">
      <c r="A1687" t="s">
        <v>3707</v>
      </c>
      <c r="B1687" s="59">
        <v>41067.358923611115</v>
      </c>
      <c r="C1687">
        <v>134000</v>
      </c>
      <c r="D1687" t="s">
        <v>882</v>
      </c>
      <c r="E1687">
        <f>tblSalaries[[#This Row],[clean Salary (in local currency)]]*VLOOKUP(tblSalaries[[#This Row],[Currency]],[1]!tblXrate[#Data],2,FALSE)</f>
        <v>131770.4440860638</v>
      </c>
      <c r="F1687" t="s">
        <v>3708</v>
      </c>
      <c r="G1687" t="s">
        <v>817</v>
      </c>
      <c r="H1687" t="s">
        <v>143</v>
      </c>
      <c r="I1687" t="str">
        <f>VLOOKUP(tblSalaries[[#This Row],[Where do you work]],[1]!tblCountries[[Actual]:[Mapping]],2,FALSE)</f>
        <v>Canada</v>
      </c>
      <c r="J1687" t="s">
        <v>794</v>
      </c>
      <c r="K1687">
        <v>20</v>
      </c>
    </row>
    <row r="1688" spans="1:11" x14ac:dyDescent="0.2">
      <c r="A1688" t="s">
        <v>3709</v>
      </c>
      <c r="B1688" s="59">
        <v>41067.392881944441</v>
      </c>
      <c r="C1688">
        <v>70000</v>
      </c>
      <c r="D1688" t="s">
        <v>882</v>
      </c>
      <c r="E1688">
        <f>tblSalaries[[#This Row],[clean Salary (in local currency)]]*VLOOKUP(tblSalaries[[#This Row],[Currency]],[1]!tblXrate[#Data],2,FALSE)</f>
        <v>68835.306612122877</v>
      </c>
      <c r="F1688" t="s">
        <v>796</v>
      </c>
      <c r="G1688" t="s">
        <v>788</v>
      </c>
      <c r="H1688" t="s">
        <v>143</v>
      </c>
      <c r="I1688" t="str">
        <f>VLOOKUP(tblSalaries[[#This Row],[Where do you work]],[1]!tblCountries[[Actual]:[Mapping]],2,FALSE)</f>
        <v>Canada</v>
      </c>
      <c r="J1688" t="s">
        <v>794</v>
      </c>
      <c r="K1688">
        <v>2</v>
      </c>
    </row>
    <row r="1689" spans="1:11" x14ac:dyDescent="0.2">
      <c r="A1689" t="s">
        <v>3710</v>
      </c>
      <c r="B1689" s="59">
        <v>41067.587939814817</v>
      </c>
      <c r="C1689">
        <v>6000</v>
      </c>
      <c r="D1689" t="s">
        <v>786</v>
      </c>
      <c r="E1689">
        <f>tblSalaries[[#This Row],[clean Salary (in local currency)]]*VLOOKUP(tblSalaries[[#This Row],[Currency]],[1]!tblXrate[#Data],2,FALSE)</f>
        <v>6000</v>
      </c>
      <c r="F1689" t="s">
        <v>3711</v>
      </c>
      <c r="G1689" t="s">
        <v>836</v>
      </c>
      <c r="H1689" t="s">
        <v>26</v>
      </c>
      <c r="I1689" t="str">
        <f>VLOOKUP(tblSalaries[[#This Row],[Where do you work]],[1]!tblCountries[[Actual]:[Mapping]],2,FALSE)</f>
        <v>Armenia</v>
      </c>
      <c r="J1689" t="s">
        <v>794</v>
      </c>
      <c r="K1689">
        <v>5</v>
      </c>
    </row>
    <row r="1690" spans="1:11" x14ac:dyDescent="0.2">
      <c r="A1690" t="s">
        <v>3712</v>
      </c>
      <c r="B1690" s="59">
        <v>41067.638807870368</v>
      </c>
      <c r="C1690">
        <v>50000</v>
      </c>
      <c r="D1690" t="s">
        <v>861</v>
      </c>
      <c r="E1690">
        <f>tblSalaries[[#This Row],[clean Salary (in local currency)]]*VLOOKUP(tblSalaries[[#This Row],[Currency]],[1]!tblXrate[#Data],2,FALSE)</f>
        <v>78808.913603364199</v>
      </c>
      <c r="F1690" t="s">
        <v>1057</v>
      </c>
      <c r="G1690" t="s">
        <v>788</v>
      </c>
      <c r="H1690" t="s">
        <v>863</v>
      </c>
      <c r="I1690" t="str">
        <f>VLOOKUP(tblSalaries[[#This Row],[Where do you work]],[1]!tblCountries[[Actual]:[Mapping]],2,FALSE)</f>
        <v>UK</v>
      </c>
      <c r="J1690" t="s">
        <v>799</v>
      </c>
      <c r="K1690">
        <v>2</v>
      </c>
    </row>
    <row r="1691" spans="1:11" x14ac:dyDescent="0.2">
      <c r="A1691" t="s">
        <v>3713</v>
      </c>
      <c r="B1691" s="59">
        <v>41067.697928240741</v>
      </c>
      <c r="C1691">
        <v>421000</v>
      </c>
      <c r="D1691" t="s">
        <v>824</v>
      </c>
      <c r="E1691">
        <f>tblSalaries[[#This Row],[clean Salary (in local currency)]]*VLOOKUP(tblSalaries[[#This Row],[Currency]],[1]!tblXrate[#Data],2,FALSE)</f>
        <v>7497.1329254133216</v>
      </c>
      <c r="F1691" t="s">
        <v>3714</v>
      </c>
      <c r="G1691" t="s">
        <v>788</v>
      </c>
      <c r="H1691" t="s">
        <v>117</v>
      </c>
      <c r="I1691" t="str">
        <f>VLOOKUP(tblSalaries[[#This Row],[Where do you work]],[1]!tblCountries[[Actual]:[Mapping]],2,FALSE)</f>
        <v>India</v>
      </c>
      <c r="J1691" t="s">
        <v>789</v>
      </c>
      <c r="K1691">
        <v>4</v>
      </c>
    </row>
    <row r="1692" spans="1:11" x14ac:dyDescent="0.2">
      <c r="A1692" t="s">
        <v>3715</v>
      </c>
      <c r="B1692" s="59">
        <v>41067.704097222224</v>
      </c>
      <c r="C1692">
        <v>10000</v>
      </c>
      <c r="D1692" t="s">
        <v>786</v>
      </c>
      <c r="E1692">
        <f>tblSalaries[[#This Row],[clean Salary (in local currency)]]*VLOOKUP(tblSalaries[[#This Row],[Currency]],[1]!tblXrate[#Data],2,FALSE)</f>
        <v>10000</v>
      </c>
      <c r="F1692" t="s">
        <v>3716</v>
      </c>
      <c r="G1692" t="s">
        <v>807</v>
      </c>
      <c r="H1692" t="s">
        <v>117</v>
      </c>
      <c r="I1692" t="str">
        <f>VLOOKUP(tblSalaries[[#This Row],[Where do you work]],[1]!tblCountries[[Actual]:[Mapping]],2,FALSE)</f>
        <v>India</v>
      </c>
      <c r="J1692" t="s">
        <v>789</v>
      </c>
      <c r="K1692">
        <v>11</v>
      </c>
    </row>
    <row r="1693" spans="1:11" x14ac:dyDescent="0.2">
      <c r="A1693" t="s">
        <v>3717</v>
      </c>
      <c r="B1693" s="59">
        <v>41067.714791666665</v>
      </c>
      <c r="C1693">
        <v>360000</v>
      </c>
      <c r="D1693" t="s">
        <v>824</v>
      </c>
      <c r="E1693">
        <f>tblSalaries[[#This Row],[clean Salary (in local currency)]]*VLOOKUP(tblSalaries[[#This Row],[Currency]],[1]!tblXrate[#Data],2,FALSE)</f>
        <v>6410.8500074793246</v>
      </c>
      <c r="F1693" t="s">
        <v>3718</v>
      </c>
      <c r="G1693" t="s">
        <v>867</v>
      </c>
      <c r="H1693" t="s">
        <v>117</v>
      </c>
      <c r="I1693" t="str">
        <f>VLOOKUP(tblSalaries[[#This Row],[Where do you work]],[1]!tblCountries[[Actual]:[Mapping]],2,FALSE)</f>
        <v>India</v>
      </c>
      <c r="J1693" t="s">
        <v>808</v>
      </c>
      <c r="K1693">
        <v>2</v>
      </c>
    </row>
    <row r="1694" spans="1:11" x14ac:dyDescent="0.2">
      <c r="A1694" t="s">
        <v>3719</v>
      </c>
      <c r="B1694" s="59">
        <v>41067.717847222222</v>
      </c>
      <c r="C1694">
        <v>40000</v>
      </c>
      <c r="D1694" t="s">
        <v>861</v>
      </c>
      <c r="E1694">
        <f>tblSalaries[[#This Row],[clean Salary (in local currency)]]*VLOOKUP(tblSalaries[[#This Row],[Currency]],[1]!tblXrate[#Data],2,FALSE)</f>
        <v>63047.130882691366</v>
      </c>
      <c r="F1694" t="s">
        <v>788</v>
      </c>
      <c r="G1694" t="s">
        <v>788</v>
      </c>
      <c r="H1694" t="s">
        <v>863</v>
      </c>
      <c r="I1694" t="str">
        <f>VLOOKUP(tblSalaries[[#This Row],[Where do you work]],[1]!tblCountries[[Actual]:[Mapping]],2,FALSE)</f>
        <v>UK</v>
      </c>
      <c r="J1694" t="s">
        <v>789</v>
      </c>
      <c r="K1694">
        <v>5</v>
      </c>
    </row>
    <row r="1695" spans="1:11" x14ac:dyDescent="0.2">
      <c r="A1695" t="s">
        <v>3720</v>
      </c>
      <c r="B1695" s="59">
        <v>41067.840752314813</v>
      </c>
      <c r="C1695">
        <v>60000</v>
      </c>
      <c r="D1695" t="s">
        <v>877</v>
      </c>
      <c r="E1695">
        <f>tblSalaries[[#This Row],[clean Salary (in local currency)]]*VLOOKUP(tblSalaries[[#This Row],[Currency]],[1]!tblXrate[#Data],2,FALSE)</f>
        <v>61194.579384158147</v>
      </c>
      <c r="F1695" t="s">
        <v>827</v>
      </c>
      <c r="G1695" t="s">
        <v>788</v>
      </c>
      <c r="H1695" t="s">
        <v>33</v>
      </c>
      <c r="I1695" t="str">
        <f>VLOOKUP(tblSalaries[[#This Row],[Where do you work]],[1]!tblCountries[[Actual]:[Mapping]],2,FALSE)</f>
        <v>Australia</v>
      </c>
      <c r="J1695" t="s">
        <v>799</v>
      </c>
      <c r="K1695">
        <v>3</v>
      </c>
    </row>
    <row r="1696" spans="1:11" x14ac:dyDescent="0.2">
      <c r="A1696" t="s">
        <v>3721</v>
      </c>
      <c r="B1696" s="59">
        <v>41067.866712962961</v>
      </c>
      <c r="C1696">
        <v>73000</v>
      </c>
      <c r="D1696" t="s">
        <v>861</v>
      </c>
      <c r="E1696">
        <f>tblSalaries[[#This Row],[clean Salary (in local currency)]]*VLOOKUP(tblSalaries[[#This Row],[Currency]],[1]!tblXrate[#Data],2,FALSE)</f>
        <v>115061.01386091174</v>
      </c>
      <c r="F1696" t="s">
        <v>1026</v>
      </c>
      <c r="G1696" t="s">
        <v>792</v>
      </c>
      <c r="H1696" t="s">
        <v>863</v>
      </c>
      <c r="I1696" t="str">
        <f>VLOOKUP(tblSalaries[[#This Row],[Where do you work]],[1]!tblCountries[[Actual]:[Mapping]],2,FALSE)</f>
        <v>UK</v>
      </c>
      <c r="J1696" t="s">
        <v>789</v>
      </c>
      <c r="K1696">
        <v>8</v>
      </c>
    </row>
    <row r="1697" spans="1:11" x14ac:dyDescent="0.2">
      <c r="A1697" t="s">
        <v>3722</v>
      </c>
      <c r="B1697" s="59">
        <v>41067.981516203705</v>
      </c>
      <c r="C1697">
        <v>45000</v>
      </c>
      <c r="D1697" t="s">
        <v>786</v>
      </c>
      <c r="E1697">
        <f>tblSalaries[[#This Row],[clean Salary (in local currency)]]*VLOOKUP(tblSalaries[[#This Row],[Currency]],[1]!tblXrate[#Data],2,FALSE)</f>
        <v>45000</v>
      </c>
      <c r="F1697" t="s">
        <v>3723</v>
      </c>
      <c r="G1697" t="s">
        <v>788</v>
      </c>
      <c r="H1697" t="s">
        <v>15</v>
      </c>
      <c r="I1697" t="str">
        <f>VLOOKUP(tblSalaries[[#This Row],[Where do you work]],[1]!tblCountries[[Actual]:[Mapping]],2,FALSE)</f>
        <v>USA</v>
      </c>
      <c r="J1697" t="s">
        <v>794</v>
      </c>
      <c r="K1697">
        <v>2</v>
      </c>
    </row>
    <row r="1698" spans="1:11" x14ac:dyDescent="0.2">
      <c r="A1698" t="s">
        <v>3724</v>
      </c>
      <c r="B1698" s="59">
        <v>41067.992002314815</v>
      </c>
      <c r="C1698">
        <v>36000</v>
      </c>
      <c r="D1698" t="s">
        <v>786</v>
      </c>
      <c r="E1698">
        <f>tblSalaries[[#This Row],[clean Salary (in local currency)]]*VLOOKUP(tblSalaries[[#This Row],[Currency]],[1]!tblXrate[#Data],2,FALSE)</f>
        <v>36000</v>
      </c>
      <c r="F1698" t="s">
        <v>1663</v>
      </c>
      <c r="G1698" t="s">
        <v>788</v>
      </c>
      <c r="H1698" t="s">
        <v>15</v>
      </c>
      <c r="I1698" t="str">
        <f>VLOOKUP(tblSalaries[[#This Row],[Where do you work]],[1]!tblCountries[[Actual]:[Mapping]],2,FALSE)</f>
        <v>USA</v>
      </c>
      <c r="J1698" t="s">
        <v>789</v>
      </c>
      <c r="K1698">
        <v>4</v>
      </c>
    </row>
    <row r="1699" spans="1:11" x14ac:dyDescent="0.2">
      <c r="A1699" t="s">
        <v>3725</v>
      </c>
      <c r="B1699" s="59">
        <v>41068.001261574071</v>
      </c>
      <c r="C1699">
        <v>68000</v>
      </c>
      <c r="D1699" t="s">
        <v>786</v>
      </c>
      <c r="E1699">
        <f>tblSalaries[[#This Row],[clean Salary (in local currency)]]*VLOOKUP(tblSalaries[[#This Row],[Currency]],[1]!tblXrate[#Data],2,FALSE)</f>
        <v>68000</v>
      </c>
      <c r="F1699" t="s">
        <v>3726</v>
      </c>
      <c r="G1699" t="s">
        <v>788</v>
      </c>
      <c r="H1699" t="s">
        <v>15</v>
      </c>
      <c r="I1699" t="str">
        <f>VLOOKUP(tblSalaries[[#This Row],[Where do you work]],[1]!tblCountries[[Actual]:[Mapping]],2,FALSE)</f>
        <v>USA</v>
      </c>
      <c r="J1699" t="s">
        <v>789</v>
      </c>
      <c r="K1699">
        <v>2.5</v>
      </c>
    </row>
    <row r="1700" spans="1:11" x14ac:dyDescent="0.2">
      <c r="A1700" t="s">
        <v>3727</v>
      </c>
      <c r="B1700" s="59">
        <v>41068.014849537038</v>
      </c>
      <c r="C1700">
        <v>75000</v>
      </c>
      <c r="D1700" t="s">
        <v>786</v>
      </c>
      <c r="E1700">
        <f>tblSalaries[[#This Row],[clean Salary (in local currency)]]*VLOOKUP(tblSalaries[[#This Row],[Currency]],[1]!tblXrate[#Data],2,FALSE)</f>
        <v>75000</v>
      </c>
      <c r="F1700" t="s">
        <v>1440</v>
      </c>
      <c r="G1700" t="s">
        <v>788</v>
      </c>
      <c r="H1700" t="s">
        <v>15</v>
      </c>
      <c r="I1700" t="str">
        <f>VLOOKUP(tblSalaries[[#This Row],[Where do you work]],[1]!tblCountries[[Actual]:[Mapping]],2,FALSE)</f>
        <v>USA</v>
      </c>
      <c r="J1700" t="s">
        <v>794</v>
      </c>
      <c r="K1700">
        <v>5</v>
      </c>
    </row>
    <row r="1701" spans="1:11" x14ac:dyDescent="0.2">
      <c r="A1701" t="s">
        <v>3728</v>
      </c>
      <c r="B1701" s="59">
        <v>41068.102233796293</v>
      </c>
      <c r="C1701">
        <v>88000</v>
      </c>
      <c r="D1701" t="s">
        <v>786</v>
      </c>
      <c r="E1701">
        <f>tblSalaries[[#This Row],[clean Salary (in local currency)]]*VLOOKUP(tblSalaries[[#This Row],[Currency]],[1]!tblXrate[#Data],2,FALSE)</f>
        <v>88000</v>
      </c>
      <c r="F1701" t="s">
        <v>3729</v>
      </c>
      <c r="G1701" t="s">
        <v>788</v>
      </c>
      <c r="H1701" t="s">
        <v>15</v>
      </c>
      <c r="I1701" t="str">
        <f>VLOOKUP(tblSalaries[[#This Row],[Where do you work]],[1]!tblCountries[[Actual]:[Mapping]],2,FALSE)</f>
        <v>USA</v>
      </c>
      <c r="J1701" t="s">
        <v>794</v>
      </c>
      <c r="K1701">
        <v>10</v>
      </c>
    </row>
    <row r="1702" spans="1:11" x14ac:dyDescent="0.2">
      <c r="A1702" t="s">
        <v>3730</v>
      </c>
      <c r="B1702" s="59">
        <v>41068.103298611109</v>
      </c>
      <c r="C1702">
        <v>258000</v>
      </c>
      <c r="D1702" t="s">
        <v>824</v>
      </c>
      <c r="E1702">
        <f>tblSalaries[[#This Row],[clean Salary (in local currency)]]*VLOOKUP(tblSalaries[[#This Row],[Currency]],[1]!tblXrate[#Data],2,FALSE)</f>
        <v>4594.4425053601826</v>
      </c>
      <c r="F1702" t="s">
        <v>3731</v>
      </c>
      <c r="G1702" t="s">
        <v>788</v>
      </c>
      <c r="H1702" t="s">
        <v>117</v>
      </c>
      <c r="I1702" t="str">
        <f>VLOOKUP(tblSalaries[[#This Row],[Where do you work]],[1]!tblCountries[[Actual]:[Mapping]],2,FALSE)</f>
        <v>India</v>
      </c>
      <c r="J1702" t="s">
        <v>789</v>
      </c>
      <c r="K1702">
        <v>4</v>
      </c>
    </row>
    <row r="1703" spans="1:11" x14ac:dyDescent="0.2">
      <c r="A1703" t="s">
        <v>3732</v>
      </c>
      <c r="B1703" s="59">
        <v>41068.141203703701</v>
      </c>
      <c r="C1703">
        <v>69000</v>
      </c>
      <c r="D1703" t="s">
        <v>786</v>
      </c>
      <c r="E1703">
        <f>tblSalaries[[#This Row],[clean Salary (in local currency)]]*VLOOKUP(tblSalaries[[#This Row],[Currency]],[1]!tblXrate[#Data],2,FALSE)</f>
        <v>69000</v>
      </c>
      <c r="F1703" t="s">
        <v>3733</v>
      </c>
      <c r="G1703" t="s">
        <v>788</v>
      </c>
      <c r="H1703" t="s">
        <v>15</v>
      </c>
      <c r="I1703" t="str">
        <f>VLOOKUP(tblSalaries[[#This Row],[Where do you work]],[1]!tblCountries[[Actual]:[Mapping]],2,FALSE)</f>
        <v>USA</v>
      </c>
      <c r="J1703" t="s">
        <v>794</v>
      </c>
      <c r="K1703">
        <v>15</v>
      </c>
    </row>
    <row r="1704" spans="1:11" x14ac:dyDescent="0.2">
      <c r="A1704" t="s">
        <v>3734</v>
      </c>
      <c r="B1704" s="59">
        <v>41068.149201388886</v>
      </c>
      <c r="C1704">
        <v>30000</v>
      </c>
      <c r="D1704" t="s">
        <v>786</v>
      </c>
      <c r="E1704">
        <f>tblSalaries[[#This Row],[clean Salary (in local currency)]]*VLOOKUP(tblSalaries[[#This Row],[Currency]],[1]!tblXrate[#Data],2,FALSE)</f>
        <v>30000</v>
      </c>
      <c r="F1704" t="s">
        <v>2729</v>
      </c>
      <c r="G1704" t="s">
        <v>807</v>
      </c>
      <c r="H1704" t="s">
        <v>15</v>
      </c>
      <c r="I1704" t="str">
        <f>VLOOKUP(tblSalaries[[#This Row],[Where do you work]],[1]!tblCountries[[Actual]:[Mapping]],2,FALSE)</f>
        <v>USA</v>
      </c>
      <c r="J1704" t="s">
        <v>789</v>
      </c>
      <c r="K1704">
        <v>1</v>
      </c>
    </row>
    <row r="1705" spans="1:11" x14ac:dyDescent="0.2">
      <c r="A1705" t="s">
        <v>3735</v>
      </c>
      <c r="B1705" s="59">
        <v>41068.202604166669</v>
      </c>
      <c r="C1705">
        <v>80000</v>
      </c>
      <c r="D1705" t="s">
        <v>786</v>
      </c>
      <c r="E1705">
        <f>tblSalaries[[#This Row],[clean Salary (in local currency)]]*VLOOKUP(tblSalaries[[#This Row],[Currency]],[1]!tblXrate[#Data],2,FALSE)</f>
        <v>80000</v>
      </c>
      <c r="F1705" t="s">
        <v>3736</v>
      </c>
      <c r="G1705" t="s">
        <v>807</v>
      </c>
      <c r="H1705" t="s">
        <v>15</v>
      </c>
      <c r="I1705" t="str">
        <f>VLOOKUP(tblSalaries[[#This Row],[Where do you work]],[1]!tblCountries[[Actual]:[Mapping]],2,FALSE)</f>
        <v>USA</v>
      </c>
      <c r="J1705" t="s">
        <v>789</v>
      </c>
      <c r="K1705">
        <v>7</v>
      </c>
    </row>
    <row r="1706" spans="1:11" x14ac:dyDescent="0.2">
      <c r="A1706" t="s">
        <v>3737</v>
      </c>
      <c r="B1706" s="59">
        <v>41068.279537037037</v>
      </c>
      <c r="C1706">
        <v>75000</v>
      </c>
      <c r="D1706" t="s">
        <v>786</v>
      </c>
      <c r="E1706">
        <f>tblSalaries[[#This Row],[clean Salary (in local currency)]]*VLOOKUP(tblSalaries[[#This Row],[Currency]],[1]!tblXrate[#Data],2,FALSE)</f>
        <v>75000</v>
      </c>
      <c r="F1706" t="s">
        <v>2280</v>
      </c>
      <c r="G1706" t="s">
        <v>817</v>
      </c>
      <c r="H1706" t="s">
        <v>15</v>
      </c>
      <c r="I1706" t="str">
        <f>VLOOKUP(tblSalaries[[#This Row],[Where do you work]],[1]!tblCountries[[Actual]:[Mapping]],2,FALSE)</f>
        <v>USA</v>
      </c>
      <c r="J1706" t="s">
        <v>794</v>
      </c>
      <c r="K1706">
        <v>1</v>
      </c>
    </row>
    <row r="1707" spans="1:11" x14ac:dyDescent="0.2">
      <c r="A1707" t="s">
        <v>3738</v>
      </c>
      <c r="B1707" s="59">
        <v>41068.344375000001</v>
      </c>
      <c r="C1707">
        <v>31200</v>
      </c>
      <c r="D1707" t="s">
        <v>786</v>
      </c>
      <c r="E1707">
        <f>tblSalaries[[#This Row],[clean Salary (in local currency)]]*VLOOKUP(tblSalaries[[#This Row],[Currency]],[1]!tblXrate[#Data],2,FALSE)</f>
        <v>31200</v>
      </c>
      <c r="F1707" t="s">
        <v>2465</v>
      </c>
      <c r="G1707" t="s">
        <v>788</v>
      </c>
      <c r="H1707" t="s">
        <v>54</v>
      </c>
      <c r="I1707" t="str">
        <f>VLOOKUP(tblSalaries[[#This Row],[Where do you work]],[1]!tblCountries[[Actual]:[Mapping]],2,FALSE)</f>
        <v>Brazil</v>
      </c>
      <c r="J1707" t="s">
        <v>789</v>
      </c>
      <c r="K1707">
        <v>4</v>
      </c>
    </row>
    <row r="1708" spans="1:11" x14ac:dyDescent="0.2">
      <c r="A1708" t="s">
        <v>3739</v>
      </c>
      <c r="B1708" s="59">
        <v>41068.407627314817</v>
      </c>
      <c r="C1708">
        <v>85000</v>
      </c>
      <c r="D1708" t="s">
        <v>786</v>
      </c>
      <c r="E1708">
        <f>tblSalaries[[#This Row],[clean Salary (in local currency)]]*VLOOKUP(tblSalaries[[#This Row],[Currency]],[1]!tblXrate[#Data],2,FALSE)</f>
        <v>85000</v>
      </c>
      <c r="F1708" t="s">
        <v>1044</v>
      </c>
      <c r="G1708" t="s">
        <v>817</v>
      </c>
      <c r="H1708" t="s">
        <v>15</v>
      </c>
      <c r="I1708" t="str">
        <f>VLOOKUP(tblSalaries[[#This Row],[Where do you work]],[1]!tblCountries[[Actual]:[Mapping]],2,FALSE)</f>
        <v>USA</v>
      </c>
      <c r="J1708" t="s">
        <v>789</v>
      </c>
      <c r="K1708">
        <v>20</v>
      </c>
    </row>
    <row r="1709" spans="1:11" x14ac:dyDescent="0.2">
      <c r="A1709" t="s">
        <v>3740</v>
      </c>
      <c r="B1709" s="59">
        <v>41068.568576388891</v>
      </c>
      <c r="C1709">
        <v>950000</v>
      </c>
      <c r="D1709" t="s">
        <v>824</v>
      </c>
      <c r="E1709">
        <f>tblSalaries[[#This Row],[clean Salary (in local currency)]]*VLOOKUP(tblSalaries[[#This Row],[Currency]],[1]!tblXrate[#Data],2,FALSE)</f>
        <v>16917.52085307044</v>
      </c>
      <c r="F1709" t="s">
        <v>3741</v>
      </c>
      <c r="G1709" t="s">
        <v>807</v>
      </c>
      <c r="H1709" t="s">
        <v>117</v>
      </c>
      <c r="I1709" t="str">
        <f>VLOOKUP(tblSalaries[[#This Row],[Where do you work]],[1]!tblCountries[[Actual]:[Mapping]],2,FALSE)</f>
        <v>India</v>
      </c>
      <c r="J1709" t="s">
        <v>799</v>
      </c>
      <c r="K1709">
        <v>9</v>
      </c>
    </row>
    <row r="1710" spans="1:11" x14ac:dyDescent="0.2">
      <c r="A1710" t="s">
        <v>3742</v>
      </c>
      <c r="B1710" s="59">
        <v>41068.580370370371</v>
      </c>
      <c r="C1710">
        <v>180000</v>
      </c>
      <c r="D1710" t="s">
        <v>824</v>
      </c>
      <c r="E1710">
        <f>tblSalaries[[#This Row],[clean Salary (in local currency)]]*VLOOKUP(tblSalaries[[#This Row],[Currency]],[1]!tblXrate[#Data],2,FALSE)</f>
        <v>3205.4250037396623</v>
      </c>
      <c r="F1710" t="s">
        <v>1625</v>
      </c>
      <c r="G1710" t="s">
        <v>836</v>
      </c>
      <c r="H1710" t="s">
        <v>117</v>
      </c>
      <c r="I1710" t="str">
        <f>VLOOKUP(tblSalaries[[#This Row],[Where do you work]],[1]!tblCountries[[Actual]:[Mapping]],2,FALSE)</f>
        <v>India</v>
      </c>
      <c r="J1710" t="s">
        <v>789</v>
      </c>
      <c r="K1710">
        <v>2</v>
      </c>
    </row>
    <row r="1711" spans="1:11" x14ac:dyDescent="0.2">
      <c r="A1711" t="s">
        <v>3743</v>
      </c>
      <c r="B1711" s="59">
        <v>41068.613252314812</v>
      </c>
      <c r="C1711">
        <v>60000</v>
      </c>
      <c r="D1711" t="s">
        <v>786</v>
      </c>
      <c r="E1711">
        <f>tblSalaries[[#This Row],[clean Salary (in local currency)]]*VLOOKUP(tblSalaries[[#This Row],[Currency]],[1]!tblXrate[#Data],2,FALSE)</f>
        <v>60000</v>
      </c>
      <c r="F1711" t="s">
        <v>3744</v>
      </c>
      <c r="G1711" t="s">
        <v>807</v>
      </c>
      <c r="H1711" t="s">
        <v>15</v>
      </c>
      <c r="I1711" t="str">
        <f>VLOOKUP(tblSalaries[[#This Row],[Where do you work]],[1]!tblCountries[[Actual]:[Mapping]],2,FALSE)</f>
        <v>USA</v>
      </c>
      <c r="J1711" t="s">
        <v>794</v>
      </c>
      <c r="K1711">
        <v>2</v>
      </c>
    </row>
    <row r="1712" spans="1:11" x14ac:dyDescent="0.2">
      <c r="A1712" t="s">
        <v>3745</v>
      </c>
      <c r="B1712" s="59">
        <v>41068.613657407404</v>
      </c>
      <c r="C1712">
        <v>60000</v>
      </c>
      <c r="D1712" t="s">
        <v>786</v>
      </c>
      <c r="E1712">
        <f>tblSalaries[[#This Row],[clean Salary (in local currency)]]*VLOOKUP(tblSalaries[[#This Row],[Currency]],[1]!tblXrate[#Data],2,FALSE)</f>
        <v>60000</v>
      </c>
      <c r="F1712" t="s">
        <v>3744</v>
      </c>
      <c r="G1712" t="s">
        <v>807</v>
      </c>
      <c r="H1712" t="s">
        <v>15</v>
      </c>
      <c r="I1712" t="str">
        <f>VLOOKUP(tblSalaries[[#This Row],[Where do you work]],[1]!tblCountries[[Actual]:[Mapping]],2,FALSE)</f>
        <v>USA</v>
      </c>
      <c r="J1712" t="s">
        <v>794</v>
      </c>
      <c r="K1712">
        <v>2</v>
      </c>
    </row>
    <row r="1713" spans="1:11" x14ac:dyDescent="0.2">
      <c r="A1713" t="s">
        <v>3746</v>
      </c>
      <c r="B1713" s="59">
        <v>41068.655046296299</v>
      </c>
      <c r="C1713">
        <v>800000</v>
      </c>
      <c r="D1713" t="s">
        <v>824</v>
      </c>
      <c r="E1713">
        <f>tblSalaries[[#This Row],[clean Salary (in local currency)]]*VLOOKUP(tblSalaries[[#This Row],[Currency]],[1]!tblXrate[#Data],2,FALSE)</f>
        <v>14246.333349954055</v>
      </c>
      <c r="F1713" t="s">
        <v>1970</v>
      </c>
      <c r="G1713" t="s">
        <v>807</v>
      </c>
      <c r="H1713" t="s">
        <v>117</v>
      </c>
      <c r="I1713" t="str">
        <f>VLOOKUP(tblSalaries[[#This Row],[Where do you work]],[1]!tblCountries[[Actual]:[Mapping]],2,FALSE)</f>
        <v>India</v>
      </c>
      <c r="J1713" t="s">
        <v>799</v>
      </c>
      <c r="K1713">
        <v>0</v>
      </c>
    </row>
    <row r="1714" spans="1:11" x14ac:dyDescent="0.2">
      <c r="A1714" t="s">
        <v>3747</v>
      </c>
      <c r="B1714" s="59">
        <v>41068.656412037039</v>
      </c>
      <c r="C1714">
        <v>800000</v>
      </c>
      <c r="D1714" t="s">
        <v>824</v>
      </c>
      <c r="E1714">
        <f>tblSalaries[[#This Row],[clean Salary (in local currency)]]*VLOOKUP(tblSalaries[[#This Row],[Currency]],[1]!tblXrate[#Data],2,FALSE)</f>
        <v>14246.333349954055</v>
      </c>
      <c r="F1714" t="s">
        <v>1970</v>
      </c>
      <c r="G1714" t="s">
        <v>807</v>
      </c>
      <c r="H1714" t="s">
        <v>117</v>
      </c>
      <c r="I1714" t="str">
        <f>VLOOKUP(tblSalaries[[#This Row],[Where do you work]],[1]!tblCountries[[Actual]:[Mapping]],2,FALSE)</f>
        <v>India</v>
      </c>
      <c r="J1714" t="s">
        <v>799</v>
      </c>
      <c r="K1714">
        <v>0</v>
      </c>
    </row>
    <row r="1715" spans="1:11" x14ac:dyDescent="0.2">
      <c r="A1715" t="s">
        <v>3748</v>
      </c>
      <c r="B1715" s="59">
        <v>41068.783472222225</v>
      </c>
      <c r="C1715">
        <v>28995</v>
      </c>
      <c r="D1715" t="s">
        <v>786</v>
      </c>
      <c r="E1715">
        <f>tblSalaries[[#This Row],[clean Salary (in local currency)]]*VLOOKUP(tblSalaries[[#This Row],[Currency]],[1]!tblXrate[#Data],2,FALSE)</f>
        <v>28995</v>
      </c>
      <c r="F1715" t="s">
        <v>1945</v>
      </c>
      <c r="G1715" t="s">
        <v>807</v>
      </c>
      <c r="H1715" t="s">
        <v>117</v>
      </c>
      <c r="I1715" t="str">
        <f>VLOOKUP(tblSalaries[[#This Row],[Where do you work]],[1]!tblCountries[[Actual]:[Mapping]],2,FALSE)</f>
        <v>India</v>
      </c>
      <c r="J1715" t="s">
        <v>789</v>
      </c>
      <c r="K1715">
        <v>6</v>
      </c>
    </row>
    <row r="1716" spans="1:11" x14ac:dyDescent="0.2">
      <c r="A1716" t="s">
        <v>3749</v>
      </c>
      <c r="B1716" s="59">
        <v>41068.786180555559</v>
      </c>
      <c r="C1716">
        <v>1230000</v>
      </c>
      <c r="D1716" t="s">
        <v>824</v>
      </c>
      <c r="E1716">
        <f>tblSalaries[[#This Row],[clean Salary (in local currency)]]*VLOOKUP(tblSalaries[[#This Row],[Currency]],[1]!tblXrate[#Data],2,FALSE)</f>
        <v>21903.737525554359</v>
      </c>
      <c r="F1716" t="s">
        <v>3750</v>
      </c>
      <c r="G1716" t="s">
        <v>788</v>
      </c>
      <c r="H1716" t="s">
        <v>117</v>
      </c>
      <c r="I1716" t="str">
        <f>VLOOKUP(tblSalaries[[#This Row],[Where do you work]],[1]!tblCountries[[Actual]:[Mapping]],2,FALSE)</f>
        <v>India</v>
      </c>
      <c r="J1716" t="s">
        <v>794</v>
      </c>
      <c r="K1716">
        <v>3</v>
      </c>
    </row>
    <row r="1717" spans="1:11" x14ac:dyDescent="0.2">
      <c r="A1717" t="s">
        <v>3751</v>
      </c>
      <c r="B1717" s="59">
        <v>41068.786620370367</v>
      </c>
      <c r="C1717">
        <v>1130000</v>
      </c>
      <c r="D1717" t="s">
        <v>824</v>
      </c>
      <c r="E1717">
        <f>tblSalaries[[#This Row],[clean Salary (in local currency)]]*VLOOKUP(tblSalaries[[#This Row],[Currency]],[1]!tblXrate[#Data],2,FALSE)</f>
        <v>20122.945856810104</v>
      </c>
      <c r="F1717" t="s">
        <v>3750</v>
      </c>
      <c r="G1717" t="s">
        <v>788</v>
      </c>
      <c r="H1717" t="s">
        <v>117</v>
      </c>
      <c r="I1717" t="str">
        <f>VLOOKUP(tblSalaries[[#This Row],[Where do you work]],[1]!tblCountries[[Actual]:[Mapping]],2,FALSE)</f>
        <v>India</v>
      </c>
      <c r="J1717" t="s">
        <v>794</v>
      </c>
      <c r="K1717">
        <v>3</v>
      </c>
    </row>
    <row r="1718" spans="1:11" x14ac:dyDescent="0.2">
      <c r="A1718" t="s">
        <v>3752</v>
      </c>
      <c r="B1718" s="59">
        <v>41068.866643518515</v>
      </c>
      <c r="C1718">
        <v>45000</v>
      </c>
      <c r="D1718" t="s">
        <v>861</v>
      </c>
      <c r="E1718">
        <f>tblSalaries[[#This Row],[clean Salary (in local currency)]]*VLOOKUP(tblSalaries[[#This Row],[Currency]],[1]!tblXrate[#Data],2,FALSE)</f>
        <v>70928.022243027779</v>
      </c>
      <c r="F1718" t="s">
        <v>3753</v>
      </c>
      <c r="G1718" t="s">
        <v>788</v>
      </c>
      <c r="H1718" t="s">
        <v>863</v>
      </c>
      <c r="I1718" t="str">
        <f>VLOOKUP(tblSalaries[[#This Row],[Where do you work]],[1]!tblCountries[[Actual]:[Mapping]],2,FALSE)</f>
        <v>UK</v>
      </c>
      <c r="J1718" t="s">
        <v>794</v>
      </c>
      <c r="K1718">
        <v>20</v>
      </c>
    </row>
    <row r="1719" spans="1:11" x14ac:dyDescent="0.2">
      <c r="A1719" t="s">
        <v>3754</v>
      </c>
      <c r="B1719" s="59">
        <v>41068.875289351854</v>
      </c>
      <c r="C1719">
        <v>67000</v>
      </c>
      <c r="D1719" t="s">
        <v>786</v>
      </c>
      <c r="E1719">
        <f>tblSalaries[[#This Row],[clean Salary (in local currency)]]*VLOOKUP(tblSalaries[[#This Row],[Currency]],[1]!tblXrate[#Data],2,FALSE)</f>
        <v>67000</v>
      </c>
      <c r="F1719" t="s">
        <v>807</v>
      </c>
      <c r="G1719" t="s">
        <v>807</v>
      </c>
      <c r="H1719" t="s">
        <v>15</v>
      </c>
      <c r="I1719" t="str">
        <f>VLOOKUP(tblSalaries[[#This Row],[Where do you work]],[1]!tblCountries[[Actual]:[Mapping]],2,FALSE)</f>
        <v>USA</v>
      </c>
      <c r="J1719" t="s">
        <v>789</v>
      </c>
      <c r="K1719">
        <v>16</v>
      </c>
    </row>
    <row r="1720" spans="1:11" x14ac:dyDescent="0.2">
      <c r="A1720" t="s">
        <v>3755</v>
      </c>
      <c r="B1720" s="59">
        <v>41068.876944444448</v>
      </c>
      <c r="C1720">
        <v>30000</v>
      </c>
      <c r="D1720" t="s">
        <v>786</v>
      </c>
      <c r="E1720">
        <f>tblSalaries[[#This Row],[clean Salary (in local currency)]]*VLOOKUP(tblSalaries[[#This Row],[Currency]],[1]!tblXrate[#Data],2,FALSE)</f>
        <v>30000</v>
      </c>
      <c r="F1720" t="s">
        <v>3756</v>
      </c>
      <c r="G1720" t="s">
        <v>788</v>
      </c>
      <c r="H1720" t="s">
        <v>15</v>
      </c>
      <c r="I1720" t="str">
        <f>VLOOKUP(tblSalaries[[#This Row],[Where do you work]],[1]!tblCountries[[Actual]:[Mapping]],2,FALSE)</f>
        <v>USA</v>
      </c>
      <c r="J1720" t="s">
        <v>799</v>
      </c>
      <c r="K1720">
        <v>4</v>
      </c>
    </row>
    <row r="1721" spans="1:11" x14ac:dyDescent="0.2">
      <c r="A1721" t="s">
        <v>3757</v>
      </c>
      <c r="B1721" s="59">
        <v>41068.95045138889</v>
      </c>
      <c r="C1721">
        <v>140000</v>
      </c>
      <c r="D1721" t="s">
        <v>3758</v>
      </c>
      <c r="E1721">
        <f>tblSalaries[[#This Row],[clean Salary (in local currency)]]*VLOOKUP(tblSalaries[[#This Row],[Currency]],[1]!tblXrate[#Data],2,FALSE)</f>
        <v>148102.22862117883</v>
      </c>
      <c r="F1721" t="s">
        <v>3759</v>
      </c>
      <c r="G1721" t="s">
        <v>807</v>
      </c>
      <c r="H1721" t="s">
        <v>271</v>
      </c>
      <c r="I1721" t="str">
        <f>VLOOKUP(tblSalaries[[#This Row],[Where do you work]],[1]!tblCountries[[Actual]:[Mapping]],2,FALSE)</f>
        <v>Switzerland</v>
      </c>
      <c r="J1721" t="s">
        <v>799</v>
      </c>
      <c r="K1721">
        <v>6</v>
      </c>
    </row>
    <row r="1722" spans="1:11" x14ac:dyDescent="0.2">
      <c r="A1722" t="s">
        <v>3760</v>
      </c>
      <c r="B1722" s="59">
        <v>41068.972638888888</v>
      </c>
      <c r="C1722">
        <v>71500</v>
      </c>
      <c r="D1722" t="s">
        <v>786</v>
      </c>
      <c r="E1722">
        <f>tblSalaries[[#This Row],[clean Salary (in local currency)]]*VLOOKUP(tblSalaries[[#This Row],[Currency]],[1]!tblXrate[#Data],2,FALSE)</f>
        <v>71500</v>
      </c>
      <c r="F1722" t="s">
        <v>3761</v>
      </c>
      <c r="G1722" t="s">
        <v>807</v>
      </c>
      <c r="H1722" t="s">
        <v>15</v>
      </c>
      <c r="I1722" t="str">
        <f>VLOOKUP(tblSalaries[[#This Row],[Where do you work]],[1]!tblCountries[[Actual]:[Mapping]],2,FALSE)</f>
        <v>USA</v>
      </c>
      <c r="J1722" t="s">
        <v>794</v>
      </c>
      <c r="K1722">
        <v>11</v>
      </c>
    </row>
    <row r="1723" spans="1:11" x14ac:dyDescent="0.2">
      <c r="A1723" t="s">
        <v>3762</v>
      </c>
      <c r="B1723" s="59">
        <v>41068.990405092591</v>
      </c>
      <c r="C1723">
        <v>67000</v>
      </c>
      <c r="D1723" t="s">
        <v>786</v>
      </c>
      <c r="E1723">
        <f>tblSalaries[[#This Row],[clean Salary (in local currency)]]*VLOOKUP(tblSalaries[[#This Row],[Currency]],[1]!tblXrate[#Data],2,FALSE)</f>
        <v>67000</v>
      </c>
      <c r="F1723" t="s">
        <v>807</v>
      </c>
      <c r="G1723" t="s">
        <v>807</v>
      </c>
      <c r="H1723" t="s">
        <v>15</v>
      </c>
      <c r="I1723" t="str">
        <f>VLOOKUP(tblSalaries[[#This Row],[Where do you work]],[1]!tblCountries[[Actual]:[Mapping]],2,FALSE)</f>
        <v>USA</v>
      </c>
      <c r="J1723" t="s">
        <v>1033</v>
      </c>
      <c r="K1723">
        <v>6</v>
      </c>
    </row>
    <row r="1724" spans="1:11" x14ac:dyDescent="0.2">
      <c r="A1724" t="s">
        <v>3763</v>
      </c>
      <c r="B1724" s="59">
        <v>41069.034108796295</v>
      </c>
      <c r="C1724">
        <v>40000</v>
      </c>
      <c r="D1724" t="s">
        <v>786</v>
      </c>
      <c r="E1724">
        <f>tblSalaries[[#This Row],[clean Salary (in local currency)]]*VLOOKUP(tblSalaries[[#This Row],[Currency]],[1]!tblXrate[#Data],2,FALSE)</f>
        <v>40000</v>
      </c>
      <c r="F1724" t="s">
        <v>1061</v>
      </c>
      <c r="G1724" t="s">
        <v>788</v>
      </c>
      <c r="H1724" t="s">
        <v>15</v>
      </c>
      <c r="I1724" t="str">
        <f>VLOOKUP(tblSalaries[[#This Row],[Where do you work]],[1]!tblCountries[[Actual]:[Mapping]],2,FALSE)</f>
        <v>USA</v>
      </c>
      <c r="J1724" t="s">
        <v>789</v>
      </c>
      <c r="K1724">
        <v>5</v>
      </c>
    </row>
    <row r="1725" spans="1:11" x14ac:dyDescent="0.2">
      <c r="A1725" t="s">
        <v>3764</v>
      </c>
      <c r="B1725" s="59">
        <v>41069.05259259259</v>
      </c>
      <c r="C1725">
        <v>65000</v>
      </c>
      <c r="D1725" t="s">
        <v>786</v>
      </c>
      <c r="E1725">
        <f>tblSalaries[[#This Row],[clean Salary (in local currency)]]*VLOOKUP(tblSalaries[[#This Row],[Currency]],[1]!tblXrate[#Data],2,FALSE)</f>
        <v>65000</v>
      </c>
      <c r="F1725" t="s">
        <v>3765</v>
      </c>
      <c r="G1725" t="s">
        <v>807</v>
      </c>
      <c r="H1725" t="s">
        <v>15</v>
      </c>
      <c r="I1725" t="str">
        <f>VLOOKUP(tblSalaries[[#This Row],[Where do you work]],[1]!tblCountries[[Actual]:[Mapping]],2,FALSE)</f>
        <v>USA</v>
      </c>
      <c r="J1725" t="s">
        <v>789</v>
      </c>
      <c r="K1725">
        <v>2</v>
      </c>
    </row>
    <row r="1726" spans="1:11" x14ac:dyDescent="0.2">
      <c r="A1726" t="s">
        <v>3766</v>
      </c>
      <c r="B1726" s="59">
        <v>41069.074652777781</v>
      </c>
      <c r="C1726">
        <v>72000</v>
      </c>
      <c r="D1726" t="s">
        <v>786</v>
      </c>
      <c r="E1726">
        <f>tblSalaries[[#This Row],[clean Salary (in local currency)]]*VLOOKUP(tblSalaries[[#This Row],[Currency]],[1]!tblXrate[#Data],2,FALSE)</f>
        <v>72000</v>
      </c>
      <c r="F1726" t="s">
        <v>867</v>
      </c>
      <c r="G1726" t="s">
        <v>867</v>
      </c>
      <c r="H1726" t="s">
        <v>15</v>
      </c>
      <c r="I1726" t="str">
        <f>VLOOKUP(tblSalaries[[#This Row],[Where do you work]],[1]!tblCountries[[Actual]:[Mapping]],2,FALSE)</f>
        <v>USA</v>
      </c>
      <c r="J1726" t="s">
        <v>799</v>
      </c>
      <c r="K1726">
        <v>13</v>
      </c>
    </row>
    <row r="1727" spans="1:11" x14ac:dyDescent="0.2">
      <c r="A1727" t="s">
        <v>3767</v>
      </c>
      <c r="B1727" s="59">
        <v>41069.139062499999</v>
      </c>
      <c r="C1727">
        <v>52500</v>
      </c>
      <c r="D1727" t="s">
        <v>786</v>
      </c>
      <c r="E1727">
        <f>tblSalaries[[#This Row],[clean Salary (in local currency)]]*VLOOKUP(tblSalaries[[#This Row],[Currency]],[1]!tblXrate[#Data],2,FALSE)</f>
        <v>52500</v>
      </c>
      <c r="F1727" t="s">
        <v>3768</v>
      </c>
      <c r="G1727" t="s">
        <v>807</v>
      </c>
      <c r="H1727" t="s">
        <v>15</v>
      </c>
      <c r="I1727" t="str">
        <f>VLOOKUP(tblSalaries[[#This Row],[Where do you work]],[1]!tblCountries[[Actual]:[Mapping]],2,FALSE)</f>
        <v>USA</v>
      </c>
      <c r="J1727" t="s">
        <v>794</v>
      </c>
      <c r="K1727">
        <v>3</v>
      </c>
    </row>
    <row r="1728" spans="1:11" x14ac:dyDescent="0.2">
      <c r="A1728" t="s">
        <v>3769</v>
      </c>
      <c r="B1728" s="59">
        <v>41069.500914351855</v>
      </c>
      <c r="C1728">
        <v>5320</v>
      </c>
      <c r="D1728" t="s">
        <v>786</v>
      </c>
      <c r="E1728">
        <f>tblSalaries[[#This Row],[clean Salary (in local currency)]]*VLOOKUP(tblSalaries[[#This Row],[Currency]],[1]!tblXrate[#Data],2,FALSE)</f>
        <v>5320</v>
      </c>
      <c r="F1728" t="s">
        <v>3770</v>
      </c>
      <c r="G1728" t="s">
        <v>807</v>
      </c>
      <c r="H1728" t="s">
        <v>117</v>
      </c>
      <c r="I1728" t="str">
        <f>VLOOKUP(tblSalaries[[#This Row],[Where do you work]],[1]!tblCountries[[Actual]:[Mapping]],2,FALSE)</f>
        <v>India</v>
      </c>
      <c r="J1728" t="s">
        <v>799</v>
      </c>
      <c r="K1728">
        <v>5</v>
      </c>
    </row>
    <row r="1729" spans="1:11" x14ac:dyDescent="0.2">
      <c r="A1729" t="s">
        <v>3771</v>
      </c>
      <c r="B1729" s="59">
        <v>41069.859756944446</v>
      </c>
      <c r="C1729">
        <v>18000</v>
      </c>
      <c r="D1729" t="s">
        <v>786</v>
      </c>
      <c r="E1729">
        <f>tblSalaries[[#This Row],[clean Salary (in local currency)]]*VLOOKUP(tblSalaries[[#This Row],[Currency]],[1]!tblXrate[#Data],2,FALSE)</f>
        <v>18000</v>
      </c>
      <c r="F1729" t="s">
        <v>2230</v>
      </c>
      <c r="G1729" t="s">
        <v>817</v>
      </c>
      <c r="H1729" t="s">
        <v>2067</v>
      </c>
      <c r="I1729" t="str">
        <f>VLOOKUP(tblSalaries[[#This Row],[Where do you work]],[1]!tblCountries[[Actual]:[Mapping]],2,FALSE)</f>
        <v>UAE</v>
      </c>
      <c r="J1729" t="s">
        <v>794</v>
      </c>
      <c r="K1729">
        <v>3</v>
      </c>
    </row>
    <row r="1730" spans="1:11" x14ac:dyDescent="0.2">
      <c r="A1730" t="s">
        <v>3772</v>
      </c>
      <c r="B1730" s="59">
        <v>41070.03502314815</v>
      </c>
      <c r="C1730">
        <v>140000</v>
      </c>
      <c r="D1730" t="s">
        <v>824</v>
      </c>
      <c r="E1730">
        <f>tblSalaries[[#This Row],[clean Salary (in local currency)]]*VLOOKUP(tblSalaries[[#This Row],[Currency]],[1]!tblXrate[#Data],2,FALSE)</f>
        <v>2493.1083362419595</v>
      </c>
      <c r="F1730" t="s">
        <v>3773</v>
      </c>
      <c r="G1730" t="s">
        <v>888</v>
      </c>
      <c r="H1730" t="s">
        <v>117</v>
      </c>
      <c r="I1730" t="str">
        <f>VLOOKUP(tblSalaries[[#This Row],[Where do you work]],[1]!tblCountries[[Actual]:[Mapping]],2,FALSE)</f>
        <v>India</v>
      </c>
      <c r="J1730" t="s">
        <v>789</v>
      </c>
      <c r="K1730">
        <v>5</v>
      </c>
    </row>
    <row r="1731" spans="1:11" x14ac:dyDescent="0.2">
      <c r="A1731" t="s">
        <v>3774</v>
      </c>
      <c r="B1731" s="59">
        <v>41070.075509259259</v>
      </c>
      <c r="C1731">
        <v>16800</v>
      </c>
      <c r="D1731" t="s">
        <v>805</v>
      </c>
      <c r="E1731">
        <f>tblSalaries[[#This Row],[clean Salary (in local currency)]]*VLOOKUP(tblSalaries[[#This Row],[Currency]],[1]!tblXrate[#Data],2,FALSE)</f>
        <v>21342.710575059013</v>
      </c>
      <c r="F1731" t="s">
        <v>3775</v>
      </c>
      <c r="G1731" t="s">
        <v>817</v>
      </c>
      <c r="H1731" t="s">
        <v>2294</v>
      </c>
      <c r="I1731" t="str">
        <f>VLOOKUP(tblSalaries[[#This Row],[Where do you work]],[1]!tblCountries[[Actual]:[Mapping]],2,FALSE)</f>
        <v>Portugal</v>
      </c>
      <c r="J1731" t="s">
        <v>789</v>
      </c>
      <c r="K1731">
        <v>15</v>
      </c>
    </row>
    <row r="1732" spans="1:11" x14ac:dyDescent="0.2">
      <c r="A1732" t="s">
        <v>3776</v>
      </c>
      <c r="B1732" s="59">
        <v>41070.097280092596</v>
      </c>
      <c r="C1732">
        <v>85000</v>
      </c>
      <c r="D1732" t="s">
        <v>786</v>
      </c>
      <c r="E1732">
        <f>tblSalaries[[#This Row],[clean Salary (in local currency)]]*VLOOKUP(tblSalaries[[#This Row],[Currency]],[1]!tblXrate[#Data],2,FALSE)</f>
        <v>85000</v>
      </c>
      <c r="F1732" t="s">
        <v>3777</v>
      </c>
      <c r="G1732" t="s">
        <v>807</v>
      </c>
      <c r="H1732" t="s">
        <v>15</v>
      </c>
      <c r="I1732" t="str">
        <f>VLOOKUP(tblSalaries[[#This Row],[Where do you work]],[1]!tblCountries[[Actual]:[Mapping]],2,FALSE)</f>
        <v>USA</v>
      </c>
      <c r="J1732" t="s">
        <v>799</v>
      </c>
      <c r="K1732">
        <v>15</v>
      </c>
    </row>
    <row r="1733" spans="1:11" x14ac:dyDescent="0.2">
      <c r="A1733" t="s">
        <v>3778</v>
      </c>
      <c r="B1733" s="59">
        <v>41070.104131944441</v>
      </c>
      <c r="C1733">
        <v>80000</v>
      </c>
      <c r="D1733" t="s">
        <v>786</v>
      </c>
      <c r="E1733">
        <f>tblSalaries[[#This Row],[clean Salary (in local currency)]]*VLOOKUP(tblSalaries[[#This Row],[Currency]],[1]!tblXrate[#Data],2,FALSE)</f>
        <v>80000</v>
      </c>
      <c r="F1733" t="s">
        <v>802</v>
      </c>
      <c r="G1733" t="s">
        <v>802</v>
      </c>
      <c r="H1733" t="s">
        <v>54</v>
      </c>
      <c r="I1733" t="str">
        <f>VLOOKUP(tblSalaries[[#This Row],[Where do you work]],[1]!tblCountries[[Actual]:[Mapping]],2,FALSE)</f>
        <v>Brazil</v>
      </c>
      <c r="J1733" t="s">
        <v>808</v>
      </c>
      <c r="K1733">
        <v>9</v>
      </c>
    </row>
    <row r="1734" spans="1:11" x14ac:dyDescent="0.2">
      <c r="A1734" t="s">
        <v>3779</v>
      </c>
      <c r="B1734" s="59">
        <v>41070.177835648145</v>
      </c>
      <c r="C1734">
        <v>500000</v>
      </c>
      <c r="D1734" t="s">
        <v>824</v>
      </c>
      <c r="E1734">
        <f>tblSalaries[[#This Row],[clean Salary (in local currency)]]*VLOOKUP(tblSalaries[[#This Row],[Currency]],[1]!tblXrate[#Data],2,FALSE)</f>
        <v>8903.9583437212841</v>
      </c>
      <c r="F1734" t="s">
        <v>3780</v>
      </c>
      <c r="G1734" t="s">
        <v>788</v>
      </c>
      <c r="H1734" t="s">
        <v>117</v>
      </c>
      <c r="I1734" t="str">
        <f>VLOOKUP(tblSalaries[[#This Row],[Where do you work]],[1]!tblCountries[[Actual]:[Mapping]],2,FALSE)</f>
        <v>India</v>
      </c>
      <c r="J1734" t="s">
        <v>794</v>
      </c>
      <c r="K1734">
        <v>0</v>
      </c>
    </row>
    <row r="1735" spans="1:11" x14ac:dyDescent="0.2">
      <c r="A1735" t="s">
        <v>3781</v>
      </c>
      <c r="B1735" s="59">
        <v>41070.522083333337</v>
      </c>
      <c r="C1735">
        <v>125000</v>
      </c>
      <c r="D1735" t="s">
        <v>786</v>
      </c>
      <c r="E1735">
        <f>tblSalaries[[#This Row],[clean Salary (in local currency)]]*VLOOKUP(tblSalaries[[#This Row],[Currency]],[1]!tblXrate[#Data],2,FALSE)</f>
        <v>125000</v>
      </c>
      <c r="F1735" t="s">
        <v>1065</v>
      </c>
      <c r="G1735" t="s">
        <v>807</v>
      </c>
      <c r="H1735" t="s">
        <v>15</v>
      </c>
      <c r="I1735" t="str">
        <f>VLOOKUP(tblSalaries[[#This Row],[Where do you work]],[1]!tblCountries[[Actual]:[Mapping]],2,FALSE)</f>
        <v>USA</v>
      </c>
      <c r="J1735" t="s">
        <v>794</v>
      </c>
      <c r="K1735">
        <v>10</v>
      </c>
    </row>
    <row r="1736" spans="1:11" x14ac:dyDescent="0.2">
      <c r="A1736" t="s">
        <v>3782</v>
      </c>
      <c r="B1736" s="59">
        <v>41070.624062499999</v>
      </c>
      <c r="C1736">
        <v>1300000</v>
      </c>
      <c r="D1736" t="s">
        <v>824</v>
      </c>
      <c r="E1736">
        <f>tblSalaries[[#This Row],[clean Salary (in local currency)]]*VLOOKUP(tblSalaries[[#This Row],[Currency]],[1]!tblXrate[#Data],2,FALSE)</f>
        <v>23150.291693675339</v>
      </c>
      <c r="F1736" t="s">
        <v>807</v>
      </c>
      <c r="G1736" t="s">
        <v>807</v>
      </c>
      <c r="H1736" t="s">
        <v>117</v>
      </c>
      <c r="I1736" t="str">
        <f>VLOOKUP(tblSalaries[[#This Row],[Where do you work]],[1]!tblCountries[[Actual]:[Mapping]],2,FALSE)</f>
        <v>India</v>
      </c>
      <c r="J1736" t="s">
        <v>794</v>
      </c>
      <c r="K1736">
        <v>9</v>
      </c>
    </row>
    <row r="1737" spans="1:11" x14ac:dyDescent="0.2">
      <c r="A1737" t="s">
        <v>3783</v>
      </c>
      <c r="B1737" s="59">
        <v>41070.63890046296</v>
      </c>
      <c r="C1737">
        <v>12000</v>
      </c>
      <c r="D1737" t="s">
        <v>786</v>
      </c>
      <c r="E1737">
        <f>tblSalaries[[#This Row],[clean Salary (in local currency)]]*VLOOKUP(tblSalaries[[#This Row],[Currency]],[1]!tblXrate[#Data],2,FALSE)</f>
        <v>12000</v>
      </c>
      <c r="F1737" t="s">
        <v>3784</v>
      </c>
      <c r="G1737" t="s">
        <v>802</v>
      </c>
      <c r="H1737" t="s">
        <v>117</v>
      </c>
      <c r="I1737" t="str">
        <f>VLOOKUP(tblSalaries[[#This Row],[Where do you work]],[1]!tblCountries[[Actual]:[Mapping]],2,FALSE)</f>
        <v>India</v>
      </c>
      <c r="J1737" t="s">
        <v>799</v>
      </c>
      <c r="K1737">
        <v>7</v>
      </c>
    </row>
    <row r="1738" spans="1:11" x14ac:dyDescent="0.2">
      <c r="A1738" t="s">
        <v>3785</v>
      </c>
      <c r="B1738" s="59">
        <v>41070.666168981479</v>
      </c>
      <c r="C1738">
        <v>30000</v>
      </c>
      <c r="D1738" t="s">
        <v>786</v>
      </c>
      <c r="E1738">
        <f>tblSalaries[[#This Row],[clean Salary (in local currency)]]*VLOOKUP(tblSalaries[[#This Row],[Currency]],[1]!tblXrate[#Data],2,FALSE)</f>
        <v>30000</v>
      </c>
      <c r="F1738" t="s">
        <v>3786</v>
      </c>
      <c r="G1738" t="s">
        <v>788</v>
      </c>
      <c r="H1738" t="s">
        <v>190</v>
      </c>
      <c r="I1738" t="str">
        <f>VLOOKUP(tblSalaries[[#This Row],[Where do you work]],[1]!tblCountries[[Actual]:[Mapping]],2,FALSE)</f>
        <v>malaysia</v>
      </c>
      <c r="J1738" t="s">
        <v>808</v>
      </c>
      <c r="K1738">
        <v>12</v>
      </c>
    </row>
    <row r="1739" spans="1:11" x14ac:dyDescent="0.2">
      <c r="A1739" t="s">
        <v>3787</v>
      </c>
      <c r="B1739" s="59">
        <v>41070.723009259258</v>
      </c>
      <c r="C1739">
        <v>72000</v>
      </c>
      <c r="D1739" t="s">
        <v>805</v>
      </c>
      <c r="E1739">
        <f>tblSalaries[[#This Row],[clean Salary (in local currency)]]*VLOOKUP(tblSalaries[[#This Row],[Currency]],[1]!tblXrate[#Data],2,FALSE)</f>
        <v>91468.759607395754</v>
      </c>
      <c r="F1739" t="s">
        <v>3788</v>
      </c>
      <c r="G1739" t="s">
        <v>807</v>
      </c>
      <c r="H1739" t="s">
        <v>3789</v>
      </c>
      <c r="I1739" t="str">
        <f>VLOOKUP(tblSalaries[[#This Row],[Where do you work]],[1]!tblCountries[[Actual]:[Mapping]],2,FALSE)</f>
        <v>Croatia</v>
      </c>
      <c r="J1739" t="s">
        <v>808</v>
      </c>
      <c r="K1739">
        <v>3</v>
      </c>
    </row>
    <row r="1740" spans="1:11" x14ac:dyDescent="0.2">
      <c r="A1740" t="s">
        <v>3790</v>
      </c>
      <c r="B1740" s="59">
        <v>41070.854432870372</v>
      </c>
      <c r="C1740">
        <v>22300</v>
      </c>
      <c r="D1740" t="s">
        <v>861</v>
      </c>
      <c r="E1740">
        <f>tblSalaries[[#This Row],[clean Salary (in local currency)]]*VLOOKUP(tblSalaries[[#This Row],[Currency]],[1]!tblXrate[#Data],2,FALSE)</f>
        <v>35148.775467100437</v>
      </c>
      <c r="F1740" t="s">
        <v>3791</v>
      </c>
      <c r="G1740" t="s">
        <v>788</v>
      </c>
      <c r="H1740" t="s">
        <v>863</v>
      </c>
      <c r="I1740" t="str">
        <f>VLOOKUP(tblSalaries[[#This Row],[Where do you work]],[1]!tblCountries[[Actual]:[Mapping]],2,FALSE)</f>
        <v>UK</v>
      </c>
      <c r="J1740" t="s">
        <v>794</v>
      </c>
      <c r="K1740">
        <v>4</v>
      </c>
    </row>
    <row r="1741" spans="1:11" x14ac:dyDescent="0.2">
      <c r="A1741" t="s">
        <v>3792</v>
      </c>
      <c r="B1741" s="59">
        <v>41070.911458333336</v>
      </c>
      <c r="C1741">
        <v>31185</v>
      </c>
      <c r="D1741" t="s">
        <v>861</v>
      </c>
      <c r="E1741">
        <f>tblSalaries[[#This Row],[clean Salary (in local currency)]]*VLOOKUP(tblSalaries[[#This Row],[Currency]],[1]!tblXrate[#Data],2,FALSE)</f>
        <v>49153.119414418252</v>
      </c>
      <c r="F1741" t="s">
        <v>3793</v>
      </c>
      <c r="G1741" t="s">
        <v>807</v>
      </c>
      <c r="H1741" t="s">
        <v>863</v>
      </c>
      <c r="I1741" t="str">
        <f>VLOOKUP(tblSalaries[[#This Row],[Where do you work]],[1]!tblCountries[[Actual]:[Mapping]],2,FALSE)</f>
        <v>UK</v>
      </c>
      <c r="J1741" t="s">
        <v>789</v>
      </c>
      <c r="K1741">
        <v>7</v>
      </c>
    </row>
    <row r="1742" spans="1:11" x14ac:dyDescent="0.2">
      <c r="A1742" t="s">
        <v>3794</v>
      </c>
      <c r="B1742" s="59">
        <v>41071.133090277777</v>
      </c>
      <c r="C1742">
        <v>150000</v>
      </c>
      <c r="D1742" t="s">
        <v>824</v>
      </c>
      <c r="E1742">
        <f>tblSalaries[[#This Row],[clean Salary (in local currency)]]*VLOOKUP(tblSalaries[[#This Row],[Currency]],[1]!tblXrate[#Data],2,FALSE)</f>
        <v>2671.1875031163854</v>
      </c>
      <c r="F1742" t="s">
        <v>1536</v>
      </c>
      <c r="G1742" t="s">
        <v>802</v>
      </c>
      <c r="H1742" t="s">
        <v>117</v>
      </c>
      <c r="I1742" t="str">
        <f>VLOOKUP(tblSalaries[[#This Row],[Where do you work]],[1]!tblCountries[[Actual]:[Mapping]],2,FALSE)</f>
        <v>India</v>
      </c>
      <c r="J1742" t="s">
        <v>799</v>
      </c>
      <c r="K1742">
        <v>1</v>
      </c>
    </row>
    <row r="1743" spans="1:11" x14ac:dyDescent="0.2">
      <c r="A1743" t="s">
        <v>3795</v>
      </c>
      <c r="B1743" s="59">
        <v>41071.249409722222</v>
      </c>
      <c r="C1743">
        <v>27000</v>
      </c>
      <c r="D1743" t="s">
        <v>861</v>
      </c>
      <c r="E1743">
        <f>tblSalaries[[#This Row],[clean Salary (in local currency)]]*VLOOKUP(tblSalaries[[#This Row],[Currency]],[1]!tblXrate[#Data],2,FALSE)</f>
        <v>42556.81334581667</v>
      </c>
      <c r="F1743" t="s">
        <v>3796</v>
      </c>
      <c r="G1743" t="s">
        <v>807</v>
      </c>
      <c r="H1743" t="s">
        <v>863</v>
      </c>
      <c r="I1743" t="str">
        <f>VLOOKUP(tblSalaries[[#This Row],[Where do you work]],[1]!tblCountries[[Actual]:[Mapping]],2,FALSE)</f>
        <v>UK</v>
      </c>
      <c r="J1743" t="s">
        <v>789</v>
      </c>
      <c r="K1743">
        <v>3</v>
      </c>
    </row>
    <row r="1744" spans="1:11" x14ac:dyDescent="0.2">
      <c r="A1744" t="s">
        <v>3797</v>
      </c>
      <c r="B1744" s="59">
        <v>41071.249942129631</v>
      </c>
      <c r="C1744">
        <v>27000</v>
      </c>
      <c r="D1744" t="s">
        <v>861</v>
      </c>
      <c r="E1744">
        <f>tblSalaries[[#This Row],[clean Salary (in local currency)]]*VLOOKUP(tblSalaries[[#This Row],[Currency]],[1]!tblXrate[#Data],2,FALSE)</f>
        <v>42556.81334581667</v>
      </c>
      <c r="F1744" t="s">
        <v>3796</v>
      </c>
      <c r="G1744" t="s">
        <v>807</v>
      </c>
      <c r="H1744" t="s">
        <v>863</v>
      </c>
      <c r="I1744" t="str">
        <f>VLOOKUP(tblSalaries[[#This Row],[Where do you work]],[1]!tblCountries[[Actual]:[Mapping]],2,FALSE)</f>
        <v>UK</v>
      </c>
      <c r="J1744" t="s">
        <v>789</v>
      </c>
      <c r="K1744">
        <v>3</v>
      </c>
    </row>
    <row r="1745" spans="1:11" x14ac:dyDescent="0.2">
      <c r="A1745" t="s">
        <v>3798</v>
      </c>
      <c r="B1745" s="59">
        <v>41071.419942129629</v>
      </c>
      <c r="C1745">
        <v>74461</v>
      </c>
      <c r="D1745" t="s">
        <v>786</v>
      </c>
      <c r="E1745">
        <f>tblSalaries[[#This Row],[clean Salary (in local currency)]]*VLOOKUP(tblSalaries[[#This Row],[Currency]],[1]!tblXrate[#Data],2,FALSE)</f>
        <v>74461</v>
      </c>
      <c r="F1745" t="s">
        <v>3799</v>
      </c>
      <c r="G1745" t="s">
        <v>888</v>
      </c>
      <c r="H1745" t="s">
        <v>15</v>
      </c>
      <c r="I1745" t="str">
        <f>VLOOKUP(tblSalaries[[#This Row],[Where do you work]],[1]!tblCountries[[Actual]:[Mapping]],2,FALSE)</f>
        <v>USA</v>
      </c>
      <c r="J1745" t="s">
        <v>808</v>
      </c>
      <c r="K1745">
        <v>9</v>
      </c>
    </row>
    <row r="1746" spans="1:11" x14ac:dyDescent="0.2">
      <c r="A1746" t="s">
        <v>3800</v>
      </c>
      <c r="B1746" s="59">
        <v>41071.705324074072</v>
      </c>
      <c r="C1746">
        <v>26500</v>
      </c>
      <c r="D1746" t="s">
        <v>861</v>
      </c>
      <c r="E1746">
        <f>tblSalaries[[#This Row],[clean Salary (in local currency)]]*VLOOKUP(tblSalaries[[#This Row],[Currency]],[1]!tblXrate[#Data],2,FALSE)</f>
        <v>41768.724209783031</v>
      </c>
      <c r="F1746" t="s">
        <v>3801</v>
      </c>
      <c r="G1746" t="s">
        <v>807</v>
      </c>
      <c r="H1746" t="s">
        <v>863</v>
      </c>
      <c r="I1746" t="str">
        <f>VLOOKUP(tblSalaries[[#This Row],[Where do you work]],[1]!tblCountries[[Actual]:[Mapping]],2,FALSE)</f>
        <v>UK</v>
      </c>
      <c r="J1746" t="s">
        <v>789</v>
      </c>
      <c r="K1746">
        <v>16</v>
      </c>
    </row>
    <row r="1747" spans="1:11" x14ac:dyDescent="0.2">
      <c r="A1747" t="s">
        <v>3802</v>
      </c>
      <c r="B1747" s="59">
        <v>41071.709699074076</v>
      </c>
      <c r="C1747">
        <v>480000</v>
      </c>
      <c r="D1747" t="s">
        <v>824</v>
      </c>
      <c r="E1747">
        <f>tblSalaries[[#This Row],[clean Salary (in local currency)]]*VLOOKUP(tblSalaries[[#This Row],[Currency]],[1]!tblXrate[#Data],2,FALSE)</f>
        <v>8547.8000099724322</v>
      </c>
      <c r="F1747" t="s">
        <v>3803</v>
      </c>
      <c r="G1747" t="s">
        <v>788</v>
      </c>
      <c r="H1747" t="s">
        <v>117</v>
      </c>
      <c r="I1747" t="str">
        <f>VLOOKUP(tblSalaries[[#This Row],[Where do you work]],[1]!tblCountries[[Actual]:[Mapping]],2,FALSE)</f>
        <v>India</v>
      </c>
      <c r="J1747" t="s">
        <v>789</v>
      </c>
      <c r="K1747">
        <v>1</v>
      </c>
    </row>
    <row r="1748" spans="1:11" x14ac:dyDescent="0.2">
      <c r="A1748" t="s">
        <v>3804</v>
      </c>
      <c r="B1748" s="59">
        <v>41071.746087962965</v>
      </c>
      <c r="C1748">
        <v>2400</v>
      </c>
      <c r="D1748" t="s">
        <v>786</v>
      </c>
      <c r="E1748">
        <f>tblSalaries[[#This Row],[clean Salary (in local currency)]]*VLOOKUP(tblSalaries[[#This Row],[Currency]],[1]!tblXrate[#Data],2,FALSE)</f>
        <v>2400</v>
      </c>
      <c r="F1748" t="s">
        <v>3805</v>
      </c>
      <c r="G1748" t="s">
        <v>788</v>
      </c>
      <c r="H1748" t="s">
        <v>117</v>
      </c>
      <c r="I1748" t="str">
        <f>VLOOKUP(tblSalaries[[#This Row],[Where do you work]],[1]!tblCountries[[Actual]:[Mapping]],2,FALSE)</f>
        <v>India</v>
      </c>
      <c r="J1748" t="s">
        <v>799</v>
      </c>
      <c r="K1748">
        <v>3</v>
      </c>
    </row>
    <row r="1749" spans="1:11" x14ac:dyDescent="0.2">
      <c r="A1749" t="s">
        <v>3806</v>
      </c>
      <c r="B1749" s="59">
        <v>41071.819988425923</v>
      </c>
      <c r="C1749">
        <v>3000</v>
      </c>
      <c r="D1749" t="s">
        <v>786</v>
      </c>
      <c r="E1749">
        <f>tblSalaries[[#This Row],[clean Salary (in local currency)]]*VLOOKUP(tblSalaries[[#This Row],[Currency]],[1]!tblXrate[#Data],2,FALSE)</f>
        <v>3000</v>
      </c>
      <c r="F1749" t="s">
        <v>1925</v>
      </c>
      <c r="G1749" t="s">
        <v>788</v>
      </c>
      <c r="H1749" t="s">
        <v>38</v>
      </c>
      <c r="I1749" t="str">
        <f>VLOOKUP(tblSalaries[[#This Row],[Where do you work]],[1]!tblCountries[[Actual]:[Mapping]],2,FALSE)</f>
        <v>Bangladesh</v>
      </c>
      <c r="J1749" t="s">
        <v>808</v>
      </c>
      <c r="K1749">
        <v>12</v>
      </c>
    </row>
    <row r="1750" spans="1:11" x14ac:dyDescent="0.2">
      <c r="A1750" t="s">
        <v>3807</v>
      </c>
      <c r="B1750" s="59">
        <v>41071.830972222226</v>
      </c>
      <c r="C1750">
        <v>11000</v>
      </c>
      <c r="D1750" t="s">
        <v>786</v>
      </c>
      <c r="E1750">
        <f>tblSalaries[[#This Row],[clean Salary (in local currency)]]*VLOOKUP(tblSalaries[[#This Row],[Currency]],[1]!tblXrate[#Data],2,FALSE)</f>
        <v>11000</v>
      </c>
      <c r="F1750" t="s">
        <v>3094</v>
      </c>
      <c r="G1750" t="s">
        <v>788</v>
      </c>
      <c r="H1750" t="s">
        <v>117</v>
      </c>
      <c r="I1750" t="str">
        <f>VLOOKUP(tblSalaries[[#This Row],[Where do you work]],[1]!tblCountries[[Actual]:[Mapping]],2,FALSE)</f>
        <v>India</v>
      </c>
      <c r="J1750" t="s">
        <v>789</v>
      </c>
      <c r="K1750">
        <v>2</v>
      </c>
    </row>
    <row r="1751" spans="1:11" x14ac:dyDescent="0.2">
      <c r="A1751" t="s">
        <v>3808</v>
      </c>
      <c r="B1751" s="59">
        <v>41071.877500000002</v>
      </c>
      <c r="C1751">
        <v>40000</v>
      </c>
      <c r="D1751" t="s">
        <v>786</v>
      </c>
      <c r="E1751">
        <f>tblSalaries[[#This Row],[clean Salary (in local currency)]]*VLOOKUP(tblSalaries[[#This Row],[Currency]],[1]!tblXrate[#Data],2,FALSE)</f>
        <v>40000</v>
      </c>
      <c r="F1751" t="s">
        <v>2056</v>
      </c>
      <c r="G1751" t="s">
        <v>788</v>
      </c>
      <c r="H1751" t="s">
        <v>15</v>
      </c>
      <c r="I1751" t="str">
        <f>VLOOKUP(tblSalaries[[#This Row],[Where do you work]],[1]!tblCountries[[Actual]:[Mapping]],2,FALSE)</f>
        <v>USA</v>
      </c>
      <c r="J1751" t="s">
        <v>799</v>
      </c>
      <c r="K1751">
        <v>2</v>
      </c>
    </row>
    <row r="1752" spans="1:11" x14ac:dyDescent="0.2">
      <c r="A1752" t="s">
        <v>3809</v>
      </c>
      <c r="B1752" s="59">
        <v>41071.895474537036</v>
      </c>
      <c r="C1752">
        <v>3600</v>
      </c>
      <c r="D1752" t="s">
        <v>786</v>
      </c>
      <c r="E1752">
        <f>tblSalaries[[#This Row],[clean Salary (in local currency)]]*VLOOKUP(tblSalaries[[#This Row],[Currency]],[1]!tblXrate[#Data],2,FALSE)</f>
        <v>3600</v>
      </c>
      <c r="F1752" t="s">
        <v>788</v>
      </c>
      <c r="G1752" t="s">
        <v>788</v>
      </c>
      <c r="H1752" t="s">
        <v>117</v>
      </c>
      <c r="I1752" t="str">
        <f>VLOOKUP(tblSalaries[[#This Row],[Where do you work]],[1]!tblCountries[[Actual]:[Mapping]],2,FALSE)</f>
        <v>India</v>
      </c>
      <c r="J1752" t="s">
        <v>789</v>
      </c>
      <c r="K1752">
        <v>1</v>
      </c>
    </row>
    <row r="1753" spans="1:11" x14ac:dyDescent="0.2">
      <c r="A1753" t="s">
        <v>3810</v>
      </c>
      <c r="B1753" s="59">
        <v>41071.911273148151</v>
      </c>
      <c r="C1753">
        <v>56600</v>
      </c>
      <c r="D1753" t="s">
        <v>786</v>
      </c>
      <c r="E1753">
        <f>tblSalaries[[#This Row],[clean Salary (in local currency)]]*VLOOKUP(tblSalaries[[#This Row],[Currency]],[1]!tblXrate[#Data],2,FALSE)</f>
        <v>56600</v>
      </c>
      <c r="F1753" t="s">
        <v>3811</v>
      </c>
      <c r="G1753" t="s">
        <v>807</v>
      </c>
      <c r="H1753" t="s">
        <v>15</v>
      </c>
      <c r="I1753" t="str">
        <f>VLOOKUP(tblSalaries[[#This Row],[Where do you work]],[1]!tblCountries[[Actual]:[Mapping]],2,FALSE)</f>
        <v>USA</v>
      </c>
      <c r="J1753" t="s">
        <v>789</v>
      </c>
      <c r="K1753">
        <v>12</v>
      </c>
    </row>
    <row r="1754" spans="1:11" x14ac:dyDescent="0.2">
      <c r="A1754" t="s">
        <v>3812</v>
      </c>
      <c r="B1754" s="59">
        <v>41071.931539351855</v>
      </c>
      <c r="C1754">
        <v>33600</v>
      </c>
      <c r="D1754" t="s">
        <v>786</v>
      </c>
      <c r="E1754">
        <f>tblSalaries[[#This Row],[clean Salary (in local currency)]]*VLOOKUP(tblSalaries[[#This Row],[Currency]],[1]!tblXrate[#Data],2,FALSE)</f>
        <v>33600</v>
      </c>
      <c r="F1754" t="s">
        <v>1960</v>
      </c>
      <c r="G1754" t="s">
        <v>788</v>
      </c>
      <c r="H1754" t="s">
        <v>283</v>
      </c>
      <c r="I1754" t="str">
        <f>VLOOKUP(tblSalaries[[#This Row],[Where do you work]],[1]!tblCountries[[Actual]:[Mapping]],2,FALSE)</f>
        <v>Singapore</v>
      </c>
      <c r="J1754" t="s">
        <v>794</v>
      </c>
      <c r="K1754">
        <v>2</v>
      </c>
    </row>
    <row r="1755" spans="1:11" x14ac:dyDescent="0.2">
      <c r="A1755" t="s">
        <v>3813</v>
      </c>
      <c r="B1755" s="59">
        <v>41071.931944444441</v>
      </c>
      <c r="C1755">
        <v>33600</v>
      </c>
      <c r="D1755" t="s">
        <v>786</v>
      </c>
      <c r="E1755">
        <f>tblSalaries[[#This Row],[clean Salary (in local currency)]]*VLOOKUP(tblSalaries[[#This Row],[Currency]],[1]!tblXrate[#Data],2,FALSE)</f>
        <v>33600</v>
      </c>
      <c r="F1755" t="s">
        <v>1960</v>
      </c>
      <c r="G1755" t="s">
        <v>788</v>
      </c>
      <c r="H1755" t="s">
        <v>283</v>
      </c>
      <c r="I1755" t="str">
        <f>VLOOKUP(tblSalaries[[#This Row],[Where do you work]],[1]!tblCountries[[Actual]:[Mapping]],2,FALSE)</f>
        <v>Singapore</v>
      </c>
      <c r="J1755" t="s">
        <v>794</v>
      </c>
      <c r="K1755">
        <v>2</v>
      </c>
    </row>
    <row r="1756" spans="1:11" x14ac:dyDescent="0.2">
      <c r="A1756" t="s">
        <v>3814</v>
      </c>
      <c r="B1756" s="59">
        <v>41072.018136574072</v>
      </c>
      <c r="C1756">
        <v>100000</v>
      </c>
      <c r="D1756" t="s">
        <v>786</v>
      </c>
      <c r="E1756">
        <f>tblSalaries[[#This Row],[clean Salary (in local currency)]]*VLOOKUP(tblSalaries[[#This Row],[Currency]],[1]!tblXrate[#Data],2,FALSE)</f>
        <v>100000</v>
      </c>
      <c r="F1756" t="s">
        <v>1158</v>
      </c>
      <c r="G1756" t="s">
        <v>788</v>
      </c>
      <c r="H1756" t="s">
        <v>15</v>
      </c>
      <c r="I1756" t="str">
        <f>VLOOKUP(tblSalaries[[#This Row],[Where do you work]],[1]!tblCountries[[Actual]:[Mapping]],2,FALSE)</f>
        <v>USA</v>
      </c>
      <c r="J1756" t="s">
        <v>794</v>
      </c>
      <c r="K1756">
        <v>12</v>
      </c>
    </row>
    <row r="1757" spans="1:11" x14ac:dyDescent="0.2">
      <c r="A1757" t="s">
        <v>3815</v>
      </c>
      <c r="B1757" s="59">
        <v>41072.080000000002</v>
      </c>
      <c r="C1757">
        <v>40000</v>
      </c>
      <c r="D1757" t="s">
        <v>882</v>
      </c>
      <c r="E1757">
        <f>tblSalaries[[#This Row],[clean Salary (in local currency)]]*VLOOKUP(tblSalaries[[#This Row],[Currency]],[1]!tblXrate[#Data],2,FALSE)</f>
        <v>39334.460921213074</v>
      </c>
      <c r="F1757" t="s">
        <v>3816</v>
      </c>
      <c r="G1757" t="s">
        <v>788</v>
      </c>
      <c r="H1757" t="s">
        <v>143</v>
      </c>
      <c r="I1757" t="str">
        <f>VLOOKUP(tblSalaries[[#This Row],[Where do you work]],[1]!tblCountries[[Actual]:[Mapping]],2,FALSE)</f>
        <v>Canada</v>
      </c>
      <c r="J1757" t="s">
        <v>808</v>
      </c>
      <c r="K1757">
        <v>1</v>
      </c>
    </row>
    <row r="1758" spans="1:11" x14ac:dyDescent="0.2">
      <c r="A1758" t="s">
        <v>3817</v>
      </c>
      <c r="B1758" s="59">
        <v>41072.081944444442</v>
      </c>
      <c r="C1758">
        <v>400000</v>
      </c>
      <c r="D1758" t="s">
        <v>824</v>
      </c>
      <c r="E1758">
        <f>tblSalaries[[#This Row],[clean Salary (in local currency)]]*VLOOKUP(tblSalaries[[#This Row],[Currency]],[1]!tblXrate[#Data],2,FALSE)</f>
        <v>7123.1666749770275</v>
      </c>
      <c r="F1758" t="s">
        <v>827</v>
      </c>
      <c r="G1758" t="s">
        <v>788</v>
      </c>
      <c r="H1758" t="s">
        <v>117</v>
      </c>
      <c r="I1758" t="str">
        <f>VLOOKUP(tblSalaries[[#This Row],[Where do you work]],[1]!tblCountries[[Actual]:[Mapping]],2,FALSE)</f>
        <v>India</v>
      </c>
      <c r="J1758" t="s">
        <v>799</v>
      </c>
      <c r="K1758">
        <v>3</v>
      </c>
    </row>
    <row r="1759" spans="1:11" x14ac:dyDescent="0.2">
      <c r="A1759" t="s">
        <v>3818</v>
      </c>
      <c r="B1759" s="59">
        <v>41072.113391203704</v>
      </c>
      <c r="C1759">
        <v>65000</v>
      </c>
      <c r="D1759" t="s">
        <v>786</v>
      </c>
      <c r="E1759">
        <f>tblSalaries[[#This Row],[clean Salary (in local currency)]]*VLOOKUP(tblSalaries[[#This Row],[Currency]],[1]!tblXrate[#Data],2,FALSE)</f>
        <v>65000</v>
      </c>
      <c r="F1759" t="s">
        <v>3819</v>
      </c>
      <c r="G1759" t="s">
        <v>788</v>
      </c>
      <c r="H1759" t="s">
        <v>15</v>
      </c>
      <c r="I1759" t="str">
        <f>VLOOKUP(tblSalaries[[#This Row],[Where do you work]],[1]!tblCountries[[Actual]:[Mapping]],2,FALSE)</f>
        <v>USA</v>
      </c>
      <c r="J1759" t="s">
        <v>789</v>
      </c>
      <c r="K1759">
        <v>14</v>
      </c>
    </row>
    <row r="1760" spans="1:11" x14ac:dyDescent="0.2">
      <c r="A1760" t="s">
        <v>3820</v>
      </c>
      <c r="B1760" s="59">
        <v>41072.124490740738</v>
      </c>
      <c r="C1760">
        <v>65000</v>
      </c>
      <c r="D1760" t="s">
        <v>786</v>
      </c>
      <c r="E1760">
        <f>tblSalaries[[#This Row],[clean Salary (in local currency)]]*VLOOKUP(tblSalaries[[#This Row],[Currency]],[1]!tblXrate[#Data],2,FALSE)</f>
        <v>65000</v>
      </c>
      <c r="F1760" t="s">
        <v>984</v>
      </c>
      <c r="G1760" t="s">
        <v>788</v>
      </c>
      <c r="H1760" t="s">
        <v>15</v>
      </c>
      <c r="I1760" t="str">
        <f>VLOOKUP(tblSalaries[[#This Row],[Where do you work]],[1]!tblCountries[[Actual]:[Mapping]],2,FALSE)</f>
        <v>USA</v>
      </c>
      <c r="J1760" t="s">
        <v>799</v>
      </c>
      <c r="K1760">
        <v>10</v>
      </c>
    </row>
    <row r="1761" spans="1:11" x14ac:dyDescent="0.2">
      <c r="A1761" t="s">
        <v>3821</v>
      </c>
      <c r="B1761" s="59">
        <v>41072.147534722222</v>
      </c>
      <c r="C1761">
        <v>65000</v>
      </c>
      <c r="D1761" t="s">
        <v>786</v>
      </c>
      <c r="E1761">
        <f>tblSalaries[[#This Row],[clean Salary (in local currency)]]*VLOOKUP(tblSalaries[[#This Row],[Currency]],[1]!tblXrate[#Data],2,FALSE)</f>
        <v>65000</v>
      </c>
      <c r="F1761" t="s">
        <v>1223</v>
      </c>
      <c r="G1761" t="s">
        <v>792</v>
      </c>
      <c r="H1761" t="s">
        <v>15</v>
      </c>
      <c r="I1761" t="str">
        <f>VLOOKUP(tblSalaries[[#This Row],[Where do you work]],[1]!tblCountries[[Actual]:[Mapping]],2,FALSE)</f>
        <v>USA</v>
      </c>
      <c r="J1761" t="s">
        <v>799</v>
      </c>
      <c r="K1761">
        <v>13</v>
      </c>
    </row>
    <row r="1762" spans="1:11" x14ac:dyDescent="0.2">
      <c r="A1762" t="s">
        <v>3822</v>
      </c>
      <c r="B1762" s="59">
        <v>41072.156539351854</v>
      </c>
      <c r="C1762">
        <v>78000</v>
      </c>
      <c r="D1762" t="s">
        <v>882</v>
      </c>
      <c r="E1762">
        <f>tblSalaries[[#This Row],[clean Salary (in local currency)]]*VLOOKUP(tblSalaries[[#This Row],[Currency]],[1]!tblXrate[#Data],2,FALSE)</f>
        <v>76702.198796365497</v>
      </c>
      <c r="F1762" t="s">
        <v>3823</v>
      </c>
      <c r="G1762" t="s">
        <v>788</v>
      </c>
      <c r="H1762" t="s">
        <v>143</v>
      </c>
      <c r="I1762" t="str">
        <f>VLOOKUP(tblSalaries[[#This Row],[Where do you work]],[1]!tblCountries[[Actual]:[Mapping]],2,FALSE)</f>
        <v>Canada</v>
      </c>
      <c r="J1762" t="s">
        <v>794</v>
      </c>
      <c r="K1762">
        <v>4</v>
      </c>
    </row>
    <row r="1763" spans="1:11" x14ac:dyDescent="0.2">
      <c r="A1763" t="s">
        <v>3824</v>
      </c>
      <c r="B1763" s="59">
        <v>41072.275138888886</v>
      </c>
      <c r="C1763">
        <v>63000</v>
      </c>
      <c r="D1763" t="s">
        <v>786</v>
      </c>
      <c r="E1763">
        <f>tblSalaries[[#This Row],[clean Salary (in local currency)]]*VLOOKUP(tblSalaries[[#This Row],[Currency]],[1]!tblXrate[#Data],2,FALSE)</f>
        <v>63000</v>
      </c>
      <c r="F1763" t="s">
        <v>919</v>
      </c>
      <c r="G1763" t="s">
        <v>788</v>
      </c>
      <c r="H1763" t="s">
        <v>15</v>
      </c>
      <c r="I1763" t="str">
        <f>VLOOKUP(tblSalaries[[#This Row],[Where do you work]],[1]!tblCountries[[Actual]:[Mapping]],2,FALSE)</f>
        <v>USA</v>
      </c>
      <c r="J1763" t="s">
        <v>794</v>
      </c>
      <c r="K1763">
        <v>10</v>
      </c>
    </row>
    <row r="1764" spans="1:11" x14ac:dyDescent="0.2">
      <c r="A1764" t="s">
        <v>3825</v>
      </c>
      <c r="B1764" s="59">
        <v>41072.358506944445</v>
      </c>
      <c r="C1764">
        <v>87000</v>
      </c>
      <c r="D1764" t="s">
        <v>786</v>
      </c>
      <c r="E1764">
        <f>tblSalaries[[#This Row],[clean Salary (in local currency)]]*VLOOKUP(tblSalaries[[#This Row],[Currency]],[1]!tblXrate[#Data],2,FALSE)</f>
        <v>87000</v>
      </c>
      <c r="F1764" t="s">
        <v>3826</v>
      </c>
      <c r="G1764" t="s">
        <v>888</v>
      </c>
      <c r="H1764" t="s">
        <v>15</v>
      </c>
      <c r="I1764" t="str">
        <f>VLOOKUP(tblSalaries[[#This Row],[Where do you work]],[1]!tblCountries[[Actual]:[Mapping]],2,FALSE)</f>
        <v>USA</v>
      </c>
      <c r="J1764" t="s">
        <v>789</v>
      </c>
      <c r="K1764">
        <v>3</v>
      </c>
    </row>
    <row r="1765" spans="1:11" x14ac:dyDescent="0.2">
      <c r="A1765" t="s">
        <v>3827</v>
      </c>
      <c r="B1765" s="59">
        <v>41072.365451388891</v>
      </c>
      <c r="C1765">
        <v>45000</v>
      </c>
      <c r="D1765" t="s">
        <v>786</v>
      </c>
      <c r="E1765">
        <f>tblSalaries[[#This Row],[clean Salary (in local currency)]]*VLOOKUP(tblSalaries[[#This Row],[Currency]],[1]!tblXrate[#Data],2,FALSE)</f>
        <v>45000</v>
      </c>
      <c r="F1765" t="s">
        <v>3828</v>
      </c>
      <c r="G1765" t="s">
        <v>788</v>
      </c>
      <c r="H1765" t="s">
        <v>15</v>
      </c>
      <c r="I1765" t="str">
        <f>VLOOKUP(tblSalaries[[#This Row],[Where do you work]],[1]!tblCountries[[Actual]:[Mapping]],2,FALSE)</f>
        <v>USA</v>
      </c>
      <c r="J1765" t="s">
        <v>789</v>
      </c>
      <c r="K1765">
        <v>4</v>
      </c>
    </row>
    <row r="1766" spans="1:11" x14ac:dyDescent="0.2">
      <c r="A1766" t="s">
        <v>3829</v>
      </c>
      <c r="B1766" s="59">
        <v>41072.510949074072</v>
      </c>
      <c r="C1766">
        <v>85000</v>
      </c>
      <c r="D1766" t="s">
        <v>786</v>
      </c>
      <c r="E1766">
        <f>tblSalaries[[#This Row],[clean Salary (in local currency)]]*VLOOKUP(tblSalaries[[#This Row],[Currency]],[1]!tblXrate[#Data],2,FALSE)</f>
        <v>85000</v>
      </c>
      <c r="F1766" t="s">
        <v>3830</v>
      </c>
      <c r="G1766" t="s">
        <v>788</v>
      </c>
      <c r="H1766" t="s">
        <v>15</v>
      </c>
      <c r="I1766" t="str">
        <f>VLOOKUP(tblSalaries[[#This Row],[Where do you work]],[1]!tblCountries[[Actual]:[Mapping]],2,FALSE)</f>
        <v>USA</v>
      </c>
      <c r="J1766" t="s">
        <v>794</v>
      </c>
      <c r="K1766">
        <v>3</v>
      </c>
    </row>
    <row r="1767" spans="1:11" x14ac:dyDescent="0.2">
      <c r="A1767" t="s">
        <v>3831</v>
      </c>
      <c r="B1767" s="59">
        <v>41072.631504629629</v>
      </c>
      <c r="C1767">
        <v>156000</v>
      </c>
      <c r="D1767" t="s">
        <v>877</v>
      </c>
      <c r="E1767">
        <f>tblSalaries[[#This Row],[clean Salary (in local currency)]]*VLOOKUP(tblSalaries[[#This Row],[Currency]],[1]!tblXrate[#Data],2,FALSE)</f>
        <v>159105.90639881117</v>
      </c>
      <c r="F1767" t="s">
        <v>3832</v>
      </c>
      <c r="G1767" t="s">
        <v>802</v>
      </c>
      <c r="H1767" t="s">
        <v>33</v>
      </c>
      <c r="I1767" t="str">
        <f>VLOOKUP(tblSalaries[[#This Row],[Where do you work]],[1]!tblCountries[[Actual]:[Mapping]],2,FALSE)</f>
        <v>Australia</v>
      </c>
      <c r="J1767" t="s">
        <v>799</v>
      </c>
      <c r="K1767">
        <v>12</v>
      </c>
    </row>
    <row r="1768" spans="1:11" x14ac:dyDescent="0.2">
      <c r="A1768" t="s">
        <v>3833</v>
      </c>
      <c r="B1768" s="59">
        <v>41072.665694444448</v>
      </c>
      <c r="C1768">
        <v>560000</v>
      </c>
      <c r="D1768" t="s">
        <v>824</v>
      </c>
      <c r="E1768">
        <f>tblSalaries[[#This Row],[clean Salary (in local currency)]]*VLOOKUP(tblSalaries[[#This Row],[Currency]],[1]!tblXrate[#Data],2,FALSE)</f>
        <v>9972.4333449678379</v>
      </c>
      <c r="F1768" t="s">
        <v>3834</v>
      </c>
      <c r="G1768" t="s">
        <v>807</v>
      </c>
      <c r="H1768" t="s">
        <v>117</v>
      </c>
      <c r="I1768" t="str">
        <f>VLOOKUP(tblSalaries[[#This Row],[Where do you work]],[1]!tblCountries[[Actual]:[Mapping]],2,FALSE)</f>
        <v>India</v>
      </c>
      <c r="J1768" t="s">
        <v>799</v>
      </c>
      <c r="K1768">
        <v>4</v>
      </c>
    </row>
    <row r="1769" spans="1:11" x14ac:dyDescent="0.2">
      <c r="A1769" t="s">
        <v>3835</v>
      </c>
      <c r="B1769" s="59">
        <v>41072.678067129629</v>
      </c>
      <c r="C1769">
        <v>14000</v>
      </c>
      <c r="D1769" t="s">
        <v>786</v>
      </c>
      <c r="E1769">
        <f>tblSalaries[[#This Row],[clean Salary (in local currency)]]*VLOOKUP(tblSalaries[[#This Row],[Currency]],[1]!tblXrate[#Data],2,FALSE)</f>
        <v>14000</v>
      </c>
      <c r="F1769" t="s">
        <v>807</v>
      </c>
      <c r="G1769" t="s">
        <v>807</v>
      </c>
      <c r="H1769" t="s">
        <v>117</v>
      </c>
      <c r="I1769" t="str">
        <f>VLOOKUP(tblSalaries[[#This Row],[Where do you work]],[1]!tblCountries[[Actual]:[Mapping]],2,FALSE)</f>
        <v>India</v>
      </c>
      <c r="J1769" t="s">
        <v>789</v>
      </c>
      <c r="K1769">
        <v>5</v>
      </c>
    </row>
    <row r="1770" spans="1:11" x14ac:dyDescent="0.2">
      <c r="A1770" t="s">
        <v>3836</v>
      </c>
      <c r="B1770" s="59">
        <v>41072.756921296299</v>
      </c>
      <c r="C1770">
        <v>32000</v>
      </c>
      <c r="D1770" t="s">
        <v>861</v>
      </c>
      <c r="E1770">
        <f>tblSalaries[[#This Row],[clean Salary (in local currency)]]*VLOOKUP(tblSalaries[[#This Row],[Currency]],[1]!tblXrate[#Data],2,FALSE)</f>
        <v>50437.70470615309</v>
      </c>
      <c r="F1770" t="s">
        <v>1070</v>
      </c>
      <c r="G1770" t="s">
        <v>788</v>
      </c>
      <c r="H1770" t="s">
        <v>863</v>
      </c>
      <c r="I1770" t="str">
        <f>VLOOKUP(tblSalaries[[#This Row],[Where do you work]],[1]!tblCountries[[Actual]:[Mapping]],2,FALSE)</f>
        <v>UK</v>
      </c>
      <c r="J1770" t="s">
        <v>789</v>
      </c>
      <c r="K1770">
        <v>20</v>
      </c>
    </row>
    <row r="1771" spans="1:11" x14ac:dyDescent="0.2">
      <c r="A1771" t="s">
        <v>3837</v>
      </c>
      <c r="B1771" s="59">
        <v>41072.769895833335</v>
      </c>
      <c r="C1771">
        <v>32000</v>
      </c>
      <c r="D1771" t="s">
        <v>861</v>
      </c>
      <c r="E1771">
        <f>tblSalaries[[#This Row],[clean Salary (in local currency)]]*VLOOKUP(tblSalaries[[#This Row],[Currency]],[1]!tblXrate[#Data],2,FALSE)</f>
        <v>50437.70470615309</v>
      </c>
      <c r="F1771" t="s">
        <v>796</v>
      </c>
      <c r="G1771" t="s">
        <v>788</v>
      </c>
      <c r="H1771" t="s">
        <v>863</v>
      </c>
      <c r="I1771" t="str">
        <f>VLOOKUP(tblSalaries[[#This Row],[Where do you work]],[1]!tblCountries[[Actual]:[Mapping]],2,FALSE)</f>
        <v>UK</v>
      </c>
      <c r="J1771" t="s">
        <v>794</v>
      </c>
      <c r="K1771">
        <v>1</v>
      </c>
    </row>
    <row r="1772" spans="1:11" x14ac:dyDescent="0.2">
      <c r="A1772" t="s">
        <v>3838</v>
      </c>
      <c r="B1772" s="59">
        <v>41072.841249999998</v>
      </c>
      <c r="C1772">
        <v>1281600</v>
      </c>
      <c r="D1772" t="s">
        <v>815</v>
      </c>
      <c r="E1772">
        <f>tblSalaries[[#This Row],[clean Salary (in local currency)]]*VLOOKUP(tblSalaries[[#This Row],[Currency]],[1]!tblXrate[#Data],2,FALSE)</f>
        <v>13603.016099449767</v>
      </c>
      <c r="F1772" t="s">
        <v>3839</v>
      </c>
      <c r="G1772" t="s">
        <v>807</v>
      </c>
      <c r="H1772" t="s">
        <v>3024</v>
      </c>
      <c r="I1772" t="str">
        <f>VLOOKUP(tblSalaries[[#This Row],[Where do you work]],[1]!tblCountries[[Actual]:[Mapping]],2,FALSE)</f>
        <v>Pakistan</v>
      </c>
      <c r="J1772" t="s">
        <v>794</v>
      </c>
      <c r="K1772">
        <v>8</v>
      </c>
    </row>
    <row r="1773" spans="1:11" x14ac:dyDescent="0.2">
      <c r="A1773" t="s">
        <v>3840</v>
      </c>
      <c r="B1773" s="59">
        <v>41072.866354166668</v>
      </c>
      <c r="C1773">
        <v>145000</v>
      </c>
      <c r="D1773" t="s">
        <v>877</v>
      </c>
      <c r="E1773">
        <f>tblSalaries[[#This Row],[clean Salary (in local currency)]]*VLOOKUP(tblSalaries[[#This Row],[Currency]],[1]!tblXrate[#Data],2,FALSE)</f>
        <v>147886.90017838217</v>
      </c>
      <c r="F1773" t="s">
        <v>2245</v>
      </c>
      <c r="G1773" t="s">
        <v>792</v>
      </c>
      <c r="H1773" t="s">
        <v>33</v>
      </c>
      <c r="I1773" t="str">
        <f>VLOOKUP(tblSalaries[[#This Row],[Where do you work]],[1]!tblCountries[[Actual]:[Mapping]],2,FALSE)</f>
        <v>Australia</v>
      </c>
      <c r="J1773" t="s">
        <v>799</v>
      </c>
      <c r="K1773">
        <v>15</v>
      </c>
    </row>
    <row r="1774" spans="1:11" x14ac:dyDescent="0.2">
      <c r="A1774" t="s">
        <v>3841</v>
      </c>
      <c r="B1774" s="59">
        <v>41072.908263888887</v>
      </c>
      <c r="C1774">
        <v>280000</v>
      </c>
      <c r="D1774" t="s">
        <v>824</v>
      </c>
      <c r="E1774">
        <f>tblSalaries[[#This Row],[clean Salary (in local currency)]]*VLOOKUP(tblSalaries[[#This Row],[Currency]],[1]!tblXrate[#Data],2,FALSE)</f>
        <v>4986.216672483919</v>
      </c>
      <c r="F1774" t="s">
        <v>3842</v>
      </c>
      <c r="G1774" t="s">
        <v>788</v>
      </c>
      <c r="H1774" t="s">
        <v>117</v>
      </c>
      <c r="I1774" t="str">
        <f>VLOOKUP(tblSalaries[[#This Row],[Where do you work]],[1]!tblCountries[[Actual]:[Mapping]],2,FALSE)</f>
        <v>India</v>
      </c>
      <c r="J1774" t="s">
        <v>794</v>
      </c>
      <c r="K1774">
        <v>8</v>
      </c>
    </row>
    <row r="1775" spans="1:11" x14ac:dyDescent="0.2">
      <c r="A1775" t="s">
        <v>3843</v>
      </c>
      <c r="B1775" s="59">
        <v>41072.915520833332</v>
      </c>
      <c r="C1775">
        <v>4800</v>
      </c>
      <c r="D1775" t="s">
        <v>786</v>
      </c>
      <c r="E1775">
        <f>tblSalaries[[#This Row],[clean Salary (in local currency)]]*VLOOKUP(tblSalaries[[#This Row],[Currency]],[1]!tblXrate[#Data],2,FALSE)</f>
        <v>4800</v>
      </c>
      <c r="F1775" t="s">
        <v>3844</v>
      </c>
      <c r="G1775" t="s">
        <v>807</v>
      </c>
      <c r="H1775" t="s">
        <v>117</v>
      </c>
      <c r="I1775" t="str">
        <f>VLOOKUP(tblSalaries[[#This Row],[Where do you work]],[1]!tblCountries[[Actual]:[Mapping]],2,FALSE)</f>
        <v>India</v>
      </c>
      <c r="J1775" t="s">
        <v>794</v>
      </c>
      <c r="K1775">
        <v>3</v>
      </c>
    </row>
    <row r="1776" spans="1:11" x14ac:dyDescent="0.2">
      <c r="A1776" t="s">
        <v>3845</v>
      </c>
      <c r="B1776" s="59">
        <v>41073.014050925929</v>
      </c>
      <c r="C1776">
        <v>450000</v>
      </c>
      <c r="D1776" t="s">
        <v>824</v>
      </c>
      <c r="E1776">
        <f>tblSalaries[[#This Row],[clean Salary (in local currency)]]*VLOOKUP(tblSalaries[[#This Row],[Currency]],[1]!tblXrate[#Data],2,FALSE)</f>
        <v>8013.5625093491553</v>
      </c>
      <c r="F1776" t="s">
        <v>1915</v>
      </c>
      <c r="G1776" t="s">
        <v>836</v>
      </c>
      <c r="H1776" t="s">
        <v>117</v>
      </c>
      <c r="I1776" t="str">
        <f>VLOOKUP(tblSalaries[[#This Row],[Where do you work]],[1]!tblCountries[[Actual]:[Mapping]],2,FALSE)</f>
        <v>India</v>
      </c>
      <c r="J1776" t="s">
        <v>789</v>
      </c>
      <c r="K1776">
        <v>4</v>
      </c>
    </row>
    <row r="1777" spans="1:11" x14ac:dyDescent="0.2">
      <c r="A1777" t="s">
        <v>3846</v>
      </c>
      <c r="B1777" s="59">
        <v>41073.016331018516</v>
      </c>
      <c r="C1777">
        <v>80000</v>
      </c>
      <c r="D1777" t="s">
        <v>786</v>
      </c>
      <c r="E1777">
        <f>tblSalaries[[#This Row],[clean Salary (in local currency)]]*VLOOKUP(tblSalaries[[#This Row],[Currency]],[1]!tblXrate[#Data],2,FALSE)</f>
        <v>80000</v>
      </c>
      <c r="F1777" t="s">
        <v>3847</v>
      </c>
      <c r="G1777" t="s">
        <v>807</v>
      </c>
      <c r="H1777" t="s">
        <v>15</v>
      </c>
      <c r="I1777" t="str">
        <f>VLOOKUP(tblSalaries[[#This Row],[Where do you work]],[1]!tblCountries[[Actual]:[Mapping]],2,FALSE)</f>
        <v>USA</v>
      </c>
      <c r="J1777" t="s">
        <v>789</v>
      </c>
      <c r="K1777">
        <v>2</v>
      </c>
    </row>
    <row r="1778" spans="1:11" x14ac:dyDescent="0.2">
      <c r="A1778" t="s">
        <v>3848</v>
      </c>
      <c r="B1778" s="59">
        <v>41073.025972222225</v>
      </c>
      <c r="C1778">
        <v>45000</v>
      </c>
      <c r="D1778" t="s">
        <v>805</v>
      </c>
      <c r="E1778">
        <f>tblSalaries[[#This Row],[clean Salary (in local currency)]]*VLOOKUP(tblSalaries[[#This Row],[Currency]],[1]!tblXrate[#Data],2,FALSE)</f>
        <v>57167.974754622352</v>
      </c>
      <c r="F1778" t="s">
        <v>3849</v>
      </c>
      <c r="G1778" t="s">
        <v>788</v>
      </c>
      <c r="H1778" t="s">
        <v>228</v>
      </c>
      <c r="I1778" t="str">
        <f>VLOOKUP(tblSalaries[[#This Row],[Where do you work]],[1]!tblCountries[[Actual]:[Mapping]],2,FALSE)</f>
        <v>Netherlands</v>
      </c>
      <c r="J1778" t="s">
        <v>799</v>
      </c>
      <c r="K1778">
        <v>14</v>
      </c>
    </row>
    <row r="1779" spans="1:11" x14ac:dyDescent="0.2">
      <c r="A1779" t="s">
        <v>3850</v>
      </c>
      <c r="B1779" s="59">
        <v>41073.034953703704</v>
      </c>
      <c r="C1779">
        <v>20000</v>
      </c>
      <c r="D1779" t="s">
        <v>786</v>
      </c>
      <c r="E1779">
        <f>tblSalaries[[#This Row],[clean Salary (in local currency)]]*VLOOKUP(tblSalaries[[#This Row],[Currency]],[1]!tblXrate[#Data],2,FALSE)</f>
        <v>20000</v>
      </c>
      <c r="F1779" t="s">
        <v>3851</v>
      </c>
      <c r="G1779" t="s">
        <v>788</v>
      </c>
      <c r="H1779" t="s">
        <v>143</v>
      </c>
      <c r="I1779" t="str">
        <f>VLOOKUP(tblSalaries[[#This Row],[Where do you work]],[1]!tblCountries[[Actual]:[Mapping]],2,FALSE)</f>
        <v>Canada</v>
      </c>
      <c r="J1779" t="s">
        <v>799</v>
      </c>
      <c r="K1779">
        <v>2</v>
      </c>
    </row>
    <row r="1780" spans="1:11" x14ac:dyDescent="0.2">
      <c r="A1780" t="s">
        <v>3852</v>
      </c>
      <c r="B1780" s="59">
        <v>41073.080821759257</v>
      </c>
      <c r="C1780">
        <v>70000</v>
      </c>
      <c r="D1780" t="s">
        <v>786</v>
      </c>
      <c r="E1780">
        <f>tblSalaries[[#This Row],[clean Salary (in local currency)]]*VLOOKUP(tblSalaries[[#This Row],[Currency]],[1]!tblXrate[#Data],2,FALSE)</f>
        <v>70000</v>
      </c>
      <c r="F1780" t="s">
        <v>827</v>
      </c>
      <c r="G1780" t="s">
        <v>788</v>
      </c>
      <c r="H1780" t="s">
        <v>15</v>
      </c>
      <c r="I1780" t="str">
        <f>VLOOKUP(tblSalaries[[#This Row],[Where do you work]],[1]!tblCountries[[Actual]:[Mapping]],2,FALSE)</f>
        <v>USA</v>
      </c>
      <c r="J1780" t="s">
        <v>799</v>
      </c>
      <c r="K1780">
        <v>5</v>
      </c>
    </row>
    <row r="1781" spans="1:11" x14ac:dyDescent="0.2">
      <c r="A1781" t="s">
        <v>3853</v>
      </c>
      <c r="B1781" s="59">
        <v>41073.141030092593</v>
      </c>
      <c r="C1781">
        <v>214000</v>
      </c>
      <c r="D1781" t="s">
        <v>786</v>
      </c>
      <c r="E1781">
        <f>tblSalaries[[#This Row],[clean Salary (in local currency)]]*VLOOKUP(tblSalaries[[#This Row],[Currency]],[1]!tblXrate[#Data],2,FALSE)</f>
        <v>214000</v>
      </c>
      <c r="F1781" t="s">
        <v>3854</v>
      </c>
      <c r="G1781" t="s">
        <v>792</v>
      </c>
      <c r="H1781" t="s">
        <v>15</v>
      </c>
      <c r="I1781" t="str">
        <f>VLOOKUP(tblSalaries[[#This Row],[Where do you work]],[1]!tblCountries[[Actual]:[Mapping]],2,FALSE)</f>
        <v>USA</v>
      </c>
      <c r="J1781" t="s">
        <v>794</v>
      </c>
      <c r="K1781">
        <v>20</v>
      </c>
    </row>
    <row r="1782" spans="1:11" x14ac:dyDescent="0.2">
      <c r="A1782" t="s">
        <v>3855</v>
      </c>
      <c r="B1782" s="59">
        <v>41073.158784722225</v>
      </c>
      <c r="C1782">
        <v>78000</v>
      </c>
      <c r="D1782" t="s">
        <v>786</v>
      </c>
      <c r="E1782">
        <f>tblSalaries[[#This Row],[clean Salary (in local currency)]]*VLOOKUP(tblSalaries[[#This Row],[Currency]],[1]!tblXrate[#Data],2,FALSE)</f>
        <v>78000</v>
      </c>
      <c r="F1782" t="s">
        <v>3856</v>
      </c>
      <c r="G1782" t="s">
        <v>802</v>
      </c>
      <c r="H1782" t="s">
        <v>15</v>
      </c>
      <c r="I1782" t="str">
        <f>VLOOKUP(tblSalaries[[#This Row],[Where do you work]],[1]!tblCountries[[Actual]:[Mapping]],2,FALSE)</f>
        <v>USA</v>
      </c>
      <c r="J1782" t="s">
        <v>794</v>
      </c>
      <c r="K1782">
        <v>5</v>
      </c>
    </row>
    <row r="1783" spans="1:11" x14ac:dyDescent="0.2">
      <c r="A1783" t="s">
        <v>3857</v>
      </c>
      <c r="B1783" s="59">
        <v>41073.194178240738</v>
      </c>
      <c r="C1783">
        <v>42307</v>
      </c>
      <c r="D1783" t="s">
        <v>786</v>
      </c>
      <c r="E1783">
        <f>tblSalaries[[#This Row],[clean Salary (in local currency)]]*VLOOKUP(tblSalaries[[#This Row],[Currency]],[1]!tblXrate[#Data],2,FALSE)</f>
        <v>42307</v>
      </c>
      <c r="F1783" t="s">
        <v>3858</v>
      </c>
      <c r="G1783" t="s">
        <v>788</v>
      </c>
      <c r="H1783" t="s">
        <v>15</v>
      </c>
      <c r="I1783" t="str">
        <f>VLOOKUP(tblSalaries[[#This Row],[Where do you work]],[1]!tblCountries[[Actual]:[Mapping]],2,FALSE)</f>
        <v>USA</v>
      </c>
      <c r="J1783" t="s">
        <v>799</v>
      </c>
      <c r="K1783">
        <v>25</v>
      </c>
    </row>
    <row r="1784" spans="1:11" x14ac:dyDescent="0.2">
      <c r="A1784" t="s">
        <v>3859</v>
      </c>
      <c r="B1784" s="59">
        <v>41073.194479166668</v>
      </c>
      <c r="C1784">
        <v>33250</v>
      </c>
      <c r="D1784" t="s">
        <v>786</v>
      </c>
      <c r="E1784">
        <f>tblSalaries[[#This Row],[clean Salary (in local currency)]]*VLOOKUP(tblSalaries[[#This Row],[Currency]],[1]!tblXrate[#Data],2,FALSE)</f>
        <v>33250</v>
      </c>
      <c r="F1784" t="s">
        <v>3860</v>
      </c>
      <c r="G1784" t="s">
        <v>807</v>
      </c>
      <c r="H1784" t="s">
        <v>15</v>
      </c>
      <c r="I1784" t="str">
        <f>VLOOKUP(tblSalaries[[#This Row],[Where do you work]],[1]!tblCountries[[Actual]:[Mapping]],2,FALSE)</f>
        <v>USA</v>
      </c>
      <c r="J1784" t="s">
        <v>794</v>
      </c>
      <c r="K1784">
        <v>20</v>
      </c>
    </row>
    <row r="1785" spans="1:11" x14ac:dyDescent="0.2">
      <c r="A1785" t="s">
        <v>3861</v>
      </c>
      <c r="B1785" s="59">
        <v>41073.222592592596</v>
      </c>
      <c r="C1785">
        <v>19200</v>
      </c>
      <c r="D1785" t="s">
        <v>805</v>
      </c>
      <c r="E1785">
        <f>tblSalaries[[#This Row],[clean Salary (in local currency)]]*VLOOKUP(tblSalaries[[#This Row],[Currency]],[1]!tblXrate[#Data],2,FALSE)</f>
        <v>24391.669228638868</v>
      </c>
      <c r="F1785" t="s">
        <v>3862</v>
      </c>
      <c r="G1785" t="s">
        <v>788</v>
      </c>
      <c r="H1785" t="s">
        <v>2175</v>
      </c>
      <c r="I1785" t="str">
        <f>VLOOKUP(tblSalaries[[#This Row],[Where do you work]],[1]!tblCountries[[Actual]:[Mapping]],2,FALSE)</f>
        <v>italy</v>
      </c>
      <c r="J1785" t="s">
        <v>789</v>
      </c>
      <c r="K1785">
        <v>10</v>
      </c>
    </row>
    <row r="1786" spans="1:11" x14ac:dyDescent="0.2">
      <c r="A1786" t="s">
        <v>3863</v>
      </c>
      <c r="B1786" s="59">
        <v>41073.263472222221</v>
      </c>
      <c r="C1786">
        <v>120000</v>
      </c>
      <c r="D1786" t="s">
        <v>786</v>
      </c>
      <c r="E1786">
        <f>tblSalaries[[#This Row],[clean Salary (in local currency)]]*VLOOKUP(tblSalaries[[#This Row],[Currency]],[1]!tblXrate[#Data],2,FALSE)</f>
        <v>120000</v>
      </c>
      <c r="F1786" t="s">
        <v>3864</v>
      </c>
      <c r="G1786" t="s">
        <v>817</v>
      </c>
      <c r="H1786" t="s">
        <v>15</v>
      </c>
      <c r="I1786" t="str">
        <f>VLOOKUP(tblSalaries[[#This Row],[Where do you work]],[1]!tblCountries[[Actual]:[Mapping]],2,FALSE)</f>
        <v>USA</v>
      </c>
      <c r="J1786" t="s">
        <v>789</v>
      </c>
      <c r="K1786">
        <v>20</v>
      </c>
    </row>
    <row r="1787" spans="1:11" x14ac:dyDescent="0.2">
      <c r="A1787" t="s">
        <v>3865</v>
      </c>
      <c r="B1787" s="59">
        <v>41073.49895833333</v>
      </c>
      <c r="C1787">
        <v>20000</v>
      </c>
      <c r="D1787" t="s">
        <v>786</v>
      </c>
      <c r="E1787">
        <f>tblSalaries[[#This Row],[clean Salary (in local currency)]]*VLOOKUP(tblSalaries[[#This Row],[Currency]],[1]!tblXrate[#Data],2,FALSE)</f>
        <v>20000</v>
      </c>
      <c r="F1787" t="s">
        <v>3866</v>
      </c>
      <c r="G1787" t="s">
        <v>788</v>
      </c>
      <c r="H1787" t="s">
        <v>3867</v>
      </c>
      <c r="I1787" t="str">
        <f>VLOOKUP(tblSalaries[[#This Row],[Where do you work]],[1]!tblCountries[[Actual]:[Mapping]],2,FALSE)</f>
        <v>Hong Kong</v>
      </c>
      <c r="J1787" t="s">
        <v>808</v>
      </c>
      <c r="K1787">
        <v>1</v>
      </c>
    </row>
    <row r="1788" spans="1:11" x14ac:dyDescent="0.2">
      <c r="A1788" t="s">
        <v>3868</v>
      </c>
      <c r="B1788" s="59">
        <v>41073.72415509259</v>
      </c>
      <c r="C1788">
        <v>15000</v>
      </c>
      <c r="D1788" t="s">
        <v>786</v>
      </c>
      <c r="E1788">
        <f>tblSalaries[[#This Row],[clean Salary (in local currency)]]*VLOOKUP(tblSalaries[[#This Row],[Currency]],[1]!tblXrate[#Data],2,FALSE)</f>
        <v>15000</v>
      </c>
      <c r="F1788" t="s">
        <v>2332</v>
      </c>
      <c r="G1788" t="s">
        <v>788</v>
      </c>
      <c r="H1788" t="s">
        <v>117</v>
      </c>
      <c r="I1788" t="str">
        <f>VLOOKUP(tblSalaries[[#This Row],[Where do you work]],[1]!tblCountries[[Actual]:[Mapping]],2,FALSE)</f>
        <v>India</v>
      </c>
      <c r="J1788" t="s">
        <v>799</v>
      </c>
      <c r="K1788">
        <v>0.3</v>
      </c>
    </row>
    <row r="1789" spans="1:11" x14ac:dyDescent="0.2">
      <c r="A1789" t="s">
        <v>3869</v>
      </c>
      <c r="B1789" s="59">
        <v>41073.767361111109</v>
      </c>
      <c r="C1789">
        <v>1000000</v>
      </c>
      <c r="D1789" t="s">
        <v>824</v>
      </c>
      <c r="E1789">
        <f>tblSalaries[[#This Row],[clean Salary (in local currency)]]*VLOOKUP(tblSalaries[[#This Row],[Currency]],[1]!tblXrate[#Data],2,FALSE)</f>
        <v>17807.916687442568</v>
      </c>
      <c r="F1789" t="s">
        <v>3870</v>
      </c>
      <c r="G1789" t="s">
        <v>807</v>
      </c>
      <c r="H1789" t="s">
        <v>117</v>
      </c>
      <c r="I1789" t="str">
        <f>VLOOKUP(tblSalaries[[#This Row],[Where do you work]],[1]!tblCountries[[Actual]:[Mapping]],2,FALSE)</f>
        <v>India</v>
      </c>
      <c r="J1789" t="s">
        <v>799</v>
      </c>
      <c r="K1789">
        <v>10</v>
      </c>
    </row>
    <row r="1790" spans="1:11" x14ac:dyDescent="0.2">
      <c r="A1790" t="s">
        <v>3871</v>
      </c>
      <c r="B1790" s="59">
        <v>41073.805844907409</v>
      </c>
      <c r="C1790">
        <v>900000</v>
      </c>
      <c r="D1790" t="s">
        <v>824</v>
      </c>
      <c r="E1790">
        <f>tblSalaries[[#This Row],[clean Salary (in local currency)]]*VLOOKUP(tblSalaries[[#This Row],[Currency]],[1]!tblXrate[#Data],2,FALSE)</f>
        <v>16027.125018698311</v>
      </c>
      <c r="F1790" t="s">
        <v>3872</v>
      </c>
      <c r="G1790" t="s">
        <v>807</v>
      </c>
      <c r="H1790" t="s">
        <v>117</v>
      </c>
      <c r="I1790" t="str">
        <f>VLOOKUP(tblSalaries[[#This Row],[Where do you work]],[1]!tblCountries[[Actual]:[Mapping]],2,FALSE)</f>
        <v>India</v>
      </c>
      <c r="J1790" t="s">
        <v>799</v>
      </c>
      <c r="K1790">
        <v>6</v>
      </c>
    </row>
    <row r="1791" spans="1:11" x14ac:dyDescent="0.2">
      <c r="A1791" t="s">
        <v>3873</v>
      </c>
      <c r="B1791" s="59">
        <v>41073.815254629626</v>
      </c>
      <c r="C1791">
        <v>36000</v>
      </c>
      <c r="D1791" t="s">
        <v>861</v>
      </c>
      <c r="E1791">
        <f>tblSalaries[[#This Row],[clean Salary (in local currency)]]*VLOOKUP(tblSalaries[[#This Row],[Currency]],[1]!tblXrate[#Data],2,FALSE)</f>
        <v>56742.417794422225</v>
      </c>
      <c r="F1791" t="s">
        <v>3874</v>
      </c>
      <c r="G1791" t="s">
        <v>807</v>
      </c>
      <c r="H1791" t="s">
        <v>863</v>
      </c>
      <c r="I1791" t="str">
        <f>VLOOKUP(tblSalaries[[#This Row],[Where do you work]],[1]!tblCountries[[Actual]:[Mapping]],2,FALSE)</f>
        <v>UK</v>
      </c>
      <c r="J1791" t="s">
        <v>794</v>
      </c>
      <c r="K1791">
        <v>7</v>
      </c>
    </row>
    <row r="1792" spans="1:11" x14ac:dyDescent="0.2">
      <c r="A1792" t="s">
        <v>3875</v>
      </c>
      <c r="B1792" s="59">
        <v>41073.81962962963</v>
      </c>
      <c r="C1792">
        <v>1200000</v>
      </c>
      <c r="D1792" t="s">
        <v>824</v>
      </c>
      <c r="E1792">
        <f>tblSalaries[[#This Row],[clean Salary (in local currency)]]*VLOOKUP(tblSalaries[[#This Row],[Currency]],[1]!tblXrate[#Data],2,FALSE)</f>
        <v>21369.500024931083</v>
      </c>
      <c r="F1792" t="s">
        <v>3876</v>
      </c>
      <c r="G1792" t="s">
        <v>807</v>
      </c>
      <c r="H1792" t="s">
        <v>117</v>
      </c>
      <c r="I1792" t="str">
        <f>VLOOKUP(tblSalaries[[#This Row],[Where do you work]],[1]!tblCountries[[Actual]:[Mapping]],2,FALSE)</f>
        <v>India</v>
      </c>
      <c r="J1792" t="s">
        <v>789</v>
      </c>
      <c r="K1792">
        <v>7</v>
      </c>
    </row>
    <row r="1793" spans="1:11" x14ac:dyDescent="0.2">
      <c r="A1793" t="s">
        <v>3877</v>
      </c>
      <c r="B1793" s="59">
        <v>41073.860625000001</v>
      </c>
      <c r="C1793">
        <v>425000</v>
      </c>
      <c r="D1793" t="s">
        <v>824</v>
      </c>
      <c r="E1793">
        <f>tblSalaries[[#This Row],[clean Salary (in local currency)]]*VLOOKUP(tblSalaries[[#This Row],[Currency]],[1]!tblXrate[#Data],2,FALSE)</f>
        <v>7568.3645921630914</v>
      </c>
      <c r="F1793" t="s">
        <v>2230</v>
      </c>
      <c r="G1793" t="s">
        <v>817</v>
      </c>
      <c r="H1793" t="s">
        <v>117</v>
      </c>
      <c r="I1793" t="str">
        <f>VLOOKUP(tblSalaries[[#This Row],[Where do you work]],[1]!tblCountries[[Actual]:[Mapping]],2,FALSE)</f>
        <v>India</v>
      </c>
      <c r="J1793" t="s">
        <v>799</v>
      </c>
      <c r="K1793">
        <v>6</v>
      </c>
    </row>
    <row r="1794" spans="1:11" x14ac:dyDescent="0.2">
      <c r="A1794" t="s">
        <v>3878</v>
      </c>
      <c r="B1794" s="59">
        <v>41073.98097222222</v>
      </c>
      <c r="C1794">
        <v>50000</v>
      </c>
      <c r="D1794" t="s">
        <v>861</v>
      </c>
      <c r="E1794">
        <f>tblSalaries[[#This Row],[clean Salary (in local currency)]]*VLOOKUP(tblSalaries[[#This Row],[Currency]],[1]!tblXrate[#Data],2,FALSE)</f>
        <v>78808.913603364199</v>
      </c>
      <c r="F1794" t="s">
        <v>3309</v>
      </c>
      <c r="G1794" t="s">
        <v>817</v>
      </c>
      <c r="H1794" t="s">
        <v>863</v>
      </c>
      <c r="I1794" t="str">
        <f>VLOOKUP(tblSalaries[[#This Row],[Where do you work]],[1]!tblCountries[[Actual]:[Mapping]],2,FALSE)</f>
        <v>UK</v>
      </c>
      <c r="J1794" t="s">
        <v>799</v>
      </c>
      <c r="K1794">
        <v>10</v>
      </c>
    </row>
    <row r="1795" spans="1:11" x14ac:dyDescent="0.2">
      <c r="A1795" t="s">
        <v>3879</v>
      </c>
      <c r="B1795" s="59">
        <v>41074.080011574071</v>
      </c>
      <c r="C1795">
        <v>60000</v>
      </c>
      <c r="D1795" t="s">
        <v>786</v>
      </c>
      <c r="E1795">
        <f>tblSalaries[[#This Row],[clean Salary (in local currency)]]*VLOOKUP(tblSalaries[[#This Row],[Currency]],[1]!tblXrate[#Data],2,FALSE)</f>
        <v>60000</v>
      </c>
      <c r="F1795" t="s">
        <v>1070</v>
      </c>
      <c r="G1795" t="s">
        <v>788</v>
      </c>
      <c r="H1795" t="s">
        <v>15</v>
      </c>
      <c r="I1795" t="str">
        <f>VLOOKUP(tblSalaries[[#This Row],[Where do you work]],[1]!tblCountries[[Actual]:[Mapping]],2,FALSE)</f>
        <v>USA</v>
      </c>
      <c r="J1795" t="s">
        <v>789</v>
      </c>
      <c r="K1795">
        <v>15</v>
      </c>
    </row>
    <row r="1796" spans="1:11" x14ac:dyDescent="0.2">
      <c r="A1796" t="s">
        <v>3880</v>
      </c>
      <c r="B1796" s="59">
        <v>41074.114386574074</v>
      </c>
      <c r="C1796">
        <v>57000</v>
      </c>
      <c r="D1796" t="s">
        <v>786</v>
      </c>
      <c r="E1796">
        <f>tblSalaries[[#This Row],[clean Salary (in local currency)]]*VLOOKUP(tblSalaries[[#This Row],[Currency]],[1]!tblXrate[#Data],2,FALSE)</f>
        <v>57000</v>
      </c>
      <c r="F1796" t="s">
        <v>2896</v>
      </c>
      <c r="G1796" t="s">
        <v>817</v>
      </c>
      <c r="H1796" t="s">
        <v>15</v>
      </c>
      <c r="I1796" t="str">
        <f>VLOOKUP(tblSalaries[[#This Row],[Where do you work]],[1]!tblCountries[[Actual]:[Mapping]],2,FALSE)</f>
        <v>USA</v>
      </c>
      <c r="J1796" t="s">
        <v>789</v>
      </c>
      <c r="K1796">
        <v>9</v>
      </c>
    </row>
    <row r="1797" spans="1:11" x14ac:dyDescent="0.2">
      <c r="A1797" t="s">
        <v>3881</v>
      </c>
      <c r="B1797" s="59">
        <v>41074.18236111111</v>
      </c>
      <c r="C1797">
        <v>40000</v>
      </c>
      <c r="D1797" t="s">
        <v>786</v>
      </c>
      <c r="E1797">
        <f>tblSalaries[[#This Row],[clean Salary (in local currency)]]*VLOOKUP(tblSalaries[[#This Row],[Currency]],[1]!tblXrate[#Data],2,FALSE)</f>
        <v>40000</v>
      </c>
      <c r="F1797" t="s">
        <v>3882</v>
      </c>
      <c r="G1797" t="s">
        <v>788</v>
      </c>
      <c r="H1797" t="s">
        <v>15</v>
      </c>
      <c r="I1797" t="str">
        <f>VLOOKUP(tblSalaries[[#This Row],[Where do you work]],[1]!tblCountries[[Actual]:[Mapping]],2,FALSE)</f>
        <v>USA</v>
      </c>
      <c r="J1797" t="s">
        <v>799</v>
      </c>
      <c r="K1797">
        <v>0</v>
      </c>
    </row>
    <row r="1798" spans="1:11" x14ac:dyDescent="0.2">
      <c r="A1798" t="s">
        <v>3883</v>
      </c>
      <c r="B1798" s="59">
        <v>41074.303252314814</v>
      </c>
      <c r="C1798">
        <v>80000</v>
      </c>
      <c r="D1798" t="s">
        <v>786</v>
      </c>
      <c r="E1798">
        <f>tblSalaries[[#This Row],[clean Salary (in local currency)]]*VLOOKUP(tblSalaries[[#This Row],[Currency]],[1]!tblXrate[#Data],2,FALSE)</f>
        <v>80000</v>
      </c>
      <c r="F1798" t="s">
        <v>3884</v>
      </c>
      <c r="G1798" t="s">
        <v>792</v>
      </c>
      <c r="H1798" t="s">
        <v>15</v>
      </c>
      <c r="I1798" t="str">
        <f>VLOOKUP(tblSalaries[[#This Row],[Where do you work]],[1]!tblCountries[[Actual]:[Mapping]],2,FALSE)</f>
        <v>USA</v>
      </c>
      <c r="J1798" t="s">
        <v>789</v>
      </c>
      <c r="K1798">
        <v>9</v>
      </c>
    </row>
    <row r="1799" spans="1:11" x14ac:dyDescent="0.2">
      <c r="A1799" t="s">
        <v>3885</v>
      </c>
      <c r="B1799" s="59">
        <v>41074.519097222219</v>
      </c>
      <c r="C1799">
        <v>118000</v>
      </c>
      <c r="D1799" t="s">
        <v>786</v>
      </c>
      <c r="E1799">
        <f>tblSalaries[[#This Row],[clean Salary (in local currency)]]*VLOOKUP(tblSalaries[[#This Row],[Currency]],[1]!tblXrate[#Data],2,FALSE)</f>
        <v>118000</v>
      </c>
      <c r="F1799" t="s">
        <v>3503</v>
      </c>
      <c r="G1799" t="s">
        <v>813</v>
      </c>
      <c r="H1799" t="s">
        <v>15</v>
      </c>
      <c r="I1799" t="str">
        <f>VLOOKUP(tblSalaries[[#This Row],[Where do you work]],[1]!tblCountries[[Actual]:[Mapping]],2,FALSE)</f>
        <v>USA</v>
      </c>
      <c r="J1799" t="s">
        <v>789</v>
      </c>
      <c r="K1799">
        <v>6</v>
      </c>
    </row>
    <row r="1800" spans="1:11" x14ac:dyDescent="0.2">
      <c r="A1800" t="s">
        <v>3886</v>
      </c>
      <c r="B1800" s="59">
        <v>41074.589560185188</v>
      </c>
      <c r="C1800">
        <v>60000</v>
      </c>
      <c r="D1800" t="s">
        <v>786</v>
      </c>
      <c r="E1800">
        <f>tblSalaries[[#This Row],[clean Salary (in local currency)]]*VLOOKUP(tblSalaries[[#This Row],[Currency]],[1]!tblXrate[#Data],2,FALSE)</f>
        <v>60000</v>
      </c>
      <c r="F1800" t="s">
        <v>788</v>
      </c>
      <c r="G1800" t="s">
        <v>788</v>
      </c>
      <c r="H1800" t="s">
        <v>1022</v>
      </c>
      <c r="I1800" t="str">
        <f>VLOOKUP(tblSalaries[[#This Row],[Where do you work]],[1]!tblCountries[[Actual]:[Mapping]],2,FALSE)</f>
        <v>UAE</v>
      </c>
      <c r="J1800" t="s">
        <v>789</v>
      </c>
      <c r="K1800">
        <v>5</v>
      </c>
    </row>
    <row r="1801" spans="1:11" x14ac:dyDescent="0.2">
      <c r="A1801" t="s">
        <v>3887</v>
      </c>
      <c r="B1801" s="59">
        <v>41074.768796296295</v>
      </c>
      <c r="C1801">
        <v>6720</v>
      </c>
      <c r="D1801" t="s">
        <v>786</v>
      </c>
      <c r="E1801">
        <f>tblSalaries[[#This Row],[clean Salary (in local currency)]]*VLOOKUP(tblSalaries[[#This Row],[Currency]],[1]!tblXrate[#Data],2,FALSE)</f>
        <v>6720</v>
      </c>
      <c r="F1801" t="s">
        <v>3888</v>
      </c>
      <c r="G1801" t="s">
        <v>817</v>
      </c>
      <c r="H1801" t="s">
        <v>117</v>
      </c>
      <c r="I1801" t="str">
        <f>VLOOKUP(tblSalaries[[#This Row],[Where do you work]],[1]!tblCountries[[Actual]:[Mapping]],2,FALSE)</f>
        <v>India</v>
      </c>
      <c r="J1801" t="s">
        <v>789</v>
      </c>
      <c r="K1801">
        <v>5</v>
      </c>
    </row>
    <row r="1802" spans="1:11" x14ac:dyDescent="0.2">
      <c r="A1802" t="s">
        <v>3889</v>
      </c>
      <c r="B1802" s="59">
        <v>41074.918807870374</v>
      </c>
      <c r="C1802">
        <v>20640</v>
      </c>
      <c r="D1802" t="s">
        <v>786</v>
      </c>
      <c r="E1802">
        <f>tblSalaries[[#This Row],[clean Salary (in local currency)]]*VLOOKUP(tblSalaries[[#This Row],[Currency]],[1]!tblXrate[#Data],2,FALSE)</f>
        <v>20640</v>
      </c>
      <c r="F1802" t="s">
        <v>3890</v>
      </c>
      <c r="G1802" t="s">
        <v>807</v>
      </c>
      <c r="H1802" t="s">
        <v>283</v>
      </c>
      <c r="I1802" t="str">
        <f>VLOOKUP(tblSalaries[[#This Row],[Where do you work]],[1]!tblCountries[[Actual]:[Mapping]],2,FALSE)</f>
        <v>Singapore</v>
      </c>
      <c r="J1802" t="s">
        <v>789</v>
      </c>
      <c r="K1802">
        <v>3</v>
      </c>
    </row>
    <row r="1803" spans="1:11" x14ac:dyDescent="0.2">
      <c r="A1803" t="s">
        <v>3891</v>
      </c>
      <c r="B1803" s="59">
        <v>41075.024826388886</v>
      </c>
      <c r="C1803">
        <v>50000</v>
      </c>
      <c r="D1803" t="s">
        <v>786</v>
      </c>
      <c r="E1803">
        <f>tblSalaries[[#This Row],[clean Salary (in local currency)]]*VLOOKUP(tblSalaries[[#This Row],[Currency]],[1]!tblXrate[#Data],2,FALSE)</f>
        <v>50000</v>
      </c>
      <c r="F1803" t="s">
        <v>3892</v>
      </c>
      <c r="G1803" t="s">
        <v>788</v>
      </c>
      <c r="H1803" t="s">
        <v>15</v>
      </c>
      <c r="I1803" t="str">
        <f>VLOOKUP(tblSalaries[[#This Row],[Where do you work]],[1]!tblCountries[[Actual]:[Mapping]],2,FALSE)</f>
        <v>USA</v>
      </c>
      <c r="J1803" t="s">
        <v>794</v>
      </c>
      <c r="K1803">
        <v>15</v>
      </c>
    </row>
    <row r="1804" spans="1:11" x14ac:dyDescent="0.2">
      <c r="A1804" t="s">
        <v>3893</v>
      </c>
      <c r="B1804" s="59">
        <v>41075.036550925928</v>
      </c>
      <c r="C1804">
        <v>24000</v>
      </c>
      <c r="D1804" t="s">
        <v>786</v>
      </c>
      <c r="E1804">
        <f>tblSalaries[[#This Row],[clean Salary (in local currency)]]*VLOOKUP(tblSalaries[[#This Row],[Currency]],[1]!tblXrate[#Data],2,FALSE)</f>
        <v>24000</v>
      </c>
      <c r="F1804" t="s">
        <v>1372</v>
      </c>
      <c r="G1804" t="s">
        <v>792</v>
      </c>
      <c r="H1804" t="s">
        <v>744</v>
      </c>
      <c r="I1804" t="str">
        <f>VLOOKUP(tblSalaries[[#This Row],[Where do you work]],[1]!tblCountries[[Actual]:[Mapping]],2,FALSE)</f>
        <v>Russia</v>
      </c>
      <c r="J1804" t="s">
        <v>794</v>
      </c>
      <c r="K1804">
        <v>23</v>
      </c>
    </row>
    <row r="1805" spans="1:11" x14ac:dyDescent="0.2">
      <c r="A1805" t="s">
        <v>3894</v>
      </c>
      <c r="B1805" s="59">
        <v>41075.043611111112</v>
      </c>
      <c r="C1805">
        <v>60000</v>
      </c>
      <c r="D1805" t="s">
        <v>786</v>
      </c>
      <c r="E1805">
        <f>tblSalaries[[#This Row],[clean Salary (in local currency)]]*VLOOKUP(tblSalaries[[#This Row],[Currency]],[1]!tblXrate[#Data],2,FALSE)</f>
        <v>60000</v>
      </c>
      <c r="F1805" t="s">
        <v>1070</v>
      </c>
      <c r="G1805" t="s">
        <v>788</v>
      </c>
      <c r="H1805" t="s">
        <v>15</v>
      </c>
      <c r="I1805" t="str">
        <f>VLOOKUP(tblSalaries[[#This Row],[Where do you work]],[1]!tblCountries[[Actual]:[Mapping]],2,FALSE)</f>
        <v>USA</v>
      </c>
      <c r="J1805" t="s">
        <v>799</v>
      </c>
      <c r="K1805">
        <v>3</v>
      </c>
    </row>
    <row r="1806" spans="1:11" x14ac:dyDescent="0.2">
      <c r="A1806" t="s">
        <v>3895</v>
      </c>
      <c r="B1806" s="59">
        <v>41075.048715277779</v>
      </c>
      <c r="C1806">
        <v>37500</v>
      </c>
      <c r="D1806" t="s">
        <v>786</v>
      </c>
      <c r="E1806">
        <f>tblSalaries[[#This Row],[clean Salary (in local currency)]]*VLOOKUP(tblSalaries[[#This Row],[Currency]],[1]!tblXrate[#Data],2,FALSE)</f>
        <v>37500</v>
      </c>
      <c r="F1806" t="s">
        <v>878</v>
      </c>
      <c r="G1806" t="s">
        <v>867</v>
      </c>
      <c r="H1806" t="s">
        <v>117</v>
      </c>
      <c r="I1806" t="str">
        <f>VLOOKUP(tblSalaries[[#This Row],[Where do you work]],[1]!tblCountries[[Actual]:[Mapping]],2,FALSE)</f>
        <v>India</v>
      </c>
      <c r="J1806" t="s">
        <v>794</v>
      </c>
      <c r="K1806">
        <v>0</v>
      </c>
    </row>
    <row r="1807" spans="1:11" x14ac:dyDescent="0.2">
      <c r="A1807" t="s">
        <v>3896</v>
      </c>
      <c r="B1807" s="59">
        <v>41075.10050925926</v>
      </c>
      <c r="C1807">
        <v>40000</v>
      </c>
      <c r="D1807" t="s">
        <v>786</v>
      </c>
      <c r="E1807">
        <f>tblSalaries[[#This Row],[clean Salary (in local currency)]]*VLOOKUP(tblSalaries[[#This Row],[Currency]],[1]!tblXrate[#Data],2,FALSE)</f>
        <v>40000</v>
      </c>
      <c r="F1807" t="s">
        <v>3897</v>
      </c>
      <c r="G1807" t="s">
        <v>820</v>
      </c>
      <c r="H1807" t="s">
        <v>15</v>
      </c>
      <c r="I1807" t="str">
        <f>VLOOKUP(tblSalaries[[#This Row],[Where do you work]],[1]!tblCountries[[Actual]:[Mapping]],2,FALSE)</f>
        <v>USA</v>
      </c>
      <c r="J1807" t="s">
        <v>789</v>
      </c>
      <c r="K1807">
        <v>1</v>
      </c>
    </row>
    <row r="1808" spans="1:11" x14ac:dyDescent="0.2">
      <c r="A1808" t="s">
        <v>3898</v>
      </c>
      <c r="B1808" s="59">
        <v>41075.10429398148</v>
      </c>
      <c r="C1808">
        <v>85000</v>
      </c>
      <c r="D1808" t="s">
        <v>786</v>
      </c>
      <c r="E1808">
        <f>tblSalaries[[#This Row],[clean Salary (in local currency)]]*VLOOKUP(tblSalaries[[#This Row],[Currency]],[1]!tblXrate[#Data],2,FALSE)</f>
        <v>85000</v>
      </c>
      <c r="F1808" t="s">
        <v>3899</v>
      </c>
      <c r="G1808" t="s">
        <v>813</v>
      </c>
      <c r="H1808" t="s">
        <v>15</v>
      </c>
      <c r="I1808" t="str">
        <f>VLOOKUP(tblSalaries[[#This Row],[Where do you work]],[1]!tblCountries[[Actual]:[Mapping]],2,FALSE)</f>
        <v>USA</v>
      </c>
      <c r="J1808" t="s">
        <v>799</v>
      </c>
      <c r="K1808">
        <v>15</v>
      </c>
    </row>
    <row r="1809" spans="1:11" x14ac:dyDescent="0.2">
      <c r="A1809" t="s">
        <v>3900</v>
      </c>
      <c r="B1809" s="59">
        <v>41075.1250462963</v>
      </c>
      <c r="C1809">
        <v>30000</v>
      </c>
      <c r="D1809" t="s">
        <v>786</v>
      </c>
      <c r="E1809">
        <f>tblSalaries[[#This Row],[clean Salary (in local currency)]]*VLOOKUP(tblSalaries[[#This Row],[Currency]],[1]!tblXrate[#Data],2,FALSE)</f>
        <v>30000</v>
      </c>
      <c r="F1809" t="s">
        <v>3375</v>
      </c>
      <c r="G1809" t="s">
        <v>788</v>
      </c>
      <c r="H1809" t="s">
        <v>54</v>
      </c>
      <c r="I1809" t="str">
        <f>VLOOKUP(tblSalaries[[#This Row],[Where do you work]],[1]!tblCountries[[Actual]:[Mapping]],2,FALSE)</f>
        <v>Brazil</v>
      </c>
      <c r="J1809" t="s">
        <v>799</v>
      </c>
      <c r="K1809">
        <v>1</v>
      </c>
    </row>
    <row r="1810" spans="1:11" x14ac:dyDescent="0.2">
      <c r="A1810" t="s">
        <v>3901</v>
      </c>
      <c r="B1810" s="59">
        <v>41075.160995370374</v>
      </c>
      <c r="C1810">
        <v>33500</v>
      </c>
      <c r="D1810" t="s">
        <v>861</v>
      </c>
      <c r="E1810">
        <f>tblSalaries[[#This Row],[clean Salary (in local currency)]]*VLOOKUP(tblSalaries[[#This Row],[Currency]],[1]!tblXrate[#Data],2,FALSE)</f>
        <v>52801.972114254015</v>
      </c>
      <c r="F1810" t="s">
        <v>3902</v>
      </c>
      <c r="G1810" t="s">
        <v>802</v>
      </c>
      <c r="H1810" t="s">
        <v>863</v>
      </c>
      <c r="I1810" t="str">
        <f>VLOOKUP(tblSalaries[[#This Row],[Where do you work]],[1]!tblCountries[[Actual]:[Mapping]],2,FALSE)</f>
        <v>UK</v>
      </c>
      <c r="J1810" t="s">
        <v>799</v>
      </c>
      <c r="K1810">
        <v>7</v>
      </c>
    </row>
    <row r="1811" spans="1:11" x14ac:dyDescent="0.2">
      <c r="A1811" t="s">
        <v>3903</v>
      </c>
      <c r="B1811" s="59">
        <v>41075.239236111112</v>
      </c>
      <c r="C1811">
        <v>29000</v>
      </c>
      <c r="D1811" t="s">
        <v>786</v>
      </c>
      <c r="E1811">
        <f>tblSalaries[[#This Row],[clean Salary (in local currency)]]*VLOOKUP(tblSalaries[[#This Row],[Currency]],[1]!tblXrate[#Data],2,FALSE)</f>
        <v>29000</v>
      </c>
      <c r="F1811" t="s">
        <v>3904</v>
      </c>
      <c r="G1811" t="s">
        <v>802</v>
      </c>
      <c r="H1811" t="s">
        <v>15</v>
      </c>
      <c r="I1811" t="str">
        <f>VLOOKUP(tblSalaries[[#This Row],[Where do you work]],[1]!tblCountries[[Actual]:[Mapping]],2,FALSE)</f>
        <v>USA</v>
      </c>
      <c r="J1811" t="s">
        <v>794</v>
      </c>
      <c r="K1811">
        <v>1</v>
      </c>
    </row>
    <row r="1812" spans="1:11" x14ac:dyDescent="0.2">
      <c r="A1812" t="s">
        <v>3905</v>
      </c>
      <c r="B1812" s="59">
        <v>41075.375092592592</v>
      </c>
      <c r="C1812">
        <v>48000</v>
      </c>
      <c r="D1812" t="s">
        <v>786</v>
      </c>
      <c r="E1812">
        <f>tblSalaries[[#This Row],[clean Salary (in local currency)]]*VLOOKUP(tblSalaries[[#This Row],[Currency]],[1]!tblXrate[#Data],2,FALSE)</f>
        <v>48000</v>
      </c>
      <c r="F1812" t="s">
        <v>817</v>
      </c>
      <c r="G1812" t="s">
        <v>817</v>
      </c>
      <c r="H1812" t="s">
        <v>15</v>
      </c>
      <c r="I1812" t="str">
        <f>VLOOKUP(tblSalaries[[#This Row],[Where do you work]],[1]!tblCountries[[Actual]:[Mapping]],2,FALSE)</f>
        <v>USA</v>
      </c>
      <c r="J1812" t="s">
        <v>789</v>
      </c>
      <c r="K1812">
        <v>1</v>
      </c>
    </row>
    <row r="1813" spans="1:11" x14ac:dyDescent="0.2">
      <c r="A1813" t="s">
        <v>3906</v>
      </c>
      <c r="B1813" s="59">
        <v>41075.375960648147</v>
      </c>
      <c r="C1813">
        <v>48000</v>
      </c>
      <c r="D1813" t="s">
        <v>786</v>
      </c>
      <c r="E1813">
        <f>tblSalaries[[#This Row],[clean Salary (in local currency)]]*VLOOKUP(tblSalaries[[#This Row],[Currency]],[1]!tblXrate[#Data],2,FALSE)</f>
        <v>48000</v>
      </c>
      <c r="F1813" t="s">
        <v>817</v>
      </c>
      <c r="G1813" t="s">
        <v>817</v>
      </c>
      <c r="H1813" t="s">
        <v>15</v>
      </c>
      <c r="I1813" t="str">
        <f>VLOOKUP(tblSalaries[[#This Row],[Where do you work]],[1]!tblCountries[[Actual]:[Mapping]],2,FALSE)</f>
        <v>USA</v>
      </c>
      <c r="J1813" t="s">
        <v>789</v>
      </c>
      <c r="K1813">
        <v>1</v>
      </c>
    </row>
    <row r="1814" spans="1:11" x14ac:dyDescent="0.2">
      <c r="A1814" t="s">
        <v>3907</v>
      </c>
      <c r="B1814" s="59">
        <v>41075.629988425928</v>
      </c>
      <c r="C1814">
        <v>8400</v>
      </c>
      <c r="D1814" t="s">
        <v>786</v>
      </c>
      <c r="E1814">
        <f>tblSalaries[[#This Row],[clean Salary (in local currency)]]*VLOOKUP(tblSalaries[[#This Row],[Currency]],[1]!tblXrate[#Data],2,FALSE)</f>
        <v>8400</v>
      </c>
      <c r="F1814" t="s">
        <v>788</v>
      </c>
      <c r="G1814" t="s">
        <v>788</v>
      </c>
      <c r="H1814" t="s">
        <v>3908</v>
      </c>
      <c r="I1814" t="str">
        <f>VLOOKUP(tblSalaries[[#This Row],[Where do you work]],[1]!tblCountries[[Actual]:[Mapping]],2,FALSE)</f>
        <v>Baltic</v>
      </c>
      <c r="J1814" t="s">
        <v>794</v>
      </c>
      <c r="K1814">
        <v>0.3</v>
      </c>
    </row>
    <row r="1815" spans="1:11" x14ac:dyDescent="0.2">
      <c r="A1815" t="s">
        <v>3909</v>
      </c>
      <c r="B1815" s="59">
        <v>41075.655347222222</v>
      </c>
      <c r="C1815">
        <v>270000</v>
      </c>
      <c r="D1815" t="s">
        <v>824</v>
      </c>
      <c r="E1815">
        <f>tblSalaries[[#This Row],[clean Salary (in local currency)]]*VLOOKUP(tblSalaries[[#This Row],[Currency]],[1]!tblXrate[#Data],2,FALSE)</f>
        <v>4808.137505609493</v>
      </c>
      <c r="F1815" t="s">
        <v>890</v>
      </c>
      <c r="G1815" t="s">
        <v>807</v>
      </c>
      <c r="H1815" t="s">
        <v>117</v>
      </c>
      <c r="I1815" t="str">
        <f>VLOOKUP(tblSalaries[[#This Row],[Where do you work]],[1]!tblCountries[[Actual]:[Mapping]],2,FALSE)</f>
        <v>India</v>
      </c>
      <c r="J1815" t="s">
        <v>799</v>
      </c>
      <c r="K1815">
        <v>5</v>
      </c>
    </row>
    <row r="1816" spans="1:11" x14ac:dyDescent="0.2">
      <c r="A1816" t="s">
        <v>3910</v>
      </c>
      <c r="B1816" s="59">
        <v>41075.692210648151</v>
      </c>
      <c r="C1816">
        <v>1400000</v>
      </c>
      <c r="D1816" t="s">
        <v>824</v>
      </c>
      <c r="E1816">
        <f>tblSalaries[[#This Row],[clean Salary (in local currency)]]*VLOOKUP(tblSalaries[[#This Row],[Currency]],[1]!tblXrate[#Data],2,FALSE)</f>
        <v>24931.083362419595</v>
      </c>
      <c r="F1816" t="s">
        <v>3911</v>
      </c>
      <c r="G1816" t="s">
        <v>807</v>
      </c>
      <c r="H1816" t="s">
        <v>117</v>
      </c>
      <c r="I1816" t="str">
        <f>VLOOKUP(tblSalaries[[#This Row],[Where do you work]],[1]!tblCountries[[Actual]:[Mapping]],2,FALSE)</f>
        <v>India</v>
      </c>
      <c r="J1816" t="s">
        <v>789</v>
      </c>
      <c r="K1816">
        <v>10</v>
      </c>
    </row>
    <row r="1817" spans="1:11" x14ac:dyDescent="0.2">
      <c r="A1817" t="s">
        <v>3912</v>
      </c>
      <c r="B1817" s="59">
        <v>41075.719664351855</v>
      </c>
      <c r="C1817">
        <v>700000</v>
      </c>
      <c r="D1817" t="s">
        <v>824</v>
      </c>
      <c r="E1817">
        <f>tblSalaries[[#This Row],[clean Salary (in local currency)]]*VLOOKUP(tblSalaries[[#This Row],[Currency]],[1]!tblXrate[#Data],2,FALSE)</f>
        <v>12465.541681209797</v>
      </c>
      <c r="F1817" t="s">
        <v>3913</v>
      </c>
      <c r="G1817" t="s">
        <v>788</v>
      </c>
      <c r="H1817" t="s">
        <v>117</v>
      </c>
      <c r="I1817" t="str">
        <f>VLOOKUP(tblSalaries[[#This Row],[Where do you work]],[1]!tblCountries[[Actual]:[Mapping]],2,FALSE)</f>
        <v>India</v>
      </c>
      <c r="J1817" t="s">
        <v>799</v>
      </c>
      <c r="K1817">
        <v>4</v>
      </c>
    </row>
    <row r="1818" spans="1:11" x14ac:dyDescent="0.2">
      <c r="A1818" t="s">
        <v>3914</v>
      </c>
      <c r="B1818" s="59">
        <v>41075.73300925926</v>
      </c>
      <c r="C1818">
        <v>20000</v>
      </c>
      <c r="D1818" t="s">
        <v>861</v>
      </c>
      <c r="E1818">
        <f>tblSalaries[[#This Row],[clean Salary (in local currency)]]*VLOOKUP(tblSalaries[[#This Row],[Currency]],[1]!tblXrate[#Data],2,FALSE)</f>
        <v>31523.565441345683</v>
      </c>
      <c r="F1818" t="s">
        <v>817</v>
      </c>
      <c r="G1818" t="s">
        <v>817</v>
      </c>
      <c r="H1818" t="s">
        <v>863</v>
      </c>
      <c r="I1818" t="str">
        <f>VLOOKUP(tblSalaries[[#This Row],[Where do you work]],[1]!tblCountries[[Actual]:[Mapping]],2,FALSE)</f>
        <v>UK</v>
      </c>
      <c r="J1818" t="s">
        <v>799</v>
      </c>
      <c r="K1818">
        <v>10</v>
      </c>
    </row>
    <row r="1819" spans="1:11" x14ac:dyDescent="0.2">
      <c r="A1819" t="s">
        <v>3915</v>
      </c>
      <c r="B1819" s="59">
        <v>41075.733449074076</v>
      </c>
      <c r="C1819">
        <v>1000000</v>
      </c>
      <c r="D1819" t="s">
        <v>824</v>
      </c>
      <c r="E1819">
        <f>tblSalaries[[#This Row],[clean Salary (in local currency)]]*VLOOKUP(tblSalaries[[#This Row],[Currency]],[1]!tblXrate[#Data],2,FALSE)</f>
        <v>17807.916687442568</v>
      </c>
      <c r="F1819" t="s">
        <v>3916</v>
      </c>
      <c r="G1819" t="s">
        <v>807</v>
      </c>
      <c r="H1819" t="s">
        <v>117</v>
      </c>
      <c r="I1819" t="str">
        <f>VLOOKUP(tblSalaries[[#This Row],[Where do you work]],[1]!tblCountries[[Actual]:[Mapping]],2,FALSE)</f>
        <v>India</v>
      </c>
      <c r="J1819" t="s">
        <v>794</v>
      </c>
      <c r="K1819">
        <v>10</v>
      </c>
    </row>
    <row r="1820" spans="1:11" x14ac:dyDescent="0.2">
      <c r="A1820" t="s">
        <v>3917</v>
      </c>
      <c r="B1820" s="59">
        <v>41075.759166666663</v>
      </c>
      <c r="C1820">
        <v>112000</v>
      </c>
      <c r="D1820" t="s">
        <v>786</v>
      </c>
      <c r="E1820">
        <f>tblSalaries[[#This Row],[clean Salary (in local currency)]]*VLOOKUP(tblSalaries[[#This Row],[Currency]],[1]!tblXrate[#Data],2,FALSE)</f>
        <v>112000</v>
      </c>
      <c r="F1820" t="s">
        <v>1772</v>
      </c>
      <c r="G1820" t="s">
        <v>807</v>
      </c>
      <c r="H1820" t="s">
        <v>15</v>
      </c>
      <c r="I1820" t="str">
        <f>VLOOKUP(tblSalaries[[#This Row],[Where do you work]],[1]!tblCountries[[Actual]:[Mapping]],2,FALSE)</f>
        <v>USA</v>
      </c>
      <c r="J1820" t="s">
        <v>799</v>
      </c>
      <c r="K1820">
        <v>8</v>
      </c>
    </row>
    <row r="1821" spans="1:11" x14ac:dyDescent="0.2">
      <c r="A1821" t="s">
        <v>3918</v>
      </c>
      <c r="B1821" s="59">
        <v>41075.833634259259</v>
      </c>
      <c r="C1821">
        <v>11000</v>
      </c>
      <c r="D1821" t="s">
        <v>786</v>
      </c>
      <c r="E1821">
        <f>tblSalaries[[#This Row],[clean Salary (in local currency)]]*VLOOKUP(tblSalaries[[#This Row],[Currency]],[1]!tblXrate[#Data],2,FALSE)</f>
        <v>11000</v>
      </c>
      <c r="F1821" t="s">
        <v>3876</v>
      </c>
      <c r="G1821" t="s">
        <v>807</v>
      </c>
      <c r="H1821" t="s">
        <v>117</v>
      </c>
      <c r="I1821" t="str">
        <f>VLOOKUP(tblSalaries[[#This Row],[Where do you work]],[1]!tblCountries[[Actual]:[Mapping]],2,FALSE)</f>
        <v>India</v>
      </c>
      <c r="J1821" t="s">
        <v>794</v>
      </c>
      <c r="K1821">
        <v>8</v>
      </c>
    </row>
    <row r="1822" spans="1:11" x14ac:dyDescent="0.2">
      <c r="A1822" t="s">
        <v>3919</v>
      </c>
      <c r="B1822" s="59">
        <v>41075.868622685186</v>
      </c>
      <c r="C1822">
        <v>90000</v>
      </c>
      <c r="D1822" t="s">
        <v>805</v>
      </c>
      <c r="E1822">
        <f>tblSalaries[[#This Row],[clean Salary (in local currency)]]*VLOOKUP(tblSalaries[[#This Row],[Currency]],[1]!tblXrate[#Data],2,FALSE)</f>
        <v>114335.9495092447</v>
      </c>
      <c r="F1822" t="s">
        <v>792</v>
      </c>
      <c r="G1822" t="s">
        <v>792</v>
      </c>
      <c r="H1822" t="s">
        <v>3920</v>
      </c>
      <c r="I1822" t="str">
        <f>VLOOKUP(tblSalaries[[#This Row],[Where do you work]],[1]!tblCountries[[Actual]:[Mapping]],2,FALSE)</f>
        <v>Europe</v>
      </c>
      <c r="J1822" t="s">
        <v>799</v>
      </c>
      <c r="K1822">
        <v>20</v>
      </c>
    </row>
    <row r="1823" spans="1:11" x14ac:dyDescent="0.2">
      <c r="A1823" t="s">
        <v>3921</v>
      </c>
      <c r="B1823" s="59">
        <v>41075.897407407407</v>
      </c>
      <c r="C1823">
        <v>16110</v>
      </c>
      <c r="D1823" t="s">
        <v>786</v>
      </c>
      <c r="E1823">
        <f>tblSalaries[[#This Row],[clean Salary (in local currency)]]*VLOOKUP(tblSalaries[[#This Row],[Currency]],[1]!tblXrate[#Data],2,FALSE)</f>
        <v>16110</v>
      </c>
      <c r="F1823" t="s">
        <v>3922</v>
      </c>
      <c r="G1823" t="s">
        <v>788</v>
      </c>
      <c r="H1823" t="s">
        <v>3923</v>
      </c>
      <c r="I1823" t="str">
        <f>VLOOKUP(tblSalaries[[#This Row],[Where do you work]],[1]!tblCountries[[Actual]:[Mapping]],2,FALSE)</f>
        <v>Colombia</v>
      </c>
      <c r="J1823" t="s">
        <v>794</v>
      </c>
      <c r="K1823">
        <v>10</v>
      </c>
    </row>
    <row r="1824" spans="1:11" x14ac:dyDescent="0.2">
      <c r="A1824" t="s">
        <v>3924</v>
      </c>
      <c r="B1824" s="59">
        <v>41075.942187499997</v>
      </c>
      <c r="C1824">
        <v>72000</v>
      </c>
      <c r="D1824" t="s">
        <v>786</v>
      </c>
      <c r="E1824">
        <f>tblSalaries[[#This Row],[clean Salary (in local currency)]]*VLOOKUP(tblSalaries[[#This Row],[Currency]],[1]!tblXrate[#Data],2,FALSE)</f>
        <v>72000</v>
      </c>
      <c r="F1824" t="s">
        <v>3925</v>
      </c>
      <c r="G1824" t="s">
        <v>807</v>
      </c>
      <c r="H1824" t="s">
        <v>15</v>
      </c>
      <c r="I1824" t="str">
        <f>VLOOKUP(tblSalaries[[#This Row],[Where do you work]],[1]!tblCountries[[Actual]:[Mapping]],2,FALSE)</f>
        <v>USA</v>
      </c>
      <c r="J1824" t="s">
        <v>789</v>
      </c>
      <c r="K1824">
        <v>10</v>
      </c>
    </row>
    <row r="1825" spans="1:11" x14ac:dyDescent="0.2">
      <c r="A1825" t="s">
        <v>3926</v>
      </c>
      <c r="B1825" s="59">
        <v>41075.972916666666</v>
      </c>
      <c r="C1825">
        <v>60000</v>
      </c>
      <c r="D1825" t="s">
        <v>786</v>
      </c>
      <c r="E1825">
        <f>tblSalaries[[#This Row],[clean Salary (in local currency)]]*VLOOKUP(tblSalaries[[#This Row],[Currency]],[1]!tblXrate[#Data],2,FALSE)</f>
        <v>60000</v>
      </c>
      <c r="F1825" t="s">
        <v>3927</v>
      </c>
      <c r="G1825" t="s">
        <v>788</v>
      </c>
      <c r="H1825" t="s">
        <v>15</v>
      </c>
      <c r="I1825" t="str">
        <f>VLOOKUP(tblSalaries[[#This Row],[Where do you work]],[1]!tblCountries[[Actual]:[Mapping]],2,FALSE)</f>
        <v>USA</v>
      </c>
      <c r="J1825" t="s">
        <v>794</v>
      </c>
      <c r="K1825">
        <v>10</v>
      </c>
    </row>
    <row r="1826" spans="1:11" x14ac:dyDescent="0.2">
      <c r="A1826" t="s">
        <v>3928</v>
      </c>
      <c r="B1826" s="59">
        <v>41075.99318287037</v>
      </c>
      <c r="C1826">
        <v>67000</v>
      </c>
      <c r="D1826" t="s">
        <v>786</v>
      </c>
      <c r="E1826">
        <f>tblSalaries[[#This Row],[clean Salary (in local currency)]]*VLOOKUP(tblSalaries[[#This Row],[Currency]],[1]!tblXrate[#Data],2,FALSE)</f>
        <v>67000</v>
      </c>
      <c r="F1826" t="s">
        <v>3929</v>
      </c>
      <c r="G1826" t="s">
        <v>788</v>
      </c>
      <c r="H1826" t="s">
        <v>15</v>
      </c>
      <c r="I1826" t="str">
        <f>VLOOKUP(tblSalaries[[#This Row],[Where do you work]],[1]!tblCountries[[Actual]:[Mapping]],2,FALSE)</f>
        <v>USA</v>
      </c>
      <c r="J1826" t="s">
        <v>789</v>
      </c>
      <c r="K1826">
        <v>6</v>
      </c>
    </row>
    <row r="1827" spans="1:11" x14ac:dyDescent="0.2">
      <c r="A1827" t="s">
        <v>3930</v>
      </c>
      <c r="B1827" s="59">
        <v>41076.118622685186</v>
      </c>
      <c r="C1827">
        <v>54000</v>
      </c>
      <c r="D1827" t="s">
        <v>786</v>
      </c>
      <c r="E1827">
        <f>tblSalaries[[#This Row],[clean Salary (in local currency)]]*VLOOKUP(tblSalaries[[#This Row],[Currency]],[1]!tblXrate[#Data],2,FALSE)</f>
        <v>54000</v>
      </c>
      <c r="F1827" t="s">
        <v>3931</v>
      </c>
      <c r="G1827" t="s">
        <v>788</v>
      </c>
      <c r="H1827" t="s">
        <v>15</v>
      </c>
      <c r="I1827" t="str">
        <f>VLOOKUP(tblSalaries[[#This Row],[Where do you work]],[1]!tblCountries[[Actual]:[Mapping]],2,FALSE)</f>
        <v>USA</v>
      </c>
      <c r="J1827" t="s">
        <v>789</v>
      </c>
      <c r="K1827">
        <v>18</v>
      </c>
    </row>
    <row r="1828" spans="1:11" x14ac:dyDescent="0.2">
      <c r="A1828" t="s">
        <v>3932</v>
      </c>
      <c r="B1828" s="59">
        <v>41076.224340277775</v>
      </c>
      <c r="C1828">
        <v>38666</v>
      </c>
      <c r="D1828" t="s">
        <v>786</v>
      </c>
      <c r="E1828">
        <f>tblSalaries[[#This Row],[clean Salary (in local currency)]]*VLOOKUP(tblSalaries[[#This Row],[Currency]],[1]!tblXrate[#Data],2,FALSE)</f>
        <v>38666</v>
      </c>
      <c r="F1828" t="s">
        <v>3933</v>
      </c>
      <c r="G1828" t="s">
        <v>820</v>
      </c>
      <c r="H1828" t="s">
        <v>294</v>
      </c>
      <c r="I1828" t="str">
        <f>VLOOKUP(tblSalaries[[#This Row],[Where do you work]],[1]!tblCountries[[Actual]:[Mapping]],2,FALSE)</f>
        <v>South Africa</v>
      </c>
      <c r="J1828" t="s">
        <v>794</v>
      </c>
      <c r="K1828">
        <v>10</v>
      </c>
    </row>
    <row r="1829" spans="1:11" x14ac:dyDescent="0.2">
      <c r="A1829" t="s">
        <v>3934</v>
      </c>
      <c r="B1829" s="59">
        <v>41076.262418981481</v>
      </c>
      <c r="C1829">
        <v>63000</v>
      </c>
      <c r="D1829" t="s">
        <v>786</v>
      </c>
      <c r="E1829">
        <f>tblSalaries[[#This Row],[clean Salary (in local currency)]]*VLOOKUP(tblSalaries[[#This Row],[Currency]],[1]!tblXrate[#Data],2,FALSE)</f>
        <v>63000</v>
      </c>
      <c r="F1829" t="s">
        <v>3935</v>
      </c>
      <c r="G1829" t="s">
        <v>788</v>
      </c>
      <c r="H1829" t="s">
        <v>15</v>
      </c>
      <c r="I1829" t="str">
        <f>VLOOKUP(tblSalaries[[#This Row],[Where do you work]],[1]!tblCountries[[Actual]:[Mapping]],2,FALSE)</f>
        <v>USA</v>
      </c>
      <c r="J1829" t="s">
        <v>789</v>
      </c>
      <c r="K1829">
        <v>6</v>
      </c>
    </row>
    <row r="1830" spans="1:11" x14ac:dyDescent="0.2">
      <c r="A1830" t="s">
        <v>3936</v>
      </c>
      <c r="B1830" s="59">
        <v>41076.340960648151</v>
      </c>
      <c r="C1830">
        <v>63000</v>
      </c>
      <c r="D1830" t="s">
        <v>786</v>
      </c>
      <c r="E1830">
        <f>tblSalaries[[#This Row],[clean Salary (in local currency)]]*VLOOKUP(tblSalaries[[#This Row],[Currency]],[1]!tblXrate[#Data],2,FALSE)</f>
        <v>63000</v>
      </c>
      <c r="F1830" t="s">
        <v>796</v>
      </c>
      <c r="G1830" t="s">
        <v>788</v>
      </c>
      <c r="H1830" t="s">
        <v>15</v>
      </c>
      <c r="I1830" t="str">
        <f>VLOOKUP(tblSalaries[[#This Row],[Where do you work]],[1]!tblCountries[[Actual]:[Mapping]],2,FALSE)</f>
        <v>USA</v>
      </c>
      <c r="J1830" t="s">
        <v>794</v>
      </c>
      <c r="K1830">
        <v>1</v>
      </c>
    </row>
    <row r="1831" spans="1:11" x14ac:dyDescent="0.2">
      <c r="A1831" t="s">
        <v>3937</v>
      </c>
      <c r="B1831" s="59">
        <v>41076.590868055559</v>
      </c>
      <c r="C1831">
        <v>360000</v>
      </c>
      <c r="D1831" t="s">
        <v>824</v>
      </c>
      <c r="E1831">
        <f>tblSalaries[[#This Row],[clean Salary (in local currency)]]*VLOOKUP(tblSalaries[[#This Row],[Currency]],[1]!tblXrate[#Data],2,FALSE)</f>
        <v>6410.8500074793246</v>
      </c>
      <c r="F1831" t="s">
        <v>788</v>
      </c>
      <c r="G1831" t="s">
        <v>788</v>
      </c>
      <c r="H1831" t="s">
        <v>117</v>
      </c>
      <c r="I1831" t="str">
        <f>VLOOKUP(tblSalaries[[#This Row],[Where do you work]],[1]!tblCountries[[Actual]:[Mapping]],2,FALSE)</f>
        <v>India</v>
      </c>
      <c r="J1831" t="s">
        <v>794</v>
      </c>
      <c r="K1831">
        <v>2</v>
      </c>
    </row>
    <row r="1832" spans="1:11" x14ac:dyDescent="0.2">
      <c r="A1832" t="s">
        <v>3938</v>
      </c>
      <c r="B1832" s="59">
        <v>41076.71371527778</v>
      </c>
      <c r="C1832">
        <v>600000</v>
      </c>
      <c r="D1832" t="s">
        <v>824</v>
      </c>
      <c r="E1832">
        <f>tblSalaries[[#This Row],[clean Salary (in local currency)]]*VLOOKUP(tblSalaries[[#This Row],[Currency]],[1]!tblXrate[#Data],2,FALSE)</f>
        <v>10684.750012465542</v>
      </c>
      <c r="F1832" t="s">
        <v>3939</v>
      </c>
      <c r="G1832" t="s">
        <v>807</v>
      </c>
      <c r="H1832" t="s">
        <v>117</v>
      </c>
      <c r="I1832" t="str">
        <f>VLOOKUP(tblSalaries[[#This Row],[Where do you work]],[1]!tblCountries[[Actual]:[Mapping]],2,FALSE)</f>
        <v>India</v>
      </c>
      <c r="J1832" t="s">
        <v>789</v>
      </c>
      <c r="K1832">
        <v>12</v>
      </c>
    </row>
    <row r="1833" spans="1:11" x14ac:dyDescent="0.2">
      <c r="A1833" t="s">
        <v>3940</v>
      </c>
      <c r="B1833" s="59">
        <v>41076.718090277776</v>
      </c>
      <c r="C1833">
        <v>40000</v>
      </c>
      <c r="D1833" t="s">
        <v>786</v>
      </c>
      <c r="E1833">
        <f>tblSalaries[[#This Row],[clean Salary (in local currency)]]*VLOOKUP(tblSalaries[[#This Row],[Currency]],[1]!tblXrate[#Data],2,FALSE)</f>
        <v>40000</v>
      </c>
      <c r="F1833" t="s">
        <v>2360</v>
      </c>
      <c r="G1833" t="s">
        <v>807</v>
      </c>
      <c r="H1833" t="s">
        <v>117</v>
      </c>
      <c r="I1833" t="str">
        <f>VLOOKUP(tblSalaries[[#This Row],[Where do you work]],[1]!tblCountries[[Actual]:[Mapping]],2,FALSE)</f>
        <v>India</v>
      </c>
      <c r="J1833" t="s">
        <v>789</v>
      </c>
      <c r="K1833">
        <v>5</v>
      </c>
    </row>
    <row r="1834" spans="1:11" x14ac:dyDescent="0.2">
      <c r="A1834" t="s">
        <v>3941</v>
      </c>
      <c r="B1834" s="59">
        <v>41076.742673611108</v>
      </c>
      <c r="C1834">
        <v>350000</v>
      </c>
      <c r="D1834" t="s">
        <v>824</v>
      </c>
      <c r="E1834">
        <f>tblSalaries[[#This Row],[clean Salary (in local currency)]]*VLOOKUP(tblSalaries[[#This Row],[Currency]],[1]!tblXrate[#Data],2,FALSE)</f>
        <v>6232.7708406048987</v>
      </c>
      <c r="F1834" t="s">
        <v>788</v>
      </c>
      <c r="G1834" t="s">
        <v>788</v>
      </c>
      <c r="H1834" t="s">
        <v>117</v>
      </c>
      <c r="I1834" t="str">
        <f>VLOOKUP(tblSalaries[[#This Row],[Where do you work]],[1]!tblCountries[[Actual]:[Mapping]],2,FALSE)</f>
        <v>India</v>
      </c>
      <c r="J1834" t="s">
        <v>789</v>
      </c>
      <c r="K1834">
        <v>6</v>
      </c>
    </row>
    <row r="1835" spans="1:11" x14ac:dyDescent="0.2">
      <c r="A1835" t="s">
        <v>3942</v>
      </c>
      <c r="B1835" s="59">
        <v>41076.772210648145</v>
      </c>
      <c r="C1835">
        <v>2342342</v>
      </c>
      <c r="D1835" t="s">
        <v>824</v>
      </c>
      <c r="E1835">
        <f>tblSalaries[[#This Row],[clean Salary (in local currency)]]*VLOOKUP(tblSalaries[[#This Row],[Currency]],[1]!tblXrate[#Data],2,FALSE)</f>
        <v>41712.231189497601</v>
      </c>
      <c r="F1835" t="s">
        <v>3943</v>
      </c>
      <c r="G1835" t="s">
        <v>888</v>
      </c>
      <c r="H1835" t="s">
        <v>117</v>
      </c>
      <c r="I1835" t="str">
        <f>VLOOKUP(tblSalaries[[#This Row],[Where do you work]],[1]!tblCountries[[Actual]:[Mapping]],2,FALSE)</f>
        <v>India</v>
      </c>
      <c r="J1835" t="s">
        <v>799</v>
      </c>
      <c r="K1835">
        <v>12</v>
      </c>
    </row>
    <row r="1836" spans="1:11" x14ac:dyDescent="0.2">
      <c r="A1836" t="s">
        <v>3944</v>
      </c>
      <c r="B1836" s="59">
        <v>41076.773206018515</v>
      </c>
      <c r="C1836">
        <v>700000</v>
      </c>
      <c r="D1836" t="s">
        <v>824</v>
      </c>
      <c r="E1836">
        <f>tblSalaries[[#This Row],[clean Salary (in local currency)]]*VLOOKUP(tblSalaries[[#This Row],[Currency]],[1]!tblXrate[#Data],2,FALSE)</f>
        <v>12465.541681209797</v>
      </c>
      <c r="F1836" t="s">
        <v>3945</v>
      </c>
      <c r="G1836" t="s">
        <v>807</v>
      </c>
      <c r="H1836" t="s">
        <v>117</v>
      </c>
      <c r="I1836" t="str">
        <f>VLOOKUP(tblSalaries[[#This Row],[Where do you work]],[1]!tblCountries[[Actual]:[Mapping]],2,FALSE)</f>
        <v>India</v>
      </c>
      <c r="J1836" t="s">
        <v>799</v>
      </c>
      <c r="K1836">
        <v>9</v>
      </c>
    </row>
    <row r="1837" spans="1:11" x14ac:dyDescent="0.2">
      <c r="A1837" t="s">
        <v>3946</v>
      </c>
      <c r="B1837" s="59">
        <v>41076.933680555558</v>
      </c>
      <c r="C1837">
        <v>20500</v>
      </c>
      <c r="D1837" t="s">
        <v>861</v>
      </c>
      <c r="E1837">
        <f>tblSalaries[[#This Row],[clean Salary (in local currency)]]*VLOOKUP(tblSalaries[[#This Row],[Currency]],[1]!tblXrate[#Data],2,FALSE)</f>
        <v>32311.654577379326</v>
      </c>
      <c r="F1837" t="s">
        <v>1158</v>
      </c>
      <c r="G1837" t="s">
        <v>788</v>
      </c>
      <c r="H1837" t="s">
        <v>863</v>
      </c>
      <c r="I1837" t="str">
        <f>VLOOKUP(tblSalaries[[#This Row],[Where do you work]],[1]!tblCountries[[Actual]:[Mapping]],2,FALSE)</f>
        <v>UK</v>
      </c>
      <c r="J1837" t="s">
        <v>789</v>
      </c>
      <c r="K1837">
        <v>20</v>
      </c>
    </row>
    <row r="1838" spans="1:11" x14ac:dyDescent="0.2">
      <c r="A1838" t="s">
        <v>3947</v>
      </c>
      <c r="B1838" s="59">
        <v>41077.065810185188</v>
      </c>
      <c r="C1838">
        <v>400000</v>
      </c>
      <c r="D1838" t="s">
        <v>824</v>
      </c>
      <c r="E1838">
        <f>tblSalaries[[#This Row],[clean Salary (in local currency)]]*VLOOKUP(tblSalaries[[#This Row],[Currency]],[1]!tblXrate[#Data],2,FALSE)</f>
        <v>7123.1666749770275</v>
      </c>
      <c r="F1838" t="s">
        <v>3948</v>
      </c>
      <c r="G1838" t="s">
        <v>788</v>
      </c>
      <c r="H1838" t="s">
        <v>117</v>
      </c>
      <c r="I1838" t="str">
        <f>VLOOKUP(tblSalaries[[#This Row],[Where do you work]],[1]!tblCountries[[Actual]:[Mapping]],2,FALSE)</f>
        <v>India</v>
      </c>
      <c r="J1838" t="s">
        <v>808</v>
      </c>
      <c r="K1838">
        <v>2</v>
      </c>
    </row>
    <row r="1839" spans="1:11" x14ac:dyDescent="0.2">
      <c r="A1839" t="s">
        <v>3949</v>
      </c>
      <c r="B1839" s="59">
        <v>41077.168055555558</v>
      </c>
      <c r="C1839">
        <v>100000</v>
      </c>
      <c r="D1839" t="s">
        <v>786</v>
      </c>
      <c r="E1839">
        <f>tblSalaries[[#This Row],[clean Salary (in local currency)]]*VLOOKUP(tblSalaries[[#This Row],[Currency]],[1]!tblXrate[#Data],2,FALSE)</f>
        <v>100000</v>
      </c>
      <c r="F1839" t="s">
        <v>3950</v>
      </c>
      <c r="G1839" t="s">
        <v>807</v>
      </c>
      <c r="H1839" t="s">
        <v>1022</v>
      </c>
      <c r="I1839" t="str">
        <f>VLOOKUP(tblSalaries[[#This Row],[Where do you work]],[1]!tblCountries[[Actual]:[Mapping]],2,FALSE)</f>
        <v>UAE</v>
      </c>
      <c r="J1839" t="s">
        <v>794</v>
      </c>
      <c r="K1839">
        <v>15</v>
      </c>
    </row>
    <row r="1840" spans="1:11" x14ac:dyDescent="0.2">
      <c r="A1840" t="s">
        <v>3951</v>
      </c>
      <c r="B1840" s="59">
        <v>41077.485335648147</v>
      </c>
      <c r="C1840">
        <v>75000</v>
      </c>
      <c r="D1840" t="s">
        <v>1831</v>
      </c>
      <c r="E1840">
        <f>tblSalaries[[#This Row],[clean Salary (in local currency)]]*VLOOKUP(tblSalaries[[#This Row],[Currency]],[1]!tblXrate[#Data],2,FALSE)</f>
        <v>59819.107020370408</v>
      </c>
      <c r="F1840" t="s">
        <v>1644</v>
      </c>
      <c r="G1840" t="s">
        <v>817</v>
      </c>
      <c r="H1840" t="s">
        <v>225</v>
      </c>
      <c r="I1840" t="str">
        <f>VLOOKUP(tblSalaries[[#This Row],[Where do you work]],[1]!tblCountries[[Actual]:[Mapping]],2,FALSE)</f>
        <v>New Zealand</v>
      </c>
      <c r="J1840" t="s">
        <v>789</v>
      </c>
      <c r="K1840">
        <v>4</v>
      </c>
    </row>
    <row r="1841" spans="1:11" x14ac:dyDescent="0.2">
      <c r="A1841" t="s">
        <v>3952</v>
      </c>
      <c r="B1841" s="59">
        <v>41077.500659722224</v>
      </c>
      <c r="C1841">
        <v>25000</v>
      </c>
      <c r="D1841" t="s">
        <v>786</v>
      </c>
      <c r="E1841">
        <f>tblSalaries[[#This Row],[clean Salary (in local currency)]]*VLOOKUP(tblSalaries[[#This Row],[Currency]],[1]!tblXrate[#Data],2,FALSE)</f>
        <v>25000</v>
      </c>
      <c r="F1841" t="s">
        <v>984</v>
      </c>
      <c r="G1841" t="s">
        <v>788</v>
      </c>
      <c r="H1841" t="s">
        <v>117</v>
      </c>
      <c r="I1841" t="str">
        <f>VLOOKUP(tblSalaries[[#This Row],[Where do you work]],[1]!tblCountries[[Actual]:[Mapping]],2,FALSE)</f>
        <v>India</v>
      </c>
      <c r="J1841" t="s">
        <v>794</v>
      </c>
      <c r="K1841">
        <v>1.5</v>
      </c>
    </row>
    <row r="1842" spans="1:11" x14ac:dyDescent="0.2">
      <c r="A1842" t="s">
        <v>3953</v>
      </c>
      <c r="B1842" s="59">
        <v>41077.533935185187</v>
      </c>
      <c r="C1842">
        <v>5000</v>
      </c>
      <c r="D1842" t="s">
        <v>786</v>
      </c>
      <c r="E1842">
        <f>tblSalaries[[#This Row],[clean Salary (in local currency)]]*VLOOKUP(tblSalaries[[#This Row],[Currency]],[1]!tblXrate[#Data],2,FALSE)</f>
        <v>5000</v>
      </c>
      <c r="F1842" t="s">
        <v>3688</v>
      </c>
      <c r="G1842" t="s">
        <v>788</v>
      </c>
      <c r="H1842" t="s">
        <v>117</v>
      </c>
      <c r="I1842" t="str">
        <f>VLOOKUP(tblSalaries[[#This Row],[Where do you work]],[1]!tblCountries[[Actual]:[Mapping]],2,FALSE)</f>
        <v>India</v>
      </c>
      <c r="J1842" t="s">
        <v>799</v>
      </c>
      <c r="K1842">
        <v>10</v>
      </c>
    </row>
    <row r="1843" spans="1:11" x14ac:dyDescent="0.2">
      <c r="A1843" t="s">
        <v>3954</v>
      </c>
      <c r="B1843" s="59">
        <v>41077.560162037036</v>
      </c>
      <c r="C1843">
        <v>63000</v>
      </c>
      <c r="D1843" t="s">
        <v>877</v>
      </c>
      <c r="E1843">
        <f>tblSalaries[[#This Row],[clean Salary (in local currency)]]*VLOOKUP(tblSalaries[[#This Row],[Currency]],[1]!tblXrate[#Data],2,FALSE)</f>
        <v>64254.308353366054</v>
      </c>
      <c r="F1843" t="s">
        <v>3955</v>
      </c>
      <c r="G1843" t="s">
        <v>817</v>
      </c>
      <c r="H1843" t="s">
        <v>33</v>
      </c>
      <c r="I1843" t="str">
        <f>VLOOKUP(tblSalaries[[#This Row],[Where do you work]],[1]!tblCountries[[Actual]:[Mapping]],2,FALSE)</f>
        <v>Australia</v>
      </c>
      <c r="J1843" t="s">
        <v>794</v>
      </c>
      <c r="K1843">
        <v>3</v>
      </c>
    </row>
    <row r="1844" spans="1:11" x14ac:dyDescent="0.2">
      <c r="A1844" t="s">
        <v>3956</v>
      </c>
      <c r="B1844" s="59">
        <v>41077.667939814812</v>
      </c>
      <c r="C1844">
        <v>60000</v>
      </c>
      <c r="D1844" t="s">
        <v>805</v>
      </c>
      <c r="E1844">
        <f>tblSalaries[[#This Row],[clean Salary (in local currency)]]*VLOOKUP(tblSalaries[[#This Row],[Currency]],[1]!tblXrate[#Data],2,FALSE)</f>
        <v>76223.966339496474</v>
      </c>
      <c r="F1844" t="s">
        <v>3957</v>
      </c>
      <c r="G1844" t="s">
        <v>807</v>
      </c>
      <c r="H1844" t="s">
        <v>72</v>
      </c>
      <c r="I1844" t="str">
        <f>VLOOKUP(tblSalaries[[#This Row],[Where do you work]],[1]!tblCountries[[Actual]:[Mapping]],2,FALSE)</f>
        <v>Germany</v>
      </c>
      <c r="J1844" t="s">
        <v>789</v>
      </c>
      <c r="K1844">
        <v>6</v>
      </c>
    </row>
    <row r="1845" spans="1:11" x14ac:dyDescent="0.2">
      <c r="A1845" t="s">
        <v>3958</v>
      </c>
      <c r="B1845" s="59">
        <v>41078.237708333334</v>
      </c>
      <c r="C1845">
        <v>600000</v>
      </c>
      <c r="D1845" t="s">
        <v>2884</v>
      </c>
      <c r="E1845">
        <f>tblSalaries[[#This Row],[clean Salary (in local currency)]]*VLOOKUP(tblSalaries[[#This Row],[Currency]],[1]!tblXrate[#Data],2,FALSE)</f>
        <v>102542.54233725216</v>
      </c>
      <c r="F1845" t="s">
        <v>802</v>
      </c>
      <c r="G1845" t="s">
        <v>802</v>
      </c>
      <c r="H1845" t="s">
        <v>3959</v>
      </c>
      <c r="I1845" t="str">
        <f>VLOOKUP(tblSalaries[[#This Row],[Where do you work]],[1]!tblCountries[[Actual]:[Mapping]],2,FALSE)</f>
        <v>Denmark</v>
      </c>
      <c r="J1845" t="s">
        <v>799</v>
      </c>
      <c r="K1845">
        <v>20</v>
      </c>
    </row>
    <row r="1846" spans="1:11" x14ac:dyDescent="0.2">
      <c r="A1846" t="s">
        <v>3960</v>
      </c>
      <c r="B1846" s="59">
        <v>41078.260127314818</v>
      </c>
      <c r="C1846">
        <v>46000</v>
      </c>
      <c r="D1846" t="s">
        <v>786</v>
      </c>
      <c r="E1846">
        <f>tblSalaries[[#This Row],[clean Salary (in local currency)]]*VLOOKUP(tblSalaries[[#This Row],[Currency]],[1]!tblXrate[#Data],2,FALSE)</f>
        <v>46000</v>
      </c>
      <c r="F1846" t="s">
        <v>3961</v>
      </c>
      <c r="G1846" t="s">
        <v>788</v>
      </c>
      <c r="H1846" t="s">
        <v>15</v>
      </c>
      <c r="I1846" t="str">
        <f>VLOOKUP(tblSalaries[[#This Row],[Where do you work]],[1]!tblCountries[[Actual]:[Mapping]],2,FALSE)</f>
        <v>USA</v>
      </c>
      <c r="J1846" t="s">
        <v>794</v>
      </c>
      <c r="K1846">
        <v>1</v>
      </c>
    </row>
    <row r="1847" spans="1:11" x14ac:dyDescent="0.2">
      <c r="A1847" t="s">
        <v>3962</v>
      </c>
      <c r="B1847" s="59">
        <v>41078.346539351849</v>
      </c>
      <c r="C1847">
        <v>5000</v>
      </c>
      <c r="D1847" t="s">
        <v>786</v>
      </c>
      <c r="E1847">
        <f>tblSalaries[[#This Row],[clean Salary (in local currency)]]*VLOOKUP(tblSalaries[[#This Row],[Currency]],[1]!tblXrate[#Data],2,FALSE)</f>
        <v>5000</v>
      </c>
      <c r="F1847" t="s">
        <v>3963</v>
      </c>
      <c r="G1847" t="s">
        <v>788</v>
      </c>
      <c r="H1847" t="s">
        <v>117</v>
      </c>
      <c r="I1847" t="str">
        <f>VLOOKUP(tblSalaries[[#This Row],[Where do you work]],[1]!tblCountries[[Actual]:[Mapping]],2,FALSE)</f>
        <v>India</v>
      </c>
      <c r="J1847" t="s">
        <v>794</v>
      </c>
      <c r="K1847">
        <v>2</v>
      </c>
    </row>
    <row r="1848" spans="1:11" x14ac:dyDescent="0.2">
      <c r="A1848" t="s">
        <v>3964</v>
      </c>
      <c r="B1848" s="59">
        <v>41078.602766203701</v>
      </c>
      <c r="C1848">
        <v>76300</v>
      </c>
      <c r="D1848" t="s">
        <v>877</v>
      </c>
      <c r="E1848">
        <f>tblSalaries[[#This Row],[clean Salary (in local currency)]]*VLOOKUP(tblSalaries[[#This Row],[Currency]],[1]!tblXrate[#Data],2,FALSE)</f>
        <v>77819.106783521114</v>
      </c>
      <c r="F1848" t="s">
        <v>1381</v>
      </c>
      <c r="G1848" t="s">
        <v>788</v>
      </c>
      <c r="H1848" t="s">
        <v>33</v>
      </c>
      <c r="I1848" t="str">
        <f>VLOOKUP(tblSalaries[[#This Row],[Where do you work]],[1]!tblCountries[[Actual]:[Mapping]],2,FALSE)</f>
        <v>Australia</v>
      </c>
      <c r="J1848" t="s">
        <v>794</v>
      </c>
      <c r="K1848">
        <v>3</v>
      </c>
    </row>
    <row r="1849" spans="1:11" x14ac:dyDescent="0.2">
      <c r="A1849" t="s">
        <v>3965</v>
      </c>
      <c r="B1849" s="59">
        <v>41078.744351851848</v>
      </c>
      <c r="C1849">
        <v>350000</v>
      </c>
      <c r="D1849" t="s">
        <v>824</v>
      </c>
      <c r="E1849">
        <f>tblSalaries[[#This Row],[clean Salary (in local currency)]]*VLOOKUP(tblSalaries[[#This Row],[Currency]],[1]!tblXrate[#Data],2,FALSE)</f>
        <v>6232.7708406048987</v>
      </c>
      <c r="F1849" t="s">
        <v>3966</v>
      </c>
      <c r="G1849" t="s">
        <v>807</v>
      </c>
      <c r="H1849" t="s">
        <v>117</v>
      </c>
      <c r="I1849" t="str">
        <f>VLOOKUP(tblSalaries[[#This Row],[Where do you work]],[1]!tblCountries[[Actual]:[Mapping]],2,FALSE)</f>
        <v>India</v>
      </c>
      <c r="J1849" t="s">
        <v>799</v>
      </c>
      <c r="K1849">
        <v>27</v>
      </c>
    </row>
    <row r="1850" spans="1:11" x14ac:dyDescent="0.2">
      <c r="A1850" t="s">
        <v>3967</v>
      </c>
      <c r="B1850" s="59">
        <v>41078.768599537034</v>
      </c>
      <c r="C1850">
        <v>35000</v>
      </c>
      <c r="D1850" t="s">
        <v>861</v>
      </c>
      <c r="E1850">
        <f>tblSalaries[[#This Row],[clean Salary (in local currency)]]*VLOOKUP(tblSalaries[[#This Row],[Currency]],[1]!tblXrate[#Data],2,FALSE)</f>
        <v>55166.239522354947</v>
      </c>
      <c r="F1850" t="s">
        <v>3968</v>
      </c>
      <c r="G1850" t="s">
        <v>788</v>
      </c>
      <c r="H1850" t="s">
        <v>863</v>
      </c>
      <c r="I1850" t="str">
        <f>VLOOKUP(tblSalaries[[#This Row],[Where do you work]],[1]!tblCountries[[Actual]:[Mapping]],2,FALSE)</f>
        <v>UK</v>
      </c>
      <c r="J1850" t="s">
        <v>794</v>
      </c>
      <c r="K1850">
        <v>34</v>
      </c>
    </row>
    <row r="1851" spans="1:11" x14ac:dyDescent="0.2">
      <c r="A1851" t="s">
        <v>3969</v>
      </c>
      <c r="B1851" s="59">
        <v>41079.016250000001</v>
      </c>
      <c r="C1851">
        <v>45000</v>
      </c>
      <c r="D1851" t="s">
        <v>786</v>
      </c>
      <c r="E1851">
        <f>tblSalaries[[#This Row],[clean Salary (in local currency)]]*VLOOKUP(tblSalaries[[#This Row],[Currency]],[1]!tblXrate[#Data],2,FALSE)</f>
        <v>45000</v>
      </c>
      <c r="F1851" t="s">
        <v>885</v>
      </c>
      <c r="G1851" t="s">
        <v>817</v>
      </c>
      <c r="H1851" t="s">
        <v>15</v>
      </c>
      <c r="I1851" t="str">
        <f>VLOOKUP(tblSalaries[[#This Row],[Where do you work]],[1]!tblCountries[[Actual]:[Mapping]],2,FALSE)</f>
        <v>USA</v>
      </c>
      <c r="J1851" t="s">
        <v>799</v>
      </c>
      <c r="K1851">
        <v>5</v>
      </c>
    </row>
    <row r="1852" spans="1:11" x14ac:dyDescent="0.2">
      <c r="A1852" t="s">
        <v>3970</v>
      </c>
      <c r="B1852" s="59">
        <v>41079.076261574075</v>
      </c>
      <c r="C1852">
        <v>60000</v>
      </c>
      <c r="D1852" t="s">
        <v>786</v>
      </c>
      <c r="E1852">
        <f>tblSalaries[[#This Row],[clean Salary (in local currency)]]*VLOOKUP(tblSalaries[[#This Row],[Currency]],[1]!tblXrate[#Data],2,FALSE)</f>
        <v>60000</v>
      </c>
      <c r="F1852" t="s">
        <v>3971</v>
      </c>
      <c r="G1852" t="s">
        <v>807</v>
      </c>
      <c r="H1852" t="s">
        <v>143</v>
      </c>
      <c r="I1852" t="str">
        <f>VLOOKUP(tblSalaries[[#This Row],[Where do you work]],[1]!tblCountries[[Actual]:[Mapping]],2,FALSE)</f>
        <v>Canada</v>
      </c>
      <c r="J1852" t="s">
        <v>799</v>
      </c>
      <c r="K1852">
        <v>10</v>
      </c>
    </row>
    <row r="1853" spans="1:11" x14ac:dyDescent="0.2">
      <c r="A1853" t="s">
        <v>3972</v>
      </c>
      <c r="B1853" s="59">
        <v>41079.142754629633</v>
      </c>
      <c r="C1853">
        <v>43000</v>
      </c>
      <c r="D1853" t="s">
        <v>786</v>
      </c>
      <c r="E1853">
        <f>tblSalaries[[#This Row],[clean Salary (in local currency)]]*VLOOKUP(tblSalaries[[#This Row],[Currency]],[1]!tblXrate[#Data],2,FALSE)</f>
        <v>43000</v>
      </c>
      <c r="F1853" t="s">
        <v>1861</v>
      </c>
      <c r="G1853" t="s">
        <v>788</v>
      </c>
      <c r="H1853" t="s">
        <v>15</v>
      </c>
      <c r="I1853" t="str">
        <f>VLOOKUP(tblSalaries[[#This Row],[Where do you work]],[1]!tblCountries[[Actual]:[Mapping]],2,FALSE)</f>
        <v>USA</v>
      </c>
      <c r="J1853" t="s">
        <v>789</v>
      </c>
      <c r="K1853">
        <v>5</v>
      </c>
    </row>
    <row r="1854" spans="1:11" x14ac:dyDescent="0.2">
      <c r="A1854" t="s">
        <v>3973</v>
      </c>
      <c r="B1854" s="59">
        <v>41079.204930555556</v>
      </c>
      <c r="C1854">
        <v>28000</v>
      </c>
      <c r="D1854" t="s">
        <v>805</v>
      </c>
      <c r="E1854">
        <f>tblSalaries[[#This Row],[clean Salary (in local currency)]]*VLOOKUP(tblSalaries[[#This Row],[Currency]],[1]!tblXrate[#Data],2,FALSE)</f>
        <v>35571.184291765021</v>
      </c>
      <c r="F1854" t="s">
        <v>1366</v>
      </c>
      <c r="G1854" t="s">
        <v>792</v>
      </c>
      <c r="H1854" t="s">
        <v>290</v>
      </c>
      <c r="I1854" t="str">
        <f>VLOOKUP(tblSalaries[[#This Row],[Where do you work]],[1]!tblCountries[[Actual]:[Mapping]],2,FALSE)</f>
        <v>Spain</v>
      </c>
      <c r="J1854" t="s">
        <v>789</v>
      </c>
      <c r="K1854">
        <v>8</v>
      </c>
    </row>
    <row r="1855" spans="1:11" x14ac:dyDescent="0.2">
      <c r="A1855" t="s">
        <v>3974</v>
      </c>
      <c r="B1855" s="59">
        <v>41079.285266203704</v>
      </c>
      <c r="C1855">
        <v>48000</v>
      </c>
      <c r="D1855" t="s">
        <v>786</v>
      </c>
      <c r="E1855">
        <f>tblSalaries[[#This Row],[clean Salary (in local currency)]]*VLOOKUP(tblSalaries[[#This Row],[Currency]],[1]!tblXrate[#Data],2,FALSE)</f>
        <v>48000</v>
      </c>
      <c r="F1855" t="s">
        <v>3975</v>
      </c>
      <c r="G1855" t="s">
        <v>788</v>
      </c>
      <c r="H1855" t="s">
        <v>15</v>
      </c>
      <c r="I1855" t="str">
        <f>VLOOKUP(tblSalaries[[#This Row],[Where do you work]],[1]!tblCountries[[Actual]:[Mapping]],2,FALSE)</f>
        <v>USA</v>
      </c>
      <c r="J1855" t="s">
        <v>789</v>
      </c>
      <c r="K1855">
        <v>12</v>
      </c>
    </row>
    <row r="1856" spans="1:11" x14ac:dyDescent="0.2">
      <c r="A1856" t="s">
        <v>3976</v>
      </c>
      <c r="B1856" s="59">
        <v>41079.332638888889</v>
      </c>
      <c r="C1856">
        <v>120000</v>
      </c>
      <c r="D1856" t="s">
        <v>877</v>
      </c>
      <c r="E1856">
        <f>tblSalaries[[#This Row],[clean Salary (in local currency)]]*VLOOKUP(tblSalaries[[#This Row],[Currency]],[1]!tblXrate[#Data],2,FALSE)</f>
        <v>122389.15876831629</v>
      </c>
      <c r="F1856" t="s">
        <v>807</v>
      </c>
      <c r="G1856" t="s">
        <v>807</v>
      </c>
      <c r="H1856" t="s">
        <v>33</v>
      </c>
      <c r="I1856" t="str">
        <f>VLOOKUP(tblSalaries[[#This Row],[Where do you work]],[1]!tblCountries[[Actual]:[Mapping]],2,FALSE)</f>
        <v>Australia</v>
      </c>
      <c r="J1856" t="s">
        <v>808</v>
      </c>
      <c r="K1856">
        <v>8</v>
      </c>
    </row>
    <row r="1857" spans="1:11" x14ac:dyDescent="0.2">
      <c r="A1857" t="s">
        <v>3977</v>
      </c>
      <c r="B1857" s="59">
        <v>41079.527268518519</v>
      </c>
      <c r="C1857">
        <v>4000</v>
      </c>
      <c r="D1857" t="s">
        <v>786</v>
      </c>
      <c r="E1857">
        <f>tblSalaries[[#This Row],[clean Salary (in local currency)]]*VLOOKUP(tblSalaries[[#This Row],[Currency]],[1]!tblXrate[#Data],2,FALSE)</f>
        <v>4000</v>
      </c>
      <c r="F1857" t="s">
        <v>3978</v>
      </c>
      <c r="G1857" t="s">
        <v>788</v>
      </c>
      <c r="H1857" t="s">
        <v>117</v>
      </c>
      <c r="I1857" t="str">
        <f>VLOOKUP(tblSalaries[[#This Row],[Where do you work]],[1]!tblCountries[[Actual]:[Mapping]],2,FALSE)</f>
        <v>India</v>
      </c>
      <c r="J1857" t="s">
        <v>799</v>
      </c>
      <c r="K1857">
        <v>4</v>
      </c>
    </row>
    <row r="1858" spans="1:11" x14ac:dyDescent="0.2">
      <c r="A1858" t="s">
        <v>3979</v>
      </c>
      <c r="B1858" s="59">
        <v>41079.63585648148</v>
      </c>
      <c r="C1858">
        <v>250000</v>
      </c>
      <c r="D1858" t="s">
        <v>824</v>
      </c>
      <c r="E1858">
        <f>tblSalaries[[#This Row],[clean Salary (in local currency)]]*VLOOKUP(tblSalaries[[#This Row],[Currency]],[1]!tblXrate[#Data],2,FALSE)</f>
        <v>4451.9791718606421</v>
      </c>
      <c r="F1858" t="s">
        <v>1986</v>
      </c>
      <c r="G1858" t="s">
        <v>836</v>
      </c>
      <c r="H1858" t="s">
        <v>117</v>
      </c>
      <c r="I1858" t="str">
        <f>VLOOKUP(tblSalaries[[#This Row],[Where do you work]],[1]!tblCountries[[Actual]:[Mapping]],2,FALSE)</f>
        <v>India</v>
      </c>
      <c r="J1858" t="s">
        <v>789</v>
      </c>
      <c r="K1858">
        <v>3</v>
      </c>
    </row>
    <row r="1859" spans="1:11" x14ac:dyDescent="0.2">
      <c r="A1859" t="s">
        <v>3980</v>
      </c>
      <c r="B1859" s="59">
        <v>41079.709467592591</v>
      </c>
      <c r="C1859">
        <v>52224</v>
      </c>
      <c r="D1859" t="s">
        <v>3981</v>
      </c>
      <c r="E1859">
        <f>tblSalaries[[#This Row],[clean Salary (in local currency)]]*VLOOKUP(tblSalaries[[#This Row],[Currency]],[1]!tblXrate[#Data],2,FALSE)</f>
        <v>2953.8461538461538</v>
      </c>
      <c r="F1859" t="s">
        <v>3982</v>
      </c>
      <c r="G1859" t="s">
        <v>836</v>
      </c>
      <c r="H1859" t="s">
        <v>31</v>
      </c>
      <c r="I1859" t="str">
        <f>VLOOKUP(tblSalaries[[#This Row],[Where do you work]],[1]!tblCountries[[Actual]:[Mapping]],2,FALSE)</f>
        <v>Ethiopia</v>
      </c>
      <c r="J1859" t="s">
        <v>789</v>
      </c>
      <c r="K1859">
        <v>3</v>
      </c>
    </row>
    <row r="1860" spans="1:11" x14ac:dyDescent="0.2">
      <c r="A1860" t="s">
        <v>3983</v>
      </c>
      <c r="B1860" s="59">
        <v>41079.762291666666</v>
      </c>
      <c r="C1860">
        <v>25000</v>
      </c>
      <c r="D1860" t="s">
        <v>861</v>
      </c>
      <c r="E1860">
        <f>tblSalaries[[#This Row],[clean Salary (in local currency)]]*VLOOKUP(tblSalaries[[#This Row],[Currency]],[1]!tblXrate[#Data],2,FALSE)</f>
        <v>39404.456801682099</v>
      </c>
      <c r="F1860" t="s">
        <v>984</v>
      </c>
      <c r="G1860" t="s">
        <v>788</v>
      </c>
      <c r="H1860" t="s">
        <v>863</v>
      </c>
      <c r="I1860" t="str">
        <f>VLOOKUP(tblSalaries[[#This Row],[Where do you work]],[1]!tblCountries[[Actual]:[Mapping]],2,FALSE)</f>
        <v>UK</v>
      </c>
      <c r="J1860" t="s">
        <v>789</v>
      </c>
      <c r="K1860">
        <v>3</v>
      </c>
    </row>
    <row r="1861" spans="1:11" x14ac:dyDescent="0.2">
      <c r="A1861" t="s">
        <v>3984</v>
      </c>
      <c r="B1861" s="59">
        <v>41079.814872685187</v>
      </c>
      <c r="C1861">
        <v>74000</v>
      </c>
      <c r="D1861" t="s">
        <v>877</v>
      </c>
      <c r="E1861">
        <f>tblSalaries[[#This Row],[clean Salary (in local currency)]]*VLOOKUP(tblSalaries[[#This Row],[Currency]],[1]!tblXrate[#Data],2,FALSE)</f>
        <v>75473.31457379504</v>
      </c>
      <c r="F1861" t="s">
        <v>2709</v>
      </c>
      <c r="G1861" t="s">
        <v>788</v>
      </c>
      <c r="H1861" t="s">
        <v>33</v>
      </c>
      <c r="I1861" t="str">
        <f>VLOOKUP(tblSalaries[[#This Row],[Where do you work]],[1]!tblCountries[[Actual]:[Mapping]],2,FALSE)</f>
        <v>Australia</v>
      </c>
      <c r="J1861" t="s">
        <v>789</v>
      </c>
      <c r="K1861">
        <v>8</v>
      </c>
    </row>
    <row r="1862" spans="1:11" x14ac:dyDescent="0.2">
      <c r="A1862" t="s">
        <v>3985</v>
      </c>
      <c r="B1862" s="59">
        <v>41079.84479166667</v>
      </c>
      <c r="C1862">
        <v>750000</v>
      </c>
      <c r="D1862" t="s">
        <v>824</v>
      </c>
      <c r="E1862">
        <f>tblSalaries[[#This Row],[clean Salary (in local currency)]]*VLOOKUP(tblSalaries[[#This Row],[Currency]],[1]!tblXrate[#Data],2,FALSE)</f>
        <v>13355.937515581925</v>
      </c>
      <c r="F1862" t="s">
        <v>788</v>
      </c>
      <c r="G1862" t="s">
        <v>788</v>
      </c>
      <c r="H1862" t="s">
        <v>117</v>
      </c>
      <c r="I1862" t="str">
        <f>VLOOKUP(tblSalaries[[#This Row],[Where do you work]],[1]!tblCountries[[Actual]:[Mapping]],2,FALSE)</f>
        <v>India</v>
      </c>
      <c r="J1862" t="s">
        <v>789</v>
      </c>
      <c r="K1862">
        <v>5</v>
      </c>
    </row>
    <row r="1863" spans="1:11" x14ac:dyDescent="0.2">
      <c r="A1863" t="s">
        <v>3986</v>
      </c>
      <c r="B1863" s="59">
        <v>41079.858043981483</v>
      </c>
      <c r="C1863">
        <v>25000</v>
      </c>
      <c r="D1863" t="s">
        <v>786</v>
      </c>
      <c r="E1863">
        <f>tblSalaries[[#This Row],[clean Salary (in local currency)]]*VLOOKUP(tblSalaries[[#This Row],[Currency]],[1]!tblXrate[#Data],2,FALSE)</f>
        <v>25000</v>
      </c>
      <c r="F1863" t="s">
        <v>890</v>
      </c>
      <c r="G1863" t="s">
        <v>807</v>
      </c>
      <c r="H1863" t="s">
        <v>117</v>
      </c>
      <c r="I1863" t="str">
        <f>VLOOKUP(tblSalaries[[#This Row],[Where do you work]],[1]!tblCountries[[Actual]:[Mapping]],2,FALSE)</f>
        <v>India</v>
      </c>
      <c r="J1863" t="s">
        <v>789</v>
      </c>
      <c r="K1863">
        <v>10</v>
      </c>
    </row>
    <row r="1864" spans="1:11" x14ac:dyDescent="0.2">
      <c r="A1864" t="s">
        <v>3987</v>
      </c>
      <c r="B1864" s="59">
        <v>41079.875937500001</v>
      </c>
      <c r="C1864">
        <v>420000</v>
      </c>
      <c r="D1864" t="s">
        <v>824</v>
      </c>
      <c r="E1864">
        <f>tblSalaries[[#This Row],[clean Salary (in local currency)]]*VLOOKUP(tblSalaries[[#This Row],[Currency]],[1]!tblXrate[#Data],2,FALSE)</f>
        <v>7479.3250087258784</v>
      </c>
      <c r="F1864" t="s">
        <v>788</v>
      </c>
      <c r="G1864" t="s">
        <v>788</v>
      </c>
      <c r="H1864" t="s">
        <v>117</v>
      </c>
      <c r="I1864" t="str">
        <f>VLOOKUP(tblSalaries[[#This Row],[Where do you work]],[1]!tblCountries[[Actual]:[Mapping]],2,FALSE)</f>
        <v>India</v>
      </c>
      <c r="J1864" t="s">
        <v>789</v>
      </c>
      <c r="K1864">
        <v>2</v>
      </c>
    </row>
    <row r="1865" spans="1:11" x14ac:dyDescent="0.2">
      <c r="A1865" t="s">
        <v>3988</v>
      </c>
      <c r="B1865" s="59">
        <v>41079.879351851851</v>
      </c>
      <c r="C1865">
        <v>62000</v>
      </c>
      <c r="D1865" t="s">
        <v>786</v>
      </c>
      <c r="E1865">
        <f>tblSalaries[[#This Row],[clean Salary (in local currency)]]*VLOOKUP(tblSalaries[[#This Row],[Currency]],[1]!tblXrate[#Data],2,FALSE)</f>
        <v>62000</v>
      </c>
      <c r="F1865" t="s">
        <v>788</v>
      </c>
      <c r="G1865" t="s">
        <v>788</v>
      </c>
      <c r="H1865" t="s">
        <v>15</v>
      </c>
      <c r="I1865" t="str">
        <f>VLOOKUP(tblSalaries[[#This Row],[Where do you work]],[1]!tblCountries[[Actual]:[Mapping]],2,FALSE)</f>
        <v>USA</v>
      </c>
      <c r="J1865" t="s">
        <v>789</v>
      </c>
      <c r="K1865">
        <v>4</v>
      </c>
    </row>
    <row r="1866" spans="1:11" x14ac:dyDescent="0.2">
      <c r="A1866" t="s">
        <v>3989</v>
      </c>
      <c r="B1866" s="59">
        <v>41079.897638888891</v>
      </c>
      <c r="C1866">
        <v>48000</v>
      </c>
      <c r="D1866" t="s">
        <v>786</v>
      </c>
      <c r="E1866">
        <f>tblSalaries[[#This Row],[clean Salary (in local currency)]]*VLOOKUP(tblSalaries[[#This Row],[Currency]],[1]!tblXrate[#Data],2,FALSE)</f>
        <v>48000</v>
      </c>
      <c r="F1866" t="s">
        <v>3990</v>
      </c>
      <c r="G1866" t="s">
        <v>788</v>
      </c>
      <c r="H1866" t="s">
        <v>15</v>
      </c>
      <c r="I1866" t="str">
        <f>VLOOKUP(tblSalaries[[#This Row],[Where do you work]],[1]!tblCountries[[Actual]:[Mapping]],2,FALSE)</f>
        <v>USA</v>
      </c>
      <c r="J1866" t="s">
        <v>789</v>
      </c>
      <c r="K1866">
        <v>1</v>
      </c>
    </row>
    <row r="1867" spans="1:11" x14ac:dyDescent="0.2">
      <c r="A1867" t="s">
        <v>3991</v>
      </c>
      <c r="B1867" s="59">
        <v>41079.946469907409</v>
      </c>
      <c r="C1867">
        <v>5000</v>
      </c>
      <c r="D1867" t="s">
        <v>786</v>
      </c>
      <c r="E1867">
        <f>tblSalaries[[#This Row],[clean Salary (in local currency)]]*VLOOKUP(tblSalaries[[#This Row],[Currency]],[1]!tblXrate[#Data],2,FALSE)</f>
        <v>5000</v>
      </c>
      <c r="F1867" t="s">
        <v>3992</v>
      </c>
      <c r="G1867" t="s">
        <v>888</v>
      </c>
      <c r="H1867" t="s">
        <v>117</v>
      </c>
      <c r="I1867" t="str">
        <f>VLOOKUP(tblSalaries[[#This Row],[Where do you work]],[1]!tblCountries[[Actual]:[Mapping]],2,FALSE)</f>
        <v>India</v>
      </c>
      <c r="J1867" t="s">
        <v>789</v>
      </c>
      <c r="K1867">
        <v>3</v>
      </c>
    </row>
    <row r="1868" spans="1:11" x14ac:dyDescent="0.2">
      <c r="A1868" t="s">
        <v>3993</v>
      </c>
      <c r="B1868" s="59">
        <v>41080.019375000003</v>
      </c>
      <c r="C1868">
        <v>276000</v>
      </c>
      <c r="D1868" t="s">
        <v>824</v>
      </c>
      <c r="E1868">
        <f>tblSalaries[[#This Row],[clean Salary (in local currency)]]*VLOOKUP(tblSalaries[[#This Row],[Currency]],[1]!tblXrate[#Data],2,FALSE)</f>
        <v>4914.9850057341491</v>
      </c>
      <c r="F1868" t="s">
        <v>3994</v>
      </c>
      <c r="G1868" t="s">
        <v>836</v>
      </c>
      <c r="H1868" t="s">
        <v>117</v>
      </c>
      <c r="I1868" t="str">
        <f>VLOOKUP(tblSalaries[[#This Row],[Where do you work]],[1]!tblCountries[[Actual]:[Mapping]],2,FALSE)</f>
        <v>India</v>
      </c>
      <c r="J1868" t="s">
        <v>794</v>
      </c>
      <c r="K1868">
        <v>6</v>
      </c>
    </row>
    <row r="1869" spans="1:11" x14ac:dyDescent="0.2">
      <c r="A1869" t="s">
        <v>3995</v>
      </c>
      <c r="B1869" s="59">
        <v>41080.038518518515</v>
      </c>
      <c r="C1869">
        <v>75000</v>
      </c>
      <c r="D1869" t="s">
        <v>786</v>
      </c>
      <c r="E1869">
        <f>tblSalaries[[#This Row],[clean Salary (in local currency)]]*VLOOKUP(tblSalaries[[#This Row],[Currency]],[1]!tblXrate[#Data],2,FALSE)</f>
        <v>75000</v>
      </c>
      <c r="F1869" t="s">
        <v>984</v>
      </c>
      <c r="G1869" t="s">
        <v>788</v>
      </c>
      <c r="H1869" t="s">
        <v>15</v>
      </c>
      <c r="I1869" t="str">
        <f>VLOOKUP(tblSalaries[[#This Row],[Where do you work]],[1]!tblCountries[[Actual]:[Mapping]],2,FALSE)</f>
        <v>USA</v>
      </c>
      <c r="J1869" t="s">
        <v>808</v>
      </c>
      <c r="K1869">
        <v>3</v>
      </c>
    </row>
    <row r="1870" spans="1:11" x14ac:dyDescent="0.2">
      <c r="A1870" t="s">
        <v>3996</v>
      </c>
      <c r="B1870" s="59">
        <v>41080.056122685186</v>
      </c>
      <c r="C1870">
        <v>250000</v>
      </c>
      <c r="D1870" t="s">
        <v>824</v>
      </c>
      <c r="E1870">
        <f>tblSalaries[[#This Row],[clean Salary (in local currency)]]*VLOOKUP(tblSalaries[[#This Row],[Currency]],[1]!tblXrate[#Data],2,FALSE)</f>
        <v>4451.9791718606421</v>
      </c>
      <c r="F1870" t="s">
        <v>3997</v>
      </c>
      <c r="G1870" t="s">
        <v>788</v>
      </c>
      <c r="H1870" t="s">
        <v>117</v>
      </c>
      <c r="I1870" t="str">
        <f>VLOOKUP(tblSalaries[[#This Row],[Where do you work]],[1]!tblCountries[[Actual]:[Mapping]],2,FALSE)</f>
        <v>India</v>
      </c>
      <c r="J1870" t="s">
        <v>1033</v>
      </c>
      <c r="K1870">
        <v>1.6</v>
      </c>
    </row>
    <row r="1871" spans="1:11" x14ac:dyDescent="0.2">
      <c r="A1871" t="s">
        <v>3998</v>
      </c>
      <c r="B1871" s="59">
        <v>41080.071666666663</v>
      </c>
      <c r="C1871">
        <v>8400</v>
      </c>
      <c r="D1871" t="s">
        <v>786</v>
      </c>
      <c r="E1871">
        <f>tblSalaries[[#This Row],[clean Salary (in local currency)]]*VLOOKUP(tblSalaries[[#This Row],[Currency]],[1]!tblXrate[#Data],2,FALSE)</f>
        <v>8400</v>
      </c>
      <c r="F1871" t="s">
        <v>2228</v>
      </c>
      <c r="G1871" t="s">
        <v>836</v>
      </c>
      <c r="H1871" t="s">
        <v>117</v>
      </c>
      <c r="I1871" t="str">
        <f>VLOOKUP(tblSalaries[[#This Row],[Where do you work]],[1]!tblCountries[[Actual]:[Mapping]],2,FALSE)</f>
        <v>India</v>
      </c>
      <c r="J1871" t="s">
        <v>794</v>
      </c>
      <c r="K1871">
        <v>6</v>
      </c>
    </row>
    <row r="1872" spans="1:11" x14ac:dyDescent="0.2">
      <c r="A1872" t="s">
        <v>3999</v>
      </c>
      <c r="B1872" s="59">
        <v>41080.079282407409</v>
      </c>
      <c r="C1872">
        <v>20000</v>
      </c>
      <c r="D1872" t="s">
        <v>786</v>
      </c>
      <c r="E1872">
        <f>tblSalaries[[#This Row],[clean Salary (in local currency)]]*VLOOKUP(tblSalaries[[#This Row],[Currency]],[1]!tblXrate[#Data],2,FALSE)</f>
        <v>20000</v>
      </c>
      <c r="F1872" t="s">
        <v>4000</v>
      </c>
      <c r="G1872" t="s">
        <v>807</v>
      </c>
      <c r="H1872" t="s">
        <v>117</v>
      </c>
      <c r="I1872" t="str">
        <f>VLOOKUP(tblSalaries[[#This Row],[Where do you work]],[1]!tblCountries[[Actual]:[Mapping]],2,FALSE)</f>
        <v>India</v>
      </c>
      <c r="J1872" t="s">
        <v>799</v>
      </c>
      <c r="K1872">
        <v>5</v>
      </c>
    </row>
    <row r="1873" spans="1:11" x14ac:dyDescent="0.2">
      <c r="A1873" t="s">
        <v>4001</v>
      </c>
      <c r="B1873" s="59">
        <v>41080.105462962965</v>
      </c>
      <c r="C1873">
        <v>110000</v>
      </c>
      <c r="D1873" t="s">
        <v>786</v>
      </c>
      <c r="E1873">
        <f>tblSalaries[[#This Row],[clean Salary (in local currency)]]*VLOOKUP(tblSalaries[[#This Row],[Currency]],[1]!tblXrate[#Data],2,FALSE)</f>
        <v>110000</v>
      </c>
      <c r="F1873" t="s">
        <v>4002</v>
      </c>
      <c r="G1873" t="s">
        <v>813</v>
      </c>
      <c r="H1873" t="s">
        <v>15</v>
      </c>
      <c r="I1873" t="str">
        <f>VLOOKUP(tblSalaries[[#This Row],[Where do you work]],[1]!tblCountries[[Actual]:[Mapping]],2,FALSE)</f>
        <v>USA</v>
      </c>
      <c r="J1873" t="s">
        <v>789</v>
      </c>
      <c r="K1873">
        <v>10</v>
      </c>
    </row>
    <row r="1874" spans="1:11" x14ac:dyDescent="0.2">
      <c r="A1874" t="s">
        <v>4003</v>
      </c>
      <c r="B1874" s="59">
        <v>41080.161574074074</v>
      </c>
      <c r="C1874">
        <v>50000</v>
      </c>
      <c r="D1874" t="s">
        <v>786</v>
      </c>
      <c r="E1874">
        <f>tblSalaries[[#This Row],[clean Salary (in local currency)]]*VLOOKUP(tblSalaries[[#This Row],[Currency]],[1]!tblXrate[#Data],2,FALSE)</f>
        <v>50000</v>
      </c>
      <c r="F1874" t="s">
        <v>4004</v>
      </c>
      <c r="G1874" t="s">
        <v>788</v>
      </c>
      <c r="H1874" t="s">
        <v>15</v>
      </c>
      <c r="I1874" t="str">
        <f>VLOOKUP(tblSalaries[[#This Row],[Where do you work]],[1]!tblCountries[[Actual]:[Mapping]],2,FALSE)</f>
        <v>USA</v>
      </c>
      <c r="J1874" t="s">
        <v>794</v>
      </c>
      <c r="K1874">
        <v>3.5</v>
      </c>
    </row>
    <row r="1875" spans="1:11" x14ac:dyDescent="0.2">
      <c r="A1875" t="s">
        <v>4005</v>
      </c>
      <c r="B1875" s="59">
        <v>41080.163831018515</v>
      </c>
      <c r="C1875">
        <v>46000</v>
      </c>
      <c r="D1875" t="s">
        <v>786</v>
      </c>
      <c r="E1875">
        <f>tblSalaries[[#This Row],[clean Salary (in local currency)]]*VLOOKUP(tblSalaries[[#This Row],[Currency]],[1]!tblXrate[#Data],2,FALSE)</f>
        <v>46000</v>
      </c>
      <c r="F1875" t="s">
        <v>4006</v>
      </c>
      <c r="G1875" t="s">
        <v>788</v>
      </c>
      <c r="H1875" t="s">
        <v>15</v>
      </c>
      <c r="I1875" t="str">
        <f>VLOOKUP(tblSalaries[[#This Row],[Where do you work]],[1]!tblCountries[[Actual]:[Mapping]],2,FALSE)</f>
        <v>USA</v>
      </c>
      <c r="J1875" t="s">
        <v>789</v>
      </c>
      <c r="K1875">
        <v>8</v>
      </c>
    </row>
    <row r="1876" spans="1:11" x14ac:dyDescent="0.2">
      <c r="A1876" t="s">
        <v>4007</v>
      </c>
      <c r="B1876" s="59">
        <v>41080.210925925923</v>
      </c>
      <c r="C1876">
        <v>115000</v>
      </c>
      <c r="D1876" t="s">
        <v>786</v>
      </c>
      <c r="E1876">
        <f>tblSalaries[[#This Row],[clean Salary (in local currency)]]*VLOOKUP(tblSalaries[[#This Row],[Currency]],[1]!tblXrate[#Data],2,FALSE)</f>
        <v>115000</v>
      </c>
      <c r="F1876" t="s">
        <v>1070</v>
      </c>
      <c r="G1876" t="s">
        <v>788</v>
      </c>
      <c r="H1876" t="s">
        <v>15</v>
      </c>
      <c r="I1876" t="str">
        <f>VLOOKUP(tblSalaries[[#This Row],[Where do you work]],[1]!tblCountries[[Actual]:[Mapping]],2,FALSE)</f>
        <v>USA</v>
      </c>
      <c r="J1876" t="s">
        <v>794</v>
      </c>
      <c r="K1876">
        <v>15</v>
      </c>
    </row>
    <row r="1877" spans="1:11" x14ac:dyDescent="0.2">
      <c r="A1877" t="s">
        <v>4008</v>
      </c>
      <c r="B1877" s="59">
        <v>41080.537453703706</v>
      </c>
      <c r="C1877">
        <v>180000</v>
      </c>
      <c r="D1877" t="s">
        <v>824</v>
      </c>
      <c r="E1877">
        <f>tblSalaries[[#This Row],[clean Salary (in local currency)]]*VLOOKUP(tblSalaries[[#This Row],[Currency]],[1]!tblXrate[#Data],2,FALSE)</f>
        <v>3205.4250037396623</v>
      </c>
      <c r="F1877" t="s">
        <v>4009</v>
      </c>
      <c r="G1877" t="s">
        <v>788</v>
      </c>
      <c r="H1877" t="s">
        <v>117</v>
      </c>
      <c r="I1877" t="str">
        <f>VLOOKUP(tblSalaries[[#This Row],[Where do you work]],[1]!tblCountries[[Actual]:[Mapping]],2,FALSE)</f>
        <v>India</v>
      </c>
      <c r="J1877" t="s">
        <v>789</v>
      </c>
      <c r="K1877">
        <v>3</v>
      </c>
    </row>
    <row r="1878" spans="1:11" x14ac:dyDescent="0.2">
      <c r="A1878" t="s">
        <v>4010</v>
      </c>
      <c r="B1878" s="59">
        <v>41080.545335648145</v>
      </c>
      <c r="C1878">
        <v>60000</v>
      </c>
      <c r="D1878" t="s">
        <v>805</v>
      </c>
      <c r="E1878">
        <f>tblSalaries[[#This Row],[clean Salary (in local currency)]]*VLOOKUP(tblSalaries[[#This Row],[Currency]],[1]!tblXrate[#Data],2,FALSE)</f>
        <v>76223.966339496474</v>
      </c>
      <c r="F1878" t="s">
        <v>1059</v>
      </c>
      <c r="G1878" t="s">
        <v>807</v>
      </c>
      <c r="H1878" t="s">
        <v>3182</v>
      </c>
      <c r="I1878" t="str">
        <f>VLOOKUP(tblSalaries[[#This Row],[Where do you work]],[1]!tblCountries[[Actual]:[Mapping]],2,FALSE)</f>
        <v>Europe</v>
      </c>
      <c r="J1878" t="s">
        <v>799</v>
      </c>
      <c r="K1878">
        <v>20</v>
      </c>
    </row>
    <row r="1879" spans="1:11" x14ac:dyDescent="0.2">
      <c r="A1879" t="s">
        <v>4011</v>
      </c>
      <c r="B1879" s="59">
        <v>41080.589479166665</v>
      </c>
      <c r="C1879">
        <v>52500</v>
      </c>
      <c r="D1879" t="s">
        <v>786</v>
      </c>
      <c r="E1879">
        <f>tblSalaries[[#This Row],[clean Salary (in local currency)]]*VLOOKUP(tblSalaries[[#This Row],[Currency]],[1]!tblXrate[#Data],2,FALSE)</f>
        <v>52500</v>
      </c>
      <c r="F1879" t="s">
        <v>4012</v>
      </c>
      <c r="G1879" t="s">
        <v>788</v>
      </c>
      <c r="H1879" t="s">
        <v>4013</v>
      </c>
      <c r="I1879" t="str">
        <f>VLOOKUP(tblSalaries[[#This Row],[Where do you work]],[1]!tblCountries[[Actual]:[Mapping]],2,FALSE)</f>
        <v>South Africa</v>
      </c>
      <c r="J1879" t="s">
        <v>789</v>
      </c>
      <c r="K1879">
        <v>21</v>
      </c>
    </row>
    <row r="1880" spans="1:11" x14ac:dyDescent="0.2">
      <c r="A1880" t="s">
        <v>4014</v>
      </c>
      <c r="B1880" s="59">
        <v>41080.873877314814</v>
      </c>
      <c r="C1880">
        <v>100800</v>
      </c>
      <c r="D1880" t="s">
        <v>786</v>
      </c>
      <c r="E1880">
        <f>tblSalaries[[#This Row],[clean Salary (in local currency)]]*VLOOKUP(tblSalaries[[#This Row],[Currency]],[1]!tblXrate[#Data],2,FALSE)</f>
        <v>100800</v>
      </c>
      <c r="F1880" t="s">
        <v>3503</v>
      </c>
      <c r="G1880" t="s">
        <v>813</v>
      </c>
      <c r="H1880" t="s">
        <v>235</v>
      </c>
      <c r="I1880" t="str">
        <f>VLOOKUP(tblSalaries[[#This Row],[Where do you work]],[1]!tblCountries[[Actual]:[Mapping]],2,FALSE)</f>
        <v>Oman</v>
      </c>
      <c r="J1880" t="s">
        <v>789</v>
      </c>
      <c r="K1880">
        <v>4</v>
      </c>
    </row>
    <row r="1881" spans="1:11" x14ac:dyDescent="0.2">
      <c r="A1881" t="s">
        <v>4015</v>
      </c>
      <c r="B1881" s="59">
        <v>41081.157210648147</v>
      </c>
      <c r="C1881">
        <v>21000</v>
      </c>
      <c r="D1881" t="s">
        <v>786</v>
      </c>
      <c r="E1881">
        <f>tblSalaries[[#This Row],[clean Salary (in local currency)]]*VLOOKUP(tblSalaries[[#This Row],[Currency]],[1]!tblXrate[#Data],2,FALSE)</f>
        <v>21000</v>
      </c>
      <c r="F1881" t="s">
        <v>4016</v>
      </c>
      <c r="G1881" t="s">
        <v>888</v>
      </c>
      <c r="H1881" t="s">
        <v>117</v>
      </c>
      <c r="I1881" t="str">
        <f>VLOOKUP(tblSalaries[[#This Row],[Where do you work]],[1]!tblCountries[[Actual]:[Mapping]],2,FALSE)</f>
        <v>India</v>
      </c>
      <c r="J1881" t="s">
        <v>794</v>
      </c>
      <c r="K1881">
        <v>5</v>
      </c>
    </row>
    <row r="1882" spans="1:11" x14ac:dyDescent="0.2">
      <c r="A1882" t="s">
        <v>4017</v>
      </c>
      <c r="B1882" s="59">
        <v>41081.171006944445</v>
      </c>
      <c r="C1882">
        <v>40000</v>
      </c>
      <c r="D1882" t="s">
        <v>786</v>
      </c>
      <c r="E1882">
        <f>tblSalaries[[#This Row],[clean Salary (in local currency)]]*VLOOKUP(tblSalaries[[#This Row],[Currency]],[1]!tblXrate[#Data],2,FALSE)</f>
        <v>40000</v>
      </c>
      <c r="F1882" t="s">
        <v>4018</v>
      </c>
      <c r="G1882" t="s">
        <v>788</v>
      </c>
      <c r="H1882" t="s">
        <v>15</v>
      </c>
      <c r="I1882" t="str">
        <f>VLOOKUP(tblSalaries[[#This Row],[Where do you work]],[1]!tblCountries[[Actual]:[Mapping]],2,FALSE)</f>
        <v>USA</v>
      </c>
      <c r="J1882" t="s">
        <v>808</v>
      </c>
      <c r="K1882">
        <v>3</v>
      </c>
    </row>
    <row r="1883" spans="1:11" x14ac:dyDescent="0.2">
      <c r="A1883" t="s">
        <v>4019</v>
      </c>
      <c r="B1883" s="59">
        <v>41081.197453703702</v>
      </c>
      <c r="C1883">
        <v>46359</v>
      </c>
      <c r="D1883" t="s">
        <v>786</v>
      </c>
      <c r="E1883">
        <f>tblSalaries[[#This Row],[clean Salary (in local currency)]]*VLOOKUP(tblSalaries[[#This Row],[Currency]],[1]!tblXrate[#Data],2,FALSE)</f>
        <v>46359</v>
      </c>
      <c r="F1883" t="s">
        <v>984</v>
      </c>
      <c r="G1883" t="s">
        <v>788</v>
      </c>
      <c r="H1883" t="s">
        <v>15</v>
      </c>
      <c r="I1883" t="str">
        <f>VLOOKUP(tblSalaries[[#This Row],[Where do you work]],[1]!tblCountries[[Actual]:[Mapping]],2,FALSE)</f>
        <v>USA</v>
      </c>
      <c r="J1883" t="s">
        <v>794</v>
      </c>
      <c r="K1883">
        <v>5</v>
      </c>
    </row>
    <row r="1884" spans="1:11" x14ac:dyDescent="0.2">
      <c r="A1884" t="s">
        <v>4020</v>
      </c>
      <c r="B1884" s="59">
        <v>41081.198888888888</v>
      </c>
      <c r="C1884">
        <v>70000</v>
      </c>
      <c r="D1884" t="s">
        <v>786</v>
      </c>
      <c r="E1884">
        <f>tblSalaries[[#This Row],[clean Salary (in local currency)]]*VLOOKUP(tblSalaries[[#This Row],[Currency]],[1]!tblXrate[#Data],2,FALSE)</f>
        <v>70000</v>
      </c>
      <c r="F1884" t="s">
        <v>4021</v>
      </c>
      <c r="G1884" t="s">
        <v>788</v>
      </c>
      <c r="H1884" t="s">
        <v>15</v>
      </c>
      <c r="I1884" t="str">
        <f>VLOOKUP(tblSalaries[[#This Row],[Where do you work]],[1]!tblCountries[[Actual]:[Mapping]],2,FALSE)</f>
        <v>USA</v>
      </c>
      <c r="J1884" t="s">
        <v>789</v>
      </c>
      <c r="K1884">
        <v>10</v>
      </c>
    </row>
  </sheetData>
  <conditionalFormatting sqref="C2:K2 C1773:K1884 D1772:K1772 C1711:K1771 D1710:K1710 C1703:K1709 D1702:K1702 C1644:K1701 D1643:K1643 C1299:K1642 D1298:K1298 C1087:K1297 D1086:K1086 C1075:K1085 D1074:K1074 C1046:K1073 D1045:K1045 C870:K1044 D869:K869 C804:K868 D803:K803 C800:K802 D799:K799 C783:K798 D782:K782 C747:K781 D746:K746 C710:K745 D709:K709 C706:K708 D705:K705 C695:K704 D694:K694 C688:K693 D687:K687 C656:K686 D655:K655 C632:K654 D631:K631 C593:K630 D592:K592 C421:K591 D420:K420 C35:K40 D3:K34 C43:K43 D41:K42 C45:K48 D44:K44 C51:K55 D49:K50 C57:K57 D56:K56 C59:K75 D58:K58 C77:K87 D76:K76 C89:K97 D88:K88 C99:K99 D98:K98 C101:K135 D100:K100 C137:K150 D136:K136 C152:K154 D151:K151 C156:K211 D155:K155 C213:K237 D212:K212 C239:K273 D238:K238 C275:K305 D274:K274 C307:K419 A2:B1884 D306:K306">
    <cfRule type="expression" dxfId="4" priority="1">
      <formula>$E2="ERR"</formula>
    </cfRule>
  </conditionalFormatting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192</vt:i4>
      </vt:variant>
    </vt:vector>
  </HeadingPairs>
  <TitlesOfParts>
    <vt:vector size="197" baseType="lpstr">
      <vt:lpstr>Main</vt:lpstr>
      <vt:lpstr>Data</vt:lpstr>
      <vt:lpstr>Control</vt:lpstr>
      <vt:lpstr>Pivot</vt:lpstr>
      <vt:lpstr>Sheet1</vt:lpstr>
      <vt:lpstr>D_AFG</vt:lpstr>
      <vt:lpstr>D_AGO</vt:lpstr>
      <vt:lpstr>D_ALB</vt:lpstr>
      <vt:lpstr>D_AND</vt:lpstr>
      <vt:lpstr>D_ARE</vt:lpstr>
      <vt:lpstr>D_ARG</vt:lpstr>
      <vt:lpstr>D_ARM</vt:lpstr>
      <vt:lpstr>D_ATG</vt:lpstr>
      <vt:lpstr>D_AUS</vt:lpstr>
      <vt:lpstr>D_AUT</vt:lpstr>
      <vt:lpstr>D_AZE</vt:lpstr>
      <vt:lpstr>D_BDI</vt:lpstr>
      <vt:lpstr>D_BEL</vt:lpstr>
      <vt:lpstr>D_BEN</vt:lpstr>
      <vt:lpstr>D_BFA</vt:lpstr>
      <vt:lpstr>D_BGD</vt:lpstr>
      <vt:lpstr>D_BGR</vt:lpstr>
      <vt:lpstr>D_BHR</vt:lpstr>
      <vt:lpstr>D_BHS</vt:lpstr>
      <vt:lpstr>D_BIH</vt:lpstr>
      <vt:lpstr>D_BLR</vt:lpstr>
      <vt:lpstr>D_BLZ</vt:lpstr>
      <vt:lpstr>D_BOL</vt:lpstr>
      <vt:lpstr>D_BRA</vt:lpstr>
      <vt:lpstr>D_BRB</vt:lpstr>
      <vt:lpstr>D_BTN</vt:lpstr>
      <vt:lpstr>D_BWA</vt:lpstr>
      <vt:lpstr>D_CAF</vt:lpstr>
      <vt:lpstr>D_CAN</vt:lpstr>
      <vt:lpstr>D_CG</vt:lpstr>
      <vt:lpstr>D_CHE</vt:lpstr>
      <vt:lpstr>D_CHL</vt:lpstr>
      <vt:lpstr>D_CHN</vt:lpstr>
      <vt:lpstr>D_CIV</vt:lpstr>
      <vt:lpstr>D_CMR</vt:lpstr>
      <vt:lpstr>D_COD</vt:lpstr>
      <vt:lpstr>D_COG</vt:lpstr>
      <vt:lpstr>D_COL</vt:lpstr>
      <vt:lpstr>D_COM</vt:lpstr>
      <vt:lpstr>D_CPV</vt:lpstr>
      <vt:lpstr>D_CRI</vt:lpstr>
      <vt:lpstr>D_CUB</vt:lpstr>
      <vt:lpstr>D_CYP</vt:lpstr>
      <vt:lpstr>D_CZE</vt:lpstr>
      <vt:lpstr>D_DEU</vt:lpstr>
      <vt:lpstr>D_DJI</vt:lpstr>
      <vt:lpstr>D_DMA</vt:lpstr>
      <vt:lpstr>D_DNK</vt:lpstr>
      <vt:lpstr>D_DOM</vt:lpstr>
      <vt:lpstr>D_DZA</vt:lpstr>
      <vt:lpstr>D_ECU</vt:lpstr>
      <vt:lpstr>D_EGY</vt:lpstr>
      <vt:lpstr>D_ERI</vt:lpstr>
      <vt:lpstr>D_ESH</vt:lpstr>
      <vt:lpstr>D_ESP</vt:lpstr>
      <vt:lpstr>D_EST</vt:lpstr>
      <vt:lpstr>D_ETH</vt:lpstr>
      <vt:lpstr>D_FIN</vt:lpstr>
      <vt:lpstr>D_FJI</vt:lpstr>
      <vt:lpstr>D_FRA</vt:lpstr>
      <vt:lpstr>D_FSM</vt:lpstr>
      <vt:lpstr>D_GAB</vt:lpstr>
      <vt:lpstr>D_GBR</vt:lpstr>
      <vt:lpstr>D_GEO</vt:lpstr>
      <vt:lpstr>D_GHA</vt:lpstr>
      <vt:lpstr>D_GIN</vt:lpstr>
      <vt:lpstr>D_GMB</vt:lpstr>
      <vt:lpstr>D_GNB</vt:lpstr>
      <vt:lpstr>D_GNQ</vt:lpstr>
      <vt:lpstr>D_GRC</vt:lpstr>
      <vt:lpstr>D_GRD</vt:lpstr>
      <vt:lpstr>D_GTM</vt:lpstr>
      <vt:lpstr>D_GUY</vt:lpstr>
      <vt:lpstr>D_HND</vt:lpstr>
      <vt:lpstr>D_HRV</vt:lpstr>
      <vt:lpstr>D_HTI</vt:lpstr>
      <vt:lpstr>D_HUN</vt:lpstr>
      <vt:lpstr>D_IDN</vt:lpstr>
      <vt:lpstr>D_IND</vt:lpstr>
      <vt:lpstr>D_IRL</vt:lpstr>
      <vt:lpstr>D_IRN</vt:lpstr>
      <vt:lpstr>D_IRQ</vt:lpstr>
      <vt:lpstr>D_ISL</vt:lpstr>
      <vt:lpstr>D_ISR</vt:lpstr>
      <vt:lpstr>D_ITA</vt:lpstr>
      <vt:lpstr>D_JAM</vt:lpstr>
      <vt:lpstr>D_JOR</vt:lpstr>
      <vt:lpstr>D_JPN</vt:lpstr>
      <vt:lpstr>D_KAZ</vt:lpstr>
      <vt:lpstr>D_KEN</vt:lpstr>
      <vt:lpstr>D_KGZ</vt:lpstr>
      <vt:lpstr>D_KHM</vt:lpstr>
      <vt:lpstr>D_KIR</vt:lpstr>
      <vt:lpstr>D_KOR</vt:lpstr>
      <vt:lpstr>D_KWT</vt:lpstr>
      <vt:lpstr>D_LAO</vt:lpstr>
      <vt:lpstr>D_LBN</vt:lpstr>
      <vt:lpstr>D_LBR</vt:lpstr>
      <vt:lpstr>D_LBY</vt:lpstr>
      <vt:lpstr>D_LCA</vt:lpstr>
      <vt:lpstr>D_LIE</vt:lpstr>
      <vt:lpstr>D_LKA</vt:lpstr>
      <vt:lpstr>D_LSO</vt:lpstr>
      <vt:lpstr>D_LTU</vt:lpstr>
      <vt:lpstr>D_LUX</vt:lpstr>
      <vt:lpstr>D_LVA</vt:lpstr>
      <vt:lpstr>D_MAR</vt:lpstr>
      <vt:lpstr>D_MCO</vt:lpstr>
      <vt:lpstr>D_MDA</vt:lpstr>
      <vt:lpstr>D_MDG</vt:lpstr>
      <vt:lpstr>D_MDV</vt:lpstr>
      <vt:lpstr>D_MEX</vt:lpstr>
      <vt:lpstr>D_MHL</vt:lpstr>
      <vt:lpstr>D_MKD</vt:lpstr>
      <vt:lpstr>D_MLI</vt:lpstr>
      <vt:lpstr>D_MLT</vt:lpstr>
      <vt:lpstr>D_MMR</vt:lpstr>
      <vt:lpstr>D_MNG</vt:lpstr>
      <vt:lpstr>D_MOZ</vt:lpstr>
      <vt:lpstr>D_MRT</vt:lpstr>
      <vt:lpstr>D_MUS</vt:lpstr>
      <vt:lpstr>D_MWI</vt:lpstr>
      <vt:lpstr>D_MYS</vt:lpstr>
      <vt:lpstr>D_NAM</vt:lpstr>
      <vt:lpstr>D_NER</vt:lpstr>
      <vt:lpstr>D_NGA</vt:lpstr>
      <vt:lpstr>D_NIC</vt:lpstr>
      <vt:lpstr>D_NLD</vt:lpstr>
      <vt:lpstr>D_NOR</vt:lpstr>
      <vt:lpstr>D_NPL</vt:lpstr>
      <vt:lpstr>D_NRU</vt:lpstr>
      <vt:lpstr>D_NZL</vt:lpstr>
      <vt:lpstr>D_OMN</vt:lpstr>
      <vt:lpstr>D_PAK</vt:lpstr>
      <vt:lpstr>D_PAN</vt:lpstr>
      <vt:lpstr>D_PER</vt:lpstr>
      <vt:lpstr>D_PHL</vt:lpstr>
      <vt:lpstr>D_PLW</vt:lpstr>
      <vt:lpstr>D_PNG</vt:lpstr>
      <vt:lpstr>D_POL</vt:lpstr>
      <vt:lpstr>D_PRK</vt:lpstr>
      <vt:lpstr>D_PRT</vt:lpstr>
      <vt:lpstr>D_PRY</vt:lpstr>
      <vt:lpstr>D_QAT</vt:lpstr>
      <vt:lpstr>D_ROM</vt:lpstr>
      <vt:lpstr>D_RUS</vt:lpstr>
      <vt:lpstr>D_RWA</vt:lpstr>
      <vt:lpstr>D_SAU</vt:lpstr>
      <vt:lpstr>D_SDN</vt:lpstr>
      <vt:lpstr>D_SEN</vt:lpstr>
      <vt:lpstr>D_SGP</vt:lpstr>
      <vt:lpstr>D_SLB</vt:lpstr>
      <vt:lpstr>D_SLE</vt:lpstr>
      <vt:lpstr>D_SLV</vt:lpstr>
      <vt:lpstr>D_SOM</vt:lpstr>
      <vt:lpstr>D_SR</vt:lpstr>
      <vt:lpstr>D_SUR</vt:lpstr>
      <vt:lpstr>D_SVK</vt:lpstr>
      <vt:lpstr>D_SVN</vt:lpstr>
      <vt:lpstr>D_SWE</vt:lpstr>
      <vt:lpstr>D_SWZ</vt:lpstr>
      <vt:lpstr>D_SYC</vt:lpstr>
      <vt:lpstr>D_SYR</vt:lpstr>
      <vt:lpstr>D_TAI</vt:lpstr>
      <vt:lpstr>D_TCD</vt:lpstr>
      <vt:lpstr>D_TGO</vt:lpstr>
      <vt:lpstr>D_THA</vt:lpstr>
      <vt:lpstr>D_TJK</vt:lpstr>
      <vt:lpstr>D_TKM</vt:lpstr>
      <vt:lpstr>D_TMP</vt:lpstr>
      <vt:lpstr>D_TON</vt:lpstr>
      <vt:lpstr>D_TTO</vt:lpstr>
      <vt:lpstr>D_TUN</vt:lpstr>
      <vt:lpstr>D_TUR</vt:lpstr>
      <vt:lpstr>D_TUV</vt:lpstr>
      <vt:lpstr>D_TWN</vt:lpstr>
      <vt:lpstr>D_TZA</vt:lpstr>
      <vt:lpstr>D_UGA</vt:lpstr>
      <vt:lpstr>D_UKR</vt:lpstr>
      <vt:lpstr>D_URY</vt:lpstr>
      <vt:lpstr>D_USA</vt:lpstr>
      <vt:lpstr>D_UZB</vt:lpstr>
      <vt:lpstr>D_VEN</vt:lpstr>
      <vt:lpstr>D_VNM</vt:lpstr>
      <vt:lpstr>D_VUT</vt:lpstr>
      <vt:lpstr>D_WSM</vt:lpstr>
      <vt:lpstr>D_YEM</vt:lpstr>
      <vt:lpstr>D_ZAF</vt:lpstr>
      <vt:lpstr>D_ZWB</vt:lpstr>
      <vt:lpstr>D_ZWE</vt:lpstr>
      <vt:lpstr>MapNameToShape</vt:lpstr>
      <vt:lpstr>MapValueToColor</vt:lpstr>
    </vt:vector>
  </TitlesOfParts>
  <Manager>Robert</Manager>
  <Company/>
  <LinksUpToDate>false</LinksUpToDate>
  <SharedDoc>false</SharedDoc>
  <HyperlinkBase/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Choropleth World Map</dc:title>
  <dc:creator>Robert</dc:creator>
  <dc:description>www.clearlyandsimply.com</dc:description>
  <cp:lastModifiedBy>Bryan Munch</cp:lastModifiedBy>
  <cp:lastPrinted>2009-05-20T14:27:53Z</cp:lastPrinted>
  <dcterms:created xsi:type="dcterms:W3CDTF">2007-04-26T11:59:09Z</dcterms:created>
  <dcterms:modified xsi:type="dcterms:W3CDTF">2012-07-06T18:17:48Z</dcterms:modified>
  <cp:category>Microsoft Excel, Templates, Visualization</cp:category>
</cp:coreProperties>
</file>